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3" sheetId="2" r:id="rId6"/>
    <sheet state="visible" name="2_28_2026" sheetId="3" r:id="rId7"/>
    <sheet state="visible" name="1_16_2026" sheetId="4" r:id="rId8"/>
    <sheet state="visible" name="CPI" sheetId="5" r:id="rId9"/>
    <sheet state="visible" name="RepositoryV" sheetId="6" r:id="rId10"/>
    <sheet state="visible" name="Dictionary" sheetId="7" r:id="rId11"/>
  </sheets>
  <definedNames>
    <definedName hidden="1" localSheetId="2" name="_xlnm._FilterDatabase">'2_28_2026'!$AB$1:$AB$1021</definedName>
    <definedName hidden="1" localSheetId="3" name="_xlnm._FilterDatabase">'1_16_2026'!$A$1:$AC$1009</definedName>
    <definedName hidden="1" localSheetId="0" name="Z_58D8374F_B222_42CC_9E40_9FC9F60E7FC2_.wvu.FilterData">Sheet1!$A$2:$AI$1045</definedName>
  </definedNames>
  <calcPr/>
  <customWorkbookViews>
    <customWorkbookView activeSheetId="0" maximized="1" windowHeight="0" windowWidth="0" guid="{58D8374F-B222-42CC-9E40-9FC9F60E7FC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0">
      <text>
        <t xml:space="preserve">Based on projected cost plus a 200 million euro overrun on the U2 portion: https://www.derstandard.at/story/2000109597553/wiener-u-bahn-ausbau-duerfte-teurer-als-geplant-werden
	-Alon Levy</t>
      </text>
    </comment>
    <comment authorId="0" ref="Q12">
      <text>
        <t xml:space="preserve">Recent media articles confirm cost and 2021 opening dates: https://infrastructuremagazine.com.au/2020/04/22/metronets-forrestfield-airport-link-reaches-milestone/, https://www.perthnow.com.au/community-news/southern-gazette/forrestfield-airport-link-project-on-track-to-open-in-2021-c-1086512
	-Alon Levy</t>
      </text>
    </comment>
    <comment authorId="0" ref="Q16">
      <text>
        <t xml:space="preserve">See also https://www.thedailystar.net/bangladesh/news/physical-work-countrys-first-underground-metro-rail-likely-begin-march-2022-2112709.</t>
      </text>
    </comment>
    <comment authorId="0" ref="I17">
      <text>
        <t xml:space="preserve">This source says 20 km: https://www.thedailystar.net/frontpage/news/dhaka-metro-rail-two-more-lines-cost-tk-93800cr-1813843
	-Alon Levy</t>
      </text>
    </comment>
    <comment authorId="0" ref="G22">
      <text>
        <t xml:space="preserve">First 7.8 km opened in 2020: https://www.railwaygazette.com/operations-and-services/most-beautiful-and-cheapest-metro-line-opens-in-sofia/57242.article
	-Alon Levy</t>
      </text>
    </comment>
    <comment authorId="0" ref="N23">
      <text>
        <t xml:space="preserve">Sources disagree on 3 vs. 4 but the map clearly shows 4: https://www.metropolitan.bg/en/op-transport-extension/istoriya-razvitie-metro/line-3-sofia-metro
	-Alon Levy</t>
      </text>
    </comment>
    <comment authorId="0" ref="N27">
      <text>
        <t xml:space="preserve">Including Gávea, which is on a branch.</t>
      </text>
    </comment>
    <comment authorId="0" ref="AE27">
      <text>
        <t xml:space="preserve">P. 14.</t>
      </text>
    </comment>
    <comment authorId="0" ref="S28">
      <text>
        <t xml:space="preserve">Weighted toward the end because most actual construction happened starting 2013.
	-Alon Levy</t>
      </text>
    </comment>
    <comment authorId="0" ref="Q30">
      <text>
        <t xml:space="preserve">See also https://www.bnamericas.com/en/news/brazil-metro-cost-overruns-top-us9bn1
	-Alon Levy
----
See also https://projects.worldbank.org/en/projects-operations/project-detail/P116170?lang=en, which is very close in exchange-rate dollars.
	-Alon Levy</t>
      </text>
    </comment>
    <comment authorId="0" ref="S32">
      <text>
        <t xml:space="preserve">Shifted later than the midpoint since only 15% of the project is complete as of 2019.
	-Alon Levy</t>
      </text>
    </comment>
    <comment authorId="0" ref="N33">
      <text>
        <t xml:space="preserve">Only 4 underground and 2 elevated.</t>
      </text>
    </comment>
    <comment authorId="0" ref="P35">
      <text>
        <t xml:space="preserve">See https://edmontonjournal.com/news/local-news/valley-line-southeast-lrt-tunnels-take-shape</t>
      </text>
    </comment>
    <comment authorId="0" ref="Q49">
      <text>
        <t xml:space="preserve">This does not include a $330 million overrun per https://www.thestar.com/news/gta/2019/12/30/eglinton-crosstown-lrt-could-be-330-million-over-budget-and-open-seven-months-late-internal-documents-warn.html
	-Alon Levy</t>
      </text>
    </comment>
    <comment authorId="0" ref="Q54">
      <text>
        <t xml:space="preserve">This includes a 30-year operating and maintenance contract; pure construction cost is somewhat lower.</t>
      </text>
    </comment>
    <comment authorId="0" ref="G55">
      <text>
        <t xml:space="preserve">A small section was delayed to 2006.</t>
      </text>
    </comment>
    <comment authorId="0" ref="Q55">
      <text>
        <t xml:space="preserve">PDF-p. 55 of reference.</t>
      </text>
    </comment>
    <comment authorId="0" ref="K57">
      <text>
        <t xml:space="preserve">https://www.canadianundergroundinfrastructure.com/article/22383/tunnelling-for-vancouvers-evergreen-line-complete</t>
      </text>
    </comment>
    <comment authorId="0" ref="Q63">
      <text>
        <t xml:space="preserve">Headline cost was 590 million CHF including 180 million for rolling stock.</t>
      </text>
    </comment>
    <comment authorId="0" ref="Q64">
      <text>
        <t xml:space="preserve">Budget was 250 million but there was an underrun.
	-Alon Levy</t>
      </text>
    </comment>
    <comment authorId="0" ref="Q66">
      <text>
        <t xml:space="preserve">See also https://revistavial.com/linea-3-del-metro-de-santiago/</t>
      </text>
    </comment>
    <comment authorId="0" ref="O576">
      <text>
        <t xml:space="preserve">Source: https://rollingstockworld.com/lrv/dynamic-testing-of-crrc-metro-trains-for-bogota-begins/</t>
      </text>
    </comment>
    <comment authorId="0" ref="J578">
      <text>
        <t xml:space="preserve">The terminus station is daylit in an otherwise entirely underground work.</t>
      </text>
    </comment>
    <comment authorId="0" ref="T580">
      <text>
        <t xml:space="preserve">This is imputed: the actual calulation converts 120 million DM in 1971 to 2021 euros and thence to 2021 dollars, and the PPP rate is given based on a retrospective US inflation rate.</t>
      </text>
    </comment>
    <comment authorId="0" ref="T581">
      <text>
        <t xml:space="preserve">This is imputed: the actual calulation converts 680 million DM in 1981 to 2021 euros and thence to 2021 dollars, and the PPP rate is given based on a retrospective US inflation rate.</t>
      </text>
    </comment>
    <comment authorId="0" ref="I582">
      <text>
        <t xml:space="preserve">Source says 4.2 km but this includes tail tracks.
	-Alon Levy</t>
      </text>
    </comment>
    <comment authorId="0" ref="Q582">
      <text>
        <t xml:space="preserve">Converted (and, uniquely for this table, inflation-adjusted) from 600 million DM.
	-Alon Levy</t>
      </text>
    </comment>
    <comment authorId="0" ref="Q583">
      <text>
        <t xml:space="preserve">Converted from 105 million DM.
	-Alon Levy</t>
      </text>
    </comment>
    <comment authorId="0" ref="Q588">
      <text>
        <t xml:space="preserve">Converted from 344 million DM in 1965 prices.</t>
      </text>
    </comment>
    <comment authorId="0" ref="K589">
      <text>
        <t xml:space="preserve">Source says 850 m but excludes a shorter tunnel under a park, and the exact portals are easily visible on Google Earth.
	-Alon Levy</t>
      </text>
    </comment>
    <comment authorId="0" ref="I593">
      <text>
        <t xml:space="preserve">Measuring the tunnel length gives 1.9 km, which would put the cost over $400 million/km.</t>
      </text>
    </comment>
    <comment authorId="0" ref="N594">
      <text>
        <t xml:space="preserve">See https://www.hamburg.de/contentblob/12763212/9af1f73ecb661c983474ee2ef634deb6/data/20190711-u5-ost-faktenpapier.pdf.</t>
      </text>
    </comment>
    <comment authorId="0" ref="I595">
      <text>
        <t xml:space="preserve">3.4 km rail tunnel, 1.4 km road tunnel.
	-Alon Levy</t>
      </text>
    </comment>
    <comment authorId="0" ref="Q595">
      <text>
        <t xml:space="preserve">Source gives a range of 1,427.3-1,487.3.
	-Alon Levy</t>
      </text>
    </comment>
    <comment authorId="0" ref="T597">
      <text>
        <t xml:space="preserve">This is imputed: the actual calulation converts 900 million DM in 1968 to 2021 euros and thence to 2021 dollars, and the PPP rate is given based on a retrospective US inflation rate.</t>
      </text>
    </comment>
    <comment authorId="0" ref="Q598">
      <text>
        <t xml:space="preserve">See also media source at https://www.tz.de/muenchen/stadt/u-bahn-offensive-zwei-neue-bahnhoefe-1003587.html.</t>
      </text>
    </comment>
    <comment authorId="0" ref="I602">
      <text>
        <t xml:space="preserve">The source says 0.6 km, but the detailed plan at https://www.nuernberg.de/imperia/md/u_bahnbau/dokumente/ba_2.2_-_anliegerinformationen_flyer_final.pdf can be measured to be 2.1 km; 0.6 km is just one portion of the line.</t>
      </text>
    </comment>
    <comment authorId="0" ref="Q605">
      <text>
        <t xml:space="preserve">Source states Lines 1 and 2 combined; this is imputed with Line 1 netted out.</t>
      </text>
    </comment>
    <comment authorId="0" ref="S605">
      <text>
        <t xml:space="preserve">Most of the line's length is 2A, built 2009-13, and only a minority is 2B, built 2014-18.</t>
      </text>
    </comment>
    <comment authorId="0" ref="Q606">
      <text>
        <t xml:space="preserve">https://www.eluniverso.com/noticias/2019/01/30/nota/7164113/extension-metro-quito-demandara-hasta-400-millones says 2,009.
	-Alon Levy</t>
      </text>
    </comment>
    <comment authorId="0" ref="I652">
      <text>
        <t xml:space="preserve">See e.g. https://www.pedelta.com/first-elevated-station-on-barcelona-l10-metro-line-is-now-operational-n-20-en.
	-Alon Levy</t>
      </text>
    </comment>
    <comment authorId="0" ref="K652">
      <text>
        <t xml:space="preserve">See http://www.aftes.asso.fr/doc_gd_public/article_fichier/T216-315a322Barcelone.pdf
	-Alon Levy</t>
      </text>
    </comment>
    <comment authorId="0" ref="Q652">
      <text>
        <t xml:space="preserve">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text>
    </comment>
    <comment authorId="0" ref="Q654">
      <text>
        <t xml:space="preserve">Including rolling stock.
	-Alon Levy</t>
      </text>
    </comment>
    <comment authorId="0" ref="Q655">
      <text>
        <t xml:space="preserve">Including rolling stock.
	-Alon Levy</t>
      </text>
    </comment>
    <comment authorId="0" ref="H663">
      <text>
        <t xml:space="preserve">This is regional rail, but it's an outlying regional line providing airport connection, unlike most RR lines in this table, which are in city center.
	-Alon Levy</t>
      </text>
    </comment>
    <comment authorId="0" ref="Q668">
      <text>
        <t xml:space="preserve">This is ex ante, but media articles through early 2020 do not mention cost overruns, and one mentions an average cost per km in line with the original budget: https://www.brefeco.com/actualite/amenagement-infrastructures/les-pistes-du-sytral-pour-les-transports-en-commun-du-futur
	-Alon Levy</t>
      </text>
    </comment>
    <comment authorId="0" ref="AE669">
      <text>
        <t xml:space="preserve">P. 21</t>
      </text>
    </comment>
    <comment authorId="0" ref="G677">
      <text>
        <t xml:space="preserve">Tunnel to open in 2022, further surface improvement in 2024.
	-Alon Levy</t>
      </text>
    </comment>
    <comment authorId="0" ref="Q677">
      <text>
        <t xml:space="preserve">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text>
    </comment>
    <comment authorId="0" ref="J678">
      <text>
        <t xml:space="preserve">Length is exact, but there is a short measured elevated segment.
	-Alon Levy</t>
      </text>
    </comment>
    <comment authorId="0" ref="Q678">
      <text>
        <t xml:space="preserve">Not including 214 million for lengthening stations on the existing line. See also https://www.iledefrance-mobilites.fr/le-reseau/projets/metro-11-prolongement-mairie-des-lilas-rosny-bois-perrier
	-Alon Levy</t>
      </text>
    </comment>
    <comment authorId="0" ref="Q679">
      <text>
        <t xml:space="preserve">https://www.vie-publique.fr/en-bref/277104-grand-paris-express-augmentation-des-couts says 42 billion, but without a year stated, whereas the source listed for the cost is in 2012 euros; it's likely 42 billion accounts for some inflation since 2012.</t>
      </text>
    </comment>
    <comment authorId="0" ref="I680">
      <text>
        <t xml:space="preserve">See also https://www.ratp.fr/en/groupe-ratp/metrotrains/m1-extension-val-de-fontenay
	-Alon Levy</t>
      </text>
    </comment>
    <comment authorId="0" ref="J682">
      <text>
        <t xml:space="preserve">Source has a slightly different length: https://www.ladepeche.fr/article/2017/03/07/2530341-prix-3e-ligne-metro-fait-toujours-polemique.html
	-Alon Levy</t>
      </text>
    </comment>
    <comment authorId="0" ref="Q683">
      <text>
        <t xml:space="preserve">https://www.railwaypro.com/wp/metro-line-3-extension-opened-in-athens/ mentions a 343.96 million euro bid; https://www.ametro.gr/?page_id=88 says it's a 730 million euro investment.
	-Alon Levy</t>
      </text>
    </comment>
    <comment authorId="0" ref="Q684">
      <text>
        <t xml:space="preserve">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text>
    </comment>
    <comment authorId="0" ref="Q685">
      <text>
        <t xml:space="preserve">P. 5 of https://www.ametro.gr/wp-content/uploads/2018/08/AM_Xrimatooikonomikes_katastaseis_2017.pdf says 1,283.7 including rolling stock.
	-Alon Levy</t>
      </text>
    </comment>
    <comment authorId="0" ref="A691">
      <text>
        <t xml:space="preserve">Numbers changed from a duplicate on this and the subsequent 3 lines (note color in table).</t>
      </text>
    </comment>
    <comment authorId="0" ref="K700">
      <text>
        <t xml:space="preserve">2 km in Ap Lei Chau are on viaduct: http://personal.cityu.edu.hk/bswmwong/contents/resources/con_stud/South_Island_Line.pdf</t>
      </text>
    </comment>
    <comment authorId="0" ref="I702">
      <text>
        <t xml:space="preserve">1.3 km in service plus 500 m of overrun tracks at the other end.</t>
      </text>
    </comment>
    <comment authorId="0" ref="N702">
      <text>
        <t xml:space="preserve">There's also an at-grade infill station.</t>
      </text>
    </comment>
    <comment authorId="0" ref="K705">
      <text>
        <t xml:space="preserve">This source says 6.9 km: https://theinsiderstories.com/insight-projections-of-the-economic-benefits-of-the-jakarta-mrt-for-indonesia/
	-Alon Levy</t>
      </text>
    </comment>
    <comment authorId="0" ref="Q705">
      <text>
        <t xml:space="preserve">Sources disagree on exact cost, often due to currency conversion, e.g. https://www.bloomberg.com/news/articles/2019-02-26/the-43-billion-race-to-fix-jakarta-s-choking-traffic-starts-now says $1.2b, which is in exchange rate terms 17 trillion IDR.
	-Alon Levy</t>
      </text>
    </comment>
    <comment authorId="0" ref="I706">
      <text>
        <t xml:space="preserve">Some sources say 23, of which 10 underground.
	-Alon Levy</t>
      </text>
    </comment>
    <comment authorId="0" ref="N707">
      <text>
        <t xml:space="preserve">Only 4 underground.
	-Alon Levy</t>
      </text>
    </comment>
    <comment authorId="0" ref="I711">
      <text>
        <t xml:space="preserve">https://www.metrorailnews.in/phase-2-of-namma-metro-work-is-expected-to-be-delayed-due-to-lack-of-workers/ says 72 km.
	-Alon Levy</t>
      </text>
    </comment>
    <comment authorId="0" ref="Q711">
      <text>
        <t xml:space="preserve">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text>
    </comment>
    <comment authorId="0" ref="K712">
      <text>
        <t xml:space="preserve">See http://indiainframonitor.com/projects/report/53157a8997725281c497dda7
	-Alon Levy</t>
      </text>
    </comment>
    <comment authorId="0" ref="Q712">
      <text>
        <t xml:space="preserve">JICA says 241,020 million INR: https://www.jica.go.jp/india/english/office/others/c8h0vm00004cesxi-att/brochure_16.pdf; India Infrastructure Report says 183,700: http://indiainframonitor.com/projects/report/53157a8997725281c497dda7
	-Alon Levy</t>
      </text>
    </comment>
    <comment authorId="0" ref="N717">
      <text>
        <t xml:space="preserve">https://themetrorailguy.com/delhi-metro-phase-4-information-map/ says 45 stations.
	-Alon Levy</t>
      </text>
    </comment>
    <comment authorId="0" ref="Q717">
      <text>
        <t xml:space="preserve">See also https://economictimes.indiatimes.com/news/politics-and-nation/operational-loss-in-delhi-metro-phase-iv-project-to-be-borne-by-delhi-govt-sc/articleshow/71008680.cms
	-Alon Levy</t>
      </text>
    </comment>
    <comment authorId="0" ref="N718">
      <text>
        <t xml:space="preserve">Source has much higher total length than others: https://themetrorailguy.com/delhi-metro-phase-4-information-map/
	-Alon Levy</t>
      </text>
    </comment>
    <comment authorId="0" ref="Q718">
      <text>
        <t xml:space="preserve">Obtained by subtraction from the first half ("priority corridors").
	-Alon Levy</t>
      </text>
    </comment>
    <comment authorId="0" ref="I719">
      <text>
        <t xml:space="preserve">Source says 5.1 km.
	-Alon Levy</t>
      </text>
    </comment>
    <comment authorId="0" ref="I720">
      <text>
        <t xml:space="preserve">Source says 6.6 km but also says the the phase 1 length is 5.1 km and not 5.5.
	-Alon Levy</t>
      </text>
    </comment>
    <comment authorId="0" ref="Q721">
      <text>
        <t xml:space="preserve">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text>
    </comment>
    <comment authorId="0" ref="G723">
      <text>
        <t xml:space="preserve">Most of the line, Phase 1A, opened in 2015.</t>
      </text>
    </comment>
    <comment authorId="0" ref="N726">
      <text>
        <t xml:space="preserve">TMTG claims 23 and lists 22. https://themetrorailguy.com/lucknow-metro-information-map-updates/</t>
      </text>
    </comment>
    <comment authorId="0" ref="I727">
      <text>
        <t xml:space="preserve">Wikipedia says 19.5 km.
	-Alon Levy</t>
      </text>
    </comment>
    <comment authorId="0" ref="Q727">
      <text>
        <t xml:space="preserve">This source says 24,600: https://mmrda.maharashtra.gov.in/mumbai-monorail-project#
	-Alon Levy</t>
      </text>
    </comment>
    <comment authorId="0" ref="I728">
      <text>
        <t xml:space="preserve">https://www.makaan.com/iq/news-views/mumbai-metro-line-2a-to-get-operational-by-2020 says 18 km.
	-Alon Levy</t>
      </text>
    </comment>
    <comment authorId="0" ref="Q730">
      <text>
        <t xml:space="preserve">See https://www.metrorailnews.in/tunneling-work-on-mumbai-metro-line-3-likely-to-complete-by-2021/
	-Alon Levy</t>
      </text>
    </comment>
    <comment authorId="0" ref="Q731">
      <text>
        <t xml:space="preserve">This source says 66,720, presumably in year of expenditure rupees: https://www.livemint.com/Politics/Z1VWUGDGga5lJjdm8llzKI/Mumbai-Metros-corridor-5-and-6-gets-Maharashtra-cabinet-ap.html
	-Alon Levy</t>
      </text>
    </comment>
    <comment authorId="0" ref="Q734">
      <text>
        <t xml:space="preserve">Per https://indianexpress.com/article/cities/mumbai/mumbai-work-on-second-underground-metro-line-7a-begins-6301335/ this is the cost of Line 7A, but it's really the cost of 7A and 9 bundled together.
	-Alon Levy</t>
      </text>
    </comment>
    <comment authorId="0" ref="Q735">
      <text>
        <t xml:space="preserve">Including state taxes.
	-Alon Levy</t>
      </text>
    </comment>
    <comment authorId="0" ref="G736">
      <text>
        <t xml:space="preserve">https://www.mumbailive.com/en/infrastructure/mmrda-tenders-currently-open-for-metro-line-5-7a-and-9-general-consultants-45660
	-Alon Levy</t>
      </text>
    </comment>
    <comment authorId="0" ref="N737">
      <text>
        <t xml:space="preserve">All elevated
	-Alon Levy</t>
      </text>
    </comment>
    <comment authorId="0" ref="Q737">
      <text>
        <t xml:space="preserve">44,760 in YOE rupees, mentioned e.g. at https://www.makaan.com/iq/news-views/all-about-mumbai-metro-line-10-11-and-12 and https://timesofindia.indiatimes.com/city/mumbai/mmrda-jurisdiction-to-expand-mumbai-metro-operations-corp-to-be-set-up/articleshow/66740043.cms
	-Alon Levy</t>
      </text>
    </comment>
    <comment authorId="0" ref="Q738">
      <text>
        <t xml:space="preserve">87,390 in YOE rupees.
	-Alon Levy</t>
      </text>
    </comment>
    <comment authorId="0" ref="Q739">
      <text>
        <t xml:space="preserve">58,650 in YOE rupees.
	-Alon Levy</t>
      </text>
    </comment>
    <comment authorId="0" ref="Q740">
      <text>
        <t xml:space="preserve">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text>
    </comment>
    <comment authorId="0" ref="S740">
      <text>
        <t xml:space="preserve">Source for year: https://timesofindia.indiatimes.com/city/nagpur/mahametro-saves-rs1850cr-in-nagpur-metro-phase-ii/articleshow/67371648.cms
	-Alon Levy</t>
      </text>
    </comment>
    <comment authorId="0" ref="I741">
      <text>
        <t xml:space="preserve">See http://www.metrorailnagpur.com/projectprofile.aspx - but the media source says 48.3.
	-Alon Levy</t>
      </text>
    </comment>
    <comment authorId="0" ref="N746">
      <text>
        <t xml:space="preserve">Source says 10, but there are 11 stations listed on Wikipedia.
	-Alon Levy</t>
      </text>
    </comment>
    <comment authorId="0" ref="Q747">
      <text>
        <t xml:space="preserve">With 30 trillion rial overrun per https://financialtribune.com/articles/people/98165/tehran-subway-expansion-to-require-over-470-million.
	-Alon Levy</t>
      </text>
    </comment>
    <comment authorId="0" ref="Q748">
      <text>
        <t xml:space="preserve">65 trillion initial plus 18 trillion cost overrun and another 7 in https://financialtribune.com/articles/people/98165/tehran-subway-expansion-to-require-over-470-million.
	-Alon Levy</t>
      </text>
    </comment>
    <comment authorId="0" ref="Q749">
      <text>
        <t xml:space="preserve">bresciamobilita.albofornitori.net/tender/documenti/2963/29812001d52fb08abe1458b8021df147f6f77079.pdf says 792.4 million in 2015 euros.</t>
      </text>
    </comment>
    <comment authorId="0" ref="Q766">
      <text>
        <t xml:space="preserve">Reference says 1,943.8 but includes rolling stock, which per an older report before a cost overrun was 247.2: https://www.metro4milano.it/wordpress/wp-content/uploads/2016/09/2016.05.27-CdM-Integraz-relaz-tecnico-economica-Allegati.xlsx.pdf
	-Alon Levy</t>
      </text>
    </comment>
    <comment authorId="0" ref="P780">
      <text>
        <t xml:space="preserve">https://cdn.archilovers.com/projects/5370707e-978f-4bac-a28a-e982705a6034.pdf
	-Alon Levy</t>
      </text>
    </comment>
    <comment authorId="0" ref="AE784">
      <text>
        <t xml:space="preserve">P. 23 of the PDF.</t>
      </text>
    </comment>
    <comment authorId="0" ref="N785">
      <text>
        <t xml:space="preserve">The line has 14 stations but the cost excludes them.
	-Alon Levy</t>
      </text>
    </comment>
    <comment authorId="0" ref="Q791">
      <text>
        <t xml:space="preserve">See also https://www.jttri.or.jp/seminar200212-35.pdf
	-Alon Levy</t>
      </text>
    </comment>
    <comment authorId="0" ref="Q794">
      <text>
        <t xml:space="preserve">See also paywall-free official source at https://www.jreast.co.jp/e/investor/ar/2010/pdf/ar_2010_08.pdf, PDF-p. 3.
	-Alon Levy</t>
      </text>
    </comment>
    <comment authorId="0" ref="J796">
      <text>
        <t xml:space="preserve">Figure is approximate - there's a bit of elevated running at both ends, though both new stations (Shin-Yokohama, Shin-Tsunashima) are underground.
	-Alon Levy</t>
      </text>
    </comment>
    <comment authorId="0" ref="Q796">
      <text>
        <t xml:space="preserve">Source says 402.2 billion across this project and the JR line, the figure 290.8 billion is by subtraction.
	-Alon Levy</t>
      </text>
    </comment>
    <comment authorId="0" ref="J799">
      <text>
        <t xml:space="preserve">Underground % is based on looking at satellite images and Wikipedia claiming all new stations are underground.
	-Alon Levy</t>
      </text>
    </comment>
    <comment authorId="0" ref="Q803">
      <text>
        <t xml:space="preserve">This source says 1.69 trillion (https://shinbundang.co.kr/eng/index.jsp?pageID=/eng/intro/intro2_6.jsp&amp;open_main=4&amp;open_sub1=1&amp;open_sub2=6), not 1.169, but given how many sources say 1.169, it looks like a typo.
	-Alon Levy</t>
      </text>
    </comment>
    <comment authorId="0" ref="Q805">
      <text>
        <t xml:space="preserve">This is the cost across a few different sources, e.g. https://centers.ibs.re.kr/html/living_en/transport/KSP%2011%20Korea%C2%B4s%20Railway%20PPP%20Projects.pdf, but https://www.donga.com/news/article/all/20110216/34857594/1 claims 1.5343 trilion, which could be a 2006 won vs. YOE won difference.
	-Alon Levy</t>
      </text>
    </comment>
    <comment authorId="0" ref="Q806">
      <text>
        <t xml:space="preserve">See also https://www.railwaygazette.com/projects-and-planning/driverless-metro-to-gimpo-airport-inaugurated/54726.article
	-Alon Levy</t>
      </text>
    </comment>
    <comment authorId="0" ref="Q823">
      <text>
        <t xml:space="preserve">See also https://www.nst.com.my/news/2016/12/197743/mrt-corp-says-rafizi-got-it-wrong-rm21bil-both-phase-1-and-2-sbk-line and https://www.malaymail.com/news/malaysia/2017/07/24/najib-mrt-a-success-story-built-at-reasonable-cost/1427789
	-Alon Levy</t>
      </text>
    </comment>
    <comment authorId="0" ref="I827">
      <text>
        <t xml:space="preserve">See https://www.oslo.kommune.no/slik-bygger-vi-oslo/fornebubanen/ but note that the cost figure there is outdated.</t>
      </text>
    </comment>
    <comment authorId="0" ref="Q829">
      <text>
        <t xml:space="preserve">The official site says 1,880 from the year before opening: https://www.elmetrodepanama.com/los-costos-de-la-construccion-de-la-primera-etapa-de-la-linea-1-del-metro-se-mantienen-en-el-monto-original-de-1-880-millones/; this source says 2,139: https://www.laestrella.com.pa/nacional/150405/ano-linea-metro
	-Alon Levy</t>
      </text>
    </comment>
    <comment authorId="0" ref="I832">
      <text>
        <t xml:space="preserve">The line is to be 27 km but the construction project is 35 km including a segment to be turned over to Line 4 in the future: https://www.railwaygazette.com/lima-metro-line-2-concession-awarded/39351.article
	-Alon Levy</t>
      </text>
    </comment>
    <comment authorId="0" ref="Q832">
      <text>
        <t xml:space="preserve">Including rolling stock, consisting of 42 120 meter long vehicles, which typically cost around $500 million.
	-Alon Levy</t>
      </text>
    </comment>
    <comment authorId="0" ref="Q833">
      <text>
        <t xml:space="preserve">63 billion and 9 stations per https://www.philstar.com/business/2020/01/17/1985356/mrt-7-construction-halfway-complete
	-Alon Levy</t>
      </text>
    </comment>
    <comment authorId="0" ref="Q834">
      <text>
        <t xml:space="preserve">https://news.abs-cbn.com/business/multimedia/infographic/07/27/18/the-makati-subway says 197 billion PHP and $3.7 billion, and a number of other media sources mention $3.7 billion as the cost, but the more recent source mentions an underrun to $2.5 billion.
	-Alon Levy</t>
      </text>
    </comment>
    <comment authorId="0" ref="I835">
      <text>
        <t xml:space="preserve">This source says 35 km: https://business.inquirer.net/281164/p393-b-metro-manila-subway-is-project-of-the-century-for-ph
	-Alon Levy</t>
      </text>
    </comment>
    <comment authorId="0" ref="Q835">
      <text>
        <t xml:space="preserve">This source says 227,000: https://gineersnow.com/industries/train/the-metro-manila-subway-project-details
	-Alon Levy</t>
      </text>
    </comment>
    <comment authorId="0" ref="Q837">
      <text>
        <t xml:space="preserve">The project has a cost figure in dollars (paid by China) and an additional cost in rupees (paid domestically). The dollar cost is about $1.5b, agreed when the official rate was 1:100, hence the claim of 150b PKR in https://www.dawn.com/news/1436724. The rupee cost is now 33b.
	-Alon Levy</t>
      </text>
    </comment>
    <comment authorId="0" ref="I838">
      <text>
        <t xml:space="preserve">Imputed from 3 km double-track and 4.5 km single-track.</t>
      </text>
    </comment>
    <comment authorId="0" ref="AE838">
      <text>
        <t xml:space="preserve">See also https://www.railwaypro.com/wp/tbm-for-lodz-cross-city-tunnel-unveiled/.</t>
      </text>
    </comment>
    <comment authorId="0" ref="Q839">
      <text>
        <t xml:space="preserve">Including rolling stock.
	-Alon Levy</t>
      </text>
    </comment>
    <comment authorId="0" ref="Q841">
      <text>
        <t xml:space="preserve">1100 per https://www.railjournal.com/passenger/metros/warsaw-opens-3-4km-line-m2-extension/
	-Alon Levy</t>
      </text>
    </comment>
    <comment authorId="0" ref="Q843">
      <text>
        <t xml:space="preserve">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text>
    </comment>
    <comment authorId="0" ref="I847">
      <text>
        <t xml:space="preserve">Some media sources say 7.2 km.
	-Alon Levy</t>
      </text>
    </comment>
    <comment authorId="0" ref="I935">
      <text>
        <t xml:space="preserve">Source for costs says 33.</t>
      </text>
    </comment>
    <comment authorId="0" ref="Q935">
      <text>
        <t xml:space="preserve">This source says it could cost up to 10 billion, but is during construction whereas the main source is entirely ex post. https://web.archive.org/web/20111008134221/http://motoring.asiaone.com/Motoring/Motorworld/Story/A1Story20090818-161682.html</t>
      </text>
    </comment>
    <comment authorId="0" ref="Q939">
      <text>
        <t xml:space="preserve">24,549 total minus 2,645 for rolling stock.
	-Alon Levy</t>
      </text>
    </comment>
    <comment authorId="0" ref="Q940">
      <text>
        <t xml:space="preserve">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text>
    </comment>
    <comment authorId="0" ref="Q945">
      <text>
        <t xml:space="preserve">24,600 for civils + imputed 1,000/1,900 for management.
	-Alon Levy</t>
      </text>
    </comment>
    <comment authorId="0" ref="Q947">
      <text>
        <t xml:space="preserve">340 in 1996-2002, 194 in 2008-10.</t>
      </text>
    </comment>
    <comment authorId="0" ref="G978">
      <text>
        <t xml:space="preserve">Date confirmed in e.g. https://travel.taichung.gov.tw/en-us/Event/NewsDetail/5875/Taiwan-s-Most-Spacious-MRT-Train-for-the-Expected-Operating-Schedule-of-Taichung-MRT.
	-Alon Levy</t>
      </text>
    </comment>
    <comment authorId="0" ref="H979">
      <text>
        <t xml:space="preserve">This is regional rail, but the construction is simplified by use of cut-and-cover. https://www.sucoot.com/product-Tainan-Urban-District-Railway-Underground-Project-C0009-20.html
	-Alon Levy</t>
      </text>
    </comment>
    <comment authorId="0" ref="Q980">
      <text>
        <t xml:space="preserve">https://web.archive.org/web/20090601043609/http://www.edpo.dorts.gov.tw/cgi-bin/SM_theme?page=4945c9ad Says 66,700.</t>
      </text>
    </comment>
    <comment authorId="0" ref="I981">
      <text>
        <t xml:space="preserve">The cost source says 114.2 km, but at the time it was written the system only had 108.7 km; we believe the discrepancy is due to yard track.</t>
      </text>
    </comment>
    <comment authorId="0" ref="P984">
      <text>
        <t xml:space="preserve">Underground length is measured, the rest comes from the popular and trade media.
	-Alon Levy</t>
      </text>
    </comment>
    <comment authorId="0" ref="Q984">
      <text>
        <t xml:space="preserve">See also http://www.taipeitimes.com/News/taiwan/archives/2019/10/27/2003724736
	-Alon Levy</t>
      </text>
    </comment>
    <comment authorId="0" ref="Q986">
      <text>
        <t xml:space="preserve">See also https://open33.ntpc.gov.tw/loading_sanying.
	-Alon Levy</t>
      </text>
    </comment>
    <comment authorId="0" ref="S987">
      <text>
        <t xml:space="preserve">Year is skewed becaus most of the cost was the first phase, which opened 2018: https://www.railwaygazette.com/news/urban/single-view/view/tamsui-light-rail-approved.html
	-Alon Levy</t>
      </text>
    </comment>
    <comment authorId="0" ref="K988">
      <text>
        <t xml:space="preserve">By subtraction from https://topics.amcham.com.tw/2019/03/bringing-mrt-networks-to-taoyuan-and-taichung/
	-Alon Levy</t>
      </text>
    </comment>
    <comment authorId="0" ref="Q988">
      <text>
        <t xml:space="preserve">See also https://focustaiwan.tw/society/201910110007
	-Alon Levy</t>
      </text>
    </comment>
    <comment authorId="0" ref="Q990">
      <text>
        <t xml:space="preserve">Plan says 96,409: https://dorts.tycg.gov.tw/en/business/taoyuan-railway But source mentions a cost overrun.
	-Alon Levy</t>
      </text>
    </comment>
    <comment authorId="0" ref="J991">
      <text>
        <t xml:space="preserve">Approximate; imputed from station descriptions in https://www.archyde.com/the-first-phase-of-the-keelung-mrt-route-is-finalized-a-total-of-13-stations-from-badu-to-nangang-will-be-completed-as-soon-as-the-end-of-2032-politics-%E6%96%B0%E5%A4%B4%E5%A3%B3-newtalk/.</t>
      </text>
    </comment>
    <comment authorId="0" ref="Q992">
      <text>
        <t xml:space="preserve">See also https://topics.amcham.com.tw/2019/03/bringing-mrt-networks-to-taoyuan-and-taichung/
	-Alon Levy</t>
      </text>
    </comment>
    <comment authorId="0" ref="K994">
      <text>
        <t xml:space="preserve">2.4 by cut-and-cover http://metrobud.kiev.ua/main/eng/projects/works-in-progress/
	-Alon Levy</t>
      </text>
    </comment>
    <comment authorId="0" ref="Q994">
      <text>
        <t xml:space="preserve">Caution: all available cost information predates a one-year delay.
	-Alon Levy</t>
      </text>
    </comment>
    <comment authorId="0" ref="H999">
      <text>
        <t xml:space="preserve">It's in the same right-of-way as a commuter line so it can plausibly be 1 and not 0.
	-Alon Levy</t>
      </text>
    </comment>
    <comment authorId="0" ref="N999">
      <text>
        <t xml:space="preserve">Only 6 new stops, but Lechmere is rebuilt, so 7.
	-Alon Levy</t>
      </text>
    </comment>
    <comment authorId="0" ref="Q999">
      <text>
        <t xml:space="preserve">Including rolling stock, which is $118 million per https://www.railwaygazette.com/long-reads/boston-building-a-better-t/55983.article, for a total balance of 2,182.
	-Alon Levy</t>
      </text>
    </comment>
    <comment authorId="0" ref="Q1001">
      <text>
        <t xml:space="preserve">With contingency, without finance charges.</t>
      </text>
    </comment>
    <comment authorId="0" ref="Q1004">
      <text>
        <t xml:space="preserve">There is a cost overrun of unidentified size. https://la.streetsblog.org/2020/06/09/metro-purple-line-extension-section-1-difficult-tunnelling-resulting-in-cost-overruns/
	-Alon Levy</t>
      </text>
    </comment>
    <comment authorId="0" ref="Q1008">
      <text>
        <t xml:space="preserve">Many sources say $2.1 billion, which is ex ante, see e.g. mention of the cost overrun at https://observer.com/2013/12/whats-missing-from-the-no-7-line-extension/.
	-Alon Levy</t>
      </text>
    </comment>
    <comment authorId="0" ref="I1010">
      <text>
        <t xml:space="preserve">This counts both the short tunnel under the railyard in Queens and the main tunnel in Manhattan.
	-Alon Levy</t>
      </text>
    </comment>
    <comment authorId="0" ref="Q1011">
      <text>
        <t xml:space="preserve">This is without rehabilitation of the existing tunnel, $11.3 billion with. The most common cost cited is $11.1 billion without or $13 billion with, e.g. http://hudsontunnelproject.com/faq.html, but there has been an underrun.
	-Alon Levy</t>
      </text>
    </comment>
    <comment authorId="0" ref="Q1021">
      <text>
        <t xml:space="preserve">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text>
    </comment>
    <comment authorId="0" ref="T1021">
      <text>
        <t xml:space="preserve">Approximate figure; Uzbekistan has both high inflation and rapid currency depreciation.
	-Alon Levy</t>
      </text>
    </comment>
    <comment authorId="0" ref="Q1022">
      <text>
        <t xml:space="preserve">See also https://www.railtech.com/infrastructure/2019/05/31/tashkent-metro-will-be-extended-with-two-elevated-lines/, expressing the same figure in exchange rate euros. This may include rolling stock, since the Sergeli Line figure does.
	-Alon Levy</t>
      </text>
    </comment>
    <comment authorId="0" ref="Q1023">
      <text>
        <t xml:space="preserve">Source is ex medio, but ex post trade press confirms the cost in exchange rate dollars: https://www.railjournal.com/passenger/metros/hanoi-completes-construction-of-first-metro-line/
	-Alon Levy</t>
      </text>
    </comment>
    <comment authorId="0" ref="Q1024">
      <text>
        <t xml:space="preserve">Source doesn't list year, but https://vnexpress.net/thoi-su/thanh-tra-chi-ra-nhieu-vi-pham-tai-du-an-metro-1-7-ty-usd-o-ha-noi-3777287.html says 36 trillion VND in 2016.</t>
      </text>
    </comment>
    <comment authorId="0" ref="Q1025">
      <text>
        <t xml:space="preserve">47 trillion per https://e.vnexpress.net/news/news/saigon-metro-lines-cost-escalation-cleared-construction-not-to-stop-4002027.html and https://www.itourvn.com/blog/an-overview-of-ho-chi-minh-city-metro-plan
	-Alon Levy</t>
      </text>
    </comment>
    <comment authorId="0" ref="Q1027">
      <text>
        <t xml:space="preserve">See also https://www.vir.com.vn/pre-feasibility-report-of-17-billion-metro-line-5-in-ho-chi-minh-city-awaits-approval-76334.html, which mentions a very close cost in exchange-rate US dollars.
	-Alon Levy</t>
      </text>
    </comment>
    <comment authorId="0" ref="Q1035">
      <text>
        <t xml:space="preserve">Converted at UK inflation rates from from 21.5 million in 1971 prices.</t>
      </text>
    </comment>
    <comment authorId="0" ref="Q1036">
      <text>
        <t xml:space="preserve">Converted at UK inflation rates from from 70 million in 1968 prices.</t>
      </text>
    </comment>
    <comment authorId="0" ref="Q1037">
      <text>
        <t xml:space="preserve">Converted at UK inflation rates from 90 million in 1979 prices.</t>
      </text>
    </comment>
    <comment authorId="0" ref="Q1038">
      <text>
        <t xml:space="preserve">Converted at UK inflation rates from 29 million in 1977 prices.</t>
      </text>
    </comment>
    <comment authorId="0" ref="Q1039">
      <text>
        <t xml:space="preserve">Converted at UK inflation rates from 27 million in 1986 prices.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9">
      <text>
        <t xml:space="preserve">Based on projected cost plus a 200 million euro overrun on the U2 portion: https://www.derstandard.at/story/2000109597553/wiener-u-bahn-ausbau-duerfte-teurer-als-geplant-werden
	-Alon Levy</t>
      </text>
    </comment>
    <comment authorId="0" ref="P11">
      <text>
        <t xml:space="preserve">Recent media articles confirm cost and 2021 opening dates: https://infrastructuremagazine.com.au/2020/04/22/metronets-forrestfield-airport-link-reaches-milestone/, https://www.perthnow.com.au/community-news/southern-gazette/forrestfield-airport-link-project-on-track-to-open-in-2021-c-1086512
	-Alon Levy</t>
      </text>
    </comment>
    <comment authorId="0" ref="P15">
      <text>
        <t xml:space="preserve">See also https://www.thedailystar.net/bangladesh/news/physical-work-countrys-first-underground-metro-rail-likely-begin-march-2022-2112709.</t>
      </text>
    </comment>
    <comment authorId="0" ref="H16">
      <text>
        <t xml:space="preserve">This source says 20 km: https://www.thedailystar.net/frontpage/news/dhaka-metro-rail-two-more-lines-cost-tk-93800cr-1813843
	-Alon Levy</t>
      </text>
    </comment>
    <comment authorId="0" ref="F21">
      <text>
        <t xml:space="preserve">First 7.8 km opened in 2020: https://www.railwaygazette.com/operations-and-services/most-beautiful-and-cheapest-metro-line-opens-in-sofia/57242.article
	-Alon Levy</t>
      </text>
    </comment>
    <comment authorId="0" ref="M22">
      <text>
        <t xml:space="preserve">Sources disagree on 3 vs. 4 but the map clearly shows 4: https://www.metropolitan.bg/en/op-transport-extension/istoriya-razvitie-metro/line-3-sofia-metro
	-Alon Levy</t>
      </text>
    </comment>
    <comment authorId="0" ref="M26">
      <text>
        <t xml:space="preserve">Including Gávea, which is on a branch.</t>
      </text>
    </comment>
    <comment authorId="0" ref="AD26">
      <text>
        <t xml:space="preserve">P. 14.</t>
      </text>
    </comment>
    <comment authorId="0" ref="R27">
      <text>
        <t xml:space="preserve">Weighted toward the end because most actual construction happened starting 2013.
	-Alon Levy</t>
      </text>
    </comment>
    <comment authorId="0" ref="P29">
      <text>
        <t xml:space="preserve">See also https://www.bnamericas.com/en/news/brazil-metro-cost-overruns-top-us9bn1
	-Alon Levy
----
See also https://projects.worldbank.org/en/projects-operations/project-detail/P116170?lang=en, which is very close in exchange-rate dollars.
	-Alon Levy</t>
      </text>
    </comment>
    <comment authorId="0" ref="R31">
      <text>
        <t xml:space="preserve">Shifted later than the midpoint since only 15% of the project is complete as of 2019.
	-Alon Levy</t>
      </text>
    </comment>
    <comment authorId="0" ref="M32">
      <text>
        <t xml:space="preserve">Only 4 underground and 2 elevated.</t>
      </text>
    </comment>
    <comment authorId="0" ref="O33">
      <text>
        <t xml:space="preserve">See https://edmontonjournal.com/news/local-news/valley-line-southeast-lrt-tunnels-take-shape</t>
      </text>
    </comment>
    <comment authorId="0" ref="P46">
      <text>
        <t xml:space="preserve">This does not include a $330 million overrun per https://www.thestar.com/news/gta/2019/12/30/eglinton-crosstown-lrt-could-be-330-million-over-budget-and-open-seven-months-late-internal-documents-warn.html
	-Alon Levy</t>
      </text>
    </comment>
    <comment authorId="0" ref="P51">
      <text>
        <t xml:space="preserve">This includes a 30-year operating and maintenance contract; pure construction cost is somewhat lower.</t>
      </text>
    </comment>
    <comment authorId="0" ref="F52">
      <text>
        <t xml:space="preserve">A small section was delayed to 2006.</t>
      </text>
    </comment>
    <comment authorId="0" ref="P52">
      <text>
        <t xml:space="preserve">PDF-p. 55 of reference.</t>
      </text>
    </comment>
    <comment authorId="0" ref="J54">
      <text>
        <t xml:space="preserve">https://www.canadianundergroundinfrastructure.com/article/22383/tunnelling-for-vancouvers-evergreen-line-complete</t>
      </text>
    </comment>
    <comment authorId="0" ref="P59">
      <text>
        <t xml:space="preserve">Headline cost was 590 million CHF including 180 million for rolling stock.</t>
      </text>
    </comment>
    <comment authorId="0" ref="P60">
      <text>
        <t xml:space="preserve">Budget was 250 million but there was an underrun.
	-Alon Levy</t>
      </text>
    </comment>
    <comment authorId="0" ref="P62">
      <text>
        <t xml:space="preserve">See also https://revistavial.com/linea-3-del-metro-de-santiago/</t>
      </text>
    </comment>
    <comment authorId="0" ref="N559">
      <text>
        <t xml:space="preserve">Source: https://rollingstockworld.com/lrv/dynamic-testing-of-crrc-metro-trains-for-bogota-begins/</t>
      </text>
    </comment>
    <comment authorId="0" ref="I561">
      <text>
        <t xml:space="preserve">The terminus station is daylit in an otherwise entirely underground work.</t>
      </text>
    </comment>
    <comment authorId="0" ref="S563">
      <text>
        <t xml:space="preserve">This is imputed: the actual calulation converts 120 million DM in 1971 to 2021 euros and thence to 2021 dollars, and the PPP rate is given based on a retrospective US inflation rate.</t>
      </text>
    </comment>
    <comment authorId="0" ref="S564">
      <text>
        <t xml:space="preserve">This is imputed: the actual calulation converts 680 million DM in 1981 to 2021 euros and thence to 2021 dollars, and the PPP rate is given based on a retrospective US inflation rate.</t>
      </text>
    </comment>
    <comment authorId="0" ref="H565">
      <text>
        <t xml:space="preserve">Source says 4.2 km but this includes tail tracks.
	-Alon Levy</t>
      </text>
    </comment>
    <comment authorId="0" ref="P565">
      <text>
        <t xml:space="preserve">Converted (and, uniquely for this table, inflation-adjusted) from 600 million DM.
	-Alon Levy</t>
      </text>
    </comment>
    <comment authorId="0" ref="P566">
      <text>
        <t xml:space="preserve">Converted from 105 million DM.
	-Alon Levy</t>
      </text>
    </comment>
    <comment authorId="0" ref="P571">
      <text>
        <t xml:space="preserve">Converted from 344 million DM in 1965 prices.</t>
      </text>
    </comment>
    <comment authorId="0" ref="J572">
      <text>
        <t xml:space="preserve">Source says 850 m but excludes a shorter tunnel under a park, and the exact portals are easily visible on Google Earth.
	-Alon Levy</t>
      </text>
    </comment>
    <comment authorId="0" ref="H576">
      <text>
        <t xml:space="preserve">Measuring the tunnel length gives 1.9 km, which would put the cost over $400 million/km.</t>
      </text>
    </comment>
    <comment authorId="0" ref="M577">
      <text>
        <t xml:space="preserve">See https://www.hamburg.de/contentblob/12763212/9af1f73ecb661c983474ee2ef634deb6/data/20190711-u5-ost-faktenpapier.pdf.</t>
      </text>
    </comment>
    <comment authorId="0" ref="H578">
      <text>
        <t xml:space="preserve">3.4 km rail tunnel, 1.4 km road tunnel.
	-Alon Levy</t>
      </text>
    </comment>
    <comment authorId="0" ref="P578">
      <text>
        <t xml:space="preserve">Source gives a range of 1,427.3-1,487.3.
	-Alon Levy</t>
      </text>
    </comment>
    <comment authorId="0" ref="S580">
      <text>
        <t xml:space="preserve">This is imputed: the actual calulation converts 900 million DM in 1968 to 2021 euros and thence to 2021 dollars, and the PPP rate is given based on a retrospective US inflation rate.</t>
      </text>
    </comment>
    <comment authorId="0" ref="P581">
      <text>
        <t xml:space="preserve">See also media source at https://www.tz.de/muenchen/stadt/u-bahn-offensive-zwei-neue-bahnhoefe-1003587.html.</t>
      </text>
    </comment>
    <comment authorId="0" ref="H585">
      <text>
        <t xml:space="preserve">The source says 0.6 km, but the detailed plan at https://www.nuernberg.de/imperia/md/u_bahnbau/dokumente/ba_2.2_-_anliegerinformationen_flyer_final.pdf can be measured to be 2.1 km; 0.6 km is just one portion of the line.</t>
      </text>
    </comment>
    <comment authorId="0" ref="P588">
      <text>
        <t xml:space="preserve">Source states Lines 1 and 2 combined; this is imputed with Line 1 netted out.</t>
      </text>
    </comment>
    <comment authorId="0" ref="R588">
      <text>
        <t xml:space="preserve">Most of the line's length is 2A, built 2009-13, and only a minority is 2B, built 2014-18.</t>
      </text>
    </comment>
    <comment authorId="0" ref="P589">
      <text>
        <t xml:space="preserve">https://www.eluniverso.com/noticias/2019/01/30/nota/7164113/extension-metro-quito-demandara-hasta-400-millones says 2,009.
	-Alon Levy</t>
      </text>
    </comment>
    <comment authorId="0" ref="H600">
      <text>
        <t xml:space="preserve">See e.g. https://www.pedelta.com/first-elevated-station-on-barcelona-l10-metro-line-is-now-operational-n-20-en.
	-Alon Levy</t>
      </text>
    </comment>
    <comment authorId="0" ref="J600">
      <text>
        <t xml:space="preserve">See http://www.aftes.asso.fr/doc_gd_public/article_fichier/T216-315a322Barcelone.pdf
	-Alon Levy</t>
      </text>
    </comment>
    <comment authorId="0" ref="P600">
      <text>
        <t xml:space="preserve">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text>
    </comment>
    <comment authorId="0" ref="P602">
      <text>
        <t xml:space="preserve">Including rolling stock.
	-Alon Levy</t>
      </text>
    </comment>
    <comment authorId="0" ref="P603">
      <text>
        <t xml:space="preserve">Including rolling stock.
	-Alon Levy</t>
      </text>
    </comment>
    <comment authorId="0" ref="G611">
      <text>
        <t xml:space="preserve">This is regional rail, but it's an outlying regional line providing airport connection, unlike most RR lines in this table, which are in city center.
	-Alon Levy</t>
      </text>
    </comment>
    <comment authorId="0" ref="P616">
      <text>
        <t xml:space="preserve">This is ex ante, but media articles through early 2020 do not mention cost overruns, and one mentions an average cost per km in line with the original budget: https://www.brefeco.com/actualite/amenagement-infrastructures/les-pistes-du-sytral-pour-les-transports-en-commun-du-futur
	-Alon Levy</t>
      </text>
    </comment>
    <comment authorId="0" ref="AD617">
      <text>
        <t xml:space="preserve">P. 21</t>
      </text>
    </comment>
    <comment authorId="0" ref="F625">
      <text>
        <t xml:space="preserve">Tunnel to open in 2022, further surface improvement in 2024.
	-Alon Levy</t>
      </text>
    </comment>
    <comment authorId="0" ref="P625">
      <text>
        <t xml:space="preserve">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text>
    </comment>
    <comment authorId="0" ref="I626">
      <text>
        <t xml:space="preserve">Length is exact, but there is a short measured elevated segment.
	-Alon Levy</t>
      </text>
    </comment>
    <comment authorId="0" ref="P626">
      <text>
        <t xml:space="preserve">Not including 214 million for lengthening stations on the existing line. See also https://www.iledefrance-mobilites.fr/le-reseau/projets/metro-11-prolongement-mairie-des-lilas-rosny-bois-perrier
	-Alon Levy</t>
      </text>
    </comment>
    <comment authorId="0" ref="P627">
      <text>
        <t xml:space="preserve">https://www.vie-publique.fr/en-bref/277104-grand-paris-express-augmentation-des-couts says 42 billion, but without a year stated, whereas the source listed for the cost is in 2012 euros; it's likely 42 billion accounts for some inflation since 2012.</t>
      </text>
    </comment>
    <comment authorId="0" ref="H628">
      <text>
        <t xml:space="preserve">See also https://www.ratp.fr/en/groupe-ratp/metrotrains/m1-extension-val-de-fontenay
	-Alon Levy</t>
      </text>
    </comment>
    <comment authorId="0" ref="I630">
      <text>
        <t xml:space="preserve">Source has a slightly different length: https://www.ladepeche.fr/article/2017/03/07/2530341-prix-3e-ligne-metro-fait-toujours-polemique.html
	-Alon Levy</t>
      </text>
    </comment>
    <comment authorId="0" ref="P631">
      <text>
        <t xml:space="preserve">https://www.railwaypro.com/wp/metro-line-3-extension-opened-in-athens/ mentions a 343.96 million euro bid; https://www.ametro.gr/?page_id=88 says it's a 730 million euro investment.
	-Alon Levy</t>
      </text>
    </comment>
    <comment authorId="0" ref="P632">
      <text>
        <t xml:space="preserve">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text>
    </comment>
    <comment authorId="0" ref="P633">
      <text>
        <t xml:space="preserve">P. 5 of https://www.ametro.gr/wp-content/uploads/2018/08/AM_Xrimatooikonomikes_katastaseis_2017.pdf says 1,283.7 including rolling stock.
	-Alon Levy</t>
      </text>
    </comment>
    <comment authorId="0" ref="J645">
      <text>
        <t xml:space="preserve">2 km in Ap Lei Chau are on viaduct: http://personal.cityu.edu.hk/bswmwong/contents/resources/con_stud/South_Island_Line.pdf</t>
      </text>
    </comment>
    <comment authorId="0" ref="H647">
      <text>
        <t xml:space="preserve">1.3 km in service plus 500 m of overrun tracks at the other end.</t>
      </text>
    </comment>
    <comment authorId="0" ref="M647">
      <text>
        <t xml:space="preserve">There's also an at-grade infill station.</t>
      </text>
    </comment>
    <comment authorId="0" ref="J650">
      <text>
        <t xml:space="preserve">This source says 6.9 km: https://theinsiderstories.com/insight-projections-of-the-economic-benefits-of-the-jakarta-mrt-for-indonesia/
	-Alon Levy</t>
      </text>
    </comment>
    <comment authorId="0" ref="P650">
      <text>
        <t xml:space="preserve">Sources disagree on exact cost, often due to currency conversion, e.g. https://www.bloomberg.com/news/articles/2019-02-26/the-43-billion-race-to-fix-jakarta-s-choking-traffic-starts-now says $1.2b, which is in exchange rate terms 17 trillion IDR.
	-Alon Levy</t>
      </text>
    </comment>
    <comment authorId="0" ref="H651">
      <text>
        <t xml:space="preserve">Some sources say 23, of which 10 underground.
	-Alon Levy</t>
      </text>
    </comment>
    <comment authorId="0" ref="M652">
      <text>
        <t xml:space="preserve">Only 4 underground.
	-Alon Levy</t>
      </text>
    </comment>
    <comment authorId="0" ref="H656">
      <text>
        <t xml:space="preserve">https://www.metrorailnews.in/phase-2-of-namma-metro-work-is-expected-to-be-delayed-due-to-lack-of-workers/ says 72 km.
	-Alon Levy</t>
      </text>
    </comment>
    <comment authorId="0" ref="P656">
      <text>
        <t xml:space="preserve">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text>
    </comment>
    <comment authorId="0" ref="J657">
      <text>
        <t xml:space="preserve">See http://indiainframonitor.com/projects/report/53157a8997725281c497dda7
	-Alon Levy</t>
      </text>
    </comment>
    <comment authorId="0" ref="P657">
      <text>
        <t xml:space="preserve">JICA says 241,020 million INR: https://www.jica.go.jp/india/english/office/others/c8h0vm00004cesxi-att/brochure_16.pdf; India Infrastructure Report says 183,700: http://indiainframonitor.com/projects/report/53157a8997725281c497dda7
	-Alon Levy</t>
      </text>
    </comment>
    <comment authorId="0" ref="M662">
      <text>
        <t xml:space="preserve">https://themetrorailguy.com/delhi-metro-phase-4-information-map/ says 45 stations.
	-Alon Levy</t>
      </text>
    </comment>
    <comment authorId="0" ref="P662">
      <text>
        <t xml:space="preserve">See also https://economictimes.indiatimes.com/news/politics-and-nation/operational-loss-in-delhi-metro-phase-iv-project-to-be-borne-by-delhi-govt-sc/articleshow/71008680.cms
	-Alon Levy</t>
      </text>
    </comment>
    <comment authorId="0" ref="M663">
      <text>
        <t xml:space="preserve">Source has much higher total length than others: https://themetrorailguy.com/delhi-metro-phase-4-information-map/
	-Alon Levy</t>
      </text>
    </comment>
    <comment authorId="0" ref="P663">
      <text>
        <t xml:space="preserve">Obtained by subtraction from the first half ("priority corridors").
	-Alon Levy</t>
      </text>
    </comment>
    <comment authorId="0" ref="H664">
      <text>
        <t xml:space="preserve">Source says 5.1 km.
	-Alon Levy</t>
      </text>
    </comment>
    <comment authorId="0" ref="H665">
      <text>
        <t xml:space="preserve">Source says 6.6 km but also says the the phase 1 length is 5.1 km and not 5.5.
	-Alon Levy</t>
      </text>
    </comment>
    <comment authorId="0" ref="P666">
      <text>
        <t xml:space="preserve">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text>
    </comment>
    <comment authorId="0" ref="F668">
      <text>
        <t xml:space="preserve">Most of the line, Phase 1A, opened in 2015.</t>
      </text>
    </comment>
    <comment authorId="0" ref="M671">
      <text>
        <t xml:space="preserve">TMTG claims 23 and lists 22. https://themetrorailguy.com/lucknow-metro-information-map-updates/</t>
      </text>
    </comment>
    <comment authorId="0" ref="H672">
      <text>
        <t xml:space="preserve">Wikipedia says 19.5 km.
	-Alon Levy</t>
      </text>
    </comment>
    <comment authorId="0" ref="P672">
      <text>
        <t xml:space="preserve">This source says 24,600: https://mmrda.maharashtra.gov.in/mumbai-monorail-project#
	-Alon Levy</t>
      </text>
    </comment>
    <comment authorId="0" ref="H673">
      <text>
        <t xml:space="preserve">https://www.makaan.com/iq/news-views/mumbai-metro-line-2a-to-get-operational-by-2020 says 18 km.
	-Alon Levy</t>
      </text>
    </comment>
    <comment authorId="0" ref="P675">
      <text>
        <t xml:space="preserve">See https://www.metrorailnews.in/tunneling-work-on-mumbai-metro-line-3-likely-to-complete-by-2021/
	-Alon Levy</t>
      </text>
    </comment>
    <comment authorId="0" ref="P676">
      <text>
        <t xml:space="preserve">This source says 66,720, presumably in year of expenditure rupees: https://www.livemint.com/Politics/Z1VWUGDGga5lJjdm8llzKI/Mumbai-Metros-corridor-5-and-6-gets-Maharashtra-cabinet-ap.html
	-Alon Levy</t>
      </text>
    </comment>
    <comment authorId="0" ref="P679">
      <text>
        <t xml:space="preserve">Per https://indianexpress.com/article/cities/mumbai/mumbai-work-on-second-underground-metro-line-7a-begins-6301335/ this is the cost of Line 7A, but it's really the cost of 7A and 9 bundled together.
	-Alon Levy</t>
      </text>
    </comment>
    <comment authorId="0" ref="P680">
      <text>
        <t xml:space="preserve">Including state taxes.
	-Alon Levy</t>
      </text>
    </comment>
    <comment authorId="0" ref="F681">
      <text>
        <t xml:space="preserve">https://www.mumbailive.com/en/infrastructure/mmrda-tenders-currently-open-for-metro-line-5-7a-and-9-general-consultants-45660
	-Alon Levy</t>
      </text>
    </comment>
    <comment authorId="0" ref="M682">
      <text>
        <t xml:space="preserve">All elevated
	-Alon Levy</t>
      </text>
    </comment>
    <comment authorId="0" ref="P682">
      <text>
        <t xml:space="preserve">44,760 in YOE rupees, mentioned e.g. at https://www.makaan.com/iq/news-views/all-about-mumbai-metro-line-10-11-and-12 and https://timesofindia.indiatimes.com/city/mumbai/mmrda-jurisdiction-to-expand-mumbai-metro-operations-corp-to-be-set-up/articleshow/66740043.cms
	-Alon Levy</t>
      </text>
    </comment>
    <comment authorId="0" ref="P683">
      <text>
        <t xml:space="preserve">87,390 in YOE rupees.
	-Alon Levy</t>
      </text>
    </comment>
    <comment authorId="0" ref="P684">
      <text>
        <t xml:space="preserve">58,650 in YOE rupees.
	-Alon Levy</t>
      </text>
    </comment>
    <comment authorId="0" ref="P685">
      <text>
        <t xml:space="preserve">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text>
    </comment>
    <comment authorId="0" ref="R685">
      <text>
        <t xml:space="preserve">Source for year: https://timesofindia.indiatimes.com/city/nagpur/mahametro-saves-rs1850cr-in-nagpur-metro-phase-ii/articleshow/67371648.cms
	-Alon Levy</t>
      </text>
    </comment>
    <comment authorId="0" ref="H686">
      <text>
        <t xml:space="preserve">See http://www.metrorailnagpur.com/projectprofile.aspx - but the media source says 48.3.
	-Alon Levy</t>
      </text>
    </comment>
    <comment authorId="0" ref="M691">
      <text>
        <t xml:space="preserve">Source says 10, but there are 11 stations listed on Wikipedia.
	-Alon Levy</t>
      </text>
    </comment>
    <comment authorId="0" ref="P692">
      <text>
        <t xml:space="preserve">With 30 trillion rial overrun per https://financialtribune.com/articles/people/98165/tehran-subway-expansion-to-require-over-470-million.
	-Alon Levy</t>
      </text>
    </comment>
    <comment authorId="0" ref="P693">
      <text>
        <t xml:space="preserve">65 trillion initial plus 18 trillion cost overrun and another 7 in https://financialtribune.com/articles/people/98165/tehran-subway-expansion-to-require-over-470-million.
	-Alon Levy</t>
      </text>
    </comment>
    <comment authorId="0" ref="P694">
      <text>
        <t xml:space="preserve">bresciamobilita.albofornitori.net/tender/documenti/2963/29812001d52fb08abe1458b8021df147f6f77079.pdf says 792.4 million in 2015 euros.</t>
      </text>
    </comment>
    <comment authorId="0" ref="P711">
      <text>
        <t xml:space="preserve">Reference says 1,943.8 but includes rolling stock, which per an older report before a cost overrun was 247.2: https://www.metro4milano.it/wordpress/wp-content/uploads/2016/09/2016.05.27-CdM-Integraz-relaz-tecnico-economica-Allegati.xlsx.pdf
	-Alon Levy</t>
      </text>
    </comment>
    <comment authorId="0" ref="O725">
      <text>
        <t xml:space="preserve">https://cdn.archilovers.com/projects/5370707e-978f-4bac-a28a-e982705a6034.pdf
	-Alon Levy</t>
      </text>
    </comment>
    <comment authorId="0" ref="AD729">
      <text>
        <t xml:space="preserve">P. 23 of the PDF.</t>
      </text>
    </comment>
    <comment authorId="0" ref="M730">
      <text>
        <t xml:space="preserve">The line has 14 stations but the cost excludes them.
	-Alon Levy</t>
      </text>
    </comment>
    <comment authorId="0" ref="P736">
      <text>
        <t xml:space="preserve">See also https://www.jttri.or.jp/seminar200212-35.pdf
	-Alon Levy</t>
      </text>
    </comment>
    <comment authorId="0" ref="P739">
      <text>
        <t xml:space="preserve">See also paywall-free official source at https://www.jreast.co.jp/e/investor/ar/2010/pdf/ar_2010_08.pdf, PDF-p. 3.
	-Alon Levy</t>
      </text>
    </comment>
    <comment authorId="0" ref="I741">
      <text>
        <t xml:space="preserve">Figure is approximate - there's a bit of elevated running at both ends, though both new stations (Shin-Yokohama, Shin-Tsunashima) are underground.
	-Alon Levy</t>
      </text>
    </comment>
    <comment authorId="0" ref="P741">
      <text>
        <t xml:space="preserve">Source says 402.2 billion across this project and the JR line, the figure 290.8 billion is by subtraction.
	-Alon Levy</t>
      </text>
    </comment>
    <comment authorId="0" ref="I744">
      <text>
        <t xml:space="preserve">Underground % is based on looking at satellite images and Wikipedia claiming all new stations are underground.
	-Alon Levy</t>
      </text>
    </comment>
    <comment authorId="0" ref="P747">
      <text>
        <t xml:space="preserve">This source says 1.69 trillion (https://shinbundang.co.kr/eng/index.jsp?pageID=/eng/intro/intro2_6.jsp&amp;open_main=4&amp;open_sub1=1&amp;open_sub2=6), not 1.169, but given how many sources say 1.169, it looks like a typo.
	-Alon Levy</t>
      </text>
    </comment>
    <comment authorId="0" ref="P749">
      <text>
        <t xml:space="preserve">This is the cost across a few different sources, e.g. https://centers.ibs.re.kr/html/living_en/transport/KSP%2011%20Korea%C2%B4s%20Railway%20PPP%20Projects.pdf, but https://www.donga.com/news/article/all/20110216/34857594/1 claims 1.5343 trilion, which could be a 2006 won vs. YOE won difference.
	-Alon Levy</t>
      </text>
    </comment>
    <comment authorId="0" ref="P750">
      <text>
        <t xml:space="preserve">See also https://www.railwaygazette.com/projects-and-planning/driverless-metro-to-gimpo-airport-inaugurated/54726.article
	-Alon Levy</t>
      </text>
    </comment>
    <comment authorId="0" ref="P766">
      <text>
        <t xml:space="preserve">See also https://www.nst.com.my/news/2016/12/197743/mrt-corp-says-rafizi-got-it-wrong-rm21bil-both-phase-1-and-2-sbk-line and https://www.malaymail.com/news/malaysia/2017/07/24/najib-mrt-a-success-story-built-at-reasonable-cost/1427789
	-Alon Levy</t>
      </text>
    </comment>
    <comment authorId="0" ref="H770">
      <text>
        <t xml:space="preserve">See https://www.oslo.kommune.no/slik-bygger-vi-oslo/fornebubanen/ but note that the cost figure there is outdated.</t>
      </text>
    </comment>
    <comment authorId="0" ref="P772">
      <text>
        <t xml:space="preserve">The official site says 1,880 from the year before opening: https://www.elmetrodepanama.com/los-costos-de-la-construccion-de-la-primera-etapa-de-la-linea-1-del-metro-se-mantienen-en-el-monto-original-de-1-880-millones/; this source says 2,139: https://www.laestrella.com.pa/nacional/150405/ano-linea-metro
	-Alon Levy</t>
      </text>
    </comment>
    <comment authorId="0" ref="H775">
      <text>
        <t xml:space="preserve">The line is to be 27 km but the construction project is 35 km including a segment to be turned over to Line 4 in the future: https://www.railwaygazette.com/lima-metro-line-2-concession-awarded/39351.article
	-Alon Levy</t>
      </text>
    </comment>
    <comment authorId="0" ref="P775">
      <text>
        <t xml:space="preserve">Including rolling stock, consisting of 42 120 meter long vehicles, which typically cost around $500 million.
	-Alon Levy</t>
      </text>
    </comment>
    <comment authorId="0" ref="P776">
      <text>
        <t xml:space="preserve">63 billion and 9 stations per https://www.philstar.com/business/2020/01/17/1985356/mrt-7-construction-halfway-complete
	-Alon Levy</t>
      </text>
    </comment>
    <comment authorId="0" ref="P777">
      <text>
        <t xml:space="preserve">https://news.abs-cbn.com/business/multimedia/infographic/07/27/18/the-makati-subway says 197 billion PHP and $3.7 billion, and a number of other media sources mention $3.7 billion as the cost, but the more recent source mentions an underrun to $2.5 billion.
	-Alon Levy</t>
      </text>
    </comment>
    <comment authorId="0" ref="H778">
      <text>
        <t xml:space="preserve">This source says 35 km: https://business.inquirer.net/281164/p393-b-metro-manila-subway-is-project-of-the-century-for-ph
	-Alon Levy</t>
      </text>
    </comment>
    <comment authorId="0" ref="P778">
      <text>
        <t xml:space="preserve">This source says 227,000: https://gineersnow.com/industries/train/the-metro-manila-subway-project-details
	-Alon Levy</t>
      </text>
    </comment>
    <comment authorId="0" ref="P780">
      <text>
        <t xml:space="preserve">The project has a cost figure in dollars (paid by China) and an additional cost in rupees (paid domestically). The dollar cost is about $1.5b, agreed when the official rate was 1:100, hence the claim of 150b PKR in https://www.dawn.com/news/1436724. The rupee cost is now 33b.
	-Alon Levy</t>
      </text>
    </comment>
    <comment authorId="0" ref="H781">
      <text>
        <t xml:space="preserve">Imputed from 3 km double-track and 4.5 km single-track.</t>
      </text>
    </comment>
    <comment authorId="0" ref="AD781">
      <text>
        <t xml:space="preserve">See also https://www.railwaypro.com/wp/tbm-for-lodz-cross-city-tunnel-unveiled/.</t>
      </text>
    </comment>
    <comment authorId="0" ref="P782">
      <text>
        <t xml:space="preserve">Including rolling stock.
	-Alon Levy</t>
      </text>
    </comment>
    <comment authorId="0" ref="P784">
      <text>
        <t xml:space="preserve">1100 per https://www.railjournal.com/passenger/metros/warsaw-opens-3-4km-line-m2-extension/
	-Alon Levy</t>
      </text>
    </comment>
    <comment authorId="0" ref="P786">
      <text>
        <t xml:space="preserve">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text>
    </comment>
    <comment authorId="0" ref="H790">
      <text>
        <t xml:space="preserve">Some media sources say 7.2 km.
	-Alon Levy</t>
      </text>
    </comment>
    <comment authorId="0" ref="H863">
      <text>
        <t xml:space="preserve">Source for costs says 33.</t>
      </text>
    </comment>
    <comment authorId="0" ref="P863">
      <text>
        <t xml:space="preserve">This source says it could cost up to 10 billion, but is during construction whereas the main source is entirely ex post. https://web.archive.org/web/20111008134221/http://motoring.asiaone.com/Motoring/Motorworld/Story/A1Story20090818-161682.html</t>
      </text>
    </comment>
    <comment authorId="0" ref="P867">
      <text>
        <t xml:space="preserve">24,549 total minus 2,645 for rolling stock.
	-Alon Levy</t>
      </text>
    </comment>
    <comment authorId="0" ref="P868">
      <text>
        <t xml:space="preserve">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text>
    </comment>
    <comment authorId="0" ref="P873">
      <text>
        <t xml:space="preserve">24,600 for civils + imputed 1,000/1,900 for management.
	-Alon Levy</t>
      </text>
    </comment>
    <comment authorId="0" ref="P875">
      <text>
        <t xml:space="preserve">340 in 1996-2002, 194 in 2008-10.</t>
      </text>
    </comment>
    <comment authorId="0" ref="F906">
      <text>
        <t xml:space="preserve">Date confirmed in e.g. https://travel.taichung.gov.tw/en-us/Event/NewsDetail/5875/Taiwan-s-Most-Spacious-MRT-Train-for-the-Expected-Operating-Schedule-of-Taichung-MRT.
	-Alon Levy</t>
      </text>
    </comment>
    <comment authorId="0" ref="G907">
      <text>
        <t xml:space="preserve">This is regional rail, but the construction is simplified by use of cut-and-cover. https://www.sucoot.com/product-Tainan-Urban-District-Railway-Underground-Project-C0009-20.html
	-Alon Levy</t>
      </text>
    </comment>
    <comment authorId="0" ref="P908">
      <text>
        <t xml:space="preserve">https://web.archive.org/web/20090601043609/http://www.edpo.dorts.gov.tw/cgi-bin/SM_theme?page=4945c9ad Says 66,700.</t>
      </text>
    </comment>
    <comment authorId="0" ref="H909">
      <text>
        <t xml:space="preserve">The cost source says 114.2 km, but at the time it was written the system only had 108.7 km; we believe the discrepancy is due to yard track.</t>
      </text>
    </comment>
    <comment authorId="0" ref="O912">
      <text>
        <t xml:space="preserve">Underground length is measured, the rest comes from the popular and trade media.
	-Alon Levy</t>
      </text>
    </comment>
    <comment authorId="0" ref="P912">
      <text>
        <t xml:space="preserve">See also http://www.taipeitimes.com/News/taiwan/archives/2019/10/27/2003724736
	-Alon Levy</t>
      </text>
    </comment>
    <comment authorId="0" ref="P914">
      <text>
        <t xml:space="preserve">See also https://open33.ntpc.gov.tw/loading_sanying.
	-Alon Levy</t>
      </text>
    </comment>
    <comment authorId="0" ref="R915">
      <text>
        <t xml:space="preserve">Year is skewed becaus most of the cost was the first phase, which opened 2018: https://www.railwaygazette.com/news/urban/single-view/view/tamsui-light-rail-approved.html
	-Alon Levy</t>
      </text>
    </comment>
    <comment authorId="0" ref="J916">
      <text>
        <t xml:space="preserve">By subtraction from https://topics.amcham.com.tw/2019/03/bringing-mrt-networks-to-taoyuan-and-taichung/
	-Alon Levy</t>
      </text>
    </comment>
    <comment authorId="0" ref="P916">
      <text>
        <t xml:space="preserve">See also https://focustaiwan.tw/society/201910110007
	-Alon Levy</t>
      </text>
    </comment>
    <comment authorId="0" ref="P918">
      <text>
        <t xml:space="preserve">Plan says 96,409: https://dorts.tycg.gov.tw/en/business/taoyuan-railway But source mentions a cost overrun.
	-Alon Levy</t>
      </text>
    </comment>
    <comment authorId="0" ref="I919">
      <text>
        <t xml:space="preserve">Approximate; imputed from station descriptions in https://www.archyde.com/the-first-phase-of-the-keelung-mrt-route-is-finalized-a-total-of-13-stations-from-badu-to-nangang-will-be-completed-as-soon-as-the-end-of-2032-politics-%E6%96%B0%E5%A4%B4%E5%A3%B3-newtalk/.</t>
      </text>
    </comment>
    <comment authorId="0" ref="P920">
      <text>
        <t xml:space="preserve">See also https://topics.amcham.com.tw/2019/03/bringing-mrt-networks-to-taoyuan-and-taichung/
	-Alon Levy</t>
      </text>
    </comment>
    <comment authorId="0" ref="J922">
      <text>
        <t xml:space="preserve">2.4 by cut-and-cover http://metrobud.kiev.ua/main/eng/projects/works-in-progress/
	-Alon Levy</t>
      </text>
    </comment>
    <comment authorId="0" ref="P922">
      <text>
        <t xml:space="preserve">Caution: all available cost information predates a one-year delay.
	-Alon Levy</t>
      </text>
    </comment>
    <comment authorId="0" ref="G927">
      <text>
        <t xml:space="preserve">It's in the same right-of-way as a commuter line so it can plausibly be 1 and not 0.
	-Alon Levy</t>
      </text>
    </comment>
    <comment authorId="0" ref="M927">
      <text>
        <t xml:space="preserve">Only 6 new stops, but Lechmere is rebuilt, so 7.
	-Alon Levy</t>
      </text>
    </comment>
    <comment authorId="0" ref="P927">
      <text>
        <t xml:space="preserve">Including rolling stock, which is $118 million per https://www.railwaygazette.com/long-reads/boston-building-a-better-t/55983.article, for a total balance of 2,182.
	-Alon Levy</t>
      </text>
    </comment>
    <comment authorId="0" ref="P929">
      <text>
        <t xml:space="preserve">With contingency, without finance charges.</t>
      </text>
    </comment>
    <comment authorId="0" ref="P932">
      <text>
        <t xml:space="preserve">There is a cost overrun of unidentified size. https://la.streetsblog.org/2020/06/09/metro-purple-line-extension-section-1-difficult-tunnelling-resulting-in-cost-overruns/
	-Alon Levy</t>
      </text>
    </comment>
    <comment authorId="0" ref="P936">
      <text>
        <t xml:space="preserve">Many sources say $2.1 billion, which is ex ante, see e.g. mention of the cost overrun at https://observer.com/2013/12/whats-missing-from-the-no-7-line-extension/.
	-Alon Levy</t>
      </text>
    </comment>
    <comment authorId="0" ref="H938">
      <text>
        <t xml:space="preserve">This counts both the short tunnel under the railyard in Queens and the main tunnel in Manhattan.
	-Alon Levy</t>
      </text>
    </comment>
    <comment authorId="0" ref="P939">
      <text>
        <t xml:space="preserve">This is without rehabilitation of the existing tunnel, $11.3 billion with. The most common cost cited is $11.1 billion without or $13 billion with, e.g. http://hudsontunnelproject.com/faq.html, but there has been an underrun.
	-Alon Levy</t>
      </text>
    </comment>
    <comment authorId="0" ref="P948">
      <text>
        <t xml:space="preserve">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text>
    </comment>
    <comment authorId="0" ref="S948">
      <text>
        <t xml:space="preserve">Approximate figure; Uzbekistan has both high inflation and rapid currency depreciation.
	-Alon Levy</t>
      </text>
    </comment>
    <comment authorId="0" ref="P949">
      <text>
        <t xml:space="preserve">See also https://www.railtech.com/infrastructure/2019/05/31/tashkent-metro-will-be-extended-with-two-elevated-lines/, expressing the same figure in exchange rate euros. This may include rolling stock, since the Sergeli Line figure does.
	-Alon Levy</t>
      </text>
    </comment>
    <comment authorId="0" ref="P950">
      <text>
        <t xml:space="preserve">Source is ex medio, but ex post trade press confirms the cost in exchange rate dollars: https://www.railjournal.com/passenger/metros/hanoi-completes-construction-of-first-metro-line/
	-Alon Levy</t>
      </text>
    </comment>
    <comment authorId="0" ref="P951">
      <text>
        <t xml:space="preserve">Source doesn't list year, but https://vnexpress.net/thoi-su/thanh-tra-chi-ra-nhieu-vi-pham-tai-du-an-metro-1-7-ty-usd-o-ha-noi-3777287.html says 36 trillion VND in 2016.</t>
      </text>
    </comment>
    <comment authorId="0" ref="P952">
      <text>
        <t xml:space="preserve">47 trillion per https://e.vnexpress.net/news/news/saigon-metro-lines-cost-escalation-cleared-construction-not-to-stop-4002027.html and https://www.itourvn.com/blog/an-overview-of-ho-chi-minh-city-metro-plan
	-Alon Levy</t>
      </text>
    </comment>
    <comment authorId="0" ref="P954">
      <text>
        <t xml:space="preserve">See also https://www.vir.com.vn/pre-feasibility-report-of-17-billion-metro-line-5-in-ho-chi-minh-city-awaits-approval-76334.html, which mentions a very close cost in exchange-rate US dollars.
	-Alon Levy</t>
      </text>
    </comment>
    <comment authorId="0" ref="P962">
      <text>
        <t xml:space="preserve">Converted at UK inflation rates from from 21.5 million in 1971 prices.</t>
      </text>
    </comment>
    <comment authorId="0" ref="P963">
      <text>
        <t xml:space="preserve">Converted at UK inflation rates from from 70 million in 1968 prices.</t>
      </text>
    </comment>
    <comment authorId="0" ref="P964">
      <text>
        <t xml:space="preserve">Converted at UK inflation rates from 90 million in 1979 prices.</t>
      </text>
    </comment>
    <comment authorId="0" ref="P965">
      <text>
        <t xml:space="preserve">Converted at UK inflation rates from 29 million in 1977 prices.</t>
      </text>
    </comment>
    <comment authorId="0" ref="P966">
      <text>
        <t xml:space="preserve">Converted at UK inflation rates from 27 million in 1986 prices.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9">
      <text>
        <t xml:space="preserve">Based on projected cost plus a 200 million euro overrun on the U2 portion: https://www.derstandard.at/story/2000109597553/wiener-u-bahn-ausbau-duerfte-teurer-als-geplant-werden
	-Alon Levy</t>
      </text>
    </comment>
    <comment authorId="0" ref="Q11">
      <text>
        <t xml:space="preserve">Recent media articles confirm cost and 2021 opening dates: https://infrastructuremagazine.com.au/2020/04/22/metronets-forrestfield-airport-link-reaches-milestone/, https://www.perthnow.com.au/community-news/southern-gazette/forrestfield-airport-link-project-on-track-to-open-in-2021-c-1086512
	-Alon Levy</t>
      </text>
    </comment>
    <comment authorId="0" ref="Q15">
      <text>
        <t xml:space="preserve">See also https://www.thedailystar.net/bangladesh/news/physical-work-countrys-first-underground-metro-rail-likely-begin-march-2022-2112709.</t>
      </text>
    </comment>
    <comment authorId="0" ref="I16">
      <text>
        <t xml:space="preserve">This source says 20 km: https://www.thedailystar.net/frontpage/news/dhaka-metro-rail-two-more-lines-cost-tk-93800cr-1813843
	-Alon Levy</t>
      </text>
    </comment>
    <comment authorId="0" ref="G21">
      <text>
        <t xml:space="preserve">First 7.8 km opened in 2020: https://www.railwaygazette.com/operations-and-services/most-beautiful-and-cheapest-metro-line-opens-in-sofia/57242.article
	-Alon Levy</t>
      </text>
    </comment>
    <comment authorId="0" ref="N22">
      <text>
        <t xml:space="preserve">Sources disagree on 3 vs. 4 but the map clearly shows 4: https://www.metropolitan.bg/en/op-transport-extension/istoriya-razvitie-metro/line-3-sofia-metro
	-Alon Levy</t>
      </text>
    </comment>
    <comment authorId="0" ref="N26">
      <text>
        <t xml:space="preserve">Including Gávea, which is on a branch.</t>
      </text>
    </comment>
    <comment authorId="0" ref="S27">
      <text>
        <t xml:space="preserve">Weighted toward the end because most actual construction happened starting 2013.
	-Alon Levy</t>
      </text>
    </comment>
    <comment authorId="0" ref="Q29">
      <text>
        <t xml:space="preserve">See also https://www.bnamericas.com/en/news/brazil-metro-cost-overruns-top-us9bn1
	-Alon Levy
----
See also https://projects.worldbank.org/en/projects-operations/project-detail/P116170?lang=en, which is very close in exchange-rate dollars.
	-Alon Levy</t>
      </text>
    </comment>
    <comment authorId="0" ref="S31">
      <text>
        <t xml:space="preserve">Shifted later than the midpoint since only 15% of the project is complete as of 2019.
	-Alon Levy</t>
      </text>
    </comment>
    <comment authorId="0" ref="N32">
      <text>
        <t xml:space="preserve">Only 4 underground and 2 elevated.</t>
      </text>
    </comment>
    <comment authorId="0" ref="P33">
      <text>
        <t xml:space="preserve">See https://edmontonjournal.com/news/local-news/valley-line-southeast-lrt-tunnels-take-shape</t>
      </text>
    </comment>
    <comment authorId="0" ref="Q47">
      <text>
        <t xml:space="preserve">This does not include a $330 million overrun per https://www.thestar.com/news/gta/2019/12/30/eglinton-crosstown-lrt-could-be-330-million-over-budget-and-open-seven-months-late-internal-documents-warn.html
	-Alon Levy</t>
      </text>
    </comment>
    <comment authorId="0" ref="Q52">
      <text>
        <t xml:space="preserve">This includes a 30-year operating and maintenance contract; pure construction cost is somewhat lower.</t>
      </text>
    </comment>
    <comment authorId="0" ref="G53">
      <text>
        <t xml:space="preserve">A small section was delayed to 2006.</t>
      </text>
    </comment>
    <comment authorId="0" ref="Q53">
      <text>
        <t xml:space="preserve">PDF-p. 55 of reference.</t>
      </text>
    </comment>
    <comment authorId="0" ref="K55">
      <text>
        <t xml:space="preserve">https://www.canadianundergroundinfrastructure.com/article/22383/tunnelling-for-vancouvers-evergreen-line-complete</t>
      </text>
    </comment>
    <comment authorId="0" ref="Q60">
      <text>
        <t xml:space="preserve">Headline cost was 590 million CHF including 180 million for rolling stock.</t>
      </text>
    </comment>
    <comment authorId="0" ref="Q61">
      <text>
        <t xml:space="preserve">Budget was 250 million but there was an underrun.
	-Alon Levy</t>
      </text>
    </comment>
    <comment authorId="0" ref="Q63">
      <text>
        <t xml:space="preserve">See also https://revistavial.com/linea-3-del-metro-de-santiago/</t>
      </text>
    </comment>
    <comment authorId="0" ref="O560">
      <text>
        <t xml:space="preserve">Source: https://rollingstockworld.com/lrv/dynamic-testing-of-crrc-metro-trains-for-bogota-begins/</t>
      </text>
    </comment>
    <comment authorId="0" ref="J562">
      <text>
        <t xml:space="preserve">The terminus station is daylit in an otherwise entirely underground work.</t>
      </text>
    </comment>
    <comment authorId="0" ref="T564">
      <text>
        <t xml:space="preserve">This is imputed: the actual calulation converts 120 million DM in 1971 to 2021 euros and thence to 2021 dollars, and the PPP rate is given based on a retrospective US inflation rate.</t>
      </text>
    </comment>
    <comment authorId="0" ref="T565">
      <text>
        <t xml:space="preserve">This is imputed: the actual calulation converts 680 million DM in 1981 to 2021 euros and thence to 2021 dollars, and the PPP rate is given based on a retrospective US inflation rate.</t>
      </text>
    </comment>
    <comment authorId="0" ref="I566">
      <text>
        <t xml:space="preserve">Source says 4.2 km but this includes tail tracks.
	-Alon Levy</t>
      </text>
    </comment>
    <comment authorId="0" ref="Q566">
      <text>
        <t xml:space="preserve">Converted (and, uniquely for this table, inflation-adjusted) from 600 million DM.
	-Alon Levy</t>
      </text>
    </comment>
    <comment authorId="0" ref="Q567">
      <text>
        <t xml:space="preserve">Converted from 105 million DM.
	-Alon Levy</t>
      </text>
    </comment>
    <comment authorId="0" ref="Q572">
      <text>
        <t xml:space="preserve">Converted from 344 million DM in 1965 prices.</t>
      </text>
    </comment>
    <comment authorId="0" ref="K573">
      <text>
        <t xml:space="preserve">Source says 850 m but excludes a shorter tunnel under a park, and the exact portals are easily visible on Google Earth.
	-Alon Levy</t>
      </text>
    </comment>
    <comment authorId="0" ref="I577">
      <text>
        <t xml:space="preserve">Measuring the tunnel length gives 1.9 km, which would put the cost over $400 million/km.</t>
      </text>
    </comment>
    <comment authorId="0" ref="N578">
      <text>
        <t xml:space="preserve">See https://www.hamburg.de/contentblob/12763212/9af1f73ecb661c983474ee2ef634deb6/data/20190711-u5-ost-faktenpapier.pdf.</t>
      </text>
    </comment>
    <comment authorId="0" ref="I579">
      <text>
        <t xml:space="preserve">3.4 km rail tunnel, 1.4 km road tunnel.
	-Alon Levy</t>
      </text>
    </comment>
    <comment authorId="0" ref="Q579">
      <text>
        <t xml:space="preserve">Source gives a range of 1,427.3-1,487.3.
	-Alon Levy</t>
      </text>
    </comment>
    <comment authorId="0" ref="T581">
      <text>
        <t xml:space="preserve">This is imputed: the actual calulation converts 900 million DM in 1968 to 2021 euros and thence to 2021 dollars, and the PPP rate is given based on a retrospective US inflation rate.</t>
      </text>
    </comment>
    <comment authorId="0" ref="Q582">
      <text>
        <t xml:space="preserve">See also media source at https://www.tz.de/muenchen/stadt/u-bahn-offensive-zwei-neue-bahnhoefe-1003587.html.</t>
      </text>
    </comment>
    <comment authorId="0" ref="I586">
      <text>
        <t xml:space="preserve">The source says 0.6 km, but the detailed plan at https://www.nuernberg.de/imperia/md/u_bahnbau/dokumente/ba_2.2_-_anliegerinformationen_flyer_final.pdf can be measured to be 2.1 km; 0.6 km is just one portion of the line.</t>
      </text>
    </comment>
    <comment authorId="0" ref="Q589">
      <text>
        <t xml:space="preserve">Source states Lines 1 and 2 combined; this is imputed with Line 1 netted out.</t>
      </text>
    </comment>
    <comment authorId="0" ref="S589">
      <text>
        <t xml:space="preserve">Most of the line's length is 2A, built 2009-13, and only a minority is 2B, built 2014-18.</t>
      </text>
    </comment>
    <comment authorId="0" ref="Q590">
      <text>
        <t xml:space="preserve">https://www.eluniverso.com/noticias/2019/01/30/nota/7164113/extension-metro-quito-demandara-hasta-400-millones says 2,009.
	-Alon Levy</t>
      </text>
    </comment>
    <comment authorId="0" ref="I601">
      <text>
        <t xml:space="preserve">See e.g. https://www.pedelta.com/first-elevated-station-on-barcelona-l10-metro-line-is-now-operational-n-20-en.
	-Alon Levy</t>
      </text>
    </comment>
    <comment authorId="0" ref="K601">
      <text>
        <t xml:space="preserve">See http://www.aftes.asso.fr/doc_gd_public/article_fichier/T216-315a322Barcelone.pdf
	-Alon Levy</t>
      </text>
    </comment>
    <comment authorId="0" ref="Q601">
      <text>
        <t xml:space="preserve">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text>
    </comment>
    <comment authorId="0" ref="Q603">
      <text>
        <t xml:space="preserve">Including rolling stock.
	-Alon Levy</t>
      </text>
    </comment>
    <comment authorId="0" ref="Q604">
      <text>
        <t xml:space="preserve">Including rolling stock.
	-Alon Levy</t>
      </text>
    </comment>
    <comment authorId="0" ref="H612">
      <text>
        <t xml:space="preserve">This is regional rail, but it's an outlying regional line providing airport connection, unlike most RR lines in this table, which are in city center.
	-Alon Levy</t>
      </text>
    </comment>
    <comment authorId="0" ref="Q617">
      <text>
        <t xml:space="preserve">This is ex ante, but media articles through early 2020 do not mention cost overruns, and one mentions an average cost per km in line with the original budget: https://www.brefeco.com/actualite/amenagement-infrastructures/les-pistes-du-sytral-pour-les-transports-en-commun-du-futur
	-Alon Levy</t>
      </text>
    </comment>
    <comment authorId="0" ref="G626">
      <text>
        <t xml:space="preserve">Tunnel to open in 2022, further surface improvement in 2024.
	-Alon Levy</t>
      </text>
    </comment>
    <comment authorId="0" ref="Q626">
      <text>
        <t xml:space="preserve">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text>
    </comment>
    <comment authorId="0" ref="J627">
      <text>
        <t xml:space="preserve">Length is exact, but there is a short measured elevated segment.
	-Alon Levy</t>
      </text>
    </comment>
    <comment authorId="0" ref="Q627">
      <text>
        <t xml:space="preserve">Not including 214 million for lengthening stations on the existing line. See also https://www.iledefrance-mobilites.fr/le-reseau/projets/metro-11-prolongement-mairie-des-lilas-rosny-bois-perrier
	-Alon Levy</t>
      </text>
    </comment>
    <comment authorId="0" ref="Q628">
      <text>
        <t xml:space="preserve">https://www.vie-publique.fr/en-bref/277104-grand-paris-express-augmentation-des-couts says 42 billion, but without a year stated, whereas the source listed for the cost is in 2012 euros; it's likely 42 billion accounts for some inflation since 2012.</t>
      </text>
    </comment>
    <comment authorId="0" ref="I629">
      <text>
        <t xml:space="preserve">See also https://www.ratp.fr/en/groupe-ratp/metrotrains/m1-extension-val-de-fontenay
	-Alon Levy</t>
      </text>
    </comment>
    <comment authorId="0" ref="J631">
      <text>
        <t xml:space="preserve">Source has a slightly different length: https://www.ladepeche.fr/article/2017/03/07/2530341-prix-3e-ligne-metro-fait-toujours-polemique.html
	-Alon Levy</t>
      </text>
    </comment>
    <comment authorId="0" ref="Q632">
      <text>
        <t xml:space="preserve">https://www.railwaypro.com/wp/metro-line-3-extension-opened-in-athens/ mentions a 343.96 million euro bid; https://www.ametro.gr/?page_id=88 says it's a 730 million euro investment.
	-Alon Levy</t>
      </text>
    </comment>
    <comment authorId="0" ref="Q633">
      <text>
        <t xml:space="preserve">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text>
    </comment>
    <comment authorId="0" ref="Q634">
      <text>
        <t xml:space="preserve">P. 5 of https://www.ametro.gr/wp-content/uploads/2018/08/AM_Xrimatooikonomikes_katastaseis_2017.pdf says 1,283.7 including rolling stock.
	-Alon Levy</t>
      </text>
    </comment>
    <comment authorId="0" ref="A640">
      <text>
        <t xml:space="preserve">Numbers changed from a duplicate on this and the subsequent 3 lines (note color in table).</t>
      </text>
    </comment>
    <comment authorId="0" ref="K646">
      <text>
        <t xml:space="preserve">2 km in Ap Lei Chau are on viaduct: http://personal.cityu.edu.hk/bswmwong/contents/resources/con_stud/South_Island_Line.pdf</t>
      </text>
    </comment>
    <comment authorId="0" ref="I648">
      <text>
        <t xml:space="preserve">1.3 km in service plus 500 m of overrun tracks at the other end.</t>
      </text>
    </comment>
    <comment authorId="0" ref="N648">
      <text>
        <t xml:space="preserve">There's also an at-grade infill station.</t>
      </text>
    </comment>
    <comment authorId="0" ref="K651">
      <text>
        <t xml:space="preserve">This source says 6.9 km: https://theinsiderstories.com/insight-projections-of-the-economic-benefits-of-the-jakarta-mrt-for-indonesia/
	-Alon Levy</t>
      </text>
    </comment>
    <comment authorId="0" ref="Q651">
      <text>
        <t xml:space="preserve">Sources disagree on exact cost, often due to currency conversion, e.g. https://www.bloomberg.com/news/articles/2019-02-26/the-43-billion-race-to-fix-jakarta-s-choking-traffic-starts-now says $1.2b, which is in exchange rate terms 17 trillion IDR.
	-Alon Levy</t>
      </text>
    </comment>
    <comment authorId="0" ref="I652">
      <text>
        <t xml:space="preserve">Some sources say 23, of which 10 underground.
	-Alon Levy</t>
      </text>
    </comment>
    <comment authorId="0" ref="N653">
      <text>
        <t xml:space="preserve">Only 4 underground.
	-Alon Levy</t>
      </text>
    </comment>
    <comment authorId="0" ref="I657">
      <text>
        <t xml:space="preserve">https://www.metrorailnews.in/phase-2-of-namma-metro-work-is-expected-to-be-delayed-due-to-lack-of-workers/ says 72 km.
	-Alon Levy</t>
      </text>
    </comment>
    <comment authorId="0" ref="Q657">
      <text>
        <t xml:space="preserve">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text>
    </comment>
    <comment authorId="0" ref="K658">
      <text>
        <t xml:space="preserve">See http://indiainframonitor.com/projects/report/53157a8997725281c497dda7
	-Alon Levy</t>
      </text>
    </comment>
    <comment authorId="0" ref="Q658">
      <text>
        <t xml:space="preserve">JICA says 241,020 million INR: https://www.jica.go.jp/india/english/office/others/c8h0vm00004cesxi-att/brochure_16.pdf; India Infrastructure Report says 183,700: http://indiainframonitor.com/projects/report/53157a8997725281c497dda7
	-Alon Levy</t>
      </text>
    </comment>
    <comment authorId="0" ref="N663">
      <text>
        <t xml:space="preserve">https://themetrorailguy.com/delhi-metro-phase-4-information-map/ says 45 stations.
	-Alon Levy</t>
      </text>
    </comment>
    <comment authorId="0" ref="Q663">
      <text>
        <t xml:space="preserve">See also https://economictimes.indiatimes.com/news/politics-and-nation/operational-loss-in-delhi-metro-phase-iv-project-to-be-borne-by-delhi-govt-sc/articleshow/71008680.cms
	-Alon Levy</t>
      </text>
    </comment>
    <comment authorId="0" ref="N664">
      <text>
        <t xml:space="preserve">Source has much higher total length than others: https://themetrorailguy.com/delhi-metro-phase-4-information-map/
	-Alon Levy</t>
      </text>
    </comment>
    <comment authorId="0" ref="Q664">
      <text>
        <t xml:space="preserve">Obtained by subtraction from the first half ("priority corridors").
	-Alon Levy</t>
      </text>
    </comment>
    <comment authorId="0" ref="I665">
      <text>
        <t xml:space="preserve">Source says 5.1 km.
	-Alon Levy</t>
      </text>
    </comment>
    <comment authorId="0" ref="I666">
      <text>
        <t xml:space="preserve">Source says 6.6 km but also says the the phase 1 length is 5.1 km and not 5.5.
	-Alon Levy</t>
      </text>
    </comment>
    <comment authorId="0" ref="Q667">
      <text>
        <t xml:space="preserve">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text>
    </comment>
    <comment authorId="0" ref="G669">
      <text>
        <t xml:space="preserve">Most of the line, Phase 1A, opened in 2015.</t>
      </text>
    </comment>
    <comment authorId="0" ref="N672">
      <text>
        <t xml:space="preserve">TMTG claims 23 and lists 22. https://themetrorailguy.com/lucknow-metro-information-map-updates/</t>
      </text>
    </comment>
    <comment authorId="0" ref="I673">
      <text>
        <t xml:space="preserve">Wikipedia says 19.5 km.
	-Alon Levy</t>
      </text>
    </comment>
    <comment authorId="0" ref="Q673">
      <text>
        <t xml:space="preserve">This source says 24,600: https://mmrda.maharashtra.gov.in/mumbai-monorail-project#
	-Alon Levy</t>
      </text>
    </comment>
    <comment authorId="0" ref="I674">
      <text>
        <t xml:space="preserve">https://www.makaan.com/iq/news-views/mumbai-metro-line-2a-to-get-operational-by-2020 says 18 km.
	-Alon Levy</t>
      </text>
    </comment>
    <comment authorId="0" ref="Q676">
      <text>
        <t xml:space="preserve">See https://www.metrorailnews.in/tunneling-work-on-mumbai-metro-line-3-likely-to-complete-by-2021/
	-Alon Levy</t>
      </text>
    </comment>
    <comment authorId="0" ref="Q677">
      <text>
        <t xml:space="preserve">This source says 66,720, presumably in year of expenditure rupees: https://www.livemint.com/Politics/Z1VWUGDGga5lJjdm8llzKI/Mumbai-Metros-corridor-5-and-6-gets-Maharashtra-cabinet-ap.html
	-Alon Levy</t>
      </text>
    </comment>
    <comment authorId="0" ref="Q680">
      <text>
        <t xml:space="preserve">Per https://indianexpress.com/article/cities/mumbai/mumbai-work-on-second-underground-metro-line-7a-begins-6301335/ this is the cost of Line 7A, but it's really the cost of 7A and 9 bundled together.
	-Alon Levy</t>
      </text>
    </comment>
    <comment authorId="0" ref="Q681">
      <text>
        <t xml:space="preserve">Including state taxes.
	-Alon Levy</t>
      </text>
    </comment>
    <comment authorId="0" ref="G682">
      <text>
        <t xml:space="preserve">https://www.mumbailive.com/en/infrastructure/mmrda-tenders-currently-open-for-metro-line-5-7a-and-9-general-consultants-45660
	-Alon Levy</t>
      </text>
    </comment>
    <comment authorId="0" ref="N683">
      <text>
        <t xml:space="preserve">All elevated
	-Alon Levy</t>
      </text>
    </comment>
    <comment authorId="0" ref="Q683">
      <text>
        <t xml:space="preserve">44,760 in YOE rupees, mentioned e.g. at https://www.makaan.com/iq/news-views/all-about-mumbai-metro-line-10-11-and-12 and https://timesofindia.indiatimes.com/city/mumbai/mmrda-jurisdiction-to-expand-mumbai-metro-operations-corp-to-be-set-up/articleshow/66740043.cms
	-Alon Levy</t>
      </text>
    </comment>
    <comment authorId="0" ref="Q684">
      <text>
        <t xml:space="preserve">87,390 in YOE rupees.
	-Alon Levy</t>
      </text>
    </comment>
    <comment authorId="0" ref="Q685">
      <text>
        <t xml:space="preserve">58,650 in YOE rupees.
	-Alon Levy</t>
      </text>
    </comment>
    <comment authorId="0" ref="Q686">
      <text>
        <t xml:space="preserve">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text>
    </comment>
    <comment authorId="0" ref="S686">
      <text>
        <t xml:space="preserve">Source for year: https://timesofindia.indiatimes.com/city/nagpur/mahametro-saves-rs1850cr-in-nagpur-metro-phase-ii/articleshow/67371648.cms
	-Alon Levy</t>
      </text>
    </comment>
    <comment authorId="0" ref="I687">
      <text>
        <t xml:space="preserve">See http://www.metrorailnagpur.com/projectprofile.aspx - but the media source says 48.3.
	-Alon Levy</t>
      </text>
    </comment>
    <comment authorId="0" ref="N692">
      <text>
        <t xml:space="preserve">Source says 10, but there are 11 stations listed on Wikipedia.
	-Alon Levy</t>
      </text>
    </comment>
    <comment authorId="0" ref="Q693">
      <text>
        <t xml:space="preserve">With 30 trillion rial overrun per https://financialtribune.com/articles/people/98165/tehran-subway-expansion-to-require-over-470-million.
	-Alon Levy</t>
      </text>
    </comment>
    <comment authorId="0" ref="Q694">
      <text>
        <t xml:space="preserve">65 trillion initial plus 18 trillion cost overrun and another 7 in https://financialtribune.com/articles/people/98165/tehran-subway-expansion-to-require-over-470-million.
	-Alon Levy</t>
      </text>
    </comment>
    <comment authorId="0" ref="Q695">
      <text>
        <t xml:space="preserve">bresciamobilita.albofornitori.net/tender/documenti/2963/29812001d52fb08abe1458b8021df147f6f77079.pdf says 792.4 million in 2015 euros.</t>
      </text>
    </comment>
    <comment authorId="0" ref="Q712">
      <text>
        <t xml:space="preserve">Reference says 1,943.8 but includes rolling stock, which per an older report before a cost overrun was 247.2: https://www.metro4milano.it/wordpress/wp-content/uploads/2016/09/2016.05.27-CdM-Integraz-relaz-tecnico-economica-Allegati.xlsx.pdf
	-Alon Levy</t>
      </text>
    </comment>
    <comment authorId="0" ref="P726">
      <text>
        <t xml:space="preserve">https://cdn.archilovers.com/projects/5370707e-978f-4bac-a28a-e982705a6034.pdf
	-Alon Levy</t>
      </text>
    </comment>
    <comment authorId="0" ref="N731">
      <text>
        <t xml:space="preserve">The line has 14 stations but the cost excludes them.
	-Alon Levy</t>
      </text>
    </comment>
    <comment authorId="0" ref="Q737">
      <text>
        <t xml:space="preserve">See also https://www.jttri.or.jp/seminar200212-35.pdf
	-Alon Levy</t>
      </text>
    </comment>
    <comment authorId="0" ref="Q740">
      <text>
        <t xml:space="preserve">See also paywall-free official source at https://www.jreast.co.jp/e/investor/ar/2010/pdf/ar_2010_08.pdf, PDF-p. 3.
	-Alon Levy</t>
      </text>
    </comment>
    <comment authorId="0" ref="J742">
      <text>
        <t xml:space="preserve">Figure is approximate - there's a bit of elevated running at both ends, though both new stations (Shin-Yokohama, Shin-Tsunashima) are underground.
	-Alon Levy</t>
      </text>
    </comment>
    <comment authorId="0" ref="Q742">
      <text>
        <t xml:space="preserve">Source says 402.2 billion across this project and the JR line, the figure 290.8 billion is by subtraction.
	-Alon Levy</t>
      </text>
    </comment>
    <comment authorId="0" ref="J745">
      <text>
        <t xml:space="preserve">Underground % is based on looking at satellite images and Wikipedia claiming all new stations are underground.
	-Alon Levy</t>
      </text>
    </comment>
    <comment authorId="0" ref="Q748">
      <text>
        <t xml:space="preserve">This source says 1.69 trillion (https://shinbundang.co.kr/eng/index.jsp?pageID=/eng/intro/intro2_6.jsp&amp;open_main=4&amp;open_sub1=1&amp;open_sub2=6), not 1.169, but given how many sources say 1.169, it looks like a typo.
	-Alon Levy</t>
      </text>
    </comment>
    <comment authorId="0" ref="Q750">
      <text>
        <t xml:space="preserve">This is the cost across a few different sources, e.g. https://centers.ibs.re.kr/html/living_en/transport/KSP%2011%20Korea%C2%B4s%20Railway%20PPP%20Projects.pdf, but https://www.donga.com/news/article/all/20110216/34857594/1 claims 1.5343 trilion, which could be a 2006 won vs. YOE won difference.
	-Alon Levy</t>
      </text>
    </comment>
    <comment authorId="0" ref="Q751">
      <text>
        <t xml:space="preserve">See also https://www.railwaygazette.com/projects-and-planning/driverless-metro-to-gimpo-airport-inaugurated/54726.article
	-Alon Levy</t>
      </text>
    </comment>
    <comment authorId="0" ref="Q767">
      <text>
        <t xml:space="preserve">See also https://www.nst.com.my/news/2016/12/197743/mrt-corp-says-rafizi-got-it-wrong-rm21bil-both-phase-1-and-2-sbk-line and https://www.malaymail.com/news/malaysia/2017/07/24/najib-mrt-a-success-story-built-at-reasonable-cost/1427789
	-Alon Levy</t>
      </text>
    </comment>
    <comment authorId="0" ref="I771">
      <text>
        <t xml:space="preserve">See https://www.oslo.kommune.no/slik-bygger-vi-oslo/fornebubanen/ but note that the cost figure there is outdated.</t>
      </text>
    </comment>
    <comment authorId="0" ref="Q773">
      <text>
        <t xml:space="preserve">The official site says 1,880 from the year before opening: https://www.elmetrodepanama.com/los-costos-de-la-construccion-de-la-primera-etapa-de-la-linea-1-del-metro-se-mantienen-en-el-monto-original-de-1-880-millones/; this source says 2,139: https://www.laestrella.com.pa/nacional/150405/ano-linea-metro
	-Alon Levy</t>
      </text>
    </comment>
    <comment authorId="0" ref="I776">
      <text>
        <t xml:space="preserve">The line is to be 27 km but the construction project is 35 km including a segment to be turned over to Line 4 in the future: https://www.railwaygazette.com/lima-metro-line-2-concession-awarded/39351.article
	-Alon Levy</t>
      </text>
    </comment>
    <comment authorId="0" ref="Q776">
      <text>
        <t xml:space="preserve">Including rolling stock, consisting of 42 120 meter long vehicles, which typically cost around $500 million.
	-Alon Levy</t>
      </text>
    </comment>
    <comment authorId="0" ref="Q777">
      <text>
        <t xml:space="preserve">63 billion and 9 stations per https://www.philstar.com/business/2020/01/17/1985356/mrt-7-construction-halfway-complete
	-Alon Levy</t>
      </text>
    </comment>
    <comment authorId="0" ref="Q778">
      <text>
        <t xml:space="preserve">https://news.abs-cbn.com/business/multimedia/infographic/07/27/18/the-makati-subway says 197 billion PHP and $3.7 billion, and a number of other media sources mention $3.7 billion as the cost, but the more recent source mentions an underrun to $2.5 billion.
	-Alon Levy</t>
      </text>
    </comment>
    <comment authorId="0" ref="I779">
      <text>
        <t xml:space="preserve">This source says 35 km: https://business.inquirer.net/281164/p393-b-metro-manila-subway-is-project-of-the-century-for-ph
	-Alon Levy</t>
      </text>
    </comment>
    <comment authorId="0" ref="Q779">
      <text>
        <t xml:space="preserve">This source says 227,000: https://gineersnow.com/industries/train/the-metro-manila-subway-project-details
	-Alon Levy</t>
      </text>
    </comment>
    <comment authorId="0" ref="Q781">
      <text>
        <t xml:space="preserve">The project has a cost figure in dollars (paid by China) and an additional cost in rupees (paid domestically). The dollar cost is about $1.5b, agreed when the official rate was 1:100, hence the claim of 150b PKR in https://www.dawn.com/news/1436724. The rupee cost is now 33b.
	-Alon Levy</t>
      </text>
    </comment>
    <comment authorId="0" ref="I782">
      <text>
        <t xml:space="preserve">Imputed from 3 km double-track and 4.5 km single-track.</t>
      </text>
    </comment>
    <comment authorId="0" ref="Q783">
      <text>
        <t xml:space="preserve">Including rolling stock.
	-Alon Levy</t>
      </text>
    </comment>
    <comment authorId="0" ref="Q785">
      <text>
        <t xml:space="preserve">1100 per https://www.railjournal.com/passenger/metros/warsaw-opens-3-4km-line-m2-extension/
	-Alon Levy</t>
      </text>
    </comment>
    <comment authorId="0" ref="Q787">
      <text>
        <t xml:space="preserve">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text>
    </comment>
    <comment authorId="0" ref="I791">
      <text>
        <t xml:space="preserve">Some media sources say 7.2 km.
	-Alon Levy</t>
      </text>
    </comment>
    <comment authorId="0" ref="I864">
      <text>
        <t xml:space="preserve">Source for costs says 33.</t>
      </text>
    </comment>
    <comment authorId="0" ref="Q864">
      <text>
        <t xml:space="preserve">This source says it could cost up to 10 billion, but is during construction whereas the main source is entirely ex post. https://web.archive.org/web/20111008134221/http://motoring.asiaone.com/Motoring/Motorworld/Story/A1Story20090818-161682.html</t>
      </text>
    </comment>
    <comment authorId="0" ref="Q868">
      <text>
        <t xml:space="preserve">24,549 total minus 2,645 for rolling stock.
	-Alon Levy</t>
      </text>
    </comment>
    <comment authorId="0" ref="Q869">
      <text>
        <t xml:space="preserve">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text>
    </comment>
    <comment authorId="0" ref="Q874">
      <text>
        <t xml:space="preserve">24,600 for civils + imputed 1,000/1,900 for management.
	-Alon Levy</t>
      </text>
    </comment>
    <comment authorId="0" ref="Q876">
      <text>
        <t xml:space="preserve">340 in 1996-2002, 194 in 2008-10.</t>
      </text>
    </comment>
    <comment authorId="0" ref="G907">
      <text>
        <t xml:space="preserve">Date confirmed in e.g. https://travel.taichung.gov.tw/en-us/Event/NewsDetail/5875/Taiwan-s-Most-Spacious-MRT-Train-for-the-Expected-Operating-Schedule-of-Taichung-MRT.
	-Alon Levy</t>
      </text>
    </comment>
    <comment authorId="0" ref="H908">
      <text>
        <t xml:space="preserve">This is regional rail, but the construction is simplified by use of cut-and-cover. https://www.sucoot.com/product-Tainan-Urban-District-Railway-Underground-Project-C0009-20.html
	-Alon Levy</t>
      </text>
    </comment>
    <comment authorId="0" ref="Q909">
      <text>
        <t xml:space="preserve">https://web.archive.org/web/20090601043609/http://www.edpo.dorts.gov.tw/cgi-bin/SM_theme?page=4945c9ad Says 66,700.</t>
      </text>
    </comment>
    <comment authorId="0" ref="I910">
      <text>
        <t xml:space="preserve">The cost source says 114.2 km, but at the time it was written the system only had 108.7 km; we believe the discrepancy is due to yard track.</t>
      </text>
    </comment>
    <comment authorId="0" ref="P913">
      <text>
        <t xml:space="preserve">Underground length is measured, the rest comes from the popular and trade media.
	-Alon Levy</t>
      </text>
    </comment>
    <comment authorId="0" ref="Q913">
      <text>
        <t xml:space="preserve">See also http://www.taipeitimes.com/News/taiwan/archives/2019/10/27/2003724736
	-Alon Levy</t>
      </text>
    </comment>
    <comment authorId="0" ref="Q915">
      <text>
        <t xml:space="preserve">See also https://open33.ntpc.gov.tw/loading_sanying.
	-Alon Levy</t>
      </text>
    </comment>
    <comment authorId="0" ref="S916">
      <text>
        <t xml:space="preserve">Year is skewed becaus most of the cost was the first phase, which opened 2018: https://www.railwaygazette.com/news/urban/single-view/view/tamsui-light-rail-approved.html
	-Alon Levy</t>
      </text>
    </comment>
    <comment authorId="0" ref="K917">
      <text>
        <t xml:space="preserve">By subtraction from https://topics.amcham.com.tw/2019/03/bringing-mrt-networks-to-taoyuan-and-taichung/
	-Alon Levy</t>
      </text>
    </comment>
    <comment authorId="0" ref="Q917">
      <text>
        <t xml:space="preserve">See also https://focustaiwan.tw/society/201910110007
	-Alon Levy</t>
      </text>
    </comment>
    <comment authorId="0" ref="Q919">
      <text>
        <t xml:space="preserve">Plan says 96,409: https://dorts.tycg.gov.tw/en/business/taoyuan-railway But source mentions a cost overrun.
	-Alon Levy</t>
      </text>
    </comment>
    <comment authorId="0" ref="J920">
      <text>
        <t xml:space="preserve">Approximate; imputed from station descriptions in https://www.archyde.com/the-first-phase-of-the-keelung-mrt-route-is-finalized-a-total-of-13-stations-from-badu-to-nangang-will-be-completed-as-soon-as-the-end-of-2032-politics-%E6%96%B0%E5%A4%B4%E5%A3%B3-newtalk/.</t>
      </text>
    </comment>
    <comment authorId="0" ref="Q921">
      <text>
        <t xml:space="preserve">See also https://topics.amcham.com.tw/2019/03/bringing-mrt-networks-to-taoyuan-and-taichung/
	-Alon Levy</t>
      </text>
    </comment>
    <comment authorId="0" ref="K923">
      <text>
        <t xml:space="preserve">2.4 by cut-and-cover http://metrobud.kiev.ua/main/eng/projects/works-in-progress/
	-Alon Levy</t>
      </text>
    </comment>
    <comment authorId="0" ref="Q923">
      <text>
        <t xml:space="preserve">Caution: all available cost information predates a one-year delay.
	-Alon Levy</t>
      </text>
    </comment>
    <comment authorId="0" ref="H928">
      <text>
        <t xml:space="preserve">It's in the same right-of-way as a commuter line so it can plausibly be 1 and not 0.
	-Alon Levy</t>
      </text>
    </comment>
    <comment authorId="0" ref="N928">
      <text>
        <t xml:space="preserve">Only 6 new stops, but Lechmere is rebuilt, so 7.
	-Alon Levy</t>
      </text>
    </comment>
    <comment authorId="0" ref="Q928">
      <text>
        <t xml:space="preserve">Including rolling stock, which is $118 million per https://www.railwaygazette.com/long-reads/boston-building-a-better-t/55983.article, for a total balance of 2,182.
	-Alon Levy</t>
      </text>
    </comment>
    <comment authorId="0" ref="Q930">
      <text>
        <t xml:space="preserve">With contingency, without finance charges.</t>
      </text>
    </comment>
    <comment authorId="0" ref="Q933">
      <text>
        <t xml:space="preserve">There is a cost overrun of unidentified size. https://la.streetsblog.org/2020/06/09/metro-purple-line-extension-section-1-difficult-tunnelling-resulting-in-cost-overruns/
	-Alon Levy</t>
      </text>
    </comment>
    <comment authorId="0" ref="Q937">
      <text>
        <t xml:space="preserve">Many sources say $2.1 billion, which is ex ante, see e.g. mention of the cost overrun at https://observer.com/2013/12/whats-missing-from-the-no-7-line-extension/.
	-Alon Levy</t>
      </text>
    </comment>
    <comment authorId="0" ref="I939">
      <text>
        <t xml:space="preserve">This counts both the short tunnel under the railyard in Queens and the main tunnel in Manhattan.
	-Alon Levy</t>
      </text>
    </comment>
    <comment authorId="0" ref="Q940">
      <text>
        <t xml:space="preserve">This is without rehabilitation of the existing tunnel, $11.3 billion with. The most common cost cited is $11.1 billion without or $13 billion with, e.g. http://hudsontunnelproject.com/faq.html, but there has been an underrun.
	-Alon Levy</t>
      </text>
    </comment>
    <comment authorId="0" ref="Q949">
      <text>
        <t xml:space="preserve">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text>
    </comment>
    <comment authorId="0" ref="T949">
      <text>
        <t xml:space="preserve">Approximate figure; Uzbekistan has both high inflation and rapid currency depreciation.
	-Alon Levy</t>
      </text>
    </comment>
    <comment authorId="0" ref="Q950">
      <text>
        <t xml:space="preserve">See also https://www.railtech.com/infrastructure/2019/05/31/tashkent-metro-will-be-extended-with-two-elevated-lines/, expressing the same figure in exchange rate euros. This may include rolling stock, since the Sergeli Line figure does.
	-Alon Levy</t>
      </text>
    </comment>
    <comment authorId="0" ref="Q951">
      <text>
        <t xml:space="preserve">Source is ex medio, but ex post trade press confirms the cost in exchange rate dollars: https://www.railjournal.com/passenger/metros/hanoi-completes-construction-of-first-metro-line/
	-Alon Levy</t>
      </text>
    </comment>
    <comment authorId="0" ref="Q952">
      <text>
        <t xml:space="preserve">Source doesn't list year, but https://vnexpress.net/thoi-su/thanh-tra-chi-ra-nhieu-vi-pham-tai-du-an-metro-1-7-ty-usd-o-ha-noi-3777287.html says 36 trillion VND in 2016.</t>
      </text>
    </comment>
    <comment authorId="0" ref="Q953">
      <text>
        <t xml:space="preserve">47 trillion per https://e.vnexpress.net/news/news/saigon-metro-lines-cost-escalation-cleared-construction-not-to-stop-4002027.html and https://www.itourvn.com/blog/an-overview-of-ho-chi-minh-city-metro-plan
	-Alon Levy</t>
      </text>
    </comment>
    <comment authorId="0" ref="Q955">
      <text>
        <t xml:space="preserve">See also https://www.vir.com.vn/pre-feasibility-report-of-17-billion-metro-line-5-in-ho-chi-minh-city-awaits-approval-76334.html, which mentions a very close cost in exchange-rate US dollars.
	-Alon Levy</t>
      </text>
    </comment>
    <comment authorId="0" ref="Q963">
      <text>
        <t xml:space="preserve">Converted at UK inflation rates from from 21.5 million in 1971 prices.</t>
      </text>
    </comment>
    <comment authorId="0" ref="Q964">
      <text>
        <t xml:space="preserve">Converted at UK inflation rates from from 70 million in 1968 prices.</t>
      </text>
    </comment>
    <comment authorId="0" ref="Q965">
      <text>
        <t xml:space="preserve">Converted at UK inflation rates from 90 million in 1979 prices.</t>
      </text>
    </comment>
    <comment authorId="0" ref="Q966">
      <text>
        <t xml:space="preserve">Converted at UK inflation rates from 29 million in 1977 prices.</t>
      </text>
    </comment>
    <comment authorId="0" ref="Q967">
      <text>
        <t xml:space="preserve">Converted at UK inflation rates from 27 million in 1986 prices.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
      <text>
        <t xml:space="preserve">This includes a 30-year operating and maintenance contract; pure construction cost is somewhat lower.</t>
      </text>
    </comment>
    <comment authorId="0" ref="P13">
      <text>
        <t xml:space="preserve">There is a cost overrun of unidentified size. https://la.streetsblog.org/2020/06/09/metro-purple-line-extension-section-1-difficult-tunnelling-resulting-in-cost-overruns/
	-Alon Levy</t>
      </text>
    </comment>
    <comment authorId="0" ref="G16">
      <text>
        <t xml:space="preserve">It's in the same right-of-way as a commuter line so it can plausibly be 1 and not 0.
	-Alon Levy</t>
      </text>
    </comment>
    <comment authorId="0" ref="M16">
      <text>
        <t xml:space="preserve">Only 6 new stops, but Lechmere is rebuilt, so 7.
	-Alon Levy</t>
      </text>
    </comment>
    <comment authorId="0" ref="P16">
      <text>
        <t xml:space="preserve">Including rolling stock, which is $118 million per https://www.railwaygazette.com/long-reads/boston-building-a-better-t/55983.article, for a total balance of 2,182.
	-Alon Levy</t>
      </text>
    </comment>
    <comment authorId="0" ref="F23">
      <text>
        <t xml:space="preserve">First 7.8 km opened in 2020: https://www.railwaygazette.com/operations-and-services/most-beautiful-and-cheapest-metro-line-opens-in-sofia/57242.article
	-Alon Levy</t>
      </text>
    </comment>
    <comment authorId="0" ref="M24">
      <text>
        <t xml:space="preserve">Sources disagree on 3 vs. 4 but the map clearly shows 4: https://www.metropolitan.bg/en/op-transport-extension/istoriya-razvitie-metro/line-3-sofia-metro
	-Alon Levy</t>
      </text>
    </comment>
    <comment authorId="0" ref="P25">
      <text>
        <t xml:space="preserve">Including rolling stock.
	-Alon Levy</t>
      </text>
    </comment>
    <comment authorId="0" ref="P27">
      <text>
        <t xml:space="preserve">1100 per https://www.railjournal.com/passenger/metros/warsaw-opens-3-4km-line-m2-extension/
	-Alon Levy</t>
      </text>
    </comment>
    <comment authorId="0" ref="H29">
      <text>
        <t xml:space="preserve">Some media sources say 7.2 km.
	-Alon Levy</t>
      </text>
    </comment>
    <comment authorId="0" ref="H31">
      <text>
        <t xml:space="preserve">https://www.railwaygazette.com/projects-and-planning/nizhny-novgorod-world-cup-metro-extension-inaugurated/46612.article says 2.2 km.
	-Alon Levy</t>
      </text>
    </comment>
    <comment authorId="0" ref="P31">
      <text>
        <t xml:space="preserve">https://www.railwaygazette.com/projects-and-planning/nizhny-novgorod-world-cup-metro-extension-inaugurated/46612.article says 10,700.
	-Alon Levy</t>
      </text>
    </comment>
    <comment authorId="0" ref="P32">
      <text>
        <t xml:space="preserve">https://www.railwaygazette.com/projects-and-planning/st-petersburg-metro-line-3-extended/46528.article says 36,800.
	-Alon Levy</t>
      </text>
    </comment>
    <comment authorId="0" ref="P33">
      <text>
        <t xml:space="preserve">34,000 extension proper, 10,600 for depot expansion for a bigger fleet.
	-Alon Levy</t>
      </text>
    </comment>
    <comment authorId="0" ref="P34">
      <text>
        <t xml:space="preserve">Ex ante news report says 36,000 but explicitly calls it provisional: https://stroi.mos.ru/news/stantsii-sokol-nichieskoi-linii-mietro-v-novoi-moskvie-poluchili-nazvaniia
	-Alon Levy</t>
      </text>
    </comment>
    <comment authorId="0" ref="I35">
      <text>
        <t xml:space="preserve">The terminus station is daylit in an otherwise entirely underground work.</t>
      </text>
    </comment>
    <comment authorId="0" ref="I37">
      <text>
        <t xml:space="preserve">Source has a slightly different length: https://www.ladepeche.fr/article/2017/03/07/2530341-prix-3e-ligne-metro-fait-toujours-polemique.html
	-Alon Levy</t>
      </text>
    </comment>
    <comment authorId="0" ref="O39">
      <text>
        <t xml:space="preserve">https://cdn.archilovers.com/projects/5370707e-978f-4bac-a28a-e982705a6034.pdf
	-Alon Levy</t>
      </text>
    </comment>
    <comment authorId="0" ref="G43">
      <text>
        <t xml:space="preserve">This is regional rail, but it's an outlying regional line providing airport connection, unlike most RR lines in this table, which are in city center.
	-Alon Levy</t>
      </text>
    </comment>
    <comment authorId="0" ref="P54">
      <text>
        <t xml:space="preserve">Reference says 1,943.8 but includes rolling stock, which per an older report before a cost overrun was 247.2: https://www.metro4milano.it/wordpress/wp-content/uploads/2016/09/2016.05.27-CdM-Integraz-relaz-tecnico-economica-Allegati.xlsx.pdf
	-Alon Levy</t>
      </text>
    </comment>
    <comment authorId="0" ref="P55">
      <text>
        <t xml:space="preserve">https://www.vie-publique.fr/en-bref/277104-grand-paris-express-augmentation-des-couts says 42 billion, but without a year stated, whereas the source listed for the cost is in 2012 euros; it's likely 42 billion accounts for some inflation since 2012.</t>
      </text>
    </comment>
    <comment authorId="0" ref="P57">
      <text>
        <t xml:space="preserve">Caution: a cursory check found no sources with a cost figure more recent than 2018.
	-Alon Levy</t>
      </text>
    </comment>
    <comment authorId="0" ref="P58">
      <text>
        <t xml:space="preserve">Source is ex medio, but ex post trade press confirms the cost in exchange rate dollars: https://www.railjournal.com/passenger/metros/hanoi-completes-construction-of-first-metro-line/
	-Alon Levy</t>
      </text>
    </comment>
    <comment authorId="0" ref="P59">
      <text>
        <t xml:space="preserve">This source says 1.69 trillion (https://shinbundang.co.kr/eng/index.jsp?pageID=/eng/intro/intro2_6.jsp&amp;open_main=4&amp;open_sub1=1&amp;open_sub2=6), not 1.169, but given how many sources say 1.169, it looks like a typo.
	-Alon Levy</t>
      </text>
    </comment>
    <comment authorId="0" ref="P60">
      <text>
        <t xml:space="preserve">This is the cost across a few different sources, e.g. https://centers.ibs.re.kr/html/living_en/transport/KSP%2011%20Korea%C2%B4s%20Railway%20PPP%20Projects.pdf, but https://www.donga.com/news/article/all/20110216/34857594/1 claims 1.5343 trilion, which could be a 2006 won vs. YOE won difference.
	-Alon Levy</t>
      </text>
    </comment>
    <comment authorId="0" ref="H72">
      <text>
        <t xml:space="preserve">See https://www.oslo.kommune.no/slik-bygger-vi-oslo/fornebubanen/ but note that the cost figure there is outdated.</t>
      </text>
    </comment>
    <comment authorId="0" ref="P78">
      <text>
        <t xml:space="preserve">This does not include a $330 million overrun per https://www.thestar.com/news/gta/2019/12/30/eglinton-crosstown-lrt-could-be-330-million-over-budget-and-open-seven-months-late-internal-documents-warn.html
	-Alon Levy</t>
      </text>
    </comment>
    <comment authorId="0" ref="H79">
      <text>
        <t xml:space="preserve">Wikipedia says 19.5 km.
	-Alon Levy</t>
      </text>
    </comment>
    <comment authorId="0" ref="P79">
      <text>
        <t xml:space="preserve">This source says 24,600: https://mmrda.maharashtra.gov.in/mumbai-monorail-project#
	-Alon Levy</t>
      </text>
    </comment>
    <comment authorId="0" ref="P80">
      <text>
        <t xml:space="preserve">See https://www.metrorailnews.in/tunneling-work-on-mumbai-metro-line-3-likely-to-complete-by-2021/
	-Alon Levy</t>
      </text>
    </comment>
    <comment authorId="0" ref="H81">
      <text>
        <t xml:space="preserve">https://www.makaan.com/iq/news-views/mumbai-metro-line-2a-to-get-operational-by-2020 says 18 km.
	-Alon Levy</t>
      </text>
    </comment>
    <comment authorId="0" ref="P82">
      <text>
        <t xml:space="preserve">Including state taxes.
	-Alon Levy</t>
      </text>
    </comment>
    <comment authorId="0" ref="F85">
      <text>
        <t xml:space="preserve">https://www.mumbailive.com/en/infrastructure/mmrda-tenders-currently-open-for-metro-line-5-7a-and-9-general-consultants-45660
	-Alon Levy</t>
      </text>
    </comment>
    <comment authorId="0" ref="P86">
      <text>
        <t xml:space="preserve">This source says 66,720, presumably in year of expenditure rupees: https://www.livemint.com/Politics/Z1VWUGDGga5lJjdm8llzKI/Mumbai-Metros-corridor-5-and-6-gets-Maharashtra-cabinet-ap.html
	-Alon Levy</t>
      </text>
    </comment>
    <comment authorId="0" ref="P88">
      <text>
        <t xml:space="preserve">Per https://indianexpress.com/article/cities/mumbai/mumbai-work-on-second-underground-metro-line-7a-begins-6301335/ this is the cost of Line 7A, but it's really the cost of 7A and 9 bundled together.
	-Alon Levy</t>
      </text>
    </comment>
    <comment authorId="0" ref="M89">
      <text>
        <t xml:space="preserve">All elevated
	-Alon Levy</t>
      </text>
    </comment>
    <comment authorId="0" ref="P89">
      <text>
        <t xml:space="preserve">44,760 in YOE rupees, mentioned e.g. at https://www.makaan.com/iq/news-views/all-about-mumbai-metro-line-10-11-and-12 and https://timesofindia.indiatimes.com/city/mumbai/mmrda-jurisdiction-to-expand-mumbai-metro-operations-corp-to-be-set-up/articleshow/66740043.cms
	-Alon Levy</t>
      </text>
    </comment>
    <comment authorId="0" ref="P90">
      <text>
        <t xml:space="preserve">87,390 in YOE rupees.
	-Alon Levy</t>
      </text>
    </comment>
    <comment authorId="0" ref="P91">
      <text>
        <t xml:space="preserve">58,650 in YOE rupees.
	-Alon Levy</t>
      </text>
    </comment>
    <comment authorId="0" ref="P92">
      <text>
        <t xml:space="preserve">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text>
    </comment>
    <comment authorId="0" ref="P93">
      <text>
        <t xml:space="preserve">https://www.railwaypro.com/wp/metro-line-3-extension-opened-in-athens/ mentions a 343.96 million euro bid; https://www.ametro.gr/?page_id=88 says it's a 730 million euro investment.
	-Alon Levy</t>
      </text>
    </comment>
    <comment authorId="0" ref="P94">
      <text>
        <t xml:space="preserve">P. 5 of https://www.ametro.gr/wp-content/uploads/2018/08/AM_Xrimatooikonomikes_katastaseis_2017.pdf says 1,283.7 including rolling stock.
	-Alon Levy</t>
      </text>
    </comment>
    <comment authorId="0" ref="I96">
      <text>
        <t xml:space="preserve">Underground % is based on looking at satellite images and Wikipedia claiming all new stations are underground.
	-Alon Levy</t>
      </text>
    </comment>
    <comment authorId="0" ref="P97">
      <text>
        <t xml:space="preserve">See also https://www.railwaygazette.com/projects-and-planning/driverless-metro-to-gimpo-airport-inaugurated/54726.article
	-Alon Levy</t>
      </text>
    </comment>
    <comment authorId="0" ref="H102">
      <text>
        <t xml:space="preserve">See also https://www.ratp.fr/en/groupe-ratp/metrotrains/m1-extension-val-de-fontenay
	-Alon Levy</t>
      </text>
    </comment>
    <comment authorId="0" ref="P105">
      <text>
        <t xml:space="preserve">See also https://revistavial.com/linea-3-del-metro-de-santiago/</t>
      </text>
    </comment>
    <comment authorId="0" ref="P106">
      <text>
        <t xml:space="preserve">See also https://www.bnamericas.com/en/news/brazil-metro-cost-overruns-top-us9bn1
	-Alon Levy
----
See also https://projects.worldbank.org/en/projects-operations/project-detail/P116170?lang=en, which is very close in exchange-rate dollars.
	-Alon Levy</t>
      </text>
    </comment>
    <comment authorId="0" ref="R107">
      <text>
        <t xml:space="preserve">Weighted toward the end because most actual construction happened starting 2013.
	-Alon Levy</t>
      </text>
    </comment>
    <comment authorId="0" ref="P108">
      <text>
        <t xml:space="preserve">The official site says 1,880 from the year before opening: https://www.elmetrodepanama.com/los-costos-de-la-construccion-de-la-primera-etapa-de-la-linea-1-del-metro-se-mantienen-en-el-monto-original-de-1-880-millones/; this source says 2,139: https://www.laestrella.com.pa/nacional/150405/ano-linea-metro
	-Alon Levy</t>
      </text>
    </comment>
    <comment authorId="0" ref="F110">
      <text>
        <t xml:space="preserve">Based on a 54-month deadline starting from the end of 2019.
	-Alon Levy</t>
      </text>
    </comment>
    <comment authorId="0" ref="H110">
      <text>
        <t xml:space="preserve">See https://www.railwaygazette.com/projects-and-planning/metro-de-panama-awards-line-3-contract/55710.article; some other sources say 25.
	-Alon Levy</t>
      </text>
    </comment>
    <comment authorId="0" ref="P110">
      <text>
        <t xml:space="preserve">https://www.railjournal.com/passenger/metros/panama-metro-line-3-contract-finally-awarded/ says 2,057 million but is probably a typo given what other sources say.
	-Alon Levy</t>
      </text>
    </comment>
    <comment authorId="0" ref="H111">
      <text>
        <t xml:space="preserve">This source says 35 km: https://business.inquirer.net/281164/p393-b-metro-manila-subway-is-project-of-the-century-for-ph
	-Alon Levy</t>
      </text>
    </comment>
    <comment authorId="0" ref="P111">
      <text>
        <t xml:space="preserve">This source says 227,000: https://gineersnow.com/industries/train/the-metro-manila-subway-project-details
	-Alon Levy</t>
      </text>
    </comment>
    <comment authorId="0" ref="P112">
      <text>
        <t xml:space="preserve">63 billion and 9 stations per https://www.philstar.com/business/2020/01/17/1985356/mrt-7-construction-halfway-complete
	-Alon Levy</t>
      </text>
    </comment>
    <comment authorId="0" ref="P113">
      <text>
        <t xml:space="preserve">https://news.abs-cbn.com/business/multimedia/infographic/07/27/18/the-makati-subway says 197 billion PHP and $3.7 billion, and a number of other media sources mention $3.7 billion as the cost, but the more recent source mentions an underrun to $2.5 billion.
	-Alon Levy</t>
      </text>
    </comment>
    <comment authorId="0" ref="P117">
      <text>
        <t xml:space="preserve">Based on projected cost plus a 200 million euro overrun on the U2 portion: https://www.derstandard.at/story/2000109597553/wiener-u-bahn-ausbau-duerfte-teurer-als-geplant-werden
	-Alon Levy</t>
      </text>
    </comment>
    <comment authorId="0" ref="M120">
      <text>
        <t xml:space="preserve">https://themetrorailguy.com/delhi-metro-phase-4-information-map/ says 45 stations.
	-Alon Levy</t>
      </text>
    </comment>
    <comment authorId="0" ref="P120">
      <text>
        <t xml:space="preserve">See also https://economictimes.indiatimes.com/news/politics-and-nation/operational-loss-in-delhi-metro-phase-iv-project-to-be-borne-by-delhi-govt-sc/articleshow/71008680.cms
	-Alon Levy</t>
      </text>
    </comment>
    <comment authorId="0" ref="M121">
      <text>
        <t xml:space="preserve">Source has much higher total length than others: https://themetrorailguy.com/delhi-metro-phase-4-information-map/
	-Alon Levy</t>
      </text>
    </comment>
    <comment authorId="0" ref="P121">
      <text>
        <t xml:space="preserve">Obtained by subtraction from the first half ("priority corridors").
	-Alon Levy</t>
      </text>
    </comment>
    <comment authorId="0" ref="M122">
      <text>
        <t xml:space="preserve">Source says 10, but there are 11 stations listed on Wikipedia.
	-Alon Levy</t>
      </text>
    </comment>
    <comment authorId="0" ref="P123">
      <text>
        <t xml:space="preserve">65 trillion initial plus 18 trillion cost overrun and another 7 in https://financialtribune.com/articles/people/98165/tehran-subway-expansion-to-require-over-470-million.
	-Alon Levy</t>
      </text>
    </comment>
    <comment authorId="0" ref="P124">
      <text>
        <t xml:space="preserve">With 30 trillion rial overrun per https://financialtribune.com/articles/people/98165/tehran-subway-expansion-to-require-over-470-million.
	-Alon Levy</t>
      </text>
    </comment>
    <comment authorId="0" ref="P125">
      <text>
        <t xml:space="preserve">Including rolling stock.
	-Alon Levy</t>
      </text>
    </comment>
    <comment authorId="0" ref="P126">
      <text>
        <t xml:space="preserve">Including rolling stock.
	-Alon Levy</t>
      </text>
    </comment>
    <comment authorId="0" ref="P127">
      <text>
        <t xml:space="preserve">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text>
    </comment>
    <comment authorId="0" ref="P132">
      <text>
        <t xml:space="preserve">https://www.eluniverso.com/noticias/2019/01/30/nota/7164113/extension-metro-quito-demandara-hasta-400-millones says 2,009.
	-Alon Levy</t>
      </text>
    </comment>
    <comment authorId="0" ref="H137">
      <text>
        <t xml:space="preserve">3.4 km rail tunnel, 1.4 km road tunnel.
	-Alon Levy</t>
      </text>
    </comment>
    <comment authorId="0" ref="P137">
      <text>
        <t xml:space="preserve">Source gives a range of 1,427.3-1,487.3.
	-Alon Levy</t>
      </text>
    </comment>
    <comment authorId="0" ref="P139">
      <text>
        <t xml:space="preserve">Many sources say $2.1 billion, which is ex ante, see e.g. mention of the cost overrun at https://observer.com/2013/12/whats-missing-from-the-no-7-line-extension/.
	-Alon Levy</t>
      </text>
    </comment>
    <comment authorId="0" ref="H142">
      <text>
        <t xml:space="preserve">This counts both the short tunnel under the railyard in Queens and the main tunnel in Manhattan.
	-Alon Levy</t>
      </text>
    </comment>
    <comment authorId="0" ref="P143">
      <text>
        <t xml:space="preserve">This is without rehabilitation of the existing tunnel, $11.3 billion with. The most common cost cited is $11.1 billion without or $13 billion with, e.g. http://hudsontunnelproject.com/faq.html, but there has been an underrun.
	-Alon Levy</t>
      </text>
    </comment>
    <comment authorId="0" ref="F146">
      <text>
        <t xml:space="preserve">Tunnel to open in 2022, further surface improvement in 2024.
	-Alon Levy</t>
      </text>
    </comment>
    <comment authorId="0" ref="P146">
      <text>
        <t xml:space="preserve">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text>
    </comment>
    <comment authorId="0" ref="I151">
      <text>
        <t xml:space="preserve">Length is exact, but there is a short measured elevated segment.
	-Alon Levy</t>
      </text>
    </comment>
    <comment authorId="0" ref="P151">
      <text>
        <t xml:space="preserve">Not including 214 million for lengthening stations on the existing line. See also https://www.iledefrance-mobilites.fr/le-reseau/projets/metro-11-prolongement-mairie-des-lilas-rosny-bois-perrier
	-Alon Levy</t>
      </text>
    </comment>
    <comment authorId="0" ref="H152">
      <text>
        <t xml:space="preserve">Some sources say 23, of which 10 underground.
	-Alon Levy</t>
      </text>
    </comment>
    <comment authorId="0" ref="M153">
      <text>
        <t xml:space="preserve">Only 4 underground.
	-Alon Levy</t>
      </text>
    </comment>
    <comment authorId="0" ref="H163">
      <text>
        <t xml:space="preserve">See e.g. https://www.pedelta.com/first-elevated-station-on-barcelona-l10-metro-line-is-now-operational-n-20-en.
	-Alon Levy</t>
      </text>
    </comment>
    <comment authorId="0" ref="J163">
      <text>
        <t xml:space="preserve">See http://www.aftes.asso.fr/doc_gd_public/article_fichier/T216-315a322Barcelone.pdf
	-Alon Levy</t>
      </text>
    </comment>
    <comment authorId="0" ref="P163">
      <text>
        <t xml:space="preserve">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text>
    </comment>
    <comment authorId="0" ref="P168">
      <text>
        <t xml:space="preserve">See also https://www.thedailystar.net/bangladesh/news/physical-work-countrys-first-underground-metro-rail-likely-begin-march-2022-2112709.</t>
      </text>
    </comment>
    <comment authorId="0" ref="H169">
      <text>
        <t xml:space="preserve">This source says 20 km: https://www.thedailystar.net/frontpage/news/dhaka-metro-rail-two-more-lines-cost-tk-93800cr-1813843
	-Alon Levy</t>
      </text>
    </comment>
    <comment authorId="0" ref="J170">
      <text>
        <t xml:space="preserve">This source says 6.9 km: https://theinsiderstories.com/insight-projections-of-the-economic-benefits-of-the-jakarta-mrt-for-indonesia/
	-Alon Levy</t>
      </text>
    </comment>
    <comment authorId="0" ref="P170">
      <text>
        <t xml:space="preserve">Sources disagree on exact cost, often due to currency conversion, e.g. https://www.bloomberg.com/news/articles/2019-02-26/the-43-billion-race-to-fix-jakarta-s-choking-traffic-starts-now says $1.2b, which is in exchange rate terms 17 trillion IDR.
	-Alon Levy</t>
      </text>
    </comment>
    <comment authorId="0" ref="P173">
      <text>
        <t xml:space="preserve">This is ex ante, but media articles through early 2020 do not mention cost overruns, and one mentions an average cost per km in line with the original budget: https://www.brefeco.com/actualite/amenagement-infrastructures/les-pistes-du-sytral-pour-les-transports-en-commun-du-futur
	-Alon Levy</t>
      </text>
    </comment>
    <comment authorId="0" ref="P174">
      <text>
        <t xml:space="preserve">The project has a cost figure in dollars (paid by China) and an additional cost in rupees (paid domestically). The dollar cost is about $1.5b, agreed when the official rate was 1:100, hence the claim of 150b PKR in https://www.dawn.com/news/1436724. The rupee cost is now 33b.
	-Alon Levy</t>
      </text>
    </comment>
    <comment authorId="0" ref="P175">
      <text>
        <t xml:space="preserve">24,549 total minus 2,645 for rolling stock.
	-Alon Levy</t>
      </text>
    </comment>
    <comment authorId="0" ref="P177">
      <text>
        <t xml:space="preserve">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text>
    </comment>
    <comment authorId="0" ref="P178">
      <text>
        <t xml:space="preserve">24,600 for civils + imputed 1,000/1,900 for management.
	-Alon Levy</t>
      </text>
    </comment>
    <comment authorId="0" ref="P183">
      <text>
        <t xml:space="preserve">47 trillion per https://e.vnexpress.net/news/news/saigon-metro-lines-cost-escalation-cleared-construction-not-to-stop-4002027.html and https://www.itourvn.com/blog/an-overview-of-ho-chi-minh-city-metro-plan
	-Alon Levy</t>
      </text>
    </comment>
    <comment authorId="0" ref="P185">
      <text>
        <t xml:space="preserve">See also https://www.vir.com.vn/pre-feasibility-report-of-17-billion-metro-line-5-in-ho-chi-minh-city-awaits-approval-76334.html, which mentions a very close cost in exchange-rate US dollars.
	-Alon Levy</t>
      </text>
    </comment>
    <comment authorId="0" ref="M187">
      <text>
        <t xml:space="preserve">The line has 14 stations but the cost excludes them.
	-Alon Levy</t>
      </text>
    </comment>
    <comment authorId="0" ref="P190">
      <text>
        <t xml:space="preserve">See also https://www.jttri.or.jp/seminar200212-35.pdf
	-Alon Levy</t>
      </text>
    </comment>
    <comment authorId="0" ref="P195">
      <text>
        <t xml:space="preserve">See also paywall-free official source at https://www.jreast.co.jp/e/investor/ar/2010/pdf/ar_2010_08.pdf, PDF-p. 3.
	-Alon Levy</t>
      </text>
    </comment>
    <comment authorId="0" ref="I197">
      <text>
        <t xml:space="preserve">Figure is approximate - there's a bit of elevated running at both ends, though both new stations (Shin-Yokohama, Shin-Tsunashima) are underground.
	-Alon Levy</t>
      </text>
    </comment>
    <comment authorId="0" ref="P197">
      <text>
        <t xml:space="preserve">Source says 402.2 billion across this project and the JR line, the figure 290.8 billion is by subtraction.
	-Alon Levy</t>
      </text>
    </comment>
    <comment authorId="0" ref="R199">
      <text>
        <t xml:space="preserve">Shifted later than the midpoint since only 15% of the project is complete as of 2019.
	-Alon Levy</t>
      </text>
    </comment>
    <comment authorId="0" ref="P200">
      <text>
        <t xml:space="preserve">Budget was 250 million but there was an underrun.
	-Alon Levy</t>
      </text>
    </comment>
    <comment authorId="0" ref="H203">
      <text>
        <t xml:space="preserve">https://www.metrorailnews.in/phase-2-of-namma-metro-work-is-expected-to-be-delayed-due-to-lack-of-workers/ says 72 km.
	-Alon Levy</t>
      </text>
    </comment>
    <comment authorId="0" ref="P203">
      <text>
        <t xml:space="preserve">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text>
    </comment>
    <comment authorId="0" ref="H205">
      <text>
        <t xml:space="preserve">Source says 5.1 km.
	-Alon Levy</t>
      </text>
    </comment>
    <comment authorId="0" ref="H206">
      <text>
        <t xml:space="preserve">Source says 6.6 km but also says the the phase 1 length is 5.1 km and not 5.5.
	-Alon Levy</t>
      </text>
    </comment>
    <comment authorId="0" ref="P207">
      <text>
        <t xml:space="preserve">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text>
    </comment>
    <comment authorId="0" ref="R207">
      <text>
        <t xml:space="preserve">Source for year: https://timesofindia.indiatimes.com/city/nagpur/mahametro-saves-rs1850cr-in-nagpur-metro-phase-ii/articleshow/67371648.cms
	-Alon Levy</t>
      </text>
    </comment>
    <comment authorId="0" ref="H208">
      <text>
        <t xml:space="preserve">See http://www.metrorailnagpur.com/projectprofile.aspx - but the media source says 48.3.
	-Alon Levy</t>
      </text>
    </comment>
    <comment authorId="0" ref="P210">
      <text>
        <t xml:space="preserve">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text>
    </comment>
    <comment authorId="0" ref="J212">
      <text>
        <t xml:space="preserve">See http://indiainframonitor.com/projects/report/53157a8997725281c497dda7
	-Alon Levy</t>
      </text>
    </comment>
    <comment authorId="0" ref="P212">
      <text>
        <t xml:space="preserve">JICA says 241,020 million INR: https://www.jica.go.jp/india/english/office/others/c8h0vm00004cesxi-att/brochure_16.pdf; India Infrastructure Report says 183,700: http://indiainframonitor.com/projects/report/53157a8997725281c497dda7
	-Alon Levy</t>
      </text>
    </comment>
    <comment authorId="0" ref="J216">
      <text>
        <t xml:space="preserve">2.4 by cut-and-cover http://metrobud.kiev.ua/main/eng/projects/works-in-progress/
	-Alon Levy</t>
      </text>
    </comment>
    <comment authorId="0" ref="P216">
      <text>
        <t xml:space="preserve">Caution: all available cost information predates a one-year delay.
	-Alon Levy</t>
      </text>
    </comment>
    <comment authorId="0" ref="P219">
      <text>
        <t xml:space="preserve">See also https://open33.ntpc.gov.tw/loading_sanying.
	-Alon Levy</t>
      </text>
    </comment>
    <comment authorId="0" ref="R220">
      <text>
        <t xml:space="preserve">Year is skewed becaus most of the cost was the first phase, which opened 2018: https://www.railwaygazette.com/news/urban/single-view/view/tamsui-light-rail-approved.html
	-Alon Levy</t>
      </text>
    </comment>
    <comment authorId="0" ref="O221">
      <text>
        <t xml:space="preserve">Underground length is measured, the rest comes from the popular and trade media.
	-Alon Levy</t>
      </text>
    </comment>
    <comment authorId="0" ref="P221">
      <text>
        <t xml:space="preserve">See also http://www.taipeitimes.com/News/taiwan/archives/2019/10/27/2003724736
	-Alon Levy</t>
      </text>
    </comment>
    <comment authorId="0" ref="J223">
      <text>
        <t xml:space="preserve">By subtraction from https://topics.amcham.com.tw/2019/03/bringing-mrt-networks-to-taoyuan-and-taichung/
	-Alon Levy</t>
      </text>
    </comment>
    <comment authorId="0" ref="P223">
      <text>
        <t xml:space="preserve">See also https://focustaiwan.tw/society/201910110007
	-Alon Levy</t>
      </text>
    </comment>
    <comment authorId="0" ref="P224">
      <text>
        <t xml:space="preserve">See also https://topics.amcham.com.tw/2019/03/bringing-mrt-networks-to-taoyuan-and-taichung/
	-Alon Levy</t>
      </text>
    </comment>
    <comment authorId="0" ref="P225">
      <text>
        <t xml:space="preserve">Plan says 96,409: https://dorts.tycg.gov.tw/en/business/taoyuan-railway But source mentions a cost overrun.
	-Alon Levy</t>
      </text>
    </comment>
    <comment authorId="0" ref="G228">
      <text>
        <t xml:space="preserve">This is regional rail, but the construction is simplified by use of cut-and-cover. https://www.sucoot.com/product-Tainan-Urban-District-Railway-Underground-Project-C0009-20.html
	-Alon Levy</t>
      </text>
    </comment>
    <comment authorId="0" ref="F229">
      <text>
        <t xml:space="preserve">Date confirmed in e.g. https://travel.taichung.gov.tw/en-us/Event/NewsDetail/5875/Taiwan-s-Most-Spacious-MRT-Train-for-the-Expected-Operating-Schedule-of-Taichung-MRT.
	-Alon Levy</t>
      </text>
    </comment>
    <comment authorId="0" ref="P230">
      <text>
        <t xml:space="preserve">Recent media articles confirm cost and 2021 opening dates: https://infrastructuremagazine.com.au/2020/04/22/metronets-forrestfield-airport-link-reaches-milestone/, https://www.perthnow.com.au/community-news/southern-gazette/forrestfield-airport-link-project-on-track-to-open-in-2021-c-1086512
	-Alon Levy</t>
      </text>
    </comment>
    <comment authorId="0" ref="H235">
      <text>
        <t xml:space="preserve">Source says 4.2 km but this includes tail tracks.
	-Alon Levy</t>
      </text>
    </comment>
    <comment authorId="0" ref="P235">
      <text>
        <t xml:space="preserve">Converted (and, uniquely for this table, inflation-adjusted) from 600 million DM.
	-Alon Levy</t>
      </text>
    </comment>
    <comment authorId="0" ref="P236">
      <text>
        <t xml:space="preserve">Converted from 105 million DM.
	-Alon Levy</t>
      </text>
    </comment>
    <comment authorId="0" ref="J237">
      <text>
        <t xml:space="preserve">Source says 850 m but excludes a shorter tunnel under a park, and the exact portals are easily visible on Google Earth.
	-Alon Levy</t>
      </text>
    </comment>
    <comment authorId="0" ref="H238">
      <text>
        <t xml:space="preserve">The line is to be 27 km but the construction project is 35 km including a segment to be turned over to Line 4 in the future: https://www.railwaygazette.com/lima-metro-line-2-concession-awarded/39351.article
	-Alon Levy</t>
      </text>
    </comment>
    <comment authorId="0" ref="P238">
      <text>
        <t xml:space="preserve">Including rolling stock, consisting of 42 120 meter long vehicles, which typically cost around $500 million.
	-Alon Levy</t>
      </text>
    </comment>
    <comment authorId="0" ref="P239">
      <text>
        <t xml:space="preserve">See also https://www.nst.com.my/news/2016/12/197743/mrt-corp-says-rafizi-got-it-wrong-rm21bil-both-phase-1-and-2-sbk-line and https://www.malaymail.com/news/malaysia/2017/07/24/najib-mrt-a-success-story-built-at-reasonable-cost/1427789
	-Alon Levy</t>
      </text>
    </comment>
    <comment authorId="0" ref="P554">
      <text>
        <t xml:space="preserve">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text>
    </comment>
    <comment authorId="0" ref="S554">
      <text>
        <t xml:space="preserve">Approximate figure; Uzbekistan has both high inflation and rapid currency depreciation.
	-Alon Levy</t>
      </text>
    </comment>
    <comment authorId="0" ref="P555">
      <text>
        <t xml:space="preserve">See also https://www.railtech.com/infrastructure/2019/05/31/tashkent-metro-will-be-extended-with-two-elevated-lines/, expressing the same figure in exchange rate euros. This may include rolling stock, since the Sergeli Line figure does.
	-Alon Levy</t>
      </text>
    </comment>
    <comment authorId="0" ref="M557">
      <text>
        <t xml:space="preserve">Including Gávea, which is on a branch.</t>
      </text>
    </comment>
    <comment authorId="0" ref="Z557">
      <text>
        <t xml:space="preserve">P. 14.</t>
      </text>
    </comment>
    <comment authorId="0" ref="M560">
      <text>
        <t xml:space="preserve">Only 4 underground and 2 elevated.</t>
      </text>
    </comment>
    <comment authorId="0" ref="F561">
      <text>
        <t xml:space="preserve">A small section was delayed to 2006.</t>
      </text>
    </comment>
    <comment authorId="0" ref="P561">
      <text>
        <t xml:space="preserve">PDF-p. 55 of reference.</t>
      </text>
    </comment>
    <comment authorId="0" ref="J563">
      <text>
        <t xml:space="preserve">https://www.canadianundergroundinfrastructure.com/article/22383/tunnelling-for-vancouvers-evergreen-line-complete</t>
      </text>
    </comment>
    <comment authorId="0" ref="M564">
      <text>
        <t xml:space="preserve">See https://www.hamburg.de/contentblob/12763212/9af1f73ecb661c983474ee2ef634deb6/data/20190711-u5-ost-faktenpapier.pdf.</t>
      </text>
    </comment>
    <comment authorId="0" ref="H566">
      <text>
        <t xml:space="preserve">1.3 km in service plus 500 m of overrun tracks at the other end.</t>
      </text>
    </comment>
    <comment authorId="0" ref="M566">
      <text>
        <t xml:space="preserve">There's also an at-grade infill station.</t>
      </text>
    </comment>
    <comment authorId="0" ref="J572">
      <text>
        <t xml:space="preserve">2 km in Ap Lei Chau are on viaduct: http://personal.cityu.edu.hk/bswmwong/contents/resources/con_stud/South_Island_Line.pdf</t>
      </text>
    </comment>
    <comment authorId="0" ref="F581">
      <text>
        <t xml:space="preserve">Most of the line, Phase 1A, opened in 2015.</t>
      </text>
    </comment>
    <comment authorId="0" ref="M582">
      <text>
        <t xml:space="preserve">TMTG claims 23 and lists 22. https://themetrorailguy.com/lucknow-metro-information-map-updates/</t>
      </text>
    </comment>
    <comment authorId="0" ref="P583">
      <text>
        <t xml:space="preserve">bresciamobilita.albofornitori.net/tender/documenti/2963/29812001d52fb08abe1458b8021df147f6f77079.pdf says 792.4 million in 2015 euros.</t>
      </text>
    </comment>
    <comment authorId="0" ref="Z588">
      <text>
        <t xml:space="preserve">P. 23 of the PDF.</t>
      </text>
    </comment>
    <comment authorId="0" ref="H592">
      <text>
        <t xml:space="preserve">The cost source says 114.2 km, but at the time it was written the system only had 108.7 km; we believe the discrepancy is due to yard track.</t>
      </text>
    </comment>
    <comment authorId="0" ref="P593">
      <text>
        <t xml:space="preserve">https://web.archive.org/web/20090601043609/http://www.edpo.dorts.gov.tw/cgi-bin/SM_theme?page=4945c9ad Says 66,700.</t>
      </text>
    </comment>
    <comment authorId="0" ref="P596">
      <text>
        <t xml:space="preserve">With contingency, without finance charges.</t>
      </text>
    </comment>
    <comment authorId="0" ref="P602">
      <text>
        <t xml:space="preserve">340 in 1996-2002, 194 in 2008-10.</t>
      </text>
    </comment>
    <comment authorId="0" ref="H611">
      <text>
        <t xml:space="preserve">Imputed from 3 km double-track and 4.5 km single-track.</t>
      </text>
    </comment>
    <comment authorId="0" ref="Z611">
      <text>
        <t xml:space="preserve">See also https://www.railwaypro.com/wp/tbm-for-lodz-cross-city-tunnel-unveiled/.</t>
      </text>
    </comment>
    <comment authorId="0" ref="Z612">
      <text>
        <t xml:space="preserve">P. 21</t>
      </text>
    </comment>
    <comment authorId="0" ref="I613">
      <text>
        <t xml:space="preserve">Approximate; imputed from station descriptions in https://www.archyde.com/the-first-phase-of-the-keelung-mrt-route-is-finalized-a-total-of-13-stations-from-badu-to-nangang-will-be-completed-as-soon-as-the-end-of-2032-politics-%E6%96%B0%E5%A4%B4%E5%A3%B3-newtalk/.</t>
      </text>
    </comment>
    <comment authorId="0" ref="P616">
      <text>
        <t xml:space="preserve">See also media source at https://www.tz.de/muenchen/stadt/u-bahn-offensive-zwei-neue-bahnhoefe-1003587.html.</t>
      </text>
    </comment>
    <comment authorId="0" ref="O636">
      <text>
        <t xml:space="preserve">See https://edmontonjournal.com/news/local-news/valley-line-southeast-lrt-tunnels-take-shape</t>
      </text>
    </comment>
    <comment authorId="0" ref="P876">
      <text>
        <t xml:space="preserve">Source states Lines 1 and 2 combined; this is imputed with Line 1 netted out.</t>
      </text>
    </comment>
    <comment authorId="0" ref="R876">
      <text>
        <t xml:space="preserve">Most of the line's length is 2A, built 2009-13, and only a minority is 2B, built 2014-18.</t>
      </text>
    </comment>
    <comment authorId="0" ref="H877">
      <text>
        <t xml:space="preserve">The source says 0.6 km, but the detailed plan at https://www.nuernberg.de/imperia/md/u_bahnbau/dokumente/ba_2.2_-_anliegerinformationen_flyer_final.pdf can be measured to be 2.1 km; 0.6 km is just one portion of the line.</t>
      </text>
    </comment>
    <comment authorId="0" ref="H878">
      <text>
        <t xml:space="preserve">Source for costs says 33.</t>
      </text>
    </comment>
    <comment authorId="0" ref="P878">
      <text>
        <t xml:space="preserve">This source says it could cost up to 10 billion, but is during construction whereas the main source is entirely ex post. https://web.archive.org/web/20111008134221/http://motoring.asiaone.com/Motoring/Motorworld/Story/A1Story20090818-161682.html</t>
      </text>
    </comment>
    <comment authorId="0" ref="S879">
      <text>
        <t xml:space="preserve">This is imputed: the actual calulation converts 120 million DM in 1971 to 2021 euros and thence to 2021 dollars, and the PPP rate is given based on a retrospective US inflation rate.</t>
      </text>
    </comment>
    <comment authorId="0" ref="S880">
      <text>
        <t xml:space="preserve">This is imputed: the actual calulation converts 680 million DM in 1981 to 2021 euros and thence to 2021 dollars, and the PPP rate is given based on a retrospective US inflation rate.</t>
      </text>
    </comment>
    <comment authorId="0" ref="S881">
      <text>
        <t xml:space="preserve">This is imputed: the actual calulation converts 900 million DM in 1968 to 2021 euros and thence to 2021 dollars, and the PPP rate is given based on a retrospective US inflation rate.</t>
      </text>
    </comment>
    <comment authorId="0" ref="P885">
      <text>
        <t xml:space="preserve">Converted from 344 million DM in 1965 prices.</t>
      </text>
    </comment>
  </commentList>
</comments>
</file>

<file path=xl/sharedStrings.xml><?xml version="1.0" encoding="utf-8"?>
<sst xmlns="http://schemas.openxmlformats.org/spreadsheetml/2006/main" count="28621" uniqueCount="2186">
  <si>
    <t>s</t>
  </si>
  <si>
    <t>id</t>
  </si>
  <si>
    <t>Country</t>
  </si>
  <si>
    <t>City</t>
  </si>
  <si>
    <t>Line</t>
  </si>
  <si>
    <t>Phase</t>
  </si>
  <si>
    <t>Start year</t>
  </si>
  <si>
    <t>End year</t>
  </si>
  <si>
    <t>RR?</t>
  </si>
  <si>
    <t>Length</t>
  </si>
  <si>
    <t>TunnelPer</t>
  </si>
  <si>
    <t>Tunnel</t>
  </si>
  <si>
    <t>Elevated</t>
  </si>
  <si>
    <t>Atgrade</t>
  </si>
  <si>
    <t>Stations</t>
  </si>
  <si>
    <t>Platform Length 
(Meters)</t>
  </si>
  <si>
    <t>Source1</t>
  </si>
  <si>
    <t>Cost</t>
  </si>
  <si>
    <t>Currency</t>
  </si>
  <si>
    <t>Year</t>
  </si>
  <si>
    <t>PPP rate</t>
  </si>
  <si>
    <t>Real cost</t>
  </si>
  <si>
    <t>Cost/km
 (Millions)</t>
  </si>
  <si>
    <t>Cheap?</t>
  </si>
  <si>
    <t>Clength</t>
  </si>
  <si>
    <t>Ctunnel</t>
  </si>
  <si>
    <t>Anglo?</t>
  </si>
  <si>
    <t>Inflation Index</t>
  </si>
  <si>
    <t>Real cost (2025 dollars)</t>
  </si>
  <si>
    <t>Cost/km (2025 dollars)</t>
  </si>
  <si>
    <t>Source2</t>
  </si>
  <si>
    <t>Reference</t>
  </si>
  <si>
    <t>AE</t>
  </si>
  <si>
    <t>Dubai</t>
  </si>
  <si>
    <t>Phase 1</t>
  </si>
  <si>
    <t>Phase 1 - Red Line</t>
  </si>
  <si>
    <t>Trade</t>
  </si>
  <si>
    <t>USD</t>
  </si>
  <si>
    <t>Phase 2</t>
  </si>
  <si>
    <t>Phase 2 - Green Line</t>
  </si>
  <si>
    <t>Red Line</t>
  </si>
  <si>
    <t>Phase 3 (Red Line Extension/Route 2020)</t>
  </si>
  <si>
    <t>Media</t>
  </si>
  <si>
    <t>https://www.railway-technology.com/projects/route-2020-dubai/</t>
  </si>
  <si>
    <t>AR</t>
  </si>
  <si>
    <t>Buenos Aires</t>
  </si>
  <si>
    <t>RER</t>
  </si>
  <si>
    <t>https://tn.com.ar/economia/el-gobierno-relanzo-el-rer-el-proyecto-para-conectar-los-trenes-del-area-metropolitana_856411</t>
  </si>
  <si>
    <t>AT</t>
  </si>
  <si>
    <t>Vienna</t>
  </si>
  <si>
    <t>va</t>
  </si>
  <si>
    <t>Lainz Tunnel</t>
  </si>
  <si>
    <t>EUR</t>
  </si>
  <si>
    <t>https://wien.orf.at/v2/news/stories/2537074/</t>
  </si>
  <si>
    <t>Line 2</t>
  </si>
  <si>
    <t>Line 2 extension</t>
  </si>
  <si>
    <t>https://wien.orf.at/news/stories/2607445/</t>
  </si>
  <si>
    <t>Line 1</t>
  </si>
  <si>
    <t>Line 1 extension</t>
  </si>
  <si>
    <t>Measured</t>
  </si>
  <si>
    <t>Plan</t>
  </si>
  <si>
    <t>https://www.wien.gv.at/stadtentwicklung/projekte/verkehrsplanung/u-bahn/u1-oberlaa.html</t>
  </si>
  <si>
    <t>U2/U5 cross</t>
  </si>
  <si>
    <t>https://wien.orf.at/news/stories/2940360/</t>
  </si>
  <si>
    <t>AU</t>
  </si>
  <si>
    <t>Melbourne</t>
  </si>
  <si>
    <t>Metro Tunnel</t>
  </si>
  <si>
    <t>AUD</t>
  </si>
  <si>
    <t>https://www.audit.vic.gov.au/report/melbourne-metro-tunnel-project-phase-2-main-works?section=</t>
  </si>
  <si>
    <t>Perth</t>
  </si>
  <si>
    <t>Forrestfield-Airport Link</t>
  </si>
  <si>
    <t>https://www.forrestfieldairportlink.wa.gov.au/Portals/14/Project%20Overview%20Fact%20Sheet%20-%20Dec18%20WEB.pdf</t>
  </si>
  <si>
    <t>Sydney</t>
  </si>
  <si>
    <t>Metro NW</t>
  </si>
  <si>
    <t>Wiki</t>
  </si>
  <si>
    <t>https://www.transport.nsw.gov.au/news-and-events/media-releases/sydney-metro-northwest-under-budget</t>
  </si>
  <si>
    <t>Metro City &amp; SW</t>
  </si>
  <si>
    <t>https://www.abc.net.au/news/2020-02-21/nsw-government-confirms-three-billion-metro-budget-blowout/11986968</t>
  </si>
  <si>
    <t>BD</t>
  </si>
  <si>
    <t>Dhaka</t>
  </si>
  <si>
    <t>Line 6</t>
  </si>
  <si>
    <t>BDT</t>
  </si>
  <si>
    <t>https://www.thedailystar.net/news/bangladesh/transport/news/metro-now-set-cost-50pc-more-3072816</t>
  </si>
  <si>
    <t>https://bdnews24.com/economy/2019/10/15/govt-approves-two-more-metro-rail-projects-worth-tk-938bn</t>
  </si>
  <si>
    <t>Line 5</t>
  </si>
  <si>
    <t>BE</t>
  </si>
  <si>
    <t>Brussels</t>
  </si>
  <si>
    <t>Line 3</t>
  </si>
  <si>
    <t>https://www.thebulletin.be/brussels-metro-line-3-project-could-be-delayed-or-suspended</t>
  </si>
  <si>
    <t>BG</t>
  </si>
  <si>
    <t>Sofia</t>
  </si>
  <si>
    <t>https://www.railway-technology.com/uncategorised/newsbulgaria-opens-sofia-metro-line-2/</t>
  </si>
  <si>
    <t>Line 1 southern</t>
  </si>
  <si>
    <t>https://www.novinite.com/articles/168384/Subway+Extension+to+Business+Park+Sofia+Opens</t>
  </si>
  <si>
    <t>https://seenews.com/news/sofia-subway-launches-13-km-section-with-one-station-533330</t>
  </si>
  <si>
    <t>https://europa.eu/investeu/projects/sofia-metro-line-3_en</t>
  </si>
  <si>
    <t>Line 3 extension (Third Stage)</t>
  </si>
  <si>
    <t>https://seenews.com/news/sofia-opens-1125-mln-euro-tender-for-subway-expansion-681553</t>
  </si>
  <si>
    <t>Line 1 northern</t>
  </si>
  <si>
    <t xml:space="preserve">cond </t>
  </si>
  <si>
    <t>BGN</t>
  </si>
  <si>
    <t>https://www.novinite.com/articles/167648/Subway+Trains+to+Sofia+Airport+Start+Running+at+1+pm+on+April+2</t>
  </si>
  <si>
    <t>BH</t>
  </si>
  <si>
    <t>Bahrain</t>
  </si>
  <si>
    <t>Phase 1 (Red &amp; Blue)</t>
  </si>
  <si>
    <t>https://www.urbantransportnews.com/bahrain-to-finalise-109-km-light-metro-rail-bids-in-march-2020/</t>
  </si>
  <si>
    <t>X</t>
  </si>
  <si>
    <t>http://www.tradearabia.com/news/stn_178416.html</t>
  </si>
  <si>
    <t>BR</t>
  </si>
  <si>
    <t>Rio de Janeiro</t>
  </si>
  <si>
    <t>Line 4</t>
  </si>
  <si>
    <t>BRL</t>
  </si>
  <si>
    <t>http://itdpbrasil.org.br/wp-content/uploads/2018/05/ITDP_PP_Linha_4_Maio_2018.pdf</t>
  </si>
  <si>
    <t>Salvador</t>
  </si>
  <si>
    <t>Lines 1-2</t>
  </si>
  <si>
    <t>http://patrocinados.estadao.com.br/ccr/salvadors-subway-becomes-a-model-of-success/</t>
  </si>
  <si>
    <t>SkyRail Bahia</t>
  </si>
  <si>
    <t>https://www.yicaiglobal.com/news/byd-design-for-usd689-million-brazil-monorail-gets-green-light</t>
  </si>
  <si>
    <t>Sao Paulo</t>
  </si>
  <si>
    <t>Line 5 extension</t>
  </si>
  <si>
    <t>https://www.bnamericas.com/en/news/brazil-metro-cost-overruns-top-us9bn1</t>
  </si>
  <si>
    <t>Line 17</t>
  </si>
  <si>
    <t>https://www.railjournal.com/in_depth/21-rail-projects-to-watch-in-2021</t>
  </si>
  <si>
    <t>Line 6 phase 1</t>
  </si>
  <si>
    <t>https://www.railjournal.com/passenger/metros/revival-of-sao-paulo-metro-line-6-orange-project-a-step-closer/</t>
  </si>
  <si>
    <t>CA</t>
  </si>
  <si>
    <t>Calgary</t>
  </si>
  <si>
    <t>Green Line</t>
  </si>
  <si>
    <t>Green Line stage 1</t>
  </si>
  <si>
    <t>CAD</t>
  </si>
  <si>
    <t>https://globalnews.ca/news/7527443/green-line-lrt-calgary-alberta-government/</t>
  </si>
  <si>
    <t>Blue Line Extension</t>
  </si>
  <si>
    <t>Northeast</t>
  </si>
  <si>
    <t>~</t>
  </si>
  <si>
    <t>Edmonton</t>
  </si>
  <si>
    <t>Valley Line Southeast</t>
  </si>
  <si>
    <t>Southeast</t>
  </si>
  <si>
    <t>https://edmontonjournal.com/news/local-news/long-delayed-1-8-billion-valley-line-lrt-stymied-yet-again</t>
  </si>
  <si>
    <t>Metro Line Extension</t>
  </si>
  <si>
    <t>Northwest Phase 1</t>
  </si>
  <si>
    <r>
      <rPr>
        <rFont val="Arial"/>
        <color rgb="FF1155CC"/>
        <sz val="8.0"/>
      </rPr>
      <t xml:space="preserve">https://www.edmonton.ca/projects_plans/transit/nw-lrt
</t>
    </r>
    <r>
      <rPr>
        <rFont val="Arial"/>
        <color rgb="FF1155CC"/>
        <sz val="8.0"/>
        <u/>
      </rPr>
      <t>https://tam-america.com/article/edmonton-metro-northwest-lrt-extension-phase-completed-on-budget-before-time#:</t>
    </r>
    <r>
      <rPr>
        <rFont val="Arial"/>
        <color rgb="FF1155CC"/>
        <sz val="8.0"/>
      </rPr>
      <t>~:text=Phase%201%20construction%20was%20originally,million%20(US%24215%20million).</t>
    </r>
  </si>
  <si>
    <t>Valley Line Extension</t>
  </si>
  <si>
    <t>West</t>
  </si>
  <si>
    <t>https://majorprojects.alberta.ca/details/Valley-Line-West-LRT/3692
https://www.operis.com/case-study/edmonton-valley-line-west/</t>
  </si>
  <si>
    <t>Hamilton</t>
  </si>
  <si>
    <t>Hamilton LRT</t>
  </si>
  <si>
    <t>https://www.metrolinx.com/en/projects-and-programs/hamilton-lrt
https://canada.constructconnect.com/dcn/news/infrastructure/2024/11/request-for-qualifications-issued-for-hamilton-lrt-project</t>
  </si>
  <si>
    <t>Mississauga</t>
  </si>
  <si>
    <t>Hazel McCallion LRT</t>
  </si>
  <si>
    <t>https://www.metrolinx.com/en/projects-and-programs/hazel-mccallion-lrt/faqs</t>
  </si>
  <si>
    <t>Montreal</t>
  </si>
  <si>
    <t>Laval extension</t>
  </si>
  <si>
    <t>https://montrealgazette.com/news/local-news/the-sleepy-success-story-of-the-laval-metro-extension</t>
  </si>
  <si>
    <t>Blue Line</t>
  </si>
  <si>
    <t>https://montrealgazette.com/news/local-news/montreal-metro-green-light-for-blue-line-extension
https://www.cbc.ca/news/canada/montreal/blue-line-extension-delayed-1.7303767</t>
  </si>
  <si>
    <t>PSE</t>
  </si>
  <si>
    <t>36/22</t>
  </si>
  <si>
    <t>https://www.cbc.ca/news/canada/montreal/public-transit-project-announcement-eastern-montreal-1.7475018
https://www.artm.quebec/wp-content/uploads/2024/05/RP_PSE_AC_VFinale_2024-05-28.pdf</t>
  </si>
  <si>
    <t>REM</t>
  </si>
  <si>
    <t>Current Project Scope</t>
  </si>
  <si>
    <t>https://scfp.ca/sites/default/files/ppp201700191_ppp_canada_rem_01_01_2016_part2-opt_0.pdf
https://montreal.citynews.ca/2024/11/20/quebec-educational-gap-indigenous-students-auditor-general-report/</t>
  </si>
  <si>
    <t>Ottawa</t>
  </si>
  <si>
    <t>Confederation</t>
  </si>
  <si>
    <t>90/120</t>
  </si>
  <si>
    <t>https://www.aecom.com/projects/ottawa-light-rail/</t>
  </si>
  <si>
    <t>East West Extensions</t>
  </si>
  <si>
    <t>https://www.kiewit.com/projects/ottawa-lrt-stage-2/
https://pub-ottawa.escribemeetings.com/filestream.ashx?documentid=58389
https://delveunderground.com/projects/ottawa-light-rail-transit-stages-1-and-2</t>
  </si>
  <si>
    <t>Line 2/Line 4</t>
  </si>
  <si>
    <t>South Extension+Airport Link</t>
  </si>
  <si>
    <t xml:space="preserve">https://www.renewcanada.net/ottawa-proceeding-with-4-67-billion-stage-2-lrt/
https://www.atkinsrealis.com/en/projects/o-train-extension
</t>
  </si>
  <si>
    <t>Toronto</t>
  </si>
  <si>
    <t>Sheppard</t>
  </si>
  <si>
    <t>https://www.theglobeandmail.com/news/toronto/sheppard-subway-extension-a-quarter-the-stops-for-three-times-the-cost/article622366/</t>
  </si>
  <si>
    <t>YUS</t>
  </si>
  <si>
    <t>Vaughan</t>
  </si>
  <si>
    <t>https://www.thestar.com/news/gta/transportation/2017/12/15/trudeau-wynne-tory-on-hand-to-cut-ribbon-on-32-billion-subway-extension.html</t>
  </si>
  <si>
    <t>Eglinton Crosstown</t>
  </si>
  <si>
    <t>https://www.cbc.ca/news/canada/toronto/eglinton-crosstown-opening-june-ttc-1.7400691#:~:text=Construction%20began%20in%202011%2C%20when,to%20at%20least%20%2412.8%20billion.</t>
  </si>
  <si>
    <t>Finch West LRT</t>
  </si>
  <si>
    <t>https://www.infrastructureontario.ca/en/what-we-do/projectssearch/finch-west-light-rail-transit/</t>
  </si>
  <si>
    <t>Bloor/SSE</t>
  </si>
  <si>
    <t>Scarborough</t>
  </si>
  <si>
    <t>https://urbantoronto.ca/news/2020/03/metrolinxs-preliminary-business-case-scarborough-subway-extension-raises-questions</t>
  </si>
  <si>
    <t>YUS/YNSE</t>
  </si>
  <si>
    <t>Yonge to Richmond Hill</t>
  </si>
  <si>
    <t>https://www.thestar.com/news/gta/2020/06/24/metrolinx-considering-a-route-for-the-yonge-subway-extension-to-richmond-hill-that-would-take-it-above-ground.html</t>
  </si>
  <si>
    <t>Phase 1 West</t>
  </si>
  <si>
    <t xml:space="preserve">https://www.infrastructureontario.ca/en/what-we-do/projectssearch/eglinton-crosstown-west-extension/
https://www.metrolinx.com/en/projects-and-programs/eglinton-crosstown-west-extension
</t>
  </si>
  <si>
    <t>Ontario Line</t>
  </si>
  <si>
    <t>Ontario</t>
  </si>
  <si>
    <t>https://globalnews.ca/news/10579363/ontario-line-cost-increase/</t>
  </si>
  <si>
    <t>Vancouver</t>
  </si>
  <si>
    <t>Millennium Line</t>
  </si>
  <si>
    <t>Millennium Line Phase 1</t>
  </si>
  <si>
    <t>https://web.archive.org/web/20181110080355/https://www.translink.ca/-/media/Documents/about_translink/corporate_overview/corporate_reports/history/translink_history_nov_2008.pdf</t>
  </si>
  <si>
    <t>Canada Line</t>
  </si>
  <si>
    <t>https://vancouversun.com/news/local-news/by-the-numbers-canada-line-turns-10</t>
  </si>
  <si>
    <t>Evergreen Line</t>
  </si>
  <si>
    <t>https://thebreaker.news/news/evergreen-line-costs/</t>
  </si>
  <si>
    <t>Millennium</t>
  </si>
  <si>
    <t>Broadway</t>
  </si>
  <si>
    <t>https://www.translink.ca/Plans-and-Projects/Rapid-Transit-Projects/Broadway-Subway-Project.aspx
https://www2.gov.bc.ca/assets/gov/british-columbians-our-governments/government-finances/quarterly-reports/fall-2024-economic-fiscal-update.pdf</t>
  </si>
  <si>
    <t xml:space="preserve">
Surrey Langley SkyTrain</t>
  </si>
  <si>
    <t>Planning</t>
  </si>
  <si>
    <t>https://globalnews.ca/news/10701039/surrey-langley-skytrain-cost/
https://surreylangleyskytrain.gov.bc.ca/app/uploads/sites/938/2024/12/SLS_Monthly_Status_Report_August_2024.pdf</t>
  </si>
  <si>
    <t>Expo Line</t>
  </si>
  <si>
    <t>Expo Line Surrey-Langley extension</t>
  </si>
  <si>
    <t>https://globalnews.ca/news/8016045/justin-trudeau-federal-funding-skytrain-surrey-langley/</t>
  </si>
  <si>
    <t>https://bc.ctvnews.ca/federal-government-providing-up-to-1-3-billion-for-surrey-langley-skytrain-extension-1.5502944</t>
  </si>
  <si>
    <t>UBC</t>
  </si>
  <si>
    <t>https://www.translink.ca/-/media/translink/documents/about-translink/governance-and-board/council-minutes-and-reports/2022/april/agenda_mayors_council_board_public_mtg_20220422.pdf</t>
  </si>
  <si>
    <t>CH</t>
  </si>
  <si>
    <t>Geneva</t>
  </si>
  <si>
    <t>CEVA</t>
  </si>
  <si>
    <t>CHF</t>
  </si>
  <si>
    <t>https://www.ceva.ch/2017/05/11/financement-et-organisation/?b=https://www.ceva.ch/category/projet</t>
  </si>
  <si>
    <t>Lausanne</t>
  </si>
  <si>
    <t>https://archive.wikiwix.com/cache/index2.php?url=http%3A%2F%2Fwww.publidoc.vd.ch%2FguestDownload%2Fdirect%2FTexte%2520adopt%25C3%25A9%2520par%2520CE.pdf%3Fpath%3D%2FCompany%2520Home%2FVD%2FCHANC%2FSIEL%2Fantilope%2Fobjet%2FCEGC%2FExpos%25C3%25A9%2520des%2520motifs%2F2002%2F05%2F174061_34_Texte%2520adopt%25C3%25A9%2520par%2520CE_20020604_234589.pdf%2Findex.html#federation=archive.wikiwix.com&amp;tab=url</t>
  </si>
  <si>
    <t>Lucerne</t>
  </si>
  <si>
    <t>Zentralbahn</t>
  </si>
  <si>
    <t>https://www.luzernerzeitung.ch/zentralschweiz/luzern/seetalplatz-und-zentralbahn-60-millionen-guenstiger-als-budgetiert-ld.1150224</t>
  </si>
  <si>
    <t>Zurich</t>
  </si>
  <si>
    <t>Durchmesserlinie</t>
  </si>
  <si>
    <t>https://www.railwaygazette.com/infrastructure/cross-city-tunnel-opening-increases-capacity-in-zurich/39619.article</t>
  </si>
  <si>
    <t>CL</t>
  </si>
  <si>
    <t>Santiago</t>
  </si>
  <si>
    <t>Project 63</t>
  </si>
  <si>
    <t>https://www.metro.cl/files/documentos/metro-investor-201709.pdf</t>
  </si>
  <si>
    <t>Line 7</t>
  </si>
  <si>
    <t>https://www.railwaygazette.com/projects-and-planning/santiago-tenders-line-7-construction/56621.article</t>
  </si>
  <si>
    <t>CN</t>
  </si>
  <si>
    <t>Beijing</t>
  </si>
  <si>
    <t>Line 1 Phase 1</t>
  </si>
  <si>
    <t>Baidu</t>
  </si>
  <si>
    <t>CNY</t>
  </si>
  <si>
    <t>https://baike.baidu.com/item/%E5%8C%97%E4%BA%AC%E5%9C%B0%E9%93%811%E5%8F%B7%E7%BA%BF/7646800?fromtitle=%E5%8C%97%E4%BA%AC%E5%9C%B0%E9%93%81%E4%B8%80%E5%8F%B7%E7%BA%BF&amp;fromid=5427835&amp;fr=aladdin</t>
  </si>
  <si>
    <t>Line 13</t>
  </si>
  <si>
    <t>http://www.wikiwand.com/zh-sg/%E5%8C%97%E4%BA%AC%E5%9C%B0%E9%93%8113%E5%8F%B7%E7%BA%BF</t>
  </si>
  <si>
    <t>http://finance.sina.com.cn/b/20040419/0854725033.shtml</t>
  </si>
  <si>
    <t>Line 10</t>
  </si>
  <si>
    <t>Line 10 North and East</t>
  </si>
  <si>
    <t>http://news.sciencenet.cn/sbhtmlnews/2008/8/209799.html</t>
  </si>
  <si>
    <t>Capital Airport Express</t>
  </si>
  <si>
    <t>Line 8</t>
  </si>
  <si>
    <t>Line 8 Phase 1 for Olympics</t>
  </si>
  <si>
    <t>https://www.360kuai.com/pc/9fb76b182add530db?cota=4&amp;kuai_so=1&amp;tj_url=so_rec&amp;sign=360_7bc3b157; http://itdzs.org/OnLineMagazine/PDFView.aspx?ID=4</t>
  </si>
  <si>
    <t>http://zizhan.mot.gov.cn/zhuantizhuanlan/qita/quanqiuhuanjingjijin/zhishigongxiang/201601/P020160125565596507649.pdf</t>
  </si>
  <si>
    <t>Daxing Line</t>
  </si>
  <si>
    <t>http://www.mtr.bj.cn/article/5d510c0aebb1a36f5ef5981f.html</t>
  </si>
  <si>
    <t>Line 8 Phase 2 North</t>
  </si>
  <si>
    <t>https://zh.wikipedia.org/wiki/%E5%8C%97%E4%BA%AC%E5%9C%B0%E9%93%818%E5%8F%B7%E7%BA%BF#%E4%BA%8C%E6%9C%9F%E5%B7%A5%E7%A8%8B</t>
  </si>
  <si>
    <t>Line 10 South and West</t>
  </si>
  <si>
    <t>https://zh.wikipedia.org/wiki/%E5%8C%97%E4%BA%AC%E5%9C%B0%E9%93%8110%E5%8F%B7%E7%BA%BF#%E4%BA%8C%E6%9C%9F%E5%B7%A5%E7%A8%8B</t>
  </si>
  <si>
    <t>Line 9</t>
  </si>
  <si>
    <t>http://zqb.cyol.com/html/2012-12/31/nw.D110000zgqnb_20121231_3-06.htm</t>
  </si>
  <si>
    <t>Line 6 Phase 1</t>
  </si>
  <si>
    <t>Line 8 Northern Extension</t>
  </si>
  <si>
    <t>https://max.book118.com/html/2017/1209/143431974.shtm</t>
  </si>
  <si>
    <t>Line 8 Phase 2 South</t>
  </si>
  <si>
    <t>https://zh.wikipedia.org/wiki/%E5%8C%97%E4%BA%AC%E5%9C%B0%E9%93%818%E5%8F%B7%E7%BA%BF</t>
  </si>
  <si>
    <t>Line 15</t>
  </si>
  <si>
    <t>Line 15 Phase 1</t>
  </si>
  <si>
    <t>http://finance.ifeng.com/city/bj/20101117/2902241.shtml</t>
  </si>
  <si>
    <t>Line 7 Phase 1</t>
  </si>
  <si>
    <t>http://bj.bendibao.com/news/20141120/171344.shtm</t>
  </si>
  <si>
    <t>Line 6 Phase 2</t>
  </si>
  <si>
    <t>http://politics.people.com.cn/n/2014/1105/c70731-25980932.html</t>
  </si>
  <si>
    <t>Line 14</t>
  </si>
  <si>
    <t>Line 14 East</t>
  </si>
  <si>
    <t>http://www.mtr.bj.cn/article/5d510c13ebb1a36f5ef598dd.html; https://baike.baidu.com/item/%E5%8C%97%E4%BA%AC%E5%9C%B0%E9%93%8114%E5%8F%B7%E7%BA%BF#reference-[2]-1443669-wrap</t>
  </si>
  <si>
    <t>Line 8 Phase 3 South</t>
  </si>
  <si>
    <t>https://www.bjsubway.com/news/ghjs/2013-12-30/1316.html</t>
  </si>
  <si>
    <t>Line 8 Phase 4</t>
  </si>
  <si>
    <t>https://zh.wikipedia.org/wiki/%E5%8C%97%E4%BA%AC%E5%9C%B0%E9%93%818%E5%8F%B7%E7%BA%BF#%E4%B8%89%E6%9C%9F%E5%8F%8A%E5%9B%9B%E6%9C%9F%E5%B7%A5%E7%A8%8B</t>
  </si>
  <si>
    <t>Daxing Airport Express</t>
  </si>
  <si>
    <t>Daxing Airport Express Phase 1</t>
  </si>
  <si>
    <t>http://www.tzxm.gov.cn/flfg/law/201912/t20191220_12825.html</t>
  </si>
  <si>
    <t>Capital Airport Express west extenion</t>
  </si>
  <si>
    <t>https://new.qq.com/omn/20210301/20210301A0E4JW00.html</t>
  </si>
  <si>
    <t>Line 7 Phase 2 (Eastern Extension)</t>
  </si>
  <si>
    <t>https://zh.wikisource.org/zh-hans/%E5%8C%97%E4%BA%AC%E5%B8%82%E5%9F%8E%E5%B8%82%E8%BD%A8%E9%81%93%E4%BA%A4%E9%80%9A%E7%AC%AC%E4%BA%8C%E6%9C%9F%E5%BB%BA%E8%AE%BE%E8%A7%84%E5%88%92%EF%BC%882015%EF%BD%9E2021%E5%B9%B4%EF%BC%89</t>
  </si>
  <si>
    <t>Line 25</t>
  </si>
  <si>
    <t>Line 25 Phase 2 (Fangshan Northern Extension)</t>
  </si>
  <si>
    <t>Line 16</t>
  </si>
  <si>
    <t>http://www.bjnews.com.cn/news/2016/11/25/424943.html; https://baijiahao.baidu.com/s?id=1633332748114018963&amp;wfr=spider&amp;for=pc</t>
  </si>
  <si>
    <t>Line 3 Phase 1+2</t>
  </si>
  <si>
    <t>http://www.gov.cn/xinwen/2018-02/18/content_5267552.htm; https://zh.m.wikisource.org/zh-hans/%E5%8C%97%E4%BA%AC%E5%B8%82%E5%9F%8E%E5%B8%82%E8%BD%A8%E9%81%93%E4%BA%A4%E9%80%9A%E7%AC%AC%E4%BA%8C%E6%9C%9F%E5%BB%BA%E8%AE%BE%E8%A7%84%E5%88%92%EF%BC%882015%EF%BD%9E2021%E5%B9%B4%EF%BC%89</t>
  </si>
  <si>
    <t>Line 12</t>
  </si>
  <si>
    <t>Line 19</t>
  </si>
  <si>
    <t>Line 19 Phase 1</t>
  </si>
  <si>
    <t>Line 28</t>
  </si>
  <si>
    <t>http://www.tzxm.gov.cn/flfg/law/201912/t20191220_12825.html; https://new.qq.com/rain/a/20200812A0UGAJ00</t>
  </si>
  <si>
    <t>Line 11</t>
  </si>
  <si>
    <t>Line 11 West</t>
  </si>
  <si>
    <t>http://www.rail-transit.com/project/show.php?itemid=360</t>
  </si>
  <si>
    <t>Line 27</t>
  </si>
  <si>
    <t>Line 27 Phase 2 (Changping Southern Extension)</t>
  </si>
  <si>
    <t>Line 8 Phase 3 North</t>
  </si>
  <si>
    <t>http://www.rail-transit.com/project/show.php?itemid=92</t>
  </si>
  <si>
    <t>Line 13A</t>
  </si>
  <si>
    <t>http://www.tzxm.gov.cn/flfg/law/201912/t20191220_12825.html; https://baijiahao.baidu.com/s?id=1636643464335769195&amp;wfr=spider&amp;for=pc</t>
  </si>
  <si>
    <t>Line 13B</t>
  </si>
  <si>
    <t>Line 22</t>
  </si>
  <si>
    <t>Line M101</t>
  </si>
  <si>
    <t>https://web.archive.org/web/20220515142603/https://www.rails.cn/download/2022/20220418_%E9%99%84%E4%BB%B61%EF%BC%9A%E5%8C%97%E4%BA%AC%E8%BD%A8%E9%81%93%E4%BA%A4%E9%80%9AM101%E7%BA%BF%E4%B8%80%E6%9C%9F%E5%B7%A5%E7%A8%8B%E7%8E%AF%E5%A2%83%E5%BD%B1%E5%93%8D%E6%8A%A5%E5%91%8A%E4%B9%A6%EF%BC%88%E5%BE%81%E6%B1%82%E6%84%8F%E8%A7%81%E7%A8%BF%EF%BC%89.pdf</t>
  </si>
  <si>
    <t>Line 14 West</t>
  </si>
  <si>
    <t>Daxing Airport Express Phase 2</t>
  </si>
  <si>
    <t>Yanfang Branch</t>
  </si>
  <si>
    <t>http://www.rail-transit.com/project/show.php?itemid=525</t>
  </si>
  <si>
    <t>Changchun</t>
  </si>
  <si>
    <t>Line 1 South Extension</t>
  </si>
  <si>
    <t>https://zfxxgk.ndrc.gov.cn/web/iteminfo.jsp?id=320</t>
  </si>
  <si>
    <t>New Beihu Line</t>
  </si>
  <si>
    <t>Line 2 Western Extension</t>
  </si>
  <si>
    <t>http://www.rail-transit.com/project/show.php?itemid=231</t>
  </si>
  <si>
    <t>Line 2 Eastern Extension</t>
  </si>
  <si>
    <t>https://www.ndrc.gov.cn/xxgk/zcfb/tz/201812/W020190905514226164270.pdf</t>
  </si>
  <si>
    <t>Line 9 (Konggang)</t>
  </si>
  <si>
    <t>https://www.ndrc.gov.cn/xxgk/zcfb/tz/201812/W020190905514226164270.pdf; https://baike.baidu.com/item/%E9%95%BF%E6%98%A5%E8%BD%A8%E9%81%93%E4%BA%A4%E9%80%9A7%E5%8F%B7%E7%BA%BF/17545289</t>
  </si>
  <si>
    <t>Line 5 Phase 1</t>
  </si>
  <si>
    <t>http://www.rail-transit.com/project/show.php?itemid=531</t>
  </si>
  <si>
    <t>Line 3 Southern Extension</t>
  </si>
  <si>
    <t>Line 4 Southern Extension</t>
  </si>
  <si>
    <t>Changsha</t>
  </si>
  <si>
    <t>First</t>
  </si>
  <si>
    <t>http://www.chinanews.com/gn/news/2009/02-11/1558424.shtml</t>
  </si>
  <si>
    <t>Line 2 Phase 2</t>
  </si>
  <si>
    <t>http://www.hncsmtr.com/jsdt/gcgk/2033/14944654790008899_1.html</t>
  </si>
  <si>
    <t>https://www.sohu.com/a/237588900_683466</t>
  </si>
  <si>
    <t>Line 2 West Extension Phase 1</t>
  </si>
  <si>
    <t>https://www.ndrc.gov.cn/fzggw/jgsj/zcs/sjdt/201212/t20121224_1145294.html</t>
  </si>
  <si>
    <t>Line 3 Phase 1</t>
  </si>
  <si>
    <t>Line 4 Phase 1</t>
  </si>
  <si>
    <t>Line 1 North Extension</t>
  </si>
  <si>
    <t>Line 1 North Extension Phase 1</t>
  </si>
  <si>
    <t>https://www.ndrc.gov.cn/xxgk/zcfb/ghwb/201703/t20170323_962232.html</t>
  </si>
  <si>
    <t>Line 2 West Extension</t>
  </si>
  <si>
    <t>https://www.ndrc.gov.cn/xxgk/zcfb/ghwb/201703/W020190905497919692262.pdf</t>
  </si>
  <si>
    <t>Line 6 Central</t>
  </si>
  <si>
    <t>Line 4 North Extension</t>
  </si>
  <si>
    <t>Line 5 South Extension</t>
  </si>
  <si>
    <t>Line 6 West</t>
  </si>
  <si>
    <t>Line 6 East</t>
  </si>
  <si>
    <t>Line 5 North Extension</t>
  </si>
  <si>
    <t>Line 2 West Extension Phase 2</t>
  </si>
  <si>
    <t>http://www.rail-transit.com/project/show.php?itemid=501</t>
  </si>
  <si>
    <t>Changzhou</t>
  </si>
  <si>
    <t>http://www.rail-transit.com/project/show.php?itemid=261</t>
  </si>
  <si>
    <t>Line 2 Phase 1</t>
  </si>
  <si>
    <t>http://www.rail-transit.com/project/show.php?itemid=41</t>
  </si>
  <si>
    <t>Chengdu</t>
  </si>
  <si>
    <t>Line 18</t>
  </si>
  <si>
    <t>Line 18 Phase 1 and 2</t>
  </si>
  <si>
    <t>http://www.rail-transit.com/project/show.php?itemid=291</t>
  </si>
  <si>
    <t>Line 1 Phase 3</t>
  </si>
  <si>
    <t>https://www.ndrc.gov.cn/fggz/zcssfz/zdgc/201505/t20150518_1146000.html</t>
  </si>
  <si>
    <t>Line 10 Phase 1</t>
  </si>
  <si>
    <t>Line 3 Phase 2</t>
  </si>
  <si>
    <t>Line 4 Phase 2</t>
  </si>
  <si>
    <t>Line 5 Phase 1 and 2 (redesign)</t>
  </si>
  <si>
    <t>Line 10 Phase 2</t>
  </si>
  <si>
    <t>https://www.ndrc.gov.cn/fggz/zcssfz/zdgc/201607/W020190910671924062945.pdf</t>
  </si>
  <si>
    <t>Line 9 Phase 1</t>
  </si>
  <si>
    <t>https://www.chengdurail.com/detail/7247.html</t>
  </si>
  <si>
    <t>Line 13 Phase 1</t>
  </si>
  <si>
    <t>https://www.ndrc.gov.cn/xxgk/zcfb/ghwb/201908/W020190905497973740066.pdf</t>
  </si>
  <si>
    <t>Line 17 Phase 2</t>
  </si>
  <si>
    <t>Line 18 Phase 3</t>
  </si>
  <si>
    <t>Line 19 Phase 2</t>
  </si>
  <si>
    <t>http://www.rail-transit.com/project/show.php?itemid=470</t>
  </si>
  <si>
    <t>Line 27 Phase 1</t>
  </si>
  <si>
    <t>Line 30</t>
  </si>
  <si>
    <t>Line 30 Phase 1</t>
  </si>
  <si>
    <t>Line 8 Phase 2</t>
  </si>
  <si>
    <t>Line 10 Phase 3</t>
  </si>
  <si>
    <t>Line 3 Phase 3 (redesign)</t>
  </si>
  <si>
    <t>Line 17 Phase 1</t>
  </si>
  <si>
    <t>http://www.rail-transit.com/project/show.php?itemid=76</t>
  </si>
  <si>
    <t>https://www.163.com/dy/article/DPVGIOAD0514MG5I.html</t>
  </si>
  <si>
    <t>Line 8 Phase 1</t>
  </si>
  <si>
    <t>rail-transit.com/project/show.php?itemid=77</t>
  </si>
  <si>
    <t>https://www.ndrc.gov.cn/xxgk/zcfb/tz/201607/W020190905517098302181.pdf</t>
  </si>
  <si>
    <t>Line S3</t>
  </si>
  <si>
    <t>http://www.rail-transit.com/project/show.php?itemid=540</t>
  </si>
  <si>
    <t>Line S5</t>
  </si>
  <si>
    <t>https://www.163.com/dy/article/HFCE3KEU05149A02.html</t>
  </si>
  <si>
    <t>https://www.12369zb.com/view/482/MUlxBX4B4pnqPFb2iCfa.html</t>
  </si>
  <si>
    <t>Chongqing</t>
  </si>
  <si>
    <t>Ring Line</t>
  </si>
  <si>
    <t>http://www.gzcy.org/uploadfile/2013/0930/20130930103001739.pdf</t>
  </si>
  <si>
    <t>http://politics.people.com.cn/n/2013/0223/c70731-20575832.html</t>
  </si>
  <si>
    <t>https://www.ndrc.gov.cn/fggz/zcssfz/zcgh/201812/W020190910670713741772.pdf</t>
  </si>
  <si>
    <t>Line 6 Branch (EXPO) Phase 2</t>
  </si>
  <si>
    <t>Line 9 Phase 2</t>
  </si>
  <si>
    <t>Line 5 Northern Extension</t>
  </si>
  <si>
    <t>http://www.rail-transit.com/project/show.php?itemid=356</t>
  </si>
  <si>
    <t>Line 5A</t>
  </si>
  <si>
    <t>Line 18 Phase 2</t>
  </si>
  <si>
    <t>http://fzggw.cq.gov.cn/zwgk/zfxxgkml/sphzbaxx/202009/t20200930_7937966_wap.html</t>
  </si>
  <si>
    <t>Line 4 West extension</t>
  </si>
  <si>
    <t>http://www.rail-transit.com/project/show.php?itemid=517</t>
  </si>
  <si>
    <t>http://fzggw.cq.gov.cn/zwgk/zfxxgkml/sphzbaxx/202010/t20201010_7947213_wap.html</t>
  </si>
  <si>
    <t>Line 17 (redesign) Phase 1</t>
  </si>
  <si>
    <t>http://www.rail-transit.com/project/show.php?itemid=519</t>
  </si>
  <si>
    <t>http://www.rail-transit.com/project/show.php?itemid=456</t>
  </si>
  <si>
    <t>http://www.rail-transit.com/shiping/show.php?itemid=958</t>
  </si>
  <si>
    <t>http://www.rail-transit.com/project/show.php?itemid=457</t>
  </si>
  <si>
    <t>http://fzggw.cq.gov.cn/zwgk/zfxxgkml/sphzbaxx/202011/t20201103_8406228_wap.html</t>
  </si>
  <si>
    <t>http://news.sina.com.cn/o/2005-06-15/11406180055s.shtml</t>
  </si>
  <si>
    <t>https://m.sohu.com/n/384104755/</t>
  </si>
  <si>
    <t>Line 1 Phase 2</t>
  </si>
  <si>
    <t>http://news.sohu.com/20070609/n250475902.shtml</t>
  </si>
  <si>
    <t>http://www.gov.cn/jrzg/2011-09/29/content_1959823.htm</t>
  </si>
  <si>
    <t>Line 6 Branch (EXPO)</t>
  </si>
  <si>
    <t>Jiangjin Line</t>
  </si>
  <si>
    <t>Jiangjin Line South Extension</t>
  </si>
  <si>
    <t>http://ghzrzyj.cq.gov.cn/zwxx_186/mtgz/202208/t20220803_10975207.html</t>
  </si>
  <si>
    <t>Bishan-Tongliang Line</t>
  </si>
  <si>
    <t>http://www.rail-transit.com/project/show.php?itemid=412</t>
  </si>
  <si>
    <t>https://www.sohu.com/a/392594635_120388781</t>
  </si>
  <si>
    <t>http://www.rail-transit.com/shiping/show.php?itemid=869</t>
  </si>
  <si>
    <t>http://www.rail-transit.com/project/show.php?itemid=399</t>
  </si>
  <si>
    <t>http://m.xinhuanet.com/cq/2019-01/27/c_1124047880.htm</t>
  </si>
  <si>
    <t>Line 15 Phase 2</t>
  </si>
  <si>
    <t>http://www.rail-transit.com/project/show.php?itemid=693</t>
  </si>
  <si>
    <t>Line 24</t>
  </si>
  <si>
    <t>Line 24 Phase 1</t>
  </si>
  <si>
    <t>http://www.rail-transit.com/project/show.php?itemid=521</t>
  </si>
  <si>
    <t>http://www.rail-transit.com/project/show.php?itemid=238</t>
  </si>
  <si>
    <t>https://www.sohu.com/a/516618507_120388781</t>
  </si>
  <si>
    <t>Dalian</t>
  </si>
  <si>
    <t>http://www.rail-transit.com/project/show.php?itemid=609</t>
  </si>
  <si>
    <t>http://www.rail-transit.com/project/show.php?itemid=163</t>
  </si>
  <si>
    <t>Dongguan</t>
  </si>
  <si>
    <t>https://zfxxgk.ndrc.gov.cn/web/iteminfo.jsp?id=18775</t>
  </si>
  <si>
    <t>https://baijiahao.baidu.com/s?id=1638089292564878111&amp;wfr=spider&amp;for=pc</t>
  </si>
  <si>
    <t>Line 1 Feeder Phase 1</t>
  </si>
  <si>
    <t>Line 2 Phase 3</t>
  </si>
  <si>
    <t>https://finance.sina.com.cn/jjxw/2022-08-26/doc-imizmscv7763110.shtml?finpagefr=p_115</t>
  </si>
  <si>
    <t>Line 3 feeder</t>
  </si>
  <si>
    <t>Foshan</t>
  </si>
  <si>
    <t>Guangfo Line</t>
  </si>
  <si>
    <t>http://www.guangfometro.cn/Pages/Company/Default.aspx</t>
  </si>
  <si>
    <t>http://www.rail-transit.com/project/show.php?itemid=240</t>
  </si>
  <si>
    <t>https://3g.163.com/dy/article/EBK3L3990525EER4.html</t>
  </si>
  <si>
    <t>http://www.rail-transit.com/project/show.php?itemid=650</t>
  </si>
  <si>
    <t>http://fs.fccs.com/news/6022708.html</t>
  </si>
  <si>
    <t>https://www.ndrc.gov.cn/xxgk/zcfb/pifu/202101/t20210126_1316566.html?code=&amp;state=123</t>
  </si>
  <si>
    <t>rail-transit.com/project/show.php?itemid=649</t>
  </si>
  <si>
    <t>Fuzhou</t>
  </si>
  <si>
    <t>http://www.fzmtr.com/cms/pages/680468206126290000/attachments/%E9%99%84%E4%BB%B63%EF%BC%9A%E7%A6%8F%E5%B7%9E%E5%B8%82%E8%BD%A8%E9%81%93%E4%BA%A4%E9%80%9A1%E5%8F%B7%E7%BA%BF%E5%B7%A5%E7%A8%8B%EF%BC%88%E4%B8%80%E6%9C%9F%EF%BC%89%E5%8C%97%E6%AE%B5%E5%8F%8A%E5%85%A8%E7%BA%BF%E7%AB%A3%E5%B7%A5%E7%8E%AF%E5%A2%83%E4%BF%9D%E6%8A%A4%E9%AA%8C%E6%94%B6%E4%BC%9A%E9%AA%8C%E6%94%B6%E6%84%8F%E8%A7%81.pdf</t>
  </si>
  <si>
    <t>https://www.ndrc.gov.cn/fggz/zcssfz/zcgh/201601/t20160112_1145713.html</t>
  </si>
  <si>
    <t>https://www.sohu.com/a/417789253_410388</t>
  </si>
  <si>
    <t>Line 2 East Extension</t>
  </si>
  <si>
    <t>https://xm.leju.com/news/2020-07-10/14296687241366554352613.shtml</t>
  </si>
  <si>
    <t>http://fgw.fuzhou.gov.cn/zz/fgwzwgk/tzgg/201804/t20180428_2189534.htm</t>
  </si>
  <si>
    <t>http://www.rail-transit.com/project/show.php?itemid=33</t>
  </si>
  <si>
    <t>Line 6 East Extension</t>
  </si>
  <si>
    <t>F1</t>
  </si>
  <si>
    <t>F1 Express Line</t>
  </si>
  <si>
    <t>https://new.qq.com/omn/20210613/20210613A08PZJ00.html</t>
  </si>
  <si>
    <t>Guangzhou</t>
  </si>
  <si>
    <t>http://www.dcement.com/Article/201310/117609.html</t>
  </si>
  <si>
    <t>Line 14 Phase 1</t>
  </si>
  <si>
    <t>https://www.ndrc.gov.cn/fggz/zcssfz/zdgc/201209/t20120905_1145857.html</t>
  </si>
  <si>
    <t>https://m.21jingji.com/article/20201209/herald/7d218ef3f8835e2e9df093c805e45652.html</t>
  </si>
  <si>
    <t>Line 14 Branch</t>
  </si>
  <si>
    <t>http://district.ce.cn/newarea/roll/201503/17/t20150317_4847921.shtml</t>
  </si>
  <si>
    <t>Line 21</t>
  </si>
  <si>
    <t>https://www.sohu.com/a/351491006_124706</t>
  </si>
  <si>
    <t>Line 4 South Extension</t>
  </si>
  <si>
    <t>http://mee.gov.cn/ywgz/hjyxpj/jsxmhjyxpj/xmslqk/201605/W020160522150689146882.pdf</t>
  </si>
  <si>
    <t>Line 14 Phase 2</t>
  </si>
  <si>
    <t>http://www.gov.cn/xinwen/2017-03/23/5180079/files/d764253433a944c0a620def88bf6f446.pdf</t>
  </si>
  <si>
    <t>http://www.rail-transit.com/project/show.php?itemid=171</t>
  </si>
  <si>
    <t>http://www.rail-transit.com/project/show.php?itemid=151</t>
  </si>
  <si>
    <t>Line 5 Eastern Extension</t>
  </si>
  <si>
    <t>Line 7 Phase 2</t>
  </si>
  <si>
    <t>Line 3 Eastern Extension</t>
  </si>
  <si>
    <t>http://www.rail-transit.com/project/show.php?itemid=170</t>
  </si>
  <si>
    <t>http://www.gov.cn/xinwen/2017-03/23/content_5180079.htm</t>
  </si>
  <si>
    <t>https://www.ndrc.gov.cn/fggz/zcssfz/zcgh/201703/W020190910670680927090.pdf</t>
  </si>
  <si>
    <t>http://www.rail-transit.com/project/show.php?itemid=252</t>
  </si>
  <si>
    <t>http://drc.gd.gov.cn/zdxm5665/content/post_851139.html</t>
  </si>
  <si>
    <t>http://news.sina.com.cn/c/2007-09-06/013313825648.shtml</t>
  </si>
  <si>
    <t>Line 2 and 8</t>
  </si>
  <si>
    <t>Line 2 and 8 Extension</t>
  </si>
  <si>
    <t>https://www.ndrc.gov.cn/fzggw/jgsj/tzs/sjdt/200706/t20070622_1192155.html</t>
  </si>
  <si>
    <t>Line 6 Phase 3</t>
  </si>
  <si>
    <t>http://drc.gd.gov.cn/zdxm5665/content/post_851371.html</t>
  </si>
  <si>
    <t>http://www.gz.gov.cn/zwgk/zdxm/2012n/content/post_2847743.html</t>
  </si>
  <si>
    <t>http://www.rail-transit.com/project/show.php?itemid=87</t>
  </si>
  <si>
    <t>Line 13 Phase 2</t>
  </si>
  <si>
    <t>http://www.rail-transit.com/project/show.php?itemid=350</t>
  </si>
  <si>
    <t>Nansha-Zhuhai (Zhongshan) intercity or Line 18</t>
  </si>
  <si>
    <t>http://gd.people.com.cn/n2/2020/0805/c123932-34206133.html</t>
  </si>
  <si>
    <t>Line 22 Northern Extension</t>
  </si>
  <si>
    <t>Line 18 North</t>
  </si>
  <si>
    <t>http://www.rail-transit.com/project/show.php?itemid=619</t>
  </si>
  <si>
    <t>Line 8 Eastern Extension</t>
  </si>
  <si>
    <t>https://new.qq.com/omn/20210623/20210623A096ZY00.html</t>
  </si>
  <si>
    <t>https://news.dayoo.com/guangzhou/202011/02/139995_53631830.htm</t>
  </si>
  <si>
    <t>Guilin</t>
  </si>
  <si>
    <t>http://www.rail-transit.com/project/show.php?itemid=278</t>
  </si>
  <si>
    <t>Guiyang</t>
  </si>
  <si>
    <t>https://zh.wikipedia.org/wiki/%E8%B4%B5%E9%98%B3%E8%BD%A8%E9%81%93%E4%BA%A4%E9%80%9A1%E5%8F%B7%E7%BA%BF</t>
  </si>
  <si>
    <t>S1</t>
  </si>
  <si>
    <t>S1 Phase 1</t>
  </si>
  <si>
    <t>http://zfxxgk.ndrc.gov.cn/web/iteminfo.jsp?id=362</t>
  </si>
  <si>
    <t>http://www.rail-transit.com/project/show.php?itemid=294</t>
  </si>
  <si>
    <t>https://baike.baidu.com/item/%E8%B4%B5%E9%98%B3%E8%BD%A8%E9%81%93%E4%BA%A4%E9%80%9A3%E5%8F%B7%E7%BA%BF/16024214#reference-[2]-15957490-wrap</t>
  </si>
  <si>
    <t>S2</t>
  </si>
  <si>
    <t>S2 Phase 1 North</t>
  </si>
  <si>
    <t>http://www.rail-transit.com/project/show.php?itemid=113</t>
  </si>
  <si>
    <t>Hangzhou</t>
  </si>
  <si>
    <t>https://tieba.baidu.com/p/4042648134?red_tag=1976143705; https://www.sohu.com/a/277774667_180330; http://zzhz.zjol.com.cn/05zzhz/system/2007/01/10/008096707.shtml</t>
  </si>
  <si>
    <t>http://www.rail-transit.com/project/show.php?itemid=313</t>
  </si>
  <si>
    <t>Hanglin LIne</t>
  </si>
  <si>
    <t>Hanglin Line (Hangzhou Section)</t>
  </si>
  <si>
    <t>http://www.rail-transit.com/project/show.php?itemid=89</t>
  </si>
  <si>
    <t>Hanglin Line (Lin'an Section)</t>
  </si>
  <si>
    <t>https://www.ndrc.gov.cn/xxgk/zcfb/ghwb/201612/W020190905497886107757.pdf</t>
  </si>
  <si>
    <t>Line 5 Phase 2</t>
  </si>
  <si>
    <t>http://www.rail-transit.com/project/show.php?itemid=136</t>
  </si>
  <si>
    <t>Hangfu Line</t>
  </si>
  <si>
    <t>http://www.rail-transit.com/project/show.php?itemid=286</t>
  </si>
  <si>
    <t>Hangzhou-Haining Line</t>
  </si>
  <si>
    <t>http://www.rail-transit.com/project/show.php?itemid=249</t>
  </si>
  <si>
    <t>http://www.rail-transit.com/project/show.php?itemid=133</t>
  </si>
  <si>
    <t>http://www.rail-transit.com/project/show.php?itemid=301</t>
  </si>
  <si>
    <t>http://www.rail-transit.com/project/show.php?itemid=137</t>
  </si>
  <si>
    <t>http://www.rail-transit.com/project/show.php?itemid=138</t>
  </si>
  <si>
    <t>http://www.rail-transit.com/project/show.php?itemid=134</t>
  </si>
  <si>
    <t>K1 Airport Line</t>
  </si>
  <si>
    <t>http://www.rail-transit.com/project/show.php?itemid=116</t>
  </si>
  <si>
    <t>Line 3 North Extension</t>
  </si>
  <si>
    <t>http://www.rail-transit.com/project/show.php?itemid=351</t>
  </si>
  <si>
    <t>Line 2 Phase 1 Xiaoshan section</t>
  </si>
  <si>
    <t>http://zzhz.zjol.com.cn/05zzhz/system/2008/09/29/009985997.shtml</t>
  </si>
  <si>
    <t>https://www.cssglw.com/news/635201059257656250.html</t>
  </si>
  <si>
    <t>http://zj.cnr.cn/hzbb/20141013/t20141013_516587545.shtml</t>
  </si>
  <si>
    <t>http://117.149.20.102/zjgcjy/InfoDetail/?InfoID=8a06b8de-a13d-4102-9c58-df3858d9e226&amp;CategoryNum=004001001</t>
  </si>
  <si>
    <t>Line 2 Phase 1 (redesign)</t>
  </si>
  <si>
    <t>https://fzggw.zj.gov.cn/art/2017/7/6/art_1599553_30290528.html</t>
  </si>
  <si>
    <t>Line 5 Phase 2 West</t>
  </si>
  <si>
    <t>http://www.rail-transit.com/project/show.php?itemid=270</t>
  </si>
  <si>
    <t>http://www.rail-transit.com/project/show.php?itemid=359</t>
  </si>
  <si>
    <t>Harbin</t>
  </si>
  <si>
    <t>http://www.gov.cn/jrzg/2005-12/05/content_118066.htm</t>
  </si>
  <si>
    <t>Line 1 Phase 4</t>
  </si>
  <si>
    <t>https://web.archive.org/web/20160509075613/http://www.harbin-metro.com/system/20160418/000002978.html</t>
  </si>
  <si>
    <t>Line 2 Phase 2 North and South Ext</t>
  </si>
  <si>
    <t>http://www.rail-transit.com/project/show.php?itemid=212</t>
  </si>
  <si>
    <t>See sceenshot</t>
  </si>
  <si>
    <t>http://www.rail-transit.com/project/show.php?itemid=232</t>
  </si>
  <si>
    <t>Hefei</t>
  </si>
  <si>
    <t>Line 1 Phase 1+2</t>
  </si>
  <si>
    <t>https://www.sohu.com/a/112444814_268310</t>
  </si>
  <si>
    <t>http://www.rail-transit.com/project/show.php?itemid=310</t>
  </si>
  <si>
    <t>https://www.ndrc.gov.cn/xxgk/zcfb/tz/201412/W020190905507203840468.pdf</t>
  </si>
  <si>
    <t>http://www.rail-transit.com/project/show.php?itemid=563</t>
  </si>
  <si>
    <t>http://www.rail-transit.com/project/show.php?itemid=564</t>
  </si>
  <si>
    <t>Hefei-Lu'an Regional Express Line</t>
  </si>
  <si>
    <t>http://www.rail-transit.com/project/show.php?itemid=66</t>
  </si>
  <si>
    <t>Line 1 South</t>
  </si>
  <si>
    <t>http://www.rail-transit.com/project/show.php?itemid=307</t>
  </si>
  <si>
    <t>http://www.rail-transit.com/project/show.php?itemid=85</t>
  </si>
  <si>
    <t>http://www.rail-transit.com/project/show.php?itemid=706</t>
  </si>
  <si>
    <t>http://www.rail-transit.com/project/show.php?itemid=325</t>
  </si>
  <si>
    <t>http://www.rail-transit.com/project/show.php?itemid=713</t>
  </si>
  <si>
    <t>http://www.rail-transit.com/project/show.php?itemid=582</t>
  </si>
  <si>
    <t>not started</t>
  </si>
  <si>
    <t>http://zfxxgk.ndrc.gov.cn/web/iteminfo.jsp?id=16921</t>
  </si>
  <si>
    <t>Hohhot</t>
  </si>
  <si>
    <t>http://www.rail-transit.com/project/show.php?itemid=202</t>
  </si>
  <si>
    <t>Huizhou</t>
  </si>
  <si>
    <t>http://www.rail-transit.com/project/show.php?itemid=230</t>
  </si>
  <si>
    <t>Jiaxing</t>
  </si>
  <si>
    <t>Hujia Regional Railway</t>
  </si>
  <si>
    <t>Hujia Regional Railway (Zhejiang section)</t>
  </si>
  <si>
    <t>http://www.rail-transit.com/project/show.php?itemid=379</t>
  </si>
  <si>
    <t>Jinan</t>
  </si>
  <si>
    <t>http://www.rail-transit.com/project/show.php?itemid=239</t>
  </si>
  <si>
    <t>http://m.iqilu.com/pcarticle/4545295</t>
  </si>
  <si>
    <t>rail-transit.com/project/show.php?itemid=228</t>
  </si>
  <si>
    <t>http://www.rail-transit.com/project/show.php?itemid=617</t>
  </si>
  <si>
    <t>Kunming</t>
  </si>
  <si>
    <t>Line 1 Phase 1 and Line 2 Phase 1</t>
  </si>
  <si>
    <t>https://www.kankanyn.com/jianwen/34919.html</t>
  </si>
  <si>
    <t>Line 1 Feeder</t>
  </si>
  <si>
    <t>http://zfxxgk.ndrc.gov.cn/web/iteminfo.jsp?id=12400</t>
  </si>
  <si>
    <t>Line 1 Southern Extension</t>
  </si>
  <si>
    <t>Line 1 Northwestern Extension</t>
  </si>
  <si>
    <t>http://www.rail-transit.com/project/show.php?itemid=495</t>
  </si>
  <si>
    <t>https://yn.leju.com/news/2020-07-03/17306684750030261506576.shtml</t>
  </si>
  <si>
    <t>Lanzhou</t>
  </si>
  <si>
    <t>http://www.rail-transit.com/project/show.php?itemid=419</t>
  </si>
  <si>
    <t>http://www.rail-transit.com/project/show.php?itemid=167</t>
  </si>
  <si>
    <t>http://www.rail-transit.com/project/show.php?itemid=241</t>
  </si>
  <si>
    <t>Luoyang</t>
  </si>
  <si>
    <t>http://www.rail-transit.com/project/show.php?itemid=164</t>
  </si>
  <si>
    <t>Nanchang</t>
  </si>
  <si>
    <t>Phase 1 Expansion (Line 1 and 2)</t>
  </si>
  <si>
    <t>http://www.jiangxi.gov.cn/art/2018/8/16/art_4985_350163.html</t>
  </si>
  <si>
    <t>http://zfxxgk.ndrc.gov.cn/web/iteminfo.jsp?id=316</t>
  </si>
  <si>
    <t>Line 1 Eastern Extension</t>
  </si>
  <si>
    <t>http://www.rail-transit.com/project/show.php?itemid=206</t>
  </si>
  <si>
    <t>http://www.rail-transit.com/project/show.php?itemid=391</t>
  </si>
  <si>
    <t>http://www.rail-transit.com/project/show.php?itemid=392</t>
  </si>
  <si>
    <t>Nanjing</t>
  </si>
  <si>
    <t>https://baike.baidu.com/item/%E5%8D%97%E4%BA%AC%E5%9C%B0%E9%93%811%E5%8F%B7%E7%BA%BF</t>
  </si>
  <si>
    <t>Line S8</t>
  </si>
  <si>
    <t>Line S8 Phase 2</t>
  </si>
  <si>
    <t>https://news.sina.com.tw/article/20140812/13098521.html</t>
  </si>
  <si>
    <t>https://kmcha.com/similar/%E5%AF%A7%E5%A4%A9%E5%9F%8E%E9%9A%9B%E8%BB%8C%E9%81%93</t>
  </si>
  <si>
    <t>https://www.163.com/dy/article/EDJQN1JG0511K4OT.html</t>
  </si>
  <si>
    <t>Line 3 Phase 3</t>
  </si>
  <si>
    <t>https://www.ndrc.gov.cn/fggz/zcssfz/zcgh/201505/W020190910670534928118.pdf</t>
  </si>
  <si>
    <t>Line 9 Line 5</t>
  </si>
  <si>
    <t>http://www.rail-transit.com/project/show.php?itemid=365</t>
  </si>
  <si>
    <t>Line S8 Southern Extension</t>
  </si>
  <si>
    <t>https://www.ndrc.gov.cn/xxgk/zcfb/ghwb/201611/W020190905497856961234.pdf</t>
  </si>
  <si>
    <t>Line 11 Phase 1</t>
  </si>
  <si>
    <t>http://www.rail-transit.com/project/show.php?itemid=329</t>
  </si>
  <si>
    <t>Line S4 Nanjing-Chuzhou</t>
  </si>
  <si>
    <t>Line S4 Nanjing-Chuzhou Phase 1 (Chuzhou Section)</t>
  </si>
  <si>
    <t>http://www.rail-transit.com/project/show.php?itemid=347</t>
  </si>
  <si>
    <t>http://www.xhby.net/nj/yw/202107/t20210707_7149440.shtml</t>
  </si>
  <si>
    <t>http://www.rail-transit.com/project/show.php?itemid=205</t>
  </si>
  <si>
    <t>http://www.rail-transit.com/project/show.php?itemid=331</t>
  </si>
  <si>
    <t>http://www.gov.cn/jrzg/2005-12/28/content_140207.htm</t>
  </si>
  <si>
    <t>https://www.chinanews.com.cn/n/2003-01-14/26/263383.html</t>
  </si>
  <si>
    <t>http://www.rail-transit.com/project/show.php?itemid=188</t>
  </si>
  <si>
    <t>Line 1 Northern Extension</t>
  </si>
  <si>
    <t>http://www.rail-transit.com/project/show.php?itemid=265</t>
  </si>
  <si>
    <t>http://www.rail-transit.com/project/show.php?itemid=105</t>
  </si>
  <si>
    <t>Line S2 Nanjing-Ma'anshan</t>
  </si>
  <si>
    <t>Line S2 Nanjing-Ma'anshan Regional Rail (Anhui section)</t>
  </si>
  <si>
    <t>http://www.rail-transit.com/project/show.php?itemid=605</t>
  </si>
  <si>
    <t>Line S2 Nanjing-Ma'anshan Regional Rail (Nanjing section)</t>
  </si>
  <si>
    <t>http://www.rail-transit.com/project/show.php?itemid=647</t>
  </si>
  <si>
    <t>http://www.zgjssw.gov.cn/shixianchuanzhen/nanjing/202102/t20210209_6976410.shtml</t>
  </si>
  <si>
    <t>Line S3 Nanjing-He County</t>
  </si>
  <si>
    <t>http://www.rail-transit.com/project/show.php?itemid=727</t>
  </si>
  <si>
    <t>Line S4 Nanjing-Chuzhou Phase 2 (Nanjing Section)</t>
  </si>
  <si>
    <t>http://www.rail-transit.com/project/show.php?itemid=610</t>
  </si>
  <si>
    <t>Line S5 Nanjing-Yangzhou</t>
  </si>
  <si>
    <t>http://www.rail-transit.com/project/show.php?itemid=568</t>
  </si>
  <si>
    <t>http://www.jshbgz.cn/hpgs/202102/t20210207_451424.html</t>
  </si>
  <si>
    <t>Line S6</t>
  </si>
  <si>
    <t>http://www.rail-transit.com/project/show.php?itemid=145</t>
  </si>
  <si>
    <t>https://news.suning.com/wtoutiao/witem2_5470123473.html</t>
  </si>
  <si>
    <t>Line S4 Nanjing-Chuzhou Phase 2 (Chuzhou Section)</t>
  </si>
  <si>
    <t>http://www.rail-transit.com/project/show.php?itemid=435</t>
  </si>
  <si>
    <t>https://m.jiemian.com/article/2611638.html</t>
  </si>
  <si>
    <t>Nanning</t>
  </si>
  <si>
    <t>https://kknews.cc/society/va42lel.html</t>
  </si>
  <si>
    <t>http://gx.sina.com.cn/news/gx/2014-01-01/00277609.html?from=gx_cnxh</t>
  </si>
  <si>
    <t>Line 3 Phase1</t>
  </si>
  <si>
    <t>http://www.nngdjt.com/html/4061/6290.html</t>
  </si>
  <si>
    <t>http://www.rail-transit.com/project/show.php?itemid=211</t>
  </si>
  <si>
    <t>http://www.nngdjt.com/html/4061/8670.html</t>
  </si>
  <si>
    <t>http://www.rail-transit.com/project/show.php?itemid=42</t>
  </si>
  <si>
    <t>Airport Line</t>
  </si>
  <si>
    <t>http://www.rail-transit.com/project/show.php?itemid=524</t>
  </si>
  <si>
    <t>Wuming Line</t>
  </si>
  <si>
    <t>http://www.rail-transit.com/project/show.php?itemid=587</t>
  </si>
  <si>
    <t>Nantong</t>
  </si>
  <si>
    <t>http://www.rail-transit.com/project/show.php?itemid=56</t>
  </si>
  <si>
    <t>http://www.rail-transit.com/project/show.php?itemid=339</t>
  </si>
  <si>
    <t>Ningbo</t>
  </si>
  <si>
    <t>http://www.rail-transit.com/project/show.php?itemid=320</t>
  </si>
  <si>
    <t>promeechina.com/newsinfo.html?id=27</t>
  </si>
  <si>
    <t>Ningbo-Fenghua Line</t>
  </si>
  <si>
    <t>http://www.rail-transit.com/project/show.php?itemid=282</t>
  </si>
  <si>
    <t>2013-2020 Program</t>
  </si>
  <si>
    <t>http://www.cnnb.com.cn/dwhzlm/system/2013/11/15/007905106.shtml</t>
  </si>
  <si>
    <t>http://www.rail-transit.com/project/show.php?itemid=273</t>
  </si>
  <si>
    <t>http://www.rail-transit.com/project/show.php?itemid=554</t>
  </si>
  <si>
    <t>http://www.rail-transit.com/project/show.php?itemid=503</t>
  </si>
  <si>
    <t>http://www.rail-transit.com/project/show.php?itemid=236</t>
  </si>
  <si>
    <t>Putian</t>
  </si>
  <si>
    <t>F2 Line</t>
  </si>
  <si>
    <t>http://www.rail-transit.com/project/show.php?itemid=532</t>
  </si>
  <si>
    <t>Qingdao</t>
  </si>
  <si>
    <t>http://www.sasac.gov.cn/n2588025/n2588124/c8918136/content.html</t>
  </si>
  <si>
    <t>http://sd.sina.com.cn/news/2018-04-12/detail-ifyzeyqa8611820.shtml</t>
  </si>
  <si>
    <t>Qingdao-Pingdu Intercity Rail</t>
  </si>
  <si>
    <t>http://www.rail-transit.com/project/show.php?itemid=140</t>
  </si>
  <si>
    <t>Line 1 + Line 7</t>
  </si>
  <si>
    <t>Line 1 + Line 7 Phase 1</t>
  </si>
  <si>
    <t>http://www.rail-transit.com/project/show.php?itemid=229</t>
  </si>
  <si>
    <t>http://www.rail-transit.com/project/show.php?itemid=187</t>
  </si>
  <si>
    <t>http://www.rail-transit.com/project/show.php?itemid=400</t>
  </si>
  <si>
    <t>https://zfxxgk.ndrc.gov.cn/web/iteminfo.jsp?id=18249</t>
  </si>
  <si>
    <t>http://www.rail-transit.com/project/show.php?itemid=669</t>
  </si>
  <si>
    <t>Line 6 Phase 2 South</t>
  </si>
  <si>
    <t>http://www.rail-transit.com/project/show.php?itemid=725</t>
  </si>
  <si>
    <t>Line 8 Branch</t>
  </si>
  <si>
    <t>http://www.rail-transit.com/project/show.php?itemid=726</t>
  </si>
  <si>
    <t>https://ditie.mapbar.com/qingdao/news/37965.html</t>
  </si>
  <si>
    <t>http://www.rail-transit.com/project/show.php?itemid=450</t>
  </si>
  <si>
    <t>Line 2 Phase 2 East Section</t>
  </si>
  <si>
    <t>http://www.rail-transit.com/project/show.php?itemid=668</t>
  </si>
  <si>
    <t>Shanghai</t>
  </si>
  <si>
    <t>Line 1 (Shanghai Railway Station to Jinjiang Park)</t>
  </si>
  <si>
    <t>https://zh.wikipedia.org/wiki/%E4%B8%8A%E6%B5%B7%E8%BD%A8%E9%81%93%E4%BA%A4%E9%80%9A1%E5%8F%B7%E7%BA%BF</t>
  </si>
  <si>
    <t>https://zh.wikipedia.org/wiki/%E4%B8%8A%E6%B5%B7%E8%BD%A8%E9%81%93%E4%BA%A4%E9%80%9A2%E5%8F%B7%E7%BA%BF</t>
  </si>
  <si>
    <t>https://zh.wikipedia.org/wiki/%E4%B8%8A%E6%B5%B7%E8%BD%A8%E9%81%93%E4%BA%A4%E9%80%9A3%E5%8F%B7%E7%BA%BF</t>
  </si>
  <si>
    <t>Line 2 Eastern Extension 1</t>
  </si>
  <si>
    <t>https://zh.wikipedia.org/wiki/%E4%B8%8A%E6%B5%B7%E8%BD%A8%E9%81%93%E4%BA%A4%E9%80%9A5%E5%8F%B7%E7%BA%BF</t>
  </si>
  <si>
    <t>https://zh.wikipedia.org/wiki/%E4%B8%8A%E6%B5%B7%E8%BD%A8%E9%81%93%E4%BA%A4%E9%80%9A4%E5%8F%B7%E7%BA%BF</t>
  </si>
  <si>
    <t>Line 2 Western Extension 1</t>
  </si>
  <si>
    <t>Line 3 Northern Extension</t>
  </si>
  <si>
    <t>https://zh.wikipedia.org/wiki/%E4%B8%8A%E6%B5%B7%E8%BD%A8%E9%81%93%E4%BA%A4%E9%80%9A9%E5%8F%B7%E7%BA%BF</t>
  </si>
  <si>
    <t>https://zh.wikipedia.org/wiki/%E4%B8%8A%E6%B5%B7%E8%BD%A8%E9%81%93%E4%BA%A4%E9%80%9A7%E5%8F%B7%E7%BA%BF</t>
  </si>
  <si>
    <t>https://zh.wikipedia.org/wiki/%E4%B8%8A%E6%B5%B7%E8%BD%A8%E9%81%93%E4%BA%A4%E9%80%9A11%E5%8F%B7%E7%BA%BF</t>
  </si>
  <si>
    <t>https://zh.wikipedia.org/wiki/%E4%B8%8A%E6%B5%B7%E8%BD%A8%E9%81%93%E4%BA%A4%E9%80%9A8%E5%8F%B7%E7%BA%BF</t>
  </si>
  <si>
    <t>https://zh.wikipedia.org/wiki/%E4%B8%8A%E6%B5%B7%E8%BD%A8%E9%81%93%E4%BA%A4%E9%80%9A10%E5%8F%B7%E7%BA%BF</t>
  </si>
  <si>
    <t>Line 2 Eastern Extension 2</t>
  </si>
  <si>
    <t>Line 2 Western Extension 2</t>
  </si>
  <si>
    <t>https://zh.wikipedia.org/wiki/%E4%B8%8A%E6%B5%B7%E8%BD%A8%E9%81%93%E4%BA%A4%E9%80%9A6%E5%8F%B7%E7%BA%BF</t>
  </si>
  <si>
    <t>Line 7 Northern Extension</t>
  </si>
  <si>
    <t>Line 9 Phase 3</t>
  </si>
  <si>
    <t>Line 11 Phase 2</t>
  </si>
  <si>
    <t>Line 11 Huaqiao</t>
  </si>
  <si>
    <t>https://www.sohu.com/a/134664821_249521;  https://zh.wikipedia.org/wiki/%E4%B8%8A%E6%B5%B7%E8%BD%A8%E9%81%93%E4%BA%A4%E9%80%9A16%E5%8F%B7%E7%BA%BF</t>
  </si>
  <si>
    <t>Line 11 (to Disney)</t>
  </si>
  <si>
    <t>Line 9 Phase 3 Eastern Extension</t>
  </si>
  <si>
    <t>https://www.pudong.gov.cn/zwgkupfiles/temp/2021-11-10/2c4b9a67-37b0-4046-a0ca-7cdc4d3b0d27/46%E5%8F%B7.pdf</t>
  </si>
  <si>
    <t>https://web.archive.org/web/20201108201629/http://news.sina.com.cn/o/2017-12-27/doc-ifyqchnr6135266.shtml</t>
  </si>
  <si>
    <t>Line 5 Southern Extension</t>
  </si>
  <si>
    <t>Line 8 Phase 3 (Pujiang Line)</t>
  </si>
  <si>
    <t>https://zh.wikipedia.org/wiki/%E4%B8%8A%E6%B5%B7%E8%BD%A8%E9%81%93%E4%BA%A4%E9%80%9A%E6%B5%A6%E6%B1%9F%E7%BA%BF#cite_note-4</t>
  </si>
  <si>
    <t>https://sh.ihouse.ifeng.com/news/2020_06_10-52808712_0.shtml/?from=news_highlights_news</t>
  </si>
  <si>
    <t>http://www.rail-transit.com/project/show.php?itemid=201</t>
  </si>
  <si>
    <t>http://www.rail-transit.com/project/show.php?itemid=287</t>
  </si>
  <si>
    <t>http://www.rail-transit.com/project/show.php?itemid=281</t>
  </si>
  <si>
    <t>Airport Contact Line</t>
  </si>
  <si>
    <t>https://www.ndrc.gov.cn/fggz/zcssfz/zcgh/201812/W020190910670719961874.pdf</t>
  </si>
  <si>
    <t>Jiamin Line</t>
  </si>
  <si>
    <t>http://www.rail-transit.com/project/show.php?itemid=343</t>
  </si>
  <si>
    <t>https://www.seetao.com/details/82868.html</t>
  </si>
  <si>
    <t>Line 12 West Extension</t>
  </si>
  <si>
    <t>seetao.com/details/179710.html</t>
  </si>
  <si>
    <t>Chongming</t>
  </si>
  <si>
    <t>Line 1 Western Extension</t>
  </si>
  <si>
    <t>Line 13 Western Extension</t>
  </si>
  <si>
    <t>https://www.ndrc.gov.cn/fggz/zcssfz/zcgh/201812/t20181219_1145778.html; http://shanghai.metrofans.cn/thread-443669-1-1.html</t>
  </si>
  <si>
    <t>Line 20</t>
  </si>
  <si>
    <t>Line 20 Phase 1</t>
  </si>
  <si>
    <t>Line 21 Phase 1</t>
  </si>
  <si>
    <t>https://www.ndrc.gov.cn/fggz/zcssfz/zcgh/201812/W020190910670719961874.pdf; https://baike.baidu.com/item/%E4%B8%8A%E6%B5%B7%E5%9C%B0%E9%93%8121%E5%8F%B7%E7%BA%BF</t>
  </si>
  <si>
    <t>Line 23</t>
  </si>
  <si>
    <t>Line 23 Phase 1</t>
  </si>
  <si>
    <t>Shaoxing</t>
  </si>
  <si>
    <t>Hangshao Line</t>
  </si>
  <si>
    <t>http://www.ce.cn/cysc/jtys/tielu/202102/02/t20210202_36283657.shtml</t>
  </si>
  <si>
    <t>http://www.rail-transit.com/project/show.php?itemid=259</t>
  </si>
  <si>
    <t>http://www.rail-transit.com/project/show.php?itemid=179</t>
  </si>
  <si>
    <t>http://www.rail-transit.com/project/show.php?itemid=194</t>
  </si>
  <si>
    <t>Shenyang</t>
  </si>
  <si>
    <t>http://www.symtc.com/content.php?5894</t>
  </si>
  <si>
    <t>http://www.rail-transit.com/project/show.php?itemid=216</t>
  </si>
  <si>
    <t>https://sy.leju.com/news/2021-10-25/16496858323734529623540.shtml</t>
  </si>
  <si>
    <t>http://www.janeoo.com/news/hangyedongtai-detail-539834.htm</t>
  </si>
  <si>
    <t>http://www.shenyangbus.com/a/sydt/2018/1227/10268.html; https://3g.163.com/dy/article_cambrian/FBU1V3JE052590Q7.html</t>
  </si>
  <si>
    <t>http://www.shenyangbus.com/a/sydt/2018/1227/10268.html</t>
  </si>
  <si>
    <t>Line 1 and 2</t>
  </si>
  <si>
    <t>Line 1 and 2 Phase 1</t>
  </si>
  <si>
    <t>Line 2 Southern Extension</t>
  </si>
  <si>
    <t>Shenzhen</t>
  </si>
  <si>
    <t>Phase 1 Expansion (Line 1 and 4)</t>
  </si>
  <si>
    <t>https://www.szmc.net/jituagaikuang/tourongziyewu/tourongziqingkuang/</t>
  </si>
  <si>
    <t>http://fgw.sz.gov.cn/zwgk/qt/tzgg/201902/P020190226346098115982.pdf</t>
  </si>
  <si>
    <t>Line 3 Phase 3 North Ext</t>
  </si>
  <si>
    <t>https://www.ndrc.gov.cn/fggz/zcssfz/zcgh/201509/W020190910670552487617.pdf</t>
  </si>
  <si>
    <t>http://www.rail-transit.com/project/show.php?itemid=299</t>
  </si>
  <si>
    <t>https://www.ndrc.gov.cn/xxgk/zcfb/ghwb/201707/W020190905497930956563.pdf</t>
  </si>
  <si>
    <t>Line 6 (feeder)</t>
  </si>
  <si>
    <t>http://fgw.sz.gov.cn/zwgk/qt/tzgg/201902/P020190226346098115982.pdf; https://www.sohu.com/a/224155978_729676</t>
  </si>
  <si>
    <t>Line 12 Phase 2</t>
  </si>
  <si>
    <t>https://huacheng.gz-cmc.com/pages/2020/09/02/12217064331742859f82edec5e61f9ff.html</t>
  </si>
  <si>
    <t>Line 3 Phase 3 North Ext (Phase 4)</t>
  </si>
  <si>
    <t>https://zfxxgk.ndrc.gov.cn/web/iteminfo.jsp?id=16961</t>
  </si>
  <si>
    <t>Line 3 Phase 4</t>
  </si>
  <si>
    <t>http://www.rail-transit.com/project/show.php?itemid=354</t>
  </si>
  <si>
    <t>Line 13 Southern Extension</t>
  </si>
  <si>
    <t>Line 8 Phase 3</t>
  </si>
  <si>
    <t>Line 5 West Extension</t>
  </si>
  <si>
    <t>http://www.rail-transit.com/project/show.php?itemid=346</t>
  </si>
  <si>
    <t>http://www.rail-transit.com/project/show.php?itemid=175</t>
  </si>
  <si>
    <t>Guangzhou-Dongguan-Shenzhen Regional Rail</t>
  </si>
  <si>
    <t>Guangzhou-Dongguan-Shenzhen Regional Rail South Extension</t>
  </si>
  <si>
    <t>http://www.rail-transit.com/project/show.php?itemid=541</t>
  </si>
  <si>
    <t>Line 13 Northern Extension</t>
  </si>
  <si>
    <t>http://www.rail-transit.com/project/show.php?itemid=537</t>
  </si>
  <si>
    <t>http://www.rail-transit.com/project/show.php?itemid=75</t>
  </si>
  <si>
    <t>Shenhui</t>
  </si>
  <si>
    <t>Shenhui Dapeng Branch ICR</t>
  </si>
  <si>
    <t>http://www.rail-transit.com/project/show.php?itemid=545</t>
  </si>
  <si>
    <t>Shenhui Mainline ICR</t>
  </si>
  <si>
    <t>http://drc.gd.gov.cn/xmgs/content/post_3719459.html</t>
  </si>
  <si>
    <t>http://www.rail-transit.com/project/show.php?itemid=557</t>
  </si>
  <si>
    <t>http://fgw.sz.gov.cn/gkmlpt/content/8/8275/post_8275981.html#2647</t>
  </si>
  <si>
    <t>Line 16 Phase 2</t>
  </si>
  <si>
    <t>Shijiazhuang</t>
  </si>
  <si>
    <t>http://www.gov.cn/jrzg/2012-09/28/content_2235330.htm</t>
  </si>
  <si>
    <t>http://www.rail-transit.com/project/show.php?itemid=196</t>
  </si>
  <si>
    <t>https://www.ndrc.gov.cn/fggz/zcssfz/zcgh/201601/W020190910670584360634.pdf</t>
  </si>
  <si>
    <t>http://www.rail-transit.com/project/show.php?itemid=226</t>
  </si>
  <si>
    <t>http://www.rail-transit.com/project/show.php?itemid=573</t>
  </si>
  <si>
    <t>http://www.rail-transit.com/project/show.php?itemid=572</t>
  </si>
  <si>
    <t>Suzhou</t>
  </si>
  <si>
    <t>http://www.tranbbs.com/Advisory/Rail/Advisory_84459.shtml</t>
  </si>
  <si>
    <t>http://www.rail-transit.com/project/show.php?itemid=293</t>
  </si>
  <si>
    <t>http://www.rail-transit.com/project/show.php?itemid=148</t>
  </si>
  <si>
    <t>http://www.rail-transit.com/project/show.php?itemid=321</t>
  </si>
  <si>
    <t>https://www.ndrc.gov.cn/xxgk/zcfb/ghwb/201809/W020190905497960329280.pdf</t>
  </si>
  <si>
    <t>Line S1</t>
  </si>
  <si>
    <t>Taiyuan</t>
  </si>
  <si>
    <t>http://finance.sina.com.cn/roll/20120905/131013052588.shtml</t>
  </si>
  <si>
    <t>http://www.rail-transit.com/project/show.php?itemid=260</t>
  </si>
  <si>
    <t>Jinzhong-Taiyuan Intercity</t>
  </si>
  <si>
    <t>http://www.rail-transit.com/project/show.php?itemid=120</t>
  </si>
  <si>
    <t>http://www.rail-transit.com/project/show.php?itemid=159</t>
  </si>
  <si>
    <t>Taizhou</t>
  </si>
  <si>
    <t>Line S2</t>
  </si>
  <si>
    <t>Line S2 South Segment</t>
  </si>
  <si>
    <t>http://www.rail-transit.com/project/show.php?itemid=711</t>
  </si>
  <si>
    <t>Line S2 West Segment</t>
  </si>
  <si>
    <t>http://www.zjtz.gov.cn/art/2021/8/25/art_1229049733_59046724.html</t>
  </si>
  <si>
    <t>https://www.cpppc.org/zhejiang/1001654.jhtml</t>
  </si>
  <si>
    <t>http://www.rail-transit.com/project/show.php?itemid=251</t>
  </si>
  <si>
    <t>Tianjin</t>
  </si>
  <si>
    <t>Z4</t>
  </si>
  <si>
    <t>Z4 Phase 1</t>
  </si>
  <si>
    <t>http://www.rail-transit.com/file/upload/201907/15/10573644162.pdf</t>
  </si>
  <si>
    <t>M8</t>
  </si>
  <si>
    <t>M8 Phase 1</t>
  </si>
  <si>
    <t>https://wenku.baidu.com/view/801ab19a8ad63186bceb19e8b8f67c1cfbd6ee6e.html</t>
  </si>
  <si>
    <t>Z2</t>
  </si>
  <si>
    <t>Z2 Phase 1</t>
  </si>
  <si>
    <t>M10</t>
  </si>
  <si>
    <t>M10 Phase 1</t>
  </si>
  <si>
    <t>http://www.rail-transit.com/project/show.php?itemid=316</t>
  </si>
  <si>
    <t>M11</t>
  </si>
  <si>
    <t>M11 Phase 1</t>
  </si>
  <si>
    <t>http://www.rail-transit.com/project/show.php?itemid=155</t>
  </si>
  <si>
    <t>M7</t>
  </si>
  <si>
    <t>M7 Phase 1</t>
  </si>
  <si>
    <t>http://www.rail-transit.com/project/show.php?itemid=154</t>
  </si>
  <si>
    <t>http://www.rail-transit.com/project/show.php?itemid=574</t>
  </si>
  <si>
    <t>B1</t>
  </si>
  <si>
    <t>B1 Phase 1</t>
  </si>
  <si>
    <t>http://news.enorth.com.cn/system/2021/04/23/051305652.shtml</t>
  </si>
  <si>
    <t>M3</t>
  </si>
  <si>
    <t>M3 Phase 2</t>
  </si>
  <si>
    <t>Urumqi</t>
  </si>
  <si>
    <t>http://www.rail-transit.com/project/show.php?itemid=428</t>
  </si>
  <si>
    <t>https://web.archive.org/web/20191106163139/http://www.bjgdjs.com/html/2019-09/797.html</t>
  </si>
  <si>
    <t>http://www.rail-transit.com/project/show.php?itemid=130</t>
  </si>
  <si>
    <t>http://www.rail-transit.com/project/show.php?itemid=195</t>
  </si>
  <si>
    <t>Wenzhou</t>
  </si>
  <si>
    <t>M2</t>
  </si>
  <si>
    <t>http://www.wenzhou.gov.cn/art/2019/3/21/art_1219304_31430838.html</t>
  </si>
  <si>
    <t>M1</t>
  </si>
  <si>
    <t>https://www.163.com/dy/article/GT2J4GU20545AOQT.html</t>
  </si>
  <si>
    <t>S3</t>
  </si>
  <si>
    <t>S3 Phase 1</t>
  </si>
  <si>
    <t>http://zjjcmspublic.oss-cn-hangzhou-zwynet-d01-a.internet.cloud.zj.gov.cn/jcms_files/jcms1/web1825/site/attach/0/150120083915404.pdf</t>
  </si>
  <si>
    <t>S2 Phase 1</t>
  </si>
  <si>
    <t>Wuhan</t>
  </si>
  <si>
    <t>https://zh.wikipedia.org/wiki/%E6%AD%A6%E6%B1%89%E8%BD%A8%E9%81%93%E4%BA%A4%E9%80%9A1%E5%8F%B7%E7%BA%BF#%E4%B8%80%E6%9C%9F%E5%B7%A5%E7%A8%8B; https://baike.baidu.com/item/%E6%AD%A6%E6%B1%89%E5%9C%B0%E9%93%811%E5%8F%B7%E7%BA%BF/</t>
  </si>
  <si>
    <t>https://wenku.baidu.com/view/ea439d10dcccda38376baf1ffc4ffe473368fd80.html</t>
  </si>
  <si>
    <t>Line 1 Phase 3 Hankou North</t>
  </si>
  <si>
    <t>https://zh.wikipedia.org/wiki/%E6%AD%A6%E6%B1%89%E8%BD%A8%E9%81%93%E4%BA%A4%E9%80%9A1%E5%8F%B7%E7%BA%BF#%E4%B8%80%E6%9C%9F%E5%B7%A5%E7%A8%8B； http://www.whtpi.com/Service/22/1645.html</t>
  </si>
  <si>
    <t>https://m.sohu.com/n/339227064/?v=3</t>
  </si>
  <si>
    <t>Line 1 Phase 4 (Jinghe)</t>
  </si>
  <si>
    <t>https://zh.wikipedia.org/wiki/%E6%AD%A6%E6%B1%89%E8%BD%A8%E9%81%93%E4%BA%A4%E9%80%9A1%E5%8F%B7%E7%BA%BF#%E4%B8%80%E6%9C%9F%E5%B7%A5%E7%A8%8B</t>
  </si>
  <si>
    <t>Line 4 Western Extension</t>
  </si>
  <si>
    <t>http://img.thupdi.com/news/2015/08/1440573393290975.pdf</t>
  </si>
  <si>
    <t>Line 7 South</t>
  </si>
  <si>
    <t>http://www.rail-transit.com/project/show.php?itemid=272</t>
  </si>
  <si>
    <t>Line 11 East</t>
  </si>
  <si>
    <t>http://www.rail-transit.com/project/show.php?itemid=200</t>
  </si>
  <si>
    <t>Line 11 Phase 3 Hanchang Section</t>
  </si>
  <si>
    <t>http://www.gov.cn/xinwen/2019-01/06/5355294/files/c3d503decf1d4b6b924324b210ee0f1a.pdf</t>
  </si>
  <si>
    <t>Line 12 (Ring)</t>
  </si>
  <si>
    <t>Line 11 Phase 3 Hanyang Section</t>
  </si>
  <si>
    <t>https://zh.wikipedia.org/wiki/%E6%AD%A6%E6%B1%89%E8%BD%A8%E9%81%93%E4%BA%A4%E9%80%9A4%E5%8F%B7%E7%BA%BF#%E4%B8%80%E6%9C%9F%E5%B7%A5%E7%A8%8B</t>
  </si>
  <si>
    <t>Line 2 Northern Extension</t>
  </si>
  <si>
    <t>http://hb.sina.com.cn/news/b/2013-06-03/070979213.html</t>
  </si>
  <si>
    <t>http://www.rail-transit.com/project/show.php?itemid=184</t>
  </si>
  <si>
    <t>Line 11 Phase 3</t>
  </si>
  <si>
    <t>https://baike.baidu.com/reference/17605858/8a2eRI10Oo3jPyB3RZawIu33fUj3OmCx5fKTFCUCJXoq4BKXZ94NcZoLUG7NPyweTNKYwYHoa5qBIK1P24XE4PGoXEqagKR9-p1ks_BmNh00igM</t>
  </si>
  <si>
    <t>Xingang</t>
  </si>
  <si>
    <t>Wuhu</t>
  </si>
  <si>
    <t>http://www.rail-transit.com/project/show.php?itemid=106</t>
  </si>
  <si>
    <t>http://www.rail-transit.com/project/show.php?itemid=109</t>
  </si>
  <si>
    <t>Wuxi</t>
  </si>
  <si>
    <t>http://m.thepaper.cn/kuaibao_detail.jsp?contid=4947698&amp;from=kuaibao</t>
  </si>
  <si>
    <t>https://kns.cnki.net/kcms/detail/detail.aspx?filename=XDGD201501028&amp;dbname=cjfdtotal&amp;dbcode=CJFD&amp;v=MTkxNjl6c09UM2lRclJjekZyQ1VSN2lmWStSc0Z5N25Vci9CUFNuTWFyRzRIOVRNcm85SGJJUjZEZzgvemhZVTc=</t>
  </si>
  <si>
    <t>http://www.rail-transit.com/project/show.php?itemid=308</t>
  </si>
  <si>
    <t>http://www.rail-transit.com/project/show.php?itemid=234</t>
  </si>
  <si>
    <t>https://www.audit.gov.cn/n4/n19/c45720/content.html</t>
  </si>
  <si>
    <t>http://www.rail-transit.com/project/show.php?itemid=283</t>
  </si>
  <si>
    <t>http://www.rail-transit.com/project/show.php?itemid=100</t>
  </si>
  <si>
    <t>http://www.rail-transit.com/xinwen/show.php?itemid=23315</t>
  </si>
  <si>
    <t>Wuxi-Yixing Intercity</t>
  </si>
  <si>
    <t>https://www.seetao.com/details/158417.html</t>
  </si>
  <si>
    <t>Xi'an</t>
  </si>
  <si>
    <t>https://www.sohu.com/a/110615261_160914</t>
  </si>
  <si>
    <t>http://www.shaanxi.gov.cn/xw/sxyw/201309/t20130915_1497525.html</t>
  </si>
  <si>
    <t>http://chinawestern.org/xbfz/jcss/3635.html</t>
  </si>
  <si>
    <t>http://xa.bendibao.com/traffic/2014913/45825.shtm</t>
  </si>
  <si>
    <t>https://www.ndrc.gov.cn/fzggw/jgsj/zcs/sjdt/201401/t20140102_1145411.html</t>
  </si>
  <si>
    <t>http://www.rail-transit.com/project/show.php?itemid=290</t>
  </si>
  <si>
    <t>http://www.rail-transit.com/project/show.php?itemid=244</t>
  </si>
  <si>
    <t>http://www.rail-transit.com/project/show.php?itemid=110</t>
  </si>
  <si>
    <t>https://www.ndrc.gov.cn/xxgk/zcfb/ghwb/201602/t20160218_962174.html</t>
  </si>
  <si>
    <t>Line 6 Phase 1 and 2</t>
  </si>
  <si>
    <t>http://www.rail-transit.com/project/show.php?itemid=276</t>
  </si>
  <si>
    <t>http://www.rail-transit.com/project/show.php?itemid=440</t>
  </si>
  <si>
    <t>Line 16 Phase 1</t>
  </si>
  <si>
    <t>http://www.rail-transit.com/project/show.php?itemid=448</t>
  </si>
  <si>
    <t>https://www.ndrc.gov.cn/fggz/zcssfz/zcgh/201907/W020190910670748591840.pdf</t>
  </si>
  <si>
    <t>http://www.rail-transit.com/project/show.php?itemid=504</t>
  </si>
  <si>
    <t>http://news.hsw.cn/system/2016/1102/522665.shtml</t>
  </si>
  <si>
    <t>http://www.rail-transit.com/project/show.php?itemid=314</t>
  </si>
  <si>
    <t>Xiamen</t>
  </si>
  <si>
    <t>https://www.ndrc.gov.cn/fggz/zcssfz/zdgc/201209/t20120905_1145854.html</t>
  </si>
  <si>
    <t>http://news.sina.com.cn/c/nd/2017-12-27/doc-ifyqchnr6264675.shtml</t>
  </si>
  <si>
    <t>http://www.gov.cn/xinwen/2016-10/13/5118393/files/fc4eeffb973d4e0297ef1fb6bcaa4e73.pdf</t>
  </si>
  <si>
    <t>Quanzhou-Xiamen-Zhangzhou Regional Rail R1</t>
  </si>
  <si>
    <t>Quanzhou-Xiamen-Zhangzhou Regional Rail R1 (Zhangzhou Section)</t>
  </si>
  <si>
    <t>http://www.rail-transit.com/project/show.php?itemid=622</t>
  </si>
  <si>
    <t>http://www.rail-transit.com/project/show.php?itemid=658</t>
  </si>
  <si>
    <t>Quanzhou-Xiamen-Zhangzhou Regional Rail R1 (Xiamen Section)</t>
  </si>
  <si>
    <t>Quanzhou-Xiamen-Zhangzhou Regional Rail R1 (Quanzhou Section)</t>
  </si>
  <si>
    <t>Line 4 (Houxi to Xiang'an Airport)</t>
  </si>
  <si>
    <t>http://www.rail-transit.com/project/show.php?itemid=221</t>
  </si>
  <si>
    <t>Xuzhou</t>
  </si>
  <si>
    <t>http://www.rail-transit.com/project/show.php?itemid=295</t>
  </si>
  <si>
    <t>https://jiaotongbk.com/n6/201691.html</t>
  </si>
  <si>
    <t>First Phase Program (Lines 1, 2 and 3)</t>
  </si>
  <si>
    <t>http://www.ciecc.com.cn/art/2013/3/8/art_1599_30934.html</t>
  </si>
  <si>
    <t>https://new.qq.com/omn/20190117/20190117A1GO47.html</t>
  </si>
  <si>
    <t>http://www.rail-transit.com/project/show.php?itemid=264</t>
  </si>
  <si>
    <t>http://www.rail-transit.com/project/show.php?itemid=243</t>
  </si>
  <si>
    <t>http://www.rail-transit.com/project/show.php?itemid=510</t>
  </si>
  <si>
    <t>http://www.rail-transit.com/project/show.php?itemid=328</t>
  </si>
  <si>
    <t>4 years</t>
  </si>
  <si>
    <t>https://www.ndrc.gov.cn/xxgk/zcfb/tz/202002/P020200210345113822478.pdf</t>
  </si>
  <si>
    <t>5 years</t>
  </si>
  <si>
    <t>Yiwu</t>
  </si>
  <si>
    <t>Phase 1 Program</t>
  </si>
  <si>
    <t>http://www.rail-transit.com/project/show.php?itemid=78</t>
  </si>
  <si>
    <t>Zhengzhou</t>
  </si>
  <si>
    <t>http://news.cctv.com/society/20090323/106184.shtml</t>
  </si>
  <si>
    <t>http://news.sina.com.cn/o/2010-12-29/033421723553.shtml</t>
  </si>
  <si>
    <t>https://www.ndrc.gov.cn/fggz/zcssfz/zcgh/201409/W020190910670519267920.pdf</t>
  </si>
  <si>
    <t>http://www.rail-transit.com/project/show.php?itemid=192</t>
  </si>
  <si>
    <t>Zhengxu Regional</t>
  </si>
  <si>
    <t>Zhengxu Regional Rail (Xucheng Section)</t>
  </si>
  <si>
    <t>http://www.rail-transit.com/project/show.php?itemid=143</t>
  </si>
  <si>
    <t>http://www.rail-transit.com/project/show.php?itemid=142</t>
  </si>
  <si>
    <t>Line 12 Phase 1</t>
  </si>
  <si>
    <t>http://www.rail-transit.com/project/show.php?itemid=514</t>
  </si>
  <si>
    <t>https://4g.dahe.cn/news/20191106554486</t>
  </si>
  <si>
    <t>Zhengxu Regional Rail (Zhengzhou Section)</t>
  </si>
  <si>
    <t>http://www.rail-transit.com/project/show.php?itemid=141</t>
  </si>
  <si>
    <t>https://www.163.com/dy/article/GDQSS29P0530L2T3.html</t>
  </si>
  <si>
    <t>http://www.rail-transit.com/project/show.php?itemid=458</t>
  </si>
  <si>
    <t>https://www.ndrc.gov.cn/fggz/zcssfz/zcgh/201904/W020190910670741123314.pdf</t>
  </si>
  <si>
    <t>Zibo</t>
  </si>
  <si>
    <t>http://www.rail-transit.com/project/show.php?itemid=117</t>
  </si>
  <si>
    <t>CO</t>
  </si>
  <si>
    <t>Bogotá</t>
  </si>
  <si>
    <t>COP</t>
  </si>
  <si>
    <t>https://paginaweb.metrodebogota.gov.co/?q=node/264</t>
  </si>
  <si>
    <t>CZ</t>
  </si>
  <si>
    <t>Prague</t>
  </si>
  <si>
    <t>Line C</t>
  </si>
  <si>
    <t>Line C to Letnany</t>
  </si>
  <si>
    <t>CZK</t>
  </si>
  <si>
    <t>https://zpravy.aktualne.cz/czk-15bn-prague-metro-extension-ends-in-a-field/r~i:article:630675/</t>
  </si>
  <si>
    <t>Line A</t>
  </si>
  <si>
    <t>Line A extension</t>
  </si>
  <si>
    <t>https://www.railjournal.com/passenger/metros/prague-opens-metro-line-a-western-extension/</t>
  </si>
  <si>
    <t>Line D</t>
  </si>
  <si>
    <t>https://deutsch.radio.cz/prager-metro-bau-der-neuen-linie-d-nimmt-konturen-8683676</t>
  </si>
  <si>
    <t>DE</t>
  </si>
  <si>
    <t>Berlin</t>
  </si>
  <si>
    <t>U9</t>
  </si>
  <si>
    <t>Extension to Rathaus Steglitz</t>
  </si>
  <si>
    <t>DM</t>
  </si>
  <si>
    <t>http://www.berliner-verkehrsseiten.de/Download/Archiv/U_155_Eroeffnungsschrift_Steglitz_U9.pdf</t>
  </si>
  <si>
    <t>U7</t>
  </si>
  <si>
    <t>Extension to Rathaus Spandau</t>
  </si>
  <si>
    <t>https://www.bz-berlin.de/archiv-artikel/die-u7-wird-25-jahre-alt</t>
  </si>
  <si>
    <t>U8</t>
  </si>
  <si>
    <t>U8 to Wittenau</t>
  </si>
  <si>
    <t>https://signalarchiv.de/Meldungen/10003834</t>
  </si>
  <si>
    <t>U2</t>
  </si>
  <si>
    <t>U2 to Pankow</t>
  </si>
  <si>
    <t>https://www.berliner-zeitung.de/endspurt-auf-der-baustelle-die-strecke-von-vinetastrasse-nach-bahnhof-pankow-wird-puenktlich-fertig-und-billiger-u-bahn-linie-2-ab-sonnabend-sind-die-pankower-am-zug-li.33430</t>
  </si>
  <si>
    <t>U55</t>
  </si>
  <si>
    <t>https://www.das-parlament.de/2019/31_32/kehrseite/652908-652908</t>
  </si>
  <si>
    <t>U5-U55 connection</t>
  </si>
  <si>
    <t>https://www.projekt-u5.de/de/die-neue-u5/</t>
  </si>
  <si>
    <t>Cologne</t>
  </si>
  <si>
    <t>North-South Stadtbahn</t>
  </si>
  <si>
    <t>https://www.nord-sued-stadtbahn.de/projekt/gruende/hintergruende/index.html</t>
  </si>
  <si>
    <t>Dusseldorf</t>
  </si>
  <si>
    <t>Wehrhahn Line</t>
  </si>
  <si>
    <t>https://www.wz.de/nrw/duesseldorf/wehrhahn-linie-wird-noch-viel-teurer_aid-25646289</t>
  </si>
  <si>
    <t>Frankfurt</t>
  </si>
  <si>
    <t>U1</t>
  </si>
  <si>
    <t>Line A1</t>
  </si>
  <si>
    <t>https://www.zeit.de/1968/43/das-neue-fahrgefuehl</t>
  </si>
  <si>
    <t>U-Bahn Europaviertel</t>
  </si>
  <si>
    <t>https://www.fnp.de/frankfurt/frankfurt-u-bahn-u5-verlaengerung-spaeter-teurer-wegen-eva-zr-13449222.html</t>
  </si>
  <si>
    <t>Bad Homburg extension</t>
  </si>
  <si>
    <t>https://www.hessenschau.de/wirtschaft/u2-wird-nach-bad-homburg-verlaengert-spatenstich-fuer-200-millionen-projekt-v2,spatenstich-ubahnverlaengerung-100.html</t>
  </si>
  <si>
    <t>Hamburg</t>
  </si>
  <si>
    <t>U4</t>
  </si>
  <si>
    <t>U4 to HafenCity U</t>
  </si>
  <si>
    <t>https://www.nahverkehrhamburg.de/u4-verlaengerung-in-horner-geest-soll-465-millionen-euro-kosten-9328/</t>
  </si>
  <si>
    <t>U4 to Elbbrücken</t>
  </si>
  <si>
    <t>U4 to Horner Geest</t>
  </si>
  <si>
    <t>https://schneller-durch-hamburg.de/mehrkosten-u4-2023</t>
  </si>
  <si>
    <t>U5</t>
  </si>
  <si>
    <t>U5-East</t>
  </si>
  <si>
    <t>https://www.ndr.de/nachrichten/hamburg/U5-in-Hamburg-Kosten-fuer-oestlichen-Abschnitt-explodieren,ubahn826.html</t>
  </si>
  <si>
    <t>Karlsruhe</t>
  </si>
  <si>
    <t>Kombilösung</t>
  </si>
  <si>
    <t>https://www.diekombiloesung.de/haeufige-fragen.html</t>
  </si>
  <si>
    <t>Leipzig</t>
  </si>
  <si>
    <t>City Tunnel</t>
  </si>
  <si>
    <t>http://dip21.bundestag.de/dip21/btd/17/029/1702939.pdf</t>
  </si>
  <si>
    <t>Munich</t>
  </si>
  <si>
    <t>S-Bahn Stammstrecke</t>
  </si>
  <si>
    <t>https://www.sueddeutsche.de/muenchen/s-bahn-muenchen-im-eiltempo-zum-tunnel-eine-bahn-fuer-die-olympischen-spiele-1.3444727</t>
  </si>
  <si>
    <t>U3</t>
  </si>
  <si>
    <t>U3 to Moosach</t>
  </si>
  <si>
    <t>https://www.u-bahn-muenchen.de/report/baustellenreport/moosach/</t>
  </si>
  <si>
    <t>Second Trunk Line</t>
  </si>
  <si>
    <t>https://www.2.stammstrecke-muenchen.de/kosten-und-finanzierung.html</t>
  </si>
  <si>
    <t>U5 to Pasing</t>
  </si>
  <si>
    <t>https://www.sueddeutsche.de/muenchen/muenchen-u-bahn-u5-pasing-kosten-1.5475070</t>
  </si>
  <si>
    <t>Nuremberg</t>
  </si>
  <si>
    <t>U3 extension to Grossreuth</t>
  </si>
  <si>
    <t>https://www.nuernberg.de/presse/mitteilungen/presse_68381.html</t>
  </si>
  <si>
    <t>U3 extension to Gebersdorf</t>
  </si>
  <si>
    <t>https://www.nuernberg.de/presse/mitteilungen/presse_77790.html</t>
  </si>
  <si>
    <t>DK</t>
  </si>
  <si>
    <t>Copenhagen</t>
  </si>
  <si>
    <t>City Circle Line</t>
  </si>
  <si>
    <t>DKK</t>
  </si>
  <si>
    <t>https://www.thelocal.dk/20190930/in-pictures-copenhagens-new-city-ring-metro-line</t>
  </si>
  <si>
    <t>DR</t>
  </si>
  <si>
    <t>Santo Domingo</t>
  </si>
  <si>
    <t>DOP</t>
  </si>
  <si>
    <t>https://sustainabledevelopment.un.org/content/documents/Dominican.pdf</t>
  </si>
  <si>
    <t>Line 2a, 2b</t>
  </si>
  <si>
    <t>https://acento.com.do/el-financiero/en-pasados-gobiernos-construir-un-kilometro-del-metro-sd-costaba-us58-millones-ahora-solo-us45-millones-9034221.html</t>
  </si>
  <si>
    <t>EC</t>
  </si>
  <si>
    <t>Quito</t>
  </si>
  <si>
    <t>Metro</t>
  </si>
  <si>
    <t>http://documents.worldbank.org/curated/en/872611529897472449/pdf/Ecuador-PP-06052018.pdf</t>
  </si>
  <si>
    <t>EG</t>
  </si>
  <si>
    <t>Alexandria-Port Sa'id</t>
  </si>
  <si>
    <t>Abo Qir-Port Sa'id LRT</t>
  </si>
  <si>
    <t>Under Tender</t>
  </si>
  <si>
    <t>By 2026</t>
  </si>
  <si>
    <t>Under tender.</t>
  </si>
  <si>
    <t>http://www.nat.gov.eg/LocationActivity.aspx?id=2097</t>
  </si>
  <si>
    <t>Cairo</t>
  </si>
  <si>
    <t>EGP</t>
  </si>
  <si>
    <t>http://www.nat.gov.eg/LocationActivity.aspx?id=79</t>
  </si>
  <si>
    <t>http://www.nat.gov.eg/LocationActivity.aspx?id=78</t>
  </si>
  <si>
    <t>Line 1 All Phases</t>
  </si>
  <si>
    <t>See Notes.</t>
  </si>
  <si>
    <t>Line 2 Phase 4</t>
  </si>
  <si>
    <t>Line 2 Phase 5</t>
  </si>
  <si>
    <t>Line 2 All Phases</t>
  </si>
  <si>
    <t>http://english.ahram.org.eg/NewsContent/3/12/35035/Business/Economy/Cairos-rd-underground-line-opens-Tuesday-linking-A.aspx</t>
  </si>
  <si>
    <t>http://www.nat.gov.eg/LocationActivity.aspx?id=85</t>
  </si>
  <si>
    <t>EU</t>
  </si>
  <si>
    <t>Line 3 Phase 4A</t>
  </si>
  <si>
    <t>Line 3 Phase 4B</t>
  </si>
  <si>
    <t>Line 3 Phase 3A</t>
  </si>
  <si>
    <t>Line 3 All Phases</t>
  </si>
  <si>
    <t>Line 3 Phase 3B</t>
  </si>
  <si>
    <t>http://www.nat.gov.eg/LocationActivity.aspx?id=2078</t>
  </si>
  <si>
    <t>Line 3 Phase 3C</t>
  </si>
  <si>
    <t>Monorail</t>
  </si>
  <si>
    <t>Monorail East</t>
  </si>
  <si>
    <t>See notes.</t>
  </si>
  <si>
    <t>http://www.nat.gov.eg/LocationActivity.aspx?id=2089</t>
  </si>
  <si>
    <t>Monorail West</t>
  </si>
  <si>
    <t>http://www.nat.gov.eg/LocationActivity.aspx?id=2088</t>
  </si>
  <si>
    <t>Monorail All Phases</t>
  </si>
  <si>
    <t>https://www.railway-technology.com/projects/cairo-monorail/</t>
  </si>
  <si>
    <t>19*</t>
  </si>
  <si>
    <t>http://www.nat.gov.eg/LocationActivity.aspx?id=2106</t>
  </si>
  <si>
    <t>https://www.railway-technology.com/news/orascom-mitsubishi-cairo-metro-line-4-contract/</t>
  </si>
  <si>
    <t>All Phases</t>
  </si>
  <si>
    <t>https://tunnelbuilder.com/News/New-metro-line-6-in-Cairo-deal-signed-.aspx</t>
  </si>
  <si>
    <t>Line 2 Extension</t>
  </si>
  <si>
    <t>Line 4 (4 Phases)</t>
  </si>
  <si>
    <t>http://www.nat.gov.eg/LocationActivity.aspx?id=2093</t>
  </si>
  <si>
    <t>Cairo - New Capital</t>
  </si>
  <si>
    <t>Capital LRT</t>
  </si>
  <si>
    <t>Capital LRT Phase 1 and 2</t>
  </si>
  <si>
    <t>http://www.nat.gov.eg/LocationActivity.aspx?id=2118</t>
  </si>
  <si>
    <t>Capital LRT Phase 3</t>
  </si>
  <si>
    <t>http://www.nat.gov.eg/LocationActivity.aspx?id=2085</t>
  </si>
  <si>
    <t>Capital LRT Phase 4</t>
  </si>
  <si>
    <t>Capital LRT All Phases</t>
  </si>
  <si>
    <t>https://www.enr.com/articles/42694-chinese-firm-wins-egyptian-light-rail-project-pact</t>
  </si>
  <si>
    <t>ES</t>
  </si>
  <si>
    <t>Barcelona</t>
  </si>
  <si>
    <t>L3</t>
  </si>
  <si>
    <t>L3 to Trinitat Nova</t>
  </si>
  <si>
    <t>https://pemb.cat/public/docs/794_r6_cat_b2_17_perllongament_linia_3_de_metro_corr.pdf</t>
  </si>
  <si>
    <t>L2</t>
  </si>
  <si>
    <t>L2 to Badalona</t>
  </si>
  <si>
    <t>http://territori.scot.cat/cat/notices/2010/10/metro_lInia_2_2737.php</t>
  </si>
  <si>
    <t>L5</t>
  </si>
  <si>
    <t>L5 to Vall d'Hebron</t>
  </si>
  <si>
    <t>https://www.ccma.cat/324/La-linia-5-del-Metro-de-Barcelona-samplia-dema-amb-les-estacions-del-Carmel-el-Collla-Teixonera-i-Vall-dHebron/noticia/790448/</t>
  </si>
  <si>
    <t>Terrassa tunnel</t>
  </si>
  <si>
    <t>https://govern.cat/govern/docs/2012/10/03/12/36/6b33e55c-7ef4-4200-8517-97c7501d026e.pdf</t>
  </si>
  <si>
    <t>Sabadell tunnel</t>
  </si>
  <si>
    <t>L9/10</t>
  </si>
  <si>
    <t>https://www.eib.org/en/projects/pipelines/all/20160937</t>
  </si>
  <si>
    <t>Bilbao</t>
  </si>
  <si>
    <t>https://www.eitb.eus/es/noticias/economia/detalle/4706859/inauguracion-linea-3-metro-bilbao-operada-euskotren-8-abril/</t>
  </si>
  <si>
    <t>Madrid</t>
  </si>
  <si>
    <t>1995-98 program</t>
  </si>
  <si>
    <t>https://tunnelbuilder.com/metrosur/edition2pdf/page2.pdf</t>
  </si>
  <si>
    <t>1999-2003 program</t>
  </si>
  <si>
    <t>Chamartin-Atocha tunnel</t>
  </si>
  <si>
    <t>https://elpais.com/elpais/2008/07/09/actualidad/1215591420_850215.html</t>
  </si>
  <si>
    <t>https://www.metro-report.com/news/metro/single-view/view/madrid-metro-line-2-extended-to-las-rosas.html?sword_list[]=madrid&amp;no_cache=1</t>
  </si>
  <si>
    <t>Line 9 extension</t>
  </si>
  <si>
    <t>https://web.archive.org/web/20150328212257/https://www.metromadrid.es/en/comunicacion/prensa/2015/March/noticia09.html</t>
  </si>
  <si>
    <t>Extension to Conde de Casal</t>
  </si>
  <si>
    <t>https://gacetinmadrid.com/2022/11/01/arrancan-las-obras-de-ampliacion-de-la-linea-11-de-metro-de-madrid-500-millones-de-euros-y-dos-nuevas-estaciones/</t>
  </si>
  <si>
    <t>Eje Transversal</t>
  </si>
  <si>
    <t>https://www.esmadrid.com/sites/default/files/plan_integral_cercanias_madrid_2018_2025.pdf</t>
  </si>
  <si>
    <t>Malaga</t>
  </si>
  <si>
    <t>https://www.diariosur.es/20130217/local/malaga/obras-metro-malaga-costaran-201302170041.html</t>
  </si>
  <si>
    <t>Seville</t>
  </si>
  <si>
    <t>https://www.diariodesevilla.es/sevilla/construccion-linea-1-Metro-Sevilla_0_1341766366.html</t>
  </si>
  <si>
    <t>FI</t>
  </si>
  <si>
    <t>Helsinki</t>
  </si>
  <si>
    <t>Ring Rail Line</t>
  </si>
  <si>
    <t>https://vayla.fi/web/en/projects/all-projects/ring-rail-line</t>
  </si>
  <si>
    <t>West Metro</t>
  </si>
  <si>
    <t>West Metro phase 1</t>
  </si>
  <si>
    <t>https://www.lansimetro.fi/en/contact-information/faq/</t>
  </si>
  <si>
    <t>West Metro phase 2</t>
  </si>
  <si>
    <t>FR</t>
  </si>
  <si>
    <t>Lyon</t>
  </si>
  <si>
    <t>Line A to Vaulx</t>
  </si>
  <si>
    <t>https://web.archive.org/web/20080312071952/http://www.sytral.fr/176.0.html</t>
  </si>
  <si>
    <t>Line B</t>
  </si>
  <si>
    <t>Line B to Oullins</t>
  </si>
  <si>
    <t>https://www.lyon-entreprises.com/actualites/article/le-prolongement-de-la-ligne-b-du-metro-lyonnais-a-oullins-devrait-booster-le-developpement-du-sud-ouest-lyonnais</t>
  </si>
  <si>
    <t>Line B to Hospital-Sud</t>
  </si>
  <si>
    <t>http://www.oullins.fr/territoire-d-avenir/prolongement-du-metro-b-382.html</t>
  </si>
  <si>
    <t>Paris</t>
  </si>
  <si>
    <t>RER D</t>
  </si>
  <si>
    <t>RER D Gare de Lyon-Les Halles</t>
  </si>
  <si>
    <t>http://www.cgedd.developpement-durable.gouv.fr/IMG/pdf/RER_D_ChateletGareLyon_cle776cb1-1.pdf</t>
  </si>
  <si>
    <t>http://www.omegacentre.bartlett.ucl.ac.uk/wp-content/uploads/2014/12/FRANCE_METEOR_PROFILE.pdf</t>
  </si>
  <si>
    <t>Line 13 to Courtilles</t>
  </si>
  <si>
    <t>https://web.archive.org/web/20120221232537/http://www.iledefrance.fr/lactualite/transports/metro-rer/ligne-13-deux-nouvelles-stations-a-asnieres-gennevilliers/</t>
  </si>
  <si>
    <t>Line 8 to Pointe-du-Lac</t>
  </si>
  <si>
    <t>https://www.railpassion.fr/materiel-actualites-rp/011-14751-la-ligne-8-du-metro-arrive-a-creteil-pointe-du-lac/</t>
  </si>
  <si>
    <t>Line 12 to Front Populaire</t>
  </si>
  <si>
    <t>https://plainecommune.fr/projets/transports-et-mobilite/prolongement-de-la-ligne-12/</t>
  </si>
  <si>
    <t>Line 4 to Montrouge</t>
  </si>
  <si>
    <t>https://france3-regions.francetvinfo.fr/paris-ile-de-france/2013/03/22/ligne-4-montrouge-se-met-sur-les-rails-220977.html</t>
  </si>
  <si>
    <t>Line 12 to Aubervilliers</t>
  </si>
  <si>
    <t>https://www.prolongement-metro12.fr/faq-metro-m12/</t>
  </si>
  <si>
    <t>Line 4 to Bagneux</t>
  </si>
  <si>
    <t>http://www.prolongement-m4.fr/sites/default/files/documents/m4-bagneux-dossierpresse_180316_bd.pdf</t>
  </si>
  <si>
    <t>RER E</t>
  </si>
  <si>
    <t>RER E extension</t>
  </si>
  <si>
    <t>https://www.usinenouvelle.com/article/le-prolongement-a-l-ouest-de-paris-du-rer-e-devient-enfin-realite.N775434</t>
  </si>
  <si>
    <t>https://www.ratp.fr/en/groupe-ratp/metrotrains/m11-extension-rosny-bois-perrier-and-then-noisy-champs</t>
  </si>
  <si>
    <t>Grand Paris Express</t>
  </si>
  <si>
    <t>https://www.gpmetropole-infos.fr/le-cout-du-grand-paris-express-revu-a-la-hausse/</t>
  </si>
  <si>
    <t>https://94.citoyens.com/2020/le-prolongement-du-metro-1-a-val-de-fontenay-en-enquete-publique-fin-2021,10-12-2020.html</t>
  </si>
  <si>
    <t>Rennes</t>
  </si>
  <si>
    <t>http://www.presse.metropole.rennes.fr/accueil/documents-presse/tous-les-documents/27-10165/mise-en-service-de-la-ligne-b-du-metro-de-rennes-metropole-le-21-decembre-2020</t>
  </si>
  <si>
    <t>Toulouse</t>
  </si>
  <si>
    <t>https://www.toulousemetro3.fr/le-projet/3eme-ligne.html</t>
  </si>
  <si>
    <t>GR</t>
  </si>
  <si>
    <t>Athens</t>
  </si>
  <si>
    <t>Line 3 to Piraeus</t>
  </si>
  <si>
    <t>https://www.ametro.gr/wp-content/uploads/2018/08/AM_Xrimatooikonomikes_katastaseis_2017.pdf</t>
  </si>
  <si>
    <t>https://www.ametro.gr/?p=14801&amp;lang=en</t>
  </si>
  <si>
    <t>Thessaloniki</t>
  </si>
  <si>
    <t>Main line</t>
  </si>
  <si>
    <t>https://omekgroup.com.gr/projects/thessaloniki-metro/</t>
  </si>
  <si>
    <t>Kalamaria Extension</t>
  </si>
  <si>
    <t>HK</t>
  </si>
  <si>
    <t>Hong Kong</t>
  </si>
  <si>
    <t>Modified Initial System</t>
  </si>
  <si>
    <t>HKD</t>
  </si>
  <si>
    <t>https://mmis.hkpl.gov.hk///c/portal/cover?c=QF757YsWv59%2F9WIUSQ5l76Vd0tr1CR%2F%2F#.YW2ctNha4E8.link</t>
  </si>
  <si>
    <t>Tsuen Wan Line</t>
  </si>
  <si>
    <t>Tsuen Wan Extension</t>
  </si>
  <si>
    <t>https://mmis.hkpl.gov.hk///c/portal/cover?c=QF757YsWv59%2F9WIUSQ5l7%2Fm%2BLaqXoBAd#.YW1kGBtofbY.link</t>
  </si>
  <si>
    <t>Island Line</t>
  </si>
  <si>
    <t>https://mmis.hkpl.gov.hk///c/portal/cover?c=QF757YsWv59%2F9WIUSQ5l7xsxoWQ4dkCT#.YW1js87Ueak.link</t>
  </si>
  <si>
    <t>Eastern Harbour Crossing</t>
  </si>
  <si>
    <t>https://mmis.hkpl.gov.hk///c/portal/cover?c=QF757YsWv59%2F9WIUSQ5l77yBOL%2Bgwk13#.YW423bEbO3o.link</t>
  </si>
  <si>
    <t>Airport Railway</t>
  </si>
  <si>
    <t>https://www.info.gov.hk/archive/napco/cost.html</t>
  </si>
  <si>
    <t>Kwung Tong Line</t>
  </si>
  <si>
    <t>Quarry Bay Congestion Relief Works (Kwung Tong Extension)</t>
  </si>
  <si>
    <t>N/A</t>
  </si>
  <si>
    <t>Tseung Kwan Line</t>
  </si>
  <si>
    <t>Tseung Kwan O Extension</t>
  </si>
  <si>
    <t>Penny's Bay Rail Link</t>
  </si>
  <si>
    <t>Penny's Bay Rail Link (Disneyland Resort Line)</t>
  </si>
  <si>
    <t>Airport Express Extension</t>
  </si>
  <si>
    <t>LOHAS Park Spur Line</t>
  </si>
  <si>
    <t>Kowloon Southern Link</t>
  </si>
  <si>
    <t>West Island Line</t>
  </si>
  <si>
    <t>https://www.legco.gov.hk/yr15-16/english/panels/tp/tp_rdp/papers/tp_rdp20160627cb4-1136-2-e.pdf</t>
  </si>
  <si>
    <t>Kwun Tong Line extension</t>
  </si>
  <si>
    <t>South Island Line</t>
  </si>
  <si>
    <t>South Island Line (East)</t>
  </si>
  <si>
    <t>Sha Tin-Central Link</t>
  </si>
  <si>
    <t>https://www.railwaygazette.com/infrastructure/shatin-central-project-faces-23-cost-increase/45602.article</t>
  </si>
  <si>
    <t>Tung Chung Line</t>
  </si>
  <si>
    <t>Tung Chung Line extension</t>
  </si>
  <si>
    <t>https://news.rthk.hk/rthk/en/component/k2/1519400-20200407.htm</t>
  </si>
  <si>
    <t>Tuen Mun Line</t>
  </si>
  <si>
    <t>Tuen Mun South Extension</t>
  </si>
  <si>
    <t>https://www.legco.gov.hk/yr19-20/english/panels/tp/tp_rdp/papers/tp_rdp20200605cb4-646-1-e.pdf</t>
  </si>
  <si>
    <t>HU</t>
  </si>
  <si>
    <t>Budapest</t>
  </si>
  <si>
    <t>HUF</t>
  </si>
  <si>
    <t>https://www.europarl.europa.eu/doceo/document//P-8-2017-000299_EN.html</t>
  </si>
  <si>
    <t>ID</t>
  </si>
  <si>
    <t>Jakarta</t>
  </si>
  <si>
    <t>MRT first phase</t>
  </si>
  <si>
    <t>IDR</t>
  </si>
  <si>
    <t>https://www.jttri.or.jp/docs/seminar190719-25.pdf</t>
  </si>
  <si>
    <t>IL</t>
  </si>
  <si>
    <t>Tel Aviv</t>
  </si>
  <si>
    <t>NIS</t>
  </si>
  <si>
    <t>https://en.globes.co.il/en/article-first-third-of-red-line-completed-1001205843</t>
  </si>
  <si>
    <t>http://www.xinhuanet.com/english/2019-05/21/c_138075072.htm</t>
  </si>
  <si>
    <t>IN</t>
  </si>
  <si>
    <t>Agra</t>
  </si>
  <si>
    <t>Lines 1 and 2</t>
  </si>
  <si>
    <t>INR</t>
  </si>
  <si>
    <t>https://www.indiatoday.in/india/story/pm-modi-to-virtually-inaugurate-construction-of-rs-8-000-crore-agra-metro-project-on-december-7-1746997-2020-12-05</t>
  </si>
  <si>
    <t>Ahmadabad</t>
  </si>
  <si>
    <t>https://indianexpress.com/article/cities/ahmedabad/ahmedabad-metro-phase-1-delay-makes-cost-jump-by-rs-2000-cr-6486037/</t>
  </si>
  <si>
    <t>Bangalore</t>
  </si>
  <si>
    <t>Green line</t>
  </si>
  <si>
    <t>https://economictimes.indiatimes.com/industry/transportation/railways/cost-and-time-overrun-marks-bengaluru-metro-phase-i/articleshow/57550535.cms</t>
  </si>
  <si>
    <t>https://www.metrorailnews.in/bengaluru-metros-yelachenahalli-anjanapura-line-supposed-to-be-ready-by-november-2020/</t>
  </si>
  <si>
    <t>Chennai</t>
  </si>
  <si>
    <t>https://www.business-standard.com/article/current-affairs/phase-ii-chennai-metro-project-to-cost-rs-36-000-cr-114022800932_1.html</t>
  </si>
  <si>
    <t>Phase 1 extension</t>
  </si>
  <si>
    <t>https://themetrorailguy.com/chennai-metro-phase-1-extension-information-route-maps-tenders-updates/</t>
  </si>
  <si>
    <t>https://www.businesstoday.in/sectors/infra/relief-for-commuters-in-chennai-metro-network-to-expand-phase-ii-work-begins/story/350907.html</t>
  </si>
  <si>
    <t>Delhi</t>
  </si>
  <si>
    <t>Noida Metro</t>
  </si>
  <si>
    <t>https://timesofindia.indiatimes.com/city/noida/noida-greater-noida-metro-link-to-cost-less-than-estimate/articleshow/58370627.cms</t>
  </si>
  <si>
    <t>Phase 3</t>
  </si>
  <si>
    <t>http://www.delhimetrorail.com/funding.aspx</t>
  </si>
  <si>
    <t>Phase 4</t>
  </si>
  <si>
    <t>Phase 4 first half</t>
  </si>
  <si>
    <t>https://housing.com/news/delhi-metro-phase-iv-finally-approved-government/</t>
  </si>
  <si>
    <t>Phase 4 second half</t>
  </si>
  <si>
    <t>https://economictimes.indiatimes.com/news/politics-and-nation/operational-loss-in-delhi-metro-phase-iv-project-to-be-borne-by-delhi-govt-sc/articleshow/71008680.cms</t>
  </si>
  <si>
    <t>Gurgaon</t>
  </si>
  <si>
    <t>http://archive.indianexpress.com/news/gurgaon-rapid-metro-begins-trial-runs/1011112/0</t>
  </si>
  <si>
    <t>http://www.ptinews.com/news/8562521_Second-phase-of-Gurgaon-s-Rapid-Metro-launched.html</t>
  </si>
  <si>
    <t>Hyderabad</t>
  </si>
  <si>
    <t>https://www.indiatoday.in/india/story/hyderabad-metro-project-delay-by-l-and-t-pushes-up-cost-by-over-30-per-cent-1094750-2017-11-26</t>
  </si>
  <si>
    <t>Airport express</t>
  </si>
  <si>
    <t>https://www.thehindu.com/news/cities/Hyderabad/airport-metro-to-have-underground-section-connecting-to-passenger-terminal/article29317205.ece</t>
  </si>
  <si>
    <t>Jaipur</t>
  </si>
  <si>
    <t>http://mohua.gov.in/upload/uploadfiles/files/Jaipur_Metro_PPT.pdf</t>
  </si>
  <si>
    <t>Kanpur</t>
  </si>
  <si>
    <t>https://timesofindia.indiatimes.com/city/kanpur/first-train-set-for-kanpur-metro-project-rolls-out-from-gujarats-savli/articleshow/86322835.cms</t>
  </si>
  <si>
    <t>Kochi</t>
  </si>
  <si>
    <t>https://kochimetro.org/everything-you-need-to-know-about-the-kochi-metro/</t>
  </si>
  <si>
    <t>Lucknow</t>
  </si>
  <si>
    <t>https://pib.gov.in/newsite/PrintRelease.aspx?relid=133816</t>
  </si>
  <si>
    <t>Mumbai</t>
  </si>
  <si>
    <t>https://indianexpress.com/article/cities/mumbai/indias-first-monorail-rolls-out-in-city/</t>
  </si>
  <si>
    <t>Line 2A</t>
  </si>
  <si>
    <t>https://www.freepressjournal.in/mumbai/metro-line-2a-revised-deadline-is-may-2021</t>
  </si>
  <si>
    <t>https://www.hindustantimes.com/mumbai-news/metro-lines-2a-7-to-be-delayed-by-3-months-mmrda-chief/story-UodpzX0AgmfV4e1OBrDxCK.html</t>
  </si>
  <si>
    <t>https://housing.com/news/mumbai-metro-line-3-everything-you-need-to-know/</t>
  </si>
  <si>
    <t>https://mmrda.maharashtra.gov.in/documents/10180/9283015/Metro+Line+6/17c5ed14-e9fb-4920-9521-02eebb25c4a9</t>
  </si>
  <si>
    <t>https://mmrda.maharashtra.gov.in/metro-line-4#</t>
  </si>
  <si>
    <t>Line 4A</t>
  </si>
  <si>
    <t>https://mmrda.maharashtra.gov.in/documents/10180/9283015/Metro+Line+4A/da25997a-6844-4c74-b4bd-9538285c9471</t>
  </si>
  <si>
    <t>Line 7A + 9</t>
  </si>
  <si>
    <t>https://mmrda.maharashtra.gov.in/metro-line-9#</t>
  </si>
  <si>
    <t>Line 2B</t>
  </si>
  <si>
    <t>https://mmrda.maharashtra.gov.in/metro-line-2b</t>
  </si>
  <si>
    <t>https://mmrda.maharashtra.gov.in/metro-line-5#</t>
  </si>
  <si>
    <t>https://mmrda.maharashtra.gov.in/documents/10180/9283015/Metro+Line+10/076595c3-c882-424c-b49d-f22399e9a096</t>
  </si>
  <si>
    <t>https://mmrda.maharashtra.gov.in/documents/10180/9283015/Metro+Line+11/8dc85106-19e2-48a5-875e-acdb289c357d</t>
  </si>
  <si>
    <t>https://mmrda.maharashtra.gov.in/documents/10180/9283015/Metro+Line+12/20c81fcb-0b2c-40c2-9e06-a7b4e7d46bdb</t>
  </si>
  <si>
    <t>Nagpur</t>
  </si>
  <si>
    <t>http://www.metrorailnagpur.com/projectprofile.aspx</t>
  </si>
  <si>
    <t>https://timesofindia.indiatimes.com/city/nagpur/mahametro-saves-rs1850cr-in-nagpur-metro-phase-ii/articleshow/67371648.cms</t>
  </si>
  <si>
    <t>Patna</t>
  </si>
  <si>
    <t>https://timesofindia.indiatimes.com/city/patna/patna-metro-rail-project-awaits-funds-from-japan-agency/articleshow/88284432.cms</t>
  </si>
  <si>
    <t>Pune</t>
  </si>
  <si>
    <t>https://indianexpress.com/article/cities/pune/pune-maha-metro-pmc-7154473/</t>
  </si>
  <si>
    <t>https://timesofindia.indiatimes.com/city/pune/98-of-land-acquired-for-pmrda-metro-line-project-start-date-soon/articleshow/85723503.cms</t>
  </si>
  <si>
    <t>Surat</t>
  </si>
  <si>
    <t>https://indianexpress.com/article/cities/surat/tenders-worth-rs-3002-cr-awarded-work-for-phase-1-of-surat-metro-begins-7511571/</t>
  </si>
  <si>
    <t>IR</t>
  </si>
  <si>
    <t>Tehran</t>
  </si>
  <si>
    <t>Line 3 extension to SW</t>
  </si>
  <si>
    <t>IRR</t>
  </si>
  <si>
    <t>https://www.railjournal.com/passenger/metros/tehran-opens-metro-line-3-extension/</t>
  </si>
  <si>
    <t>https://financialtribune.com/articles/auto/78612/tehran-municipality-struggling-with-subway-development-costs</t>
  </si>
  <si>
    <t>IT</t>
  </si>
  <si>
    <t>Brescia</t>
  </si>
  <si>
    <t>https://www.giornaledibrescia.it/brescia-e-hinterland/metrobus-a-brescia-arrivano-71-6-milioni-dal-cipe-1.1130855</t>
  </si>
  <si>
    <t>Catania</t>
  </si>
  <si>
    <t>Galatea-Stesicoro</t>
  </si>
  <si>
    <t>http://silos.infrastrutturestrategiche.it/admin/scheda.aspx?id=1723</t>
  </si>
  <si>
    <t>Borgo-Nesima</t>
  </si>
  <si>
    <t>Nesima-Monte Po</t>
  </si>
  <si>
    <t>Monte-Po- MisterbiancoCentro</t>
  </si>
  <si>
    <t>Stesicoro-Aeroporto</t>
  </si>
  <si>
    <t>Misterbianco Centro-Paterno'</t>
  </si>
  <si>
    <t>Genova</t>
  </si>
  <si>
    <t>Principe - De Ferrari</t>
  </si>
  <si>
    <t>http://www.rivistacorteconti.it/export/sites/rivistaweb/RepositoryPdf/2017/fascicolo_16_2017/30_CDC_gestione_4.pdf</t>
  </si>
  <si>
    <t>De Ferrari - Brignole</t>
  </si>
  <si>
    <t>https://www.gazzettaufficiale.it/atto/serie_generale/caricaDettaglioAtto/originario?atto.dataPubblicazioneGazzetta=2009-11-19&amp;atto.codiceRedazionale=09A13744&amp;elenco30giorni=false</t>
  </si>
  <si>
    <t>Brin-Canepari + Brignole Martinez</t>
  </si>
  <si>
    <t>https://smart.comune.genova.it/articoli/presentato-ai-cittadini-il-progetto-della-nuova-metro-brin-canepari</t>
  </si>
  <si>
    <t>Milan</t>
  </si>
  <si>
    <t>Passante Railway</t>
  </si>
  <si>
    <t>Tunnel Section</t>
  </si>
  <si>
    <t>https://www.milanolife.it/la-quinta-linea-il-passante-ferroviario-di-milano/</t>
  </si>
  <si>
    <t>M1 (Molino Dorino-Rho MilanoFiera)</t>
  </si>
  <si>
    <t>http://silos.infrastrutturestrategiche.it/admin/scheda.aspx?id=1241</t>
  </si>
  <si>
    <t>M2 (Famagosta-Assago)</t>
  </si>
  <si>
    <t>?</t>
  </si>
  <si>
    <t>M3 (Maciachini-Comasina)</t>
  </si>
  <si>
    <t>M5</t>
  </si>
  <si>
    <t>M5 phase 1</t>
  </si>
  <si>
    <t>http://www.expofairs.com/pianeta-costruzioni/001/pagina_017.pdf</t>
  </si>
  <si>
    <t>M5 phase 2</t>
  </si>
  <si>
    <t>https://web.archive.org/web/20140508030702/http://cantieri.mit.gov.it/Lists/Scheda%20Tecnica/DispForm.aspx?ID=69&amp;Source=http%3A%2F%2Fcantieri%2Emit%2Egov%2Eit%2FPagine%2FLombardia%2Easpx&amp;ContentTypeId=0x01005F85B0B356E4DE4EBCF0C8A435933BF500F5F261BE3F32F347B9117D7DBB5780B0</t>
  </si>
  <si>
    <t>M1 (Sesto FS - Monza Bettola)</t>
  </si>
  <si>
    <t>http://silos.infrastrutturestrategiche.it/admin/scheda.aspx?id=1256      and     https://www.comune.milano.it/detail?docid=015146_2016_158420</t>
  </si>
  <si>
    <t>https://www.metro4milano.it/wordpress/wp-content/uploads/2020/04/Quadro-Economico-_-Atto-Integrativo-n.1-alla-Convenzione-di-concessione_-allegato-13.pdf</t>
  </si>
  <si>
    <t>M1 (Bisceglie - Baggio)</t>
  </si>
  <si>
    <t>https://www.comune.milano.it/aree-tematiche/mobilita/strade-e-sottosuolo/prolungamento-m1-quartiere-baggio-olmi-valsesia</t>
  </si>
  <si>
    <t>M5 (Bignami Moza)</t>
  </si>
  <si>
    <t>http://allegati.comune.milano.it/trasportiambiente/SportelloUnicoMobilita/LINEAM5.pdf and https://www.camera.it/temiap/temi16/2011scheda[089].pdf</t>
  </si>
  <si>
    <t>Naples</t>
  </si>
  <si>
    <t>Line 1 (Piscinola - Dante)</t>
  </si>
  <si>
    <t>https://www.regione.campania.it/assets/documents/delibera-20-2017.pdf</t>
  </si>
  <si>
    <t>MCNE</t>
  </si>
  <si>
    <t>MCNE (Piscinola- Aversa)</t>
  </si>
  <si>
    <t>http://silos.infrastrutturestrategiche.it/admin/scheda.aspx?id=1332</t>
  </si>
  <si>
    <t>Line 1 - city center</t>
  </si>
  <si>
    <t>Line 6 (Mostra-Municipio)</t>
  </si>
  <si>
    <t>http://silos.infrastrutturestrategiche.it/admin/scheda.aspx?id=1317</t>
  </si>
  <si>
    <t>Line 1/MCNE (Piscinola-Secondigliano)</t>
  </si>
  <si>
    <t>Line 1 airport extension</t>
  </si>
  <si>
    <t>http://silos.infrastrutturestrategiche.it/admin/scheda.aspx?id=1324</t>
  </si>
  <si>
    <t>Rome</t>
  </si>
  <si>
    <t>Line C - section T6a</t>
  </si>
  <si>
    <t>https://metrocspa.it/cms/wp-content/uploads/2016/12/2-Q.E.G.-12-set-2013.pdf</t>
  </si>
  <si>
    <t>Line C - section T4-5</t>
  </si>
  <si>
    <t>Line B1</t>
  </si>
  <si>
    <t>Line B1 extension</t>
  </si>
  <si>
    <t>https://www.comune.roma.it/PCR/resources/cms/documents/B1schedaillustrativaintervento.pdf</t>
  </si>
  <si>
    <t>Line C - section T3</t>
  </si>
  <si>
    <t>Turin</t>
  </si>
  <si>
    <t>Line 1 phases 1-3</t>
  </si>
  <si>
    <t>http://www.otipiemonte.it/Pagine/Completo.asp?ID=86</t>
  </si>
  <si>
    <t>Line 1 south (phase 4)</t>
  </si>
  <si>
    <t>Line 1 west (phase 5)</t>
  </si>
  <si>
    <t>Line 2 -phase 1-2</t>
  </si>
  <si>
    <t>https://www.infrato.it/wp-content/uploads/2022/01/2022_1_Presentazione-Linea-2.pdf</t>
  </si>
  <si>
    <t>JP</t>
  </si>
  <si>
    <t>Fukuoka</t>
  </si>
  <si>
    <t>Nanakuma Line</t>
  </si>
  <si>
    <t>Nanakuma Line extension</t>
  </si>
  <si>
    <t>JPY</t>
  </si>
  <si>
    <t>https://www.fukuoka-now.com/en/news/nanakuma-subway-line-extension-delayed/</t>
  </si>
  <si>
    <t>Osaka</t>
  </si>
  <si>
    <t>Hanshin Namba Line</t>
  </si>
  <si>
    <t>https://www.hankyu-hanshin.co.jp/upload/irRelatedInfoEn/15.pdf</t>
  </si>
  <si>
    <t>Higashi Line</t>
  </si>
  <si>
    <t>https://www.westjr.co.jp/global/en/ir/library/fact-sheets/2018/pdf/fact2018.pdf</t>
  </si>
  <si>
    <t>Tokaido</t>
  </si>
  <si>
    <t>Tokaido branch relocation</t>
  </si>
  <si>
    <t>Monorail extension</t>
  </si>
  <si>
    <t>http://www.mlit.go.jp/common/001272230.pdf</t>
  </si>
  <si>
    <t>Tokyo</t>
  </si>
  <si>
    <t>Yurikamome</t>
  </si>
  <si>
    <t>http://www.ejrcf.or.jp/jrtr/jrtr30/pdf/s42_aok.pdf</t>
  </si>
  <si>
    <t>Tama Monorail</t>
  </si>
  <si>
    <t>Tama Monorail first phase</t>
  </si>
  <si>
    <t>https://www.ejrcf.or.jp/jrtr/jrtr26/pdf/t58_neh.pdf</t>
  </si>
  <si>
    <t>Oedo Line ring</t>
  </si>
  <si>
    <t>https://web.archive.org/web/20060517042836/http://www.kotsu.metro.tokyo.jp/news/pdf/sub_t_20060324a_01.pdf</t>
  </si>
  <si>
    <t>Minatomirai Line</t>
  </si>
  <si>
    <t>https://www.japantimes.co.jp/life/2004/02/13/travel/new-subway-signals-start-of-a-new-era/</t>
  </si>
  <si>
    <t>Tsukuba Express</t>
  </si>
  <si>
    <t>https://www.jlgc.org.uk/en/news_letter/funding-local-infrastructure-and-the-tsukuba-express/</t>
  </si>
  <si>
    <t>Fukutoshin Line</t>
  </si>
  <si>
    <t>https://www.japantimes.co.jp/news/2008/06/12/national/fukutoshin-subway-line-debuts/</t>
  </si>
  <si>
    <t>Tokyo-Ueno Line</t>
  </si>
  <si>
    <t>https://www.railwaygazette.com/cross-tokyo-link-inaugurated/40649.article</t>
  </si>
  <si>
    <t>Sotetsu Shin-Yokohama</t>
  </si>
  <si>
    <t>Sotetsu Shin-Yokohama JR Line</t>
  </si>
  <si>
    <t>https://resources.realestate.co.jp/living/faster-commute-and-lower-congestion-expected-as-sotetsu-main-line-and-jr-east-start-direct-rail-service-on-nov-30th/</t>
  </si>
  <si>
    <t>Sotetsu Shin-Yokohama Tokyu Line</t>
  </si>
  <si>
    <t>https://www.decn.co.jp/?p=89391</t>
  </si>
  <si>
    <t>Monorail to Tokyo Station</t>
  </si>
  <si>
    <t>https://www.railwaygazette.com/tokyo-monorail-plans-to-extend/39875.article</t>
  </si>
  <si>
    <t>Haneda express line</t>
  </si>
  <si>
    <t>https://en.connectionjapan.com/2019/02/16/jr-east-construira-linha-para-ligar-toquio-ao-aeroporto-de-haneda/</t>
  </si>
  <si>
    <t>KR</t>
  </si>
  <si>
    <t>Busan</t>
  </si>
  <si>
    <t>KRW</t>
  </si>
  <si>
    <t>https://www.railwaygazette.com/asia/busan-metro-line-1-extends/44436.article</t>
  </si>
  <si>
    <t>Incheon</t>
  </si>
  <si>
    <t>http://www.incheonnews.com/news/articleView.html?idxno=86652</t>
  </si>
  <si>
    <t>Line 2 Goyang Extension Project</t>
  </si>
  <si>
    <t>https://www.kgnews.co.kr/mobile/article.html?no=674722</t>
  </si>
  <si>
    <t>Seoul</t>
  </si>
  <si>
    <t>https://m.moneys.mt.co.kr/article.html?no=2016012815008069876</t>
  </si>
  <si>
    <t>Sinbundang</t>
  </si>
  <si>
    <t>Sinbundang Phase 1</t>
  </si>
  <si>
    <t>https://books.google.de/books?id=B3-SBgAAQBAJ&amp;pg=PA44&amp;lpg=PA44&amp;dq=shinbundang+line+construction+cost+11690&amp;source=bl&amp;ots=_CTZGAt6MP&amp;sig=ACfU3U0qGvuRqbqwA60o8fLQNSdXTt8BlQ&amp;hl=en&amp;sa=X&amp;ved=2ahUKEwi847D6oPPqAhXLqqQKHf_ZB1MQ6AEwEHoECAsQAQ#v=onepage&amp;q=shinbundang%20line%20construction%20cost%2011690&amp;f=false</t>
  </si>
  <si>
    <t>Ui Light Metro</t>
  </si>
  <si>
    <t>http://m.ufnews.co.kr/main/sub_news_detail.html?wr_id=4725</t>
  </si>
  <si>
    <t>Sinbundang Phase 2</t>
  </si>
  <si>
    <t>https://shinbundang.co.kr/eng/index.jsp?pageID=/eng/intro/intro2_6.jsp&amp;open_main=4&amp;open_sub1=1&amp;open_sub2=6</t>
  </si>
  <si>
    <t>Gimpo Urban Railway</t>
  </si>
  <si>
    <t>http://www.kyeonggi.com/news/articleView.html?idxno=564944</t>
  </si>
  <si>
    <t>Line 5 Hanam Line</t>
  </si>
  <si>
    <t>https://www.mk.co.kr/news/society/view/2021/03/266810/</t>
  </si>
  <si>
    <t>Line 7 extension</t>
  </si>
  <si>
    <t>https://www.hankyung.com/society/article/2013061797248</t>
  </si>
  <si>
    <t>Jinjeop Line</t>
  </si>
  <si>
    <t>https://www.yna.co.kr/view/AKR20220112075600060</t>
  </si>
  <si>
    <t>Sillim Light Metro</t>
  </si>
  <si>
    <t>https://www.donga.com/news/Society/article/all/20201227/104655671/1</t>
  </si>
  <si>
    <t>GTX A</t>
  </si>
  <si>
    <t>https://biz.chosun.com/policy/policy_sub/2021/10/05/EY5IMDNIDZAGHLQO7KIGLMGBQQ/</t>
  </si>
  <si>
    <t>Sin Ansan Line</t>
  </si>
  <si>
    <t>https://www.yna.co.kr/view/AKR20190822028500003</t>
  </si>
  <si>
    <t>2020s program</t>
  </si>
  <si>
    <t>http://news1.kr/articles/?3552208</t>
  </si>
  <si>
    <t>Line 9 Phase 4</t>
  </si>
  <si>
    <t>http://www.redaily.co.kr/news/articleView.html?idxno=571</t>
  </si>
  <si>
    <t>Line 7 Extension 2</t>
  </si>
  <si>
    <t>http://www.incheonin.com/news/articleView.html?idxno=86255</t>
  </si>
  <si>
    <t>Sinbundang Phase 3 Section 1</t>
  </si>
  <si>
    <t>engdaily.com/news/articleView.html?idxno=14873</t>
  </si>
  <si>
    <t>Sinbundang Phase 3 Section 2</t>
  </si>
  <si>
    <t>Sinbundang Phase 3 Section 3</t>
  </si>
  <si>
    <t>https://www.researchgate.net/publication/270429893_Delivery_of_subway_line_9_in_Seoul_South_Korea_-_lessons_in_public-private_partnering</t>
  </si>
  <si>
    <t>KW</t>
  </si>
  <si>
    <t>Kuwait City</t>
  </si>
  <si>
    <t>Kuwait Metro</t>
  </si>
  <si>
    <t>https://www.railjournal.com/passenger/metros/kuwait-announces-details-of-metro-project/</t>
  </si>
  <si>
    <t>MX</t>
  </si>
  <si>
    <t>Guadalajara</t>
  </si>
  <si>
    <t>MXN</t>
  </si>
  <si>
    <t>https://www.eleconomista.com.mx/estados/Linea-3-arriba-78-de-su-costo-20200121-0023.html</t>
  </si>
  <si>
    <t>Mexico City</t>
  </si>
  <si>
    <t>http://www.elfinanciero.com.mx/nacional/linea-12-costara-mas-que-el-tren-mexico-queretaro</t>
  </si>
  <si>
    <t>MY</t>
  </si>
  <si>
    <t>Kuala Lumpur</t>
  </si>
  <si>
    <t>Kajang Line</t>
  </si>
  <si>
    <t>MYR</t>
  </si>
  <si>
    <t>https://www.nst.com.my/news/nation/2017/07/258054/sbk-mrt-proud-achievement-which-will-save-commuters-cost-time-pm</t>
  </si>
  <si>
    <t>Putrajaya Line (MRT 2)</t>
  </si>
  <si>
    <t>https://www.thestar.com.my/business/business-news/2020/01/17/mrt-2-at-70-completion-guan-eng-says</t>
  </si>
  <si>
    <t>NL</t>
  </si>
  <si>
    <t>Amsterdam</t>
  </si>
  <si>
    <t>Amsterdam North South</t>
  </si>
  <si>
    <t>https://www.at5.nl/artikelen/184604/zaterdag-noordzuidlijn-eindelijk-open-de-opvallendste-feiten</t>
  </si>
  <si>
    <t>NO</t>
  </si>
  <si>
    <t>Oslo</t>
  </si>
  <si>
    <t>Løren Line</t>
  </si>
  <si>
    <t>NOK</t>
  </si>
  <si>
    <t>https://www.railwaygazette.com/l%C3%B8renbanen-opens-in-oslo/42312.article</t>
  </si>
  <si>
    <t>Fornebu Line</t>
  </si>
  <si>
    <t>https://www.nrk.no/osloogviken/fornebubanen-er-vedtatt-i-oslo-bystyre-1.16010843</t>
  </si>
  <si>
    <t>NZ</t>
  </si>
  <si>
    <t>Auckland</t>
  </si>
  <si>
    <t>City Rail Link</t>
  </si>
  <si>
    <t>NZD</t>
  </si>
  <si>
    <t>https://ourauckland.aucklandcouncil.govt.nz/articles/news/2019/04/revised-cost-for-city-rail-link/</t>
  </si>
  <si>
    <t>PA</t>
  </si>
  <si>
    <t>Panama City</t>
  </si>
  <si>
    <t>http://elsiglo.com.pa/panama/justifican-costo-linea-1-metro/23828270</t>
  </si>
  <si>
    <t>https://www.railjournal.com/regions/central-south-america/panama-city-metro-line-2-inaugurated/</t>
  </si>
  <si>
    <t>PAB</t>
  </si>
  <si>
    <t>https://www.prensa.com/economia/costo-del-monorriel-de-la-linea-3-se-dispara-de-2844-a-4000-millones/</t>
  </si>
  <si>
    <t>PE</t>
  </si>
  <si>
    <t>Lima</t>
  </si>
  <si>
    <t>https://projects.worldbank.org/en/projects-operations/project-detail/P145610</t>
  </si>
  <si>
    <t>PH</t>
  </si>
  <si>
    <t>Manila</t>
  </si>
  <si>
    <t>PHP</t>
  </si>
  <si>
    <t>https://www.railwaygazette.com/news/single-view/view/manila-metro-line-7-breaks-ground.html</t>
  </si>
  <si>
    <t>https://news.abs-cbn.com/business/multimedia/infographic/07/27/18/the-makati-subway</t>
  </si>
  <si>
    <t>https://rappler.com/business/construction-metro-manila-subway-begins-february-2019</t>
  </si>
  <si>
    <t>https://newsinfo.inquirer.net/1211139/mrt-4-project-targeted-for-completion-in-2025</t>
  </si>
  <si>
    <t>PK</t>
  </si>
  <si>
    <t>Lahore</t>
  </si>
  <si>
    <t>Orange Line</t>
  </si>
  <si>
    <t>PKR</t>
  </si>
  <si>
    <t>https://dailytimes.com.pk/470024/punjab-drops-plan-to-connect-orange-line-train-with-metro-bus-railway-station/</t>
  </si>
  <si>
    <t>PL</t>
  </si>
  <si>
    <t>Łódź</t>
  </si>
  <si>
    <t>Cross-City Line</t>
  </si>
  <si>
    <t>PLN</t>
  </si>
  <si>
    <t>https://www.transport-publiczny.pl/mobile/rusza-drazenie-tuneli-w-lodzi-tunele-wykonaja-katarzyna-i-faustyna-67079.html</t>
  </si>
  <si>
    <t>Warsaw</t>
  </si>
  <si>
    <t>https://www.railwaygazette.com/news/single-view/view/warszawa-opens-second-metro-line.html</t>
  </si>
  <si>
    <t>Line 2 extension to Trocka</t>
  </si>
  <si>
    <t>https://www.railjournal.com/passenger/metros/warsaw-metro-line-m2-reaches-targowek/</t>
  </si>
  <si>
    <t>Line 2 extension to KJ</t>
  </si>
  <si>
    <t>https://www.railwaygazette.com/metros/warszawa-metro-line-m2-goes-west/56191.article</t>
  </si>
  <si>
    <t>Line 2 extension to Bródno</t>
  </si>
  <si>
    <t>https://www.railwaypro.com/wp/a-single-bidder-for-warsaw-metro-line-2-extension/</t>
  </si>
  <si>
    <t>PT</t>
  </si>
  <si>
    <t>Lisbon</t>
  </si>
  <si>
    <t>Circular line</t>
  </si>
  <si>
    <t>https://www.railjournal.com/passenger/metros/european-commission-approves-e83m-for-lisbon-metro-expansion/</t>
  </si>
  <si>
    <t>Porto</t>
  </si>
  <si>
    <t>Pink line, yellow line</t>
  </si>
  <si>
    <t>https://eco.sapo.pt/2024/05/08/metro-do-porto-conclui-primeiro-tunel-da-linha-rosa-para-abrir-em-julho-de-2025/</t>
  </si>
  <si>
    <t>Ruby line</t>
  </si>
  <si>
    <t>https://www.jn.pt/pais/artigo/custo-da-linha-rubi-do-metro-do-porto-aumenta-53-milhoes-de-euros/17760888#iss=https%3A%2F%2Fsso.noticiasilimitadas.pt%2Frealms%2FNI_PRD</t>
  </si>
  <si>
    <t>QA</t>
  </si>
  <si>
    <t>Doha</t>
  </si>
  <si>
    <t>Doha Metro</t>
  </si>
  <si>
    <t>https://www.railway-technology.com/projects/doha-metro/</t>
  </si>
  <si>
    <t>RO</t>
  </si>
  <si>
    <t>Bucharest</t>
  </si>
  <si>
    <t>RON</t>
  </si>
  <si>
    <t>http://www.metrorex.ro/Resurse/RaportActivitate/Metrorex%20eng%202018.pdf</t>
  </si>
  <si>
    <t>Cluj-Napoca</t>
  </si>
  <si>
    <t>https://www.railwaygazette.com/metros/cluj-napoca-breaks-ground-for-first-metro-line/66744.article</t>
  </si>
  <si>
    <t>RS</t>
  </si>
  <si>
    <t>Belgrade</t>
  </si>
  <si>
    <t>Metro Line 1</t>
  </si>
  <si>
    <t>https://www.railwaypro.com/wp/alstom-involved-in-the-belgrade-metro-project/</t>
  </si>
  <si>
    <t>Metro Line 2</t>
  </si>
  <si>
    <t>RU</t>
  </si>
  <si>
    <t>Kazan</t>
  </si>
  <si>
    <t>Kremliovskaya — Gorki</t>
  </si>
  <si>
    <t>5 cars</t>
  </si>
  <si>
    <t>RUB</t>
  </si>
  <si>
    <t>https://www.rbc.ru/economics/31/03/2004/5703c0d39a7947dde8e07ab2</t>
  </si>
  <si>
    <t>Gorki — Prospekt Pobedy</t>
  </si>
  <si>
    <t>Kremliovskaya — Koz'ya Sloboda</t>
  </si>
  <si>
    <t>https://minstroy.tatarstan.ru/index.htm/news/197856.htm</t>
  </si>
  <si>
    <t>Koz'ya Sloboda — Aviastroitelnaya</t>
  </si>
  <si>
    <t>Prospekt Pobedy — Dubravnaya</t>
  </si>
  <si>
    <t>https://tatarstan.ru/index.htm/news/1271674.htm</t>
  </si>
  <si>
    <t>Stoletiye TaSSR (Fuchika) — Tulpar (Sakharova)</t>
  </si>
  <si>
    <t>Tendering portal data. https://zakupki.gov.ru/epz/order/notice/ea20/view/common-info.html?regNumber=0311500000925000104 – Expertise Declaration from the documentation attached.</t>
  </si>
  <si>
    <t>Moscow</t>
  </si>
  <si>
    <t>Ulitsa Akademika Yangelia — Annino</t>
  </si>
  <si>
    <t>8 cars</t>
  </si>
  <si>
    <t>Annino — Bul'var Dmitriya Donskogo</t>
  </si>
  <si>
    <t>Ulitsa Starokachalovskaya — Buninskaya Alleya</t>
  </si>
  <si>
    <t>96m (4.5 cars)</t>
  </si>
  <si>
    <t>Kievskaya — Park Pobedy</t>
  </si>
  <si>
    <t>10 cars</t>
  </si>
  <si>
    <t>Line 13 | Monorail</t>
  </si>
  <si>
    <t>Ulitsa Sergeya Eisenshteyna — Timiryazevskaya</t>
  </si>
  <si>
    <t>40m</t>
  </si>
  <si>
    <t>Government Decree of Moscow Government No. 1200-RP (2005)</t>
  </si>
  <si>
    <t>Kievskaya — Mezhdunarodnaya</t>
  </si>
  <si>
    <t>118m / 6 cars</t>
  </si>
  <si>
    <t>Government Decree of Moscow Government No. 433-RP (2002)</t>
  </si>
  <si>
    <t>Chkalovskaya — Trubnaya</t>
  </si>
  <si>
    <t>Approximate allocations estimated on the basis of Decrees of Moscow Government: No. 995-PP (2002); 669-PP (2005); 872-PP (2007); 893-PP (2008); 1029-PP (2009)</t>
  </si>
  <si>
    <t>Park Pobedy — Kuntsevskaya &amp; Krylatskoe — Strogino</t>
  </si>
  <si>
    <t>Approximate allocations estimated on the basis of Decrees of Moscow Government: No. 669-PP (2005); 872-PP (2007); 893-PP (2008); 1029-PP (2009)</t>
  </si>
  <si>
    <t>Strogino — Mitino</t>
  </si>
  <si>
    <t>Trubnaya — Mar'yina Roshcha</t>
  </si>
  <si>
    <t>Mar'yino — Zyablikovo</t>
  </si>
  <si>
    <t>Novogireevo — Novokosino</t>
  </si>
  <si>
    <t>Krasnogvardeyskaya — Alma-Atinskaya</t>
  </si>
  <si>
    <t>https://web.archive.org/web/20131202230424/http://www.mos.ru/authority/activity/urban/index.php?id_14=24044</t>
  </si>
  <si>
    <t>Mitino — Pyatnitskoe Shosse</t>
  </si>
  <si>
    <t>Vykhino — Zhulebino</t>
  </si>
  <si>
    <t>163m / 8 cars</t>
  </si>
  <si>
    <t>Address Investment Program of Moscow. Decrees of Moscow Government: No. 606-PP (2014), 630-PP (2015), 665-PP (2016), 748-PP (2017), 1663-PP (2018, edition 1223-PP of 2019), 1323-PP (2019), 1871-PP (2020), 1591-PP (2021), 2195-PP (2023), 1930-PP (2023), 2251-PP (2025)</t>
  </si>
  <si>
    <t>Bittsevskiy Park — Ulitsa Starokachalovskaya</t>
  </si>
  <si>
    <t>Line 8A</t>
  </si>
  <si>
    <t>Delovoy Tsentr — Park Pobedy</t>
  </si>
  <si>
    <t>n/a</t>
  </si>
  <si>
    <t>Spartak (quasi-infill station)</t>
  </si>
  <si>
    <t>156m / 8 cars</t>
  </si>
  <si>
    <t>Zhulebino — Kotelniki</t>
  </si>
  <si>
    <t>Tekhnopark (infill station)</t>
  </si>
  <si>
    <t>Yugo-Zapadnaya — Salaryevo</t>
  </si>
  <si>
    <t>162m / 8 cars</t>
  </si>
  <si>
    <t>Park Pobedy — Ramenki</t>
  </si>
  <si>
    <t>Maryina Roschcha — Seligerskaya</t>
  </si>
  <si>
    <t>Retchnoy Vokzal — Khovrino</t>
  </si>
  <si>
    <t>Ramenki — Rasskazovka</t>
  </si>
  <si>
    <t>Lines 11 (Great Circle) &amp; 17</t>
  </si>
  <si>
    <t>Delovoy Tsentr — Saviolovskaya</t>
  </si>
  <si>
    <t>Salaryevo — Novomoskovskaya</t>
  </si>
  <si>
    <t>Lines 11 (Great Circle) &amp; 15</t>
  </si>
  <si>
    <t>Aviamotornaya — Nekrasovka</t>
  </si>
  <si>
    <t>Lines 8A &amp; 8</t>
  </si>
  <si>
    <t>Tretyakovskaya — Delovoy Tsentr</t>
  </si>
  <si>
    <t>Line 11 (Great Circle)</t>
  </si>
  <si>
    <t>Khoroshovskaya — Kuntsevskaya</t>
  </si>
  <si>
    <t>Prospekt Vernadskogo — Kuntsevskaya</t>
  </si>
  <si>
    <t>Kakhovskaya (incl. Kashirskaya, Varhavskaya) — Prospekt Vernadskogo</t>
  </si>
  <si>
    <t>Kashirskaya — Nizhegorodskaya</t>
  </si>
  <si>
    <t>Saviolovskaya — Aviamotornaya</t>
  </si>
  <si>
    <t>Seligerskaya — Lianozovo</t>
  </si>
  <si>
    <t>Lianozovo — Fiztekh</t>
  </si>
  <si>
    <t>Rasskazovka — VKO Airport</t>
  </si>
  <si>
    <t>Novatorskaya — Novomoskovskaya</t>
  </si>
  <si>
    <t>Novomoskovskaya — Potapovo</t>
  </si>
  <si>
    <t>Novatorskaya — Krymskaya</t>
  </si>
  <si>
    <t>Krymskaya — ZiL</t>
  </si>
  <si>
    <t>Shelepikha — Lipovaya Roshcha — Ilyinskaya</t>
  </si>
  <si>
    <t>N. Novgorod</t>
  </si>
  <si>
    <t>Burnakovskaya — Burevestnik</t>
  </si>
  <si>
    <t>Moskovskaya — Gor'kovskaya</t>
  </si>
  <si>
    <t>https://www.kommersant.ru/doc/2135080</t>
  </si>
  <si>
    <t>Moskovskaya — Strelka</t>
  </si>
  <si>
    <t>Tendering Portal Data - Primary Tender https://zakupki.gov.ru/epz/order/notice/oku44/view/common-info.html?regNumber=0132200004114000121</t>
  </si>
  <si>
    <t>Gor'kovskaya — Sennaya</t>
  </si>
  <si>
    <t>Tendering portal data. https://zakupki.gov.ru/epz/order/notice/oku504/view/common-info.html?regNumber=0832200006621001490</t>
  </si>
  <si>
    <t>Novosibirsk</t>
  </si>
  <si>
    <t>Marshala Pokryshkina — Beriozovaya Roshcha</t>
  </si>
  <si>
    <t>Beriozovaya Roshcha — Zolotaya Niva</t>
  </si>
  <si>
    <t>Sportivnaya</t>
  </si>
  <si>
    <t>https://ngs.ru/text/transport/2025/03/04/75178850/</t>
  </si>
  <si>
    <t>Samara</t>
  </si>
  <si>
    <t>Alabinskaya — Teatralnaya</t>
  </si>
  <si>
    <t>https://progorodsamara.ru/news/view/za-cetyre-goda-stroitelstvo-teatralnoj-v-samare-podorozalo-na-700-mln-rublej</t>
  </si>
  <si>
    <t>St. Petersburg</t>
  </si>
  <si>
    <t>Ploshchad Muzhestva — Lesnaya</t>
  </si>
  <si>
    <t>Staraya Derevnya — Komendantskiy Prospekt</t>
  </si>
  <si>
    <t>???</t>
  </si>
  <si>
    <t>Parnas</t>
  </si>
  <si>
    <t>6 cars</t>
  </si>
  <si>
    <t>https://www.rbc.ru/spb_sz/22/12/2006/5592c0ad9a79473b7f4b9d4d</t>
  </si>
  <si>
    <t>Sadovaya — Mezhdunarodnaya</t>
  </si>
  <si>
    <t>Annual Budget of the City of St.Petersburg (each year 2012...2022); Address Investment Program of St.Petersburg as outlined by Government Decrees of the Government of St.Petersburg No. 1228 (2023), 1320 (2024), 1159 (2025)</t>
  </si>
  <si>
    <t>Primorskaya — Begovaya</t>
  </si>
  <si>
    <t>6 cars / 124m</t>
  </si>
  <si>
    <t>Mezhdunarodnaya — Shushary</t>
  </si>
  <si>
    <t>Spasskaya — Gorniy Institut</t>
  </si>
  <si>
    <t>Kazakovskaya (Yugo-Zapadnaya) — Putilovskaya</t>
  </si>
  <si>
    <t>Begovaya — Kamenka</t>
  </si>
  <si>
    <t>Putilovskaya — Karetnaya</t>
  </si>
  <si>
    <t>Volgograd</t>
  </si>
  <si>
    <t>ST</t>
  </si>
  <si>
    <t>Pionerskaya — Yelshanka</t>
  </si>
  <si>
    <t>102m (5 cars)</t>
  </si>
  <si>
    <t>Yekaterinburg</t>
  </si>
  <si>
    <t>Geologicheskaya — Botanicheskaya</t>
  </si>
  <si>
    <t>https://uralstroyinfo.ru/stroitelstvo-stanciy-metro-chkalovskaya</t>
  </si>
  <si>
    <t>SA</t>
  </si>
  <si>
    <t>Ad Dammam</t>
  </si>
  <si>
    <t>Dammam Metro</t>
  </si>
  <si>
    <t>Dammam Metro (a-Sharqiya)</t>
  </si>
  <si>
    <t>https://www.bncnetwork.net/Project/Dammam_Metro/lLeKWJzyKRk=</t>
  </si>
  <si>
    <t>Jeddah</t>
  </si>
  <si>
    <t>Jeddah Metro</t>
  </si>
  <si>
    <t>http://www.metrojeddah.com.sa/page/Metro</t>
  </si>
  <si>
    <t>Mecca</t>
  </si>
  <si>
    <t>Mecca Metro</t>
  </si>
  <si>
    <t>SAR</t>
  </si>
  <si>
    <t>Riyadh</t>
  </si>
  <si>
    <t>Blue</t>
  </si>
  <si>
    <t>http://www.riyadhmetro.sa/</t>
  </si>
  <si>
    <t>Green</t>
  </si>
  <si>
    <t>https://www.fastmetroriyadh.com/ar/%d8%a7%d9%84%d8%ae%d8%b1%d9%8a%d8%b7%d8%a9-2/</t>
  </si>
  <si>
    <t>Orange</t>
  </si>
  <si>
    <t>Purple</t>
  </si>
  <si>
    <t>https://www.fastmetroriyadh.com/about/our-lines/</t>
  </si>
  <si>
    <t>Red</t>
  </si>
  <si>
    <t>Yellow</t>
  </si>
  <si>
    <t>SE</t>
  </si>
  <si>
    <t>Gothenburg</t>
  </si>
  <si>
    <t>West Link</t>
  </si>
  <si>
    <t>SEK</t>
  </si>
  <si>
    <t>https://www.trafikverket.se/en/startpage/projects/Railway-construction-projects/The-West-Link-ProjectVastlanken/</t>
  </si>
  <si>
    <t>Malmo</t>
  </si>
  <si>
    <t>Citytunneln</t>
  </si>
  <si>
    <t>http://www.tunnel-online.info/en/artikel/artikel_en_1204638.html</t>
  </si>
  <si>
    <t>Stockholm</t>
  </si>
  <si>
    <t>Citybanan</t>
  </si>
  <si>
    <t>https://web.archive.org/web/20150402164159/http://www.trafikverket.se/en/startpage/Projects/Railway-construction-projects1/The-Stockholm-City-Line/</t>
  </si>
  <si>
    <t>Barkarby</t>
  </si>
  <si>
    <t>http://nyatunnelbanan.sll.se/sites/tunnelbanan/files/Faktablad_Upphandling_%20engelsk.pdf</t>
  </si>
  <si>
    <t>Arenastaden</t>
  </si>
  <si>
    <t>Nacka/Söderort</t>
  </si>
  <si>
    <t>Yellow Line</t>
  </si>
  <si>
    <t>SG</t>
  </si>
  <si>
    <t>Singapore</t>
  </si>
  <si>
    <t>Circle Line</t>
  </si>
  <si>
    <t>Circle Line Stages 1-5</t>
  </si>
  <si>
    <t>SGD</t>
  </si>
  <si>
    <t>https://www.sgcarmart.com/news/article.php?AID=21019</t>
  </si>
  <si>
    <t>Downtown MRT Line</t>
  </si>
  <si>
    <t>https://www.todayonline.com/singapore/comparing-singapores-newest-and-oldest-mrt-lines</t>
  </si>
  <si>
    <t>Thomson MRT Line</t>
  </si>
  <si>
    <t>https://www.straitstimes.com/singapore/transport/thomson-east-coast-line-6-more-stations-from-springleaf-to-caldecott-opening</t>
  </si>
  <si>
    <t>Circle Line Stage 6</t>
  </si>
  <si>
    <t>https://www.straitstimes.com/singapore/transport/last-stage-of-circle-line-to-cost-a-lot-more-than-first-5-stages</t>
  </si>
  <si>
    <t>TH</t>
  </si>
  <si>
    <t>Bangkok</t>
  </si>
  <si>
    <t>Sukhumvit Line</t>
  </si>
  <si>
    <t>Sukhumvit Line to Kheka</t>
  </si>
  <si>
    <t>THB</t>
  </si>
  <si>
    <t>https://www.mrta.co.th/en/projectelectrictrain/bangkok-and-vicinities/greenline/</t>
  </si>
  <si>
    <t>Blue Line extension</t>
  </si>
  <si>
    <t>https://www.mrta.co.th/en/projectelectrictrain/bangkok-and-vicinities/blueline/?AspxAutoDetectCookieSupport=1</t>
  </si>
  <si>
    <t>Sukhumvit Line to Khu Khot</t>
  </si>
  <si>
    <t>Pink Line</t>
  </si>
  <si>
    <t>https://www.mrta.co.th/en/projectelectrictrain/bangkok-and-vicinities/pinkline/</t>
  </si>
  <si>
    <t>https://www.mrta.co.th/en/projectelectrictrain/bangkok-and-vicinities/yellowline/</t>
  </si>
  <si>
    <t>https://www.mrta.co.th/en/projectelectrictrain/bangkok-and-vicinities/orangeline/</t>
  </si>
  <si>
    <t>Brown Line</t>
  </si>
  <si>
    <t>https://www.mrta.co.th/en/projectelectrictrain/bangkok-and-vicinities/brownline/</t>
  </si>
  <si>
    <t>Chiang Mai</t>
  </si>
  <si>
    <t>https://www.nationthailand.com/business/30382028</t>
  </si>
  <si>
    <t>TR</t>
  </si>
  <si>
    <t>Adana</t>
  </si>
  <si>
    <t>First stage</t>
  </si>
  <si>
    <t>https://www.sabah.com.tr/gundem/2010/05/13/adana_metrosu_hizmete_giriyor</t>
  </si>
  <si>
    <t>Ankara</t>
  </si>
  <si>
    <t>M4</t>
  </si>
  <si>
    <t>TRY</t>
  </si>
  <si>
    <t>https://www.cnnturk.com/turkiye/efsanevi-kecioren-metrosu-aciliyor</t>
  </si>
  <si>
    <t>Bursa</t>
  </si>
  <si>
    <t>Bursaray</t>
  </si>
  <si>
    <t>https://rayhaber.com/2011/04/en-hesapli-bursaray-ihalesi-kestel-etabinin-kilometre-maliyeti-universite-etabinin-ucte-biri/, https://rayhaberpozitif.wordpress.com/tag/hasim-iscan-caddesi/, https://www.haberler.com/bursaray-kestel-hattinin-temeli-atildi-insaat-1-5-2901776-haberi/</t>
  </si>
  <si>
    <t>Istanbul</t>
  </si>
  <si>
    <t>M4 Phase 1</t>
  </si>
  <si>
    <t>https://railturkey.org/2016/10/15/kadikoy-kartal-tavsantepe-metro-m4/2/</t>
  </si>
  <si>
    <t>Marmaray</t>
  </si>
  <si>
    <t>BC1</t>
  </si>
  <si>
    <t>M3 Phase 1</t>
  </si>
  <si>
    <t>https://www.sabah.com.tr/Gundem/2013/06/14/istanbula-yeni-metro</t>
  </si>
  <si>
    <t>M1A-M1B (LR)</t>
  </si>
  <si>
    <t>100-140</t>
  </si>
  <si>
    <r>
      <rPr>
        <rFont val="Arial"/>
        <sz val="8.0"/>
      </rPr>
      <t xml:space="preserve">https://rayhaberleri.wordpress.com/1998/10/22/proje-bilgisi-taksim-yenikapi-metro-hatti/, </t>
    </r>
    <r>
      <rPr>
        <rFont val="Arial"/>
        <color rgb="FF1155CC"/>
        <sz val="8.0"/>
        <u/>
      </rPr>
      <t>https://rayhaber.com/2009/02/proje-bilgisi-halic-metro-gecis-koprusu-insaati/</t>
    </r>
    <r>
      <rPr>
        <rFont val="Arial"/>
        <sz val="8.0"/>
      </rPr>
      <t>, https://rayhaber.com/2004/10/proje-bilgisi-istanbul-metrosu-4-levent-ayazaga-kesimi-depo-sahasi-ve-baglanti-hatlari-insaat-isi/</t>
    </r>
  </si>
  <si>
    <t>M6</t>
  </si>
  <si>
    <t>https://www.uab.gov.tr/uploads/cities/istanbul/34-istanbul.pdf</t>
  </si>
  <si>
    <t>M4 Phase 2</t>
  </si>
  <si>
    <t>M5 Phase 1</t>
  </si>
  <si>
    <t>http://www.uskudarumraniyecekmekoymetrosu.com/ana-sayfa/projenin-tarihcesi.aspx</t>
  </si>
  <si>
    <t>CR3</t>
  </si>
  <si>
    <t>https://www.railwaygazette.com/infrastructure/marmaray-upgrading-works-resume/43921.article</t>
  </si>
  <si>
    <t>M4 Phase 3</t>
  </si>
  <si>
    <t>https://www.metro.istanbul/Hatlarimiz/ProjeHalindekiHatlar?projeInsaat=0&amp;q=36</t>
  </si>
  <si>
    <t>https://www.insaatderyasi.com/gayrettepe-3-havalimani-metro-ihalesine-1-milyar-euro-1718h.htm</t>
  </si>
  <si>
    <t>https://ekap.kik.gov.tr/EKAP/Ortak/IhaleArama/index.html</t>
  </si>
  <si>
    <t>M3 Phase 3</t>
  </si>
  <si>
    <t>https://rayhaber.com/2017/03/basaksehir-kayasehir-metrosu-insaati-ihale-sonucu/,</t>
  </si>
  <si>
    <t>M11 Phase 2</t>
  </si>
  <si>
    <t>http://www.yatirimlar.com/haber-AYGM_Istanbul_Yeni_Havalimani___Halkali_Metro_Hatti_insaati_ile_Elektromekanik_Sistemlerinin_temin_montaj_ve_isletmeye_alma_isleri_ihalesi_icin_sozlesme_imzaladi-248098.htm</t>
  </si>
  <si>
    <t>M9</t>
  </si>
  <si>
    <t>https://www.ibb.istanbul/Uploads/2019/10/1.-DOc.DR.PELiN-ALPKoKiN--RAYLI-SiSTEMLERiN-MEVCUT-DURUMU.pdf</t>
  </si>
  <si>
    <t>M12</t>
  </si>
  <si>
    <t xml:space="preserve">M12 </t>
  </si>
  <si>
    <t>M7 Phase1-2</t>
  </si>
  <si>
    <t>https://rayhaber.com/2015/05/kabatas-mecidiyekoy-mahmutbey-metro-hatti-projesi-elektromekanik-sistemler-temin-montaj-ve-isletmeye-alma-isleri-ihalesini-kazanan-alsim-alarko-ile-sozlesme-imzalandi/</t>
  </si>
  <si>
    <t>M4 P4-M10</t>
  </si>
  <si>
    <t>M10-P2</t>
  </si>
  <si>
    <t>M5 Phase 2-M13</t>
  </si>
  <si>
    <t>M1B</t>
  </si>
  <si>
    <t>M7 Phase 3</t>
  </si>
  <si>
    <t>Izmir</t>
  </si>
  <si>
    <t>M1 (Phase 1)</t>
  </si>
  <si>
    <t>https://www.hurriyet.com.tr/ege/metroluyuz-39155285</t>
  </si>
  <si>
    <t>M1 (Phase 3)</t>
  </si>
  <si>
    <t>https://www.uab.gov.tr/uploads/pages/kutuphane/d38e678334e19c8.pdf</t>
  </si>
  <si>
    <t>M1  (Phase 2)</t>
  </si>
  <si>
    <t>TW</t>
  </si>
  <si>
    <t>Kaohsiung</t>
  </si>
  <si>
    <t>Red and Orange Lines</t>
  </si>
  <si>
    <t>TWD</t>
  </si>
  <si>
    <t>https://www.railjournal.com/in_depth/taiwan-transit-in-transition</t>
  </si>
  <si>
    <t>Urban Railway Underground</t>
  </si>
  <si>
    <t>https://www.rb.gov.tw/en/showpage.php?lmenuid=24&amp;smenuid=154</t>
  </si>
  <si>
    <t>Taichung</t>
  </si>
  <si>
    <t>https://www.rb.gov.tw/en/showpage.php?lmenuid=24&amp;smenuid=75</t>
  </si>
  <si>
    <t>Tainan</t>
  </si>
  <si>
    <t>Underground Project</t>
  </si>
  <si>
    <t>https://www.rb.gov.tw/en/showpage.php?lmenuid=24&amp;smenuid=159</t>
  </si>
  <si>
    <t>Taipei</t>
  </si>
  <si>
    <t>Neihu Line</t>
  </si>
  <si>
    <t>https://web.archive.org/web/20160420112521/http://www2.dorts.gov.tw/news/newsletter/ns259/rp259_02.htm</t>
  </si>
  <si>
    <t>System to 2012, ex-Neihu</t>
  </si>
  <si>
    <t>Xinyi Line</t>
  </si>
  <si>
    <t>https://www.taipeitimes.com/News/editorials/archives/2013/11/28/2003577823</t>
  </si>
  <si>
    <t>Airport MRT</t>
  </si>
  <si>
    <t>https://www.straitstimes.com/asia/east-asia/taipei-airport-rail-line-ready-to-roll</t>
  </si>
  <si>
    <t>Circular Line</t>
  </si>
  <si>
    <t>Circular Line first section</t>
  </si>
  <si>
    <t>https://www.taiwannews.com.tw/en/news/3861624</t>
  </si>
  <si>
    <t>Xinyi Line East Extension</t>
  </si>
  <si>
    <t>https://english.gov.taipei/News_Content.aspx?n=A11F01CFC9F58C83&amp;sms=DFFA119D1FD5602C&amp;s=C36916C73CDB70EA</t>
  </si>
  <si>
    <t>Sanying Line</t>
  </si>
  <si>
    <t>https://www.dorts.ntpc.gov.tw/home.jsp?id=90&amp;act=be4f48068b2b0031&amp;dataserno=09b73a18932ab2e245b25cd63399a208</t>
  </si>
  <si>
    <t>Danhai LRT</t>
  </si>
  <si>
    <t>https://focustaiwan.tw/society/202003240018</t>
  </si>
  <si>
    <t>Taoyuan MRT Green Line</t>
  </si>
  <si>
    <t>https://dorts.tycg.gov.tw/en/business/mrt-green-line</t>
  </si>
  <si>
    <t>Wanda Line</t>
  </si>
  <si>
    <t>Wanda Line Phase 2</t>
  </si>
  <si>
    <t>http://www.taipeitimes.com/News/taiwan/archives/2018/05/03/2003692436</t>
  </si>
  <si>
    <t>Taoyuan Underground</t>
  </si>
  <si>
    <t>https://www.cna.com.tw/news/firstnews/201908150041.aspx</t>
  </si>
  <si>
    <t>Keelung MRT</t>
  </si>
  <si>
    <t>https://focustaiwan.tw/politics/202202220017</t>
  </si>
  <si>
    <t>Taoyuan MRT Brown Line</t>
  </si>
  <si>
    <t>https://dorts.tycg.gov.tw/en/business/mrt-brown-line</t>
  </si>
  <si>
    <t>UA</t>
  </si>
  <si>
    <t>Kharkiv</t>
  </si>
  <si>
    <t>M3 extension</t>
  </si>
  <si>
    <t>https://www.railwaygazette.com/vehicles/crrc-wins-kharkiv-metro-train-contract/56702.article</t>
  </si>
  <si>
    <t>Kyiv</t>
  </si>
  <si>
    <t>M3 to Vynohradar</t>
  </si>
  <si>
    <t>UAH</t>
  </si>
  <si>
    <t>https://www.unian.info/kiev/10350087-kyiv-metro-signs-contract-for-subway-line-construction-to-kyiv-s-vynohradar-district.html</t>
  </si>
  <si>
    <t>http://www.globalconstructionreview.com/news/china-railway-completes-feasibility-study-kiev-met/</t>
  </si>
  <si>
    <t>UK</t>
  </si>
  <si>
    <t>London</t>
  </si>
  <si>
    <t>Jubilee line</t>
  </si>
  <si>
    <t>Jubilee line extension</t>
  </si>
  <si>
    <t>GBP</t>
  </si>
  <si>
    <t>Mitchell, B. (2003) Jubilee line extension : from concept to completion. London: Thomas Telford. http://news.bbc.co.uk/2/hi/uk_news/529006.stm</t>
  </si>
  <si>
    <t>Crossrail</t>
  </si>
  <si>
    <t>Elizabeth Line</t>
  </si>
  <si>
    <t>Northern Line</t>
  </si>
  <si>
    <t>Northern Line Extension</t>
  </si>
  <si>
    <t>http://www.cityam.com/257486/full-steam-ahead-tunnelling-12bn-northern-line-extension</t>
  </si>
  <si>
    <t>US</t>
  </si>
  <si>
    <t>Boston</t>
  </si>
  <si>
    <t>Green Line Extension</t>
  </si>
  <si>
    <t>https://www.ctps.org/data/pdf/plans/TIP/FFYs-2020-2024-Final-TIP-20190730.pdf</t>
  </si>
  <si>
    <t>Chicago</t>
  </si>
  <si>
    <t>https://www.chicago-l.org/history/CTA4.html</t>
  </si>
  <si>
    <t>Honolulu</t>
  </si>
  <si>
    <t>HART</t>
  </si>
  <si>
    <t>https://www.hawaiibusiness.com/hart-history-hawaii-rail-project-when-finished-budget/</t>
  </si>
  <si>
    <t>Los Angeles</t>
  </si>
  <si>
    <t>Crenshaw/LAX Line</t>
  </si>
  <si>
    <t>https://spectrumnews1.com/ca/la-west/transportation/2022/01/25/-2-1-billion-crenshaw-lax-light-rail-project-near-completion</t>
  </si>
  <si>
    <t>Regional Connector</t>
  </si>
  <si>
    <t>https://www.metro.net/projects/connector/</t>
  </si>
  <si>
    <t>Purple Line</t>
  </si>
  <si>
    <t>Purple Phase 1</t>
  </si>
  <si>
    <t>https://la.streetsblog.org/2018/04/25/metro-celebrates-purple-line-extension-1-tunnel-machines-set-to-start-in-august/</t>
  </si>
  <si>
    <t>Purple Phase 2</t>
  </si>
  <si>
    <t>https://www.railjournal.com/in_depth/transit-projects-fly-in-the-city-of-angels</t>
  </si>
  <si>
    <t>Purple Phase 3</t>
  </si>
  <si>
    <t>https://la.streetsblog.org/2020/03/24/metro-signs-1-3-billion-full-funding-grant-agreement-for-westside-subway-phase-3/</t>
  </si>
  <si>
    <t>Miami</t>
  </si>
  <si>
    <t>Metrorail extension to MIA</t>
  </si>
  <si>
    <t>https://www.miamidade.gov/transit/improvement-airportlink.asp</t>
  </si>
  <si>
    <t>New York</t>
  </si>
  <si>
    <t>7 extension</t>
  </si>
  <si>
    <t>http://web.mta.info/nyct/service/new7LineExtension_to11Avenue.htm</t>
  </si>
  <si>
    <t>Second Avenue</t>
  </si>
  <si>
    <t>Second Avenue Phase 1</t>
  </si>
  <si>
    <t>http://web.mta.info/capitaldashboard/CPDMega.html</t>
  </si>
  <si>
    <t>East Side Access</t>
  </si>
  <si>
    <t>https://www.nytimes.com/2018/04/25/nyregion/mta-east-side-access-11-billion.html</t>
  </si>
  <si>
    <t>Gateway</t>
  </si>
  <si>
    <t>https://www.masstransitmag.com/rail/infrastructure/press-release/21094267/gateway-program-the-hudson-tunnel-projects-trims-14-billion-with-new-financial-plan</t>
  </si>
  <si>
    <t>Second Avenue Phase 2</t>
  </si>
  <si>
    <t>https://www.transit.dot.gov/sites/fta.dot.gov/files/2023-03/NY-New-York-Second-Avenue-Subway-Phase-2-NSE-Profile-FY24.pdf</t>
  </si>
  <si>
    <t>Philadelphia</t>
  </si>
  <si>
    <t>Regional Rail</t>
  </si>
  <si>
    <t>Center City Commuter Connection</t>
  </si>
  <si>
    <t>https://whyy.org/articles/2712/</t>
  </si>
  <si>
    <t>San Francisco</t>
  </si>
  <si>
    <t>Central Subway</t>
  </si>
  <si>
    <t>https://www.sfchronicle.com/bayarea/article/Central-Subway-tab-likely-to-grow-by-55M-as-14447857.php</t>
  </si>
  <si>
    <t>BART to San Jose</t>
  </si>
  <si>
    <t>https://www.mercurynews.com/2024/03/11/san-jose-bart-extension-price-tag-balloons-once-again-this-time-by-600-million/</t>
  </si>
  <si>
    <t>Seattle</t>
  </si>
  <si>
    <t>U-Link</t>
  </si>
  <si>
    <t>https://www.soundtransit.org/sites/default/files/documents/2018-q3-link-light-rail_0.pdf</t>
  </si>
  <si>
    <t>Ballard</t>
  </si>
  <si>
    <t>https://www.theurbanist.org/sound-transit-outlines-everett-link-cost-reductions-bleak-seattle-news/</t>
  </si>
  <si>
    <t>West Seattle</t>
  </si>
  <si>
    <t>https://www.theurbanist.org/sound-transit-reveals-new-cost-saving-measures-for-west-seattle-link/</t>
  </si>
  <si>
    <t>Washington</t>
  </si>
  <si>
    <t>Silver Line</t>
  </si>
  <si>
    <t>Silver Line Phase 1</t>
  </si>
  <si>
    <t>http://www.dullesmetro.com/about-dulles-rail/funding/</t>
  </si>
  <si>
    <t>Silver Line Phase 2</t>
  </si>
  <si>
    <t>https://dcist.com/story/22/07/19/silver-line-cost-additional-250-million/</t>
  </si>
  <si>
    <t>UZ</t>
  </si>
  <si>
    <t>Tashkent</t>
  </si>
  <si>
    <t>Sergeli Line</t>
  </si>
  <si>
    <t>http://www.uzbekembassy.in/construction-of-sergeli-metro-line-to-cost-170-1-million/</t>
  </si>
  <si>
    <t>Yunusabad Line</t>
  </si>
  <si>
    <t>Yunusabad Line extension</t>
  </si>
  <si>
    <t>https://www.railwaypro.com/wp/tashkent-metro-extension-is-underway/</t>
  </si>
  <si>
    <t>VN</t>
  </si>
  <si>
    <t>Hanoi</t>
  </si>
  <si>
    <t>VND</t>
  </si>
  <si>
    <t>http://saigondautu.com.vn/chu-diem-su-kien/5-du-an-doi-von-khung-61311.html</t>
  </si>
  <si>
    <t>https://hanoionline.vn/video/du-an-duong-sat-do-thi-so-3-phat-sinh-chi-phi-230701.htm</t>
  </si>
  <si>
    <t>Ho Chi Minh City</t>
  </si>
  <si>
    <t>https://e.vnexpress.net/news/news/hcmc-submits-plans-for-new-2-9-billion-metro-line-4095209.html</t>
  </si>
  <si>
    <t>Line 2 first phase</t>
  </si>
  <si>
    <t>https://e.vnexpress.net/news/news/saigon-metro-lines-cost-escalation-cleared-construction-not-to-stop-4002027.html</t>
  </si>
  <si>
    <t>Line 5 first phase</t>
  </si>
  <si>
    <t>https://saigoneer.com/saigon-news/12943-saigon-starts-seeking-investors-for-metro-line-5</t>
  </si>
  <si>
    <t>Docklands Light Railway</t>
  </si>
  <si>
    <t>Extension to London City Airport</t>
  </si>
  <si>
    <t>GBR</t>
  </si>
  <si>
    <t>Media/Trade</t>
  </si>
  <si>
    <t>https://www.legislation.gov.uk/uksi/2006/2905/schedule/1/made https://www.legislation.gov.uk/uksi/2002/1066/schedule/1 https://www.whatdotheyknow.com/request/all_platform_length_in_dlr/response/236568/attach/3/Lake.pdf?cookie_passthrough=1</t>
  </si>
  <si>
    <t>Extension to Greewich/Lewisham</t>
  </si>
  <si>
    <r>
      <rPr>
        <rFont val="Arial"/>
        <sz val="8.0"/>
      </rPr>
      <t xml:space="preserve">https://www.legislation.gov.uk/cy/ukla/1993/7/body/enacted "Sharing Risks on London's Light Railway." Mass Transit, vol. 23, no. 2, 1997, pp. 9. ProQuest, </t>
    </r>
    <r>
      <rPr>
        <rFont val="Arial"/>
        <color rgb="FF1155CC"/>
        <sz val="8.0"/>
        <u/>
      </rPr>
      <t>http://proxy.library.nyu.edu/login?qurl=https%3A%2F%2Fwww.proquest.com%2Ftrade-journals%2Fsharing-risks-on-londons-light-railway%2Fdocview%2F231162793%2Fse-2%3Faccountid%3D12768.</t>
    </r>
  </si>
  <si>
    <t>Extension to Woowich Arsenal</t>
  </si>
  <si>
    <t>https://www.legislation.gov.uk/uksi/2004/757/schedule/1/made  Alder, A., Dhanda, D., Hillyar, W. and Runacres, A., 2010, May. Extending London's Docklands Light Railway to Woolwich. In Proceedings of the Institution of Civil Engineers-Civil Engineering (Vol. 163, No. 2, pp. 81-90). Thomas Telford Ltd. https://researchbriefings.files.parliament.uk/documents/SN00415/SN00415.pdf</t>
  </si>
  <si>
    <t>Bank Extension</t>
  </si>
  <si>
    <t>https://www.legislation.gov.uk/ukla/1986/23/pdfs/ukla_19860023_en.pdf Willis, J., 2022. The Railways of London Docklands: Their History and Development https://railuk.com/light-rail/docklands-light-railway-a-success-story-that-spans-a-generation/</t>
  </si>
  <si>
    <t>DLR Beckton Extension</t>
  </si>
  <si>
    <t>Plan/Measured</t>
  </si>
  <si>
    <t>https://www.railway-technology.com/projects/docklands/?cf-view https://www.legislation.gov.uk/ukla/1989/9/contents/enacted Slavid, Ruth. "Perspective: ABK's Kit of Parts Builds 10 Light-Rail Stations: Flexible  https://www.whatdotheyknow.com/request/all_platform_length_in_dlr/response/236568/attach/3/Lake.pdf?cookie_passthrough=1Standardisation is the Key to the Unified Design of the Beckton Extension to the Docklands Light Railway." The Architects' Journal (Archive : 1929-2005), vol. 199, 1994, pp. 13-16.</t>
  </si>
  <si>
    <t>Heathrow Express</t>
  </si>
  <si>
    <t>media</t>
  </si>
  <si>
    <t>plan</t>
  </si>
  <si>
    <t xml:space="preserve">https://www.iaro.com/sitefiles/Paul%20Le%20Blond%20Famous%20for%2015%20minutes%202nd%20edition%20.pdfhttps://www.iaro.com/sitefiles/Paul%20Le%20Blond%20Famous%20for%2015%20minutes%202nd%20edition%20.pdf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https://www.railway-technology.com/projects/heathrow-express/?cf-view https://www.legislation.gov.uk/ukla/1991/7/introduction/enacted https://www.modernrailways.com/article/private-funding-heathrow-links </t>
  </si>
  <si>
    <t>West Anglian Mainline</t>
  </si>
  <si>
    <t>Stansted Rail link</t>
  </si>
  <si>
    <t>https://kentrail.org.uk/stansted_airport_2.htm  https://trid.trb.org/View/358031 https://watermark02.silverchair.com/aaa_16804_0013.pdf?token=AQECAHi208BE49Ooan9kkhW_Ercy7Dm3ZL_9Cf3qfKAc485ysgAAA1MwggNPBgkqhkiG9w0BBwagggNAMIIDPAIBADCCAzUGCSqGSIb3DQEHATAeBglghkgBZQMEAS4wEQQM5muZVG_FvWS12vP-AgEQgIIDBuY139HBEG2DR5w5Wa39RivUnFOcsoRNyMDLmRht6AKHsXoBZdCc0h1ToUl7ADvBnikm42wigTrbKprvBI8WjGBngv0tD4VnxMjm5wocS-qCvoNczCE_YHDNXvKoAoUDpaBVN9SzCIO2HXZn6-dpHmMU2rgJCR6sXpqu6IOPWm9URRcSsTv2XRw8z5MbctPD9AJp9rvTj86jPy1cMGaiTv18K54nR5c1s1_dcPKZvT0ll_hQ0H7acNE68i_3LTiRxGBYeWjiAKNJlC48uMdLFO18Sl-38T4mppw5phByo7sy2qxyj3-7V6NwoXiwvZAbBpCnpc9w6lGTjz3Hzc80R_xVA7wu03RgkN3MZ6u6zyhuXZDgrvRP17n5nNlqWZUnKzwM6TK5sEgH-grFjsCM1ZzoC8_BkiWuXkdYqf5-Q_rpiD3VQcyNc4kRU7Z2jx5KPhKVeRXrx3njRlit9fZsFl-l6Qk6XLtO8KyfMCQLIANEZYBm48w2sja4WRioU1dybb73wiMPMA9V2bsCk18WAdT15YvZjDrDZHQHMEaruV6hsoTPmhRraRGjhwNe_QFVbQ9N12ZkzQTp3McrOFHsESYVTlqSmxFXJhHT605uWMpgInKqSzlszOffXH-GqoX8LtS5IL2-n02lQJgkfRwFx9Ynlz7nKXS-4iBQCqeYMeyUsvFwQPSQRfyRUsFqvePhOWiyhE4SJOEvATMUTnbPnZdy10NH9qvPwg9vxFUvPPbanUGHmLLL__kdKFQ2Zetp2fBkONP5VC9kPkwrVN5N1RcgrtgBbja2s0ymNkptyWvYiMVi5HuSn4u9cZBCwUgJXHeT-Fc-GgD7_dn6PwQDvHXloNPzMOgkVV3SshWKePcGajaErd3ebHk1ROc3TbLqjtCrsIl9LMJnO_86VrGRa7MtdTeIBRl6p3K_6mXDFsdMTnlUYlj_KOSjRcb8eWohSHidAyq4mmhgvJzaYG_iWsrXmu-chLR5z1hPq9AoNCvh31h98En6gn378ZI6aSl6-_tvUU1qxA https://www.legislation.gov.uk/ukla/1987/13/contents/enacted</t>
  </si>
  <si>
    <t>Victoria Line</t>
  </si>
  <si>
    <t>Brixton extension</t>
  </si>
  <si>
    <t>Alexandra, J. et al. (1971) The Brixton Extension of the Victoria Line : published on the occasion of the opening of the Brixton Extension. S.l: London Transport Executive. Day, J. R. (1971) The story of the Victoria Line. By John R. Day. (Reprinted.). London: .</t>
  </si>
  <si>
    <t>Original Walthamstow Central - Victoria</t>
  </si>
  <si>
    <t>Day, J. R. (1971) The story of the Victoria Line. By John R. Day. (Reprinted.). London: .</t>
  </si>
  <si>
    <t>Jubilee Line</t>
  </si>
  <si>
    <t>Jubilee-Fleet Line Baker Street - Charing Cross</t>
  </si>
  <si>
    <t>Mitchell, B. (2003) Jubilee line extension : from concept to completion. London: Thomas Telford. Anon (1979) The Jubilee Line. London: London Transport Executive. Mitchell, B. (2003) Jubilee line extension : from concept to completion. London: Thomas Telford.</t>
  </si>
  <si>
    <t>Piccadilly Line</t>
  </si>
  <si>
    <t>Heathrow Piccadilly Extension 1</t>
  </si>
  <si>
    <t>https://www.legislation.gov.uk/ukla/1967/39/pdfs/ukla_19670039_en.pdf Jobling, D.G. and Lyons, A.C., 1976. EXTENSION OF THE PICCADILLY LINE FROM HOUNSLOW WEST TO HEATHROW CENTRAL. Proceedings of the Institution of Civil Engineers, 60(2), pp.191-218. https://www.jrc.org.uk/PDFs/Fly-the-Tube.pdf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</si>
  <si>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Heathrow Piccadilly Extension 2</t>
  </si>
  <si>
    <t>https://www.legislation.gov.uk/ukla/1981/32/pdfs/ukla_19810032_en.pdf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</si>
  <si>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Barking Riverside Extension</t>
  </si>
  <si>
    <t>London Overground Suffragette Line</t>
  </si>
  <si>
    <t>Yes</t>
  </si>
  <si>
    <t>https://www.legislation.gov.uk/uksi/2017/830/schedule/1/made LATE RUNNING BARKING RIVERSIDE LINE EXTENSION TO OPEN THIS SUMMER." New Civil Engineer, no. 3012, 2022, pp. 9</t>
  </si>
  <si>
    <t>Sendai</t>
  </si>
  <si>
    <t>Namboku Line (Sendai)</t>
  </si>
  <si>
    <t>Yaotome - Izumi-Chuo</t>
  </si>
  <si>
    <r>
      <rPr>
        <rFont val="Arial"/>
      </rPr>
      <t xml:space="preserve">https://www.kotsu.city.sendai.jp/kigyou/gaiyou/gaiyou.html　https://www.kotsu.city.sendai.jp/kigyou/pdf/05nendoban/5-2.pdf　</t>
    </r>
    <r>
      <rPr>
        <rFont val="Arial"/>
        <color rgb="FF1155CC"/>
        <u/>
      </rPr>
      <t>https://www.kotsu.city.sendai.jp/kigyou/pdf/06nendoban/11.pdf</t>
    </r>
  </si>
  <si>
    <t>Tomisawa - Yaotome</t>
  </si>
  <si>
    <t>https://www.kotsu.city.sendai.jp/kigyou/gaiyou/gaiyou.html　https://www.kotsu.city.sendai.jp/kigyou/pdf/05nendoban/5-2.pdf　https://www.kotsu.city.sendai.jp/kigyou/pdf/06nendoban/11.pdf https://web.archive.org/web/20160826085318/https://www.kahoku.co.jp/tohokunews/201608/20160816_13031.html</t>
  </si>
  <si>
    <t>Tozai Line (Sendai)</t>
  </si>
  <si>
    <t>Arai - Yagiyama Zoological Park</t>
  </si>
  <si>
    <t>https://www.kotsu.city.sendai.jp/kigyou/pdf/06nendoban/18.pdf https://www.kotsu.city.sendai.jp/kigyou/gaiyou/gaiyou.html　https://www.kotsu.city.sendai.jp/kigyou/pdf/05nendoban/5-2.pdf https://web.archive.org/web/20160826085318/https://www.kahoku.co.jp/tohokunews/201608/20160816_13031.html https://xtech.nikkei.com/kn/article/const/news/20141120/684191/#:~:text=%E5%90%8C%E7%B7%9A%E3%81%AF%E3%80%81%E8%8B%A5%E6%9E%97%E5%8C%BA,%E5%8D%97%E5%8C%97%E7%B7%9A%E3%81%A8%E9%80%A3%E7%B5%A1%E3%81%99%E3%82%8B%E3%80%82&amp;text=%E6%9D%B1%E8%A5%BF%E7%B7%9A%E3%81%AE%E5%BB%BA%E8%A8%AD%E3%81%A7,%E6%9C%AC%E4%BD%93%E5%9C%9F%E6%9C%A8%E5%B7%A5%E4%BA%8B%E3%81%AB%E7%9D%80%E6%89%8B%E3%80%82</t>
  </si>
  <si>
    <t>Sendai Airport - Natori</t>
  </si>
  <si>
    <r>
      <rPr>
        <rFont val="Arial"/>
      </rPr>
      <t xml:space="preserve">http://library.jsce.or.jp/jsce/open/00322/2008/45-04-0037.pdf https://www.pref.miyagi.jp/soshiki/kurin/railway001.html https://www.senat.co.jp/company/info01/ </t>
    </r>
    <r>
      <rPr>
        <rFont val="Arial"/>
        <color rgb="FF1155CC"/>
        <u/>
      </rPr>
      <t>https://web.archive.org/web/20160306165935/http://www.pref.miyagi.jp/uploaded/attachment/44456.pdf</t>
    </r>
  </si>
  <si>
    <t>Senseki Line</t>
  </si>
  <si>
    <t xml:space="preserve">Nigatake - Aobadoori </t>
  </si>
  <si>
    <t>http://www.renritsukyo.jp/fumikiri/overpass/s30_result/end/awd_myg01.html</t>
  </si>
  <si>
    <t>Sapporo</t>
  </si>
  <si>
    <t>Namboku (Sapporo) Line</t>
  </si>
  <si>
    <t>Kita Junijijou -Hiragishi</t>
  </si>
  <si>
    <t>https://www.city.sapporo.jp/st/subway/gaiyo/gaiyo.html https://www.jametro.or.jp/upload/data/ZwHlUxbGHRzr.pdf</t>
  </si>
  <si>
    <t>Hiragishi - Makomanai</t>
  </si>
  <si>
    <t>Kita Junijijou -Asabu</t>
  </si>
  <si>
    <t>Tozai (Sapporo)</t>
  </si>
  <si>
    <t>Miyanosawa-Kotoni</t>
  </si>
  <si>
    <t>Kotoni-Shiroishi</t>
  </si>
  <si>
    <t>Shiroish-Shin-Sapporo</t>
  </si>
  <si>
    <t>Toho Line</t>
  </si>
  <si>
    <t>Sakaemachi-Hosuisusukino</t>
  </si>
  <si>
    <t>Hosuisusukino-Fukuzumi</t>
  </si>
  <si>
    <t>Yokohama Subway Blue Line</t>
  </si>
  <si>
    <t>Shin-Yokohama-Azumino</t>
  </si>
  <si>
    <t>https://www.city.yokohama.lg.jp/shikai/kiroku/katsudo/r4/JohninSuikouR04.files/J-SK-20220913-kt-14.pdf</t>
  </si>
  <si>
    <t>Totsuka-Shonandai</t>
  </si>
  <si>
    <t>Yokohama Subway Green Line</t>
  </si>
  <si>
    <t>Nakayama-Hiyoshi</t>
  </si>
  <si>
    <t>Kamiooka- Isezaki Choujamachi</t>
  </si>
  <si>
    <t>Kamiooka-Kami Nagaya/ Isezaki Chojamachi - Yokohama</t>
  </si>
  <si>
    <t xml:space="preserve">Kami Nagaya - Totsuka </t>
  </si>
  <si>
    <t>Maioka-Totsuka</t>
  </si>
  <si>
    <t>Nagoya</t>
  </si>
  <si>
    <t>Tsurumai Line</t>
  </si>
  <si>
    <t>Kami-Otai-Shonai Ryokuchi Koen</t>
  </si>
  <si>
    <t>https://www.kotsu.city.nagoya.jp/jp/pc/ENJOY/TRP0004710.htm</t>
  </si>
  <si>
    <t>Sakuradoori Line</t>
  </si>
  <si>
    <t>Imaike-Nonami</t>
  </si>
  <si>
    <t>Kami-Iida/Meijo Line</t>
  </si>
  <si>
    <t>Heiandoori-Kamiida/Ozone-Sunadabashi/Sunadabashi-Nagoya Daigaku</t>
  </si>
  <si>
    <t>93.48-120</t>
  </si>
  <si>
    <t>Meijo Line</t>
  </si>
  <si>
    <t>Nagoya Daigaku - Aratamabashi</t>
  </si>
  <si>
    <t>Nonami-Tokushige</t>
  </si>
  <si>
    <t>(Taiko-doori) Nakamura Shiyakusho - Imaike</t>
  </si>
  <si>
    <t>Higashiyama Line</t>
  </si>
  <si>
    <t>Nagoya Station-Sakaemachi Station</t>
  </si>
  <si>
    <t>Sakaemachi-Ikeshita</t>
  </si>
  <si>
    <t>Ikeshita-Higashiyama Koen</t>
  </si>
  <si>
    <t>Sakaemachi-Shiyakusho (Nagoya Jo now)/Sakae-Kaneyama</t>
  </si>
  <si>
    <t>Higashiayama Lines</t>
  </si>
  <si>
    <t xml:space="preserve">Higashiyama Koen -Hoshigaoka </t>
  </si>
  <si>
    <t>Hoshigaoka-Fujigaoka, Nagoya-Nakamura Kouen</t>
  </si>
  <si>
    <t>Meiko Line</t>
  </si>
  <si>
    <t>Kaneyama-Nagoyako</t>
  </si>
  <si>
    <t>Shiyakusho-Ozone</t>
  </si>
  <si>
    <t>Kaneyama-Aratamebashi</t>
  </si>
  <si>
    <t>Fushimi-Yagoto</t>
  </si>
  <si>
    <t>Yakoto-Shiogamaguchi-Akaike</t>
  </si>
  <si>
    <t>Joushin-Fushimi</t>
  </si>
  <si>
    <t>Nakamura Koen-Takabata</t>
  </si>
  <si>
    <t>Shōnai Ryokuchi Kōen-Joushin</t>
  </si>
  <si>
    <t>Kobe</t>
  </si>
  <si>
    <t>Kaigan Line</t>
  </si>
  <si>
    <t>ShinNagata- Sannomiya Hanadoke</t>
  </si>
  <si>
    <t>http://www.jametro.or.jp/upload/people_town/IjqkfvJwGYws.pdf https://www.city.kobe.lg.jp/documents/35696/allpages.pdf https://www.city.kobe.lg.jp/a89954/kurashi/access/kotsukyoku/kotsu/100syuunenn/100th_event/20200713.html</t>
  </si>
  <si>
    <t>Hokushin Line</t>
  </si>
  <si>
    <t>Shin-Kobe - Tanigami</t>
  </si>
  <si>
    <t>https://kotsu.city.kobe.lg.jp/wp-content/uploads/allpages.pdf</t>
  </si>
  <si>
    <t>Imazatosuji Line</t>
  </si>
  <si>
    <t>Imazato - Itakono</t>
  </si>
  <si>
    <r>
      <rPr>
        <rFont val="Arial"/>
      </rPr>
      <t xml:space="preserve">https://www.jametro.or.jp/upload/data/ZwHlUxbGHRzr.pdf, </t>
    </r>
    <r>
      <rPr>
        <rFont val="Arial"/>
        <color rgb="FF1155CC"/>
        <u/>
      </rPr>
      <t>https://www.jametro.or.jp/upload/data/OcFpRydLvphq.pdf</t>
    </r>
  </si>
  <si>
    <t>Nagahori Tsurumi Ryokichi Line</t>
  </si>
  <si>
    <t>Kyoubashi - Tsurumi Ryokuchi</t>
  </si>
  <si>
    <t>https://www.jametro.or.jp/upload/data/ZwHlUxbGHRzr.pdf, https://www.jametro.or.jp/upload/data/OcFpRydLvphq.pdf https://naniwa-subway.net/subway-line/7_nagatsuru/7_nagatsuru.html</t>
  </si>
  <si>
    <t>Shinsaibashi - Kyoubashi</t>
  </si>
  <si>
    <t>Taisho - Shinsaibashi</t>
  </si>
  <si>
    <t>Tsurumi Ryokuchi - Kadoma Minami</t>
  </si>
  <si>
    <t>Sakaisuji Line</t>
  </si>
  <si>
    <t xml:space="preserve">Doubutsuenmae - Tengachaya </t>
  </si>
  <si>
    <t>1984?</t>
  </si>
  <si>
    <r>
      <rPr>
        <rFont val="Arial"/>
      </rPr>
      <t xml:space="preserve">https://www.jametro.or.jp/upload/data/ZwHlUxbGHRzr.pdf, </t>
    </r>
    <r>
      <rPr>
        <rFont val="Arial"/>
        <color rgb="FF1155CC"/>
        <u/>
      </rPr>
      <t>https://www.jametro.or.jp/upload/data/OcFpRydLvphq.pdf</t>
    </r>
  </si>
  <si>
    <t xml:space="preserve">Chuo Line </t>
  </si>
  <si>
    <t>Cosmosquare - Yumeshima</t>
  </si>
  <si>
    <t>https://www.city.osaka.lg.jp/port/cmsfiles/contents/0000527/527627/sinkyu-02.pdf https://www.city.osaka.lg.jp/port/page/0000634727.htmlvhttps://osaka-metro-pm.com/2025/02/01/%E4%B8%AD%E5%A4%AE%E7%B7%9A%E5%A4%A2%E6%B4%B2%E5%BB%B6%E4%BC%B8%E3%81%BE%E3%81%A8%E3%82%81/</t>
  </si>
  <si>
    <t xml:space="preserve">Kita-Osaka Line Extentension </t>
  </si>
  <si>
    <t>Kita-Osaka Line</t>
  </si>
  <si>
    <t>https://www.kita-kyu.co.jp/wp/wp-content/uploads/2024/03/181.pdf https://www.city.minoh.lg.jp/kitakyu/kitakyu-enshin.html</t>
  </si>
  <si>
    <t>Saitama Kosoku Tetsudo</t>
  </si>
  <si>
    <t>Akabane Iwabuchi - Urawa Misono</t>
  </si>
  <si>
    <r>
      <rPr>
        <rFont val="Arial"/>
      </rPr>
      <t xml:space="preserve">https://www.jametro.or.jp/upload/data/ZwHlUxbGHRzr.pdf, </t>
    </r>
    <r>
      <rPr>
        <rFont val="Arial"/>
        <color rgb="FF1155CC"/>
        <u/>
      </rPr>
      <t>https://www.jametro.or.jp/upload/data/OcFpRydLvphq.pdf</t>
    </r>
  </si>
  <si>
    <t>Toyo Kosoku Line</t>
  </si>
  <si>
    <t>Nishi-Funabashi - Katsutadai</t>
  </si>
  <si>
    <r>
      <rPr>
        <rFont val="Arial"/>
      </rPr>
      <t xml:space="preserve">https://www.jametro.or.jp/upload/data/ZwHlUxbGHRzr.pdf, </t>
    </r>
    <r>
      <rPr>
        <rFont val="Arial"/>
        <color rgb="FF1155CC"/>
        <u/>
      </rPr>
      <t>https://www.jametro.or.jp/upload/data/OcFpRydLvphq.pdf</t>
    </r>
  </si>
  <si>
    <t>Nanakuma Phase 1</t>
  </si>
  <si>
    <t>Tenjin Minami-Hashimoto</t>
  </si>
  <si>
    <t>https://www.jametro.or.jp/upload/data/ZwHlUxbGHRzr.pdf</t>
  </si>
  <si>
    <t>Hiroshima</t>
  </si>
  <si>
    <t>Astram Line 1</t>
  </si>
  <si>
    <t xml:space="preserve">Hondoori - Kouuiki-en-mae </t>
  </si>
  <si>
    <r>
      <rPr>
        <rFont val="Arial"/>
        <color rgb="FF1155CC"/>
        <sz val="8.0"/>
      </rPr>
      <t xml:space="preserve">https://www.edmonton.ca/projects_plans/transit/nw-lrt
</t>
    </r>
    <r>
      <rPr>
        <rFont val="Arial"/>
        <color rgb="FF1155CC"/>
        <sz val="8.0"/>
        <u/>
      </rPr>
      <t>https://tam-america.com/article/edmonton-metro-northwest-lrt-extension-phase-completed-on-budget-before-time#:</t>
    </r>
    <r>
      <rPr>
        <rFont val="Arial"/>
        <color rgb="FF1155CC"/>
        <sz val="8.0"/>
      </rPr>
      <t>~:text=Phase%201%20construction%20was%20originally,million%20(US%24215%20million).</t>
    </r>
  </si>
  <si>
    <r>
      <rPr>
        <rFont val="Arial"/>
        <sz val="8.0"/>
      </rPr>
      <t xml:space="preserve">https://rayhaberleri.wordpress.com/1998/10/22/proje-bilgisi-taksim-yenikapi-metro-hatti/, </t>
    </r>
    <r>
      <rPr>
        <rFont val="Arial"/>
        <color rgb="FF1155CC"/>
        <sz val="8.0"/>
        <u/>
      </rPr>
      <t>https://rayhaber.com/2009/02/proje-bilgisi-halic-metro-gecis-koprusu-insaati/</t>
    </r>
    <r>
      <rPr>
        <rFont val="Arial"/>
        <sz val="8.0"/>
      </rPr>
      <t>, https://rayhaber.com/2004/10/proje-bilgisi-istanbul-metrosu-4-levent-ayazaga-kesimi-depo-sahasi-ve-baglanti-hatlari-insaat-isi/</t>
    </r>
  </si>
  <si>
    <t>West Seattle and Ballard</t>
  </si>
  <si>
    <t>https://publicola.com/wp-content/uploads/2021/01/Presentation-Updated-Project-Cost-Estimates-210107.pdf</t>
  </si>
  <si>
    <r>
      <rPr>
        <rFont val="Arial"/>
        <sz val="8.0"/>
      </rPr>
      <t xml:space="preserve">https://www.legislation.gov.uk/cy/ukla/1993/7/body/enacted "Sharing Risks on London's Light Railway." Mass Transit, vol. 23, no. 2, 1997, pp. 9. ProQuest, </t>
    </r>
    <r>
      <rPr>
        <rFont val="Arial"/>
        <color rgb="FF1155CC"/>
        <sz val="8.0"/>
        <u/>
      </rPr>
      <t>http://proxy.library.nyu.edu/login?qurl=https%3A%2F%2Fwww.proquest.com%2Ftrade-journals%2Fsharing-risks-on-londons-light-railway%2Fdocview%2F231162793%2Fse-2%3Faccountid%3D12768.</t>
    </r>
  </si>
  <si>
    <r>
      <rPr>
        <rFont val="Arial"/>
      </rPr>
      <t xml:space="preserve">https://www.kotsu.city.sendai.jp/kigyou/gaiyou/gaiyou.html　https://www.kotsu.city.sendai.jp/kigyou/pdf/05nendoban/5-2.pdf　</t>
    </r>
    <r>
      <rPr>
        <rFont val="Arial"/>
        <color rgb="FF1155CC"/>
        <u/>
      </rPr>
      <t>https://www.kotsu.city.sendai.jp/kigyou/pdf/06nendoban/11.pdf</t>
    </r>
  </si>
  <si>
    <r>
      <rPr>
        <rFont val="Arial"/>
      </rPr>
      <t xml:space="preserve">http://library.jsce.or.jp/jsce/open/00322/2008/45-04-0037.pdf https://www.pref.miyagi.jp/soshiki/kurin/railway001.html https://www.senat.co.jp/company/info01/ </t>
    </r>
    <r>
      <rPr>
        <rFont val="Arial"/>
        <color rgb="FF1155CC"/>
        <u/>
      </rPr>
      <t>https://web.archive.org/web/20160306165935/http://www.pref.miyagi.jp/uploaded/attachment/44456.pdf</t>
    </r>
  </si>
  <si>
    <r>
      <rPr>
        <rFont val="Arial"/>
      </rPr>
      <t xml:space="preserve">https://www.jametro.or.jp/upload/data/ZwHlUxbGHRzr.pdf, </t>
    </r>
    <r>
      <rPr>
        <rFont val="Arial"/>
        <color rgb="FF1155CC"/>
        <u/>
      </rPr>
      <t>https://www.jametro.or.jp/upload/data/OcFpRydLvphq.pdf</t>
    </r>
  </si>
  <si>
    <r>
      <rPr>
        <rFont val="Arial"/>
      </rPr>
      <t xml:space="preserve">https://www.jametro.or.jp/upload/data/ZwHlUxbGHRzr.pdf, </t>
    </r>
    <r>
      <rPr>
        <rFont val="Arial"/>
        <color rgb="FF1155CC"/>
        <u/>
      </rPr>
      <t>https://www.jametro.or.jp/upload/data/OcFpRydLvphq.pdf</t>
    </r>
  </si>
  <si>
    <r>
      <rPr>
        <rFont val="Arial"/>
      </rPr>
      <t xml:space="preserve">https://www.jametro.or.jp/upload/data/ZwHlUxbGHRzr.pdf, </t>
    </r>
    <r>
      <rPr>
        <rFont val="Arial"/>
        <color rgb="FF1155CC"/>
        <u/>
      </rPr>
      <t>https://www.jametro.or.jp/upload/data/OcFpRydLvphq.pdf</t>
    </r>
  </si>
  <si>
    <r>
      <rPr>
        <rFont val="Arial"/>
      </rPr>
      <t xml:space="preserve">https://www.jametro.or.jp/upload/data/ZwHlUxbGHRzr.pdf, </t>
    </r>
    <r>
      <rPr>
        <rFont val="Arial"/>
        <color rgb="FF1155CC"/>
        <u/>
      </rPr>
      <t>https://www.jametro.or.jp/upload/data/OcFpRydLvphq.pdf</t>
    </r>
  </si>
  <si>
    <t>d</t>
  </si>
  <si>
    <t>Real cost (2023 dollars)</t>
  </si>
  <si>
    <t>Cost/km (2023 dollars)</t>
  </si>
  <si>
    <t>Extension to Stratford International from Canning Town</t>
  </si>
  <si>
    <t>Unique Country:</t>
  </si>
  <si>
    <t xml:space="preserve">Unique City: </t>
  </si>
  <si>
    <t>Total length in km:</t>
  </si>
  <si>
    <t>Total cost:</t>
  </si>
  <si>
    <t>Weighted Avg Cost/km</t>
  </si>
  <si>
    <t>Count:</t>
  </si>
  <si>
    <t>Total Tunnel in km:</t>
  </si>
  <si>
    <t>Weighted Avg Tunnel%:</t>
  </si>
  <si>
    <t>Avg cost/km</t>
  </si>
  <si>
    <t>Index (2021)</t>
  </si>
  <si>
    <t>Index (2023)</t>
  </si>
  <si>
    <t>Index (2025)</t>
  </si>
  <si>
    <r>
      <rPr/>
      <t xml:space="preserve">Inflation Rate. Data Source: </t>
    </r>
    <r>
      <rPr>
        <color rgb="FF1155CC"/>
        <u/>
      </rPr>
      <t>https://data.bls.gov/timeseries/CUUR0000SA0</t>
    </r>
  </si>
  <si>
    <t>HALF1</t>
  </si>
  <si>
    <t>HALF2</t>
  </si>
  <si>
    <t>Platform Length (Meters)</t>
  </si>
  <si>
    <t>Cost/km (Millions)</t>
  </si>
  <si>
    <t>https://www.translink.ca/Plans-and-Projects/Rapid-Transit-Projects/Broadway-Subway-Project.aspx</t>
  </si>
  <si>
    <t>https://montrealgazette.com/news/local-news/montreal-metro-green-light-for-blue-line-extension</t>
  </si>
  <si>
    <t>https://www.rbc.ru/politics/23/11/2017/5a16bd6a9a7947a6f487fe13</t>
  </si>
  <si>
    <t>Nizhniy Novgorod</t>
  </si>
  <si>
    <t>https://www.metro-report.com/analysis/single-news/view/the-winners-and-losers-of-russian-metros.html</t>
  </si>
  <si>
    <t>Saint Petersburg</t>
  </si>
  <si>
    <t>Line 3 extension</t>
  </si>
  <si>
    <t>http://krti.gov.spb.ru/press/news/52016/?category=17</t>
  </si>
  <si>
    <t>https://zakupki.gov.ru/epz/order/notice/oku44/view/supplier-results.html?regNumber=0173200001418000217</t>
  </si>
  <si>
    <t>agency</t>
  </si>
  <si>
    <t>https://vnexpress.net/thoi-su/thanh-tra-chi-ra-nhieu-vi-pham-tai-du-an-metro-1-7-ty-usd-o-ha-noi-3777287.html</t>
  </si>
  <si>
    <t>https://www.railwayage.com/news/eglinton-crosstown-behind-schedule/</t>
  </si>
  <si>
    <t>http://news.bbc.co.uk/2/hi/uk_news/529006.stm</t>
  </si>
  <si>
    <t>https://www.railwaypro.com/wp/south-korean-consortium-to-build-panama-metro-line-3/</t>
  </si>
  <si>
    <t>https://www.themayor.eu/en/massive-lisbon-metro-expansion-scheduled-for-2020</t>
  </si>
  <si>
    <t>FOI</t>
  </si>
  <si>
    <t>U4 to Dannerallee</t>
  </si>
  <si>
    <r>
      <rPr>
        <rFont val="Arial"/>
        <sz val="8.0"/>
      </rPr>
      <t xml:space="preserve">https://rayhaberleri.wordpress.com/1998/10/22/proje-bilgisi-taksim-yenikapi-metro-hatti/, </t>
    </r>
    <r>
      <rPr>
        <rFont val="Arial"/>
        <color rgb="FF1155CC"/>
        <sz val="8.0"/>
        <u/>
      </rPr>
      <t>https://rayhaber.com/2009/02/proje-bilgisi-halic-metro-gecis-koprusu-insaati/</t>
    </r>
    <r>
      <rPr>
        <rFont val="Arial"/>
        <sz val="8.0"/>
      </rPr>
      <t>, https://rayhaber.com/2004/10/proje-bilgisi-istanbul-metrosu-4-levent-ayazaga-kesimi-depo-sahasi-ve-baglanti-hatlari-insaat-isi/</t>
    </r>
  </si>
  <si>
    <t>Wikiland</t>
  </si>
  <si>
    <t>NDRC</t>
  </si>
  <si>
    <t>wiki</t>
  </si>
  <si>
    <t>Column name</t>
  </si>
  <si>
    <t>Explanation</t>
  </si>
  <si>
    <t>Format</t>
  </si>
  <si>
    <t>Notes</t>
  </si>
  <si>
    <t>The country code of the project</t>
  </si>
  <si>
    <t>The city of the project</t>
  </si>
  <si>
    <t>The name of the project</t>
  </si>
  <si>
    <t>The phase of the project</t>
  </si>
  <si>
    <t>Start year of construction</t>
  </si>
  <si>
    <t>YYYY</t>
  </si>
  <si>
    <t>End year of construction</t>
  </si>
  <si>
    <t>Is it a regional rail project?</t>
  </si>
  <si>
    <t xml:space="preserve">0,1 </t>
  </si>
  <si>
    <t>Regional rail denotes a line running on mainline or mainline-compatible tracks, including commuter rail tunnels and RER and S-Bahn projects</t>
  </si>
  <si>
    <t>The length of the line or phase in kilometers</t>
  </si>
  <si>
    <t>Percentage of tunnel</t>
  </si>
  <si>
    <t>0-100%</t>
  </si>
  <si>
    <t>Length of tunnel in kilometers</t>
  </si>
  <si>
    <t>Tunnel length and percentage are the most accurate among the tunnel, elevated and at-grade values. Tunnel length information was often retrieved from the same sources as the cost and length information but elevated and at-grade lengths were calculated or derived from Open Street Maps.</t>
  </si>
  <si>
    <t>Length of the section that is elevated</t>
  </si>
  <si>
    <t>Length of the section that is at grade</t>
  </si>
  <si>
    <t>The number of stations</t>
  </si>
  <si>
    <t>The length of platforms in meters</t>
  </si>
  <si>
    <t>Source type for length, tunnel, station and platform data</t>
  </si>
  <si>
    <t>Media
Trade: Specialized industry journals such as railway gazette and railjournal
Plan: Government Document, Wiki</t>
  </si>
  <si>
    <t>Trade denotes specialized trade media, distinct from general mass media</t>
  </si>
  <si>
    <t>Cost in original currency</t>
  </si>
  <si>
    <r>
      <rPr/>
      <t xml:space="preserve">For the majority of the entries, costs exclude rolling stock. In a few cases where disaggregated data doesn't exist, it may include rolling stock. See </t>
    </r>
    <r>
      <rPr>
        <color rgb="FF1155CC"/>
        <u/>
      </rPr>
      <t>https://docs.google.com/spreadsheets/d/16GoHcbW-eVzHUUP_XCWVXS1s_i3ZBnmZh4kvdSX7muU/edit?usp=sharing</t>
    </r>
    <r>
      <rPr/>
      <t xml:space="preserve"> for comments.</t>
    </r>
  </si>
  <si>
    <t>Year used to adjust cost for PPP and inflation. Often the mid year of construction, unless the Cost value is already adjusted for a given year.</t>
  </si>
  <si>
    <t>Purchasing power parity (2023)</t>
  </si>
  <si>
    <r>
      <rPr/>
      <t xml:space="preserve">Source: </t>
    </r>
    <r>
      <rPr>
        <color rgb="FF1155CC"/>
        <u/>
      </rPr>
      <t>https://data.worldbank.org/indicator/PA.NUS.PPP</t>
    </r>
  </si>
  <si>
    <t>Cost in dollars adjusted for PPP (2023)</t>
  </si>
  <si>
    <t>Cost per kilometer in dollars</t>
  </si>
  <si>
    <t xml:space="preserve">Inflation index </t>
  </si>
  <si>
    <t>Cost in dollars adjusted for PPP and inflation (2023)</t>
  </si>
  <si>
    <t>Adjusted cost per kilometer</t>
  </si>
  <si>
    <t>Source type for cost data</t>
  </si>
  <si>
    <t>Media
Trade: Specialized industry journals such as railway gazette and railjournal
Plan: Government Document, Wiki"</t>
  </si>
  <si>
    <t xml:space="preserve">Reference 1 </t>
  </si>
  <si>
    <t>Source link</t>
  </si>
  <si>
    <t>Reference 2</t>
  </si>
  <si>
    <t>Additional source link</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</si>
</sst>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0"/>
    <numFmt numFmtId="166" formatCode="#,#0.0"/>
    <numFmt numFmtId="167" formatCode="0.0000"/>
    <numFmt numFmtId="168" formatCode="#,##0.0000"/>
    <numFmt numFmtId="169" formatCode="#,##0.000"/>
    <numFmt numFmtId="170" formatCode="0.000"/>
    <numFmt numFmtId="171" formatCode="0.00000000000"/>
    <numFmt numFmtId="172" formatCode="&quot;$&quot;#,##0.00"/>
  </numFmts>
  <fonts count="97">
    <font>
      <sz val="10.0"/>
      <color rgb="FF000000"/>
      <name val="Calibri"/>
      <scheme val="minor"/>
    </font>
    <font>
      <sz val="8.0"/>
      <color rgb="FF000000"/>
      <name val="Arial"/>
    </font>
    <font>
      <sz val="8.0"/>
      <color theme="1"/>
      <name val="Arial"/>
    </font>
    <font>
      <b/>
      <sz val="8.0"/>
      <color rgb="FF000000"/>
      <name val="Arial"/>
    </font>
    <font>
      <b/>
      <sz val="8.0"/>
      <color theme="1"/>
      <name val="Arial"/>
    </font>
    <font>
      <b/>
      <color theme="1"/>
      <name val="Calibri"/>
      <scheme val="minor"/>
    </font>
    <font>
      <sz val="8.0"/>
      <color rgb="FF000000"/>
      <name val="&quot;Arial&quot;"/>
    </font>
    <font>
      <sz val="8.0"/>
      <color rgb="FF0563C1"/>
      <name val="Arial"/>
    </font>
    <font>
      <sz val="11.0"/>
      <color rgb="FF000000"/>
      <name val="Arial"/>
    </font>
    <font>
      <u/>
      <sz val="8.0"/>
      <color rgb="FF0563C1"/>
      <name val="Arial"/>
    </font>
    <font>
      <u/>
      <sz val="8.0"/>
      <color rgb="FF0000FF"/>
      <name val="Arial"/>
    </font>
    <font>
      <u/>
      <sz val="8.0"/>
      <color rgb="FF0000FF"/>
      <name val="Arial"/>
    </font>
    <font>
      <u/>
      <sz val="8.0"/>
      <color rgb="FF0000FF"/>
      <name val="Arial"/>
    </font>
    <font>
      <color theme="1"/>
      <name val="Arial"/>
    </font>
    <font>
      <u/>
      <sz val="8.0"/>
      <color rgb="FF0000FF"/>
      <name val="Arial"/>
    </font>
    <font>
      <u/>
      <sz val="8.0"/>
      <color rgb="FF1155CC"/>
      <name val="Arial"/>
    </font>
    <font>
      <sz val="8.0"/>
      <color rgb="FF1155CC"/>
      <name val="Arial"/>
    </font>
    <font>
      <u/>
      <sz val="8.0"/>
      <color rgb="FF0000FF"/>
      <name val="Arial"/>
    </font>
    <font>
      <u/>
      <sz val="8.0"/>
      <color rgb="FF1155CC"/>
      <name val="Arial"/>
    </font>
    <font>
      <u/>
      <sz val="8.0"/>
      <color rgb="FF0000FF"/>
      <name val="Arial"/>
    </font>
    <font>
      <u/>
      <sz val="8.0"/>
      <color rgb="FF1155CC"/>
      <name val="Arial"/>
    </font>
    <font>
      <u/>
      <sz val="8.0"/>
      <color rgb="FF0000FF"/>
      <name val="Arial"/>
    </font>
    <font>
      <u/>
      <sz val="8.0"/>
      <color rgb="FF0000FF"/>
      <name val="Arial"/>
    </font>
    <font>
      <u/>
      <sz val="8.0"/>
      <color rgb="FF1155CC"/>
      <name val="Arial"/>
    </font>
    <font>
      <u/>
      <sz val="8.0"/>
      <color rgb="FF0000FF"/>
      <name val="Arial"/>
    </font>
    <font>
      <u/>
      <sz val="8.0"/>
      <color theme="1"/>
      <name val="Arial"/>
    </font>
    <font>
      <u/>
      <sz val="8.0"/>
      <color rgb="FF0000FF"/>
      <name val="Arial"/>
    </font>
    <font>
      <u/>
      <sz val="8.0"/>
      <color rgb="FF0000FF"/>
      <name val="Arial"/>
    </font>
    <font/>
    <font>
      <color theme="1"/>
      <name val="Calibri"/>
      <scheme val="minor"/>
    </font>
    <font>
      <u/>
      <sz val="8.0"/>
      <color rgb="FF0000FF"/>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u/>
      <sz val="8.0"/>
      <color theme="1"/>
      <name val="Arial"/>
    </font>
    <font>
      <u/>
      <sz val="8.0"/>
      <color rgb="FF0563C1"/>
      <name val="Arial"/>
    </font>
    <font>
      <u/>
      <sz val="8.0"/>
      <color rgb="FF0000FF"/>
      <name val="Arial"/>
    </font>
    <font>
      <u/>
      <sz val="8.0"/>
      <color theme="1"/>
      <name val="Arial"/>
    </font>
    <font>
      <u/>
      <sz val="8.0"/>
      <color rgb="FF0000FF"/>
      <name val="Arial"/>
    </font>
    <font>
      <u/>
      <sz val="8.0"/>
      <color theme="1"/>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u/>
      <sz val="8.0"/>
      <color theme="1"/>
      <name val="Arial"/>
    </font>
    <font>
      <u/>
      <sz val="8.0"/>
      <color rgb="FF1155CC"/>
      <name val="Arial"/>
    </font>
    <font>
      <u/>
      <sz val="8.0"/>
      <color rgb="FF0000FF"/>
      <name val="Arial"/>
    </font>
    <font>
      <u/>
      <sz val="8.0"/>
      <color theme="1"/>
      <name val="Arial"/>
    </font>
    <font>
      <u/>
      <sz val="8.0"/>
      <color rgb="FF0000FF"/>
      <name val="Arial"/>
    </font>
    <font>
      <u/>
      <sz val="8.0"/>
      <color rgb="FF0000FF"/>
      <name val="Arial"/>
    </font>
    <font>
      <i/>
      <sz val="8.0"/>
      <color theme="1"/>
      <name val="Arial"/>
    </font>
    <font>
      <u/>
      <sz val="8.0"/>
      <color theme="1"/>
      <name val="Arial"/>
    </font>
    <font>
      <u/>
      <sz val="8.0"/>
      <color rgb="FF1155CC"/>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u/>
      <sz val="8.0"/>
      <color rgb="FF1155CC"/>
      <name val="Arial"/>
    </font>
    <font>
      <u/>
      <sz val="8.0"/>
      <color rgb="FF1155CC"/>
      <name val="Arial"/>
    </font>
    <font>
      <u/>
      <sz val="8.0"/>
      <color rgb="FF0000FF"/>
      <name val="Arial"/>
    </font>
    <font>
      <u/>
      <sz val="8.0"/>
      <color rgb="FF1155CC"/>
      <name val="Arial"/>
    </font>
    <font>
      <u/>
      <sz val="8.0"/>
      <color rgb="FF000000"/>
      <name val="Arial"/>
    </font>
    <font>
      <u/>
      <sz val="8.0"/>
      <color rgb="FF0563C1"/>
      <name val="Arial"/>
    </font>
    <font>
      <u/>
      <sz val="8.0"/>
      <color rgb="FF0000FF"/>
      <name val="Arial"/>
    </font>
    <font>
      <u/>
      <sz val="9.0"/>
      <color rgb="FF0000FF"/>
      <name val="Arial"/>
    </font>
    <font>
      <u/>
      <sz val="8.0"/>
      <color theme="1"/>
      <name val="Arial"/>
    </font>
    <font>
      <u/>
      <sz val="8.0"/>
      <color rgb="FF0000FF"/>
      <name val="Arial"/>
    </font>
    <font>
      <u/>
      <sz val="8.0"/>
      <color rgb="FF1155CC"/>
      <name val="Arial"/>
    </font>
    <font>
      <u/>
      <sz val="8.0"/>
      <color rgb="FF1155CC"/>
      <name val="Arial"/>
    </font>
    <font>
      <u/>
      <sz val="8.0"/>
      <color rgb="FF0000FF"/>
      <name val="Arial"/>
    </font>
    <font>
      <sz val="11.0"/>
      <color rgb="FF000000"/>
      <name val="&quot;Aptos Narrow&quot;"/>
    </font>
    <font>
      <u/>
      <sz val="8.0"/>
      <color rgb="FF1155CC"/>
      <name val="Arial"/>
    </font>
    <font>
      <u/>
      <sz val="8.0"/>
      <color rgb="FF1155CC"/>
      <name val="Arial"/>
    </font>
    <font>
      <sz val="8.0"/>
      <color rgb="FF000000"/>
      <name val="Calibri"/>
    </font>
    <font>
      <sz val="8.0"/>
      <color rgb="FF222222"/>
      <name val="Arial"/>
    </font>
    <font>
      <u/>
      <color rgb="FF0000FF"/>
      <name val="Arial"/>
    </font>
    <font>
      <sz val="11.0"/>
      <color rgb="FF202122"/>
      <name val="Arial"/>
    </font>
    <font>
      <u/>
      <color rgb="FF1155CC"/>
      <name val="Arial"/>
    </font>
    <font>
      <color rgb="FF333333"/>
      <name val="Arial"/>
    </font>
    <font>
      <color rgb="FF1F1F1F"/>
      <name val="Google Sans"/>
    </font>
    <font>
      <u/>
      <color rgb="FF1155CC"/>
      <name val="Arial"/>
    </font>
    <font>
      <sz val="10.0"/>
      <color theme="1"/>
      <name val="Calibri"/>
      <scheme val="minor"/>
    </font>
    <font>
      <color rgb="FF000000"/>
      <name val="Arial"/>
    </font>
    <font>
      <sz val="8.0"/>
      <color theme="1"/>
      <name val="Calibri"/>
      <scheme val="minor"/>
    </font>
    <font>
      <sz val="10.0"/>
      <color rgb="FF000000"/>
      <name val="Arial"/>
    </font>
    <font>
      <color theme="1"/>
      <name val="Calibri"/>
    </font>
    <font>
      <u/>
      <color rgb="FF0000FF"/>
    </font>
    <font>
      <u/>
      <sz val="8.0"/>
      <color rgb="FF0000FF"/>
      <name val="Arial"/>
    </font>
    <font>
      <u/>
      <sz val="8.0"/>
      <color theme="1"/>
      <name val="Arial"/>
    </font>
    <font>
      <u/>
      <sz val="8.0"/>
      <color rgb="FF1155CC"/>
      <name val="Arial"/>
    </font>
    <font>
      <u/>
      <sz val="8.0"/>
      <color rgb="FF0000FF"/>
      <name val="Arial"/>
    </font>
    <font>
      <u/>
      <color rgb="FF0000FF"/>
    </font>
  </fonts>
  <fills count="14">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CE5CD"/>
        <bgColor rgb="FFFCE5CD"/>
      </patternFill>
    </fill>
    <fill>
      <patternFill patternType="solid">
        <fgColor rgb="FFF3F3F3"/>
        <bgColor rgb="FFF3F3F3"/>
      </patternFill>
    </fill>
    <fill>
      <patternFill patternType="solid">
        <fgColor rgb="FFEEEEEE"/>
        <bgColor rgb="FFEEEEEE"/>
      </patternFill>
    </fill>
    <fill>
      <patternFill patternType="solid">
        <fgColor rgb="FF904929"/>
        <bgColor rgb="FF904929"/>
      </patternFill>
    </fill>
    <fill>
      <patternFill patternType="solid">
        <fgColor rgb="FFFF0000"/>
        <bgColor rgb="FFFF0000"/>
      </patternFill>
    </fill>
    <fill>
      <patternFill patternType="solid">
        <fgColor rgb="FF9FC5E8"/>
        <bgColor rgb="FF9FC5E8"/>
      </patternFill>
    </fill>
    <fill>
      <patternFill patternType="solid">
        <fgColor rgb="FFD9D9D9"/>
        <bgColor rgb="FFD9D9D9"/>
      </patternFill>
    </fill>
    <fill>
      <patternFill patternType="solid">
        <fgColor rgb="FFF4CCCC"/>
        <bgColor rgb="FFF4CCCC"/>
      </patternFill>
    </fill>
    <fill>
      <patternFill patternType="solid">
        <fgColor rgb="FFE2EFD9"/>
        <bgColor rgb="FFE2EFD9"/>
      </patternFill>
    </fill>
  </fills>
  <borders count="16">
    <border/>
    <border>
      <right/>
      <top/>
      <bottom/>
    </border>
    <border>
      <left/>
      <right/>
      <top/>
      <bottom/>
    </border>
    <border>
      <right/>
      <top/>
    </border>
    <border>
      <left/>
      <right/>
      <top/>
    </border>
    <border>
      <left style="thin">
        <color rgb="FFFF0000"/>
      </left>
    </border>
    <border>
      <right/>
      <bottom/>
    </border>
    <border>
      <left/>
      <right/>
      <bottom/>
    </border>
    <border>
      <right style="thin">
        <color rgb="FFFF0000"/>
      </right>
    </border>
    <border>
      <top/>
      <bottom/>
    </border>
    <border>
      <left/>
      <top/>
      <bottom/>
    </border>
    <border>
      <left style="thin">
        <color rgb="FF000000"/>
      </left>
      <right style="thin">
        <color rgb="FF000000"/>
      </right>
      <top style="thin">
        <color rgb="FF000000"/>
      </top>
      <bottom style="thin">
        <color rgb="FF000000"/>
      </bottom>
    </border>
    <border>
      <top style="thin">
        <color rgb="FFCC0000"/>
      </top>
    </border>
    <border>
      <left style="thin">
        <color rgb="FF000000"/>
      </left>
      <right style="thin">
        <color rgb="FF000000"/>
      </right>
      <top style="thin">
        <color rgb="FFCC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0" xfId="0" applyAlignment="1" applyFont="1">
      <alignment horizontal="right" shrinkToFit="0" vertical="bottom" wrapText="0"/>
    </xf>
    <xf borderId="0" fillId="0" fontId="1" numFmtId="3" xfId="0" applyAlignment="1" applyFont="1" applyNumberFormat="1">
      <alignment horizontal="left" shrinkToFit="0" vertical="bottom" wrapText="0"/>
    </xf>
    <xf borderId="0" fillId="0" fontId="1" numFmtId="164" xfId="0" applyAlignment="1" applyFont="1" applyNumberFormat="1">
      <alignment horizontal="left" shrinkToFit="0" vertical="bottom" wrapText="0"/>
    </xf>
    <xf borderId="0" fillId="0" fontId="1" numFmtId="0" xfId="0" applyAlignment="1" applyFont="1">
      <alignment shrinkToFit="0" vertical="bottom" wrapText="0"/>
    </xf>
    <xf borderId="0" fillId="0" fontId="2" numFmtId="0" xfId="0" applyFont="1"/>
    <xf borderId="0" fillId="0" fontId="3"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3" numFmtId="3" xfId="0" applyAlignment="1" applyFont="1" applyNumberFormat="1">
      <alignment horizontal="left" shrinkToFit="0" vertical="bottom" wrapText="0"/>
    </xf>
    <xf borderId="0" fillId="0" fontId="3" numFmtId="164" xfId="0" applyAlignment="1" applyFont="1" applyNumberFormat="1">
      <alignment horizontal="left" readingOrder="0" shrinkToFit="0" vertical="bottom" wrapText="0"/>
    </xf>
    <xf borderId="0" fillId="0" fontId="4" numFmtId="0" xfId="0" applyAlignment="1" applyFont="1">
      <alignment horizontal="left"/>
    </xf>
    <xf borderId="0" fillId="0" fontId="5" numFmtId="0" xfId="0" applyAlignment="1" applyFont="1">
      <alignment horizontal="left"/>
    </xf>
    <xf borderId="0" fillId="2" fontId="2" numFmtId="165" xfId="0" applyAlignment="1" applyFill="1" applyFont="1" applyNumberFormat="1">
      <alignment horizontal="left" vertical="bottom"/>
    </xf>
    <xf borderId="0" fillId="2" fontId="1" numFmtId="0" xfId="0" applyAlignment="1" applyFont="1">
      <alignment shrinkToFit="0" vertical="bottom" wrapText="0"/>
    </xf>
    <xf borderId="0" fillId="0" fontId="6" numFmtId="0" xfId="0" applyAlignment="1" applyFont="1">
      <alignment readingOrder="0"/>
    </xf>
    <xf borderId="0" fillId="2" fontId="2" numFmtId="0" xfId="0" applyAlignment="1" applyFont="1">
      <alignment horizontal="right" vertical="bottom"/>
    </xf>
    <xf borderId="0" fillId="2" fontId="1" numFmtId="0" xfId="0" applyAlignment="1" applyFont="1">
      <alignment horizontal="right" shrinkToFit="0" vertical="bottom" wrapText="0"/>
    </xf>
    <xf borderId="0" fillId="2" fontId="2" numFmtId="10" xfId="0" applyAlignment="1" applyFont="1" applyNumberFormat="1">
      <alignment horizontal="right" vertical="bottom"/>
    </xf>
    <xf borderId="0" fillId="0" fontId="1" numFmtId="164" xfId="0" applyAlignment="1" applyFont="1" applyNumberFormat="1">
      <alignment horizontal="right" shrinkToFit="0" vertical="bottom" wrapText="0"/>
    </xf>
    <xf borderId="0" fillId="2" fontId="1" numFmtId="0" xfId="0" applyAlignment="1" applyFont="1">
      <alignment horizontal="right" readingOrder="0" shrinkToFit="0" vertical="bottom" wrapText="0"/>
    </xf>
    <xf borderId="0" fillId="2" fontId="2" numFmtId="0" xfId="0" applyAlignment="1" applyFont="1">
      <alignment vertical="bottom"/>
    </xf>
    <xf borderId="0" fillId="2" fontId="2" numFmtId="3" xfId="0" applyAlignment="1" applyFont="1" applyNumberFormat="1">
      <alignment horizontal="right" vertical="bottom"/>
    </xf>
    <xf borderId="0" fillId="3" fontId="2" numFmtId="164" xfId="0" applyFill="1" applyFont="1" applyNumberFormat="1"/>
    <xf borderId="0" fillId="4" fontId="1" numFmtId="0" xfId="0" applyAlignment="1" applyFill="1" applyFont="1">
      <alignment horizontal="right" shrinkToFit="0" vertical="bottom" wrapText="0"/>
    </xf>
    <xf borderId="0" fillId="4" fontId="1" numFmtId="0" xfId="0" applyAlignment="1" applyFont="1">
      <alignment horizontal="left" shrinkToFit="0" vertical="bottom" wrapText="0"/>
    </xf>
    <xf borderId="0" fillId="5" fontId="1" numFmtId="166" xfId="0" applyAlignment="1" applyFill="1" applyFont="1" applyNumberFormat="1">
      <alignment horizontal="left" shrinkToFit="0" vertical="bottom" wrapText="0"/>
    </xf>
    <xf borderId="0" fillId="0" fontId="7" numFmtId="0" xfId="0" applyAlignment="1" applyFont="1">
      <alignment shrinkToFit="0" vertical="bottom" wrapText="0"/>
    </xf>
    <xf borderId="1" fillId="4" fontId="1" numFmtId="0" xfId="0" applyAlignment="1" applyBorder="1" applyFont="1">
      <alignment shrinkToFit="0" vertical="bottom" wrapText="0"/>
    </xf>
    <xf borderId="2" fillId="4" fontId="1" numFmtId="0" xfId="0" applyAlignment="1" applyBorder="1" applyFont="1">
      <alignment shrinkToFit="0" vertical="bottom" wrapText="0"/>
    </xf>
    <xf borderId="2" fillId="4" fontId="8" numFmtId="0" xfId="0" applyAlignment="1" applyBorder="1" applyFont="1">
      <alignment shrinkToFit="0" vertical="bottom" wrapText="0"/>
    </xf>
    <xf borderId="2" fillId="6" fontId="8" numFmtId="0" xfId="0" applyAlignment="1" applyBorder="1" applyFill="1" applyFont="1">
      <alignment shrinkToFit="0" vertical="bottom" wrapText="0"/>
    </xf>
    <xf borderId="0" fillId="6" fontId="8" numFmtId="0" xfId="0" applyAlignment="1" applyFont="1">
      <alignment shrinkToFit="0" vertical="bottom" wrapText="0"/>
    </xf>
    <xf borderId="0" fillId="4" fontId="1" numFmtId="0" xfId="0" applyAlignment="1" applyFont="1">
      <alignment shrinkToFit="0" vertical="bottom" wrapText="0"/>
    </xf>
    <xf borderId="0" fillId="4" fontId="8" numFmtId="0" xfId="0" applyAlignment="1" applyFont="1">
      <alignment shrinkToFit="0" vertical="bottom" wrapText="0"/>
    </xf>
    <xf borderId="0" fillId="0" fontId="1" numFmtId="0" xfId="0" applyAlignment="1" applyFont="1">
      <alignment readingOrder="0" shrinkToFit="0" vertical="bottom" wrapText="0"/>
    </xf>
    <xf borderId="0" fillId="0" fontId="9" numFmtId="0" xfId="0" applyAlignment="1" applyFont="1">
      <alignment shrinkToFit="0" vertical="bottom" wrapText="0"/>
    </xf>
    <xf borderId="0" fillId="4" fontId="1" numFmtId="165" xfId="0" applyAlignment="1" applyFont="1" applyNumberFormat="1">
      <alignment horizontal="left" shrinkToFit="0" vertical="bottom" wrapText="0"/>
    </xf>
    <xf borderId="0" fillId="0" fontId="1" numFmtId="10" xfId="0" applyAlignment="1" applyFont="1" applyNumberFormat="1">
      <alignment horizontal="right" shrinkToFit="0" vertical="bottom" wrapText="0"/>
    </xf>
    <xf borderId="0" fillId="0" fontId="1" numFmtId="0" xfId="0" applyAlignment="1" applyFont="1">
      <alignment horizontal="right" readingOrder="0" shrinkToFit="0" vertical="bottom" wrapText="0"/>
    </xf>
    <xf borderId="0" fillId="0" fontId="1" numFmtId="3" xfId="0" applyAlignment="1" applyFont="1" applyNumberFormat="1">
      <alignment horizontal="right" shrinkToFit="0" vertical="bottom" wrapText="0"/>
    </xf>
    <xf borderId="0" fillId="0" fontId="10" numFmtId="0" xfId="0" applyAlignment="1" applyFont="1">
      <alignment horizontal="left" shrinkToFit="0" vertical="bottom" wrapText="0"/>
    </xf>
    <xf borderId="0" fillId="7" fontId="1" numFmtId="0" xfId="0" applyAlignment="1" applyFill="1" applyFont="1">
      <alignment horizontal="left" shrinkToFit="0" vertical="bottom" wrapText="0"/>
    </xf>
    <xf borderId="0" fillId="7" fontId="1" numFmtId="0" xfId="0" applyAlignment="1" applyFont="1">
      <alignment horizontal="left" readingOrder="0" shrinkToFit="0" vertical="bottom" wrapText="0"/>
    </xf>
    <xf borderId="0" fillId="7" fontId="1" numFmtId="0" xfId="0" applyAlignment="1" applyFont="1">
      <alignment horizontal="right" shrinkToFit="0" vertical="bottom" wrapText="0"/>
    </xf>
    <xf borderId="0" fillId="7" fontId="1" numFmtId="10" xfId="0" applyAlignment="1" applyFont="1" applyNumberFormat="1">
      <alignment horizontal="right" shrinkToFit="0" vertical="bottom" wrapText="0"/>
    </xf>
    <xf borderId="0" fillId="7" fontId="1" numFmtId="0" xfId="0" applyAlignment="1" applyFont="1">
      <alignment horizontal="right" readingOrder="0" shrinkToFit="0" vertical="bottom" wrapText="0"/>
    </xf>
    <xf borderId="0" fillId="7" fontId="1" numFmtId="3" xfId="0" applyAlignment="1" applyFont="1" applyNumberFormat="1">
      <alignment horizontal="right" shrinkToFit="0" vertical="bottom" wrapText="0"/>
    </xf>
    <xf borderId="0" fillId="7" fontId="11" numFmtId="0" xfId="0" applyAlignment="1" applyFont="1">
      <alignment horizontal="left" shrinkToFit="0" vertical="bottom" wrapText="0"/>
    </xf>
    <xf borderId="0" fillId="4" fontId="1" numFmtId="10" xfId="0" applyAlignment="1" applyFont="1" applyNumberFormat="1">
      <alignment horizontal="right" shrinkToFit="0" vertical="bottom" wrapText="0"/>
    </xf>
    <xf borderId="0" fillId="4" fontId="1" numFmtId="0" xfId="0" applyAlignment="1" applyFont="1">
      <alignment horizontal="right" readingOrder="0" shrinkToFit="0" vertical="bottom" wrapText="0"/>
    </xf>
    <xf borderId="0" fillId="4" fontId="1" numFmtId="3" xfId="0" applyAlignment="1" applyFont="1" applyNumberFormat="1">
      <alignment horizontal="right" shrinkToFit="0" vertical="bottom" wrapText="0"/>
    </xf>
    <xf borderId="0" fillId="4" fontId="12" numFmtId="0" xfId="0" applyAlignment="1" applyFont="1">
      <alignment horizontal="left" shrinkToFit="0" vertical="bottom" wrapText="0"/>
    </xf>
    <xf borderId="0" fillId="0" fontId="13" numFmtId="0" xfId="0" applyAlignment="1" applyFont="1">
      <alignment vertical="bottom"/>
    </xf>
    <xf borderId="0" fillId="4" fontId="1" numFmtId="3" xfId="0" applyAlignment="1" applyFont="1" applyNumberFormat="1">
      <alignment horizontal="right" readingOrder="0" shrinkToFit="0" vertical="bottom" wrapText="0"/>
    </xf>
    <xf borderId="0" fillId="4" fontId="14" numFmtId="0" xfId="0" applyAlignment="1" applyFont="1">
      <alignment horizontal="left" readingOrder="0" shrinkToFit="0" vertical="bottom" wrapText="0"/>
    </xf>
    <xf borderId="0" fillId="4" fontId="15" numFmtId="0" xfId="0" applyAlignment="1" applyFont="1">
      <alignment horizontal="left" shrinkToFit="0" vertical="bottom" wrapText="0"/>
    </xf>
    <xf borderId="0" fillId="4" fontId="1" numFmtId="0" xfId="0" applyAlignment="1" applyFont="1">
      <alignment horizontal="right" readingOrder="0" shrinkToFit="0" vertical="bottom" wrapText="0"/>
    </xf>
    <xf borderId="0" fillId="4" fontId="1" numFmtId="10" xfId="0" applyAlignment="1" applyFont="1" applyNumberFormat="1">
      <alignment horizontal="right" readingOrder="0" shrinkToFit="0" vertical="bottom" wrapText="0"/>
    </xf>
    <xf borderId="2" fillId="0" fontId="1" numFmtId="0" xfId="0" applyAlignment="1" applyBorder="1" applyFont="1">
      <alignment shrinkToFit="0" vertical="bottom" wrapText="0"/>
    </xf>
    <xf borderId="0" fillId="4" fontId="1" numFmtId="165" xfId="0" applyAlignment="1" applyFont="1" applyNumberFormat="1">
      <alignment horizontal="left" readingOrder="0" shrinkToFit="0" vertical="bottom" wrapText="0"/>
    </xf>
    <xf borderId="0" fillId="8" fontId="1" numFmtId="165" xfId="0" applyAlignment="1" applyFill="1" applyFont="1" applyNumberFormat="1">
      <alignment horizontal="left" readingOrder="0" shrinkToFit="0" vertical="bottom" wrapText="0"/>
    </xf>
    <xf borderId="0" fillId="4" fontId="1" numFmtId="0" xfId="0" applyAlignment="1" applyFont="1">
      <alignment horizontal="left" readingOrder="0" shrinkToFit="0" vertical="bottom" wrapText="0"/>
    </xf>
    <xf borderId="0" fillId="4" fontId="16" numFmtId="0" xfId="0" applyAlignment="1" applyFont="1">
      <alignment horizontal="left" shrinkToFit="0" vertical="bottom" wrapText="0"/>
    </xf>
    <xf borderId="0" fillId="0" fontId="13" numFmtId="165" xfId="0" applyAlignment="1" applyFont="1" applyNumberFormat="1">
      <alignment vertical="bottom"/>
    </xf>
    <xf borderId="0" fillId="0" fontId="2" numFmtId="165" xfId="0" applyAlignment="1" applyFont="1" applyNumberFormat="1">
      <alignment vertical="bottom"/>
    </xf>
    <xf borderId="0" fillId="2" fontId="2" numFmtId="0" xfId="0" applyAlignment="1" applyFont="1">
      <alignment vertical="bottom"/>
    </xf>
    <xf borderId="0" fillId="2"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0" xfId="0" applyAlignment="1" applyFont="1" applyNumberFormat="1">
      <alignment horizontal="right" vertical="bottom"/>
    </xf>
    <xf borderId="0" fillId="0" fontId="2" numFmtId="0" xfId="0" applyAlignment="1" applyFont="1">
      <alignment vertical="bottom"/>
    </xf>
    <xf borderId="0" fillId="0" fontId="2" numFmtId="3" xfId="0" applyAlignment="1" applyFont="1" applyNumberFormat="1">
      <alignment horizontal="right" vertical="bottom"/>
    </xf>
    <xf borderId="0" fillId="0" fontId="2" numFmtId="0" xfId="0" applyAlignment="1" applyFont="1">
      <alignment vertical="bottom"/>
    </xf>
    <xf borderId="0" fillId="6" fontId="2" numFmtId="0" xfId="0" applyAlignment="1" applyFont="1">
      <alignment horizontal="right" vertical="bottom"/>
    </xf>
    <xf borderId="0" fillId="3" fontId="2" numFmtId="164" xfId="0" applyAlignment="1" applyFont="1" applyNumberFormat="1">
      <alignment horizontal="right" vertical="bottom"/>
    </xf>
    <xf borderId="0" fillId="4" fontId="2" numFmtId="0" xfId="0" applyAlignment="1" applyFont="1">
      <alignment horizontal="right" vertical="bottom"/>
    </xf>
    <xf borderId="0" fillId="5" fontId="2" numFmtId="166" xfId="0" applyAlignment="1" applyFont="1" applyNumberFormat="1">
      <alignment horizontal="center" vertical="bottom"/>
    </xf>
    <xf borderId="0" fillId="0" fontId="17" numFmtId="0" xfId="0" applyAlignment="1" applyFont="1">
      <alignment vertical="bottom"/>
    </xf>
    <xf borderId="1" fillId="0" fontId="13" numFmtId="0" xfId="0" applyAlignment="1" applyBorder="1" applyFont="1">
      <alignment vertical="bottom"/>
    </xf>
    <xf borderId="2" fillId="0" fontId="13" numFmtId="0" xfId="0" applyAlignment="1" applyBorder="1" applyFont="1">
      <alignment vertical="bottom"/>
    </xf>
    <xf borderId="0" fillId="0" fontId="2" numFmtId="0" xfId="0" applyAlignment="1" applyFont="1">
      <alignment horizontal="right" readingOrder="0" vertical="bottom"/>
    </xf>
    <xf borderId="0" fillId="4" fontId="18" numFmtId="0" xfId="0" applyAlignment="1" applyFont="1">
      <alignment horizontal="left" readingOrder="0" shrinkToFit="0" vertical="bottom" wrapText="0"/>
    </xf>
    <xf borderId="0" fillId="8"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4" fontId="16" numFmtId="0" xfId="0" applyAlignment="1" applyFont="1">
      <alignment horizontal="left" readingOrder="0" shrinkToFit="0" vertical="bottom" wrapText="0"/>
    </xf>
    <xf borderId="0" fillId="4" fontId="2" numFmtId="0" xfId="0" applyAlignment="1" applyFont="1">
      <alignment horizontal="left" readingOrder="0" shrinkToFit="0" vertical="bottom" wrapText="0"/>
    </xf>
    <xf borderId="0" fillId="4" fontId="19" numFmtId="0" xfId="0" applyAlignment="1" applyFont="1">
      <alignment horizontal="left" readingOrder="0" shrinkToFit="0" vertical="bottom" wrapText="0"/>
    </xf>
    <xf borderId="1" fillId="2" fontId="1" numFmtId="0" xfId="0" applyAlignment="1" applyBorder="1" applyFont="1">
      <alignment shrinkToFit="0" vertical="bottom" wrapText="0"/>
    </xf>
    <xf borderId="2" fillId="2" fontId="1" numFmtId="0" xfId="0" applyAlignment="1" applyBorder="1" applyFont="1">
      <alignment shrinkToFit="0" vertical="bottom" wrapText="0"/>
    </xf>
    <xf borderId="2" fillId="2" fontId="8" numFmtId="0" xfId="0" applyAlignment="1" applyBorder="1" applyFont="1">
      <alignment shrinkToFit="0" vertical="bottom" wrapText="0"/>
    </xf>
    <xf borderId="2" fillId="0" fontId="1" numFmtId="0" xfId="0" applyAlignment="1" applyBorder="1" applyFont="1">
      <alignment horizontal="right" shrinkToFit="0" vertical="bottom" wrapText="0"/>
    </xf>
    <xf borderId="0" fillId="4" fontId="2" numFmtId="0" xfId="0" applyAlignment="1" applyFont="1">
      <alignment horizontal="left" readingOrder="0" shrinkToFit="0" vertical="bottom" wrapText="0"/>
    </xf>
    <xf borderId="0" fillId="3" fontId="1" numFmtId="0" xfId="0" applyAlignment="1" applyFont="1">
      <alignment horizontal="left" readingOrder="0" shrinkToFit="0" vertical="bottom" wrapText="0"/>
    </xf>
    <xf borderId="3" fillId="4" fontId="1" numFmtId="0" xfId="0" applyAlignment="1" applyBorder="1" applyFont="1">
      <alignment shrinkToFit="0" vertical="bottom" wrapText="0"/>
    </xf>
    <xf borderId="4" fillId="4" fontId="1" numFmtId="0" xfId="0" applyAlignment="1" applyBorder="1" applyFont="1">
      <alignment shrinkToFit="0" vertical="bottom" wrapText="0"/>
    </xf>
    <xf borderId="4" fillId="4" fontId="8" numFmtId="0" xfId="0" applyAlignment="1" applyBorder="1" applyFont="1">
      <alignment shrinkToFit="0" vertical="bottom" wrapText="0"/>
    </xf>
    <xf borderId="4" fillId="6" fontId="8" numFmtId="0" xfId="0" applyAlignment="1" applyBorder="1" applyFont="1">
      <alignment shrinkToFit="0" vertical="bottom" wrapText="0"/>
    </xf>
    <xf borderId="5" fillId="8" fontId="1" numFmtId="0" xfId="0" applyAlignment="1" applyBorder="1" applyFont="1">
      <alignment horizontal="left" readingOrder="0" shrinkToFit="0" vertical="bottom" wrapText="0"/>
    </xf>
    <xf borderId="6" fillId="4" fontId="1" numFmtId="0" xfId="0" applyAlignment="1" applyBorder="1" applyFont="1">
      <alignment shrinkToFit="0" vertical="bottom" wrapText="0"/>
    </xf>
    <xf borderId="7" fillId="4" fontId="1" numFmtId="0" xfId="0" applyAlignment="1" applyBorder="1" applyFont="1">
      <alignment shrinkToFit="0" vertical="bottom" wrapText="0"/>
    </xf>
    <xf borderId="7" fillId="4" fontId="8" numFmtId="0" xfId="0" applyAlignment="1" applyBorder="1" applyFont="1">
      <alignment shrinkToFit="0" vertical="bottom" wrapText="0"/>
    </xf>
    <xf borderId="7" fillId="6" fontId="8" numFmtId="0" xfId="0" applyAlignment="1" applyBorder="1" applyFont="1">
      <alignment shrinkToFit="0" vertical="bottom" wrapText="0"/>
    </xf>
    <xf borderId="8" fillId="6" fontId="8" numFmtId="0" xfId="0" applyAlignment="1" applyBorder="1" applyFont="1">
      <alignment shrinkToFit="0" vertical="bottom" wrapText="0"/>
    </xf>
    <xf borderId="5" fillId="4" fontId="1" numFmtId="165" xfId="0" applyAlignment="1" applyBorder="1" applyFont="1" applyNumberFormat="1">
      <alignment horizontal="left" shrinkToFit="0" vertical="bottom" wrapText="0"/>
    </xf>
    <xf borderId="5" fillId="3" fontId="1" numFmtId="165" xfId="0" applyAlignment="1" applyBorder="1" applyFont="1" applyNumberFormat="1">
      <alignment horizontal="left" readingOrder="0" shrinkToFit="0" vertical="bottom" wrapText="0"/>
    </xf>
    <xf borderId="5" fillId="0" fontId="1" numFmtId="165" xfId="0" applyAlignment="1" applyBorder="1" applyFont="1" applyNumberFormat="1">
      <alignment horizontal="left" shrinkToFit="0" vertical="bottom" wrapText="0"/>
    </xf>
    <xf borderId="5" fillId="3" fontId="1" numFmtId="0" xfId="0" applyAlignment="1" applyBorder="1" applyFont="1">
      <alignment horizontal="left" readingOrder="0" shrinkToFit="0" vertical="bottom" wrapText="0"/>
    </xf>
    <xf borderId="0" fillId="4" fontId="20" numFmtId="0" xfId="0" applyAlignment="1" applyFont="1">
      <alignment horizontal="left" readingOrder="0" shrinkToFit="0" vertical="bottom" wrapText="0"/>
    </xf>
    <xf borderId="5" fillId="4" fontId="1" numFmtId="165" xfId="0" applyAlignment="1" applyBorder="1" applyFont="1" applyNumberFormat="1">
      <alignment horizontal="left" readingOrder="0" shrinkToFit="0" vertical="bottom" wrapText="0"/>
    </xf>
    <xf borderId="5" fillId="0" fontId="13" numFmtId="165" xfId="0" applyAlignment="1" applyBorder="1" applyFont="1" applyNumberFormat="1">
      <alignment vertical="bottom"/>
    </xf>
    <xf borderId="5" fillId="8" fontId="1" numFmtId="165" xfId="0" applyAlignment="1" applyBorder="1" applyFont="1" applyNumberFormat="1">
      <alignment horizontal="left" readingOrder="0" shrinkToFit="0" vertical="bottom" wrapText="0"/>
    </xf>
    <xf borderId="5" fillId="0" fontId="2" numFmtId="0" xfId="0" applyBorder="1" applyFont="1"/>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9" xfId="0" applyAlignment="1" applyFont="1" applyNumberFormat="1">
      <alignment horizontal="right" vertical="bottom"/>
    </xf>
    <xf borderId="0" fillId="4" fontId="2" numFmtId="2" xfId="0" applyAlignment="1" applyFont="1" applyNumberFormat="1">
      <alignment horizontal="right" vertical="bottom"/>
    </xf>
    <xf borderId="0" fillId="0" fontId="21" numFmtId="0" xfId="0" applyAlignment="1" applyFont="1">
      <alignment vertical="bottom"/>
    </xf>
    <xf borderId="6" fillId="0" fontId="22" numFmtId="0" xfId="0" applyAlignment="1" applyBorder="1" applyFont="1">
      <alignment shrinkToFit="0" vertical="bottom" wrapText="0"/>
    </xf>
    <xf borderId="7" fillId="0" fontId="2" numFmtId="0" xfId="0" applyAlignment="1" applyBorder="1" applyFont="1">
      <alignment vertical="bottom"/>
    </xf>
    <xf borderId="7" fillId="0" fontId="13" numFmtId="0" xfId="0" applyAlignment="1" applyBorder="1" applyFont="1">
      <alignment vertical="bottom"/>
    </xf>
    <xf borderId="0" fillId="6" fontId="2" numFmtId="0" xfId="0" applyAlignment="1" applyFont="1">
      <alignment vertical="bottom"/>
    </xf>
    <xf borderId="0" fillId="6" fontId="2" numFmtId="10" xfId="0" applyAlignment="1" applyFont="1" applyNumberFormat="1">
      <alignment horizontal="right" vertical="bottom"/>
    </xf>
    <xf borderId="0" fillId="6" fontId="2" numFmtId="0" xfId="0" applyAlignment="1" applyFont="1">
      <alignment horizontal="right" readingOrder="0" vertical="bottom"/>
    </xf>
    <xf borderId="0" fillId="6" fontId="2" numFmtId="4" xfId="0" applyAlignment="1" applyFont="1" applyNumberFormat="1">
      <alignment horizontal="right" vertical="bottom"/>
    </xf>
    <xf borderId="0" fillId="6" fontId="2" numFmtId="167" xfId="0" applyAlignment="1" applyFont="1" applyNumberFormat="1">
      <alignment vertical="bottom"/>
    </xf>
    <xf borderId="0" fillId="6" fontId="1" numFmtId="2" xfId="0" applyAlignment="1" applyFont="1" applyNumberFormat="1">
      <alignment shrinkToFit="0" vertical="bottom" wrapText="0"/>
    </xf>
    <xf borderId="0" fillId="6" fontId="23" numFmtId="0" xfId="0" applyAlignment="1" applyFont="1">
      <alignment shrinkToFit="0" vertical="bottom" wrapText="0"/>
    </xf>
    <xf borderId="0" fillId="6" fontId="1" numFmtId="0" xfId="0" applyAlignment="1" applyFont="1">
      <alignment shrinkToFit="0" vertical="bottom" wrapText="0"/>
    </xf>
    <xf borderId="0" fillId="6" fontId="1" numFmtId="10" xfId="0" applyAlignment="1" applyFont="1" applyNumberFormat="1">
      <alignment shrinkToFit="0" vertical="bottom" wrapText="0"/>
    </xf>
    <xf borderId="0" fillId="6" fontId="1" numFmtId="0" xfId="0" applyAlignment="1" applyFont="1">
      <alignment readingOrder="0" shrinkToFit="0" vertical="bottom" wrapText="0"/>
    </xf>
    <xf borderId="0" fillId="6" fontId="1" numFmtId="0" xfId="0" applyAlignment="1" applyFont="1">
      <alignment horizontal="right" readingOrder="0" shrinkToFit="0" vertical="bottom" wrapText="0"/>
    </xf>
    <xf borderId="0" fillId="6" fontId="1" numFmtId="0" xfId="0" applyAlignment="1" applyFont="1">
      <alignment readingOrder="0" shrinkToFit="0" vertical="bottom" wrapText="0"/>
    </xf>
    <xf borderId="0" fillId="6" fontId="1" numFmtId="4" xfId="0" applyAlignment="1" applyFont="1" applyNumberFormat="1">
      <alignment shrinkToFit="0" vertical="bottom" wrapText="0"/>
    </xf>
    <xf borderId="0" fillId="0" fontId="1" numFmtId="167" xfId="0" applyAlignment="1" applyFont="1" applyNumberFormat="1">
      <alignment horizontal="right" readingOrder="0" shrinkToFit="0" vertical="bottom" wrapText="0"/>
    </xf>
    <xf borderId="0" fillId="6" fontId="24" numFmtId="0" xfId="0" applyAlignment="1" applyFont="1">
      <alignment shrinkToFit="0" vertical="bottom" wrapText="0"/>
    </xf>
    <xf borderId="0" fillId="6" fontId="1" numFmtId="0" xfId="0" applyAlignment="1" applyFont="1">
      <alignment horizontal="right" shrinkToFit="0" vertical="bottom" wrapText="0"/>
    </xf>
    <xf borderId="5" fillId="4" fontId="2" numFmtId="165" xfId="0" applyAlignment="1" applyBorder="1" applyFont="1" applyNumberFormat="1">
      <alignment horizontal="left" vertical="bottom"/>
    </xf>
    <xf borderId="0" fillId="0" fontId="2" numFmtId="4" xfId="0" applyAlignment="1" applyFont="1" applyNumberFormat="1">
      <alignment horizontal="right" vertical="bottom"/>
    </xf>
    <xf borderId="0" fillId="6" fontId="2" numFmtId="4" xfId="0" applyAlignment="1" applyFont="1" applyNumberFormat="1">
      <alignment vertical="bottom"/>
    </xf>
    <xf borderId="0" fillId="6" fontId="2" numFmtId="0" xfId="0" applyAlignment="1" applyFont="1">
      <alignment readingOrder="0" vertical="bottom"/>
    </xf>
    <xf borderId="0" fillId="6" fontId="2" numFmtId="164" xfId="0" applyAlignment="1" applyFont="1" applyNumberFormat="1">
      <alignment horizontal="right" vertical="bottom"/>
    </xf>
    <xf borderId="6" fillId="0" fontId="2" numFmtId="0" xfId="0" applyBorder="1" applyFont="1"/>
    <xf borderId="7" fillId="0" fontId="1" numFmtId="0" xfId="0" applyAlignment="1" applyBorder="1" applyFont="1">
      <alignment shrinkToFit="0" vertical="bottom" wrapText="0"/>
    </xf>
    <xf borderId="5" fillId="0" fontId="2" numFmtId="165" xfId="0" applyAlignment="1" applyBorder="1" applyFont="1" applyNumberFormat="1">
      <alignment horizontal="left"/>
    </xf>
    <xf borderId="5" fillId="0" fontId="2" numFmtId="165" xfId="0" applyAlignment="1" applyBorder="1" applyFont="1" applyNumberFormat="1">
      <alignment horizontal="left" vertical="bottom"/>
    </xf>
    <xf borderId="0" fillId="0" fontId="1" numFmtId="2" xfId="0" applyAlignment="1" applyFont="1" applyNumberFormat="1">
      <alignment shrinkToFit="0" vertical="bottom" wrapText="0"/>
    </xf>
    <xf borderId="0" fillId="0" fontId="25" numFmtId="0" xfId="0" applyAlignment="1" applyFont="1">
      <alignment readingOrder="0" shrinkToFit="0" vertical="bottom" wrapText="0"/>
    </xf>
    <xf borderId="6" fillId="0" fontId="1" numFmtId="0" xfId="0" applyAlignment="1" applyBorder="1" applyFont="1">
      <alignment shrinkToFit="0" vertical="bottom" wrapText="0"/>
    </xf>
    <xf borderId="7" fillId="0" fontId="8" numFmtId="0" xfId="0" applyAlignment="1" applyBorder="1" applyFont="1">
      <alignment shrinkToFit="0" vertical="bottom" wrapText="0"/>
    </xf>
    <xf borderId="0" fillId="6" fontId="2" numFmtId="0" xfId="0" applyAlignment="1" applyFont="1">
      <alignment horizontal="right" readingOrder="0" vertical="bottom"/>
    </xf>
    <xf borderId="6" fillId="0" fontId="2" numFmtId="0" xfId="0" applyAlignment="1" applyBorder="1" applyFont="1">
      <alignment vertical="bottom"/>
    </xf>
    <xf borderId="0" fillId="6" fontId="2" numFmtId="0" xfId="0" applyAlignment="1" applyFont="1">
      <alignment shrinkToFit="0" vertical="bottom" wrapText="0"/>
    </xf>
    <xf borderId="0" fillId="6" fontId="2" numFmtId="10" xfId="0" applyAlignment="1" applyFont="1" applyNumberFormat="1">
      <alignment vertical="bottom"/>
    </xf>
    <xf borderId="5" fillId="6" fontId="2" numFmtId="165" xfId="0" applyAlignment="1" applyBorder="1" applyFont="1" applyNumberFormat="1">
      <alignment horizontal="left" vertical="bottom"/>
    </xf>
    <xf borderId="0" fillId="6" fontId="2" numFmtId="3" xfId="0" applyAlignment="1" applyFont="1" applyNumberFormat="1">
      <alignment horizontal="right" vertical="bottom"/>
    </xf>
    <xf borderId="6" fillId="0" fontId="2" numFmtId="0" xfId="0" applyAlignment="1" applyBorder="1" applyFont="1">
      <alignment vertical="bottom"/>
    </xf>
    <xf borderId="7" fillId="0" fontId="2" numFmtId="0" xfId="0" applyAlignment="1" applyBorder="1" applyFont="1">
      <alignment vertical="bottom"/>
    </xf>
    <xf borderId="7" fillId="0" fontId="13" numFmtId="0" xfId="0" applyAlignment="1" applyBorder="1" applyFont="1">
      <alignment vertical="bottom"/>
    </xf>
    <xf borderId="0" fillId="0" fontId="26" numFmtId="0" xfId="0" applyAlignment="1" applyFont="1">
      <alignment shrinkToFit="0" vertical="bottom" wrapText="0"/>
    </xf>
    <xf borderId="0" fillId="0" fontId="2" numFmtId="165" xfId="0" applyAlignment="1" applyFont="1" applyNumberFormat="1">
      <alignment horizontal="left" vertical="bottom"/>
    </xf>
    <xf borderId="0" fillId="0" fontId="2" numFmtId="165" xfId="0" applyAlignment="1" applyFont="1" applyNumberFormat="1">
      <alignment horizontal="left"/>
    </xf>
    <xf borderId="1" fillId="0" fontId="2" numFmtId="0" xfId="0" applyAlignment="1" applyBorder="1" applyFont="1">
      <alignment vertical="bottom"/>
    </xf>
    <xf borderId="2" fillId="0" fontId="2" numFmtId="0" xfId="0" applyAlignment="1" applyBorder="1" applyFont="1">
      <alignment vertical="bottom"/>
    </xf>
    <xf borderId="2" fillId="0" fontId="13" numFmtId="0" xfId="0" applyAlignment="1" applyBorder="1" applyFont="1">
      <alignment vertical="bottom"/>
    </xf>
    <xf borderId="9" fillId="0" fontId="27" numFmtId="0" xfId="0" applyAlignment="1" applyBorder="1" applyFont="1">
      <alignment vertical="bottom"/>
    </xf>
    <xf borderId="9" fillId="0" fontId="28" numFmtId="0" xfId="0" applyBorder="1" applyFont="1"/>
    <xf borderId="1" fillId="0" fontId="28" numFmtId="0" xfId="0" applyBorder="1" applyFont="1"/>
    <xf borderId="0" fillId="4" fontId="2" numFmtId="165" xfId="0" applyAlignment="1" applyFont="1" applyNumberFormat="1">
      <alignment horizontal="left" vertical="bottom"/>
    </xf>
    <xf borderId="0" fillId="0" fontId="1" numFmtId="0" xfId="0" applyAlignment="1" applyFont="1">
      <alignment readingOrder="0"/>
    </xf>
    <xf borderId="2" fillId="6" fontId="1" numFmtId="0" xfId="0" applyAlignment="1" applyBorder="1" applyFont="1">
      <alignment shrinkToFit="0" vertical="bottom" wrapText="0"/>
    </xf>
    <xf borderId="1" fillId="0" fontId="2" numFmtId="0" xfId="0" applyBorder="1" applyFont="1"/>
    <xf borderId="2" fillId="0" fontId="2" numFmtId="0" xfId="0" applyBorder="1" applyFont="1"/>
    <xf borderId="2" fillId="0" fontId="29" numFmtId="0" xfId="0" applyBorder="1" applyFont="1"/>
    <xf borderId="0" fillId="2" fontId="2" numFmtId="0" xfId="0" applyAlignment="1" applyFont="1">
      <alignment horizontal="right" readingOrder="0" vertical="bottom"/>
    </xf>
    <xf borderId="0" fillId="2" fontId="2" numFmtId="0" xfId="0" applyAlignment="1" applyFont="1">
      <alignment horizontal="right" readingOrder="0" vertical="bottom"/>
    </xf>
    <xf borderId="1" fillId="6" fontId="1" numFmtId="0" xfId="0" applyAlignment="1" applyBorder="1" applyFont="1">
      <alignment shrinkToFit="0" vertical="bottom" wrapText="0"/>
    </xf>
    <xf borderId="1" fillId="0" fontId="1" numFmtId="0" xfId="0" applyAlignment="1" applyBorder="1" applyFont="1">
      <alignment shrinkToFit="0" vertical="bottom" wrapText="0"/>
    </xf>
    <xf borderId="0" fillId="0" fontId="1" numFmtId="165" xfId="0" applyAlignment="1" applyFont="1" applyNumberFormat="1">
      <alignment horizontal="left" shrinkToFit="0" vertical="bottom" wrapText="0"/>
    </xf>
    <xf borderId="2" fillId="0" fontId="8" numFmtId="0" xfId="0" applyAlignment="1" applyBorder="1" applyFont="1">
      <alignment shrinkToFit="0" vertical="bottom" wrapText="0"/>
    </xf>
    <xf borderId="0" fillId="0" fontId="30" numFmtId="0" xfId="0" applyAlignment="1" applyFont="1">
      <alignment shrinkToFit="0" vertical="bottom" wrapText="0"/>
    </xf>
    <xf borderId="0" fillId="6" fontId="2" numFmtId="167" xfId="0" applyAlignment="1" applyFont="1" applyNumberFormat="1">
      <alignment horizontal="right" vertical="bottom"/>
    </xf>
    <xf borderId="1" fillId="0" fontId="31" numFmtId="0" xfId="0" applyAlignment="1" applyBorder="1" applyFont="1">
      <alignment shrinkToFit="0" vertical="bottom" wrapText="0"/>
    </xf>
    <xf borderId="1" fillId="0" fontId="32" numFmtId="0" xfId="0" applyAlignment="1" applyBorder="1" applyFont="1">
      <alignment shrinkToFit="0" vertical="bottom" wrapText="0"/>
    </xf>
    <xf borderId="1" fillId="0" fontId="2" numFmtId="0" xfId="0" applyAlignment="1" applyBorder="1" applyFont="1">
      <alignment vertical="bottom"/>
    </xf>
    <xf borderId="2" fillId="0" fontId="2" numFmtId="0" xfId="0" applyAlignment="1" applyBorder="1" applyFont="1">
      <alignment vertical="bottom"/>
    </xf>
    <xf borderId="0" fillId="0" fontId="33" numFmtId="0" xfId="0" applyAlignment="1" applyFont="1">
      <alignment readingOrder="0" shrinkToFit="0" vertical="bottom" wrapText="0"/>
    </xf>
    <xf borderId="2" fillId="9" fontId="2" numFmtId="0" xfId="0" applyAlignment="1" applyBorder="1" applyFill="1" applyFont="1">
      <alignment vertical="bottom"/>
    </xf>
    <xf borderId="1" fillId="0" fontId="34" numFmtId="0" xfId="0" applyAlignment="1" applyBorder="1" applyFont="1">
      <alignment vertical="bottom"/>
    </xf>
    <xf borderId="2" fillId="0" fontId="35" numFmtId="0" xfId="0" applyAlignment="1" applyBorder="1" applyFont="1">
      <alignment shrinkToFit="0" vertical="bottom" wrapText="0"/>
    </xf>
    <xf borderId="0" fillId="0" fontId="2" numFmtId="10" xfId="0" applyAlignment="1" applyFont="1" applyNumberFormat="1">
      <alignment vertical="bottom"/>
    </xf>
    <xf borderId="0" fillId="0" fontId="2" numFmtId="164" xfId="0" applyAlignment="1" applyFont="1" applyNumberFormat="1">
      <alignment horizontal="right" vertical="bottom"/>
    </xf>
    <xf borderId="0" fillId="6" fontId="1" numFmtId="2" xfId="0" applyAlignment="1" applyFont="1" applyNumberFormat="1">
      <alignment horizontal="right" shrinkToFit="0" vertical="bottom" wrapText="0"/>
    </xf>
    <xf borderId="0" fillId="10" fontId="36" numFmtId="0" xfId="0" applyAlignment="1" applyFill="1" applyFont="1">
      <alignment readingOrder="0" shrinkToFit="0" vertical="bottom" wrapText="0"/>
    </xf>
    <xf borderId="0" fillId="6" fontId="37" numFmtId="0" xfId="0" applyAlignment="1" applyFont="1">
      <alignment shrinkToFit="0" vertical="bottom" wrapText="0"/>
    </xf>
    <xf borderId="0" fillId="6" fontId="1" numFmtId="10" xfId="0" applyAlignment="1" applyFont="1" applyNumberFormat="1">
      <alignment horizontal="right" shrinkToFit="0" vertical="bottom" wrapText="0"/>
    </xf>
    <xf borderId="0" fillId="6" fontId="1" numFmtId="164" xfId="0" applyAlignment="1" applyFont="1" applyNumberFormat="1">
      <alignment horizontal="right" shrinkToFit="0" vertical="bottom" wrapText="0"/>
    </xf>
    <xf borderId="0" fillId="6" fontId="1" numFmtId="0" xfId="0" applyAlignment="1" applyFont="1">
      <alignment horizontal="right" readingOrder="0" shrinkToFit="0" vertical="bottom" wrapText="0"/>
    </xf>
    <xf borderId="0" fillId="6" fontId="1" numFmtId="3" xfId="0" applyAlignment="1" applyFont="1" applyNumberFormat="1">
      <alignment horizontal="right" shrinkToFit="0" vertical="bottom" wrapText="0"/>
    </xf>
    <xf borderId="10" fillId="0" fontId="38" numFmtId="0" xfId="0" applyAlignment="1" applyBorder="1" applyFont="1">
      <alignment vertical="bottom"/>
    </xf>
    <xf borderId="1" fillId="0" fontId="39" numFmtId="0" xfId="0" applyAlignment="1" applyBorder="1" applyFont="1">
      <alignment vertical="bottom"/>
    </xf>
    <xf borderId="0" fillId="6" fontId="2" numFmtId="165" xfId="0" applyAlignment="1" applyFont="1" applyNumberFormat="1">
      <alignment horizontal="left" vertical="bottom"/>
    </xf>
    <xf borderId="0" fillId="2" fontId="8" numFmtId="0" xfId="0" applyAlignment="1" applyFont="1">
      <alignment shrinkToFit="0" vertical="bottom" wrapText="0"/>
    </xf>
    <xf borderId="9" fillId="0" fontId="40" numFmtId="0" xfId="0" applyAlignment="1" applyBorder="1" applyFont="1">
      <alignment vertical="bottom"/>
    </xf>
    <xf borderId="0" fillId="0" fontId="13" numFmtId="0" xfId="0" applyAlignment="1" applyFont="1">
      <alignment vertical="bottom"/>
    </xf>
    <xf borderId="0" fillId="0" fontId="8" numFmtId="0" xfId="0" applyAlignment="1" applyFont="1">
      <alignment shrinkToFit="0" vertical="bottom" wrapText="0"/>
    </xf>
    <xf borderId="0" fillId="0" fontId="41" numFmtId="0" xfId="0" applyAlignment="1" applyFont="1">
      <alignment vertical="bottom"/>
    </xf>
    <xf borderId="0" fillId="0" fontId="2" numFmtId="0" xfId="0" applyAlignment="1" applyFont="1">
      <alignment shrinkToFit="0" vertical="bottom" wrapText="0"/>
    </xf>
    <xf borderId="0" fillId="0" fontId="2" numFmtId="164" xfId="0" applyAlignment="1" applyFont="1" applyNumberFormat="1">
      <alignment vertical="bottom"/>
    </xf>
    <xf borderId="11" fillId="6" fontId="42" numFmtId="0" xfId="0" applyAlignment="1" applyBorder="1" applyFont="1">
      <alignment shrinkToFit="0" vertical="bottom" wrapText="0"/>
    </xf>
    <xf borderId="11" fillId="4" fontId="1" numFmtId="0" xfId="0" applyAlignment="1" applyBorder="1" applyFont="1">
      <alignment shrinkToFit="0" vertical="bottom" wrapText="0"/>
    </xf>
    <xf borderId="0" fillId="2" fontId="2" numFmtId="0" xfId="0" applyAlignment="1" applyFont="1">
      <alignment readingOrder="0" vertical="bottom"/>
    </xf>
    <xf borderId="0" fillId="2" fontId="2" numFmtId="3" xfId="0" applyAlignment="1" applyFont="1" applyNumberFormat="1">
      <alignment vertical="bottom"/>
    </xf>
    <xf borderId="0" fillId="6" fontId="2" numFmtId="2" xfId="0" applyAlignment="1" applyFont="1" applyNumberFormat="1">
      <alignment horizontal="right" vertical="bottom"/>
    </xf>
    <xf borderId="0" fillId="6" fontId="2" numFmtId="0" xfId="0" applyAlignment="1" applyFont="1">
      <alignment readingOrder="0"/>
    </xf>
    <xf borderId="11" fillId="0" fontId="43" numFmtId="0" xfId="0" applyAlignment="1" applyBorder="1" applyFont="1">
      <alignment shrinkToFit="0" vertical="bottom" wrapText="0"/>
    </xf>
    <xf borderId="0" fillId="6" fontId="2" numFmtId="0" xfId="0" applyAlignment="1" applyFont="1">
      <alignment vertical="bottom"/>
    </xf>
    <xf borderId="0" fillId="6" fontId="2" numFmtId="0" xfId="0" applyAlignment="1" applyFont="1">
      <alignment horizontal="right" vertical="bottom"/>
    </xf>
    <xf borderId="0" fillId="6" fontId="2" numFmtId="0" xfId="0" applyAlignment="1" applyFont="1">
      <alignment readingOrder="0" vertical="bottom"/>
    </xf>
    <xf borderId="0" fillId="4" fontId="2" numFmtId="0" xfId="0" applyAlignment="1" applyFont="1">
      <alignment vertical="bottom"/>
    </xf>
    <xf borderId="0" fillId="6" fontId="1" numFmtId="0" xfId="0" applyAlignment="1" applyFont="1">
      <alignment vertical="bottom"/>
    </xf>
    <xf borderId="0" fillId="6" fontId="44" numFmtId="0" xfId="0" applyAlignment="1" applyFont="1">
      <alignment vertical="bottom"/>
    </xf>
    <xf borderId="11" fillId="0" fontId="45" numFmtId="0" xfId="0" applyAlignment="1" applyBorder="1" applyFont="1">
      <alignment vertical="bottom"/>
    </xf>
    <xf borderId="11" fillId="0" fontId="46" numFmtId="0" xfId="0" applyAlignment="1" applyBorder="1" applyFont="1">
      <alignment shrinkToFit="0" vertical="bottom" wrapText="0"/>
    </xf>
    <xf borderId="0" fillId="6" fontId="1" numFmtId="4" xfId="0" applyAlignment="1" applyFont="1" applyNumberFormat="1">
      <alignment horizontal="right" shrinkToFit="0" vertical="bottom" wrapText="0"/>
    </xf>
    <xf borderId="0" fillId="4" fontId="2" numFmtId="0" xfId="0" applyAlignment="1" applyFont="1">
      <alignment horizontal="right" vertical="bottom"/>
    </xf>
    <xf borderId="0" fillId="4" fontId="2" numFmtId="10" xfId="0" applyAlignment="1" applyFont="1" applyNumberFormat="1">
      <alignment horizontal="right" vertical="bottom"/>
    </xf>
    <xf borderId="0" fillId="4" fontId="2" numFmtId="0" xfId="0" applyAlignment="1" applyFont="1">
      <alignment horizontal="right" readingOrder="0" vertical="bottom"/>
    </xf>
    <xf borderId="0" fillId="4" fontId="2" numFmtId="4" xfId="0" applyAlignment="1" applyFont="1" applyNumberFormat="1">
      <alignment horizontal="right" vertical="bottom"/>
    </xf>
    <xf borderId="2" fillId="4" fontId="2" numFmtId="0" xfId="0" applyAlignment="1" applyBorder="1" applyFont="1">
      <alignment vertical="bottom"/>
    </xf>
    <xf borderId="0" fillId="6" fontId="1" numFmtId="168" xfId="0" applyAlignment="1" applyFont="1" applyNumberFormat="1">
      <alignment shrinkToFit="0" vertical="bottom" wrapText="0"/>
    </xf>
    <xf borderId="0" fillId="0" fontId="2" numFmtId="9" xfId="0" applyAlignment="1" applyFont="1" applyNumberFormat="1">
      <alignment vertical="bottom"/>
    </xf>
    <xf borderId="2" fillId="6" fontId="2" numFmtId="0" xfId="0" applyAlignment="1" applyBorder="1" applyFont="1">
      <alignment vertical="bottom"/>
    </xf>
    <xf borderId="11" fillId="0" fontId="2" numFmtId="0" xfId="0" applyAlignment="1" applyBorder="1" applyFont="1">
      <alignment vertical="bottom"/>
    </xf>
    <xf borderId="11" fillId="0" fontId="13" numFmtId="0" xfId="0" applyAlignment="1" applyBorder="1" applyFont="1">
      <alignment vertical="bottom"/>
    </xf>
    <xf borderId="0" fillId="0" fontId="2" numFmtId="0" xfId="0" applyAlignment="1" applyFont="1">
      <alignment readingOrder="0"/>
    </xf>
    <xf borderId="0" fillId="0" fontId="2" numFmtId="9" xfId="0" applyAlignment="1" applyFont="1" applyNumberFormat="1">
      <alignment readingOrder="0"/>
    </xf>
    <xf borderId="0" fillId="0" fontId="2" numFmtId="0" xfId="0" applyAlignment="1" applyFont="1">
      <alignment horizontal="right" readingOrder="0"/>
    </xf>
    <xf borderId="0" fillId="0" fontId="47" numFmtId="0" xfId="0" applyAlignment="1" applyFont="1">
      <alignment readingOrder="0"/>
    </xf>
    <xf borderId="1" fillId="0" fontId="48" numFmtId="0" xfId="0" applyAlignment="1" applyBorder="1" applyFont="1">
      <alignment vertical="bottom"/>
    </xf>
    <xf borderId="2" fillId="0" fontId="13" numFmtId="0" xfId="0" applyAlignment="1" applyBorder="1" applyFont="1">
      <alignment vertical="bottom"/>
    </xf>
    <xf borderId="0" fillId="4" fontId="2" numFmtId="165" xfId="0" applyAlignment="1" applyFont="1" applyNumberFormat="1">
      <alignment horizontal="left" readingOrder="0" vertical="bottom"/>
    </xf>
    <xf borderId="0" fillId="6" fontId="2" numFmtId="10" xfId="0" applyAlignment="1" applyFont="1" applyNumberFormat="1">
      <alignment horizontal="right" readingOrder="0" vertical="bottom"/>
    </xf>
    <xf borderId="0" fillId="6" fontId="2" numFmtId="3" xfId="0" applyAlignment="1" applyFont="1" applyNumberFormat="1">
      <alignment horizontal="right" readingOrder="0" vertical="bottom"/>
    </xf>
    <xf borderId="0" fillId="0" fontId="49" numFmtId="0" xfId="0" applyAlignment="1" applyFont="1">
      <alignment readingOrder="0" shrinkToFit="0" vertical="bottom" wrapText="0"/>
    </xf>
    <xf borderId="0" fillId="0" fontId="2" numFmtId="9" xfId="0" applyAlignment="1" applyFont="1" applyNumberFormat="1">
      <alignment horizontal="right" readingOrder="0" vertical="bottom"/>
    </xf>
    <xf borderId="0" fillId="0" fontId="2" numFmtId="3" xfId="0" applyAlignment="1" applyFont="1" applyNumberFormat="1">
      <alignment horizontal="right" readingOrder="0" vertical="bottom"/>
    </xf>
    <xf borderId="0" fillId="0" fontId="50" numFmtId="0" xfId="0" applyAlignment="1" applyFont="1">
      <alignment readingOrder="0" vertical="bottom"/>
    </xf>
    <xf borderId="1" fillId="0" fontId="51" numFmtId="0" xfId="0" applyAlignment="1" applyBorder="1" applyFont="1">
      <alignment shrinkToFit="0" vertical="bottom" wrapText="0"/>
    </xf>
    <xf borderId="11" fillId="4" fontId="52" numFmtId="0" xfId="0" applyAlignment="1" applyBorder="1" applyFont="1">
      <alignment horizontal="left" shrinkToFit="0" vertical="bottom" wrapText="0"/>
    </xf>
    <xf borderId="0" fillId="0" fontId="53" numFmtId="0" xfId="0" applyAlignment="1" applyFont="1">
      <alignment readingOrder="0" vertical="bottom"/>
    </xf>
    <xf borderId="0" fillId="0" fontId="13" numFmtId="0" xfId="0" applyAlignment="1" applyFont="1">
      <alignment horizontal="right" vertical="bottom"/>
    </xf>
    <xf borderId="0" fillId="0" fontId="2" numFmtId="3" xfId="0" applyAlignment="1" applyFont="1" applyNumberFormat="1">
      <alignment vertical="bottom"/>
    </xf>
    <xf borderId="0" fillId="0" fontId="13" numFmtId="0" xfId="0" applyAlignment="1" applyFont="1">
      <alignment vertical="bottom"/>
    </xf>
    <xf borderId="0" fillId="0" fontId="13" numFmtId="2" xfId="0" applyAlignment="1" applyFont="1" applyNumberFormat="1">
      <alignment vertical="bottom"/>
    </xf>
    <xf borderId="0" fillId="0" fontId="54" numFmtId="0" xfId="0" applyAlignment="1" applyFont="1">
      <alignment vertical="bottom"/>
    </xf>
    <xf borderId="0" fillId="0" fontId="54" numFmtId="0" xfId="0" applyAlignment="1" applyFont="1">
      <alignment horizontal="right" vertical="bottom"/>
    </xf>
    <xf borderId="0" fillId="0" fontId="54" numFmtId="10" xfId="0" applyAlignment="1" applyFont="1" applyNumberFormat="1">
      <alignment horizontal="right" vertical="bottom"/>
    </xf>
    <xf borderId="0" fillId="0" fontId="54" numFmtId="3" xfId="0" applyAlignment="1" applyFont="1" applyNumberFormat="1">
      <alignment vertical="bottom"/>
    </xf>
    <xf borderId="0" fillId="0" fontId="13" numFmtId="3" xfId="0" applyAlignment="1" applyFont="1" applyNumberFormat="1">
      <alignment vertical="bottom"/>
    </xf>
    <xf borderId="0" fillId="0" fontId="54" numFmtId="0" xfId="0" applyAlignment="1" applyFont="1">
      <alignment horizontal="right" vertical="bottom"/>
    </xf>
    <xf borderId="0" fillId="0" fontId="54" numFmtId="0" xfId="0" applyAlignment="1" applyFont="1">
      <alignment vertical="bottom"/>
    </xf>
    <xf borderId="2" fillId="0" fontId="13" numFmtId="0" xfId="0" applyAlignment="1" applyBorder="1" applyFont="1">
      <alignment shrinkToFit="0" vertical="bottom" wrapText="0"/>
    </xf>
    <xf borderId="11" fillId="0" fontId="55" numFmtId="0" xfId="0" applyAlignment="1" applyBorder="1" applyFont="1">
      <alignment vertical="bottom"/>
    </xf>
    <xf borderId="0" fillId="0" fontId="56" numFmtId="0" xfId="0" applyAlignment="1" applyFont="1">
      <alignment horizontal="left" shrinkToFit="0" vertical="bottom" wrapText="0"/>
    </xf>
    <xf borderId="2" fillId="7" fontId="8" numFmtId="0" xfId="0" applyAlignment="1" applyBorder="1" applyFont="1">
      <alignment shrinkToFit="0" vertical="bottom" wrapText="0"/>
    </xf>
    <xf borderId="0" fillId="7" fontId="8" numFmtId="0" xfId="0" applyAlignment="1" applyFont="1">
      <alignment shrinkToFit="0" vertical="bottom" wrapText="0"/>
    </xf>
    <xf borderId="2" fillId="11" fontId="8" numFmtId="0" xfId="0" applyAlignment="1" applyBorder="1" applyFill="1" applyFont="1">
      <alignment shrinkToFit="0" vertical="bottom" wrapText="0"/>
    </xf>
    <xf borderId="0" fillId="11" fontId="8" numFmtId="0" xfId="0" applyAlignment="1" applyFont="1">
      <alignment shrinkToFit="0" vertical="bottom" wrapText="0"/>
    </xf>
    <xf borderId="0" fillId="7" fontId="1" numFmtId="0" xfId="0" applyAlignment="1" applyFont="1">
      <alignment horizontal="right" readingOrder="0" shrinkToFit="0" vertical="bottom" wrapText="0"/>
    </xf>
    <xf borderId="0" fillId="7" fontId="1" numFmtId="10" xfId="0" applyAlignment="1" applyFont="1" applyNumberFormat="1">
      <alignment horizontal="right" readingOrder="0" shrinkToFit="0" vertical="bottom" wrapText="0"/>
    </xf>
    <xf borderId="0" fillId="7" fontId="1" numFmtId="3" xfId="0" applyAlignment="1" applyFont="1" applyNumberFormat="1">
      <alignment horizontal="right" readingOrder="0" shrinkToFit="0" vertical="bottom" wrapText="0"/>
    </xf>
    <xf borderId="0" fillId="7" fontId="57" numFmtId="0" xfId="0" applyAlignment="1" applyFont="1">
      <alignment horizontal="left" readingOrder="0" shrinkToFit="0" vertical="bottom" wrapText="0"/>
    </xf>
    <xf borderId="0" fillId="7" fontId="1" numFmtId="0" xfId="0" applyAlignment="1" applyFont="1">
      <alignment shrinkToFit="0" vertical="bottom" wrapText="0"/>
    </xf>
    <xf borderId="0" fillId="7" fontId="58" numFmtId="0" xfId="0" applyAlignment="1" applyFont="1">
      <alignment readingOrder="0"/>
    </xf>
    <xf borderId="0" fillId="11" fontId="1" numFmtId="165" xfId="0" applyAlignment="1" applyFont="1" applyNumberFormat="1">
      <alignment horizontal="left" readingOrder="0" shrinkToFit="0" vertical="bottom" wrapText="0"/>
    </xf>
    <xf borderId="0" fillId="11" fontId="1" numFmtId="0" xfId="0" applyAlignment="1" applyFont="1">
      <alignment horizontal="left" readingOrder="0" shrinkToFit="0" vertical="bottom" wrapText="0"/>
    </xf>
    <xf borderId="0" fillId="11" fontId="1" numFmtId="0" xfId="0" applyAlignment="1" applyFont="1">
      <alignment horizontal="right" readingOrder="0" shrinkToFit="0" vertical="bottom" wrapText="0"/>
    </xf>
    <xf borderId="0" fillId="11" fontId="1" numFmtId="10" xfId="0" applyAlignment="1" applyFont="1" applyNumberFormat="1">
      <alignment horizontal="right" readingOrder="0" shrinkToFit="0" vertical="bottom" wrapText="0"/>
    </xf>
    <xf borderId="0" fillId="11" fontId="1" numFmtId="3" xfId="0" applyAlignment="1" applyFont="1" applyNumberFormat="1">
      <alignment horizontal="right" readingOrder="0" shrinkToFit="0" vertical="bottom" wrapText="0"/>
    </xf>
    <xf borderId="0" fillId="11" fontId="1" numFmtId="0" xfId="0" applyAlignment="1" applyFont="1">
      <alignment horizontal="right" shrinkToFit="0" vertical="bottom" wrapText="0"/>
    </xf>
    <xf borderId="0" fillId="11" fontId="59" numFmtId="0" xfId="0" applyAlignment="1" applyFont="1">
      <alignment readingOrder="0"/>
    </xf>
    <xf borderId="1" fillId="11" fontId="1" numFmtId="0" xfId="0" applyAlignment="1" applyBorder="1" applyFont="1">
      <alignment shrinkToFit="0" vertical="bottom" wrapText="0"/>
    </xf>
    <xf borderId="2" fillId="11" fontId="1" numFmtId="0" xfId="0" applyAlignment="1" applyBorder="1" applyFont="1">
      <alignment shrinkToFit="0" vertical="bottom" wrapText="0"/>
    </xf>
    <xf borderId="0" fillId="11" fontId="2" numFmtId="0" xfId="0" applyAlignment="1" applyFont="1">
      <alignment readingOrder="0"/>
    </xf>
    <xf borderId="0" fillId="7" fontId="2" numFmtId="0" xfId="0" applyAlignment="1" applyFont="1">
      <alignment readingOrder="0"/>
    </xf>
    <xf borderId="1" fillId="7" fontId="1" numFmtId="0" xfId="0" applyAlignment="1" applyBorder="1" applyFont="1">
      <alignment shrinkToFit="0" vertical="bottom" wrapText="0"/>
    </xf>
    <xf borderId="2" fillId="7" fontId="1" numFmtId="0" xfId="0" applyAlignment="1" applyBorder="1" applyFont="1">
      <alignment shrinkToFit="0" vertical="bottom" wrapText="0"/>
    </xf>
    <xf borderId="0" fillId="0" fontId="2" numFmtId="165" xfId="0" applyAlignment="1" applyFont="1" applyNumberFormat="1">
      <alignment horizontal="left" readingOrder="0"/>
    </xf>
    <xf borderId="12" fillId="4" fontId="1" numFmtId="165" xfId="0" applyAlignment="1" applyBorder="1" applyFont="1" applyNumberFormat="1">
      <alignment horizontal="left" shrinkToFit="0" vertical="bottom" wrapText="0"/>
    </xf>
    <xf borderId="12" fillId="4" fontId="1" numFmtId="0" xfId="0" applyAlignment="1" applyBorder="1" applyFont="1">
      <alignment horizontal="left" shrinkToFit="0" vertical="bottom" wrapText="0"/>
    </xf>
    <xf borderId="12" fillId="4" fontId="1" numFmtId="0" xfId="0" applyAlignment="1" applyBorder="1" applyFont="1">
      <alignment horizontal="right" shrinkToFit="0" vertical="bottom" wrapText="0"/>
    </xf>
    <xf borderId="12" fillId="4" fontId="1" numFmtId="10" xfId="0" applyAlignment="1" applyBorder="1" applyFont="1" applyNumberFormat="1">
      <alignment horizontal="right" shrinkToFit="0" vertical="bottom" wrapText="0"/>
    </xf>
    <xf borderId="12" fillId="4" fontId="1" numFmtId="0" xfId="0" applyAlignment="1" applyBorder="1" applyFont="1">
      <alignment horizontal="right" readingOrder="0" shrinkToFit="0" vertical="bottom" wrapText="0"/>
    </xf>
    <xf borderId="12" fillId="4" fontId="1" numFmtId="3" xfId="0" applyAlignment="1" applyBorder="1" applyFont="1" applyNumberFormat="1">
      <alignment horizontal="right" shrinkToFit="0" vertical="bottom" wrapText="0"/>
    </xf>
    <xf borderId="13" fillId="4" fontId="60" numFmtId="0" xfId="0" applyAlignment="1" applyBorder="1" applyFont="1">
      <alignment horizontal="left" shrinkToFit="0" vertical="bottom" wrapText="0"/>
    </xf>
    <xf borderId="12" fillId="6" fontId="1" numFmtId="0" xfId="0" applyAlignment="1" applyBorder="1" applyFont="1">
      <alignment shrinkToFit="0" vertical="bottom" wrapText="0"/>
    </xf>
    <xf borderId="12" fillId="6" fontId="8" numFmtId="0" xfId="0" applyAlignment="1" applyBorder="1" applyFont="1">
      <alignment shrinkToFit="0" vertical="bottom" wrapText="0"/>
    </xf>
    <xf borderId="12" fillId="0" fontId="29" numFmtId="0" xfId="0" applyBorder="1" applyFont="1"/>
    <xf borderId="11" fillId="6" fontId="1" numFmtId="0" xfId="0" applyAlignment="1" applyBorder="1" applyFont="1">
      <alignment shrinkToFit="0" vertical="bottom" wrapText="0"/>
    </xf>
    <xf borderId="0" fillId="5" fontId="1" numFmtId="0" xfId="0" applyAlignment="1" applyFont="1">
      <alignment horizontal="right" readingOrder="0" shrinkToFit="0" vertical="bottom" wrapText="0"/>
    </xf>
    <xf borderId="0" fillId="0" fontId="1" numFmtId="10" xfId="0" applyAlignment="1" applyFont="1" applyNumberFormat="1">
      <alignment readingOrder="0" shrinkToFit="0" vertical="bottom" wrapText="0"/>
    </xf>
    <xf borderId="0" fillId="0" fontId="1" numFmtId="3" xfId="0" applyAlignment="1" applyFont="1" applyNumberFormat="1">
      <alignment readingOrder="0" shrinkToFit="0" vertical="bottom" wrapText="0"/>
    </xf>
    <xf borderId="11" fillId="0" fontId="61" numFmtId="0" xfId="0" applyAlignment="1" applyBorder="1" applyFont="1">
      <alignment readingOrder="0"/>
    </xf>
    <xf borderId="0" fillId="5" fontId="1" numFmtId="0" xfId="0" applyAlignment="1" applyFont="1">
      <alignment horizontal="left" readingOrder="0" shrinkToFit="0" vertical="bottom" wrapText="0"/>
    </xf>
    <xf borderId="0" fillId="5" fontId="1" numFmtId="10" xfId="0" applyAlignment="1" applyFont="1" applyNumberFormat="1">
      <alignment horizontal="right" readingOrder="0" shrinkToFit="0" vertical="bottom" wrapText="0"/>
    </xf>
    <xf borderId="0" fillId="5" fontId="1" numFmtId="3" xfId="0" applyAlignment="1" applyFont="1" applyNumberFormat="1">
      <alignment horizontal="right" readingOrder="0" shrinkToFit="0" vertical="bottom" wrapText="0"/>
    </xf>
    <xf borderId="0" fillId="5" fontId="1" numFmtId="165" xfId="0" applyAlignment="1" applyFont="1" applyNumberFormat="1">
      <alignment horizontal="left" readingOrder="0" shrinkToFit="0" vertical="bottom" wrapText="0"/>
    </xf>
    <xf borderId="0" fillId="5" fontId="1" numFmtId="0" xfId="0" applyAlignment="1" applyFont="1">
      <alignment horizontal="left" shrinkToFit="0" vertical="bottom" wrapText="0"/>
    </xf>
    <xf borderId="0" fillId="5" fontId="1" numFmtId="0" xfId="0" applyAlignment="1" applyFont="1">
      <alignment horizontal="right" shrinkToFit="0" vertical="bottom" wrapText="0"/>
    </xf>
    <xf borderId="0" fillId="5" fontId="1" numFmtId="0" xfId="0" applyAlignment="1" applyFont="1">
      <alignment horizontal="right" readingOrder="0" shrinkToFit="0" vertical="bottom" wrapText="0"/>
    </xf>
    <xf borderId="11" fillId="4" fontId="62" numFmtId="0" xfId="0" applyAlignment="1" applyBorder="1" applyFont="1">
      <alignment horizontal="left" shrinkToFit="0" vertical="bottom" wrapText="0"/>
    </xf>
    <xf borderId="11" fillId="5" fontId="63" numFmtId="0" xfId="0" applyAlignment="1" applyBorder="1" applyFont="1">
      <alignment horizontal="left" readingOrder="0" shrinkToFit="0" vertical="bottom" wrapText="0"/>
    </xf>
    <xf borderId="11" fillId="6" fontId="8" numFmtId="0" xfId="0" applyAlignment="1" applyBorder="1" applyFont="1">
      <alignment shrinkToFit="0" vertical="bottom" wrapText="0"/>
    </xf>
    <xf borderId="11" fillId="0" fontId="13" numFmtId="0" xfId="0" applyAlignment="1" applyBorder="1" applyFont="1">
      <alignment vertical="bottom"/>
    </xf>
    <xf borderId="11" fillId="4" fontId="1" numFmtId="0" xfId="0" applyAlignment="1" applyBorder="1" applyFont="1">
      <alignment horizontal="left" readingOrder="0" shrinkToFit="0" vertical="bottom" wrapText="0"/>
    </xf>
    <xf borderId="11" fillId="4" fontId="1" numFmtId="0" xfId="0" applyAlignment="1" applyBorder="1" applyFont="1">
      <alignment horizontal="left" shrinkToFit="0" vertical="bottom" wrapText="0"/>
    </xf>
    <xf borderId="11" fillId="0" fontId="6" numFmtId="0" xfId="0" applyAlignment="1" applyBorder="1" applyFont="1">
      <alignment readingOrder="0"/>
    </xf>
    <xf borderId="11" fillId="0" fontId="2" numFmtId="0" xfId="0" applyBorder="1" applyFont="1"/>
    <xf borderId="11" fillId="0" fontId="2" numFmtId="0" xfId="0" applyAlignment="1" applyBorder="1" applyFont="1">
      <alignment vertical="bottom"/>
    </xf>
    <xf borderId="14" fillId="0" fontId="64" numFmtId="0" xfId="0" applyAlignment="1" applyBorder="1" applyFont="1">
      <alignment vertical="bottom"/>
    </xf>
    <xf borderId="15" fillId="0" fontId="28" numFmtId="0" xfId="0" applyBorder="1" applyFont="1"/>
    <xf borderId="0" fillId="4" fontId="1" numFmtId="164" xfId="0" applyAlignment="1" applyFont="1" applyNumberFormat="1">
      <alignment horizontal="right" shrinkToFit="0" vertical="bottom" wrapText="0"/>
    </xf>
    <xf borderId="0" fillId="4" fontId="65" numFmtId="0" xfId="0" applyAlignment="1" applyFont="1">
      <alignment shrinkToFit="0" vertical="bottom" wrapText="0"/>
    </xf>
    <xf borderId="0" fillId="0" fontId="29" numFmtId="0" xfId="0" applyAlignment="1" applyFont="1">
      <alignment readingOrder="0"/>
    </xf>
    <xf borderId="0" fillId="0" fontId="66" numFmtId="0" xfId="0" applyAlignment="1" applyFont="1">
      <alignment horizontal="left" shrinkToFit="0" vertical="bottom" wrapText="0"/>
    </xf>
    <xf borderId="11" fillId="0" fontId="67" numFmtId="0" xfId="0" applyAlignment="1" applyBorder="1" applyFont="1">
      <alignment shrinkToFit="0" vertical="bottom" wrapText="0"/>
    </xf>
    <xf borderId="0" fillId="4" fontId="2" numFmtId="0" xfId="0" applyAlignment="1" applyFont="1">
      <alignment horizontal="left" readingOrder="0"/>
    </xf>
    <xf borderId="0" fillId="4" fontId="1" numFmtId="167" xfId="0" applyAlignment="1" applyFont="1" applyNumberFormat="1">
      <alignment horizontal="right" shrinkToFit="0" vertical="bottom" wrapText="0"/>
    </xf>
    <xf borderId="0" fillId="12" fontId="1" numFmtId="165" xfId="0" applyAlignment="1" applyFill="1" applyFont="1" applyNumberFormat="1">
      <alignment horizontal="left" readingOrder="0" shrinkToFit="0" vertical="bottom" wrapText="0"/>
    </xf>
    <xf borderId="0" fillId="12" fontId="1" numFmtId="0" xfId="0" applyAlignment="1" applyFont="1">
      <alignment horizontal="left" readingOrder="0" shrinkToFit="0" vertical="bottom" wrapText="0"/>
    </xf>
    <xf borderId="0" fillId="12" fontId="2" numFmtId="0" xfId="0" applyAlignment="1" applyFont="1">
      <alignment horizontal="left" readingOrder="0"/>
    </xf>
    <xf borderId="0" fillId="12" fontId="6" numFmtId="0" xfId="0" applyAlignment="1" applyFont="1">
      <alignment readingOrder="0"/>
    </xf>
    <xf borderId="0" fillId="4" fontId="2" numFmtId="0" xfId="0" applyAlignment="1" applyFont="1">
      <alignment horizontal="left" shrinkToFit="0" vertical="bottom" wrapText="0"/>
    </xf>
    <xf borderId="11" fillId="4" fontId="68" numFmtId="0" xfId="0" applyAlignment="1" applyBorder="1" applyFont="1">
      <alignment horizontal="left" readingOrder="0" shrinkToFit="0" vertical="bottom" wrapText="0"/>
    </xf>
    <xf borderId="0" fillId="4" fontId="69" numFmtId="0" xfId="0" applyAlignment="1" applyFont="1">
      <alignment horizontal="left" readingOrder="0" shrinkToFit="0" vertical="bottom" wrapText="0"/>
    </xf>
    <xf borderId="11" fillId="4" fontId="2" numFmtId="0" xfId="0" applyAlignment="1" applyBorder="1" applyFont="1">
      <alignment horizontal="left" shrinkToFit="0" vertical="bottom" wrapText="0"/>
    </xf>
    <xf borderId="0" fillId="4" fontId="1" numFmtId="168" xfId="0" applyAlignment="1" applyFont="1" applyNumberFormat="1">
      <alignment horizontal="right" readingOrder="0" shrinkToFit="0" vertical="bottom" wrapText="0"/>
    </xf>
    <xf borderId="11" fillId="4" fontId="2" numFmtId="0" xfId="0" applyAlignment="1" applyBorder="1" applyFont="1">
      <alignment horizontal="left" readingOrder="0" shrinkToFit="0" vertical="bottom" wrapText="0"/>
    </xf>
    <xf borderId="0" fillId="3" fontId="2" numFmtId="164" xfId="0" applyAlignment="1" applyFont="1" applyNumberFormat="1">
      <alignment readingOrder="0"/>
    </xf>
    <xf borderId="0" fillId="5" fontId="1" numFmtId="166" xfId="0" applyAlignment="1" applyFont="1" applyNumberFormat="1">
      <alignment horizontal="left" readingOrder="0" shrinkToFit="0" vertical="bottom" wrapText="0"/>
    </xf>
    <xf borderId="0" fillId="4" fontId="1" numFmtId="169" xfId="0" applyAlignment="1" applyFont="1" applyNumberFormat="1">
      <alignment horizontal="right" readingOrder="0" shrinkToFit="0" vertical="bottom" wrapText="0"/>
    </xf>
    <xf borderId="0" fillId="0" fontId="70" numFmtId="0" xfId="0" applyAlignment="1" applyFont="1">
      <alignment shrinkToFit="0" vertical="bottom" wrapText="0"/>
    </xf>
    <xf borderId="0" fillId="0" fontId="1" numFmtId="10" xfId="0" applyAlignment="1" applyFont="1" applyNumberFormat="1">
      <alignment shrinkToFit="0" vertical="bottom" wrapText="0"/>
    </xf>
    <xf borderId="0" fillId="0" fontId="1" numFmtId="0" xfId="0" applyAlignment="1" applyFont="1">
      <alignment readingOrder="0" shrinkToFit="0" vertical="bottom" wrapText="0"/>
    </xf>
    <xf borderId="0" fillId="0" fontId="1" numFmtId="3" xfId="0" applyAlignment="1" applyFont="1" applyNumberFormat="1">
      <alignment shrinkToFit="0" vertical="bottom" wrapText="0"/>
    </xf>
    <xf borderId="0" fillId="0" fontId="71" numFmtId="0" xfId="0" applyAlignment="1" applyFont="1">
      <alignment horizontal="left" readingOrder="0" shrinkToFit="0" vertical="bottom" wrapText="0"/>
    </xf>
    <xf borderId="0" fillId="4" fontId="2" numFmtId="0" xfId="0" applyAlignment="1" applyFont="1">
      <alignment horizontal="right" readingOrder="0" vertical="bottom"/>
    </xf>
    <xf borderId="0" fillId="4" fontId="2" numFmtId="3" xfId="0" applyAlignment="1" applyFont="1" applyNumberFormat="1">
      <alignment horizontal="right" readingOrder="0" vertical="bottom"/>
    </xf>
    <xf borderId="11" fillId="0" fontId="72" numFmtId="0" xfId="0" applyAlignment="1" applyBorder="1" applyFont="1">
      <alignment shrinkToFit="0" vertical="bottom" wrapText="0"/>
    </xf>
    <xf borderId="0" fillId="4" fontId="2" numFmtId="0" xfId="0" applyAlignment="1" applyFont="1">
      <alignment readingOrder="0" vertical="bottom"/>
    </xf>
    <xf borderId="0" fillId="4" fontId="2" numFmtId="3" xfId="0" applyAlignment="1" applyFont="1" applyNumberFormat="1">
      <alignment horizontal="right" vertical="bottom"/>
    </xf>
    <xf borderId="0" fillId="0" fontId="73" numFmtId="0" xfId="0" applyAlignment="1" applyFont="1">
      <alignment shrinkToFit="0" vertical="bottom" wrapText="0"/>
    </xf>
    <xf borderId="0" fillId="4" fontId="2" numFmtId="0" xfId="0" applyAlignment="1" applyFont="1">
      <alignment vertical="bottom"/>
    </xf>
    <xf borderId="0" fillId="0" fontId="74" numFmtId="0" xfId="0" applyAlignment="1" applyFont="1">
      <alignment shrinkToFit="0" vertical="bottom" wrapText="0"/>
    </xf>
    <xf borderId="0" fillId="6" fontId="1" numFmtId="0" xfId="0" applyAlignment="1" applyFont="1">
      <alignment readingOrder="0" vertical="bottom"/>
    </xf>
    <xf borderId="0" fillId="6" fontId="1" numFmtId="0" xfId="0" applyAlignment="1" applyFont="1">
      <alignment horizontal="right" readingOrder="0" vertical="bottom"/>
    </xf>
    <xf borderId="0" fillId="6" fontId="1" numFmtId="10" xfId="0" applyAlignment="1" applyFont="1" applyNumberFormat="1">
      <alignment horizontal="right" readingOrder="0" vertical="bottom"/>
    </xf>
    <xf borderId="0" fillId="6" fontId="1" numFmtId="3" xfId="0" applyAlignment="1" applyFont="1" applyNumberFormat="1">
      <alignment horizontal="right" readingOrder="0" vertical="bottom"/>
    </xf>
    <xf borderId="0" fillId="0" fontId="75" numFmtId="0" xfId="0" applyAlignment="1" applyFont="1">
      <alignment shrinkToFit="0" vertical="bottom" wrapText="0"/>
    </xf>
    <xf borderId="0" fillId="0" fontId="2" numFmtId="0" xfId="0" applyFont="1"/>
    <xf borderId="0" fillId="2" fontId="1" numFmtId="0" xfId="0" applyAlignment="1" applyFont="1">
      <alignment horizontal="left" shrinkToFit="0" vertical="bottom" wrapText="0"/>
    </xf>
    <xf borderId="0" fillId="2" fontId="1" numFmtId="10" xfId="0" applyAlignment="1" applyFont="1" applyNumberFormat="1">
      <alignment horizontal="right" shrinkToFit="0" vertical="bottom" wrapText="0"/>
    </xf>
    <xf borderId="0" fillId="2" fontId="1" numFmtId="3" xfId="0" applyAlignment="1" applyFont="1" applyNumberFormat="1">
      <alignment horizontal="right" shrinkToFit="0" vertical="bottom" wrapText="0"/>
    </xf>
    <xf borderId="0" fillId="2" fontId="76" numFmtId="0" xfId="0" applyAlignment="1" applyFont="1">
      <alignment horizontal="left" shrinkToFit="0" vertical="bottom" wrapText="0"/>
    </xf>
    <xf borderId="0" fillId="4" fontId="1" numFmtId="0" xfId="0" applyAlignment="1" applyFont="1">
      <alignment readingOrder="0" shrinkToFit="0" vertical="bottom" wrapText="0"/>
    </xf>
    <xf borderId="0" fillId="4" fontId="1" numFmtId="10" xfId="0" applyAlignment="1" applyFont="1" applyNumberFormat="1">
      <alignment shrinkToFit="0" vertical="bottom" wrapText="0"/>
    </xf>
    <xf borderId="0" fillId="4" fontId="1" numFmtId="0" xfId="0" applyAlignment="1" applyFont="1">
      <alignment readingOrder="0" shrinkToFit="0" vertical="bottom" wrapText="0"/>
    </xf>
    <xf borderId="0" fillId="4" fontId="1" numFmtId="3" xfId="0" applyAlignment="1" applyFont="1" applyNumberFormat="1">
      <alignment shrinkToFit="0" vertical="bottom" wrapText="0"/>
    </xf>
    <xf borderId="0" fillId="4" fontId="1" numFmtId="3" xfId="0" applyAlignment="1" applyFont="1" applyNumberFormat="1">
      <alignment readingOrder="0" shrinkToFit="0" vertical="bottom" wrapText="0"/>
    </xf>
    <xf borderId="0" fillId="4" fontId="77" numFmtId="0" xfId="0" applyAlignment="1" applyFont="1">
      <alignment readingOrder="0" shrinkToFit="0" vertical="bottom" wrapText="0"/>
    </xf>
    <xf borderId="0" fillId="13" fontId="1" numFmtId="0" xfId="0" applyAlignment="1" applyFill="1" applyFont="1">
      <alignment shrinkToFit="0" vertical="bottom" wrapText="0"/>
    </xf>
    <xf borderId="0" fillId="0" fontId="78" numFmtId="0" xfId="0" applyAlignment="1" applyFont="1">
      <alignment horizontal="right" shrinkToFit="0" vertical="bottom" wrapText="0"/>
    </xf>
    <xf borderId="0" fillId="0" fontId="78" numFmtId="0" xfId="0" applyAlignment="1" applyFont="1">
      <alignment shrinkToFit="0" vertical="bottom" wrapText="0"/>
    </xf>
    <xf borderId="0" fillId="0" fontId="1" numFmtId="4" xfId="0" applyAlignment="1" applyFont="1" applyNumberFormat="1">
      <alignment horizontal="right" shrinkToFit="0" vertical="bottom" wrapText="0"/>
    </xf>
    <xf borderId="0" fillId="2" fontId="79" numFmtId="0" xfId="0" applyAlignment="1" applyFont="1">
      <alignment vertical="bottom"/>
    </xf>
    <xf borderId="0" fillId="0" fontId="2" numFmtId="3" xfId="0" applyAlignment="1" applyFont="1" applyNumberFormat="1">
      <alignment readingOrder="0" vertical="bottom"/>
    </xf>
    <xf borderId="0" fillId="0" fontId="2" numFmtId="4" xfId="0" applyAlignment="1" applyFont="1" applyNumberFormat="1">
      <alignment horizontal="right" readingOrder="0" vertical="bottom"/>
    </xf>
    <xf borderId="0" fillId="0" fontId="54" numFmtId="0" xfId="0" applyAlignment="1" applyFont="1">
      <alignment vertical="bottom"/>
    </xf>
    <xf borderId="0" fillId="2" fontId="79" numFmtId="0" xfId="0" applyAlignment="1" applyFont="1">
      <alignment vertical="bottom"/>
    </xf>
    <xf borderId="0" fillId="0" fontId="1" numFmtId="0" xfId="0" applyAlignment="1" applyFont="1">
      <alignment shrinkToFit="0" vertical="bottom" wrapText="0"/>
    </xf>
    <xf borderId="0" fillId="0" fontId="13" numFmtId="0" xfId="0" applyAlignment="1" applyFont="1">
      <alignment horizontal="right" vertical="bottom"/>
    </xf>
    <xf borderId="0" fillId="0" fontId="13" numFmtId="9" xfId="0" applyAlignment="1" applyFont="1" applyNumberFormat="1">
      <alignment horizontal="right" vertical="bottom"/>
    </xf>
    <xf borderId="0" fillId="0" fontId="13" numFmtId="0" xfId="0" applyAlignment="1" applyFont="1">
      <alignment readingOrder="0" vertical="bottom"/>
    </xf>
    <xf borderId="0" fillId="0" fontId="13" numFmtId="10" xfId="0" applyAlignment="1" applyFont="1" applyNumberFormat="1">
      <alignment horizontal="right" vertical="bottom"/>
    </xf>
    <xf borderId="0" fillId="0" fontId="13" numFmtId="0" xfId="0" applyAlignment="1" applyFont="1">
      <alignment horizontal="right" readingOrder="0" vertical="bottom"/>
    </xf>
    <xf borderId="0" fillId="0" fontId="13" numFmtId="166" xfId="0" applyAlignment="1" applyFont="1" applyNumberFormat="1">
      <alignment vertical="bottom"/>
    </xf>
    <xf borderId="0" fillId="0" fontId="80" numFmtId="0" xfId="0" applyAlignment="1" applyFont="1">
      <alignment vertical="bottom"/>
    </xf>
    <xf borderId="0" fillId="0" fontId="13" numFmtId="0" xfId="0" applyFont="1"/>
    <xf borderId="0" fillId="0" fontId="13" numFmtId="164" xfId="0" applyAlignment="1" applyFont="1" applyNumberFormat="1">
      <alignment vertical="bottom"/>
    </xf>
    <xf borderId="0" fillId="2" fontId="81" numFmtId="0" xfId="0" applyAlignment="1" applyFont="1">
      <alignment readingOrder="0" vertical="bottom"/>
    </xf>
    <xf borderId="0" fillId="0" fontId="82" numFmtId="0" xfId="0" applyAlignment="1" applyFont="1">
      <alignment vertical="bottom"/>
    </xf>
    <xf borderId="0" fillId="2" fontId="83" numFmtId="0" xfId="0" applyAlignment="1" applyFont="1">
      <alignment horizontal="right" vertical="bottom"/>
    </xf>
    <xf borderId="0" fillId="2" fontId="84" numFmtId="0" xfId="0" applyAlignment="1" applyFont="1">
      <alignment horizontal="right" vertical="bottom"/>
    </xf>
    <xf borderId="0" fillId="0" fontId="13" numFmtId="3" xfId="0" applyAlignment="1" applyFont="1" applyNumberFormat="1">
      <alignment horizontal="right" vertical="bottom"/>
    </xf>
    <xf borderId="0" fillId="0" fontId="85" numFmtId="0" xfId="0" applyAlignment="1" applyFont="1">
      <alignment vertical="bottom"/>
    </xf>
    <xf borderId="0" fillId="0" fontId="13" numFmtId="4" xfId="0" applyAlignment="1" applyFont="1" applyNumberFormat="1">
      <alignment horizontal="right" readingOrder="0" vertical="bottom"/>
    </xf>
    <xf borderId="0" fillId="0" fontId="86" numFmtId="0" xfId="0" applyAlignment="1" applyFont="1">
      <alignment readingOrder="0"/>
    </xf>
    <xf borderId="0" fillId="0" fontId="29" numFmtId="165" xfId="0" applyAlignment="1" applyFont="1" applyNumberFormat="1">
      <alignment horizontal="left"/>
    </xf>
    <xf borderId="0" fillId="0" fontId="13" numFmtId="3" xfId="0" applyAlignment="1" applyFont="1" applyNumberFormat="1">
      <alignment horizontal="right" readingOrder="0" vertical="bottom"/>
    </xf>
    <xf borderId="0" fillId="0" fontId="13" numFmtId="170" xfId="0" applyAlignment="1" applyFont="1" applyNumberFormat="1">
      <alignment horizontal="right" vertical="bottom"/>
    </xf>
    <xf borderId="0" fillId="0" fontId="13" numFmtId="171" xfId="0" applyAlignment="1" applyFont="1" applyNumberFormat="1">
      <alignment horizontal="right" vertical="bottom"/>
    </xf>
    <xf borderId="0" fillId="0" fontId="87" numFmtId="0" xfId="0" applyAlignment="1" applyFont="1">
      <alignment shrinkToFit="0" vertical="bottom" wrapText="0"/>
    </xf>
    <xf borderId="0" fillId="0" fontId="29" numFmtId="0" xfId="0" applyAlignment="1" applyFont="1">
      <alignment horizontal="right"/>
    </xf>
    <xf borderId="0" fillId="0" fontId="88" numFmtId="0" xfId="0" applyFont="1"/>
    <xf borderId="0" fillId="0" fontId="89" numFmtId="164" xfId="0" applyAlignment="1" applyFont="1" applyNumberFormat="1">
      <alignment shrinkToFit="0" vertical="bottom" wrapText="0"/>
    </xf>
    <xf borderId="0" fillId="0" fontId="29" numFmtId="0" xfId="0" applyFont="1"/>
    <xf borderId="0" fillId="4" fontId="2" numFmtId="0" xfId="0" applyAlignment="1" applyFont="1">
      <alignment horizontal="center" vertical="bottom"/>
    </xf>
    <xf borderId="0" fillId="5" fontId="3" numFmtId="166" xfId="0" applyAlignment="1" applyFont="1" applyNumberFormat="1">
      <alignment horizontal="left" shrinkToFit="0" vertical="bottom" wrapText="0"/>
    </xf>
    <xf borderId="0" fillId="0" fontId="5" numFmtId="165" xfId="0" applyAlignment="1" applyFont="1" applyNumberFormat="1">
      <alignment horizontal="left" readingOrder="0"/>
    </xf>
    <xf borderId="0" fillId="0" fontId="13" numFmtId="4" xfId="0" applyAlignment="1" applyFont="1" applyNumberFormat="1">
      <alignment vertical="bottom"/>
    </xf>
    <xf borderId="0" fillId="0" fontId="13" numFmtId="172" xfId="0" applyAlignment="1" applyFont="1" applyNumberFormat="1">
      <alignment vertical="bottom"/>
    </xf>
    <xf borderId="0" fillId="0" fontId="13" numFmtId="10" xfId="0" applyAlignment="1" applyFont="1" applyNumberFormat="1">
      <alignment vertical="bottom"/>
    </xf>
    <xf borderId="0" fillId="0" fontId="87" numFmtId="0" xfId="0" applyAlignment="1" applyFont="1">
      <alignment horizontal="right" readingOrder="0" shrinkToFit="0" vertical="bottom" wrapText="0"/>
    </xf>
    <xf borderId="0" fillId="0" fontId="90" numFmtId="0" xfId="0" applyAlignment="1" applyFont="1">
      <alignment readingOrder="0" vertical="bottom"/>
    </xf>
    <xf borderId="0" fillId="0" fontId="90" numFmtId="0" xfId="0" applyAlignment="1" applyFont="1">
      <alignment horizontal="right" vertical="bottom"/>
    </xf>
    <xf borderId="0" fillId="0" fontId="91" numFmtId="0" xfId="0" applyAlignment="1" applyFont="1">
      <alignment readingOrder="0"/>
    </xf>
    <xf borderId="0" fillId="0" fontId="5" numFmtId="0" xfId="0" applyAlignment="1" applyFont="1">
      <alignment horizontal="center" readingOrder="0"/>
    </xf>
    <xf borderId="0" fillId="0" fontId="3" numFmtId="164" xfId="0" applyAlignment="1" applyFont="1" applyNumberFormat="1">
      <alignment horizontal="left" shrinkToFit="0" vertical="bottom" wrapText="0"/>
    </xf>
    <xf borderId="0" fillId="0" fontId="3" numFmtId="0" xfId="0" applyAlignment="1" applyFont="1">
      <alignment shrinkToFit="0" vertical="bottom" wrapText="0"/>
    </xf>
    <xf borderId="0" fillId="0" fontId="4" numFmtId="0" xfId="0" applyFont="1"/>
    <xf borderId="1" fillId="13" fontId="1" numFmtId="0" xfId="0" applyAlignment="1" applyBorder="1" applyFont="1">
      <alignment shrinkToFit="0" vertical="bottom" wrapText="0"/>
    </xf>
    <xf borderId="2" fillId="13" fontId="1" numFmtId="0" xfId="0" applyAlignment="1" applyBorder="1" applyFont="1">
      <alignment shrinkToFit="0" vertical="bottom" wrapText="0"/>
    </xf>
    <xf borderId="1" fillId="0" fontId="1" numFmtId="0" xfId="0" applyAlignment="1" applyBorder="1" applyFont="1">
      <alignment horizontal="right" shrinkToFit="0" vertical="bottom" wrapText="0"/>
    </xf>
    <xf borderId="0" fillId="2" fontId="92" numFmtId="0" xfId="0" applyAlignment="1" applyFont="1">
      <alignment horizontal="left" shrinkToFit="0" vertical="bottom" wrapText="0"/>
    </xf>
    <xf borderId="0" fillId="0" fontId="93" numFmtId="0" xfId="0" applyAlignment="1" applyFont="1">
      <alignment vertical="bottom"/>
    </xf>
    <xf borderId="0" fillId="11" fontId="1" numFmtId="0" xfId="0" applyAlignment="1" applyFont="1">
      <alignment horizontal="left" shrinkToFit="0" vertical="bottom" wrapText="0"/>
    </xf>
    <xf borderId="0" fillId="5" fontId="94" numFmtId="0" xfId="0" applyAlignment="1" applyFont="1">
      <alignment horizontal="left" readingOrder="0" shrinkToFit="0" vertical="bottom" wrapText="0"/>
    </xf>
    <xf borderId="11" fillId="0" fontId="2" numFmtId="0" xfId="0" applyAlignment="1" applyBorder="1" applyFont="1">
      <alignment shrinkToFit="0" vertical="bottom" wrapText="0"/>
    </xf>
    <xf borderId="0" fillId="9" fontId="2" numFmtId="0" xfId="0" applyAlignment="1" applyFont="1">
      <alignment vertical="bottom"/>
    </xf>
    <xf borderId="11" fillId="0" fontId="95" numFmtId="0" xfId="0" applyAlignment="1" applyBorder="1" applyFont="1">
      <alignment readingOrder="0" shrinkToFit="0" vertical="bottom" wrapText="0"/>
    </xf>
    <xf borderId="0" fillId="0" fontId="5" numFmtId="0" xfId="0" applyAlignment="1" applyFont="1">
      <alignment readingOrder="0"/>
    </xf>
    <xf borderId="0" fillId="0" fontId="5" numFmtId="0" xfId="0" applyFont="1"/>
    <xf borderId="0" fillId="0" fontId="29" numFmtId="0" xfId="0" applyAlignment="1" applyFont="1">
      <alignment readingOrder="0" shrinkToFit="0" wrapText="1"/>
    </xf>
    <xf borderId="0" fillId="0" fontId="96" numFmtId="0" xfId="0" applyAlignment="1" applyFont="1">
      <alignment readingOrder="0" shrinkToFit="0" wrapText="1"/>
    </xf>
  </cellXfs>
  <cellStyles count="1">
    <cellStyle xfId="0" name="Normal" builtinId="0"/>
  </cellStyles>
  <dxfs count="2">
    <dxf>
      <font/>
      <fill>
        <patternFill patternType="solid">
          <fgColor rgb="FFFF0000"/>
          <bgColor rgb="FFFF0000"/>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m.leju.com/news/2020-07-10/14296687241366554352613.shtml" TargetMode="External"/><Relationship Id="rId194" Type="http://schemas.openxmlformats.org/officeDocument/2006/relationships/hyperlink" Target="http://fgw.fuzhou.gov.cn/zz/fgwzwgk/tzgg/201804/t20180428_2189534.htm" TargetMode="External"/><Relationship Id="rId193" Type="http://schemas.openxmlformats.org/officeDocument/2006/relationships/hyperlink" Target="https://xm.leju.com/news/2020-07-10/14296687241366554352613.shtml" TargetMode="External"/><Relationship Id="rId192" Type="http://schemas.openxmlformats.org/officeDocument/2006/relationships/hyperlink" Target="http://www.rail-transit.com/project/show.php?itemid=33" TargetMode="External"/><Relationship Id="rId191" Type="http://schemas.openxmlformats.org/officeDocument/2006/relationships/hyperlink" Target="http://fgw.fuzhou.gov.cn/zz/fgwzwgk/tzgg/201804/t20180428_2189534.htm" TargetMode="External"/><Relationship Id="rId187" Type="http://schemas.openxmlformats.org/officeDocument/2006/relationships/hyperlink" Target="https://www.ndrc.gov.cn/fggz/zcssfz/zcgh/201601/t20160112_1145713.html" TargetMode="External"/><Relationship Id="rId186"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185" Type="http://schemas.openxmlformats.org/officeDocument/2006/relationships/hyperlink" Target="https://www.ndrc.gov.cn/xxgk/zcfb/pifu/202101/t20210126_1316566.html?code=&amp;state=123" TargetMode="External"/><Relationship Id="rId184" Type="http://schemas.openxmlformats.org/officeDocument/2006/relationships/hyperlink" Target="https://www.ndrc.gov.cn/xxgk/zcfb/pifu/202101/t20210126_1316566.html?code=&amp;state=123" TargetMode="External"/><Relationship Id="rId189" Type="http://schemas.openxmlformats.org/officeDocument/2006/relationships/hyperlink" Target="https://www.ndrc.gov.cn/fggz/zcssfz/zcgh/201601/t20160112_1145713.html" TargetMode="External"/><Relationship Id="rId188" Type="http://schemas.openxmlformats.org/officeDocument/2006/relationships/hyperlink" Target="https://www.sohu.com/a/417789253_410388" TargetMode="External"/><Relationship Id="rId183" Type="http://schemas.openxmlformats.org/officeDocument/2006/relationships/hyperlink" Target="http://rail-transit.com/project/show.php?itemid=649" TargetMode="External"/><Relationship Id="rId182" Type="http://schemas.openxmlformats.org/officeDocument/2006/relationships/hyperlink" Target="https://www.ndrc.gov.cn/xxgk/zcfb/pifu/202101/t20210126_1316566.html?code=&amp;state=123" TargetMode="External"/><Relationship Id="rId181" Type="http://schemas.openxmlformats.org/officeDocument/2006/relationships/hyperlink" Target="http://fs.fccs.com/news/6022708.html" TargetMode="External"/><Relationship Id="rId180" Type="http://schemas.openxmlformats.org/officeDocument/2006/relationships/hyperlink" Target="http://www.rail-transit.com/project/show.php?itemid=650" TargetMode="External"/><Relationship Id="rId176" Type="http://schemas.openxmlformats.org/officeDocument/2006/relationships/hyperlink" Target="https://baijiahao.baidu.com/s?id=1638089292564878111&amp;wfr=spider&amp;for=pc" TargetMode="External"/><Relationship Id="rId175" Type="http://schemas.openxmlformats.org/officeDocument/2006/relationships/hyperlink" Target="https://zfxxgk.ndrc.gov.cn/web/iteminfo.jsp?id=18775" TargetMode="External"/><Relationship Id="rId174" Type="http://schemas.openxmlformats.org/officeDocument/2006/relationships/hyperlink" Target="https://baijiahao.baidu.com/s?id=1638089292564878111&amp;wfr=spider&amp;for=pc" TargetMode="External"/><Relationship Id="rId173" Type="http://schemas.openxmlformats.org/officeDocument/2006/relationships/hyperlink" Target="https://finance.sina.com.cn/jjxw/2022-08-26/doc-imizmscv7763110.shtml?finpagefr=p_115" TargetMode="External"/><Relationship Id="rId179" Type="http://schemas.openxmlformats.org/officeDocument/2006/relationships/hyperlink" Target="https://3g.163.com/dy/article/EBK3L3990525EER4.html" TargetMode="External"/><Relationship Id="rId178" Type="http://schemas.openxmlformats.org/officeDocument/2006/relationships/hyperlink" Target="http://www.rail-transit.com/project/show.php?itemid=240" TargetMode="External"/><Relationship Id="rId177" Type="http://schemas.openxmlformats.org/officeDocument/2006/relationships/hyperlink" Target="http://www.rail-transit.com/project/show.php?itemid=147" TargetMode="External"/><Relationship Id="rId198" Type="http://schemas.openxmlformats.org/officeDocument/2006/relationships/hyperlink" Target="https://m.21jingji.com/article/20201209/herald/7d218ef3f8835e2e9df093c805e45652.html" TargetMode="External"/><Relationship Id="rId197" Type="http://schemas.openxmlformats.org/officeDocument/2006/relationships/hyperlink" Target="https://www.ndrc.gov.cn/fggz/zcssfz/zdgc/201209/t20120905_1145857.html" TargetMode="External"/><Relationship Id="rId196" Type="http://schemas.openxmlformats.org/officeDocument/2006/relationships/hyperlink" Target="http://www.dcement.com/Article/201310/117609.html" TargetMode="External"/><Relationship Id="rId195" Type="http://schemas.openxmlformats.org/officeDocument/2006/relationships/hyperlink" Target="https://new.qq.com/omn/20210613/20210613A08PZJ00.html" TargetMode="External"/><Relationship Id="rId199" Type="http://schemas.openxmlformats.org/officeDocument/2006/relationships/hyperlink" Target="https://www.ndrc.gov.cn/fggz/zcssfz/zdgc/201209/t20120905_1145857.html" TargetMode="External"/><Relationship Id="rId150" Type="http://schemas.openxmlformats.org/officeDocument/2006/relationships/hyperlink" Target="http://fzggw.cq.gov.cn/zwgk/zfxxgkml/sphzbaxx/202011/t20201103_8406228_wap.html" TargetMode="External"/><Relationship Id="rId392" Type="http://schemas.openxmlformats.org/officeDocument/2006/relationships/hyperlink" Target="https://zh.wikipedia.org/wiki/%E4%B8%8A%E6%B5%B7%E8%BD%A8%E9%81%93%E4%BA%A4%E9%80%9A8%E5%8F%B7%E7%BA%BF" TargetMode="External"/><Relationship Id="rId391" Type="http://schemas.openxmlformats.org/officeDocument/2006/relationships/hyperlink" Target="https://zh.wikipedia.org/wiki/%E4%B8%8A%E6%B5%B7%E8%BD%A8%E9%81%93%E4%BA%A4%E9%80%9A8%E5%8F%B7%E7%BA%BF" TargetMode="External"/><Relationship Id="rId390" Type="http://schemas.openxmlformats.org/officeDocument/2006/relationships/hyperlink" Target="https://zh.wikipedia.org/wiki/%E4%B8%8A%E6%B5%B7%E8%BD%A8%E9%81%93%E4%BA%A4%E9%80%9A11%E5%8F%B7%E7%BA%BF" TargetMode="External"/><Relationship Id="rId1" Type="http://schemas.openxmlformats.org/officeDocument/2006/relationships/comments" Target="../comments1.xml"/><Relationship Id="rId2" Type="http://schemas.openxmlformats.org/officeDocument/2006/relationships/hyperlink" Target="https://www.railway-technology.com/projects/route-2020-dubai/" TargetMode="External"/><Relationship Id="rId3" Type="http://schemas.openxmlformats.org/officeDocument/2006/relationships/hyperlink" Target="https://tn.com.ar/economia/el-gobierno-relanzo-el-rer-el-proyecto-para-conectar-los-trenes-del-area-metropolitana_856411" TargetMode="External"/><Relationship Id="rId149" Type="http://schemas.openxmlformats.org/officeDocument/2006/relationships/hyperlink" Target="http://www.rail-transit.com/project/show.php?itemid=457" TargetMode="External"/><Relationship Id="rId4" Type="http://schemas.openxmlformats.org/officeDocument/2006/relationships/hyperlink" Target="https://wien.orf.at/news/stories/2607445/" TargetMode="External"/><Relationship Id="rId148" Type="http://schemas.openxmlformats.org/officeDocument/2006/relationships/hyperlink" Target="http://www.rail-transit.com/shiping/show.php?itemid=958" TargetMode="External"/><Relationship Id="rId9" Type="http://schemas.openxmlformats.org/officeDocument/2006/relationships/hyperlink" Target="https://www.transport.nsw.gov.au/news-and-events/media-releases/sydney-metro-northwest-under-budget" TargetMode="External"/><Relationship Id="rId143" Type="http://schemas.openxmlformats.org/officeDocument/2006/relationships/hyperlink" Target="http://fzggw.cq.gov.cn/zwgk/zfxxgkml/sphzbaxx/202009/t20200930_7937966_wap.html" TargetMode="External"/><Relationship Id="rId385" Type="http://schemas.openxmlformats.org/officeDocument/2006/relationships/hyperlink" Target="https://zh.wikipedia.org/wiki/%E4%B8%8A%E6%B5%B7%E8%BD%A8%E9%81%93%E4%BA%A4%E9%80%9A2%E5%8F%B7%E7%BA%BF" TargetMode="External"/><Relationship Id="rId142" Type="http://schemas.openxmlformats.org/officeDocument/2006/relationships/hyperlink" Target="https://www.ndrc.gov.cn/fggz/zcssfz/zcgh/201812/W020190910670713741772.pdf" TargetMode="External"/><Relationship Id="rId384" Type="http://schemas.openxmlformats.org/officeDocument/2006/relationships/hyperlink" Target="https://zh.wikipedia.org/wiki/%E4%B8%8A%E6%B5%B7%E8%BD%A8%E9%81%93%E4%BA%A4%E9%80%9A4%E5%8F%B7%E7%BA%BF" TargetMode="External"/><Relationship Id="rId141" Type="http://schemas.openxmlformats.org/officeDocument/2006/relationships/hyperlink" Target="http://www.rail-transit.com/project/show.php?itemid=356" TargetMode="External"/><Relationship Id="rId383" Type="http://schemas.openxmlformats.org/officeDocument/2006/relationships/hyperlink" Target="https://zh.wikipedia.org/wiki/%E4%B8%8A%E6%B5%B7%E8%BD%A8%E9%81%93%E4%BA%A4%E9%80%9A5%E5%8F%B7%E7%BA%BF" TargetMode="External"/><Relationship Id="rId140" Type="http://schemas.openxmlformats.org/officeDocument/2006/relationships/hyperlink" Target="http://politics.people.com.cn/n/2013/0223/c70731-20575832.html" TargetMode="External"/><Relationship Id="rId382" Type="http://schemas.openxmlformats.org/officeDocument/2006/relationships/hyperlink" Target="https://zh.wikipedia.org/wiki/%E4%B8%8A%E6%B5%B7%E8%BD%A8%E9%81%93%E4%BA%A4%E9%80%9A2%E5%8F%B7%E7%BA%BF" TargetMode="External"/><Relationship Id="rId5" Type="http://schemas.openxmlformats.org/officeDocument/2006/relationships/hyperlink" Target="https://www.wien.gv.at/stadtentwicklung/projekte/verkehrsplanung/u-bahn/u1-oberlaa.html" TargetMode="External"/><Relationship Id="rId147" Type="http://schemas.openxmlformats.org/officeDocument/2006/relationships/hyperlink" Target="http://www.rail-transit.com/project/show.php?itemid=456" TargetMode="External"/><Relationship Id="rId389" Type="http://schemas.openxmlformats.org/officeDocument/2006/relationships/hyperlink" Target="https://zh.wikipedia.org/wiki/%E4%B8%8A%E6%B5%B7%E8%BD%A8%E9%81%93%E4%BA%A4%E9%80%9A9%E5%8F%B7%E7%BA%BF" TargetMode="External"/><Relationship Id="rId6" Type="http://schemas.openxmlformats.org/officeDocument/2006/relationships/hyperlink" Target="https://wien.orf.at/news/stories/2940360/" TargetMode="External"/><Relationship Id="rId146" Type="http://schemas.openxmlformats.org/officeDocument/2006/relationships/hyperlink" Target="http://www.rail-transit.com/project/show.php?itemid=519" TargetMode="External"/><Relationship Id="rId388" Type="http://schemas.openxmlformats.org/officeDocument/2006/relationships/hyperlink" Target="https://zh.wikipedia.org/wiki/%E4%B8%8A%E6%B5%B7%E8%BD%A8%E9%81%93%E4%BA%A4%E9%80%9A7%E5%8F%B7%E7%BA%BF" TargetMode="External"/><Relationship Id="rId7" Type="http://schemas.openxmlformats.org/officeDocument/2006/relationships/hyperlink" Target="https://www.audit.vic.gov.au/report/melbourne-metro-tunnel-project-phase-2-main-works?section=" TargetMode="External"/><Relationship Id="rId145" Type="http://schemas.openxmlformats.org/officeDocument/2006/relationships/hyperlink" Target="http://fzggw.cq.gov.cn/zwgk/zfxxgkml/sphzbaxx/202010/t20201010_7947213_wap.html" TargetMode="External"/><Relationship Id="rId387" Type="http://schemas.openxmlformats.org/officeDocument/2006/relationships/hyperlink" Target="https://zh.wikipedia.org/wiki/%E4%B8%8A%E6%B5%B7%E8%BD%A8%E9%81%93%E4%BA%A4%E9%80%9A9%E5%8F%B7%E7%BA%BF" TargetMode="External"/><Relationship Id="rId8" Type="http://schemas.openxmlformats.org/officeDocument/2006/relationships/hyperlink" Target="https://www.forrestfieldairportlink.wa.gov.au/Portals/14/Project%20Overview%20Fact%20Sheet%20-%20Dec18%20WEB.pdf" TargetMode="External"/><Relationship Id="rId144" Type="http://schemas.openxmlformats.org/officeDocument/2006/relationships/hyperlink" Target="http://www.rail-transit.com/project/show.php?itemid=517" TargetMode="External"/><Relationship Id="rId386" Type="http://schemas.openxmlformats.org/officeDocument/2006/relationships/hyperlink" Target="https://zh.wikipedia.org/wiki/%E4%B8%8A%E6%B5%B7%E8%BD%A8%E9%81%93%E4%BA%A4%E9%80%9A3%E5%8F%B7%E7%BA%BF" TargetMode="External"/><Relationship Id="rId381" Type="http://schemas.openxmlformats.org/officeDocument/2006/relationships/hyperlink" Target="https://zh.wikipedia.org/wiki/%E4%B8%8A%E6%B5%B7%E8%BD%A8%E9%81%93%E4%BA%A4%E9%80%9A3%E5%8F%B7%E7%BA%BF" TargetMode="External"/><Relationship Id="rId380" Type="http://schemas.openxmlformats.org/officeDocument/2006/relationships/hyperlink" Target="https://zh.wikipedia.org/wiki/%E4%B8%8A%E6%B5%B7%E8%BD%A8%E9%81%93%E4%BA%A4%E9%80%9A2%E5%8F%B7%E7%BA%BF" TargetMode="External"/><Relationship Id="rId139" Type="http://schemas.openxmlformats.org/officeDocument/2006/relationships/hyperlink" Target="https://www.ndrc.gov.cn/fggz/zcssfz/zcgh/201812/W020190910670713741772.pdf" TargetMode="External"/><Relationship Id="rId138" Type="http://schemas.openxmlformats.org/officeDocument/2006/relationships/hyperlink" Target="https://www.ndrc.gov.cn/fggz/zcssfz/zcgh/201812/W020190910670713741772.pdf" TargetMode="External"/><Relationship Id="rId137" Type="http://schemas.openxmlformats.org/officeDocument/2006/relationships/hyperlink" Target="https://www.ndrc.gov.cn/fggz/zcssfz/zcgh/201812/W020190910670713741772.pdf" TargetMode="External"/><Relationship Id="rId379" Type="http://schemas.openxmlformats.org/officeDocument/2006/relationships/hyperlink" Target="https://zh.wikipedia.org/wiki/%E4%B8%8A%E6%B5%B7%E8%BD%A8%E9%81%93%E4%BA%A4%E9%80%9A1%E5%8F%B7%E7%BA%BF" TargetMode="External"/><Relationship Id="rId132" Type="http://schemas.openxmlformats.org/officeDocument/2006/relationships/hyperlink" Target="http://www.rail-transit.com/project/show.php?itemid=540" TargetMode="External"/><Relationship Id="rId374" Type="http://schemas.openxmlformats.org/officeDocument/2006/relationships/hyperlink" Target="https://zfxxgk.ndrc.gov.cn/web/iteminfo.jsp?id=18249" TargetMode="External"/><Relationship Id="rId131" Type="http://schemas.openxmlformats.org/officeDocument/2006/relationships/hyperlink" Target="https://www.ndrc.gov.cn/xxgk/zcfb/tz/201607/W020190905517098302181.pdf" TargetMode="External"/><Relationship Id="rId373" Type="http://schemas.openxmlformats.org/officeDocument/2006/relationships/hyperlink" Target="http://www.rail-transit.com/project/show.php?itemid=726" TargetMode="External"/><Relationship Id="rId130" Type="http://schemas.openxmlformats.org/officeDocument/2006/relationships/hyperlink" Target="http://rail-transit.com/project/show.php?itemid=77" TargetMode="External"/><Relationship Id="rId372" Type="http://schemas.openxmlformats.org/officeDocument/2006/relationships/hyperlink" Target="https://zfxxgk.ndrc.gov.cn/web/iteminfo.jsp?id=18249" TargetMode="External"/><Relationship Id="rId371" Type="http://schemas.openxmlformats.org/officeDocument/2006/relationships/hyperlink" Target="https://zfxxgk.ndrc.gov.cn/web/iteminfo.jsp?id=18249" TargetMode="External"/><Relationship Id="rId136" Type="http://schemas.openxmlformats.org/officeDocument/2006/relationships/hyperlink" Target="http://politics.people.com.cn/n/2013/0223/c70731-20575832.html" TargetMode="External"/><Relationship Id="rId378" Type="http://schemas.openxmlformats.org/officeDocument/2006/relationships/hyperlink" Target="https://zfxxgk.ndrc.gov.cn/web/iteminfo.jsp?id=18249" TargetMode="External"/><Relationship Id="rId135" Type="http://schemas.openxmlformats.org/officeDocument/2006/relationships/hyperlink" Target="http://www.gzcy.org/uploadfile/2013/0930/20130930103001739.pdf" TargetMode="External"/><Relationship Id="rId377" Type="http://schemas.openxmlformats.org/officeDocument/2006/relationships/hyperlink" Target="http://www.rail-transit.com/project/show.php?itemid=668" TargetMode="External"/><Relationship Id="rId134" Type="http://schemas.openxmlformats.org/officeDocument/2006/relationships/hyperlink" Target="https://www.12369zb.com/view/482/MUlxBX4B4pnqPFb2iCfa.html" TargetMode="External"/><Relationship Id="rId376" Type="http://schemas.openxmlformats.org/officeDocument/2006/relationships/hyperlink" Target="http://www.rail-transit.com/project/show.php?itemid=450" TargetMode="External"/><Relationship Id="rId133" Type="http://schemas.openxmlformats.org/officeDocument/2006/relationships/hyperlink" Target="https://www.163.com/dy/article/HFCE3KEU05149A02.html" TargetMode="External"/><Relationship Id="rId375" Type="http://schemas.openxmlformats.org/officeDocument/2006/relationships/hyperlink" Target="https://ditie.mapbar.com/qingdao/news/37965.html" TargetMode="External"/><Relationship Id="rId172" Type="http://schemas.openxmlformats.org/officeDocument/2006/relationships/hyperlink" Target="https://baijiahao.baidu.com/s?id=1638089292564878111&amp;wfr=spider&amp;for=pc" TargetMode="External"/><Relationship Id="rId171" Type="http://schemas.openxmlformats.org/officeDocument/2006/relationships/hyperlink" Target="https://baijiahao.baidu.com/s?id=1638089292564878111&amp;wfr=spider&amp;for=pc" TargetMode="External"/><Relationship Id="rId170" Type="http://schemas.openxmlformats.org/officeDocument/2006/relationships/hyperlink" Target="https://zfxxgk.ndrc.gov.cn/web/iteminfo.jsp?id=18775" TargetMode="External"/><Relationship Id="rId165" Type="http://schemas.openxmlformats.org/officeDocument/2006/relationships/hyperlink" Target="http://www.rail-transit.com/project/show.php?itemid=238" TargetMode="External"/><Relationship Id="rId164" Type="http://schemas.openxmlformats.org/officeDocument/2006/relationships/hyperlink" Target="http://www.rail-transit.com/project/show.php?itemid=521" TargetMode="External"/><Relationship Id="rId163" Type="http://schemas.openxmlformats.org/officeDocument/2006/relationships/hyperlink" Target="http://www.rail-transit.com/project/show.php?itemid=693" TargetMode="External"/><Relationship Id="rId162" Type="http://schemas.openxmlformats.org/officeDocument/2006/relationships/hyperlink" Target="http://m.xinhuanet.com/cq/2019-01/27/c_1124047880.htm" TargetMode="External"/><Relationship Id="rId169" Type="http://schemas.openxmlformats.org/officeDocument/2006/relationships/hyperlink" Target="http://www.rail-transit.com/project/show.php?itemid=163," TargetMode="External"/><Relationship Id="rId168" Type="http://schemas.openxmlformats.org/officeDocument/2006/relationships/hyperlink" Target="http://www.rail-transit.com/project/show.php?itemid=609" TargetMode="External"/><Relationship Id="rId167" Type="http://schemas.openxmlformats.org/officeDocument/2006/relationships/hyperlink" Target="https://www.ndrc.gov.cn/fggz/zcssfz/zcgh/201812/W020190910670713741772.pdf" TargetMode="External"/><Relationship Id="rId166" Type="http://schemas.openxmlformats.org/officeDocument/2006/relationships/hyperlink" Target="https://www.sohu.com/a/516618507_120388781" TargetMode="External"/><Relationship Id="rId161" Type="http://schemas.openxmlformats.org/officeDocument/2006/relationships/hyperlink" Target="http://www.rail-transit.com/project/show.php?itemid=399" TargetMode="External"/><Relationship Id="rId160" Type="http://schemas.openxmlformats.org/officeDocument/2006/relationships/hyperlink" Target="http://www.rail-transit.com/shiping/show.php?itemid=869" TargetMode="External"/><Relationship Id="rId159" Type="http://schemas.openxmlformats.org/officeDocument/2006/relationships/hyperlink" Target="https://www.sohu.com/a/392594635_120388781" TargetMode="External"/><Relationship Id="rId154" Type="http://schemas.openxmlformats.org/officeDocument/2006/relationships/hyperlink" Target="http://news.sohu.com/20070609/n250475902.shtml" TargetMode="External"/><Relationship Id="rId396" Type="http://schemas.openxmlformats.org/officeDocument/2006/relationships/hyperlink" Target="https://zh.wikipedia.org/wiki/%E4%B8%8A%E6%B5%B7%E8%BD%A8%E9%81%93%E4%BA%A4%E9%80%9A6%E5%8F%B7%E7%BA%BF" TargetMode="External"/><Relationship Id="rId153" Type="http://schemas.openxmlformats.org/officeDocument/2006/relationships/hyperlink" Target="http://news.sohu.com/20070609/n250475902.shtml" TargetMode="External"/><Relationship Id="rId395" Type="http://schemas.openxmlformats.org/officeDocument/2006/relationships/hyperlink" Target="https://zh.wikipedia.org/wiki/%E4%B8%8A%E6%B5%B7%E8%BD%A8%E9%81%93%E4%BA%A4%E9%80%9A2%E5%8F%B7%E7%BA%BF" TargetMode="External"/><Relationship Id="rId152" Type="http://schemas.openxmlformats.org/officeDocument/2006/relationships/hyperlink" Target="https://m.sohu.com/n/384104755/" TargetMode="External"/><Relationship Id="rId394" Type="http://schemas.openxmlformats.org/officeDocument/2006/relationships/hyperlink" Target="https://zh.wikipedia.org/wiki/%E4%B8%8A%E6%B5%B7%E8%BD%A8%E9%81%93%E4%BA%A4%E9%80%9A2%E5%8F%B7%E7%BA%BF" TargetMode="External"/><Relationship Id="rId151" Type="http://schemas.openxmlformats.org/officeDocument/2006/relationships/hyperlink" Target="http://news.sina.com.cn/o/2005-06-15/11406180055s.shtml" TargetMode="External"/><Relationship Id="rId393" Type="http://schemas.openxmlformats.org/officeDocument/2006/relationships/hyperlink" Target="https://zh.wikipedia.org/wiki/%E4%B8%8A%E6%B5%B7%E8%BD%A8%E9%81%93%E4%BA%A4%E9%80%9A10%E5%8F%B7%E7%BA%BF" TargetMode="External"/><Relationship Id="rId158" Type="http://schemas.openxmlformats.org/officeDocument/2006/relationships/hyperlink" Target="http://www.rail-transit.com/project/show.php?itemid=412" TargetMode="External"/><Relationship Id="rId157" Type="http://schemas.openxmlformats.org/officeDocument/2006/relationships/hyperlink" Target="http://ghzrzyj.cq.gov.cn/zwxx_186/mtgz/202208/t20220803_10975207.html" TargetMode="External"/><Relationship Id="rId399" Type="http://schemas.openxmlformats.org/officeDocument/2006/relationships/hyperlink" Target="https://zh.wikipedia.org/wiki/%E4%B8%8A%E6%B5%B7%E8%BD%A8%E9%81%93%E4%BA%A4%E9%80%9A11%E5%8F%B7%E7%BA%BF" TargetMode="External"/><Relationship Id="rId156" Type="http://schemas.openxmlformats.org/officeDocument/2006/relationships/hyperlink" Target="http://politics.people.com.cn/n/2013/0223/c70731-20575832.html" TargetMode="External"/><Relationship Id="rId398" Type="http://schemas.openxmlformats.org/officeDocument/2006/relationships/hyperlink" Target="https://zh.wikipedia.org/wiki/%E4%B8%8A%E6%B5%B7%E8%BD%A8%E9%81%93%E4%BA%A4%E9%80%9A9%E5%8F%B7%E7%BA%BF" TargetMode="External"/><Relationship Id="rId155" Type="http://schemas.openxmlformats.org/officeDocument/2006/relationships/hyperlink" Target="http://www.gov.cn/jrzg/2011-09/29/content_1959823.htm" TargetMode="External"/><Relationship Id="rId397" Type="http://schemas.openxmlformats.org/officeDocument/2006/relationships/hyperlink" Target="https://zh.wikipedia.org/wiki/%E4%B8%8A%E6%B5%B7%E8%BD%A8%E9%81%93%E4%BA%A4%E9%80%9A7%E5%8F%B7%E7%BA%BF" TargetMode="External"/><Relationship Id="rId808" Type="http://schemas.openxmlformats.org/officeDocument/2006/relationships/hyperlink" Target="http://www.metrorex.ro/Resurse/RaportActivitate/Metrorex%20eng%202018.pdf" TargetMode="External"/><Relationship Id="rId807" Type="http://schemas.openxmlformats.org/officeDocument/2006/relationships/hyperlink" Target="https://www.railway-technology.com/projects/doha-metro/" TargetMode="External"/><Relationship Id="rId806" Type="http://schemas.openxmlformats.org/officeDocument/2006/relationships/hyperlink" Target="https://www.jn.pt/pais/artigo/custo-da-linha-rubi-do-metro-do-porto-aumenta-53-milhoes-de-euros/17760888" TargetMode="External"/><Relationship Id="rId805" Type="http://schemas.openxmlformats.org/officeDocument/2006/relationships/hyperlink" Target="https://eco.sapo.pt/2024/05/08/metro-do-porto-conclui-primeiro-tunel-da-linha-rosa-para-abrir-em-julho-de-2025/" TargetMode="External"/><Relationship Id="rId809" Type="http://schemas.openxmlformats.org/officeDocument/2006/relationships/hyperlink" Target="https://www.railwaygazette.com/metros/cluj-napoca-breaks-ground-for-first-metro-line/66744.article" TargetMode="External"/><Relationship Id="rId800" Type="http://schemas.openxmlformats.org/officeDocument/2006/relationships/hyperlink" Target="https://www.railwaygazette.com/news/single-view/view/warszawa-opens-second-metro-line.html" TargetMode="External"/><Relationship Id="rId804" Type="http://schemas.openxmlformats.org/officeDocument/2006/relationships/hyperlink" Target="https://www.railjournal.com/passenger/metros/european-commission-approves-e83m-for-lisbon-metro-expansion/" TargetMode="External"/><Relationship Id="rId803" Type="http://schemas.openxmlformats.org/officeDocument/2006/relationships/hyperlink" Target="https://www.railwaypro.com/wp/a-single-bidder-for-warsaw-metro-line-2-extension/" TargetMode="External"/><Relationship Id="rId802" Type="http://schemas.openxmlformats.org/officeDocument/2006/relationships/hyperlink" Target="https://www.railwaygazette.com/metros/warszawa-metro-line-m2-goes-west/56191.article" TargetMode="External"/><Relationship Id="rId801" Type="http://schemas.openxmlformats.org/officeDocument/2006/relationships/hyperlink" Target="https://www.railjournal.com/passenger/metros/warsaw-metro-line-m2-reaches-targowek/" TargetMode="External"/><Relationship Id="rId40" Type="http://schemas.openxmlformats.org/officeDocument/2006/relationships/hyperlink" Target="https://bc.ctvnews.ca/federal-government-providing-up-to-1-3-billion-for-surrey-langley-skytrain-extension-1.5502944" TargetMode="External"/><Relationship Id="rId42" Type="http://schemas.openxmlformats.org/officeDocument/2006/relationships/hyperlink" Target="https://www.ceva.ch/2017/05/11/financement-et-organisation/?b=https://www.ceva.ch/category/projet" TargetMode="External"/><Relationship Id="rId41" Type="http://schemas.openxmlformats.org/officeDocument/2006/relationships/hyperlink" Target="https://www.translink.ca/-/media/translink/documents/about-translink/governance-and-board/council-minutes-and-reports/2022/april/agenda_mayors_council_board_public_mtg_20220422.pdf" TargetMode="External"/><Relationship Id="rId44" Type="http://schemas.openxmlformats.org/officeDocument/2006/relationships/hyperlink" Target="https://www.luzernerzeitung.ch/zentralschweiz/luzern/seetalplatz-und-zentralbahn-60-millionen-guenstiger-als-budgetiert-ld.1150224" TargetMode="External"/><Relationship Id="rId43" Type="http://schemas.openxmlformats.org/officeDocument/2006/relationships/hyperlink" Target="https://archive.wikiwix.com/cache/index2.php?url=http%3A%2F%2Fwww.publidoc.vd.ch%2FguestDownload%2Fdirect%2FTexte%2520adopt%25C3%25A9%2520par%2520CE.pdf%3Fpath%3D%2FCompany%2520Home%2FVD%2FCHANC%2FSIEL%2Fantilope%2Fobjet%2FCEGC%2FExpos%25C3%25A9%2520des%2520motifs%2F2002%2F05%2F174061_34_Texte%2520adopt%25C3%25A9%2520par%2520CE_20020604_234589.pdf%2Findex.html" TargetMode="External"/><Relationship Id="rId46" Type="http://schemas.openxmlformats.org/officeDocument/2006/relationships/hyperlink" Target="https://www.metro.cl/files/documentos/metro-investor-201709.pdf" TargetMode="External"/><Relationship Id="rId45" Type="http://schemas.openxmlformats.org/officeDocument/2006/relationships/hyperlink" Target="https://www.railwaygazette.com/infrastructure/cross-city-tunnel-opening-increases-capacity-in-zurich/39619.article" TargetMode="External"/><Relationship Id="rId509" Type="http://schemas.openxmlformats.org/officeDocument/2006/relationships/hyperlink" Target="http://www.rail-transit.com/project/show.php?itemid=272" TargetMode="External"/><Relationship Id="rId508" Type="http://schemas.openxmlformats.org/officeDocument/2006/relationships/hyperlink" Target="http://img.thupdi.com/news/2015/08/1440573393290975.pdf" TargetMode="External"/><Relationship Id="rId503" Type="http://schemas.openxmlformats.org/officeDocument/2006/relationships/hyperlink" Target="http://zjjcmspublic.oss-cn-hangzhou-zwynet-d01-a.internet.cloud.zj.gov.cn/jcms_files/jcms1/web1825/site/attach/0/150120083915404.pdf" TargetMode="External"/><Relationship Id="rId745" Type="http://schemas.openxmlformats.org/officeDocument/2006/relationships/hyperlink" Target="https://www.hankyu-hanshin.co.jp/upload/irRelatedInfoEn/15.pdf" TargetMode="External"/><Relationship Id="rId502" Type="http://schemas.openxmlformats.org/officeDocument/2006/relationships/hyperlink" Target="http://zjjcmspublic.oss-cn-hangzhou-zwynet-d01-a.internet.cloud.zj.gov.cn/jcms_files/jcms1/web1825/site/attach/0/150120083915404.pdf" TargetMode="External"/><Relationship Id="rId744" Type="http://schemas.openxmlformats.org/officeDocument/2006/relationships/hyperlink" Target="https://www.fukuoka-now.com/en/news/nanakuma-subway-line-extension-delayed/" TargetMode="External"/><Relationship Id="rId501" Type="http://schemas.openxmlformats.org/officeDocument/2006/relationships/hyperlink" Target="https://www.163.com/dy/article/GT2J4GU20545AOQT.html" TargetMode="External"/><Relationship Id="rId743" Type="http://schemas.openxmlformats.org/officeDocument/2006/relationships/hyperlink" Target="https://www.infrato.it/wp-content/uploads/2022/01/2022_1_Presentazione-Linea-2.pdf" TargetMode="External"/><Relationship Id="rId500" Type="http://schemas.openxmlformats.org/officeDocument/2006/relationships/hyperlink" Target="https://www.163.com/dy/article/GT2J4GU20545AOQT.html" TargetMode="External"/><Relationship Id="rId742" Type="http://schemas.openxmlformats.org/officeDocument/2006/relationships/hyperlink" Target="http://www.otipiemonte.it/Pagine/Completo.asp?ID=86" TargetMode="External"/><Relationship Id="rId507" Type="http://schemas.openxmlformats.org/officeDocument/2006/relationships/hyperlink" Target="http://img.thupdi.com/news/2015/08/1440573393290975.pdf" TargetMode="External"/><Relationship Id="rId749" Type="http://schemas.openxmlformats.org/officeDocument/2006/relationships/hyperlink" Target="http://www.ejrcf.or.jp/jrtr/jrtr30/pdf/s42_aok.pdf" TargetMode="External"/><Relationship Id="rId506" Type="http://schemas.openxmlformats.org/officeDocument/2006/relationships/hyperlink" Target="https://zh.wikipedia.org/wiki/%E6%AD%A6%E6%B1%89%E8%BD%A8%E9%81%93%E4%BA%A4%E9%80%9A1%E5%8F%B7%E7%BA%BF" TargetMode="External"/><Relationship Id="rId748" Type="http://schemas.openxmlformats.org/officeDocument/2006/relationships/hyperlink" Target="http://www.mlit.go.jp/common/001272230.pdf" TargetMode="External"/><Relationship Id="rId505" Type="http://schemas.openxmlformats.org/officeDocument/2006/relationships/hyperlink" Target="https://m.sohu.com/n/339227064/?v=3" TargetMode="External"/><Relationship Id="rId747" Type="http://schemas.openxmlformats.org/officeDocument/2006/relationships/hyperlink" Target="https://www.westjr.co.jp/global/en/ir/library/fact-sheets/2018/pdf/fact2018.pdf" TargetMode="External"/><Relationship Id="rId504" Type="http://schemas.openxmlformats.org/officeDocument/2006/relationships/hyperlink" Target="https://wenku.baidu.com/view/ea439d10dcccda38376baf1ffc4ffe473368fd80.html" TargetMode="External"/><Relationship Id="rId746" Type="http://schemas.openxmlformats.org/officeDocument/2006/relationships/hyperlink" Target="https://www.westjr.co.jp/global/en/ir/library/fact-sheets/2018/pdf/fact2018.pdf" TargetMode="External"/><Relationship Id="rId48" Type="http://schemas.openxmlformats.org/officeDocument/2006/relationships/hyperlink" Target="https://baike.baidu.com/item/%E5%8C%97%E4%BA%AC%E5%9C%B0%E9%93%811%E5%8F%B7%E7%BA%BF/7646800?fromtitle=%E5%8C%97%E4%BA%AC%E5%9C%B0%E9%93%81%E4%B8%80%E5%8F%B7%E7%BA%BF&amp;fromid=5427835&amp;fr=aladdin" TargetMode="External"/><Relationship Id="rId47" Type="http://schemas.openxmlformats.org/officeDocument/2006/relationships/hyperlink" Target="https://www.railwaygazette.com/projects-and-planning/santiago-tenders-line-7-construction/56621.article" TargetMode="External"/><Relationship Id="rId49" Type="http://schemas.openxmlformats.org/officeDocument/2006/relationships/hyperlink" Target="http://www.wikiwand.com/zh-sg/%E5%8C%97%E4%BA%AC%E5%9C%B0%E9%93%8113%E5%8F%B7%E7%BA%BF" TargetMode="External"/><Relationship Id="rId741" Type="http://schemas.openxmlformats.org/officeDocument/2006/relationships/hyperlink" Target="http://www.otipiemonte.it/Pagine/Completo.asp?ID=86" TargetMode="External"/><Relationship Id="rId740" Type="http://schemas.openxmlformats.org/officeDocument/2006/relationships/hyperlink" Target="http://www.otipiemonte.it/Pagine/Completo.asp?ID=86" TargetMode="External"/><Relationship Id="rId31" Type="http://schemas.openxmlformats.org/officeDocument/2006/relationships/hyperlink" Target="https://www.theglobeandmail.com/news/toronto/sheppard-subway-extension-a-quarter-the-stops-for-three-times-the-cost/article622366/" TargetMode="External"/><Relationship Id="rId30" Type="http://schemas.openxmlformats.org/officeDocument/2006/relationships/hyperlink" Target="https://www.aecom.com/projects/ottawa-light-rail/" TargetMode="External"/><Relationship Id="rId33" Type="http://schemas.openxmlformats.org/officeDocument/2006/relationships/hyperlink" Target="https://www.cbc.ca/news/canada/toronto/eglinton-crosstown-opening-june-ttc-1.7400691" TargetMode="External"/><Relationship Id="rId32" Type="http://schemas.openxmlformats.org/officeDocument/2006/relationships/hyperlink" Target="https://www.thestar.com/news/gta/transportation/2017/12/15/trudeau-wynne-tory-on-hand-to-cut-ribbon-on-32-billion-subway-extension.html" TargetMode="External"/><Relationship Id="rId35" Type="http://schemas.openxmlformats.org/officeDocument/2006/relationships/hyperlink" Target="https://urbantoronto.ca/news/2020/03/metrolinxs-preliminary-business-case-scarborough-subway-extension-raises-questions" TargetMode="External"/><Relationship Id="rId34" Type="http://schemas.openxmlformats.org/officeDocument/2006/relationships/hyperlink" Target="https://www.infrastructureontario.ca/en/what-we-do/projectssearch/finch-west-light-rail-transit/" TargetMode="External"/><Relationship Id="rId739" Type="http://schemas.openxmlformats.org/officeDocument/2006/relationships/hyperlink" Target="https://metrocspa.it/cms/wp-content/uploads/2016/12/2-Q.E.G.-12-set-2013.pdf" TargetMode="External"/><Relationship Id="rId734" Type="http://schemas.openxmlformats.org/officeDocument/2006/relationships/hyperlink" Target="http://silos.infrastrutturestrategiche.it/admin/scheda.aspx?id=1317" TargetMode="External"/><Relationship Id="rId733" Type="http://schemas.openxmlformats.org/officeDocument/2006/relationships/hyperlink" Target="http://silos.infrastrutturestrategiche.it/admin/scheda.aspx?id=1332" TargetMode="External"/><Relationship Id="rId732" Type="http://schemas.openxmlformats.org/officeDocument/2006/relationships/hyperlink" Target="https://www.regione.campania.it/assets/documents/delibera-20-2017.pdf" TargetMode="External"/><Relationship Id="rId731" Type="http://schemas.openxmlformats.org/officeDocument/2006/relationships/hyperlink" Target="https://www.comune.milano.it/aree-tematiche/mobilita/strade-e-sottosuolo/prolungamento-m1-quartiere-baggio-olmi-valsesia" TargetMode="External"/><Relationship Id="rId738" Type="http://schemas.openxmlformats.org/officeDocument/2006/relationships/hyperlink" Target="https://www.comune.roma.it/PCR/resources/cms/documents/B1schedaillustrativaintervento.pdf" TargetMode="External"/><Relationship Id="rId737" Type="http://schemas.openxmlformats.org/officeDocument/2006/relationships/hyperlink" Target="https://metrocspa.it/cms/wp-content/uploads/2016/12/2-Q.E.G.-12-set-2013.pdf" TargetMode="External"/><Relationship Id="rId736" Type="http://schemas.openxmlformats.org/officeDocument/2006/relationships/hyperlink" Target="https://metrocspa.it/cms/wp-content/uploads/2016/12/2-Q.E.G.-12-set-2013.pdf" TargetMode="External"/><Relationship Id="rId735" Type="http://schemas.openxmlformats.org/officeDocument/2006/relationships/hyperlink" Target="https://www.regione.campania.it/assets/documents/delibera-20-2017.pdf" TargetMode="External"/><Relationship Id="rId37" Type="http://schemas.openxmlformats.org/officeDocument/2006/relationships/hyperlink" Target="https://www.infrastructureontario.ca/en/what-we-do/projectssearch/eglinton-crosstown-west-extension/https://www.metrolinx.com/en/projects-and-programs/eglinton-crosstown-west-extension" TargetMode="External"/><Relationship Id="rId36" Type="http://schemas.openxmlformats.org/officeDocument/2006/relationships/hyperlink" Target="https://www.thestar.com/news/gta/2020/06/24/metrolinx-considering-a-route-for-the-yonge-subway-extension-to-richmond-hill-that-would-take-it-above-ground.html" TargetMode="External"/><Relationship Id="rId39" Type="http://schemas.openxmlformats.org/officeDocument/2006/relationships/hyperlink" Target="https://globalnews.ca/news/8016045/justin-trudeau-federal-funding-skytrain-surrey-langley/" TargetMode="External"/><Relationship Id="rId38" Type="http://schemas.openxmlformats.org/officeDocument/2006/relationships/hyperlink" Target="https://globalnews.ca/news/10579363/ontario-line-cost-increase/" TargetMode="External"/><Relationship Id="rId730" Type="http://schemas.openxmlformats.org/officeDocument/2006/relationships/hyperlink" Target="https://www.metro4milano.it/wordpress/wp-content/uploads/2020/04/Quadro-Economico-_-Atto-Integrativo-n.1-alla-Convenzione-di-concessione_-allegato-13.pdf" TargetMode="External"/><Relationship Id="rId20" Type="http://schemas.openxmlformats.org/officeDocument/2006/relationships/hyperlink" Target="https://www.novinite.com/articles/167648/Subway+Trains+to+Sofia+Airport+Start+Running+at+1+pm+on+April+2" TargetMode="External"/><Relationship Id="rId22" Type="http://schemas.openxmlformats.org/officeDocument/2006/relationships/hyperlink" Target="http://www.tradearabia.com/news/stn_178416.html" TargetMode="External"/><Relationship Id="rId21" Type="http://schemas.openxmlformats.org/officeDocument/2006/relationships/hyperlink" Target="https://www.urbantransportnews.com/bahrain-to-finalise-109-km-light-metro-rail-bids-in-march-2020/" TargetMode="External"/><Relationship Id="rId24" Type="http://schemas.openxmlformats.org/officeDocument/2006/relationships/hyperlink" Target="https://www.bnamericas.com/en/news/brazil-metro-cost-overruns-top-us9bn1" TargetMode="External"/><Relationship Id="rId23" Type="http://schemas.openxmlformats.org/officeDocument/2006/relationships/hyperlink" Target="http://patrocinados.estadao.com.br/ccr/salvadors-subway-becomes-a-model-of-success/" TargetMode="External"/><Relationship Id="rId525" Type="http://schemas.openxmlformats.org/officeDocument/2006/relationships/hyperlink" Target="http://www.gov.cn/xinwen/2019-01/06/5355294/files/c3d503decf1d4b6b924324b210ee0f1a.pdf" TargetMode="External"/><Relationship Id="rId767" Type="http://schemas.openxmlformats.org/officeDocument/2006/relationships/hyperlink" Target="http://www.kyeonggi.com/news/articleView.html?idxno=564944" TargetMode="External"/><Relationship Id="rId524" Type="http://schemas.openxmlformats.org/officeDocument/2006/relationships/hyperlink" Target="http://www.gov.cn/xinwen/2019-01/06/5355294/files/c3d503decf1d4b6b924324b210ee0f1a.pdf" TargetMode="External"/><Relationship Id="rId766" Type="http://schemas.openxmlformats.org/officeDocument/2006/relationships/hyperlink" Target="https://shinbundang.co.kr/eng/index.jsp?pageID=/eng/intro/intro2_6.jsp&amp;open_main=4&amp;open_sub1=1&amp;open_sub2=6" TargetMode="External"/><Relationship Id="rId523" Type="http://schemas.openxmlformats.org/officeDocument/2006/relationships/hyperlink" Target="http://www.gov.cn/xinwen/2019-01/06/5355294/files/c3d503decf1d4b6b924324b210ee0f1a.pdf" TargetMode="External"/><Relationship Id="rId765" Type="http://schemas.openxmlformats.org/officeDocument/2006/relationships/hyperlink" Target="http://m.ufnews.co.kr/main/sub_news_detail.html?wr_id=4725" TargetMode="External"/><Relationship Id="rId522" Type="http://schemas.openxmlformats.org/officeDocument/2006/relationships/hyperlink" Target="http://img.thupdi.com/news/2015/08/1440573393290975.pdf" TargetMode="External"/><Relationship Id="rId764"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529" Type="http://schemas.openxmlformats.org/officeDocument/2006/relationships/hyperlink" Target="http://m.thepaper.cn/kuaibao_detail.jsp?contid=4947698&amp;from=kuaibao" TargetMode="External"/><Relationship Id="rId528" Type="http://schemas.openxmlformats.org/officeDocument/2006/relationships/hyperlink" Target="http://www.rail-transit.com/project/show.php?itemid=109" TargetMode="External"/><Relationship Id="rId527" Type="http://schemas.openxmlformats.org/officeDocument/2006/relationships/hyperlink" Target="http://www.rail-transit.com/project/show.php?itemid=106" TargetMode="External"/><Relationship Id="rId769" Type="http://schemas.openxmlformats.org/officeDocument/2006/relationships/hyperlink" Target="https://www.hankyung.com/society/article/2013061797248" TargetMode="External"/><Relationship Id="rId526" Type="http://schemas.openxmlformats.org/officeDocument/2006/relationships/hyperlink" Target="http://www.gov.cn/xinwen/2019-01/06/5355294/files/c3d503decf1d4b6b924324b210ee0f1a.pdf" TargetMode="External"/><Relationship Id="rId768" Type="http://schemas.openxmlformats.org/officeDocument/2006/relationships/hyperlink" Target="https://www.mk.co.kr/news/society/view/2021/03/266810/" TargetMode="External"/><Relationship Id="rId26" Type="http://schemas.openxmlformats.org/officeDocument/2006/relationships/hyperlink" Target="https://edmontonjournal.com/news/local-news/long-delayed-1-8-billion-valley-line-lrt-stymied-yet-again" TargetMode="External"/><Relationship Id="rId25" Type="http://schemas.openxmlformats.org/officeDocument/2006/relationships/hyperlink" Target="https://www.railjournal.com/passenger/metros/revival-of-sao-paulo-metro-line-6-orange-project-a-step-closer/" TargetMode="External"/><Relationship Id="rId28" Type="http://schemas.openxmlformats.org/officeDocument/2006/relationships/hyperlink" Target="https://www.metrolinx.com/en/projects-and-programs/hazel-mccallion-lrt/faqs" TargetMode="External"/><Relationship Id="rId27" Type="http://schemas.openxmlformats.org/officeDocument/2006/relationships/hyperlink" Target="https://tam-america.com/article/edmonton-metro-northwest-lrt-extension-phase-completed-on-budget-before-time" TargetMode="External"/><Relationship Id="rId521" Type="http://schemas.openxmlformats.org/officeDocument/2006/relationships/hyperlink" Target="https://baike.baidu.com/reference/17605858/8a2eRI10Oo3jPyB3RZawIu33fUj3OmCx5fKTFCUCJXoq4BKXZ94NcZoLUG7NPyweTNKYwYHoa5qBIK1P24XE4PGoXEqagKR9-p1ks_BmNh00igM" TargetMode="External"/><Relationship Id="rId763" Type="http://schemas.openxmlformats.org/officeDocument/2006/relationships/hyperlink" Target="https://m.moneys.mt.co.kr/article.html?no=2016012815008069876" TargetMode="External"/><Relationship Id="rId29" Type="http://schemas.openxmlformats.org/officeDocument/2006/relationships/hyperlink" Target="https://montrealgazette.com/news/local-news/the-sleepy-success-story-of-the-laval-metro-extension" TargetMode="External"/><Relationship Id="rId520" Type="http://schemas.openxmlformats.org/officeDocument/2006/relationships/hyperlink" Target="http://www.gov.cn/xinwen/2019-01/06/5355294/files/c3d503decf1d4b6b924324b210ee0f1a.pdf" TargetMode="External"/><Relationship Id="rId762" Type="http://schemas.openxmlformats.org/officeDocument/2006/relationships/hyperlink" Target="https://www.kgnews.co.kr/mobile/article.html?no=674722" TargetMode="External"/><Relationship Id="rId761" Type="http://schemas.openxmlformats.org/officeDocument/2006/relationships/hyperlink" Target="http://www.incheonnews.com/news/articleView.html?idxno=86652" TargetMode="External"/><Relationship Id="rId760" Type="http://schemas.openxmlformats.org/officeDocument/2006/relationships/hyperlink" Target="https://www.railwaygazette.com/asia/busan-metro-line-1-extends/44436.article" TargetMode="External"/><Relationship Id="rId11" Type="http://schemas.openxmlformats.org/officeDocument/2006/relationships/hyperlink" Target="https://www.thedailystar.net/news/bangladesh/transport/news/metro-now-set-cost-50pc-more-3072816" TargetMode="External"/><Relationship Id="rId10" Type="http://schemas.openxmlformats.org/officeDocument/2006/relationships/hyperlink" Target="https://www.abc.net.au/news/2020-02-21/nsw-government-confirms-three-billion-metro-budget-blowout/11986968" TargetMode="External"/><Relationship Id="rId13" Type="http://schemas.openxmlformats.org/officeDocument/2006/relationships/hyperlink" Target="https://bdnews24.com/economy/2019/10/15/govt-approves-two-more-metro-rail-projects-worth-tk-938bn" TargetMode="External"/><Relationship Id="rId12" Type="http://schemas.openxmlformats.org/officeDocument/2006/relationships/hyperlink" Target="https://bdnews24.com/economy/2019/10/15/govt-approves-two-more-metro-rail-projects-worth-tk-938bn" TargetMode="External"/><Relationship Id="rId519" Type="http://schemas.openxmlformats.org/officeDocument/2006/relationships/hyperlink" Target="http://www.gov.cn/xinwen/2019-01/06/5355294/files/c3d503decf1d4b6b924324b210ee0f1a.pdf" TargetMode="External"/><Relationship Id="rId514" Type="http://schemas.openxmlformats.org/officeDocument/2006/relationships/hyperlink" Target="http://www.gov.cn/xinwen/2019-01/06/5355294/files/c3d503decf1d4b6b924324b210ee0f1a.pdf" TargetMode="External"/><Relationship Id="rId756" Type="http://schemas.openxmlformats.org/officeDocument/2006/relationships/hyperlink" Target="https://resources.realestate.co.jp/living/faster-commute-and-lower-congestion-expected-as-sotetsu-main-line-and-jr-east-start-direct-rail-service-on-nov-30th/" TargetMode="External"/><Relationship Id="rId513" Type="http://schemas.openxmlformats.org/officeDocument/2006/relationships/hyperlink" Target="http://www.gov.cn/xinwen/2019-01/06/5355294/files/c3d503decf1d4b6b924324b210ee0f1a.pdf" TargetMode="External"/><Relationship Id="rId755" Type="http://schemas.openxmlformats.org/officeDocument/2006/relationships/hyperlink" Target="https://www.railwaygazette.com/cross-tokyo-link-inaugurated/40649.article" TargetMode="External"/><Relationship Id="rId512" Type="http://schemas.openxmlformats.org/officeDocument/2006/relationships/hyperlink" Target="http://www.gov.cn/xinwen/2019-01/06/5355294/files/c3d503decf1d4b6b924324b210ee0f1a.pdf" TargetMode="External"/><Relationship Id="rId754" Type="http://schemas.openxmlformats.org/officeDocument/2006/relationships/hyperlink" Target="https://www.japantimes.co.jp/news/2008/06/12/national/fukutoshin-subway-line-debuts/" TargetMode="External"/><Relationship Id="rId511" Type="http://schemas.openxmlformats.org/officeDocument/2006/relationships/hyperlink" Target="http://www.rail-transit.com/project/show.php?itemid=200" TargetMode="External"/><Relationship Id="rId753" Type="http://schemas.openxmlformats.org/officeDocument/2006/relationships/hyperlink" Target="https://www.jlgc.org.uk/en/news_letter/funding-local-infrastructure-and-the-tsukuba-express/" TargetMode="External"/><Relationship Id="rId518" Type="http://schemas.openxmlformats.org/officeDocument/2006/relationships/hyperlink" Target="http://www.gov.cn/xinwen/2019-01/06/5355294/files/c3d503decf1d4b6b924324b210ee0f1a.pdf" TargetMode="External"/><Relationship Id="rId517" Type="http://schemas.openxmlformats.org/officeDocument/2006/relationships/hyperlink" Target="http://www.rail-transit.com/project/show.php?itemid=184" TargetMode="External"/><Relationship Id="rId759" Type="http://schemas.openxmlformats.org/officeDocument/2006/relationships/hyperlink" Target="https://en.connectionjapan.com/2019/02/16/jr-east-construira-linha-para-ligar-toquio-ao-aeroporto-de-haneda/" TargetMode="External"/><Relationship Id="rId516" Type="http://schemas.openxmlformats.org/officeDocument/2006/relationships/hyperlink" Target="http://hb.sina.com.cn/news/b/2013-06-03/070979213.html" TargetMode="External"/><Relationship Id="rId758" Type="http://schemas.openxmlformats.org/officeDocument/2006/relationships/hyperlink" Target="https://www.railwaygazette.com/tokyo-monorail-plans-to-extend/39875.article" TargetMode="External"/><Relationship Id="rId515" Type="http://schemas.openxmlformats.org/officeDocument/2006/relationships/hyperlink" Target="https://zh.wikipedia.org/wiki/%E6%AD%A6%E6%B1%89%E8%BD%A8%E9%81%93%E4%BA%A4%E9%80%9A4%E5%8F%B7%E7%BA%BF" TargetMode="External"/><Relationship Id="rId757" Type="http://schemas.openxmlformats.org/officeDocument/2006/relationships/hyperlink" Target="https://www.decn.co.jp/?p=89391" TargetMode="External"/><Relationship Id="rId15" Type="http://schemas.openxmlformats.org/officeDocument/2006/relationships/hyperlink" Target="https://www.railway-technology.com/uncategorised/newsbulgaria-opens-sofia-metro-line-2/" TargetMode="External"/><Relationship Id="rId14" Type="http://schemas.openxmlformats.org/officeDocument/2006/relationships/hyperlink" Target="https://www.thebulletin.be/brussels-metro-line-3-project-could-be-delayed-or-suspended" TargetMode="External"/><Relationship Id="rId17" Type="http://schemas.openxmlformats.org/officeDocument/2006/relationships/hyperlink" Target="https://seenews.com/news/sofia-subway-launches-13-km-section-with-one-station-533330" TargetMode="External"/><Relationship Id="rId16" Type="http://schemas.openxmlformats.org/officeDocument/2006/relationships/hyperlink" Target="https://www.novinite.com/articles/168384/Subway+Extension+to+Business+Park+Sofia+Opens" TargetMode="External"/><Relationship Id="rId19" Type="http://schemas.openxmlformats.org/officeDocument/2006/relationships/hyperlink" Target="https://seenews.com/news/sofia-opens-1125-mln-euro-tender-for-subway-expansion-681553" TargetMode="External"/><Relationship Id="rId510" Type="http://schemas.openxmlformats.org/officeDocument/2006/relationships/hyperlink" Target="http://img.thupdi.com/news/2015/08/1440573393290975.pdf" TargetMode="External"/><Relationship Id="rId752" Type="http://schemas.openxmlformats.org/officeDocument/2006/relationships/hyperlink" Target="https://www.japantimes.co.jp/life/2004/02/13/travel/new-subway-signals-start-of-a-new-era/" TargetMode="External"/><Relationship Id="rId18" Type="http://schemas.openxmlformats.org/officeDocument/2006/relationships/hyperlink" Target="https://europa.eu/investeu/projects/sofia-metro-line-3_en" TargetMode="External"/><Relationship Id="rId751" Type="http://schemas.openxmlformats.org/officeDocument/2006/relationships/hyperlink" Target="https://web.archive.org/web/20060517042836/http://www.kotsu.metro.tokyo.jp/news/pdf/sub_t_20060324a_01.pdf" TargetMode="External"/><Relationship Id="rId750" Type="http://schemas.openxmlformats.org/officeDocument/2006/relationships/hyperlink" Target="https://www.ejrcf.or.jp/jrtr/jrtr26/pdf/t58_neh.pdf" TargetMode="External"/><Relationship Id="rId84" Type="http://schemas.openxmlformats.org/officeDocument/2006/relationships/hyperlink" Target="http://www.rail-transit.com/project/show.php?itemid=231" TargetMode="External"/><Relationship Id="rId83" Type="http://schemas.openxmlformats.org/officeDocument/2006/relationships/hyperlink" Target="https://zfxxgk.ndrc.gov.cn/web/iteminfo.jsp?id=320" TargetMode="External"/><Relationship Id="rId86" Type="http://schemas.openxmlformats.org/officeDocument/2006/relationships/hyperlink" Target="https://www.ndrc.gov.cn/xxgk/zcfb/tz/201812/W020190905514226164270.pdf" TargetMode="External"/><Relationship Id="rId85" Type="http://schemas.openxmlformats.org/officeDocument/2006/relationships/hyperlink" Target="https://www.ndrc.gov.cn/xxgk/zcfb/tz/201812/W020190905514226164270.pdf" TargetMode="External"/><Relationship Id="rId88" Type="http://schemas.openxmlformats.org/officeDocument/2006/relationships/hyperlink" Target="https://www.ndrc.gov.cn/xxgk/zcfb/tz/201812/W020190905514226164270.pdf" TargetMode="External"/><Relationship Id="rId87" Type="http://schemas.openxmlformats.org/officeDocument/2006/relationships/hyperlink" Target="http://www.rail-transit.com/project/show.php?itemid=531" TargetMode="External"/><Relationship Id="rId89" Type="http://schemas.openxmlformats.org/officeDocument/2006/relationships/hyperlink" Target="https://www.ndrc.gov.cn/xxgk/zcfb/tz/201812/W020190905514226164270.pdf" TargetMode="External"/><Relationship Id="rId709" Type="http://schemas.openxmlformats.org/officeDocument/2006/relationships/hyperlink" Target="https://indianexpress.com/article/cities/pune/pune-maha-metro-pmc-7154473/" TargetMode="External"/><Relationship Id="rId708" Type="http://schemas.openxmlformats.org/officeDocument/2006/relationships/hyperlink" Target="https://timesofindia.indiatimes.com/city/patna/patna-metro-rail-project-awaits-funds-from-japan-agency/articleshow/88284432.cms" TargetMode="External"/><Relationship Id="rId707" Type="http://schemas.openxmlformats.org/officeDocument/2006/relationships/hyperlink" Target="https://timesofindia.indiatimes.com/city/nagpur/mahametro-saves-rs1850cr-in-nagpur-metro-phase-ii/articleshow/67371648.cms" TargetMode="External"/><Relationship Id="rId949" Type="http://schemas.openxmlformats.org/officeDocument/2006/relationships/hyperlink" Target="https://www.jametro.or.jp/upload/data/OcFpRydLvphq.pdf" TargetMode="External"/><Relationship Id="rId706" Type="http://schemas.openxmlformats.org/officeDocument/2006/relationships/hyperlink" Target="http://www.metrorailnagpur.com/projectprofile.aspx" TargetMode="External"/><Relationship Id="rId948" Type="http://schemas.openxmlformats.org/officeDocument/2006/relationships/hyperlink" Target="https://www.jametro.or.jp/upload/data/OcFpRydLvphq.pdf" TargetMode="External"/><Relationship Id="rId80" Type="http://schemas.openxmlformats.org/officeDocument/2006/relationships/hyperlink" Target="http://www.rail-transit.com/project/show.php?itemid=525" TargetMode="External"/><Relationship Id="rId82" Type="http://schemas.openxmlformats.org/officeDocument/2006/relationships/hyperlink" Target="https://zfxxgk.ndrc.gov.cn/web/iteminfo.jsp?id=320" TargetMode="External"/><Relationship Id="rId81" Type="http://schemas.openxmlformats.org/officeDocument/2006/relationships/hyperlink" Target="https://zfxxgk.ndrc.gov.cn/web/iteminfo.jsp?id=320" TargetMode="External"/><Relationship Id="rId701" Type="http://schemas.openxmlformats.org/officeDocument/2006/relationships/hyperlink" Target="https://mmrda.maharashtra.gov.in/metro-line-2b" TargetMode="External"/><Relationship Id="rId943" Type="http://schemas.openxmlformats.org/officeDocument/2006/relationships/hyperlink" Target="https://www.kotsu.city.nagoya.jp/jp/pc/ENJOY/TRP0004710.htm" TargetMode="External"/><Relationship Id="rId700" Type="http://schemas.openxmlformats.org/officeDocument/2006/relationships/hyperlink" Target="https://mmrda.maharashtra.gov.in/metro-line-9" TargetMode="External"/><Relationship Id="rId942" Type="http://schemas.openxmlformats.org/officeDocument/2006/relationships/hyperlink" Target="https://www.kotsu.city.nagoya.jp/jp/pc/ENJOY/TRP0004710.htm" TargetMode="External"/><Relationship Id="rId941" Type="http://schemas.openxmlformats.org/officeDocument/2006/relationships/hyperlink" Target="https://www.kotsu.city.nagoya.jp/jp/pc/ENJOY/TRP0004710.htm" TargetMode="External"/><Relationship Id="rId940" Type="http://schemas.openxmlformats.org/officeDocument/2006/relationships/hyperlink" Target="https://www.kotsu.city.nagoya.jp/jp/pc/ENJOY/TRP0004710.htm" TargetMode="External"/><Relationship Id="rId705" Type="http://schemas.openxmlformats.org/officeDocument/2006/relationships/hyperlink" Target="https://mmrda.maharashtra.gov.in/documents/10180/9283015/Metro+Line+12/20c81fcb-0b2c-40c2-9e06-a7b4e7d46bdb" TargetMode="External"/><Relationship Id="rId947" Type="http://schemas.openxmlformats.org/officeDocument/2006/relationships/hyperlink" Target="https://www.jametro.or.jp/upload/data/OcFpRydLvphq.pdf" TargetMode="External"/><Relationship Id="rId704" Type="http://schemas.openxmlformats.org/officeDocument/2006/relationships/hyperlink" Target="https://mmrda.maharashtra.gov.in/documents/10180/9283015/Metro+Line+11/8dc85106-19e2-48a5-875e-acdb289c357d" TargetMode="External"/><Relationship Id="rId946" Type="http://schemas.openxmlformats.org/officeDocument/2006/relationships/hyperlink" Target="https://kotsu.city.kobe.lg.jp/wp-content/uploads/allpages.pdf" TargetMode="External"/><Relationship Id="rId703" Type="http://schemas.openxmlformats.org/officeDocument/2006/relationships/hyperlink" Target="https://mmrda.maharashtra.gov.in/documents/10180/9283015/Metro+Line+10/076595c3-c882-424c-b49d-f22399e9a096" TargetMode="External"/><Relationship Id="rId945" Type="http://schemas.openxmlformats.org/officeDocument/2006/relationships/hyperlink" Target="https://www.kotsu.city.nagoya.jp/jp/pc/ENJOY/TRP0004710.htm" TargetMode="External"/><Relationship Id="rId702" Type="http://schemas.openxmlformats.org/officeDocument/2006/relationships/hyperlink" Target="https://mmrda.maharashtra.gov.in/metro-line-5" TargetMode="External"/><Relationship Id="rId944" Type="http://schemas.openxmlformats.org/officeDocument/2006/relationships/hyperlink" Target="https://www.kotsu.city.nagoya.jp/jp/pc/ENJOY/TRP0004710.htm" TargetMode="External"/><Relationship Id="rId73" Type="http://schemas.openxmlformats.org/officeDocument/2006/relationships/hyperlink" Target="https://zh.wikisource.org/zh-hans/%E5%8C%97%E4%BA%AC%E5%B8%82%E5%9F%8E%E5%B8%82%E8%BD%A8%E9%81%93%E4%BA%A4%E9%80%9A%E7%AC%AC%E4%BA%8C%E6%9C%9F%E5%BB%BA%E8%AE%BE%E8%A7%84%E5%88%92%EF%BC%882015%EF%BD%9E2021%E5%B9%B4%EF%BC%89" TargetMode="External"/><Relationship Id="rId72" Type="http://schemas.openxmlformats.org/officeDocument/2006/relationships/hyperlink" Target="http://www.rail-transit.com/project/show.php?itemid=360" TargetMode="External"/><Relationship Id="rId75" Type="http://schemas.openxmlformats.org/officeDocument/2006/relationships/hyperlink" Target="http://www.rail-transit.com/project/show.php?itemid=92" TargetMode="External"/><Relationship Id="rId74" Type="http://schemas.openxmlformats.org/officeDocument/2006/relationships/hyperlink" Target="https://www.bjsubway.com/news/ghjs/2013-12-30/1316.html" TargetMode="External"/><Relationship Id="rId77" Type="http://schemas.openxmlformats.org/officeDocument/2006/relationships/hyperlink" Target="http://www.tzxm.gov.cn/flfg/law/201912/t20191220_12825.html" TargetMode="External"/><Relationship Id="rId76" Type="http://schemas.openxmlformats.org/officeDocument/2006/relationships/hyperlink" Target="http://www.tzxm.gov.cn/flfg/law/201912/t20191220_12825.html" TargetMode="External"/><Relationship Id="rId79" Type="http://schemas.openxmlformats.org/officeDocument/2006/relationships/hyperlink" Target="http://www.tzxm.gov.cn/flfg/law/201912/t20191220_12825.html" TargetMode="External"/><Relationship Id="rId78"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939" Type="http://schemas.openxmlformats.org/officeDocument/2006/relationships/hyperlink" Target="https://www.kotsu.city.nagoya.jp/jp/pc/ENJOY/TRP0004710.htm" TargetMode="External"/><Relationship Id="rId938" Type="http://schemas.openxmlformats.org/officeDocument/2006/relationships/hyperlink" Target="https://www.kotsu.city.nagoya.jp/jp/pc/ENJOY/TRP0004710.htm" TargetMode="External"/><Relationship Id="rId937" Type="http://schemas.openxmlformats.org/officeDocument/2006/relationships/hyperlink" Target="https://www.kotsu.city.nagoya.jp/jp/pc/ENJOY/TRP0004710.htm" TargetMode="External"/><Relationship Id="rId71" Type="http://schemas.openxmlformats.org/officeDocument/2006/relationships/hyperlink" Target="https://zh.wikisource.org/zh-hans/%E5%8C%97%E4%BA%AC%E5%B8%82%E5%9F%8E%E5%B8%82%E8%BD%A8%E9%81%93%E4%BA%A4%E9%80%9A%E7%AC%AC%E4%BA%8C%E6%9C%9F%E5%BB%BA%E8%AE%BE%E8%A7%84%E5%88%92%EF%BC%882015%EF%BD%9E2021%E5%B9%B4%EF%BC%89" TargetMode="External"/><Relationship Id="rId70" Type="http://schemas.openxmlformats.org/officeDocument/2006/relationships/hyperlink" Target="https://zh.wikisource.org/zh-hans/%E5%8C%97%E4%BA%AC%E5%B8%82%E5%9F%8E%E5%B8%82%E8%BD%A8%E9%81%93%E4%BA%A4%E9%80%9A%E7%AC%AC%E4%BA%8C%E6%9C%9F%E5%BB%BA%E8%AE%BE%E8%A7%84%E5%88%92%EF%BC%882015%EF%BD%9E2021%E5%B9%B4%EF%BC%89" TargetMode="External"/><Relationship Id="rId932" Type="http://schemas.openxmlformats.org/officeDocument/2006/relationships/hyperlink" Target="https://www.kotsu.city.nagoya.jp/jp/pc/ENJOY/TRP0004710.htm" TargetMode="External"/><Relationship Id="rId931" Type="http://schemas.openxmlformats.org/officeDocument/2006/relationships/hyperlink" Target="https://www.kotsu.city.nagoya.jp/jp/pc/ENJOY/TRP0004710.htm" TargetMode="External"/><Relationship Id="rId930" Type="http://schemas.openxmlformats.org/officeDocument/2006/relationships/hyperlink" Target="https://www.kotsu.city.nagoya.jp/jp/pc/ENJOY/TRP0004710.htm" TargetMode="External"/><Relationship Id="rId936" Type="http://schemas.openxmlformats.org/officeDocument/2006/relationships/hyperlink" Target="https://www.kotsu.city.nagoya.jp/jp/pc/ENJOY/TRP0004710.htm" TargetMode="External"/><Relationship Id="rId935" Type="http://schemas.openxmlformats.org/officeDocument/2006/relationships/hyperlink" Target="https://www.kotsu.city.nagoya.jp/jp/pc/ENJOY/TRP0004710.htm" TargetMode="External"/><Relationship Id="rId934" Type="http://schemas.openxmlformats.org/officeDocument/2006/relationships/hyperlink" Target="https://www.kotsu.city.nagoya.jp/jp/pc/ENJOY/TRP0004710.htm" TargetMode="External"/><Relationship Id="rId933" Type="http://schemas.openxmlformats.org/officeDocument/2006/relationships/hyperlink" Target="https://www.kotsu.city.nagoya.jp/jp/pc/ENJOY/TRP0004710.htm" TargetMode="External"/><Relationship Id="rId62" Type="http://schemas.openxmlformats.org/officeDocument/2006/relationships/hyperlink" Target="http://bj.bendibao.com/news/20141120/171344.shtm" TargetMode="External"/><Relationship Id="rId61" Type="http://schemas.openxmlformats.org/officeDocument/2006/relationships/hyperlink" Target="http://finance.ifeng.com/city/bj/20101117/2902241.shtml" TargetMode="External"/><Relationship Id="rId64" Type="http://schemas.openxmlformats.org/officeDocument/2006/relationships/hyperlink" Target="https://www.bjsubway.com/news/ghjs/2013-12-30/1316.html" TargetMode="External"/><Relationship Id="rId63" Type="http://schemas.openxmlformats.org/officeDocument/2006/relationships/hyperlink" Target="http://politics.people.com.cn/n/2014/1105/c70731-25980932.html" TargetMode="External"/><Relationship Id="rId66" Type="http://schemas.openxmlformats.org/officeDocument/2006/relationships/hyperlink" Target="http://www.tzxm.gov.cn/flfg/law/201912/t20191220_12825.html" TargetMode="External"/><Relationship Id="rId65" Type="http://schemas.openxmlformats.org/officeDocument/2006/relationships/hyperlink" Target="https://zh.wikipedia.org/wiki/%E5%8C%97%E4%BA%AC%E5%9C%B0%E9%93%818%E5%8F%B7%E7%BA%BF" TargetMode="External"/><Relationship Id="rId68" Type="http://schemas.openxmlformats.org/officeDocument/2006/relationships/hyperlink" Target="https://zh.wikisource.org/zh-hans/%E5%8C%97%E4%BA%AC%E5%B8%82%E5%9F%8E%E5%B8%82%E8%BD%A8%E9%81%93%E4%BA%A4%E9%80%9A%E7%AC%AC%E4%BA%8C%E6%9C%9F%E5%BB%BA%E8%AE%BE%E8%A7%84%E5%88%92%EF%BC%882015%EF%BD%9E2021%E5%B9%B4%EF%BC%89" TargetMode="External"/><Relationship Id="rId67" Type="http://schemas.openxmlformats.org/officeDocument/2006/relationships/hyperlink" Target="https://new.qq.com/omn/20210301/20210301A0E4JW00.html" TargetMode="External"/><Relationship Id="rId729"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728" Type="http://schemas.openxmlformats.org/officeDocument/2006/relationships/hyperlink" Target="http://www.expofairs.com/pianeta-costruzioni/001/pagina_017.pdf" TargetMode="External"/><Relationship Id="rId60" Type="http://schemas.openxmlformats.org/officeDocument/2006/relationships/hyperlink" Target="https://zh.wikipedia.org/wiki/%E5%8C%97%E4%BA%AC%E5%9C%B0%E9%93%818%E5%8F%B7%E7%BA%BF" TargetMode="External"/><Relationship Id="rId723" Type="http://schemas.openxmlformats.org/officeDocument/2006/relationships/hyperlink" Target="https://smart.comune.genova.it/articoli/presentato-ai-cittadini-il-progetto-della-nuova-metro-brin-canepari" TargetMode="External"/><Relationship Id="rId722"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721" Type="http://schemas.openxmlformats.org/officeDocument/2006/relationships/hyperlink" Target="http://www.rivistacorteconti.it/export/sites/rivistaweb/RepositoryPdf/2017/fascicolo_16_2017/30_CDC_gestione_4.pdf" TargetMode="External"/><Relationship Id="rId720" Type="http://schemas.openxmlformats.org/officeDocument/2006/relationships/hyperlink" Target="http://silos.infrastrutturestrategiche.it/admin/scheda.aspx?id=1723" TargetMode="External"/><Relationship Id="rId727" Type="http://schemas.openxmlformats.org/officeDocument/2006/relationships/hyperlink" Target="http://www.rivistacorteconti.it/export/sites/rivistaweb/RepositoryPdf/2017/fascicolo_16_2017/30_CDC_gestione_4.pdf" TargetMode="External"/><Relationship Id="rId726" Type="http://schemas.openxmlformats.org/officeDocument/2006/relationships/hyperlink" Target="http://www.rivistacorteconti.it/export/sites/rivistaweb/RepositoryPdf/2017/fascicolo_16_2017/30_CDC_gestione_4.pdf" TargetMode="External"/><Relationship Id="rId725" Type="http://schemas.openxmlformats.org/officeDocument/2006/relationships/hyperlink" Target="http://silos.infrastrutturestrategiche.it/admin/scheda.aspx?id=1241" TargetMode="External"/><Relationship Id="rId724" Type="http://schemas.openxmlformats.org/officeDocument/2006/relationships/hyperlink" Target="https://www.milanolife.it/la-quinta-linea-il-passante-ferroviario-di-milano/" TargetMode="External"/><Relationship Id="rId69" Type="http://schemas.openxmlformats.org/officeDocument/2006/relationships/hyperlink" Target="https://zh.wikisource.org/zh-hans/%E5%8C%97%E4%BA%AC%E5%B8%82%E5%9F%8E%E5%B8%82%E8%BD%A8%E9%81%93%E4%BA%A4%E9%80%9A%E7%AC%AC%E4%BA%8C%E6%9C%9F%E5%BB%BA%E8%AE%BE%E8%A7%84%E5%88%92%EF%BC%882015%EF%BD%9E2021%E5%B9%B4%EF%BC%89" TargetMode="External"/><Relationship Id="rId51" Type="http://schemas.openxmlformats.org/officeDocument/2006/relationships/hyperlink" Target="http://news.sciencenet.cn/sbhtmlnews/2008/8/209799.html" TargetMode="External"/><Relationship Id="rId50" Type="http://schemas.openxmlformats.org/officeDocument/2006/relationships/hyperlink" Target="http://finance.sina.com.cn/b/20040419/0854725033.shtml" TargetMode="External"/><Relationship Id="rId53" Type="http://schemas.openxmlformats.org/officeDocument/2006/relationships/hyperlink" Target="http://zizhan.mot.gov.cn/zhuantizhuanlan/qita/quanqiuhuanjingjijin/zhishigongxiang/201601/P020160125565596507649.pdf" TargetMode="External"/><Relationship Id="rId52" Type="http://schemas.openxmlformats.org/officeDocument/2006/relationships/hyperlink" Target="http://news.sciencenet.cn/sbhtmlnews/2008/8/209799.html" TargetMode="External"/><Relationship Id="rId55" Type="http://schemas.openxmlformats.org/officeDocument/2006/relationships/hyperlink" Target="https://zh.wikipedia.org/wiki/%E5%8C%97%E4%BA%AC%E5%9C%B0%E9%93%818%E5%8F%B7%E7%BA%BF" TargetMode="External"/><Relationship Id="rId54" Type="http://schemas.openxmlformats.org/officeDocument/2006/relationships/hyperlink" Target="http://www.mtr.bj.cn/article/5d510c0aebb1a36f5ef5981f.html" TargetMode="External"/><Relationship Id="rId57" Type="http://schemas.openxmlformats.org/officeDocument/2006/relationships/hyperlink" Target="http://zqb.cyol.com/html/2012-12/31/nw.D110000zgqnb_20121231_3-06.htm" TargetMode="External"/><Relationship Id="rId56" Type="http://schemas.openxmlformats.org/officeDocument/2006/relationships/hyperlink" Target="https://zh.wikipedia.org/wiki/%E5%8C%97%E4%BA%AC%E5%9C%B0%E9%93%8110%E5%8F%B7%E7%BA%BF" TargetMode="External"/><Relationship Id="rId719" Type="http://schemas.openxmlformats.org/officeDocument/2006/relationships/hyperlink" Target="http://silos.infrastrutturestrategiche.it/admin/scheda.aspx?id=1723" TargetMode="External"/><Relationship Id="rId718" Type="http://schemas.openxmlformats.org/officeDocument/2006/relationships/hyperlink" Target="http://silos.infrastrutturestrategiche.it/admin/scheda.aspx?id=1723" TargetMode="External"/><Relationship Id="rId717" Type="http://schemas.openxmlformats.org/officeDocument/2006/relationships/hyperlink" Target="http://silos.infrastrutturestrategiche.it/admin/scheda.aspx?id=1723" TargetMode="External"/><Relationship Id="rId712" Type="http://schemas.openxmlformats.org/officeDocument/2006/relationships/hyperlink" Target="https://www.railjournal.com/passenger/metros/tehran-opens-metro-line-3-extension/" TargetMode="External"/><Relationship Id="rId954" Type="http://schemas.openxmlformats.org/officeDocument/2006/relationships/vmlDrawing" Target="../drawings/vmlDrawing1.vml"/><Relationship Id="rId711" Type="http://schemas.openxmlformats.org/officeDocument/2006/relationships/hyperlink" Target="https://indianexpress.com/article/cities/surat/tenders-worth-rs-3002-cr-awarded-work-for-phase-1-of-surat-metro-begins-7511571/" TargetMode="External"/><Relationship Id="rId953" Type="http://schemas.openxmlformats.org/officeDocument/2006/relationships/drawing" Target="../drawings/drawing1.xml"/><Relationship Id="rId710" Type="http://schemas.openxmlformats.org/officeDocument/2006/relationships/hyperlink" Target="https://timesofindia.indiatimes.com/city/pune/98-of-land-acquired-for-pmrda-metro-line-project-start-date-soon/articleshow/85723503.cms" TargetMode="External"/><Relationship Id="rId952" Type="http://schemas.openxmlformats.org/officeDocument/2006/relationships/hyperlink" Target="https://www.jametro.or.jp/upload/data/ZwHlUxbGHRzr.pdf" TargetMode="External"/><Relationship Id="rId951" Type="http://schemas.openxmlformats.org/officeDocument/2006/relationships/hyperlink" Target="https://www.jametro.or.jp/upload/data/ZwHlUxbGHRzr.pdf" TargetMode="External"/><Relationship Id="rId716" Type="http://schemas.openxmlformats.org/officeDocument/2006/relationships/hyperlink" Target="http://silos.infrastrutturestrategiche.it/admin/scheda.aspx?id=1723" TargetMode="External"/><Relationship Id="rId715" Type="http://schemas.openxmlformats.org/officeDocument/2006/relationships/hyperlink" Target="http://silos.infrastrutturestrategiche.it/admin/scheda.aspx?id=1723" TargetMode="External"/><Relationship Id="rId714" Type="http://schemas.openxmlformats.org/officeDocument/2006/relationships/hyperlink" Target="https://financialtribune.com/articles/auto/78612/tehran-municipality-struggling-with-subway-development-costs" TargetMode="External"/><Relationship Id="rId713" Type="http://schemas.openxmlformats.org/officeDocument/2006/relationships/hyperlink" Target="https://financialtribune.com/articles/auto/78612/tehran-municipality-struggling-with-subway-development-costs" TargetMode="External"/><Relationship Id="rId59" Type="http://schemas.openxmlformats.org/officeDocument/2006/relationships/hyperlink" Target="https://max.book118.com/html/2017/1209/143431974.shtm" TargetMode="External"/><Relationship Id="rId58" Type="http://schemas.openxmlformats.org/officeDocument/2006/relationships/hyperlink" Target="http://zqb.cyol.com/html/2012-12/31/nw.D110000zgqnb_20121231_3-06.htm" TargetMode="External"/><Relationship Id="rId950" Type="http://schemas.openxmlformats.org/officeDocument/2006/relationships/hyperlink" Target="https://www.jametro.or.jp/upload/data/OcFpRydLvphq.pdf" TargetMode="External"/><Relationship Id="rId590" Type="http://schemas.openxmlformats.org/officeDocument/2006/relationships/hyperlink" Target="http://www.rail-transit.com/project/show.php?itemid=141" TargetMode="External"/><Relationship Id="rId107" Type="http://schemas.openxmlformats.org/officeDocument/2006/relationships/hyperlink" Target="http://www.rail-transit.com/project/show.php?itemid=501" TargetMode="External"/><Relationship Id="rId349" Type="http://schemas.openxmlformats.org/officeDocument/2006/relationships/hyperlink" Target="http://www.rail-transit.com/project/show.php?itemid=587" TargetMode="External"/><Relationship Id="rId106" Type="http://schemas.openxmlformats.org/officeDocument/2006/relationships/hyperlink" Target="https://www.ndrc.gov.cn/xxgk/zcfb/ghwb/201703/W020190905497919692262.pdf" TargetMode="External"/><Relationship Id="rId348" Type="http://schemas.openxmlformats.org/officeDocument/2006/relationships/hyperlink" Target="http://www.rail-transit.com/project/show.php?itemid=524" TargetMode="External"/><Relationship Id="rId105" Type="http://schemas.openxmlformats.org/officeDocument/2006/relationships/hyperlink" Target="https://www.ndrc.gov.cn/xxgk/zcfb/ghwb/201703/W020190905497919692262.pdf" TargetMode="External"/><Relationship Id="rId347" Type="http://schemas.openxmlformats.org/officeDocument/2006/relationships/hyperlink" Target="http://www.rail-transit.com/project/show.php?itemid=42" TargetMode="External"/><Relationship Id="rId589" Type="http://schemas.openxmlformats.org/officeDocument/2006/relationships/hyperlink" Target="https://4g.dahe.cn/news/20191106554486" TargetMode="External"/><Relationship Id="rId104" Type="http://schemas.openxmlformats.org/officeDocument/2006/relationships/hyperlink" Target="https://www.ndrc.gov.cn/xxgk/zcfb/ghwb/201703/W020190905497919692262.pdf" TargetMode="External"/><Relationship Id="rId346" Type="http://schemas.openxmlformats.org/officeDocument/2006/relationships/hyperlink" Target="http://www.nngdjt.com/html/4061/8670.html" TargetMode="External"/><Relationship Id="rId588" Type="http://schemas.openxmlformats.org/officeDocument/2006/relationships/hyperlink" Target="http://www.rail-transit.com/project/show.php?itemid=514" TargetMode="External"/><Relationship Id="rId109" Type="http://schemas.openxmlformats.org/officeDocument/2006/relationships/hyperlink" Target="http://www.rail-transit.com/project/show.php?itemid=41" TargetMode="External"/><Relationship Id="rId108" Type="http://schemas.openxmlformats.org/officeDocument/2006/relationships/hyperlink" Target="http://www.rail-transit.com/project/show.php?itemid=261" TargetMode="External"/><Relationship Id="rId341" Type="http://schemas.openxmlformats.org/officeDocument/2006/relationships/hyperlink" Target="https://m.jiemian.com/article/2611638.html" TargetMode="External"/><Relationship Id="rId583" Type="http://schemas.openxmlformats.org/officeDocument/2006/relationships/hyperlink" Target="http://news.sina.com.cn/o/2010-12-29/033421723553.shtml" TargetMode="External"/><Relationship Id="rId340" Type="http://schemas.openxmlformats.org/officeDocument/2006/relationships/hyperlink" Target="http://www.xhby.net/nj/yw/202107/t20210707_7149440.shtml" TargetMode="External"/><Relationship Id="rId582" Type="http://schemas.openxmlformats.org/officeDocument/2006/relationships/hyperlink" Target="http://news.cctv.com/society/20090323/106184.shtml" TargetMode="External"/><Relationship Id="rId581" Type="http://schemas.openxmlformats.org/officeDocument/2006/relationships/hyperlink" Target="http://www.rail-transit.com/project/show.php?itemid=78" TargetMode="External"/><Relationship Id="rId580" Type="http://schemas.openxmlformats.org/officeDocument/2006/relationships/hyperlink" Target="https://www.ndrc.gov.cn/xxgk/zcfb/tz/202002/P020200210345113822478.pdf" TargetMode="External"/><Relationship Id="rId103" Type="http://schemas.openxmlformats.org/officeDocument/2006/relationships/hyperlink" Target="https://www.ndrc.gov.cn/xxgk/zcfb/ghwb/201703/W020190905497919692262.pdf" TargetMode="External"/><Relationship Id="rId345" Type="http://schemas.openxmlformats.org/officeDocument/2006/relationships/hyperlink" Target="http://www.rail-transit.com/project/show.php?itemid=211" TargetMode="External"/><Relationship Id="rId587" Type="http://schemas.openxmlformats.org/officeDocument/2006/relationships/hyperlink" Target="http://www.rail-transit.com/project/show.php?itemid=142" TargetMode="External"/><Relationship Id="rId102" Type="http://schemas.openxmlformats.org/officeDocument/2006/relationships/hyperlink" Target="https://www.ndrc.gov.cn/xxgk/zcfb/ghwb/201703/W020190905497919692262.pdf" TargetMode="External"/><Relationship Id="rId344" Type="http://schemas.openxmlformats.org/officeDocument/2006/relationships/hyperlink" Target="http://www.nngdjt.com/html/4061/6290.html" TargetMode="External"/><Relationship Id="rId586" Type="http://schemas.openxmlformats.org/officeDocument/2006/relationships/hyperlink" Target="http://www.rail-transit.com/project/show.php?itemid=143" TargetMode="External"/><Relationship Id="rId101" Type="http://schemas.openxmlformats.org/officeDocument/2006/relationships/hyperlink" Target="https://www.ndrc.gov.cn/xxgk/zcfb/ghwb/201703/W020190905497919692262.pdf" TargetMode="External"/><Relationship Id="rId343" Type="http://schemas.openxmlformats.org/officeDocument/2006/relationships/hyperlink" Target="http://gx.sina.com.cn/news/gx/2014-01-01/00277609.html?from=gx_cnxh" TargetMode="External"/><Relationship Id="rId585" Type="http://schemas.openxmlformats.org/officeDocument/2006/relationships/hyperlink" Target="http://www.rail-transit.com/project/show.php?itemid=192" TargetMode="External"/><Relationship Id="rId100" Type="http://schemas.openxmlformats.org/officeDocument/2006/relationships/hyperlink" Target="https://www.ndrc.gov.cn/xxgk/zcfb/ghwb/201703/W020190905497919692262.pdf" TargetMode="External"/><Relationship Id="rId342" Type="http://schemas.openxmlformats.org/officeDocument/2006/relationships/hyperlink" Target="https://kknews.cc/society/va42lel.html" TargetMode="External"/><Relationship Id="rId584" Type="http://schemas.openxmlformats.org/officeDocument/2006/relationships/hyperlink" Target="https://www.ndrc.gov.cn/fggz/zcssfz/zcgh/201409/W020190910670519267920.pdf" TargetMode="External"/><Relationship Id="rId338" Type="http://schemas.openxmlformats.org/officeDocument/2006/relationships/hyperlink" Target="https://news.suning.com/wtoutiao/witem2_5470123473.html" TargetMode="External"/><Relationship Id="rId337" Type="http://schemas.openxmlformats.org/officeDocument/2006/relationships/hyperlink" Target="http://www.rail-transit.com/project/show.php?itemid=145" TargetMode="External"/><Relationship Id="rId579" Type="http://schemas.openxmlformats.org/officeDocument/2006/relationships/hyperlink" Target="https://www.ndrc.gov.cn/xxgk/zcfb/tz/202002/P020200210345113822478.pdf" TargetMode="External"/><Relationship Id="rId336" Type="http://schemas.openxmlformats.org/officeDocument/2006/relationships/hyperlink" Target="http://www.jshbgz.cn/hpgs/202102/t20210207_451424.html" TargetMode="External"/><Relationship Id="rId578" Type="http://schemas.openxmlformats.org/officeDocument/2006/relationships/hyperlink" Target="http://www.rail-transit.com/project/show.php?itemid=328" TargetMode="External"/><Relationship Id="rId335" Type="http://schemas.openxmlformats.org/officeDocument/2006/relationships/hyperlink" Target="http://www.rail-transit.com/project/show.php?itemid=568" TargetMode="External"/><Relationship Id="rId577" Type="http://schemas.openxmlformats.org/officeDocument/2006/relationships/hyperlink" Target="http://www.rail-transit.com/project/show.php?itemid=510" TargetMode="External"/><Relationship Id="rId339" Type="http://schemas.openxmlformats.org/officeDocument/2006/relationships/hyperlink" Target="http://www.rail-transit.com/project/show.php?itemid=435" TargetMode="External"/><Relationship Id="rId330" Type="http://schemas.openxmlformats.org/officeDocument/2006/relationships/hyperlink" Target="http://www.rail-transit.com/project/show.php?itemid=647" TargetMode="External"/><Relationship Id="rId572" Type="http://schemas.openxmlformats.org/officeDocument/2006/relationships/hyperlink" Target="https://jiaotongbk.com/n6/201691.html" TargetMode="External"/><Relationship Id="rId571" Type="http://schemas.openxmlformats.org/officeDocument/2006/relationships/hyperlink" Target="http://www.rail-transit.com/project/show.php?itemid=295" TargetMode="External"/><Relationship Id="rId570" Type="http://schemas.openxmlformats.org/officeDocument/2006/relationships/hyperlink" Target="http://www.rail-transit.com/project/show.php?itemid=221" TargetMode="External"/><Relationship Id="rId334" Type="http://schemas.openxmlformats.org/officeDocument/2006/relationships/hyperlink" Target="http://www.xhby.net/nj/yw/202107/t20210707_7149440.shtml" TargetMode="External"/><Relationship Id="rId576" Type="http://schemas.openxmlformats.org/officeDocument/2006/relationships/hyperlink" Target="http://www.rail-transit.com/project/show.php?itemid=243" TargetMode="External"/><Relationship Id="rId333" Type="http://schemas.openxmlformats.org/officeDocument/2006/relationships/hyperlink" Target="http://www.rail-transit.com/project/show.php?itemid=610" TargetMode="External"/><Relationship Id="rId575" Type="http://schemas.openxmlformats.org/officeDocument/2006/relationships/hyperlink" Target="http://www.rail-transit.com/project/show.php?itemid=264" TargetMode="External"/><Relationship Id="rId332" Type="http://schemas.openxmlformats.org/officeDocument/2006/relationships/hyperlink" Target="http://www.rail-transit.com/project/show.php?itemid=727" TargetMode="External"/><Relationship Id="rId574" Type="http://schemas.openxmlformats.org/officeDocument/2006/relationships/hyperlink" Target="https://new.qq.com/omn/20190117/20190117A1GO47.html" TargetMode="External"/><Relationship Id="rId331" Type="http://schemas.openxmlformats.org/officeDocument/2006/relationships/hyperlink" Target="http://www.zgjssw.gov.cn/shixianchuanzhen/nanjing/202102/t20210209_6976410.shtml" TargetMode="External"/><Relationship Id="rId573" Type="http://schemas.openxmlformats.org/officeDocument/2006/relationships/hyperlink" Target="http://www.ciecc.com.cn/art/2013/3/8/art_1599_30934.html" TargetMode="External"/><Relationship Id="rId370" Type="http://schemas.openxmlformats.org/officeDocument/2006/relationships/hyperlink" Target="http://www.rail-transit.com/project/show.php?itemid=725" TargetMode="External"/><Relationship Id="rId129" Type="http://schemas.openxmlformats.org/officeDocument/2006/relationships/hyperlink" Target="https://www.163.com/dy/article/DPVGIOAD0514MG5I.html" TargetMode="External"/><Relationship Id="rId128" Type="http://schemas.openxmlformats.org/officeDocument/2006/relationships/hyperlink" Target="http://www.rail-transit.com/project/show.php?itemid=76" TargetMode="External"/><Relationship Id="rId127" Type="http://schemas.openxmlformats.org/officeDocument/2006/relationships/hyperlink" Target="https://www.ndrc.gov.cn/fggz/zcssfz/zdgc/201505/t20150518_1146000.html" TargetMode="External"/><Relationship Id="rId369" Type="http://schemas.openxmlformats.org/officeDocument/2006/relationships/hyperlink" Target="https://zfxxgk.ndrc.gov.cn/web/iteminfo.jsp?id=18249" TargetMode="External"/><Relationship Id="rId126" Type="http://schemas.openxmlformats.org/officeDocument/2006/relationships/hyperlink" Target="https://www.ndrc.gov.cn/xxgk/zcfb/ghwb/201908/W020190905497973740066.pdf" TargetMode="External"/><Relationship Id="rId368" Type="http://schemas.openxmlformats.org/officeDocument/2006/relationships/hyperlink" Target="http://www.rail-transit.com/project/show.php?itemid=669" TargetMode="External"/><Relationship Id="rId121" Type="http://schemas.openxmlformats.org/officeDocument/2006/relationships/hyperlink" Target="https://www.ndrc.gov.cn/xxgk/zcfb/ghwb/201908/W020190905497973740066.pdf" TargetMode="External"/><Relationship Id="rId363" Type="http://schemas.openxmlformats.org/officeDocument/2006/relationships/hyperlink" Target="http://www.rail-transit.com/project/show.php?itemid=140" TargetMode="External"/><Relationship Id="rId120" Type="http://schemas.openxmlformats.org/officeDocument/2006/relationships/hyperlink" Target="https://www.ndrc.gov.cn/xxgk/zcfb/ghwb/201908/W020190905497973740066.pdf" TargetMode="External"/><Relationship Id="rId362" Type="http://schemas.openxmlformats.org/officeDocument/2006/relationships/hyperlink" Target="http://sd.sina.com.cn/news/2018-04-12/detail-ifyzeyqa8611820.shtml" TargetMode="External"/><Relationship Id="rId361" Type="http://schemas.openxmlformats.org/officeDocument/2006/relationships/hyperlink" Target="http://www.sasac.gov.cn/n2588025/n2588124/c8918136/content.html" TargetMode="External"/><Relationship Id="rId360" Type="http://schemas.openxmlformats.org/officeDocument/2006/relationships/hyperlink" Target="http://www.rail-transit.com/project/show.php?itemid=532" TargetMode="External"/><Relationship Id="rId125" Type="http://schemas.openxmlformats.org/officeDocument/2006/relationships/hyperlink" Target="https://www.ndrc.gov.cn/xxgk/zcfb/ghwb/201908/W020190905497973740066.pdf" TargetMode="External"/><Relationship Id="rId367" Type="http://schemas.openxmlformats.org/officeDocument/2006/relationships/hyperlink" Target="https://zfxxgk.ndrc.gov.cn/web/iteminfo.jsp?id=18249" TargetMode="External"/><Relationship Id="rId124" Type="http://schemas.openxmlformats.org/officeDocument/2006/relationships/hyperlink" Target="https://www.ndrc.gov.cn/xxgk/zcfb/ghwb/201908/W020190905497973740066.pdf" TargetMode="External"/><Relationship Id="rId366" Type="http://schemas.openxmlformats.org/officeDocument/2006/relationships/hyperlink" Target="http://www.rail-transit.com/project/show.php?itemid=400" TargetMode="External"/><Relationship Id="rId123" Type="http://schemas.openxmlformats.org/officeDocument/2006/relationships/hyperlink" Target="https://www.ndrc.gov.cn/xxgk/zcfb/ghwb/201908/W020190905497973740066.pdf" TargetMode="External"/><Relationship Id="rId365" Type="http://schemas.openxmlformats.org/officeDocument/2006/relationships/hyperlink" Target="http://www.rail-transit.com/project/show.php?itemid=187" TargetMode="External"/><Relationship Id="rId122" Type="http://schemas.openxmlformats.org/officeDocument/2006/relationships/hyperlink" Target="http://www.rail-transit.com/project/show.php?itemid=470" TargetMode="External"/><Relationship Id="rId364" Type="http://schemas.openxmlformats.org/officeDocument/2006/relationships/hyperlink" Target="http://www.rail-transit.com/project/show.php?itemid=229" TargetMode="External"/><Relationship Id="rId95" Type="http://schemas.openxmlformats.org/officeDocument/2006/relationships/hyperlink" Target="https://www.ndrc.gov.cn/fzggw/jgsj/zcs/sjdt/201212/t20121224_1145294.html" TargetMode="External"/><Relationship Id="rId94" Type="http://schemas.openxmlformats.org/officeDocument/2006/relationships/hyperlink" Target="https://www.ndrc.gov.cn/fzggw/jgsj/zcs/sjdt/201212/t20121224_1145294.html" TargetMode="External"/><Relationship Id="rId97" Type="http://schemas.openxmlformats.org/officeDocument/2006/relationships/hyperlink" Target="https://www.ndrc.gov.cn/fzggw/jgsj/zcs/sjdt/201212/t20121224_1145294.html" TargetMode="External"/><Relationship Id="rId96" Type="http://schemas.openxmlformats.org/officeDocument/2006/relationships/hyperlink" Target="https://www.ndrc.gov.cn/fzggw/jgsj/zcs/sjdt/201212/t20121224_1145294.html" TargetMode="External"/><Relationship Id="rId99" Type="http://schemas.openxmlformats.org/officeDocument/2006/relationships/hyperlink" Target="https://www.ndrc.gov.cn/xxgk/zcfb/ghwb/201703/W020190905497919692262.pdf" TargetMode="External"/><Relationship Id="rId98" Type="http://schemas.openxmlformats.org/officeDocument/2006/relationships/hyperlink" Target="https://www.ndrc.gov.cn/xxgk/zcfb/ghwb/201703/t20170323_962232.html" TargetMode="External"/><Relationship Id="rId91" Type="http://schemas.openxmlformats.org/officeDocument/2006/relationships/hyperlink" Target="http://www.chinanews.com/gn/news/2009/02-11/1558424.shtml" TargetMode="External"/><Relationship Id="rId90" Type="http://schemas.openxmlformats.org/officeDocument/2006/relationships/hyperlink" Target="https://www.ndrc.gov.cn/xxgk/zcfb/tz/201812/W020190905514226164270.pdf" TargetMode="External"/><Relationship Id="rId93" Type="http://schemas.openxmlformats.org/officeDocument/2006/relationships/hyperlink" Target="https://www.sohu.com/a/237588900_683466" TargetMode="External"/><Relationship Id="rId92" Type="http://schemas.openxmlformats.org/officeDocument/2006/relationships/hyperlink" Target="http://www.hncsmtr.com/jsdt/gcgk/2033/14944654790008899_1.html" TargetMode="External"/><Relationship Id="rId118" Type="http://schemas.openxmlformats.org/officeDocument/2006/relationships/hyperlink" Target="https://www.chengdurail.com/detail/7247.html" TargetMode="External"/><Relationship Id="rId117" Type="http://schemas.openxmlformats.org/officeDocument/2006/relationships/hyperlink" Target="https://www.ndrc.gov.cn/fggz/zcssfz/zdgc/201607/W020190910671924062945.pdf" TargetMode="External"/><Relationship Id="rId359" Type="http://schemas.openxmlformats.org/officeDocument/2006/relationships/hyperlink" Target="http://www.rail-transit.com/project/show.php?itemid=236" TargetMode="External"/><Relationship Id="rId116" Type="http://schemas.openxmlformats.org/officeDocument/2006/relationships/hyperlink" Target="https://www.ndrc.gov.cn/fggz/zcssfz/zdgc/201505/t20150518_1146000.html" TargetMode="External"/><Relationship Id="rId358" Type="http://schemas.openxmlformats.org/officeDocument/2006/relationships/hyperlink" Target="http://www.rail-transit.com/project/show.php?itemid=503" TargetMode="External"/><Relationship Id="rId115" Type="http://schemas.openxmlformats.org/officeDocument/2006/relationships/hyperlink" Target="https://www.ndrc.gov.cn/fggz/zcssfz/zdgc/201505/t20150518_1146000.html" TargetMode="External"/><Relationship Id="rId357" Type="http://schemas.openxmlformats.org/officeDocument/2006/relationships/hyperlink" Target="http://www.rail-transit.com/project/show.php?itemid=554" TargetMode="External"/><Relationship Id="rId599" Type="http://schemas.openxmlformats.org/officeDocument/2006/relationships/hyperlink" Target="https://www.railjournal.com/passenger/metros/prague-opens-metro-line-a-western-extension/" TargetMode="External"/><Relationship Id="rId119" Type="http://schemas.openxmlformats.org/officeDocument/2006/relationships/hyperlink" Target="https://www.ndrc.gov.cn/xxgk/zcfb/ghwb/201908/W020190905497973740066.pdf" TargetMode="External"/><Relationship Id="rId110" Type="http://schemas.openxmlformats.org/officeDocument/2006/relationships/hyperlink" Target="http://www.rail-transit.com/project/show.php?itemid=291" TargetMode="External"/><Relationship Id="rId352" Type="http://schemas.openxmlformats.org/officeDocument/2006/relationships/hyperlink" Target="http://www.rail-transit.com/project/show.php?itemid=320" TargetMode="External"/><Relationship Id="rId594" Type="http://schemas.openxmlformats.org/officeDocument/2006/relationships/hyperlink" Target="https://www.ndrc.gov.cn/fggz/zcssfz/zcgh/201904/W020190910670741123314.pdf" TargetMode="External"/><Relationship Id="rId351" Type="http://schemas.openxmlformats.org/officeDocument/2006/relationships/hyperlink" Target="http://www.rail-transit.com/project/show.php?itemid=339" TargetMode="External"/><Relationship Id="rId593" Type="http://schemas.openxmlformats.org/officeDocument/2006/relationships/hyperlink" Target="https://www.ndrc.gov.cn/fggz/zcssfz/zcgh/201904/W020190910670741123314.pdf" TargetMode="External"/><Relationship Id="rId350" Type="http://schemas.openxmlformats.org/officeDocument/2006/relationships/hyperlink" Target="http://www.rail-transit.com/project/show.php?itemid=56" TargetMode="External"/><Relationship Id="rId592" Type="http://schemas.openxmlformats.org/officeDocument/2006/relationships/hyperlink" Target="http://www.rail-transit.com/project/show.php?itemid=458" TargetMode="External"/><Relationship Id="rId591" Type="http://schemas.openxmlformats.org/officeDocument/2006/relationships/hyperlink" Target="https://www.163.com/dy/article/GDQSS29P0530L2T3.html" TargetMode="External"/><Relationship Id="rId114" Type="http://schemas.openxmlformats.org/officeDocument/2006/relationships/hyperlink" Target="https://www.ndrc.gov.cn/fggz/zcssfz/zdgc/201505/t20150518_1146000.html" TargetMode="External"/><Relationship Id="rId356" Type="http://schemas.openxmlformats.org/officeDocument/2006/relationships/hyperlink" Target="http://www.rail-transit.com/project/show.php?itemid=273" TargetMode="External"/><Relationship Id="rId598" Type="http://schemas.openxmlformats.org/officeDocument/2006/relationships/hyperlink" Target="https://zpravy.aktualne.cz/czk-15bn-prague-metro-extension-ends-in-a-field/r~i:article:630675/" TargetMode="External"/><Relationship Id="rId113" Type="http://schemas.openxmlformats.org/officeDocument/2006/relationships/hyperlink" Target="https://www.ndrc.gov.cn/fggz/zcssfz/zdgc/201505/t20150518_1146000.html" TargetMode="External"/><Relationship Id="rId355" Type="http://schemas.openxmlformats.org/officeDocument/2006/relationships/hyperlink" Target="http://www.cnnb.com.cn/dwhzlm/system/2013/11/15/007905106.shtml" TargetMode="External"/><Relationship Id="rId597" Type="http://schemas.openxmlformats.org/officeDocument/2006/relationships/hyperlink" Target="https://paginaweb.metrodebogota.gov.co/?q=node/264" TargetMode="External"/><Relationship Id="rId112" Type="http://schemas.openxmlformats.org/officeDocument/2006/relationships/hyperlink" Target="https://www.ndrc.gov.cn/fggz/zcssfz/zdgc/201505/t20150518_1146000.html" TargetMode="External"/><Relationship Id="rId354" Type="http://schemas.openxmlformats.org/officeDocument/2006/relationships/hyperlink" Target="http://www.rail-transit.com/project/show.php?itemid=282" TargetMode="External"/><Relationship Id="rId596" Type="http://schemas.openxmlformats.org/officeDocument/2006/relationships/hyperlink" Target="http://www.rail-transit.com/project/show.php?itemid=117" TargetMode="External"/><Relationship Id="rId111" Type="http://schemas.openxmlformats.org/officeDocument/2006/relationships/hyperlink" Target="https://www.ndrc.gov.cn/fggz/zcssfz/zdgc/201505/t20150518_1146000.html" TargetMode="External"/><Relationship Id="rId353" Type="http://schemas.openxmlformats.org/officeDocument/2006/relationships/hyperlink" Target="http://promeechina.com/newsinfo.html?id=27" TargetMode="External"/><Relationship Id="rId595" Type="http://schemas.openxmlformats.org/officeDocument/2006/relationships/hyperlink" Target="https://www.ndrc.gov.cn/fggz/zcssfz/zcgh/201904/W020190910670741123314.pdf" TargetMode="External"/><Relationship Id="rId305" Type="http://schemas.openxmlformats.org/officeDocument/2006/relationships/hyperlink" Target="http://zfxxgk.ndrc.gov.cn/web/iteminfo.jsp?id=316" TargetMode="External"/><Relationship Id="rId547" Type="http://schemas.openxmlformats.org/officeDocument/2006/relationships/hyperlink" Target="https://www.ndrc.gov.cn/xxgk/zcfb/ghwb/201602/t20160218_962174.html" TargetMode="External"/><Relationship Id="rId789" Type="http://schemas.openxmlformats.org/officeDocument/2006/relationships/hyperlink" Target="https://ourauckland.aucklandcouncil.govt.nz/articles/news/2019/04/revised-cost-for-city-rail-link/" TargetMode="External"/><Relationship Id="rId304" Type="http://schemas.openxmlformats.org/officeDocument/2006/relationships/hyperlink" Target="http://zfxxgk.ndrc.gov.cn/web/iteminfo.jsp?id=316" TargetMode="External"/><Relationship Id="rId546" Type="http://schemas.openxmlformats.org/officeDocument/2006/relationships/hyperlink" Target="http://www.rail-transit.com/project/show.php?itemid=110" TargetMode="External"/><Relationship Id="rId788" Type="http://schemas.openxmlformats.org/officeDocument/2006/relationships/hyperlink" Target="https://www.nrk.no/osloogviken/fornebubanen-er-vedtatt-i-oslo-bystyre-1.16010843" TargetMode="External"/><Relationship Id="rId303" Type="http://schemas.openxmlformats.org/officeDocument/2006/relationships/hyperlink" Target="http://zfxxgk.ndrc.gov.cn/web/iteminfo.jsp?id=316" TargetMode="External"/><Relationship Id="rId545" Type="http://schemas.openxmlformats.org/officeDocument/2006/relationships/hyperlink" Target="http://www.rail-transit.com/project/show.php?itemid=244" TargetMode="External"/><Relationship Id="rId787" Type="http://schemas.openxmlformats.org/officeDocument/2006/relationships/hyperlink" Target="https://www.railwaygazette.com/l%C3%B8renbanen-opens-in-oslo/42312.article" TargetMode="External"/><Relationship Id="rId302" Type="http://schemas.openxmlformats.org/officeDocument/2006/relationships/hyperlink" Target="http://www.jiangxi.gov.cn/art/2018/8/16/art_4985_350163.html" TargetMode="External"/><Relationship Id="rId544" Type="http://schemas.openxmlformats.org/officeDocument/2006/relationships/hyperlink" Target="http://www.rail-transit.com/project/show.php?itemid=290" TargetMode="External"/><Relationship Id="rId786" Type="http://schemas.openxmlformats.org/officeDocument/2006/relationships/hyperlink" Target="https://www.at5.nl/artikelen/184604/zaterdag-noordzuidlijn-eindelijk-open-de-opvallendste-feiten" TargetMode="External"/><Relationship Id="rId309" Type="http://schemas.openxmlformats.org/officeDocument/2006/relationships/hyperlink" Target="https://baike.baidu.com/item/%E5%8D%97%E4%BA%AC%E5%9C%B0%E9%93%811%E5%8F%B7%E7%BA%BF" TargetMode="External"/><Relationship Id="rId308" Type="http://schemas.openxmlformats.org/officeDocument/2006/relationships/hyperlink" Target="http://www.rail-transit.com/project/show.php?itemid=392" TargetMode="External"/><Relationship Id="rId307" Type="http://schemas.openxmlformats.org/officeDocument/2006/relationships/hyperlink" Target="http://www.rail-transit.com/project/show.php?itemid=391" TargetMode="External"/><Relationship Id="rId549" Type="http://schemas.openxmlformats.org/officeDocument/2006/relationships/hyperlink" Target="http://www.rail-transit.com/project/show.php?itemid=440" TargetMode="External"/><Relationship Id="rId306" Type="http://schemas.openxmlformats.org/officeDocument/2006/relationships/hyperlink" Target="http://www.rail-transit.com/project/show.php?itemid=206" TargetMode="External"/><Relationship Id="rId548" Type="http://schemas.openxmlformats.org/officeDocument/2006/relationships/hyperlink" Target="http://www.rail-transit.com/project/show.php?itemid=276" TargetMode="External"/><Relationship Id="rId781" Type="http://schemas.openxmlformats.org/officeDocument/2006/relationships/hyperlink" Target="https://www.railjournal.com/passenger/metros/kuwait-announces-details-of-metro-project/" TargetMode="External"/><Relationship Id="rId780" Type="http://schemas.openxmlformats.org/officeDocument/2006/relationships/hyperlink" Target="https://www.researchgate.net/publication/270429893_Delivery_of_subway_line_9_in_Seoul_South_Korea_-_lessons_in_public-private_partnering" TargetMode="External"/><Relationship Id="rId301" Type="http://schemas.openxmlformats.org/officeDocument/2006/relationships/hyperlink" Target="http://www.rail-transit.com/project/show.php?itemid=164" TargetMode="External"/><Relationship Id="rId543" Type="http://schemas.openxmlformats.org/officeDocument/2006/relationships/hyperlink" Target="https://www.ndrc.gov.cn/fzggw/jgsj/zcs/sjdt/201401/t20140102_1145411.html" TargetMode="External"/><Relationship Id="rId785" Type="http://schemas.openxmlformats.org/officeDocument/2006/relationships/hyperlink" Target="https://www.thestar.com.my/business/business-news/2020/01/17/mrt-2-at-70-completion-guan-eng-says" TargetMode="External"/><Relationship Id="rId300" Type="http://schemas.openxmlformats.org/officeDocument/2006/relationships/hyperlink" Target="http://www.rail-transit.com/project/show.php?itemid=241" TargetMode="External"/><Relationship Id="rId542" Type="http://schemas.openxmlformats.org/officeDocument/2006/relationships/hyperlink" Target="http://xa.bendibao.com/traffic/2014913/45825.shtm" TargetMode="External"/><Relationship Id="rId784" Type="http://schemas.openxmlformats.org/officeDocument/2006/relationships/hyperlink" Target="https://www.nst.com.my/news/nation/2017/07/258054/sbk-mrt-proud-achievement-which-will-save-commuters-cost-time-pm" TargetMode="External"/><Relationship Id="rId541" Type="http://schemas.openxmlformats.org/officeDocument/2006/relationships/hyperlink" Target="http://chinawestern.org/xbfz/jcss/3635.html" TargetMode="External"/><Relationship Id="rId783" Type="http://schemas.openxmlformats.org/officeDocument/2006/relationships/hyperlink" Target="http://www.elfinanciero.com.mx/nacional/linea-12-costara-mas-que-el-tren-mexico-queretaro" TargetMode="External"/><Relationship Id="rId540" Type="http://schemas.openxmlformats.org/officeDocument/2006/relationships/hyperlink" Target="https://www.sohu.com/a/110615261_160914" TargetMode="External"/><Relationship Id="rId782" Type="http://schemas.openxmlformats.org/officeDocument/2006/relationships/hyperlink" Target="https://www.eleconomista.com.mx/estados/Linea-3-arriba-78-de-su-costo-20200121-0023.html" TargetMode="External"/><Relationship Id="rId536" Type="http://schemas.openxmlformats.org/officeDocument/2006/relationships/hyperlink" Target="http://www.rail-transit.com/xinwen/show.php?itemid=23315" TargetMode="External"/><Relationship Id="rId778" Type="http://schemas.openxmlformats.org/officeDocument/2006/relationships/hyperlink" Target="http://engdaily.com/news/articleView.html?idxno=14873" TargetMode="External"/><Relationship Id="rId535" Type="http://schemas.openxmlformats.org/officeDocument/2006/relationships/hyperlink" Target="http://www.rail-transit.com/project/show.php?itemid=100" TargetMode="External"/><Relationship Id="rId777" Type="http://schemas.openxmlformats.org/officeDocument/2006/relationships/hyperlink" Target="http://engdaily.com/news/articleView.html?idxno=14873" TargetMode="External"/><Relationship Id="rId534" Type="http://schemas.openxmlformats.org/officeDocument/2006/relationships/hyperlink" Target="http://www.rail-transit.com/project/show.php?itemid=283" TargetMode="External"/><Relationship Id="rId776" Type="http://schemas.openxmlformats.org/officeDocument/2006/relationships/hyperlink" Target="http://www.incheonin.com/news/articleView.html?idxno=86255" TargetMode="External"/><Relationship Id="rId533" Type="http://schemas.openxmlformats.org/officeDocument/2006/relationships/hyperlink" Target="https://www.audit.gov.cn/n4/n19/c45720/content.html" TargetMode="External"/><Relationship Id="rId775" Type="http://schemas.openxmlformats.org/officeDocument/2006/relationships/hyperlink" Target="http://www.redaily.co.kr/news/articleView.html?idxno=571" TargetMode="External"/><Relationship Id="rId539" Type="http://schemas.openxmlformats.org/officeDocument/2006/relationships/hyperlink" Target="http://www.shaanxi.gov.cn/xw/sxyw/201309/t20130915_1497525.html" TargetMode="External"/><Relationship Id="rId538" Type="http://schemas.openxmlformats.org/officeDocument/2006/relationships/hyperlink" Target="https://www.sohu.com/a/110615261_160914" TargetMode="External"/><Relationship Id="rId537" Type="http://schemas.openxmlformats.org/officeDocument/2006/relationships/hyperlink" Target="https://www.seetao.com/details/158417.html" TargetMode="External"/><Relationship Id="rId779" Type="http://schemas.openxmlformats.org/officeDocument/2006/relationships/hyperlink" Target="http://engdaily.com/news/articleView.html?idxno=14873" TargetMode="External"/><Relationship Id="rId770" Type="http://schemas.openxmlformats.org/officeDocument/2006/relationships/hyperlink" Target="https://www.yna.co.kr/view/AKR20220112075600060" TargetMode="External"/><Relationship Id="rId532" Type="http://schemas.openxmlformats.org/officeDocument/2006/relationships/hyperlink" Target="http://www.rail-transit.com/project/show.php?itemid=234" TargetMode="External"/><Relationship Id="rId774" Type="http://schemas.openxmlformats.org/officeDocument/2006/relationships/hyperlink" Target="http://news1.kr/articles/?3552208" TargetMode="External"/><Relationship Id="rId531" Type="http://schemas.openxmlformats.org/officeDocument/2006/relationships/hyperlink" Target="http://www.rail-transit.com/project/show.php?itemid=308" TargetMode="External"/><Relationship Id="rId773" Type="http://schemas.openxmlformats.org/officeDocument/2006/relationships/hyperlink" Target="https://www.yna.co.kr/view/AKR20190822028500003" TargetMode="External"/><Relationship Id="rId530"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772" Type="http://schemas.openxmlformats.org/officeDocument/2006/relationships/hyperlink" Target="https://biz.chosun.com/policy/policy_sub/2021/10/05/EY5IMDNIDZAGHLQO7KIGLMGBQQ/" TargetMode="External"/><Relationship Id="rId771" Type="http://schemas.openxmlformats.org/officeDocument/2006/relationships/hyperlink" Target="https://www.donga.com/news/Society/article/all/20201227/104655671/1" TargetMode="External"/><Relationship Id="rId327" Type="http://schemas.openxmlformats.org/officeDocument/2006/relationships/hyperlink" Target="http://www.rail-transit.com/project/show.php?itemid=265" TargetMode="External"/><Relationship Id="rId569" Type="http://schemas.openxmlformats.org/officeDocument/2006/relationships/hyperlink" Target="http://www.rail-transit.com/project/show.php?itemid=622" TargetMode="External"/><Relationship Id="rId326" Type="http://schemas.openxmlformats.org/officeDocument/2006/relationships/hyperlink" Target="http://www.rail-transit.com/project/show.php?itemid=188" TargetMode="External"/><Relationship Id="rId568" Type="http://schemas.openxmlformats.org/officeDocument/2006/relationships/hyperlink" Target="http://www.rail-transit.com/project/show.php?itemid=622" TargetMode="External"/><Relationship Id="rId325" Type="http://schemas.openxmlformats.org/officeDocument/2006/relationships/hyperlink" Target="https://www.chinanews.com.cn/n/2003-01-14/26/263383.html" TargetMode="External"/><Relationship Id="rId567" Type="http://schemas.openxmlformats.org/officeDocument/2006/relationships/hyperlink" Target="http://www.rail-transit.com/project/show.php?itemid=658" TargetMode="External"/><Relationship Id="rId324" Type="http://schemas.openxmlformats.org/officeDocument/2006/relationships/hyperlink" Target="http://www.gov.cn/jrzg/2005-12/28/content_140207.htm" TargetMode="External"/><Relationship Id="rId566" Type="http://schemas.openxmlformats.org/officeDocument/2006/relationships/hyperlink" Target="http://www.rail-transit.com/project/show.php?itemid=622" TargetMode="External"/><Relationship Id="rId329" Type="http://schemas.openxmlformats.org/officeDocument/2006/relationships/hyperlink" Target="http://www.rail-transit.com/project/show.php?itemid=605" TargetMode="External"/><Relationship Id="rId328" Type="http://schemas.openxmlformats.org/officeDocument/2006/relationships/hyperlink" Target="http://www.rail-transit.com/project/show.php?itemid=105" TargetMode="External"/><Relationship Id="rId561" Type="http://schemas.openxmlformats.org/officeDocument/2006/relationships/hyperlink" Target="https://www.ndrc.gov.cn/fggz/zcssfz/zdgc/201209/t20120905_1145854.html" TargetMode="External"/><Relationship Id="rId560" Type="http://schemas.openxmlformats.org/officeDocument/2006/relationships/hyperlink" Target="http://news.sina.com.cn/c/nd/2017-12-27/doc-ifyqchnr6264675.shtml" TargetMode="External"/><Relationship Id="rId323" Type="http://schemas.openxmlformats.org/officeDocument/2006/relationships/hyperlink" Target="http://www.rail-transit.com/project/show.php?itemid=331" TargetMode="External"/><Relationship Id="rId565" Type="http://schemas.openxmlformats.org/officeDocument/2006/relationships/hyperlink" Target="http://www.gov.cn/xinwen/2016-10/13/5118393/files/fc4eeffb973d4e0297ef1fb6bcaa4e73.pdf" TargetMode="External"/><Relationship Id="rId322" Type="http://schemas.openxmlformats.org/officeDocument/2006/relationships/hyperlink" Target="http://www.rail-transit.com/project/show.php?itemid=359" TargetMode="External"/><Relationship Id="rId564" Type="http://schemas.openxmlformats.org/officeDocument/2006/relationships/hyperlink" Target="http://www.gov.cn/xinwen/2016-10/13/5118393/files/fc4eeffb973d4e0297ef1fb6bcaa4e73.pdf" TargetMode="External"/><Relationship Id="rId321" Type="http://schemas.openxmlformats.org/officeDocument/2006/relationships/hyperlink" Target="http://www.rail-transit.com/project/show.php?itemid=205" TargetMode="External"/><Relationship Id="rId563" Type="http://schemas.openxmlformats.org/officeDocument/2006/relationships/hyperlink" Target="http://www.gov.cn/xinwen/2016-10/13/5118393/files/fc4eeffb973d4e0297ef1fb6bcaa4e73.pdf" TargetMode="External"/><Relationship Id="rId320" Type="http://schemas.openxmlformats.org/officeDocument/2006/relationships/hyperlink" Target="http://www.xhby.net/nj/yw/202107/t20210707_7149440.shtml" TargetMode="External"/><Relationship Id="rId562" Type="http://schemas.openxmlformats.org/officeDocument/2006/relationships/hyperlink" Target="http://www.gov.cn/xinwen/2016-10/13/5118393/files/fc4eeffb973d4e0297ef1fb6bcaa4e73.pdf" TargetMode="External"/><Relationship Id="rId316" Type="http://schemas.openxmlformats.org/officeDocument/2006/relationships/hyperlink" Target="https://www.ndrc.gov.cn/fggz/zcssfz/zcgh/201505/W020190910670534928118.pdf" TargetMode="External"/><Relationship Id="rId558" Type="http://schemas.openxmlformats.org/officeDocument/2006/relationships/hyperlink" Target="https://www.ndrc.gov.cn/fggz/zcssfz/zdgc/201209/t20120905_1145854.html" TargetMode="External"/><Relationship Id="rId315" Type="http://schemas.openxmlformats.org/officeDocument/2006/relationships/hyperlink" Target="http://www.rail-transit.com/project/show.php?itemid=365" TargetMode="External"/><Relationship Id="rId557" Type="http://schemas.openxmlformats.org/officeDocument/2006/relationships/hyperlink" Target="https://www.ndrc.gov.cn/fggz/zcssfz/zcgh/201907/W020190910670748591840.pdf" TargetMode="External"/><Relationship Id="rId799" Type="http://schemas.openxmlformats.org/officeDocument/2006/relationships/hyperlink" Target="https://www.transport-publiczny.pl/mobile/rusza-drazenie-tuneli-w-lodzi-tunele-wykonaja-katarzyna-i-faustyna-67079.html" TargetMode="External"/><Relationship Id="rId314" Type="http://schemas.openxmlformats.org/officeDocument/2006/relationships/hyperlink" Target="https://www.ndrc.gov.cn/fggz/zcssfz/zcgh/201505/W020190910670534928118.pdf" TargetMode="External"/><Relationship Id="rId556" Type="http://schemas.openxmlformats.org/officeDocument/2006/relationships/hyperlink" Target="https://www.ndrc.gov.cn/fggz/zcssfz/zcgh/201907/W020190910670748591840.pdf" TargetMode="External"/><Relationship Id="rId798" Type="http://schemas.openxmlformats.org/officeDocument/2006/relationships/hyperlink" Target="https://dailytimes.com.pk/470024/punjab-drops-plan-to-connect-orange-line-train-with-metro-bus-railway-station/" TargetMode="External"/><Relationship Id="rId313" Type="http://schemas.openxmlformats.org/officeDocument/2006/relationships/hyperlink" Target="https://www.sohu.com/a/237588900_683466" TargetMode="External"/><Relationship Id="rId555" Type="http://schemas.openxmlformats.org/officeDocument/2006/relationships/hyperlink" Target="https://www.ndrc.gov.cn/fggz/zcssfz/zcgh/201907/W020190910670748591840.pdf" TargetMode="External"/><Relationship Id="rId797" Type="http://schemas.openxmlformats.org/officeDocument/2006/relationships/hyperlink" Target="https://newsinfo.inquirer.net/1211139/mrt-4-project-targeted-for-completion-in-2025" TargetMode="External"/><Relationship Id="rId319" Type="http://schemas.openxmlformats.org/officeDocument/2006/relationships/hyperlink" Target="http://www.rail-transit.com/project/show.php?itemid=347" TargetMode="External"/><Relationship Id="rId318" Type="http://schemas.openxmlformats.org/officeDocument/2006/relationships/hyperlink" Target="http://www.rail-transit.com/project/show.php?itemid=329" TargetMode="External"/><Relationship Id="rId317" Type="http://schemas.openxmlformats.org/officeDocument/2006/relationships/hyperlink" Target="https://www.ndrc.gov.cn/xxgk/zcfb/ghwb/201611/W020190905497856961234.pdf" TargetMode="External"/><Relationship Id="rId559" Type="http://schemas.openxmlformats.org/officeDocument/2006/relationships/hyperlink" Target="https://www.ndrc.gov.cn/fggz/zcssfz/zdgc/201209/t20120905_1145854.html" TargetMode="External"/><Relationship Id="rId550" Type="http://schemas.openxmlformats.org/officeDocument/2006/relationships/hyperlink" Target="http://www.rail-transit.com/project/show.php?itemid=448" TargetMode="External"/><Relationship Id="rId792" Type="http://schemas.openxmlformats.org/officeDocument/2006/relationships/hyperlink" Target="https://www.prensa.com/economia/costo-del-monorriel-de-la-linea-3-se-dispara-de-2844-a-4000-millones/" TargetMode="External"/><Relationship Id="rId791" Type="http://schemas.openxmlformats.org/officeDocument/2006/relationships/hyperlink" Target="https://www.railjournal.com/regions/central-south-america/panama-city-metro-line-2-inaugurated/" TargetMode="External"/><Relationship Id="rId790" Type="http://schemas.openxmlformats.org/officeDocument/2006/relationships/hyperlink" Target="http://elsiglo.com.pa/panama/justifican-costo-linea-1-metro/23828270" TargetMode="External"/><Relationship Id="rId312" Type="http://schemas.openxmlformats.org/officeDocument/2006/relationships/hyperlink" Target="https://www.163.com/dy/article/EDJQN1JG0511K4OT.html" TargetMode="External"/><Relationship Id="rId554" Type="http://schemas.openxmlformats.org/officeDocument/2006/relationships/hyperlink" Target="http://www.rail-transit.com/project/show.php?itemid=314" TargetMode="External"/><Relationship Id="rId796" Type="http://schemas.openxmlformats.org/officeDocument/2006/relationships/hyperlink" Target="https://rappler.com/business/construction-metro-manila-subway-begins-february-2019" TargetMode="External"/><Relationship Id="rId311" Type="http://schemas.openxmlformats.org/officeDocument/2006/relationships/hyperlink" Target="https://kmcha.com/similar/%E5%AF%A7%E5%A4%A9%E5%9F%8E%E9%9A%9B%E8%BB%8C%E9%81%93" TargetMode="External"/><Relationship Id="rId553" Type="http://schemas.openxmlformats.org/officeDocument/2006/relationships/hyperlink" Target="http://news.hsw.cn/system/2016/1102/522665.shtml" TargetMode="External"/><Relationship Id="rId795" Type="http://schemas.openxmlformats.org/officeDocument/2006/relationships/hyperlink" Target="https://news.abs-cbn.com/business/multimedia/infographic/07/27/18/the-makati-subway" TargetMode="External"/><Relationship Id="rId310" Type="http://schemas.openxmlformats.org/officeDocument/2006/relationships/hyperlink" Target="https://news.sina.com.tw/article/20140812/13098521.html" TargetMode="External"/><Relationship Id="rId552" Type="http://schemas.openxmlformats.org/officeDocument/2006/relationships/hyperlink" Target="http://www.rail-transit.com/project/show.php?itemid=504" TargetMode="External"/><Relationship Id="rId794" Type="http://schemas.openxmlformats.org/officeDocument/2006/relationships/hyperlink" Target="https://www.railwaygazette.com/news/single-view/view/manila-metro-line-7-breaks-ground.html" TargetMode="External"/><Relationship Id="rId551" Type="http://schemas.openxmlformats.org/officeDocument/2006/relationships/hyperlink" Target="https://www.ndrc.gov.cn/fggz/zcssfz/zcgh/201907/W020190910670748591840.pdf" TargetMode="External"/><Relationship Id="rId793" Type="http://schemas.openxmlformats.org/officeDocument/2006/relationships/hyperlink" Target="https://projects.worldbank.org/en/projects-operations/project-detail/P145610" TargetMode="External"/><Relationship Id="rId297" Type="http://schemas.openxmlformats.org/officeDocument/2006/relationships/hyperlink" Target="https://yn.leju.com/news/2020-07-03/17306684750030261506576.shtml" TargetMode="External"/><Relationship Id="rId296" Type="http://schemas.openxmlformats.org/officeDocument/2006/relationships/hyperlink" Target="https://www.kankanyn.com/jianwen/34919.html" TargetMode="External"/><Relationship Id="rId295" Type="http://schemas.openxmlformats.org/officeDocument/2006/relationships/hyperlink" Target="https://www.kankanyn.com/jianwen/34919.html" TargetMode="External"/><Relationship Id="rId294" Type="http://schemas.openxmlformats.org/officeDocument/2006/relationships/hyperlink" Target="https://www.kankanyn.com/jianwen/34919.html" TargetMode="External"/><Relationship Id="rId299" Type="http://schemas.openxmlformats.org/officeDocument/2006/relationships/hyperlink" Target="http://www.rail-transit.com/project/show.php?itemid=167" TargetMode="External"/><Relationship Id="rId298" Type="http://schemas.openxmlformats.org/officeDocument/2006/relationships/hyperlink" Target="http://www.rail-transit.com/project/show.php?itemid=419" TargetMode="External"/><Relationship Id="rId271" Type="http://schemas.openxmlformats.org/officeDocument/2006/relationships/hyperlink" Target="http://www.rail-transit.com/project/show.php?itemid=66" TargetMode="External"/><Relationship Id="rId270" Type="http://schemas.openxmlformats.org/officeDocument/2006/relationships/hyperlink" Target="http://www.rail-transit.com/project/show.php?itemid=564" TargetMode="External"/><Relationship Id="rId269" Type="http://schemas.openxmlformats.org/officeDocument/2006/relationships/hyperlink" Target="http://www.rail-transit.com/project/show.php?itemid=563" TargetMode="External"/><Relationship Id="rId264" Type="http://schemas.openxmlformats.org/officeDocument/2006/relationships/hyperlink" Target="http://www.rail-transit.com/project/show.php?itemid=212" TargetMode="External"/><Relationship Id="rId263" Type="http://schemas.openxmlformats.org/officeDocument/2006/relationships/hyperlink" Target="https://web.archive.org/web/20160509075613/http://www.harbin-metro.com/system/20160418/000002978.html" TargetMode="External"/><Relationship Id="rId262" Type="http://schemas.openxmlformats.org/officeDocument/2006/relationships/hyperlink" Target="https://web.archive.org/web/20160509075613/http://www.harbin-metro.com/system/20160418/000002978.html" TargetMode="External"/><Relationship Id="rId261" Type="http://schemas.openxmlformats.org/officeDocument/2006/relationships/hyperlink" Target="https://web.archive.org/web/20160509075613/http://www.harbin-metro.com/system/20160418/000002978.html" TargetMode="External"/><Relationship Id="rId268" Type="http://schemas.openxmlformats.org/officeDocument/2006/relationships/hyperlink" Target="https://www.ndrc.gov.cn/xxgk/zcfb/tz/201412/W020190905507203840468.pdf" TargetMode="External"/><Relationship Id="rId267" Type="http://schemas.openxmlformats.org/officeDocument/2006/relationships/hyperlink" Target="http://www.rail-transit.com/project/show.php?itemid=310" TargetMode="External"/><Relationship Id="rId266" Type="http://schemas.openxmlformats.org/officeDocument/2006/relationships/hyperlink" Target="https://www.sohu.com/a/112444814_268310" TargetMode="External"/><Relationship Id="rId265" Type="http://schemas.openxmlformats.org/officeDocument/2006/relationships/hyperlink" Target="http://www.rail-transit.com/project/show.php?itemid=232" TargetMode="External"/><Relationship Id="rId260" Type="http://schemas.openxmlformats.org/officeDocument/2006/relationships/hyperlink" Target="https://web.archive.org/web/20160509075613/http://www.harbin-metro.com/system/20160418/000002978.html" TargetMode="External"/><Relationship Id="rId259" Type="http://schemas.openxmlformats.org/officeDocument/2006/relationships/hyperlink" Target="http://www.gov.cn/jrzg/2005-12/05/content_118066.htm" TargetMode="External"/><Relationship Id="rId258" Type="http://schemas.openxmlformats.org/officeDocument/2006/relationships/hyperlink" Target="http://www.rail-transit.com/project/show.php?itemid=359" TargetMode="External"/><Relationship Id="rId253" Type="http://schemas.openxmlformats.org/officeDocument/2006/relationships/hyperlink" Target="https://www.cssglw.com/news/635201059257656250.html" TargetMode="External"/><Relationship Id="rId495" Type="http://schemas.openxmlformats.org/officeDocument/2006/relationships/hyperlink" Target="http://www.rail-transit.com/project/show.php?itemid=428" TargetMode="External"/><Relationship Id="rId252" Type="http://schemas.openxmlformats.org/officeDocument/2006/relationships/hyperlink" Target="http://zzhz.zjol.com.cn/05zzhz/system/2008/09/29/009985997.shtml" TargetMode="External"/><Relationship Id="rId494" Type="http://schemas.openxmlformats.org/officeDocument/2006/relationships/hyperlink" Target="https://wenku.baidu.com/view/801ab19a8ad63186bceb19e8b8f67c1cfbd6ee6e.html" TargetMode="External"/><Relationship Id="rId251" Type="http://schemas.openxmlformats.org/officeDocument/2006/relationships/hyperlink" Target="http://www.rail-transit.com/project/show.php?itemid=351" TargetMode="External"/><Relationship Id="rId493" Type="http://schemas.openxmlformats.org/officeDocument/2006/relationships/hyperlink" Target="http://news.enorth.com.cn/system/2021/04/23/051305652.shtml" TargetMode="External"/><Relationship Id="rId250" Type="http://schemas.openxmlformats.org/officeDocument/2006/relationships/hyperlink" Target="http://www.rail-transit.com/project/show.php?itemid=116" TargetMode="External"/><Relationship Id="rId492" Type="http://schemas.openxmlformats.org/officeDocument/2006/relationships/hyperlink" Target="http://www.rail-transit.com/project/show.php?itemid=574" TargetMode="External"/><Relationship Id="rId257" Type="http://schemas.openxmlformats.org/officeDocument/2006/relationships/hyperlink" Target="http://www.rail-transit.com/project/show.php?itemid=270" TargetMode="External"/><Relationship Id="rId499" Type="http://schemas.openxmlformats.org/officeDocument/2006/relationships/hyperlink" Target="http://www.wenzhou.gov.cn/art/2019/3/21/art_1219304_31430838.html" TargetMode="External"/><Relationship Id="rId256" Type="http://schemas.openxmlformats.org/officeDocument/2006/relationships/hyperlink" Target="https://fzggw.zj.gov.cn/art/2017/7/6/art_1599553_30290528.html" TargetMode="External"/><Relationship Id="rId498" Type="http://schemas.openxmlformats.org/officeDocument/2006/relationships/hyperlink" Target="http://www.rail-transit.com/project/show.php?itemid=195" TargetMode="External"/><Relationship Id="rId255" Type="http://schemas.openxmlformats.org/officeDocument/2006/relationships/hyperlink" Target="http://117.149.20.102/zjgcjy/InfoDetail/?InfoID=8a06b8de-a13d-4102-9c58-df3858d9e226&amp;CategoryNum=004001001" TargetMode="External"/><Relationship Id="rId497" Type="http://schemas.openxmlformats.org/officeDocument/2006/relationships/hyperlink" Target="http://www.rail-transit.com/project/show.php?itemid=130" TargetMode="External"/><Relationship Id="rId254" Type="http://schemas.openxmlformats.org/officeDocument/2006/relationships/hyperlink" Target="http://zj.cnr.cn/hzbb/20141013/t20141013_516587545.shtml" TargetMode="External"/><Relationship Id="rId496" Type="http://schemas.openxmlformats.org/officeDocument/2006/relationships/hyperlink" Target="https://web.archive.org/web/20191106163139/http://www.bjgdjs.com/html/2019-09/797.html" TargetMode="External"/><Relationship Id="rId293" Type="http://schemas.openxmlformats.org/officeDocument/2006/relationships/hyperlink" Target="http://www.rail-transit.com/project/show.php?itemid=495" TargetMode="External"/><Relationship Id="rId292" Type="http://schemas.openxmlformats.org/officeDocument/2006/relationships/hyperlink" Target="https://www.kankanyn.com/jianwen/34919.html" TargetMode="External"/><Relationship Id="rId291" Type="http://schemas.openxmlformats.org/officeDocument/2006/relationships/hyperlink" Target="http://zfxxgk.ndrc.gov.cn/web/iteminfo.jsp?id=12400" TargetMode="External"/><Relationship Id="rId290" Type="http://schemas.openxmlformats.org/officeDocument/2006/relationships/hyperlink" Target="https://www.kankanyn.com/jianwen/34919.html" TargetMode="External"/><Relationship Id="rId286" Type="http://schemas.openxmlformats.org/officeDocument/2006/relationships/hyperlink" Target="http://www.rail-transit.com/project/show.php?itemid=617" TargetMode="External"/><Relationship Id="rId285" Type="http://schemas.openxmlformats.org/officeDocument/2006/relationships/hyperlink" Target="http://rail-transit.com/project/show.php?itemid=228" TargetMode="External"/><Relationship Id="rId284" Type="http://schemas.openxmlformats.org/officeDocument/2006/relationships/hyperlink" Target="http://m.iqilu.com/pcarticle/4545295" TargetMode="External"/><Relationship Id="rId283" Type="http://schemas.openxmlformats.org/officeDocument/2006/relationships/hyperlink" Target="http://www.rail-transit.com/project/show.php?itemid=239" TargetMode="External"/><Relationship Id="rId289" Type="http://schemas.openxmlformats.org/officeDocument/2006/relationships/hyperlink" Target="http://zfxxgk.ndrc.gov.cn/web/iteminfo.jsp?id=12400" TargetMode="External"/><Relationship Id="rId288" Type="http://schemas.openxmlformats.org/officeDocument/2006/relationships/hyperlink" Target="http://zfxxgk.ndrc.gov.cn/web/iteminfo.jsp?id=12400" TargetMode="External"/><Relationship Id="rId287" Type="http://schemas.openxmlformats.org/officeDocument/2006/relationships/hyperlink" Target="https://www.kankanyn.com/jianwen/34919.html" TargetMode="External"/><Relationship Id="rId282" Type="http://schemas.openxmlformats.org/officeDocument/2006/relationships/hyperlink" Target="http://www.rail-transit.com/project/show.php?itemid=379" TargetMode="External"/><Relationship Id="rId281" Type="http://schemas.openxmlformats.org/officeDocument/2006/relationships/hyperlink" Target="http://www.rail-transit.com/project/show.php?itemid=230" TargetMode="External"/><Relationship Id="rId280" Type="http://schemas.openxmlformats.org/officeDocument/2006/relationships/hyperlink" Target="http://www.rail-transit.com/project/show.php?itemid=202" TargetMode="External"/><Relationship Id="rId275" Type="http://schemas.openxmlformats.org/officeDocument/2006/relationships/hyperlink" Target="http://www.rail-transit.com/project/show.php?itemid=325" TargetMode="External"/><Relationship Id="rId274" Type="http://schemas.openxmlformats.org/officeDocument/2006/relationships/hyperlink" Target="http://www.rail-transit.com/project/show.php?itemid=706" TargetMode="External"/><Relationship Id="rId273" Type="http://schemas.openxmlformats.org/officeDocument/2006/relationships/hyperlink" Target="http://www.rail-transit.com/project/show.php?itemid=85" TargetMode="External"/><Relationship Id="rId272" Type="http://schemas.openxmlformats.org/officeDocument/2006/relationships/hyperlink" Target="http://www.rail-transit.com/project/show.php?itemid=307" TargetMode="External"/><Relationship Id="rId279" Type="http://schemas.openxmlformats.org/officeDocument/2006/relationships/hyperlink" Target="http://zfxxgk.ndrc.gov.cn/web/iteminfo.jsp?id=16921" TargetMode="External"/><Relationship Id="rId278" Type="http://schemas.openxmlformats.org/officeDocument/2006/relationships/hyperlink" Target="http://zfxxgk.ndrc.gov.cn/web/iteminfo.jsp?id=16921" TargetMode="External"/><Relationship Id="rId277" Type="http://schemas.openxmlformats.org/officeDocument/2006/relationships/hyperlink" Target="http://www.rail-transit.com/project/show.php?itemid=582" TargetMode="External"/><Relationship Id="rId276" Type="http://schemas.openxmlformats.org/officeDocument/2006/relationships/hyperlink" Target="http://www.rail-transit.com/project/show.php?itemid=713" TargetMode="External"/><Relationship Id="rId907" Type="http://schemas.openxmlformats.org/officeDocument/2006/relationships/hyperlink" Target="https://dcist.com/story/22/07/19/silver-line-cost-additional-250-million/" TargetMode="External"/><Relationship Id="rId906" Type="http://schemas.openxmlformats.org/officeDocument/2006/relationships/hyperlink" Target="https://www.theurbanist.org/sound-transit-reveals-new-cost-saving-measures-for-west-seattle-link/" TargetMode="External"/><Relationship Id="rId905" Type="http://schemas.openxmlformats.org/officeDocument/2006/relationships/hyperlink" Target="https://www.theurbanist.org/sound-transit-outlines-everett-link-cost-reductions-bleak-seattle-news/" TargetMode="External"/><Relationship Id="rId904" Type="http://schemas.openxmlformats.org/officeDocument/2006/relationships/hyperlink" Target="https://www.soundtransit.org/sites/default/files/documents/2018-q3-link-light-rail_0.pdf" TargetMode="External"/><Relationship Id="rId909" Type="http://schemas.openxmlformats.org/officeDocument/2006/relationships/hyperlink" Target="https://www.railwaypro.com/wp/tashkent-metro-extension-is-underway/" TargetMode="External"/><Relationship Id="rId908" Type="http://schemas.openxmlformats.org/officeDocument/2006/relationships/hyperlink" Target="http://www.uzbekembassy.in/construction-of-sergeli-metro-line-to-cost-170-1-million/" TargetMode="External"/><Relationship Id="rId903" Type="http://schemas.openxmlformats.org/officeDocument/2006/relationships/hyperlink" Target="https://www.mercurynews.com/2024/03/11/san-jose-bart-extension-price-tag-balloons-once-again-this-time-by-600-million/" TargetMode="External"/><Relationship Id="rId902" Type="http://schemas.openxmlformats.org/officeDocument/2006/relationships/hyperlink" Target="https://www.sfchronicle.com/bayarea/article/Central-Subway-tab-likely-to-grow-by-55M-as-14447857.php" TargetMode="External"/><Relationship Id="rId901" Type="http://schemas.openxmlformats.org/officeDocument/2006/relationships/hyperlink" Target="https://whyy.org/articles/2712/" TargetMode="External"/><Relationship Id="rId900" Type="http://schemas.openxmlformats.org/officeDocument/2006/relationships/hyperlink" Target="https://www.transit.dot.gov/sites/fta.dot.gov/files/2023-03/NY-New-York-Second-Avenue-Subway-Phase-2-NSE-Profile-FY24.pdf" TargetMode="External"/><Relationship Id="rId929" Type="http://schemas.openxmlformats.org/officeDocument/2006/relationships/hyperlink" Target="https://www.kotsu.city.nagoya.jp/jp/pc/ENJOY/TRP0004710.htm" TargetMode="External"/><Relationship Id="rId928" Type="http://schemas.openxmlformats.org/officeDocument/2006/relationships/hyperlink" Target="https://www.kotsu.city.nagoya.jp/jp/pc/ENJOY/TRP0004710.htm" TargetMode="External"/><Relationship Id="rId927" Type="http://schemas.openxmlformats.org/officeDocument/2006/relationships/hyperlink" Target="https://www.kotsu.city.nagoya.jp/jp/pc/ENJOY/TRP0004710.htm" TargetMode="External"/><Relationship Id="rId926" Type="http://schemas.openxmlformats.org/officeDocument/2006/relationships/hyperlink" Target="https://www.kotsu.city.nagoya.jp/jp/pc/ENJOY/TRP0004710.htm" TargetMode="External"/><Relationship Id="rId921" Type="http://schemas.openxmlformats.org/officeDocument/2006/relationships/hyperlink" Target="https://www.city.yokohama.lg.jp/shikai/kiroku/katsudo/r4/JohninSuikouR04.files/J-SK-20220913-kt-14.pdf" TargetMode="External"/><Relationship Id="rId920" Type="http://schemas.openxmlformats.org/officeDocument/2006/relationships/hyperlink" Target="https://www.city.yokohama.lg.jp/shikai/kiroku/katsudo/r4/JohninSuikouR04.files/J-SK-20220913-kt-14.pdf" TargetMode="External"/><Relationship Id="rId925" Type="http://schemas.openxmlformats.org/officeDocument/2006/relationships/hyperlink" Target="https://www.city.yokohama.lg.jp/shikai/kiroku/katsudo/r4/JohninSuikouR04.files/J-SK-20220913-kt-14.pdf" TargetMode="External"/><Relationship Id="rId924" Type="http://schemas.openxmlformats.org/officeDocument/2006/relationships/hyperlink" Target="https://www.city.yokohama.lg.jp/shikai/kiroku/katsudo/r4/JohninSuikouR04.files/J-SK-20220913-kt-14.pdf" TargetMode="External"/><Relationship Id="rId923" Type="http://schemas.openxmlformats.org/officeDocument/2006/relationships/hyperlink" Target="https://www.city.yokohama.lg.jp/shikai/kiroku/katsudo/r4/JohninSuikouR04.files/J-SK-20220913-kt-14.pdf" TargetMode="External"/><Relationship Id="rId922" Type="http://schemas.openxmlformats.org/officeDocument/2006/relationships/hyperlink" Target="https://www.city.yokohama.lg.jp/shikai/kiroku/katsudo/r4/JohninSuikouR04.files/J-SK-20220913-kt-14.pdf" TargetMode="External"/><Relationship Id="rId918" Type="http://schemas.openxmlformats.org/officeDocument/2006/relationships/hyperlink" Target="http://www.renritsukyo.jp/fumikiri/overpass/s30_result/end/awd_myg01.html" TargetMode="External"/><Relationship Id="rId917" Type="http://schemas.openxmlformats.org/officeDocument/2006/relationships/hyperlink" Target="https://web.archive.org/web/20160306165935/http://www.pref.miyagi.jp/uploaded/attachment/44456.pdf" TargetMode="External"/><Relationship Id="rId916" Type="http://schemas.openxmlformats.org/officeDocument/2006/relationships/hyperlink" Target="https://www.kotsu.city.sendai.jp/kigyou/pdf/06nendoban/11.pdf" TargetMode="External"/><Relationship Id="rId915" Type="http://schemas.openxmlformats.org/officeDocument/2006/relationships/hyperlink" Target="http://proxy.library.nyu.edu/login?qurl=https%3A%2F%2Fwww.proquest.com%2Ftrade-journals%2Fsharing-risks-on-londons-light-railway%2Fdocview%2F231162793%2Fse-2%3Faccountid%3D12768." TargetMode="External"/><Relationship Id="rId919" Type="http://schemas.openxmlformats.org/officeDocument/2006/relationships/hyperlink" Target="https://www.city.yokohama.lg.jp/shikai/kiroku/katsudo/r4/JohninSuikouR04.files/J-SK-20220913-kt-14.pdf" TargetMode="External"/><Relationship Id="rId910" Type="http://schemas.openxmlformats.org/officeDocument/2006/relationships/hyperlink" Target="http://saigondautu.com.vn/chu-diem-su-kien/5-du-an-doi-von-khung-61311.html" TargetMode="External"/><Relationship Id="rId914" Type="http://schemas.openxmlformats.org/officeDocument/2006/relationships/hyperlink" Target="https://saigoneer.com/saigon-news/12943-saigon-starts-seeking-investors-for-metro-line-5" TargetMode="External"/><Relationship Id="rId913" Type="http://schemas.openxmlformats.org/officeDocument/2006/relationships/hyperlink" Target="https://e.vnexpress.net/news/news/saigon-metro-lines-cost-escalation-cleared-construction-not-to-stop-4002027.html" TargetMode="External"/><Relationship Id="rId912" Type="http://schemas.openxmlformats.org/officeDocument/2006/relationships/hyperlink" Target="https://e.vnexpress.net/news/news/hcmc-submits-plans-for-new-2-9-billion-metro-line-4095209.html" TargetMode="External"/><Relationship Id="rId911" Type="http://schemas.openxmlformats.org/officeDocument/2006/relationships/hyperlink" Target="https://hanoionline.vn/video/du-an-duong-sat-do-thi-so-3-phat-sinh-chi-phi-230701.htm" TargetMode="External"/><Relationship Id="rId629" Type="http://schemas.openxmlformats.org/officeDocument/2006/relationships/hyperlink" Target="https://tunnelbuilder.com/News/New-metro-line-6-in-Cairo-deal-signed-.aspx" TargetMode="External"/><Relationship Id="rId624" Type="http://schemas.openxmlformats.org/officeDocument/2006/relationships/hyperlink" Target="https://www.thelocal.dk/20190930/in-pictures-copenhagens-new-city-ring-metro-line" TargetMode="External"/><Relationship Id="rId866" Type="http://schemas.openxmlformats.org/officeDocument/2006/relationships/hyperlink" Target="https://www.ibb.istanbul/Uploads/2019/10/1.-DOc.DR.PELiN-ALPKoKiN--RAYLI-SiSTEMLERiN-MEVCUT-DURUMU.pdf" TargetMode="External"/><Relationship Id="rId623" Type="http://schemas.openxmlformats.org/officeDocument/2006/relationships/hyperlink" Target="https://www.nuernberg.de/presse/mitteilungen/presse_77790.html" TargetMode="External"/><Relationship Id="rId865" Type="http://schemas.openxmlformats.org/officeDocument/2006/relationships/hyperlink" Target="https://ekap.kik.gov.tr/EKAP/Ortak/IhaleArama/index.html" TargetMode="External"/><Relationship Id="rId622" Type="http://schemas.openxmlformats.org/officeDocument/2006/relationships/hyperlink" Target="https://www.nuernberg.de/presse/mitteilungen/presse_68381.html" TargetMode="External"/><Relationship Id="rId864" Type="http://schemas.openxmlformats.org/officeDocument/2006/relationships/hyperlink" Target="https://ekap.kik.gov.tr/EKAP/Ortak/IhaleArama/index.html" TargetMode="External"/><Relationship Id="rId621" Type="http://schemas.openxmlformats.org/officeDocument/2006/relationships/hyperlink" Target="https://www.sueddeutsche.de/muenchen/muenchen-u-bahn-u5-pasing-kosten-1.5475070" TargetMode="External"/><Relationship Id="rId863" Type="http://schemas.openxmlformats.org/officeDocument/2006/relationships/hyperlink" Target="https://ekap.kik.gov.tr/EKAP/Ortak/IhaleArama/index.html" TargetMode="External"/><Relationship Id="rId628" Type="http://schemas.openxmlformats.org/officeDocument/2006/relationships/hyperlink" Target="http://english.ahram.org.eg/NewsContent/3/12/35035/Business/Economy/Cairos-rd-underground-line-opens-Tuesday-linking-A.aspx" TargetMode="External"/><Relationship Id="rId627" Type="http://schemas.openxmlformats.org/officeDocument/2006/relationships/hyperlink" Target="http://documents.worldbank.org/curated/en/872611529897472449/pdf/Ecuador-PP-06052018.pdf" TargetMode="External"/><Relationship Id="rId869" Type="http://schemas.openxmlformats.org/officeDocument/2006/relationships/hyperlink" Target="https://www.uab.gov.tr/uploads/pages/kutuphane/d38e678334e19c8.pdf" TargetMode="External"/><Relationship Id="rId626" Type="http://schemas.openxmlformats.org/officeDocument/2006/relationships/hyperlink" Target="https://acento.com.do/el-financiero/en-pasados-gobiernos-construir-un-kilometro-del-metro-sd-costaba-us58-millones-ahora-solo-us45-millones-9034221.html" TargetMode="External"/><Relationship Id="rId868" Type="http://schemas.openxmlformats.org/officeDocument/2006/relationships/hyperlink" Target="https://www.uab.gov.tr/uploads/pages/kutuphane/d38e678334e19c8.pdf" TargetMode="External"/><Relationship Id="rId625" Type="http://schemas.openxmlformats.org/officeDocument/2006/relationships/hyperlink" Target="https://sustainabledevelopment.un.org/content/documents/Dominican.pdf" TargetMode="External"/><Relationship Id="rId867" Type="http://schemas.openxmlformats.org/officeDocument/2006/relationships/hyperlink" Target="https://www.hurriyet.com.tr/ege/metroluyuz-39155285" TargetMode="External"/><Relationship Id="rId620" Type="http://schemas.openxmlformats.org/officeDocument/2006/relationships/hyperlink" Target="https://www.2.stammstrecke-muenchen.de/kosten-und-finanzierung.html" TargetMode="External"/><Relationship Id="rId862"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861" Type="http://schemas.openxmlformats.org/officeDocument/2006/relationships/hyperlink" Target="https://ekap.kik.gov.tr/EKAP/Ortak/IhaleArama/index.html" TargetMode="External"/><Relationship Id="rId860" Type="http://schemas.openxmlformats.org/officeDocument/2006/relationships/hyperlink" Target="https://www.ibb.istanbul/Uploads/2019/10/1.-DOc.DR.PELiN-ALPKoKiN--RAYLI-SiSTEMLERiN-MEVCUT-DURUMU.pdf" TargetMode="External"/><Relationship Id="rId619" Type="http://schemas.openxmlformats.org/officeDocument/2006/relationships/hyperlink" Target="https://www.u-bahn-muenchen.de/report/baustellenreport/moosach/" TargetMode="External"/><Relationship Id="rId618" Type="http://schemas.openxmlformats.org/officeDocument/2006/relationships/hyperlink" Target="https://www.sueddeutsche.de/muenchen/s-bahn-muenchen-im-eiltempo-zum-tunnel-eine-bahn-fuer-die-olympischen-spiele-1.3444727" TargetMode="External"/><Relationship Id="rId613" Type="http://schemas.openxmlformats.org/officeDocument/2006/relationships/hyperlink" Target="https://www.nahverkehrhamburg.de/u4-verlaengerung-in-horner-geest-soll-465-millionen-euro-kosten-9328/" TargetMode="External"/><Relationship Id="rId855" Type="http://schemas.openxmlformats.org/officeDocument/2006/relationships/hyperlink" Target="https://www.insaatderyasi.com/gayrettepe-3-havalimani-metro-ihalesine-1-milyar-euro-1718h.htm" TargetMode="External"/><Relationship Id="rId612" Type="http://schemas.openxmlformats.org/officeDocument/2006/relationships/hyperlink" Target="https://www.nahverkehrhamburg.de/u4-verlaengerung-in-horner-geest-soll-465-millionen-euro-kosten-9328/" TargetMode="External"/><Relationship Id="rId854" Type="http://schemas.openxmlformats.org/officeDocument/2006/relationships/hyperlink" Target="https://www.metro.istanbul/Hatlarimiz/ProjeHalindekiHatlar?projeInsaat=0&amp;q=36" TargetMode="External"/><Relationship Id="rId611" Type="http://schemas.openxmlformats.org/officeDocument/2006/relationships/hyperlink" Target="https://www.hessenschau.de/wirtschaft/u2-wird-nach-bad-homburg-verlaengert-spatenstich-fuer-200-millionen-projekt-v2,spatenstich-ubahnverlaengerung-100.html" TargetMode="External"/><Relationship Id="rId853" Type="http://schemas.openxmlformats.org/officeDocument/2006/relationships/hyperlink" Target="https://www.railwaygazette.com/infrastructure/marmaray-upgrading-works-resume/43921.article" TargetMode="External"/><Relationship Id="rId610" Type="http://schemas.openxmlformats.org/officeDocument/2006/relationships/hyperlink" Target="https://www.fnp.de/frankfurt/frankfurt-u-bahn-u5-verlaengerung-spaeter-teurer-wegen-eva-zr-13449222.html" TargetMode="External"/><Relationship Id="rId852" Type="http://schemas.openxmlformats.org/officeDocument/2006/relationships/hyperlink" Target="http://www.uskudarumraniyecekmekoymetrosu.com/ana-sayfa/projenin-tarihcesi.aspx" TargetMode="External"/><Relationship Id="rId617" Type="http://schemas.openxmlformats.org/officeDocument/2006/relationships/hyperlink" Target="http://dip21.bundestag.de/dip21/btd/17/029/1702939.pdf" TargetMode="External"/><Relationship Id="rId859" Type="http://schemas.openxmlformats.org/officeDocument/2006/relationships/hyperlink" Target="https://ekap.kik.gov.tr/EKAP/Ortak/IhaleArama/index.html" TargetMode="External"/><Relationship Id="rId616" Type="http://schemas.openxmlformats.org/officeDocument/2006/relationships/hyperlink" Target="https://www.diekombiloesung.de/haeufige-fragen.html" TargetMode="External"/><Relationship Id="rId858"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615" Type="http://schemas.openxmlformats.org/officeDocument/2006/relationships/hyperlink" Target="https://www.ndr.de/nachrichten/hamburg/U5-in-Hamburg-Kosten-fuer-oestlichen-Abschnitt-explodieren,ubahn826.html" TargetMode="External"/><Relationship Id="rId857" Type="http://schemas.openxmlformats.org/officeDocument/2006/relationships/hyperlink" Target="https://rayhaber.com/2017/03/basaksehir-kayasehir-metrosu-insaati-ihale-sonucu/," TargetMode="External"/><Relationship Id="rId614" Type="http://schemas.openxmlformats.org/officeDocument/2006/relationships/hyperlink" Target="https://schneller-durch-hamburg.de/mehrkosten-u4-2023" TargetMode="External"/><Relationship Id="rId856" Type="http://schemas.openxmlformats.org/officeDocument/2006/relationships/hyperlink" Target="https://ekap.kik.gov.tr/EKAP/Ortak/IhaleArama/index.html" TargetMode="External"/><Relationship Id="rId851" Type="http://schemas.openxmlformats.org/officeDocument/2006/relationships/hyperlink" Target="https://railturkey.org/2016/10/15/kadikoy-kartal-tavsantepe-metro-m4/2/" TargetMode="External"/><Relationship Id="rId850" Type="http://schemas.openxmlformats.org/officeDocument/2006/relationships/hyperlink" Target="https://www.uab.gov.tr/uploads/cities/istanbul/34-istanbul.pdf" TargetMode="External"/><Relationship Id="rId409" Type="http://schemas.openxmlformats.org/officeDocument/2006/relationships/hyperlink" Target="http://www.rail-transit.com/project/show.php?itemid=281" TargetMode="External"/><Relationship Id="rId404" Type="http://schemas.openxmlformats.org/officeDocument/2006/relationships/hyperlink" Target="https://zh.wikipedia.org/wiki/%E4%B8%8A%E6%B5%B7%E8%BD%A8%E9%81%93%E4%BA%A4%E9%80%9A5%E5%8F%B7%E7%BA%BF" TargetMode="External"/><Relationship Id="rId646" Type="http://schemas.openxmlformats.org/officeDocument/2006/relationships/hyperlink" Target="https://vayla.fi/web/en/projects/all-projects/ring-rail-line" TargetMode="External"/><Relationship Id="rId888" Type="http://schemas.openxmlformats.org/officeDocument/2006/relationships/hyperlink" Target="https://www.chicago-l.org/history/CTA4.html" TargetMode="External"/><Relationship Id="rId403" Type="http://schemas.openxmlformats.org/officeDocument/2006/relationships/hyperlink" Target="https://web.archive.org/web/20201108201629/http://news.sina.com.cn/o/2017-12-27/doc-ifyqchnr6135266.shtml" TargetMode="External"/><Relationship Id="rId645" Type="http://schemas.openxmlformats.org/officeDocument/2006/relationships/hyperlink" Target="https://www.diariodesevilla.es/sevilla/construccion-linea-1-Metro-Sevilla_0_1341766366.html" TargetMode="External"/><Relationship Id="rId887" Type="http://schemas.openxmlformats.org/officeDocument/2006/relationships/hyperlink" Target="https://www.ctps.org/data/pdf/plans/TIP/FFYs-2020-2024-Final-TIP-20190730.pdf" TargetMode="External"/><Relationship Id="rId402" Type="http://schemas.openxmlformats.org/officeDocument/2006/relationships/hyperlink" Target="https://www.pudong.gov.cn/zwgkupfiles/temp/2021-11-10/2c4b9a67-37b0-4046-a0ca-7cdc4d3b0d27/46%E5%8F%B7.pdf" TargetMode="External"/><Relationship Id="rId644" Type="http://schemas.openxmlformats.org/officeDocument/2006/relationships/hyperlink" Target="https://www.diariosur.es/20130217/local/malaga/obras-metro-malaga-costaran-201302170041.html" TargetMode="External"/><Relationship Id="rId886" Type="http://schemas.openxmlformats.org/officeDocument/2006/relationships/hyperlink" Target="http://www.cityam.com/257486/full-steam-ahead-tunnelling-12bn-northern-line-extension" TargetMode="External"/><Relationship Id="rId401" Type="http://schemas.openxmlformats.org/officeDocument/2006/relationships/hyperlink" Target="https://zh.wikipedia.org/wiki/%E4%B8%8A%E6%B5%B7%E8%BD%A8%E9%81%93%E4%BA%A4%E9%80%9A11%E5%8F%B7%E7%BA%BF" TargetMode="External"/><Relationship Id="rId643" Type="http://schemas.openxmlformats.org/officeDocument/2006/relationships/hyperlink" Target="https://www.esmadrid.com/sites/default/files/plan_integral_cercanias_madrid_2018_2025.pdf" TargetMode="External"/><Relationship Id="rId885" Type="http://schemas.openxmlformats.org/officeDocument/2006/relationships/hyperlink" Target="http://www.globalconstructionreview.com/news/china-railway-completes-feasibility-study-kiev-met/" TargetMode="External"/><Relationship Id="rId408" Type="http://schemas.openxmlformats.org/officeDocument/2006/relationships/hyperlink" Target="http://www.rail-transit.com/project/show.php?itemid=287" TargetMode="External"/><Relationship Id="rId407" Type="http://schemas.openxmlformats.org/officeDocument/2006/relationships/hyperlink" Target="http://www.rail-transit.com/project/show.php?itemid=201" TargetMode="External"/><Relationship Id="rId649" Type="http://schemas.openxmlformats.org/officeDocument/2006/relationships/hyperlink" Target="https://web.archive.org/web/20080312071952/http://www.sytral.fr/176.0.html" TargetMode="External"/><Relationship Id="rId406" Type="http://schemas.openxmlformats.org/officeDocument/2006/relationships/hyperlink" Target="https://sh.ihouse.ifeng.com/news/2020_06_10-52808712_0.shtml/?from=news_highlights_news" TargetMode="External"/><Relationship Id="rId648" Type="http://schemas.openxmlformats.org/officeDocument/2006/relationships/hyperlink" Target="https://www.lansimetro.fi/en/contact-information/faq/" TargetMode="External"/><Relationship Id="rId405" Type="http://schemas.openxmlformats.org/officeDocument/2006/relationships/hyperlink" Target="https://zh.wikipedia.org/wiki/%E4%B8%8A%E6%B5%B7%E8%BD%A8%E9%81%93%E4%BA%A4%E9%80%9A%E6%B5%A6%E6%B1%9F%E7%BA%BF" TargetMode="External"/><Relationship Id="rId647" Type="http://schemas.openxmlformats.org/officeDocument/2006/relationships/hyperlink" Target="https://www.lansimetro.fi/en/contact-information/faq/" TargetMode="External"/><Relationship Id="rId889" Type="http://schemas.openxmlformats.org/officeDocument/2006/relationships/hyperlink" Target="https://www.hawaiibusiness.com/hart-history-hawaii-rail-project-when-finished-budget/" TargetMode="External"/><Relationship Id="rId880" Type="http://schemas.openxmlformats.org/officeDocument/2006/relationships/hyperlink" Target="https://www.cna.com.tw/news/firstnews/201908150041.aspx" TargetMode="External"/><Relationship Id="rId400" Type="http://schemas.openxmlformats.org/officeDocument/2006/relationships/hyperlink" Target="https://zh.wikipedia.org/wiki/%E4%B8%8A%E6%B5%B7%E8%BD%A8%E9%81%93%E4%BA%A4%E9%80%9A11%E5%8F%B7%E7%BA%BF" TargetMode="External"/><Relationship Id="rId642" Type="http://schemas.openxmlformats.org/officeDocument/2006/relationships/hyperlink" Target="https://gacetinmadrid.com/2022/11/01/arrancan-las-obras-de-ampliacion-de-la-linea-11-de-metro-de-madrid-500-millones-de-euros-y-dos-nuevas-estaciones/" TargetMode="External"/><Relationship Id="rId884" Type="http://schemas.openxmlformats.org/officeDocument/2006/relationships/hyperlink" Target="https://www.unian.info/kiev/10350087-kyiv-metro-signs-contract-for-subway-line-construction-to-kyiv-s-vynohradar-district.html" TargetMode="External"/><Relationship Id="rId641" Type="http://schemas.openxmlformats.org/officeDocument/2006/relationships/hyperlink" Target="https://web.archive.org/web/20150328212257/https://www.metromadrid.es/en/comunicacion/prensa/2015/March/noticia09.html" TargetMode="External"/><Relationship Id="rId883" Type="http://schemas.openxmlformats.org/officeDocument/2006/relationships/hyperlink" Target="https://www.railwaygazette.com/vehicles/crrc-wins-kharkiv-metro-train-contract/56702.article" TargetMode="External"/><Relationship Id="rId640" Type="http://schemas.openxmlformats.org/officeDocument/2006/relationships/hyperlink" Target="https://www.metro-report.com/news/metro/single-view/view/madrid-metro-line-2-extended-to-las-rosas.html?sword_list%5B%5D=madrid&amp;no_cache=1" TargetMode="External"/><Relationship Id="rId882" Type="http://schemas.openxmlformats.org/officeDocument/2006/relationships/hyperlink" Target="https://dorts.tycg.gov.tw/en/business/mrt-brown-line" TargetMode="External"/><Relationship Id="rId881" Type="http://schemas.openxmlformats.org/officeDocument/2006/relationships/hyperlink" Target="https://focustaiwan.tw/politics/202202220017" TargetMode="External"/><Relationship Id="rId635" Type="http://schemas.openxmlformats.org/officeDocument/2006/relationships/hyperlink" Target="https://www.eib.org/en/projects/pipelines/all/20160937" TargetMode="External"/><Relationship Id="rId877" Type="http://schemas.openxmlformats.org/officeDocument/2006/relationships/hyperlink" Target="https://focustaiwan.tw/society/202003240018" TargetMode="External"/><Relationship Id="rId634" Type="http://schemas.openxmlformats.org/officeDocument/2006/relationships/hyperlink" Target="https://govern.cat/govern/docs/2012/10/03/12/36/6b33e55c-7ef4-4200-8517-97c7501d026e.pdf" TargetMode="External"/><Relationship Id="rId876" Type="http://schemas.openxmlformats.org/officeDocument/2006/relationships/hyperlink" Target="https://www.dorts.ntpc.gov.tw/home.jsp?id=90&amp;act=be4f48068b2b0031&amp;dataserno=09b73a18932ab2e245b25cd63399a208" TargetMode="External"/><Relationship Id="rId633" Type="http://schemas.openxmlformats.org/officeDocument/2006/relationships/hyperlink" Target="https://govern.cat/govern/docs/2012/10/03/12/36/6b33e55c-7ef4-4200-8517-97c7501d026e.pdf" TargetMode="External"/><Relationship Id="rId875" Type="http://schemas.openxmlformats.org/officeDocument/2006/relationships/hyperlink" Target="https://www.taiwannews.com.tw/en/news/3861624" TargetMode="External"/><Relationship Id="rId632" Type="http://schemas.openxmlformats.org/officeDocument/2006/relationships/hyperlink" Target="https://www.ccma.cat/324/La-linia-5-del-Metro-de-Barcelona-samplia-dema-amb-les-estacions-del-Carmel-el-Collla-Teixonera-i-Vall-dHebron/noticia/790448/" TargetMode="External"/><Relationship Id="rId874" Type="http://schemas.openxmlformats.org/officeDocument/2006/relationships/hyperlink" Target="https://www.straitstimes.com/asia/east-asia/taipei-airport-rail-line-ready-to-roll" TargetMode="External"/><Relationship Id="rId639" Type="http://schemas.openxmlformats.org/officeDocument/2006/relationships/hyperlink" Target="https://elpais.com/elpais/2008/07/09/actualidad/1215591420_850215.html" TargetMode="External"/><Relationship Id="rId638" Type="http://schemas.openxmlformats.org/officeDocument/2006/relationships/hyperlink" Target="https://tunnelbuilder.com/metrosur/edition2pdf/page2.pdf" TargetMode="External"/><Relationship Id="rId637" Type="http://schemas.openxmlformats.org/officeDocument/2006/relationships/hyperlink" Target="https://tunnelbuilder.com/metrosur/edition2pdf/page2.pdf" TargetMode="External"/><Relationship Id="rId879" Type="http://schemas.openxmlformats.org/officeDocument/2006/relationships/hyperlink" Target="http://www.taipeitimes.com/News/taiwan/archives/2018/05/03/2003692436" TargetMode="External"/><Relationship Id="rId636" Type="http://schemas.openxmlformats.org/officeDocument/2006/relationships/hyperlink" Target="https://www.eitb.eus/es/noticias/economia/detalle/4706859/inauguracion-linea-3-metro-bilbao-operada-euskotren-8-abril/" TargetMode="External"/><Relationship Id="rId878" Type="http://schemas.openxmlformats.org/officeDocument/2006/relationships/hyperlink" Target="https://dorts.tycg.gov.tw/en/business/mrt-green-line" TargetMode="External"/><Relationship Id="rId631" Type="http://schemas.openxmlformats.org/officeDocument/2006/relationships/hyperlink" Target="http://territori.scot.cat/cat/notices/2010/10/metro_lInia_2_2737.php" TargetMode="External"/><Relationship Id="rId873" Type="http://schemas.openxmlformats.org/officeDocument/2006/relationships/hyperlink" Target="https://www.rb.gov.tw/en/showpage.php?lmenuid=24&amp;smenuid=159" TargetMode="External"/><Relationship Id="rId630" Type="http://schemas.openxmlformats.org/officeDocument/2006/relationships/hyperlink" Target="https://pemb.cat/public/docs/794_r6_cat_b2_17_perllongament_linia_3_de_metro_corr.pdf" TargetMode="External"/><Relationship Id="rId872" Type="http://schemas.openxmlformats.org/officeDocument/2006/relationships/hyperlink" Target="https://www.rb.gov.tw/en/showpage.php?lmenuid=24&amp;smenuid=75" TargetMode="External"/><Relationship Id="rId871" Type="http://schemas.openxmlformats.org/officeDocument/2006/relationships/hyperlink" Target="https://www.rb.gov.tw/en/showpage.php?lmenuid=24&amp;smenuid=154" TargetMode="External"/><Relationship Id="rId870" Type="http://schemas.openxmlformats.org/officeDocument/2006/relationships/hyperlink" Target="https://www.railjournal.com/in_depth/taiwan-transit-in-transition" TargetMode="External"/><Relationship Id="rId829" Type="http://schemas.openxmlformats.org/officeDocument/2006/relationships/hyperlink" Target="http://www.tunnel-online.info/en/artikel/artikel_en_1204638.html" TargetMode="External"/><Relationship Id="rId828" Type="http://schemas.openxmlformats.org/officeDocument/2006/relationships/hyperlink" Target="https://www.fastmetroriyadh.com/about/our-lines/" TargetMode="External"/><Relationship Id="rId827" Type="http://schemas.openxmlformats.org/officeDocument/2006/relationships/hyperlink" Target="https://www.fastmetroriyadh.com/about/our-lines/" TargetMode="External"/><Relationship Id="rId822" Type="http://schemas.openxmlformats.org/officeDocument/2006/relationships/hyperlink" Target="https://uralstroyinfo.ru/stroitelstvo-stanciy-metro-chkalovskaya" TargetMode="External"/><Relationship Id="rId821" Type="http://schemas.openxmlformats.org/officeDocument/2006/relationships/hyperlink" Target="https://www.rbc.ru/spb_sz/22/12/2006/5592c0ad9a79473b7f4b9d4d" TargetMode="External"/><Relationship Id="rId820" Type="http://schemas.openxmlformats.org/officeDocument/2006/relationships/hyperlink" Target="https://progorodsamara.ru/news/view/za-cetyre-goda-stroitelstvo-teatralnoj-v-samare-podorozalo-na-700-mln-rublej" TargetMode="External"/><Relationship Id="rId826" Type="http://schemas.openxmlformats.org/officeDocument/2006/relationships/hyperlink" Target="https://www.fastmetroriyadh.com/ar/%D8%A7%D9%84%D8%AE%D8%B1%D9%8A%D8%B7%D8%A9-2/" TargetMode="External"/><Relationship Id="rId825" Type="http://schemas.openxmlformats.org/officeDocument/2006/relationships/hyperlink" Target="http://www.riyadhmetro.sa/" TargetMode="External"/><Relationship Id="rId824" Type="http://schemas.openxmlformats.org/officeDocument/2006/relationships/hyperlink" Target="http://www.metrojeddah.com.sa/page/Metro" TargetMode="External"/><Relationship Id="rId823" Type="http://schemas.openxmlformats.org/officeDocument/2006/relationships/hyperlink" Target="https://www.bncnetwork.net/Project/Dammam_Metro/lLeKWJzyKRk=" TargetMode="External"/><Relationship Id="rId819" Type="http://schemas.openxmlformats.org/officeDocument/2006/relationships/hyperlink" Target="https://ngs.ru/text/transport/2025/03/04/75178850/" TargetMode="External"/><Relationship Id="rId818" Type="http://schemas.openxmlformats.org/officeDocument/2006/relationships/hyperlink" Target="https://zakupki.gov.ru/epz/order/notice/oku504/view/common-info.html?regNumber=0832200006621001490" TargetMode="External"/><Relationship Id="rId817" Type="http://schemas.openxmlformats.org/officeDocument/2006/relationships/hyperlink" Target="https://zakupki.gov.ru/epz/order/notice/oku44/view/common-info.html?regNumber=0132200004114000121" TargetMode="External"/><Relationship Id="rId816" Type="http://schemas.openxmlformats.org/officeDocument/2006/relationships/hyperlink" Target="https://www.kommersant.ru/doc/2135080" TargetMode="External"/><Relationship Id="rId811" Type="http://schemas.openxmlformats.org/officeDocument/2006/relationships/hyperlink" Target="https://minstroy.tatarstan.ru/index.htm/news/197856.htm" TargetMode="External"/><Relationship Id="rId810" Type="http://schemas.openxmlformats.org/officeDocument/2006/relationships/hyperlink" Target="https://www.rbc.ru/economics/31/03/2004/5703c0d39a7947dde8e07ab2" TargetMode="External"/><Relationship Id="rId815" Type="http://schemas.openxmlformats.org/officeDocument/2006/relationships/hyperlink" Target="https://web.archive.org/web/20131202230424/http://www.mos.ru/authority/activity/urban/index.php?id_14=24044" TargetMode="External"/><Relationship Id="rId814" Type="http://schemas.openxmlformats.org/officeDocument/2006/relationships/hyperlink" Target="https://zakupki.gov.ru/epz/order/notice/ea20/view/common-info.html?regNumber=0311500000925000104" TargetMode="External"/><Relationship Id="rId813" Type="http://schemas.openxmlformats.org/officeDocument/2006/relationships/hyperlink" Target="https://tatarstan.ru/index.htm/news/1271674.htm" TargetMode="External"/><Relationship Id="rId812" Type="http://schemas.openxmlformats.org/officeDocument/2006/relationships/hyperlink" Target="https://minstroy.tatarstan.ru/index.htm/news/197856.htm" TargetMode="External"/><Relationship Id="rId609" Type="http://schemas.openxmlformats.org/officeDocument/2006/relationships/hyperlink" Target="https://www.zeit.de/1968/43/das-neue-fahrgefuehl" TargetMode="External"/><Relationship Id="rId608" Type="http://schemas.openxmlformats.org/officeDocument/2006/relationships/hyperlink" Target="https://www.wz.de/nrw/duesseldorf/wehrhahn-linie-wird-noch-viel-teurer_aid-25646289" TargetMode="External"/><Relationship Id="rId607" Type="http://schemas.openxmlformats.org/officeDocument/2006/relationships/hyperlink" Target="https://www.nord-sued-stadtbahn.de/projekt/gruende/hintergruende/index.html" TargetMode="External"/><Relationship Id="rId849" Type="http://schemas.openxmlformats.org/officeDocument/2006/relationships/hyperlink" Target="https://rayhaber.com/2009/02/proje-bilgisi-halic-metro-gecis-koprusu-insaati/" TargetMode="External"/><Relationship Id="rId602" Type="http://schemas.openxmlformats.org/officeDocument/2006/relationships/hyperlink" Target="https://www.bz-berlin.de/archiv-artikel/die-u7-wird-25-jahre-alt" TargetMode="External"/><Relationship Id="rId844" Type="http://schemas.openxmlformats.org/officeDocument/2006/relationships/hyperlink" Target="https://www.mrta.co.th/en/projectelectrictrain/bangkok-and-vicinities/brownline/" TargetMode="External"/><Relationship Id="rId601" Type="http://schemas.openxmlformats.org/officeDocument/2006/relationships/hyperlink" Target="http://www.berliner-verkehrsseiten.de/Download/Archiv/U_155_Eroeffnungsschrift_Steglitz_U9.pdf" TargetMode="External"/><Relationship Id="rId843" Type="http://schemas.openxmlformats.org/officeDocument/2006/relationships/hyperlink" Target="https://www.mrta.co.th/en/projectelectrictrain/bangkok-and-vicinities/orangeline/" TargetMode="External"/><Relationship Id="rId600" Type="http://schemas.openxmlformats.org/officeDocument/2006/relationships/hyperlink" Target="https://deutsch.radio.cz/prager-metro-bau-der-neuen-linie-d-nimmt-konturen-8683676" TargetMode="External"/><Relationship Id="rId842" Type="http://schemas.openxmlformats.org/officeDocument/2006/relationships/hyperlink" Target="https://www.mrta.co.th/en/projectelectrictrain/bangkok-and-vicinities/yellowline/" TargetMode="External"/><Relationship Id="rId841" Type="http://schemas.openxmlformats.org/officeDocument/2006/relationships/hyperlink" Target="https://www.mrta.co.th/en/projectelectrictrain/bangkok-and-vicinities/pinkline/" TargetMode="External"/><Relationship Id="rId606" Type="http://schemas.openxmlformats.org/officeDocument/2006/relationships/hyperlink" Target="https://www.projekt-u5.de/de/die-neue-u5/" TargetMode="External"/><Relationship Id="rId848" Type="http://schemas.openxmlformats.org/officeDocument/2006/relationships/hyperlink" Target="https://www.sabah.com.tr/Gundem/2013/06/14/istanbula-yeni-metro" TargetMode="External"/><Relationship Id="rId605" Type="http://schemas.openxmlformats.org/officeDocument/2006/relationships/hyperlink" Target="https://www.das-parlament.de/2019/31_32/kehrseite/652908-652908" TargetMode="External"/><Relationship Id="rId847" Type="http://schemas.openxmlformats.org/officeDocument/2006/relationships/hyperlink" Target="https://railturkey.org/2016/10/15/kadikoy-kartal-tavsantepe-metro-m4/2/" TargetMode="External"/><Relationship Id="rId604"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846" Type="http://schemas.openxmlformats.org/officeDocument/2006/relationships/hyperlink" Target="https://www.cnnturk.com/turkiye/efsanevi-kecioren-metrosu-aciliyor" TargetMode="External"/><Relationship Id="rId603" Type="http://schemas.openxmlformats.org/officeDocument/2006/relationships/hyperlink" Target="https://signalarchiv.de/Meldungen/10003834" TargetMode="External"/><Relationship Id="rId845" Type="http://schemas.openxmlformats.org/officeDocument/2006/relationships/hyperlink" Target="https://www.nationthailand.com/business/30382028" TargetMode="External"/><Relationship Id="rId840" Type="http://schemas.openxmlformats.org/officeDocument/2006/relationships/hyperlink" Target="https://www.mrta.co.th/en/projectelectrictrain/bangkok-and-vicinities/greenline/" TargetMode="External"/><Relationship Id="rId839" Type="http://schemas.openxmlformats.org/officeDocument/2006/relationships/hyperlink" Target="https://www.mrta.co.th/en/projectelectrictrain/bangkok-and-vicinities/blueline/?AspxAutoDetectCookieSupport=1" TargetMode="External"/><Relationship Id="rId838" Type="http://schemas.openxmlformats.org/officeDocument/2006/relationships/hyperlink" Target="https://www.mrta.co.th/en/projectelectrictrain/bangkok-and-vicinities/greenline/" TargetMode="External"/><Relationship Id="rId833" Type="http://schemas.openxmlformats.org/officeDocument/2006/relationships/hyperlink" Target="http://nyatunnelbanan.sll.se/sites/tunnelbanan/files/Faktablad_Upphandling_%20engelsk.pdf" TargetMode="External"/><Relationship Id="rId832" Type="http://schemas.openxmlformats.org/officeDocument/2006/relationships/hyperlink" Target="http://nyatunnelbanan.sll.se/sites/tunnelbanan/files/Faktablad_Upphandling_%20engelsk.pdf" TargetMode="External"/><Relationship Id="rId831" Type="http://schemas.openxmlformats.org/officeDocument/2006/relationships/hyperlink" Target="http://nyatunnelbanan.sll.se/sites/tunnelbanan/files/Faktablad_Upphandling_%20engelsk.pdf" TargetMode="External"/><Relationship Id="rId830" Type="http://schemas.openxmlformats.org/officeDocument/2006/relationships/hyperlink" Target="https://web.archive.org/web/20150402164159/http://www.trafikverket.se/en/startpage/Projects/Railway-construction-projects1/The-Stockholm-City-Line/" TargetMode="External"/><Relationship Id="rId837" Type="http://schemas.openxmlformats.org/officeDocument/2006/relationships/hyperlink" Target="https://www.straitstimes.com/singapore/transport/last-stage-of-circle-line-to-cost-a-lot-more-than-first-5-stages" TargetMode="External"/><Relationship Id="rId836" Type="http://schemas.openxmlformats.org/officeDocument/2006/relationships/hyperlink" Target="https://www.straitstimes.com/singapore/transport/thomson-east-coast-line-6-more-stations-from-springleaf-to-caldecott-opening" TargetMode="External"/><Relationship Id="rId835" Type="http://schemas.openxmlformats.org/officeDocument/2006/relationships/hyperlink" Target="https://www.todayonline.com/singapore/comparing-singapores-newest-and-oldest-mrt-lines" TargetMode="External"/><Relationship Id="rId834" Type="http://schemas.openxmlformats.org/officeDocument/2006/relationships/hyperlink" Target="https://www.sgcarmart.com/news/article.php?AID=21019" TargetMode="External"/><Relationship Id="rId228" Type="http://schemas.openxmlformats.org/officeDocument/2006/relationships/hyperlink" Target="http://www.rail-transit.com/project/show.php?itemid=278" TargetMode="External"/><Relationship Id="rId227" Type="http://schemas.openxmlformats.org/officeDocument/2006/relationships/hyperlink" Target="https://news.dayoo.com/guangzhou/202011/02/139995_53631830.htm" TargetMode="External"/><Relationship Id="rId469" Type="http://schemas.openxmlformats.org/officeDocument/2006/relationships/hyperlink" Target="http://www.rail-transit.com/project/show.php?itemid=573" TargetMode="External"/><Relationship Id="rId226" Type="http://schemas.openxmlformats.org/officeDocument/2006/relationships/hyperlink" Target="https://new.qq.com/omn/20210623/20210623A096ZY00.html" TargetMode="External"/><Relationship Id="rId468" Type="http://schemas.openxmlformats.org/officeDocument/2006/relationships/hyperlink" Target="https://www.ndrc.gov.cn/fggz/zcssfz/zcgh/201601/W020190910670584360634.pdf" TargetMode="External"/><Relationship Id="rId225" Type="http://schemas.openxmlformats.org/officeDocument/2006/relationships/hyperlink" Target="http://www.rail-transit.com/project/show.php?itemid=619" TargetMode="External"/><Relationship Id="rId467" Type="http://schemas.openxmlformats.org/officeDocument/2006/relationships/hyperlink" Target="http://www.rail-transit.com/project/show.php?itemid=226" TargetMode="External"/><Relationship Id="rId229" Type="http://schemas.openxmlformats.org/officeDocument/2006/relationships/hyperlink" Target="https://zh.wikipedia.org/wiki/%E8%B4%B5%E9%98%B3%E8%BD%A8%E9%81%93%E4%BA%A4%E9%80%9A1%E5%8F%B7%E7%BA%BF" TargetMode="External"/><Relationship Id="rId220" Type="http://schemas.openxmlformats.org/officeDocument/2006/relationships/hyperlink" Target="http://www.rail-transit.com/project/show.php?itemid=87" TargetMode="External"/><Relationship Id="rId462" Type="http://schemas.openxmlformats.org/officeDocument/2006/relationships/hyperlink" Target="http://fgw.sz.gov.cn/zwgk/qt/tzgg/201902/P020190226346098115982.pdf" TargetMode="External"/><Relationship Id="rId461" Type="http://schemas.openxmlformats.org/officeDocument/2006/relationships/hyperlink" Target="http://fgw.sz.gov.cn/zwgk/qt/tzgg/201902/P020190226346098115982.pdf" TargetMode="External"/><Relationship Id="rId460" Type="http://schemas.openxmlformats.org/officeDocument/2006/relationships/hyperlink" Target="http://fgw.sz.gov.cn/zwgk/qt/tzgg/201902/P020190226346098115982.pdf" TargetMode="External"/><Relationship Id="rId224" Type="http://schemas.openxmlformats.org/officeDocument/2006/relationships/hyperlink" Target="http://gd.people.com.cn/n2/2020/0805/c123932-34206133.html" TargetMode="External"/><Relationship Id="rId466" Type="http://schemas.openxmlformats.org/officeDocument/2006/relationships/hyperlink" Target="https://www.ndrc.gov.cn/fggz/zcssfz/zcgh/201601/W020190910670584360634.pdf" TargetMode="External"/><Relationship Id="rId223" Type="http://schemas.openxmlformats.org/officeDocument/2006/relationships/hyperlink" Target="http://gd.people.com.cn/n2/2020/0805/c123932-34206133.html" TargetMode="External"/><Relationship Id="rId465" Type="http://schemas.openxmlformats.org/officeDocument/2006/relationships/hyperlink" Target="http://www.rail-transit.com/project/show.php?itemid=196" TargetMode="External"/><Relationship Id="rId222" Type="http://schemas.openxmlformats.org/officeDocument/2006/relationships/hyperlink" Target="http://gd.people.com.cn/n2/2020/0805/c123932-34206133.html" TargetMode="External"/><Relationship Id="rId464" Type="http://schemas.openxmlformats.org/officeDocument/2006/relationships/hyperlink" Target="http://www.gov.cn/jrzg/2012-09/28/content_2235330.htm" TargetMode="External"/><Relationship Id="rId221" Type="http://schemas.openxmlformats.org/officeDocument/2006/relationships/hyperlink" Target="http://www.rail-transit.com/project/show.php?itemid=350" TargetMode="External"/><Relationship Id="rId463" Type="http://schemas.openxmlformats.org/officeDocument/2006/relationships/hyperlink" Target="http://fgw.sz.gov.cn/zwgk/qt/tzgg/201902/P020190226346098115982.pdf" TargetMode="External"/><Relationship Id="rId217" Type="http://schemas.openxmlformats.org/officeDocument/2006/relationships/hyperlink" Target="http://drc.gd.gov.cn/zdxm5665/content/post_851371.html" TargetMode="External"/><Relationship Id="rId459" Type="http://schemas.openxmlformats.org/officeDocument/2006/relationships/hyperlink" Target="http://fgw.sz.gov.cn/zwgk/qt/tzgg/201902/P020190226346098115982.pdf" TargetMode="External"/><Relationship Id="rId216" Type="http://schemas.openxmlformats.org/officeDocument/2006/relationships/hyperlink" Target="https://www.ndrc.gov.cn/fzggw/jgsj/tzs/sjdt/200706/t20070622_1192155.html" TargetMode="External"/><Relationship Id="rId458" Type="http://schemas.openxmlformats.org/officeDocument/2006/relationships/hyperlink" Target="http://fgw.sz.gov.cn/zwgk/qt/tzgg/201902/P020190226346098115982.pdf" TargetMode="External"/><Relationship Id="rId215" Type="http://schemas.openxmlformats.org/officeDocument/2006/relationships/hyperlink" Target="http://news.sina.com.cn/c/2007-09-06/013313825648.shtml" TargetMode="External"/><Relationship Id="rId457" Type="http://schemas.openxmlformats.org/officeDocument/2006/relationships/hyperlink" Target="https://www.ndrc.gov.cn/xxgk/zcfb/ghwb/201707/W020190905497930956563.pdf" TargetMode="External"/><Relationship Id="rId699" Type="http://schemas.openxmlformats.org/officeDocument/2006/relationships/hyperlink" Target="https://mmrda.maharashtra.gov.in/documents/10180/9283015/Metro+Line+4A/da25997a-6844-4c74-b4bd-9538285c9471" TargetMode="External"/><Relationship Id="rId214" Type="http://schemas.openxmlformats.org/officeDocument/2006/relationships/hyperlink" Target="http://drc.gd.gov.cn/zdxm5665/content/post_851139.html" TargetMode="External"/><Relationship Id="rId456" Type="http://schemas.openxmlformats.org/officeDocument/2006/relationships/hyperlink" Target="https://www.ndrc.gov.cn/xxgk/zcfb/ghwb/201707/W020190905497930956563.pdf" TargetMode="External"/><Relationship Id="rId698" Type="http://schemas.openxmlformats.org/officeDocument/2006/relationships/hyperlink" Target="https://mmrda.maharashtra.gov.in/metro-line-4" TargetMode="External"/><Relationship Id="rId219" Type="http://schemas.openxmlformats.org/officeDocument/2006/relationships/hyperlink" Target="http://www.gz.gov.cn/zwgk/zdxm/2012n/content/post_2847743.html" TargetMode="External"/><Relationship Id="rId218" Type="http://schemas.openxmlformats.org/officeDocument/2006/relationships/hyperlink" Target="http://drc.gd.gov.cn/zdxm5665/content/post_851371.html" TargetMode="External"/><Relationship Id="rId451" Type="http://schemas.openxmlformats.org/officeDocument/2006/relationships/hyperlink" Target="http://www.rail-transit.com/project/show.php?itemid=545" TargetMode="External"/><Relationship Id="rId693" Type="http://schemas.openxmlformats.org/officeDocument/2006/relationships/hyperlink" Target="https://indianexpress.com/article/cities/mumbai/indias-first-monorail-rolls-out-in-city/" TargetMode="External"/><Relationship Id="rId450" Type="http://schemas.openxmlformats.org/officeDocument/2006/relationships/hyperlink" Target="http://www.rail-transit.com/project/show.php?itemid=75" TargetMode="External"/><Relationship Id="rId692" Type="http://schemas.openxmlformats.org/officeDocument/2006/relationships/hyperlink" Target="https://kochimetro.org/everything-you-need-to-know-about-the-kochi-metro/" TargetMode="External"/><Relationship Id="rId691" Type="http://schemas.openxmlformats.org/officeDocument/2006/relationships/hyperlink" Target="https://timesofindia.indiatimes.com/city/kanpur/first-train-set-for-kanpur-metro-project-rolls-out-from-gujarats-savli/articleshow/86322835.cms" TargetMode="External"/><Relationship Id="rId690" Type="http://schemas.openxmlformats.org/officeDocument/2006/relationships/hyperlink" Target="https://www.thehindu.com/news/cities/Hyderabad/airport-metro-to-have-underground-section-connecting-to-passenger-terminal/article29317205.ece" TargetMode="External"/><Relationship Id="rId213" Type="http://schemas.openxmlformats.org/officeDocument/2006/relationships/hyperlink" Target="http://www.rail-transit.com/project/show.php?itemid=252" TargetMode="External"/><Relationship Id="rId455" Type="http://schemas.openxmlformats.org/officeDocument/2006/relationships/hyperlink" Target="https://www.ndrc.gov.cn/xxgk/zcfb/ghwb/201707/W020190905497930956563.pdf" TargetMode="External"/><Relationship Id="rId697" Type="http://schemas.openxmlformats.org/officeDocument/2006/relationships/hyperlink" Target="https://mmrda.maharashtra.gov.in/documents/10180/9283015/Metro+Line+6/17c5ed14-e9fb-4920-9521-02eebb25c4a9" TargetMode="External"/><Relationship Id="rId212" Type="http://schemas.openxmlformats.org/officeDocument/2006/relationships/hyperlink" Target="https://www.ndrc.gov.cn/fggz/zcssfz/zcgh/201703/W020190910670680927090.pdf" TargetMode="External"/><Relationship Id="rId454" Type="http://schemas.openxmlformats.org/officeDocument/2006/relationships/hyperlink" Target="http://fgw.sz.gov.cn/gkmlpt/content/8/8275/post_8275981.html" TargetMode="External"/><Relationship Id="rId696" Type="http://schemas.openxmlformats.org/officeDocument/2006/relationships/hyperlink" Target="https://housing.com/news/mumbai-metro-line-3-everything-you-need-to-know/" TargetMode="External"/><Relationship Id="rId211" Type="http://schemas.openxmlformats.org/officeDocument/2006/relationships/hyperlink" Target="http://www.gov.cn/xinwen/2017-03/23/content_5180079.htm" TargetMode="External"/><Relationship Id="rId453" Type="http://schemas.openxmlformats.org/officeDocument/2006/relationships/hyperlink" Target="http://www.rail-transit.com/project/show.php?itemid=557" TargetMode="External"/><Relationship Id="rId695" Type="http://schemas.openxmlformats.org/officeDocument/2006/relationships/hyperlink" Target="https://www.hindustantimes.com/mumbai-news/metro-lines-2a-7-to-be-delayed-by-3-months-mmrda-chief/story-UodpzX0AgmfV4e1OBrDxCK.html" TargetMode="External"/><Relationship Id="rId210" Type="http://schemas.openxmlformats.org/officeDocument/2006/relationships/hyperlink" Target="http://www.rail-transit.com/project/show.php?itemid=170" TargetMode="External"/><Relationship Id="rId452" Type="http://schemas.openxmlformats.org/officeDocument/2006/relationships/hyperlink" Target="http://drc.gd.gov.cn/xmgs/content/post_3719459.html" TargetMode="External"/><Relationship Id="rId694" Type="http://schemas.openxmlformats.org/officeDocument/2006/relationships/hyperlink" Target="https://www.freepressjournal.in/mumbai/metro-line-2a-revised-deadline-is-may-2021" TargetMode="External"/><Relationship Id="rId491" Type="http://schemas.openxmlformats.org/officeDocument/2006/relationships/hyperlink" Target="http://www.rail-transit.com/project/show.php?itemid=154" TargetMode="External"/><Relationship Id="rId490" Type="http://schemas.openxmlformats.org/officeDocument/2006/relationships/hyperlink" Target="http://www.rail-transit.com/project/show.php?itemid=155" TargetMode="External"/><Relationship Id="rId249" Type="http://schemas.openxmlformats.org/officeDocument/2006/relationships/hyperlink" Target="http://www.rail-transit.com/project/show.php?itemid=134" TargetMode="External"/><Relationship Id="rId248" Type="http://schemas.openxmlformats.org/officeDocument/2006/relationships/hyperlink" Target="https://www.ndrc.gov.cn/xxgk/zcfb/ghwb/201612/W020190905497886107757.pdf" TargetMode="External"/><Relationship Id="rId247" Type="http://schemas.openxmlformats.org/officeDocument/2006/relationships/hyperlink" Target="http://www.rail-transit.com/project/show.php?itemid=138" TargetMode="External"/><Relationship Id="rId489" Type="http://schemas.openxmlformats.org/officeDocument/2006/relationships/hyperlink" Target="http://www.rail-transit.com/project/show.php?itemid=316" TargetMode="External"/><Relationship Id="rId242" Type="http://schemas.openxmlformats.org/officeDocument/2006/relationships/hyperlink" Target="http://www.rail-transit.com/project/show.php?itemid=286" TargetMode="External"/><Relationship Id="rId484" Type="http://schemas.openxmlformats.org/officeDocument/2006/relationships/hyperlink" Target="https://www.cpppc.org/zhejiang/1001654.jhtml" TargetMode="External"/><Relationship Id="rId241" Type="http://schemas.openxmlformats.org/officeDocument/2006/relationships/hyperlink" Target="https://www.ndrc.gov.cn/xxgk/zcfb/ghwb/201612/W020190905497886107757.pdf" TargetMode="External"/><Relationship Id="rId483" Type="http://schemas.openxmlformats.org/officeDocument/2006/relationships/hyperlink" Target="http://www.zjtz.gov.cn/art/2021/8/25/art_1229049733_59046724.html" TargetMode="External"/><Relationship Id="rId240" Type="http://schemas.openxmlformats.org/officeDocument/2006/relationships/hyperlink" Target="http://www.rail-transit.com/project/show.php?itemid=136" TargetMode="External"/><Relationship Id="rId482" Type="http://schemas.openxmlformats.org/officeDocument/2006/relationships/hyperlink" Target="http://www.rail-transit.com/project/show.php?itemid=711" TargetMode="External"/><Relationship Id="rId481" Type="http://schemas.openxmlformats.org/officeDocument/2006/relationships/hyperlink" Target="http://www.rail-transit.com/project/show.php?itemid=711" TargetMode="External"/><Relationship Id="rId246" Type="http://schemas.openxmlformats.org/officeDocument/2006/relationships/hyperlink" Target="http://www.rail-transit.com/project/show.php?itemid=137" TargetMode="External"/><Relationship Id="rId488" Type="http://schemas.openxmlformats.org/officeDocument/2006/relationships/hyperlink" Target="https://wenku.baidu.com/view/801ab19a8ad63186bceb19e8b8f67c1cfbd6ee6e.html" TargetMode="External"/><Relationship Id="rId245" Type="http://schemas.openxmlformats.org/officeDocument/2006/relationships/hyperlink" Target="http://www.rail-transit.com/project/show.php?itemid=301" TargetMode="External"/><Relationship Id="rId487" Type="http://schemas.openxmlformats.org/officeDocument/2006/relationships/hyperlink" Target="https://wenku.baidu.com/view/801ab19a8ad63186bceb19e8b8f67c1cfbd6ee6e.html" TargetMode="External"/><Relationship Id="rId244" Type="http://schemas.openxmlformats.org/officeDocument/2006/relationships/hyperlink" Target="http://www.rail-transit.com/project/show.php?itemid=133" TargetMode="External"/><Relationship Id="rId486" Type="http://schemas.openxmlformats.org/officeDocument/2006/relationships/hyperlink" Target="http://www.rail-transit.com/file/upload/201907/15/10573644162.pdf" TargetMode="External"/><Relationship Id="rId243" Type="http://schemas.openxmlformats.org/officeDocument/2006/relationships/hyperlink" Target="http://www.rail-transit.com/project/show.php?itemid=249" TargetMode="External"/><Relationship Id="rId485" Type="http://schemas.openxmlformats.org/officeDocument/2006/relationships/hyperlink" Target="http://www.rail-transit.com/project/show.php?itemid=251" TargetMode="External"/><Relationship Id="rId480" Type="http://schemas.openxmlformats.org/officeDocument/2006/relationships/hyperlink" Target="http://www.rail-transit.com/project/show.php?itemid=159" TargetMode="External"/><Relationship Id="rId239" Type="http://schemas.openxmlformats.org/officeDocument/2006/relationships/hyperlink" Target="https://www.ndrc.gov.cn/xxgk/zcfb/ghwb/201612/W020190905497886107757.pdf" TargetMode="External"/><Relationship Id="rId238" Type="http://schemas.openxmlformats.org/officeDocument/2006/relationships/hyperlink" Target="https://www.ndrc.gov.cn/xxgk/zcfb/ghwb/201612/W020190905497886107757.pdf" TargetMode="External"/><Relationship Id="rId237" Type="http://schemas.openxmlformats.org/officeDocument/2006/relationships/hyperlink" Target="http://www.rail-transit.com/project/show.php?itemid=89" TargetMode="External"/><Relationship Id="rId479" Type="http://schemas.openxmlformats.org/officeDocument/2006/relationships/hyperlink" Target="http://www.rail-transit.com/project/show.php?itemid=120" TargetMode="External"/><Relationship Id="rId236" Type="http://schemas.openxmlformats.org/officeDocument/2006/relationships/hyperlink" Target="http://www.rail-transit.com/project/show.php?itemid=89" TargetMode="External"/><Relationship Id="rId478" Type="http://schemas.openxmlformats.org/officeDocument/2006/relationships/hyperlink" Target="http://www.rail-transit.com/project/show.php?itemid=260" TargetMode="External"/><Relationship Id="rId231" Type="http://schemas.openxmlformats.org/officeDocument/2006/relationships/hyperlink" Target="http://www.rail-transit.com/project/show.php?itemid=294" TargetMode="External"/><Relationship Id="rId473" Type="http://schemas.openxmlformats.org/officeDocument/2006/relationships/hyperlink" Target="http://www.rail-transit.com/project/show.php?itemid=148" TargetMode="External"/><Relationship Id="rId230" Type="http://schemas.openxmlformats.org/officeDocument/2006/relationships/hyperlink" Target="http://zfxxgk.ndrc.gov.cn/web/iteminfo.jsp?id=362" TargetMode="External"/><Relationship Id="rId472" Type="http://schemas.openxmlformats.org/officeDocument/2006/relationships/hyperlink" Target="http://www.rail-transit.com/project/show.php?itemid=293" TargetMode="External"/><Relationship Id="rId471" Type="http://schemas.openxmlformats.org/officeDocument/2006/relationships/hyperlink" Target="http://www.tranbbs.com/Advisory/Rail/Advisory_84459.shtml" TargetMode="External"/><Relationship Id="rId470" Type="http://schemas.openxmlformats.org/officeDocument/2006/relationships/hyperlink" Target="http://www.rail-transit.com/project/show.php?itemid=572" TargetMode="External"/><Relationship Id="rId235" Type="http://schemas.openxmlformats.org/officeDocument/2006/relationships/hyperlink" Target="http://www.rail-transit.com/project/show.php?itemid=313" TargetMode="External"/><Relationship Id="rId477" Type="http://schemas.openxmlformats.org/officeDocument/2006/relationships/hyperlink" Target="http://finance.sina.com.cn/roll/20120905/131013052588.shtml" TargetMode="External"/><Relationship Id="rId234" Type="http://schemas.openxmlformats.org/officeDocument/2006/relationships/hyperlink" Target="http://www.rail-transit.com/project/show.php?itemid=113" TargetMode="External"/><Relationship Id="rId476" Type="http://schemas.openxmlformats.org/officeDocument/2006/relationships/hyperlink" Target="https://www.ndrc.gov.cn/xxgk/zcfb/ghwb/201809/W020190905497960329280.pdf" TargetMode="External"/><Relationship Id="rId233" Type="http://schemas.openxmlformats.org/officeDocument/2006/relationships/hyperlink" Target="https://baike.baidu.com/item/%E8%B4%B5%E9%98%B3%E8%BD%A8%E9%81%93%E4%BA%A4%E9%80%9A3%E5%8F%B7%E7%BA%BF/16024214" TargetMode="External"/><Relationship Id="rId475" Type="http://schemas.openxmlformats.org/officeDocument/2006/relationships/hyperlink" Target="https://www.ndrc.gov.cn/xxgk/zcfb/ghwb/201809/W020190905497960329280.pdf" TargetMode="External"/><Relationship Id="rId232" Type="http://schemas.openxmlformats.org/officeDocument/2006/relationships/hyperlink" Target="http://zfxxgk.ndrc.gov.cn/web/iteminfo.jsp?id=362" TargetMode="External"/><Relationship Id="rId474" Type="http://schemas.openxmlformats.org/officeDocument/2006/relationships/hyperlink" Target="http://www.rail-transit.com/project/show.php?itemid=321" TargetMode="External"/><Relationship Id="rId426" Type="http://schemas.openxmlformats.org/officeDocument/2006/relationships/hyperlink" Target="https://sy.leju.com/news/2021-10-25/16496858323734529623540.shtml" TargetMode="External"/><Relationship Id="rId668" Type="http://schemas.openxmlformats.org/officeDocument/2006/relationships/hyperlink" Target="https://mmis.hkpl.gov.hk///c/portal/cover?c=QF757YsWv59%2F9WIUSQ5l76Vd0tr1CR%2F%2F" TargetMode="External"/><Relationship Id="rId425" Type="http://schemas.openxmlformats.org/officeDocument/2006/relationships/hyperlink" Target="http://www.rail-transit.com/project/show.php?itemid=216" TargetMode="External"/><Relationship Id="rId667" Type="http://schemas.openxmlformats.org/officeDocument/2006/relationships/hyperlink" Target="https://www.ametro.gr/wp-content/uploads/2018/08/AM_Xrimatooikonomikes_katastaseis_2017.pdf" TargetMode="External"/><Relationship Id="rId424" Type="http://schemas.openxmlformats.org/officeDocument/2006/relationships/hyperlink" Target="http://www.symtc.com/content.php?5894" TargetMode="External"/><Relationship Id="rId666" Type="http://schemas.openxmlformats.org/officeDocument/2006/relationships/hyperlink" Target="https://omekgroup.com.gr/projects/thessaloniki-metro/" TargetMode="External"/><Relationship Id="rId423" Type="http://schemas.openxmlformats.org/officeDocument/2006/relationships/hyperlink" Target="http://www.symtc.com/content.php?5894" TargetMode="External"/><Relationship Id="rId665" Type="http://schemas.openxmlformats.org/officeDocument/2006/relationships/hyperlink" Target="https://www.ametro.gr/?p=14801&amp;lang=en" TargetMode="External"/><Relationship Id="rId429" Type="http://schemas.openxmlformats.org/officeDocument/2006/relationships/hyperlink" Target="http://www.symtc.com/content.php?5894" TargetMode="External"/><Relationship Id="rId428" Type="http://schemas.openxmlformats.org/officeDocument/2006/relationships/hyperlink" Target="http://www.shenyangbus.com/a/sydt/2018/1227/10268.html" TargetMode="External"/><Relationship Id="rId427" Type="http://schemas.openxmlformats.org/officeDocument/2006/relationships/hyperlink" Target="http://www.janeoo.com/news/hangyedongtai-detail-539834.htm" TargetMode="External"/><Relationship Id="rId669" Type="http://schemas.openxmlformats.org/officeDocument/2006/relationships/hyperlink" Target="https://mmis.hkpl.gov.hk///c/portal/cover?c=QF757YsWv59%2F9WIUSQ5l7%2Fm%2BLaqXoBAd" TargetMode="External"/><Relationship Id="rId660" Type="http://schemas.openxmlformats.org/officeDocument/2006/relationships/hyperlink" Target="https://www.usinenouvelle.com/article/le-prolongement-a-l-ouest-de-paris-du-rer-e-devient-enfin-realite.N775434" TargetMode="External"/><Relationship Id="rId422" Type="http://schemas.openxmlformats.org/officeDocument/2006/relationships/hyperlink" Target="http://www.rail-transit.com/project/show.php?itemid=194" TargetMode="External"/><Relationship Id="rId664" Type="http://schemas.openxmlformats.org/officeDocument/2006/relationships/hyperlink" Target="https://www.ametro.gr/wp-content/uploads/2018/08/AM_Xrimatooikonomikes_katastaseis_2017.pdf" TargetMode="External"/><Relationship Id="rId421" Type="http://schemas.openxmlformats.org/officeDocument/2006/relationships/hyperlink" Target="http://www.rail-transit.com/project/show.php?itemid=179" TargetMode="External"/><Relationship Id="rId663" Type="http://schemas.openxmlformats.org/officeDocument/2006/relationships/hyperlink" Target="https://www.toulousemetro3.fr/le-projet/3eme-ligne.html" TargetMode="External"/><Relationship Id="rId420" Type="http://schemas.openxmlformats.org/officeDocument/2006/relationships/hyperlink" Target="http://www.rail-transit.com/project/show.php?itemid=259" TargetMode="External"/><Relationship Id="rId662" Type="http://schemas.openxmlformats.org/officeDocument/2006/relationships/hyperlink" Target="https://www.gpmetropole-infos.fr/le-cout-du-grand-paris-express-revu-a-la-hausse/" TargetMode="External"/><Relationship Id="rId661" Type="http://schemas.openxmlformats.org/officeDocument/2006/relationships/hyperlink" Target="https://www.ratp.fr/en/groupe-ratp/metrotrains/m11-extension-rosny-bois-perrier-and-then-noisy-champs" TargetMode="External"/><Relationship Id="rId415" Type="http://schemas.openxmlformats.org/officeDocument/2006/relationships/hyperlink" Target="https://www.ndrc.gov.cn/fggz/zcssfz/zcgh/201812/W020190910670719961874.pdf" TargetMode="External"/><Relationship Id="rId657" Type="http://schemas.openxmlformats.org/officeDocument/2006/relationships/hyperlink" Target="https://france3-regions.francetvinfo.fr/paris-ile-de-france/2013/03/22/ligne-4-montrouge-se-met-sur-les-rails-220977.html" TargetMode="External"/><Relationship Id="rId899" Type="http://schemas.openxmlformats.org/officeDocument/2006/relationships/hyperlink" Target="https://www.masstransitmag.com/rail/infrastructure/press-release/21094267/gateway-program-the-hudson-tunnel-projects-trims-14-billion-with-new-financial-plan" TargetMode="External"/><Relationship Id="rId414" Type="http://schemas.openxmlformats.org/officeDocument/2006/relationships/hyperlink" Target="https://www.ndrc.gov.cn/fggz/zcssfz/zcgh/201812/W020190910670719961874.pdf" TargetMode="External"/><Relationship Id="rId656" Type="http://schemas.openxmlformats.org/officeDocument/2006/relationships/hyperlink" Target="https://plainecommune.fr/projets/transports-et-mobilite/prolongement-de-la-ligne-12/" TargetMode="External"/><Relationship Id="rId898" Type="http://schemas.openxmlformats.org/officeDocument/2006/relationships/hyperlink" Target="https://www.nytimes.com/2018/04/25/nyregion/mta-east-side-access-11-billion.html" TargetMode="External"/><Relationship Id="rId413" Type="http://schemas.openxmlformats.org/officeDocument/2006/relationships/hyperlink" Target="http://seetao.com/details/179710.html" TargetMode="External"/><Relationship Id="rId655" Type="http://schemas.openxmlformats.org/officeDocument/2006/relationships/hyperlink" Target="https://www.railpassion.fr/materiel-actualites-rp/011-14751-la-ligne-8-du-metro-arrive-a-creteil-pointe-du-lac/" TargetMode="External"/><Relationship Id="rId897" Type="http://schemas.openxmlformats.org/officeDocument/2006/relationships/hyperlink" Target="http://web.mta.info/capitaldashboard/CPDMega.html" TargetMode="External"/><Relationship Id="rId412" Type="http://schemas.openxmlformats.org/officeDocument/2006/relationships/hyperlink" Target="https://www.seetao.com/details/82868.html" TargetMode="External"/><Relationship Id="rId654" Type="http://schemas.openxmlformats.org/officeDocument/2006/relationships/hyperlink" Target="https://web.archive.org/web/20120221232537/http://www.iledefrance.fr/lactualite/transports/metro-rer/ligne-13-deux-nouvelles-stations-a-asnieres-gennevilliers/" TargetMode="External"/><Relationship Id="rId896" Type="http://schemas.openxmlformats.org/officeDocument/2006/relationships/hyperlink" Target="http://web.mta.info/nyct/service/new7LineExtension_to11Avenue.htm" TargetMode="External"/><Relationship Id="rId419" Type="http://schemas.openxmlformats.org/officeDocument/2006/relationships/hyperlink" Target="http://www.ce.cn/cysc/jtys/tielu/202102/02/t20210202_36283657.shtml" TargetMode="External"/><Relationship Id="rId418" Type="http://schemas.openxmlformats.org/officeDocument/2006/relationships/hyperlink" Target="https://www.ndrc.gov.cn/fggz/zcssfz/zcgh/201812/W020190910670719961874.pdf" TargetMode="External"/><Relationship Id="rId417" Type="http://schemas.openxmlformats.org/officeDocument/2006/relationships/hyperlink" Target="https://www.ndrc.gov.cn/fggz/zcssfz/zcgh/201812/W020190910670719961874.pdf" TargetMode="External"/><Relationship Id="rId659" Type="http://schemas.openxmlformats.org/officeDocument/2006/relationships/hyperlink" Target="http://www.prolongement-m4.fr/sites/default/files/documents/m4-bagneux-dossierpresse_180316_bd.pdf" TargetMode="External"/><Relationship Id="rId416" Type="http://schemas.openxmlformats.org/officeDocument/2006/relationships/hyperlink" Target="https://www.ndrc.gov.cn/fggz/zcssfz/zcgh/201812/W020190910670719961874.pdf" TargetMode="External"/><Relationship Id="rId658" Type="http://schemas.openxmlformats.org/officeDocument/2006/relationships/hyperlink" Target="https://www.prolongement-metro12.fr/faq-metro-m12/" TargetMode="External"/><Relationship Id="rId891" Type="http://schemas.openxmlformats.org/officeDocument/2006/relationships/hyperlink" Target="https://www.metro.net/projects/connector/" TargetMode="External"/><Relationship Id="rId890" Type="http://schemas.openxmlformats.org/officeDocument/2006/relationships/hyperlink" Target="https://spectrumnews1.com/ca/la-west/transportation/2022/01/25/-2-1-billion-crenshaw-lax-light-rail-project-near-completion" TargetMode="External"/><Relationship Id="rId411" Type="http://schemas.openxmlformats.org/officeDocument/2006/relationships/hyperlink" Target="http://www.rail-transit.com/project/show.php?itemid=343" TargetMode="External"/><Relationship Id="rId653" Type="http://schemas.openxmlformats.org/officeDocument/2006/relationships/hyperlink" Target="http://www.omegacentre.bartlett.ucl.ac.uk/wp-content/uploads/2014/12/FRANCE_METEOR_PROFILE.pdf" TargetMode="External"/><Relationship Id="rId895" Type="http://schemas.openxmlformats.org/officeDocument/2006/relationships/hyperlink" Target="https://www.miamidade.gov/transit/improvement-airportlink.asp" TargetMode="External"/><Relationship Id="rId410" Type="http://schemas.openxmlformats.org/officeDocument/2006/relationships/hyperlink" Target="https://www.ndrc.gov.cn/fggz/zcssfz/zcgh/201812/W020190910670719961874.pdf" TargetMode="External"/><Relationship Id="rId652" Type="http://schemas.openxmlformats.org/officeDocument/2006/relationships/hyperlink" Target="http://www.cgedd.developpement-durable.gouv.fr/IMG/pdf/RER_D_ChateletGareLyon_cle776cb1-1.pdf" TargetMode="External"/><Relationship Id="rId894" Type="http://schemas.openxmlformats.org/officeDocument/2006/relationships/hyperlink" Target="https://la.streetsblog.org/2020/03/24/metro-signs-1-3-billion-full-funding-grant-agreement-for-westside-subway-phase-3/" TargetMode="External"/><Relationship Id="rId651" Type="http://schemas.openxmlformats.org/officeDocument/2006/relationships/hyperlink" Target="http://www.oullins.fr/territoire-d-avenir/prolongement-du-metro-b-382.html" TargetMode="External"/><Relationship Id="rId893" Type="http://schemas.openxmlformats.org/officeDocument/2006/relationships/hyperlink" Target="https://www.railjournal.com/in_depth/transit-projects-fly-in-the-city-of-angels" TargetMode="External"/><Relationship Id="rId650" Type="http://schemas.openxmlformats.org/officeDocument/2006/relationships/hyperlink" Target="https://www.lyon-entreprises.com/actualites/article/le-prolongement-de-la-ligne-b-du-metro-lyonnais-a-oullins-devrait-booster-le-developpement-du-sud-ouest-lyonnais" TargetMode="External"/><Relationship Id="rId892" Type="http://schemas.openxmlformats.org/officeDocument/2006/relationships/hyperlink" Target="https://la.streetsblog.org/2018/04/25/metro-celebrates-purple-line-extension-1-tunnel-machines-set-to-start-in-august/" TargetMode="External"/><Relationship Id="rId206" Type="http://schemas.openxmlformats.org/officeDocument/2006/relationships/hyperlink" Target="http://www.rail-transit.com/project/show.php?itemid=151" TargetMode="External"/><Relationship Id="rId448" Type="http://schemas.openxmlformats.org/officeDocument/2006/relationships/hyperlink" Target="http://www.rail-transit.com/project/show.php?itemid=541" TargetMode="External"/><Relationship Id="rId205" Type="http://schemas.openxmlformats.org/officeDocument/2006/relationships/hyperlink" Target="http://www.rail-transit.com/project/show.php?itemid=171" TargetMode="External"/><Relationship Id="rId447" Type="http://schemas.openxmlformats.org/officeDocument/2006/relationships/hyperlink" Target="http://www.rail-transit.com/project/show.php?itemid=175" TargetMode="External"/><Relationship Id="rId689" Type="http://schemas.openxmlformats.org/officeDocument/2006/relationships/hyperlink" Target="https://www.indiatoday.in/india/story/hyderabad-metro-project-delay-by-l-and-t-pushes-up-cost-by-over-30-per-cent-1094750-2017-11-26" TargetMode="External"/><Relationship Id="rId204" Type="http://schemas.openxmlformats.org/officeDocument/2006/relationships/hyperlink" Target="http://www.gov.cn/xinwen/2017-03/23/5180079/files/d764253433a944c0a620def88bf6f446.pdf" TargetMode="External"/><Relationship Id="rId446" Type="http://schemas.openxmlformats.org/officeDocument/2006/relationships/hyperlink" Target="http://www.rail-transit.com/project/show.php?itemid=346" TargetMode="External"/><Relationship Id="rId688" Type="http://schemas.openxmlformats.org/officeDocument/2006/relationships/hyperlink" Target="http://www.ptinews.com/news/8562521_Second-phase-of-Gurgaon-s-Rapid-Metro-launched.html" TargetMode="External"/><Relationship Id="rId203" Type="http://schemas.openxmlformats.org/officeDocument/2006/relationships/hyperlink" Target="http://mee.gov.cn/ywgz/hjyxpj/jsxmhjyxpj/xmslqk/201605/W020160522150689146882.pdf" TargetMode="External"/><Relationship Id="rId445" Type="http://schemas.openxmlformats.org/officeDocument/2006/relationships/hyperlink" Target="https://www.ndrc.gov.cn/xxgk/zcfb/ghwb/201707/W020190905497930956563.pdf" TargetMode="External"/><Relationship Id="rId687" Type="http://schemas.openxmlformats.org/officeDocument/2006/relationships/hyperlink" Target="http://archive.indianexpress.com/news/gurgaon-rapid-metro-begins-trial-runs/1011112/0" TargetMode="External"/><Relationship Id="rId209" Type="http://schemas.openxmlformats.org/officeDocument/2006/relationships/hyperlink" Target="http://www.gov.cn/xinwen/2017-03/23/5180079/files/d764253433a944c0a620def88bf6f446.pdf" TargetMode="External"/><Relationship Id="rId208" Type="http://schemas.openxmlformats.org/officeDocument/2006/relationships/hyperlink" Target="http://www.gov.cn/xinwen/2017-03/23/5180079/files/d764253433a944c0a620def88bf6f446.pdf" TargetMode="External"/><Relationship Id="rId207" Type="http://schemas.openxmlformats.org/officeDocument/2006/relationships/hyperlink" Target="http://www.gov.cn/xinwen/2017-03/23/5180079/files/d764253433a944c0a620def88bf6f446.pdf" TargetMode="External"/><Relationship Id="rId449" Type="http://schemas.openxmlformats.org/officeDocument/2006/relationships/hyperlink" Target="http://www.rail-transit.com/project/show.php?itemid=537" TargetMode="External"/><Relationship Id="rId440" Type="http://schemas.openxmlformats.org/officeDocument/2006/relationships/hyperlink" Target="https://zfxxgk.ndrc.gov.cn/web/iteminfo.jsp?id=16961" TargetMode="External"/><Relationship Id="rId682" Type="http://schemas.openxmlformats.org/officeDocument/2006/relationships/hyperlink" Target="https://themetrorailguy.com/chennai-metro-phase-1-extension-information-route-maps-tenders-updates/" TargetMode="External"/><Relationship Id="rId681" Type="http://schemas.openxmlformats.org/officeDocument/2006/relationships/hyperlink" Target="https://www.business-standard.com/article/current-affairs/phase-ii-chennai-metro-project-to-cost-rs-36-000-cr-114022800932_1.html" TargetMode="External"/><Relationship Id="rId680" Type="http://schemas.openxmlformats.org/officeDocument/2006/relationships/hyperlink" Target="https://www.metrorailnews.in/bengaluru-metros-yelachenahalli-anjanapura-line-supposed-to-be-ready-by-november-2020/" TargetMode="External"/><Relationship Id="rId202" Type="http://schemas.openxmlformats.org/officeDocument/2006/relationships/hyperlink" Target="https://www.sohu.com/a/351491006_124706" TargetMode="External"/><Relationship Id="rId444" Type="http://schemas.openxmlformats.org/officeDocument/2006/relationships/hyperlink" Target="https://www.ndrc.gov.cn/xxgk/zcfb/ghwb/201707/W020190905497930956563.pdf" TargetMode="External"/><Relationship Id="rId686" Type="http://schemas.openxmlformats.org/officeDocument/2006/relationships/hyperlink" Target="https://economictimes.indiatimes.com/news/politics-and-nation/operational-loss-in-delhi-metro-phase-iv-project-to-be-borne-by-delhi-govt-sc/articleshow/71008680.cms" TargetMode="External"/><Relationship Id="rId201" Type="http://schemas.openxmlformats.org/officeDocument/2006/relationships/hyperlink" Target="https://www.ndrc.gov.cn/fggz/zcssfz/zdgc/201209/t20120905_1145857.html" TargetMode="External"/><Relationship Id="rId443" Type="http://schemas.openxmlformats.org/officeDocument/2006/relationships/hyperlink" Target="http://www.rail-transit.com/project/show.php?itemid=354" TargetMode="External"/><Relationship Id="rId685" Type="http://schemas.openxmlformats.org/officeDocument/2006/relationships/hyperlink" Target="https://housing.com/news/delhi-metro-phase-iv-finally-approved-government/" TargetMode="External"/><Relationship Id="rId200" Type="http://schemas.openxmlformats.org/officeDocument/2006/relationships/hyperlink" Target="http://district.ce.cn/newarea/roll/201503/17/t20150317_4847921.shtml" TargetMode="External"/><Relationship Id="rId442" Type="http://schemas.openxmlformats.org/officeDocument/2006/relationships/hyperlink" Target="https://www.ndrc.gov.cn/xxgk/zcfb/ghwb/201707/W020190905497930956563.pdf" TargetMode="External"/><Relationship Id="rId684" Type="http://schemas.openxmlformats.org/officeDocument/2006/relationships/hyperlink" Target="http://www.delhimetrorail.com/funding.aspx" TargetMode="External"/><Relationship Id="rId441" Type="http://schemas.openxmlformats.org/officeDocument/2006/relationships/hyperlink" Target="https://www.ndrc.gov.cn/xxgk/zcfb/ghwb/201707/W020190905497930956563.pdf" TargetMode="External"/><Relationship Id="rId683" Type="http://schemas.openxmlformats.org/officeDocument/2006/relationships/hyperlink" Target="https://www.businesstoday.in/sectors/infra/relief-for-commuters-in-chennai-metro-network-to-expand-phase-ii-work-begins/story/350907.html" TargetMode="External"/><Relationship Id="rId437" Type="http://schemas.openxmlformats.org/officeDocument/2006/relationships/hyperlink" Target="http://fgw.sz.gov.cn/zwgk/qt/tzgg/201902/P020190226346098115982.pdf" TargetMode="External"/><Relationship Id="rId679" Type="http://schemas.openxmlformats.org/officeDocument/2006/relationships/hyperlink" Target="https://economictimes.indiatimes.com/industry/transportation/railways/cost-and-time-overrun-marks-bengaluru-metro-phase-i/articleshow/57550535.cms" TargetMode="External"/><Relationship Id="rId436" Type="http://schemas.openxmlformats.org/officeDocument/2006/relationships/hyperlink" Target="https://www.ndrc.gov.cn/xxgk/zcfb/ghwb/201707/W020190905497930956563.pdf" TargetMode="External"/><Relationship Id="rId678" Type="http://schemas.openxmlformats.org/officeDocument/2006/relationships/hyperlink" Target="https://indianexpress.com/article/cities/ahmedabad/ahmedabad-metro-phase-1-delay-makes-cost-jump-by-rs-2000-cr-6486037/" TargetMode="External"/><Relationship Id="rId435" Type="http://schemas.openxmlformats.org/officeDocument/2006/relationships/hyperlink" Target="http://www.rail-transit.com/project/show.php?itemid=299" TargetMode="External"/><Relationship Id="rId677" Type="http://schemas.openxmlformats.org/officeDocument/2006/relationships/hyperlink" Target="https://www.indiatoday.in/india/story/pm-modi-to-virtually-inaugurate-construction-of-rs-8-000-crore-agra-metro-project-on-december-7-1746997-2020-12-05" TargetMode="External"/><Relationship Id="rId434" Type="http://schemas.openxmlformats.org/officeDocument/2006/relationships/hyperlink" Target="https://www.ndrc.gov.cn/fggz/zcssfz/zcgh/201509/W020190910670552487617.pdf" TargetMode="External"/><Relationship Id="rId676" Type="http://schemas.openxmlformats.org/officeDocument/2006/relationships/hyperlink" Target="http://www.xinhuanet.com/english/2019-05/21/c_138075072.htm" TargetMode="External"/><Relationship Id="rId439" Type="http://schemas.openxmlformats.org/officeDocument/2006/relationships/hyperlink" Target="https://huacheng.gz-cmc.com/pages/2020/09/02/12217064331742859f82edec5e61f9ff.html" TargetMode="External"/><Relationship Id="rId438" Type="http://schemas.openxmlformats.org/officeDocument/2006/relationships/hyperlink" Target="https://www.ndrc.gov.cn/xxgk/zcfb/ghwb/201707/W020190905497930956563.pdf" TargetMode="External"/><Relationship Id="rId671" Type="http://schemas.openxmlformats.org/officeDocument/2006/relationships/hyperlink" Target="https://mmis.hkpl.gov.hk///c/portal/cover?c=QF757YsWv59%2F9WIUSQ5l77yBOL%2Bgwk13" TargetMode="External"/><Relationship Id="rId670" Type="http://schemas.openxmlformats.org/officeDocument/2006/relationships/hyperlink" Target="https://mmis.hkpl.gov.hk///c/portal/cover?c=QF757YsWv59%2F9WIUSQ5l7xsxoWQ4dkCT" TargetMode="External"/><Relationship Id="rId433" Type="http://schemas.openxmlformats.org/officeDocument/2006/relationships/hyperlink" Target="http://fgw.sz.gov.cn/zwgk/qt/tzgg/201902/P020190226346098115982.pdf" TargetMode="External"/><Relationship Id="rId675" Type="http://schemas.openxmlformats.org/officeDocument/2006/relationships/hyperlink" Target="https://en.globes.co.il/en/article-first-third-of-red-line-completed-1001205843" TargetMode="External"/><Relationship Id="rId432" Type="http://schemas.openxmlformats.org/officeDocument/2006/relationships/hyperlink" Target="http://fgw.sz.gov.cn/zwgk/qt/tzgg/201902/P020190226346098115982.pdf" TargetMode="External"/><Relationship Id="rId674" Type="http://schemas.openxmlformats.org/officeDocument/2006/relationships/hyperlink" Target="https://www.jttri.or.jp/docs/seminar190719-25.pdf" TargetMode="External"/><Relationship Id="rId431" Type="http://schemas.openxmlformats.org/officeDocument/2006/relationships/hyperlink" Target="https://www.szmc.net/jituagaikuang/tourongziyewu/tourongziqingkuang/" TargetMode="External"/><Relationship Id="rId673" Type="http://schemas.openxmlformats.org/officeDocument/2006/relationships/hyperlink" Target="https://www.europarl.europa.eu/doceo/document//P-8-2017-000299_EN.html" TargetMode="External"/><Relationship Id="rId430" Type="http://schemas.openxmlformats.org/officeDocument/2006/relationships/hyperlink" Target="http://www.shenyangbus.com/a/sydt/2018/1227/10268.html" TargetMode="External"/><Relationship Id="rId672" Type="http://schemas.openxmlformats.org/officeDocument/2006/relationships/hyperlink" Target="https://www.info.gov.hk/archive/napco/cos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ndrc.gov.cn/fggz/zcssfz/zdgc/201209/t20120905_1145857.html" TargetMode="External"/><Relationship Id="rId194" Type="http://schemas.openxmlformats.org/officeDocument/2006/relationships/hyperlink" Target="https://www.ndrc.gov.cn/fggz/zcssfz/zdgc/201209/t20120905_1145857.html" TargetMode="External"/><Relationship Id="rId193" Type="http://schemas.openxmlformats.org/officeDocument/2006/relationships/hyperlink" Target="http://district.ce.cn/newarea/roll/201503/17/t20150317_4847921.shtml" TargetMode="External"/><Relationship Id="rId192" Type="http://schemas.openxmlformats.org/officeDocument/2006/relationships/hyperlink" Target="https://www.ndrc.gov.cn/fggz/zcssfz/zdgc/201209/t20120905_1145857.html" TargetMode="External"/><Relationship Id="rId191" Type="http://schemas.openxmlformats.org/officeDocument/2006/relationships/hyperlink" Target="https://m.21jingji.com/article/20201209/herald/7d218ef3f8835e2e9df093c805e45652.html" TargetMode="External"/><Relationship Id="rId187" Type="http://schemas.openxmlformats.org/officeDocument/2006/relationships/hyperlink" Target="http://fgw.fuzhou.gov.cn/zz/fgwzwgk/tzgg/201804/t20180428_2189534.htm" TargetMode="External"/><Relationship Id="rId186" Type="http://schemas.openxmlformats.org/officeDocument/2006/relationships/hyperlink" Target="https://xm.leju.com/news/2020-07-10/14296687241366554352613.shtml" TargetMode="External"/><Relationship Id="rId185" Type="http://schemas.openxmlformats.org/officeDocument/2006/relationships/hyperlink" Target="http://www.rail-transit.com/project/show.php?itemid=33" TargetMode="External"/><Relationship Id="rId184" Type="http://schemas.openxmlformats.org/officeDocument/2006/relationships/hyperlink" Target="http://fgw.fuzhou.gov.cn/zz/fgwzwgk/tzgg/201804/t20180428_2189534.htm" TargetMode="External"/><Relationship Id="rId189" Type="http://schemas.openxmlformats.org/officeDocument/2006/relationships/hyperlink" Target="http://www.dcement.com/Article/201310/117609.html" TargetMode="External"/><Relationship Id="rId188" Type="http://schemas.openxmlformats.org/officeDocument/2006/relationships/hyperlink" Target="https://new.qq.com/omn/20210613/20210613A08PZJ00.html" TargetMode="External"/><Relationship Id="rId183" Type="http://schemas.openxmlformats.org/officeDocument/2006/relationships/hyperlink" Target="https://xm.leju.com/news/2020-07-10/14296687241366554352613.shtml" TargetMode="External"/><Relationship Id="rId182" Type="http://schemas.openxmlformats.org/officeDocument/2006/relationships/hyperlink" Target="https://www.ndrc.gov.cn/fggz/zcssfz/zcgh/201601/t20160112_1145713.html" TargetMode="External"/><Relationship Id="rId181" Type="http://schemas.openxmlformats.org/officeDocument/2006/relationships/hyperlink" Target="https://www.sohu.com/a/417789253_410388" TargetMode="External"/><Relationship Id="rId180" Type="http://schemas.openxmlformats.org/officeDocument/2006/relationships/hyperlink" Target="https://www.ndrc.gov.cn/fggz/zcssfz/zcgh/201601/t20160112_1145713.html" TargetMode="External"/><Relationship Id="rId176" Type="http://schemas.openxmlformats.org/officeDocument/2006/relationships/hyperlink" Target="http://rail-transit.com/project/show.php?itemid=649" TargetMode="External"/><Relationship Id="rId175" Type="http://schemas.openxmlformats.org/officeDocument/2006/relationships/hyperlink" Target="https://www.ndrc.gov.cn/xxgk/zcfb/pifu/202101/t20210126_1316566.html?code=&amp;state=123" TargetMode="External"/><Relationship Id="rId174" Type="http://schemas.openxmlformats.org/officeDocument/2006/relationships/hyperlink" Target="http://fs.fccs.com/news/6022708.html" TargetMode="External"/><Relationship Id="rId173" Type="http://schemas.openxmlformats.org/officeDocument/2006/relationships/hyperlink" Target="http://www.rail-transit.com/project/show.php?itemid=650" TargetMode="External"/><Relationship Id="rId179"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178" Type="http://schemas.openxmlformats.org/officeDocument/2006/relationships/hyperlink" Target="https://www.ndrc.gov.cn/xxgk/zcfb/pifu/202101/t20210126_1316566.html?code=&amp;state=123" TargetMode="External"/><Relationship Id="rId177" Type="http://schemas.openxmlformats.org/officeDocument/2006/relationships/hyperlink" Target="https://www.ndrc.gov.cn/xxgk/zcfb/pifu/202101/t20210126_1316566.html?code=&amp;state=123" TargetMode="External"/><Relationship Id="rId198" Type="http://schemas.openxmlformats.org/officeDocument/2006/relationships/hyperlink" Target="http://www.rail-transit.com/project/show.php?itemid=171" TargetMode="External"/><Relationship Id="rId197" Type="http://schemas.openxmlformats.org/officeDocument/2006/relationships/hyperlink" Target="http://www.gov.cn/xinwen/2017-03/23/5180079/files/d764253433a944c0a620def88bf6f446.pdf" TargetMode="External"/><Relationship Id="rId196" Type="http://schemas.openxmlformats.org/officeDocument/2006/relationships/hyperlink" Target="http://mee.gov.cn/ywgz/hjyxpj/jsxmhjyxpj/xmslqk/201605/W020160522150689146882.pdf" TargetMode="External"/><Relationship Id="rId195" Type="http://schemas.openxmlformats.org/officeDocument/2006/relationships/hyperlink" Target="https://www.sohu.com/a/351491006_124706" TargetMode="External"/><Relationship Id="rId199" Type="http://schemas.openxmlformats.org/officeDocument/2006/relationships/hyperlink" Target="http://www.rail-transit.com/project/show.php?itemid=151" TargetMode="External"/><Relationship Id="rId150" Type="http://schemas.openxmlformats.org/officeDocument/2006/relationships/hyperlink" Target="http://ghzrzyj.cq.gov.cn/zwxx_186/mtgz/202208/t20220803_10975207.html" TargetMode="External"/><Relationship Id="rId392" Type="http://schemas.openxmlformats.org/officeDocument/2006/relationships/hyperlink" Target="https://zh.wikipedia.org/wiki/%E4%B8%8A%E6%B5%B7%E8%BD%A8%E9%81%93%E4%BA%A4%E9%80%9A11%E5%8F%B7%E7%BA%BF" TargetMode="External"/><Relationship Id="rId391" Type="http://schemas.openxmlformats.org/officeDocument/2006/relationships/hyperlink" Target="https://zh.wikipedia.org/wiki/%E4%B8%8A%E6%B5%B7%E8%BD%A8%E9%81%93%E4%BA%A4%E9%80%9A9%E5%8F%B7%E7%BA%BF" TargetMode="External"/><Relationship Id="rId390" Type="http://schemas.openxmlformats.org/officeDocument/2006/relationships/hyperlink" Target="https://zh.wikipedia.org/wiki/%E4%B8%8A%E6%B5%B7%E8%BD%A8%E9%81%93%E4%BA%A4%E9%80%9A7%E5%8F%B7%E7%BA%BF" TargetMode="External"/><Relationship Id="rId1" Type="http://schemas.openxmlformats.org/officeDocument/2006/relationships/comments" Target="../comments2.xml"/><Relationship Id="rId2" Type="http://schemas.openxmlformats.org/officeDocument/2006/relationships/hyperlink" Target="https://www.railway-technology.com/projects/route-2020-dubai/" TargetMode="External"/><Relationship Id="rId3" Type="http://schemas.openxmlformats.org/officeDocument/2006/relationships/hyperlink" Target="https://tn.com.ar/economia/el-gobierno-relanzo-el-rer-el-proyecto-para-conectar-los-trenes-del-area-metropolitana_856411" TargetMode="External"/><Relationship Id="rId149" Type="http://schemas.openxmlformats.org/officeDocument/2006/relationships/hyperlink" Target="http://politics.people.com.cn/n/2013/0223/c70731-20575832.html" TargetMode="External"/><Relationship Id="rId4" Type="http://schemas.openxmlformats.org/officeDocument/2006/relationships/hyperlink" Target="https://wien.orf.at/news/stories/2607445/" TargetMode="External"/><Relationship Id="rId148" Type="http://schemas.openxmlformats.org/officeDocument/2006/relationships/hyperlink" Target="http://www.gov.cn/jrzg/2011-09/29/content_1959823.htm" TargetMode="External"/><Relationship Id="rId9" Type="http://schemas.openxmlformats.org/officeDocument/2006/relationships/hyperlink" Target="https://www.transport.nsw.gov.au/news-and-events/media-releases/sydney-metro-northwest-under-budget" TargetMode="External"/><Relationship Id="rId143" Type="http://schemas.openxmlformats.org/officeDocument/2006/relationships/hyperlink" Target="http://fzggw.cq.gov.cn/zwgk/zfxxgkml/sphzbaxx/202011/t20201103_8406228_wap.html" TargetMode="External"/><Relationship Id="rId385" Type="http://schemas.openxmlformats.org/officeDocument/2006/relationships/hyperlink" Target="https://zh.wikipedia.org/wiki/%E4%B8%8A%E6%B5%B7%E8%BD%A8%E9%81%93%E4%BA%A4%E9%80%9A8%E5%8F%B7%E7%BA%BF" TargetMode="External"/><Relationship Id="rId142" Type="http://schemas.openxmlformats.org/officeDocument/2006/relationships/hyperlink" Target="http://www.rail-transit.com/project/show.php?itemid=457" TargetMode="External"/><Relationship Id="rId384" Type="http://schemas.openxmlformats.org/officeDocument/2006/relationships/hyperlink" Target="https://zh.wikipedia.org/wiki/%E4%B8%8A%E6%B5%B7%E8%BD%A8%E9%81%93%E4%BA%A4%E9%80%9A8%E5%8F%B7%E7%BA%BF" TargetMode="External"/><Relationship Id="rId141" Type="http://schemas.openxmlformats.org/officeDocument/2006/relationships/hyperlink" Target="http://www.rail-transit.com/shiping/show.php?itemid=958" TargetMode="External"/><Relationship Id="rId383" Type="http://schemas.openxmlformats.org/officeDocument/2006/relationships/hyperlink" Target="https://zh.wikipedia.org/wiki/%E4%B8%8A%E6%B5%B7%E8%BD%A8%E9%81%93%E4%BA%A4%E9%80%9A11%E5%8F%B7%E7%BA%BF" TargetMode="External"/><Relationship Id="rId140" Type="http://schemas.openxmlformats.org/officeDocument/2006/relationships/hyperlink" Target="http://www.rail-transit.com/project/show.php?itemid=456" TargetMode="External"/><Relationship Id="rId382" Type="http://schemas.openxmlformats.org/officeDocument/2006/relationships/hyperlink" Target="https://zh.wikipedia.org/wiki/%E4%B8%8A%E6%B5%B7%E8%BD%A8%E9%81%93%E4%BA%A4%E9%80%9A9%E5%8F%B7%E7%BA%BF" TargetMode="External"/><Relationship Id="rId5" Type="http://schemas.openxmlformats.org/officeDocument/2006/relationships/hyperlink" Target="https://www.wien.gv.at/stadtentwicklung/projekte/verkehrsplanung/u-bahn/u1-oberlaa.html" TargetMode="External"/><Relationship Id="rId147" Type="http://schemas.openxmlformats.org/officeDocument/2006/relationships/hyperlink" Target="http://news.sohu.com/20070609/n250475902.shtml" TargetMode="External"/><Relationship Id="rId389" Type="http://schemas.openxmlformats.org/officeDocument/2006/relationships/hyperlink" Target="https://zh.wikipedia.org/wiki/%E4%B8%8A%E6%B5%B7%E8%BD%A8%E9%81%93%E4%BA%A4%E9%80%9A6%E5%8F%B7%E7%BA%BF" TargetMode="External"/><Relationship Id="rId6" Type="http://schemas.openxmlformats.org/officeDocument/2006/relationships/hyperlink" Target="https://wien.orf.at/news/stories/2940360/" TargetMode="External"/><Relationship Id="rId146" Type="http://schemas.openxmlformats.org/officeDocument/2006/relationships/hyperlink" Target="http://news.sohu.com/20070609/n250475902.shtml" TargetMode="External"/><Relationship Id="rId388" Type="http://schemas.openxmlformats.org/officeDocument/2006/relationships/hyperlink" Target="https://zh.wikipedia.org/wiki/%E4%B8%8A%E6%B5%B7%E8%BD%A8%E9%81%93%E4%BA%A4%E9%80%9A2%E5%8F%B7%E7%BA%BF" TargetMode="External"/><Relationship Id="rId7" Type="http://schemas.openxmlformats.org/officeDocument/2006/relationships/hyperlink" Target="https://www.audit.vic.gov.au/report/melbourne-metro-tunnel-project-phase-2-main-works?section=" TargetMode="External"/><Relationship Id="rId145" Type="http://schemas.openxmlformats.org/officeDocument/2006/relationships/hyperlink" Target="https://m.sohu.com/n/384104755/" TargetMode="External"/><Relationship Id="rId387" Type="http://schemas.openxmlformats.org/officeDocument/2006/relationships/hyperlink" Target="https://zh.wikipedia.org/wiki/%E4%B8%8A%E6%B5%B7%E8%BD%A8%E9%81%93%E4%BA%A4%E9%80%9A2%E5%8F%B7%E7%BA%BF" TargetMode="External"/><Relationship Id="rId8" Type="http://schemas.openxmlformats.org/officeDocument/2006/relationships/hyperlink" Target="https://www.forrestfieldairportlink.wa.gov.au/Portals/14/Project%20Overview%20Fact%20Sheet%20-%20Dec18%20WEB.pdf" TargetMode="External"/><Relationship Id="rId144" Type="http://schemas.openxmlformats.org/officeDocument/2006/relationships/hyperlink" Target="http://news.sina.com.cn/o/2005-06-15/11406180055s.shtml" TargetMode="External"/><Relationship Id="rId386" Type="http://schemas.openxmlformats.org/officeDocument/2006/relationships/hyperlink" Target="https://zh.wikipedia.org/wiki/%E4%B8%8A%E6%B5%B7%E8%BD%A8%E9%81%93%E4%BA%A4%E9%80%9A10%E5%8F%B7%E7%BA%BF" TargetMode="External"/><Relationship Id="rId381" Type="http://schemas.openxmlformats.org/officeDocument/2006/relationships/hyperlink" Target="https://zh.wikipedia.org/wiki/%E4%B8%8A%E6%B5%B7%E8%BD%A8%E9%81%93%E4%BA%A4%E9%80%9A7%E5%8F%B7%E7%BA%BF" TargetMode="External"/><Relationship Id="rId380" Type="http://schemas.openxmlformats.org/officeDocument/2006/relationships/hyperlink" Target="https://zh.wikipedia.org/wiki/%E4%B8%8A%E6%B5%B7%E8%BD%A8%E9%81%93%E4%BA%A4%E9%80%9A9%E5%8F%B7%E7%BA%BF" TargetMode="External"/><Relationship Id="rId139" Type="http://schemas.openxmlformats.org/officeDocument/2006/relationships/hyperlink" Target="http://www.rail-transit.com/project/show.php?itemid=519" TargetMode="External"/><Relationship Id="rId138" Type="http://schemas.openxmlformats.org/officeDocument/2006/relationships/hyperlink" Target="http://fzggw.cq.gov.cn/zwgk/zfxxgkml/sphzbaxx/202010/t20201010_7947213_wap.html" TargetMode="External"/><Relationship Id="rId137" Type="http://schemas.openxmlformats.org/officeDocument/2006/relationships/hyperlink" Target="http://www.rail-transit.com/project/show.php?itemid=517" TargetMode="External"/><Relationship Id="rId379" Type="http://schemas.openxmlformats.org/officeDocument/2006/relationships/hyperlink" Target="https://zh.wikipedia.org/wiki/%E4%B8%8A%E6%B5%B7%E8%BD%A8%E9%81%93%E4%BA%A4%E9%80%9A3%E5%8F%B7%E7%BA%BF" TargetMode="External"/><Relationship Id="rId132" Type="http://schemas.openxmlformats.org/officeDocument/2006/relationships/hyperlink" Target="https://www.ndrc.gov.cn/fggz/zcssfz/zcgh/201812/W020190910670713741772.pdf" TargetMode="External"/><Relationship Id="rId374" Type="http://schemas.openxmlformats.org/officeDocument/2006/relationships/hyperlink" Target="https://zh.wikipedia.org/wiki/%E4%B8%8A%E6%B5%B7%E8%BD%A8%E9%81%93%E4%BA%A4%E9%80%9A3%E5%8F%B7%E7%BA%BF" TargetMode="External"/><Relationship Id="rId131" Type="http://schemas.openxmlformats.org/officeDocument/2006/relationships/hyperlink" Target="https://www.ndrc.gov.cn/fggz/zcssfz/zcgh/201812/W020190910670713741772.pdf" TargetMode="External"/><Relationship Id="rId373" Type="http://schemas.openxmlformats.org/officeDocument/2006/relationships/hyperlink" Target="https://zh.wikipedia.org/wiki/%E4%B8%8A%E6%B5%B7%E8%BD%A8%E9%81%93%E4%BA%A4%E9%80%9A2%E5%8F%B7%E7%BA%BF" TargetMode="External"/><Relationship Id="rId130" Type="http://schemas.openxmlformats.org/officeDocument/2006/relationships/hyperlink" Target="https://www.ndrc.gov.cn/fggz/zcssfz/zcgh/201812/W020190910670713741772.pdf" TargetMode="External"/><Relationship Id="rId372" Type="http://schemas.openxmlformats.org/officeDocument/2006/relationships/hyperlink" Target="https://zh.wikipedia.org/wiki/%E4%B8%8A%E6%B5%B7%E8%BD%A8%E9%81%93%E4%BA%A4%E9%80%9A1%E5%8F%B7%E7%BA%BF" TargetMode="External"/><Relationship Id="rId371" Type="http://schemas.openxmlformats.org/officeDocument/2006/relationships/hyperlink" Target="https://zfxxgk.ndrc.gov.cn/web/iteminfo.jsp?id=18249" TargetMode="External"/><Relationship Id="rId136" Type="http://schemas.openxmlformats.org/officeDocument/2006/relationships/hyperlink" Target="http://fzggw.cq.gov.cn/zwgk/zfxxgkml/sphzbaxx/202009/t20200930_7937966_wap.html" TargetMode="External"/><Relationship Id="rId378" Type="http://schemas.openxmlformats.org/officeDocument/2006/relationships/hyperlink" Target="https://zh.wikipedia.org/wiki/%E4%B8%8A%E6%B5%B7%E8%BD%A8%E9%81%93%E4%BA%A4%E9%80%9A2%E5%8F%B7%E7%BA%BF" TargetMode="External"/><Relationship Id="rId135" Type="http://schemas.openxmlformats.org/officeDocument/2006/relationships/hyperlink" Target="https://www.ndrc.gov.cn/fggz/zcssfz/zcgh/201812/W020190910670713741772.pdf" TargetMode="External"/><Relationship Id="rId377" Type="http://schemas.openxmlformats.org/officeDocument/2006/relationships/hyperlink" Target="https://zh.wikipedia.org/wiki/%E4%B8%8A%E6%B5%B7%E8%BD%A8%E9%81%93%E4%BA%A4%E9%80%9A4%E5%8F%B7%E7%BA%BF" TargetMode="External"/><Relationship Id="rId134" Type="http://schemas.openxmlformats.org/officeDocument/2006/relationships/hyperlink" Target="http://www.rail-transit.com/project/show.php?itemid=356" TargetMode="External"/><Relationship Id="rId376" Type="http://schemas.openxmlformats.org/officeDocument/2006/relationships/hyperlink" Target="https://zh.wikipedia.org/wiki/%E4%B8%8A%E6%B5%B7%E8%BD%A8%E9%81%93%E4%BA%A4%E9%80%9A5%E5%8F%B7%E7%BA%BF" TargetMode="External"/><Relationship Id="rId133" Type="http://schemas.openxmlformats.org/officeDocument/2006/relationships/hyperlink" Target="http://politics.people.com.cn/n/2013/0223/c70731-20575832.html" TargetMode="External"/><Relationship Id="rId375" Type="http://schemas.openxmlformats.org/officeDocument/2006/relationships/hyperlink" Target="https://zh.wikipedia.org/wiki/%E4%B8%8A%E6%B5%B7%E8%BD%A8%E9%81%93%E4%BA%A4%E9%80%9A2%E5%8F%B7%E7%BA%BF" TargetMode="External"/><Relationship Id="rId172" Type="http://schemas.openxmlformats.org/officeDocument/2006/relationships/hyperlink" Target="https://3g.163.com/dy/article/EBK3L3990525EER4.html" TargetMode="External"/><Relationship Id="rId171" Type="http://schemas.openxmlformats.org/officeDocument/2006/relationships/hyperlink" Target="http://www.rail-transit.com/project/show.php?itemid=240" TargetMode="External"/><Relationship Id="rId170" Type="http://schemas.openxmlformats.org/officeDocument/2006/relationships/hyperlink" Target="http://www.rail-transit.com/project/show.php?itemid=147" TargetMode="External"/><Relationship Id="rId165" Type="http://schemas.openxmlformats.org/officeDocument/2006/relationships/hyperlink" Target="https://baijiahao.baidu.com/s?id=1638089292564878111&amp;wfr=spider&amp;for=pc" TargetMode="External"/><Relationship Id="rId164" Type="http://schemas.openxmlformats.org/officeDocument/2006/relationships/hyperlink" Target="https://baijiahao.baidu.com/s?id=1638089292564878111&amp;wfr=spider&amp;for=pc" TargetMode="External"/><Relationship Id="rId163" Type="http://schemas.openxmlformats.org/officeDocument/2006/relationships/hyperlink" Target="https://zfxxgk.ndrc.gov.cn/web/iteminfo.jsp?id=18775" TargetMode="External"/><Relationship Id="rId162" Type="http://schemas.openxmlformats.org/officeDocument/2006/relationships/hyperlink" Target="http://www.rail-transit.com/project/show.php?itemid=163," TargetMode="External"/><Relationship Id="rId169" Type="http://schemas.openxmlformats.org/officeDocument/2006/relationships/hyperlink" Target="https://baijiahao.baidu.com/s?id=1638089292564878111&amp;wfr=spider&amp;for=pc" TargetMode="External"/><Relationship Id="rId168" Type="http://schemas.openxmlformats.org/officeDocument/2006/relationships/hyperlink" Target="https://zfxxgk.ndrc.gov.cn/web/iteminfo.jsp?id=18775" TargetMode="External"/><Relationship Id="rId167" Type="http://schemas.openxmlformats.org/officeDocument/2006/relationships/hyperlink" Target="https://baijiahao.baidu.com/s?id=1638089292564878111&amp;wfr=spider&amp;for=pc" TargetMode="External"/><Relationship Id="rId166" Type="http://schemas.openxmlformats.org/officeDocument/2006/relationships/hyperlink" Target="https://finance.sina.com.cn/jjxw/2022-08-26/doc-imizmscv7763110.shtml?finpagefr=p_115" TargetMode="External"/><Relationship Id="rId161" Type="http://schemas.openxmlformats.org/officeDocument/2006/relationships/hyperlink" Target="http://www.rail-transit.com/project/show.php?itemid=609" TargetMode="External"/><Relationship Id="rId160" Type="http://schemas.openxmlformats.org/officeDocument/2006/relationships/hyperlink" Target="https://www.ndrc.gov.cn/fggz/zcssfz/zcgh/201812/W020190910670713741772.pdf" TargetMode="External"/><Relationship Id="rId159" Type="http://schemas.openxmlformats.org/officeDocument/2006/relationships/hyperlink" Target="https://www.sohu.com/a/516618507_120388781" TargetMode="External"/><Relationship Id="rId154" Type="http://schemas.openxmlformats.org/officeDocument/2006/relationships/hyperlink" Target="http://www.rail-transit.com/project/show.php?itemid=399" TargetMode="External"/><Relationship Id="rId396" Type="http://schemas.openxmlformats.org/officeDocument/2006/relationships/hyperlink" Target="https://web.archive.org/web/20201108201629/http://news.sina.com.cn/o/2017-12-27/doc-ifyqchnr6135266.shtml" TargetMode="External"/><Relationship Id="rId153" Type="http://schemas.openxmlformats.org/officeDocument/2006/relationships/hyperlink" Target="http://www.rail-transit.com/shiping/show.php?itemid=869" TargetMode="External"/><Relationship Id="rId395" Type="http://schemas.openxmlformats.org/officeDocument/2006/relationships/hyperlink" Target="https://www.pudong.gov.cn/zwgkupfiles/temp/2021-11-10/2c4b9a67-37b0-4046-a0ca-7cdc4d3b0d27/46%E5%8F%B7.pdf" TargetMode="External"/><Relationship Id="rId152" Type="http://schemas.openxmlformats.org/officeDocument/2006/relationships/hyperlink" Target="https://www.sohu.com/a/392594635_120388781" TargetMode="External"/><Relationship Id="rId394" Type="http://schemas.openxmlformats.org/officeDocument/2006/relationships/hyperlink" Target="https://zh.wikipedia.org/wiki/%E4%B8%8A%E6%B5%B7%E8%BD%A8%E9%81%93%E4%BA%A4%E9%80%9A11%E5%8F%B7%E7%BA%BF" TargetMode="External"/><Relationship Id="rId151" Type="http://schemas.openxmlformats.org/officeDocument/2006/relationships/hyperlink" Target="http://www.rail-transit.com/project/show.php?itemid=412" TargetMode="External"/><Relationship Id="rId393" Type="http://schemas.openxmlformats.org/officeDocument/2006/relationships/hyperlink" Target="https://zh.wikipedia.org/wiki/%E4%B8%8A%E6%B5%B7%E8%BD%A8%E9%81%93%E4%BA%A4%E9%80%9A11%E5%8F%B7%E7%BA%BF" TargetMode="External"/><Relationship Id="rId158" Type="http://schemas.openxmlformats.org/officeDocument/2006/relationships/hyperlink" Target="http://www.rail-transit.com/project/show.php?itemid=238" TargetMode="External"/><Relationship Id="rId157" Type="http://schemas.openxmlformats.org/officeDocument/2006/relationships/hyperlink" Target="http://www.rail-transit.com/project/show.php?itemid=521" TargetMode="External"/><Relationship Id="rId399" Type="http://schemas.openxmlformats.org/officeDocument/2006/relationships/hyperlink" Target="http://www.rail-transit.com/project/show.php?itemid=201" TargetMode="External"/><Relationship Id="rId156" Type="http://schemas.openxmlformats.org/officeDocument/2006/relationships/hyperlink" Target="http://www.rail-transit.com/project/show.php?itemid=693" TargetMode="External"/><Relationship Id="rId398" Type="http://schemas.openxmlformats.org/officeDocument/2006/relationships/hyperlink" Target="https://zh.wikipedia.org/wiki/%E4%B8%8A%E6%B5%B7%E8%BD%A8%E9%81%93%E4%BA%A4%E9%80%9A%E6%B5%A6%E6%B1%9F%E7%BA%BF" TargetMode="External"/><Relationship Id="rId155" Type="http://schemas.openxmlformats.org/officeDocument/2006/relationships/hyperlink" Target="http://m.xinhuanet.com/cq/2019-01/27/c_1124047880.htm" TargetMode="External"/><Relationship Id="rId397" Type="http://schemas.openxmlformats.org/officeDocument/2006/relationships/hyperlink" Target="https://zh.wikipedia.org/wiki/%E4%B8%8A%E6%B5%B7%E8%BD%A8%E9%81%93%E4%BA%A4%E9%80%9A5%E5%8F%B7%E7%BA%BF" TargetMode="External"/><Relationship Id="rId808" Type="http://schemas.openxmlformats.org/officeDocument/2006/relationships/hyperlink" Target="http://www.metrojeddah.com.sa/page/Metro" TargetMode="External"/><Relationship Id="rId807" Type="http://schemas.openxmlformats.org/officeDocument/2006/relationships/hyperlink" Target="https://www.bncnetwork.net/Project/Dammam_Metro/lLeKWJzyKRk=" TargetMode="External"/><Relationship Id="rId806" Type="http://schemas.openxmlformats.org/officeDocument/2006/relationships/hyperlink" Target="https://uralstroyinfo.ru/stroitelstvo-stanciy-metro-chkalovskaya" TargetMode="External"/><Relationship Id="rId805" Type="http://schemas.openxmlformats.org/officeDocument/2006/relationships/hyperlink" Target="https://progorodsamara.ru/news/view/za-cetyre-goda-stroitelstvo-teatralnoj-v-samare-podorozalo-na-700-mln-rublej" TargetMode="External"/><Relationship Id="rId809" Type="http://schemas.openxmlformats.org/officeDocument/2006/relationships/hyperlink" Target="http://www.riyadhmetro.sa/" TargetMode="External"/><Relationship Id="rId800" Type="http://schemas.openxmlformats.org/officeDocument/2006/relationships/hyperlink" Target="https://zakupki.gov.ru/epz/order/notice/ea20/view/common-info.html?regNumber=0311500000925000104" TargetMode="External"/><Relationship Id="rId804" Type="http://schemas.openxmlformats.org/officeDocument/2006/relationships/hyperlink" Target="https://zakupki.gov.ru/epz/order/notice/oku504/view/common-info.html?regNumber=0832200006621001490" TargetMode="External"/><Relationship Id="rId803" Type="http://schemas.openxmlformats.org/officeDocument/2006/relationships/hyperlink" Target="https://zakupki.gov.ru/epz/order/notice/oku44/view/common-info.html?regNumber=0132200004114000121" TargetMode="External"/><Relationship Id="rId802" Type="http://schemas.openxmlformats.org/officeDocument/2006/relationships/hyperlink" Target="https://www.kommersant.ru/doc/2135080" TargetMode="External"/><Relationship Id="rId801" Type="http://schemas.openxmlformats.org/officeDocument/2006/relationships/hyperlink" Target="https://web.archive.org/web/20131202230424/http://www.mos.ru/authority/activity/urban/index.php?id_14=24044" TargetMode="External"/><Relationship Id="rId40" Type="http://schemas.openxmlformats.org/officeDocument/2006/relationships/hyperlink" Target="https://bc.ctvnews.ca/federal-government-providing-up-to-1-3-billion-for-surrey-langley-skytrain-extension-1.5502944" TargetMode="External"/><Relationship Id="rId42" Type="http://schemas.openxmlformats.org/officeDocument/2006/relationships/hyperlink" Target="https://archive.wikiwix.com/cache/index2.php?url=http%3A%2F%2Fwww.publidoc.vd.ch%2FguestDownload%2Fdirect%2FTexte%2520adopt%25C3%25A9%2520par%2520CE.pdf%3Fpath%3D%2FCompany%2520Home%2FVD%2FCHANC%2FSIEL%2Fantilope%2Fobjet%2FCEGC%2FExpos%25C3%25A9%2520des%2520motifs%2F2002%2F05%2F174061_34_Texte%2520adopt%25C3%25A9%2520par%2520CE_20020604_234589.pdf%2Findex.html" TargetMode="External"/><Relationship Id="rId41" Type="http://schemas.openxmlformats.org/officeDocument/2006/relationships/hyperlink" Target="https://www.ceva.ch/2017/05/11/financement-et-organisation/?b=https://www.ceva.ch/category/projet" TargetMode="External"/><Relationship Id="rId44" Type="http://schemas.openxmlformats.org/officeDocument/2006/relationships/hyperlink" Target="https://www.railwaygazette.com/infrastructure/cross-city-tunnel-opening-increases-capacity-in-zurich/39619.article" TargetMode="External"/><Relationship Id="rId43" Type="http://schemas.openxmlformats.org/officeDocument/2006/relationships/hyperlink" Target="https://www.luzernerzeitung.ch/zentralschweiz/luzern/seetalplatz-und-zentralbahn-60-millionen-guenstiger-als-budgetiert-ld.1150224" TargetMode="External"/><Relationship Id="rId46" Type="http://schemas.openxmlformats.org/officeDocument/2006/relationships/hyperlink" Target="https://www.railwaygazette.com/projects-and-planning/santiago-tenders-line-7-construction/56621.article" TargetMode="External"/><Relationship Id="rId45" Type="http://schemas.openxmlformats.org/officeDocument/2006/relationships/hyperlink" Target="https://www.metro.cl/files/documentos/metro-investor-201709.pdf" TargetMode="External"/><Relationship Id="rId509" Type="http://schemas.openxmlformats.org/officeDocument/2006/relationships/hyperlink" Target="https://baike.baidu.com/reference/17605858/8a2eRI10Oo3jPyB3RZawIu33fUj3OmCx5fKTFCUCJXoq4BKXZ94NcZoLUG7NPyweTNKYwYHoa5qBIK1P24XE4PGoXEqagKR9-p1ks_BmNh00igM" TargetMode="External"/><Relationship Id="rId508" Type="http://schemas.openxmlformats.org/officeDocument/2006/relationships/hyperlink" Target="http://www.gov.cn/xinwen/2019-01/06/5355294/files/c3d503decf1d4b6b924324b210ee0f1a.pdf" TargetMode="External"/><Relationship Id="rId503" Type="http://schemas.openxmlformats.org/officeDocument/2006/relationships/hyperlink" Target="https://zh.wikipedia.org/wiki/%E6%AD%A6%E6%B1%89%E8%BD%A8%E9%81%93%E4%BA%A4%E9%80%9A4%E5%8F%B7%E7%BA%BF" TargetMode="External"/><Relationship Id="rId745" Type="http://schemas.openxmlformats.org/officeDocument/2006/relationships/hyperlink" Target="https://www.decn.co.jp/?p=89391" TargetMode="External"/><Relationship Id="rId502" Type="http://schemas.openxmlformats.org/officeDocument/2006/relationships/hyperlink" Target="http://www.gov.cn/xinwen/2019-01/06/5355294/files/c3d503decf1d4b6b924324b210ee0f1a.pdf" TargetMode="External"/><Relationship Id="rId744" Type="http://schemas.openxmlformats.org/officeDocument/2006/relationships/hyperlink" Target="https://resources.realestate.co.jp/living/faster-commute-and-lower-congestion-expected-as-sotetsu-main-line-and-jr-east-start-direct-rail-service-on-nov-30th/" TargetMode="External"/><Relationship Id="rId501" Type="http://schemas.openxmlformats.org/officeDocument/2006/relationships/hyperlink" Target="http://www.gov.cn/xinwen/2019-01/06/5355294/files/c3d503decf1d4b6b924324b210ee0f1a.pdf" TargetMode="External"/><Relationship Id="rId743" Type="http://schemas.openxmlformats.org/officeDocument/2006/relationships/hyperlink" Target="https://www.railwaygazette.com/cross-tokyo-link-inaugurated/40649.article" TargetMode="External"/><Relationship Id="rId500" Type="http://schemas.openxmlformats.org/officeDocument/2006/relationships/hyperlink" Target="http://www.gov.cn/xinwen/2019-01/06/5355294/files/c3d503decf1d4b6b924324b210ee0f1a.pdf" TargetMode="External"/><Relationship Id="rId742" Type="http://schemas.openxmlformats.org/officeDocument/2006/relationships/hyperlink" Target="https://www.japantimes.co.jp/news/2008/06/12/national/fukutoshin-subway-line-debuts/" TargetMode="External"/><Relationship Id="rId507" Type="http://schemas.openxmlformats.org/officeDocument/2006/relationships/hyperlink" Target="http://www.gov.cn/xinwen/2019-01/06/5355294/files/c3d503decf1d4b6b924324b210ee0f1a.pdf" TargetMode="External"/><Relationship Id="rId749" Type="http://schemas.openxmlformats.org/officeDocument/2006/relationships/hyperlink" Target="http://www.incheonnews.com/news/articleView.html?idxno=86652" TargetMode="External"/><Relationship Id="rId506" Type="http://schemas.openxmlformats.org/officeDocument/2006/relationships/hyperlink" Target="http://www.gov.cn/xinwen/2019-01/06/5355294/files/c3d503decf1d4b6b924324b210ee0f1a.pdf" TargetMode="External"/><Relationship Id="rId748" Type="http://schemas.openxmlformats.org/officeDocument/2006/relationships/hyperlink" Target="https://www.railwaygazette.com/asia/busan-metro-line-1-extends/44436.article" TargetMode="External"/><Relationship Id="rId505" Type="http://schemas.openxmlformats.org/officeDocument/2006/relationships/hyperlink" Target="http://www.rail-transit.com/project/show.php?itemid=184" TargetMode="External"/><Relationship Id="rId747" Type="http://schemas.openxmlformats.org/officeDocument/2006/relationships/hyperlink" Target="https://en.connectionjapan.com/2019/02/16/jr-east-construira-linha-para-ligar-toquio-ao-aeroporto-de-haneda/" TargetMode="External"/><Relationship Id="rId504" Type="http://schemas.openxmlformats.org/officeDocument/2006/relationships/hyperlink" Target="http://hb.sina.com.cn/news/b/2013-06-03/070979213.html" TargetMode="External"/><Relationship Id="rId746" Type="http://schemas.openxmlformats.org/officeDocument/2006/relationships/hyperlink" Target="https://www.railwaygazette.com/tokyo-monorail-plans-to-extend/39875.article" TargetMode="External"/><Relationship Id="rId48" Type="http://schemas.openxmlformats.org/officeDocument/2006/relationships/hyperlink" Target="http://finance.sina.com.cn/b/20040419/0854725033.shtml" TargetMode="External"/><Relationship Id="rId47" Type="http://schemas.openxmlformats.org/officeDocument/2006/relationships/hyperlink" Target="http://www.wikiwand.com/zh-sg/%E5%8C%97%E4%BA%AC%E5%9C%B0%E9%93%8113%E5%8F%B7%E7%BA%BF" TargetMode="External"/><Relationship Id="rId49" Type="http://schemas.openxmlformats.org/officeDocument/2006/relationships/hyperlink" Target="http://news.sciencenet.cn/sbhtmlnews/2008/8/209799.html" TargetMode="External"/><Relationship Id="rId741" Type="http://schemas.openxmlformats.org/officeDocument/2006/relationships/hyperlink" Target="https://www.jlgc.org.uk/en/news_letter/funding-local-infrastructure-and-the-tsukuba-express/" TargetMode="External"/><Relationship Id="rId740" Type="http://schemas.openxmlformats.org/officeDocument/2006/relationships/hyperlink" Target="https://www.japantimes.co.jp/life/2004/02/13/travel/new-subway-signals-start-of-a-new-era/" TargetMode="External"/><Relationship Id="rId31" Type="http://schemas.openxmlformats.org/officeDocument/2006/relationships/hyperlink" Target="https://www.theglobeandmail.com/news/toronto/sheppard-subway-extension-a-quarter-the-stops-for-three-times-the-cost/article622366/" TargetMode="External"/><Relationship Id="rId30" Type="http://schemas.openxmlformats.org/officeDocument/2006/relationships/hyperlink" Target="https://www.aecom.com/projects/ottawa-light-rail/" TargetMode="External"/><Relationship Id="rId33" Type="http://schemas.openxmlformats.org/officeDocument/2006/relationships/hyperlink" Target="https://www.cbc.ca/news/canada/toronto/eglinton-crosstown-opening-june-ttc-1.7400691" TargetMode="External"/><Relationship Id="rId32" Type="http://schemas.openxmlformats.org/officeDocument/2006/relationships/hyperlink" Target="https://www.thestar.com/news/gta/transportation/2017/12/15/trudeau-wynne-tory-on-hand-to-cut-ribbon-on-32-billion-subway-extension.html" TargetMode="External"/><Relationship Id="rId35" Type="http://schemas.openxmlformats.org/officeDocument/2006/relationships/hyperlink" Target="https://urbantoronto.ca/news/2020/03/metrolinxs-preliminary-business-case-scarborough-subway-extension-raises-questions" TargetMode="External"/><Relationship Id="rId34" Type="http://schemas.openxmlformats.org/officeDocument/2006/relationships/hyperlink" Target="https://www.infrastructureontario.ca/en/what-we-do/projectssearch/finch-west-light-rail-transit/" TargetMode="External"/><Relationship Id="rId739" Type="http://schemas.openxmlformats.org/officeDocument/2006/relationships/hyperlink" Target="https://web.archive.org/web/20060517042836/http://www.kotsu.metro.tokyo.jp/news/pdf/sub_t_20060324a_01.pdf" TargetMode="External"/><Relationship Id="rId734" Type="http://schemas.openxmlformats.org/officeDocument/2006/relationships/hyperlink" Target="https://www.westjr.co.jp/global/en/ir/library/fact-sheets/2018/pdf/fact2018.pdf" TargetMode="External"/><Relationship Id="rId733" Type="http://schemas.openxmlformats.org/officeDocument/2006/relationships/hyperlink" Target="https://www.hankyu-hanshin.co.jp/upload/irRelatedInfoEn/15.pdf" TargetMode="External"/><Relationship Id="rId732" Type="http://schemas.openxmlformats.org/officeDocument/2006/relationships/hyperlink" Target="https://www.fukuoka-now.com/en/news/nanakuma-subway-line-extension-delayed/" TargetMode="External"/><Relationship Id="rId731" Type="http://schemas.openxmlformats.org/officeDocument/2006/relationships/hyperlink" Target="https://www.infrato.it/wp-content/uploads/2022/01/2022_1_Presentazione-Linea-2.pdf" TargetMode="External"/><Relationship Id="rId738" Type="http://schemas.openxmlformats.org/officeDocument/2006/relationships/hyperlink" Target="https://www.ejrcf.or.jp/jrtr/jrtr26/pdf/t58_neh.pdf" TargetMode="External"/><Relationship Id="rId737" Type="http://schemas.openxmlformats.org/officeDocument/2006/relationships/hyperlink" Target="http://www.ejrcf.or.jp/jrtr/jrtr30/pdf/s42_aok.pdf" TargetMode="External"/><Relationship Id="rId736" Type="http://schemas.openxmlformats.org/officeDocument/2006/relationships/hyperlink" Target="http://www.mlit.go.jp/common/001272230.pdf" TargetMode="External"/><Relationship Id="rId735" Type="http://schemas.openxmlformats.org/officeDocument/2006/relationships/hyperlink" Target="https://www.westjr.co.jp/global/en/ir/library/fact-sheets/2018/pdf/fact2018.pdf" TargetMode="External"/><Relationship Id="rId37" Type="http://schemas.openxmlformats.org/officeDocument/2006/relationships/hyperlink" Target="https://www.infrastructureontario.ca/en/what-we-do/projectssearch/eglinton-crosstown-west-extension/https://www.metrolinx.com/en/projects-and-programs/eglinton-crosstown-west-extension" TargetMode="External"/><Relationship Id="rId36" Type="http://schemas.openxmlformats.org/officeDocument/2006/relationships/hyperlink" Target="https://www.thestar.com/news/gta/2020/06/24/metrolinx-considering-a-route-for-the-yonge-subway-extension-to-richmond-hill-that-would-take-it-above-ground.html" TargetMode="External"/><Relationship Id="rId39" Type="http://schemas.openxmlformats.org/officeDocument/2006/relationships/hyperlink" Target="https://globalnews.ca/news/8016045/justin-trudeau-federal-funding-skytrain-surrey-langley/" TargetMode="External"/><Relationship Id="rId38" Type="http://schemas.openxmlformats.org/officeDocument/2006/relationships/hyperlink" Target="https://globalnews.ca/news/10579363/ontario-line-cost-increase/" TargetMode="External"/><Relationship Id="rId730" Type="http://schemas.openxmlformats.org/officeDocument/2006/relationships/hyperlink" Target="http://www.otipiemonte.it/Pagine/Completo.asp?ID=86" TargetMode="External"/><Relationship Id="rId20" Type="http://schemas.openxmlformats.org/officeDocument/2006/relationships/hyperlink" Target="https://www.novinite.com/articles/167648/Subway+Trains+to+Sofia+Airport+Start+Running+at+1+pm+on+April+2" TargetMode="External"/><Relationship Id="rId22" Type="http://schemas.openxmlformats.org/officeDocument/2006/relationships/hyperlink" Target="http://www.tradearabia.com/news/stn_178416.html" TargetMode="External"/><Relationship Id="rId21" Type="http://schemas.openxmlformats.org/officeDocument/2006/relationships/hyperlink" Target="https://www.urbantransportnews.com/bahrain-to-finalise-109-km-light-metro-rail-bids-in-march-2020/" TargetMode="External"/><Relationship Id="rId24" Type="http://schemas.openxmlformats.org/officeDocument/2006/relationships/hyperlink" Target="https://www.bnamericas.com/en/news/brazil-metro-cost-overruns-top-us9bn1" TargetMode="External"/><Relationship Id="rId23" Type="http://schemas.openxmlformats.org/officeDocument/2006/relationships/hyperlink" Target="http://patrocinados.estadao.com.br/ccr/salvadors-subway-becomes-a-model-of-success/" TargetMode="External"/><Relationship Id="rId525" Type="http://schemas.openxmlformats.org/officeDocument/2006/relationships/hyperlink" Target="https://www.seetao.com/details/158417.html" TargetMode="External"/><Relationship Id="rId767" Type="http://schemas.openxmlformats.org/officeDocument/2006/relationships/hyperlink" Target="https://www.railjournal.com/passenger/metros/kuwait-announces-details-of-metro-project/" TargetMode="External"/><Relationship Id="rId524" Type="http://schemas.openxmlformats.org/officeDocument/2006/relationships/hyperlink" Target="http://www.rail-transit.com/xinwen/show.php?itemid=23315" TargetMode="External"/><Relationship Id="rId766" Type="http://schemas.openxmlformats.org/officeDocument/2006/relationships/hyperlink" Target="http://engdaily.com/news/articleView.html?idxno=14873" TargetMode="External"/><Relationship Id="rId523" Type="http://schemas.openxmlformats.org/officeDocument/2006/relationships/hyperlink" Target="http://www.rail-transit.com/project/show.php?itemid=100" TargetMode="External"/><Relationship Id="rId765" Type="http://schemas.openxmlformats.org/officeDocument/2006/relationships/hyperlink" Target="http://engdaily.com/news/articleView.html?idxno=14873" TargetMode="External"/><Relationship Id="rId522" Type="http://schemas.openxmlformats.org/officeDocument/2006/relationships/hyperlink" Target="http://www.rail-transit.com/project/show.php?itemid=283" TargetMode="External"/><Relationship Id="rId764" Type="http://schemas.openxmlformats.org/officeDocument/2006/relationships/hyperlink" Target="http://engdaily.com/news/articleView.html?idxno=14873" TargetMode="External"/><Relationship Id="rId529" Type="http://schemas.openxmlformats.org/officeDocument/2006/relationships/hyperlink" Target="http://chinawestern.org/xbfz/jcss/3635.html" TargetMode="External"/><Relationship Id="rId528" Type="http://schemas.openxmlformats.org/officeDocument/2006/relationships/hyperlink" Target="https://www.sohu.com/a/110615261_160914" TargetMode="External"/><Relationship Id="rId527" Type="http://schemas.openxmlformats.org/officeDocument/2006/relationships/hyperlink" Target="http://www.shaanxi.gov.cn/xw/sxyw/201309/t20130915_1497525.html" TargetMode="External"/><Relationship Id="rId769" Type="http://schemas.openxmlformats.org/officeDocument/2006/relationships/hyperlink" Target="http://www.elfinanciero.com.mx/nacional/linea-12-costara-mas-que-el-tren-mexico-queretaro" TargetMode="External"/><Relationship Id="rId526" Type="http://schemas.openxmlformats.org/officeDocument/2006/relationships/hyperlink" Target="https://www.sohu.com/a/110615261_160914" TargetMode="External"/><Relationship Id="rId768" Type="http://schemas.openxmlformats.org/officeDocument/2006/relationships/hyperlink" Target="https://www.eleconomista.com.mx/estados/Linea-3-arriba-78-de-su-costo-20200121-0023.html" TargetMode="External"/><Relationship Id="rId26" Type="http://schemas.openxmlformats.org/officeDocument/2006/relationships/hyperlink" Target="https://edmontonjournal.com/news/local-news/long-delayed-1-8-billion-valley-line-lrt-stymied-yet-again" TargetMode="External"/><Relationship Id="rId25" Type="http://schemas.openxmlformats.org/officeDocument/2006/relationships/hyperlink" Target="https://www.railjournal.com/passenger/metros/revival-of-sao-paulo-metro-line-6-orange-project-a-step-closer/" TargetMode="External"/><Relationship Id="rId28" Type="http://schemas.openxmlformats.org/officeDocument/2006/relationships/hyperlink" Target="https://www.metrolinx.com/en/projects-and-programs/hazel-mccallion-lrt/faqs" TargetMode="External"/><Relationship Id="rId27" Type="http://schemas.openxmlformats.org/officeDocument/2006/relationships/hyperlink" Target="https://tam-america.com/article/edmonton-metro-northwest-lrt-extension-phase-completed-on-budget-before-time" TargetMode="External"/><Relationship Id="rId521" Type="http://schemas.openxmlformats.org/officeDocument/2006/relationships/hyperlink" Target="https://www.audit.gov.cn/n4/n19/c45720/content.html" TargetMode="External"/><Relationship Id="rId763" Type="http://schemas.openxmlformats.org/officeDocument/2006/relationships/hyperlink" Target="http://www.incheonin.com/news/articleView.html?idxno=86255" TargetMode="External"/><Relationship Id="rId29" Type="http://schemas.openxmlformats.org/officeDocument/2006/relationships/hyperlink" Target="https://montrealgazette.com/news/local-news/the-sleepy-success-story-of-the-laval-metro-extension" TargetMode="External"/><Relationship Id="rId520" Type="http://schemas.openxmlformats.org/officeDocument/2006/relationships/hyperlink" Target="http://www.rail-transit.com/project/show.php?itemid=234" TargetMode="External"/><Relationship Id="rId762" Type="http://schemas.openxmlformats.org/officeDocument/2006/relationships/hyperlink" Target="http://www.redaily.co.kr/news/articleView.html?idxno=571" TargetMode="External"/><Relationship Id="rId761" Type="http://schemas.openxmlformats.org/officeDocument/2006/relationships/hyperlink" Target="http://news1.kr/articles/?3552208" TargetMode="External"/><Relationship Id="rId760" Type="http://schemas.openxmlformats.org/officeDocument/2006/relationships/hyperlink" Target="https://www.yna.co.kr/view/AKR20190822028500003" TargetMode="External"/><Relationship Id="rId11" Type="http://schemas.openxmlformats.org/officeDocument/2006/relationships/hyperlink" Target="https://www.thedailystar.net/news/bangladesh/transport/news/metro-now-set-cost-50pc-more-3072816" TargetMode="External"/><Relationship Id="rId10" Type="http://schemas.openxmlformats.org/officeDocument/2006/relationships/hyperlink" Target="https://www.abc.net.au/news/2020-02-21/nsw-government-confirms-three-billion-metro-budget-blowout/11986968" TargetMode="External"/><Relationship Id="rId13" Type="http://schemas.openxmlformats.org/officeDocument/2006/relationships/hyperlink" Target="https://bdnews24.com/economy/2019/10/15/govt-approves-two-more-metro-rail-projects-worth-tk-938bn" TargetMode="External"/><Relationship Id="rId12" Type="http://schemas.openxmlformats.org/officeDocument/2006/relationships/hyperlink" Target="https://bdnews24.com/economy/2019/10/15/govt-approves-two-more-metro-rail-projects-worth-tk-938bn" TargetMode="External"/><Relationship Id="rId519" Type="http://schemas.openxmlformats.org/officeDocument/2006/relationships/hyperlink" Target="http://www.rail-transit.com/project/show.php?itemid=308" TargetMode="External"/><Relationship Id="rId514" Type="http://schemas.openxmlformats.org/officeDocument/2006/relationships/hyperlink" Target="http://www.gov.cn/xinwen/2019-01/06/5355294/files/c3d503decf1d4b6b924324b210ee0f1a.pdf" TargetMode="External"/><Relationship Id="rId756" Type="http://schemas.openxmlformats.org/officeDocument/2006/relationships/hyperlink" Target="https://www.hankyung.com/society/article/2013061797248" TargetMode="External"/><Relationship Id="rId513" Type="http://schemas.openxmlformats.org/officeDocument/2006/relationships/hyperlink" Target="http://www.gov.cn/xinwen/2019-01/06/5355294/files/c3d503decf1d4b6b924324b210ee0f1a.pdf" TargetMode="External"/><Relationship Id="rId755" Type="http://schemas.openxmlformats.org/officeDocument/2006/relationships/hyperlink" Target="https://www.mk.co.kr/news/society/view/2021/03/266810/" TargetMode="External"/><Relationship Id="rId512" Type="http://schemas.openxmlformats.org/officeDocument/2006/relationships/hyperlink" Target="http://www.gov.cn/xinwen/2019-01/06/5355294/files/c3d503decf1d4b6b924324b210ee0f1a.pdf" TargetMode="External"/><Relationship Id="rId754" Type="http://schemas.openxmlformats.org/officeDocument/2006/relationships/hyperlink" Target="http://www.kyeonggi.com/news/articleView.html?idxno=564944" TargetMode="External"/><Relationship Id="rId511" Type="http://schemas.openxmlformats.org/officeDocument/2006/relationships/hyperlink" Target="http://www.gov.cn/xinwen/2019-01/06/5355294/files/c3d503decf1d4b6b924324b210ee0f1a.pdf" TargetMode="External"/><Relationship Id="rId753" Type="http://schemas.openxmlformats.org/officeDocument/2006/relationships/hyperlink" Target="https://shinbundang.co.kr/eng/index.jsp?pageID=/eng/intro/intro2_6.jsp&amp;open_main=4&amp;open_sub1=1&amp;open_sub2=6" TargetMode="External"/><Relationship Id="rId518"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517" Type="http://schemas.openxmlformats.org/officeDocument/2006/relationships/hyperlink" Target="http://m.thepaper.cn/kuaibao_detail.jsp?contid=4947698&amp;from=kuaibao" TargetMode="External"/><Relationship Id="rId759" Type="http://schemas.openxmlformats.org/officeDocument/2006/relationships/hyperlink" Target="https://biz.chosun.com/policy/policy_sub/2021/10/05/EY5IMDNIDZAGHLQO7KIGLMGBQQ/" TargetMode="External"/><Relationship Id="rId516" Type="http://schemas.openxmlformats.org/officeDocument/2006/relationships/hyperlink" Target="http://www.rail-transit.com/project/show.php?itemid=109" TargetMode="External"/><Relationship Id="rId758" Type="http://schemas.openxmlformats.org/officeDocument/2006/relationships/hyperlink" Target="https://www.donga.com/news/Society/article/all/20201227/104655671/1" TargetMode="External"/><Relationship Id="rId515" Type="http://schemas.openxmlformats.org/officeDocument/2006/relationships/hyperlink" Target="http://www.rail-transit.com/project/show.php?itemid=106" TargetMode="External"/><Relationship Id="rId757" Type="http://schemas.openxmlformats.org/officeDocument/2006/relationships/hyperlink" Target="https://www.yna.co.kr/view/AKR20220112075600060" TargetMode="External"/><Relationship Id="rId15" Type="http://schemas.openxmlformats.org/officeDocument/2006/relationships/hyperlink" Target="https://www.railway-technology.com/uncategorised/newsbulgaria-opens-sofia-metro-line-2/" TargetMode="External"/><Relationship Id="rId14" Type="http://schemas.openxmlformats.org/officeDocument/2006/relationships/hyperlink" Target="https://www.thebulletin.be/brussels-metro-line-3-project-could-be-delayed-or-suspended" TargetMode="External"/><Relationship Id="rId17" Type="http://schemas.openxmlformats.org/officeDocument/2006/relationships/hyperlink" Target="https://seenews.com/news/sofia-subway-launches-13-km-section-with-one-station-533330" TargetMode="External"/><Relationship Id="rId16" Type="http://schemas.openxmlformats.org/officeDocument/2006/relationships/hyperlink" Target="https://www.novinite.com/articles/168384/Subway+Extension+to+Business+Park+Sofia+Opens" TargetMode="External"/><Relationship Id="rId19" Type="http://schemas.openxmlformats.org/officeDocument/2006/relationships/hyperlink" Target="https://seenews.com/news/sofia-opens-1125-mln-euro-tender-for-subway-expansion-681553" TargetMode="External"/><Relationship Id="rId510" Type="http://schemas.openxmlformats.org/officeDocument/2006/relationships/hyperlink" Target="http://img.thupdi.com/news/2015/08/1440573393290975.pdf" TargetMode="External"/><Relationship Id="rId752" Type="http://schemas.openxmlformats.org/officeDocument/2006/relationships/hyperlink" Target="http://m.ufnews.co.kr/main/sub_news_detail.html?wr_id=4725" TargetMode="External"/><Relationship Id="rId18" Type="http://schemas.openxmlformats.org/officeDocument/2006/relationships/hyperlink" Target="https://europa.eu/investeu/projects/sofia-metro-line-3_en" TargetMode="External"/><Relationship Id="rId751"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750" Type="http://schemas.openxmlformats.org/officeDocument/2006/relationships/hyperlink" Target="https://www.kgnews.co.kr/mobile/article.html?no=674722" TargetMode="External"/><Relationship Id="rId84" Type="http://schemas.openxmlformats.org/officeDocument/2006/relationships/hyperlink" Target="http://www.chinanews.com/gn/news/2009/02-11/1558424.shtml" TargetMode="External"/><Relationship Id="rId83" Type="http://schemas.openxmlformats.org/officeDocument/2006/relationships/hyperlink" Target="https://www.ndrc.gov.cn/xxgk/zcfb/tz/201812/W020190905514226164270.pdf" TargetMode="External"/><Relationship Id="rId86" Type="http://schemas.openxmlformats.org/officeDocument/2006/relationships/hyperlink" Target="https://www.sohu.com/a/237588900_683466" TargetMode="External"/><Relationship Id="rId85" Type="http://schemas.openxmlformats.org/officeDocument/2006/relationships/hyperlink" Target="http://www.hncsmtr.com/jsdt/gcgk/2033/14944654790008899_1.html" TargetMode="External"/><Relationship Id="rId88" Type="http://schemas.openxmlformats.org/officeDocument/2006/relationships/hyperlink" Target="https://www.ndrc.gov.cn/fzggw/jgsj/zcs/sjdt/201212/t20121224_1145294.html" TargetMode="External"/><Relationship Id="rId87" Type="http://schemas.openxmlformats.org/officeDocument/2006/relationships/hyperlink" Target="https://www.ndrc.gov.cn/fzggw/jgsj/zcs/sjdt/201212/t20121224_1145294.html" TargetMode="External"/><Relationship Id="rId89" Type="http://schemas.openxmlformats.org/officeDocument/2006/relationships/hyperlink" Target="https://www.ndrc.gov.cn/fzggw/jgsj/zcs/sjdt/201212/t20121224_1145294.html" TargetMode="External"/><Relationship Id="rId709" Type="http://schemas.openxmlformats.org/officeDocument/2006/relationships/hyperlink" Target="http://www.rivistacorteconti.it/export/sites/rivistaweb/RepositoryPdf/2017/fascicolo_16_2017/30_CDC_gestione_4.pdf" TargetMode="External"/><Relationship Id="rId708" Type="http://schemas.openxmlformats.org/officeDocument/2006/relationships/hyperlink" Target="http://silos.infrastrutturestrategiche.it/admin/scheda.aspx?id=1723" TargetMode="External"/><Relationship Id="rId707" Type="http://schemas.openxmlformats.org/officeDocument/2006/relationships/hyperlink" Target="http://silos.infrastrutturestrategiche.it/admin/scheda.aspx?id=1723" TargetMode="External"/><Relationship Id="rId706" Type="http://schemas.openxmlformats.org/officeDocument/2006/relationships/hyperlink" Target="http://silos.infrastrutturestrategiche.it/admin/scheda.aspx?id=1723" TargetMode="External"/><Relationship Id="rId80" Type="http://schemas.openxmlformats.org/officeDocument/2006/relationships/hyperlink" Target="http://www.rail-transit.com/project/show.php?itemid=531" TargetMode="External"/><Relationship Id="rId82" Type="http://schemas.openxmlformats.org/officeDocument/2006/relationships/hyperlink" Target="https://www.ndrc.gov.cn/xxgk/zcfb/tz/201812/W020190905514226164270.pdf" TargetMode="External"/><Relationship Id="rId81" Type="http://schemas.openxmlformats.org/officeDocument/2006/relationships/hyperlink" Target="https://www.ndrc.gov.cn/xxgk/zcfb/tz/201812/W020190905514226164270.pdf" TargetMode="External"/><Relationship Id="rId701" Type="http://schemas.openxmlformats.org/officeDocument/2006/relationships/hyperlink" Target="https://financialtribune.com/articles/auto/78612/tehran-municipality-struggling-with-subway-development-costs" TargetMode="External"/><Relationship Id="rId700" Type="http://schemas.openxmlformats.org/officeDocument/2006/relationships/hyperlink" Target="https://www.railjournal.com/passenger/metros/tehran-opens-metro-line-3-extension/" TargetMode="External"/><Relationship Id="rId705" Type="http://schemas.openxmlformats.org/officeDocument/2006/relationships/hyperlink" Target="http://silos.infrastrutturestrategiche.it/admin/scheda.aspx?id=1723" TargetMode="External"/><Relationship Id="rId704" Type="http://schemas.openxmlformats.org/officeDocument/2006/relationships/hyperlink" Target="http://silos.infrastrutturestrategiche.it/admin/scheda.aspx?id=1723" TargetMode="External"/><Relationship Id="rId703" Type="http://schemas.openxmlformats.org/officeDocument/2006/relationships/hyperlink" Target="http://silos.infrastrutturestrategiche.it/admin/scheda.aspx?id=1723" TargetMode="External"/><Relationship Id="rId702" Type="http://schemas.openxmlformats.org/officeDocument/2006/relationships/hyperlink" Target="https://financialtribune.com/articles/auto/78612/tehran-municipality-struggling-with-subway-development-costs" TargetMode="External"/><Relationship Id="rId73" Type="http://schemas.openxmlformats.org/officeDocument/2006/relationships/hyperlink" Target="http://www.rail-transit.com/project/show.php?itemid=525" TargetMode="External"/><Relationship Id="rId72" Type="http://schemas.openxmlformats.org/officeDocument/2006/relationships/hyperlink" Target="http://www.tzxm.gov.cn/flfg/law/201912/t20191220_12825.html" TargetMode="External"/><Relationship Id="rId75" Type="http://schemas.openxmlformats.org/officeDocument/2006/relationships/hyperlink" Target="https://zfxxgk.ndrc.gov.cn/web/iteminfo.jsp?id=320" TargetMode="External"/><Relationship Id="rId74" Type="http://schemas.openxmlformats.org/officeDocument/2006/relationships/hyperlink" Target="https://zfxxgk.ndrc.gov.cn/web/iteminfo.jsp?id=320" TargetMode="External"/><Relationship Id="rId77" Type="http://schemas.openxmlformats.org/officeDocument/2006/relationships/hyperlink" Target="http://www.rail-transit.com/project/show.php?itemid=231" TargetMode="External"/><Relationship Id="rId76" Type="http://schemas.openxmlformats.org/officeDocument/2006/relationships/hyperlink" Target="https://zfxxgk.ndrc.gov.cn/web/iteminfo.jsp?id=320" TargetMode="External"/><Relationship Id="rId79" Type="http://schemas.openxmlformats.org/officeDocument/2006/relationships/hyperlink" Target="https://www.ndrc.gov.cn/xxgk/zcfb/tz/201812/W020190905514226164270.pdf" TargetMode="External"/><Relationship Id="rId78" Type="http://schemas.openxmlformats.org/officeDocument/2006/relationships/hyperlink" Target="https://www.ndrc.gov.cn/xxgk/zcfb/tz/201812/W020190905514226164270.pdf" TargetMode="External"/><Relationship Id="rId71"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70" Type="http://schemas.openxmlformats.org/officeDocument/2006/relationships/hyperlink" Target="http://www.tzxm.gov.cn/flfg/law/201912/t20191220_12825.html" TargetMode="External"/><Relationship Id="rId932" Type="http://schemas.openxmlformats.org/officeDocument/2006/relationships/hyperlink" Target="https://www.jametro.or.jp/upload/data/OcFpRydLvphq.pdf" TargetMode="External"/><Relationship Id="rId931" Type="http://schemas.openxmlformats.org/officeDocument/2006/relationships/hyperlink" Target="https://www.jametro.or.jp/upload/data/OcFpRydLvphq.pdf" TargetMode="External"/><Relationship Id="rId930" Type="http://schemas.openxmlformats.org/officeDocument/2006/relationships/hyperlink" Target="https://www.jametro.or.jp/upload/data/OcFpRydLvphq.pdf" TargetMode="External"/><Relationship Id="rId936" Type="http://schemas.openxmlformats.org/officeDocument/2006/relationships/vmlDrawing" Target="../drawings/vmlDrawing2.vml"/><Relationship Id="rId935" Type="http://schemas.openxmlformats.org/officeDocument/2006/relationships/drawing" Target="../drawings/drawing3.xml"/><Relationship Id="rId934" Type="http://schemas.openxmlformats.org/officeDocument/2006/relationships/hyperlink" Target="https://www.jametro.or.jp/upload/data/ZwHlUxbGHRzr.pdf" TargetMode="External"/><Relationship Id="rId933" Type="http://schemas.openxmlformats.org/officeDocument/2006/relationships/hyperlink" Target="https://www.jametro.or.jp/upload/data/ZwHlUxbGHRzr.pdf" TargetMode="External"/><Relationship Id="rId62" Type="http://schemas.openxmlformats.org/officeDocument/2006/relationships/hyperlink" Target="https://zh.wikisource.org/zh-hans/%E5%8C%97%E4%BA%AC%E5%B8%82%E5%9F%8E%E5%B8%82%E8%BD%A8%E9%81%93%E4%BA%A4%E9%80%9A%E7%AC%AC%E4%BA%8C%E6%9C%9F%E5%BB%BA%E8%AE%BE%E8%A7%84%E5%88%92%EF%BC%882015%EF%BD%9E2021%E5%B9%B4%EF%BC%89" TargetMode="External"/><Relationship Id="rId61" Type="http://schemas.openxmlformats.org/officeDocument/2006/relationships/hyperlink" Target="https://new.qq.com/omn/20210301/20210301A0E4JW00.html" TargetMode="External"/><Relationship Id="rId64" Type="http://schemas.openxmlformats.org/officeDocument/2006/relationships/hyperlink" Target="https://zh.wikisource.org/zh-hans/%E5%8C%97%E4%BA%AC%E5%B8%82%E5%9F%8E%E5%B8%82%E8%BD%A8%E9%81%93%E4%BA%A4%E9%80%9A%E7%AC%AC%E4%BA%8C%E6%9C%9F%E5%BB%BA%E8%AE%BE%E8%A7%84%E5%88%92%EF%BC%882015%EF%BD%9E2021%E5%B9%B4%EF%BC%89" TargetMode="External"/><Relationship Id="rId63" Type="http://schemas.openxmlformats.org/officeDocument/2006/relationships/hyperlink" Target="https://zh.wikisource.org/zh-hans/%E5%8C%97%E4%BA%AC%E5%B8%82%E5%9F%8E%E5%B8%82%E8%BD%A8%E9%81%93%E4%BA%A4%E9%80%9A%E7%AC%AC%E4%BA%8C%E6%9C%9F%E5%BB%BA%E8%AE%BE%E8%A7%84%E5%88%92%EF%BC%882015%EF%BD%9E2021%E5%B9%B4%EF%BC%89" TargetMode="External"/><Relationship Id="rId66" Type="http://schemas.openxmlformats.org/officeDocument/2006/relationships/hyperlink" Target="http://www.rail-transit.com/project/show.php?itemid=360" TargetMode="External"/><Relationship Id="rId65" Type="http://schemas.openxmlformats.org/officeDocument/2006/relationships/hyperlink" Target="https://zh.wikisource.org/zh-hans/%E5%8C%97%E4%BA%AC%E5%B8%82%E5%9F%8E%E5%B8%82%E8%BD%A8%E9%81%93%E4%BA%A4%E9%80%9A%E7%AC%AC%E4%BA%8C%E6%9C%9F%E5%BB%BA%E8%AE%BE%E8%A7%84%E5%88%92%EF%BC%882015%EF%BD%9E2021%E5%B9%B4%EF%BC%89" TargetMode="External"/><Relationship Id="rId68" Type="http://schemas.openxmlformats.org/officeDocument/2006/relationships/hyperlink" Target="http://www.rail-transit.com/project/show.php?itemid=92" TargetMode="External"/><Relationship Id="rId67" Type="http://schemas.openxmlformats.org/officeDocument/2006/relationships/hyperlink" Target="https://zh.wikisource.org/zh-hans/%E5%8C%97%E4%BA%AC%E5%B8%82%E5%9F%8E%E5%B8%82%E8%BD%A8%E9%81%93%E4%BA%A4%E9%80%9A%E7%AC%AC%E4%BA%8C%E6%9C%9F%E5%BB%BA%E8%AE%BE%E8%A7%84%E5%88%92%EF%BC%882015%EF%BD%9E2021%E5%B9%B4%EF%BC%89" TargetMode="External"/><Relationship Id="rId729" Type="http://schemas.openxmlformats.org/officeDocument/2006/relationships/hyperlink" Target="http://www.otipiemonte.it/Pagine/Completo.asp?ID=86" TargetMode="External"/><Relationship Id="rId728" Type="http://schemas.openxmlformats.org/officeDocument/2006/relationships/hyperlink" Target="http://www.otipiemonte.it/Pagine/Completo.asp?ID=86" TargetMode="External"/><Relationship Id="rId60" Type="http://schemas.openxmlformats.org/officeDocument/2006/relationships/hyperlink" Target="http://www.tzxm.gov.cn/flfg/law/201912/t20191220_12825.html" TargetMode="External"/><Relationship Id="rId723" Type="http://schemas.openxmlformats.org/officeDocument/2006/relationships/hyperlink" Target="https://www.regione.campania.it/assets/documents/delibera-20-2017.pdf" TargetMode="External"/><Relationship Id="rId722" Type="http://schemas.openxmlformats.org/officeDocument/2006/relationships/hyperlink" Target="http://silos.infrastrutturestrategiche.it/admin/scheda.aspx?id=1317" TargetMode="External"/><Relationship Id="rId721" Type="http://schemas.openxmlformats.org/officeDocument/2006/relationships/hyperlink" Target="http://silos.infrastrutturestrategiche.it/admin/scheda.aspx?id=1332" TargetMode="External"/><Relationship Id="rId720" Type="http://schemas.openxmlformats.org/officeDocument/2006/relationships/hyperlink" Target="https://www.regione.campania.it/assets/documents/delibera-20-2017.pdf" TargetMode="External"/><Relationship Id="rId727" Type="http://schemas.openxmlformats.org/officeDocument/2006/relationships/hyperlink" Target="https://metrocspa.it/cms/wp-content/uploads/2016/12/2-Q.E.G.-12-set-2013.pdf" TargetMode="External"/><Relationship Id="rId726" Type="http://schemas.openxmlformats.org/officeDocument/2006/relationships/hyperlink" Target="https://www.comune.roma.it/PCR/resources/cms/documents/B1schedaillustrativaintervento.pdf" TargetMode="External"/><Relationship Id="rId725" Type="http://schemas.openxmlformats.org/officeDocument/2006/relationships/hyperlink" Target="https://metrocspa.it/cms/wp-content/uploads/2016/12/2-Q.E.G.-12-set-2013.pdf" TargetMode="External"/><Relationship Id="rId724" Type="http://schemas.openxmlformats.org/officeDocument/2006/relationships/hyperlink" Target="https://metrocspa.it/cms/wp-content/uploads/2016/12/2-Q.E.G.-12-set-2013.pdf" TargetMode="External"/><Relationship Id="rId69" Type="http://schemas.openxmlformats.org/officeDocument/2006/relationships/hyperlink" Target="http://www.tzxm.gov.cn/flfg/law/201912/t20191220_12825.html" TargetMode="External"/><Relationship Id="rId51" Type="http://schemas.openxmlformats.org/officeDocument/2006/relationships/hyperlink" Target="http://zizhan.mot.gov.cn/zhuantizhuanlan/qita/quanqiuhuanjingjijin/zhishigongxiang/201601/P020160125565596507649.pdf" TargetMode="External"/><Relationship Id="rId50" Type="http://schemas.openxmlformats.org/officeDocument/2006/relationships/hyperlink" Target="http://news.sciencenet.cn/sbhtmlnews/2008/8/209799.html" TargetMode="External"/><Relationship Id="rId53" Type="http://schemas.openxmlformats.org/officeDocument/2006/relationships/hyperlink" Target="http://zqb.cyol.com/html/2012-12/31/nw.D110000zgqnb_20121231_3-06.htm" TargetMode="External"/><Relationship Id="rId52" Type="http://schemas.openxmlformats.org/officeDocument/2006/relationships/hyperlink" Target="http://www.mtr.bj.cn/article/5d510c0aebb1a36f5ef5981f.html" TargetMode="External"/><Relationship Id="rId55" Type="http://schemas.openxmlformats.org/officeDocument/2006/relationships/hyperlink" Target="https://max.book118.com/html/2017/1209/143431974.shtm" TargetMode="External"/><Relationship Id="rId54" Type="http://schemas.openxmlformats.org/officeDocument/2006/relationships/hyperlink" Target="http://zqb.cyol.com/html/2012-12/31/nw.D110000zgqnb_20121231_3-06.htm" TargetMode="External"/><Relationship Id="rId57" Type="http://schemas.openxmlformats.org/officeDocument/2006/relationships/hyperlink" Target="http://bj.bendibao.com/news/20141120/171344.shtm" TargetMode="External"/><Relationship Id="rId56" Type="http://schemas.openxmlformats.org/officeDocument/2006/relationships/hyperlink" Target="http://finance.ifeng.com/city/bj/20101117/2902241.shtml" TargetMode="External"/><Relationship Id="rId719" Type="http://schemas.openxmlformats.org/officeDocument/2006/relationships/hyperlink" Target="https://www.comune.milano.it/aree-tematiche/mobilita/strade-e-sottosuolo/prolungamento-m1-quartiere-baggio-olmi-valsesia" TargetMode="External"/><Relationship Id="rId718" Type="http://schemas.openxmlformats.org/officeDocument/2006/relationships/hyperlink" Target="https://www.metro4milano.it/wordpress/wp-content/uploads/2020/04/Quadro-Economico-_-Atto-Integrativo-n.1-alla-Convenzione-di-concessione_-allegato-13.pdf" TargetMode="External"/><Relationship Id="rId717"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712" Type="http://schemas.openxmlformats.org/officeDocument/2006/relationships/hyperlink" Target="https://www.milanolife.it/la-quinta-linea-il-passante-ferroviario-di-milano/" TargetMode="External"/><Relationship Id="rId711" Type="http://schemas.openxmlformats.org/officeDocument/2006/relationships/hyperlink" Target="https://smart.comune.genova.it/articoli/presentato-ai-cittadini-il-progetto-della-nuova-metro-brin-canepari" TargetMode="External"/><Relationship Id="rId710"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716" Type="http://schemas.openxmlformats.org/officeDocument/2006/relationships/hyperlink" Target="http://www.expofairs.com/pianeta-costruzioni/001/pagina_017.pdf" TargetMode="External"/><Relationship Id="rId715" Type="http://schemas.openxmlformats.org/officeDocument/2006/relationships/hyperlink" Target="http://www.rivistacorteconti.it/export/sites/rivistaweb/RepositoryPdf/2017/fascicolo_16_2017/30_CDC_gestione_4.pdf" TargetMode="External"/><Relationship Id="rId714" Type="http://schemas.openxmlformats.org/officeDocument/2006/relationships/hyperlink" Target="http://www.rivistacorteconti.it/export/sites/rivistaweb/RepositoryPdf/2017/fascicolo_16_2017/30_CDC_gestione_4.pdf" TargetMode="External"/><Relationship Id="rId713" Type="http://schemas.openxmlformats.org/officeDocument/2006/relationships/hyperlink" Target="http://silos.infrastrutturestrategiche.it/admin/scheda.aspx?id=1241" TargetMode="External"/><Relationship Id="rId59" Type="http://schemas.openxmlformats.org/officeDocument/2006/relationships/hyperlink" Target="https://zh.wikipedia.org/wiki/%E5%8C%97%E4%BA%AC%E5%9C%B0%E9%93%818%E5%8F%B7%E7%BA%BF" TargetMode="External"/><Relationship Id="rId58" Type="http://schemas.openxmlformats.org/officeDocument/2006/relationships/hyperlink" Target="http://politics.people.com.cn/n/2014/1105/c70731-25980932.html" TargetMode="External"/><Relationship Id="rId590" Type="http://schemas.openxmlformats.org/officeDocument/2006/relationships/hyperlink" Target="https://www.bz-berlin.de/archiv-artikel/die-u7-wird-25-jahre-alt" TargetMode="External"/><Relationship Id="rId107" Type="http://schemas.openxmlformats.org/officeDocument/2006/relationships/hyperlink" Target="https://www.ndrc.gov.cn/fggz/zcssfz/zdgc/201505/t20150518_1146000.html" TargetMode="External"/><Relationship Id="rId349" Type="http://schemas.openxmlformats.org/officeDocument/2006/relationships/hyperlink" Target="http://www.rail-transit.com/project/show.php?itemid=273" TargetMode="External"/><Relationship Id="rId106" Type="http://schemas.openxmlformats.org/officeDocument/2006/relationships/hyperlink" Target="https://www.ndrc.gov.cn/fggz/zcssfz/zdgc/201505/t20150518_1146000.html" TargetMode="External"/><Relationship Id="rId348" Type="http://schemas.openxmlformats.org/officeDocument/2006/relationships/hyperlink" Target="http://www.cnnb.com.cn/dwhzlm/system/2013/11/15/007905106.shtml" TargetMode="External"/><Relationship Id="rId105" Type="http://schemas.openxmlformats.org/officeDocument/2006/relationships/hyperlink" Target="https://www.ndrc.gov.cn/fggz/zcssfz/zdgc/201505/t20150518_1146000.html" TargetMode="External"/><Relationship Id="rId347" Type="http://schemas.openxmlformats.org/officeDocument/2006/relationships/hyperlink" Target="http://www.rail-transit.com/project/show.php?itemid=282" TargetMode="External"/><Relationship Id="rId589" Type="http://schemas.openxmlformats.org/officeDocument/2006/relationships/hyperlink" Target="http://www.berliner-verkehrsseiten.de/Download/Archiv/U_155_Eroeffnungsschrift_Steglitz_U9.pdf" TargetMode="External"/><Relationship Id="rId104" Type="http://schemas.openxmlformats.org/officeDocument/2006/relationships/hyperlink" Target="https://www.ndrc.gov.cn/fggz/zcssfz/zdgc/201505/t20150518_1146000.html" TargetMode="External"/><Relationship Id="rId346" Type="http://schemas.openxmlformats.org/officeDocument/2006/relationships/hyperlink" Target="http://promeechina.com/newsinfo.html?id=27" TargetMode="External"/><Relationship Id="rId588" Type="http://schemas.openxmlformats.org/officeDocument/2006/relationships/hyperlink" Target="https://deutsch.radio.cz/prager-metro-bau-der-neuen-linie-d-nimmt-konturen-8683676" TargetMode="External"/><Relationship Id="rId109" Type="http://schemas.openxmlformats.org/officeDocument/2006/relationships/hyperlink" Target="https://www.ndrc.gov.cn/fggz/zcssfz/zdgc/201505/t20150518_1146000.html" TargetMode="External"/><Relationship Id="rId108" Type="http://schemas.openxmlformats.org/officeDocument/2006/relationships/hyperlink" Target="https://www.ndrc.gov.cn/fggz/zcssfz/zdgc/201505/t20150518_1146000.html" TargetMode="External"/><Relationship Id="rId341" Type="http://schemas.openxmlformats.org/officeDocument/2006/relationships/hyperlink" Target="http://www.rail-transit.com/project/show.php?itemid=524" TargetMode="External"/><Relationship Id="rId583" Type="http://schemas.openxmlformats.org/officeDocument/2006/relationships/hyperlink" Target="https://www.ndrc.gov.cn/fggz/zcssfz/zcgh/201904/W020190910670741123314.pdf" TargetMode="External"/><Relationship Id="rId340" Type="http://schemas.openxmlformats.org/officeDocument/2006/relationships/hyperlink" Target="http://www.rail-transit.com/project/show.php?itemid=42" TargetMode="External"/><Relationship Id="rId582" Type="http://schemas.openxmlformats.org/officeDocument/2006/relationships/hyperlink" Target="https://www.ndrc.gov.cn/fggz/zcssfz/zcgh/201904/W020190910670741123314.pdf" TargetMode="External"/><Relationship Id="rId581" Type="http://schemas.openxmlformats.org/officeDocument/2006/relationships/hyperlink" Target="https://www.ndrc.gov.cn/fggz/zcssfz/zcgh/201904/W020190910670741123314.pdf" TargetMode="External"/><Relationship Id="rId580" Type="http://schemas.openxmlformats.org/officeDocument/2006/relationships/hyperlink" Target="http://www.rail-transit.com/project/show.php?itemid=458" TargetMode="External"/><Relationship Id="rId103" Type="http://schemas.openxmlformats.org/officeDocument/2006/relationships/hyperlink" Target="http://www.rail-transit.com/project/show.php?itemid=291" TargetMode="External"/><Relationship Id="rId345" Type="http://schemas.openxmlformats.org/officeDocument/2006/relationships/hyperlink" Target="http://www.rail-transit.com/project/show.php?itemid=320" TargetMode="External"/><Relationship Id="rId587" Type="http://schemas.openxmlformats.org/officeDocument/2006/relationships/hyperlink" Target="https://www.railjournal.com/passenger/metros/prague-opens-metro-line-a-western-extension/" TargetMode="External"/><Relationship Id="rId102" Type="http://schemas.openxmlformats.org/officeDocument/2006/relationships/hyperlink" Target="http://www.rail-transit.com/project/show.php?itemid=41" TargetMode="External"/><Relationship Id="rId344" Type="http://schemas.openxmlformats.org/officeDocument/2006/relationships/hyperlink" Target="http://www.rail-transit.com/project/show.php?itemid=339" TargetMode="External"/><Relationship Id="rId586" Type="http://schemas.openxmlformats.org/officeDocument/2006/relationships/hyperlink" Target="https://zpravy.aktualne.cz/czk-15bn-prague-metro-extension-ends-in-a-field/r~i:article:630675/" TargetMode="External"/><Relationship Id="rId101" Type="http://schemas.openxmlformats.org/officeDocument/2006/relationships/hyperlink" Target="http://www.rail-transit.com/project/show.php?itemid=261" TargetMode="External"/><Relationship Id="rId343" Type="http://schemas.openxmlformats.org/officeDocument/2006/relationships/hyperlink" Target="http://www.rail-transit.com/project/show.php?itemid=56" TargetMode="External"/><Relationship Id="rId585" Type="http://schemas.openxmlformats.org/officeDocument/2006/relationships/hyperlink" Target="https://paginaweb.metrodebogota.gov.co/?q=node/264" TargetMode="External"/><Relationship Id="rId100" Type="http://schemas.openxmlformats.org/officeDocument/2006/relationships/hyperlink" Target="http://www.rail-transit.com/project/show.php?itemid=501" TargetMode="External"/><Relationship Id="rId342" Type="http://schemas.openxmlformats.org/officeDocument/2006/relationships/hyperlink" Target="http://www.rail-transit.com/project/show.php?itemid=587" TargetMode="External"/><Relationship Id="rId584" Type="http://schemas.openxmlformats.org/officeDocument/2006/relationships/hyperlink" Target="http://www.rail-transit.com/project/show.php?itemid=117" TargetMode="External"/><Relationship Id="rId338" Type="http://schemas.openxmlformats.org/officeDocument/2006/relationships/hyperlink" Target="http://www.rail-transit.com/project/show.php?itemid=211" TargetMode="External"/><Relationship Id="rId337" Type="http://schemas.openxmlformats.org/officeDocument/2006/relationships/hyperlink" Target="http://www.nngdjt.com/html/4061/6290.html" TargetMode="External"/><Relationship Id="rId579" Type="http://schemas.openxmlformats.org/officeDocument/2006/relationships/hyperlink" Target="https://www.163.com/dy/article/GDQSS29P0530L2T3.html" TargetMode="External"/><Relationship Id="rId336" Type="http://schemas.openxmlformats.org/officeDocument/2006/relationships/hyperlink" Target="http://gx.sina.com.cn/news/gx/2014-01-01/00277609.html?from=gx_cnxh" TargetMode="External"/><Relationship Id="rId578" Type="http://schemas.openxmlformats.org/officeDocument/2006/relationships/hyperlink" Target="http://www.rail-transit.com/project/show.php?itemid=141" TargetMode="External"/><Relationship Id="rId335" Type="http://schemas.openxmlformats.org/officeDocument/2006/relationships/hyperlink" Target="https://kknews.cc/society/va42lel.html" TargetMode="External"/><Relationship Id="rId577" Type="http://schemas.openxmlformats.org/officeDocument/2006/relationships/hyperlink" Target="https://4g.dahe.cn/news/20191106554486" TargetMode="External"/><Relationship Id="rId339" Type="http://schemas.openxmlformats.org/officeDocument/2006/relationships/hyperlink" Target="http://www.nngdjt.com/html/4061/8670.html" TargetMode="External"/><Relationship Id="rId330" Type="http://schemas.openxmlformats.org/officeDocument/2006/relationships/hyperlink" Target="http://www.rail-transit.com/project/show.php?itemid=145" TargetMode="External"/><Relationship Id="rId572" Type="http://schemas.openxmlformats.org/officeDocument/2006/relationships/hyperlink" Target="https://www.ndrc.gov.cn/fggz/zcssfz/zcgh/201409/W020190910670519267920.pdf" TargetMode="External"/><Relationship Id="rId571" Type="http://schemas.openxmlformats.org/officeDocument/2006/relationships/hyperlink" Target="http://news.sina.com.cn/o/2010-12-29/033421723553.shtml" TargetMode="External"/><Relationship Id="rId570" Type="http://schemas.openxmlformats.org/officeDocument/2006/relationships/hyperlink" Target="http://news.cctv.com/society/20090323/106184.shtml" TargetMode="External"/><Relationship Id="rId334" Type="http://schemas.openxmlformats.org/officeDocument/2006/relationships/hyperlink" Target="https://m.jiemian.com/article/2611638.html" TargetMode="External"/><Relationship Id="rId576" Type="http://schemas.openxmlformats.org/officeDocument/2006/relationships/hyperlink" Target="http://www.rail-transit.com/project/show.php?itemid=514" TargetMode="External"/><Relationship Id="rId333" Type="http://schemas.openxmlformats.org/officeDocument/2006/relationships/hyperlink" Target="http://www.xhby.net/nj/yw/202107/t20210707_7149440.shtml" TargetMode="External"/><Relationship Id="rId575" Type="http://schemas.openxmlformats.org/officeDocument/2006/relationships/hyperlink" Target="http://www.rail-transit.com/project/show.php?itemid=142" TargetMode="External"/><Relationship Id="rId332" Type="http://schemas.openxmlformats.org/officeDocument/2006/relationships/hyperlink" Target="http://www.rail-transit.com/project/show.php?itemid=435" TargetMode="External"/><Relationship Id="rId574" Type="http://schemas.openxmlformats.org/officeDocument/2006/relationships/hyperlink" Target="http://www.rail-transit.com/project/show.php?itemid=143" TargetMode="External"/><Relationship Id="rId331" Type="http://schemas.openxmlformats.org/officeDocument/2006/relationships/hyperlink" Target="https://news.suning.com/wtoutiao/witem2_5470123473.html" TargetMode="External"/><Relationship Id="rId573" Type="http://schemas.openxmlformats.org/officeDocument/2006/relationships/hyperlink" Target="http://www.rail-transit.com/project/show.php?itemid=192" TargetMode="External"/><Relationship Id="rId370" Type="http://schemas.openxmlformats.org/officeDocument/2006/relationships/hyperlink" Target="http://www.rail-transit.com/project/show.php?itemid=668" TargetMode="External"/><Relationship Id="rId129" Type="http://schemas.openxmlformats.org/officeDocument/2006/relationships/hyperlink" Target="http://politics.people.com.cn/n/2013/0223/c70731-20575832.html" TargetMode="External"/><Relationship Id="rId128" Type="http://schemas.openxmlformats.org/officeDocument/2006/relationships/hyperlink" Target="http://www.gzcy.org/uploadfile/2013/0930/20130930103001739.pdf" TargetMode="External"/><Relationship Id="rId127" Type="http://schemas.openxmlformats.org/officeDocument/2006/relationships/hyperlink" Target="https://www.12369zb.com/view/482/MUlxBX4B4pnqPFb2iCfa.html" TargetMode="External"/><Relationship Id="rId369" Type="http://schemas.openxmlformats.org/officeDocument/2006/relationships/hyperlink" Target="http://www.rail-transit.com/project/show.php?itemid=450" TargetMode="External"/><Relationship Id="rId126" Type="http://schemas.openxmlformats.org/officeDocument/2006/relationships/hyperlink" Target="https://www.163.com/dy/article/HFCE3KEU05149A02.html" TargetMode="External"/><Relationship Id="rId368" Type="http://schemas.openxmlformats.org/officeDocument/2006/relationships/hyperlink" Target="https://ditie.mapbar.com/qingdao/news/37965.html" TargetMode="External"/><Relationship Id="rId121" Type="http://schemas.openxmlformats.org/officeDocument/2006/relationships/hyperlink" Target="http://www.rail-transit.com/project/show.php?itemid=76" TargetMode="External"/><Relationship Id="rId363" Type="http://schemas.openxmlformats.org/officeDocument/2006/relationships/hyperlink" Target="http://www.rail-transit.com/project/show.php?itemid=725" TargetMode="External"/><Relationship Id="rId120" Type="http://schemas.openxmlformats.org/officeDocument/2006/relationships/hyperlink" Target="https://www.ndrc.gov.cn/fggz/zcssfz/zdgc/201505/t20150518_1146000.html" TargetMode="External"/><Relationship Id="rId362" Type="http://schemas.openxmlformats.org/officeDocument/2006/relationships/hyperlink" Target="https://zfxxgk.ndrc.gov.cn/web/iteminfo.jsp?id=18249" TargetMode="External"/><Relationship Id="rId361" Type="http://schemas.openxmlformats.org/officeDocument/2006/relationships/hyperlink" Target="http://www.rail-transit.com/project/show.php?itemid=669" TargetMode="External"/><Relationship Id="rId360" Type="http://schemas.openxmlformats.org/officeDocument/2006/relationships/hyperlink" Target="https://zfxxgk.ndrc.gov.cn/web/iteminfo.jsp?id=18249" TargetMode="External"/><Relationship Id="rId125" Type="http://schemas.openxmlformats.org/officeDocument/2006/relationships/hyperlink" Target="http://www.rail-transit.com/project/show.php?itemid=540" TargetMode="External"/><Relationship Id="rId367" Type="http://schemas.openxmlformats.org/officeDocument/2006/relationships/hyperlink" Target="https://zfxxgk.ndrc.gov.cn/web/iteminfo.jsp?id=18249" TargetMode="External"/><Relationship Id="rId124" Type="http://schemas.openxmlformats.org/officeDocument/2006/relationships/hyperlink" Target="https://www.ndrc.gov.cn/xxgk/zcfb/tz/201607/W020190905517098302181.pdf" TargetMode="External"/><Relationship Id="rId366" Type="http://schemas.openxmlformats.org/officeDocument/2006/relationships/hyperlink" Target="http://www.rail-transit.com/project/show.php?itemid=726" TargetMode="External"/><Relationship Id="rId123" Type="http://schemas.openxmlformats.org/officeDocument/2006/relationships/hyperlink" Target="http://rail-transit.com/project/show.php?itemid=77" TargetMode="External"/><Relationship Id="rId365" Type="http://schemas.openxmlformats.org/officeDocument/2006/relationships/hyperlink" Target="https://zfxxgk.ndrc.gov.cn/web/iteminfo.jsp?id=18249" TargetMode="External"/><Relationship Id="rId122" Type="http://schemas.openxmlformats.org/officeDocument/2006/relationships/hyperlink" Target="https://www.163.com/dy/article/DPVGIOAD0514MG5I.html" TargetMode="External"/><Relationship Id="rId364" Type="http://schemas.openxmlformats.org/officeDocument/2006/relationships/hyperlink" Target="https://zfxxgk.ndrc.gov.cn/web/iteminfo.jsp?id=18249" TargetMode="External"/><Relationship Id="rId95" Type="http://schemas.openxmlformats.org/officeDocument/2006/relationships/hyperlink" Target="https://www.ndrc.gov.cn/xxgk/zcfb/ghwb/201703/W020190905497919692262.pdf" TargetMode="External"/><Relationship Id="rId94" Type="http://schemas.openxmlformats.org/officeDocument/2006/relationships/hyperlink" Target="https://www.ndrc.gov.cn/xxgk/zcfb/ghwb/201703/W020190905497919692262.pdf" TargetMode="External"/><Relationship Id="rId97" Type="http://schemas.openxmlformats.org/officeDocument/2006/relationships/hyperlink" Target="https://www.ndrc.gov.cn/xxgk/zcfb/ghwb/201703/W020190905497919692262.pdf" TargetMode="External"/><Relationship Id="rId96" Type="http://schemas.openxmlformats.org/officeDocument/2006/relationships/hyperlink" Target="https://www.ndrc.gov.cn/xxgk/zcfb/ghwb/201703/W020190905497919692262.pdf" TargetMode="External"/><Relationship Id="rId99" Type="http://schemas.openxmlformats.org/officeDocument/2006/relationships/hyperlink" Target="https://www.ndrc.gov.cn/xxgk/zcfb/ghwb/201703/W020190905497919692262.pdf" TargetMode="External"/><Relationship Id="rId98" Type="http://schemas.openxmlformats.org/officeDocument/2006/relationships/hyperlink" Target="https://www.ndrc.gov.cn/xxgk/zcfb/ghwb/201703/W020190905497919692262.pdf" TargetMode="External"/><Relationship Id="rId91" Type="http://schemas.openxmlformats.org/officeDocument/2006/relationships/hyperlink" Target="https://www.ndrc.gov.cn/xxgk/zcfb/ghwb/201703/t20170323_962232.html" TargetMode="External"/><Relationship Id="rId90" Type="http://schemas.openxmlformats.org/officeDocument/2006/relationships/hyperlink" Target="https://www.ndrc.gov.cn/fzggw/jgsj/zcs/sjdt/201212/t20121224_1145294.html" TargetMode="External"/><Relationship Id="rId93" Type="http://schemas.openxmlformats.org/officeDocument/2006/relationships/hyperlink" Target="https://www.ndrc.gov.cn/xxgk/zcfb/ghwb/201703/W020190905497919692262.pdf" TargetMode="External"/><Relationship Id="rId92" Type="http://schemas.openxmlformats.org/officeDocument/2006/relationships/hyperlink" Target="https://www.ndrc.gov.cn/xxgk/zcfb/ghwb/201703/W020190905497919692262.pdf" TargetMode="External"/><Relationship Id="rId118" Type="http://schemas.openxmlformats.org/officeDocument/2006/relationships/hyperlink" Target="https://www.ndrc.gov.cn/xxgk/zcfb/ghwb/201908/W020190905497973740066.pdf" TargetMode="External"/><Relationship Id="rId117" Type="http://schemas.openxmlformats.org/officeDocument/2006/relationships/hyperlink" Target="https://www.ndrc.gov.cn/xxgk/zcfb/ghwb/201908/W020190905497973740066.pdf" TargetMode="External"/><Relationship Id="rId359" Type="http://schemas.openxmlformats.org/officeDocument/2006/relationships/hyperlink" Target="http://www.rail-transit.com/project/show.php?itemid=400" TargetMode="External"/><Relationship Id="rId116" Type="http://schemas.openxmlformats.org/officeDocument/2006/relationships/hyperlink" Target="https://www.ndrc.gov.cn/xxgk/zcfb/ghwb/201908/W020190905497973740066.pdf" TargetMode="External"/><Relationship Id="rId358" Type="http://schemas.openxmlformats.org/officeDocument/2006/relationships/hyperlink" Target="http://www.rail-transit.com/project/show.php?itemid=187" TargetMode="External"/><Relationship Id="rId115" Type="http://schemas.openxmlformats.org/officeDocument/2006/relationships/hyperlink" Target="http://www.rail-transit.com/project/show.php?itemid=470" TargetMode="External"/><Relationship Id="rId357" Type="http://schemas.openxmlformats.org/officeDocument/2006/relationships/hyperlink" Target="http://www.rail-transit.com/project/show.php?itemid=229" TargetMode="External"/><Relationship Id="rId599" Type="http://schemas.openxmlformats.org/officeDocument/2006/relationships/hyperlink" Target="https://www.hessenschau.de/wirtschaft/u2-wird-nach-bad-homburg-verlaengert-spatenstich-fuer-200-millionen-projekt-v2,spatenstich-ubahnverlaengerung-100.html" TargetMode="External"/><Relationship Id="rId119" Type="http://schemas.openxmlformats.org/officeDocument/2006/relationships/hyperlink" Target="https://www.ndrc.gov.cn/xxgk/zcfb/ghwb/201908/W020190905497973740066.pdf" TargetMode="External"/><Relationship Id="rId110" Type="http://schemas.openxmlformats.org/officeDocument/2006/relationships/hyperlink" Target="https://www.ndrc.gov.cn/fggz/zcssfz/zdgc/201607/W020190910671924062945.pdf" TargetMode="External"/><Relationship Id="rId352" Type="http://schemas.openxmlformats.org/officeDocument/2006/relationships/hyperlink" Target="http://www.rail-transit.com/project/show.php?itemid=236" TargetMode="External"/><Relationship Id="rId594" Type="http://schemas.openxmlformats.org/officeDocument/2006/relationships/hyperlink" Target="https://www.projekt-u5.de/de/die-neue-u5/" TargetMode="External"/><Relationship Id="rId351" Type="http://schemas.openxmlformats.org/officeDocument/2006/relationships/hyperlink" Target="http://www.rail-transit.com/project/show.php?itemid=503" TargetMode="External"/><Relationship Id="rId593" Type="http://schemas.openxmlformats.org/officeDocument/2006/relationships/hyperlink" Target="https://www.das-parlament.de/2019/31_32/kehrseite/652908-652908" TargetMode="External"/><Relationship Id="rId350" Type="http://schemas.openxmlformats.org/officeDocument/2006/relationships/hyperlink" Target="http://www.rail-transit.com/project/show.php?itemid=554" TargetMode="External"/><Relationship Id="rId592"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591" Type="http://schemas.openxmlformats.org/officeDocument/2006/relationships/hyperlink" Target="https://signalarchiv.de/Meldungen/10003834" TargetMode="External"/><Relationship Id="rId114" Type="http://schemas.openxmlformats.org/officeDocument/2006/relationships/hyperlink" Target="https://www.ndrc.gov.cn/xxgk/zcfb/ghwb/201908/W020190905497973740066.pdf" TargetMode="External"/><Relationship Id="rId356" Type="http://schemas.openxmlformats.org/officeDocument/2006/relationships/hyperlink" Target="http://www.rail-transit.com/project/show.php?itemid=140" TargetMode="External"/><Relationship Id="rId598" Type="http://schemas.openxmlformats.org/officeDocument/2006/relationships/hyperlink" Target="https://www.fnp.de/frankfurt/frankfurt-u-bahn-u5-verlaengerung-spaeter-teurer-wegen-eva-zr-13449222.html" TargetMode="External"/><Relationship Id="rId113" Type="http://schemas.openxmlformats.org/officeDocument/2006/relationships/hyperlink" Target="https://www.ndrc.gov.cn/xxgk/zcfb/ghwb/201908/W020190905497973740066.pdf" TargetMode="External"/><Relationship Id="rId355" Type="http://schemas.openxmlformats.org/officeDocument/2006/relationships/hyperlink" Target="http://sd.sina.com.cn/news/2018-04-12/detail-ifyzeyqa8611820.shtml" TargetMode="External"/><Relationship Id="rId597" Type="http://schemas.openxmlformats.org/officeDocument/2006/relationships/hyperlink" Target="https://www.zeit.de/1968/43/das-neue-fahrgefuehl" TargetMode="External"/><Relationship Id="rId112" Type="http://schemas.openxmlformats.org/officeDocument/2006/relationships/hyperlink" Target="https://www.ndrc.gov.cn/xxgk/zcfb/ghwb/201908/W020190905497973740066.pdf" TargetMode="External"/><Relationship Id="rId354" Type="http://schemas.openxmlformats.org/officeDocument/2006/relationships/hyperlink" Target="http://www.sasac.gov.cn/n2588025/n2588124/c8918136/content.html" TargetMode="External"/><Relationship Id="rId596" Type="http://schemas.openxmlformats.org/officeDocument/2006/relationships/hyperlink" Target="https://www.wz.de/nrw/duesseldorf/wehrhahn-linie-wird-noch-viel-teurer_aid-25646289" TargetMode="External"/><Relationship Id="rId111" Type="http://schemas.openxmlformats.org/officeDocument/2006/relationships/hyperlink" Target="https://www.chengdurail.com/detail/7247.html" TargetMode="External"/><Relationship Id="rId353" Type="http://schemas.openxmlformats.org/officeDocument/2006/relationships/hyperlink" Target="http://www.rail-transit.com/project/show.php?itemid=532" TargetMode="External"/><Relationship Id="rId595" Type="http://schemas.openxmlformats.org/officeDocument/2006/relationships/hyperlink" Target="https://www.nord-sued-stadtbahn.de/projekt/gruende/hintergruende/index.html" TargetMode="External"/><Relationship Id="rId305" Type="http://schemas.openxmlformats.org/officeDocument/2006/relationships/hyperlink" Target="https://www.163.com/dy/article/EDJQN1JG0511K4OT.html" TargetMode="External"/><Relationship Id="rId547" Type="http://schemas.openxmlformats.org/officeDocument/2006/relationships/hyperlink" Target="https://www.ndrc.gov.cn/fggz/zcssfz/zdgc/201209/t20120905_1145854.html" TargetMode="External"/><Relationship Id="rId789" Type="http://schemas.openxmlformats.org/officeDocument/2006/relationships/hyperlink" Target="https://www.railwaypro.com/wp/a-single-bidder-for-warsaw-metro-line-2-extension/" TargetMode="External"/><Relationship Id="rId304" Type="http://schemas.openxmlformats.org/officeDocument/2006/relationships/hyperlink" Target="https://kmcha.com/similar/%E5%AF%A7%E5%A4%A9%E5%9F%8E%E9%9A%9B%E8%BB%8C%E9%81%93" TargetMode="External"/><Relationship Id="rId546" Type="http://schemas.openxmlformats.org/officeDocument/2006/relationships/hyperlink" Target="https://www.ndrc.gov.cn/fggz/zcssfz/zdgc/201209/t20120905_1145854.html" TargetMode="External"/><Relationship Id="rId788" Type="http://schemas.openxmlformats.org/officeDocument/2006/relationships/hyperlink" Target="https://www.railwaygazette.com/metros/warszawa-metro-line-m2-goes-west/56191.article" TargetMode="External"/><Relationship Id="rId303" Type="http://schemas.openxmlformats.org/officeDocument/2006/relationships/hyperlink" Target="https://news.sina.com.tw/article/20140812/13098521.html" TargetMode="External"/><Relationship Id="rId545" Type="http://schemas.openxmlformats.org/officeDocument/2006/relationships/hyperlink" Target="https://www.ndrc.gov.cn/fggz/zcssfz/zcgh/201907/W020190910670748591840.pdf" TargetMode="External"/><Relationship Id="rId787" Type="http://schemas.openxmlformats.org/officeDocument/2006/relationships/hyperlink" Target="https://www.railjournal.com/passenger/metros/warsaw-metro-line-m2-reaches-targowek/" TargetMode="External"/><Relationship Id="rId302" Type="http://schemas.openxmlformats.org/officeDocument/2006/relationships/hyperlink" Target="https://baike.baidu.com/item/%E5%8D%97%E4%BA%AC%E5%9C%B0%E9%93%811%E5%8F%B7%E7%BA%BF" TargetMode="External"/><Relationship Id="rId544" Type="http://schemas.openxmlformats.org/officeDocument/2006/relationships/hyperlink" Target="https://www.ndrc.gov.cn/fggz/zcssfz/zcgh/201907/W020190910670748591840.pdf" TargetMode="External"/><Relationship Id="rId786" Type="http://schemas.openxmlformats.org/officeDocument/2006/relationships/hyperlink" Target="https://www.railwaygazette.com/news/single-view/view/warszawa-opens-second-metro-line.html" TargetMode="External"/><Relationship Id="rId309" Type="http://schemas.openxmlformats.org/officeDocument/2006/relationships/hyperlink" Target="https://www.ndrc.gov.cn/fggz/zcssfz/zcgh/201505/W020190910670534928118.pdf" TargetMode="External"/><Relationship Id="rId308" Type="http://schemas.openxmlformats.org/officeDocument/2006/relationships/hyperlink" Target="http://www.rail-transit.com/project/show.php?itemid=365" TargetMode="External"/><Relationship Id="rId307" Type="http://schemas.openxmlformats.org/officeDocument/2006/relationships/hyperlink" Target="https://www.ndrc.gov.cn/fggz/zcssfz/zcgh/201505/W020190910670534928118.pdf" TargetMode="External"/><Relationship Id="rId549" Type="http://schemas.openxmlformats.org/officeDocument/2006/relationships/hyperlink" Target="https://www.ndrc.gov.cn/fggz/zcssfz/zdgc/201209/t20120905_1145854.html" TargetMode="External"/><Relationship Id="rId306" Type="http://schemas.openxmlformats.org/officeDocument/2006/relationships/hyperlink" Target="https://www.sohu.com/a/237588900_683466" TargetMode="External"/><Relationship Id="rId548" Type="http://schemas.openxmlformats.org/officeDocument/2006/relationships/hyperlink" Target="http://news.sina.com.cn/c/nd/2017-12-27/doc-ifyqchnr6264675.shtml" TargetMode="External"/><Relationship Id="rId781" Type="http://schemas.openxmlformats.org/officeDocument/2006/relationships/hyperlink" Target="https://news.abs-cbn.com/business/multimedia/infographic/07/27/18/the-makati-subway" TargetMode="External"/><Relationship Id="rId780" Type="http://schemas.openxmlformats.org/officeDocument/2006/relationships/hyperlink" Target="https://www.railwaygazette.com/news/single-view/view/manila-metro-line-7-breaks-ground.html" TargetMode="External"/><Relationship Id="rId301" Type="http://schemas.openxmlformats.org/officeDocument/2006/relationships/hyperlink" Target="http://www.rail-transit.com/project/show.php?itemid=392" TargetMode="External"/><Relationship Id="rId543" Type="http://schemas.openxmlformats.org/officeDocument/2006/relationships/hyperlink" Target="https://www.ndrc.gov.cn/fggz/zcssfz/zcgh/201907/W020190910670748591840.pdf" TargetMode="External"/><Relationship Id="rId785" Type="http://schemas.openxmlformats.org/officeDocument/2006/relationships/hyperlink" Target="https://www.transport-publiczny.pl/mobile/rusza-drazenie-tuneli-w-lodzi-tunele-wykonaja-katarzyna-i-faustyna-67079.html" TargetMode="External"/><Relationship Id="rId300" Type="http://schemas.openxmlformats.org/officeDocument/2006/relationships/hyperlink" Target="http://www.rail-transit.com/project/show.php?itemid=391" TargetMode="External"/><Relationship Id="rId542" Type="http://schemas.openxmlformats.org/officeDocument/2006/relationships/hyperlink" Target="http://www.rail-transit.com/project/show.php?itemid=314" TargetMode="External"/><Relationship Id="rId784" Type="http://schemas.openxmlformats.org/officeDocument/2006/relationships/hyperlink" Target="https://dailytimes.com.pk/470024/punjab-drops-plan-to-connect-orange-line-train-with-metro-bus-railway-station/" TargetMode="External"/><Relationship Id="rId541" Type="http://schemas.openxmlformats.org/officeDocument/2006/relationships/hyperlink" Target="http://news.hsw.cn/system/2016/1102/522665.shtml" TargetMode="External"/><Relationship Id="rId783" Type="http://schemas.openxmlformats.org/officeDocument/2006/relationships/hyperlink" Target="https://newsinfo.inquirer.net/1211139/mrt-4-project-targeted-for-completion-in-2025" TargetMode="External"/><Relationship Id="rId540" Type="http://schemas.openxmlformats.org/officeDocument/2006/relationships/hyperlink" Target="http://www.rail-transit.com/project/show.php?itemid=504" TargetMode="External"/><Relationship Id="rId782" Type="http://schemas.openxmlformats.org/officeDocument/2006/relationships/hyperlink" Target="https://rappler.com/business/construction-metro-manila-subway-begins-february-2019" TargetMode="External"/><Relationship Id="rId536" Type="http://schemas.openxmlformats.org/officeDocument/2006/relationships/hyperlink" Target="http://www.rail-transit.com/project/show.php?itemid=276" TargetMode="External"/><Relationship Id="rId778" Type="http://schemas.openxmlformats.org/officeDocument/2006/relationships/hyperlink" Target="https://www.prensa.com/economia/costo-del-monorriel-de-la-linea-3-se-dispara-de-2844-a-4000-millones/" TargetMode="External"/><Relationship Id="rId535" Type="http://schemas.openxmlformats.org/officeDocument/2006/relationships/hyperlink" Target="https://www.ndrc.gov.cn/xxgk/zcfb/ghwb/201602/t20160218_962174.html" TargetMode="External"/><Relationship Id="rId777" Type="http://schemas.openxmlformats.org/officeDocument/2006/relationships/hyperlink" Target="https://www.railjournal.com/regions/central-south-america/panama-city-metro-line-2-inaugurated/" TargetMode="External"/><Relationship Id="rId534" Type="http://schemas.openxmlformats.org/officeDocument/2006/relationships/hyperlink" Target="http://www.rail-transit.com/project/show.php?itemid=110" TargetMode="External"/><Relationship Id="rId776" Type="http://schemas.openxmlformats.org/officeDocument/2006/relationships/hyperlink" Target="http://elsiglo.com.pa/panama/justifican-costo-linea-1-metro/23828270" TargetMode="External"/><Relationship Id="rId533" Type="http://schemas.openxmlformats.org/officeDocument/2006/relationships/hyperlink" Target="http://www.rail-transit.com/project/show.php?itemid=244" TargetMode="External"/><Relationship Id="rId775" Type="http://schemas.openxmlformats.org/officeDocument/2006/relationships/hyperlink" Target="https://ourauckland.aucklandcouncil.govt.nz/articles/news/2019/04/revised-cost-for-city-rail-link/" TargetMode="External"/><Relationship Id="rId539" Type="http://schemas.openxmlformats.org/officeDocument/2006/relationships/hyperlink" Target="https://www.ndrc.gov.cn/fggz/zcssfz/zcgh/201907/W020190910670748591840.pdf" TargetMode="External"/><Relationship Id="rId538" Type="http://schemas.openxmlformats.org/officeDocument/2006/relationships/hyperlink" Target="http://www.rail-transit.com/project/show.php?itemid=448" TargetMode="External"/><Relationship Id="rId537" Type="http://schemas.openxmlformats.org/officeDocument/2006/relationships/hyperlink" Target="http://www.rail-transit.com/project/show.php?itemid=440" TargetMode="External"/><Relationship Id="rId779" Type="http://schemas.openxmlformats.org/officeDocument/2006/relationships/hyperlink" Target="https://projects.worldbank.org/en/projects-operations/project-detail/P145610" TargetMode="External"/><Relationship Id="rId770" Type="http://schemas.openxmlformats.org/officeDocument/2006/relationships/hyperlink" Target="https://www.nst.com.my/news/nation/2017/07/258054/sbk-mrt-proud-achievement-which-will-save-commuters-cost-time-pm" TargetMode="External"/><Relationship Id="rId532" Type="http://schemas.openxmlformats.org/officeDocument/2006/relationships/hyperlink" Target="http://www.rail-transit.com/project/show.php?itemid=290" TargetMode="External"/><Relationship Id="rId774" Type="http://schemas.openxmlformats.org/officeDocument/2006/relationships/hyperlink" Target="https://www.nrk.no/osloogviken/fornebubanen-er-vedtatt-i-oslo-bystyre-1.16010843" TargetMode="External"/><Relationship Id="rId531" Type="http://schemas.openxmlformats.org/officeDocument/2006/relationships/hyperlink" Target="https://www.ndrc.gov.cn/fzggw/jgsj/zcs/sjdt/201401/t20140102_1145411.html" TargetMode="External"/><Relationship Id="rId773" Type="http://schemas.openxmlformats.org/officeDocument/2006/relationships/hyperlink" Target="https://www.railwaygazette.com/l%C3%B8renbanen-opens-in-oslo/42312.article" TargetMode="External"/><Relationship Id="rId530" Type="http://schemas.openxmlformats.org/officeDocument/2006/relationships/hyperlink" Target="http://xa.bendibao.com/traffic/2014913/45825.shtm" TargetMode="External"/><Relationship Id="rId772" Type="http://schemas.openxmlformats.org/officeDocument/2006/relationships/hyperlink" Target="https://www.at5.nl/artikelen/184604/zaterdag-noordzuidlijn-eindelijk-open-de-opvallendste-feiten" TargetMode="External"/><Relationship Id="rId771" Type="http://schemas.openxmlformats.org/officeDocument/2006/relationships/hyperlink" Target="https://www.thestar.com.my/business/business-news/2020/01/17/mrt-2-at-70-completion-guan-eng-says" TargetMode="External"/><Relationship Id="rId327" Type="http://schemas.openxmlformats.org/officeDocument/2006/relationships/hyperlink" Target="http://www.xhby.net/nj/yw/202107/t20210707_7149440.shtml" TargetMode="External"/><Relationship Id="rId569" Type="http://schemas.openxmlformats.org/officeDocument/2006/relationships/hyperlink" Target="http://www.rail-transit.com/project/show.php?itemid=78" TargetMode="External"/><Relationship Id="rId326" Type="http://schemas.openxmlformats.org/officeDocument/2006/relationships/hyperlink" Target="http://www.rail-transit.com/project/show.php?itemid=610" TargetMode="External"/><Relationship Id="rId568" Type="http://schemas.openxmlformats.org/officeDocument/2006/relationships/hyperlink" Target="https://www.ndrc.gov.cn/xxgk/zcfb/tz/202002/P020200210345113822478.pdf" TargetMode="External"/><Relationship Id="rId325" Type="http://schemas.openxmlformats.org/officeDocument/2006/relationships/hyperlink" Target="http://www.rail-transit.com/project/show.php?itemid=727" TargetMode="External"/><Relationship Id="rId567" Type="http://schemas.openxmlformats.org/officeDocument/2006/relationships/hyperlink" Target="https://www.ndrc.gov.cn/xxgk/zcfb/tz/202002/P020200210345113822478.pdf" TargetMode="External"/><Relationship Id="rId324" Type="http://schemas.openxmlformats.org/officeDocument/2006/relationships/hyperlink" Target="http://www.zgjssw.gov.cn/shixianchuanzhen/nanjing/202102/t20210209_6976410.shtml" TargetMode="External"/><Relationship Id="rId566" Type="http://schemas.openxmlformats.org/officeDocument/2006/relationships/hyperlink" Target="http://www.rail-transit.com/project/show.php?itemid=328" TargetMode="External"/><Relationship Id="rId329" Type="http://schemas.openxmlformats.org/officeDocument/2006/relationships/hyperlink" Target="http://www.jshbgz.cn/hpgs/202102/t20210207_451424.html" TargetMode="External"/><Relationship Id="rId328" Type="http://schemas.openxmlformats.org/officeDocument/2006/relationships/hyperlink" Target="http://www.rail-transit.com/project/show.php?itemid=568" TargetMode="External"/><Relationship Id="rId561" Type="http://schemas.openxmlformats.org/officeDocument/2006/relationships/hyperlink" Target="http://www.ciecc.com.cn/art/2013/3/8/art_1599_30934.html" TargetMode="External"/><Relationship Id="rId560" Type="http://schemas.openxmlformats.org/officeDocument/2006/relationships/hyperlink" Target="https://jiaotongbk.com/n6/201691.html" TargetMode="External"/><Relationship Id="rId323" Type="http://schemas.openxmlformats.org/officeDocument/2006/relationships/hyperlink" Target="http://www.rail-transit.com/project/show.php?itemid=647" TargetMode="External"/><Relationship Id="rId565" Type="http://schemas.openxmlformats.org/officeDocument/2006/relationships/hyperlink" Target="http://www.rail-transit.com/project/show.php?itemid=510" TargetMode="External"/><Relationship Id="rId322" Type="http://schemas.openxmlformats.org/officeDocument/2006/relationships/hyperlink" Target="http://www.rail-transit.com/project/show.php?itemid=605" TargetMode="External"/><Relationship Id="rId564" Type="http://schemas.openxmlformats.org/officeDocument/2006/relationships/hyperlink" Target="http://www.rail-transit.com/project/show.php?itemid=243" TargetMode="External"/><Relationship Id="rId321" Type="http://schemas.openxmlformats.org/officeDocument/2006/relationships/hyperlink" Target="http://www.rail-transit.com/project/show.php?itemid=105" TargetMode="External"/><Relationship Id="rId563" Type="http://schemas.openxmlformats.org/officeDocument/2006/relationships/hyperlink" Target="http://www.rail-transit.com/project/show.php?itemid=264" TargetMode="External"/><Relationship Id="rId320" Type="http://schemas.openxmlformats.org/officeDocument/2006/relationships/hyperlink" Target="http://www.rail-transit.com/project/show.php?itemid=265" TargetMode="External"/><Relationship Id="rId562" Type="http://schemas.openxmlformats.org/officeDocument/2006/relationships/hyperlink" Target="https://new.qq.com/omn/20190117/20190117A1GO47.html" TargetMode="External"/><Relationship Id="rId316" Type="http://schemas.openxmlformats.org/officeDocument/2006/relationships/hyperlink" Target="http://www.rail-transit.com/project/show.php?itemid=331" TargetMode="External"/><Relationship Id="rId558" Type="http://schemas.openxmlformats.org/officeDocument/2006/relationships/hyperlink" Target="http://www.rail-transit.com/project/show.php?itemid=221" TargetMode="External"/><Relationship Id="rId315" Type="http://schemas.openxmlformats.org/officeDocument/2006/relationships/hyperlink" Target="http://www.rail-transit.com/project/show.php?itemid=359" TargetMode="External"/><Relationship Id="rId557" Type="http://schemas.openxmlformats.org/officeDocument/2006/relationships/hyperlink" Target="http://www.rail-transit.com/project/show.php?itemid=622" TargetMode="External"/><Relationship Id="rId799" Type="http://schemas.openxmlformats.org/officeDocument/2006/relationships/hyperlink" Target="https://tatarstan.ru/index.htm/news/1271674.htm" TargetMode="External"/><Relationship Id="rId314" Type="http://schemas.openxmlformats.org/officeDocument/2006/relationships/hyperlink" Target="http://www.rail-transit.com/project/show.php?itemid=205" TargetMode="External"/><Relationship Id="rId556" Type="http://schemas.openxmlformats.org/officeDocument/2006/relationships/hyperlink" Target="http://www.rail-transit.com/project/show.php?itemid=622" TargetMode="External"/><Relationship Id="rId798" Type="http://schemas.openxmlformats.org/officeDocument/2006/relationships/hyperlink" Target="https://minstroy.tatarstan.ru/index.htm/news/197856.htm" TargetMode="External"/><Relationship Id="rId313" Type="http://schemas.openxmlformats.org/officeDocument/2006/relationships/hyperlink" Target="http://www.xhby.net/nj/yw/202107/t20210707_7149440.shtml" TargetMode="External"/><Relationship Id="rId555" Type="http://schemas.openxmlformats.org/officeDocument/2006/relationships/hyperlink" Target="http://www.rail-transit.com/project/show.php?itemid=658" TargetMode="External"/><Relationship Id="rId797" Type="http://schemas.openxmlformats.org/officeDocument/2006/relationships/hyperlink" Target="https://minstroy.tatarstan.ru/index.htm/news/197856.htm" TargetMode="External"/><Relationship Id="rId319" Type="http://schemas.openxmlformats.org/officeDocument/2006/relationships/hyperlink" Target="http://www.rail-transit.com/project/show.php?itemid=188" TargetMode="External"/><Relationship Id="rId318" Type="http://schemas.openxmlformats.org/officeDocument/2006/relationships/hyperlink" Target="https://www.chinanews.com.cn/n/2003-01-14/26/263383.html" TargetMode="External"/><Relationship Id="rId317" Type="http://schemas.openxmlformats.org/officeDocument/2006/relationships/hyperlink" Target="http://www.gov.cn/jrzg/2005-12/28/content_140207.htm" TargetMode="External"/><Relationship Id="rId559" Type="http://schemas.openxmlformats.org/officeDocument/2006/relationships/hyperlink" Target="http://www.rail-transit.com/project/show.php?itemid=295" TargetMode="External"/><Relationship Id="rId550" Type="http://schemas.openxmlformats.org/officeDocument/2006/relationships/hyperlink" Target="http://www.gov.cn/xinwen/2016-10/13/5118393/files/fc4eeffb973d4e0297ef1fb6bcaa4e73.pdf" TargetMode="External"/><Relationship Id="rId792" Type="http://schemas.openxmlformats.org/officeDocument/2006/relationships/hyperlink" Target="https://www.jn.pt/pais/artigo/custo-da-linha-rubi-do-metro-do-porto-aumenta-53-milhoes-de-euros/17760888" TargetMode="External"/><Relationship Id="rId791" Type="http://schemas.openxmlformats.org/officeDocument/2006/relationships/hyperlink" Target="https://eco.sapo.pt/2024/05/08/metro-do-porto-conclui-primeiro-tunel-da-linha-rosa-para-abrir-em-julho-de-2025/" TargetMode="External"/><Relationship Id="rId790" Type="http://schemas.openxmlformats.org/officeDocument/2006/relationships/hyperlink" Target="https://www.railjournal.com/passenger/metros/european-commission-approves-e83m-for-lisbon-metro-expansion/" TargetMode="External"/><Relationship Id="rId312" Type="http://schemas.openxmlformats.org/officeDocument/2006/relationships/hyperlink" Target="http://www.rail-transit.com/project/show.php?itemid=347" TargetMode="External"/><Relationship Id="rId554" Type="http://schemas.openxmlformats.org/officeDocument/2006/relationships/hyperlink" Target="http://www.rail-transit.com/project/show.php?itemid=622" TargetMode="External"/><Relationship Id="rId796" Type="http://schemas.openxmlformats.org/officeDocument/2006/relationships/hyperlink" Target="https://www.rbc.ru/economics/31/03/2004/5703c0d39a7947dde8e07ab2" TargetMode="External"/><Relationship Id="rId311" Type="http://schemas.openxmlformats.org/officeDocument/2006/relationships/hyperlink" Target="http://www.rail-transit.com/project/show.php?itemid=329" TargetMode="External"/><Relationship Id="rId553" Type="http://schemas.openxmlformats.org/officeDocument/2006/relationships/hyperlink" Target="http://www.gov.cn/xinwen/2016-10/13/5118393/files/fc4eeffb973d4e0297ef1fb6bcaa4e73.pdf" TargetMode="External"/><Relationship Id="rId795" Type="http://schemas.openxmlformats.org/officeDocument/2006/relationships/hyperlink" Target="https://www.railwaygazette.com/metros/cluj-napoca-breaks-ground-for-first-metro-line/66744.article" TargetMode="External"/><Relationship Id="rId310" Type="http://schemas.openxmlformats.org/officeDocument/2006/relationships/hyperlink" Target="https://www.ndrc.gov.cn/xxgk/zcfb/ghwb/201611/W020190905497856961234.pdf" TargetMode="External"/><Relationship Id="rId552" Type="http://schemas.openxmlformats.org/officeDocument/2006/relationships/hyperlink" Target="http://www.gov.cn/xinwen/2016-10/13/5118393/files/fc4eeffb973d4e0297ef1fb6bcaa4e73.pdf" TargetMode="External"/><Relationship Id="rId794" Type="http://schemas.openxmlformats.org/officeDocument/2006/relationships/hyperlink" Target="http://www.metrorex.ro/Resurse/RaportActivitate/Metrorex%20eng%202018.pdf" TargetMode="External"/><Relationship Id="rId551" Type="http://schemas.openxmlformats.org/officeDocument/2006/relationships/hyperlink" Target="http://www.gov.cn/xinwen/2016-10/13/5118393/files/fc4eeffb973d4e0297ef1fb6bcaa4e73.pdf" TargetMode="External"/><Relationship Id="rId793" Type="http://schemas.openxmlformats.org/officeDocument/2006/relationships/hyperlink" Target="https://www.railway-technology.com/projects/doha-metro/" TargetMode="External"/><Relationship Id="rId297" Type="http://schemas.openxmlformats.org/officeDocument/2006/relationships/hyperlink" Target="http://zfxxgk.ndrc.gov.cn/web/iteminfo.jsp?id=316" TargetMode="External"/><Relationship Id="rId296" Type="http://schemas.openxmlformats.org/officeDocument/2006/relationships/hyperlink" Target="http://zfxxgk.ndrc.gov.cn/web/iteminfo.jsp?id=316" TargetMode="External"/><Relationship Id="rId295" Type="http://schemas.openxmlformats.org/officeDocument/2006/relationships/hyperlink" Target="http://www.jiangxi.gov.cn/art/2018/8/16/art_4985_350163.html" TargetMode="External"/><Relationship Id="rId294" Type="http://schemas.openxmlformats.org/officeDocument/2006/relationships/hyperlink" Target="http://www.rail-transit.com/project/show.php?itemid=164" TargetMode="External"/><Relationship Id="rId299" Type="http://schemas.openxmlformats.org/officeDocument/2006/relationships/hyperlink" Target="http://www.rail-transit.com/project/show.php?itemid=206" TargetMode="External"/><Relationship Id="rId298" Type="http://schemas.openxmlformats.org/officeDocument/2006/relationships/hyperlink" Target="http://zfxxgk.ndrc.gov.cn/web/iteminfo.jsp?id=316" TargetMode="External"/><Relationship Id="rId271" Type="http://schemas.openxmlformats.org/officeDocument/2006/relationships/hyperlink" Target="http://zfxxgk.ndrc.gov.cn/web/iteminfo.jsp?id=16921" TargetMode="External"/><Relationship Id="rId270" Type="http://schemas.openxmlformats.org/officeDocument/2006/relationships/hyperlink" Target="http://www.rail-transit.com/project/show.php?itemid=582" TargetMode="External"/><Relationship Id="rId269" Type="http://schemas.openxmlformats.org/officeDocument/2006/relationships/hyperlink" Target="http://www.rail-transit.com/project/show.php?itemid=713" TargetMode="External"/><Relationship Id="rId264" Type="http://schemas.openxmlformats.org/officeDocument/2006/relationships/hyperlink" Target="http://www.rail-transit.com/project/show.php?itemid=66" TargetMode="External"/><Relationship Id="rId263" Type="http://schemas.openxmlformats.org/officeDocument/2006/relationships/hyperlink" Target="http://www.rail-transit.com/project/show.php?itemid=564" TargetMode="External"/><Relationship Id="rId262" Type="http://schemas.openxmlformats.org/officeDocument/2006/relationships/hyperlink" Target="http://www.rail-transit.com/project/show.php?itemid=563" TargetMode="External"/><Relationship Id="rId261" Type="http://schemas.openxmlformats.org/officeDocument/2006/relationships/hyperlink" Target="https://www.ndrc.gov.cn/xxgk/zcfb/tz/201412/W020190905507203840468.pdf" TargetMode="External"/><Relationship Id="rId268" Type="http://schemas.openxmlformats.org/officeDocument/2006/relationships/hyperlink" Target="http://www.rail-transit.com/project/show.php?itemid=325" TargetMode="External"/><Relationship Id="rId267" Type="http://schemas.openxmlformats.org/officeDocument/2006/relationships/hyperlink" Target="http://www.rail-transit.com/project/show.php?itemid=706" TargetMode="External"/><Relationship Id="rId266" Type="http://schemas.openxmlformats.org/officeDocument/2006/relationships/hyperlink" Target="http://www.rail-transit.com/project/show.php?itemid=85" TargetMode="External"/><Relationship Id="rId265" Type="http://schemas.openxmlformats.org/officeDocument/2006/relationships/hyperlink" Target="http://www.rail-transit.com/project/show.php?itemid=307" TargetMode="External"/><Relationship Id="rId260" Type="http://schemas.openxmlformats.org/officeDocument/2006/relationships/hyperlink" Target="http://www.rail-transit.com/project/show.php?itemid=310" TargetMode="External"/><Relationship Id="rId259" Type="http://schemas.openxmlformats.org/officeDocument/2006/relationships/hyperlink" Target="https://www.sohu.com/a/112444814_268310" TargetMode="External"/><Relationship Id="rId258" Type="http://schemas.openxmlformats.org/officeDocument/2006/relationships/hyperlink" Target="http://www.rail-transit.com/project/show.php?itemid=232" TargetMode="External"/><Relationship Id="rId253" Type="http://schemas.openxmlformats.org/officeDocument/2006/relationships/hyperlink" Target="https://web.archive.org/web/20160509075613/http://www.harbin-metro.com/system/20160418/000002978.html" TargetMode="External"/><Relationship Id="rId495" Type="http://schemas.openxmlformats.org/officeDocument/2006/relationships/hyperlink" Target="http://img.thupdi.com/news/2015/08/1440573393290975.pdf" TargetMode="External"/><Relationship Id="rId252" Type="http://schemas.openxmlformats.org/officeDocument/2006/relationships/hyperlink" Target="http://www.gov.cn/jrzg/2005-12/05/content_118066.htm" TargetMode="External"/><Relationship Id="rId494" Type="http://schemas.openxmlformats.org/officeDocument/2006/relationships/hyperlink" Target="https://zh.wikipedia.org/wiki/%E6%AD%A6%E6%B1%89%E8%BD%A8%E9%81%93%E4%BA%A4%E9%80%9A1%E5%8F%B7%E7%BA%BF" TargetMode="External"/><Relationship Id="rId251" Type="http://schemas.openxmlformats.org/officeDocument/2006/relationships/hyperlink" Target="http://www.rail-transit.com/project/show.php?itemid=359" TargetMode="External"/><Relationship Id="rId493" Type="http://schemas.openxmlformats.org/officeDocument/2006/relationships/hyperlink" Target="https://m.sohu.com/n/339227064/?v=3" TargetMode="External"/><Relationship Id="rId250" Type="http://schemas.openxmlformats.org/officeDocument/2006/relationships/hyperlink" Target="http://www.rail-transit.com/project/show.php?itemid=270" TargetMode="External"/><Relationship Id="rId492" Type="http://schemas.openxmlformats.org/officeDocument/2006/relationships/hyperlink" Target="http://zjjcmspublic.oss-cn-hangzhou-zwynet-d01-a.internet.cloud.zj.gov.cn/jcms_files/jcms1/web1825/site/attach/0/150120083915404.pdf" TargetMode="External"/><Relationship Id="rId257" Type="http://schemas.openxmlformats.org/officeDocument/2006/relationships/hyperlink" Target="http://www.rail-transit.com/project/show.php?itemid=212" TargetMode="External"/><Relationship Id="rId499" Type="http://schemas.openxmlformats.org/officeDocument/2006/relationships/hyperlink" Target="http://www.rail-transit.com/project/show.php?itemid=200" TargetMode="External"/><Relationship Id="rId256" Type="http://schemas.openxmlformats.org/officeDocument/2006/relationships/hyperlink" Target="https://web.archive.org/web/20160509075613/http://www.harbin-metro.com/system/20160418/000002978.html" TargetMode="External"/><Relationship Id="rId498" Type="http://schemas.openxmlformats.org/officeDocument/2006/relationships/hyperlink" Target="http://img.thupdi.com/news/2015/08/1440573393290975.pdf" TargetMode="External"/><Relationship Id="rId255" Type="http://schemas.openxmlformats.org/officeDocument/2006/relationships/hyperlink" Target="https://web.archive.org/web/20160509075613/http://www.harbin-metro.com/system/20160418/000002978.html" TargetMode="External"/><Relationship Id="rId497" Type="http://schemas.openxmlformats.org/officeDocument/2006/relationships/hyperlink" Target="http://www.rail-transit.com/project/show.php?itemid=272" TargetMode="External"/><Relationship Id="rId254" Type="http://schemas.openxmlformats.org/officeDocument/2006/relationships/hyperlink" Target="https://web.archive.org/web/20160509075613/http://www.harbin-metro.com/system/20160418/000002978.html" TargetMode="External"/><Relationship Id="rId496" Type="http://schemas.openxmlformats.org/officeDocument/2006/relationships/hyperlink" Target="http://img.thupdi.com/news/2015/08/1440573393290975.pdf" TargetMode="External"/><Relationship Id="rId293" Type="http://schemas.openxmlformats.org/officeDocument/2006/relationships/hyperlink" Target="http://www.rail-transit.com/project/show.php?itemid=241" TargetMode="External"/><Relationship Id="rId292" Type="http://schemas.openxmlformats.org/officeDocument/2006/relationships/hyperlink" Target="http://www.rail-transit.com/project/show.php?itemid=167" TargetMode="External"/><Relationship Id="rId291" Type="http://schemas.openxmlformats.org/officeDocument/2006/relationships/hyperlink" Target="http://www.rail-transit.com/project/show.php?itemid=419" TargetMode="External"/><Relationship Id="rId290" Type="http://schemas.openxmlformats.org/officeDocument/2006/relationships/hyperlink" Target="https://yn.leju.com/news/2020-07-03/17306684750030261506576.shtml" TargetMode="External"/><Relationship Id="rId286" Type="http://schemas.openxmlformats.org/officeDocument/2006/relationships/hyperlink" Target="http://www.rail-transit.com/project/show.php?itemid=495" TargetMode="External"/><Relationship Id="rId285" Type="http://schemas.openxmlformats.org/officeDocument/2006/relationships/hyperlink" Target="https://www.kankanyn.com/jianwen/34919.html" TargetMode="External"/><Relationship Id="rId284" Type="http://schemas.openxmlformats.org/officeDocument/2006/relationships/hyperlink" Target="http://zfxxgk.ndrc.gov.cn/web/iteminfo.jsp?id=12400" TargetMode="External"/><Relationship Id="rId283" Type="http://schemas.openxmlformats.org/officeDocument/2006/relationships/hyperlink" Target="https://www.kankanyn.com/jianwen/34919.html" TargetMode="External"/><Relationship Id="rId289" Type="http://schemas.openxmlformats.org/officeDocument/2006/relationships/hyperlink" Target="https://www.kankanyn.com/jianwen/34919.html" TargetMode="External"/><Relationship Id="rId288" Type="http://schemas.openxmlformats.org/officeDocument/2006/relationships/hyperlink" Target="https://www.kankanyn.com/jianwen/34919.html" TargetMode="External"/><Relationship Id="rId287" Type="http://schemas.openxmlformats.org/officeDocument/2006/relationships/hyperlink" Target="https://www.kankanyn.com/jianwen/34919.html" TargetMode="External"/><Relationship Id="rId282" Type="http://schemas.openxmlformats.org/officeDocument/2006/relationships/hyperlink" Target="http://zfxxgk.ndrc.gov.cn/web/iteminfo.jsp?id=12400" TargetMode="External"/><Relationship Id="rId281" Type="http://schemas.openxmlformats.org/officeDocument/2006/relationships/hyperlink" Target="http://zfxxgk.ndrc.gov.cn/web/iteminfo.jsp?id=12400" TargetMode="External"/><Relationship Id="rId280" Type="http://schemas.openxmlformats.org/officeDocument/2006/relationships/hyperlink" Target="https://www.kankanyn.com/jianwen/34919.html" TargetMode="External"/><Relationship Id="rId275" Type="http://schemas.openxmlformats.org/officeDocument/2006/relationships/hyperlink" Target="http://www.rail-transit.com/project/show.php?itemid=379" TargetMode="External"/><Relationship Id="rId274" Type="http://schemas.openxmlformats.org/officeDocument/2006/relationships/hyperlink" Target="http://www.rail-transit.com/project/show.php?itemid=230" TargetMode="External"/><Relationship Id="rId273" Type="http://schemas.openxmlformats.org/officeDocument/2006/relationships/hyperlink" Target="http://www.rail-transit.com/project/show.php?itemid=202" TargetMode="External"/><Relationship Id="rId272" Type="http://schemas.openxmlformats.org/officeDocument/2006/relationships/hyperlink" Target="http://zfxxgk.ndrc.gov.cn/web/iteminfo.jsp?id=16921" TargetMode="External"/><Relationship Id="rId279" Type="http://schemas.openxmlformats.org/officeDocument/2006/relationships/hyperlink" Target="http://www.rail-transit.com/project/show.php?itemid=617" TargetMode="External"/><Relationship Id="rId278" Type="http://schemas.openxmlformats.org/officeDocument/2006/relationships/hyperlink" Target="http://rail-transit.com/project/show.php?itemid=228" TargetMode="External"/><Relationship Id="rId277" Type="http://schemas.openxmlformats.org/officeDocument/2006/relationships/hyperlink" Target="http://m.iqilu.com/pcarticle/4545295" TargetMode="External"/><Relationship Id="rId276" Type="http://schemas.openxmlformats.org/officeDocument/2006/relationships/hyperlink" Target="http://www.rail-transit.com/project/show.php?itemid=239" TargetMode="External"/><Relationship Id="rId907" Type="http://schemas.openxmlformats.org/officeDocument/2006/relationships/hyperlink" Target="https://www.city.yokohama.lg.jp/shikai/kiroku/katsudo/r4/JohninSuikouR04.files/J-SK-20220913-kt-14.pdf" TargetMode="External"/><Relationship Id="rId906" Type="http://schemas.openxmlformats.org/officeDocument/2006/relationships/hyperlink" Target="https://www.city.yokohama.lg.jp/shikai/kiroku/katsudo/r4/JohninSuikouR04.files/J-SK-20220913-kt-14.pdf" TargetMode="External"/><Relationship Id="rId905" Type="http://schemas.openxmlformats.org/officeDocument/2006/relationships/hyperlink" Target="https://www.city.yokohama.lg.jp/shikai/kiroku/katsudo/r4/JohninSuikouR04.files/J-SK-20220913-kt-14.pdf" TargetMode="External"/><Relationship Id="rId904" Type="http://schemas.openxmlformats.org/officeDocument/2006/relationships/hyperlink" Target="https://www.city.yokohama.lg.jp/shikai/kiroku/katsudo/r4/JohninSuikouR04.files/J-SK-20220913-kt-14.pdf" TargetMode="External"/><Relationship Id="rId909" Type="http://schemas.openxmlformats.org/officeDocument/2006/relationships/hyperlink" Target="https://www.kotsu.city.nagoya.jp/jp/pc/ENJOY/TRP0004710.htm" TargetMode="External"/><Relationship Id="rId908" Type="http://schemas.openxmlformats.org/officeDocument/2006/relationships/hyperlink" Target="https://www.kotsu.city.nagoya.jp/jp/pc/ENJOY/TRP0004710.htm" TargetMode="External"/><Relationship Id="rId903" Type="http://schemas.openxmlformats.org/officeDocument/2006/relationships/hyperlink" Target="https://www.city.yokohama.lg.jp/shikai/kiroku/katsudo/r4/JohninSuikouR04.files/J-SK-20220913-kt-14.pdf" TargetMode="External"/><Relationship Id="rId902" Type="http://schemas.openxmlformats.org/officeDocument/2006/relationships/hyperlink" Target="https://www.city.yokohama.lg.jp/shikai/kiroku/katsudo/r4/JohninSuikouR04.files/J-SK-20220913-kt-14.pdf" TargetMode="External"/><Relationship Id="rId901" Type="http://schemas.openxmlformats.org/officeDocument/2006/relationships/hyperlink" Target="https://www.city.yokohama.lg.jp/shikai/kiroku/katsudo/r4/JohninSuikouR04.files/J-SK-20220913-kt-14.pdf" TargetMode="External"/><Relationship Id="rId900" Type="http://schemas.openxmlformats.org/officeDocument/2006/relationships/hyperlink" Target="http://www.renritsukyo.jp/fumikiri/overpass/s30_result/end/awd_myg01.html" TargetMode="External"/><Relationship Id="rId929" Type="http://schemas.openxmlformats.org/officeDocument/2006/relationships/hyperlink" Target="https://www.jametro.or.jp/upload/data/OcFpRydLvphq.pdf" TargetMode="External"/><Relationship Id="rId928" Type="http://schemas.openxmlformats.org/officeDocument/2006/relationships/hyperlink" Target="https://kotsu.city.kobe.lg.jp/wp-content/uploads/allpages.pdf" TargetMode="External"/><Relationship Id="rId927" Type="http://schemas.openxmlformats.org/officeDocument/2006/relationships/hyperlink" Target="https://www.kotsu.city.nagoya.jp/jp/pc/ENJOY/TRP0004710.htm" TargetMode="External"/><Relationship Id="rId926" Type="http://schemas.openxmlformats.org/officeDocument/2006/relationships/hyperlink" Target="https://www.kotsu.city.nagoya.jp/jp/pc/ENJOY/TRP0004710.htm" TargetMode="External"/><Relationship Id="rId921" Type="http://schemas.openxmlformats.org/officeDocument/2006/relationships/hyperlink" Target="https://www.kotsu.city.nagoya.jp/jp/pc/ENJOY/TRP0004710.htm" TargetMode="External"/><Relationship Id="rId920" Type="http://schemas.openxmlformats.org/officeDocument/2006/relationships/hyperlink" Target="https://www.kotsu.city.nagoya.jp/jp/pc/ENJOY/TRP0004710.htm" TargetMode="External"/><Relationship Id="rId925" Type="http://schemas.openxmlformats.org/officeDocument/2006/relationships/hyperlink" Target="https://www.kotsu.city.nagoya.jp/jp/pc/ENJOY/TRP0004710.htm" TargetMode="External"/><Relationship Id="rId924" Type="http://schemas.openxmlformats.org/officeDocument/2006/relationships/hyperlink" Target="https://www.kotsu.city.nagoya.jp/jp/pc/ENJOY/TRP0004710.htm" TargetMode="External"/><Relationship Id="rId923" Type="http://schemas.openxmlformats.org/officeDocument/2006/relationships/hyperlink" Target="https://www.kotsu.city.nagoya.jp/jp/pc/ENJOY/TRP0004710.htm" TargetMode="External"/><Relationship Id="rId922" Type="http://schemas.openxmlformats.org/officeDocument/2006/relationships/hyperlink" Target="https://www.kotsu.city.nagoya.jp/jp/pc/ENJOY/TRP0004710.htm" TargetMode="External"/><Relationship Id="rId918" Type="http://schemas.openxmlformats.org/officeDocument/2006/relationships/hyperlink" Target="https://www.kotsu.city.nagoya.jp/jp/pc/ENJOY/TRP0004710.htm" TargetMode="External"/><Relationship Id="rId917" Type="http://schemas.openxmlformats.org/officeDocument/2006/relationships/hyperlink" Target="https://www.kotsu.city.nagoya.jp/jp/pc/ENJOY/TRP0004710.htm" TargetMode="External"/><Relationship Id="rId916" Type="http://schemas.openxmlformats.org/officeDocument/2006/relationships/hyperlink" Target="https://www.kotsu.city.nagoya.jp/jp/pc/ENJOY/TRP0004710.htm" TargetMode="External"/><Relationship Id="rId915" Type="http://schemas.openxmlformats.org/officeDocument/2006/relationships/hyperlink" Target="https://www.kotsu.city.nagoya.jp/jp/pc/ENJOY/TRP0004710.htm" TargetMode="External"/><Relationship Id="rId919" Type="http://schemas.openxmlformats.org/officeDocument/2006/relationships/hyperlink" Target="https://www.kotsu.city.nagoya.jp/jp/pc/ENJOY/TRP0004710.htm" TargetMode="External"/><Relationship Id="rId910" Type="http://schemas.openxmlformats.org/officeDocument/2006/relationships/hyperlink" Target="https://www.kotsu.city.nagoya.jp/jp/pc/ENJOY/TRP0004710.htm" TargetMode="External"/><Relationship Id="rId914" Type="http://schemas.openxmlformats.org/officeDocument/2006/relationships/hyperlink" Target="https://www.kotsu.city.nagoya.jp/jp/pc/ENJOY/TRP0004710.htm" TargetMode="External"/><Relationship Id="rId913" Type="http://schemas.openxmlformats.org/officeDocument/2006/relationships/hyperlink" Target="https://www.kotsu.city.nagoya.jp/jp/pc/ENJOY/TRP0004710.htm" TargetMode="External"/><Relationship Id="rId912" Type="http://schemas.openxmlformats.org/officeDocument/2006/relationships/hyperlink" Target="https://www.kotsu.city.nagoya.jp/jp/pc/ENJOY/TRP0004710.htm" TargetMode="External"/><Relationship Id="rId911" Type="http://schemas.openxmlformats.org/officeDocument/2006/relationships/hyperlink" Target="https://www.kotsu.city.nagoya.jp/jp/pc/ENJOY/TRP0004710.htm" TargetMode="External"/><Relationship Id="rId629" Type="http://schemas.openxmlformats.org/officeDocument/2006/relationships/hyperlink" Target="https://web.archive.org/web/20150328212257/https://www.metromadrid.es/en/comunicacion/prensa/2015/March/noticia09.html" TargetMode="External"/><Relationship Id="rId624" Type="http://schemas.openxmlformats.org/officeDocument/2006/relationships/hyperlink" Target="https://www.eitb.eus/es/noticias/economia/detalle/4706859/inauguracion-linea-3-metro-bilbao-operada-euskotren-8-abril/" TargetMode="External"/><Relationship Id="rId866" Type="http://schemas.openxmlformats.org/officeDocument/2006/relationships/hyperlink" Target="https://dorts.tycg.gov.tw/en/business/mrt-brown-line" TargetMode="External"/><Relationship Id="rId623" Type="http://schemas.openxmlformats.org/officeDocument/2006/relationships/hyperlink" Target="https://www.eib.org/en/projects/pipelines/all/20160937" TargetMode="External"/><Relationship Id="rId865" Type="http://schemas.openxmlformats.org/officeDocument/2006/relationships/hyperlink" Target="https://focustaiwan.tw/politics/202202220017" TargetMode="External"/><Relationship Id="rId622" Type="http://schemas.openxmlformats.org/officeDocument/2006/relationships/hyperlink" Target="https://govern.cat/govern/docs/2012/10/03/12/36/6b33e55c-7ef4-4200-8517-97c7501d026e.pdf" TargetMode="External"/><Relationship Id="rId864" Type="http://schemas.openxmlformats.org/officeDocument/2006/relationships/hyperlink" Target="https://www.cna.com.tw/news/firstnews/201908150041.aspx" TargetMode="External"/><Relationship Id="rId621" Type="http://schemas.openxmlformats.org/officeDocument/2006/relationships/hyperlink" Target="https://govern.cat/govern/docs/2012/10/03/12/36/6b33e55c-7ef4-4200-8517-97c7501d026e.pdf" TargetMode="External"/><Relationship Id="rId863" Type="http://schemas.openxmlformats.org/officeDocument/2006/relationships/hyperlink" Target="http://www.taipeitimes.com/News/taiwan/archives/2018/05/03/2003692436" TargetMode="External"/><Relationship Id="rId628" Type="http://schemas.openxmlformats.org/officeDocument/2006/relationships/hyperlink" Target="https://www.metro-report.com/news/metro/single-view/view/madrid-metro-line-2-extended-to-las-rosas.html?sword_list%5B%5D=madrid&amp;no_cache=1" TargetMode="External"/><Relationship Id="rId627" Type="http://schemas.openxmlformats.org/officeDocument/2006/relationships/hyperlink" Target="https://elpais.com/elpais/2008/07/09/actualidad/1215591420_850215.html" TargetMode="External"/><Relationship Id="rId869" Type="http://schemas.openxmlformats.org/officeDocument/2006/relationships/hyperlink" Target="http://www.globalconstructionreview.com/news/china-railway-completes-feasibility-study-kiev-met/" TargetMode="External"/><Relationship Id="rId626" Type="http://schemas.openxmlformats.org/officeDocument/2006/relationships/hyperlink" Target="https://tunnelbuilder.com/metrosur/edition2pdf/page2.pdf" TargetMode="External"/><Relationship Id="rId868" Type="http://schemas.openxmlformats.org/officeDocument/2006/relationships/hyperlink" Target="https://www.unian.info/kiev/10350087-kyiv-metro-signs-contract-for-subway-line-construction-to-kyiv-s-vynohradar-district.html" TargetMode="External"/><Relationship Id="rId625" Type="http://schemas.openxmlformats.org/officeDocument/2006/relationships/hyperlink" Target="https://tunnelbuilder.com/metrosur/edition2pdf/page2.pdf" TargetMode="External"/><Relationship Id="rId867" Type="http://schemas.openxmlformats.org/officeDocument/2006/relationships/hyperlink" Target="https://www.railwaygazette.com/vehicles/crrc-wins-kharkiv-metro-train-contract/56702.article" TargetMode="External"/><Relationship Id="rId620" Type="http://schemas.openxmlformats.org/officeDocument/2006/relationships/hyperlink" Target="https://www.ccma.cat/324/La-linia-5-del-Metro-de-Barcelona-samplia-dema-amb-les-estacions-del-Carmel-el-Collla-Teixonera-i-Vall-dHebron/noticia/790448/" TargetMode="External"/><Relationship Id="rId862" Type="http://schemas.openxmlformats.org/officeDocument/2006/relationships/hyperlink" Target="https://dorts.tycg.gov.tw/en/business/mrt-green-line" TargetMode="External"/><Relationship Id="rId861" Type="http://schemas.openxmlformats.org/officeDocument/2006/relationships/hyperlink" Target="https://focustaiwan.tw/society/202003240018" TargetMode="External"/><Relationship Id="rId860" Type="http://schemas.openxmlformats.org/officeDocument/2006/relationships/hyperlink" Target="https://www.dorts.ntpc.gov.tw/home.jsp?id=90&amp;act=be4f48068b2b0031&amp;dataserno=09b73a18932ab2e245b25cd63399a208" TargetMode="External"/><Relationship Id="rId619" Type="http://schemas.openxmlformats.org/officeDocument/2006/relationships/hyperlink" Target="http://territori.scot.cat/cat/notices/2010/10/metro_lInia_2_2737.php" TargetMode="External"/><Relationship Id="rId618" Type="http://schemas.openxmlformats.org/officeDocument/2006/relationships/hyperlink" Target="https://pemb.cat/public/docs/794_r6_cat_b2_17_perllongament_linia_3_de_metro_corr.pdf" TargetMode="External"/><Relationship Id="rId613" Type="http://schemas.openxmlformats.org/officeDocument/2006/relationships/hyperlink" Target="https://sustainabledevelopment.un.org/content/documents/Dominican.pdf" TargetMode="External"/><Relationship Id="rId855" Type="http://schemas.openxmlformats.org/officeDocument/2006/relationships/hyperlink" Target="https://www.rb.gov.tw/en/showpage.php?lmenuid=24&amp;smenuid=154" TargetMode="External"/><Relationship Id="rId612" Type="http://schemas.openxmlformats.org/officeDocument/2006/relationships/hyperlink" Target="https://www.thelocal.dk/20190930/in-pictures-copenhagens-new-city-ring-metro-line" TargetMode="External"/><Relationship Id="rId854" Type="http://schemas.openxmlformats.org/officeDocument/2006/relationships/hyperlink" Target="https://www.railjournal.com/in_depth/taiwan-transit-in-transition" TargetMode="External"/><Relationship Id="rId611" Type="http://schemas.openxmlformats.org/officeDocument/2006/relationships/hyperlink" Target="https://www.nuernberg.de/presse/mitteilungen/presse_77790.html" TargetMode="External"/><Relationship Id="rId853" Type="http://schemas.openxmlformats.org/officeDocument/2006/relationships/hyperlink" Target="https://www.uab.gov.tr/uploads/pages/kutuphane/d38e678334e19c8.pdf" TargetMode="External"/><Relationship Id="rId610" Type="http://schemas.openxmlformats.org/officeDocument/2006/relationships/hyperlink" Target="https://www.nuernberg.de/presse/mitteilungen/presse_68381.html" TargetMode="External"/><Relationship Id="rId852" Type="http://schemas.openxmlformats.org/officeDocument/2006/relationships/hyperlink" Target="https://www.uab.gov.tr/uploads/pages/kutuphane/d38e678334e19c8.pdf" TargetMode="External"/><Relationship Id="rId617" Type="http://schemas.openxmlformats.org/officeDocument/2006/relationships/hyperlink" Target="https://tunnelbuilder.com/News/New-metro-line-6-in-Cairo-deal-signed-.aspx" TargetMode="External"/><Relationship Id="rId859" Type="http://schemas.openxmlformats.org/officeDocument/2006/relationships/hyperlink" Target="https://www.taiwannews.com.tw/en/news/3861624" TargetMode="External"/><Relationship Id="rId616" Type="http://schemas.openxmlformats.org/officeDocument/2006/relationships/hyperlink" Target="http://english.ahram.org.eg/NewsContent/3/12/35035/Business/Economy/Cairos-rd-underground-line-opens-Tuesday-linking-A.aspx" TargetMode="External"/><Relationship Id="rId858" Type="http://schemas.openxmlformats.org/officeDocument/2006/relationships/hyperlink" Target="https://www.straitstimes.com/asia/east-asia/taipei-airport-rail-line-ready-to-roll" TargetMode="External"/><Relationship Id="rId615" Type="http://schemas.openxmlformats.org/officeDocument/2006/relationships/hyperlink" Target="http://documents.worldbank.org/curated/en/872611529897472449/pdf/Ecuador-PP-06052018.pdf" TargetMode="External"/><Relationship Id="rId857" Type="http://schemas.openxmlformats.org/officeDocument/2006/relationships/hyperlink" Target="https://www.rb.gov.tw/en/showpage.php?lmenuid=24&amp;smenuid=159" TargetMode="External"/><Relationship Id="rId614" Type="http://schemas.openxmlformats.org/officeDocument/2006/relationships/hyperlink" Target="https://acento.com.do/el-financiero/en-pasados-gobiernos-construir-un-kilometro-del-metro-sd-costaba-us58-millones-ahora-solo-us45-millones-9034221.html" TargetMode="External"/><Relationship Id="rId856" Type="http://schemas.openxmlformats.org/officeDocument/2006/relationships/hyperlink" Target="https://www.rb.gov.tw/en/showpage.php?lmenuid=24&amp;smenuid=75" TargetMode="External"/><Relationship Id="rId851" Type="http://schemas.openxmlformats.org/officeDocument/2006/relationships/hyperlink" Target="https://www.hurriyet.com.tr/ege/metroluyuz-39155285" TargetMode="External"/><Relationship Id="rId850" Type="http://schemas.openxmlformats.org/officeDocument/2006/relationships/hyperlink" Target="https://www.ibb.istanbul/Uploads/2019/10/1.-DOc.DR.PELiN-ALPKoKiN--RAYLI-SiSTEMLERiN-MEVCUT-DURUMU.pdf" TargetMode="External"/><Relationship Id="rId409" Type="http://schemas.openxmlformats.org/officeDocument/2006/relationships/hyperlink" Target="https://www.ndrc.gov.cn/fggz/zcssfz/zcgh/201812/W020190910670719961874.pdf" TargetMode="External"/><Relationship Id="rId404" Type="http://schemas.openxmlformats.org/officeDocument/2006/relationships/hyperlink" Target="https://www.seetao.com/details/82868.html" TargetMode="External"/><Relationship Id="rId646" Type="http://schemas.openxmlformats.org/officeDocument/2006/relationships/hyperlink" Target="https://www.prolongement-metro12.fr/faq-metro-m12/" TargetMode="External"/><Relationship Id="rId888" Type="http://schemas.openxmlformats.org/officeDocument/2006/relationships/hyperlink" Target="https://www.soundtransit.org/sites/default/files/documents/2018-q3-link-light-rail_0.pdf" TargetMode="External"/><Relationship Id="rId403" Type="http://schemas.openxmlformats.org/officeDocument/2006/relationships/hyperlink" Target="http://www.rail-transit.com/project/show.php?itemid=343" TargetMode="External"/><Relationship Id="rId645" Type="http://schemas.openxmlformats.org/officeDocument/2006/relationships/hyperlink" Target="https://france3-regions.francetvinfo.fr/paris-ile-de-france/2013/03/22/ligne-4-montrouge-se-met-sur-les-rails-220977.html" TargetMode="External"/><Relationship Id="rId887" Type="http://schemas.openxmlformats.org/officeDocument/2006/relationships/hyperlink" Target="https://www.mercurynews.com/2024/03/11/san-jose-bart-extension-price-tag-balloons-once-again-this-time-by-600-million/" TargetMode="External"/><Relationship Id="rId402" Type="http://schemas.openxmlformats.org/officeDocument/2006/relationships/hyperlink" Target="https://www.ndrc.gov.cn/fggz/zcssfz/zcgh/201812/W020190910670719961874.pdf" TargetMode="External"/><Relationship Id="rId644" Type="http://schemas.openxmlformats.org/officeDocument/2006/relationships/hyperlink" Target="https://plainecommune.fr/projets/transports-et-mobilite/prolongement-de-la-ligne-12/" TargetMode="External"/><Relationship Id="rId886" Type="http://schemas.openxmlformats.org/officeDocument/2006/relationships/hyperlink" Target="https://www.sfchronicle.com/bayarea/article/Central-Subway-tab-likely-to-grow-by-55M-as-14447857.php" TargetMode="External"/><Relationship Id="rId401" Type="http://schemas.openxmlformats.org/officeDocument/2006/relationships/hyperlink" Target="http://www.rail-transit.com/project/show.php?itemid=281" TargetMode="External"/><Relationship Id="rId643" Type="http://schemas.openxmlformats.org/officeDocument/2006/relationships/hyperlink" Target="https://www.railpassion.fr/materiel-actualites-rp/011-14751-la-ligne-8-du-metro-arrive-a-creteil-pointe-du-lac/" TargetMode="External"/><Relationship Id="rId885" Type="http://schemas.openxmlformats.org/officeDocument/2006/relationships/hyperlink" Target="https://whyy.org/articles/2712/" TargetMode="External"/><Relationship Id="rId408" Type="http://schemas.openxmlformats.org/officeDocument/2006/relationships/hyperlink" Target="https://www.ndrc.gov.cn/fggz/zcssfz/zcgh/201812/W020190910670719961874.pdf" TargetMode="External"/><Relationship Id="rId407" Type="http://schemas.openxmlformats.org/officeDocument/2006/relationships/hyperlink" Target="https://www.ndrc.gov.cn/fggz/zcssfz/zcgh/201812/W020190910670719961874.pdf" TargetMode="External"/><Relationship Id="rId649" Type="http://schemas.openxmlformats.org/officeDocument/2006/relationships/hyperlink" Target="https://www.ratp.fr/en/groupe-ratp/metrotrains/m11-extension-rosny-bois-perrier-and-then-noisy-champs" TargetMode="External"/><Relationship Id="rId406" Type="http://schemas.openxmlformats.org/officeDocument/2006/relationships/hyperlink" Target="https://www.ndrc.gov.cn/fggz/zcssfz/zcgh/201812/W020190910670719961874.pdf" TargetMode="External"/><Relationship Id="rId648" Type="http://schemas.openxmlformats.org/officeDocument/2006/relationships/hyperlink" Target="https://www.usinenouvelle.com/article/le-prolongement-a-l-ouest-de-paris-du-rer-e-devient-enfin-realite.N775434" TargetMode="External"/><Relationship Id="rId405" Type="http://schemas.openxmlformats.org/officeDocument/2006/relationships/hyperlink" Target="http://seetao.com/details/179710.html" TargetMode="External"/><Relationship Id="rId647" Type="http://schemas.openxmlformats.org/officeDocument/2006/relationships/hyperlink" Target="http://www.prolongement-m4.fr/sites/default/files/documents/m4-bagneux-dossierpresse_180316_bd.pdf" TargetMode="External"/><Relationship Id="rId889" Type="http://schemas.openxmlformats.org/officeDocument/2006/relationships/hyperlink" Target="https://dcist.com/story/22/07/19/silver-line-cost-additional-250-million/" TargetMode="External"/><Relationship Id="rId880" Type="http://schemas.openxmlformats.org/officeDocument/2006/relationships/hyperlink" Target="http://web.mta.info/nyct/service/new7LineExtension_to11Avenue.htm" TargetMode="External"/><Relationship Id="rId400" Type="http://schemas.openxmlformats.org/officeDocument/2006/relationships/hyperlink" Target="http://www.rail-transit.com/project/show.php?itemid=287" TargetMode="External"/><Relationship Id="rId642" Type="http://schemas.openxmlformats.org/officeDocument/2006/relationships/hyperlink" Target="https://web.archive.org/web/20120221232537/http://www.iledefrance.fr/lactualite/transports/metro-rer/ligne-13-deux-nouvelles-stations-a-asnieres-gennevilliers/" TargetMode="External"/><Relationship Id="rId884" Type="http://schemas.openxmlformats.org/officeDocument/2006/relationships/hyperlink" Target="https://www.transit.dot.gov/sites/fta.dot.gov/files/2023-03/NY-New-York-Second-Avenue-Subway-Phase-2-NSE-Profile-FY24.pdf" TargetMode="External"/><Relationship Id="rId641" Type="http://schemas.openxmlformats.org/officeDocument/2006/relationships/hyperlink" Target="http://www.omegacentre.bartlett.ucl.ac.uk/wp-content/uploads/2014/12/FRANCE_METEOR_PROFILE.pdf" TargetMode="External"/><Relationship Id="rId883" Type="http://schemas.openxmlformats.org/officeDocument/2006/relationships/hyperlink" Target="https://www.masstransitmag.com/rail/infrastructure/press-release/21094267/gateway-program-the-hudson-tunnel-projects-trims-14-billion-with-new-financial-plan" TargetMode="External"/><Relationship Id="rId640" Type="http://schemas.openxmlformats.org/officeDocument/2006/relationships/hyperlink" Target="http://www.cgedd.developpement-durable.gouv.fr/IMG/pdf/RER_D_ChateletGareLyon_cle776cb1-1.pdf" TargetMode="External"/><Relationship Id="rId882" Type="http://schemas.openxmlformats.org/officeDocument/2006/relationships/hyperlink" Target="https://www.nytimes.com/2018/04/25/nyregion/mta-east-side-access-11-billion.html" TargetMode="External"/><Relationship Id="rId881" Type="http://schemas.openxmlformats.org/officeDocument/2006/relationships/hyperlink" Target="http://web.mta.info/capitaldashboard/CPDMega.html" TargetMode="External"/><Relationship Id="rId635" Type="http://schemas.openxmlformats.org/officeDocument/2006/relationships/hyperlink" Target="https://www.lansimetro.fi/en/contact-information/faq/" TargetMode="External"/><Relationship Id="rId877" Type="http://schemas.openxmlformats.org/officeDocument/2006/relationships/hyperlink" Target="https://www.railjournal.com/in_depth/transit-projects-fly-in-the-city-of-angels" TargetMode="External"/><Relationship Id="rId634" Type="http://schemas.openxmlformats.org/officeDocument/2006/relationships/hyperlink" Target="https://vayla.fi/web/en/projects/all-projects/ring-rail-line" TargetMode="External"/><Relationship Id="rId876" Type="http://schemas.openxmlformats.org/officeDocument/2006/relationships/hyperlink" Target="https://la.streetsblog.org/2018/04/25/metro-celebrates-purple-line-extension-1-tunnel-machines-set-to-start-in-august/" TargetMode="External"/><Relationship Id="rId633" Type="http://schemas.openxmlformats.org/officeDocument/2006/relationships/hyperlink" Target="https://www.diariodesevilla.es/sevilla/construccion-linea-1-Metro-Sevilla_0_1341766366.html" TargetMode="External"/><Relationship Id="rId875" Type="http://schemas.openxmlformats.org/officeDocument/2006/relationships/hyperlink" Target="https://www.metro.net/projects/connector/" TargetMode="External"/><Relationship Id="rId632" Type="http://schemas.openxmlformats.org/officeDocument/2006/relationships/hyperlink" Target="https://www.diariosur.es/20130217/local/malaga/obras-metro-malaga-costaran-201302170041.html" TargetMode="External"/><Relationship Id="rId874" Type="http://schemas.openxmlformats.org/officeDocument/2006/relationships/hyperlink" Target="https://spectrumnews1.com/ca/la-west/transportation/2022/01/25/-2-1-billion-crenshaw-lax-light-rail-project-near-completion" TargetMode="External"/><Relationship Id="rId639" Type="http://schemas.openxmlformats.org/officeDocument/2006/relationships/hyperlink" Target="http://www.oullins.fr/territoire-d-avenir/prolongement-du-metro-b-382.html" TargetMode="External"/><Relationship Id="rId638" Type="http://schemas.openxmlformats.org/officeDocument/2006/relationships/hyperlink" Target="https://www.lyon-entreprises.com/actualites/article/le-prolongement-de-la-ligne-b-du-metro-lyonnais-a-oullins-devrait-booster-le-developpement-du-sud-ouest-lyonnais" TargetMode="External"/><Relationship Id="rId637" Type="http://schemas.openxmlformats.org/officeDocument/2006/relationships/hyperlink" Target="https://web.archive.org/web/20080312071952/http://www.sytral.fr/176.0.html" TargetMode="External"/><Relationship Id="rId879" Type="http://schemas.openxmlformats.org/officeDocument/2006/relationships/hyperlink" Target="https://www.miamidade.gov/transit/improvement-airportlink.asp" TargetMode="External"/><Relationship Id="rId636" Type="http://schemas.openxmlformats.org/officeDocument/2006/relationships/hyperlink" Target="https://www.lansimetro.fi/en/contact-information/faq/" TargetMode="External"/><Relationship Id="rId878" Type="http://schemas.openxmlformats.org/officeDocument/2006/relationships/hyperlink" Target="https://la.streetsblog.org/2020/03/24/metro-signs-1-3-billion-full-funding-grant-agreement-for-westside-subway-phase-3/" TargetMode="External"/><Relationship Id="rId631" Type="http://schemas.openxmlformats.org/officeDocument/2006/relationships/hyperlink" Target="https://www.esmadrid.com/sites/default/files/plan_integral_cercanias_madrid_2018_2025.pdf" TargetMode="External"/><Relationship Id="rId873" Type="http://schemas.openxmlformats.org/officeDocument/2006/relationships/hyperlink" Target="https://www.hawaiibusiness.com/hart-history-hawaii-rail-project-when-finished-budget/" TargetMode="External"/><Relationship Id="rId630" Type="http://schemas.openxmlformats.org/officeDocument/2006/relationships/hyperlink" Target="https://gacetinmadrid.com/2022/11/01/arrancan-las-obras-de-ampliacion-de-la-linea-11-de-metro-de-madrid-500-millones-de-euros-y-dos-nuevas-estaciones/" TargetMode="External"/><Relationship Id="rId872" Type="http://schemas.openxmlformats.org/officeDocument/2006/relationships/hyperlink" Target="https://www.chicago-l.org/history/CTA4.html" TargetMode="External"/><Relationship Id="rId871" Type="http://schemas.openxmlformats.org/officeDocument/2006/relationships/hyperlink" Target="https://www.ctps.org/data/pdf/plans/TIP/FFYs-2020-2024-Final-TIP-20190730.pdf" TargetMode="External"/><Relationship Id="rId870" Type="http://schemas.openxmlformats.org/officeDocument/2006/relationships/hyperlink" Target="http://www.cityam.com/257486/full-steam-ahead-tunnelling-12bn-northern-line-extension" TargetMode="External"/><Relationship Id="rId829" Type="http://schemas.openxmlformats.org/officeDocument/2006/relationships/hyperlink" Target="https://www.nationthailand.com/business/30382028" TargetMode="External"/><Relationship Id="rId828" Type="http://schemas.openxmlformats.org/officeDocument/2006/relationships/hyperlink" Target="https://www.mrta.co.th/en/projectelectrictrain/bangkok-and-vicinities/brownline/" TargetMode="External"/><Relationship Id="rId827" Type="http://schemas.openxmlformats.org/officeDocument/2006/relationships/hyperlink" Target="https://www.mrta.co.th/en/projectelectrictrain/bangkok-and-vicinities/orangeline/" TargetMode="External"/><Relationship Id="rId822" Type="http://schemas.openxmlformats.org/officeDocument/2006/relationships/hyperlink" Target="https://www.mrta.co.th/en/projectelectrictrain/bangkok-and-vicinities/greenline/" TargetMode="External"/><Relationship Id="rId821" Type="http://schemas.openxmlformats.org/officeDocument/2006/relationships/hyperlink" Target="https://www.straitstimes.com/singapore/transport/last-stage-of-circle-line-to-cost-a-lot-more-than-first-5-stages" TargetMode="External"/><Relationship Id="rId820" Type="http://schemas.openxmlformats.org/officeDocument/2006/relationships/hyperlink" Target="https://www.straitstimes.com/singapore/transport/thomson-east-coast-line-6-more-stations-from-springleaf-to-caldecott-opening" TargetMode="External"/><Relationship Id="rId826" Type="http://schemas.openxmlformats.org/officeDocument/2006/relationships/hyperlink" Target="https://www.mrta.co.th/en/projectelectrictrain/bangkok-and-vicinities/yellowline/" TargetMode="External"/><Relationship Id="rId825" Type="http://schemas.openxmlformats.org/officeDocument/2006/relationships/hyperlink" Target="https://www.mrta.co.th/en/projectelectrictrain/bangkok-and-vicinities/pinkline/" TargetMode="External"/><Relationship Id="rId824" Type="http://schemas.openxmlformats.org/officeDocument/2006/relationships/hyperlink" Target="https://www.mrta.co.th/en/projectelectrictrain/bangkok-and-vicinities/greenline/" TargetMode="External"/><Relationship Id="rId823" Type="http://schemas.openxmlformats.org/officeDocument/2006/relationships/hyperlink" Target="https://www.mrta.co.th/en/projectelectrictrain/bangkok-and-vicinities/blueline/?AspxAutoDetectCookieSupport=1" TargetMode="External"/><Relationship Id="rId819" Type="http://schemas.openxmlformats.org/officeDocument/2006/relationships/hyperlink" Target="https://www.todayonline.com/singapore/comparing-singapores-newest-and-oldest-mrt-lines" TargetMode="External"/><Relationship Id="rId818" Type="http://schemas.openxmlformats.org/officeDocument/2006/relationships/hyperlink" Target="https://www.sgcarmart.com/news/article.php?AID=21019" TargetMode="External"/><Relationship Id="rId817" Type="http://schemas.openxmlformats.org/officeDocument/2006/relationships/hyperlink" Target="http://nyatunnelbanan.sll.se/sites/tunnelbanan/files/Faktablad_Upphandling_%20engelsk.pdf" TargetMode="External"/><Relationship Id="rId816" Type="http://schemas.openxmlformats.org/officeDocument/2006/relationships/hyperlink" Target="http://nyatunnelbanan.sll.se/sites/tunnelbanan/files/Faktablad_Upphandling_%20engelsk.pdf" TargetMode="External"/><Relationship Id="rId811" Type="http://schemas.openxmlformats.org/officeDocument/2006/relationships/hyperlink" Target="https://www.fastmetroriyadh.com/about/our-lines/" TargetMode="External"/><Relationship Id="rId810" Type="http://schemas.openxmlformats.org/officeDocument/2006/relationships/hyperlink" Target="https://www.fastmetroriyadh.com/ar/%D8%A7%D9%84%D8%AE%D8%B1%D9%8A%D8%B7%D8%A9-2/" TargetMode="External"/><Relationship Id="rId815" Type="http://schemas.openxmlformats.org/officeDocument/2006/relationships/hyperlink" Target="http://nyatunnelbanan.sll.se/sites/tunnelbanan/files/Faktablad_Upphandling_%20engelsk.pdf" TargetMode="External"/><Relationship Id="rId814" Type="http://schemas.openxmlformats.org/officeDocument/2006/relationships/hyperlink" Target="https://web.archive.org/web/20150402164159/http://www.trafikverket.se/en/startpage/Projects/Railway-construction-projects1/The-Stockholm-City-Line/" TargetMode="External"/><Relationship Id="rId813" Type="http://schemas.openxmlformats.org/officeDocument/2006/relationships/hyperlink" Target="http://www.tunnel-online.info/en/artikel/artikel_en_1204638.html" TargetMode="External"/><Relationship Id="rId812" Type="http://schemas.openxmlformats.org/officeDocument/2006/relationships/hyperlink" Target="https://www.fastmetroriyadh.com/about/our-lines/" TargetMode="External"/><Relationship Id="rId609" Type="http://schemas.openxmlformats.org/officeDocument/2006/relationships/hyperlink" Target="https://www.sueddeutsche.de/muenchen/muenchen-u-bahn-u5-pasing-kosten-1.5475070" TargetMode="External"/><Relationship Id="rId608" Type="http://schemas.openxmlformats.org/officeDocument/2006/relationships/hyperlink" Target="https://www.2.stammstrecke-muenchen.de/kosten-und-finanzierung.html" TargetMode="External"/><Relationship Id="rId607" Type="http://schemas.openxmlformats.org/officeDocument/2006/relationships/hyperlink" Target="https://www.u-bahn-muenchen.de/report/baustellenreport/moosach/" TargetMode="External"/><Relationship Id="rId849" Type="http://schemas.openxmlformats.org/officeDocument/2006/relationships/hyperlink" Target="https://ekap.kik.gov.tr/EKAP/Ortak/IhaleArama/index.html" TargetMode="External"/><Relationship Id="rId602" Type="http://schemas.openxmlformats.org/officeDocument/2006/relationships/hyperlink" Target="https://schneller-durch-hamburg.de/mehrkosten-u4-2023" TargetMode="External"/><Relationship Id="rId844" Type="http://schemas.openxmlformats.org/officeDocument/2006/relationships/hyperlink" Target="https://www.ibb.istanbul/Uploads/2019/10/1.-DOc.DR.PELiN-ALPKoKiN--RAYLI-SiSTEMLERiN-MEVCUT-DURUMU.pdf" TargetMode="External"/><Relationship Id="rId601" Type="http://schemas.openxmlformats.org/officeDocument/2006/relationships/hyperlink" Target="https://www.nahverkehrhamburg.de/u4-verlaengerung-in-horner-geest-soll-465-millionen-euro-kosten-9328/" TargetMode="External"/><Relationship Id="rId843" Type="http://schemas.openxmlformats.org/officeDocument/2006/relationships/hyperlink" Target="https://ekap.kik.gov.tr/EKAP/Ortak/IhaleArama/index.html" TargetMode="External"/><Relationship Id="rId600" Type="http://schemas.openxmlformats.org/officeDocument/2006/relationships/hyperlink" Target="https://www.nahverkehrhamburg.de/u4-verlaengerung-in-horner-geest-soll-465-millionen-euro-kosten-9328/" TargetMode="External"/><Relationship Id="rId842"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841" Type="http://schemas.openxmlformats.org/officeDocument/2006/relationships/hyperlink" Target="https://rayhaber.com/2017/03/basaksehir-kayasehir-metrosu-insaati-ihale-sonucu/," TargetMode="External"/><Relationship Id="rId606" Type="http://schemas.openxmlformats.org/officeDocument/2006/relationships/hyperlink" Target="https://www.sueddeutsche.de/muenchen/s-bahn-muenchen-im-eiltempo-zum-tunnel-eine-bahn-fuer-die-olympischen-spiele-1.3444727" TargetMode="External"/><Relationship Id="rId848" Type="http://schemas.openxmlformats.org/officeDocument/2006/relationships/hyperlink" Target="https://ekap.kik.gov.tr/EKAP/Ortak/IhaleArama/index.html" TargetMode="External"/><Relationship Id="rId605" Type="http://schemas.openxmlformats.org/officeDocument/2006/relationships/hyperlink" Target="http://dip21.bundestag.de/dip21/btd/17/029/1702939.pdf" TargetMode="External"/><Relationship Id="rId847" Type="http://schemas.openxmlformats.org/officeDocument/2006/relationships/hyperlink" Target="https://ekap.kik.gov.tr/EKAP/Ortak/IhaleArama/index.html" TargetMode="External"/><Relationship Id="rId604" Type="http://schemas.openxmlformats.org/officeDocument/2006/relationships/hyperlink" Target="https://www.diekombiloesung.de/haeufige-fragen.html" TargetMode="External"/><Relationship Id="rId846"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603" Type="http://schemas.openxmlformats.org/officeDocument/2006/relationships/hyperlink" Target="https://www.ndr.de/nachrichten/hamburg/U5-in-Hamburg-Kosten-fuer-oestlichen-Abschnitt-explodieren,ubahn826.html" TargetMode="External"/><Relationship Id="rId845" Type="http://schemas.openxmlformats.org/officeDocument/2006/relationships/hyperlink" Target="https://ekap.kik.gov.tr/EKAP/Ortak/IhaleArama/index.html" TargetMode="External"/><Relationship Id="rId840" Type="http://schemas.openxmlformats.org/officeDocument/2006/relationships/hyperlink" Target="https://ekap.kik.gov.tr/EKAP/Ortak/IhaleArama/index.html" TargetMode="External"/><Relationship Id="rId839" Type="http://schemas.openxmlformats.org/officeDocument/2006/relationships/hyperlink" Target="https://www.insaatderyasi.com/gayrettepe-3-havalimani-metro-ihalesine-1-milyar-euro-1718h.htm" TargetMode="External"/><Relationship Id="rId838" Type="http://schemas.openxmlformats.org/officeDocument/2006/relationships/hyperlink" Target="https://www.metro.istanbul/Hatlarimiz/ProjeHalindekiHatlar?projeInsaat=0&amp;q=36" TargetMode="External"/><Relationship Id="rId833" Type="http://schemas.openxmlformats.org/officeDocument/2006/relationships/hyperlink" Target="https://rayhaber.com/2009/02/proje-bilgisi-halic-metro-gecis-koprusu-insaati/" TargetMode="External"/><Relationship Id="rId832" Type="http://schemas.openxmlformats.org/officeDocument/2006/relationships/hyperlink" Target="https://www.sabah.com.tr/Gundem/2013/06/14/istanbula-yeni-metro" TargetMode="External"/><Relationship Id="rId831" Type="http://schemas.openxmlformats.org/officeDocument/2006/relationships/hyperlink" Target="https://railturkey.org/2016/10/15/kadikoy-kartal-tavsantepe-metro-m4/2/" TargetMode="External"/><Relationship Id="rId830" Type="http://schemas.openxmlformats.org/officeDocument/2006/relationships/hyperlink" Target="https://www.cnnturk.com/turkiye/efsanevi-kecioren-metrosu-aciliyor" TargetMode="External"/><Relationship Id="rId837" Type="http://schemas.openxmlformats.org/officeDocument/2006/relationships/hyperlink" Target="https://www.railwaygazette.com/infrastructure/marmaray-upgrading-works-resume/43921.article" TargetMode="External"/><Relationship Id="rId836" Type="http://schemas.openxmlformats.org/officeDocument/2006/relationships/hyperlink" Target="http://www.uskudarumraniyecekmekoymetrosu.com/ana-sayfa/projenin-tarihcesi.aspx" TargetMode="External"/><Relationship Id="rId835" Type="http://schemas.openxmlformats.org/officeDocument/2006/relationships/hyperlink" Target="https://railturkey.org/2016/10/15/kadikoy-kartal-tavsantepe-metro-m4/2/" TargetMode="External"/><Relationship Id="rId834" Type="http://schemas.openxmlformats.org/officeDocument/2006/relationships/hyperlink" Target="https://www.uab.gov.tr/uploads/cities/istanbul/34-istanbul.pdf" TargetMode="External"/><Relationship Id="rId228" Type="http://schemas.openxmlformats.org/officeDocument/2006/relationships/hyperlink" Target="http://www.rail-transit.com/project/show.php?itemid=313" TargetMode="External"/><Relationship Id="rId227" Type="http://schemas.openxmlformats.org/officeDocument/2006/relationships/hyperlink" Target="http://www.rail-transit.com/project/show.php?itemid=113" TargetMode="External"/><Relationship Id="rId469" Type="http://schemas.openxmlformats.org/officeDocument/2006/relationships/hyperlink" Target="http://www.rail-transit.com/project/show.php?itemid=120" TargetMode="External"/><Relationship Id="rId226" Type="http://schemas.openxmlformats.org/officeDocument/2006/relationships/hyperlink" Target="https://baike.baidu.com/item/%E8%B4%B5%E9%98%B3%E8%BD%A8%E9%81%93%E4%BA%A4%E9%80%9A3%E5%8F%B7%E7%BA%BF/16024214" TargetMode="External"/><Relationship Id="rId468" Type="http://schemas.openxmlformats.org/officeDocument/2006/relationships/hyperlink" Target="http://www.rail-transit.com/project/show.php?itemid=260" TargetMode="External"/><Relationship Id="rId225" Type="http://schemas.openxmlformats.org/officeDocument/2006/relationships/hyperlink" Target="http://zfxxgk.ndrc.gov.cn/web/iteminfo.jsp?id=362" TargetMode="External"/><Relationship Id="rId467" Type="http://schemas.openxmlformats.org/officeDocument/2006/relationships/hyperlink" Target="http://finance.sina.com.cn/roll/20120905/131013052588.shtml" TargetMode="External"/><Relationship Id="rId229" Type="http://schemas.openxmlformats.org/officeDocument/2006/relationships/hyperlink" Target="http://www.rail-transit.com/project/show.php?itemid=89" TargetMode="External"/><Relationship Id="rId220" Type="http://schemas.openxmlformats.org/officeDocument/2006/relationships/hyperlink" Target="https://news.dayoo.com/guangzhou/202011/02/139995_53631830.htm" TargetMode="External"/><Relationship Id="rId462" Type="http://schemas.openxmlformats.org/officeDocument/2006/relationships/hyperlink" Target="http://www.rail-transit.com/project/show.php?itemid=293" TargetMode="External"/><Relationship Id="rId461" Type="http://schemas.openxmlformats.org/officeDocument/2006/relationships/hyperlink" Target="http://www.tranbbs.com/Advisory/Rail/Advisory_84459.shtml" TargetMode="External"/><Relationship Id="rId460" Type="http://schemas.openxmlformats.org/officeDocument/2006/relationships/hyperlink" Target="http://www.rail-transit.com/project/show.php?itemid=572" TargetMode="External"/><Relationship Id="rId224" Type="http://schemas.openxmlformats.org/officeDocument/2006/relationships/hyperlink" Target="http://www.rail-transit.com/project/show.php?itemid=294" TargetMode="External"/><Relationship Id="rId466" Type="http://schemas.openxmlformats.org/officeDocument/2006/relationships/hyperlink" Target="https://www.ndrc.gov.cn/xxgk/zcfb/ghwb/201809/W020190905497960329280.pdf" TargetMode="External"/><Relationship Id="rId223" Type="http://schemas.openxmlformats.org/officeDocument/2006/relationships/hyperlink" Target="http://zfxxgk.ndrc.gov.cn/web/iteminfo.jsp?id=362" TargetMode="External"/><Relationship Id="rId465" Type="http://schemas.openxmlformats.org/officeDocument/2006/relationships/hyperlink" Target="https://www.ndrc.gov.cn/xxgk/zcfb/ghwb/201809/W020190905497960329280.pdf" TargetMode="External"/><Relationship Id="rId222" Type="http://schemas.openxmlformats.org/officeDocument/2006/relationships/hyperlink" Target="https://zh.wikipedia.org/wiki/%E8%B4%B5%E9%98%B3%E8%BD%A8%E9%81%93%E4%BA%A4%E9%80%9A1%E5%8F%B7%E7%BA%BF" TargetMode="External"/><Relationship Id="rId464" Type="http://schemas.openxmlformats.org/officeDocument/2006/relationships/hyperlink" Target="http://www.rail-transit.com/project/show.php?itemid=321" TargetMode="External"/><Relationship Id="rId221" Type="http://schemas.openxmlformats.org/officeDocument/2006/relationships/hyperlink" Target="http://www.rail-transit.com/project/show.php?itemid=278" TargetMode="External"/><Relationship Id="rId463" Type="http://schemas.openxmlformats.org/officeDocument/2006/relationships/hyperlink" Target="http://www.rail-transit.com/project/show.php?itemid=148" TargetMode="External"/><Relationship Id="rId217" Type="http://schemas.openxmlformats.org/officeDocument/2006/relationships/hyperlink" Target="http://gd.people.com.cn/n2/2020/0805/c123932-34206133.html" TargetMode="External"/><Relationship Id="rId459" Type="http://schemas.openxmlformats.org/officeDocument/2006/relationships/hyperlink" Target="http://www.rail-transit.com/project/show.php?itemid=573" TargetMode="External"/><Relationship Id="rId216" Type="http://schemas.openxmlformats.org/officeDocument/2006/relationships/hyperlink" Target="http://gd.people.com.cn/n2/2020/0805/c123932-34206133.html" TargetMode="External"/><Relationship Id="rId458" Type="http://schemas.openxmlformats.org/officeDocument/2006/relationships/hyperlink" Target="https://www.ndrc.gov.cn/fggz/zcssfz/zcgh/201601/W020190910670584360634.pdf" TargetMode="External"/><Relationship Id="rId215" Type="http://schemas.openxmlformats.org/officeDocument/2006/relationships/hyperlink" Target="http://gd.people.com.cn/n2/2020/0805/c123932-34206133.html" TargetMode="External"/><Relationship Id="rId457" Type="http://schemas.openxmlformats.org/officeDocument/2006/relationships/hyperlink" Target="http://www.rail-transit.com/project/show.php?itemid=226" TargetMode="External"/><Relationship Id="rId699" Type="http://schemas.openxmlformats.org/officeDocument/2006/relationships/hyperlink" Target="https://indianexpress.com/article/cities/surat/tenders-worth-rs-3002-cr-awarded-work-for-phase-1-of-surat-metro-begins-7511571/" TargetMode="External"/><Relationship Id="rId214" Type="http://schemas.openxmlformats.org/officeDocument/2006/relationships/hyperlink" Target="http://www.rail-transit.com/project/show.php?itemid=350" TargetMode="External"/><Relationship Id="rId456" Type="http://schemas.openxmlformats.org/officeDocument/2006/relationships/hyperlink" Target="https://www.ndrc.gov.cn/fggz/zcssfz/zcgh/201601/W020190910670584360634.pdf" TargetMode="External"/><Relationship Id="rId698" Type="http://schemas.openxmlformats.org/officeDocument/2006/relationships/hyperlink" Target="https://timesofindia.indiatimes.com/city/pune/98-of-land-acquired-for-pmrda-metro-line-project-start-date-soon/articleshow/85723503.cms" TargetMode="External"/><Relationship Id="rId219" Type="http://schemas.openxmlformats.org/officeDocument/2006/relationships/hyperlink" Target="https://new.qq.com/omn/20210623/20210623A096ZY00.html" TargetMode="External"/><Relationship Id="rId218" Type="http://schemas.openxmlformats.org/officeDocument/2006/relationships/hyperlink" Target="http://www.rail-transit.com/project/show.php?itemid=619" TargetMode="External"/><Relationship Id="rId451" Type="http://schemas.openxmlformats.org/officeDocument/2006/relationships/hyperlink" Target="http://fgw.sz.gov.cn/zwgk/qt/tzgg/201902/P020190226346098115982.pdf" TargetMode="External"/><Relationship Id="rId693" Type="http://schemas.openxmlformats.org/officeDocument/2006/relationships/hyperlink" Target="https://mmrda.maharashtra.gov.in/documents/10180/9283015/Metro+Line+12/20c81fcb-0b2c-40c2-9e06-a7b4e7d46bdb" TargetMode="External"/><Relationship Id="rId450" Type="http://schemas.openxmlformats.org/officeDocument/2006/relationships/hyperlink" Target="http://fgw.sz.gov.cn/zwgk/qt/tzgg/201902/P020190226346098115982.pdf" TargetMode="External"/><Relationship Id="rId692" Type="http://schemas.openxmlformats.org/officeDocument/2006/relationships/hyperlink" Target="https://mmrda.maharashtra.gov.in/documents/10180/9283015/Metro+Line+11/8dc85106-19e2-48a5-875e-acdb289c357d" TargetMode="External"/><Relationship Id="rId691" Type="http://schemas.openxmlformats.org/officeDocument/2006/relationships/hyperlink" Target="https://mmrda.maharashtra.gov.in/documents/10180/9283015/Metro+Line+10/076595c3-c882-424c-b49d-f22399e9a096" TargetMode="External"/><Relationship Id="rId690" Type="http://schemas.openxmlformats.org/officeDocument/2006/relationships/hyperlink" Target="https://mmrda.maharashtra.gov.in/metro-line-5" TargetMode="External"/><Relationship Id="rId213" Type="http://schemas.openxmlformats.org/officeDocument/2006/relationships/hyperlink" Target="http://www.rail-transit.com/project/show.php?itemid=87" TargetMode="External"/><Relationship Id="rId455" Type="http://schemas.openxmlformats.org/officeDocument/2006/relationships/hyperlink" Target="http://www.rail-transit.com/project/show.php?itemid=196" TargetMode="External"/><Relationship Id="rId697" Type="http://schemas.openxmlformats.org/officeDocument/2006/relationships/hyperlink" Target="https://indianexpress.com/article/cities/pune/pune-maha-metro-pmc-7154473/" TargetMode="External"/><Relationship Id="rId212" Type="http://schemas.openxmlformats.org/officeDocument/2006/relationships/hyperlink" Target="http://www.gz.gov.cn/zwgk/zdxm/2012n/content/post_2847743.html" TargetMode="External"/><Relationship Id="rId454" Type="http://schemas.openxmlformats.org/officeDocument/2006/relationships/hyperlink" Target="http://www.gov.cn/jrzg/2012-09/28/content_2235330.htm" TargetMode="External"/><Relationship Id="rId696" Type="http://schemas.openxmlformats.org/officeDocument/2006/relationships/hyperlink" Target="https://timesofindia.indiatimes.com/city/patna/patna-metro-rail-project-awaits-funds-from-japan-agency/articleshow/88284432.cms" TargetMode="External"/><Relationship Id="rId211" Type="http://schemas.openxmlformats.org/officeDocument/2006/relationships/hyperlink" Target="http://drc.gd.gov.cn/zdxm5665/content/post_851371.html" TargetMode="External"/><Relationship Id="rId453" Type="http://schemas.openxmlformats.org/officeDocument/2006/relationships/hyperlink" Target="http://fgw.sz.gov.cn/zwgk/qt/tzgg/201902/P020190226346098115982.pdf" TargetMode="External"/><Relationship Id="rId695" Type="http://schemas.openxmlformats.org/officeDocument/2006/relationships/hyperlink" Target="https://timesofindia.indiatimes.com/city/nagpur/mahametro-saves-rs1850cr-in-nagpur-metro-phase-ii/articleshow/67371648.cms" TargetMode="External"/><Relationship Id="rId210" Type="http://schemas.openxmlformats.org/officeDocument/2006/relationships/hyperlink" Target="http://drc.gd.gov.cn/zdxm5665/content/post_851371.html" TargetMode="External"/><Relationship Id="rId452" Type="http://schemas.openxmlformats.org/officeDocument/2006/relationships/hyperlink" Target="http://fgw.sz.gov.cn/zwgk/qt/tzgg/201902/P020190226346098115982.pdf" TargetMode="External"/><Relationship Id="rId694" Type="http://schemas.openxmlformats.org/officeDocument/2006/relationships/hyperlink" Target="http://www.metrorailnagpur.com/projectprofile.aspx" TargetMode="External"/><Relationship Id="rId491" Type="http://schemas.openxmlformats.org/officeDocument/2006/relationships/hyperlink" Target="http://zjjcmspublic.oss-cn-hangzhou-zwynet-d01-a.internet.cloud.zj.gov.cn/jcms_files/jcms1/web1825/site/attach/0/150120083915404.pdf" TargetMode="External"/><Relationship Id="rId490" Type="http://schemas.openxmlformats.org/officeDocument/2006/relationships/hyperlink" Target="https://www.163.com/dy/article/GT2J4GU20545AOQT.html" TargetMode="External"/><Relationship Id="rId249" Type="http://schemas.openxmlformats.org/officeDocument/2006/relationships/hyperlink" Target="https://fzggw.zj.gov.cn/art/2017/7/6/art_1599553_30290528.html" TargetMode="External"/><Relationship Id="rId248" Type="http://schemas.openxmlformats.org/officeDocument/2006/relationships/hyperlink" Target="http://117.149.20.102/zjgcjy/InfoDetail/?InfoID=8a06b8de-a13d-4102-9c58-df3858d9e226&amp;CategoryNum=004001001" TargetMode="External"/><Relationship Id="rId247" Type="http://schemas.openxmlformats.org/officeDocument/2006/relationships/hyperlink" Target="http://zj.cnr.cn/hzbb/20141013/t20141013_516587545.shtml" TargetMode="External"/><Relationship Id="rId489" Type="http://schemas.openxmlformats.org/officeDocument/2006/relationships/hyperlink" Target="https://www.163.com/dy/article/GT2J4GU20545AOQT.html" TargetMode="External"/><Relationship Id="rId242" Type="http://schemas.openxmlformats.org/officeDocument/2006/relationships/hyperlink" Target="http://www.rail-transit.com/project/show.php?itemid=134" TargetMode="External"/><Relationship Id="rId484" Type="http://schemas.openxmlformats.org/officeDocument/2006/relationships/hyperlink" Target="https://wenku.baidu.com/view/801ab19a8ad63186bceb19e8b8f67c1cfbd6ee6e.html" TargetMode="External"/><Relationship Id="rId241" Type="http://schemas.openxmlformats.org/officeDocument/2006/relationships/hyperlink" Target="https://www.ndrc.gov.cn/xxgk/zcfb/ghwb/201612/W020190905497886107757.pdf" TargetMode="External"/><Relationship Id="rId483" Type="http://schemas.openxmlformats.org/officeDocument/2006/relationships/hyperlink" Target="http://news.enorth.com.cn/system/2021/04/23/051305652.shtml" TargetMode="External"/><Relationship Id="rId240" Type="http://schemas.openxmlformats.org/officeDocument/2006/relationships/hyperlink" Target="http://www.rail-transit.com/project/show.php?itemid=138" TargetMode="External"/><Relationship Id="rId482" Type="http://schemas.openxmlformats.org/officeDocument/2006/relationships/hyperlink" Target="http://www.rail-transit.com/project/show.php?itemid=574" TargetMode="External"/><Relationship Id="rId481" Type="http://schemas.openxmlformats.org/officeDocument/2006/relationships/hyperlink" Target="http://www.rail-transit.com/project/show.php?itemid=154" TargetMode="External"/><Relationship Id="rId246" Type="http://schemas.openxmlformats.org/officeDocument/2006/relationships/hyperlink" Target="https://www.cssglw.com/news/635201059257656250.html" TargetMode="External"/><Relationship Id="rId488" Type="http://schemas.openxmlformats.org/officeDocument/2006/relationships/hyperlink" Target="http://www.rail-transit.com/project/show.php?itemid=195" TargetMode="External"/><Relationship Id="rId245" Type="http://schemas.openxmlformats.org/officeDocument/2006/relationships/hyperlink" Target="http://zzhz.zjol.com.cn/05zzhz/system/2008/09/29/009985997.shtml" TargetMode="External"/><Relationship Id="rId487" Type="http://schemas.openxmlformats.org/officeDocument/2006/relationships/hyperlink" Target="http://www.rail-transit.com/project/show.php?itemid=130" TargetMode="External"/><Relationship Id="rId244" Type="http://schemas.openxmlformats.org/officeDocument/2006/relationships/hyperlink" Target="http://www.rail-transit.com/project/show.php?itemid=351" TargetMode="External"/><Relationship Id="rId486" Type="http://schemas.openxmlformats.org/officeDocument/2006/relationships/hyperlink" Target="https://web.archive.org/web/20191106163139/http://www.bjgdjs.com/html/2019-09/797.html" TargetMode="External"/><Relationship Id="rId243" Type="http://schemas.openxmlformats.org/officeDocument/2006/relationships/hyperlink" Target="http://www.rail-transit.com/project/show.php?itemid=116" TargetMode="External"/><Relationship Id="rId485" Type="http://schemas.openxmlformats.org/officeDocument/2006/relationships/hyperlink" Target="http://www.rail-transit.com/project/show.php?itemid=428" TargetMode="External"/><Relationship Id="rId480" Type="http://schemas.openxmlformats.org/officeDocument/2006/relationships/hyperlink" Target="http://www.rail-transit.com/project/show.php?itemid=155" TargetMode="External"/><Relationship Id="rId239" Type="http://schemas.openxmlformats.org/officeDocument/2006/relationships/hyperlink" Target="http://www.rail-transit.com/project/show.php?itemid=137" TargetMode="External"/><Relationship Id="rId238" Type="http://schemas.openxmlformats.org/officeDocument/2006/relationships/hyperlink" Target="http://www.rail-transit.com/project/show.php?itemid=301" TargetMode="External"/><Relationship Id="rId237" Type="http://schemas.openxmlformats.org/officeDocument/2006/relationships/hyperlink" Target="http://www.rail-transit.com/project/show.php?itemid=133" TargetMode="External"/><Relationship Id="rId479" Type="http://schemas.openxmlformats.org/officeDocument/2006/relationships/hyperlink" Target="http://www.rail-transit.com/project/show.php?itemid=316" TargetMode="External"/><Relationship Id="rId236" Type="http://schemas.openxmlformats.org/officeDocument/2006/relationships/hyperlink" Target="http://www.rail-transit.com/project/show.php?itemid=249" TargetMode="External"/><Relationship Id="rId478" Type="http://schemas.openxmlformats.org/officeDocument/2006/relationships/hyperlink" Target="https://wenku.baidu.com/view/801ab19a8ad63186bceb19e8b8f67c1cfbd6ee6e.html" TargetMode="External"/><Relationship Id="rId231" Type="http://schemas.openxmlformats.org/officeDocument/2006/relationships/hyperlink" Target="https://www.ndrc.gov.cn/xxgk/zcfb/ghwb/201612/W020190905497886107757.pdf" TargetMode="External"/><Relationship Id="rId473" Type="http://schemas.openxmlformats.org/officeDocument/2006/relationships/hyperlink" Target="http://www.zjtz.gov.cn/art/2021/8/25/art_1229049733_59046724.html" TargetMode="External"/><Relationship Id="rId230" Type="http://schemas.openxmlformats.org/officeDocument/2006/relationships/hyperlink" Target="http://www.rail-transit.com/project/show.php?itemid=89" TargetMode="External"/><Relationship Id="rId472" Type="http://schemas.openxmlformats.org/officeDocument/2006/relationships/hyperlink" Target="http://www.rail-transit.com/project/show.php?itemid=711" TargetMode="External"/><Relationship Id="rId471" Type="http://schemas.openxmlformats.org/officeDocument/2006/relationships/hyperlink" Target="http://www.rail-transit.com/project/show.php?itemid=711" TargetMode="External"/><Relationship Id="rId470" Type="http://schemas.openxmlformats.org/officeDocument/2006/relationships/hyperlink" Target="http://www.rail-transit.com/project/show.php?itemid=159" TargetMode="External"/><Relationship Id="rId235" Type="http://schemas.openxmlformats.org/officeDocument/2006/relationships/hyperlink" Target="http://www.rail-transit.com/project/show.php?itemid=286" TargetMode="External"/><Relationship Id="rId477" Type="http://schemas.openxmlformats.org/officeDocument/2006/relationships/hyperlink" Target="https://wenku.baidu.com/view/801ab19a8ad63186bceb19e8b8f67c1cfbd6ee6e.html" TargetMode="External"/><Relationship Id="rId234" Type="http://schemas.openxmlformats.org/officeDocument/2006/relationships/hyperlink" Target="https://www.ndrc.gov.cn/xxgk/zcfb/ghwb/201612/W020190905497886107757.pdf" TargetMode="External"/><Relationship Id="rId476" Type="http://schemas.openxmlformats.org/officeDocument/2006/relationships/hyperlink" Target="http://www.rail-transit.com/file/upload/201907/15/10573644162.pdf" TargetMode="External"/><Relationship Id="rId233" Type="http://schemas.openxmlformats.org/officeDocument/2006/relationships/hyperlink" Target="http://www.rail-transit.com/project/show.php?itemid=136" TargetMode="External"/><Relationship Id="rId475" Type="http://schemas.openxmlformats.org/officeDocument/2006/relationships/hyperlink" Target="http://www.rail-transit.com/project/show.php?itemid=251" TargetMode="External"/><Relationship Id="rId232" Type="http://schemas.openxmlformats.org/officeDocument/2006/relationships/hyperlink" Target="https://www.ndrc.gov.cn/xxgk/zcfb/ghwb/201612/W020190905497886107757.pdf" TargetMode="External"/><Relationship Id="rId474" Type="http://schemas.openxmlformats.org/officeDocument/2006/relationships/hyperlink" Target="https://www.cpppc.org/zhejiang/1001654.jhtml" TargetMode="External"/><Relationship Id="rId426" Type="http://schemas.openxmlformats.org/officeDocument/2006/relationships/hyperlink" Target="http://www.rail-transit.com/project/show.php?itemid=299" TargetMode="External"/><Relationship Id="rId668" Type="http://schemas.openxmlformats.org/officeDocument/2006/relationships/hyperlink" Target="https://www.metrorailnews.in/bengaluru-metros-yelachenahalli-anjanapura-line-supposed-to-be-ready-by-november-2020/" TargetMode="External"/><Relationship Id="rId425" Type="http://schemas.openxmlformats.org/officeDocument/2006/relationships/hyperlink" Target="https://www.ndrc.gov.cn/fggz/zcssfz/zcgh/201509/W020190910670552487617.pdf" TargetMode="External"/><Relationship Id="rId667" Type="http://schemas.openxmlformats.org/officeDocument/2006/relationships/hyperlink" Target="https://economictimes.indiatimes.com/industry/transportation/railways/cost-and-time-overrun-marks-bengaluru-metro-phase-i/articleshow/57550535.cms" TargetMode="External"/><Relationship Id="rId424" Type="http://schemas.openxmlformats.org/officeDocument/2006/relationships/hyperlink" Target="http://fgw.sz.gov.cn/zwgk/qt/tzgg/201902/P020190226346098115982.pdf" TargetMode="External"/><Relationship Id="rId666" Type="http://schemas.openxmlformats.org/officeDocument/2006/relationships/hyperlink" Target="https://indianexpress.com/article/cities/ahmedabad/ahmedabad-metro-phase-1-delay-makes-cost-jump-by-rs-2000-cr-6486037/" TargetMode="External"/><Relationship Id="rId423" Type="http://schemas.openxmlformats.org/officeDocument/2006/relationships/hyperlink" Target="https://www.szmc.net/jituagaikuang/tourongziyewu/tourongziqingkuang/" TargetMode="External"/><Relationship Id="rId665" Type="http://schemas.openxmlformats.org/officeDocument/2006/relationships/hyperlink" Target="https://www.indiatoday.in/india/story/pm-modi-to-virtually-inaugurate-construction-of-rs-8-000-crore-agra-metro-project-on-december-7-1746997-2020-12-05" TargetMode="External"/><Relationship Id="rId429" Type="http://schemas.openxmlformats.org/officeDocument/2006/relationships/hyperlink" Target="https://huacheng.gz-cmc.com/pages/2020/09/02/12217064331742859f82edec5e61f9ff.html" TargetMode="External"/><Relationship Id="rId428" Type="http://schemas.openxmlformats.org/officeDocument/2006/relationships/hyperlink" Target="https://www.ndrc.gov.cn/xxgk/zcfb/ghwb/201707/W020190905497930956563.pdf" TargetMode="External"/><Relationship Id="rId427" Type="http://schemas.openxmlformats.org/officeDocument/2006/relationships/hyperlink" Target="https://www.ndrc.gov.cn/xxgk/zcfb/ghwb/201707/W020190905497930956563.pdf" TargetMode="External"/><Relationship Id="rId669" Type="http://schemas.openxmlformats.org/officeDocument/2006/relationships/hyperlink" Target="https://www.business-standard.com/article/current-affairs/phase-ii-chennai-metro-project-to-cost-rs-36-000-cr-114022800932_1.html" TargetMode="External"/><Relationship Id="rId660" Type="http://schemas.openxmlformats.org/officeDocument/2006/relationships/hyperlink" Target="https://www.info.gov.hk/archive/napco/cost.html" TargetMode="External"/><Relationship Id="rId422" Type="http://schemas.openxmlformats.org/officeDocument/2006/relationships/hyperlink" Target="http://www.shenyangbus.com/a/sydt/2018/1227/10268.html" TargetMode="External"/><Relationship Id="rId664" Type="http://schemas.openxmlformats.org/officeDocument/2006/relationships/hyperlink" Target="http://www.xinhuanet.com/english/2019-05/21/c_138075072.htm" TargetMode="External"/><Relationship Id="rId421" Type="http://schemas.openxmlformats.org/officeDocument/2006/relationships/hyperlink" Target="http://www.symtc.com/content.php?5894" TargetMode="External"/><Relationship Id="rId663" Type="http://schemas.openxmlformats.org/officeDocument/2006/relationships/hyperlink" Target="https://en.globes.co.il/en/article-first-third-of-red-line-completed-1001205843" TargetMode="External"/><Relationship Id="rId420" Type="http://schemas.openxmlformats.org/officeDocument/2006/relationships/hyperlink" Target="http://www.shenyangbus.com/a/sydt/2018/1227/10268.html" TargetMode="External"/><Relationship Id="rId662" Type="http://schemas.openxmlformats.org/officeDocument/2006/relationships/hyperlink" Target="https://www.jttri.or.jp/docs/seminar190719-25.pdf" TargetMode="External"/><Relationship Id="rId661" Type="http://schemas.openxmlformats.org/officeDocument/2006/relationships/hyperlink" Target="https://www.europarl.europa.eu/doceo/document//P-8-2017-000299_EN.html" TargetMode="External"/><Relationship Id="rId415" Type="http://schemas.openxmlformats.org/officeDocument/2006/relationships/hyperlink" Target="http://www.symtc.com/content.php?5894" TargetMode="External"/><Relationship Id="rId657" Type="http://schemas.openxmlformats.org/officeDocument/2006/relationships/hyperlink" Target="https://mmis.hkpl.gov.hk///c/portal/cover?c=QF757YsWv59%2F9WIUSQ5l7%2Fm%2BLaqXoBAd" TargetMode="External"/><Relationship Id="rId899" Type="http://schemas.openxmlformats.org/officeDocument/2006/relationships/hyperlink" Target="https://web.archive.org/web/20160306165935/http://www.pref.miyagi.jp/uploaded/attachment/44456.pdf" TargetMode="External"/><Relationship Id="rId414" Type="http://schemas.openxmlformats.org/officeDocument/2006/relationships/hyperlink" Target="http://www.rail-transit.com/project/show.php?itemid=194" TargetMode="External"/><Relationship Id="rId656" Type="http://schemas.openxmlformats.org/officeDocument/2006/relationships/hyperlink" Target="https://mmis.hkpl.gov.hk///c/portal/cover?c=QF757YsWv59%2F9WIUSQ5l76Vd0tr1CR%2F%2F" TargetMode="External"/><Relationship Id="rId898" Type="http://schemas.openxmlformats.org/officeDocument/2006/relationships/hyperlink" Target="https://www.kotsu.city.sendai.jp/kigyou/pdf/06nendoban/11.pdf" TargetMode="External"/><Relationship Id="rId413" Type="http://schemas.openxmlformats.org/officeDocument/2006/relationships/hyperlink" Target="http://www.rail-transit.com/project/show.php?itemid=179" TargetMode="External"/><Relationship Id="rId655" Type="http://schemas.openxmlformats.org/officeDocument/2006/relationships/hyperlink" Target="https://www.ametro.gr/wp-content/uploads/2018/08/AM_Xrimatooikonomikes_katastaseis_2017.pdf" TargetMode="External"/><Relationship Id="rId897" Type="http://schemas.openxmlformats.org/officeDocument/2006/relationships/hyperlink" Target="http://proxy.library.nyu.edu/login?qurl=https%3A%2F%2Fwww.proquest.com%2Ftrade-journals%2Fsharing-risks-on-londons-light-railway%2Fdocview%2F231162793%2Fse-2%3Faccountid%3D12768." TargetMode="External"/><Relationship Id="rId412" Type="http://schemas.openxmlformats.org/officeDocument/2006/relationships/hyperlink" Target="http://www.rail-transit.com/project/show.php?itemid=259" TargetMode="External"/><Relationship Id="rId654" Type="http://schemas.openxmlformats.org/officeDocument/2006/relationships/hyperlink" Target="https://omekgroup.com.gr/projects/thessaloniki-metro/" TargetMode="External"/><Relationship Id="rId896" Type="http://schemas.openxmlformats.org/officeDocument/2006/relationships/hyperlink" Target="https://saigoneer.com/saigon-news/12943-saigon-starts-seeking-investors-for-metro-line-5" TargetMode="External"/><Relationship Id="rId419" Type="http://schemas.openxmlformats.org/officeDocument/2006/relationships/hyperlink" Target="http://www.janeoo.com/news/hangyedongtai-detail-539834.htm" TargetMode="External"/><Relationship Id="rId418" Type="http://schemas.openxmlformats.org/officeDocument/2006/relationships/hyperlink" Target="https://sy.leju.com/news/2021-10-25/16496858323734529623540.shtml" TargetMode="External"/><Relationship Id="rId417" Type="http://schemas.openxmlformats.org/officeDocument/2006/relationships/hyperlink" Target="http://www.rail-transit.com/project/show.php?itemid=216" TargetMode="External"/><Relationship Id="rId659" Type="http://schemas.openxmlformats.org/officeDocument/2006/relationships/hyperlink" Target="https://mmis.hkpl.gov.hk///c/portal/cover?c=QF757YsWv59%2F9WIUSQ5l77yBOL%2Bgwk13" TargetMode="External"/><Relationship Id="rId416" Type="http://schemas.openxmlformats.org/officeDocument/2006/relationships/hyperlink" Target="http://www.symtc.com/content.php?5894" TargetMode="External"/><Relationship Id="rId658" Type="http://schemas.openxmlformats.org/officeDocument/2006/relationships/hyperlink" Target="https://mmis.hkpl.gov.hk///c/portal/cover?c=QF757YsWv59%2F9WIUSQ5l7xsxoWQ4dkCT" TargetMode="External"/><Relationship Id="rId891" Type="http://schemas.openxmlformats.org/officeDocument/2006/relationships/hyperlink" Target="https://www.railwaypro.com/wp/tashkent-metro-extension-is-underway/" TargetMode="External"/><Relationship Id="rId890" Type="http://schemas.openxmlformats.org/officeDocument/2006/relationships/hyperlink" Target="http://www.uzbekembassy.in/construction-of-sergeli-metro-line-to-cost-170-1-million/" TargetMode="External"/><Relationship Id="rId411" Type="http://schemas.openxmlformats.org/officeDocument/2006/relationships/hyperlink" Target="http://www.ce.cn/cysc/jtys/tielu/202102/02/t20210202_36283657.shtml" TargetMode="External"/><Relationship Id="rId653" Type="http://schemas.openxmlformats.org/officeDocument/2006/relationships/hyperlink" Target="https://www.ametro.gr/?p=14801&amp;lang=en" TargetMode="External"/><Relationship Id="rId895" Type="http://schemas.openxmlformats.org/officeDocument/2006/relationships/hyperlink" Target="https://e.vnexpress.net/news/news/saigon-metro-lines-cost-escalation-cleared-construction-not-to-stop-4002027.html" TargetMode="External"/><Relationship Id="rId410" Type="http://schemas.openxmlformats.org/officeDocument/2006/relationships/hyperlink" Target="https://www.ndrc.gov.cn/fggz/zcssfz/zcgh/201812/W020190910670719961874.pdf" TargetMode="External"/><Relationship Id="rId652" Type="http://schemas.openxmlformats.org/officeDocument/2006/relationships/hyperlink" Target="https://www.ametro.gr/wp-content/uploads/2018/08/AM_Xrimatooikonomikes_katastaseis_2017.pdf" TargetMode="External"/><Relationship Id="rId894" Type="http://schemas.openxmlformats.org/officeDocument/2006/relationships/hyperlink" Target="https://e.vnexpress.net/news/news/hcmc-submits-plans-for-new-2-9-billion-metro-line-4095209.html" TargetMode="External"/><Relationship Id="rId651" Type="http://schemas.openxmlformats.org/officeDocument/2006/relationships/hyperlink" Target="https://www.toulousemetro3.fr/le-projet/3eme-ligne.html" TargetMode="External"/><Relationship Id="rId893" Type="http://schemas.openxmlformats.org/officeDocument/2006/relationships/hyperlink" Target="https://hanoionline.vn/video/du-an-duong-sat-do-thi-so-3-phat-sinh-chi-phi-230701.htm" TargetMode="External"/><Relationship Id="rId650" Type="http://schemas.openxmlformats.org/officeDocument/2006/relationships/hyperlink" Target="https://www.gpmetropole-infos.fr/le-cout-du-grand-paris-express-revu-a-la-hausse/" TargetMode="External"/><Relationship Id="rId892" Type="http://schemas.openxmlformats.org/officeDocument/2006/relationships/hyperlink" Target="http://saigondautu.com.vn/chu-diem-su-kien/5-du-an-doi-von-khung-61311.html" TargetMode="External"/><Relationship Id="rId206" Type="http://schemas.openxmlformats.org/officeDocument/2006/relationships/hyperlink" Target="http://www.rail-transit.com/project/show.php?itemid=252" TargetMode="External"/><Relationship Id="rId448" Type="http://schemas.openxmlformats.org/officeDocument/2006/relationships/hyperlink" Target="http://fgw.sz.gov.cn/zwgk/qt/tzgg/201902/P020190226346098115982.pdf" TargetMode="External"/><Relationship Id="rId205" Type="http://schemas.openxmlformats.org/officeDocument/2006/relationships/hyperlink" Target="https://www.ndrc.gov.cn/fggz/zcssfz/zcgh/201703/W020190910670680927090.pdf" TargetMode="External"/><Relationship Id="rId447" Type="http://schemas.openxmlformats.org/officeDocument/2006/relationships/hyperlink" Target="https://www.ndrc.gov.cn/xxgk/zcfb/ghwb/201707/W020190905497930956563.pdf" TargetMode="External"/><Relationship Id="rId689" Type="http://schemas.openxmlformats.org/officeDocument/2006/relationships/hyperlink" Target="https://mmrda.maharashtra.gov.in/metro-line-2b" TargetMode="External"/><Relationship Id="rId204" Type="http://schemas.openxmlformats.org/officeDocument/2006/relationships/hyperlink" Target="http://www.gov.cn/xinwen/2017-03/23/content_5180079.htm" TargetMode="External"/><Relationship Id="rId446" Type="http://schemas.openxmlformats.org/officeDocument/2006/relationships/hyperlink" Target="https://www.ndrc.gov.cn/xxgk/zcfb/ghwb/201707/W020190905497930956563.pdf" TargetMode="External"/><Relationship Id="rId688" Type="http://schemas.openxmlformats.org/officeDocument/2006/relationships/hyperlink" Target="https://mmrda.maharashtra.gov.in/metro-line-9" TargetMode="External"/><Relationship Id="rId203" Type="http://schemas.openxmlformats.org/officeDocument/2006/relationships/hyperlink" Target="http://www.rail-transit.com/project/show.php?itemid=170" TargetMode="External"/><Relationship Id="rId445" Type="http://schemas.openxmlformats.org/officeDocument/2006/relationships/hyperlink" Target="https://www.ndrc.gov.cn/xxgk/zcfb/ghwb/201707/W020190905497930956563.pdf" TargetMode="External"/><Relationship Id="rId687" Type="http://schemas.openxmlformats.org/officeDocument/2006/relationships/hyperlink" Target="https://mmrda.maharashtra.gov.in/documents/10180/9283015/Metro+Line+4A/da25997a-6844-4c74-b4bd-9538285c9471" TargetMode="External"/><Relationship Id="rId209" Type="http://schemas.openxmlformats.org/officeDocument/2006/relationships/hyperlink" Target="https://www.ndrc.gov.cn/fzggw/jgsj/tzs/sjdt/200706/t20070622_1192155.html" TargetMode="External"/><Relationship Id="rId208" Type="http://schemas.openxmlformats.org/officeDocument/2006/relationships/hyperlink" Target="http://news.sina.com.cn/c/2007-09-06/013313825648.shtml" TargetMode="External"/><Relationship Id="rId207" Type="http://schemas.openxmlformats.org/officeDocument/2006/relationships/hyperlink" Target="http://drc.gd.gov.cn/zdxm5665/content/post_851139.html" TargetMode="External"/><Relationship Id="rId449" Type="http://schemas.openxmlformats.org/officeDocument/2006/relationships/hyperlink" Target="http://fgw.sz.gov.cn/zwgk/qt/tzgg/201902/P020190226346098115982.pdf" TargetMode="External"/><Relationship Id="rId440" Type="http://schemas.openxmlformats.org/officeDocument/2006/relationships/hyperlink" Target="http://www.rail-transit.com/project/show.php?itemid=75" TargetMode="External"/><Relationship Id="rId682" Type="http://schemas.openxmlformats.org/officeDocument/2006/relationships/hyperlink" Target="https://www.freepressjournal.in/mumbai/metro-line-2a-revised-deadline-is-may-2021" TargetMode="External"/><Relationship Id="rId681" Type="http://schemas.openxmlformats.org/officeDocument/2006/relationships/hyperlink" Target="https://indianexpress.com/article/cities/mumbai/indias-first-monorail-rolls-out-in-city/" TargetMode="External"/><Relationship Id="rId680" Type="http://schemas.openxmlformats.org/officeDocument/2006/relationships/hyperlink" Target="https://kochimetro.org/everything-you-need-to-know-about-the-kochi-metro/" TargetMode="External"/><Relationship Id="rId202" Type="http://schemas.openxmlformats.org/officeDocument/2006/relationships/hyperlink" Target="http://www.gov.cn/xinwen/2017-03/23/5180079/files/d764253433a944c0a620def88bf6f446.pdf" TargetMode="External"/><Relationship Id="rId444" Type="http://schemas.openxmlformats.org/officeDocument/2006/relationships/hyperlink" Target="http://fgw.sz.gov.cn/gkmlpt/content/8/8275/post_8275981.html" TargetMode="External"/><Relationship Id="rId686" Type="http://schemas.openxmlformats.org/officeDocument/2006/relationships/hyperlink" Target="https://mmrda.maharashtra.gov.in/metro-line-4" TargetMode="External"/><Relationship Id="rId201" Type="http://schemas.openxmlformats.org/officeDocument/2006/relationships/hyperlink" Target="http://www.gov.cn/xinwen/2017-03/23/5180079/files/d764253433a944c0a620def88bf6f446.pdf" TargetMode="External"/><Relationship Id="rId443" Type="http://schemas.openxmlformats.org/officeDocument/2006/relationships/hyperlink" Target="http://www.rail-transit.com/project/show.php?itemid=557" TargetMode="External"/><Relationship Id="rId685" Type="http://schemas.openxmlformats.org/officeDocument/2006/relationships/hyperlink" Target="https://mmrda.maharashtra.gov.in/documents/10180/9283015/Metro+Line+6/17c5ed14-e9fb-4920-9521-02eebb25c4a9" TargetMode="External"/><Relationship Id="rId200" Type="http://schemas.openxmlformats.org/officeDocument/2006/relationships/hyperlink" Target="http://www.gov.cn/xinwen/2017-03/23/5180079/files/d764253433a944c0a620def88bf6f446.pdf" TargetMode="External"/><Relationship Id="rId442" Type="http://schemas.openxmlformats.org/officeDocument/2006/relationships/hyperlink" Target="http://drc.gd.gov.cn/xmgs/content/post_3719459.html" TargetMode="External"/><Relationship Id="rId684" Type="http://schemas.openxmlformats.org/officeDocument/2006/relationships/hyperlink" Target="https://housing.com/news/mumbai-metro-line-3-everything-you-need-to-know/" TargetMode="External"/><Relationship Id="rId441" Type="http://schemas.openxmlformats.org/officeDocument/2006/relationships/hyperlink" Target="http://www.rail-transit.com/project/show.php?itemid=545" TargetMode="External"/><Relationship Id="rId683" Type="http://schemas.openxmlformats.org/officeDocument/2006/relationships/hyperlink" Target="https://www.hindustantimes.com/mumbai-news/metro-lines-2a-7-to-be-delayed-by-3-months-mmrda-chief/story-UodpzX0AgmfV4e1OBrDxCK.html" TargetMode="External"/><Relationship Id="rId437" Type="http://schemas.openxmlformats.org/officeDocument/2006/relationships/hyperlink" Target="http://www.rail-transit.com/project/show.php?itemid=175" TargetMode="External"/><Relationship Id="rId679" Type="http://schemas.openxmlformats.org/officeDocument/2006/relationships/hyperlink" Target="https://timesofindia.indiatimes.com/city/kanpur/first-train-set-for-kanpur-metro-project-rolls-out-from-gujarats-savli/articleshow/86322835.cms" TargetMode="External"/><Relationship Id="rId436" Type="http://schemas.openxmlformats.org/officeDocument/2006/relationships/hyperlink" Target="http://www.rail-transit.com/project/show.php?itemid=346" TargetMode="External"/><Relationship Id="rId678" Type="http://schemas.openxmlformats.org/officeDocument/2006/relationships/hyperlink" Target="https://www.thehindu.com/news/cities/Hyderabad/airport-metro-to-have-underground-section-connecting-to-passenger-terminal/article29317205.ece" TargetMode="External"/><Relationship Id="rId435" Type="http://schemas.openxmlformats.org/officeDocument/2006/relationships/hyperlink" Target="https://www.ndrc.gov.cn/xxgk/zcfb/ghwb/201707/W020190905497930956563.pdf" TargetMode="External"/><Relationship Id="rId677" Type="http://schemas.openxmlformats.org/officeDocument/2006/relationships/hyperlink" Target="https://www.indiatoday.in/india/story/hyderabad-metro-project-delay-by-l-and-t-pushes-up-cost-by-over-30-per-cent-1094750-2017-11-26" TargetMode="External"/><Relationship Id="rId434" Type="http://schemas.openxmlformats.org/officeDocument/2006/relationships/hyperlink" Target="https://www.ndrc.gov.cn/xxgk/zcfb/ghwb/201707/W020190905497930956563.pdf" TargetMode="External"/><Relationship Id="rId676" Type="http://schemas.openxmlformats.org/officeDocument/2006/relationships/hyperlink" Target="http://www.ptinews.com/news/8562521_Second-phase-of-Gurgaon-s-Rapid-Metro-launched.html" TargetMode="External"/><Relationship Id="rId439" Type="http://schemas.openxmlformats.org/officeDocument/2006/relationships/hyperlink" Target="http://www.rail-transit.com/project/show.php?itemid=537" TargetMode="External"/><Relationship Id="rId438" Type="http://schemas.openxmlformats.org/officeDocument/2006/relationships/hyperlink" Target="http://www.rail-transit.com/project/show.php?itemid=541" TargetMode="External"/><Relationship Id="rId671" Type="http://schemas.openxmlformats.org/officeDocument/2006/relationships/hyperlink" Target="https://www.businesstoday.in/sectors/infra/relief-for-commuters-in-chennai-metro-network-to-expand-phase-ii-work-begins/story/350907.html" TargetMode="External"/><Relationship Id="rId670" Type="http://schemas.openxmlformats.org/officeDocument/2006/relationships/hyperlink" Target="https://themetrorailguy.com/chennai-metro-phase-1-extension-information-route-maps-tenders-updates/" TargetMode="External"/><Relationship Id="rId433" Type="http://schemas.openxmlformats.org/officeDocument/2006/relationships/hyperlink" Target="http://www.rail-transit.com/project/show.php?itemid=354" TargetMode="External"/><Relationship Id="rId675" Type="http://schemas.openxmlformats.org/officeDocument/2006/relationships/hyperlink" Target="http://archive.indianexpress.com/news/gurgaon-rapid-metro-begins-trial-runs/1011112/0" TargetMode="External"/><Relationship Id="rId432" Type="http://schemas.openxmlformats.org/officeDocument/2006/relationships/hyperlink" Target="https://www.ndrc.gov.cn/xxgk/zcfb/ghwb/201707/W020190905497930956563.pdf" TargetMode="External"/><Relationship Id="rId674" Type="http://schemas.openxmlformats.org/officeDocument/2006/relationships/hyperlink" Target="https://economictimes.indiatimes.com/news/politics-and-nation/operational-loss-in-delhi-metro-phase-iv-project-to-be-borne-by-delhi-govt-sc/articleshow/71008680.cms" TargetMode="External"/><Relationship Id="rId431" Type="http://schemas.openxmlformats.org/officeDocument/2006/relationships/hyperlink" Target="https://www.ndrc.gov.cn/xxgk/zcfb/ghwb/201707/W020190905497930956563.pdf" TargetMode="External"/><Relationship Id="rId673" Type="http://schemas.openxmlformats.org/officeDocument/2006/relationships/hyperlink" Target="https://housing.com/news/delhi-metro-phase-iv-finally-approved-government/" TargetMode="External"/><Relationship Id="rId430" Type="http://schemas.openxmlformats.org/officeDocument/2006/relationships/hyperlink" Target="https://zfxxgk.ndrc.gov.cn/web/iteminfo.jsp?id=16961" TargetMode="External"/><Relationship Id="rId672" Type="http://schemas.openxmlformats.org/officeDocument/2006/relationships/hyperlink" Target="http://www.delhimetrorail.com/funding.aspx"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data.bls.gov/timeseries/CUUR0000SA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en.connectionjapan.com/2019/02/16/jr-east-construira-linha-para-ligar-toquio-ao-aeroporto-de-haneda/" TargetMode="External"/><Relationship Id="rId194" Type="http://schemas.openxmlformats.org/officeDocument/2006/relationships/hyperlink" Target="https://resources.realestate.co.jp/living/faster-commute-and-lower-congestion-expected-as-sotetsu-main-line-and-jr-east-start-direct-rail-service-on-nov-30th/" TargetMode="External"/><Relationship Id="rId193" Type="http://schemas.openxmlformats.org/officeDocument/2006/relationships/hyperlink" Target="https://www.railwaygazette.com/cross-tokyo-link-inaugurated/40649.article" TargetMode="External"/><Relationship Id="rId192" Type="http://schemas.openxmlformats.org/officeDocument/2006/relationships/hyperlink" Target="https://www.railwaygazette.com/tokyo-monorail-plans-to-extend/39875.article" TargetMode="External"/><Relationship Id="rId191" Type="http://schemas.openxmlformats.org/officeDocument/2006/relationships/hyperlink" Target="https://www.ejrcf.or.jp/jrtr/jrtr26/pdf/t58_neh.pdf" TargetMode="External"/><Relationship Id="rId187" Type="http://schemas.openxmlformats.org/officeDocument/2006/relationships/hyperlink" Target="https://www.japantimes.co.jp/news/2008/06/12/national/fukutoshin-subway-line-debuts/" TargetMode="External"/><Relationship Id="rId186" Type="http://schemas.openxmlformats.org/officeDocument/2006/relationships/hyperlink" Target="http://www.mlit.go.jp/common/001272230.pdf" TargetMode="External"/><Relationship Id="rId185" Type="http://schemas.openxmlformats.org/officeDocument/2006/relationships/hyperlink" Target="https://www.westjr.co.jp/global/en/ir/library/fact-sheets/2018/pdf/fact2018.pdf" TargetMode="External"/><Relationship Id="rId184" Type="http://schemas.openxmlformats.org/officeDocument/2006/relationships/hyperlink" Target="https://www.westjr.co.jp/global/en/ir/library/fact-sheets/2018/pdf/fact2018.pdf" TargetMode="External"/><Relationship Id="rId189" Type="http://schemas.openxmlformats.org/officeDocument/2006/relationships/hyperlink" Target="https://web.archive.org/web/20060517042836/http://www.kotsu.metro.tokyo.jp/news/pdf/sub_t_20060324a_01.pdf" TargetMode="External"/><Relationship Id="rId188" Type="http://schemas.openxmlformats.org/officeDocument/2006/relationships/hyperlink" Target="https://www.japantimes.co.jp/life/2004/02/13/travel/new-subway-signals-start-of-a-new-era/" TargetMode="External"/><Relationship Id="rId183" Type="http://schemas.openxmlformats.org/officeDocument/2006/relationships/hyperlink" Target="https://saigoneer.com/saigon-news/12943-saigon-starts-seeking-investors-for-metro-line-5" TargetMode="External"/><Relationship Id="rId182" Type="http://schemas.openxmlformats.org/officeDocument/2006/relationships/hyperlink" Target="https://e.vnexpress.net/news/news/saigon-metro-lines-cost-escalation-cleared-construction-not-to-stop-4002027.html" TargetMode="External"/><Relationship Id="rId181" Type="http://schemas.openxmlformats.org/officeDocument/2006/relationships/hyperlink" Target="https://e.vnexpress.net/news/news/hcmc-submits-plans-for-new-2-9-billion-metro-line-4095209.html" TargetMode="External"/><Relationship Id="rId180" Type="http://schemas.openxmlformats.org/officeDocument/2006/relationships/hyperlink" Target="https://www.nationthailand.com/business/30382028" TargetMode="External"/><Relationship Id="rId176" Type="http://schemas.openxmlformats.org/officeDocument/2006/relationships/hyperlink" Target="https://www.mrta.co.th/en/projectelectrictrain/bangkok-and-vicinities/brownline/" TargetMode="External"/><Relationship Id="rId175" Type="http://schemas.openxmlformats.org/officeDocument/2006/relationships/hyperlink" Target="https://www.mrta.co.th/en/projectelectrictrain/bangkok-and-vicinities/blueline/?AspxAutoDetectCookieSupport=1" TargetMode="External"/><Relationship Id="rId174" Type="http://schemas.openxmlformats.org/officeDocument/2006/relationships/hyperlink" Target="https://www.mrta.co.th/en/projectelectrictrain/bangkok-and-vicinities/greenline/" TargetMode="External"/><Relationship Id="rId173" Type="http://schemas.openxmlformats.org/officeDocument/2006/relationships/hyperlink" Target="https://www.mrta.co.th/en/projectelectrictrain/bangkok-and-vicinities/greenline/" TargetMode="External"/><Relationship Id="rId179" Type="http://schemas.openxmlformats.org/officeDocument/2006/relationships/hyperlink" Target="https://www.mrta.co.th/en/projectelectrictrain/bangkok-and-vicinities/orangeline/" TargetMode="External"/><Relationship Id="rId178" Type="http://schemas.openxmlformats.org/officeDocument/2006/relationships/hyperlink" Target="https://www.mrta.co.th/en/projectelectrictrain/bangkok-and-vicinities/yellowline/" TargetMode="External"/><Relationship Id="rId177" Type="http://schemas.openxmlformats.org/officeDocument/2006/relationships/hyperlink" Target="https://www.mrta.co.th/en/projectelectrictrain/bangkok-and-vicinities/pinkline/" TargetMode="External"/><Relationship Id="rId198" Type="http://schemas.openxmlformats.org/officeDocument/2006/relationships/hyperlink" Target="https://www.luzernerzeitung.ch/zentralschweiz/luzern/seetalplatz-und-zentralbahn-60-millionen-guenstiger-als-budgetiert-ld.1150224" TargetMode="External"/><Relationship Id="rId197" Type="http://schemas.openxmlformats.org/officeDocument/2006/relationships/hyperlink" Target="https://www.railjournal.com/passenger/metros/revival-of-sao-paulo-metro-line-6-orange-project-a-step-closer/" TargetMode="External"/><Relationship Id="rId196" Type="http://schemas.openxmlformats.org/officeDocument/2006/relationships/hyperlink" Target="https://www.fukuoka-now.com/en/news/nanakuma-subway-line-extension-delayed/" TargetMode="External"/><Relationship Id="rId195" Type="http://schemas.openxmlformats.org/officeDocument/2006/relationships/hyperlink" Target="https://www.decn.co.jp/?p=89391" TargetMode="External"/><Relationship Id="rId199" Type="http://schemas.openxmlformats.org/officeDocument/2006/relationships/hyperlink" Target="https://www.railwaygazette.com/infrastructure/cross-city-tunnel-opening-increases-capacity-in-zurich/39619.article" TargetMode="External"/><Relationship Id="rId150" Type="http://schemas.openxmlformats.org/officeDocument/2006/relationships/hyperlink" Target="https://en.globes.co.il/en/article-first-third-of-red-line-completed-1001205843" TargetMode="External"/><Relationship Id="rId392" Type="http://schemas.openxmlformats.org/officeDocument/2006/relationships/hyperlink" Target="https://www.ndrc.gov.cn/fggz/zcssfz/zcgh/201812/W020190910670713741772.pdf" TargetMode="External"/><Relationship Id="rId391" Type="http://schemas.openxmlformats.org/officeDocument/2006/relationships/hyperlink" Target="https://www.ndrc.gov.cn/xxgk/zcfb/ghwb/201611/W020190905497856961234.pdf" TargetMode="External"/><Relationship Id="rId390" Type="http://schemas.openxmlformats.org/officeDocument/2006/relationships/hyperlink" Target="http://www.rail-transit.com/project/show.php?itemid=310" TargetMode="External"/><Relationship Id="rId1" Type="http://schemas.openxmlformats.org/officeDocument/2006/relationships/comments" Target="../comments4.xml"/><Relationship Id="rId2" Type="http://schemas.openxmlformats.org/officeDocument/2006/relationships/hyperlink" Target="https://www.metro.istanbul/Hatlarimiz/ProjeHalindekiHatlar?projeInsaat=0&amp;q=36" TargetMode="External"/><Relationship Id="rId3" Type="http://schemas.openxmlformats.org/officeDocument/2006/relationships/hyperlink" Target="https://www.translink.ca/Plans-and-Projects/Rapid-Transit-Projects/Broadway-Subway-Project.aspx" TargetMode="External"/><Relationship Id="rId149" Type="http://schemas.openxmlformats.org/officeDocument/2006/relationships/hyperlink" Target="https://www.ratp.fr/en/groupe-ratp/metrotrains/m11-extension-rosny-bois-perrier-and-then-noisy-champs" TargetMode="External"/><Relationship Id="rId4" Type="http://schemas.openxmlformats.org/officeDocument/2006/relationships/hyperlink" Target="https://www.thestar.com/news/gta/transportation/2017/12/15/trudeau-wynne-tory-on-hand-to-cut-ribbon-on-32-billion-subway-extension.html" TargetMode="External"/><Relationship Id="rId148" Type="http://schemas.openxmlformats.org/officeDocument/2006/relationships/hyperlink" Target="https://plainecommune.fr/projets/transports-et-mobilite/prolongement-de-la-ligne-12/" TargetMode="External"/><Relationship Id="rId9" Type="http://schemas.openxmlformats.org/officeDocument/2006/relationships/hyperlink" Target="https://montrealgazette.com/news/local-news/montreal-metro-green-light-for-blue-line-extension" TargetMode="External"/><Relationship Id="rId143" Type="http://schemas.openxmlformats.org/officeDocument/2006/relationships/hyperlink" Target="http://www.prolongement-m4.fr/sites/default/files/documents/m4-bagneux-dossierpresse_180316_bd.pdf" TargetMode="External"/><Relationship Id="rId385" Type="http://schemas.openxmlformats.org/officeDocument/2006/relationships/hyperlink" Target="http://www.rail-transit.com/project/show.php?itemid=136" TargetMode="External"/><Relationship Id="rId142" Type="http://schemas.openxmlformats.org/officeDocument/2006/relationships/hyperlink" Target="https://www.masstransitmag.com/rail/infrastructure/press-release/21094267/gateway-program-the-hudson-tunnel-projects-trims-14-billion-with-new-financial-plan" TargetMode="External"/><Relationship Id="rId384" Type="http://schemas.openxmlformats.org/officeDocument/2006/relationships/hyperlink" Target="http://www.rail-transit.com/project/show.php?itemid=85" TargetMode="External"/><Relationship Id="rId141" Type="http://schemas.openxmlformats.org/officeDocument/2006/relationships/hyperlink" Target="https://www.nytimes.com/2018/04/25/nyregion/mta-east-side-access-11-billion.html" TargetMode="External"/><Relationship Id="rId383" Type="http://schemas.openxmlformats.org/officeDocument/2006/relationships/hyperlink" Target="https://baike.baidu.com/item/%E8%B4%B5%E9%98%B3%E8%BD%A8%E9%81%93%E4%BA%A4%E9%80%9A3%E5%8F%B7%E7%BA%BF/16024214" TargetMode="External"/><Relationship Id="rId140" Type="http://schemas.openxmlformats.org/officeDocument/2006/relationships/hyperlink" Target="https://www.transit.dot.gov/sites/fta.dot.gov/files/2023-03/NY-New-York-Second-Avenue-Subway-Phase-2-NSE-Profile-FY24.pdf" TargetMode="External"/><Relationship Id="rId382" Type="http://schemas.openxmlformats.org/officeDocument/2006/relationships/hyperlink" Target="http://www.nngdjt.com/html/4061/6290.html" TargetMode="External"/><Relationship Id="rId5" Type="http://schemas.openxmlformats.org/officeDocument/2006/relationships/hyperlink" Target="https://urbantoronto.ca/news/2020/03/metrolinxs-preliminary-business-case-scarborough-subway-extension-raises-questions" TargetMode="External"/><Relationship Id="rId147" Type="http://schemas.openxmlformats.org/officeDocument/2006/relationships/hyperlink" Target="https://web.archive.org/web/20120221232537/http://www.iledefrance.fr/lactualite/transports/metro-rer/ligne-13-deux-nouvelles-stations-a-asnieres-gennevilliers/" TargetMode="External"/><Relationship Id="rId389" Type="http://schemas.openxmlformats.org/officeDocument/2006/relationships/hyperlink" Target="http://www.rail-transit.com/project/show.php?itemid=205" TargetMode="External"/><Relationship Id="rId6" Type="http://schemas.openxmlformats.org/officeDocument/2006/relationships/hyperlink" Target="https://globalnews.ca/news/10579363/ontario-line-cost-increase/" TargetMode="External"/><Relationship Id="rId146" Type="http://schemas.openxmlformats.org/officeDocument/2006/relationships/hyperlink" Target="https://www.railpassion.fr/materiel-actualites-rp/011-14751-la-ligne-8-du-metro-arrive-a-creteil-pointe-du-lac/" TargetMode="External"/><Relationship Id="rId388" Type="http://schemas.openxmlformats.org/officeDocument/2006/relationships/hyperlink" Target="https://www.ndrc.gov.cn/fggz/zcssfz/zcgh/201812/W020190910670713741772.pdf" TargetMode="External"/><Relationship Id="rId7" Type="http://schemas.openxmlformats.org/officeDocument/2006/relationships/hyperlink" Target="https://www.thestar.com/news/gta/2020/06/24/metrolinx-considering-a-route-for-the-yonge-subway-extension-to-richmond-hill-that-would-take-it-above-ground.html" TargetMode="External"/><Relationship Id="rId145" Type="http://schemas.openxmlformats.org/officeDocument/2006/relationships/hyperlink" Target="https://france3-regions.francetvinfo.fr/paris-ile-de-france/2013/03/22/ligne-4-montrouge-se-met-sur-les-rails-220977.html" TargetMode="External"/><Relationship Id="rId387" Type="http://schemas.openxmlformats.org/officeDocument/2006/relationships/hyperlink" Target="http://www.rail-transit.com/project/show.php?itemid=495" TargetMode="External"/><Relationship Id="rId8" Type="http://schemas.openxmlformats.org/officeDocument/2006/relationships/hyperlink" Target="https://www.at5.nl/artikelen/184604/zaterdag-noordzuidlijn-eindelijk-open-de-opvallendste-feiten" TargetMode="External"/><Relationship Id="rId144" Type="http://schemas.openxmlformats.org/officeDocument/2006/relationships/hyperlink" Target="https://www.usinenouvelle.com/article/le-prolongement-a-l-ouest-de-paris-du-rer-e-devient-enfin-realite.N775434" TargetMode="External"/><Relationship Id="rId386" Type="http://schemas.openxmlformats.org/officeDocument/2006/relationships/hyperlink" Target="http://www.shenyangbus.com/a/sydt/2018/1227/10268.html" TargetMode="External"/><Relationship Id="rId381" Type="http://schemas.openxmlformats.org/officeDocument/2006/relationships/hyperlink" Target="http://www.rail-transit.com/project/show.php?itemid=211" TargetMode="External"/><Relationship Id="rId380" Type="http://schemas.openxmlformats.org/officeDocument/2006/relationships/hyperlink" Target="https://www.ndrc.gov.cn/xxgk/zcfb/ghwb/201908/W020190905497973740066.pdf" TargetMode="External"/><Relationship Id="rId139" Type="http://schemas.openxmlformats.org/officeDocument/2006/relationships/hyperlink" Target="http://web.mta.info/capitaldashboard/CPDMega.html" TargetMode="External"/><Relationship Id="rId138" Type="http://schemas.openxmlformats.org/officeDocument/2006/relationships/hyperlink" Target="http://web.mta.info/nyct/service/new7LineExtension_to11Avenue.htm" TargetMode="External"/><Relationship Id="rId137" Type="http://schemas.openxmlformats.org/officeDocument/2006/relationships/hyperlink" Target="https://www.wz.de/nrw/duesseldorf/wehrhahn-linie-wird-noch-viel-teurer_aid-25646289" TargetMode="External"/><Relationship Id="rId379" Type="http://schemas.openxmlformats.org/officeDocument/2006/relationships/hyperlink" Target="http://www.shenyangbus.com/a/sydt/2018/1227/10268.html" TargetMode="External"/><Relationship Id="rId132" Type="http://schemas.openxmlformats.org/officeDocument/2006/relationships/hyperlink" Target="https://elpais.com/elpais/2008/07/09/actualidad/1215591420_850215.html" TargetMode="External"/><Relationship Id="rId374" Type="http://schemas.openxmlformats.org/officeDocument/2006/relationships/hyperlink" Target="http://www.rail-transit.com/project/show.php?itemid=134" TargetMode="External"/><Relationship Id="rId131" Type="http://schemas.openxmlformats.org/officeDocument/2006/relationships/hyperlink" Target="http://documents.worldbank.org/curated/en/872611529897472449/pdf/Ecuador-PP-06052018.pdf" TargetMode="External"/><Relationship Id="rId373" Type="http://schemas.openxmlformats.org/officeDocument/2006/relationships/hyperlink" Target="https://www.ndrc.gov.cn/xxgk/zcfb/ghwb/201703/W020190905497919692262.pdf" TargetMode="External"/><Relationship Id="rId130" Type="http://schemas.openxmlformats.org/officeDocument/2006/relationships/hyperlink" Target="https://web.archive.org/web/20150328212257/https://www.metromadrid.es/en/comunicacion/prensa/2015/March/noticia09.html" TargetMode="External"/><Relationship Id="rId372" Type="http://schemas.openxmlformats.org/officeDocument/2006/relationships/hyperlink" Target="https://www.ndrc.gov.cn/fggz/zcssfz/zcgh/201703/W020190910670680927090.pdf" TargetMode="External"/><Relationship Id="rId371" Type="http://schemas.openxmlformats.org/officeDocument/2006/relationships/hyperlink" Target="http://www.rail-transit.com/project/show.php?itemid=137" TargetMode="External"/><Relationship Id="rId136" Type="http://schemas.openxmlformats.org/officeDocument/2006/relationships/hyperlink" Target="https://www.diekombiloesung.de/haeufige-fragen.html" TargetMode="External"/><Relationship Id="rId378" Type="http://schemas.openxmlformats.org/officeDocument/2006/relationships/hyperlink" Target="http://www.gov.cn/xinwen/2017-03/23/content_5180079.htm" TargetMode="External"/><Relationship Id="rId135" Type="http://schemas.openxmlformats.org/officeDocument/2006/relationships/hyperlink" Target="https://montrealgazette.com/news/local-news/the-sleepy-success-story-of-the-laval-metro-extension" TargetMode="External"/><Relationship Id="rId377" Type="http://schemas.openxmlformats.org/officeDocument/2006/relationships/hyperlink" Target="http://www.rail-transit.com/project/show.php?itemid=170" TargetMode="External"/><Relationship Id="rId134" Type="http://schemas.openxmlformats.org/officeDocument/2006/relationships/hyperlink" Target="https://www.theglobeandmail.com/news/toronto/sheppard-subway-extension-a-quarter-the-stops-for-three-times-the-cost/article622366/" TargetMode="External"/><Relationship Id="rId376" Type="http://schemas.openxmlformats.org/officeDocument/2006/relationships/hyperlink" Target="http://www.rail-transit.com/project/show.php?itemid=321" TargetMode="External"/><Relationship Id="rId133" Type="http://schemas.openxmlformats.org/officeDocument/2006/relationships/hyperlink" Target="http://www.omegacentre.bartlett.ucl.ac.uk/wp-content/uploads/2014/12/FRANCE_METEOR_PROFILE.pdf" TargetMode="External"/><Relationship Id="rId375" Type="http://schemas.openxmlformats.org/officeDocument/2006/relationships/hyperlink" Target="http://www.gov.cn/xinwen/2017-03/23/5180079/files/d764253433a944c0a620def88bf6f446.pdf" TargetMode="External"/><Relationship Id="rId172" Type="http://schemas.openxmlformats.org/officeDocument/2006/relationships/hyperlink" Target="https://dailytimes.com.pk/470024/punjab-drops-plan-to-connect-orange-line-train-with-metro-bus-railway-station/" TargetMode="External"/><Relationship Id="rId171" Type="http://schemas.openxmlformats.org/officeDocument/2006/relationships/hyperlink" Target="http://www.oullins.fr/territoire-d-avenir/prolongement-du-metro-b-382.html" TargetMode="External"/><Relationship Id="rId170" Type="http://schemas.openxmlformats.org/officeDocument/2006/relationships/hyperlink" Target="https://www.lyon-entreprises.com/actualites/article/le-prolongement-de-la-ligne-b-du-metro-lyonnais-a-oullins-devrait-booster-le-developpement-du-sud-ouest-lyonnais" TargetMode="External"/><Relationship Id="rId165" Type="http://schemas.openxmlformats.org/officeDocument/2006/relationships/hyperlink" Target="https://www.thedailystar.net/news/bangladesh/transport/news/metro-now-set-cost-50pc-more-3072816" TargetMode="External"/><Relationship Id="rId164" Type="http://schemas.openxmlformats.org/officeDocument/2006/relationships/hyperlink" Target="https://www.diariosur.es/20130217/local/malaga/obras-metro-malaga-costaran-201302170041.html" TargetMode="External"/><Relationship Id="rId163" Type="http://schemas.openxmlformats.org/officeDocument/2006/relationships/hyperlink" Target="https://www.diariodesevilla.es/sevilla/construccion-linea-1-Metro-Sevilla_0_1341766366.html" TargetMode="External"/><Relationship Id="rId162" Type="http://schemas.openxmlformats.org/officeDocument/2006/relationships/hyperlink" Target="https://www.eitb.eus/es/noticias/economia/detalle/4706859/inauguracion-linea-3-metro-bilbao-operada-euskotren-8-abril/" TargetMode="External"/><Relationship Id="rId169" Type="http://schemas.openxmlformats.org/officeDocument/2006/relationships/hyperlink" Target="https://web.archive.org/web/20080312071952/http://www.sytral.fr/176.0.html" TargetMode="External"/><Relationship Id="rId168" Type="http://schemas.openxmlformats.org/officeDocument/2006/relationships/hyperlink" Target="https://www.jttri.or.jp/docs/seminar190719-25.pdf" TargetMode="External"/><Relationship Id="rId167" Type="http://schemas.openxmlformats.org/officeDocument/2006/relationships/hyperlink" Target="https://bdnews24.com/economy/2019/10/15/govt-approves-two-more-metro-rail-projects-worth-tk-938bn" TargetMode="External"/><Relationship Id="rId166" Type="http://schemas.openxmlformats.org/officeDocument/2006/relationships/hyperlink" Target="https://bdnews24.com/economy/2019/10/15/govt-approves-two-more-metro-rail-projects-worth-tk-938bn" TargetMode="External"/><Relationship Id="rId161" Type="http://schemas.openxmlformats.org/officeDocument/2006/relationships/hyperlink" Target="https://www.eib.org/en/projects/pipelines/all/20160937" TargetMode="External"/><Relationship Id="rId160" Type="http://schemas.openxmlformats.org/officeDocument/2006/relationships/hyperlink" Target="https://www.ccma.cat/324/La-linia-5-del-Metro-de-Barcelona-samplia-dema-amb-les-estacions-del-Carmel-el-Collla-Teixonera-i-Vall-dHebron/noticia/790448/" TargetMode="External"/><Relationship Id="rId159" Type="http://schemas.openxmlformats.org/officeDocument/2006/relationships/hyperlink" Target="http://territori.scot.cat/cat/notices/2010/10/metro_lInia_2_2737.php" TargetMode="External"/><Relationship Id="rId154" Type="http://schemas.openxmlformats.org/officeDocument/2006/relationships/hyperlink" Target="https://www.nahverkehrhamburg.de/u4-verlaengerung-in-horner-geest-soll-465-millionen-euro-kosten-9328/" TargetMode="External"/><Relationship Id="rId396" Type="http://schemas.openxmlformats.org/officeDocument/2006/relationships/hyperlink" Target="http://news.sciencenet.cn/sbhtmlnews/2008/8/209799.html" TargetMode="External"/><Relationship Id="rId153" Type="http://schemas.openxmlformats.org/officeDocument/2006/relationships/hyperlink" Target="https://www.nahverkehrhamburg.de/u4-verlaengerung-in-horner-geest-soll-465-millionen-euro-kosten-9328/" TargetMode="External"/><Relationship Id="rId395" Type="http://schemas.openxmlformats.org/officeDocument/2006/relationships/hyperlink" Target="http://www.rail-transit.com/project/show.php?itemid=514" TargetMode="External"/><Relationship Id="rId152" Type="http://schemas.openxmlformats.org/officeDocument/2006/relationships/hyperlink" Target="https://ourauckland.aucklandcouncil.govt.nz/articles/news/2019/04/revised-cost-for-city-rail-link/" TargetMode="External"/><Relationship Id="rId394" Type="http://schemas.openxmlformats.org/officeDocument/2006/relationships/hyperlink" Target="https://www.ndrc.gov.cn/fggz/zcssfz/zcgh/201812/W020190910670719961874.pdf" TargetMode="External"/><Relationship Id="rId151" Type="http://schemas.openxmlformats.org/officeDocument/2006/relationships/hyperlink" Target="http://www.xinhuanet.com/english/2019-05/21/c_138075072.htm" TargetMode="External"/><Relationship Id="rId393" Type="http://schemas.openxmlformats.org/officeDocument/2006/relationships/hyperlink" Target="https://www.ndrc.gov.cn/fggz/zcssfz/zcgh/201601/t20160112_1145713.html" TargetMode="External"/><Relationship Id="rId158" Type="http://schemas.openxmlformats.org/officeDocument/2006/relationships/hyperlink" Target="https://govern.cat/govern/docs/2012/10/03/12/36/6b33e55c-7ef4-4200-8517-97c7501d026e.pdf" TargetMode="External"/><Relationship Id="rId157" Type="http://schemas.openxmlformats.org/officeDocument/2006/relationships/hyperlink" Target="https://govern.cat/govern/docs/2012/10/03/12/36/6b33e55c-7ef4-4200-8517-97c7501d026e.pdf" TargetMode="External"/><Relationship Id="rId399" Type="http://schemas.openxmlformats.org/officeDocument/2006/relationships/hyperlink" Target="http://www.rail-transit.com/project/show.php?itemid=329" TargetMode="External"/><Relationship Id="rId156" Type="http://schemas.openxmlformats.org/officeDocument/2006/relationships/hyperlink" Target="https://pemb.cat/public/docs/794_r6_cat_b2_17_perllongament_linia_3_de_metro_corr.pdf" TargetMode="External"/><Relationship Id="rId398" Type="http://schemas.openxmlformats.org/officeDocument/2006/relationships/hyperlink" Target="http://img.thupdi.com/news/2015/08/1440573393290975.pdf" TargetMode="External"/><Relationship Id="rId155" Type="http://schemas.openxmlformats.org/officeDocument/2006/relationships/hyperlink" Target="https://www.ndr.de/nachrichten/hamburg/U5-in-Hamburg-Kosten-fuer-oestlichen-Abschnitt-explodieren,ubahn826.html" TargetMode="External"/><Relationship Id="rId397" Type="http://schemas.openxmlformats.org/officeDocument/2006/relationships/hyperlink" Target="https://www.ndrc.gov.cn/fzggw/jgsj/zcs/sjdt/201212/t20121224_1145294.html" TargetMode="External"/><Relationship Id="rId808" Type="http://schemas.openxmlformats.org/officeDocument/2006/relationships/hyperlink" Target="http://www.rail-transit.com/project/show.php?itemid=610" TargetMode="External"/><Relationship Id="rId807" Type="http://schemas.openxmlformats.org/officeDocument/2006/relationships/hyperlink" Target="http://www.xhby.net/nj/yw/202107/t20210707_7149440.shtml" TargetMode="External"/><Relationship Id="rId806" Type="http://schemas.openxmlformats.org/officeDocument/2006/relationships/hyperlink" Target="http://www.rail-transit.com/project/show.php?itemid=435" TargetMode="External"/><Relationship Id="rId805" Type="http://schemas.openxmlformats.org/officeDocument/2006/relationships/hyperlink" Target="http://www.xhby.net/nj/yw/202107/t20210707_7149440.shtml" TargetMode="External"/><Relationship Id="rId809" Type="http://schemas.openxmlformats.org/officeDocument/2006/relationships/hyperlink" Target="http://www.xhby.net/nj/yw/202107/t20210707_7149440.shtml" TargetMode="External"/><Relationship Id="rId800" Type="http://schemas.openxmlformats.org/officeDocument/2006/relationships/hyperlink" Target="http://www.rail-transit.com/project/show.php?itemid=605" TargetMode="External"/><Relationship Id="rId804" Type="http://schemas.openxmlformats.org/officeDocument/2006/relationships/hyperlink" Target="http://www.rail-transit.com/project/show.php?itemid=347" TargetMode="External"/><Relationship Id="rId803" Type="http://schemas.openxmlformats.org/officeDocument/2006/relationships/hyperlink" Target="https://kmcha.com/similar/%E5%AF%A7%E5%A4%A9%E5%9F%8E%E9%9A%9B%E8%BB%8C%E9%81%93" TargetMode="External"/><Relationship Id="rId802" Type="http://schemas.openxmlformats.org/officeDocument/2006/relationships/hyperlink" Target="https://news.sina.com.tw/article/20140812/13098521.html" TargetMode="External"/><Relationship Id="rId801" Type="http://schemas.openxmlformats.org/officeDocument/2006/relationships/hyperlink" Target="https://m.jiemian.com/article/2611638.html" TargetMode="External"/><Relationship Id="rId40" Type="http://schemas.openxmlformats.org/officeDocument/2006/relationships/hyperlink" Target="http://www.otipiemonte.it/Pagine/Completo.asp?ID=86" TargetMode="External"/><Relationship Id="rId42" Type="http://schemas.openxmlformats.org/officeDocument/2006/relationships/hyperlink" Target="https://www.lansimetro.fi/en/contact-information/faq/" TargetMode="External"/><Relationship Id="rId41" Type="http://schemas.openxmlformats.org/officeDocument/2006/relationships/hyperlink" Target="https://www.lansimetro.fi/en/contact-information/faq/" TargetMode="External"/><Relationship Id="rId44" Type="http://schemas.openxmlformats.org/officeDocument/2006/relationships/hyperlink" Target="http://nyatunnelbanan.sll.se/sites/tunnelbanan/files/Faktablad_Upphandling_%20engelsk.pdf" TargetMode="External"/><Relationship Id="rId43" Type="http://schemas.openxmlformats.org/officeDocument/2006/relationships/hyperlink" Target="https://vayla.fi/web/en/projects/all-projects/ring-rail-line" TargetMode="External"/><Relationship Id="rId46" Type="http://schemas.openxmlformats.org/officeDocument/2006/relationships/hyperlink" Target="http://nyatunnelbanan.sll.se/sites/tunnelbanan/files/Faktablad_Upphandling_%20engelsk.pdf" TargetMode="External"/><Relationship Id="rId45" Type="http://schemas.openxmlformats.org/officeDocument/2006/relationships/hyperlink" Target="http://nyatunnelbanan.sll.se/sites/tunnelbanan/files/Faktablad_Upphandling_%20engelsk.pdf" TargetMode="External"/><Relationship Id="rId509" Type="http://schemas.openxmlformats.org/officeDocument/2006/relationships/hyperlink" Target="https://tunnelbuilder.com/News/New-metro-line-6-in-Cairo-deal-signed-.aspx" TargetMode="External"/><Relationship Id="rId508" Type="http://schemas.openxmlformats.org/officeDocument/2006/relationships/hyperlink" Target="http://english.ahram.org.eg/NewsContent/3/12/35035/Business/Economy/Cairos-rd-underground-line-opens-Tuesday-linking-A.aspx" TargetMode="External"/><Relationship Id="rId503" Type="http://schemas.openxmlformats.org/officeDocument/2006/relationships/hyperlink" Target="https://www.bncnetwork.net/Project/Dammam_Metro/lLeKWJzyKRk=" TargetMode="External"/><Relationship Id="rId745" Type="http://schemas.openxmlformats.org/officeDocument/2006/relationships/hyperlink" Target="http://www.rail-transit.com/project/show.php?itemid=693" TargetMode="External"/><Relationship Id="rId502" Type="http://schemas.openxmlformats.org/officeDocument/2006/relationships/hyperlink" Target="http://www.metrojeddah.com.sa/page/Metro" TargetMode="External"/><Relationship Id="rId744" Type="http://schemas.openxmlformats.org/officeDocument/2006/relationships/hyperlink" Target="http://fzggw.cq.gov.cn/zwgk/zfxxgkml/sphzbaxx/202011/t20201103_8406228_wap.html" TargetMode="External"/><Relationship Id="rId501" Type="http://schemas.openxmlformats.org/officeDocument/2006/relationships/hyperlink" Target="https://www.fastmetroriyadh.com/about/our-lines/" TargetMode="External"/><Relationship Id="rId743" Type="http://schemas.openxmlformats.org/officeDocument/2006/relationships/hyperlink" Target="http://www.rail-transit.com/project/show.php?itemid=457" TargetMode="External"/><Relationship Id="rId500" Type="http://schemas.openxmlformats.org/officeDocument/2006/relationships/hyperlink" Target="https://www.fastmetroriyadh.com/ar/%D8%A7%D9%84%D8%AE%D8%B1%D9%8A%D8%B7%D8%A9-2/" TargetMode="External"/><Relationship Id="rId742" Type="http://schemas.openxmlformats.org/officeDocument/2006/relationships/hyperlink" Target="https://www.sohu.com/a/516618507_120388781" TargetMode="External"/><Relationship Id="rId507" Type="http://schemas.openxmlformats.org/officeDocument/2006/relationships/hyperlink" Target="https://www.railway-technology.com/projects/route-2020-dubai/" TargetMode="External"/><Relationship Id="rId749" Type="http://schemas.openxmlformats.org/officeDocument/2006/relationships/hyperlink" Target="http://news.sohu.com/20070609/n250475902.shtml" TargetMode="External"/><Relationship Id="rId506" Type="http://schemas.openxmlformats.org/officeDocument/2006/relationships/hyperlink" Target="http://www.tradearabia.com/news/stn_178416.html" TargetMode="External"/><Relationship Id="rId748" Type="http://schemas.openxmlformats.org/officeDocument/2006/relationships/hyperlink" Target="http://www.rail-transit.com/project/show.php?itemid=521" TargetMode="External"/><Relationship Id="rId505" Type="http://schemas.openxmlformats.org/officeDocument/2006/relationships/hyperlink" Target="https://www.urbantransportnews.com/bahrain-to-finalise-109-km-light-metro-rail-bids-in-march-2020/" TargetMode="External"/><Relationship Id="rId747" Type="http://schemas.openxmlformats.org/officeDocument/2006/relationships/hyperlink" Target="http://www.rail-transit.com/shiping/show.php?itemid=958" TargetMode="External"/><Relationship Id="rId504" Type="http://schemas.openxmlformats.org/officeDocument/2006/relationships/hyperlink" Target="https://www.railway-technology.com/projects/doha-metro/" TargetMode="External"/><Relationship Id="rId746" Type="http://schemas.openxmlformats.org/officeDocument/2006/relationships/hyperlink" Target="http://www.rail-transit.com/project/show.php?itemid=456" TargetMode="External"/><Relationship Id="rId48" Type="http://schemas.openxmlformats.org/officeDocument/2006/relationships/hyperlink" Target="http://www.tunnel-online.info/en/artikel/artikel_en_1204638.html" TargetMode="External"/><Relationship Id="rId47" Type="http://schemas.openxmlformats.org/officeDocument/2006/relationships/hyperlink" Target="https://web.archive.org/web/20150402164159/http://www.trafikverket.se/en/startpage/Projects/Railway-construction-projects1/The-Stockholm-City-Line/" TargetMode="External"/><Relationship Id="rId49" Type="http://schemas.openxmlformats.org/officeDocument/2006/relationships/hyperlink" Target="http://www.cityam.com/257486/full-steam-ahead-tunnelling-12bn-northern-line-extension" TargetMode="External"/><Relationship Id="rId741" Type="http://schemas.openxmlformats.org/officeDocument/2006/relationships/hyperlink" Target="http://fzggw.cq.gov.cn/zwgk/zfxxgkml/sphzbaxx/202009/t20200930_7937966_wap.html" TargetMode="External"/><Relationship Id="rId740" Type="http://schemas.openxmlformats.org/officeDocument/2006/relationships/hyperlink" Target="http://www.rail-transit.com/project/show.php?itemid=519" TargetMode="External"/><Relationship Id="rId31" Type="http://schemas.openxmlformats.org/officeDocument/2006/relationships/hyperlink" Target="https://www.metro-report.com/analysis/single-news/view/the-winners-and-losers-of-russian-metros.html" TargetMode="External"/><Relationship Id="rId30" Type="http://schemas.openxmlformats.org/officeDocument/2006/relationships/hyperlink" Target="https://www.rbc.ru/politics/23/11/2017/5a16bd6a9a7947a6f487fe13" TargetMode="External"/><Relationship Id="rId33" Type="http://schemas.openxmlformats.org/officeDocument/2006/relationships/hyperlink" Target="http://krti.gov.spb.ru/press/news/52016/?category=17" TargetMode="External"/><Relationship Id="rId32" Type="http://schemas.openxmlformats.org/officeDocument/2006/relationships/hyperlink" Target="https://www.metro-report.com/analysis/single-news/view/the-winners-and-losers-of-russian-metros.html" TargetMode="External"/><Relationship Id="rId35" Type="http://schemas.openxmlformats.org/officeDocument/2006/relationships/hyperlink" Target="https://www.railjournal.com/passenger/metros/prague-opens-metro-line-a-western-extension/" TargetMode="External"/><Relationship Id="rId34" Type="http://schemas.openxmlformats.org/officeDocument/2006/relationships/hyperlink" Target="https://zakupki.gov.ru/epz/order/notice/oku44/view/supplier-results.html?regNumber=0173200001418000217" TargetMode="External"/><Relationship Id="rId739" Type="http://schemas.openxmlformats.org/officeDocument/2006/relationships/hyperlink" Target="http://m.xinhuanet.com/cq/2019-01/27/c_1124047880.htm" TargetMode="External"/><Relationship Id="rId734" Type="http://schemas.openxmlformats.org/officeDocument/2006/relationships/hyperlink" Target="http://www.rail-transit.com/project/show.php?itemid=412" TargetMode="External"/><Relationship Id="rId733" Type="http://schemas.openxmlformats.org/officeDocument/2006/relationships/hyperlink" Target="https://www.ndrc.gov.cn/fggz/zcssfz/zdgc/201505/t20150518_1146000.html" TargetMode="External"/><Relationship Id="rId732" Type="http://schemas.openxmlformats.org/officeDocument/2006/relationships/hyperlink" Target="https://www.ndrc.gov.cn/fggz/zcssfz/zdgc/201505/t20150518_1146000.html" TargetMode="External"/><Relationship Id="rId731" Type="http://schemas.openxmlformats.org/officeDocument/2006/relationships/hyperlink" Target="https://www.ndrc.gov.cn/fggz/zcssfz/zdgc/201505/t20150518_1146000.html" TargetMode="External"/><Relationship Id="rId738" Type="http://schemas.openxmlformats.org/officeDocument/2006/relationships/hyperlink" Target="http://www.rail-transit.com/project/show.php?itemid=399" TargetMode="External"/><Relationship Id="rId737" Type="http://schemas.openxmlformats.org/officeDocument/2006/relationships/hyperlink" Target="http://ghzrzyj.cq.gov.cn/zwxx_186/mtgz/202208/t20220803_10975207.html" TargetMode="External"/><Relationship Id="rId736" Type="http://schemas.openxmlformats.org/officeDocument/2006/relationships/hyperlink" Target="http://www.rail-transit.com/shiping/show.php?itemid=869" TargetMode="External"/><Relationship Id="rId735" Type="http://schemas.openxmlformats.org/officeDocument/2006/relationships/hyperlink" Target="https://www.sohu.com/a/392594635_120388781" TargetMode="External"/><Relationship Id="rId37" Type="http://schemas.openxmlformats.org/officeDocument/2006/relationships/hyperlink" Target="https://www.toulousemetro3.fr/le-projet/3eme-ligne.html" TargetMode="External"/><Relationship Id="rId36" Type="http://schemas.openxmlformats.org/officeDocument/2006/relationships/hyperlink" Target="https://www.europarl.europa.eu/doceo/document//P-8-2017-000299_EN.html" TargetMode="External"/><Relationship Id="rId39" Type="http://schemas.openxmlformats.org/officeDocument/2006/relationships/hyperlink" Target="http://www.otipiemonte.it/Pagine/Completo.asp?ID=86" TargetMode="External"/><Relationship Id="rId38" Type="http://schemas.openxmlformats.org/officeDocument/2006/relationships/hyperlink" Target="http://www.otipiemonte.it/Pagine/Completo.asp?ID=86" TargetMode="External"/><Relationship Id="rId730" Type="http://schemas.openxmlformats.org/officeDocument/2006/relationships/hyperlink" Target="https://www.ndrc.gov.cn/fggz/zcssfz/zdgc/201505/t20150518_1146000.html" TargetMode="External"/><Relationship Id="rId20" Type="http://schemas.openxmlformats.org/officeDocument/2006/relationships/hyperlink" Target="https://www.novinite.com/articles/168384/Subway+Extension+to+Business+Park+Sofia+Opens" TargetMode="External"/><Relationship Id="rId22" Type="http://schemas.openxmlformats.org/officeDocument/2006/relationships/hyperlink" Target="https://seenews.com/news/sofia-subway-launches-13-km-section-with-one-station-533330" TargetMode="External"/><Relationship Id="rId21" Type="http://schemas.openxmlformats.org/officeDocument/2006/relationships/hyperlink" Target="https://www.railway-technology.com/uncategorised/newsbulgaria-opens-sofia-metro-line-2/" TargetMode="External"/><Relationship Id="rId24" Type="http://schemas.openxmlformats.org/officeDocument/2006/relationships/hyperlink" Target="https://seenews.com/news/sofia-opens-1125-mln-euro-tender-for-subway-expansion-681553" TargetMode="External"/><Relationship Id="rId23" Type="http://schemas.openxmlformats.org/officeDocument/2006/relationships/hyperlink" Target="https://europa.eu/investeu/projects/sofia-metro-line-3_en" TargetMode="External"/><Relationship Id="rId525" Type="http://schemas.openxmlformats.org/officeDocument/2006/relationships/hyperlink" Target="https://www.ndrc.gov.cn/xxgk/zcfb/tz/201607/W020190905517098302181.pdf" TargetMode="External"/><Relationship Id="rId767" Type="http://schemas.openxmlformats.org/officeDocument/2006/relationships/hyperlink" Target="http://drc.gd.gov.cn/zdxm5665/content/post_851371.html" TargetMode="External"/><Relationship Id="rId524" Type="http://schemas.openxmlformats.org/officeDocument/2006/relationships/hyperlink" Target="http://rail-transit.com/project/show.php?itemid=77" TargetMode="External"/><Relationship Id="rId766" Type="http://schemas.openxmlformats.org/officeDocument/2006/relationships/hyperlink" Target="http://news.sina.com.cn/c/2007-09-06/013313825648.shtml" TargetMode="External"/><Relationship Id="rId523" Type="http://schemas.openxmlformats.org/officeDocument/2006/relationships/hyperlink" Target="https://zh.wikipedia.org/wiki/%E6%AD%A6%E6%B1%89%E8%BD%A8%E9%81%93%E4%BA%A4%E9%80%9A4%E5%8F%B7%E7%BA%BF" TargetMode="External"/><Relationship Id="rId765" Type="http://schemas.openxmlformats.org/officeDocument/2006/relationships/hyperlink" Target="http://drc.gd.gov.cn/zdxm5665/content/post_851139.html" TargetMode="External"/><Relationship Id="rId522" Type="http://schemas.openxmlformats.org/officeDocument/2006/relationships/hyperlink" Target="https://zh.wikipedia.org/wiki/%E8%B4%B5%E9%98%B3%E8%BD%A8%E9%81%93%E4%BA%A4%E9%80%9A1%E5%8F%B7%E7%BA%BF" TargetMode="External"/><Relationship Id="rId764" Type="http://schemas.openxmlformats.org/officeDocument/2006/relationships/hyperlink" Target="https://www.sohu.com/a/351491006_124706" TargetMode="External"/><Relationship Id="rId529" Type="http://schemas.openxmlformats.org/officeDocument/2006/relationships/hyperlink" Target="https://ekap.kik.gov.tr/EKAP/Ortak/IhaleArama/index.html" TargetMode="External"/><Relationship Id="rId528" Type="http://schemas.openxmlformats.org/officeDocument/2006/relationships/hyperlink" Target="https://ekap.kik.gov.tr/EKAP/Ortak/IhaleArama/index.html" TargetMode="External"/><Relationship Id="rId527" Type="http://schemas.openxmlformats.org/officeDocument/2006/relationships/hyperlink" Target="https://www.ndrc.gov.cn/fggz/zcssfz/zdgc/201607/W020190910671924062945.pdf" TargetMode="External"/><Relationship Id="rId769" Type="http://schemas.openxmlformats.org/officeDocument/2006/relationships/hyperlink" Target="http://www.gz.gov.cn/zwgk/zdxm/2012n/content/post_2847743.html" TargetMode="External"/><Relationship Id="rId526" Type="http://schemas.openxmlformats.org/officeDocument/2006/relationships/hyperlink" Target="https://www.chengdurail.com/detail/7247.html" TargetMode="External"/><Relationship Id="rId768" Type="http://schemas.openxmlformats.org/officeDocument/2006/relationships/hyperlink" Target="http://drc.gd.gov.cn/zdxm5665/content/post_851371.html" TargetMode="External"/><Relationship Id="rId26" Type="http://schemas.openxmlformats.org/officeDocument/2006/relationships/hyperlink" Target="https://www.railjournal.com/passenger/metros/warsaw-metro-line-m2-reaches-targowek/" TargetMode="External"/><Relationship Id="rId25" Type="http://schemas.openxmlformats.org/officeDocument/2006/relationships/hyperlink" Target="https://www.railwaygazette.com/news/single-view/view/warszawa-opens-second-metro-line.html" TargetMode="External"/><Relationship Id="rId28" Type="http://schemas.openxmlformats.org/officeDocument/2006/relationships/hyperlink" Target="https://www.railwaypro.com/wp/a-single-bidder-for-warsaw-metro-line-2-extension/" TargetMode="External"/><Relationship Id="rId27" Type="http://schemas.openxmlformats.org/officeDocument/2006/relationships/hyperlink" Target="https://www.railwaygazette.com/metros/warszawa-metro-line-m2-goes-west/56191.article" TargetMode="External"/><Relationship Id="rId521" Type="http://schemas.openxmlformats.org/officeDocument/2006/relationships/hyperlink" Target="http://www.dcement.com/Article/201310/117609.html" TargetMode="External"/><Relationship Id="rId763" Type="http://schemas.openxmlformats.org/officeDocument/2006/relationships/hyperlink" Target="https://www.ndrc.gov.cn/fggz/zcssfz/zdgc/201209/t20120905_1145857.html" TargetMode="External"/><Relationship Id="rId29" Type="http://schemas.openxmlformats.org/officeDocument/2006/relationships/hyperlink" Target="http://www.metrorex.ro/Resurse/RaportActivitate/Metrorex%20eng%202018.pdf" TargetMode="External"/><Relationship Id="rId520" Type="http://schemas.openxmlformats.org/officeDocument/2006/relationships/hyperlink" Target="http://www.rail-transit.com/project/show.php?itemid=354" TargetMode="External"/><Relationship Id="rId762" Type="http://schemas.openxmlformats.org/officeDocument/2006/relationships/hyperlink" Target="http://mee.gov.cn/ywgz/hjyxpj/jsxmhjyxpj/xmslqk/201605/W020160522150689146882.pdf" TargetMode="External"/><Relationship Id="rId761" Type="http://schemas.openxmlformats.org/officeDocument/2006/relationships/hyperlink" Target="http://district.ce.cn/newarea/roll/201503/17/t20150317_4847921.shtml" TargetMode="External"/><Relationship Id="rId760" Type="http://schemas.openxmlformats.org/officeDocument/2006/relationships/hyperlink" Target="https://www.ndrc.gov.cn/fggz/zcssfz/zdgc/201209/t20120905_1145857.html" TargetMode="External"/><Relationship Id="rId11" Type="http://schemas.openxmlformats.org/officeDocument/2006/relationships/hyperlink" Target="https://la.streetsblog.org/2020/03/24/metro-signs-1-3-billion-full-funding-grant-agreement-for-westside-subway-phase-3/" TargetMode="External"/><Relationship Id="rId10" Type="http://schemas.openxmlformats.org/officeDocument/2006/relationships/hyperlink" Target="https://www.soundtransit.org/sites/default/files/documents/2018-q3-link-light-rail_0.pdf" TargetMode="External"/><Relationship Id="rId13" Type="http://schemas.openxmlformats.org/officeDocument/2006/relationships/hyperlink" Target="https://la.streetsblog.org/2018/04/25/metro-celebrates-purple-line-extension-1-tunnel-machines-set-to-start-in-august/" TargetMode="External"/><Relationship Id="rId12" Type="http://schemas.openxmlformats.org/officeDocument/2006/relationships/hyperlink" Target="https://www.railjournal.com/in_depth/transit-projects-fly-in-the-city-of-angels" TargetMode="External"/><Relationship Id="rId519" Type="http://schemas.openxmlformats.org/officeDocument/2006/relationships/hyperlink" Target="http://fgw.sz.gov.cn/zwgk/qt/tzgg/201902/P020190226346098115982.pdf" TargetMode="External"/><Relationship Id="rId514" Type="http://schemas.openxmlformats.org/officeDocument/2006/relationships/hyperlink" Target="http://fgw.sz.gov.cn/zwgk/qt/tzgg/201902/P020190226346098115982.pdf" TargetMode="External"/><Relationship Id="rId756" Type="http://schemas.openxmlformats.org/officeDocument/2006/relationships/hyperlink" Target="https://xm.leju.com/news/2020-07-10/14296687241366554352613.shtml" TargetMode="External"/><Relationship Id="rId513" Type="http://schemas.openxmlformats.org/officeDocument/2006/relationships/hyperlink" Target="http://fgw.sz.gov.cn/zwgk/qt/tzgg/201902/P020190226346098115982.pdf" TargetMode="External"/><Relationship Id="rId755" Type="http://schemas.openxmlformats.org/officeDocument/2006/relationships/hyperlink" Target="http://fzggw.cq.gov.cn/zwgk/zfxxgkml/sphzbaxx/202010/t20201010_7947213_wap.html" TargetMode="External"/><Relationship Id="rId512" Type="http://schemas.openxmlformats.org/officeDocument/2006/relationships/hyperlink" Target="http://www.rail-transit.com/project/show.php?itemid=201" TargetMode="External"/><Relationship Id="rId754" Type="http://schemas.openxmlformats.org/officeDocument/2006/relationships/hyperlink" Target="http://www.rail-transit.com/project/show.php?itemid=517" TargetMode="External"/><Relationship Id="rId511" Type="http://schemas.openxmlformats.org/officeDocument/2006/relationships/hyperlink" Target="http://www.rail-transit.com/project/show.php?itemid=287" TargetMode="External"/><Relationship Id="rId753" Type="http://schemas.openxmlformats.org/officeDocument/2006/relationships/hyperlink" Target="https://m.sohu.com/n/384104755/" TargetMode="External"/><Relationship Id="rId518" Type="http://schemas.openxmlformats.org/officeDocument/2006/relationships/hyperlink" Target="http://fgw.sz.gov.cn/zwgk/qt/tzgg/201902/P020190226346098115982.pdf" TargetMode="External"/><Relationship Id="rId517" Type="http://schemas.openxmlformats.org/officeDocument/2006/relationships/hyperlink" Target="http://fgw.sz.gov.cn/zwgk/qt/tzgg/201902/P020190226346098115982.pdf" TargetMode="External"/><Relationship Id="rId759" Type="http://schemas.openxmlformats.org/officeDocument/2006/relationships/hyperlink" Target="https://m.21jingji.com/article/20201209/herald/7d218ef3f8835e2e9df093c805e45652.html" TargetMode="External"/><Relationship Id="rId516" Type="http://schemas.openxmlformats.org/officeDocument/2006/relationships/hyperlink" Target="http://fgw.sz.gov.cn/zwgk/qt/tzgg/201902/P020190226346098115982.pdf" TargetMode="External"/><Relationship Id="rId758" Type="http://schemas.openxmlformats.org/officeDocument/2006/relationships/hyperlink" Target="https://www.ndrc.gov.cn/fggz/zcssfz/zdgc/201209/t20120905_1145857.html" TargetMode="External"/><Relationship Id="rId515" Type="http://schemas.openxmlformats.org/officeDocument/2006/relationships/hyperlink" Target="http://fgw.sz.gov.cn/zwgk/qt/tzgg/201902/P020190226346098115982.pdf" TargetMode="External"/><Relationship Id="rId757" Type="http://schemas.openxmlformats.org/officeDocument/2006/relationships/hyperlink" Target="http://fgw.fuzhou.gov.cn/zz/fgwzwgk/tzgg/201804/t20180428_2189534.htm" TargetMode="External"/><Relationship Id="rId15" Type="http://schemas.openxmlformats.org/officeDocument/2006/relationships/hyperlink" Target="https://www.sfchronicle.com/bayarea/article/Central-Subway-tab-likely-to-grow-by-55M-as-14447857.php" TargetMode="External"/><Relationship Id="rId14" Type="http://schemas.openxmlformats.org/officeDocument/2006/relationships/hyperlink" Target="https://www.metro.net/projects/connector/" TargetMode="External"/><Relationship Id="rId17" Type="http://schemas.openxmlformats.org/officeDocument/2006/relationships/hyperlink" Target="https://www.aecom.com/projects/ottawa-light-rail/" TargetMode="External"/><Relationship Id="rId16" Type="http://schemas.openxmlformats.org/officeDocument/2006/relationships/hyperlink" Target="https://www.ctps.org/data/pdf/plans/TIP/FFYs-2020-2024-Final-TIP-20190730.pdf" TargetMode="External"/><Relationship Id="rId19" Type="http://schemas.openxmlformats.org/officeDocument/2006/relationships/hyperlink" Target="https://www.novinite.com/articles/167648/Subway+Trains+to+Sofia+Airport+Start+Running+at+1+pm+on+April+2" TargetMode="External"/><Relationship Id="rId510" Type="http://schemas.openxmlformats.org/officeDocument/2006/relationships/hyperlink" Target="https://www.railjournal.com/passenger/metros/kuwait-announces-details-of-metro-project/" TargetMode="External"/><Relationship Id="rId752" Type="http://schemas.openxmlformats.org/officeDocument/2006/relationships/hyperlink" Target="http://news.sina.com.cn/o/2005-06-15/11406180055s.shtml" TargetMode="External"/><Relationship Id="rId18" Type="http://schemas.openxmlformats.org/officeDocument/2006/relationships/hyperlink" Target="https://www.mercurynews.com/2024/03/11/san-jose-bart-extension-price-tag-balloons-once-again-this-time-by-600-million/" TargetMode="External"/><Relationship Id="rId751" Type="http://schemas.openxmlformats.org/officeDocument/2006/relationships/hyperlink" Target="http://www.gov.cn/jrzg/2011-09/29/content_1959823.htm" TargetMode="External"/><Relationship Id="rId750" Type="http://schemas.openxmlformats.org/officeDocument/2006/relationships/hyperlink" Target="http://news.sohu.com/20070609/n250475902.shtml" TargetMode="External"/><Relationship Id="rId84" Type="http://schemas.openxmlformats.org/officeDocument/2006/relationships/hyperlink" Target="https://mmrda.maharashtra.gov.in/documents/10180/9283015/Metro+Line+4A/da25997a-6844-4c74-b4bd-9538285c9471" TargetMode="External"/><Relationship Id="rId83" Type="http://schemas.openxmlformats.org/officeDocument/2006/relationships/hyperlink" Target="https://mmrda.maharashtra.gov.in/metro-line-4" TargetMode="External"/><Relationship Id="rId86" Type="http://schemas.openxmlformats.org/officeDocument/2006/relationships/hyperlink" Target="https://mmrda.maharashtra.gov.in/documents/10180/9283015/Metro+Line+6/17c5ed14-e9fb-4920-9521-02eebb25c4a9" TargetMode="External"/><Relationship Id="rId85" Type="http://schemas.openxmlformats.org/officeDocument/2006/relationships/hyperlink" Target="https://mmrda.maharashtra.gov.in/metro-line-5" TargetMode="External"/><Relationship Id="rId88" Type="http://schemas.openxmlformats.org/officeDocument/2006/relationships/hyperlink" Target="https://mmrda.maharashtra.gov.in/metro-line-9" TargetMode="External"/><Relationship Id="rId87" Type="http://schemas.openxmlformats.org/officeDocument/2006/relationships/hyperlink" Target="https://www.hindustantimes.com/mumbai-news/metro-lines-2a-7-to-be-delayed-by-3-months-mmrda-chief/story-UodpzX0AgmfV4e1OBrDxCK.html" TargetMode="External"/><Relationship Id="rId89" Type="http://schemas.openxmlformats.org/officeDocument/2006/relationships/hyperlink" Target="https://mmrda.maharashtra.gov.in/documents/10180/9283015/Metro+Line+10/076595c3-c882-424c-b49d-f22399e9a096" TargetMode="External"/><Relationship Id="rId709" Type="http://schemas.openxmlformats.org/officeDocument/2006/relationships/hyperlink" Target="http://www.rail-transit.com/project/show.php?itemid=525" TargetMode="External"/><Relationship Id="rId708" Type="http://schemas.openxmlformats.org/officeDocument/2006/relationships/hyperlink" Target="http://www.rail-transit.com/project/show.php?itemid=192" TargetMode="External"/><Relationship Id="rId707" Type="http://schemas.openxmlformats.org/officeDocument/2006/relationships/hyperlink" Target="https://www.163.com/dy/article/GDQSS29P0530L2T3.html" TargetMode="External"/><Relationship Id="rId706" Type="http://schemas.openxmlformats.org/officeDocument/2006/relationships/hyperlink" Target="http://www.rail-transit.com/project/show.php?itemid=141" TargetMode="External"/><Relationship Id="rId80" Type="http://schemas.openxmlformats.org/officeDocument/2006/relationships/hyperlink" Target="https://housing.com/news/mumbai-metro-line-3-everything-you-need-to-know/" TargetMode="External"/><Relationship Id="rId82" Type="http://schemas.openxmlformats.org/officeDocument/2006/relationships/hyperlink" Target="https://mmrda.maharashtra.gov.in/metro-line-2b" TargetMode="External"/><Relationship Id="rId81" Type="http://schemas.openxmlformats.org/officeDocument/2006/relationships/hyperlink" Target="https://www.freepressjournal.in/mumbai/metro-line-2a-revised-deadline-is-may-2021" TargetMode="External"/><Relationship Id="rId701" Type="http://schemas.openxmlformats.org/officeDocument/2006/relationships/hyperlink" Target="http://www.rail-transit.com/project/show.php?itemid=264" TargetMode="External"/><Relationship Id="rId700" Type="http://schemas.openxmlformats.org/officeDocument/2006/relationships/hyperlink" Target="https://jiaotongbk.com/n6/201691.html" TargetMode="External"/><Relationship Id="rId705" Type="http://schemas.openxmlformats.org/officeDocument/2006/relationships/hyperlink" Target="http://www.rail-transit.com/project/show.php?itemid=143" TargetMode="External"/><Relationship Id="rId704" Type="http://schemas.openxmlformats.org/officeDocument/2006/relationships/hyperlink" Target="http://news.cctv.com/society/20090323/106184.shtml" TargetMode="External"/><Relationship Id="rId703" Type="http://schemas.openxmlformats.org/officeDocument/2006/relationships/hyperlink" Target="http://news.sina.com.cn/o/2010-12-29/033421723553.shtml" TargetMode="External"/><Relationship Id="rId702" Type="http://schemas.openxmlformats.org/officeDocument/2006/relationships/hyperlink" Target="http://www.rail-transit.com/project/show.php?itemid=243" TargetMode="External"/><Relationship Id="rId73" Type="http://schemas.openxmlformats.org/officeDocument/2006/relationships/hyperlink" Target="https://www.abc.net.au/news/2020-02-21/nsw-government-confirms-three-billion-metro-budget-blowout/11986968" TargetMode="External"/><Relationship Id="rId72" Type="http://schemas.openxmlformats.org/officeDocument/2006/relationships/hyperlink" Target="https://www.nrk.no/osloogviken/fornebubanen-er-vedtatt-i-oslo-bystyre-1.16010843" TargetMode="External"/><Relationship Id="rId75" Type="http://schemas.openxmlformats.org/officeDocument/2006/relationships/hyperlink" Target="https://www.audit.vic.gov.au/report/melbourne-metro-tunnel-project-phase-2-main-works?section=" TargetMode="External"/><Relationship Id="rId74" Type="http://schemas.openxmlformats.org/officeDocument/2006/relationships/hyperlink" Target="https://www.transport.nsw.gov.au/news-and-events/media-releases/sydney-metro-northwest-under-budget" TargetMode="External"/><Relationship Id="rId77" Type="http://schemas.openxmlformats.org/officeDocument/2006/relationships/hyperlink" Target="https://www.straitstimes.com/singapore/transport/thomson-east-coast-line-6-more-stations-from-springleaf-to-caldecott-opening" TargetMode="External"/><Relationship Id="rId76" Type="http://schemas.openxmlformats.org/officeDocument/2006/relationships/hyperlink" Target="https://www.todayonline.com/singapore/comparing-singapores-newest-and-oldest-mrt-lines" TargetMode="External"/><Relationship Id="rId79" Type="http://schemas.openxmlformats.org/officeDocument/2006/relationships/hyperlink" Target="https://indianexpress.com/article/cities/mumbai/indias-first-monorail-rolls-out-in-city/" TargetMode="External"/><Relationship Id="rId78" Type="http://schemas.openxmlformats.org/officeDocument/2006/relationships/hyperlink" Target="https://www.railwayage.com/news/eglinton-crosstown-behind-schedule/" TargetMode="External"/><Relationship Id="rId71" Type="http://schemas.openxmlformats.org/officeDocument/2006/relationships/hyperlink" Target="https://www.railwaygazette.com/l%C3%B8renbanen-opens-in-oslo/42312.article" TargetMode="External"/><Relationship Id="rId70" Type="http://schemas.openxmlformats.org/officeDocument/2006/relationships/hyperlink" Target="https://www.thelocal.dk/20190930/in-pictures-copenhagens-new-city-ring-metro-line" TargetMode="External"/><Relationship Id="rId62" Type="http://schemas.openxmlformats.org/officeDocument/2006/relationships/hyperlink" Target="http://dip21.bundestag.de/dip21/btd/17/029/1702939.pdf" TargetMode="External"/><Relationship Id="rId61" Type="http://schemas.openxmlformats.org/officeDocument/2006/relationships/hyperlink" Target="https://www.eleconomista.com.mx/estados/Linea-3-arriba-78-de-su-costo-20200121-0023.html" TargetMode="External"/><Relationship Id="rId64" Type="http://schemas.openxmlformats.org/officeDocument/2006/relationships/hyperlink" Target="https://metrocspa.it/cms/wp-content/uploads/2016/12/2-Q.E.G.-12-set-2013.pdf" TargetMode="External"/><Relationship Id="rId63" Type="http://schemas.openxmlformats.org/officeDocument/2006/relationships/hyperlink" Target="https://www.comune.roma.it/PCR/resources/cms/documents/B1schedaillustrativaintervento.pdf" TargetMode="External"/><Relationship Id="rId66" Type="http://schemas.openxmlformats.org/officeDocument/2006/relationships/hyperlink" Target="https://metrocspa.it/cms/wp-content/uploads/2016/12/2-Q.E.G.-12-set-2013.pdf" TargetMode="External"/><Relationship Id="rId65" Type="http://schemas.openxmlformats.org/officeDocument/2006/relationships/hyperlink" Target="https://metrocspa.it/cms/wp-content/uploads/2016/12/2-Q.E.G.-12-set-2013.pdf" TargetMode="External"/><Relationship Id="rId68" Type="http://schemas.openxmlformats.org/officeDocument/2006/relationships/hyperlink" Target="https://www.projekt-u5.de/de/die-neue-u5/" TargetMode="External"/><Relationship Id="rId67" Type="http://schemas.openxmlformats.org/officeDocument/2006/relationships/hyperlink" Target="https://www.das-parlament.de/2019/31_32/kehrseite/652908-652908" TargetMode="External"/><Relationship Id="rId729" Type="http://schemas.openxmlformats.org/officeDocument/2006/relationships/hyperlink" Target="https://www.163.com/dy/article/DPVGIOAD0514MG5I.html" TargetMode="External"/><Relationship Id="rId728" Type="http://schemas.openxmlformats.org/officeDocument/2006/relationships/hyperlink" Target="http://www.rail-transit.com/project/show.php?itemid=76" TargetMode="External"/><Relationship Id="rId60" Type="http://schemas.openxmlformats.org/officeDocument/2006/relationships/hyperlink" Target="https://shinbundang.co.kr/eng/index.jsp?pageID=/eng/intro/intro2_6.jsp&amp;open_main=4&amp;open_sub1=1&amp;open_sub2=6" TargetMode="External"/><Relationship Id="rId723" Type="http://schemas.openxmlformats.org/officeDocument/2006/relationships/hyperlink" Target="https://www.12369zb.com/view/482/MUlxBX4B4pnqPFb2iCfa.html" TargetMode="External"/><Relationship Id="rId722" Type="http://schemas.openxmlformats.org/officeDocument/2006/relationships/hyperlink" Target="https://www.163.com/dy/article/HFCE3KEU05149A02.html" TargetMode="External"/><Relationship Id="rId721" Type="http://schemas.openxmlformats.org/officeDocument/2006/relationships/hyperlink" Target="http://www.rail-transit.com/project/show.php?itemid=540" TargetMode="External"/><Relationship Id="rId720" Type="http://schemas.openxmlformats.org/officeDocument/2006/relationships/hyperlink" Target="http://www.rail-transit.com/project/show.php?itemid=501" TargetMode="External"/><Relationship Id="rId727" Type="http://schemas.openxmlformats.org/officeDocument/2006/relationships/hyperlink" Target="https://www.ndrc.gov.cn/fggz/zcssfz/zdgc/201505/t20150518_1146000.html" TargetMode="External"/><Relationship Id="rId726" Type="http://schemas.openxmlformats.org/officeDocument/2006/relationships/hyperlink" Target="http://www.rail-transit.com/project/show.php?itemid=291" TargetMode="External"/><Relationship Id="rId725" Type="http://schemas.openxmlformats.org/officeDocument/2006/relationships/hyperlink" Target="https://www.ndrc.gov.cn/fggz/zcssfz/zdgc/201505/t20150518_1146000.html" TargetMode="External"/><Relationship Id="rId724" Type="http://schemas.openxmlformats.org/officeDocument/2006/relationships/hyperlink" Target="https://www.ndrc.gov.cn/fggz/zcssfz/zdgc/201505/t20150518_1146000.html" TargetMode="External"/><Relationship Id="rId69" Type="http://schemas.openxmlformats.org/officeDocument/2006/relationships/hyperlink" Target="https://www.thebulletin.be/brussels-metro-line-3-project-could-be-delayed-or-suspended" TargetMode="External"/><Relationship Id="rId51" Type="http://schemas.openxmlformats.org/officeDocument/2006/relationships/hyperlink" Target="http://www.taipeitimes.com/News/taiwan/archives/2018/05/03/2003692436" TargetMode="External"/><Relationship Id="rId50" Type="http://schemas.openxmlformats.org/officeDocument/2006/relationships/hyperlink" Target="http://www.elfinanciero.com.mx/nacional/linea-12-costara-mas-que-el-tren-mexico-queretaro" TargetMode="External"/><Relationship Id="rId53"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52" Type="http://schemas.openxmlformats.org/officeDocument/2006/relationships/hyperlink" Target="http://www.expofairs.com/pianeta-costruzioni/001/pagina_017.pdf" TargetMode="External"/><Relationship Id="rId55" Type="http://schemas.openxmlformats.org/officeDocument/2006/relationships/hyperlink" Target="https://www.gpmetropole-infos.fr/le-cout-du-grand-paris-express-revu-a-la-hausse/" TargetMode="External"/><Relationship Id="rId54" Type="http://schemas.openxmlformats.org/officeDocument/2006/relationships/hyperlink" Target="https://www.metro4milano.it/wordpress/wp-content/uploads/2020/04/Quadro-Economico-_-Atto-Integrativo-n.1-alla-Convenzione-di-concessione_-allegato-13.pdf" TargetMode="External"/><Relationship Id="rId57" Type="http://schemas.openxmlformats.org/officeDocument/2006/relationships/hyperlink" Target="https://vnexpress.net/thoi-su/thanh-tra-chi-ra-nhieu-vi-pham-tai-du-an-metro-1-7-ty-usd-o-ha-noi-3777287.html" TargetMode="External"/><Relationship Id="rId56" Type="http://schemas.openxmlformats.org/officeDocument/2006/relationships/hyperlink" Target="https://www.milanolife.it/la-quinta-linea-il-passante-ferroviario-di-milano/" TargetMode="External"/><Relationship Id="rId719" Type="http://schemas.openxmlformats.org/officeDocument/2006/relationships/hyperlink" Target="https://www.sohu.com/a/237588900_683466" TargetMode="External"/><Relationship Id="rId718" Type="http://schemas.openxmlformats.org/officeDocument/2006/relationships/hyperlink" Target="http://www.hncsmtr.com/jsdt/gcgk/2033/14944654790008899_1.html" TargetMode="External"/><Relationship Id="rId717" Type="http://schemas.openxmlformats.org/officeDocument/2006/relationships/hyperlink" Target="http://www.chinanews.com/gn/news/2009/02-11/1558424.shtml" TargetMode="External"/><Relationship Id="rId712"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711" Type="http://schemas.openxmlformats.org/officeDocument/2006/relationships/hyperlink" Target="http://zqb.cyol.com/html/2012-12/31/nw.D110000zgqnb_20121231_3-06.htm" TargetMode="External"/><Relationship Id="rId710" Type="http://schemas.openxmlformats.org/officeDocument/2006/relationships/hyperlink" Target="http://politics.people.com.cn/n/2014/1105/c70731-25980932.html" TargetMode="External"/><Relationship Id="rId716" Type="http://schemas.openxmlformats.org/officeDocument/2006/relationships/hyperlink" Target="https://zfxxgk.ndrc.gov.cn/web/iteminfo.jsp?id=320" TargetMode="External"/><Relationship Id="rId715" Type="http://schemas.openxmlformats.org/officeDocument/2006/relationships/hyperlink" Target="http://www.rail-transit.com/project/show.php?itemid=231" TargetMode="External"/><Relationship Id="rId714" Type="http://schemas.openxmlformats.org/officeDocument/2006/relationships/hyperlink" Target="https://zfxxgk.ndrc.gov.cn/web/iteminfo.jsp?id=320" TargetMode="External"/><Relationship Id="rId713" Type="http://schemas.openxmlformats.org/officeDocument/2006/relationships/hyperlink" Target="https://zfxxgk.ndrc.gov.cn/web/iteminfo.jsp?id=320" TargetMode="External"/><Relationship Id="rId59"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58" Type="http://schemas.openxmlformats.org/officeDocument/2006/relationships/hyperlink" Target="http://saigondautu.com.vn/chu-diem-su-kien/5-du-an-doi-von-khung-61311.html" TargetMode="External"/><Relationship Id="rId590" Type="http://schemas.openxmlformats.org/officeDocument/2006/relationships/hyperlink" Target="https://web.archive.org/web/20160509075613/http://www.harbin-metro.com/system/20160418/000002978.html" TargetMode="External"/><Relationship Id="rId107" Type="http://schemas.openxmlformats.org/officeDocument/2006/relationships/hyperlink" Target="http://elsiglo.com.pa/panama/justifican-costo-linea-1-metro/23828270" TargetMode="External"/><Relationship Id="rId349" Type="http://schemas.openxmlformats.org/officeDocument/2006/relationships/hyperlink" Target="http://www.tzxm.gov.cn/flfg/law/201912/t20191220_12825.html" TargetMode="External"/><Relationship Id="rId106" Type="http://schemas.openxmlformats.org/officeDocument/2006/relationships/hyperlink" Target="http://patrocinados.estadao.com.br/ccr/salvadors-subway-becomes-a-model-of-success/" TargetMode="External"/><Relationship Id="rId348" Type="http://schemas.openxmlformats.org/officeDocument/2006/relationships/hyperlink" Target="http://www.rail-transit.com/project/show.php?itemid=171" TargetMode="External"/><Relationship Id="rId105" Type="http://schemas.openxmlformats.org/officeDocument/2006/relationships/hyperlink" Target="https://www.bnamericas.com/en/news/brazil-metro-cost-overruns-top-us9bn1" TargetMode="External"/><Relationship Id="rId347" Type="http://schemas.openxmlformats.org/officeDocument/2006/relationships/hyperlink" Target="https://zh.wikipedia.org/wiki/%E4%B8%8A%E6%B5%B7%E8%BD%A8%E9%81%93%E4%BA%A4%E9%80%9A8%E5%8F%B7%E7%BA%BF" TargetMode="External"/><Relationship Id="rId589" Type="http://schemas.openxmlformats.org/officeDocument/2006/relationships/hyperlink" Target="https://web.archive.org/web/20160509075613/http://www.harbin-metro.com/system/20160418/000002978.html" TargetMode="External"/><Relationship Id="rId104" Type="http://schemas.openxmlformats.org/officeDocument/2006/relationships/hyperlink" Target="https://www.metro.cl/files/documentos/metro-investor-201709.pdf" TargetMode="External"/><Relationship Id="rId346" Type="http://schemas.openxmlformats.org/officeDocument/2006/relationships/hyperlink" Target="http://www.rail-transit.com/project/show.php?itemid=42" TargetMode="External"/><Relationship Id="rId588" Type="http://schemas.openxmlformats.org/officeDocument/2006/relationships/hyperlink" Target="http://www.rail-transit.com/project/show.php?itemid=232" TargetMode="External"/><Relationship Id="rId109" Type="http://schemas.openxmlformats.org/officeDocument/2006/relationships/hyperlink" Target="https://www.railwaypro.com/wp/south-korean-consortium-to-build-panama-metro-line-3/" TargetMode="External"/><Relationship Id="rId108" Type="http://schemas.openxmlformats.org/officeDocument/2006/relationships/hyperlink" Target="https://www.railjournal.com/regions/central-south-america/panama-city-metro-line-2-inaugurated/" TargetMode="External"/><Relationship Id="rId341" Type="http://schemas.openxmlformats.org/officeDocument/2006/relationships/hyperlink" Target="http://www.rail-transit.com/project/show.php?itemid=331" TargetMode="External"/><Relationship Id="rId583" Type="http://schemas.openxmlformats.org/officeDocument/2006/relationships/hyperlink" Target="http://www.rail-transit.com/project/show.php?itemid=650" TargetMode="External"/><Relationship Id="rId340" Type="http://schemas.openxmlformats.org/officeDocument/2006/relationships/hyperlink" Target="http://www.gov.cn/xinwen/2016-10/13/5118393/files/fc4eeffb973d4e0297ef1fb6bcaa4e73.pdf" TargetMode="External"/><Relationship Id="rId582" Type="http://schemas.openxmlformats.org/officeDocument/2006/relationships/hyperlink" Target="http://www.rail-transit.com/project/show.php?itemid=147" TargetMode="External"/><Relationship Id="rId581" Type="http://schemas.openxmlformats.org/officeDocument/2006/relationships/hyperlink" Target="http://www.rail-transit.com/project/show.php?itemid=41" TargetMode="External"/><Relationship Id="rId580" Type="http://schemas.openxmlformats.org/officeDocument/2006/relationships/hyperlink" Target="http://www.rail-transit.com/project/show.php?itemid=261" TargetMode="External"/><Relationship Id="rId103" Type="http://schemas.openxmlformats.org/officeDocument/2006/relationships/hyperlink" Target="https://www.railwaygazette.com/projects-and-planning/santiago-tenders-line-7-construction/56621.article" TargetMode="External"/><Relationship Id="rId345" Type="http://schemas.openxmlformats.org/officeDocument/2006/relationships/hyperlink" Target="https://www.ndrc.gov.cn/xxgk/zcfb/ghwb/201908/W020190905497973740066.pdf" TargetMode="External"/><Relationship Id="rId587" Type="http://schemas.openxmlformats.org/officeDocument/2006/relationships/hyperlink" Target="http://www.rail-transit.com/project/show.php?itemid=212" TargetMode="External"/><Relationship Id="rId102" Type="http://schemas.openxmlformats.org/officeDocument/2006/relationships/hyperlink" Target="http://news.bbc.co.uk/2/hi/uk_news/529006.stm" TargetMode="External"/><Relationship Id="rId344" Type="http://schemas.openxmlformats.org/officeDocument/2006/relationships/hyperlink" Target="http://www.gov.cn/xinwen/2017-03/23/5180079/files/d764253433a944c0a620def88bf6f446.pdf" TargetMode="External"/><Relationship Id="rId586" Type="http://schemas.openxmlformats.org/officeDocument/2006/relationships/hyperlink" Target="https://web.archive.org/web/20160509075613/http://www.harbin-metro.com/system/20160418/000002978.html" TargetMode="External"/><Relationship Id="rId101" Type="http://schemas.openxmlformats.org/officeDocument/2006/relationships/hyperlink" Target="https://www.prolongement-metro12.fr/faq-metro-m12/" TargetMode="External"/><Relationship Id="rId343" Type="http://schemas.openxmlformats.org/officeDocument/2006/relationships/hyperlink" Target="http://www.rail-transit.com/project/show.php?itemid=359" TargetMode="External"/><Relationship Id="rId585" Type="http://schemas.openxmlformats.org/officeDocument/2006/relationships/hyperlink" Target="https://web.archive.org/web/20160509075613/http://www.harbin-metro.com/system/20160418/000002978.html" TargetMode="External"/><Relationship Id="rId100" Type="http://schemas.openxmlformats.org/officeDocument/2006/relationships/hyperlink" Target="https://www.straitstimes.com/singapore/transport/last-stage-of-circle-line-to-cost-a-lot-more-than-first-5-stages" TargetMode="External"/><Relationship Id="rId342" Type="http://schemas.openxmlformats.org/officeDocument/2006/relationships/hyperlink" Target="http://www.gov.cn/xinwen/2019-01/06/5355294/files/c3d503decf1d4b6b924324b210ee0f1a.pdf" TargetMode="External"/><Relationship Id="rId584" Type="http://schemas.openxmlformats.org/officeDocument/2006/relationships/hyperlink" Target="http://www.rail-transit.com/project/show.php?itemid=278" TargetMode="External"/><Relationship Id="rId338" Type="http://schemas.openxmlformats.org/officeDocument/2006/relationships/hyperlink" Target="https://www.ndrc.gov.cn/xxgk/zcfb/ghwb/201703/W020190905497919692262.pdf" TargetMode="External"/><Relationship Id="rId337" Type="http://schemas.openxmlformats.org/officeDocument/2006/relationships/hyperlink" Target="http://www.rail-transit.com/project/show.php?itemid=272" TargetMode="External"/><Relationship Id="rId579" Type="http://schemas.openxmlformats.org/officeDocument/2006/relationships/hyperlink" Target="https://edmontonjournal.com/news/local-news/long-delayed-1-8-billion-valley-line-lrt-stymied-yet-again" TargetMode="External"/><Relationship Id="rId336" Type="http://schemas.openxmlformats.org/officeDocument/2006/relationships/hyperlink" Target="http://www.rail-transit.com/project/show.php?itemid=133" TargetMode="External"/><Relationship Id="rId578" Type="http://schemas.openxmlformats.org/officeDocument/2006/relationships/hyperlink" Target="https://www.regione.campania.it/assets/documents/delibera-20-2017.pdf" TargetMode="External"/><Relationship Id="rId335" Type="http://schemas.openxmlformats.org/officeDocument/2006/relationships/hyperlink" Target="http://www.rail-transit.com/project/show.php?itemid=265" TargetMode="External"/><Relationship Id="rId577" Type="http://schemas.openxmlformats.org/officeDocument/2006/relationships/hyperlink" Target="http://silos.infrastrutturestrategiche.it/admin/scheda.aspx?id=1332" TargetMode="External"/><Relationship Id="rId339" Type="http://schemas.openxmlformats.org/officeDocument/2006/relationships/hyperlink" Target="http://www.rail-transit.com/project/show.php?itemid=206" TargetMode="External"/><Relationship Id="rId330" Type="http://schemas.openxmlformats.org/officeDocument/2006/relationships/hyperlink" Target="http://www.rail-transit.com/project/show.php?itemid=105" TargetMode="External"/><Relationship Id="rId572" Type="http://schemas.openxmlformats.org/officeDocument/2006/relationships/hyperlink" Target="https://www.comune.milano.it/aree-tematiche/mobilita/strade-e-sottosuolo/prolungamento-m1-quartiere-baggio-olmi-valsesia" TargetMode="External"/><Relationship Id="rId571" Type="http://schemas.openxmlformats.org/officeDocument/2006/relationships/hyperlink" Target="https://smart.comune.genova.it/articoli/presentato-ai-cittadini-il-progetto-della-nuova-metro-brin-canepari" TargetMode="External"/><Relationship Id="rId570"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334" Type="http://schemas.openxmlformats.org/officeDocument/2006/relationships/hyperlink" Target="https://www.ndrc.gov.cn/xxgk/zcfb/ghwb/201703/W020190905497919692262.pdf" TargetMode="External"/><Relationship Id="rId576" Type="http://schemas.openxmlformats.org/officeDocument/2006/relationships/hyperlink" Target="https://www.regione.campania.it/assets/documents/delibera-20-2017.pdf" TargetMode="External"/><Relationship Id="rId333" Type="http://schemas.openxmlformats.org/officeDocument/2006/relationships/hyperlink" Target="http://zqb.cyol.com/html/2012-12/31/nw.D110000zgqnb_20121231_3-06.htm" TargetMode="External"/><Relationship Id="rId575" Type="http://schemas.openxmlformats.org/officeDocument/2006/relationships/hyperlink" Target="http://silos.infrastrutturestrategiche.it/admin/scheda.aspx?id=1241" TargetMode="External"/><Relationship Id="rId332" Type="http://schemas.openxmlformats.org/officeDocument/2006/relationships/hyperlink" Target="http://www.rail-transit.com/project/show.php?itemid=175" TargetMode="External"/><Relationship Id="rId574" Type="http://schemas.openxmlformats.org/officeDocument/2006/relationships/hyperlink" Target="http://www.rivistacorteconti.it/export/sites/rivistaweb/RepositoryPdf/2017/fascicolo_16_2017/30_CDC_gestione_4.pdf" TargetMode="External"/><Relationship Id="rId331" Type="http://schemas.openxmlformats.org/officeDocument/2006/relationships/hyperlink" Target="http://news.enorth.com.cn/system/2021/04/23/051305652.shtml" TargetMode="External"/><Relationship Id="rId573" Type="http://schemas.openxmlformats.org/officeDocument/2006/relationships/hyperlink" Target="http://www.rivistacorteconti.it/export/sites/rivistaweb/RepositoryPdf/2017/fascicolo_16_2017/30_CDC_gestione_4.pdf" TargetMode="External"/><Relationship Id="rId370" Type="http://schemas.openxmlformats.org/officeDocument/2006/relationships/hyperlink" Target="https://www.ndrc.gov.cn/fggz/zcssfz/zcgh/201907/W020190910670748591840.pdf" TargetMode="External"/><Relationship Id="rId129" Type="http://schemas.openxmlformats.org/officeDocument/2006/relationships/hyperlink" Target="https://www.metro-report.com/news/metro/single-view/view/madrid-metro-line-2-extended-to-las-rosas.html?sword_list%5B%5D=madrid&amp;no_cache=1" TargetMode="External"/><Relationship Id="rId128" Type="http://schemas.openxmlformats.org/officeDocument/2006/relationships/hyperlink" Target="https://www.esmadrid.com/sites/default/files/plan_integral_cercanias_madrid_2018_2025.pdf" TargetMode="External"/><Relationship Id="rId127" Type="http://schemas.openxmlformats.org/officeDocument/2006/relationships/hyperlink" Target="https://www.themayor.eu/en/massive-lisbon-metro-expansion-scheduled-for-2020" TargetMode="External"/><Relationship Id="rId369" Type="http://schemas.openxmlformats.org/officeDocument/2006/relationships/hyperlink" Target="http://zfxxgk.ndrc.gov.cn/web/iteminfo.jsp?id=316" TargetMode="External"/><Relationship Id="rId126" Type="http://schemas.openxmlformats.org/officeDocument/2006/relationships/hyperlink" Target="https://www.railjournal.com/passenger/metros/european-commission-approves-e83m-for-lisbon-metro-expansion/" TargetMode="External"/><Relationship Id="rId368" Type="http://schemas.openxmlformats.org/officeDocument/2006/relationships/hyperlink" Target="http://bj.bendibao.com/news/20141120/171344.shtm" TargetMode="External"/><Relationship Id="rId121" Type="http://schemas.openxmlformats.org/officeDocument/2006/relationships/hyperlink" Target="https://www.railjournal.com/passenger/metros/tehran-opens-metro-line-3-extension/" TargetMode="External"/><Relationship Id="rId363" Type="http://schemas.openxmlformats.org/officeDocument/2006/relationships/hyperlink" Target="https://www.ndrc.gov.cn/fggz/zcssfz/zcgh/201505/W020190910670534928118.pdf" TargetMode="External"/><Relationship Id="rId120" Type="http://schemas.openxmlformats.org/officeDocument/2006/relationships/hyperlink" Target="https://economictimes.indiatimes.com/news/politics-and-nation/operational-loss-in-delhi-metro-phase-iv-project-to-be-borne-by-delhi-govt-sc/articleshow/71008680.cms" TargetMode="External"/><Relationship Id="rId362" Type="http://schemas.openxmlformats.org/officeDocument/2006/relationships/hyperlink" Target="http://img.thupdi.com/news/2015/08/1440573393290975.pdf" TargetMode="External"/><Relationship Id="rId361" Type="http://schemas.openxmlformats.org/officeDocument/2006/relationships/hyperlink" Target="http://www.rail-transit.com/project/show.php?itemid=531" TargetMode="External"/><Relationship Id="rId360" Type="http://schemas.openxmlformats.org/officeDocument/2006/relationships/hyperlink" Target="https://www.ndrc.gov.cn/fggz/zcssfz/zcgh/201904/W020190910670741123314.pdf" TargetMode="External"/><Relationship Id="rId125" Type="http://schemas.openxmlformats.org/officeDocument/2006/relationships/hyperlink" Target="https://tunnelbuilder.com/metrosur/edition2pdf/page2.pdf" TargetMode="External"/><Relationship Id="rId367" Type="http://schemas.openxmlformats.org/officeDocument/2006/relationships/hyperlink" Target="https://www.ndrc.gov.cn/xxgk/zcfb/ghwb/201908/W020190905497973740066.pdf" TargetMode="External"/><Relationship Id="rId124" Type="http://schemas.openxmlformats.org/officeDocument/2006/relationships/hyperlink" Target="https://tunnelbuilder.com/metrosur/edition2pdf/page2.pdf" TargetMode="External"/><Relationship Id="rId366" Type="http://schemas.openxmlformats.org/officeDocument/2006/relationships/hyperlink" Target="https://www.ndrc.gov.cn/fggz/zcssfz/zcgh/201601/t20160112_1145713.html" TargetMode="External"/><Relationship Id="rId123" Type="http://schemas.openxmlformats.org/officeDocument/2006/relationships/hyperlink" Target="https://financialtribune.com/articles/auto/78612/tehran-municipality-struggling-with-subway-development-costs" TargetMode="External"/><Relationship Id="rId365" Type="http://schemas.openxmlformats.org/officeDocument/2006/relationships/hyperlink" Target="http://www.rail-transit.com/project/show.php?itemid=188" TargetMode="External"/><Relationship Id="rId122" Type="http://schemas.openxmlformats.org/officeDocument/2006/relationships/hyperlink" Target="https://financialtribune.com/articles/auto/78612/tehran-municipality-struggling-with-subway-development-costs" TargetMode="External"/><Relationship Id="rId364" Type="http://schemas.openxmlformats.org/officeDocument/2006/relationships/hyperlink" Target="http://www.nngdjt.com/html/4061/8670.html" TargetMode="External"/><Relationship Id="rId95" Type="http://schemas.openxmlformats.org/officeDocument/2006/relationships/hyperlink" Target="https://www.ametro.gr/wp-content/uploads/2018/08/AM_Xrimatooikonomikes_katastaseis_2017.pdf" TargetMode="External"/><Relationship Id="rId94" Type="http://schemas.openxmlformats.org/officeDocument/2006/relationships/hyperlink" Target="https://omekgroup.com.gr/projects/thessaloniki-metro/" TargetMode="External"/><Relationship Id="rId97" Type="http://schemas.openxmlformats.org/officeDocument/2006/relationships/hyperlink" Target="http://www.kyeonggi.com/news/articleView.html?idxno=564944" TargetMode="External"/><Relationship Id="rId96" Type="http://schemas.openxmlformats.org/officeDocument/2006/relationships/hyperlink" Target="https://www.railwaygazette.com/asia/busan-metro-line-1-extends/44436.article" TargetMode="External"/><Relationship Id="rId99" Type="http://schemas.openxmlformats.org/officeDocument/2006/relationships/hyperlink" Target="http://news1.kr/articles/?3552208" TargetMode="External"/><Relationship Id="rId98" Type="http://schemas.openxmlformats.org/officeDocument/2006/relationships/hyperlink" Target="https://www.hankyung.com/society/article/2013061797248" TargetMode="External"/><Relationship Id="rId91" Type="http://schemas.openxmlformats.org/officeDocument/2006/relationships/hyperlink" Target="https://mmrda.maharashtra.gov.in/documents/10180/9283015/Metro+Line+12/20c81fcb-0b2c-40c2-9e06-a7b4e7d46bdb" TargetMode="External"/><Relationship Id="rId90" Type="http://schemas.openxmlformats.org/officeDocument/2006/relationships/hyperlink" Target="https://mmrda.maharashtra.gov.in/documents/10180/9283015/Metro+Line+11/8dc85106-19e2-48a5-875e-acdb289c357d" TargetMode="External"/><Relationship Id="rId93" Type="http://schemas.openxmlformats.org/officeDocument/2006/relationships/hyperlink" Target="https://www.ametro.gr/wp-content/uploads/2018/08/AM_Xrimatooikonomikes_katastaseis_2017.pdf" TargetMode="External"/><Relationship Id="rId92" Type="http://schemas.openxmlformats.org/officeDocument/2006/relationships/hyperlink" Target="https://www.ametro.gr/?p=14801&amp;lang=en" TargetMode="External"/><Relationship Id="rId118" Type="http://schemas.openxmlformats.org/officeDocument/2006/relationships/hyperlink" Target="http://www.delhimetrorail.com/funding.aspx" TargetMode="External"/><Relationship Id="rId117" Type="http://schemas.openxmlformats.org/officeDocument/2006/relationships/hyperlink" Target="https://kochimetro.org/everything-you-need-to-know-about-the-kochi-metro/" TargetMode="External"/><Relationship Id="rId359" Type="http://schemas.openxmlformats.org/officeDocument/2006/relationships/hyperlink" Target="http://www.rail-transit.com/project/show.php?itemid=356" TargetMode="External"/><Relationship Id="rId116" Type="http://schemas.openxmlformats.org/officeDocument/2006/relationships/hyperlink" Target="https://wien.orf.at/news/stories/2940360/" TargetMode="External"/><Relationship Id="rId358" Type="http://schemas.openxmlformats.org/officeDocument/2006/relationships/hyperlink" Target="http://www.rail-transit.com/project/show.php?itemid=200" TargetMode="External"/><Relationship Id="rId115" Type="http://schemas.openxmlformats.org/officeDocument/2006/relationships/hyperlink" Target="https://www.wien.gv.at/stadtentwicklung/projekte/verkehrsplanung/u-bahn/u1-oberlaa.html" TargetMode="External"/><Relationship Id="rId357" Type="http://schemas.openxmlformats.org/officeDocument/2006/relationships/hyperlink" Target="https://www.ndrc.gov.cn/xxgk/zcfb/ghwb/201703/W020190905497919692262.pdf" TargetMode="External"/><Relationship Id="rId599" Type="http://schemas.openxmlformats.org/officeDocument/2006/relationships/hyperlink" Target="http://www.rail-transit.com/project/show.php?itemid=572" TargetMode="External"/><Relationship Id="rId119" Type="http://schemas.openxmlformats.org/officeDocument/2006/relationships/hyperlink" Target="https://housing.com/news/delhi-metro-phase-iv-finally-approved-government/" TargetMode="External"/><Relationship Id="rId110" Type="http://schemas.openxmlformats.org/officeDocument/2006/relationships/hyperlink" Target="https://rappler.com/business/construction-metro-manila-subway-begins-february-2019" TargetMode="External"/><Relationship Id="rId352" Type="http://schemas.openxmlformats.org/officeDocument/2006/relationships/hyperlink" Target="http://www.gov.cn/xinwen/2016-10/13/5118393/files/fc4eeffb973d4e0297ef1fb6bcaa4e73.pdf" TargetMode="External"/><Relationship Id="rId594" Type="http://schemas.openxmlformats.org/officeDocument/2006/relationships/hyperlink" Target="http://www.rail-transit.com/project/show.php?itemid=379" TargetMode="External"/><Relationship Id="rId351" Type="http://schemas.openxmlformats.org/officeDocument/2006/relationships/hyperlink" Target="http://www.rail-transit.com/project/show.php?itemid=138" TargetMode="External"/><Relationship Id="rId593" Type="http://schemas.openxmlformats.org/officeDocument/2006/relationships/hyperlink" Target="http://www.incheonnews.com/news/articleView.html?idxno=86652" TargetMode="External"/><Relationship Id="rId350" Type="http://schemas.openxmlformats.org/officeDocument/2006/relationships/hyperlink" Target="http://www.gov.cn/xinwen/2017-03/23/5180079/files/d764253433a944c0a620def88bf6f446.pdf" TargetMode="External"/><Relationship Id="rId592" Type="http://schemas.openxmlformats.org/officeDocument/2006/relationships/hyperlink" Target="https://www.kgnews.co.kr/mobile/article.html?no=674722" TargetMode="External"/><Relationship Id="rId591" Type="http://schemas.openxmlformats.org/officeDocument/2006/relationships/hyperlink" Target="http://www.gov.cn/jrzg/2005-12/05/content_118066.htm" TargetMode="External"/><Relationship Id="rId114" Type="http://schemas.openxmlformats.org/officeDocument/2006/relationships/hyperlink" Target="https://wien.orf.at/news/stories/2607445/" TargetMode="External"/><Relationship Id="rId356" Type="http://schemas.openxmlformats.org/officeDocument/2006/relationships/hyperlink" Target="http://www.rail-transit.com/project/show.php?itemid=365" TargetMode="External"/><Relationship Id="rId598" Type="http://schemas.openxmlformats.org/officeDocument/2006/relationships/hyperlink" Target="http://www.rail-transit.com/project/show.php?itemid=259" TargetMode="External"/><Relationship Id="rId113" Type="http://schemas.openxmlformats.org/officeDocument/2006/relationships/hyperlink" Target="https://newsinfo.inquirer.net/1211139/mrt-4-project-targeted-for-completion-in-2025" TargetMode="External"/><Relationship Id="rId355" Type="http://schemas.openxmlformats.org/officeDocument/2006/relationships/hyperlink" Target="http://www.rail-transit.com/project/show.php?itemid=33" TargetMode="External"/><Relationship Id="rId597" Type="http://schemas.openxmlformats.org/officeDocument/2006/relationships/hyperlink" Target="http://www.ce.cn/cysc/jtys/tielu/202102/02/t20210202_36283657.shtml" TargetMode="External"/><Relationship Id="rId112" Type="http://schemas.openxmlformats.org/officeDocument/2006/relationships/hyperlink" Target="https://news.abs-cbn.com/business/multimedia/infographic/07/27/18/the-makati-subway" TargetMode="External"/><Relationship Id="rId354" Type="http://schemas.openxmlformats.org/officeDocument/2006/relationships/hyperlink" Target="https://www.ndrc.gov.cn/fggz/zcssfz/zcgh/201904/W020190910670741123314.pdf" TargetMode="External"/><Relationship Id="rId596" Type="http://schemas.openxmlformats.org/officeDocument/2006/relationships/hyperlink" Target="http://www.rail-transit.com/project/show.php?itemid=532" TargetMode="External"/><Relationship Id="rId111" Type="http://schemas.openxmlformats.org/officeDocument/2006/relationships/hyperlink" Target="https://www.railwaygazette.com/news/single-view/view/manila-metro-line-7-breaks-ground.html" TargetMode="External"/><Relationship Id="rId353" Type="http://schemas.openxmlformats.org/officeDocument/2006/relationships/hyperlink" Target="https://www.ndrc.gov.cn/fggz/zcssfz/zcgh/201904/W020190910670741123314.pdf" TargetMode="External"/><Relationship Id="rId595" Type="http://schemas.openxmlformats.org/officeDocument/2006/relationships/hyperlink" Target="https://timesofindia.indiatimes.com/city/kanpur/first-train-set-for-kanpur-metro-project-rolls-out-from-gujarats-savli/articleshow/86322835.cms" TargetMode="External"/><Relationship Id="rId305" Type="http://schemas.openxmlformats.org/officeDocument/2006/relationships/hyperlink" Target="http://www.rail-transit.com/project/show.php?itemid=75" TargetMode="External"/><Relationship Id="rId547" Type="http://schemas.openxmlformats.org/officeDocument/2006/relationships/hyperlink" Target="https://www.miamidade.gov/transit/improvement-airportlink.asp" TargetMode="External"/><Relationship Id="rId789" Type="http://schemas.openxmlformats.org/officeDocument/2006/relationships/hyperlink" Target="http://zj.cnr.cn/hzbb/20141013/t20141013_516587545.shtml" TargetMode="External"/><Relationship Id="rId304" Type="http://schemas.openxmlformats.org/officeDocument/2006/relationships/hyperlink" Target="https://www.ndrc.gov.cn/fggz/zcssfz/zcgh/201812/W020190910670719961874.pdf" TargetMode="External"/><Relationship Id="rId546" Type="http://schemas.openxmlformats.org/officeDocument/2006/relationships/hyperlink" Target="https://spectrumnews1.com/ca/la-west/transportation/2022/01/25/-2-1-billion-crenshaw-lax-light-rail-project-near-completion" TargetMode="External"/><Relationship Id="rId788" Type="http://schemas.openxmlformats.org/officeDocument/2006/relationships/hyperlink" Target="https://fzggw.zj.gov.cn/art/2017/7/6/art_1599553_30290528.html" TargetMode="External"/><Relationship Id="rId303" Type="http://schemas.openxmlformats.org/officeDocument/2006/relationships/hyperlink" Target="http://www.rail-transit.com/project/show.php?itemid=360" TargetMode="External"/><Relationship Id="rId545" Type="http://schemas.openxmlformats.org/officeDocument/2006/relationships/hyperlink" Target="https://www.hawaiibusiness.com/hart-history-hawaii-rail-project-when-finished-budget/" TargetMode="External"/><Relationship Id="rId787" Type="http://schemas.openxmlformats.org/officeDocument/2006/relationships/hyperlink" Target="http://www.rail-transit.com/project/show.php?itemid=270" TargetMode="External"/><Relationship Id="rId302" Type="http://schemas.openxmlformats.org/officeDocument/2006/relationships/hyperlink" Target="https://www.ndrc.gov.cn/fggz/zcssfz/zcgh/201812/W020190910670719961874.pdf" TargetMode="External"/><Relationship Id="rId544" Type="http://schemas.openxmlformats.org/officeDocument/2006/relationships/hyperlink" Target="https://www.hankyu-hanshin.co.jp/upload/irRelatedInfoEn/15.pdf" TargetMode="External"/><Relationship Id="rId786" Type="http://schemas.openxmlformats.org/officeDocument/2006/relationships/hyperlink" Target="http://www.rail-transit.com/project/show.php?itemid=359" TargetMode="External"/><Relationship Id="rId309" Type="http://schemas.openxmlformats.org/officeDocument/2006/relationships/hyperlink" Target="https://www.ndrc.gov.cn/xxgk/zcfb/ghwb/201707/W020190905497930956563.pdf" TargetMode="External"/><Relationship Id="rId308" Type="http://schemas.openxmlformats.org/officeDocument/2006/relationships/hyperlink" Target="http://www.rail-transit.com/project/show.php?itemid=151" TargetMode="External"/><Relationship Id="rId307" Type="http://schemas.openxmlformats.org/officeDocument/2006/relationships/hyperlink" Target="http://www.rail-transit.com/project/show.php?itemid=350" TargetMode="External"/><Relationship Id="rId549" Type="http://schemas.openxmlformats.org/officeDocument/2006/relationships/hyperlink" Target="https://www.uab.gov.tr/uploads/cities/istanbul/34-istanbul.pdf" TargetMode="External"/><Relationship Id="rId306" Type="http://schemas.openxmlformats.org/officeDocument/2006/relationships/hyperlink" Target="https://zh.wikisource.org/zh-hans/%E5%8C%97%E4%BA%AC%E5%B8%82%E5%9F%8E%E5%B8%82%E8%BD%A8%E9%81%93%E4%BA%A4%E9%80%9A%E7%AC%AC%E4%BA%8C%E6%9C%9F%E5%BB%BA%E8%AE%BE%E8%A7%84%E5%88%92%EF%BC%882015%EF%BD%9E2021%E5%B9%B4%EF%BC%89" TargetMode="External"/><Relationship Id="rId548" Type="http://schemas.openxmlformats.org/officeDocument/2006/relationships/hyperlink" Target="https://dcist.com/story/22/07/19/silver-line-cost-additional-250-million/" TargetMode="External"/><Relationship Id="rId781" Type="http://schemas.openxmlformats.org/officeDocument/2006/relationships/hyperlink" Target="http://www.rail-transit.com/project/show.php?itemid=89" TargetMode="External"/><Relationship Id="rId780" Type="http://schemas.openxmlformats.org/officeDocument/2006/relationships/hyperlink" Target="http://www.rail-transit.com/project/show.php?itemid=89" TargetMode="External"/><Relationship Id="rId301" Type="http://schemas.openxmlformats.org/officeDocument/2006/relationships/hyperlink" Target="http://www.gov.cn/xinwen/2019-01/06/5355294/files/c3d503decf1d4b6b924324b210ee0f1a.pdf" TargetMode="External"/><Relationship Id="rId543" Type="http://schemas.openxmlformats.org/officeDocument/2006/relationships/hyperlink" Target="https://www.infrato.it/wp-content/uploads/2022/01/2022_1_Presentazione-Linea-2.pdf" TargetMode="External"/><Relationship Id="rId785" Type="http://schemas.openxmlformats.org/officeDocument/2006/relationships/hyperlink" Target="http://www.rail-transit.com/project/show.php?itemid=286" TargetMode="External"/><Relationship Id="rId300" Type="http://schemas.openxmlformats.org/officeDocument/2006/relationships/hyperlink" Target="https://www.ndrc.gov.cn/fggz/zcssfz/zcgh/201812/W020190910670719961874.pdf" TargetMode="External"/><Relationship Id="rId542" Type="http://schemas.openxmlformats.org/officeDocument/2006/relationships/hyperlink" Target="http://silos.infrastrutturestrategiche.it/admin/scheda.aspx?id=1317" TargetMode="External"/><Relationship Id="rId784" Type="http://schemas.openxmlformats.org/officeDocument/2006/relationships/hyperlink" Target="http://www.rail-transit.com/project/show.php?itemid=351" TargetMode="External"/><Relationship Id="rId541" Type="http://schemas.openxmlformats.org/officeDocument/2006/relationships/hyperlink" Target="https://mmis.hkpl.gov.hk///c/portal/cover?c=QF757YsWv59%2F9WIUSQ5l77yBOL%2Bgwk13" TargetMode="External"/><Relationship Id="rId783" Type="http://schemas.openxmlformats.org/officeDocument/2006/relationships/hyperlink" Target="http://www.rail-transit.com/project/show.php?itemid=116" TargetMode="External"/><Relationship Id="rId540" Type="http://schemas.openxmlformats.org/officeDocument/2006/relationships/hyperlink" Target="https://mmis.hkpl.gov.hk///c/portal/cover?c=QF757YsWv59%2F9WIUSQ5l7xsxoWQ4dkCT" TargetMode="External"/><Relationship Id="rId782" Type="http://schemas.openxmlformats.org/officeDocument/2006/relationships/hyperlink" Target="http://zzhz.zjol.com.cn/05zzhz/system/2008/09/29/009985997.shtml" TargetMode="External"/><Relationship Id="rId536" Type="http://schemas.openxmlformats.org/officeDocument/2006/relationships/hyperlink" Target="https://www.ndr.de/nachrichten/hamburg/U5-in-Hamburg-Kosten-fuer-oestlichen-Abschnitt-explodieren,ubahn826.html" TargetMode="External"/><Relationship Id="rId778" Type="http://schemas.openxmlformats.org/officeDocument/2006/relationships/hyperlink" Target="http://www.rail-transit.com/project/show.php?itemid=294" TargetMode="External"/><Relationship Id="rId535" Type="http://schemas.openxmlformats.org/officeDocument/2006/relationships/hyperlink" Target="https://www.railwaypro.com/wp/tashkent-metro-extension-is-underway/" TargetMode="External"/><Relationship Id="rId777" Type="http://schemas.openxmlformats.org/officeDocument/2006/relationships/hyperlink" Target="http://gd.people.com.cn/n2/2020/0805/c123932-34206133.html" TargetMode="External"/><Relationship Id="rId534" Type="http://schemas.openxmlformats.org/officeDocument/2006/relationships/hyperlink" Target="http://www.uzbekembassy.in/construction-of-sergeli-metro-line-to-cost-170-1-million/" TargetMode="External"/><Relationship Id="rId776" Type="http://schemas.openxmlformats.org/officeDocument/2006/relationships/hyperlink" Target="http://gd.people.com.cn/n2/2020/0805/c123932-34206133.html" TargetMode="External"/><Relationship Id="rId533"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775" Type="http://schemas.openxmlformats.org/officeDocument/2006/relationships/hyperlink" Target="http://gd.people.com.cn/n2/2020/0805/c123932-34206133.html" TargetMode="External"/><Relationship Id="rId539" Type="http://schemas.openxmlformats.org/officeDocument/2006/relationships/hyperlink" Target="https://mmis.hkpl.gov.hk///c/portal/cover?c=QF757YsWv59%2F9WIUSQ5l7%2Fm%2BLaqXoBAd" TargetMode="External"/><Relationship Id="rId538" Type="http://schemas.openxmlformats.org/officeDocument/2006/relationships/hyperlink" Target="https://mmis.hkpl.gov.hk///c/portal/cover?c=QF757YsWv59%2F9WIUSQ5l76Vd0tr1CR%2F%2F" TargetMode="External"/><Relationship Id="rId537" Type="http://schemas.openxmlformats.org/officeDocument/2006/relationships/hyperlink" Target="https://www.info.gov.hk/archive/napco/cost.html" TargetMode="External"/><Relationship Id="rId779" Type="http://schemas.openxmlformats.org/officeDocument/2006/relationships/hyperlink" Target="http://www.rail-transit.com/project/show.php?itemid=249" TargetMode="External"/><Relationship Id="rId770" Type="http://schemas.openxmlformats.org/officeDocument/2006/relationships/hyperlink" Target="https://www.ndrc.gov.cn/fzggw/jgsj/tzs/sjdt/200706/t20070622_1192155.html" TargetMode="External"/><Relationship Id="rId532" Type="http://schemas.openxmlformats.org/officeDocument/2006/relationships/hyperlink" Target="https://www.insaatderyasi.com/gayrettepe-3-havalimani-metro-ihalesine-1-milyar-euro-1718h.htm" TargetMode="External"/><Relationship Id="rId774" Type="http://schemas.openxmlformats.org/officeDocument/2006/relationships/hyperlink" Target="http://www.rail-transit.com/project/show.php?itemid=87" TargetMode="External"/><Relationship Id="rId531" Type="http://schemas.openxmlformats.org/officeDocument/2006/relationships/hyperlink" Target="https://ekap.kik.gov.tr/EKAP/Ortak/IhaleArama/index.html" TargetMode="External"/><Relationship Id="rId773" Type="http://schemas.openxmlformats.org/officeDocument/2006/relationships/hyperlink" Target="http://www.rail-transit.com/project/show.php?itemid=619" TargetMode="External"/><Relationship Id="rId530" Type="http://schemas.openxmlformats.org/officeDocument/2006/relationships/hyperlink" Target="https://ekap.kik.gov.tr/EKAP/Ortak/IhaleArama/index.html" TargetMode="External"/><Relationship Id="rId772" Type="http://schemas.openxmlformats.org/officeDocument/2006/relationships/hyperlink" Target="https://news.dayoo.com/guangzhou/202011/02/139995_53631830.htm" TargetMode="External"/><Relationship Id="rId771" Type="http://schemas.openxmlformats.org/officeDocument/2006/relationships/hyperlink" Target="https://new.qq.com/omn/20210623/20210623A096ZY00.html" TargetMode="External"/><Relationship Id="rId327" Type="http://schemas.openxmlformats.org/officeDocument/2006/relationships/hyperlink" Target="http://www.rail-transit.com/project/show.php?itemid=343" TargetMode="External"/><Relationship Id="rId569" Type="http://schemas.openxmlformats.org/officeDocument/2006/relationships/hyperlink" Target="http://www.rivistacorteconti.it/export/sites/rivistaweb/RepositoryPdf/2017/fascicolo_16_2017/30_CDC_gestione_4.pdf" TargetMode="External"/><Relationship Id="rId326" Type="http://schemas.openxmlformats.org/officeDocument/2006/relationships/hyperlink" Target="https://www.ndrc.gov.cn/xxgk/zcfb/ghwb/201612/W020190905497886107757.pdf" TargetMode="External"/><Relationship Id="rId568" Type="http://schemas.openxmlformats.org/officeDocument/2006/relationships/hyperlink" Target="http://silos.infrastrutturestrategiche.it/admin/scheda.aspx?id=1723" TargetMode="External"/><Relationship Id="rId325" Type="http://schemas.openxmlformats.org/officeDocument/2006/relationships/hyperlink" Target="https://baike.baidu.com/reference/17605858/8a2eRI10Oo3jPyB3RZawIu33fUj3OmCx5fKTFCUCJXoq4BKXZ94NcZoLUG7NPyweTNKYwYHoa5qBIK1P24XE4PGoXEqagKR9-p1ks_BmNh00igM" TargetMode="External"/><Relationship Id="rId567" Type="http://schemas.openxmlformats.org/officeDocument/2006/relationships/hyperlink" Target="http://silos.infrastrutturestrategiche.it/admin/scheda.aspx?id=1723" TargetMode="External"/><Relationship Id="rId324" Type="http://schemas.openxmlformats.org/officeDocument/2006/relationships/hyperlink" Target="https://zh.wikisource.org/zh-hans/%E5%8C%97%E4%BA%AC%E5%B8%82%E5%9F%8E%E5%B8%82%E8%BD%A8%E9%81%93%E4%BA%A4%E9%80%9A%E7%AC%AC%E4%BA%8C%E6%9C%9F%E5%BB%BA%E8%AE%BE%E8%A7%84%E5%88%92%EF%BC%882015%EF%BD%9E2021%E5%B9%B4%EF%BC%89" TargetMode="External"/><Relationship Id="rId566" Type="http://schemas.openxmlformats.org/officeDocument/2006/relationships/hyperlink" Target="http://silos.infrastrutturestrategiche.it/admin/scheda.aspx?id=1723" TargetMode="External"/><Relationship Id="rId329" Type="http://schemas.openxmlformats.org/officeDocument/2006/relationships/hyperlink" Target="https://zh.wikisource.org/zh-hans/%E5%8C%97%E4%BA%AC%E5%B8%82%E5%9F%8E%E5%B8%82%E8%BD%A8%E9%81%93%E4%BA%A4%E9%80%9A%E7%AC%AC%E4%BA%8C%E6%9C%9F%E5%BB%BA%E8%AE%BE%E8%A7%84%E5%88%92%EF%BC%882015%EF%BD%9E2021%E5%B9%B4%EF%BC%89" TargetMode="External"/><Relationship Id="rId328" Type="http://schemas.openxmlformats.org/officeDocument/2006/relationships/hyperlink" Target="https://www.seetao.com/details/82868.html" TargetMode="External"/><Relationship Id="rId561" Type="http://schemas.openxmlformats.org/officeDocument/2006/relationships/hyperlink" Target="https://www.u-bahn-muenchen.de/report/baustellenreport/moosach/" TargetMode="External"/><Relationship Id="rId560" Type="http://schemas.openxmlformats.org/officeDocument/2006/relationships/hyperlink" Target="https://deutsch.radio.cz/prager-metro-bau-der-neuen-linie-d-nimmt-konturen-8683676" TargetMode="External"/><Relationship Id="rId323" Type="http://schemas.openxmlformats.org/officeDocument/2006/relationships/hyperlink" Target="http://www.rail-transit.com/project/show.php?itemid=252" TargetMode="External"/><Relationship Id="rId565" Type="http://schemas.openxmlformats.org/officeDocument/2006/relationships/hyperlink" Target="http://silos.infrastrutturestrategiche.it/admin/scheda.aspx?id=1723" TargetMode="External"/><Relationship Id="rId322" Type="http://schemas.openxmlformats.org/officeDocument/2006/relationships/hyperlink" Target="https://www.ndrc.gov.cn/xxgk/zcfb/ghwb/201707/W020190905497930956563.pdf" TargetMode="External"/><Relationship Id="rId564" Type="http://schemas.openxmlformats.org/officeDocument/2006/relationships/hyperlink" Target="http://silos.infrastrutturestrategiche.it/admin/scheda.aspx?id=1723" TargetMode="External"/><Relationship Id="rId321" Type="http://schemas.openxmlformats.org/officeDocument/2006/relationships/hyperlink" Target="http://www.rail-transit.com/project/show.php?itemid=155" TargetMode="External"/><Relationship Id="rId563" Type="http://schemas.openxmlformats.org/officeDocument/2006/relationships/hyperlink" Target="http://silos.infrastrutturestrategiche.it/admin/scheda.aspx?id=1723" TargetMode="External"/><Relationship Id="rId320" Type="http://schemas.openxmlformats.org/officeDocument/2006/relationships/hyperlink" Target="https://www.ndrc.gov.cn/xxgk/zcfb/ghwb/201908/W020190905497973740066.pdf" TargetMode="External"/><Relationship Id="rId562" Type="http://schemas.openxmlformats.org/officeDocument/2006/relationships/hyperlink" Target="https://www.sueddeutsche.de/muenchen/muenchen-u-bahn-u5-pasing-kosten-1.5475070" TargetMode="External"/><Relationship Id="rId316" Type="http://schemas.openxmlformats.org/officeDocument/2006/relationships/hyperlink" Target="http://www.rail-transit.com/project/show.php?itemid=316" TargetMode="External"/><Relationship Id="rId558" Type="http://schemas.openxmlformats.org/officeDocument/2006/relationships/hyperlink" Target="https://focustaiwan.tw/politics/202202220017" TargetMode="External"/><Relationship Id="rId315" Type="http://schemas.openxmlformats.org/officeDocument/2006/relationships/hyperlink" Target="https://zh.wikisource.org/zh-hans/%E5%8C%97%E4%BA%AC%E5%B8%82%E5%9F%8E%E5%B8%82%E8%BD%A8%E9%81%93%E4%BA%A4%E9%80%9A%E7%AC%AC%E4%BA%8C%E6%9C%9F%E5%BB%BA%E8%AE%BE%E8%A7%84%E5%88%92%EF%BC%882015%EF%BD%9E2021%E5%B9%B4%EF%BC%89" TargetMode="External"/><Relationship Id="rId557" Type="http://schemas.openxmlformats.org/officeDocument/2006/relationships/hyperlink" Target="http://www.cgedd.developpement-durable.gouv.fr/IMG/pdf/RER_D_ChateletGareLyon_cle776cb1-1.pdf" TargetMode="External"/><Relationship Id="rId799" Type="http://schemas.openxmlformats.org/officeDocument/2006/relationships/hyperlink" Target="http://www.rail-transit.com/project/show.php?itemid=167" TargetMode="External"/><Relationship Id="rId314" Type="http://schemas.openxmlformats.org/officeDocument/2006/relationships/hyperlink" Target="http://www.rail-transit.com/project/show.php?itemid=92" TargetMode="External"/><Relationship Id="rId556" Type="http://schemas.openxmlformats.org/officeDocument/2006/relationships/hyperlink" Target="https://www.transport-publiczny.pl/mobile/rusza-drazenie-tuneli-w-lodzi-tunele-wykonaja-katarzyna-i-faustyna-67079.html" TargetMode="External"/><Relationship Id="rId798" Type="http://schemas.openxmlformats.org/officeDocument/2006/relationships/hyperlink" Target="https://www.kankanyn.com/jianwen/34919.html" TargetMode="External"/><Relationship Id="rId313" Type="http://schemas.openxmlformats.org/officeDocument/2006/relationships/hyperlink" Target="https://zh.wikisource.org/zh-hans/%E5%8C%97%E4%BA%AC%E5%B8%82%E5%9F%8E%E5%B8%82%E8%BD%A8%E9%81%93%E4%BA%A4%E9%80%9A%E7%AC%AC%E4%BA%8C%E6%9C%9F%E5%BB%BA%E8%AE%BE%E8%A7%84%E5%88%92%EF%BC%882015%EF%BD%9E2021%E5%B9%B4%EF%BC%89" TargetMode="External"/><Relationship Id="rId555" Type="http://schemas.openxmlformats.org/officeDocument/2006/relationships/hyperlink" Target="https://ekap.kik.gov.tr/EKAP/Ortak/IhaleArama/index.html" TargetMode="External"/><Relationship Id="rId797" Type="http://schemas.openxmlformats.org/officeDocument/2006/relationships/hyperlink" Target="http://www.rail-transit.com/project/show.php?itemid=706" TargetMode="External"/><Relationship Id="rId319" Type="http://schemas.openxmlformats.org/officeDocument/2006/relationships/hyperlink" Target="http://www.rail-transit.com/project/show.php?itemid=392" TargetMode="External"/><Relationship Id="rId318" Type="http://schemas.openxmlformats.org/officeDocument/2006/relationships/hyperlink" Target="http://www.gov.cn/xinwen/2019-01/06/5355294/files/c3d503decf1d4b6b924324b210ee0f1a.pdf" TargetMode="External"/><Relationship Id="rId317" Type="http://schemas.openxmlformats.org/officeDocument/2006/relationships/hyperlink" Target="http://www.rail-transit.com/project/show.php?itemid=154" TargetMode="External"/><Relationship Id="rId559" Type="http://schemas.openxmlformats.org/officeDocument/2006/relationships/hyperlink" Target="https://zpravy.aktualne.cz/czk-15bn-prague-metro-extension-ends-in-a-field/r~i:article:630675/" TargetMode="External"/><Relationship Id="rId550" Type="http://schemas.openxmlformats.org/officeDocument/2006/relationships/hyperlink" Target="https://rayhaber.com/2017/03/basaksehir-kayasehir-metrosu-insaati-ihale-sonucu/," TargetMode="External"/><Relationship Id="rId792" Type="http://schemas.openxmlformats.org/officeDocument/2006/relationships/hyperlink" Target="http://www.rail-transit.com/project/show.php?itemid=313" TargetMode="External"/><Relationship Id="rId791" Type="http://schemas.openxmlformats.org/officeDocument/2006/relationships/hyperlink" Target="http://www.rail-transit.com/project/show.php?itemid=301" TargetMode="External"/><Relationship Id="rId790" Type="http://schemas.openxmlformats.org/officeDocument/2006/relationships/hyperlink" Target="http://117.149.20.102/zjgcjy/InfoDetail/?InfoID=8a06b8de-a13d-4102-9c58-df3858d9e226&amp;CategoryNum=004001001" TargetMode="External"/><Relationship Id="rId312" Type="http://schemas.openxmlformats.org/officeDocument/2006/relationships/hyperlink" Target="https://wenku.baidu.com/view/801ab19a8ad63186bceb19e8b8f67c1cfbd6ee6e.html" TargetMode="External"/><Relationship Id="rId554" Type="http://schemas.openxmlformats.org/officeDocument/2006/relationships/hyperlink" Target="https://ekap.kik.gov.tr/EKAP/Ortak/IhaleArama/index.html" TargetMode="External"/><Relationship Id="rId796" Type="http://schemas.openxmlformats.org/officeDocument/2006/relationships/hyperlink" Target="http://www.rail-transit.com/project/show.php?itemid=307" TargetMode="External"/><Relationship Id="rId311" Type="http://schemas.openxmlformats.org/officeDocument/2006/relationships/hyperlink" Target="https://www.ndrc.gov.cn/xxgk/zcfb/ghwb/201908/W020190905497973740066.pdf" TargetMode="External"/><Relationship Id="rId553" Type="http://schemas.openxmlformats.org/officeDocument/2006/relationships/hyperlink" Target="https://www.2.stammstrecke-muenchen.de/kosten-und-finanzierung.html" TargetMode="External"/><Relationship Id="rId795" Type="http://schemas.openxmlformats.org/officeDocument/2006/relationships/hyperlink" Target="http://www.rail-transit.com/project/show.php?itemid=66" TargetMode="External"/><Relationship Id="rId310" Type="http://schemas.openxmlformats.org/officeDocument/2006/relationships/hyperlink" Target="https://zh.wikipedia.org/wiki/%E5%8C%97%E4%BA%AC%E5%9C%B0%E9%93%818%E5%8F%B7%E7%BA%BF" TargetMode="External"/><Relationship Id="rId552" Type="http://schemas.openxmlformats.org/officeDocument/2006/relationships/hyperlink" Target="https://www.ibb.istanbul/Uploads/2019/10/1.-DOc.DR.PELiN-ALPKoKiN--RAYLI-SiSTEMLERiN-MEVCUT-DURUMU.pdf" TargetMode="External"/><Relationship Id="rId794" Type="http://schemas.openxmlformats.org/officeDocument/2006/relationships/hyperlink" Target="http://www.rail-transit.com/project/show.php?itemid=713" TargetMode="External"/><Relationship Id="rId551" Type="http://schemas.openxmlformats.org/officeDocument/2006/relationships/hyperlink" Target="https://www.ibb.istanbul/Uploads/2019/10/1.-DOc.DR.PELiN-ALPKoKiN--RAYLI-SiSTEMLERiN-MEVCUT-DURUMU.pdf" TargetMode="External"/><Relationship Id="rId793" Type="http://schemas.openxmlformats.org/officeDocument/2006/relationships/hyperlink" Target="https://www.cssglw.com/news/635201059257656250.html" TargetMode="External"/><Relationship Id="rId297" Type="http://schemas.openxmlformats.org/officeDocument/2006/relationships/hyperlink" Target="http://zfxxgk.ndrc.gov.cn/web/iteminfo.jsp?id=16921" TargetMode="External"/><Relationship Id="rId296" Type="http://schemas.openxmlformats.org/officeDocument/2006/relationships/hyperlink" Target="http://zfxxgk.ndrc.gov.cn/web/iteminfo.jsp?id=16921" TargetMode="External"/><Relationship Id="rId295" Type="http://schemas.openxmlformats.org/officeDocument/2006/relationships/hyperlink" Target="http://www.rail-transit.com/project/show.php?itemid=325" TargetMode="External"/><Relationship Id="rId294" Type="http://schemas.openxmlformats.org/officeDocument/2006/relationships/hyperlink" Target="http://www.rail-transit.com/project/show.php?itemid=582" TargetMode="External"/><Relationship Id="rId299" Type="http://schemas.openxmlformats.org/officeDocument/2006/relationships/hyperlink" Target="https://www.ndrc.gov.cn/fggz/zcssfz/zcgh/201812/W020190910670719961874.pdf" TargetMode="External"/><Relationship Id="rId298" Type="http://schemas.openxmlformats.org/officeDocument/2006/relationships/hyperlink" Target="https://www.kankanyn.com/jianwen/34919.html" TargetMode="External"/><Relationship Id="rId271" Type="http://schemas.openxmlformats.org/officeDocument/2006/relationships/hyperlink" Target="https://web.archive.org/web/20201108201629/http://news.sina.com.cn/o/2017-12-27/doc-ifyqchnr6135266.shtml" TargetMode="External"/><Relationship Id="rId270" Type="http://schemas.openxmlformats.org/officeDocument/2006/relationships/hyperlink" Target="https://www.pudong.gov.cn/zwgkupfiles/temp/2021-11-10/2c4b9a67-37b0-4046-a0ca-7cdc4d3b0d27/46%E5%8F%B7.pdf" TargetMode="External"/><Relationship Id="rId269" Type="http://schemas.openxmlformats.org/officeDocument/2006/relationships/hyperlink" Target="https://zh.wikipedia.org/wiki/%E4%B8%8A%E6%B5%B7%E8%BD%A8%E9%81%93%E4%BA%A4%E9%80%9A9%E5%8F%B7%E7%BA%BF" TargetMode="External"/><Relationship Id="rId264" Type="http://schemas.openxmlformats.org/officeDocument/2006/relationships/hyperlink" Target="https://zh.wikipedia.org/wiki/%E4%B8%8A%E6%B5%B7%E8%BD%A8%E9%81%93%E4%BA%A4%E9%80%9A7%E5%8F%B7%E7%BA%BF" TargetMode="External"/><Relationship Id="rId263" Type="http://schemas.openxmlformats.org/officeDocument/2006/relationships/hyperlink" Target="https://zh.wikipedia.org/wiki/%E4%B8%8A%E6%B5%B7%E8%BD%A8%E9%81%93%E4%BA%A4%E9%80%9A5%E5%8F%B7%E7%BA%BF" TargetMode="External"/><Relationship Id="rId262" Type="http://schemas.openxmlformats.org/officeDocument/2006/relationships/hyperlink" Target="https://zh.wikipedia.org/wiki/%E4%B8%8A%E6%B5%B7%E8%BD%A8%E9%81%93%E4%BA%A4%E9%80%9A5%E5%8F%B7%E7%BA%BF" TargetMode="External"/><Relationship Id="rId261" Type="http://schemas.openxmlformats.org/officeDocument/2006/relationships/hyperlink" Target="https://zh.wikipedia.org/wiki/%E4%B8%8A%E6%B5%B7%E8%BD%A8%E9%81%93%E4%BA%A4%E9%80%9A4%E5%8F%B7%E7%BA%BF" TargetMode="External"/><Relationship Id="rId268" Type="http://schemas.openxmlformats.org/officeDocument/2006/relationships/hyperlink" Target="https://zh.wikipedia.org/wiki/%E4%B8%8A%E6%B5%B7%E8%BD%A8%E9%81%93%E4%BA%A4%E9%80%9A9%E5%8F%B7%E7%BA%BF" TargetMode="External"/><Relationship Id="rId267" Type="http://schemas.openxmlformats.org/officeDocument/2006/relationships/hyperlink" Target="https://zh.wikipedia.org/wiki/%E4%B8%8A%E6%B5%B7%E8%BD%A8%E9%81%93%E4%BA%A4%E9%80%9A9%E5%8F%B7%E7%BA%BF" TargetMode="External"/><Relationship Id="rId266" Type="http://schemas.openxmlformats.org/officeDocument/2006/relationships/hyperlink" Target="https://zh.wikipedia.org/wiki/%E4%B8%8A%E6%B5%B7%E8%BD%A8%E9%81%93%E4%BA%A4%E9%80%9A8%E5%8F%B7%E7%BA%BF" TargetMode="External"/><Relationship Id="rId265" Type="http://schemas.openxmlformats.org/officeDocument/2006/relationships/hyperlink" Target="https://zh.wikipedia.org/wiki/%E4%B8%8A%E6%B5%B7%E8%BD%A8%E9%81%93%E4%BA%A4%E9%80%9A7%E5%8F%B7%E7%BA%BF" TargetMode="External"/><Relationship Id="rId260" Type="http://schemas.openxmlformats.org/officeDocument/2006/relationships/hyperlink" Target="https://zh.wikipedia.org/wiki/%E4%B8%8A%E6%B5%B7%E8%BD%A8%E9%81%93%E4%BA%A4%E9%80%9A3%E5%8F%B7%E7%BA%BF" TargetMode="External"/><Relationship Id="rId259" Type="http://schemas.openxmlformats.org/officeDocument/2006/relationships/hyperlink" Target="https://zh.wikipedia.org/wiki/%E4%B8%8A%E6%B5%B7%E8%BD%A8%E9%81%93%E4%BA%A4%E9%80%9A3%E5%8F%B7%E7%BA%BF" TargetMode="External"/><Relationship Id="rId258" Type="http://schemas.openxmlformats.org/officeDocument/2006/relationships/hyperlink" Target="https://zh.wikipedia.org/wiki/%E4%B8%8A%E6%B5%B7%E8%BD%A8%E9%81%93%E4%BA%A4%E9%80%9A2%E5%8F%B7%E7%BA%BF" TargetMode="External"/><Relationship Id="rId253" Type="http://schemas.openxmlformats.org/officeDocument/2006/relationships/hyperlink" Target="https://zh.wikipedia.org/wiki/%E4%B8%8A%E6%B5%B7%E8%BD%A8%E9%81%93%E4%BA%A4%E9%80%9A1%E5%8F%B7%E7%BA%BF" TargetMode="External"/><Relationship Id="rId495" Type="http://schemas.openxmlformats.org/officeDocument/2006/relationships/hyperlink" Target="https://finance.sina.com.cn/jjxw/2022-08-26/doc-imizmscv7763110.shtml?finpagefr=p_115" TargetMode="External"/><Relationship Id="rId252" Type="http://schemas.openxmlformats.org/officeDocument/2006/relationships/hyperlink" Target="http://www.wikiwand.com/zh-sg/%E5%8C%97%E4%BA%AC%E5%9C%B0%E9%93%8113%E5%8F%B7%E7%BA%BF" TargetMode="External"/><Relationship Id="rId494" Type="http://schemas.openxmlformats.org/officeDocument/2006/relationships/hyperlink" Target="https://baijiahao.baidu.com/s?id=1638089292564878111&amp;wfr=spider&amp;for=pc" TargetMode="External"/><Relationship Id="rId251" Type="http://schemas.openxmlformats.org/officeDocument/2006/relationships/hyperlink" Target="https://new.qq.com/omn/20210301/20210301A0E4JW00.html" TargetMode="External"/><Relationship Id="rId493" Type="http://schemas.openxmlformats.org/officeDocument/2006/relationships/hyperlink" Target="https://baijiahao.baidu.com/s?id=1638089292564878111&amp;wfr=spider&amp;for=pc" TargetMode="External"/><Relationship Id="rId250" Type="http://schemas.openxmlformats.org/officeDocument/2006/relationships/hyperlink" Target="http://zizhan.mot.gov.cn/zhuantizhuanlan/qita/quanqiuhuanjingjijin/zhishigongxiang/201601/P020160125565596507649.pdf" TargetMode="External"/><Relationship Id="rId492" Type="http://schemas.openxmlformats.org/officeDocument/2006/relationships/hyperlink" Target="https://baijiahao.baidu.com/s?id=1638089292564878111&amp;wfr=spider&amp;for=pc" TargetMode="External"/><Relationship Id="rId257" Type="http://schemas.openxmlformats.org/officeDocument/2006/relationships/hyperlink" Target="https://zh.wikipedia.org/wiki/%E4%B8%8A%E6%B5%B7%E8%BD%A8%E9%81%93%E4%BA%A4%E9%80%9A2%E5%8F%B7%E7%BA%BF" TargetMode="External"/><Relationship Id="rId499" Type="http://schemas.openxmlformats.org/officeDocument/2006/relationships/hyperlink" Target="https://www.fastmetroriyadh.com/about/our-lines/" TargetMode="External"/><Relationship Id="rId256" Type="http://schemas.openxmlformats.org/officeDocument/2006/relationships/hyperlink" Target="https://zh.wikipedia.org/wiki/%E4%B8%8A%E6%B5%B7%E8%BD%A8%E9%81%93%E4%BA%A4%E9%80%9A2%E5%8F%B7%E7%BA%BF" TargetMode="External"/><Relationship Id="rId498" Type="http://schemas.openxmlformats.org/officeDocument/2006/relationships/hyperlink" Target="http://www.riyadhmetro.sa/" TargetMode="External"/><Relationship Id="rId255" Type="http://schemas.openxmlformats.org/officeDocument/2006/relationships/hyperlink" Target="https://zh.wikipedia.org/wiki/%E4%B8%8A%E6%B5%B7%E8%BD%A8%E9%81%93%E4%BA%A4%E9%80%9A2%E5%8F%B7%E7%BA%BF" TargetMode="External"/><Relationship Id="rId497" Type="http://schemas.openxmlformats.org/officeDocument/2006/relationships/hyperlink" Target="https://baijiahao.baidu.com/s?id=1638089292564878111&amp;wfr=spider&amp;for=pc" TargetMode="External"/><Relationship Id="rId254" Type="http://schemas.openxmlformats.org/officeDocument/2006/relationships/hyperlink" Target="https://zh.wikipedia.org/wiki/%E4%B8%8A%E6%B5%B7%E8%BD%A8%E9%81%93%E4%BA%A4%E9%80%9A2%E5%8F%B7%E7%BA%BF" TargetMode="External"/><Relationship Id="rId496" Type="http://schemas.openxmlformats.org/officeDocument/2006/relationships/hyperlink" Target="https://zfxxgk.ndrc.gov.cn/web/iteminfo.jsp?id=18775" TargetMode="External"/><Relationship Id="rId293" Type="http://schemas.openxmlformats.org/officeDocument/2006/relationships/hyperlink" Target="http://www.rail-transit.com/project/show.php?itemid=564" TargetMode="External"/><Relationship Id="rId292" Type="http://schemas.openxmlformats.org/officeDocument/2006/relationships/hyperlink" Target="http://www.rail-transit.com/project/show.php?itemid=563" TargetMode="External"/><Relationship Id="rId291" Type="http://schemas.openxmlformats.org/officeDocument/2006/relationships/hyperlink" Target="https://baike.baidu.com/item/%E5%8D%97%E4%BA%AC%E5%9C%B0%E9%93%811%E5%8F%B7%E7%BA%BF" TargetMode="External"/><Relationship Id="rId290" Type="http://schemas.openxmlformats.org/officeDocument/2006/relationships/hyperlink" Target="http://fgw.sz.gov.cn/gkmlpt/content/8/8275/post_8275981.html" TargetMode="External"/><Relationship Id="rId286" Type="http://schemas.openxmlformats.org/officeDocument/2006/relationships/hyperlink" Target="https://www.ndrc.gov.cn/xxgk/zcfb/ghwb/201707/W020190905497930956563.pdf" TargetMode="External"/><Relationship Id="rId285" Type="http://schemas.openxmlformats.org/officeDocument/2006/relationships/hyperlink" Target="https://www.ndrc.gov.cn/xxgk/zcfb/ghwb/201707/W020190905497930956563.pdf" TargetMode="External"/><Relationship Id="rId284" Type="http://schemas.openxmlformats.org/officeDocument/2006/relationships/hyperlink" Target="https://www.ndrc.gov.cn/xxgk/zcfb/ghwb/201707/W020190905497930956563.pdf" TargetMode="External"/><Relationship Id="rId283" Type="http://schemas.openxmlformats.org/officeDocument/2006/relationships/hyperlink" Target="http://www.rail-transit.com/project/show.php?itemid=537" TargetMode="External"/><Relationship Id="rId289" Type="http://schemas.openxmlformats.org/officeDocument/2006/relationships/hyperlink" Target="http://www.rail-transit.com/project/show.php?itemid=557" TargetMode="External"/><Relationship Id="rId288" Type="http://schemas.openxmlformats.org/officeDocument/2006/relationships/hyperlink" Target="https://www.ndrc.gov.cn/xxgk/zcfb/ghwb/201707/W020190905497930956563.pdf" TargetMode="External"/><Relationship Id="rId287" Type="http://schemas.openxmlformats.org/officeDocument/2006/relationships/hyperlink" Target="https://www.ndrc.gov.cn/xxgk/zcfb/ghwb/201707/W020190905497930956563.pdf" TargetMode="External"/><Relationship Id="rId282" Type="http://schemas.openxmlformats.org/officeDocument/2006/relationships/hyperlink" Target="https://huacheng.gz-cmc.com/pages/2020/09/02/12217064331742859f82edec5e61f9ff.html" TargetMode="External"/><Relationship Id="rId281" Type="http://schemas.openxmlformats.org/officeDocument/2006/relationships/hyperlink" Target="https://www.ndrc.gov.cn/xxgk/zcfb/ghwb/201707/W020190905497930956563.pdf" TargetMode="External"/><Relationship Id="rId280" Type="http://schemas.openxmlformats.org/officeDocument/2006/relationships/hyperlink" Target="https://www.ndrc.gov.cn/xxgk/zcfb/ghwb/201707/W020190905497930956563.pdf" TargetMode="External"/><Relationship Id="rId275" Type="http://schemas.openxmlformats.org/officeDocument/2006/relationships/hyperlink" Target="https://zh.wikipedia.org/wiki/%E4%B8%8A%E6%B5%B7%E8%BD%A8%E9%81%93%E4%BA%A4%E9%80%9A11%E5%8F%B7%E7%BA%BF" TargetMode="External"/><Relationship Id="rId274" Type="http://schemas.openxmlformats.org/officeDocument/2006/relationships/hyperlink" Target="https://zh.wikipedia.org/wiki/%E4%B8%8A%E6%B5%B7%E8%BD%A8%E9%81%93%E4%BA%A4%E9%80%9A11%E5%8F%B7%E7%BA%BF" TargetMode="External"/><Relationship Id="rId273" Type="http://schemas.openxmlformats.org/officeDocument/2006/relationships/hyperlink" Target="https://zh.wikipedia.org/wiki/%E4%B8%8A%E6%B5%B7%E8%BD%A8%E9%81%93%E4%BA%A4%E9%80%9A11%E5%8F%B7%E7%BA%BF" TargetMode="External"/><Relationship Id="rId272" Type="http://schemas.openxmlformats.org/officeDocument/2006/relationships/hyperlink" Target="https://zh.wikipedia.org/wiki/%E4%B8%8A%E6%B5%B7%E8%BD%A8%E9%81%93%E4%BA%A4%E9%80%9A10%E5%8F%B7%E7%BA%BF" TargetMode="External"/><Relationship Id="rId279" Type="http://schemas.openxmlformats.org/officeDocument/2006/relationships/hyperlink" Target="http://www.rail-transit.com/project/show.php?itemid=328" TargetMode="External"/><Relationship Id="rId278" Type="http://schemas.openxmlformats.org/officeDocument/2006/relationships/hyperlink" Target="https://www.ndrc.gov.cn/xxgk/zcfb/tz/202002/P020200210345113822478.pdf" TargetMode="External"/><Relationship Id="rId277" Type="http://schemas.openxmlformats.org/officeDocument/2006/relationships/hyperlink" Target="http://www.rail-transit.com/project/show.php?itemid=510" TargetMode="External"/><Relationship Id="rId276" Type="http://schemas.openxmlformats.org/officeDocument/2006/relationships/hyperlink" Target="https://www.ndrc.gov.cn/xxgk/zcfb/tz/202002/P020200210345113822478.pdf" TargetMode="External"/><Relationship Id="rId629" Type="http://schemas.openxmlformats.org/officeDocument/2006/relationships/hyperlink" Target="http://www.rail-transit.com/project/show.php?itemid=239" TargetMode="External"/><Relationship Id="rId624" Type="http://schemas.openxmlformats.org/officeDocument/2006/relationships/hyperlink" Target="https://xm.leju.com/news/2020-07-10/14296687241366554352613.shtml" TargetMode="External"/><Relationship Id="rId866" Type="http://schemas.openxmlformats.org/officeDocument/2006/relationships/hyperlink" Target="http://www.rail-transit.com/project/show.php?itemid=622" TargetMode="External"/><Relationship Id="rId623" Type="http://schemas.openxmlformats.org/officeDocument/2006/relationships/hyperlink" Target="https://new.qq.com/omn/20210613/20210613A08PZJ00.html" TargetMode="External"/><Relationship Id="rId865" Type="http://schemas.openxmlformats.org/officeDocument/2006/relationships/hyperlink" Target="http://www.rail-transit.com/project/show.php?itemid=658" TargetMode="External"/><Relationship Id="rId622" Type="http://schemas.openxmlformats.org/officeDocument/2006/relationships/hyperlink" Target="https://www.sohu.com/a/417789253_410388" TargetMode="External"/><Relationship Id="rId864" Type="http://schemas.openxmlformats.org/officeDocument/2006/relationships/hyperlink" Target="http://news.sina.com.cn/c/nd/2017-12-27/doc-ifyqchnr6264675.shtml" TargetMode="External"/><Relationship Id="rId621" Type="http://schemas.openxmlformats.org/officeDocument/2006/relationships/hyperlink" Target="http://www.rail-transit.com/project/show.php?itemid=609" TargetMode="External"/><Relationship Id="rId863" Type="http://schemas.openxmlformats.org/officeDocument/2006/relationships/hyperlink" Target="https://www.ndrc.gov.cn/fggz/zcssfz/zdgc/201209/t20120905_1145854.html" TargetMode="External"/><Relationship Id="rId628" Type="http://schemas.openxmlformats.org/officeDocument/2006/relationships/hyperlink" Target="http://www.rail-transit.com/project/show.php?itemid=230" TargetMode="External"/><Relationship Id="rId627" Type="http://schemas.openxmlformats.org/officeDocument/2006/relationships/hyperlink" Target="http://www.rail-transit.com/project/show.php?itemid=202" TargetMode="External"/><Relationship Id="rId869" Type="http://schemas.openxmlformats.org/officeDocument/2006/relationships/hyperlink" Target="https://bc.ctvnews.ca/federal-government-providing-up-to-1-3-billion-for-surrey-langley-skytrain-extension-1.5502944" TargetMode="External"/><Relationship Id="rId626"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868" Type="http://schemas.openxmlformats.org/officeDocument/2006/relationships/hyperlink" Target="https://globalnews.ca/news/8016045/justin-trudeau-federal-funding-skytrain-surrey-langley/" TargetMode="External"/><Relationship Id="rId625" Type="http://schemas.openxmlformats.org/officeDocument/2006/relationships/hyperlink" Target="http://fgw.fuzhou.gov.cn/zz/fgwzwgk/tzgg/201804/t20180428_2189534.htm" TargetMode="External"/><Relationship Id="rId867" Type="http://schemas.openxmlformats.org/officeDocument/2006/relationships/hyperlink" Target="https://www.ndrc.gov.cn/fggz/zcssfz/zcgh/201409/W020190910670519267920.pdf" TargetMode="External"/><Relationship Id="rId620" Type="http://schemas.openxmlformats.org/officeDocument/2006/relationships/hyperlink" Target="http://www.rail-transit.com/project/show.php?itemid=163," TargetMode="External"/><Relationship Id="rId862" Type="http://schemas.openxmlformats.org/officeDocument/2006/relationships/hyperlink" Target="https://www.ndrc.gov.cn/fggz/zcssfz/zdgc/201209/t20120905_1145854.html" TargetMode="External"/><Relationship Id="rId861" Type="http://schemas.openxmlformats.org/officeDocument/2006/relationships/hyperlink" Target="https://www.ndrc.gov.cn/fggz/zcssfz/zdgc/201209/t20120905_1145854.html" TargetMode="External"/><Relationship Id="rId860" Type="http://schemas.openxmlformats.org/officeDocument/2006/relationships/hyperlink" Target="http://www.rail-transit.com/project/show.php?itemid=622" TargetMode="External"/><Relationship Id="rId619" Type="http://schemas.openxmlformats.org/officeDocument/2006/relationships/hyperlink" Target="https://www.ndrc.gov.cn/xxgk/zcfb/pifu/202101/t20210126_1316566.html?code=&amp;state=123" TargetMode="External"/><Relationship Id="rId618" Type="http://schemas.openxmlformats.org/officeDocument/2006/relationships/hyperlink" Target="https://www.ndrc.gov.cn/xxgk/zcfb/pifu/202101/t20210126_1316566.html?code=&amp;state=123" TargetMode="External"/><Relationship Id="rId613" Type="http://schemas.openxmlformats.org/officeDocument/2006/relationships/hyperlink" Target="http://fs.fccs.com/news/6022708.html" TargetMode="External"/><Relationship Id="rId855" Type="http://schemas.openxmlformats.org/officeDocument/2006/relationships/hyperlink" Target="https://www.sohu.com/a/110615261_160914" TargetMode="External"/><Relationship Id="rId612" Type="http://schemas.openxmlformats.org/officeDocument/2006/relationships/hyperlink" Target="http://www.rail-transit.com/project/show.php?itemid=117" TargetMode="External"/><Relationship Id="rId854" Type="http://schemas.openxmlformats.org/officeDocument/2006/relationships/hyperlink" Target="http://www.shaanxi.gov.cn/xw/sxyw/201309/t20130915_1497525.html" TargetMode="External"/><Relationship Id="rId611" Type="http://schemas.openxmlformats.org/officeDocument/2006/relationships/hyperlink" Target="http://www.rail-transit.com/project/show.php?itemid=78" TargetMode="External"/><Relationship Id="rId853" Type="http://schemas.openxmlformats.org/officeDocument/2006/relationships/hyperlink" Target="http://www.rail-transit.com/project/show.php?itemid=290" TargetMode="External"/><Relationship Id="rId610" Type="http://schemas.openxmlformats.org/officeDocument/2006/relationships/hyperlink" Target="http://www.rail-transit.com/project/show.php?itemid=283" TargetMode="External"/><Relationship Id="rId852" Type="http://schemas.openxmlformats.org/officeDocument/2006/relationships/hyperlink" Target="https://www.ndrc.gov.cn/fzggw/jgsj/zcs/sjdt/201401/t20140102_1145411.html" TargetMode="External"/><Relationship Id="rId617" Type="http://schemas.openxmlformats.org/officeDocument/2006/relationships/hyperlink" Target="http://rail-transit.com/project/show.php?itemid=649" TargetMode="External"/><Relationship Id="rId859" Type="http://schemas.openxmlformats.org/officeDocument/2006/relationships/hyperlink" Target="http://www.rail-transit.com/project/show.php?itemid=221" TargetMode="External"/><Relationship Id="rId616" Type="http://schemas.openxmlformats.org/officeDocument/2006/relationships/hyperlink" Target="http://www.rail-transit.com/project/show.php?itemid=240" TargetMode="External"/><Relationship Id="rId858" Type="http://schemas.openxmlformats.org/officeDocument/2006/relationships/hyperlink" Target="http://www.rail-transit.com/project/show.php?itemid=622" TargetMode="External"/><Relationship Id="rId615" Type="http://schemas.openxmlformats.org/officeDocument/2006/relationships/hyperlink" Target="https://3g.163.com/dy/article/EBK3L3990525EER4.html" TargetMode="External"/><Relationship Id="rId857" Type="http://schemas.openxmlformats.org/officeDocument/2006/relationships/hyperlink" Target="https://www.sohu.com/a/110615261_160914" TargetMode="External"/><Relationship Id="rId614" Type="http://schemas.openxmlformats.org/officeDocument/2006/relationships/hyperlink" Target="https://www.ndrc.gov.cn/xxgk/zcfb/pifu/202101/t20210126_1316566.html?code=&amp;state=123" TargetMode="External"/><Relationship Id="rId856" Type="http://schemas.openxmlformats.org/officeDocument/2006/relationships/hyperlink" Target="http://news.hsw.cn/system/2016/1102/522665.shtml" TargetMode="External"/><Relationship Id="rId851" Type="http://schemas.openxmlformats.org/officeDocument/2006/relationships/hyperlink" Target="http://www.rail-transit.com/project/show.php?itemid=276" TargetMode="External"/><Relationship Id="rId850" Type="http://schemas.openxmlformats.org/officeDocument/2006/relationships/hyperlink" Target="http://www.rail-transit.com/project/show.php?itemid=244" TargetMode="External"/><Relationship Id="rId409" Type="http://schemas.openxmlformats.org/officeDocument/2006/relationships/hyperlink" Target="http://www.rail-transit.com/project/show.php?itemid=440" TargetMode="External"/><Relationship Id="rId404" Type="http://schemas.openxmlformats.org/officeDocument/2006/relationships/hyperlink" Target="https://www.sohu.com/a/112444814_268310" TargetMode="External"/><Relationship Id="rId646" Type="http://schemas.openxmlformats.org/officeDocument/2006/relationships/hyperlink" Target="http://www.rail-transit.com/project/show.php?itemid=187" TargetMode="External"/><Relationship Id="rId403" Type="http://schemas.openxmlformats.org/officeDocument/2006/relationships/hyperlink" Target="https://www.ndrc.gov.cn/xxgk/zcfb/ghwb/201908/W020190905497973740066.pdf" TargetMode="External"/><Relationship Id="rId645" Type="http://schemas.openxmlformats.org/officeDocument/2006/relationships/hyperlink" Target="https://zfxxgk.ndrc.gov.cn/web/iteminfo.jsp?id=18249" TargetMode="External"/><Relationship Id="rId402" Type="http://schemas.openxmlformats.org/officeDocument/2006/relationships/hyperlink" Target="http://zfxxgk.ndrc.gov.cn/web/iteminfo.jsp?id=362" TargetMode="External"/><Relationship Id="rId644" Type="http://schemas.openxmlformats.org/officeDocument/2006/relationships/hyperlink" Target="http://www.rail-transit.com/project/show.php?itemid=140" TargetMode="External"/><Relationship Id="rId401" Type="http://schemas.openxmlformats.org/officeDocument/2006/relationships/hyperlink" Target="https://www.ndrc.gov.cn/xxgk/zcfb/tz/201412/W020190905507203840468.pdf" TargetMode="External"/><Relationship Id="rId643" Type="http://schemas.openxmlformats.org/officeDocument/2006/relationships/hyperlink" Target="http://sd.sina.com.cn/news/2018-04-12/detail-ifyzeyqa8611820.shtml" TargetMode="External"/><Relationship Id="rId408" Type="http://schemas.openxmlformats.org/officeDocument/2006/relationships/hyperlink" Target="http://www.tzxm.gov.cn/flfg/law/201912/t20191220_12825.html" TargetMode="External"/><Relationship Id="rId407" Type="http://schemas.openxmlformats.org/officeDocument/2006/relationships/hyperlink" Target="http://www.tzxm.gov.cn/flfg/law/201912/t20191220_12825.html" TargetMode="External"/><Relationship Id="rId649" Type="http://schemas.openxmlformats.org/officeDocument/2006/relationships/hyperlink" Target="http://www.rail-transit.com/project/show.php?itemid=400" TargetMode="External"/><Relationship Id="rId406" Type="http://schemas.openxmlformats.org/officeDocument/2006/relationships/hyperlink" Target="http://www.rail-transit.com/file/upload/201907/15/10573644162.pdf" TargetMode="External"/><Relationship Id="rId648" Type="http://schemas.openxmlformats.org/officeDocument/2006/relationships/hyperlink" Target="https://zfxxgk.ndrc.gov.cn/web/iteminfo.jsp?id=18249" TargetMode="External"/><Relationship Id="rId405" Type="http://schemas.openxmlformats.org/officeDocument/2006/relationships/hyperlink" Target="http://img.thupdi.com/news/2015/08/1440573393290975.pdf" TargetMode="External"/><Relationship Id="rId647" Type="http://schemas.openxmlformats.org/officeDocument/2006/relationships/hyperlink" Target="http://www.rail-transit.com/project/show.php?itemid=725" TargetMode="External"/><Relationship Id="rId880" Type="http://schemas.openxmlformats.org/officeDocument/2006/relationships/hyperlink" Target="https://www.zeit.de/1968/43/das-neue-fahrgefuehl" TargetMode="External"/><Relationship Id="rId400" Type="http://schemas.openxmlformats.org/officeDocument/2006/relationships/hyperlink" Target="http://www.gov.cn/xinwen/2016-10/13/5118393/files/fc4eeffb973d4e0297ef1fb6bcaa4e73.pdf" TargetMode="External"/><Relationship Id="rId642" Type="http://schemas.openxmlformats.org/officeDocument/2006/relationships/hyperlink" Target="http://www.sasac.gov.cn/n2588025/n2588124/c8918136/content.html" TargetMode="External"/><Relationship Id="rId641" Type="http://schemas.openxmlformats.org/officeDocument/2006/relationships/hyperlink" Target="http://promeechina.com/newsinfo.html?id=27" TargetMode="External"/><Relationship Id="rId640" Type="http://schemas.openxmlformats.org/officeDocument/2006/relationships/hyperlink" Target="http://www.rail-transit.com/project/show.php?itemid=320" TargetMode="External"/><Relationship Id="rId882" Type="http://schemas.openxmlformats.org/officeDocument/2006/relationships/vmlDrawing" Target="../drawings/vmlDrawing4.vml"/><Relationship Id="rId881" Type="http://schemas.openxmlformats.org/officeDocument/2006/relationships/drawing" Target="../drawings/drawing6.xml"/><Relationship Id="rId635" Type="http://schemas.openxmlformats.org/officeDocument/2006/relationships/hyperlink" Target="http://www.rail-transit.com/project/show.php?itemid=554" TargetMode="External"/><Relationship Id="rId877" Type="http://schemas.openxmlformats.org/officeDocument/2006/relationships/hyperlink" Target="https://www.chicago-l.org/history/CTA4.html" TargetMode="External"/><Relationship Id="rId634" Type="http://schemas.openxmlformats.org/officeDocument/2006/relationships/hyperlink" Target="http://www.rail-transit.com/project/show.php?itemid=282" TargetMode="External"/><Relationship Id="rId876" Type="http://schemas.openxmlformats.org/officeDocument/2006/relationships/hyperlink" Target="https://www.sueddeutsche.de/muenchen/s-bahn-muenchen-im-eiltempo-zum-tunnel-eine-bahn-fuer-die-olympischen-spiele-1.3444727" TargetMode="External"/><Relationship Id="rId633" Type="http://schemas.openxmlformats.org/officeDocument/2006/relationships/hyperlink" Target="http://www.rail-transit.com/project/show.php?itemid=164" TargetMode="External"/><Relationship Id="rId875" Type="http://schemas.openxmlformats.org/officeDocument/2006/relationships/hyperlink" Target="https://www.bz-berlin.de/archiv-artikel/die-u7-wird-25-jahre-alt" TargetMode="External"/><Relationship Id="rId632" Type="http://schemas.openxmlformats.org/officeDocument/2006/relationships/hyperlink" Target="http://www.rail-transit.com/project/show.php?itemid=617" TargetMode="External"/><Relationship Id="rId874" Type="http://schemas.openxmlformats.org/officeDocument/2006/relationships/hyperlink" Target="http://www.berliner-verkehrsseiten.de/Download/Archiv/U_155_Eroeffnungsschrift_Steglitz_U9.pdf" TargetMode="External"/><Relationship Id="rId639" Type="http://schemas.openxmlformats.org/officeDocument/2006/relationships/hyperlink" Target="http://www.rail-transit.com/project/show.php?itemid=503" TargetMode="External"/><Relationship Id="rId638" Type="http://schemas.openxmlformats.org/officeDocument/2006/relationships/hyperlink" Target="http://www.rail-transit.com/project/show.php?itemid=236" TargetMode="External"/><Relationship Id="rId637" Type="http://schemas.openxmlformats.org/officeDocument/2006/relationships/hyperlink" Target="http://www.cnnb.com.cn/dwhzlm/system/2013/11/15/007905106.shtml" TargetMode="External"/><Relationship Id="rId879" Type="http://schemas.openxmlformats.org/officeDocument/2006/relationships/hyperlink" Target="https://www.railwaygazette.com/metros/cluj-napoca-breaks-ground-for-first-metro-line/66744.article" TargetMode="External"/><Relationship Id="rId636" Type="http://schemas.openxmlformats.org/officeDocument/2006/relationships/hyperlink" Target="http://www.rail-transit.com/project/show.php?itemid=273" TargetMode="External"/><Relationship Id="rId878" Type="http://schemas.openxmlformats.org/officeDocument/2006/relationships/hyperlink" Target="https://whyy.org/articles/2712/" TargetMode="External"/><Relationship Id="rId631" Type="http://schemas.openxmlformats.org/officeDocument/2006/relationships/hyperlink" Target="http://rail-transit.com/project/show.php?itemid=228" TargetMode="External"/><Relationship Id="rId873" Type="http://schemas.openxmlformats.org/officeDocument/2006/relationships/hyperlink" Target="https://www.sgcarmart.com/news/article.php?AID=21019" TargetMode="External"/><Relationship Id="rId630" Type="http://schemas.openxmlformats.org/officeDocument/2006/relationships/hyperlink" Target="http://m.iqilu.com/pcarticle/4545295" TargetMode="External"/><Relationship Id="rId872" Type="http://schemas.openxmlformats.org/officeDocument/2006/relationships/hyperlink" Target="https://www.nuernberg.de/presse/mitteilungen/presse_77790.html" TargetMode="External"/><Relationship Id="rId871" Type="http://schemas.openxmlformats.org/officeDocument/2006/relationships/hyperlink" Target="https://acento.com.do/el-financiero/en-pasados-gobiernos-construir-un-kilometro-del-metro-sd-costaba-us58-millones-ahora-solo-us45-millones-9034221.html" TargetMode="External"/><Relationship Id="rId870" Type="http://schemas.openxmlformats.org/officeDocument/2006/relationships/hyperlink" Target="https://sustainabledevelopment.un.org/content/documents/Dominican.pdf" TargetMode="External"/><Relationship Id="rId829" Type="http://schemas.openxmlformats.org/officeDocument/2006/relationships/hyperlink" Target="http://www.rail-transit.com/project/show.php?itemid=541" TargetMode="External"/><Relationship Id="rId828" Type="http://schemas.openxmlformats.org/officeDocument/2006/relationships/hyperlink" Target="http://www.rail-transit.com/project/show.php?itemid=545" TargetMode="External"/><Relationship Id="rId827" Type="http://schemas.openxmlformats.org/officeDocument/2006/relationships/hyperlink" Target="http://www.symtc.com/content.php?5894" TargetMode="External"/><Relationship Id="rId822" Type="http://schemas.openxmlformats.org/officeDocument/2006/relationships/hyperlink" Target="http://gx.sina.com.cn/news/gx/2014-01-01/00277609.html?from=gx_cnxh" TargetMode="External"/><Relationship Id="rId821" Type="http://schemas.openxmlformats.org/officeDocument/2006/relationships/hyperlink" Target="https://kknews.cc/society/va42lel.html" TargetMode="External"/><Relationship Id="rId820" Type="http://schemas.openxmlformats.org/officeDocument/2006/relationships/hyperlink" Target="https://news.suning.com/wtoutiao/witem2_5470123473.html" TargetMode="External"/><Relationship Id="rId826" Type="http://schemas.openxmlformats.org/officeDocument/2006/relationships/hyperlink" Target="http://www.symtc.com/content.php?5894" TargetMode="External"/><Relationship Id="rId825" Type="http://schemas.openxmlformats.org/officeDocument/2006/relationships/hyperlink" Target="http://www.symtc.com/content.php?5894" TargetMode="External"/><Relationship Id="rId824" Type="http://schemas.openxmlformats.org/officeDocument/2006/relationships/hyperlink" Target="http://www.rail-transit.com/project/show.php?itemid=281" TargetMode="External"/><Relationship Id="rId823" Type="http://schemas.openxmlformats.org/officeDocument/2006/relationships/hyperlink" Target="http://seetao.com/details/179710.html" TargetMode="External"/><Relationship Id="rId819" Type="http://schemas.openxmlformats.org/officeDocument/2006/relationships/hyperlink" Target="http://www.rail-transit.com/project/show.php?itemid=145" TargetMode="External"/><Relationship Id="rId818" Type="http://schemas.openxmlformats.org/officeDocument/2006/relationships/hyperlink" Target="https://www.chinanews.com.cn/n/2003-01-14/26/263383.html" TargetMode="External"/><Relationship Id="rId817" Type="http://schemas.openxmlformats.org/officeDocument/2006/relationships/hyperlink" Target="http://www.gov.cn/jrzg/2005-12/28/content_140207.htm" TargetMode="External"/><Relationship Id="rId816" Type="http://schemas.openxmlformats.org/officeDocument/2006/relationships/hyperlink" Target="https://www.sohu.com/a/237588900_683466" TargetMode="External"/><Relationship Id="rId811" Type="http://schemas.openxmlformats.org/officeDocument/2006/relationships/hyperlink" Target="http://www.rail-transit.com/project/show.php?itemid=568" TargetMode="External"/><Relationship Id="rId810" Type="http://schemas.openxmlformats.org/officeDocument/2006/relationships/hyperlink" Target="http://www.rail-transit.com/project/show.php?itemid=727" TargetMode="External"/><Relationship Id="rId815" Type="http://schemas.openxmlformats.org/officeDocument/2006/relationships/hyperlink" Target="https://www.163.com/dy/article/EDJQN1JG0511K4OT.html" TargetMode="External"/><Relationship Id="rId814" Type="http://schemas.openxmlformats.org/officeDocument/2006/relationships/hyperlink" Target="http://www.zgjssw.gov.cn/shixianchuanzhen/nanjing/202102/t20210209_6976410.shtml" TargetMode="External"/><Relationship Id="rId813" Type="http://schemas.openxmlformats.org/officeDocument/2006/relationships/hyperlink" Target="http://www.rail-transit.com/project/show.php?itemid=647" TargetMode="External"/><Relationship Id="rId812" Type="http://schemas.openxmlformats.org/officeDocument/2006/relationships/hyperlink" Target="http://www.jshbgz.cn/hpgs/202102/t20210207_451424.html" TargetMode="External"/><Relationship Id="rId609" Type="http://schemas.openxmlformats.org/officeDocument/2006/relationships/hyperlink" Target="https://www.audit.gov.cn/n4/n19/c45720/content.html" TargetMode="External"/><Relationship Id="rId608" Type="http://schemas.openxmlformats.org/officeDocument/2006/relationships/hyperlink" Target="https://www.seetao.com/details/158417.html" TargetMode="External"/><Relationship Id="rId607" Type="http://schemas.openxmlformats.org/officeDocument/2006/relationships/hyperlink" Target="http://www.rail-transit.com/project/show.php?itemid=308" TargetMode="External"/><Relationship Id="rId849" Type="http://schemas.openxmlformats.org/officeDocument/2006/relationships/hyperlink" Target="http://xa.bendibao.com/traffic/2014913/45825.shtm" TargetMode="External"/><Relationship Id="rId602" Type="http://schemas.openxmlformats.org/officeDocument/2006/relationships/hyperlink" Target="https://www.163.com/dy/article/GT2J4GU20545AOQT.html" TargetMode="External"/><Relationship Id="rId844" Type="http://schemas.openxmlformats.org/officeDocument/2006/relationships/hyperlink" Target="http://www.rail-transit.com/xinwen/show.php?itemid=23315" TargetMode="External"/><Relationship Id="rId601" Type="http://schemas.openxmlformats.org/officeDocument/2006/relationships/hyperlink" Target="https://indianexpress.com/article/cities/surat/tenders-worth-rs-3002-cr-awarded-work-for-phase-1-of-surat-metro-begins-7511571/" TargetMode="External"/><Relationship Id="rId843" Type="http://schemas.openxmlformats.org/officeDocument/2006/relationships/hyperlink" Target="http://www.rail-transit.com/project/show.php?itemid=109" TargetMode="External"/><Relationship Id="rId600" Type="http://schemas.openxmlformats.org/officeDocument/2006/relationships/hyperlink" Target="http://www.rail-transit.com/project/show.php?itemid=573" TargetMode="External"/><Relationship Id="rId842" Type="http://schemas.openxmlformats.org/officeDocument/2006/relationships/hyperlink" Target="http://www.rail-transit.com/project/show.php?itemid=106" TargetMode="External"/><Relationship Id="rId841" Type="http://schemas.openxmlformats.org/officeDocument/2006/relationships/hyperlink" Target="https://m.sohu.com/n/339227064/?v=3" TargetMode="External"/><Relationship Id="rId606"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848" Type="http://schemas.openxmlformats.org/officeDocument/2006/relationships/hyperlink" Target="http://chinawestern.org/xbfz/jcss/3635.html" TargetMode="External"/><Relationship Id="rId605" Type="http://schemas.openxmlformats.org/officeDocument/2006/relationships/hyperlink" Target="http://m.thepaper.cn/kuaibao_detail.jsp?contid=4947698&amp;from=kuaibao" TargetMode="External"/><Relationship Id="rId847" Type="http://schemas.openxmlformats.org/officeDocument/2006/relationships/hyperlink" Target="https://www.ndrc.gov.cn/xxgk/zcfb/ghwb/201602/t20160218_962174.html" TargetMode="External"/><Relationship Id="rId604" Type="http://schemas.openxmlformats.org/officeDocument/2006/relationships/hyperlink" Target="http://www.rail-transit.com/project/show.php?itemid=100" TargetMode="External"/><Relationship Id="rId846" Type="http://schemas.openxmlformats.org/officeDocument/2006/relationships/hyperlink" Target="http://www.rail-transit.com/project/show.php?itemid=110" TargetMode="External"/><Relationship Id="rId603" Type="http://schemas.openxmlformats.org/officeDocument/2006/relationships/hyperlink" Target="http://www.rail-transit.com/project/show.php?itemid=234" TargetMode="External"/><Relationship Id="rId845" Type="http://schemas.openxmlformats.org/officeDocument/2006/relationships/hyperlink" Target="http://www.rail-transit.com/project/show.php?itemid=314" TargetMode="External"/><Relationship Id="rId840" Type="http://schemas.openxmlformats.org/officeDocument/2006/relationships/hyperlink" Target="http://www.gov.cn/xinwen/2019-01/06/5355294/files/c3d503decf1d4b6b924324b210ee0f1a.pdf" TargetMode="External"/><Relationship Id="rId839" Type="http://schemas.openxmlformats.org/officeDocument/2006/relationships/hyperlink" Target="http://www.gov.cn/xinwen/2019-01/06/5355294/files/c3d503decf1d4b6b924324b210ee0f1a.pdf" TargetMode="External"/><Relationship Id="rId838" Type="http://schemas.openxmlformats.org/officeDocument/2006/relationships/hyperlink" Target="http://www.rail-transit.com/project/show.php?itemid=574" TargetMode="External"/><Relationship Id="rId833" Type="http://schemas.openxmlformats.org/officeDocument/2006/relationships/hyperlink" Target="https://zfxxgk.ndrc.gov.cn/web/iteminfo.jsp?id=16961" TargetMode="External"/><Relationship Id="rId832" Type="http://schemas.openxmlformats.org/officeDocument/2006/relationships/hyperlink" Target="https://www.ndrc.gov.cn/fggz/zcssfz/zcgh/201509/W020190910670552487617.pdf" TargetMode="External"/><Relationship Id="rId831" Type="http://schemas.openxmlformats.org/officeDocument/2006/relationships/hyperlink" Target="http://www.rail-transit.com/project/show.php?itemid=299" TargetMode="External"/><Relationship Id="rId830" Type="http://schemas.openxmlformats.org/officeDocument/2006/relationships/hyperlink" Target="http://drc.gd.gov.cn/xmgs/content/post_3719459.html" TargetMode="External"/><Relationship Id="rId837" Type="http://schemas.openxmlformats.org/officeDocument/2006/relationships/hyperlink" Target="http://www.tranbbs.com/Advisory/Rail/Advisory_84459.shtml" TargetMode="External"/><Relationship Id="rId836" Type="http://schemas.openxmlformats.org/officeDocument/2006/relationships/hyperlink" Target="http://www.rail-transit.com/project/show.php?itemid=293" TargetMode="External"/><Relationship Id="rId835" Type="http://schemas.openxmlformats.org/officeDocument/2006/relationships/hyperlink" Target="https://www.szmc.net/jituagaikuang/tourongziyewu/tourongziqingkuang/" TargetMode="External"/><Relationship Id="rId834" Type="http://schemas.openxmlformats.org/officeDocument/2006/relationships/hyperlink" Target="http://www.rail-transit.com/project/show.php?itemid=346" TargetMode="External"/><Relationship Id="rId228" Type="http://schemas.openxmlformats.org/officeDocument/2006/relationships/hyperlink" Target="https://www.forrestfieldairportlink.wa.gov.au/Portals/14/Project%20Overview%20Fact%20Sheet%20-%20Dec18%20WEB.pdf" TargetMode="External"/><Relationship Id="rId227" Type="http://schemas.openxmlformats.org/officeDocument/2006/relationships/hyperlink" Target="https://www.rb.gov.tw/en/showpage.php?lmenuid=24&amp;smenuid=75" TargetMode="External"/><Relationship Id="rId469" Type="http://schemas.openxmlformats.org/officeDocument/2006/relationships/hyperlink" Target="http://finance.ifeng.com/city/bj/20101117/2902241.shtml" TargetMode="External"/><Relationship Id="rId226" Type="http://schemas.openxmlformats.org/officeDocument/2006/relationships/hyperlink" Target="https://www.rb.gov.tw/en/showpage.php?lmenuid=24&amp;smenuid=159" TargetMode="External"/><Relationship Id="rId468" Type="http://schemas.openxmlformats.org/officeDocument/2006/relationships/hyperlink" Target="http://zfxxgk.ndrc.gov.cn/web/iteminfo.jsp?id=316" TargetMode="External"/><Relationship Id="rId225" Type="http://schemas.openxmlformats.org/officeDocument/2006/relationships/hyperlink" Target="https://www.rb.gov.tw/en/showpage.php?lmenuid=24&amp;smenuid=154" TargetMode="External"/><Relationship Id="rId467" Type="http://schemas.openxmlformats.org/officeDocument/2006/relationships/hyperlink" Target="http://www.gov.cn/xinwen/2019-01/06/5355294/files/c3d503decf1d4b6b924324b210ee0f1a.pdf" TargetMode="External"/><Relationship Id="rId229" Type="http://schemas.openxmlformats.org/officeDocument/2006/relationships/hyperlink" Target="http://www.ejrcf.or.jp/jrtr/jrtr30/pdf/s42_aok.pdf" TargetMode="External"/><Relationship Id="rId220" Type="http://schemas.openxmlformats.org/officeDocument/2006/relationships/hyperlink" Target="https://www.straitstimes.com/asia/east-asia/taipei-airport-rail-line-ready-to-roll" TargetMode="External"/><Relationship Id="rId462" Type="http://schemas.openxmlformats.org/officeDocument/2006/relationships/hyperlink" Target="https://www.kankanyn.com/jianwen/34919.html" TargetMode="External"/><Relationship Id="rId461" Type="http://schemas.openxmlformats.org/officeDocument/2006/relationships/hyperlink" Target="https://www.ndrc.gov.cn/xxgk/zcfb/tz/201812/W020190905514226164270.pdf" TargetMode="External"/><Relationship Id="rId460" Type="http://schemas.openxmlformats.org/officeDocument/2006/relationships/hyperlink" Target="https://www.ndrc.gov.cn/xxgk/zcfb/ghwb/201703/W020190905497919692262.pdf" TargetMode="External"/><Relationship Id="rId224" Type="http://schemas.openxmlformats.org/officeDocument/2006/relationships/hyperlink" Target="https://www.railjournal.com/in_depth/taiwan-transit-in-transition" TargetMode="External"/><Relationship Id="rId466" Type="http://schemas.openxmlformats.org/officeDocument/2006/relationships/hyperlink" Target="http://www.rail-transit.com/project/show.php?itemid=184" TargetMode="External"/><Relationship Id="rId223" Type="http://schemas.openxmlformats.org/officeDocument/2006/relationships/hyperlink" Target="https://www.cna.com.tw/news/firstnews/201908150041.aspx" TargetMode="External"/><Relationship Id="rId465" Type="http://schemas.openxmlformats.org/officeDocument/2006/relationships/hyperlink" Target="https://zh.wikipedia.org/wiki/%E4%B8%8A%E6%B5%B7%E8%BD%A8%E9%81%93%E4%BA%A4%E9%80%9A11%E5%8F%B7%E7%BA%BF" TargetMode="External"/><Relationship Id="rId222" Type="http://schemas.openxmlformats.org/officeDocument/2006/relationships/hyperlink" Target="https://dorts.tycg.gov.tw/en/business/mrt-brown-line" TargetMode="External"/><Relationship Id="rId464" Type="http://schemas.openxmlformats.org/officeDocument/2006/relationships/hyperlink" Target="https://www.ndrc.gov.cn/xxgk/zcfb/ghwb/201703/W020190905497919692262.pdf" TargetMode="External"/><Relationship Id="rId221" Type="http://schemas.openxmlformats.org/officeDocument/2006/relationships/hyperlink" Target="https://dorts.tycg.gov.tw/en/business/mrt-green-line" TargetMode="External"/><Relationship Id="rId463" Type="http://schemas.openxmlformats.org/officeDocument/2006/relationships/hyperlink" Target="http://img.thupdi.com/news/2015/08/1440573393290975.pdf" TargetMode="External"/><Relationship Id="rId217" Type="http://schemas.openxmlformats.org/officeDocument/2006/relationships/hyperlink" Target="https://www.dorts.ntpc.gov.tw/home.jsp?id=90&amp;act=be4f48068b2b0031&amp;dataserno=09b73a18932ab2e245b25cd63399a208" TargetMode="External"/><Relationship Id="rId459" Type="http://schemas.openxmlformats.org/officeDocument/2006/relationships/hyperlink" Target="http://zfxxgk.ndrc.gov.cn/web/iteminfo.jsp?id=316" TargetMode="External"/><Relationship Id="rId216" Type="http://schemas.openxmlformats.org/officeDocument/2006/relationships/hyperlink" Target="https://www.railwaygazette.com/vehicles/crrc-wins-kharkiv-metro-train-contract/56702.article" TargetMode="External"/><Relationship Id="rId458" Type="http://schemas.openxmlformats.org/officeDocument/2006/relationships/hyperlink" Target="https://www.ndrc.gov.cn/fggz/zcssfz/zcgh/201812/W020190910670713741772.pdf" TargetMode="External"/><Relationship Id="rId215" Type="http://schemas.openxmlformats.org/officeDocument/2006/relationships/hyperlink" Target="http://www.globalconstructionreview.com/news/china-railway-completes-feasibility-study-kiev-met/" TargetMode="External"/><Relationship Id="rId457" Type="http://schemas.openxmlformats.org/officeDocument/2006/relationships/hyperlink" Target="http://www.rail-transit.com/project/show.php?itemid=504" TargetMode="External"/><Relationship Id="rId699" Type="http://schemas.openxmlformats.org/officeDocument/2006/relationships/hyperlink" Target="http://www.rail-transit.com/project/show.php?itemid=295" TargetMode="External"/><Relationship Id="rId214" Type="http://schemas.openxmlformats.org/officeDocument/2006/relationships/hyperlink" Target="https://www.unian.info/kiev/10350087-kyiv-metro-signs-contract-for-subway-line-construction-to-kyiv-s-vynohradar-district.html" TargetMode="External"/><Relationship Id="rId456" Type="http://schemas.openxmlformats.org/officeDocument/2006/relationships/hyperlink" Target="http://hb.sina.com.cn/news/b/2013-06-03/070979213.html" TargetMode="External"/><Relationship Id="rId698" Type="http://schemas.openxmlformats.org/officeDocument/2006/relationships/hyperlink" Target="https://new.qq.com/omn/20190117/20190117A1GO47.html" TargetMode="External"/><Relationship Id="rId219" Type="http://schemas.openxmlformats.org/officeDocument/2006/relationships/hyperlink" Target="https://www.taiwannews.com.tw/en/news/3861624" TargetMode="External"/><Relationship Id="rId218" Type="http://schemas.openxmlformats.org/officeDocument/2006/relationships/hyperlink" Target="https://focustaiwan.tw/society/202003240018" TargetMode="External"/><Relationship Id="rId451" Type="http://schemas.openxmlformats.org/officeDocument/2006/relationships/hyperlink" Target="http://www.gov.cn/xinwen/2019-01/06/5355294/files/c3d503decf1d4b6b924324b210ee0f1a.pdf" TargetMode="External"/><Relationship Id="rId693" Type="http://schemas.openxmlformats.org/officeDocument/2006/relationships/hyperlink" Target="http://www.rail-transit.com/project/show.php?itemid=711" TargetMode="External"/><Relationship Id="rId450" Type="http://schemas.openxmlformats.org/officeDocument/2006/relationships/hyperlink" Target="https://www.ndrc.gov.cn/fggz/zcssfz/zcgh/201812/W020190910670713741772.pdf" TargetMode="External"/><Relationship Id="rId692" Type="http://schemas.openxmlformats.org/officeDocument/2006/relationships/hyperlink" Target="http://www.rail-transit.com/project/show.php?itemid=711" TargetMode="External"/><Relationship Id="rId691" Type="http://schemas.openxmlformats.org/officeDocument/2006/relationships/hyperlink" Target="http://www.rail-transit.com/project/show.php?itemid=260" TargetMode="External"/><Relationship Id="rId690" Type="http://schemas.openxmlformats.org/officeDocument/2006/relationships/hyperlink" Target="http://www.rail-transit.com/project/show.php?itemid=120" TargetMode="External"/><Relationship Id="rId213" Type="http://schemas.openxmlformats.org/officeDocument/2006/relationships/hyperlink" Target="https://www.ceva.ch/2017/05/11/financement-et-organisation/?b=https://www.ceva.ch/category/projet" TargetMode="External"/><Relationship Id="rId455" Type="http://schemas.openxmlformats.org/officeDocument/2006/relationships/hyperlink" Target="http://www.gov.cn/xinwen/2019-01/06/5355294/files/c3d503decf1d4b6b924324b210ee0f1a.pdf" TargetMode="External"/><Relationship Id="rId697" Type="http://schemas.openxmlformats.org/officeDocument/2006/relationships/hyperlink" Target="http://www.ciecc.com.cn/art/2013/3/8/art_1599_30934.html" TargetMode="External"/><Relationship Id="rId212" Type="http://schemas.openxmlformats.org/officeDocument/2006/relationships/hyperlink" Target="https://www.businesstoday.in/sectors/infra/relief-for-commuters-in-chennai-metro-network-to-expand-phase-ii-work-begins/story/350907.html" TargetMode="External"/><Relationship Id="rId454" Type="http://schemas.openxmlformats.org/officeDocument/2006/relationships/hyperlink" Target="http://www.rail-transit.com/project/show.php?itemid=238" TargetMode="External"/><Relationship Id="rId696" Type="http://schemas.openxmlformats.org/officeDocument/2006/relationships/hyperlink" Target="http://www.rail-transit.com/project/show.php?itemid=251" TargetMode="External"/><Relationship Id="rId211" Type="http://schemas.openxmlformats.org/officeDocument/2006/relationships/hyperlink" Target="https://themetrorailguy.com/chennai-metro-phase-1-extension-information-route-maps-tenders-updates/" TargetMode="External"/><Relationship Id="rId453" Type="http://schemas.openxmlformats.org/officeDocument/2006/relationships/hyperlink" Target="http://politics.people.com.cn/n/2013/0223/c70731-20575832.html" TargetMode="External"/><Relationship Id="rId695" Type="http://schemas.openxmlformats.org/officeDocument/2006/relationships/hyperlink" Target="https://www.cpppc.org/zhejiang/1001654.jhtml" TargetMode="External"/><Relationship Id="rId210" Type="http://schemas.openxmlformats.org/officeDocument/2006/relationships/hyperlink" Target="https://www.business-standard.com/article/current-affairs/phase-ii-chennai-metro-project-to-cost-rs-36-000-cr-114022800932_1.html" TargetMode="External"/><Relationship Id="rId452" Type="http://schemas.openxmlformats.org/officeDocument/2006/relationships/hyperlink" Target="https://www.ndrc.gov.cn/fggz/zcssfz/zcgh/201505/W020190910670534928118.pdf" TargetMode="External"/><Relationship Id="rId694" Type="http://schemas.openxmlformats.org/officeDocument/2006/relationships/hyperlink" Target="http://www.zjtz.gov.cn/art/2021/8/25/art_1229049733_59046724.html" TargetMode="External"/><Relationship Id="rId491" Type="http://schemas.openxmlformats.org/officeDocument/2006/relationships/hyperlink" Target="https://zfxxgk.ndrc.gov.cn/web/iteminfo.jsp?id=18775" TargetMode="External"/><Relationship Id="rId490" Type="http://schemas.openxmlformats.org/officeDocument/2006/relationships/hyperlink" Target="http://www.rail-transit.com/project/show.php?itemid=419" TargetMode="External"/><Relationship Id="rId249" Type="http://schemas.openxmlformats.org/officeDocument/2006/relationships/hyperlink" Target="https://www.cnnturk.com/turkiye/efsanevi-kecioren-metrosu-aciliyor" TargetMode="External"/><Relationship Id="rId248" Type="http://schemas.openxmlformats.org/officeDocument/2006/relationships/hyperlink" Target="https://www.uab.gov.tr/uploads/pages/kutuphane/d38e678334e19c8.pdf" TargetMode="External"/><Relationship Id="rId247" Type="http://schemas.openxmlformats.org/officeDocument/2006/relationships/hyperlink" Target="https://www.uab.gov.tr/uploads/pages/kutuphane/d38e678334e19c8.pdf" TargetMode="External"/><Relationship Id="rId489" Type="http://schemas.openxmlformats.org/officeDocument/2006/relationships/hyperlink" Target="http://www.rail-transit.com/project/show.php?itemid=241" TargetMode="External"/><Relationship Id="rId242" Type="http://schemas.openxmlformats.org/officeDocument/2006/relationships/hyperlink" Target="https://railturkey.org/2016/10/15/kadikoy-kartal-tavsantepe-metro-m4/2/" TargetMode="External"/><Relationship Id="rId484" Type="http://schemas.openxmlformats.org/officeDocument/2006/relationships/hyperlink" Target="https://www.ndrc.gov.cn/xxgk/zcfb/tz/201812/W020190905514226164270.pdf" TargetMode="External"/><Relationship Id="rId241" Type="http://schemas.openxmlformats.org/officeDocument/2006/relationships/hyperlink" Target="https://railturkey.org/2016/10/15/kadikoy-kartal-tavsantepe-metro-m4/2/" TargetMode="External"/><Relationship Id="rId483" Type="http://schemas.openxmlformats.org/officeDocument/2006/relationships/hyperlink" Target="http://zfxxgk.ndrc.gov.cn/web/iteminfo.jsp?id=12400" TargetMode="External"/><Relationship Id="rId240" Type="http://schemas.openxmlformats.org/officeDocument/2006/relationships/hyperlink" Target="https://www.sabah.com.tr/Gundem/2013/06/14/istanbula-yeni-metro" TargetMode="External"/><Relationship Id="rId482" Type="http://schemas.openxmlformats.org/officeDocument/2006/relationships/hyperlink" Target="https://zh.wikipedia.org/wiki/%E4%B8%8A%E6%B5%B7%E8%BD%A8%E9%81%93%E4%BA%A4%E9%80%9A%E6%B5%A6%E6%B1%9F%E7%BA%BF" TargetMode="External"/><Relationship Id="rId481" Type="http://schemas.openxmlformats.org/officeDocument/2006/relationships/hyperlink" Target="https://max.book118.com/html/2017/1209/143431974.shtm" TargetMode="External"/><Relationship Id="rId246" Type="http://schemas.openxmlformats.org/officeDocument/2006/relationships/hyperlink" Target="https://www.hurriyet.com.tr/ege/metroluyuz-39155285" TargetMode="External"/><Relationship Id="rId488" Type="http://schemas.openxmlformats.org/officeDocument/2006/relationships/hyperlink" Target="https://www.163.com/dy/article/GT2J4GU20545AOQT.html" TargetMode="External"/><Relationship Id="rId245"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487" Type="http://schemas.openxmlformats.org/officeDocument/2006/relationships/hyperlink" Target="http://zjjcmspublic.oss-cn-hangzhou-zwynet-d01-a.internet.cloud.zj.gov.cn/jcms_files/jcms1/web1825/site/attach/0/150120083915404.pdf" TargetMode="External"/><Relationship Id="rId244" Type="http://schemas.openxmlformats.org/officeDocument/2006/relationships/hyperlink" Target="https://www.railwaygazette.com/infrastructure/marmaray-upgrading-works-resume/43921.article" TargetMode="External"/><Relationship Id="rId486" Type="http://schemas.openxmlformats.org/officeDocument/2006/relationships/hyperlink" Target="http://zjjcmspublic.oss-cn-hangzhou-zwynet-d01-a.internet.cloud.zj.gov.cn/jcms_files/jcms1/web1825/site/attach/0/150120083915404.pdf" TargetMode="External"/><Relationship Id="rId243" Type="http://schemas.openxmlformats.org/officeDocument/2006/relationships/hyperlink" Target="http://www.uskudarumraniyecekmekoymetrosu.com/ana-sayfa/projenin-tarihcesi.aspx" TargetMode="External"/><Relationship Id="rId485" Type="http://schemas.openxmlformats.org/officeDocument/2006/relationships/hyperlink" Target="http://news.sciencenet.cn/sbhtmlnews/2008/8/209799.html" TargetMode="External"/><Relationship Id="rId480" Type="http://schemas.openxmlformats.org/officeDocument/2006/relationships/hyperlink" Target="https://www.ndrc.gov.cn/xxgk/zcfb/ghwb/201703/W020190905497919692262.pdf" TargetMode="External"/><Relationship Id="rId239" Type="http://schemas.openxmlformats.org/officeDocument/2006/relationships/hyperlink" Target="https://rayhaber.com/2009/02/proje-bilgisi-halic-metro-gecis-koprusu-insaati/" TargetMode="External"/><Relationship Id="rId238" Type="http://schemas.openxmlformats.org/officeDocument/2006/relationships/hyperlink" Target="https://www.thestar.com.my/business/business-news/2020/01/17/mrt-2-at-70-completion-guan-eng-says" TargetMode="External"/><Relationship Id="rId237" Type="http://schemas.openxmlformats.org/officeDocument/2006/relationships/hyperlink" Target="https://www.nst.com.my/news/nation/2017/07/258054/sbk-mrt-proud-achievement-which-will-save-commuters-cost-time-pm" TargetMode="External"/><Relationship Id="rId479" Type="http://schemas.openxmlformats.org/officeDocument/2006/relationships/hyperlink" Target="http://www.tzxm.gov.cn/flfg/law/201912/t20191220_12825.html" TargetMode="External"/><Relationship Id="rId236" Type="http://schemas.openxmlformats.org/officeDocument/2006/relationships/hyperlink" Target="https://projects.worldbank.org/en/projects-operations/project-detail/P145610" TargetMode="External"/><Relationship Id="rId478" Type="http://schemas.openxmlformats.org/officeDocument/2006/relationships/hyperlink" Target="https://yn.leju.com/news/2020-07-03/17306684750030261506576.shtml" TargetMode="External"/><Relationship Id="rId231" Type="http://schemas.openxmlformats.org/officeDocument/2006/relationships/hyperlink" Target="https://www.nuernberg.de/presse/mitteilungen/presse_68381.html" TargetMode="External"/><Relationship Id="rId473" Type="http://schemas.openxmlformats.org/officeDocument/2006/relationships/hyperlink" Target="https://wenku.baidu.com/view/801ab19a8ad63186bceb19e8b8f67c1cfbd6ee6e.html" TargetMode="External"/><Relationship Id="rId230" Type="http://schemas.openxmlformats.org/officeDocument/2006/relationships/hyperlink" Target="https://tn.com.ar/economia/el-gobierno-relanzo-el-rer-el-proyecto-para-conectar-los-trenes-del-area-metropolitana_856411" TargetMode="External"/><Relationship Id="rId472" Type="http://schemas.openxmlformats.org/officeDocument/2006/relationships/hyperlink" Target="https://www.ndrc.gov.cn/xxgk/zcfb/tz/201812/W020190905514226164270.pdf" TargetMode="External"/><Relationship Id="rId471" Type="http://schemas.openxmlformats.org/officeDocument/2006/relationships/hyperlink" Target="https://zh.wikipedia.org/wiki/%E6%AD%A6%E6%B1%89%E8%BD%A8%E9%81%93%E4%BA%A4%E9%80%9A1%E5%8F%B7%E7%BA%BF" TargetMode="External"/><Relationship Id="rId470" Type="http://schemas.openxmlformats.org/officeDocument/2006/relationships/hyperlink" Target="https://zh.wikipedia.org/wiki/%E4%B8%8A%E6%B5%B7%E8%BD%A8%E9%81%93%E4%BA%A4%E9%80%9A6%E5%8F%B7%E7%BA%BF" TargetMode="External"/><Relationship Id="rId235" Type="http://schemas.openxmlformats.org/officeDocument/2006/relationships/hyperlink" Target="https://www.fnp.de/frankfurt/frankfurt-u-bahn-u5-verlaengerung-spaeter-teurer-wegen-eva-zr-13449222.html" TargetMode="External"/><Relationship Id="rId477" Type="http://schemas.openxmlformats.org/officeDocument/2006/relationships/hyperlink" Target="https://www.kankanyn.com/jianwen/34919.html" TargetMode="External"/><Relationship Id="rId234"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476" Type="http://schemas.openxmlformats.org/officeDocument/2006/relationships/hyperlink" Target="http://politics.people.com.cn/n/2013/0223/c70731-20575832.html" TargetMode="External"/><Relationship Id="rId233" Type="http://schemas.openxmlformats.org/officeDocument/2006/relationships/hyperlink" Target="https://signalarchiv.de/Meldungen/10003834" TargetMode="External"/><Relationship Id="rId475" Type="http://schemas.openxmlformats.org/officeDocument/2006/relationships/hyperlink" Target="http://zfxxgk.ndrc.gov.cn/web/iteminfo.jsp?id=12400" TargetMode="External"/><Relationship Id="rId232" Type="http://schemas.openxmlformats.org/officeDocument/2006/relationships/hyperlink" Target="https://www.nord-sued-stadtbahn.de/projekt/gruende/hintergruende/index.html" TargetMode="External"/><Relationship Id="rId474" Type="http://schemas.openxmlformats.org/officeDocument/2006/relationships/hyperlink" Target="http://politics.people.com.cn/n/2013/0223/c70731-20575832.html" TargetMode="External"/><Relationship Id="rId426" Type="http://schemas.openxmlformats.org/officeDocument/2006/relationships/hyperlink" Target="https://4g.dahe.cn/news/20191106554486" TargetMode="External"/><Relationship Id="rId668" Type="http://schemas.openxmlformats.org/officeDocument/2006/relationships/hyperlink" Target="http://www.rail-transit.com/project/show.php?itemid=56" TargetMode="External"/><Relationship Id="rId425" Type="http://schemas.openxmlformats.org/officeDocument/2006/relationships/hyperlink" Target="https://www.ndrc.gov.cn/xxgk/zcfb/ghwb/201612/W020190905497886107757.pdf" TargetMode="External"/><Relationship Id="rId667" Type="http://schemas.openxmlformats.org/officeDocument/2006/relationships/hyperlink" Target="http://www.rail-transit.com/project/show.php?itemid=524" TargetMode="External"/><Relationship Id="rId424" Type="http://schemas.openxmlformats.org/officeDocument/2006/relationships/hyperlink" Target="http://zfxxgk.ndrc.gov.cn/web/iteminfo.jsp?id=12400" TargetMode="External"/><Relationship Id="rId666" Type="http://schemas.openxmlformats.org/officeDocument/2006/relationships/hyperlink" Target="http://www.rail-transit.com/project/show.php?itemid=587" TargetMode="External"/><Relationship Id="rId423" Type="http://schemas.openxmlformats.org/officeDocument/2006/relationships/hyperlink" Target="https://www.ndrc.gov.cn/xxgk/zcfb/ghwb/201703/W020190905497919692262.pdf" TargetMode="External"/><Relationship Id="rId665" Type="http://schemas.openxmlformats.org/officeDocument/2006/relationships/hyperlink" Target="http://www.jiangxi.gov.cn/art/2018/8/16/art_4985_350163.html" TargetMode="External"/><Relationship Id="rId429" Type="http://schemas.openxmlformats.org/officeDocument/2006/relationships/hyperlink" Target="https://www.ndrc.gov.cn/fggz/zcssfz/zcgh/201907/W020190910670748591840.pdf" TargetMode="External"/><Relationship Id="rId428" Type="http://schemas.openxmlformats.org/officeDocument/2006/relationships/hyperlink" Target="http://www.rail-transit.com/project/show.php?itemid=458" TargetMode="External"/><Relationship Id="rId427" Type="http://schemas.openxmlformats.org/officeDocument/2006/relationships/hyperlink" Target="http://www.rail-transit.com/project/show.php?itemid=470" TargetMode="External"/><Relationship Id="rId669" Type="http://schemas.openxmlformats.org/officeDocument/2006/relationships/hyperlink" Target="http://www.rail-transit.com/project/show.php?itemid=339" TargetMode="External"/><Relationship Id="rId660" Type="http://schemas.openxmlformats.org/officeDocument/2006/relationships/hyperlink" Target="http://www.rail-transit.com/project/show.php?itemid=195" TargetMode="External"/><Relationship Id="rId422" Type="http://schemas.openxmlformats.org/officeDocument/2006/relationships/hyperlink" Target="http://www.rail-transit.com/project/show.php?itemid=142" TargetMode="External"/><Relationship Id="rId664" Type="http://schemas.openxmlformats.org/officeDocument/2006/relationships/hyperlink" Target="http://www.rail-transit.com/project/show.php?itemid=391" TargetMode="External"/><Relationship Id="rId421" Type="http://schemas.openxmlformats.org/officeDocument/2006/relationships/hyperlink" Target="http://www.gov.cn/xinwen/2019-01/06/5355294/files/c3d503decf1d4b6b924324b210ee0f1a.pdf" TargetMode="External"/><Relationship Id="rId663" Type="http://schemas.openxmlformats.org/officeDocument/2006/relationships/hyperlink" Target="https://web.archive.org/web/20191106163139/http://www.bjgdjs.com/html/2019-09/797.html" TargetMode="External"/><Relationship Id="rId420" Type="http://schemas.openxmlformats.org/officeDocument/2006/relationships/hyperlink" Target="http://www.rail-transit.com/project/show.php?itemid=113" TargetMode="External"/><Relationship Id="rId662" Type="http://schemas.openxmlformats.org/officeDocument/2006/relationships/hyperlink" Target="http://www.rail-transit.com/project/show.php?itemid=428" TargetMode="External"/><Relationship Id="rId661" Type="http://schemas.openxmlformats.org/officeDocument/2006/relationships/hyperlink" Target="http://www.rail-transit.com/project/show.php?itemid=130" TargetMode="External"/><Relationship Id="rId415" Type="http://schemas.openxmlformats.org/officeDocument/2006/relationships/hyperlink" Target="http://www.rail-transit.com/project/show.php?itemid=159" TargetMode="External"/><Relationship Id="rId657" Type="http://schemas.openxmlformats.org/officeDocument/2006/relationships/hyperlink" Target="https://zfxxgk.ndrc.gov.cn/web/iteminfo.jsp?id=18249" TargetMode="External"/><Relationship Id="rId414" Type="http://schemas.openxmlformats.org/officeDocument/2006/relationships/hyperlink" Target="https://www.ndrc.gov.cn/xxgk/zcfb/ghwb/201612/W020190905497886107757.pdf" TargetMode="External"/><Relationship Id="rId656" Type="http://schemas.openxmlformats.org/officeDocument/2006/relationships/hyperlink" Target="http://www.rail-transit.com/project/show.php?itemid=668" TargetMode="External"/><Relationship Id="rId413" Type="http://schemas.openxmlformats.org/officeDocument/2006/relationships/hyperlink" Target="https://www.ndrc.gov.cn/xxgk/zcfb/ghwb/201809/W020190905497960329280.pdf" TargetMode="External"/><Relationship Id="rId655" Type="http://schemas.openxmlformats.org/officeDocument/2006/relationships/hyperlink" Target="https://ditie.mapbar.com/qingdao/news/37965.html" TargetMode="External"/><Relationship Id="rId412" Type="http://schemas.openxmlformats.org/officeDocument/2006/relationships/hyperlink" Target="https://www.ndrc.gov.cn/xxgk/zcfb/ghwb/201809/W020190905497960329280.pdf" TargetMode="External"/><Relationship Id="rId654" Type="http://schemas.openxmlformats.org/officeDocument/2006/relationships/hyperlink" Target="https://zfxxgk.ndrc.gov.cn/web/iteminfo.jsp?id=18249" TargetMode="External"/><Relationship Id="rId419" Type="http://schemas.openxmlformats.org/officeDocument/2006/relationships/hyperlink" Target="https://www.ndrc.gov.cn/fggz/zcssfz/zcgh/201907/W020190910670748591840.pdf" TargetMode="External"/><Relationship Id="rId418" Type="http://schemas.openxmlformats.org/officeDocument/2006/relationships/hyperlink" Target="http://www.rail-transit.com/project/show.php?itemid=148" TargetMode="External"/><Relationship Id="rId417" Type="http://schemas.openxmlformats.org/officeDocument/2006/relationships/hyperlink" Target="https://www.ndrc.gov.cn/xxgk/zcfb/tz/201812/W020190905514226164270.pdf" TargetMode="External"/><Relationship Id="rId659" Type="http://schemas.openxmlformats.org/officeDocument/2006/relationships/hyperlink" Target="https://zfxxgk.ndrc.gov.cn/web/iteminfo.jsp?id=18249" TargetMode="External"/><Relationship Id="rId416" Type="http://schemas.openxmlformats.org/officeDocument/2006/relationships/hyperlink" Target="https://www.ndrc.gov.cn/fzggw/jgsj/zcs/sjdt/201212/t20121224_1145294.html" TargetMode="External"/><Relationship Id="rId658" Type="http://schemas.openxmlformats.org/officeDocument/2006/relationships/hyperlink" Target="http://www.rail-transit.com/project/show.php?itemid=669" TargetMode="External"/><Relationship Id="rId411" Type="http://schemas.openxmlformats.org/officeDocument/2006/relationships/hyperlink" Target="https://www.ndrc.gov.cn/xxgk/zcfb/ghwb/201908/W020190905497973740066.pdf" TargetMode="External"/><Relationship Id="rId653" Type="http://schemas.openxmlformats.org/officeDocument/2006/relationships/hyperlink" Target="http://www.rail-transit.com/project/show.php?itemid=726" TargetMode="External"/><Relationship Id="rId410" Type="http://schemas.openxmlformats.org/officeDocument/2006/relationships/hyperlink" Target="https://www.ndrc.gov.cn/fzggw/jgsj/zcs/sjdt/201212/t20121224_1145294.html" TargetMode="External"/><Relationship Id="rId652" Type="http://schemas.openxmlformats.org/officeDocument/2006/relationships/hyperlink" Target="http://www.rail-transit.com/project/show.php?itemid=450" TargetMode="External"/><Relationship Id="rId651" Type="http://schemas.openxmlformats.org/officeDocument/2006/relationships/hyperlink" Target="http://www.rail-transit.com/project/show.php?itemid=229" TargetMode="External"/><Relationship Id="rId650" Type="http://schemas.openxmlformats.org/officeDocument/2006/relationships/hyperlink" Target="https://zfxxgk.ndrc.gov.cn/web/iteminfo.jsp?id=18249" TargetMode="External"/><Relationship Id="rId206" Type="http://schemas.openxmlformats.org/officeDocument/2006/relationships/hyperlink" Target="https://timesofindia.indiatimes.com/city/nagpur/mahametro-saves-rs1850cr-in-nagpur-metro-phase-ii/articleshow/67371648.cms" TargetMode="External"/><Relationship Id="rId448" Type="http://schemas.openxmlformats.org/officeDocument/2006/relationships/hyperlink" Target="https://www.kankanyn.com/jianwen/34919.html" TargetMode="External"/><Relationship Id="rId205" Type="http://schemas.openxmlformats.org/officeDocument/2006/relationships/hyperlink" Target="http://www.metrorailnagpur.com/projectprofile.aspx" TargetMode="External"/><Relationship Id="rId447" Type="http://schemas.openxmlformats.org/officeDocument/2006/relationships/hyperlink" Target="https://www.ndrc.gov.cn/xxgk/zcfb/ghwb/201703/t20170323_962232.html" TargetMode="External"/><Relationship Id="rId689" Type="http://schemas.openxmlformats.org/officeDocument/2006/relationships/hyperlink" Target="http://www.gov.cn/jrzg/2012-09/28/content_2235330.htm" TargetMode="External"/><Relationship Id="rId204" Type="http://schemas.openxmlformats.org/officeDocument/2006/relationships/hyperlink" Target="http://www.ptinews.com/news/8562521_Second-phase-of-Gurgaon-s-Rapid-Metro-launched.html" TargetMode="External"/><Relationship Id="rId446" Type="http://schemas.openxmlformats.org/officeDocument/2006/relationships/hyperlink" Target="http://www.gzcy.org/uploadfile/2013/0930/20130930103001739.pdf" TargetMode="External"/><Relationship Id="rId688" Type="http://schemas.openxmlformats.org/officeDocument/2006/relationships/hyperlink" Target="https://www.ndrc.gov.cn/fggz/zcssfz/zcgh/201601/W020190910670584360634.pdf" TargetMode="External"/><Relationship Id="rId203" Type="http://schemas.openxmlformats.org/officeDocument/2006/relationships/hyperlink" Target="http://archive.indianexpress.com/news/gurgaon-rapid-metro-begins-trial-runs/1011112/0" TargetMode="External"/><Relationship Id="rId445" Type="http://schemas.openxmlformats.org/officeDocument/2006/relationships/hyperlink" Target="http://finance.sina.com.cn/b/20040419/0854725033.shtml" TargetMode="External"/><Relationship Id="rId687" Type="http://schemas.openxmlformats.org/officeDocument/2006/relationships/hyperlink" Target="http://www.rail-transit.com/project/show.php?itemid=226" TargetMode="External"/><Relationship Id="rId209" Type="http://schemas.openxmlformats.org/officeDocument/2006/relationships/hyperlink" Target="https://www.thehindu.com/news/cities/Hyderabad/airport-metro-to-have-underground-section-connecting-to-passenger-terminal/article29317205.ece" TargetMode="External"/><Relationship Id="rId208" Type="http://schemas.openxmlformats.org/officeDocument/2006/relationships/hyperlink" Target="https://www.indiatoday.in/india/story/hyderabad-metro-project-delay-by-l-and-t-pushes-up-cost-by-over-30-per-cent-1094750-2017-11-26" TargetMode="External"/><Relationship Id="rId207" Type="http://schemas.openxmlformats.org/officeDocument/2006/relationships/hyperlink" Target="https://indianexpress.com/article/cities/ahmedabad/ahmedabad-metro-phase-1-delay-makes-cost-jump-by-rs-2000-cr-6486037/" TargetMode="External"/><Relationship Id="rId449" Type="http://schemas.openxmlformats.org/officeDocument/2006/relationships/hyperlink" Target="http://www.gov.cn/xinwen/2016-10/13/5118393/files/fc4eeffb973d4e0297ef1fb6bcaa4e73.pdf" TargetMode="External"/><Relationship Id="rId440" Type="http://schemas.openxmlformats.org/officeDocument/2006/relationships/hyperlink" Target="https://www.ndrc.gov.cn/xxgk/zcfb/tz/201812/W020190905514226164270.pdf" TargetMode="External"/><Relationship Id="rId682" Type="http://schemas.openxmlformats.org/officeDocument/2006/relationships/hyperlink" Target="http://www.rail-transit.com/project/show.php?itemid=194" TargetMode="External"/><Relationship Id="rId681" Type="http://schemas.openxmlformats.org/officeDocument/2006/relationships/hyperlink" Target="http://www.rail-transit.com/project/show.php?itemid=179" TargetMode="External"/><Relationship Id="rId680" Type="http://schemas.openxmlformats.org/officeDocument/2006/relationships/hyperlink" Target="http://www.redaily.co.kr/news/articleView.html?idxno=571" TargetMode="External"/><Relationship Id="rId202" Type="http://schemas.openxmlformats.org/officeDocument/2006/relationships/hyperlink" Target="https://economictimes.indiatimes.com/industry/transportation/railways/cost-and-time-overrun-marks-bengaluru-metro-phase-i/articleshow/57550535.cms" TargetMode="External"/><Relationship Id="rId444" Type="http://schemas.openxmlformats.org/officeDocument/2006/relationships/hyperlink" Target="https://www.ndrc.gov.cn/fzggw/jgsj/zcs/sjdt/201212/t20121224_1145294.html" TargetMode="External"/><Relationship Id="rId686" Type="http://schemas.openxmlformats.org/officeDocument/2006/relationships/hyperlink" Target="https://www.ndrc.gov.cn/fggz/zcssfz/zcgh/201601/W020190910670584360634.pdf" TargetMode="External"/><Relationship Id="rId201" Type="http://schemas.openxmlformats.org/officeDocument/2006/relationships/hyperlink" Target="https://www.metrorailnews.in/bengaluru-metros-yelachenahalli-anjanapura-line-supposed-to-be-ready-by-november-2020/" TargetMode="External"/><Relationship Id="rId443" Type="http://schemas.openxmlformats.org/officeDocument/2006/relationships/hyperlink" Target="https://www.ndrc.gov.cn/fggz/zcssfz/zcgh/201812/W020190910670713741772.pdf" TargetMode="External"/><Relationship Id="rId685" Type="http://schemas.openxmlformats.org/officeDocument/2006/relationships/hyperlink" Target="http://www.rail-transit.com/project/show.php?itemid=196" TargetMode="External"/><Relationship Id="rId200" Type="http://schemas.openxmlformats.org/officeDocument/2006/relationships/hyperlink" Target="https://www.jlgc.org.uk/en/news_letter/funding-local-infrastructure-and-the-tsukuba-express/" TargetMode="External"/><Relationship Id="rId442" Type="http://schemas.openxmlformats.org/officeDocument/2006/relationships/hyperlink" Target="http://zfxxgk.ndrc.gov.cn/web/iteminfo.jsp?id=362" TargetMode="External"/><Relationship Id="rId684" Type="http://schemas.openxmlformats.org/officeDocument/2006/relationships/hyperlink" Target="https://sy.leju.com/news/2021-10-25/16496858323734529623540.shtml" TargetMode="External"/><Relationship Id="rId441" Type="http://schemas.openxmlformats.org/officeDocument/2006/relationships/hyperlink" Target="https://www.ndrc.gov.cn/xxgk/zcfb/ghwb/201612/W020190905497886107757.pdf" TargetMode="External"/><Relationship Id="rId683" Type="http://schemas.openxmlformats.org/officeDocument/2006/relationships/hyperlink" Target="http://www.rail-transit.com/project/show.php?itemid=216" TargetMode="External"/><Relationship Id="rId437" Type="http://schemas.openxmlformats.org/officeDocument/2006/relationships/hyperlink" Target="http://www.gov.cn/xinwen/2019-01/06/5355294/files/c3d503decf1d4b6b924324b210ee0f1a.pdf" TargetMode="External"/><Relationship Id="rId679" Type="http://schemas.openxmlformats.org/officeDocument/2006/relationships/hyperlink" Target="http://www.incheonin.com/news/articleView.html?idxno=86255" TargetMode="External"/><Relationship Id="rId436" Type="http://schemas.openxmlformats.org/officeDocument/2006/relationships/hyperlink" Target="http://www.rail-transit.com/project/show.php?itemid=448" TargetMode="External"/><Relationship Id="rId678" Type="http://schemas.openxmlformats.org/officeDocument/2006/relationships/hyperlink" Target="https://www.mk.co.kr/news/society/view/2021/03/266810/" TargetMode="External"/><Relationship Id="rId435" Type="http://schemas.openxmlformats.org/officeDocument/2006/relationships/hyperlink" Target="https://www.ndrc.gov.cn/fggz/zcssfz/zcgh/201812/W020190910670719961874.pdf" TargetMode="External"/><Relationship Id="rId677" Type="http://schemas.openxmlformats.org/officeDocument/2006/relationships/hyperlink" Target="https://www.yna.co.kr/view/AKR20190822028500003" TargetMode="External"/><Relationship Id="rId434" Type="http://schemas.openxmlformats.org/officeDocument/2006/relationships/hyperlink" Target="http://www.mtr.bj.cn/article/5d510c0aebb1a36f5ef5981f.html" TargetMode="External"/><Relationship Id="rId676" Type="http://schemas.openxmlformats.org/officeDocument/2006/relationships/hyperlink" Target="https://www.yna.co.kr/view/AKR20220112075600060" TargetMode="External"/><Relationship Id="rId439" Type="http://schemas.openxmlformats.org/officeDocument/2006/relationships/hyperlink" Target="https://www.kankanyn.com/jianwen/34919.html" TargetMode="External"/><Relationship Id="rId438" Type="http://schemas.openxmlformats.org/officeDocument/2006/relationships/hyperlink" Target="https://wenku.baidu.com/view/801ab19a8ad63186bceb19e8b8f67c1cfbd6ee6e.html" TargetMode="External"/><Relationship Id="rId671" Type="http://schemas.openxmlformats.org/officeDocument/2006/relationships/hyperlink" Target="http://engdaily.com/news/articleView.html?idxno=14873" TargetMode="External"/><Relationship Id="rId670" Type="http://schemas.openxmlformats.org/officeDocument/2006/relationships/hyperlink" Target="http://engdaily.com/news/articleView.html?idxno=14873" TargetMode="External"/><Relationship Id="rId433" Type="http://schemas.openxmlformats.org/officeDocument/2006/relationships/hyperlink" Target="http://www.gov.cn/xinwen/2017-03/23/5180079/files/d764253433a944c0a620def88bf6f446.pdf" TargetMode="External"/><Relationship Id="rId675" Type="http://schemas.openxmlformats.org/officeDocument/2006/relationships/hyperlink" Target="https://biz.chosun.com/policy/policy_sub/2021/10/05/EY5IMDNIDZAGHLQO7KIGLMGBQQ/" TargetMode="External"/><Relationship Id="rId432" Type="http://schemas.openxmlformats.org/officeDocument/2006/relationships/hyperlink" Target="http://www.janeoo.com/news/hangyedongtai-detail-539834.htm" TargetMode="External"/><Relationship Id="rId674" Type="http://schemas.openxmlformats.org/officeDocument/2006/relationships/hyperlink" Target="http://m.ufnews.co.kr/main/sub_news_detail.html?wr_id=4725" TargetMode="External"/><Relationship Id="rId431" Type="http://schemas.openxmlformats.org/officeDocument/2006/relationships/hyperlink" Target="https://www.ndrc.gov.cn/fggz/zcssfz/zcgh/201907/W020190910670748591840.pdf" TargetMode="External"/><Relationship Id="rId673" Type="http://schemas.openxmlformats.org/officeDocument/2006/relationships/hyperlink" Target="https://www.donga.com/news/Society/article/all/20201227/104655671/1" TargetMode="External"/><Relationship Id="rId430" Type="http://schemas.openxmlformats.org/officeDocument/2006/relationships/hyperlink" Target="http://finance.sina.com.cn/roll/20120905/131013052588.shtml" TargetMode="External"/><Relationship Id="rId672" Type="http://schemas.openxmlformats.org/officeDocument/2006/relationships/hyperlink" Target="http://engdaily.com/news/articleView.html?idxno=1487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6GoHcbW-eVzHUUP_XCWVXS1s_i3ZBnmZh4kvdSX7muU/edit?usp=sharing" TargetMode="External"/><Relationship Id="rId2" Type="http://schemas.openxmlformats.org/officeDocument/2006/relationships/hyperlink" Target="https://data.worldbank.org/indicator/PA.NUS.PPP"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5.0"/>
    <col customWidth="1" min="2" max="2" width="9.57"/>
    <col customWidth="1" min="3" max="3" width="11.0"/>
    <col customWidth="1" min="4" max="4" width="17.57"/>
    <col customWidth="1" min="5" max="5" width="23.57"/>
    <col customWidth="1" min="6" max="6" width="8.0"/>
    <col customWidth="1" min="7" max="7" width="8.43"/>
    <col customWidth="1" min="8" max="8" width="6.43"/>
    <col customWidth="1" min="9" max="9" width="7.86"/>
    <col customWidth="1" min="10" max="10" width="10.0"/>
    <col customWidth="1" min="11" max="11" width="9.86"/>
    <col customWidth="1" min="12" max="12" width="10.71"/>
    <col customWidth="1" min="13" max="13" width="9.71"/>
    <col customWidth="1" min="14" max="14" width="13.29"/>
    <col customWidth="1" min="15" max="15" width="12.86"/>
    <col customWidth="1" min="16" max="16" width="11.86"/>
    <col customWidth="1" min="17" max="17" width="10.43"/>
    <col customWidth="1" min="18" max="18" width="9.29"/>
    <col customWidth="1" min="19" max="19" width="14.0"/>
    <col customWidth="1" min="20" max="20" width="13.86"/>
    <col customWidth="1" min="21" max="21" width="9.71"/>
    <col customWidth="1" min="22" max="22" width="8.29"/>
    <col customWidth="1" min="23" max="23" width="10.29"/>
    <col customWidth="1" min="24" max="24" width="11.0"/>
    <col customWidth="1" min="25" max="25" width="9.86"/>
    <col customWidth="1" min="26" max="26" width="6.71"/>
    <col customWidth="1" min="27" max="27" width="12.86"/>
    <col customWidth="1" min="28" max="28" width="19.14"/>
    <col customWidth="1" min="29" max="29" width="19.43"/>
    <col customWidth="1" min="30" max="30" width="7.57"/>
    <col customWidth="1" min="31" max="31" width="45.29"/>
    <col customWidth="1" min="32" max="43" width="14.43"/>
  </cols>
  <sheetData>
    <row r="1" ht="15.75" hidden="1" customHeight="1">
      <c r="A1" s="1" t="s">
        <v>0</v>
      </c>
      <c r="B1" s="2"/>
      <c r="C1" s="2"/>
      <c r="D1" s="2"/>
      <c r="E1" s="2"/>
      <c r="F1" s="2"/>
      <c r="G1" s="2"/>
      <c r="H1" s="2"/>
      <c r="I1" s="2"/>
      <c r="J1" s="2"/>
      <c r="K1" s="2"/>
      <c r="L1" s="2"/>
      <c r="M1" s="2"/>
      <c r="N1" s="2"/>
      <c r="O1" s="3"/>
      <c r="P1" s="2"/>
      <c r="Q1" s="4"/>
      <c r="R1" s="2"/>
      <c r="S1" s="2"/>
      <c r="T1" s="2"/>
      <c r="U1" s="2"/>
      <c r="V1" s="5"/>
      <c r="W1" s="2"/>
      <c r="X1" s="2"/>
      <c r="Y1" s="2"/>
      <c r="Z1" s="2"/>
      <c r="AA1" s="2"/>
      <c r="AB1" s="2"/>
      <c r="AC1" s="2"/>
      <c r="AD1" s="2"/>
      <c r="AE1" s="2"/>
      <c r="AF1" s="6"/>
      <c r="AG1" s="7"/>
      <c r="AH1" s="7"/>
      <c r="AI1" s="7"/>
    </row>
    <row r="2">
      <c r="A2" s="8" t="s">
        <v>1</v>
      </c>
      <c r="B2" s="8" t="s">
        <v>2</v>
      </c>
      <c r="C2" s="9" t="s">
        <v>3</v>
      </c>
      <c r="D2" s="8" t="s">
        <v>4</v>
      </c>
      <c r="E2" s="8" t="s">
        <v>5</v>
      </c>
      <c r="F2" s="9" t="s">
        <v>6</v>
      </c>
      <c r="G2" s="9" t="s">
        <v>7</v>
      </c>
      <c r="H2" s="9" t="s">
        <v>8</v>
      </c>
      <c r="I2" s="9" t="s">
        <v>9</v>
      </c>
      <c r="J2" s="9" t="s">
        <v>10</v>
      </c>
      <c r="K2" s="9" t="s">
        <v>11</v>
      </c>
      <c r="L2" s="8" t="s">
        <v>12</v>
      </c>
      <c r="M2" s="8" t="s">
        <v>13</v>
      </c>
      <c r="N2" s="9" t="s">
        <v>14</v>
      </c>
      <c r="O2" s="8" t="s">
        <v>15</v>
      </c>
      <c r="P2" s="9" t="s">
        <v>16</v>
      </c>
      <c r="Q2" s="10" t="s">
        <v>17</v>
      </c>
      <c r="R2" s="9" t="s">
        <v>18</v>
      </c>
      <c r="S2" s="9" t="s">
        <v>19</v>
      </c>
      <c r="T2" s="9" t="s">
        <v>20</v>
      </c>
      <c r="U2" s="9" t="s">
        <v>21</v>
      </c>
      <c r="V2" s="11" t="s">
        <v>22</v>
      </c>
      <c r="W2" s="9" t="s">
        <v>23</v>
      </c>
      <c r="X2" s="9" t="s">
        <v>24</v>
      </c>
      <c r="Y2" s="9" t="s">
        <v>25</v>
      </c>
      <c r="Z2" s="9" t="s">
        <v>26</v>
      </c>
      <c r="AA2" s="8" t="s">
        <v>27</v>
      </c>
      <c r="AB2" s="8" t="s">
        <v>28</v>
      </c>
      <c r="AC2" s="8" t="s">
        <v>29</v>
      </c>
      <c r="AD2" s="9" t="s">
        <v>30</v>
      </c>
      <c r="AE2" s="9" t="s">
        <v>31</v>
      </c>
      <c r="AF2" s="9"/>
      <c r="AG2" s="12"/>
      <c r="AH2" s="12"/>
      <c r="AI2" s="12"/>
      <c r="AJ2" s="13"/>
      <c r="AK2" s="13"/>
      <c r="AL2" s="13"/>
      <c r="AM2" s="13"/>
      <c r="AN2" s="13"/>
      <c r="AO2" s="13"/>
      <c r="AP2" s="13"/>
      <c r="AQ2" s="13"/>
    </row>
    <row r="3" ht="15.75" customHeight="1">
      <c r="A3" s="14">
        <v>8200.0</v>
      </c>
      <c r="B3" s="15" t="s">
        <v>32</v>
      </c>
      <c r="C3" s="15" t="s">
        <v>33</v>
      </c>
      <c r="D3" s="16" t="s">
        <v>34</v>
      </c>
      <c r="E3" s="15" t="s">
        <v>35</v>
      </c>
      <c r="F3" s="17">
        <v>2005.0</v>
      </c>
      <c r="G3" s="17">
        <v>2010.0</v>
      </c>
      <c r="H3" s="17">
        <v>0.0</v>
      </c>
      <c r="I3" s="18">
        <v>35.0</v>
      </c>
      <c r="J3" s="19">
        <f t="shared" ref="J3:J5" si="1">K3/I3</f>
        <v>0.1342857143</v>
      </c>
      <c r="K3" s="20">
        <v>4.7</v>
      </c>
      <c r="L3" s="21">
        <v>0.0</v>
      </c>
      <c r="M3" s="21">
        <v>0.0</v>
      </c>
      <c r="N3" s="18">
        <v>29.0</v>
      </c>
      <c r="O3" s="17"/>
      <c r="P3" s="22" t="s">
        <v>36</v>
      </c>
      <c r="Q3" s="23">
        <v>4200.0</v>
      </c>
      <c r="R3" s="15" t="s">
        <v>37</v>
      </c>
      <c r="S3" s="18">
        <v>2005.0</v>
      </c>
      <c r="T3" s="18">
        <v>1.8</v>
      </c>
      <c r="U3" s="18">
        <f t="shared" ref="U3:U41" si="2">Q3*T3</f>
        <v>7560</v>
      </c>
      <c r="V3" s="24">
        <f t="shared" ref="V3:V60" si="3">U3/I3</f>
        <v>216</v>
      </c>
      <c r="W3" s="3">
        <f t="shared" ref="W3:W35" si="4">IF(OR(B3 = "BG",B3 = "GR",B3 = "IT",B3 = "ES",B3 = "PT",B3 = "TR", B3 = "KR",B3 = "SE",B3 = "CH",B3 = "NO",B3 = "DK",B3 = "FI"), 1, 0)</f>
        <v>0</v>
      </c>
      <c r="X3" s="3">
        <f t="shared" ref="X3:X35" si="5">W3*I3</f>
        <v>0</v>
      </c>
      <c r="Y3" s="3">
        <f t="shared" ref="Y3:Y35" si="6">W3*K3</f>
        <v>0</v>
      </c>
      <c r="Z3" s="25">
        <f t="shared" ref="Z3:Z33" si="7">IF(OR(B3 = "US",B3 = "CA",B3 = "UK",B3 = "NZ",B3 = "AU",B3 = "SG"), 1, 0)</f>
        <v>0</v>
      </c>
      <c r="AA3" s="26">
        <f>VLOOKUP(S3,CPI!$A$2:$F$71,6,0)</f>
        <v>1.649331797</v>
      </c>
      <c r="AB3" s="27">
        <f t="shared" ref="AB3:AB60" si="8">U3*AA3</f>
        <v>12468.94839</v>
      </c>
      <c r="AC3" s="27">
        <f t="shared" ref="AC3:AC60" si="9">V3*AA3</f>
        <v>356.2556682</v>
      </c>
      <c r="AD3" s="6"/>
      <c r="AE3" s="28"/>
      <c r="AF3" s="29"/>
      <c r="AG3" s="30"/>
      <c r="AH3" s="30"/>
      <c r="AI3" s="30"/>
      <c r="AJ3" s="31"/>
      <c r="AK3" s="31"/>
      <c r="AL3" s="31"/>
      <c r="AM3" s="32"/>
      <c r="AN3" s="32"/>
      <c r="AO3" s="32"/>
      <c r="AP3" s="32"/>
      <c r="AQ3" s="33"/>
    </row>
    <row r="4" ht="15.75" customHeight="1">
      <c r="A4" s="14">
        <v>8201.0</v>
      </c>
      <c r="B4" s="15" t="s">
        <v>32</v>
      </c>
      <c r="C4" s="15" t="s">
        <v>33</v>
      </c>
      <c r="D4" s="15" t="s">
        <v>38</v>
      </c>
      <c r="E4" s="15" t="s">
        <v>39</v>
      </c>
      <c r="F4" s="17">
        <v>2006.0</v>
      </c>
      <c r="G4" s="17">
        <v>2010.0</v>
      </c>
      <c r="H4" s="17">
        <v>0.0</v>
      </c>
      <c r="I4" s="18">
        <v>22.5</v>
      </c>
      <c r="J4" s="19">
        <f t="shared" si="1"/>
        <v>0.3511111111</v>
      </c>
      <c r="K4" s="20">
        <v>7.9</v>
      </c>
      <c r="L4" s="21">
        <v>0.0</v>
      </c>
      <c r="M4" s="21">
        <v>0.0</v>
      </c>
      <c r="N4" s="18">
        <v>20.0</v>
      </c>
      <c r="O4" s="17"/>
      <c r="P4" s="22"/>
      <c r="Q4" s="23">
        <v>3600.0</v>
      </c>
      <c r="R4" s="15" t="s">
        <v>37</v>
      </c>
      <c r="S4" s="18">
        <v>2006.0</v>
      </c>
      <c r="T4" s="18">
        <v>1.9</v>
      </c>
      <c r="U4" s="18">
        <f t="shared" si="2"/>
        <v>6840</v>
      </c>
      <c r="V4" s="24">
        <f t="shared" si="3"/>
        <v>304</v>
      </c>
      <c r="W4" s="3">
        <f t="shared" si="4"/>
        <v>0</v>
      </c>
      <c r="X4" s="3">
        <f t="shared" si="5"/>
        <v>0</v>
      </c>
      <c r="Y4" s="3">
        <f t="shared" si="6"/>
        <v>0</v>
      </c>
      <c r="Z4" s="25">
        <f t="shared" si="7"/>
        <v>0</v>
      </c>
      <c r="AA4" s="26">
        <f>VLOOKUP(S4,CPI!$A$2:$F$71,6,0)</f>
        <v>1.597790179</v>
      </c>
      <c r="AB4" s="27">
        <f t="shared" si="8"/>
        <v>10928.88482</v>
      </c>
      <c r="AC4" s="27">
        <f t="shared" si="9"/>
        <v>485.7282143</v>
      </c>
      <c r="AD4" s="6"/>
      <c r="AE4" s="6"/>
      <c r="AF4" s="34"/>
      <c r="AG4" s="34"/>
      <c r="AH4" s="34"/>
      <c r="AI4" s="34"/>
      <c r="AJ4" s="35"/>
      <c r="AK4" s="35"/>
      <c r="AL4" s="35"/>
      <c r="AM4" s="35"/>
      <c r="AN4" s="35"/>
      <c r="AO4" s="35"/>
      <c r="AP4" s="35"/>
      <c r="AQ4" s="35"/>
    </row>
    <row r="5" ht="15.75" customHeight="1">
      <c r="A5" s="14">
        <v>8202.0</v>
      </c>
      <c r="B5" s="15" t="s">
        <v>32</v>
      </c>
      <c r="C5" s="15" t="s">
        <v>33</v>
      </c>
      <c r="D5" s="36" t="s">
        <v>40</v>
      </c>
      <c r="E5" s="15" t="s">
        <v>41</v>
      </c>
      <c r="F5" s="17">
        <v>2016.0</v>
      </c>
      <c r="G5" s="17">
        <v>2020.0</v>
      </c>
      <c r="H5" s="17">
        <v>0.0</v>
      </c>
      <c r="I5" s="18">
        <v>15.0</v>
      </c>
      <c r="J5" s="19">
        <f t="shared" si="1"/>
        <v>0.2133333333</v>
      </c>
      <c r="K5" s="20">
        <v>3.2</v>
      </c>
      <c r="L5" s="21">
        <v>0.0</v>
      </c>
      <c r="M5" s="21">
        <v>0.0</v>
      </c>
      <c r="N5" s="18">
        <v>7.0</v>
      </c>
      <c r="O5" s="17"/>
      <c r="P5" s="22" t="s">
        <v>36</v>
      </c>
      <c r="Q5" s="23">
        <v>2900.0</v>
      </c>
      <c r="R5" s="15" t="s">
        <v>37</v>
      </c>
      <c r="S5" s="18">
        <v>2016.0</v>
      </c>
      <c r="T5" s="18">
        <v>1.9</v>
      </c>
      <c r="U5" s="18">
        <f t="shared" si="2"/>
        <v>5510</v>
      </c>
      <c r="V5" s="24">
        <f t="shared" si="3"/>
        <v>367.3333333</v>
      </c>
      <c r="W5" s="3">
        <f t="shared" si="4"/>
        <v>0</v>
      </c>
      <c r="X5" s="3">
        <f t="shared" si="5"/>
        <v>0</v>
      </c>
      <c r="Y5" s="3">
        <f t="shared" si="6"/>
        <v>0</v>
      </c>
      <c r="Z5" s="25">
        <f t="shared" si="7"/>
        <v>0</v>
      </c>
      <c r="AA5" s="26">
        <f>VLOOKUP(S5,CPI!$A$2:$F$71,6,0)</f>
        <v>1.342104605</v>
      </c>
      <c r="AB5" s="27">
        <f t="shared" si="8"/>
        <v>7394.996375</v>
      </c>
      <c r="AC5" s="27">
        <f t="shared" si="9"/>
        <v>492.9997583</v>
      </c>
      <c r="AD5" s="6" t="s">
        <v>42</v>
      </c>
      <c r="AE5" s="37" t="s">
        <v>43</v>
      </c>
      <c r="AF5" s="34"/>
      <c r="AG5" s="34"/>
      <c r="AH5" s="34"/>
      <c r="AI5" s="34"/>
      <c r="AJ5" s="35"/>
      <c r="AK5" s="35"/>
      <c r="AL5" s="35"/>
      <c r="AM5" s="35"/>
      <c r="AN5" s="35"/>
      <c r="AO5" s="35"/>
      <c r="AP5" s="35"/>
      <c r="AQ5" s="35"/>
    </row>
    <row r="6" ht="15.75" customHeight="1">
      <c r="A6" s="38">
        <v>7593.0</v>
      </c>
      <c r="B6" s="2" t="s">
        <v>44</v>
      </c>
      <c r="C6" s="2" t="s">
        <v>45</v>
      </c>
      <c r="D6" s="2" t="s">
        <v>46</v>
      </c>
      <c r="E6" s="2" t="s">
        <v>46</v>
      </c>
      <c r="F6" s="3">
        <v>2020.0</v>
      </c>
      <c r="G6" s="3">
        <v>2026.0</v>
      </c>
      <c r="H6" s="3">
        <v>1.0</v>
      </c>
      <c r="I6" s="3">
        <v>20.0</v>
      </c>
      <c r="J6" s="39">
        <v>1.0</v>
      </c>
      <c r="K6" s="3">
        <v>20.0</v>
      </c>
      <c r="L6" s="40">
        <v>0.0</v>
      </c>
      <c r="M6" s="40">
        <v>0.0</v>
      </c>
      <c r="N6" s="3">
        <v>4.0</v>
      </c>
      <c r="O6" s="3"/>
      <c r="P6" s="2" t="s">
        <v>42</v>
      </c>
      <c r="Q6" s="41">
        <v>2300.0</v>
      </c>
      <c r="R6" s="2" t="s">
        <v>37</v>
      </c>
      <c r="S6" s="3">
        <v>2023.0</v>
      </c>
      <c r="T6" s="3">
        <v>2.02</v>
      </c>
      <c r="U6" s="3">
        <f t="shared" si="2"/>
        <v>4646</v>
      </c>
      <c r="V6" s="24">
        <f t="shared" si="3"/>
        <v>232.3</v>
      </c>
      <c r="W6" s="3">
        <f t="shared" si="4"/>
        <v>0</v>
      </c>
      <c r="X6" s="3">
        <f t="shared" si="5"/>
        <v>0</v>
      </c>
      <c r="Y6" s="3">
        <f t="shared" si="6"/>
        <v>0</v>
      </c>
      <c r="Z6" s="25">
        <f t="shared" si="7"/>
        <v>0</v>
      </c>
      <c r="AA6" s="26">
        <f>VLOOKUP(S6,CPI!$A$2:$F$71,6,0)</f>
        <v>1.057145998</v>
      </c>
      <c r="AB6" s="27">
        <f t="shared" si="8"/>
        <v>4911.500308</v>
      </c>
      <c r="AC6" s="27">
        <f t="shared" si="9"/>
        <v>245.5750154</v>
      </c>
      <c r="AD6" s="2" t="s">
        <v>42</v>
      </c>
      <c r="AE6" s="42" t="s">
        <v>47</v>
      </c>
      <c r="AF6" s="34"/>
      <c r="AG6" s="34"/>
      <c r="AH6" s="34"/>
      <c r="AI6" s="34"/>
      <c r="AJ6" s="35"/>
      <c r="AK6" s="35"/>
      <c r="AL6" s="35"/>
      <c r="AM6" s="35"/>
      <c r="AN6" s="35"/>
      <c r="AO6" s="35"/>
      <c r="AP6" s="35"/>
      <c r="AQ6" s="35"/>
    </row>
    <row r="7" ht="15.75" customHeight="1">
      <c r="A7" s="38">
        <v>9753.0</v>
      </c>
      <c r="B7" s="43" t="s">
        <v>48</v>
      </c>
      <c r="C7" s="43" t="s">
        <v>49</v>
      </c>
      <c r="D7" s="44" t="s">
        <v>50</v>
      </c>
      <c r="E7" s="43" t="s">
        <v>51</v>
      </c>
      <c r="F7" s="45">
        <v>1999.0</v>
      </c>
      <c r="G7" s="45">
        <v>2012.0</v>
      </c>
      <c r="H7" s="45">
        <v>1.0</v>
      </c>
      <c r="I7" s="45">
        <v>12.8</v>
      </c>
      <c r="J7" s="46">
        <v>1.0</v>
      </c>
      <c r="K7" s="45">
        <v>12.8</v>
      </c>
      <c r="L7" s="47">
        <v>0.0</v>
      </c>
      <c r="M7" s="47">
        <v>0.0</v>
      </c>
      <c r="N7" s="45">
        <v>0.0</v>
      </c>
      <c r="O7" s="45"/>
      <c r="P7" s="43" t="s">
        <v>42</v>
      </c>
      <c r="Q7" s="48">
        <v>1300.0</v>
      </c>
      <c r="R7" s="43" t="s">
        <v>52</v>
      </c>
      <c r="S7" s="45">
        <v>2005.0</v>
      </c>
      <c r="T7" s="45">
        <v>1.25</v>
      </c>
      <c r="U7" s="45">
        <f t="shared" si="2"/>
        <v>1625</v>
      </c>
      <c r="V7" s="24">
        <f t="shared" si="3"/>
        <v>126.953125</v>
      </c>
      <c r="W7" s="3">
        <f t="shared" si="4"/>
        <v>0</v>
      </c>
      <c r="X7" s="3">
        <f t="shared" si="5"/>
        <v>0</v>
      </c>
      <c r="Y7" s="3">
        <f t="shared" si="6"/>
        <v>0</v>
      </c>
      <c r="Z7" s="25">
        <f t="shared" si="7"/>
        <v>0</v>
      </c>
      <c r="AA7" s="26">
        <f>VLOOKUP(S7,CPI!$A$2:$F$71,6,0)</f>
        <v>1.649331797</v>
      </c>
      <c r="AB7" s="27">
        <f t="shared" si="8"/>
        <v>2680.164171</v>
      </c>
      <c r="AC7" s="27">
        <f t="shared" si="9"/>
        <v>209.3878258</v>
      </c>
      <c r="AD7" s="43" t="s">
        <v>42</v>
      </c>
      <c r="AE7" s="49" t="s">
        <v>53</v>
      </c>
      <c r="AF7" s="34"/>
      <c r="AG7" s="34"/>
      <c r="AH7" s="34"/>
      <c r="AI7" s="34"/>
      <c r="AJ7" s="35"/>
      <c r="AK7" s="35"/>
      <c r="AL7" s="35"/>
      <c r="AM7" s="35"/>
      <c r="AN7" s="35"/>
      <c r="AO7" s="35"/>
      <c r="AP7" s="35"/>
      <c r="AQ7" s="35"/>
    </row>
    <row r="8" ht="15.75" customHeight="1">
      <c r="A8" s="38">
        <v>7360.0</v>
      </c>
      <c r="B8" s="26" t="s">
        <v>48</v>
      </c>
      <c r="C8" s="26" t="s">
        <v>49</v>
      </c>
      <c r="D8" s="1" t="s">
        <v>54</v>
      </c>
      <c r="E8" s="26" t="s">
        <v>55</v>
      </c>
      <c r="F8" s="25">
        <v>2010.0</v>
      </c>
      <c r="G8" s="25">
        <v>2013.0</v>
      </c>
      <c r="H8" s="25">
        <v>0.0</v>
      </c>
      <c r="I8" s="25">
        <v>4.2</v>
      </c>
      <c r="J8" s="50">
        <v>0.0</v>
      </c>
      <c r="K8" s="25">
        <v>0.0</v>
      </c>
      <c r="L8" s="51">
        <v>2.63</v>
      </c>
      <c r="M8" s="51">
        <v>1.57</v>
      </c>
      <c r="N8" s="25">
        <v>3.0</v>
      </c>
      <c r="O8" s="25"/>
      <c r="P8" s="26" t="s">
        <v>42</v>
      </c>
      <c r="Q8" s="52">
        <v>320.0</v>
      </c>
      <c r="R8" s="26" t="s">
        <v>52</v>
      </c>
      <c r="S8" s="25">
        <v>2012.0</v>
      </c>
      <c r="T8" s="25">
        <v>1.3</v>
      </c>
      <c r="U8" s="25">
        <f t="shared" si="2"/>
        <v>416</v>
      </c>
      <c r="V8" s="24">
        <f t="shared" si="3"/>
        <v>99.04761905</v>
      </c>
      <c r="W8" s="3">
        <f t="shared" si="4"/>
        <v>0</v>
      </c>
      <c r="X8" s="3">
        <f t="shared" si="5"/>
        <v>0</v>
      </c>
      <c r="Y8" s="3">
        <f t="shared" si="6"/>
        <v>0</v>
      </c>
      <c r="Z8" s="25">
        <f t="shared" si="7"/>
        <v>0</v>
      </c>
      <c r="AA8" s="26">
        <f>VLOOKUP(S8,CPI!$A$2:$F$71,6,0)</f>
        <v>1.402974381</v>
      </c>
      <c r="AB8" s="27">
        <f t="shared" si="8"/>
        <v>583.6373424</v>
      </c>
      <c r="AC8" s="27">
        <f t="shared" si="9"/>
        <v>138.961272</v>
      </c>
      <c r="AD8" s="26" t="s">
        <v>42</v>
      </c>
      <c r="AE8" s="53" t="s">
        <v>56</v>
      </c>
      <c r="AF8" s="34"/>
      <c r="AG8" s="34"/>
      <c r="AH8" s="34"/>
      <c r="AI8" s="34"/>
      <c r="AJ8" s="35"/>
      <c r="AK8" s="35"/>
      <c r="AL8" s="35"/>
      <c r="AM8" s="54"/>
      <c r="AN8" s="54"/>
      <c r="AO8" s="54"/>
      <c r="AP8" s="54"/>
      <c r="AQ8" s="54"/>
    </row>
    <row r="9" ht="15.75" customHeight="1">
      <c r="A9" s="38">
        <v>7361.0</v>
      </c>
      <c r="B9" s="26" t="s">
        <v>48</v>
      </c>
      <c r="C9" s="26" t="s">
        <v>49</v>
      </c>
      <c r="D9" s="1" t="s">
        <v>57</v>
      </c>
      <c r="E9" s="26" t="s">
        <v>58</v>
      </c>
      <c r="F9" s="25">
        <v>2012.0</v>
      </c>
      <c r="G9" s="25">
        <v>2017.0</v>
      </c>
      <c r="H9" s="25">
        <v>0.0</v>
      </c>
      <c r="I9" s="25">
        <v>4.7</v>
      </c>
      <c r="J9" s="50">
        <v>0.57</v>
      </c>
      <c r="K9" s="25">
        <v>2.7</v>
      </c>
      <c r="L9" s="51">
        <v>0.06</v>
      </c>
      <c r="M9" s="51">
        <v>2.008</v>
      </c>
      <c r="N9" s="25">
        <v>5.0</v>
      </c>
      <c r="O9" s="25"/>
      <c r="P9" s="26" t="s">
        <v>59</v>
      </c>
      <c r="Q9" s="52">
        <v>600.0</v>
      </c>
      <c r="R9" s="26" t="s">
        <v>52</v>
      </c>
      <c r="S9" s="25">
        <v>2015.0</v>
      </c>
      <c r="T9" s="25">
        <v>1.3</v>
      </c>
      <c r="U9" s="25">
        <f t="shared" si="2"/>
        <v>780</v>
      </c>
      <c r="V9" s="24">
        <f t="shared" si="3"/>
        <v>165.9574468</v>
      </c>
      <c r="W9" s="3">
        <f t="shared" si="4"/>
        <v>0</v>
      </c>
      <c r="X9" s="3">
        <f t="shared" si="5"/>
        <v>0</v>
      </c>
      <c r="Y9" s="3">
        <f t="shared" si="6"/>
        <v>0</v>
      </c>
      <c r="Z9" s="25">
        <f t="shared" si="7"/>
        <v>0</v>
      </c>
      <c r="AA9" s="26">
        <f>VLOOKUP(S9,CPI!$A$2:$F$71,6,0)</f>
        <v>1.359035428</v>
      </c>
      <c r="AB9" s="27">
        <f t="shared" si="8"/>
        <v>1060.047634</v>
      </c>
      <c r="AC9" s="27">
        <f t="shared" si="9"/>
        <v>225.5420497</v>
      </c>
      <c r="AD9" s="26" t="s">
        <v>60</v>
      </c>
      <c r="AE9" s="53" t="s">
        <v>61</v>
      </c>
      <c r="AF9" s="34"/>
      <c r="AG9" s="34"/>
      <c r="AH9" s="34"/>
      <c r="AI9" s="34"/>
      <c r="AJ9" s="35"/>
      <c r="AK9" s="35"/>
      <c r="AL9" s="35"/>
      <c r="AM9" s="35"/>
      <c r="AN9" s="35"/>
      <c r="AO9" s="35"/>
      <c r="AP9" s="35"/>
      <c r="AQ9" s="35"/>
    </row>
    <row r="10" ht="15.75" customHeight="1">
      <c r="A10" s="38">
        <v>7362.0</v>
      </c>
      <c r="B10" s="26" t="s">
        <v>48</v>
      </c>
      <c r="C10" s="26" t="s">
        <v>49</v>
      </c>
      <c r="D10" s="26" t="s">
        <v>62</v>
      </c>
      <c r="E10" s="26" t="s">
        <v>62</v>
      </c>
      <c r="F10" s="25">
        <v>2019.0</v>
      </c>
      <c r="G10" s="25">
        <v>2029.0</v>
      </c>
      <c r="H10" s="25">
        <v>0.0</v>
      </c>
      <c r="I10" s="25">
        <v>9.0</v>
      </c>
      <c r="J10" s="50">
        <v>1.0</v>
      </c>
      <c r="K10" s="25">
        <v>9.0</v>
      </c>
      <c r="L10" s="51">
        <v>0.0</v>
      </c>
      <c r="M10" s="51">
        <v>0.0</v>
      </c>
      <c r="N10" s="25">
        <v>11.0</v>
      </c>
      <c r="O10" s="25"/>
      <c r="P10" s="26" t="s">
        <v>60</v>
      </c>
      <c r="Q10" s="52">
        <v>2200.0</v>
      </c>
      <c r="R10" s="26" t="s">
        <v>52</v>
      </c>
      <c r="S10" s="25">
        <v>2023.0</v>
      </c>
      <c r="T10" s="25">
        <v>1.3</v>
      </c>
      <c r="U10" s="25">
        <f t="shared" si="2"/>
        <v>2860</v>
      </c>
      <c r="V10" s="24">
        <f t="shared" si="3"/>
        <v>317.7777778</v>
      </c>
      <c r="W10" s="3">
        <f t="shared" si="4"/>
        <v>0</v>
      </c>
      <c r="X10" s="3">
        <f t="shared" si="5"/>
        <v>0</v>
      </c>
      <c r="Y10" s="3">
        <f t="shared" si="6"/>
        <v>0</v>
      </c>
      <c r="Z10" s="25">
        <f t="shared" si="7"/>
        <v>0</v>
      </c>
      <c r="AA10" s="26">
        <f>VLOOKUP(S10,CPI!$A$2:$F$71,6,0)</f>
        <v>1.057145998</v>
      </c>
      <c r="AB10" s="27">
        <f t="shared" si="8"/>
        <v>3023.437555</v>
      </c>
      <c r="AC10" s="27">
        <f t="shared" si="9"/>
        <v>335.9375062</v>
      </c>
      <c r="AD10" s="26" t="s">
        <v>42</v>
      </c>
      <c r="AE10" s="53" t="s">
        <v>63</v>
      </c>
      <c r="AF10" s="34"/>
      <c r="AG10" s="34"/>
      <c r="AH10" s="34"/>
      <c r="AI10" s="34"/>
      <c r="AJ10" s="35"/>
      <c r="AK10" s="35"/>
      <c r="AL10" s="35"/>
      <c r="AM10" s="35"/>
      <c r="AN10" s="35"/>
      <c r="AO10" s="35"/>
      <c r="AP10" s="35"/>
      <c r="AQ10" s="35"/>
    </row>
    <row r="11" ht="15.75" customHeight="1">
      <c r="A11" s="38">
        <v>7280.0</v>
      </c>
      <c r="B11" s="26" t="s">
        <v>64</v>
      </c>
      <c r="C11" s="26" t="s">
        <v>65</v>
      </c>
      <c r="D11" s="26" t="s">
        <v>66</v>
      </c>
      <c r="E11" s="26" t="s">
        <v>66</v>
      </c>
      <c r="F11" s="25">
        <v>2018.0</v>
      </c>
      <c r="G11" s="25">
        <v>2025.0</v>
      </c>
      <c r="H11" s="25">
        <v>0.0</v>
      </c>
      <c r="I11" s="25">
        <v>9.0</v>
      </c>
      <c r="J11" s="50">
        <v>1.0</v>
      </c>
      <c r="K11" s="25">
        <v>9.0</v>
      </c>
      <c r="L11" s="51">
        <v>0.0</v>
      </c>
      <c r="M11" s="51">
        <v>0.0</v>
      </c>
      <c r="N11" s="25">
        <v>5.0</v>
      </c>
      <c r="O11" s="25"/>
      <c r="P11" s="26" t="s">
        <v>60</v>
      </c>
      <c r="Q11" s="55">
        <v>12584.4</v>
      </c>
      <c r="R11" s="26" t="s">
        <v>67</v>
      </c>
      <c r="S11" s="25">
        <v>2021.0</v>
      </c>
      <c r="T11" s="25">
        <v>0.69</v>
      </c>
      <c r="U11" s="25">
        <f t="shared" si="2"/>
        <v>8683.236</v>
      </c>
      <c r="V11" s="24">
        <f t="shared" si="3"/>
        <v>964.804</v>
      </c>
      <c r="W11" s="3">
        <f t="shared" si="4"/>
        <v>0</v>
      </c>
      <c r="X11" s="3">
        <f t="shared" si="5"/>
        <v>0</v>
      </c>
      <c r="Y11" s="3">
        <f t="shared" si="6"/>
        <v>0</v>
      </c>
      <c r="Z11" s="25">
        <f t="shared" si="7"/>
        <v>1</v>
      </c>
      <c r="AA11" s="26">
        <f>VLOOKUP(S11,CPI!$A$2:$F$71,6,0)</f>
        <v>1.188745987</v>
      </c>
      <c r="AB11" s="27">
        <f t="shared" si="8"/>
        <v>10322.16195</v>
      </c>
      <c r="AC11" s="27">
        <f t="shared" si="9"/>
        <v>1146.906883</v>
      </c>
      <c r="AD11" s="26" t="s">
        <v>60</v>
      </c>
      <c r="AE11" s="56" t="s">
        <v>68</v>
      </c>
      <c r="AF11" s="34"/>
      <c r="AG11" s="34"/>
      <c r="AH11" s="34"/>
      <c r="AI11" s="34"/>
      <c r="AJ11" s="35"/>
      <c r="AK11" s="35"/>
      <c r="AL11" s="35"/>
      <c r="AM11" s="35"/>
      <c r="AN11" s="35"/>
      <c r="AO11" s="35"/>
      <c r="AP11" s="35"/>
      <c r="AQ11" s="35"/>
    </row>
    <row r="12" ht="15.75" customHeight="1">
      <c r="A12" s="38">
        <v>7587.0</v>
      </c>
      <c r="B12" s="26" t="s">
        <v>64</v>
      </c>
      <c r="C12" s="26" t="s">
        <v>69</v>
      </c>
      <c r="D12" s="26" t="s">
        <v>70</v>
      </c>
      <c r="E12" s="26" t="s">
        <v>70</v>
      </c>
      <c r="F12" s="25">
        <v>2016.0</v>
      </c>
      <c r="G12" s="25">
        <v>2021.0</v>
      </c>
      <c r="H12" s="25">
        <v>1.0</v>
      </c>
      <c r="I12" s="25">
        <v>8.5</v>
      </c>
      <c r="J12" s="50">
        <v>1.0</v>
      </c>
      <c r="K12" s="25">
        <v>8.5</v>
      </c>
      <c r="L12" s="51">
        <v>0.0</v>
      </c>
      <c r="M12" s="51">
        <v>0.0</v>
      </c>
      <c r="N12" s="25">
        <v>3.0</v>
      </c>
      <c r="O12" s="25"/>
      <c r="P12" s="26" t="s">
        <v>60</v>
      </c>
      <c r="Q12" s="52">
        <v>1860.0</v>
      </c>
      <c r="R12" s="26" t="s">
        <v>67</v>
      </c>
      <c r="S12" s="25">
        <v>2018.0</v>
      </c>
      <c r="T12" s="25">
        <v>0.69</v>
      </c>
      <c r="U12" s="25">
        <f t="shared" si="2"/>
        <v>1283.4</v>
      </c>
      <c r="V12" s="24">
        <f t="shared" si="3"/>
        <v>150.9882353</v>
      </c>
      <c r="W12" s="3">
        <f t="shared" si="4"/>
        <v>0</v>
      </c>
      <c r="X12" s="3">
        <f t="shared" si="5"/>
        <v>0</v>
      </c>
      <c r="Y12" s="3">
        <f t="shared" si="6"/>
        <v>0</v>
      </c>
      <c r="Z12" s="25">
        <f t="shared" si="7"/>
        <v>1</v>
      </c>
      <c r="AA12" s="26">
        <f>VLOOKUP(S12,CPI!$A$2:$F$71,6,0)</f>
        <v>1.28277786</v>
      </c>
      <c r="AB12" s="27">
        <f t="shared" si="8"/>
        <v>1646.317105</v>
      </c>
      <c r="AC12" s="27">
        <f t="shared" si="9"/>
        <v>193.6843653</v>
      </c>
      <c r="AD12" s="26" t="s">
        <v>60</v>
      </c>
      <c r="AE12" s="57" t="s">
        <v>71</v>
      </c>
      <c r="AF12" s="34"/>
      <c r="AG12" s="34"/>
      <c r="AH12" s="34"/>
      <c r="AI12" s="34"/>
      <c r="AJ12" s="35"/>
      <c r="AK12" s="35"/>
      <c r="AL12" s="35"/>
      <c r="AM12" s="35"/>
      <c r="AN12" s="35"/>
      <c r="AO12" s="35"/>
      <c r="AP12" s="35"/>
      <c r="AQ12" s="35"/>
    </row>
    <row r="13" ht="15.75" customHeight="1">
      <c r="A13" s="38">
        <v>7275.0</v>
      </c>
      <c r="B13" s="26" t="s">
        <v>64</v>
      </c>
      <c r="C13" s="26" t="s">
        <v>72</v>
      </c>
      <c r="D13" s="26" t="s">
        <v>73</v>
      </c>
      <c r="E13" s="26" t="s">
        <v>73</v>
      </c>
      <c r="F13" s="25">
        <v>2013.0</v>
      </c>
      <c r="G13" s="25">
        <v>2019.0</v>
      </c>
      <c r="H13" s="25">
        <v>0.0</v>
      </c>
      <c r="I13" s="25">
        <v>36.0</v>
      </c>
      <c r="J13" s="50">
        <v>0.42</v>
      </c>
      <c r="K13" s="25">
        <v>15.1</v>
      </c>
      <c r="L13" s="51">
        <v>0.0</v>
      </c>
      <c r="M13" s="51">
        <v>0.0</v>
      </c>
      <c r="N13" s="25">
        <v>13.0</v>
      </c>
      <c r="O13" s="25"/>
      <c r="P13" s="26" t="s">
        <v>74</v>
      </c>
      <c r="Q13" s="52">
        <v>7800.0</v>
      </c>
      <c r="R13" s="26" t="s">
        <v>67</v>
      </c>
      <c r="S13" s="25">
        <v>2016.0</v>
      </c>
      <c r="T13" s="25">
        <v>0.69</v>
      </c>
      <c r="U13" s="25">
        <f t="shared" si="2"/>
        <v>5382</v>
      </c>
      <c r="V13" s="24">
        <f t="shared" si="3"/>
        <v>149.5</v>
      </c>
      <c r="W13" s="3">
        <f t="shared" si="4"/>
        <v>0</v>
      </c>
      <c r="X13" s="3">
        <f t="shared" si="5"/>
        <v>0</v>
      </c>
      <c r="Y13" s="3">
        <f t="shared" si="6"/>
        <v>0</v>
      </c>
      <c r="Z13" s="25">
        <f t="shared" si="7"/>
        <v>1</v>
      </c>
      <c r="AA13" s="26">
        <f>VLOOKUP(S13,CPI!$A$2:$F$71,6,0)</f>
        <v>1.342104605</v>
      </c>
      <c r="AB13" s="27">
        <f t="shared" si="8"/>
        <v>7223.206986</v>
      </c>
      <c r="AC13" s="27">
        <f t="shared" si="9"/>
        <v>200.6446385</v>
      </c>
      <c r="AD13" s="26" t="s">
        <v>60</v>
      </c>
      <c r="AE13" s="53" t="s">
        <v>75</v>
      </c>
      <c r="AF13" s="29"/>
      <c r="AG13" s="30"/>
      <c r="AH13" s="30"/>
      <c r="AI13" s="30"/>
      <c r="AJ13" s="31"/>
      <c r="AK13" s="31"/>
      <c r="AL13" s="31"/>
      <c r="AM13" s="31"/>
      <c r="AN13" s="31"/>
      <c r="AO13" s="31"/>
      <c r="AP13" s="31"/>
      <c r="AQ13" s="35"/>
    </row>
    <row r="14" ht="15.75" customHeight="1">
      <c r="A14" s="38">
        <v>7274.0</v>
      </c>
      <c r="B14" s="26" t="s">
        <v>64</v>
      </c>
      <c r="C14" s="26" t="s">
        <v>72</v>
      </c>
      <c r="D14" s="26" t="s">
        <v>76</v>
      </c>
      <c r="E14" s="26" t="s">
        <v>76</v>
      </c>
      <c r="F14" s="25">
        <v>2017.0</v>
      </c>
      <c r="G14" s="25">
        <v>2024.0</v>
      </c>
      <c r="H14" s="25">
        <v>0.0</v>
      </c>
      <c r="I14" s="25">
        <v>30.0</v>
      </c>
      <c r="J14" s="50">
        <v>0.51</v>
      </c>
      <c r="K14" s="25">
        <v>15.3</v>
      </c>
      <c r="L14" s="51">
        <v>0.0</v>
      </c>
      <c r="M14" s="51">
        <v>0.0</v>
      </c>
      <c r="N14" s="25">
        <v>7.0</v>
      </c>
      <c r="O14" s="25"/>
      <c r="P14" s="26" t="s">
        <v>74</v>
      </c>
      <c r="Q14" s="52">
        <v>15500.0</v>
      </c>
      <c r="R14" s="26" t="s">
        <v>67</v>
      </c>
      <c r="S14" s="25">
        <v>2021.0</v>
      </c>
      <c r="T14" s="25">
        <v>0.69</v>
      </c>
      <c r="U14" s="25">
        <f t="shared" si="2"/>
        <v>10695</v>
      </c>
      <c r="V14" s="24">
        <f t="shared" si="3"/>
        <v>356.5</v>
      </c>
      <c r="W14" s="3">
        <f t="shared" si="4"/>
        <v>0</v>
      </c>
      <c r="X14" s="3">
        <f t="shared" si="5"/>
        <v>0</v>
      </c>
      <c r="Y14" s="3">
        <f t="shared" si="6"/>
        <v>0</v>
      </c>
      <c r="Z14" s="25">
        <f t="shared" si="7"/>
        <v>1</v>
      </c>
      <c r="AA14" s="26">
        <f>VLOOKUP(S14,CPI!$A$2:$F$71,6,0)</f>
        <v>1.188745987</v>
      </c>
      <c r="AB14" s="27">
        <f t="shared" si="8"/>
        <v>12713.63833</v>
      </c>
      <c r="AC14" s="27">
        <f t="shared" si="9"/>
        <v>423.7879442</v>
      </c>
      <c r="AD14" s="26" t="s">
        <v>42</v>
      </c>
      <c r="AE14" s="57" t="s">
        <v>77</v>
      </c>
      <c r="AF14" s="29"/>
      <c r="AG14" s="30"/>
      <c r="AH14" s="30"/>
      <c r="AI14" s="30"/>
      <c r="AJ14" s="31"/>
      <c r="AK14" s="31"/>
      <c r="AL14" s="31"/>
      <c r="AM14" s="31"/>
      <c r="AN14" s="31"/>
      <c r="AO14" s="31"/>
      <c r="AP14" s="31"/>
      <c r="AQ14" s="35"/>
    </row>
    <row r="15" ht="15.75" customHeight="1">
      <c r="A15" s="38">
        <v>7464.0</v>
      </c>
      <c r="B15" s="26" t="s">
        <v>78</v>
      </c>
      <c r="C15" s="26" t="s">
        <v>79</v>
      </c>
      <c r="D15" s="26" t="s">
        <v>80</v>
      </c>
      <c r="E15" s="26" t="s">
        <v>80</v>
      </c>
      <c r="F15" s="25">
        <v>2015.0</v>
      </c>
      <c r="G15" s="58">
        <v>2022.0</v>
      </c>
      <c r="H15" s="25">
        <v>0.0</v>
      </c>
      <c r="I15" s="58">
        <v>21.3</v>
      </c>
      <c r="J15" s="50">
        <v>0.0</v>
      </c>
      <c r="K15" s="25">
        <v>0.0</v>
      </c>
      <c r="L15" s="51">
        <v>0.0</v>
      </c>
      <c r="M15" s="51">
        <v>0.0</v>
      </c>
      <c r="N15" s="25">
        <v>16.0</v>
      </c>
      <c r="O15" s="25"/>
      <c r="P15" s="26" t="s">
        <v>42</v>
      </c>
      <c r="Q15" s="55">
        <v>334720.0</v>
      </c>
      <c r="R15" s="26" t="s">
        <v>81</v>
      </c>
      <c r="S15" s="58">
        <v>2019.0</v>
      </c>
      <c r="T15" s="25">
        <v>0.032</v>
      </c>
      <c r="U15" s="25">
        <f t="shared" si="2"/>
        <v>10711.04</v>
      </c>
      <c r="V15" s="24">
        <f t="shared" si="3"/>
        <v>502.8657277</v>
      </c>
      <c r="W15" s="3">
        <f t="shared" si="4"/>
        <v>0</v>
      </c>
      <c r="X15" s="3">
        <f t="shared" si="5"/>
        <v>0</v>
      </c>
      <c r="Y15" s="3">
        <f t="shared" si="6"/>
        <v>0</v>
      </c>
      <c r="Z15" s="25">
        <f t="shared" si="7"/>
        <v>0</v>
      </c>
      <c r="AA15" s="26">
        <f>VLOOKUP(S15,CPI!$A$2:$F$71,6,0)</f>
        <v>1.259947899</v>
      </c>
      <c r="AB15" s="27">
        <f t="shared" si="8"/>
        <v>13495.35234</v>
      </c>
      <c r="AC15" s="27">
        <f t="shared" si="9"/>
        <v>633.5846171</v>
      </c>
      <c r="AD15" s="26" t="s">
        <v>42</v>
      </c>
      <c r="AE15" s="56" t="s">
        <v>82</v>
      </c>
      <c r="AF15" s="29"/>
      <c r="AG15" s="30"/>
      <c r="AH15" s="30"/>
      <c r="AI15" s="30"/>
      <c r="AJ15" s="30"/>
      <c r="AK15" s="30"/>
      <c r="AL15" s="30"/>
      <c r="AM15" s="31"/>
      <c r="AN15" s="31"/>
      <c r="AO15" s="31"/>
      <c r="AP15" s="31"/>
      <c r="AQ15" s="35"/>
    </row>
    <row r="16" ht="15.75" customHeight="1">
      <c r="A16" s="38">
        <v>7465.0</v>
      </c>
      <c r="B16" s="26" t="s">
        <v>78</v>
      </c>
      <c r="C16" s="26" t="s">
        <v>79</v>
      </c>
      <c r="D16" s="26" t="s">
        <v>57</v>
      </c>
      <c r="E16" s="26" t="s">
        <v>57</v>
      </c>
      <c r="F16" s="25">
        <v>2020.0</v>
      </c>
      <c r="G16" s="25">
        <v>2026.0</v>
      </c>
      <c r="H16" s="25">
        <v>0.0</v>
      </c>
      <c r="I16" s="25">
        <v>31.2</v>
      </c>
      <c r="J16" s="59">
        <v>0.64</v>
      </c>
      <c r="K16" s="58">
        <v>19.9</v>
      </c>
      <c r="L16" s="51">
        <v>0.0</v>
      </c>
      <c r="M16" s="51">
        <v>0.0</v>
      </c>
      <c r="N16" s="25">
        <v>19.0</v>
      </c>
      <c r="O16" s="25"/>
      <c r="P16" s="26" t="s">
        <v>42</v>
      </c>
      <c r="Q16" s="52">
        <v>525610.0</v>
      </c>
      <c r="R16" s="26" t="s">
        <v>81</v>
      </c>
      <c r="S16" s="25">
        <v>2023.0</v>
      </c>
      <c r="T16" s="25">
        <v>0.032</v>
      </c>
      <c r="U16" s="25">
        <f t="shared" si="2"/>
        <v>16819.52</v>
      </c>
      <c r="V16" s="24">
        <f t="shared" si="3"/>
        <v>539.0871795</v>
      </c>
      <c r="W16" s="3">
        <f t="shared" si="4"/>
        <v>0</v>
      </c>
      <c r="X16" s="3">
        <f t="shared" si="5"/>
        <v>0</v>
      </c>
      <c r="Y16" s="3">
        <f t="shared" si="6"/>
        <v>0</v>
      </c>
      <c r="Z16" s="25">
        <f t="shared" si="7"/>
        <v>0</v>
      </c>
      <c r="AA16" s="26">
        <f>VLOOKUP(S16,CPI!$A$2:$F$71,6,0)</f>
        <v>1.057145998</v>
      </c>
      <c r="AB16" s="27">
        <f t="shared" si="8"/>
        <v>17780.68826</v>
      </c>
      <c r="AC16" s="27">
        <f t="shared" si="9"/>
        <v>569.8938546</v>
      </c>
      <c r="AD16" s="26" t="s">
        <v>42</v>
      </c>
      <c r="AE16" s="53" t="s">
        <v>83</v>
      </c>
      <c r="AF16" s="29"/>
      <c r="AG16" s="30"/>
      <c r="AH16" s="30"/>
      <c r="AI16" s="30"/>
      <c r="AJ16" s="31"/>
      <c r="AK16" s="31"/>
      <c r="AL16" s="31"/>
      <c r="AM16" s="31"/>
      <c r="AN16" s="31"/>
      <c r="AO16" s="31"/>
      <c r="AP16" s="31"/>
      <c r="AQ16" s="35"/>
    </row>
    <row r="17" ht="15.75" customHeight="1">
      <c r="A17" s="38">
        <v>7466.0</v>
      </c>
      <c r="B17" s="26" t="s">
        <v>78</v>
      </c>
      <c r="C17" s="26" t="s">
        <v>79</v>
      </c>
      <c r="D17" s="26" t="s">
        <v>84</v>
      </c>
      <c r="E17" s="26" t="s">
        <v>84</v>
      </c>
      <c r="F17" s="25">
        <v>2020.0</v>
      </c>
      <c r="G17" s="25">
        <v>2028.0</v>
      </c>
      <c r="H17" s="25">
        <v>0.0</v>
      </c>
      <c r="I17" s="25">
        <v>19.6</v>
      </c>
      <c r="J17" s="50">
        <v>0.7</v>
      </c>
      <c r="K17" s="25">
        <v>14.0</v>
      </c>
      <c r="L17" s="51">
        <v>0.0</v>
      </c>
      <c r="M17" s="51">
        <v>0.0</v>
      </c>
      <c r="N17" s="25">
        <v>14.0</v>
      </c>
      <c r="O17" s="25"/>
      <c r="P17" s="26" t="s">
        <v>42</v>
      </c>
      <c r="Q17" s="52">
        <v>412380.0</v>
      </c>
      <c r="R17" s="26" t="s">
        <v>81</v>
      </c>
      <c r="S17" s="25">
        <v>2024.0</v>
      </c>
      <c r="T17" s="25">
        <v>0.032</v>
      </c>
      <c r="U17" s="25">
        <f t="shared" si="2"/>
        <v>13196.16</v>
      </c>
      <c r="V17" s="24">
        <f t="shared" si="3"/>
        <v>673.2734694</v>
      </c>
      <c r="W17" s="3">
        <f t="shared" si="4"/>
        <v>0</v>
      </c>
      <c r="X17" s="3">
        <f t="shared" si="5"/>
        <v>0</v>
      </c>
      <c r="Y17" s="3">
        <f t="shared" si="6"/>
        <v>0</v>
      </c>
      <c r="Z17" s="25">
        <f t="shared" si="7"/>
        <v>0</v>
      </c>
      <c r="AA17" s="26">
        <f>VLOOKUP(S17,CPI!$A$2:$F$71,6,0)</f>
        <v>1</v>
      </c>
      <c r="AB17" s="27">
        <f t="shared" si="8"/>
        <v>13196.16</v>
      </c>
      <c r="AC17" s="27">
        <f t="shared" si="9"/>
        <v>673.2734694</v>
      </c>
      <c r="AD17" s="26" t="s">
        <v>42</v>
      </c>
      <c r="AE17" s="53" t="s">
        <v>83</v>
      </c>
      <c r="AF17" s="29"/>
      <c r="AG17" s="30"/>
      <c r="AH17" s="30"/>
      <c r="AI17" s="30"/>
      <c r="AJ17" s="31"/>
      <c r="AK17" s="31"/>
      <c r="AL17" s="31"/>
      <c r="AM17" s="31"/>
      <c r="AN17" s="31"/>
      <c r="AO17" s="31"/>
      <c r="AP17" s="31"/>
      <c r="AQ17" s="35"/>
    </row>
    <row r="18" ht="15.75" customHeight="1">
      <c r="A18" s="38">
        <v>7266.0</v>
      </c>
      <c r="B18" s="26" t="s">
        <v>85</v>
      </c>
      <c r="C18" s="26" t="s">
        <v>86</v>
      </c>
      <c r="D18" s="26" t="s">
        <v>87</v>
      </c>
      <c r="E18" s="26" t="s">
        <v>87</v>
      </c>
      <c r="F18" s="25">
        <v>2020.0</v>
      </c>
      <c r="G18" s="25">
        <v>2028.0</v>
      </c>
      <c r="H18" s="25">
        <v>0.0</v>
      </c>
      <c r="I18" s="58">
        <v>4.8</v>
      </c>
      <c r="J18" s="50">
        <v>1.0</v>
      </c>
      <c r="K18" s="58">
        <v>4.8</v>
      </c>
      <c r="L18" s="51">
        <v>0.0</v>
      </c>
      <c r="M18" s="51">
        <v>0.0</v>
      </c>
      <c r="N18" s="25">
        <v>7.0</v>
      </c>
      <c r="O18" s="25"/>
      <c r="P18" s="26" t="s">
        <v>60</v>
      </c>
      <c r="Q18" s="55">
        <v>2600.0</v>
      </c>
      <c r="R18" s="26" t="s">
        <v>52</v>
      </c>
      <c r="S18" s="25">
        <v>2024.0</v>
      </c>
      <c r="T18" s="25">
        <v>1.3</v>
      </c>
      <c r="U18" s="25">
        <f t="shared" si="2"/>
        <v>3380</v>
      </c>
      <c r="V18" s="24">
        <f t="shared" si="3"/>
        <v>704.1666667</v>
      </c>
      <c r="W18" s="3">
        <f t="shared" si="4"/>
        <v>0</v>
      </c>
      <c r="X18" s="3">
        <f t="shared" si="5"/>
        <v>0</v>
      </c>
      <c r="Y18" s="3">
        <f t="shared" si="6"/>
        <v>0</v>
      </c>
      <c r="Z18" s="25">
        <f t="shared" si="7"/>
        <v>0</v>
      </c>
      <c r="AA18" s="26">
        <f>VLOOKUP(S18,CPI!$A$2:$F$71,6,0)</f>
        <v>1</v>
      </c>
      <c r="AB18" s="27">
        <f t="shared" si="8"/>
        <v>3380</v>
      </c>
      <c r="AC18" s="27">
        <f t="shared" si="9"/>
        <v>704.1666667</v>
      </c>
      <c r="AD18" s="26" t="s">
        <v>60</v>
      </c>
      <c r="AE18" s="56" t="s">
        <v>88</v>
      </c>
      <c r="AF18" s="29"/>
      <c r="AG18" s="30"/>
      <c r="AH18" s="30"/>
      <c r="AI18" s="30"/>
      <c r="AJ18" s="31"/>
      <c r="AK18" s="31"/>
      <c r="AL18" s="31"/>
      <c r="AM18" s="31"/>
      <c r="AN18" s="31"/>
      <c r="AO18" s="31"/>
      <c r="AP18" s="31"/>
      <c r="AQ18" s="35"/>
    </row>
    <row r="19" ht="15.75" customHeight="1">
      <c r="A19" s="38">
        <v>7170.0</v>
      </c>
      <c r="B19" s="26" t="s">
        <v>89</v>
      </c>
      <c r="C19" s="26" t="s">
        <v>90</v>
      </c>
      <c r="D19" s="1" t="s">
        <v>54</v>
      </c>
      <c r="E19" s="26" t="s">
        <v>54</v>
      </c>
      <c r="F19" s="25">
        <v>2008.0</v>
      </c>
      <c r="G19" s="25">
        <v>2012.0</v>
      </c>
      <c r="H19" s="25">
        <v>0.0</v>
      </c>
      <c r="I19" s="25">
        <v>17.0</v>
      </c>
      <c r="J19" s="50">
        <v>0.9</v>
      </c>
      <c r="K19" s="25">
        <v>15.3</v>
      </c>
      <c r="L19" s="51">
        <v>0.0</v>
      </c>
      <c r="M19" s="51">
        <v>0.0</v>
      </c>
      <c r="N19" s="25">
        <v>11.0</v>
      </c>
      <c r="O19" s="25"/>
      <c r="P19" s="26" t="s">
        <v>36</v>
      </c>
      <c r="Q19" s="52">
        <v>952.0</v>
      </c>
      <c r="R19" s="26" t="s">
        <v>52</v>
      </c>
      <c r="S19" s="25">
        <v>2010.0</v>
      </c>
      <c r="T19" s="25">
        <v>3.32</v>
      </c>
      <c r="U19" s="25">
        <f t="shared" si="2"/>
        <v>3160.64</v>
      </c>
      <c r="V19" s="24">
        <f t="shared" si="3"/>
        <v>185.92</v>
      </c>
      <c r="W19" s="3">
        <f t="shared" si="4"/>
        <v>1</v>
      </c>
      <c r="X19" s="3">
        <f t="shared" si="5"/>
        <v>17</v>
      </c>
      <c r="Y19" s="3">
        <f t="shared" si="6"/>
        <v>15.3</v>
      </c>
      <c r="Z19" s="25">
        <f t="shared" si="7"/>
        <v>0</v>
      </c>
      <c r="AA19" s="26">
        <f>VLOOKUP(S19,CPI!$A$2:$F$71,6,0)</f>
        <v>1.477209983</v>
      </c>
      <c r="AB19" s="27">
        <f t="shared" si="8"/>
        <v>4668.92896</v>
      </c>
      <c r="AC19" s="27">
        <f t="shared" si="9"/>
        <v>274.64288</v>
      </c>
      <c r="AD19" s="26" t="s">
        <v>36</v>
      </c>
      <c r="AE19" s="57" t="s">
        <v>91</v>
      </c>
      <c r="AF19" s="29"/>
      <c r="AG19" s="30"/>
      <c r="AH19" s="30"/>
      <c r="AI19" s="30"/>
      <c r="AJ19" s="31"/>
      <c r="AK19" s="31"/>
      <c r="AL19" s="31"/>
      <c r="AM19" s="31"/>
      <c r="AN19" s="31"/>
      <c r="AO19" s="31"/>
      <c r="AP19" s="31"/>
      <c r="AQ19" s="35"/>
    </row>
    <row r="20" ht="15.75" customHeight="1">
      <c r="A20" s="38">
        <v>7169.0</v>
      </c>
      <c r="B20" s="26" t="s">
        <v>89</v>
      </c>
      <c r="C20" s="26" t="s">
        <v>90</v>
      </c>
      <c r="D20" s="1" t="s">
        <v>57</v>
      </c>
      <c r="E20" s="26" t="s">
        <v>92</v>
      </c>
      <c r="F20" s="25">
        <v>2013.0</v>
      </c>
      <c r="G20" s="25">
        <v>2015.0</v>
      </c>
      <c r="H20" s="25">
        <v>0.0</v>
      </c>
      <c r="I20" s="25">
        <v>3.0</v>
      </c>
      <c r="J20" s="50">
        <v>1.0</v>
      </c>
      <c r="K20" s="25">
        <v>3.0</v>
      </c>
      <c r="L20" s="51">
        <v>0.0</v>
      </c>
      <c r="M20" s="51">
        <v>0.0</v>
      </c>
      <c r="N20" s="25">
        <v>3.0</v>
      </c>
      <c r="O20" s="25"/>
      <c r="P20" s="26" t="s">
        <v>42</v>
      </c>
      <c r="Q20" s="52">
        <v>44.0</v>
      </c>
      <c r="R20" s="26" t="s">
        <v>52</v>
      </c>
      <c r="S20" s="25">
        <v>2014.0</v>
      </c>
      <c r="T20" s="25">
        <v>3.32</v>
      </c>
      <c r="U20" s="25">
        <f t="shared" si="2"/>
        <v>146.08</v>
      </c>
      <c r="V20" s="24">
        <f t="shared" si="3"/>
        <v>48.69333333</v>
      </c>
      <c r="W20" s="3">
        <f t="shared" si="4"/>
        <v>1</v>
      </c>
      <c r="X20" s="3">
        <f t="shared" si="5"/>
        <v>3</v>
      </c>
      <c r="Y20" s="3">
        <f t="shared" si="6"/>
        <v>3</v>
      </c>
      <c r="Z20" s="25">
        <f t="shared" si="7"/>
        <v>0</v>
      </c>
      <c r="AA20" s="26">
        <f>VLOOKUP(S20,CPI!$A$2:$F$71,6,0)</f>
        <v>1.360648571</v>
      </c>
      <c r="AB20" s="27">
        <f t="shared" si="8"/>
        <v>198.7635432</v>
      </c>
      <c r="AC20" s="27">
        <f t="shared" si="9"/>
        <v>66.2545144</v>
      </c>
      <c r="AD20" s="26" t="s">
        <v>42</v>
      </c>
      <c r="AE20" s="57" t="s">
        <v>93</v>
      </c>
      <c r="AF20" s="29"/>
      <c r="AG20" s="30"/>
      <c r="AH20" s="30"/>
      <c r="AI20" s="30"/>
      <c r="AJ20" s="31"/>
      <c r="AK20" s="31"/>
      <c r="AL20" s="31"/>
      <c r="AM20" s="31"/>
      <c r="AN20" s="31"/>
      <c r="AO20" s="31"/>
      <c r="AP20" s="31"/>
      <c r="AQ20" s="35"/>
    </row>
    <row r="21" ht="15.75" customHeight="1">
      <c r="A21" s="38">
        <v>7171.0</v>
      </c>
      <c r="B21" s="26" t="s">
        <v>89</v>
      </c>
      <c r="C21" s="26" t="s">
        <v>90</v>
      </c>
      <c r="D21" s="1" t="s">
        <v>54</v>
      </c>
      <c r="E21" s="26" t="s">
        <v>55</v>
      </c>
      <c r="F21" s="25">
        <v>2012.0</v>
      </c>
      <c r="G21" s="25">
        <v>2016.0</v>
      </c>
      <c r="H21" s="25">
        <v>0.0</v>
      </c>
      <c r="I21" s="25">
        <v>1.3</v>
      </c>
      <c r="J21" s="50">
        <v>1.0</v>
      </c>
      <c r="K21" s="25">
        <v>1.3</v>
      </c>
      <c r="L21" s="51">
        <v>0.0</v>
      </c>
      <c r="M21" s="51">
        <v>0.0</v>
      </c>
      <c r="N21" s="25">
        <v>1.0</v>
      </c>
      <c r="O21" s="25"/>
      <c r="P21" s="26" t="s">
        <v>42</v>
      </c>
      <c r="Q21" s="52">
        <v>21.0</v>
      </c>
      <c r="R21" s="26" t="s">
        <v>52</v>
      </c>
      <c r="S21" s="25">
        <v>2014.0</v>
      </c>
      <c r="T21" s="25">
        <v>3.32</v>
      </c>
      <c r="U21" s="25">
        <f t="shared" si="2"/>
        <v>69.72</v>
      </c>
      <c r="V21" s="24">
        <f t="shared" si="3"/>
        <v>53.63076923</v>
      </c>
      <c r="W21" s="3">
        <f t="shared" si="4"/>
        <v>1</v>
      </c>
      <c r="X21" s="3">
        <f t="shared" si="5"/>
        <v>1.3</v>
      </c>
      <c r="Y21" s="3">
        <f t="shared" si="6"/>
        <v>1.3</v>
      </c>
      <c r="Z21" s="25">
        <f t="shared" si="7"/>
        <v>0</v>
      </c>
      <c r="AA21" s="26">
        <f>VLOOKUP(S21,CPI!$A$2:$F$71,6,0)</f>
        <v>1.360648571</v>
      </c>
      <c r="AB21" s="27">
        <f t="shared" si="8"/>
        <v>94.86441834</v>
      </c>
      <c r="AC21" s="27">
        <f t="shared" si="9"/>
        <v>72.97262949</v>
      </c>
      <c r="AD21" s="26" t="s">
        <v>42</v>
      </c>
      <c r="AE21" s="53" t="s">
        <v>94</v>
      </c>
      <c r="AF21" s="29"/>
      <c r="AG21" s="30"/>
      <c r="AH21" s="30"/>
      <c r="AI21" s="30"/>
      <c r="AJ21" s="31"/>
      <c r="AK21" s="31"/>
      <c r="AL21" s="31"/>
      <c r="AM21" s="31"/>
      <c r="AN21" s="31"/>
      <c r="AO21" s="31"/>
      <c r="AP21" s="31"/>
      <c r="AQ21" s="35"/>
    </row>
    <row r="22" ht="15.75" customHeight="1">
      <c r="A22" s="38">
        <v>7176.0</v>
      </c>
      <c r="B22" s="26" t="s">
        <v>89</v>
      </c>
      <c r="C22" s="26" t="s">
        <v>90</v>
      </c>
      <c r="D22" s="1" t="s">
        <v>87</v>
      </c>
      <c r="E22" s="26" t="s">
        <v>87</v>
      </c>
      <c r="F22" s="25">
        <v>2016.0</v>
      </c>
      <c r="G22" s="25">
        <v>2021.0</v>
      </c>
      <c r="H22" s="25">
        <v>0.0</v>
      </c>
      <c r="I22" s="25">
        <v>12.0</v>
      </c>
      <c r="J22" s="50">
        <v>1.0</v>
      </c>
      <c r="K22" s="25">
        <v>12.0</v>
      </c>
      <c r="L22" s="51">
        <v>0.0</v>
      </c>
      <c r="M22" s="51">
        <v>0.0</v>
      </c>
      <c r="N22" s="25">
        <v>12.0</v>
      </c>
      <c r="O22" s="25"/>
      <c r="P22" s="26" t="s">
        <v>60</v>
      </c>
      <c r="Q22" s="52">
        <v>500.0</v>
      </c>
      <c r="R22" s="26" t="s">
        <v>52</v>
      </c>
      <c r="S22" s="25">
        <v>2018.0</v>
      </c>
      <c r="T22" s="25">
        <v>3.32</v>
      </c>
      <c r="U22" s="25">
        <f t="shared" si="2"/>
        <v>1660</v>
      </c>
      <c r="V22" s="24">
        <f t="shared" si="3"/>
        <v>138.3333333</v>
      </c>
      <c r="W22" s="3">
        <f t="shared" si="4"/>
        <v>1</v>
      </c>
      <c r="X22" s="3">
        <f t="shared" si="5"/>
        <v>12</v>
      </c>
      <c r="Y22" s="3">
        <f t="shared" si="6"/>
        <v>12</v>
      </c>
      <c r="Z22" s="25">
        <f t="shared" si="7"/>
        <v>0</v>
      </c>
      <c r="AA22" s="26">
        <f>VLOOKUP(S22,CPI!$A$2:$F$71,6,0)</f>
        <v>1.28277786</v>
      </c>
      <c r="AB22" s="27">
        <f t="shared" si="8"/>
        <v>2129.411247</v>
      </c>
      <c r="AC22" s="27">
        <f t="shared" si="9"/>
        <v>177.4509372</v>
      </c>
      <c r="AD22" s="26" t="s">
        <v>60</v>
      </c>
      <c r="AE22" s="53" t="s">
        <v>95</v>
      </c>
      <c r="AF22" s="29"/>
      <c r="AG22" s="30"/>
      <c r="AH22" s="30"/>
      <c r="AI22" s="30"/>
      <c r="AJ22" s="31"/>
      <c r="AK22" s="31"/>
      <c r="AL22" s="31"/>
      <c r="AM22" s="31"/>
      <c r="AN22" s="31"/>
      <c r="AO22" s="31"/>
      <c r="AP22" s="31"/>
      <c r="AQ22" s="35"/>
    </row>
    <row r="23" ht="15.75" customHeight="1">
      <c r="A23" s="38">
        <v>7177.0</v>
      </c>
      <c r="B23" s="26" t="s">
        <v>89</v>
      </c>
      <c r="C23" s="26" t="s">
        <v>90</v>
      </c>
      <c r="D23" s="1" t="s">
        <v>87</v>
      </c>
      <c r="E23" s="26" t="s">
        <v>96</v>
      </c>
      <c r="F23" s="25">
        <v>2021.0</v>
      </c>
      <c r="G23" s="58">
        <v>2026.0</v>
      </c>
      <c r="H23" s="25">
        <v>0.0</v>
      </c>
      <c r="I23" s="25">
        <v>3.1</v>
      </c>
      <c r="J23" s="50">
        <v>1.0</v>
      </c>
      <c r="K23" s="25">
        <v>3.1</v>
      </c>
      <c r="L23" s="51">
        <v>0.0</v>
      </c>
      <c r="M23" s="51">
        <v>0.0</v>
      </c>
      <c r="N23" s="25">
        <v>4.0</v>
      </c>
      <c r="O23" s="25"/>
      <c r="P23" s="26" t="s">
        <v>60</v>
      </c>
      <c r="Q23" s="52">
        <v>112.5</v>
      </c>
      <c r="R23" s="26" t="s">
        <v>52</v>
      </c>
      <c r="S23" s="25">
        <v>2021.0</v>
      </c>
      <c r="T23" s="25">
        <v>3.32</v>
      </c>
      <c r="U23" s="25">
        <f t="shared" si="2"/>
        <v>373.5</v>
      </c>
      <c r="V23" s="24">
        <f t="shared" si="3"/>
        <v>120.483871</v>
      </c>
      <c r="W23" s="3">
        <f t="shared" si="4"/>
        <v>1</v>
      </c>
      <c r="X23" s="3">
        <f t="shared" si="5"/>
        <v>3.1</v>
      </c>
      <c r="Y23" s="3">
        <f t="shared" si="6"/>
        <v>3.1</v>
      </c>
      <c r="Z23" s="25">
        <f t="shared" si="7"/>
        <v>0</v>
      </c>
      <c r="AA23" s="26">
        <f>VLOOKUP(S23,CPI!$A$2:$F$71,6,0)</f>
        <v>1.188745987</v>
      </c>
      <c r="AB23" s="27">
        <f t="shared" si="8"/>
        <v>443.996626</v>
      </c>
      <c r="AC23" s="27">
        <f t="shared" si="9"/>
        <v>143.2247181</v>
      </c>
      <c r="AD23" s="26" t="s">
        <v>36</v>
      </c>
      <c r="AE23" s="53" t="s">
        <v>97</v>
      </c>
      <c r="AF23" s="29"/>
      <c r="AG23" s="30"/>
      <c r="AH23" s="30"/>
      <c r="AI23" s="30"/>
      <c r="AJ23" s="31"/>
      <c r="AK23" s="31"/>
      <c r="AL23" s="31"/>
      <c r="AM23" s="31"/>
      <c r="AN23" s="31"/>
      <c r="AO23" s="31"/>
      <c r="AP23" s="31"/>
      <c r="AQ23" s="35"/>
    </row>
    <row r="24" ht="15.75" customHeight="1">
      <c r="A24" s="38">
        <v>7168.0</v>
      </c>
      <c r="B24" s="26" t="s">
        <v>89</v>
      </c>
      <c r="C24" s="26" t="s">
        <v>90</v>
      </c>
      <c r="D24" s="1" t="s">
        <v>57</v>
      </c>
      <c r="E24" s="26" t="s">
        <v>98</v>
      </c>
      <c r="F24" s="25">
        <v>2009.0</v>
      </c>
      <c r="G24" s="58" t="s">
        <v>99</v>
      </c>
      <c r="H24" s="25">
        <v>0.0</v>
      </c>
      <c r="I24" s="25">
        <v>5.1</v>
      </c>
      <c r="J24" s="50">
        <v>0.6</v>
      </c>
      <c r="K24" s="25">
        <v>3.1</v>
      </c>
      <c r="L24" s="51">
        <v>0.0</v>
      </c>
      <c r="M24" s="51">
        <v>0.0</v>
      </c>
      <c r="N24" s="25">
        <v>4.0</v>
      </c>
      <c r="O24" s="25"/>
      <c r="P24" s="26" t="s">
        <v>59</v>
      </c>
      <c r="Q24" s="52">
        <v>407.0</v>
      </c>
      <c r="R24" s="26" t="s">
        <v>100</v>
      </c>
      <c r="S24" s="25">
        <v>2010.0</v>
      </c>
      <c r="T24" s="25">
        <v>1.69</v>
      </c>
      <c r="U24" s="25">
        <f t="shared" si="2"/>
        <v>687.83</v>
      </c>
      <c r="V24" s="24">
        <f t="shared" si="3"/>
        <v>134.8686275</v>
      </c>
      <c r="W24" s="3">
        <f t="shared" si="4"/>
        <v>1</v>
      </c>
      <c r="X24" s="3">
        <f t="shared" si="5"/>
        <v>5.1</v>
      </c>
      <c r="Y24" s="3">
        <f t="shared" si="6"/>
        <v>3.1</v>
      </c>
      <c r="Z24" s="25">
        <f t="shared" si="7"/>
        <v>0</v>
      </c>
      <c r="AA24" s="26">
        <f>VLOOKUP(S24,CPI!$A$2:$F$71,6,0)</f>
        <v>1.477209983</v>
      </c>
      <c r="AB24" s="27">
        <f t="shared" si="8"/>
        <v>1016.069342</v>
      </c>
      <c r="AC24" s="27">
        <f t="shared" si="9"/>
        <v>199.2292828</v>
      </c>
      <c r="AD24" s="26" t="s">
        <v>42</v>
      </c>
      <c r="AE24" s="57" t="s">
        <v>101</v>
      </c>
      <c r="AF24" s="29"/>
      <c r="AG24" s="30"/>
      <c r="AH24" s="30"/>
      <c r="AI24" s="30"/>
      <c r="AJ24" s="31"/>
      <c r="AK24" s="31"/>
      <c r="AL24" s="31"/>
      <c r="AM24" s="31"/>
      <c r="AN24" s="31"/>
      <c r="AO24" s="31"/>
      <c r="AP24" s="31"/>
      <c r="AQ24" s="35"/>
    </row>
    <row r="25" ht="15.75" customHeight="1">
      <c r="A25" s="14">
        <v>8194.0</v>
      </c>
      <c r="B25" s="15" t="s">
        <v>102</v>
      </c>
      <c r="C25" s="15" t="s">
        <v>103</v>
      </c>
      <c r="D25" s="16" t="s">
        <v>34</v>
      </c>
      <c r="E25" s="15" t="s">
        <v>104</v>
      </c>
      <c r="F25" s="17">
        <v>2018.0</v>
      </c>
      <c r="G25" s="17">
        <v>2023.0</v>
      </c>
      <c r="H25" s="17">
        <v>1.0</v>
      </c>
      <c r="I25" s="18">
        <v>28.6</v>
      </c>
      <c r="J25" s="19">
        <f t="shared" ref="J25:J26" si="10">K25/I25</f>
        <v>0</v>
      </c>
      <c r="K25" s="20">
        <v>0.0</v>
      </c>
      <c r="L25" s="21">
        <v>0.0</v>
      </c>
      <c r="M25" s="21">
        <v>0.0</v>
      </c>
      <c r="N25" s="18">
        <v>20.0</v>
      </c>
      <c r="O25" s="17"/>
      <c r="P25" s="22"/>
      <c r="Q25" s="23">
        <v>453.0</v>
      </c>
      <c r="R25" s="15" t="s">
        <v>78</v>
      </c>
      <c r="S25" s="18">
        <v>2019.0</v>
      </c>
      <c r="T25" s="18">
        <f t="shared" ref="T25:T26" si="11">1/0.2</f>
        <v>5</v>
      </c>
      <c r="U25" s="18">
        <f t="shared" si="2"/>
        <v>2265</v>
      </c>
      <c r="V25" s="24">
        <f t="shared" si="3"/>
        <v>79.1958042</v>
      </c>
      <c r="W25" s="3">
        <f t="shared" si="4"/>
        <v>0</v>
      </c>
      <c r="X25" s="3">
        <f t="shared" si="5"/>
        <v>0</v>
      </c>
      <c r="Y25" s="3">
        <f t="shared" si="6"/>
        <v>0</v>
      </c>
      <c r="Z25" s="25">
        <f t="shared" si="7"/>
        <v>0</v>
      </c>
      <c r="AA25" s="26">
        <f>VLOOKUP(S25,CPI!$A$2:$F$71,6,0)</f>
        <v>1.259947899</v>
      </c>
      <c r="AB25" s="27">
        <f t="shared" si="8"/>
        <v>2853.781991</v>
      </c>
      <c r="AC25" s="27">
        <f t="shared" si="9"/>
        <v>99.7825871</v>
      </c>
      <c r="AD25" s="6" t="s">
        <v>42</v>
      </c>
      <c r="AE25" s="37" t="s">
        <v>105</v>
      </c>
      <c r="AF25" s="29"/>
      <c r="AG25" s="30"/>
      <c r="AH25" s="30"/>
      <c r="AI25" s="30"/>
      <c r="AJ25" s="31"/>
      <c r="AK25" s="31"/>
      <c r="AL25" s="31"/>
      <c r="AM25" s="31"/>
      <c r="AN25" s="31"/>
      <c r="AO25" s="31"/>
      <c r="AP25" s="31"/>
      <c r="AQ25" s="35"/>
    </row>
    <row r="26" ht="15.75" customHeight="1">
      <c r="A26" s="14">
        <v>8195.0</v>
      </c>
      <c r="B26" s="15" t="s">
        <v>102</v>
      </c>
      <c r="C26" s="15" t="s">
        <v>103</v>
      </c>
      <c r="D26" s="15" t="s">
        <v>38</v>
      </c>
      <c r="E26" s="15" t="s">
        <v>38</v>
      </c>
      <c r="F26" s="17">
        <v>2020.0</v>
      </c>
      <c r="G26" s="17" t="s">
        <v>106</v>
      </c>
      <c r="H26" s="17">
        <v>1.0</v>
      </c>
      <c r="I26" s="18">
        <v>72.7</v>
      </c>
      <c r="J26" s="19">
        <f t="shared" si="10"/>
        <v>0</v>
      </c>
      <c r="K26" s="20">
        <v>0.0</v>
      </c>
      <c r="L26" s="21">
        <v>0.0</v>
      </c>
      <c r="M26" s="21">
        <v>0.0</v>
      </c>
      <c r="N26" s="18"/>
      <c r="O26" s="17"/>
      <c r="P26" s="22"/>
      <c r="Q26" s="23">
        <v>1500.0</v>
      </c>
      <c r="R26" s="15" t="s">
        <v>78</v>
      </c>
      <c r="S26" s="18">
        <v>2010.0</v>
      </c>
      <c r="T26" s="18">
        <f t="shared" si="11"/>
        <v>5</v>
      </c>
      <c r="U26" s="18">
        <f t="shared" si="2"/>
        <v>7500</v>
      </c>
      <c r="V26" s="24">
        <f t="shared" si="3"/>
        <v>103.1636864</v>
      </c>
      <c r="W26" s="3">
        <f t="shared" si="4"/>
        <v>0</v>
      </c>
      <c r="X26" s="3">
        <f t="shared" si="5"/>
        <v>0</v>
      </c>
      <c r="Y26" s="3">
        <f t="shared" si="6"/>
        <v>0</v>
      </c>
      <c r="Z26" s="25">
        <f t="shared" si="7"/>
        <v>0</v>
      </c>
      <c r="AA26" s="26">
        <f>VLOOKUP(S26,CPI!$A$2:$F$71,6,0)</f>
        <v>1.477209983</v>
      </c>
      <c r="AB26" s="27">
        <f t="shared" si="8"/>
        <v>11079.07487</v>
      </c>
      <c r="AC26" s="27">
        <f t="shared" si="9"/>
        <v>152.3944274</v>
      </c>
      <c r="AD26" s="6" t="s">
        <v>42</v>
      </c>
      <c r="AE26" s="37" t="s">
        <v>107</v>
      </c>
      <c r="AF26" s="29"/>
      <c r="AG26" s="30"/>
      <c r="AH26" s="30"/>
      <c r="AI26" s="30"/>
      <c r="AJ26" s="31"/>
      <c r="AK26" s="31"/>
      <c r="AL26" s="31"/>
      <c r="AM26" s="32"/>
      <c r="AN26" s="32"/>
      <c r="AO26" s="32"/>
      <c r="AP26" s="32"/>
      <c r="AQ26" s="33"/>
    </row>
    <row r="27" ht="15.75" customHeight="1">
      <c r="A27" s="38">
        <v>9754.0</v>
      </c>
      <c r="B27" s="26" t="s">
        <v>108</v>
      </c>
      <c r="C27" s="26" t="s">
        <v>109</v>
      </c>
      <c r="D27" s="26" t="s">
        <v>110</v>
      </c>
      <c r="E27" s="26" t="s">
        <v>110</v>
      </c>
      <c r="F27" s="25">
        <v>2010.0</v>
      </c>
      <c r="G27" s="25">
        <v>2016.0</v>
      </c>
      <c r="H27" s="25">
        <v>0.0</v>
      </c>
      <c r="I27" s="25">
        <v>16.0</v>
      </c>
      <c r="J27" s="50">
        <v>0.96</v>
      </c>
      <c r="K27" s="25">
        <v>15.4</v>
      </c>
      <c r="L27" s="51">
        <v>0.0</v>
      </c>
      <c r="M27" s="51">
        <v>0.0</v>
      </c>
      <c r="N27" s="25">
        <v>7.0</v>
      </c>
      <c r="O27" s="25"/>
      <c r="P27" s="26" t="s">
        <v>59</v>
      </c>
      <c r="Q27" s="52">
        <v>10300.0</v>
      </c>
      <c r="R27" s="26" t="s">
        <v>111</v>
      </c>
      <c r="S27" s="25">
        <v>2013.0</v>
      </c>
      <c r="T27" s="25">
        <v>0.59</v>
      </c>
      <c r="U27" s="25">
        <f t="shared" si="2"/>
        <v>6077</v>
      </c>
      <c r="V27" s="24">
        <f t="shared" si="3"/>
        <v>379.8125</v>
      </c>
      <c r="W27" s="3">
        <f t="shared" si="4"/>
        <v>0</v>
      </c>
      <c r="X27" s="3">
        <f t="shared" si="5"/>
        <v>0</v>
      </c>
      <c r="Y27" s="3">
        <f t="shared" si="6"/>
        <v>0</v>
      </c>
      <c r="Z27" s="25">
        <f t="shared" si="7"/>
        <v>0</v>
      </c>
      <c r="AA27" s="26">
        <f>VLOOKUP(S27,CPI!$A$2:$F$71,6,0)</f>
        <v>1.382720845</v>
      </c>
      <c r="AB27" s="27">
        <f t="shared" si="8"/>
        <v>8402.794578</v>
      </c>
      <c r="AC27" s="27">
        <f t="shared" si="9"/>
        <v>525.1746611</v>
      </c>
      <c r="AD27" s="26" t="s">
        <v>36</v>
      </c>
      <c r="AE27" s="57" t="s">
        <v>112</v>
      </c>
      <c r="AF27" s="29"/>
      <c r="AG27" s="30"/>
      <c r="AH27" s="30"/>
      <c r="AI27" s="30"/>
      <c r="AJ27" s="31"/>
      <c r="AK27" s="31"/>
      <c r="AL27" s="31"/>
      <c r="AM27" s="60"/>
      <c r="AN27" s="60"/>
      <c r="AO27" s="60"/>
      <c r="AP27" s="60"/>
      <c r="AQ27" s="6"/>
    </row>
    <row r="28" ht="15.75" customHeight="1">
      <c r="A28" s="38">
        <v>7344.0</v>
      </c>
      <c r="B28" s="26" t="s">
        <v>108</v>
      </c>
      <c r="C28" s="26" t="s">
        <v>113</v>
      </c>
      <c r="D28" s="26" t="s">
        <v>114</v>
      </c>
      <c r="E28" s="26" t="s">
        <v>114</v>
      </c>
      <c r="F28" s="25">
        <v>2000.0</v>
      </c>
      <c r="G28" s="25">
        <v>2017.0</v>
      </c>
      <c r="H28" s="25">
        <v>0.0</v>
      </c>
      <c r="I28" s="25">
        <v>33.0</v>
      </c>
      <c r="J28" s="50">
        <v>0.04</v>
      </c>
      <c r="K28" s="25">
        <v>1.4</v>
      </c>
      <c r="L28" s="51">
        <v>10.935</v>
      </c>
      <c r="M28" s="51">
        <v>20.745</v>
      </c>
      <c r="N28" s="25">
        <v>20.0</v>
      </c>
      <c r="O28" s="25"/>
      <c r="P28" s="26" t="s">
        <v>74</v>
      </c>
      <c r="Q28" s="52">
        <v>4800.0</v>
      </c>
      <c r="R28" s="26" t="s">
        <v>111</v>
      </c>
      <c r="S28" s="25">
        <v>2012.0</v>
      </c>
      <c r="T28" s="25">
        <v>0.62</v>
      </c>
      <c r="U28" s="25">
        <f t="shared" si="2"/>
        <v>2976</v>
      </c>
      <c r="V28" s="24">
        <f t="shared" si="3"/>
        <v>90.18181818</v>
      </c>
      <c r="W28" s="3">
        <f t="shared" si="4"/>
        <v>0</v>
      </c>
      <c r="X28" s="3">
        <f t="shared" si="5"/>
        <v>0</v>
      </c>
      <c r="Y28" s="3">
        <f t="shared" si="6"/>
        <v>0</v>
      </c>
      <c r="Z28" s="25">
        <f t="shared" si="7"/>
        <v>0</v>
      </c>
      <c r="AA28" s="26">
        <f>VLOOKUP(S28,CPI!$A$2:$F$71,6,0)</f>
        <v>1.402974381</v>
      </c>
      <c r="AB28" s="27">
        <f t="shared" si="8"/>
        <v>4175.251757</v>
      </c>
      <c r="AC28" s="27">
        <f t="shared" si="9"/>
        <v>126.5227805</v>
      </c>
      <c r="AD28" s="26" t="s">
        <v>42</v>
      </c>
      <c r="AE28" s="57" t="s">
        <v>115</v>
      </c>
      <c r="AF28" s="29"/>
      <c r="AG28" s="30"/>
      <c r="AH28" s="30"/>
      <c r="AI28" s="30"/>
      <c r="AJ28" s="31"/>
      <c r="AK28" s="31"/>
      <c r="AL28" s="31"/>
      <c r="AM28" s="60"/>
      <c r="AN28" s="60"/>
      <c r="AO28" s="60"/>
      <c r="AP28" s="60"/>
      <c r="AQ28" s="6"/>
    </row>
    <row r="29" ht="15.75" customHeight="1">
      <c r="A29" s="61">
        <v>9755.0</v>
      </c>
      <c r="B29" s="26" t="s">
        <v>108</v>
      </c>
      <c r="C29" s="26" t="s">
        <v>113</v>
      </c>
      <c r="D29" s="26" t="s">
        <v>116</v>
      </c>
      <c r="E29" s="26" t="s">
        <v>116</v>
      </c>
      <c r="F29" s="25">
        <v>2020.0</v>
      </c>
      <c r="G29" s="25">
        <v>2022.0</v>
      </c>
      <c r="H29" s="25">
        <v>0.0</v>
      </c>
      <c r="I29" s="25">
        <v>23.3</v>
      </c>
      <c r="J29" s="50">
        <v>0.0</v>
      </c>
      <c r="K29" s="25">
        <v>0.0</v>
      </c>
      <c r="L29" s="51">
        <v>0.0</v>
      </c>
      <c r="M29" s="51">
        <v>0.0</v>
      </c>
      <c r="N29" s="25">
        <v>26.0</v>
      </c>
      <c r="O29" s="25"/>
      <c r="P29" s="26" t="s">
        <v>36</v>
      </c>
      <c r="Q29" s="52">
        <v>689.0</v>
      </c>
      <c r="R29" s="26" t="s">
        <v>37</v>
      </c>
      <c r="S29" s="25">
        <v>2021.0</v>
      </c>
      <c r="T29" s="25">
        <v>2.3</v>
      </c>
      <c r="U29" s="25">
        <f t="shared" si="2"/>
        <v>1584.7</v>
      </c>
      <c r="V29" s="24">
        <f t="shared" si="3"/>
        <v>68.01287554</v>
      </c>
      <c r="W29" s="3">
        <f t="shared" si="4"/>
        <v>0</v>
      </c>
      <c r="X29" s="3">
        <f t="shared" si="5"/>
        <v>0</v>
      </c>
      <c r="Y29" s="3">
        <f t="shared" si="6"/>
        <v>0</v>
      </c>
      <c r="Z29" s="25">
        <f t="shared" si="7"/>
        <v>0</v>
      </c>
      <c r="AA29" s="26">
        <f>VLOOKUP(S29,CPI!$A$2:$F$71,6,0)</f>
        <v>1.188745987</v>
      </c>
      <c r="AB29" s="27">
        <f t="shared" si="8"/>
        <v>1883.805765</v>
      </c>
      <c r="AC29" s="27">
        <f t="shared" si="9"/>
        <v>80.85003283</v>
      </c>
      <c r="AD29" s="26" t="s">
        <v>36</v>
      </c>
      <c r="AE29" s="57" t="s">
        <v>117</v>
      </c>
      <c r="AF29" s="29"/>
      <c r="AG29" s="30"/>
      <c r="AH29" s="30"/>
      <c r="AI29" s="30"/>
      <c r="AJ29" s="31"/>
      <c r="AK29" s="31"/>
      <c r="AL29" s="31"/>
      <c r="AM29" s="60"/>
      <c r="AN29" s="60"/>
      <c r="AO29" s="60"/>
      <c r="AP29" s="60"/>
      <c r="AQ29" s="6"/>
    </row>
    <row r="30" ht="15.75" customHeight="1">
      <c r="A30" s="38">
        <v>7339.0</v>
      </c>
      <c r="B30" s="26" t="s">
        <v>108</v>
      </c>
      <c r="C30" s="26" t="s">
        <v>118</v>
      </c>
      <c r="D30" s="1" t="s">
        <v>84</v>
      </c>
      <c r="E30" s="26" t="s">
        <v>119</v>
      </c>
      <c r="F30" s="25">
        <v>2010.0</v>
      </c>
      <c r="G30" s="25">
        <v>2019.0</v>
      </c>
      <c r="H30" s="25">
        <v>0.0</v>
      </c>
      <c r="I30" s="25">
        <v>12.0</v>
      </c>
      <c r="J30" s="50">
        <v>1.0</v>
      </c>
      <c r="K30" s="25">
        <v>12.0</v>
      </c>
      <c r="L30" s="51">
        <v>0.0</v>
      </c>
      <c r="M30" s="51">
        <v>0.0</v>
      </c>
      <c r="N30" s="25">
        <v>11.0</v>
      </c>
      <c r="O30" s="25"/>
      <c r="P30" s="26" t="s">
        <v>74</v>
      </c>
      <c r="Q30" s="52">
        <v>6900.0</v>
      </c>
      <c r="R30" s="26" t="s">
        <v>111</v>
      </c>
      <c r="S30" s="25">
        <v>2014.0</v>
      </c>
      <c r="T30" s="25">
        <v>0.55</v>
      </c>
      <c r="U30" s="25">
        <f t="shared" si="2"/>
        <v>3795</v>
      </c>
      <c r="V30" s="24">
        <f t="shared" si="3"/>
        <v>316.25</v>
      </c>
      <c r="W30" s="3">
        <f t="shared" si="4"/>
        <v>0</v>
      </c>
      <c r="X30" s="3">
        <f t="shared" si="5"/>
        <v>0</v>
      </c>
      <c r="Y30" s="3">
        <f t="shared" si="6"/>
        <v>0</v>
      </c>
      <c r="Z30" s="25">
        <f t="shared" si="7"/>
        <v>0</v>
      </c>
      <c r="AA30" s="26">
        <f>VLOOKUP(S30,CPI!$A$2:$F$71,6,0)</f>
        <v>1.360648571</v>
      </c>
      <c r="AB30" s="27">
        <f t="shared" si="8"/>
        <v>5163.661325</v>
      </c>
      <c r="AC30" s="27">
        <f t="shared" si="9"/>
        <v>430.3051104</v>
      </c>
      <c r="AD30" s="26" t="s">
        <v>36</v>
      </c>
      <c r="AE30" s="57" t="s">
        <v>120</v>
      </c>
      <c r="AF30" s="29"/>
      <c r="AG30" s="30"/>
      <c r="AH30" s="30"/>
      <c r="AI30" s="30"/>
      <c r="AJ30" s="31"/>
      <c r="AK30" s="31"/>
      <c r="AL30" s="31"/>
      <c r="AM30" s="60"/>
      <c r="AN30" s="60"/>
      <c r="AO30" s="60"/>
      <c r="AP30" s="60"/>
      <c r="AQ30" s="6"/>
    </row>
    <row r="31" ht="15.75" customHeight="1">
      <c r="A31" s="61">
        <v>9756.0</v>
      </c>
      <c r="B31" s="26" t="s">
        <v>108</v>
      </c>
      <c r="C31" s="26" t="s">
        <v>118</v>
      </c>
      <c r="D31" s="26" t="s">
        <v>121</v>
      </c>
      <c r="E31" s="26" t="s">
        <v>121</v>
      </c>
      <c r="F31" s="25">
        <v>2012.0</v>
      </c>
      <c r="G31" s="25">
        <v>2021.0</v>
      </c>
      <c r="H31" s="25">
        <v>0.0</v>
      </c>
      <c r="I31" s="25">
        <v>7.7</v>
      </c>
      <c r="J31" s="50">
        <v>0.0</v>
      </c>
      <c r="K31" s="25">
        <v>0.0</v>
      </c>
      <c r="L31" s="51">
        <v>0.0</v>
      </c>
      <c r="M31" s="51">
        <v>0.0</v>
      </c>
      <c r="N31" s="25">
        <v>8.0</v>
      </c>
      <c r="O31" s="25"/>
      <c r="P31" s="26" t="s">
        <v>36</v>
      </c>
      <c r="Q31" s="52">
        <v>1300.0</v>
      </c>
      <c r="R31" s="26" t="s">
        <v>37</v>
      </c>
      <c r="S31" s="25">
        <v>2016.0</v>
      </c>
      <c r="T31" s="25">
        <v>2.3</v>
      </c>
      <c r="U31" s="25">
        <f t="shared" si="2"/>
        <v>2990</v>
      </c>
      <c r="V31" s="24">
        <f t="shared" si="3"/>
        <v>388.3116883</v>
      </c>
      <c r="W31" s="3">
        <f t="shared" si="4"/>
        <v>0</v>
      </c>
      <c r="X31" s="3">
        <f t="shared" si="5"/>
        <v>0</v>
      </c>
      <c r="Y31" s="3">
        <f t="shared" si="6"/>
        <v>0</v>
      </c>
      <c r="Z31" s="25">
        <f t="shared" si="7"/>
        <v>0</v>
      </c>
      <c r="AA31" s="26">
        <f>VLOOKUP(S31,CPI!$A$2:$F$71,6,0)</f>
        <v>1.342104605</v>
      </c>
      <c r="AB31" s="27">
        <f t="shared" si="8"/>
        <v>4012.89277</v>
      </c>
      <c r="AC31" s="27">
        <f t="shared" si="9"/>
        <v>521.1549052</v>
      </c>
      <c r="AD31" s="26" t="s">
        <v>36</v>
      </c>
      <c r="AE31" s="57" t="s">
        <v>122</v>
      </c>
      <c r="AF31" s="29"/>
      <c r="AG31" s="30"/>
      <c r="AH31" s="30"/>
      <c r="AI31" s="30"/>
      <c r="AJ31" s="31"/>
      <c r="AK31" s="31"/>
      <c r="AL31" s="31"/>
      <c r="AM31" s="60"/>
      <c r="AN31" s="60"/>
      <c r="AO31" s="60"/>
      <c r="AP31" s="60"/>
      <c r="AQ31" s="6"/>
    </row>
    <row r="32" ht="15.75" customHeight="1">
      <c r="A32" s="38">
        <v>7528.0</v>
      </c>
      <c r="B32" s="26" t="s">
        <v>108</v>
      </c>
      <c r="C32" s="26" t="s">
        <v>118</v>
      </c>
      <c r="D32" s="1" t="s">
        <v>80</v>
      </c>
      <c r="E32" s="26" t="s">
        <v>123</v>
      </c>
      <c r="F32" s="25">
        <v>2015.0</v>
      </c>
      <c r="G32" s="25">
        <v>2023.0</v>
      </c>
      <c r="H32" s="25">
        <v>0.0</v>
      </c>
      <c r="I32" s="25">
        <v>15.9</v>
      </c>
      <c r="J32" s="50">
        <v>0.84</v>
      </c>
      <c r="K32" s="25">
        <v>13.4</v>
      </c>
      <c r="L32" s="51">
        <v>0.0</v>
      </c>
      <c r="M32" s="51">
        <v>0.0</v>
      </c>
      <c r="N32" s="25">
        <v>15.0</v>
      </c>
      <c r="O32" s="25"/>
      <c r="P32" s="26" t="s">
        <v>36</v>
      </c>
      <c r="Q32" s="52">
        <v>9600.0</v>
      </c>
      <c r="R32" s="26" t="s">
        <v>111</v>
      </c>
      <c r="S32" s="25">
        <v>2020.0</v>
      </c>
      <c r="T32" s="25">
        <v>0.44</v>
      </c>
      <c r="U32" s="25">
        <f t="shared" si="2"/>
        <v>4224</v>
      </c>
      <c r="V32" s="24">
        <f t="shared" si="3"/>
        <v>265.6603774</v>
      </c>
      <c r="W32" s="3">
        <f t="shared" si="4"/>
        <v>0</v>
      </c>
      <c r="X32" s="3">
        <f t="shared" si="5"/>
        <v>0</v>
      </c>
      <c r="Y32" s="3">
        <f t="shared" si="6"/>
        <v>0</v>
      </c>
      <c r="Z32" s="25">
        <f t="shared" si="7"/>
        <v>0</v>
      </c>
      <c r="AA32" s="26">
        <f>VLOOKUP(S32,CPI!$A$2:$F$71,6,0)</f>
        <v>1.244593545</v>
      </c>
      <c r="AB32" s="27">
        <f t="shared" si="8"/>
        <v>5257.163134</v>
      </c>
      <c r="AC32" s="27">
        <f t="shared" si="9"/>
        <v>330.6391908</v>
      </c>
      <c r="AD32" s="26" t="s">
        <v>36</v>
      </c>
      <c r="AE32" s="57" t="s">
        <v>124</v>
      </c>
      <c r="AF32" s="29"/>
      <c r="AG32" s="30"/>
      <c r="AH32" s="30"/>
      <c r="AI32" s="30"/>
      <c r="AJ32" s="31"/>
      <c r="AK32" s="31"/>
      <c r="AL32" s="31"/>
      <c r="AM32" s="60"/>
      <c r="AN32" s="60"/>
      <c r="AO32" s="60"/>
      <c r="AP32" s="60"/>
      <c r="AQ32" s="6"/>
    </row>
    <row r="33" ht="15.75" customHeight="1">
      <c r="A33" s="61">
        <v>9761.0</v>
      </c>
      <c r="B33" s="26" t="s">
        <v>125</v>
      </c>
      <c r="C33" s="26" t="s">
        <v>126</v>
      </c>
      <c r="D33" s="16" t="s">
        <v>127</v>
      </c>
      <c r="E33" s="26" t="s">
        <v>128</v>
      </c>
      <c r="F33" s="25">
        <v>2021.0</v>
      </c>
      <c r="G33" s="25">
        <v>2027.0</v>
      </c>
      <c r="H33" s="25">
        <v>0.0</v>
      </c>
      <c r="I33" s="25">
        <v>20.0</v>
      </c>
      <c r="J33" s="50">
        <v>0.2</v>
      </c>
      <c r="K33" s="25">
        <v>4.0</v>
      </c>
      <c r="L33" s="51">
        <v>0.0</v>
      </c>
      <c r="M33" s="51">
        <v>0.0</v>
      </c>
      <c r="N33" s="25">
        <v>15.0</v>
      </c>
      <c r="O33" s="25"/>
      <c r="P33" s="26" t="s">
        <v>74</v>
      </c>
      <c r="Q33" s="52">
        <v>5500.0</v>
      </c>
      <c r="R33" s="26" t="s">
        <v>129</v>
      </c>
      <c r="S33" s="25">
        <v>2024.0</v>
      </c>
      <c r="T33" s="25">
        <v>0.84</v>
      </c>
      <c r="U33" s="25">
        <f t="shared" si="2"/>
        <v>4620</v>
      </c>
      <c r="V33" s="24">
        <f t="shared" si="3"/>
        <v>231</v>
      </c>
      <c r="W33" s="3">
        <f t="shared" si="4"/>
        <v>0</v>
      </c>
      <c r="X33" s="3">
        <f t="shared" si="5"/>
        <v>0</v>
      </c>
      <c r="Y33" s="3">
        <f t="shared" si="6"/>
        <v>0</v>
      </c>
      <c r="Z33" s="25">
        <f t="shared" si="7"/>
        <v>1</v>
      </c>
      <c r="AA33" s="26">
        <f>VLOOKUP(S33,CPI!$A$2:$F$71,6,0)</f>
        <v>1</v>
      </c>
      <c r="AB33" s="27">
        <f t="shared" si="8"/>
        <v>4620</v>
      </c>
      <c r="AC33" s="27">
        <f t="shared" si="9"/>
        <v>231</v>
      </c>
      <c r="AD33" s="26" t="s">
        <v>42</v>
      </c>
      <c r="AE33" s="57" t="s">
        <v>130</v>
      </c>
      <c r="AF33" s="29"/>
      <c r="AG33" s="30"/>
      <c r="AH33" s="30"/>
      <c r="AI33" s="30"/>
      <c r="AJ33" s="31"/>
      <c r="AK33" s="31"/>
      <c r="AL33" s="31"/>
      <c r="AM33" s="60"/>
      <c r="AN33" s="60"/>
      <c r="AO33" s="60"/>
      <c r="AP33" s="60"/>
      <c r="AQ33" s="6"/>
    </row>
    <row r="34" ht="15.75" customHeight="1">
      <c r="A34" s="62">
        <v>7106.0</v>
      </c>
      <c r="B34" s="63" t="s">
        <v>125</v>
      </c>
      <c r="C34" s="63" t="s">
        <v>126</v>
      </c>
      <c r="D34" s="1" t="s">
        <v>131</v>
      </c>
      <c r="E34" s="63" t="s">
        <v>132</v>
      </c>
      <c r="F34" s="58">
        <v>2027.0</v>
      </c>
      <c r="G34" s="58" t="s">
        <v>133</v>
      </c>
      <c r="H34" s="58">
        <v>0.0</v>
      </c>
      <c r="I34" s="58">
        <v>1.0</v>
      </c>
      <c r="J34" s="59">
        <v>0.0</v>
      </c>
      <c r="K34" s="58">
        <v>0.0</v>
      </c>
      <c r="L34" s="58">
        <v>0.0</v>
      </c>
      <c r="M34" s="58">
        <v>1.0</v>
      </c>
      <c r="N34" s="58">
        <v>1.0</v>
      </c>
      <c r="O34" s="58">
        <v>40.0</v>
      </c>
      <c r="P34" s="63" t="s">
        <v>60</v>
      </c>
      <c r="Q34" s="55">
        <v>160.6</v>
      </c>
      <c r="R34" s="63" t="s">
        <v>129</v>
      </c>
      <c r="S34" s="58">
        <v>2027.0</v>
      </c>
      <c r="T34" s="58">
        <v>1.0</v>
      </c>
      <c r="U34" s="25">
        <f t="shared" si="2"/>
        <v>160.6</v>
      </c>
      <c r="V34" s="24">
        <f t="shared" si="3"/>
        <v>160.6</v>
      </c>
      <c r="W34" s="3">
        <f t="shared" si="4"/>
        <v>0</v>
      </c>
      <c r="X34" s="3">
        <f t="shared" si="5"/>
        <v>0</v>
      </c>
      <c r="Y34" s="3">
        <f t="shared" si="6"/>
        <v>0</v>
      </c>
      <c r="Z34" s="58">
        <v>1.0</v>
      </c>
      <c r="AA34" s="26">
        <f>VLOOKUP(S34,CPI!$A$2:$F$71,6,0)</f>
        <v>1</v>
      </c>
      <c r="AB34" s="27">
        <f t="shared" si="8"/>
        <v>160.6</v>
      </c>
      <c r="AC34" s="27">
        <f t="shared" si="9"/>
        <v>160.6</v>
      </c>
      <c r="AD34" s="26"/>
      <c r="AE34" s="64"/>
      <c r="AF34" s="29"/>
      <c r="AG34" s="30"/>
      <c r="AH34" s="30"/>
      <c r="AI34" s="30"/>
      <c r="AJ34" s="31"/>
      <c r="AK34" s="31"/>
      <c r="AL34" s="31"/>
      <c r="AM34" s="60"/>
      <c r="AN34" s="60"/>
      <c r="AO34" s="60"/>
      <c r="AP34" s="60"/>
      <c r="AQ34" s="6"/>
    </row>
    <row r="35" ht="15.75" customHeight="1">
      <c r="A35" s="65"/>
      <c r="B35" s="66" t="s">
        <v>125</v>
      </c>
      <c r="C35" s="67" t="s">
        <v>134</v>
      </c>
      <c r="D35" s="67" t="s">
        <v>135</v>
      </c>
      <c r="E35" s="68" t="s">
        <v>136</v>
      </c>
      <c r="F35" s="69">
        <v>2016.0</v>
      </c>
      <c r="G35" s="69">
        <v>2023.0</v>
      </c>
      <c r="H35" s="70">
        <v>0.0</v>
      </c>
      <c r="I35" s="69">
        <v>13.1</v>
      </c>
      <c r="J35" s="71">
        <v>0.03</v>
      </c>
      <c r="K35" s="69">
        <v>0.4</v>
      </c>
      <c r="L35" s="54"/>
      <c r="M35" s="54"/>
      <c r="N35" s="69">
        <v>12.0</v>
      </c>
      <c r="O35" s="69">
        <v>125.0</v>
      </c>
      <c r="P35" s="72" t="s">
        <v>74</v>
      </c>
      <c r="Q35" s="73">
        <v>1800.0</v>
      </c>
      <c r="R35" s="74" t="s">
        <v>129</v>
      </c>
      <c r="S35" s="69">
        <v>2019.0</v>
      </c>
      <c r="T35" s="69">
        <v>0.802</v>
      </c>
      <c r="U35" s="75">
        <f t="shared" si="2"/>
        <v>1443.6</v>
      </c>
      <c r="V35" s="76">
        <f t="shared" si="3"/>
        <v>110.1984733</v>
      </c>
      <c r="W35" s="69">
        <f t="shared" si="4"/>
        <v>0</v>
      </c>
      <c r="X35" s="69">
        <f t="shared" si="5"/>
        <v>0</v>
      </c>
      <c r="Y35" s="69">
        <f t="shared" si="6"/>
        <v>0</v>
      </c>
      <c r="Z35" s="77">
        <f>IF(OR(B35 = "US",B35 = "CA",B35 = "UK",B35 = "NZ",B35 = "AU",B35 = "SG"), 1, 0)</f>
        <v>1</v>
      </c>
      <c r="AA35" s="26">
        <f>VLOOKUP(S35,CPI!$A$2:$F$71,6,0)</f>
        <v>1.259947899</v>
      </c>
      <c r="AB35" s="78">
        <f t="shared" si="8"/>
        <v>1818.860787</v>
      </c>
      <c r="AC35" s="78">
        <f t="shared" si="9"/>
        <v>138.8443349</v>
      </c>
      <c r="AD35" s="72" t="s">
        <v>42</v>
      </c>
      <c r="AE35" s="79" t="s">
        <v>137</v>
      </c>
      <c r="AF35" s="80"/>
      <c r="AG35" s="81"/>
      <c r="AH35" s="81"/>
      <c r="AI35" s="81"/>
      <c r="AJ35" s="81"/>
      <c r="AK35" s="81"/>
      <c r="AL35" s="81"/>
      <c r="AM35" s="31"/>
      <c r="AN35" s="31"/>
      <c r="AO35" s="31"/>
      <c r="AP35" s="31"/>
      <c r="AQ35" s="35"/>
    </row>
    <row r="36" ht="15.75" customHeight="1">
      <c r="A36" s="62">
        <v>7104.0</v>
      </c>
      <c r="B36" s="63" t="s">
        <v>125</v>
      </c>
      <c r="C36" s="63" t="s">
        <v>134</v>
      </c>
      <c r="D36" s="1" t="s">
        <v>138</v>
      </c>
      <c r="E36" s="63" t="s">
        <v>139</v>
      </c>
      <c r="F36" s="58">
        <v>2020.0</v>
      </c>
      <c r="G36" s="58">
        <v>2024.0</v>
      </c>
      <c r="H36" s="58">
        <v>0.0</v>
      </c>
      <c r="I36" s="58">
        <v>1.6</v>
      </c>
      <c r="J36" s="59">
        <v>0.0</v>
      </c>
      <c r="K36" s="58">
        <v>0.0</v>
      </c>
      <c r="L36" s="58">
        <v>0.0</v>
      </c>
      <c r="M36" s="58">
        <v>1.6</v>
      </c>
      <c r="N36" s="58">
        <v>2.0</v>
      </c>
      <c r="O36" s="69">
        <v>125.0</v>
      </c>
      <c r="P36" s="63" t="s">
        <v>60</v>
      </c>
      <c r="Q36" s="55">
        <v>291.0</v>
      </c>
      <c r="R36" s="63" t="s">
        <v>129</v>
      </c>
      <c r="S36" s="58">
        <v>2020.0</v>
      </c>
      <c r="T36" s="82">
        <v>0.81</v>
      </c>
      <c r="U36" s="75">
        <f t="shared" si="2"/>
        <v>235.71</v>
      </c>
      <c r="V36" s="76">
        <f t="shared" si="3"/>
        <v>147.31875</v>
      </c>
      <c r="W36" s="3"/>
      <c r="X36" s="3"/>
      <c r="Y36" s="3"/>
      <c r="Z36" s="58">
        <v>1.0</v>
      </c>
      <c r="AA36" s="26">
        <f>VLOOKUP(S36,CPI!$A$2:$F$71,6,0)</f>
        <v>1.244593545</v>
      </c>
      <c r="AB36" s="78">
        <f t="shared" si="8"/>
        <v>293.3631445</v>
      </c>
      <c r="AC36" s="78">
        <f t="shared" si="9"/>
        <v>183.3519653</v>
      </c>
      <c r="AD36" s="26"/>
      <c r="AE36" s="83" t="s">
        <v>140</v>
      </c>
      <c r="AF36" s="29"/>
      <c r="AG36" s="30"/>
      <c r="AH36" s="30"/>
      <c r="AI36" s="30"/>
      <c r="AJ36" s="31"/>
      <c r="AK36" s="31"/>
      <c r="AL36" s="31"/>
      <c r="AM36" s="31"/>
      <c r="AN36" s="31"/>
      <c r="AO36" s="31"/>
      <c r="AP36" s="31"/>
      <c r="AQ36" s="35"/>
    </row>
    <row r="37" ht="15.75" customHeight="1">
      <c r="A37" s="84">
        <v>7103.0</v>
      </c>
      <c r="B37" s="63" t="s">
        <v>125</v>
      </c>
      <c r="C37" s="63" t="s">
        <v>134</v>
      </c>
      <c r="D37" s="1" t="s">
        <v>141</v>
      </c>
      <c r="E37" s="63" t="s">
        <v>142</v>
      </c>
      <c r="F37" s="58">
        <v>2022.0</v>
      </c>
      <c r="G37" s="58">
        <v>2028.0</v>
      </c>
      <c r="H37" s="58">
        <v>0.0</v>
      </c>
      <c r="I37" s="58">
        <v>14.0</v>
      </c>
      <c r="J37" s="59">
        <v>0.0</v>
      </c>
      <c r="K37" s="58">
        <v>0.0</v>
      </c>
      <c r="L37" s="58">
        <v>2.1</v>
      </c>
      <c r="M37" s="58">
        <f>14-2.1</f>
        <v>11.9</v>
      </c>
      <c r="N37" s="58">
        <v>14.0</v>
      </c>
      <c r="O37" s="69">
        <v>125.0</v>
      </c>
      <c r="P37" s="63" t="s">
        <v>60</v>
      </c>
      <c r="Q37" s="55">
        <v>2700.0</v>
      </c>
      <c r="R37" s="63" t="s">
        <v>129</v>
      </c>
      <c r="S37" s="58">
        <v>2022.0</v>
      </c>
      <c r="T37" s="58">
        <v>0.88</v>
      </c>
      <c r="U37" s="25">
        <f t="shared" si="2"/>
        <v>2376</v>
      </c>
      <c r="V37" s="24">
        <f t="shared" si="3"/>
        <v>169.7142857</v>
      </c>
      <c r="W37" s="85">
        <v>0.0</v>
      </c>
      <c r="X37" s="3"/>
      <c r="Y37" s="3"/>
      <c r="Z37" s="58">
        <v>1.0</v>
      </c>
      <c r="AA37" s="26">
        <f>VLOOKUP(S37,CPI!$A$2:$F$71,6,0)</f>
        <v>1.100662897</v>
      </c>
      <c r="AB37" s="78">
        <f t="shared" si="8"/>
        <v>2615.175042</v>
      </c>
      <c r="AC37" s="78">
        <f t="shared" si="9"/>
        <v>186.7982173</v>
      </c>
      <c r="AD37" s="63" t="s">
        <v>42</v>
      </c>
      <c r="AE37" s="86" t="s">
        <v>143</v>
      </c>
      <c r="AF37" s="29"/>
      <c r="AG37" s="30"/>
      <c r="AH37" s="30"/>
      <c r="AI37" s="30"/>
      <c r="AJ37" s="31"/>
      <c r="AK37" s="31"/>
      <c r="AL37" s="31"/>
      <c r="AM37" s="31"/>
      <c r="AN37" s="31"/>
      <c r="AO37" s="31"/>
      <c r="AP37" s="31"/>
      <c r="AQ37" s="35"/>
    </row>
    <row r="38" ht="15.75" customHeight="1">
      <c r="A38" s="62">
        <v>7116.0</v>
      </c>
      <c r="B38" s="63" t="s">
        <v>125</v>
      </c>
      <c r="C38" s="63" t="s">
        <v>144</v>
      </c>
      <c r="D38" s="1" t="s">
        <v>145</v>
      </c>
      <c r="E38" s="63" t="s">
        <v>34</v>
      </c>
      <c r="F38" s="58">
        <v>2025.0</v>
      </c>
      <c r="G38" s="58">
        <v>2029.0</v>
      </c>
      <c r="H38" s="58">
        <v>0.0</v>
      </c>
      <c r="I38" s="58">
        <v>14.0</v>
      </c>
      <c r="J38" s="59">
        <v>0.0</v>
      </c>
      <c r="K38" s="58">
        <v>0.0</v>
      </c>
      <c r="L38" s="58">
        <v>0.0</v>
      </c>
      <c r="M38" s="58">
        <v>14.0</v>
      </c>
      <c r="N38" s="58">
        <v>17.0</v>
      </c>
      <c r="O38" s="58">
        <v>50.0</v>
      </c>
      <c r="P38" s="26" t="s">
        <v>60</v>
      </c>
      <c r="Q38" s="55">
        <v>3400.0</v>
      </c>
      <c r="R38" s="63" t="s">
        <v>129</v>
      </c>
      <c r="S38" s="58">
        <v>2025.0</v>
      </c>
      <c r="T38" s="58">
        <v>1.0</v>
      </c>
      <c r="U38" s="25">
        <f t="shared" si="2"/>
        <v>3400</v>
      </c>
      <c r="V38" s="24">
        <f t="shared" si="3"/>
        <v>242.8571429</v>
      </c>
      <c r="W38" s="3"/>
      <c r="X38" s="3"/>
      <c r="Y38" s="3"/>
      <c r="Z38" s="25"/>
      <c r="AA38" s="26">
        <f>VLOOKUP(S38,CPI!$A$2:$F$71,6,0)</f>
        <v>1</v>
      </c>
      <c r="AB38" s="27">
        <f t="shared" si="8"/>
        <v>3400</v>
      </c>
      <c r="AC38" s="27">
        <f t="shared" si="9"/>
        <v>242.8571429</v>
      </c>
      <c r="AD38" s="63" t="s">
        <v>42</v>
      </c>
      <c r="AE38" s="87" t="s">
        <v>146</v>
      </c>
      <c r="AF38" s="29"/>
      <c r="AG38" s="30"/>
      <c r="AH38" s="30"/>
      <c r="AI38" s="30"/>
      <c r="AJ38" s="31"/>
      <c r="AK38" s="31"/>
      <c r="AL38" s="31"/>
      <c r="AM38" s="31"/>
      <c r="AN38" s="31"/>
      <c r="AO38" s="31"/>
      <c r="AP38" s="31"/>
      <c r="AQ38" s="35"/>
    </row>
    <row r="39" ht="15.75" customHeight="1">
      <c r="A39" s="62">
        <v>7114.0</v>
      </c>
      <c r="B39" s="63" t="s">
        <v>125</v>
      </c>
      <c r="C39" s="63" t="s">
        <v>147</v>
      </c>
      <c r="D39" s="1" t="s">
        <v>148</v>
      </c>
      <c r="E39" s="63" t="s">
        <v>34</v>
      </c>
      <c r="F39" s="58">
        <v>2020.0</v>
      </c>
      <c r="G39" s="58">
        <v>2027.0</v>
      </c>
      <c r="H39" s="58">
        <v>0.0</v>
      </c>
      <c r="I39" s="58">
        <v>18.0</v>
      </c>
      <c r="J39" s="50">
        <f>(1/19)%</f>
        <v>0.0005263157895</v>
      </c>
      <c r="K39" s="58">
        <v>1.0</v>
      </c>
      <c r="L39" s="58"/>
      <c r="M39" s="58">
        <v>18.0</v>
      </c>
      <c r="N39" s="58">
        <v>19.0</v>
      </c>
      <c r="O39" s="58">
        <v>50.0</v>
      </c>
      <c r="P39" s="63" t="s">
        <v>60</v>
      </c>
      <c r="Q39" s="55">
        <v>4700.0</v>
      </c>
      <c r="R39" s="63" t="s">
        <v>129</v>
      </c>
      <c r="S39" s="58">
        <v>2020.0</v>
      </c>
      <c r="T39" s="25">
        <v>0.84</v>
      </c>
      <c r="U39" s="25">
        <f t="shared" si="2"/>
        <v>3948</v>
      </c>
      <c r="V39" s="24">
        <f t="shared" si="3"/>
        <v>219.3333333</v>
      </c>
      <c r="W39" s="3"/>
      <c r="X39" s="3"/>
      <c r="Y39" s="3"/>
      <c r="Z39" s="25"/>
      <c r="AA39" s="26">
        <f>VLOOKUP(S39,CPI!$A$2:$F$71,6,0)</f>
        <v>1.244593545</v>
      </c>
      <c r="AB39" s="27">
        <f t="shared" si="8"/>
        <v>4913.655316</v>
      </c>
      <c r="AC39" s="27">
        <f t="shared" si="9"/>
        <v>272.9808509</v>
      </c>
      <c r="AD39" s="63" t="s">
        <v>42</v>
      </c>
      <c r="AE39" s="88" t="s">
        <v>149</v>
      </c>
      <c r="AF39" s="29"/>
      <c r="AG39" s="30"/>
      <c r="AH39" s="30"/>
      <c r="AI39" s="30"/>
      <c r="AJ39" s="31"/>
      <c r="AK39" s="31"/>
      <c r="AL39" s="31"/>
      <c r="AM39" s="31"/>
      <c r="AN39" s="31"/>
      <c r="AO39" s="31"/>
      <c r="AP39" s="31"/>
      <c r="AQ39" s="35"/>
    </row>
    <row r="40" ht="15.75" customHeight="1">
      <c r="A40" s="38">
        <v>7401.0</v>
      </c>
      <c r="B40" s="26" t="s">
        <v>125</v>
      </c>
      <c r="C40" s="26" t="s">
        <v>150</v>
      </c>
      <c r="D40" s="26" t="s">
        <v>151</v>
      </c>
      <c r="E40" s="26" t="s">
        <v>151</v>
      </c>
      <c r="F40" s="25">
        <v>2001.0</v>
      </c>
      <c r="G40" s="25">
        <v>2007.0</v>
      </c>
      <c r="H40" s="25">
        <v>0.0</v>
      </c>
      <c r="I40" s="25">
        <v>5.2</v>
      </c>
      <c r="J40" s="50">
        <v>1.0</v>
      </c>
      <c r="K40" s="25">
        <v>5.2</v>
      </c>
      <c r="L40" s="51">
        <v>0.0</v>
      </c>
      <c r="M40" s="51">
        <v>0.0</v>
      </c>
      <c r="N40" s="25">
        <v>3.0</v>
      </c>
      <c r="O40" s="25"/>
      <c r="P40" s="26" t="s">
        <v>74</v>
      </c>
      <c r="Q40" s="52">
        <v>745.0</v>
      </c>
      <c r="R40" s="26" t="s">
        <v>129</v>
      </c>
      <c r="S40" s="25">
        <v>2004.0</v>
      </c>
      <c r="T40" s="25">
        <v>0.81</v>
      </c>
      <c r="U40" s="25">
        <f t="shared" si="2"/>
        <v>603.45</v>
      </c>
      <c r="V40" s="24">
        <f t="shared" si="3"/>
        <v>116.0480769</v>
      </c>
      <c r="W40" s="3">
        <f t="shared" ref="W40:W41" si="12">IF(OR(B40 = "BG",B40 = "GR",B40 = "IT",B40 = "ES",B40 = "PT",B40 = "TR", B40 = "KR",B40 = "SE",B40 = "CH",B40 = "NO",B40 = "DK",B40 = "FI"), 1, 0)</f>
        <v>0</v>
      </c>
      <c r="X40" s="3">
        <f t="shared" ref="X40:X41" si="13">W40*I40</f>
        <v>0</v>
      </c>
      <c r="Y40" s="3">
        <f t="shared" ref="Y40:Y41" si="14">W40*K40</f>
        <v>0</v>
      </c>
      <c r="Z40" s="25">
        <f t="shared" ref="Z40:Z41" si="15">IF(OR(B40 = "US",B40 = "CA",B40 = "UK",B40 = "NZ",B40 = "AU",B40 = "SG"), 1, 0)</f>
        <v>1</v>
      </c>
      <c r="AA40" s="26">
        <f>VLOOKUP(S40,CPI!$A$2:$F$71,6,0)</f>
        <v>1.705211752</v>
      </c>
      <c r="AB40" s="27">
        <f t="shared" si="8"/>
        <v>1029.010032</v>
      </c>
      <c r="AC40" s="27">
        <f t="shared" si="9"/>
        <v>197.8865446</v>
      </c>
      <c r="AD40" s="26" t="s">
        <v>42</v>
      </c>
      <c r="AE40" s="53" t="s">
        <v>152</v>
      </c>
      <c r="AF40" s="89"/>
      <c r="AG40" s="90"/>
      <c r="AH40" s="90"/>
      <c r="AI40" s="90"/>
      <c r="AJ40" s="91"/>
      <c r="AK40" s="91"/>
      <c r="AL40" s="91"/>
      <c r="AM40" s="31"/>
      <c r="AN40" s="31"/>
      <c r="AO40" s="31"/>
      <c r="AP40" s="31"/>
      <c r="AQ40" s="35"/>
    </row>
    <row r="41" ht="15.75" customHeight="1">
      <c r="A41" s="63">
        <v>7146.0</v>
      </c>
      <c r="B41" s="26" t="s">
        <v>125</v>
      </c>
      <c r="C41" s="26" t="s">
        <v>150</v>
      </c>
      <c r="D41" s="63" t="s">
        <v>153</v>
      </c>
      <c r="E41" s="63" t="s">
        <v>153</v>
      </c>
      <c r="F41" s="25">
        <v>2020.0</v>
      </c>
      <c r="G41" s="25">
        <v>2026.0</v>
      </c>
      <c r="H41" s="58">
        <v>0.0</v>
      </c>
      <c r="I41" s="25">
        <v>5.8</v>
      </c>
      <c r="J41" s="50">
        <v>1.0</v>
      </c>
      <c r="K41" s="25">
        <v>5.8</v>
      </c>
      <c r="L41" s="51">
        <v>0.0</v>
      </c>
      <c r="M41" s="51">
        <v>0.0</v>
      </c>
      <c r="N41" s="25">
        <v>5.0</v>
      </c>
      <c r="O41" s="25"/>
      <c r="P41" s="26" t="s">
        <v>42</v>
      </c>
      <c r="Q41" s="55">
        <v>7600.0</v>
      </c>
      <c r="R41" s="63" t="s">
        <v>129</v>
      </c>
      <c r="S41" s="25">
        <v>2018.0</v>
      </c>
      <c r="T41" s="25">
        <v>0.84</v>
      </c>
      <c r="U41" s="25">
        <f t="shared" si="2"/>
        <v>6384</v>
      </c>
      <c r="V41" s="24">
        <f t="shared" si="3"/>
        <v>1100.689655</v>
      </c>
      <c r="W41" s="3">
        <f t="shared" si="12"/>
        <v>0</v>
      </c>
      <c r="X41" s="3">
        <f t="shared" si="13"/>
        <v>0</v>
      </c>
      <c r="Y41" s="3">
        <f t="shared" si="14"/>
        <v>0</v>
      </c>
      <c r="Z41" s="25">
        <f t="shared" si="15"/>
        <v>1</v>
      </c>
      <c r="AA41" s="26">
        <f>VLOOKUP(S41,CPI!$A$2:$F$71,6,0)</f>
        <v>1.28277786</v>
      </c>
      <c r="AB41" s="27">
        <f t="shared" si="8"/>
        <v>8189.253856</v>
      </c>
      <c r="AC41" s="27">
        <f t="shared" si="9"/>
        <v>1411.94032</v>
      </c>
      <c r="AD41" s="26" t="s">
        <v>42</v>
      </c>
      <c r="AE41" s="87" t="s">
        <v>154</v>
      </c>
      <c r="AF41" s="29"/>
      <c r="AG41" s="30"/>
      <c r="AH41" s="30"/>
      <c r="AI41" s="30"/>
      <c r="AJ41" s="31"/>
      <c r="AK41" s="31"/>
      <c r="AL41" s="31"/>
      <c r="AM41" s="92"/>
      <c r="AN41" s="92"/>
      <c r="AO41" s="92"/>
      <c r="AP41" s="92"/>
      <c r="AQ41" s="3"/>
    </row>
    <row r="42" ht="15.75" customHeight="1">
      <c r="A42" s="84">
        <v>7130.0</v>
      </c>
      <c r="B42" s="26" t="s">
        <v>125</v>
      </c>
      <c r="C42" s="26" t="s">
        <v>150</v>
      </c>
      <c r="D42" s="63" t="s">
        <v>155</v>
      </c>
      <c r="E42" s="63" t="s">
        <v>34</v>
      </c>
      <c r="F42" s="58">
        <v>2025.0</v>
      </c>
      <c r="G42" s="58">
        <v>2033.0</v>
      </c>
      <c r="H42" s="58">
        <v>0.0</v>
      </c>
      <c r="I42" s="58">
        <v>31.0</v>
      </c>
      <c r="J42" s="59">
        <v>0.0</v>
      </c>
      <c r="K42" s="58">
        <v>0.0</v>
      </c>
      <c r="L42" s="58">
        <v>0.0</v>
      </c>
      <c r="M42" s="58">
        <v>31.0</v>
      </c>
      <c r="N42" s="58" t="s">
        <v>156</v>
      </c>
      <c r="O42" s="25"/>
      <c r="P42" s="63" t="s">
        <v>60</v>
      </c>
      <c r="Q42" s="55">
        <v>19000.0</v>
      </c>
      <c r="R42" s="63" t="s">
        <v>129</v>
      </c>
      <c r="S42" s="58">
        <v>2025.0</v>
      </c>
      <c r="T42" s="58">
        <v>1.0</v>
      </c>
      <c r="U42" s="58">
        <v>19000.0</v>
      </c>
      <c r="V42" s="24">
        <f t="shared" si="3"/>
        <v>612.9032258</v>
      </c>
      <c r="W42" s="3"/>
      <c r="X42" s="3"/>
      <c r="Y42" s="3"/>
      <c r="Z42" s="58">
        <v>0.0</v>
      </c>
      <c r="AA42" s="26">
        <f>VLOOKUP(S42,CPI!$A$2:$F$71,6,0)</f>
        <v>1</v>
      </c>
      <c r="AB42" s="27">
        <f t="shared" si="8"/>
        <v>19000</v>
      </c>
      <c r="AC42" s="27">
        <f t="shared" si="9"/>
        <v>612.9032258</v>
      </c>
      <c r="AD42" s="63" t="s">
        <v>42</v>
      </c>
      <c r="AE42" s="93" t="s">
        <v>157</v>
      </c>
      <c r="AF42" s="29"/>
      <c r="AG42" s="30"/>
      <c r="AH42" s="30"/>
      <c r="AI42" s="30"/>
      <c r="AJ42" s="31"/>
      <c r="AK42" s="31"/>
      <c r="AL42" s="31"/>
      <c r="AM42" s="32"/>
      <c r="AN42" s="32"/>
      <c r="AO42" s="32"/>
      <c r="AP42" s="32"/>
      <c r="AQ42" s="33"/>
    </row>
    <row r="43" ht="15.75" customHeight="1">
      <c r="A43" s="62">
        <v>7125.0</v>
      </c>
      <c r="B43" s="26" t="s">
        <v>125</v>
      </c>
      <c r="C43" s="26" t="s">
        <v>150</v>
      </c>
      <c r="D43" s="63" t="s">
        <v>158</v>
      </c>
      <c r="E43" s="63" t="s">
        <v>159</v>
      </c>
      <c r="F43" s="58">
        <v>2018.0</v>
      </c>
      <c r="G43" s="58">
        <v>2027.0</v>
      </c>
      <c r="H43" s="58">
        <v>0.0</v>
      </c>
      <c r="I43" s="58">
        <v>67.0</v>
      </c>
      <c r="J43" s="50">
        <f>10.5/67</f>
        <v>0.1567164179</v>
      </c>
      <c r="K43" s="58">
        <v>10.5</v>
      </c>
      <c r="L43" s="58">
        <v>16.3</v>
      </c>
      <c r="M43" s="58">
        <v>36.7</v>
      </c>
      <c r="N43" s="58">
        <v>24.0</v>
      </c>
      <c r="O43" s="58">
        <v>26.0</v>
      </c>
      <c r="P43" s="63" t="s">
        <v>60</v>
      </c>
      <c r="Q43" s="55">
        <v>9400.0</v>
      </c>
      <c r="R43" s="63" t="s">
        <v>129</v>
      </c>
      <c r="S43" s="58">
        <v>2018.0</v>
      </c>
      <c r="T43" s="25">
        <v>0.84</v>
      </c>
      <c r="U43" s="25">
        <f t="shared" ref="U43:U60" si="17">Q43*T43</f>
        <v>7896</v>
      </c>
      <c r="V43" s="24">
        <f t="shared" si="3"/>
        <v>117.8507463</v>
      </c>
      <c r="W43" s="85">
        <v>0.0</v>
      </c>
      <c r="X43" s="3">
        <f t="shared" ref="X43:Y43" si="16">W43*I43</f>
        <v>0</v>
      </c>
      <c r="Y43" s="3">
        <f t="shared" si="16"/>
        <v>0</v>
      </c>
      <c r="Z43" s="58">
        <v>1.0</v>
      </c>
      <c r="AA43" s="26">
        <f>VLOOKUP(S43,CPI!$A$2:$F$71,6,0)</f>
        <v>1.28277786</v>
      </c>
      <c r="AB43" s="27">
        <f t="shared" si="8"/>
        <v>10128.81398</v>
      </c>
      <c r="AC43" s="27">
        <f t="shared" si="9"/>
        <v>151.1763281</v>
      </c>
      <c r="AD43" s="63" t="s">
        <v>42</v>
      </c>
      <c r="AE43" s="87" t="s">
        <v>160</v>
      </c>
      <c r="AF43" s="29"/>
      <c r="AG43" s="30"/>
      <c r="AH43" s="30"/>
      <c r="AI43" s="30"/>
      <c r="AJ43" s="31"/>
      <c r="AK43" s="31"/>
      <c r="AL43" s="31"/>
      <c r="AM43" s="32"/>
      <c r="AN43" s="32"/>
      <c r="AO43" s="32"/>
      <c r="AP43" s="32"/>
      <c r="AQ43" s="33"/>
    </row>
    <row r="44" ht="15.75" customHeight="1">
      <c r="A44" s="94">
        <v>7117.0</v>
      </c>
      <c r="B44" s="26" t="s">
        <v>125</v>
      </c>
      <c r="C44" s="26" t="s">
        <v>161</v>
      </c>
      <c r="D44" s="26" t="s">
        <v>162</v>
      </c>
      <c r="E44" s="26" t="s">
        <v>162</v>
      </c>
      <c r="F44" s="25">
        <v>2013.0</v>
      </c>
      <c r="G44" s="25">
        <v>2019.0</v>
      </c>
      <c r="H44" s="25">
        <v>0.0</v>
      </c>
      <c r="I44" s="25">
        <v>12.5</v>
      </c>
      <c r="J44" s="50">
        <v>0.2</v>
      </c>
      <c r="K44" s="25">
        <v>2.5</v>
      </c>
      <c r="L44" s="51">
        <v>0.84</v>
      </c>
      <c r="M44" s="51">
        <v>9.16</v>
      </c>
      <c r="N44" s="25">
        <v>13.0</v>
      </c>
      <c r="O44" s="58" t="s">
        <v>163</v>
      </c>
      <c r="P44" s="26" t="s">
        <v>36</v>
      </c>
      <c r="Q44" s="52">
        <v>2100.0</v>
      </c>
      <c r="R44" s="63" t="s">
        <v>129</v>
      </c>
      <c r="S44" s="25">
        <v>2016.0</v>
      </c>
      <c r="T44" s="25">
        <v>0.83</v>
      </c>
      <c r="U44" s="25">
        <f t="shared" si="17"/>
        <v>1743</v>
      </c>
      <c r="V44" s="24">
        <f t="shared" si="3"/>
        <v>139.44</v>
      </c>
      <c r="W44" s="3">
        <f>IF(OR(B44 = "BG",B44 = "GR",B44 = "IT",B44 = "ES",B44 = "PT",B44 = "TR", B44 = "KR",B44 = "SE",B44 = "CH",B44 = "NO",B44 = "DK",B44 = "FI"), 1, 0)</f>
        <v>0</v>
      </c>
      <c r="X44" s="3">
        <f>W44*I44</f>
        <v>0</v>
      </c>
      <c r="Y44" s="3">
        <f>W44*K44</f>
        <v>0</v>
      </c>
      <c r="Z44" s="25">
        <f>IF(OR(B44 = "US",B44 = "CA",B44 = "UK",B44 = "NZ",B44 = "AU",B44 = "SG"), 1, 0)</f>
        <v>1</v>
      </c>
      <c r="AA44" s="26">
        <f>VLOOKUP(S44,CPI!$A$2:$F$71,6,0)</f>
        <v>1.342104605</v>
      </c>
      <c r="AB44" s="27">
        <f t="shared" si="8"/>
        <v>2339.288327</v>
      </c>
      <c r="AC44" s="27">
        <f t="shared" si="9"/>
        <v>187.1430662</v>
      </c>
      <c r="AD44" s="26" t="s">
        <v>36</v>
      </c>
      <c r="AE44" s="53" t="s">
        <v>164</v>
      </c>
      <c r="AF44" s="34"/>
      <c r="AG44" s="34"/>
      <c r="AH44" s="34"/>
      <c r="AI44" s="34"/>
      <c r="AJ44" s="35"/>
      <c r="AK44" s="35"/>
      <c r="AL44" s="35"/>
      <c r="AM44" s="33"/>
      <c r="AN44" s="33"/>
      <c r="AO44" s="33"/>
      <c r="AP44" s="33"/>
      <c r="AQ44" s="33"/>
    </row>
    <row r="45" ht="15.75" customHeight="1">
      <c r="A45" s="62">
        <v>7118.0</v>
      </c>
      <c r="B45" s="26" t="s">
        <v>125</v>
      </c>
      <c r="C45" s="26" t="s">
        <v>161</v>
      </c>
      <c r="D45" s="26" t="s">
        <v>162</v>
      </c>
      <c r="E45" s="63" t="s">
        <v>165</v>
      </c>
      <c r="F45" s="58">
        <v>2019.0</v>
      </c>
      <c r="G45" s="58">
        <v>2025.0</v>
      </c>
      <c r="H45" s="58">
        <v>0.0</v>
      </c>
      <c r="I45" s="58">
        <v>28.0</v>
      </c>
      <c r="J45" s="50">
        <f>(3.4/28)</f>
        <v>0.1214285714</v>
      </c>
      <c r="K45" s="58">
        <v>3.4</v>
      </c>
      <c r="L45" s="58">
        <v>0.0</v>
      </c>
      <c r="M45" s="58">
        <v>12.0</v>
      </c>
      <c r="N45" s="58">
        <v>17.0</v>
      </c>
      <c r="O45" s="58" t="s">
        <v>163</v>
      </c>
      <c r="P45" s="63" t="s">
        <v>60</v>
      </c>
      <c r="Q45" s="55">
        <v>2600.0</v>
      </c>
      <c r="R45" s="63" t="s">
        <v>129</v>
      </c>
      <c r="S45" s="58">
        <v>2019.0</v>
      </c>
      <c r="T45" s="69">
        <v>0.802</v>
      </c>
      <c r="U45" s="25">
        <f t="shared" si="17"/>
        <v>2085.2</v>
      </c>
      <c r="V45" s="24">
        <f t="shared" si="3"/>
        <v>74.47142857</v>
      </c>
      <c r="W45" s="3"/>
      <c r="X45" s="3"/>
      <c r="Y45" s="3"/>
      <c r="Z45" s="58">
        <v>1.0</v>
      </c>
      <c r="AA45" s="26">
        <f>VLOOKUP(S45,CPI!$A$2:$F$71,6,0)</f>
        <v>1.259947899</v>
      </c>
      <c r="AB45" s="27">
        <f t="shared" si="8"/>
        <v>2627.243359</v>
      </c>
      <c r="AC45" s="27">
        <f t="shared" si="9"/>
        <v>93.83011996</v>
      </c>
      <c r="AD45" s="63" t="s">
        <v>36</v>
      </c>
      <c r="AE45" s="87" t="s">
        <v>166</v>
      </c>
      <c r="AF45" s="95"/>
      <c r="AG45" s="96"/>
      <c r="AH45" s="96"/>
      <c r="AI45" s="96"/>
      <c r="AJ45" s="97"/>
      <c r="AK45" s="97"/>
      <c r="AL45" s="97"/>
      <c r="AM45" s="98"/>
      <c r="AN45" s="98"/>
      <c r="AO45" s="98"/>
      <c r="AP45" s="98"/>
      <c r="AQ45" s="33"/>
    </row>
    <row r="46" ht="15.75" customHeight="1">
      <c r="A46" s="99">
        <v>7121.0</v>
      </c>
      <c r="B46" s="63" t="s">
        <v>125</v>
      </c>
      <c r="C46" s="26" t="s">
        <v>161</v>
      </c>
      <c r="D46" s="63" t="s">
        <v>167</v>
      </c>
      <c r="E46" s="63" t="s">
        <v>168</v>
      </c>
      <c r="F46" s="58">
        <v>2020.0</v>
      </c>
      <c r="G46" s="58">
        <v>2025.0</v>
      </c>
      <c r="H46" s="58">
        <v>0.0</v>
      </c>
      <c r="I46" s="58">
        <v>20.0</v>
      </c>
      <c r="J46" s="59">
        <v>0.0</v>
      </c>
      <c r="K46" s="58">
        <v>0.0</v>
      </c>
      <c r="L46" s="58">
        <v>0.5</v>
      </c>
      <c r="M46" s="58">
        <v>15.5</v>
      </c>
      <c r="N46" s="58">
        <v>13.0</v>
      </c>
      <c r="O46" s="58" t="s">
        <v>163</v>
      </c>
      <c r="P46" s="63" t="s">
        <v>60</v>
      </c>
      <c r="Q46" s="55">
        <v>1660.0</v>
      </c>
      <c r="R46" s="63" t="s">
        <v>129</v>
      </c>
      <c r="S46" s="58">
        <v>2019.0</v>
      </c>
      <c r="T46" s="69">
        <v>0.802</v>
      </c>
      <c r="U46" s="25">
        <f t="shared" si="17"/>
        <v>1331.32</v>
      </c>
      <c r="V46" s="24">
        <f t="shared" si="3"/>
        <v>66.566</v>
      </c>
      <c r="W46" s="3"/>
      <c r="X46" s="3"/>
      <c r="Y46" s="3"/>
      <c r="Z46" s="25"/>
      <c r="AA46" s="26">
        <f>VLOOKUP(S46,CPI!$A$2:$F$71,6,0)</f>
        <v>1.259947899</v>
      </c>
      <c r="AB46" s="27">
        <f t="shared" si="8"/>
        <v>1677.393837</v>
      </c>
      <c r="AC46" s="27">
        <f t="shared" si="9"/>
        <v>83.86969184</v>
      </c>
      <c r="AD46" s="63" t="s">
        <v>42</v>
      </c>
      <c r="AE46" s="87" t="s">
        <v>169</v>
      </c>
      <c r="AF46" s="100"/>
      <c r="AG46" s="101"/>
      <c r="AH46" s="101"/>
      <c r="AI46" s="101"/>
      <c r="AJ46" s="102"/>
      <c r="AK46" s="102"/>
      <c r="AL46" s="102"/>
      <c r="AM46" s="103"/>
      <c r="AN46" s="103"/>
      <c r="AO46" s="103"/>
      <c r="AP46" s="103"/>
      <c r="AQ46" s="104"/>
    </row>
    <row r="47" ht="15.75" customHeight="1">
      <c r="A47" s="105">
        <v>7400.0</v>
      </c>
      <c r="B47" s="26" t="s">
        <v>125</v>
      </c>
      <c r="C47" s="26" t="s">
        <v>170</v>
      </c>
      <c r="D47" s="26" t="s">
        <v>171</v>
      </c>
      <c r="E47" s="26" t="s">
        <v>171</v>
      </c>
      <c r="F47" s="25">
        <v>1994.0</v>
      </c>
      <c r="G47" s="25">
        <v>2002.0</v>
      </c>
      <c r="H47" s="25">
        <v>0.0</v>
      </c>
      <c r="I47" s="25">
        <v>5.5</v>
      </c>
      <c r="J47" s="50">
        <v>1.0</v>
      </c>
      <c r="K47" s="25">
        <v>5.5</v>
      </c>
      <c r="L47" s="51">
        <v>0.0</v>
      </c>
      <c r="M47" s="51">
        <v>0.0</v>
      </c>
      <c r="N47" s="25">
        <v>5.0</v>
      </c>
      <c r="O47" s="25"/>
      <c r="P47" s="26" t="s">
        <v>42</v>
      </c>
      <c r="Q47" s="52">
        <v>1000.0</v>
      </c>
      <c r="R47" s="26" t="s">
        <v>129</v>
      </c>
      <c r="S47" s="25">
        <v>1998.0</v>
      </c>
      <c r="T47" s="25">
        <v>0.81</v>
      </c>
      <c r="U47" s="25">
        <f t="shared" si="17"/>
        <v>810</v>
      </c>
      <c r="V47" s="24">
        <f t="shared" si="3"/>
        <v>147.2727273</v>
      </c>
      <c r="W47" s="3">
        <f t="shared" ref="W47:W49" si="18">IF(OR(B47 = "BG",B47 = "GR",B47 = "IT",B47 = "ES",B47 = "PT",B47 = "TR", B47 = "KR",B47 = "SE",B47 = "CH",B47 = "NO",B47 = "DK",B47 = "FI"), 1, 0)</f>
        <v>0</v>
      </c>
      <c r="X47" s="3">
        <f t="shared" ref="X47:X49" si="19">W47*I47</f>
        <v>0</v>
      </c>
      <c r="Y47" s="3">
        <f t="shared" ref="Y47:Y49" si="20">W47*K47</f>
        <v>0</v>
      </c>
      <c r="Z47" s="25">
        <f>IF(OR(B47 = "US",B47 = "CA",B47 = "UK",B47 = "NZ",B47 = "AU",B47 = "SG"), 1, 0)</f>
        <v>1</v>
      </c>
      <c r="AA47" s="26">
        <f>VLOOKUP(S47,CPI!$A$2:$F$71,6,0)</f>
        <v>1.976162577</v>
      </c>
      <c r="AB47" s="27">
        <f t="shared" si="8"/>
        <v>1600.691687</v>
      </c>
      <c r="AC47" s="27">
        <f t="shared" si="9"/>
        <v>291.0348522</v>
      </c>
      <c r="AD47" s="26" t="s">
        <v>42</v>
      </c>
      <c r="AE47" s="53" t="s">
        <v>172</v>
      </c>
      <c r="AF47" s="100"/>
      <c r="AG47" s="101"/>
      <c r="AH47" s="101"/>
      <c r="AI47" s="101"/>
      <c r="AJ47" s="102"/>
      <c r="AK47" s="102"/>
      <c r="AL47" s="102"/>
      <c r="AM47" s="103"/>
      <c r="AN47" s="103"/>
      <c r="AO47" s="103"/>
      <c r="AP47" s="103"/>
      <c r="AQ47" s="104"/>
    </row>
    <row r="48" ht="15.75" customHeight="1">
      <c r="A48" s="106">
        <v>7108.0</v>
      </c>
      <c r="B48" s="26" t="s">
        <v>125</v>
      </c>
      <c r="C48" s="26" t="s">
        <v>170</v>
      </c>
      <c r="D48" s="1" t="s">
        <v>173</v>
      </c>
      <c r="E48" s="26" t="s">
        <v>174</v>
      </c>
      <c r="F48" s="25">
        <v>2009.0</v>
      </c>
      <c r="G48" s="25">
        <v>2017.0</v>
      </c>
      <c r="H48" s="25">
        <v>0.0</v>
      </c>
      <c r="I48" s="25">
        <v>8.6</v>
      </c>
      <c r="J48" s="50">
        <v>1.0</v>
      </c>
      <c r="K48" s="25">
        <v>8.6</v>
      </c>
      <c r="L48" s="51">
        <v>0.0</v>
      </c>
      <c r="M48" s="51">
        <v>0.0</v>
      </c>
      <c r="N48" s="25">
        <v>6.0</v>
      </c>
      <c r="O48" s="25"/>
      <c r="P48" s="26" t="s">
        <v>42</v>
      </c>
      <c r="Q48" s="52">
        <v>3200.0</v>
      </c>
      <c r="R48" s="63" t="s">
        <v>129</v>
      </c>
      <c r="S48" s="25">
        <v>2013.0</v>
      </c>
      <c r="T48" s="25">
        <v>0.81</v>
      </c>
      <c r="U48" s="25">
        <f t="shared" si="17"/>
        <v>2592</v>
      </c>
      <c r="V48" s="24">
        <f t="shared" si="3"/>
        <v>301.3953488</v>
      </c>
      <c r="W48" s="3">
        <f t="shared" si="18"/>
        <v>0</v>
      </c>
      <c r="X48" s="3">
        <f t="shared" si="19"/>
        <v>0</v>
      </c>
      <c r="Y48" s="3">
        <f t="shared" si="20"/>
        <v>0</v>
      </c>
      <c r="Z48" s="58">
        <v>1.0</v>
      </c>
      <c r="AA48" s="26">
        <f>VLOOKUP(S48,CPI!$A$2:$F$71,6,0)</f>
        <v>1.382720845</v>
      </c>
      <c r="AB48" s="27">
        <f t="shared" si="8"/>
        <v>3584.012431</v>
      </c>
      <c r="AC48" s="27">
        <f t="shared" si="9"/>
        <v>416.7456316</v>
      </c>
      <c r="AD48" s="26" t="s">
        <v>42</v>
      </c>
      <c r="AE48" s="57" t="s">
        <v>175</v>
      </c>
      <c r="AF48" s="100"/>
      <c r="AG48" s="101"/>
      <c r="AH48" s="101"/>
      <c r="AI48" s="101"/>
      <c r="AJ48" s="102"/>
      <c r="AK48" s="102"/>
      <c r="AL48" s="102"/>
      <c r="AM48" s="103"/>
      <c r="AN48" s="103"/>
      <c r="AO48" s="103"/>
      <c r="AP48" s="103"/>
      <c r="AQ48" s="104"/>
    </row>
    <row r="49" ht="15.75" customHeight="1">
      <c r="A49" s="107">
        <v>7283.0</v>
      </c>
      <c r="B49" s="26" t="s">
        <v>125</v>
      </c>
      <c r="C49" s="26" t="s">
        <v>170</v>
      </c>
      <c r="D49" s="26" t="s">
        <v>176</v>
      </c>
      <c r="E49" s="26" t="s">
        <v>176</v>
      </c>
      <c r="F49" s="25">
        <v>2011.0</v>
      </c>
      <c r="G49" s="58">
        <v>2025.0</v>
      </c>
      <c r="H49" s="25">
        <v>0.0</v>
      </c>
      <c r="I49" s="25">
        <v>19.0</v>
      </c>
      <c r="J49" s="50">
        <v>0.53</v>
      </c>
      <c r="K49" s="25">
        <v>10.0</v>
      </c>
      <c r="L49" s="51">
        <v>0.62</v>
      </c>
      <c r="M49" s="51">
        <v>8.31</v>
      </c>
      <c r="N49" s="25">
        <v>25.0</v>
      </c>
      <c r="O49" s="25"/>
      <c r="P49" s="26" t="s">
        <v>60</v>
      </c>
      <c r="Q49" s="55">
        <v>12800.0</v>
      </c>
      <c r="R49" s="63" t="s">
        <v>129</v>
      </c>
      <c r="S49" s="25">
        <v>2016.0</v>
      </c>
      <c r="T49" s="25">
        <v>0.83</v>
      </c>
      <c r="U49" s="25">
        <f t="shared" si="17"/>
        <v>10624</v>
      </c>
      <c r="V49" s="24">
        <f t="shared" si="3"/>
        <v>559.1578947</v>
      </c>
      <c r="W49" s="3">
        <f t="shared" si="18"/>
        <v>0</v>
      </c>
      <c r="X49" s="3">
        <f t="shared" si="19"/>
        <v>0</v>
      </c>
      <c r="Y49" s="3">
        <f t="shared" si="20"/>
        <v>0</v>
      </c>
      <c r="Z49" s="25">
        <f>IF(OR(B49 = "US",B49 = "CA",B49 = "UK",B49 = "NZ",B49 = "AU",B49 = "SG"), 1, 0)</f>
        <v>1</v>
      </c>
      <c r="AA49" s="26">
        <f>VLOOKUP(S49,CPI!$A$2:$F$71,6,0)</f>
        <v>1.342104605</v>
      </c>
      <c r="AB49" s="27">
        <f t="shared" si="8"/>
        <v>14258.51933</v>
      </c>
      <c r="AC49" s="27">
        <f t="shared" si="9"/>
        <v>750.4483856</v>
      </c>
      <c r="AD49" s="26" t="s">
        <v>36</v>
      </c>
      <c r="AE49" s="56" t="s">
        <v>177</v>
      </c>
      <c r="AF49" s="100"/>
      <c r="AG49" s="101"/>
      <c r="AH49" s="101"/>
      <c r="AI49" s="101"/>
      <c r="AJ49" s="102"/>
      <c r="AK49" s="102"/>
      <c r="AL49" s="102"/>
      <c r="AM49" s="103"/>
      <c r="AN49" s="103"/>
      <c r="AO49" s="103"/>
      <c r="AP49" s="103"/>
      <c r="AQ49" s="104"/>
    </row>
    <row r="50" ht="15.75" customHeight="1">
      <c r="A50" s="99">
        <v>7115.0</v>
      </c>
      <c r="B50" s="63" t="s">
        <v>125</v>
      </c>
      <c r="C50" s="63" t="s">
        <v>170</v>
      </c>
      <c r="D50" s="1" t="s">
        <v>178</v>
      </c>
      <c r="E50" s="63" t="s">
        <v>34</v>
      </c>
      <c r="F50" s="58">
        <v>2019.0</v>
      </c>
      <c r="G50" s="58">
        <v>2025.0</v>
      </c>
      <c r="H50" s="58">
        <v>0.0</v>
      </c>
      <c r="I50" s="58">
        <v>10.3</v>
      </c>
      <c r="J50" s="50">
        <f>(1/19)%</f>
        <v>0.0005263157895</v>
      </c>
      <c r="K50" s="58">
        <v>1.0</v>
      </c>
      <c r="L50" s="58"/>
      <c r="M50" s="58">
        <v>17.0</v>
      </c>
      <c r="N50" s="58">
        <v>18.0</v>
      </c>
      <c r="O50" s="58">
        <v>50.0</v>
      </c>
      <c r="P50" s="26" t="s">
        <v>60</v>
      </c>
      <c r="Q50" s="55">
        <v>2500.0</v>
      </c>
      <c r="R50" s="63" t="s">
        <v>129</v>
      </c>
      <c r="S50" s="58">
        <v>2019.0</v>
      </c>
      <c r="T50" s="25">
        <v>0.84</v>
      </c>
      <c r="U50" s="25">
        <f t="shared" si="17"/>
        <v>2100</v>
      </c>
      <c r="V50" s="24">
        <f t="shared" si="3"/>
        <v>203.8834951</v>
      </c>
      <c r="W50" s="3"/>
      <c r="X50" s="3"/>
      <c r="Y50" s="3"/>
      <c r="Z50" s="25"/>
      <c r="AA50" s="26">
        <f>VLOOKUP(S50,CPI!$A$2:$F$71,6,0)</f>
        <v>1.259947899</v>
      </c>
      <c r="AB50" s="27">
        <f t="shared" si="8"/>
        <v>2645.890588</v>
      </c>
      <c r="AC50" s="27">
        <f t="shared" si="9"/>
        <v>256.8825813</v>
      </c>
      <c r="AD50" s="63" t="s">
        <v>42</v>
      </c>
      <c r="AE50" s="88" t="s">
        <v>179</v>
      </c>
      <c r="AF50" s="100"/>
      <c r="AG50" s="101"/>
      <c r="AH50" s="101"/>
      <c r="AI50" s="101"/>
      <c r="AJ50" s="102"/>
      <c r="AK50" s="102"/>
      <c r="AL50" s="102"/>
      <c r="AM50" s="103"/>
      <c r="AN50" s="103"/>
      <c r="AO50" s="103"/>
      <c r="AP50" s="103"/>
      <c r="AQ50" s="104"/>
    </row>
    <row r="51" ht="15.75" customHeight="1">
      <c r="A51" s="108">
        <v>7109.0</v>
      </c>
      <c r="B51" s="26" t="s">
        <v>125</v>
      </c>
      <c r="C51" s="26" t="s">
        <v>170</v>
      </c>
      <c r="D51" s="63" t="s">
        <v>180</v>
      </c>
      <c r="E51" s="26" t="s">
        <v>181</v>
      </c>
      <c r="F51" s="25">
        <v>2020.0</v>
      </c>
      <c r="G51" s="25">
        <v>2030.0</v>
      </c>
      <c r="H51" s="25">
        <v>0.0</v>
      </c>
      <c r="I51" s="25">
        <v>7.8</v>
      </c>
      <c r="J51" s="50">
        <v>1.0</v>
      </c>
      <c r="K51" s="25">
        <v>7.8</v>
      </c>
      <c r="L51" s="51">
        <v>0.0</v>
      </c>
      <c r="M51" s="51">
        <v>0.0</v>
      </c>
      <c r="N51" s="25">
        <v>3.0</v>
      </c>
      <c r="O51" s="25"/>
      <c r="P51" s="26" t="s">
        <v>74</v>
      </c>
      <c r="Q51" s="52">
        <v>5500.0</v>
      </c>
      <c r="R51" s="63" t="s">
        <v>129</v>
      </c>
      <c r="S51" s="25">
        <v>2018.0</v>
      </c>
      <c r="T51" s="25">
        <v>0.84</v>
      </c>
      <c r="U51" s="25">
        <f t="shared" si="17"/>
        <v>4620</v>
      </c>
      <c r="V51" s="24">
        <f t="shared" si="3"/>
        <v>592.3076923</v>
      </c>
      <c r="W51" s="3">
        <f t="shared" ref="W51:W52" si="21">IF(OR(B51 = "BG",B51 = "GR",B51 = "IT",B51 = "ES",B51 = "PT",B51 = "TR", B51 = "KR",B51 = "SE",B51 = "CH",B51 = "NO",B51 = "DK",B51 = "FI"), 1, 0)</f>
        <v>0</v>
      </c>
      <c r="X51" s="3">
        <f t="shared" ref="X51:X52" si="22">W51*I51</f>
        <v>0</v>
      </c>
      <c r="Y51" s="3">
        <f t="shared" ref="Y51:Y52" si="23">W51*K51</f>
        <v>0</v>
      </c>
      <c r="Z51" s="25">
        <f t="shared" ref="Z51:Z52" si="24">IF(OR(B51 = "US",B51 = "CA",B51 = "UK",B51 = "NZ",B51 = "AU",B51 = "SG"), 1, 0)</f>
        <v>1</v>
      </c>
      <c r="AA51" s="26">
        <f>VLOOKUP(S51,CPI!$A$2:$F$71,6,0)</f>
        <v>1.28277786</v>
      </c>
      <c r="AB51" s="27">
        <f t="shared" si="8"/>
        <v>5926.433712</v>
      </c>
      <c r="AC51" s="27">
        <f t="shared" si="9"/>
        <v>759.7991938</v>
      </c>
      <c r="AD51" s="26" t="s">
        <v>42</v>
      </c>
      <c r="AE51" s="53" t="s">
        <v>182</v>
      </c>
      <c r="AF51" s="100"/>
      <c r="AG51" s="101"/>
      <c r="AH51" s="101"/>
      <c r="AI51" s="101"/>
      <c r="AJ51" s="102"/>
      <c r="AK51" s="102"/>
      <c r="AL51" s="102"/>
      <c r="AM51" s="103"/>
      <c r="AN51" s="103"/>
      <c r="AO51" s="103"/>
      <c r="AP51" s="103"/>
      <c r="AQ51" s="104"/>
    </row>
    <row r="52" ht="15.75" customHeight="1">
      <c r="A52" s="108">
        <v>7111.0</v>
      </c>
      <c r="B52" s="26" t="s">
        <v>125</v>
      </c>
      <c r="C52" s="26" t="s">
        <v>170</v>
      </c>
      <c r="D52" s="1" t="s">
        <v>183</v>
      </c>
      <c r="E52" s="26" t="s">
        <v>184</v>
      </c>
      <c r="F52" s="25">
        <v>2020.0</v>
      </c>
      <c r="G52" s="25">
        <v>2030.0</v>
      </c>
      <c r="H52" s="25">
        <v>0.0</v>
      </c>
      <c r="I52" s="25">
        <v>7.4</v>
      </c>
      <c r="J52" s="50">
        <v>1.0</v>
      </c>
      <c r="K52" s="25">
        <v>7.4</v>
      </c>
      <c r="L52" s="51">
        <v>0.0</v>
      </c>
      <c r="M52" s="51">
        <v>0.0</v>
      </c>
      <c r="N52" s="25">
        <v>6.0</v>
      </c>
      <c r="O52" s="25"/>
      <c r="P52" s="26" t="s">
        <v>60</v>
      </c>
      <c r="Q52" s="52">
        <v>5600.0</v>
      </c>
      <c r="R52" s="63" t="s">
        <v>129</v>
      </c>
      <c r="S52" s="25">
        <v>2020.0</v>
      </c>
      <c r="T52" s="25">
        <v>0.84</v>
      </c>
      <c r="U52" s="25">
        <f t="shared" si="17"/>
        <v>4704</v>
      </c>
      <c r="V52" s="24">
        <f t="shared" si="3"/>
        <v>635.6756757</v>
      </c>
      <c r="W52" s="3">
        <f t="shared" si="21"/>
        <v>0</v>
      </c>
      <c r="X52" s="3">
        <f t="shared" si="22"/>
        <v>0</v>
      </c>
      <c r="Y52" s="3">
        <f t="shared" si="23"/>
        <v>0</v>
      </c>
      <c r="Z52" s="25">
        <f t="shared" si="24"/>
        <v>1</v>
      </c>
      <c r="AA52" s="26">
        <f>VLOOKUP(S52,CPI!$A$2:$F$71,6,0)</f>
        <v>1.244593545</v>
      </c>
      <c r="AB52" s="27">
        <f t="shared" si="8"/>
        <v>5854.568036</v>
      </c>
      <c r="AC52" s="27">
        <f t="shared" si="9"/>
        <v>791.1578427</v>
      </c>
      <c r="AD52" s="26" t="s">
        <v>42</v>
      </c>
      <c r="AE52" s="53" t="s">
        <v>185</v>
      </c>
      <c r="AF52" s="100"/>
      <c r="AG52" s="101"/>
      <c r="AH52" s="101"/>
      <c r="AI52" s="101"/>
      <c r="AJ52" s="102"/>
      <c r="AK52" s="102"/>
      <c r="AL52" s="102"/>
      <c r="AM52" s="103"/>
      <c r="AN52" s="103"/>
      <c r="AO52" s="103"/>
      <c r="AP52" s="103"/>
      <c r="AQ52" s="104"/>
    </row>
    <row r="53" ht="15.75" customHeight="1">
      <c r="A53" s="99">
        <v>7113.0</v>
      </c>
      <c r="B53" s="63" t="s">
        <v>125</v>
      </c>
      <c r="C53" s="63" t="s">
        <v>170</v>
      </c>
      <c r="D53" s="1" t="s">
        <v>176</v>
      </c>
      <c r="E53" s="63" t="s">
        <v>186</v>
      </c>
      <c r="F53" s="58">
        <v>2022.0</v>
      </c>
      <c r="G53" s="58">
        <v>2031.0</v>
      </c>
      <c r="H53" s="58">
        <v>0.0</v>
      </c>
      <c r="I53" s="58">
        <v>9.2</v>
      </c>
      <c r="J53" s="50">
        <f>6.8/9.2</f>
        <v>0.7391304348</v>
      </c>
      <c r="K53" s="58">
        <v>6.8</v>
      </c>
      <c r="L53" s="58">
        <v>1.5</v>
      </c>
      <c r="M53" s="58">
        <v>0.9</v>
      </c>
      <c r="N53" s="58">
        <v>7.0</v>
      </c>
      <c r="O53" s="58">
        <v>50.0</v>
      </c>
      <c r="P53" s="26" t="s">
        <v>60</v>
      </c>
      <c r="Q53" s="55">
        <v>2500.0</v>
      </c>
      <c r="R53" s="63" t="s">
        <v>129</v>
      </c>
      <c r="S53" s="58">
        <v>2022.0</v>
      </c>
      <c r="T53" s="25">
        <v>0.84</v>
      </c>
      <c r="U53" s="25">
        <f t="shared" si="17"/>
        <v>2100</v>
      </c>
      <c r="V53" s="24">
        <f t="shared" si="3"/>
        <v>228.2608696</v>
      </c>
      <c r="W53" s="3"/>
      <c r="X53" s="3"/>
      <c r="Y53" s="3"/>
      <c r="Z53" s="25"/>
      <c r="AA53" s="26">
        <f>VLOOKUP(S53,CPI!$A$2:$F$71,6,0)</f>
        <v>1.100662897</v>
      </c>
      <c r="AB53" s="27">
        <f t="shared" si="8"/>
        <v>2311.392083</v>
      </c>
      <c r="AC53" s="27">
        <f t="shared" si="9"/>
        <v>251.2382699</v>
      </c>
      <c r="AD53" s="63" t="s">
        <v>42</v>
      </c>
      <c r="AE53" s="88" t="s">
        <v>187</v>
      </c>
      <c r="AF53" s="100"/>
      <c r="AG53" s="101"/>
      <c r="AH53" s="101"/>
      <c r="AI53" s="101"/>
      <c r="AJ53" s="102"/>
      <c r="AK53" s="102"/>
      <c r="AL53" s="102"/>
      <c r="AM53" s="103"/>
      <c r="AN53" s="103"/>
      <c r="AO53" s="103"/>
      <c r="AP53" s="103"/>
      <c r="AQ53" s="104"/>
    </row>
    <row r="54" ht="15.75" customHeight="1">
      <c r="A54" s="106">
        <v>7110.0</v>
      </c>
      <c r="B54" s="26" t="s">
        <v>125</v>
      </c>
      <c r="C54" s="26" t="s">
        <v>170</v>
      </c>
      <c r="D54" s="63" t="s">
        <v>188</v>
      </c>
      <c r="E54" s="26" t="s">
        <v>189</v>
      </c>
      <c r="F54" s="58">
        <v>2022.0</v>
      </c>
      <c r="G54" s="58">
        <v>2031.0</v>
      </c>
      <c r="H54" s="25">
        <v>0.0</v>
      </c>
      <c r="I54" s="25">
        <v>15.5</v>
      </c>
      <c r="J54" s="50">
        <v>0.57</v>
      </c>
      <c r="K54" s="25">
        <v>8.8</v>
      </c>
      <c r="L54" s="51">
        <v>5.76</v>
      </c>
      <c r="M54" s="51">
        <v>1.06</v>
      </c>
      <c r="N54" s="25">
        <v>15.0</v>
      </c>
      <c r="O54" s="25"/>
      <c r="P54" s="26" t="s">
        <v>60</v>
      </c>
      <c r="Q54" s="55">
        <v>27200.0</v>
      </c>
      <c r="R54" s="63" t="s">
        <v>129</v>
      </c>
      <c r="S54" s="58">
        <v>2023.0</v>
      </c>
      <c r="T54" s="25">
        <v>0.84</v>
      </c>
      <c r="U54" s="25">
        <f t="shared" si="17"/>
        <v>22848</v>
      </c>
      <c r="V54" s="24">
        <f t="shared" si="3"/>
        <v>1474.064516</v>
      </c>
      <c r="W54" s="3">
        <f t="shared" ref="W54:W58" si="25">IF(OR(B54 = "BG",B54 = "GR",B54 = "IT",B54 = "ES",B54 = "PT",B54 = "TR", B54 = "KR",B54 = "SE",B54 = "CH",B54 = "NO",B54 = "DK",B54 = "FI"), 1, 0)</f>
        <v>0</v>
      </c>
      <c r="X54" s="3">
        <f t="shared" ref="X54:X58" si="26">W54*I54</f>
        <v>0</v>
      </c>
      <c r="Y54" s="3">
        <f t="shared" ref="Y54:Y58" si="27">W54*K54</f>
        <v>0</v>
      </c>
      <c r="Z54" s="25">
        <f t="shared" ref="Z54:Z58" si="28">IF(OR(B54 = "US",B54 = "CA",B54 = "UK",B54 = "NZ",B54 = "AU",B54 = "SG"), 1, 0)</f>
        <v>1</v>
      </c>
      <c r="AA54" s="26">
        <f>VLOOKUP(S54,CPI!$A$2:$F$71,6,0)</f>
        <v>1.057145998</v>
      </c>
      <c r="AB54" s="27">
        <f t="shared" si="8"/>
        <v>24153.67177</v>
      </c>
      <c r="AC54" s="27">
        <f t="shared" si="9"/>
        <v>1558.301405</v>
      </c>
      <c r="AD54" s="26" t="s">
        <v>60</v>
      </c>
      <c r="AE54" s="109" t="s">
        <v>190</v>
      </c>
      <c r="AF54" s="100"/>
      <c r="AG54" s="101"/>
      <c r="AH54" s="101"/>
      <c r="AI54" s="101"/>
      <c r="AJ54" s="102"/>
      <c r="AK54" s="102"/>
      <c r="AL54" s="102"/>
      <c r="AM54" s="103"/>
      <c r="AN54" s="103"/>
      <c r="AO54" s="103"/>
      <c r="AP54" s="103"/>
      <c r="AQ54" s="104"/>
    </row>
    <row r="55" ht="15.75" customHeight="1">
      <c r="A55" s="110">
        <v>9762.0</v>
      </c>
      <c r="B55" s="26" t="s">
        <v>125</v>
      </c>
      <c r="C55" s="26" t="s">
        <v>191</v>
      </c>
      <c r="D55" s="16" t="s">
        <v>192</v>
      </c>
      <c r="E55" s="63" t="s">
        <v>193</v>
      </c>
      <c r="F55" s="25">
        <v>1998.0</v>
      </c>
      <c r="G55" s="25">
        <v>2002.0</v>
      </c>
      <c r="H55" s="25">
        <v>0.0</v>
      </c>
      <c r="I55" s="25">
        <v>19.9</v>
      </c>
      <c r="J55" s="50">
        <v>0.0</v>
      </c>
      <c r="K55" s="25">
        <v>0.0</v>
      </c>
      <c r="L55" s="51">
        <v>0.0</v>
      </c>
      <c r="M55" s="51">
        <v>0.0</v>
      </c>
      <c r="N55" s="25">
        <v>13.0</v>
      </c>
      <c r="O55" s="25"/>
      <c r="P55" s="26" t="s">
        <v>74</v>
      </c>
      <c r="Q55" s="52">
        <v>1200.0</v>
      </c>
      <c r="R55" s="26" t="s">
        <v>129</v>
      </c>
      <c r="S55" s="25">
        <v>2000.0</v>
      </c>
      <c r="T55" s="25">
        <v>0.81</v>
      </c>
      <c r="U55" s="25">
        <f t="shared" si="17"/>
        <v>972</v>
      </c>
      <c r="V55" s="24">
        <f t="shared" si="3"/>
        <v>48.84422111</v>
      </c>
      <c r="W55" s="3">
        <f t="shared" si="25"/>
        <v>0</v>
      </c>
      <c r="X55" s="3">
        <f t="shared" si="26"/>
        <v>0</v>
      </c>
      <c r="Y55" s="3">
        <f t="shared" si="27"/>
        <v>0</v>
      </c>
      <c r="Z55" s="25">
        <f t="shared" si="28"/>
        <v>1</v>
      </c>
      <c r="AA55" s="26">
        <f>VLOOKUP(S55,CPI!$A$2:$F$71,6,0)</f>
        <v>1.870583624</v>
      </c>
      <c r="AB55" s="27">
        <f t="shared" si="8"/>
        <v>1818.207282</v>
      </c>
      <c r="AC55" s="27">
        <f t="shared" si="9"/>
        <v>91.36720011</v>
      </c>
      <c r="AD55" s="26" t="s">
        <v>60</v>
      </c>
      <c r="AE55" s="53" t="s">
        <v>194</v>
      </c>
      <c r="AF55" s="100"/>
      <c r="AG55" s="101"/>
      <c r="AH55" s="101"/>
      <c r="AI55" s="101"/>
      <c r="AJ55" s="102"/>
      <c r="AK55" s="102"/>
      <c r="AL55" s="102"/>
      <c r="AM55" s="103"/>
      <c r="AN55" s="103"/>
      <c r="AO55" s="103"/>
      <c r="AP55" s="103"/>
      <c r="AQ55" s="104"/>
    </row>
    <row r="56" ht="15.75" customHeight="1">
      <c r="A56" s="110">
        <v>9763.0</v>
      </c>
      <c r="B56" s="26" t="s">
        <v>125</v>
      </c>
      <c r="C56" s="26" t="s">
        <v>191</v>
      </c>
      <c r="D56" s="26" t="s">
        <v>195</v>
      </c>
      <c r="E56" s="26" t="s">
        <v>195</v>
      </c>
      <c r="F56" s="25">
        <v>2005.0</v>
      </c>
      <c r="G56" s="25">
        <v>2009.0</v>
      </c>
      <c r="H56" s="25">
        <v>0.0</v>
      </c>
      <c r="I56" s="25">
        <v>18.4</v>
      </c>
      <c r="J56" s="50">
        <v>0.49</v>
      </c>
      <c r="K56" s="25">
        <v>9.1</v>
      </c>
      <c r="L56" s="51">
        <v>0.0</v>
      </c>
      <c r="M56" s="51">
        <v>0.0</v>
      </c>
      <c r="N56" s="25">
        <v>16.0</v>
      </c>
      <c r="O56" s="25"/>
      <c r="P56" s="26" t="s">
        <v>74</v>
      </c>
      <c r="Q56" s="52">
        <v>2050.0</v>
      </c>
      <c r="R56" s="26" t="s">
        <v>129</v>
      </c>
      <c r="S56" s="25">
        <v>2007.0</v>
      </c>
      <c r="T56" s="25">
        <v>0.82</v>
      </c>
      <c r="U56" s="25">
        <f t="shared" si="17"/>
        <v>1681</v>
      </c>
      <c r="V56" s="24">
        <f t="shared" si="3"/>
        <v>91.35869565</v>
      </c>
      <c r="W56" s="3">
        <f t="shared" si="25"/>
        <v>0</v>
      </c>
      <c r="X56" s="3">
        <f t="shared" si="26"/>
        <v>0</v>
      </c>
      <c r="Y56" s="3">
        <f t="shared" si="27"/>
        <v>0</v>
      </c>
      <c r="Z56" s="25">
        <f t="shared" si="28"/>
        <v>1</v>
      </c>
      <c r="AA56" s="26">
        <f>VLOOKUP(S56,CPI!$A$2:$F$71,6,0)</f>
        <v>1.553541974</v>
      </c>
      <c r="AB56" s="27">
        <f t="shared" si="8"/>
        <v>2611.504059</v>
      </c>
      <c r="AC56" s="27">
        <f t="shared" si="9"/>
        <v>141.9295684</v>
      </c>
      <c r="AD56" s="26" t="s">
        <v>42</v>
      </c>
      <c r="AE56" s="53" t="s">
        <v>196</v>
      </c>
      <c r="AF56" s="100"/>
      <c r="AG56" s="101"/>
      <c r="AH56" s="101"/>
      <c r="AI56" s="101"/>
      <c r="AJ56" s="102"/>
      <c r="AK56" s="102"/>
      <c r="AL56" s="102"/>
      <c r="AM56" s="103"/>
      <c r="AN56" s="103"/>
      <c r="AO56" s="103"/>
      <c r="AP56" s="103"/>
      <c r="AQ56" s="104"/>
    </row>
    <row r="57" ht="15.75" customHeight="1">
      <c r="A57" s="110">
        <v>9764.0</v>
      </c>
      <c r="B57" s="26" t="s">
        <v>125</v>
      </c>
      <c r="C57" s="26" t="s">
        <v>191</v>
      </c>
      <c r="D57" s="26" t="s">
        <v>197</v>
      </c>
      <c r="E57" s="26" t="s">
        <v>197</v>
      </c>
      <c r="F57" s="25">
        <v>2012.0</v>
      </c>
      <c r="G57" s="25">
        <v>2016.0</v>
      </c>
      <c r="H57" s="25">
        <v>0.0</v>
      </c>
      <c r="I57" s="25">
        <v>10.9</v>
      </c>
      <c r="J57" s="50">
        <v>0.18</v>
      </c>
      <c r="K57" s="25">
        <v>2.0</v>
      </c>
      <c r="L57" s="51">
        <v>0.0</v>
      </c>
      <c r="M57" s="51">
        <v>0.0</v>
      </c>
      <c r="N57" s="25">
        <v>6.0</v>
      </c>
      <c r="O57" s="25"/>
      <c r="P57" s="26" t="s">
        <v>74</v>
      </c>
      <c r="Q57" s="52">
        <v>1430.0</v>
      </c>
      <c r="R57" s="26" t="s">
        <v>129</v>
      </c>
      <c r="S57" s="25">
        <v>2014.0</v>
      </c>
      <c r="T57" s="25">
        <v>0.81</v>
      </c>
      <c r="U57" s="25">
        <f t="shared" si="17"/>
        <v>1158.3</v>
      </c>
      <c r="V57" s="24">
        <f t="shared" si="3"/>
        <v>106.266055</v>
      </c>
      <c r="W57" s="3">
        <f t="shared" si="25"/>
        <v>0</v>
      </c>
      <c r="X57" s="3">
        <f t="shared" si="26"/>
        <v>0</v>
      </c>
      <c r="Y57" s="3">
        <f t="shared" si="27"/>
        <v>0</v>
      </c>
      <c r="Z57" s="25">
        <f t="shared" si="28"/>
        <v>1</v>
      </c>
      <c r="AA57" s="26">
        <f>VLOOKUP(S57,CPI!$A$2:$F$71,6,0)</f>
        <v>1.360648571</v>
      </c>
      <c r="AB57" s="27">
        <f t="shared" si="8"/>
        <v>1576.039239</v>
      </c>
      <c r="AC57" s="27">
        <f t="shared" si="9"/>
        <v>144.5907559</v>
      </c>
      <c r="AD57" s="26" t="s">
        <v>42</v>
      </c>
      <c r="AE57" s="53" t="s">
        <v>198</v>
      </c>
      <c r="AF57" s="100"/>
      <c r="AG57" s="101"/>
      <c r="AH57" s="101"/>
      <c r="AI57" s="101"/>
      <c r="AJ57" s="102"/>
      <c r="AK57" s="102"/>
      <c r="AL57" s="102"/>
      <c r="AM57" s="103"/>
      <c r="AN57" s="103"/>
      <c r="AO57" s="103"/>
      <c r="AP57" s="103"/>
      <c r="AQ57" s="104"/>
    </row>
    <row r="58" ht="15.75" customHeight="1">
      <c r="A58" s="111">
        <v>7136.0</v>
      </c>
      <c r="B58" s="26" t="s">
        <v>125</v>
      </c>
      <c r="C58" s="26" t="s">
        <v>191</v>
      </c>
      <c r="D58" s="1" t="s">
        <v>199</v>
      </c>
      <c r="E58" s="26" t="s">
        <v>200</v>
      </c>
      <c r="F58" s="25">
        <v>2020.0</v>
      </c>
      <c r="G58" s="58">
        <v>2027.0</v>
      </c>
      <c r="H58" s="25">
        <v>0.0</v>
      </c>
      <c r="I58" s="25">
        <v>5.7</v>
      </c>
      <c r="J58" s="50">
        <f>5/5.7</f>
        <v>0.8771929825</v>
      </c>
      <c r="K58" s="25">
        <v>5.0</v>
      </c>
      <c r="L58" s="51">
        <v>0.295</v>
      </c>
      <c r="M58" s="51">
        <v>0.446</v>
      </c>
      <c r="N58" s="25">
        <v>6.0</v>
      </c>
      <c r="O58" s="25"/>
      <c r="P58" s="26" t="s">
        <v>60</v>
      </c>
      <c r="Q58" s="55">
        <v>2954.0</v>
      </c>
      <c r="R58" s="26" t="s">
        <v>129</v>
      </c>
      <c r="S58" s="25">
        <v>2018.0</v>
      </c>
      <c r="T58" s="25">
        <v>0.84</v>
      </c>
      <c r="U58" s="25">
        <f t="shared" si="17"/>
        <v>2481.36</v>
      </c>
      <c r="V58" s="24">
        <f t="shared" si="3"/>
        <v>435.3263158</v>
      </c>
      <c r="W58" s="3">
        <f t="shared" si="25"/>
        <v>0</v>
      </c>
      <c r="X58" s="3">
        <f t="shared" si="26"/>
        <v>0</v>
      </c>
      <c r="Y58" s="3">
        <f t="shared" si="27"/>
        <v>0</v>
      </c>
      <c r="Z58" s="25">
        <f t="shared" si="28"/>
        <v>1</v>
      </c>
      <c r="AA58" s="26">
        <f>VLOOKUP(S58,CPI!$A$2:$F$71,6,0)</f>
        <v>1.28277786</v>
      </c>
      <c r="AB58" s="27">
        <f t="shared" si="8"/>
        <v>3183.03367</v>
      </c>
      <c r="AC58" s="27">
        <f t="shared" si="9"/>
        <v>558.4269596</v>
      </c>
      <c r="AD58" s="26" t="s">
        <v>42</v>
      </c>
      <c r="AE58" s="86" t="s">
        <v>201</v>
      </c>
      <c r="AF58" s="100"/>
      <c r="AG58" s="101"/>
      <c r="AH58" s="101"/>
      <c r="AI58" s="101"/>
      <c r="AJ58" s="102"/>
      <c r="AK58" s="102"/>
      <c r="AL58" s="102"/>
      <c r="AM58" s="103"/>
      <c r="AN58" s="103"/>
      <c r="AO58" s="103"/>
      <c r="AP58" s="103"/>
      <c r="AQ58" s="104"/>
    </row>
    <row r="59" ht="15.75" customHeight="1">
      <c r="A59" s="112">
        <v>7102.0</v>
      </c>
      <c r="B59" s="26" t="s">
        <v>125</v>
      </c>
      <c r="C59" s="26" t="s">
        <v>191</v>
      </c>
      <c r="D59" s="1" t="s">
        <v>202</v>
      </c>
      <c r="E59" s="63" t="s">
        <v>203</v>
      </c>
      <c r="F59" s="58">
        <v>2024.0</v>
      </c>
      <c r="G59" s="58">
        <v>2029.0</v>
      </c>
      <c r="H59" s="58">
        <v>0.0</v>
      </c>
      <c r="I59" s="58">
        <v>16.0</v>
      </c>
      <c r="J59" s="59">
        <v>0.0</v>
      </c>
      <c r="K59" s="58">
        <v>0.0</v>
      </c>
      <c r="L59" s="58">
        <v>1.0</v>
      </c>
      <c r="M59" s="58">
        <v>0.0</v>
      </c>
      <c r="N59" s="58">
        <v>8.0</v>
      </c>
      <c r="O59" s="58">
        <v>80.0</v>
      </c>
      <c r="P59" s="26" t="s">
        <v>60</v>
      </c>
      <c r="Q59" s="55">
        <v>5996.0</v>
      </c>
      <c r="R59" s="63" t="s">
        <v>129</v>
      </c>
      <c r="S59" s="58">
        <v>2024.0</v>
      </c>
      <c r="T59" s="58">
        <v>1.0</v>
      </c>
      <c r="U59" s="25">
        <f t="shared" si="17"/>
        <v>5996</v>
      </c>
      <c r="V59" s="24">
        <f t="shared" si="3"/>
        <v>374.75</v>
      </c>
      <c r="W59" s="85">
        <v>0.0</v>
      </c>
      <c r="X59" s="3"/>
      <c r="Y59" s="3"/>
      <c r="Z59" s="58">
        <v>1.0</v>
      </c>
      <c r="AA59" s="26">
        <f>VLOOKUP(S59,CPI!$A$2:$F$71,6,0)</f>
        <v>1</v>
      </c>
      <c r="AB59" s="78">
        <f t="shared" si="8"/>
        <v>5996</v>
      </c>
      <c r="AC59" s="78">
        <f t="shared" si="9"/>
        <v>374.75</v>
      </c>
      <c r="AD59" s="63" t="s">
        <v>42</v>
      </c>
      <c r="AE59" s="93" t="s">
        <v>204</v>
      </c>
      <c r="AF59" s="100"/>
      <c r="AG59" s="101"/>
      <c r="AH59" s="101"/>
      <c r="AI59" s="101"/>
      <c r="AJ59" s="102"/>
      <c r="AK59" s="102"/>
      <c r="AL59" s="102"/>
      <c r="AM59" s="103"/>
      <c r="AN59" s="103"/>
      <c r="AO59" s="103"/>
      <c r="AP59" s="103"/>
      <c r="AQ59" s="104"/>
    </row>
    <row r="60" ht="15.75" customHeight="1">
      <c r="A60" s="113"/>
      <c r="B60" s="114" t="s">
        <v>125</v>
      </c>
      <c r="C60" s="114" t="s">
        <v>191</v>
      </c>
      <c r="D60" s="115" t="s">
        <v>205</v>
      </c>
      <c r="E60" s="115" t="s">
        <v>206</v>
      </c>
      <c r="F60" s="116">
        <v>2022.0</v>
      </c>
      <c r="G60" s="114"/>
      <c r="H60" s="116">
        <v>0.0</v>
      </c>
      <c r="I60" s="116">
        <v>16.0</v>
      </c>
      <c r="J60" s="117">
        <v>0.0</v>
      </c>
      <c r="K60" s="116">
        <v>0.0</v>
      </c>
      <c r="L60" s="114"/>
      <c r="M60" s="114"/>
      <c r="N60" s="116">
        <v>8.0</v>
      </c>
      <c r="O60" s="116"/>
      <c r="P60" s="114"/>
      <c r="Q60" s="73">
        <v>3940.0</v>
      </c>
      <c r="R60" s="114" t="s">
        <v>129</v>
      </c>
      <c r="S60" s="115">
        <v>2021.0</v>
      </c>
      <c r="T60" s="115">
        <v>0.798</v>
      </c>
      <c r="U60" s="118">
        <f t="shared" si="17"/>
        <v>3144.12</v>
      </c>
      <c r="V60" s="24">
        <f t="shared" si="3"/>
        <v>196.5075</v>
      </c>
      <c r="W60" s="3">
        <f>IF(OR(B60 = "BG",B60 = "GR",B60 = "IT",B60 = "ES",B60 = "PT",B60 = "TR", B60 = "KR",B60 = "SE",B60 = "CH",B60 = "NO",B60 = "DK",B60 = "FI"), 1, 0)</f>
        <v>0</v>
      </c>
      <c r="X60" s="3">
        <f>W60*I60</f>
        <v>0</v>
      </c>
      <c r="Y60" s="3">
        <f>W60*K60</f>
        <v>0</v>
      </c>
      <c r="Z60" s="25">
        <f>IF(OR(B60 = "US",B60 = "CA",B60 = "UK",B60 = "NZ",B60 = "AU",B60 = "SG"), 1, 0)</f>
        <v>1</v>
      </c>
      <c r="AA60" s="26">
        <f>VLOOKUP(S60,CPI!$A$2:$F$71,6,0)</f>
        <v>1.188745987</v>
      </c>
      <c r="AB60" s="27">
        <f t="shared" si="8"/>
        <v>3737.560032</v>
      </c>
      <c r="AC60" s="27">
        <f t="shared" si="9"/>
        <v>233.597502</v>
      </c>
      <c r="AD60" s="115" t="s">
        <v>42</v>
      </c>
      <c r="AE60" s="119" t="s">
        <v>207</v>
      </c>
      <c r="AF60" s="120" t="s">
        <v>208</v>
      </c>
      <c r="AG60" s="121"/>
      <c r="AH60" s="121"/>
      <c r="AI60" s="121"/>
      <c r="AJ60" s="122"/>
      <c r="AK60" s="122"/>
      <c r="AL60" s="122"/>
      <c r="AM60" s="103"/>
      <c r="AN60" s="103"/>
      <c r="AO60" s="103"/>
      <c r="AP60" s="103"/>
      <c r="AQ60" s="104"/>
    </row>
    <row r="61" ht="15.75" customHeight="1">
      <c r="A61" s="112">
        <v>7101.0</v>
      </c>
      <c r="B61" s="26" t="s">
        <v>125</v>
      </c>
      <c r="C61" s="26" t="s">
        <v>191</v>
      </c>
      <c r="D61" s="1" t="s">
        <v>199</v>
      </c>
      <c r="E61" s="63" t="s">
        <v>209</v>
      </c>
      <c r="F61" s="58">
        <v>2028.0</v>
      </c>
      <c r="G61" s="58"/>
      <c r="H61" s="58"/>
      <c r="I61" s="58"/>
      <c r="J61" s="59"/>
      <c r="K61" s="58"/>
      <c r="L61" s="58"/>
      <c r="M61" s="58"/>
      <c r="N61" s="58"/>
      <c r="O61" s="58"/>
      <c r="P61" s="26" t="s">
        <v>60</v>
      </c>
      <c r="Q61" s="55"/>
      <c r="R61" s="63"/>
      <c r="S61" s="58"/>
      <c r="T61" s="58"/>
      <c r="U61" s="25"/>
      <c r="V61" s="24"/>
      <c r="W61" s="85"/>
      <c r="X61" s="3"/>
      <c r="Y61" s="3"/>
      <c r="Z61" s="58"/>
      <c r="AA61" s="26" t="str">
        <f>VLOOKUP(S61,CPI!$A$2:$F$71,6,0)</f>
        <v>#N/A</v>
      </c>
      <c r="AB61" s="27"/>
      <c r="AC61" s="27"/>
      <c r="AD61" s="63"/>
      <c r="AE61" s="88" t="s">
        <v>210</v>
      </c>
      <c r="AF61" s="100"/>
      <c r="AG61" s="101"/>
      <c r="AH61" s="101"/>
      <c r="AI61" s="101"/>
      <c r="AJ61" s="102"/>
      <c r="AK61" s="102"/>
      <c r="AL61" s="102"/>
      <c r="AM61" s="103"/>
      <c r="AN61" s="103"/>
      <c r="AO61" s="103"/>
      <c r="AP61" s="103"/>
      <c r="AQ61" s="104"/>
    </row>
    <row r="62" ht="15.75" customHeight="1">
      <c r="A62" s="105">
        <v>7560.0</v>
      </c>
      <c r="B62" s="26" t="s">
        <v>211</v>
      </c>
      <c r="C62" s="26" t="s">
        <v>212</v>
      </c>
      <c r="D62" s="26" t="s">
        <v>213</v>
      </c>
      <c r="E62" s="26" t="s">
        <v>213</v>
      </c>
      <c r="F62" s="25">
        <v>2013.0</v>
      </c>
      <c r="G62" s="25">
        <v>2019.0</v>
      </c>
      <c r="H62" s="25">
        <v>1.0</v>
      </c>
      <c r="I62" s="25">
        <v>8.8</v>
      </c>
      <c r="J62" s="50">
        <v>0.96</v>
      </c>
      <c r="K62" s="25">
        <v>8.4</v>
      </c>
      <c r="L62" s="51">
        <v>0.14</v>
      </c>
      <c r="M62" s="51">
        <v>0.212</v>
      </c>
      <c r="N62" s="25">
        <v>4.0</v>
      </c>
      <c r="O62" s="25"/>
      <c r="P62" s="26" t="s">
        <v>59</v>
      </c>
      <c r="Q62" s="52">
        <v>1567.0</v>
      </c>
      <c r="R62" s="26" t="s">
        <v>214</v>
      </c>
      <c r="S62" s="25">
        <v>2016.0</v>
      </c>
      <c r="T62" s="25">
        <v>0.68</v>
      </c>
      <c r="U62" s="25">
        <f t="shared" ref="U62:U67" si="29">Q62*T62</f>
        <v>1065.56</v>
      </c>
      <c r="V62" s="24">
        <f t="shared" ref="V62:V67" si="30">U62/I62</f>
        <v>121.0863636</v>
      </c>
      <c r="W62" s="3">
        <f t="shared" ref="W62:W606" si="31">IF(OR(B62 = "BG",B62 = "GR",B62 = "IT",B62 = "ES",B62 = "PT",B62 = "TR", B62 = "KR",B62 = "SE",B62 = "CH",B62 = "NO",B62 = "DK",B62 = "FI"), 1, 0)</f>
        <v>1</v>
      </c>
      <c r="X62" s="3">
        <f t="shared" ref="X62:X606" si="32">W62*I62</f>
        <v>8.8</v>
      </c>
      <c r="Y62" s="3">
        <f t="shared" ref="Y62:Y606" si="33">W62*K62</f>
        <v>8.4</v>
      </c>
      <c r="Z62" s="25">
        <f t="shared" ref="Z62:Z606" si="34">IF(OR(B62 = "US",B62 = "CA",B62 = "UK",B62 = "NZ",B62 = "AU",B62 = "SG"), 1, 0)</f>
        <v>0</v>
      </c>
      <c r="AA62" s="26">
        <f>VLOOKUP(S62,CPI!$A$2:$F$71,6,0)</f>
        <v>1.342104605</v>
      </c>
      <c r="AB62" s="27">
        <f t="shared" ref="AB62:AB67" si="35">U62*AA62</f>
        <v>1430.092983</v>
      </c>
      <c r="AC62" s="27">
        <f t="shared" ref="AC62:AC67" si="36">V62*AA62</f>
        <v>162.5105663</v>
      </c>
      <c r="AD62" s="26" t="s">
        <v>60</v>
      </c>
      <c r="AE62" s="53" t="s">
        <v>215</v>
      </c>
      <c r="AF62" s="100"/>
      <c r="AG62" s="101"/>
      <c r="AH62" s="101"/>
      <c r="AI62" s="101"/>
      <c r="AJ62" s="102"/>
      <c r="AK62" s="102"/>
      <c r="AL62" s="102"/>
      <c r="AM62" s="103"/>
      <c r="AN62" s="103"/>
      <c r="AO62" s="103"/>
      <c r="AP62" s="103"/>
      <c r="AQ62" s="104"/>
    </row>
    <row r="63" ht="15.75" customHeight="1">
      <c r="A63" s="105"/>
      <c r="B63" s="63" t="s">
        <v>211</v>
      </c>
      <c r="C63" s="63" t="s">
        <v>216</v>
      </c>
      <c r="D63" s="63" t="s">
        <v>54</v>
      </c>
      <c r="E63" s="63" t="s">
        <v>54</v>
      </c>
      <c r="F63" s="58">
        <v>2002.0</v>
      </c>
      <c r="G63" s="58">
        <v>2008.0</v>
      </c>
      <c r="H63" s="58">
        <v>0.0</v>
      </c>
      <c r="I63" s="58">
        <v>6.0</v>
      </c>
      <c r="J63" s="50"/>
      <c r="K63" s="58">
        <v>4.5</v>
      </c>
      <c r="L63" s="58">
        <v>1.5</v>
      </c>
      <c r="M63" s="58">
        <v>0.0</v>
      </c>
      <c r="N63" s="58">
        <v>14.0</v>
      </c>
      <c r="O63" s="58">
        <v>30.0</v>
      </c>
      <c r="P63" s="63" t="s">
        <v>74</v>
      </c>
      <c r="Q63" s="55">
        <v>410.0</v>
      </c>
      <c r="R63" s="63" t="s">
        <v>214</v>
      </c>
      <c r="S63" s="58">
        <v>2000.0</v>
      </c>
      <c r="T63" s="58">
        <v>0.65</v>
      </c>
      <c r="U63" s="25">
        <f t="shared" si="29"/>
        <v>266.5</v>
      </c>
      <c r="V63" s="24">
        <f t="shared" si="30"/>
        <v>44.41666667</v>
      </c>
      <c r="W63" s="3">
        <f t="shared" si="31"/>
        <v>1</v>
      </c>
      <c r="X63" s="3">
        <f t="shared" si="32"/>
        <v>6</v>
      </c>
      <c r="Y63" s="3">
        <f t="shared" si="33"/>
        <v>4.5</v>
      </c>
      <c r="Z63" s="25">
        <f t="shared" si="34"/>
        <v>0</v>
      </c>
      <c r="AA63" s="26">
        <f>VLOOKUP(S63,CPI!$A$2:$F$71,6,0)</f>
        <v>1.870583624</v>
      </c>
      <c r="AB63" s="27">
        <f t="shared" si="35"/>
        <v>498.5105357</v>
      </c>
      <c r="AC63" s="27">
        <f t="shared" si="36"/>
        <v>83.08508929</v>
      </c>
      <c r="AD63" s="26" t="s">
        <v>60</v>
      </c>
      <c r="AE63" s="56" t="s">
        <v>217</v>
      </c>
      <c r="AF63" s="100"/>
      <c r="AG63" s="101"/>
      <c r="AH63" s="101"/>
      <c r="AI63" s="101"/>
      <c r="AJ63" s="102"/>
      <c r="AK63" s="102"/>
      <c r="AL63" s="102"/>
      <c r="AM63" s="103"/>
      <c r="AN63" s="103"/>
      <c r="AO63" s="103"/>
      <c r="AP63" s="103"/>
      <c r="AQ63" s="104"/>
    </row>
    <row r="64" ht="15.75" customHeight="1">
      <c r="A64" s="105">
        <v>7529.0</v>
      </c>
      <c r="B64" s="26" t="s">
        <v>211</v>
      </c>
      <c r="C64" s="26" t="s">
        <v>218</v>
      </c>
      <c r="D64" s="26" t="s">
        <v>219</v>
      </c>
      <c r="E64" s="26" t="s">
        <v>219</v>
      </c>
      <c r="F64" s="25">
        <v>2008.0</v>
      </c>
      <c r="G64" s="25">
        <v>2013.0</v>
      </c>
      <c r="H64" s="25">
        <v>1.0</v>
      </c>
      <c r="I64" s="25">
        <v>1.5</v>
      </c>
      <c r="J64" s="50">
        <v>0.9</v>
      </c>
      <c r="K64" s="25">
        <v>1.4</v>
      </c>
      <c r="L64" s="51">
        <v>0.0</v>
      </c>
      <c r="M64" s="51">
        <v>0.0</v>
      </c>
      <c r="N64" s="25">
        <v>1.0</v>
      </c>
      <c r="O64" s="25"/>
      <c r="P64" s="26" t="s">
        <v>60</v>
      </c>
      <c r="Q64" s="52">
        <v>220.2</v>
      </c>
      <c r="R64" s="26" t="s">
        <v>214</v>
      </c>
      <c r="S64" s="25">
        <v>2010.0</v>
      </c>
      <c r="T64" s="25">
        <v>0.68</v>
      </c>
      <c r="U64" s="25">
        <f t="shared" si="29"/>
        <v>149.736</v>
      </c>
      <c r="V64" s="24">
        <f t="shared" si="30"/>
        <v>99.824</v>
      </c>
      <c r="W64" s="3">
        <f t="shared" si="31"/>
        <v>1</v>
      </c>
      <c r="X64" s="3">
        <f t="shared" si="32"/>
        <v>1.5</v>
      </c>
      <c r="Y64" s="3">
        <f t="shared" si="33"/>
        <v>1.4</v>
      </c>
      <c r="Z64" s="25">
        <f t="shared" si="34"/>
        <v>0</v>
      </c>
      <c r="AA64" s="26">
        <f>VLOOKUP(S64,CPI!$A$2:$F$71,6,0)</f>
        <v>1.477209983</v>
      </c>
      <c r="AB64" s="27">
        <f t="shared" si="35"/>
        <v>221.191514</v>
      </c>
      <c r="AC64" s="27">
        <f t="shared" si="36"/>
        <v>147.4610093</v>
      </c>
      <c r="AD64" s="26" t="s">
        <v>60</v>
      </c>
      <c r="AE64" s="53" t="s">
        <v>220</v>
      </c>
      <c r="AF64" s="100"/>
      <c r="AG64" s="101"/>
      <c r="AH64" s="101"/>
      <c r="AI64" s="101"/>
      <c r="AJ64" s="102"/>
      <c r="AK64" s="102"/>
      <c r="AL64" s="102"/>
      <c r="AM64" s="103"/>
      <c r="AN64" s="103"/>
      <c r="AO64" s="103"/>
      <c r="AP64" s="103"/>
      <c r="AQ64" s="104"/>
    </row>
    <row r="65" ht="15.75" customHeight="1">
      <c r="A65" s="105">
        <v>7530.0</v>
      </c>
      <c r="B65" s="26" t="s">
        <v>211</v>
      </c>
      <c r="C65" s="26" t="s">
        <v>221</v>
      </c>
      <c r="D65" s="26" t="s">
        <v>222</v>
      </c>
      <c r="E65" s="26" t="s">
        <v>222</v>
      </c>
      <c r="F65" s="25">
        <v>2007.0</v>
      </c>
      <c r="G65" s="25">
        <v>2014.0</v>
      </c>
      <c r="H65" s="25">
        <v>1.0</v>
      </c>
      <c r="I65" s="25">
        <v>9.6</v>
      </c>
      <c r="J65" s="50">
        <v>0.5</v>
      </c>
      <c r="K65" s="25">
        <v>4.8</v>
      </c>
      <c r="L65" s="51">
        <v>0.2</v>
      </c>
      <c r="M65" s="51">
        <v>4.6</v>
      </c>
      <c r="N65" s="25">
        <v>1.0</v>
      </c>
      <c r="O65" s="25"/>
      <c r="P65" s="26" t="s">
        <v>36</v>
      </c>
      <c r="Q65" s="52">
        <v>2030.0</v>
      </c>
      <c r="R65" s="26" t="s">
        <v>214</v>
      </c>
      <c r="S65" s="25">
        <v>2010.0</v>
      </c>
      <c r="T65" s="25">
        <v>0.68</v>
      </c>
      <c r="U65" s="25">
        <f t="shared" si="29"/>
        <v>1380.4</v>
      </c>
      <c r="V65" s="24">
        <f t="shared" si="30"/>
        <v>143.7916667</v>
      </c>
      <c r="W65" s="3">
        <f t="shared" si="31"/>
        <v>1</v>
      </c>
      <c r="X65" s="3">
        <f t="shared" si="32"/>
        <v>9.6</v>
      </c>
      <c r="Y65" s="3">
        <f t="shared" si="33"/>
        <v>4.8</v>
      </c>
      <c r="Z65" s="25">
        <f t="shared" si="34"/>
        <v>0</v>
      </c>
      <c r="AA65" s="26">
        <f>VLOOKUP(S65,CPI!$A$2:$F$71,6,0)</f>
        <v>1.477209983</v>
      </c>
      <c r="AB65" s="27">
        <f t="shared" si="35"/>
        <v>2039.14066</v>
      </c>
      <c r="AC65" s="27">
        <f t="shared" si="36"/>
        <v>212.4104854</v>
      </c>
      <c r="AD65" s="26" t="s">
        <v>36</v>
      </c>
      <c r="AE65" s="57" t="s">
        <v>223</v>
      </c>
      <c r="AF65" s="100"/>
      <c r="AG65" s="101"/>
      <c r="AH65" s="101"/>
      <c r="AI65" s="101"/>
      <c r="AJ65" s="102"/>
      <c r="AK65" s="102"/>
      <c r="AL65" s="102"/>
      <c r="AM65" s="103"/>
      <c r="AN65" s="103"/>
      <c r="AO65" s="103"/>
      <c r="AP65" s="103"/>
      <c r="AQ65" s="104"/>
    </row>
    <row r="66" ht="15.75" customHeight="1">
      <c r="A66" s="105">
        <v>7338.0</v>
      </c>
      <c r="B66" s="26" t="s">
        <v>224</v>
      </c>
      <c r="C66" s="26" t="s">
        <v>225</v>
      </c>
      <c r="D66" s="26" t="s">
        <v>226</v>
      </c>
      <c r="E66" s="26" t="s">
        <v>226</v>
      </c>
      <c r="F66" s="25">
        <v>2013.0</v>
      </c>
      <c r="G66" s="25">
        <v>2019.0</v>
      </c>
      <c r="H66" s="25">
        <v>0.0</v>
      </c>
      <c r="I66" s="25">
        <v>37.0</v>
      </c>
      <c r="J66" s="50">
        <v>1.0</v>
      </c>
      <c r="K66" s="25">
        <v>37.0</v>
      </c>
      <c r="L66" s="51">
        <v>0.0</v>
      </c>
      <c r="M66" s="51">
        <v>0.0</v>
      </c>
      <c r="N66" s="25">
        <v>28.0</v>
      </c>
      <c r="O66" s="25"/>
      <c r="P66" s="26" t="s">
        <v>60</v>
      </c>
      <c r="Q66" s="52">
        <v>3000.0</v>
      </c>
      <c r="R66" s="26" t="s">
        <v>37</v>
      </c>
      <c r="S66" s="25">
        <v>2016.0</v>
      </c>
      <c r="T66" s="25">
        <v>1.7</v>
      </c>
      <c r="U66" s="25">
        <f t="shared" si="29"/>
        <v>5100</v>
      </c>
      <c r="V66" s="24">
        <f t="shared" si="30"/>
        <v>137.8378378</v>
      </c>
      <c r="W66" s="3">
        <f t="shared" si="31"/>
        <v>0</v>
      </c>
      <c r="X66" s="3">
        <f t="shared" si="32"/>
        <v>0</v>
      </c>
      <c r="Y66" s="3">
        <f t="shared" si="33"/>
        <v>0</v>
      </c>
      <c r="Z66" s="25">
        <f t="shared" si="34"/>
        <v>0</v>
      </c>
      <c r="AA66" s="26">
        <f>VLOOKUP(S66,CPI!$A$2:$F$71,6,0)</f>
        <v>1.342104605</v>
      </c>
      <c r="AB66" s="27">
        <f t="shared" si="35"/>
        <v>6844.733487</v>
      </c>
      <c r="AC66" s="27">
        <f t="shared" si="36"/>
        <v>184.9927969</v>
      </c>
      <c r="AD66" s="26" t="s">
        <v>60</v>
      </c>
      <c r="AE66" s="53" t="s">
        <v>227</v>
      </c>
      <c r="AF66" s="100"/>
      <c r="AG66" s="101"/>
      <c r="AH66" s="101"/>
      <c r="AI66" s="101"/>
      <c r="AJ66" s="102"/>
      <c r="AK66" s="102"/>
      <c r="AL66" s="102"/>
      <c r="AM66" s="103"/>
      <c r="AN66" s="103"/>
      <c r="AO66" s="103"/>
      <c r="AP66" s="103"/>
      <c r="AQ66" s="104"/>
    </row>
    <row r="67" ht="15.75" customHeight="1">
      <c r="A67" s="105">
        <v>7337.0</v>
      </c>
      <c r="B67" s="26" t="s">
        <v>224</v>
      </c>
      <c r="C67" s="26" t="s">
        <v>225</v>
      </c>
      <c r="D67" s="26" t="s">
        <v>228</v>
      </c>
      <c r="E67" s="26" t="s">
        <v>228</v>
      </c>
      <c r="F67" s="25">
        <v>2021.0</v>
      </c>
      <c r="G67" s="25">
        <v>2026.0</v>
      </c>
      <c r="H67" s="25">
        <v>0.0</v>
      </c>
      <c r="I67" s="25">
        <v>24.8</v>
      </c>
      <c r="J67" s="50">
        <v>1.0</v>
      </c>
      <c r="K67" s="25">
        <v>24.8</v>
      </c>
      <c r="L67" s="51">
        <v>0.0</v>
      </c>
      <c r="M67" s="51">
        <v>0.0</v>
      </c>
      <c r="N67" s="25">
        <v>21.0</v>
      </c>
      <c r="O67" s="25"/>
      <c r="P67" s="26" t="s">
        <v>60</v>
      </c>
      <c r="Q67" s="52">
        <v>2900.0</v>
      </c>
      <c r="R67" s="26" t="s">
        <v>37</v>
      </c>
      <c r="S67" s="25">
        <v>2022.0</v>
      </c>
      <c r="T67" s="25">
        <v>1.7</v>
      </c>
      <c r="U67" s="25">
        <f t="shared" si="29"/>
        <v>4930</v>
      </c>
      <c r="V67" s="24">
        <f t="shared" si="30"/>
        <v>198.7903226</v>
      </c>
      <c r="W67" s="3">
        <f t="shared" si="31"/>
        <v>0</v>
      </c>
      <c r="X67" s="3">
        <f t="shared" si="32"/>
        <v>0</v>
      </c>
      <c r="Y67" s="3">
        <f t="shared" si="33"/>
        <v>0</v>
      </c>
      <c r="Z67" s="25">
        <f t="shared" si="34"/>
        <v>0</v>
      </c>
      <c r="AA67" s="26">
        <f>VLOOKUP(S67,CPI!$A$2:$F$71,6,0)</f>
        <v>1.100662897</v>
      </c>
      <c r="AB67" s="27">
        <f t="shared" si="35"/>
        <v>5426.26808</v>
      </c>
      <c r="AC67" s="27">
        <f t="shared" si="36"/>
        <v>218.8011323</v>
      </c>
      <c r="AD67" s="26" t="s">
        <v>36</v>
      </c>
      <c r="AE67" s="53" t="s">
        <v>229</v>
      </c>
      <c r="AF67" s="100"/>
      <c r="AG67" s="101"/>
      <c r="AH67" s="101"/>
      <c r="AI67" s="101"/>
      <c r="AJ67" s="102"/>
      <c r="AK67" s="102"/>
      <c r="AL67" s="102"/>
      <c r="AM67" s="103"/>
      <c r="AN67" s="103"/>
      <c r="AO67" s="103"/>
      <c r="AP67" s="103"/>
      <c r="AQ67" s="104"/>
    </row>
    <row r="68" ht="15.75" customHeight="1">
      <c r="A68" s="105">
        <v>7641.0</v>
      </c>
      <c r="B68" s="123" t="s">
        <v>230</v>
      </c>
      <c r="C68" s="123" t="s">
        <v>231</v>
      </c>
      <c r="D68" s="36" t="s">
        <v>57</v>
      </c>
      <c r="E68" s="123" t="s">
        <v>232</v>
      </c>
      <c r="F68" s="75">
        <v>1965.0</v>
      </c>
      <c r="G68" s="75">
        <v>1969.0</v>
      </c>
      <c r="H68" s="75">
        <v>0.0</v>
      </c>
      <c r="I68" s="75">
        <v>23.6</v>
      </c>
      <c r="J68" s="124">
        <v>1.0</v>
      </c>
      <c r="K68" s="75">
        <v>23.6</v>
      </c>
      <c r="L68" s="125">
        <v>0.0</v>
      </c>
      <c r="M68" s="125">
        <v>0.0</v>
      </c>
      <c r="N68" s="75">
        <v>17.0</v>
      </c>
      <c r="O68" s="75"/>
      <c r="P68" s="123" t="s">
        <v>233</v>
      </c>
      <c r="Q68" s="126">
        <f>0.7*10^3</f>
        <v>700</v>
      </c>
      <c r="R68" s="123" t="s">
        <v>234</v>
      </c>
      <c r="S68" s="75">
        <v>1965.0</v>
      </c>
      <c r="T68" s="127"/>
      <c r="U68" s="128"/>
      <c r="V68" s="24"/>
      <c r="W68" s="3">
        <f t="shared" si="31"/>
        <v>0</v>
      </c>
      <c r="X68" s="3">
        <f t="shared" si="32"/>
        <v>0</v>
      </c>
      <c r="Y68" s="3">
        <f t="shared" si="33"/>
        <v>0</v>
      </c>
      <c r="Z68" s="25">
        <f t="shared" si="34"/>
        <v>0</v>
      </c>
      <c r="AA68" s="26">
        <f>VLOOKUP(S68,CPI!$A$2:$F$71,6,0)</f>
        <v>10.22585714</v>
      </c>
      <c r="AB68" s="27"/>
      <c r="AC68" s="27"/>
      <c r="AD68" s="123" t="s">
        <v>42</v>
      </c>
      <c r="AE68" s="129" t="s">
        <v>235</v>
      </c>
      <c r="AF68" s="100"/>
      <c r="AG68" s="101"/>
      <c r="AH68" s="101"/>
      <c r="AI68" s="101"/>
      <c r="AJ68" s="102"/>
      <c r="AK68" s="102"/>
      <c r="AL68" s="102"/>
      <c r="AM68" s="103"/>
      <c r="AN68" s="103"/>
      <c r="AO68" s="103"/>
      <c r="AP68" s="103"/>
      <c r="AQ68" s="104"/>
    </row>
    <row r="69" ht="15.75" customHeight="1">
      <c r="A69" s="105">
        <v>7649.0</v>
      </c>
      <c r="B69" s="130" t="s">
        <v>230</v>
      </c>
      <c r="C69" s="130" t="s">
        <v>231</v>
      </c>
      <c r="D69" s="36" t="s">
        <v>236</v>
      </c>
      <c r="E69" s="130" t="s">
        <v>236</v>
      </c>
      <c r="F69" s="130">
        <v>1999.0</v>
      </c>
      <c r="G69" s="130">
        <v>2003.0</v>
      </c>
      <c r="H69" s="130">
        <v>0.0</v>
      </c>
      <c r="I69" s="130">
        <v>40.85</v>
      </c>
      <c r="J69" s="131">
        <v>0.0</v>
      </c>
      <c r="K69" s="130">
        <v>0.0</v>
      </c>
      <c r="L69" s="132">
        <v>13.855</v>
      </c>
      <c r="M69" s="132">
        <v>26.995</v>
      </c>
      <c r="N69" s="130">
        <v>17.0</v>
      </c>
      <c r="O69" s="133">
        <v>117.0</v>
      </c>
      <c r="P69" s="134" t="s">
        <v>74</v>
      </c>
      <c r="Q69" s="135">
        <f>6.57*10^3</f>
        <v>6570</v>
      </c>
      <c r="R69" s="130" t="s">
        <v>234</v>
      </c>
      <c r="S69" s="130">
        <v>1999.0</v>
      </c>
      <c r="T69" s="136">
        <v>0.367</v>
      </c>
      <c r="U69" s="128">
        <f>Q69*T69</f>
        <v>2411.19</v>
      </c>
      <c r="V69" s="24">
        <f t="shared" ref="V69:V75" si="37">U69/I69</f>
        <v>59.025459</v>
      </c>
      <c r="W69" s="3">
        <f t="shared" si="31"/>
        <v>0</v>
      </c>
      <c r="X69" s="3">
        <f t="shared" si="32"/>
        <v>0</v>
      </c>
      <c r="Y69" s="3">
        <f t="shared" si="33"/>
        <v>0</v>
      </c>
      <c r="Z69" s="25">
        <f t="shared" si="34"/>
        <v>0</v>
      </c>
      <c r="AA69" s="26">
        <f>VLOOKUP(S69,CPI!$A$2:$F$71,6,0)</f>
        <v>1.933460384</v>
      </c>
      <c r="AB69" s="27">
        <f t="shared" ref="AB69:AB75" si="38">U69*AA69</f>
        <v>4661.940344</v>
      </c>
      <c r="AC69" s="27">
        <f t="shared" ref="AC69:AC75" si="39">V69*AA69</f>
        <v>114.1233866</v>
      </c>
      <c r="AD69" s="130" t="s">
        <v>42</v>
      </c>
      <c r="AE69" s="137" t="s">
        <v>237</v>
      </c>
      <c r="AF69" s="100"/>
      <c r="AG69" s="101"/>
      <c r="AH69" s="101"/>
      <c r="AI69" s="101"/>
      <c r="AJ69" s="102"/>
      <c r="AK69" s="102"/>
      <c r="AL69" s="102"/>
      <c r="AM69" s="103"/>
      <c r="AN69" s="103"/>
      <c r="AO69" s="103"/>
      <c r="AP69" s="103"/>
      <c r="AQ69" s="104"/>
    </row>
    <row r="70" ht="15.75" customHeight="1">
      <c r="A70" s="105">
        <v>8065.0</v>
      </c>
      <c r="B70" s="130" t="s">
        <v>230</v>
      </c>
      <c r="C70" s="130" t="s">
        <v>231</v>
      </c>
      <c r="D70" s="130" t="s">
        <v>84</v>
      </c>
      <c r="E70" s="130" t="s">
        <v>84</v>
      </c>
      <c r="F70" s="130">
        <v>2002.0</v>
      </c>
      <c r="G70" s="130">
        <v>2007.0</v>
      </c>
      <c r="H70" s="130">
        <v>0.0</v>
      </c>
      <c r="I70" s="130">
        <v>27.6</v>
      </c>
      <c r="J70" s="131"/>
      <c r="K70" s="130"/>
      <c r="L70" s="132" t="e">
        <v>#N/A</v>
      </c>
      <c r="M70" s="132" t="e">
        <v>#N/A</v>
      </c>
      <c r="N70" s="130">
        <v>23.0</v>
      </c>
      <c r="O70" s="138"/>
      <c r="P70" s="130" t="s">
        <v>42</v>
      </c>
      <c r="Q70" s="135">
        <v>12000.0</v>
      </c>
      <c r="R70" s="130" t="s">
        <v>234</v>
      </c>
      <c r="S70" s="130">
        <v>2004.0</v>
      </c>
      <c r="T70" s="136">
        <v>0.355</v>
      </c>
      <c r="U70" s="128">
        <f>T70*Q70</f>
        <v>4260</v>
      </c>
      <c r="V70" s="24">
        <f t="shared" si="37"/>
        <v>154.3478261</v>
      </c>
      <c r="W70" s="3">
        <f t="shared" si="31"/>
        <v>0</v>
      </c>
      <c r="X70" s="3">
        <f t="shared" si="32"/>
        <v>0</v>
      </c>
      <c r="Y70" s="3">
        <f t="shared" si="33"/>
        <v>0</v>
      </c>
      <c r="Z70" s="25">
        <f t="shared" si="34"/>
        <v>0</v>
      </c>
      <c r="AA70" s="26">
        <f>VLOOKUP(S70,CPI!$A$2:$F$71,6,0)</f>
        <v>1.705211752</v>
      </c>
      <c r="AB70" s="27">
        <f t="shared" si="38"/>
        <v>7264.202065</v>
      </c>
      <c r="AC70" s="27">
        <f t="shared" si="39"/>
        <v>263.195727</v>
      </c>
      <c r="AD70" s="130" t="s">
        <v>42</v>
      </c>
      <c r="AE70" s="137" t="s">
        <v>238</v>
      </c>
      <c r="AF70" s="100"/>
      <c r="AG70" s="101"/>
      <c r="AH70" s="101"/>
      <c r="AI70" s="101"/>
      <c r="AJ70" s="102"/>
      <c r="AK70" s="102"/>
      <c r="AL70" s="102"/>
      <c r="AM70" s="103"/>
      <c r="AN70" s="103"/>
      <c r="AO70" s="103"/>
      <c r="AP70" s="103"/>
      <c r="AQ70" s="104"/>
    </row>
    <row r="71" ht="15.75" customHeight="1">
      <c r="A71" s="139">
        <v>7960.0</v>
      </c>
      <c r="B71" s="123" t="s">
        <v>230</v>
      </c>
      <c r="C71" s="123" t="s">
        <v>231</v>
      </c>
      <c r="D71" s="36" t="s">
        <v>239</v>
      </c>
      <c r="E71" s="123" t="s">
        <v>240</v>
      </c>
      <c r="F71" s="75">
        <v>2003.0</v>
      </c>
      <c r="G71" s="75">
        <v>2008.0</v>
      </c>
      <c r="H71" s="75">
        <v>0.0</v>
      </c>
      <c r="I71" s="75">
        <v>24.64</v>
      </c>
      <c r="J71" s="124">
        <v>1.0</v>
      </c>
      <c r="K71" s="75">
        <v>24.64</v>
      </c>
      <c r="L71" s="125">
        <v>0.0</v>
      </c>
      <c r="M71" s="125">
        <v>0.0</v>
      </c>
      <c r="N71" s="75">
        <v>22.0</v>
      </c>
      <c r="O71" s="75"/>
      <c r="P71" s="123" t="s">
        <v>42</v>
      </c>
      <c r="Q71" s="126">
        <v>13700.0</v>
      </c>
      <c r="R71" s="123" t="s">
        <v>234</v>
      </c>
      <c r="S71" s="75">
        <v>2005.0</v>
      </c>
      <c r="T71" s="136">
        <v>0.3519</v>
      </c>
      <c r="U71" s="128">
        <f>Q71*T71</f>
        <v>4821.03</v>
      </c>
      <c r="V71" s="24">
        <f t="shared" si="37"/>
        <v>195.6586851</v>
      </c>
      <c r="W71" s="3">
        <f t="shared" si="31"/>
        <v>0</v>
      </c>
      <c r="X71" s="3">
        <f t="shared" si="32"/>
        <v>0</v>
      </c>
      <c r="Y71" s="3">
        <f t="shared" si="33"/>
        <v>0</v>
      </c>
      <c r="Z71" s="25">
        <f t="shared" si="34"/>
        <v>0</v>
      </c>
      <c r="AA71" s="26">
        <f>VLOOKUP(S71,CPI!$A$2:$F$71,6,0)</f>
        <v>1.649331797</v>
      </c>
      <c r="AB71" s="27">
        <f t="shared" si="38"/>
        <v>7951.478074</v>
      </c>
      <c r="AC71" s="27">
        <f t="shared" si="39"/>
        <v>322.7060907</v>
      </c>
      <c r="AD71" s="123" t="s">
        <v>42</v>
      </c>
      <c r="AE71" s="129" t="s">
        <v>241</v>
      </c>
      <c r="AF71" s="100"/>
      <c r="AG71" s="101"/>
      <c r="AH71" s="101"/>
      <c r="AI71" s="101"/>
      <c r="AJ71" s="102"/>
      <c r="AK71" s="102"/>
      <c r="AL71" s="102"/>
      <c r="AM71" s="103"/>
      <c r="AN71" s="103"/>
      <c r="AO71" s="103"/>
      <c r="AP71" s="103"/>
      <c r="AQ71" s="104"/>
    </row>
    <row r="72" ht="15.75" customHeight="1">
      <c r="A72" s="105">
        <v>8139.0</v>
      </c>
      <c r="B72" s="130" t="s">
        <v>230</v>
      </c>
      <c r="C72" s="130" t="s">
        <v>231</v>
      </c>
      <c r="D72" s="36" t="s">
        <v>242</v>
      </c>
      <c r="E72" s="130" t="s">
        <v>242</v>
      </c>
      <c r="F72" s="130">
        <v>2005.0</v>
      </c>
      <c r="G72" s="130">
        <v>2008.0</v>
      </c>
      <c r="H72" s="130">
        <v>0.0</v>
      </c>
      <c r="I72" s="130">
        <v>28.1</v>
      </c>
      <c r="J72" s="131">
        <v>0.0</v>
      </c>
      <c r="K72" s="130">
        <v>0.0</v>
      </c>
      <c r="L72" s="132">
        <v>17.315</v>
      </c>
      <c r="M72" s="132">
        <v>10.785</v>
      </c>
      <c r="N72" s="130">
        <v>4.0</v>
      </c>
      <c r="O72" s="138"/>
      <c r="P72" s="130" t="s">
        <v>59</v>
      </c>
      <c r="Q72" s="135">
        <v>622.3</v>
      </c>
      <c r="R72" s="130" t="s">
        <v>234</v>
      </c>
      <c r="S72" s="130">
        <v>2005.0</v>
      </c>
      <c r="T72" s="136">
        <v>0.3519</v>
      </c>
      <c r="U72" s="128">
        <f t="shared" ref="U72:U73" si="40">T72*Q72</f>
        <v>218.98737</v>
      </c>
      <c r="V72" s="24">
        <f t="shared" si="37"/>
        <v>7.79314484</v>
      </c>
      <c r="W72" s="3">
        <f t="shared" si="31"/>
        <v>0</v>
      </c>
      <c r="X72" s="3">
        <f t="shared" si="32"/>
        <v>0</v>
      </c>
      <c r="Y72" s="3">
        <f t="shared" si="33"/>
        <v>0</v>
      </c>
      <c r="Z72" s="25">
        <f t="shared" si="34"/>
        <v>0</v>
      </c>
      <c r="AA72" s="26">
        <f>VLOOKUP(S72,CPI!$A$2:$F$71,6,0)</f>
        <v>1.649331797</v>
      </c>
      <c r="AB72" s="27">
        <f t="shared" si="38"/>
        <v>361.1828325</v>
      </c>
      <c r="AC72" s="27">
        <f t="shared" si="39"/>
        <v>12.85348158</v>
      </c>
      <c r="AD72" s="130" t="s">
        <v>42</v>
      </c>
      <c r="AE72" s="137" t="s">
        <v>241</v>
      </c>
      <c r="AF72" s="100"/>
      <c r="AG72" s="101"/>
      <c r="AH72" s="101"/>
      <c r="AI72" s="101"/>
      <c r="AJ72" s="102"/>
      <c r="AK72" s="102"/>
      <c r="AL72" s="102"/>
      <c r="AM72" s="103"/>
      <c r="AN72" s="103"/>
      <c r="AO72" s="103"/>
      <c r="AP72" s="103"/>
      <c r="AQ72" s="104"/>
    </row>
    <row r="73" ht="15.75" customHeight="1">
      <c r="A73" s="105">
        <v>7987.0</v>
      </c>
      <c r="B73" s="130" t="s">
        <v>230</v>
      </c>
      <c r="C73" s="130" t="s">
        <v>231</v>
      </c>
      <c r="D73" s="36" t="s">
        <v>243</v>
      </c>
      <c r="E73" s="130" t="s">
        <v>244</v>
      </c>
      <c r="F73" s="130">
        <v>2005.0</v>
      </c>
      <c r="G73" s="130">
        <v>2008.0</v>
      </c>
      <c r="H73" s="130">
        <v>0.0</v>
      </c>
      <c r="I73" s="130">
        <v>4.528</v>
      </c>
      <c r="J73" s="131">
        <v>1.0</v>
      </c>
      <c r="K73" s="130">
        <v>4.528</v>
      </c>
      <c r="L73" s="132">
        <v>0.0</v>
      </c>
      <c r="M73" s="132">
        <v>0.0</v>
      </c>
      <c r="N73" s="130">
        <v>4.0</v>
      </c>
      <c r="O73" s="138"/>
      <c r="P73" s="130" t="s">
        <v>42</v>
      </c>
      <c r="Q73" s="135">
        <v>2420.0</v>
      </c>
      <c r="R73" s="130" t="s">
        <v>234</v>
      </c>
      <c r="S73" s="130">
        <v>2005.0</v>
      </c>
      <c r="T73" s="136">
        <v>0.3519</v>
      </c>
      <c r="U73" s="128">
        <f t="shared" si="40"/>
        <v>851.598</v>
      </c>
      <c r="V73" s="24">
        <f t="shared" si="37"/>
        <v>188.0737633</v>
      </c>
      <c r="W73" s="3">
        <f t="shared" si="31"/>
        <v>0</v>
      </c>
      <c r="X73" s="3">
        <f t="shared" si="32"/>
        <v>0</v>
      </c>
      <c r="Y73" s="3">
        <f t="shared" si="33"/>
        <v>0</v>
      </c>
      <c r="Z73" s="25">
        <f t="shared" si="34"/>
        <v>0</v>
      </c>
      <c r="AA73" s="26">
        <f>VLOOKUP(S73,CPI!$A$2:$F$71,6,0)</f>
        <v>1.649331797</v>
      </c>
      <c r="AB73" s="27">
        <f t="shared" si="38"/>
        <v>1404.56766</v>
      </c>
      <c r="AC73" s="27">
        <f t="shared" si="39"/>
        <v>310.196038</v>
      </c>
      <c r="AD73" s="130" t="s">
        <v>42</v>
      </c>
      <c r="AE73" s="130" t="s">
        <v>245</v>
      </c>
      <c r="AF73" s="100"/>
      <c r="AG73" s="101"/>
      <c r="AH73" s="101"/>
      <c r="AI73" s="101"/>
      <c r="AJ73" s="102"/>
      <c r="AK73" s="102"/>
      <c r="AL73" s="102"/>
      <c r="AM73" s="103"/>
      <c r="AN73" s="103"/>
      <c r="AO73" s="103"/>
      <c r="AP73" s="103"/>
      <c r="AQ73" s="104"/>
    </row>
    <row r="74" ht="15.75" customHeight="1">
      <c r="A74" s="105">
        <v>7640.0</v>
      </c>
      <c r="B74" s="130" t="s">
        <v>230</v>
      </c>
      <c r="C74" s="130" t="s">
        <v>231</v>
      </c>
      <c r="D74" s="130" t="s">
        <v>110</v>
      </c>
      <c r="E74" s="130" t="s">
        <v>110</v>
      </c>
      <c r="F74" s="130">
        <v>2004.0</v>
      </c>
      <c r="G74" s="130">
        <v>2009.0</v>
      </c>
      <c r="H74" s="130">
        <v>0.0</v>
      </c>
      <c r="I74" s="130">
        <v>28.2</v>
      </c>
      <c r="J74" s="131">
        <f>K74/I74</f>
        <v>0.9516666667</v>
      </c>
      <c r="K74" s="130">
        <v>26.837</v>
      </c>
      <c r="L74" s="132">
        <v>0.0</v>
      </c>
      <c r="M74" s="132">
        <v>0.0</v>
      </c>
      <c r="N74" s="130">
        <v>24.0</v>
      </c>
      <c r="O74" s="133">
        <v>117.0</v>
      </c>
      <c r="P74" s="130" t="s">
        <v>42</v>
      </c>
      <c r="Q74" s="140">
        <v>15380.0</v>
      </c>
      <c r="R74" s="130" t="s">
        <v>234</v>
      </c>
      <c r="S74" s="130">
        <v>2005.0</v>
      </c>
      <c r="T74" s="136">
        <v>0.3519</v>
      </c>
      <c r="U74" s="128">
        <f>Q74*T74</f>
        <v>5412.222</v>
      </c>
      <c r="V74" s="24">
        <f t="shared" si="37"/>
        <v>191.922766</v>
      </c>
      <c r="W74" s="3">
        <f t="shared" si="31"/>
        <v>0</v>
      </c>
      <c r="X74" s="3">
        <f t="shared" si="32"/>
        <v>0</v>
      </c>
      <c r="Y74" s="3">
        <f t="shared" si="33"/>
        <v>0</v>
      </c>
      <c r="Z74" s="25">
        <f t="shared" si="34"/>
        <v>0</v>
      </c>
      <c r="AA74" s="26">
        <f>VLOOKUP(S74,CPI!$A$2:$F$71,6,0)</f>
        <v>1.649331797</v>
      </c>
      <c r="AB74" s="27">
        <f t="shared" si="38"/>
        <v>8926.549838</v>
      </c>
      <c r="AC74" s="27">
        <f t="shared" si="39"/>
        <v>316.5443205</v>
      </c>
      <c r="AD74" s="130" t="s">
        <v>42</v>
      </c>
      <c r="AE74" s="137" t="s">
        <v>246</v>
      </c>
      <c r="AF74" s="100"/>
      <c r="AG74" s="101"/>
      <c r="AH74" s="101"/>
      <c r="AI74" s="101"/>
      <c r="AJ74" s="102"/>
      <c r="AK74" s="102"/>
      <c r="AL74" s="102"/>
      <c r="AM74" s="103"/>
      <c r="AN74" s="103"/>
      <c r="AO74" s="103"/>
      <c r="AP74" s="103"/>
      <c r="AQ74" s="104"/>
    </row>
    <row r="75" ht="15.75" customHeight="1">
      <c r="A75" s="105">
        <v>8041.0</v>
      </c>
      <c r="B75" s="130" t="s">
        <v>230</v>
      </c>
      <c r="C75" s="130" t="s">
        <v>231</v>
      </c>
      <c r="D75" s="130" t="s">
        <v>247</v>
      </c>
      <c r="E75" s="130" t="s">
        <v>247</v>
      </c>
      <c r="F75" s="130">
        <v>2007.0</v>
      </c>
      <c r="G75" s="130">
        <v>2010.0</v>
      </c>
      <c r="H75" s="130">
        <v>0.0</v>
      </c>
      <c r="I75" s="130">
        <v>21.8</v>
      </c>
      <c r="J75" s="131">
        <v>0.8027522936</v>
      </c>
      <c r="K75" s="130">
        <v>17.5</v>
      </c>
      <c r="L75" s="132">
        <v>4.36</v>
      </c>
      <c r="M75" s="132">
        <v>0.0</v>
      </c>
      <c r="N75" s="130">
        <v>11.0</v>
      </c>
      <c r="O75" s="138"/>
      <c r="P75" s="130" t="s">
        <v>42</v>
      </c>
      <c r="Q75" s="135">
        <v>10930.0</v>
      </c>
      <c r="R75" s="130" t="s">
        <v>234</v>
      </c>
      <c r="S75" s="130">
        <v>2007.0</v>
      </c>
      <c r="T75" s="136">
        <v>0.333</v>
      </c>
      <c r="U75" s="128">
        <f>T75*Q75</f>
        <v>3639.69</v>
      </c>
      <c r="V75" s="24">
        <f t="shared" si="37"/>
        <v>166.9582569</v>
      </c>
      <c r="W75" s="3">
        <f t="shared" si="31"/>
        <v>0</v>
      </c>
      <c r="X75" s="3">
        <f t="shared" si="32"/>
        <v>0</v>
      </c>
      <c r="Y75" s="3">
        <f t="shared" si="33"/>
        <v>0</v>
      </c>
      <c r="Z75" s="25">
        <f t="shared" si="34"/>
        <v>0</v>
      </c>
      <c r="AA75" s="26">
        <f>VLOOKUP(S75,CPI!$A$2:$F$71,6,0)</f>
        <v>1.553541974</v>
      </c>
      <c r="AB75" s="27">
        <f t="shared" si="38"/>
        <v>5654.411188</v>
      </c>
      <c r="AC75" s="27">
        <f t="shared" si="39"/>
        <v>259.37666</v>
      </c>
      <c r="AD75" s="130" t="s">
        <v>42</v>
      </c>
      <c r="AE75" s="137" t="s">
        <v>248</v>
      </c>
      <c r="AF75" s="100"/>
      <c r="AG75" s="101"/>
      <c r="AH75" s="101"/>
      <c r="AI75" s="101"/>
      <c r="AJ75" s="102"/>
      <c r="AK75" s="102"/>
      <c r="AL75" s="102"/>
      <c r="AM75" s="103"/>
      <c r="AN75" s="103"/>
      <c r="AO75" s="103"/>
      <c r="AP75" s="103"/>
      <c r="AQ75" s="104"/>
    </row>
    <row r="76" ht="15.75" customHeight="1">
      <c r="A76" s="105">
        <v>7650.0</v>
      </c>
      <c r="B76" s="123" t="s">
        <v>230</v>
      </c>
      <c r="C76" s="123" t="s">
        <v>231</v>
      </c>
      <c r="D76" s="36" t="s">
        <v>243</v>
      </c>
      <c r="E76" s="123" t="s">
        <v>249</v>
      </c>
      <c r="F76" s="123"/>
      <c r="G76" s="75">
        <v>2011.0</v>
      </c>
      <c r="H76" s="75">
        <v>0.0</v>
      </c>
      <c r="I76" s="75">
        <v>10.7</v>
      </c>
      <c r="J76" s="124">
        <v>1.0</v>
      </c>
      <c r="K76" s="75">
        <v>10.7</v>
      </c>
      <c r="L76" s="125">
        <v>0.0</v>
      </c>
      <c r="M76" s="125">
        <v>0.0</v>
      </c>
      <c r="N76" s="75">
        <v>6.0</v>
      </c>
      <c r="O76" s="75"/>
      <c r="P76" s="123" t="s">
        <v>42</v>
      </c>
      <c r="Q76" s="141"/>
      <c r="R76" s="123" t="s">
        <v>234</v>
      </c>
      <c r="S76" s="142">
        <v>2011.0</v>
      </c>
      <c r="T76" s="136">
        <v>0.284</v>
      </c>
      <c r="U76" s="128"/>
      <c r="V76" s="24"/>
      <c r="W76" s="3">
        <f t="shared" si="31"/>
        <v>0</v>
      </c>
      <c r="X76" s="3">
        <f t="shared" si="32"/>
        <v>0</v>
      </c>
      <c r="Y76" s="3">
        <f t="shared" si="33"/>
        <v>0</v>
      </c>
      <c r="Z76" s="25">
        <f t="shared" si="34"/>
        <v>0</v>
      </c>
      <c r="AA76" s="26">
        <f>VLOOKUP(S76,CPI!$A$2:$F$71,6,0)</f>
        <v>1.432008233</v>
      </c>
      <c r="AB76" s="27"/>
      <c r="AC76" s="27"/>
      <c r="AD76" s="123" t="s">
        <v>42</v>
      </c>
      <c r="AE76" s="129" t="s">
        <v>250</v>
      </c>
      <c r="AF76" s="100"/>
      <c r="AG76" s="101"/>
      <c r="AH76" s="101"/>
      <c r="AI76" s="101"/>
      <c r="AJ76" s="102"/>
      <c r="AK76" s="102"/>
      <c r="AL76" s="102"/>
      <c r="AM76" s="103"/>
      <c r="AN76" s="103"/>
      <c r="AO76" s="103"/>
      <c r="AP76" s="103"/>
      <c r="AQ76" s="104"/>
    </row>
    <row r="77" ht="15.75" customHeight="1">
      <c r="A77" s="105">
        <v>8145.0</v>
      </c>
      <c r="B77" s="123" t="s">
        <v>230</v>
      </c>
      <c r="C77" s="123" t="s">
        <v>231</v>
      </c>
      <c r="D77" s="36" t="s">
        <v>239</v>
      </c>
      <c r="E77" s="123" t="s">
        <v>251</v>
      </c>
      <c r="F77" s="75">
        <v>2007.0</v>
      </c>
      <c r="G77" s="75">
        <v>2012.0</v>
      </c>
      <c r="H77" s="75">
        <v>0.0</v>
      </c>
      <c r="I77" s="75">
        <v>32.46</v>
      </c>
      <c r="J77" s="124">
        <v>1.0</v>
      </c>
      <c r="K77" s="143">
        <v>32.46</v>
      </c>
      <c r="L77" s="125">
        <v>0.0</v>
      </c>
      <c r="M77" s="125">
        <v>0.0</v>
      </c>
      <c r="N77" s="75">
        <v>24.0</v>
      </c>
      <c r="O77" s="75"/>
      <c r="P77" s="123" t="s">
        <v>59</v>
      </c>
      <c r="Q77" s="141"/>
      <c r="R77" s="123" t="s">
        <v>234</v>
      </c>
      <c r="S77" s="75">
        <v>2007.0</v>
      </c>
      <c r="T77" s="136">
        <v>0.333</v>
      </c>
      <c r="U77" s="118"/>
      <c r="V77" s="24"/>
      <c r="W77" s="3">
        <f t="shared" si="31"/>
        <v>0</v>
      </c>
      <c r="X77" s="3">
        <f t="shared" si="32"/>
        <v>0</v>
      </c>
      <c r="Y77" s="3">
        <f t="shared" si="33"/>
        <v>0</v>
      </c>
      <c r="Z77" s="25">
        <f t="shared" si="34"/>
        <v>0</v>
      </c>
      <c r="AA77" s="26">
        <f>VLOOKUP(S77,CPI!$A$2:$F$71,6,0)</f>
        <v>1.553541974</v>
      </c>
      <c r="AB77" s="27"/>
      <c r="AC77" s="27"/>
      <c r="AD77" s="123" t="s">
        <v>42</v>
      </c>
      <c r="AE77" s="129" t="s">
        <v>252</v>
      </c>
      <c r="AF77" s="144"/>
      <c r="AG77" s="145"/>
      <c r="AH77" s="145"/>
      <c r="AI77" s="145"/>
      <c r="AJ77" s="145"/>
      <c r="AK77" s="145"/>
      <c r="AL77" s="145"/>
      <c r="AM77" s="103"/>
      <c r="AN77" s="103"/>
      <c r="AO77" s="103"/>
      <c r="AP77" s="103"/>
      <c r="AQ77" s="104"/>
    </row>
    <row r="78" ht="15.75" customHeight="1">
      <c r="A78" s="146"/>
      <c r="B78" s="114" t="s">
        <v>230</v>
      </c>
      <c r="C78" s="114" t="s">
        <v>231</v>
      </c>
      <c r="D78" s="114" t="s">
        <v>253</v>
      </c>
      <c r="E78" s="114" t="s">
        <v>253</v>
      </c>
      <c r="F78" s="116">
        <v>2007.0</v>
      </c>
      <c r="G78" s="116">
        <v>2012.0</v>
      </c>
      <c r="H78" s="116">
        <v>0.0</v>
      </c>
      <c r="I78" s="116">
        <v>16.5</v>
      </c>
      <c r="J78" s="117">
        <v>1.0</v>
      </c>
      <c r="K78" s="116">
        <v>16.5</v>
      </c>
      <c r="L78" s="114"/>
      <c r="M78" s="114"/>
      <c r="N78" s="116">
        <v>13.0</v>
      </c>
      <c r="O78" s="116">
        <v>117.0</v>
      </c>
      <c r="P78" s="114"/>
      <c r="Q78" s="140">
        <v>12900.0</v>
      </c>
      <c r="R78" s="114" t="s">
        <v>234</v>
      </c>
      <c r="S78" s="115">
        <v>2010.0</v>
      </c>
      <c r="T78" s="85">
        <v>0.3</v>
      </c>
      <c r="U78" s="118">
        <f t="shared" ref="U78:U79" si="41">Q78*T78</f>
        <v>3870</v>
      </c>
      <c r="V78" s="24">
        <f t="shared" ref="V78:V80" si="42">U78/I78</f>
        <v>234.5454545</v>
      </c>
      <c r="W78" s="3">
        <f t="shared" si="31"/>
        <v>0</v>
      </c>
      <c r="X78" s="3">
        <f t="shared" si="32"/>
        <v>0</v>
      </c>
      <c r="Y78" s="3">
        <f t="shared" si="33"/>
        <v>0</v>
      </c>
      <c r="Z78" s="25">
        <f t="shared" si="34"/>
        <v>0</v>
      </c>
      <c r="AA78" s="26">
        <f>VLOOKUP(S78,CPI!$A$2:$F$71,6,0)</f>
        <v>1.477209983</v>
      </c>
      <c r="AB78" s="27">
        <f t="shared" ref="AB78:AB80" si="43">U78*AA78</f>
        <v>5716.802633</v>
      </c>
      <c r="AC78" s="27">
        <f t="shared" ref="AC78:AC80" si="44">V78*AA78</f>
        <v>346.4728869</v>
      </c>
      <c r="AD78" s="114"/>
      <c r="AE78" s="119" t="s">
        <v>254</v>
      </c>
      <c r="AJ78" s="122"/>
      <c r="AK78" s="122"/>
      <c r="AL78" s="122"/>
      <c r="AM78" s="103"/>
      <c r="AN78" s="103"/>
      <c r="AO78" s="103"/>
      <c r="AP78" s="103"/>
      <c r="AQ78" s="104"/>
    </row>
    <row r="79" ht="15.75" customHeight="1">
      <c r="A79" s="147">
        <v>7832.0</v>
      </c>
      <c r="B79" s="72" t="s">
        <v>230</v>
      </c>
      <c r="C79" s="72" t="s">
        <v>231</v>
      </c>
      <c r="D79" s="36" t="s">
        <v>80</v>
      </c>
      <c r="E79" s="115" t="s">
        <v>255</v>
      </c>
      <c r="F79" s="69">
        <v>2008.0</v>
      </c>
      <c r="G79" s="69">
        <v>2012.0</v>
      </c>
      <c r="H79" s="69">
        <v>0.0</v>
      </c>
      <c r="I79" s="69">
        <v>30.4</v>
      </c>
      <c r="J79" s="117">
        <v>1.0</v>
      </c>
      <c r="K79" s="69">
        <v>30.4</v>
      </c>
      <c r="L79" s="72"/>
      <c r="M79" s="72"/>
      <c r="N79" s="69">
        <v>20.0</v>
      </c>
      <c r="O79" s="69">
        <v>156.0</v>
      </c>
      <c r="P79" s="72" t="s">
        <v>74</v>
      </c>
      <c r="Q79" s="140">
        <v>28000.0</v>
      </c>
      <c r="R79" s="72" t="s">
        <v>234</v>
      </c>
      <c r="S79" s="6">
        <v>2010.0</v>
      </c>
      <c r="T79" s="136">
        <v>0.3</v>
      </c>
      <c r="U79" s="148">
        <f t="shared" si="41"/>
        <v>8400</v>
      </c>
      <c r="V79" s="24">
        <f t="shared" si="42"/>
        <v>276.3157895</v>
      </c>
      <c r="W79" s="3">
        <f t="shared" si="31"/>
        <v>0</v>
      </c>
      <c r="X79" s="3">
        <f t="shared" si="32"/>
        <v>0</v>
      </c>
      <c r="Y79" s="3">
        <f t="shared" si="33"/>
        <v>0</v>
      </c>
      <c r="Z79" s="25">
        <f t="shared" si="34"/>
        <v>0</v>
      </c>
      <c r="AA79" s="26">
        <f>VLOOKUP(S79,CPI!$A$2:$F$71,6,0)</f>
        <v>1.477209983</v>
      </c>
      <c r="AB79" s="27">
        <f t="shared" si="43"/>
        <v>12408.56386</v>
      </c>
      <c r="AC79" s="27">
        <f t="shared" si="44"/>
        <v>408.1764426</v>
      </c>
      <c r="AD79" s="72" t="s">
        <v>42</v>
      </c>
      <c r="AE79" s="149" t="s">
        <v>254</v>
      </c>
      <c r="AF79" s="150"/>
      <c r="AG79" s="145"/>
      <c r="AH79" s="145"/>
      <c r="AI79" s="145"/>
      <c r="AJ79" s="151"/>
      <c r="AK79" s="151"/>
      <c r="AL79" s="151"/>
      <c r="AM79" s="103"/>
      <c r="AN79" s="103"/>
      <c r="AO79" s="103"/>
      <c r="AP79" s="103"/>
      <c r="AQ79" s="104"/>
    </row>
    <row r="80" ht="15.75" customHeight="1">
      <c r="A80" s="105">
        <v>8131.0</v>
      </c>
      <c r="B80" s="130" t="s">
        <v>230</v>
      </c>
      <c r="C80" s="130" t="s">
        <v>231</v>
      </c>
      <c r="D80" s="36" t="s">
        <v>243</v>
      </c>
      <c r="E80" s="130" t="s">
        <v>256</v>
      </c>
      <c r="F80" s="130">
        <v>2011.0</v>
      </c>
      <c r="G80" s="130">
        <v>2013.0</v>
      </c>
      <c r="H80" s="130">
        <v>0.0</v>
      </c>
      <c r="I80" s="130">
        <v>6.328</v>
      </c>
      <c r="J80" s="131">
        <v>0.7345132743</v>
      </c>
      <c r="K80" s="130">
        <v>4.648</v>
      </c>
      <c r="L80" s="132">
        <v>1.7091</v>
      </c>
      <c r="M80" s="132">
        <v>0.0</v>
      </c>
      <c r="N80" s="130">
        <v>3.0</v>
      </c>
      <c r="O80" s="138"/>
      <c r="P80" s="130" t="s">
        <v>59</v>
      </c>
      <c r="Q80" s="135">
        <v>3212.2</v>
      </c>
      <c r="R80" s="130" t="s">
        <v>234</v>
      </c>
      <c r="S80" s="130">
        <v>2011.0</v>
      </c>
      <c r="T80" s="136">
        <v>0.284</v>
      </c>
      <c r="U80" s="128">
        <f>T80*Q80</f>
        <v>912.2648</v>
      </c>
      <c r="V80" s="24">
        <f t="shared" si="42"/>
        <v>144.1632111</v>
      </c>
      <c r="W80" s="3">
        <f t="shared" si="31"/>
        <v>0</v>
      </c>
      <c r="X80" s="3">
        <f t="shared" si="32"/>
        <v>0</v>
      </c>
      <c r="Y80" s="3">
        <f t="shared" si="33"/>
        <v>0</v>
      </c>
      <c r="Z80" s="25">
        <f t="shared" si="34"/>
        <v>0</v>
      </c>
      <c r="AA80" s="26">
        <f>VLOOKUP(S80,CPI!$A$2:$F$71,6,0)</f>
        <v>1.432008233</v>
      </c>
      <c r="AB80" s="27">
        <f t="shared" si="43"/>
        <v>1306.370705</v>
      </c>
      <c r="AC80" s="27">
        <f t="shared" si="44"/>
        <v>206.4429053</v>
      </c>
      <c r="AD80" s="130" t="s">
        <v>42</v>
      </c>
      <c r="AE80" s="137" t="s">
        <v>257</v>
      </c>
      <c r="AF80" s="100"/>
      <c r="AG80" s="101"/>
      <c r="AH80" s="101"/>
      <c r="AI80" s="101"/>
      <c r="AJ80" s="102"/>
      <c r="AK80" s="102"/>
      <c r="AL80" s="102"/>
      <c r="AM80" s="103"/>
      <c r="AN80" s="103"/>
      <c r="AO80" s="103"/>
      <c r="AP80" s="103"/>
      <c r="AQ80" s="104"/>
    </row>
    <row r="81" ht="15.75" customHeight="1">
      <c r="A81" s="105">
        <v>7651.0</v>
      </c>
      <c r="B81" s="123" t="s">
        <v>230</v>
      </c>
      <c r="C81" s="123" t="s">
        <v>231</v>
      </c>
      <c r="D81" s="36" t="s">
        <v>243</v>
      </c>
      <c r="E81" s="123" t="s">
        <v>258</v>
      </c>
      <c r="F81" s="123"/>
      <c r="G81" s="75">
        <v>2013.0</v>
      </c>
      <c r="H81" s="75">
        <v>0.0</v>
      </c>
      <c r="I81" s="75">
        <v>4.447</v>
      </c>
      <c r="J81" s="124">
        <v>1.0</v>
      </c>
      <c r="K81" s="75">
        <v>4.447</v>
      </c>
      <c r="L81" s="125">
        <v>0.0</v>
      </c>
      <c r="M81" s="125">
        <v>0.0</v>
      </c>
      <c r="N81" s="75">
        <v>6.0</v>
      </c>
      <c r="O81" s="75"/>
      <c r="P81" s="123" t="s">
        <v>74</v>
      </c>
      <c r="Q81" s="141"/>
      <c r="R81" s="123" t="s">
        <v>234</v>
      </c>
      <c r="S81" s="142">
        <v>2013.0</v>
      </c>
      <c r="T81" s="136">
        <v>0.273</v>
      </c>
      <c r="U81" s="128"/>
      <c r="V81" s="24"/>
      <c r="W81" s="3">
        <f t="shared" si="31"/>
        <v>0</v>
      </c>
      <c r="X81" s="3">
        <f t="shared" si="32"/>
        <v>0</v>
      </c>
      <c r="Y81" s="3">
        <f t="shared" si="33"/>
        <v>0</v>
      </c>
      <c r="Z81" s="25">
        <f t="shared" si="34"/>
        <v>0</v>
      </c>
      <c r="AA81" s="26">
        <f>VLOOKUP(S81,CPI!$A$2:$F$71,6,0)</f>
        <v>1.382720845</v>
      </c>
      <c r="AB81" s="27"/>
      <c r="AC81" s="27"/>
      <c r="AD81" s="123" t="s">
        <v>42</v>
      </c>
      <c r="AE81" s="129" t="s">
        <v>259</v>
      </c>
      <c r="AF81" s="100"/>
      <c r="AG81" s="101"/>
      <c r="AH81" s="101"/>
      <c r="AI81" s="101"/>
      <c r="AJ81" s="102"/>
      <c r="AK81" s="102"/>
      <c r="AL81" s="102"/>
      <c r="AM81" s="103"/>
      <c r="AN81" s="103"/>
      <c r="AO81" s="103"/>
      <c r="AP81" s="103"/>
      <c r="AQ81" s="104"/>
    </row>
    <row r="82" ht="15.75" customHeight="1">
      <c r="A82" s="105">
        <v>8112.0</v>
      </c>
      <c r="B82" s="130" t="s">
        <v>230</v>
      </c>
      <c r="C82" s="130" t="s">
        <v>231</v>
      </c>
      <c r="D82" s="16" t="s">
        <v>260</v>
      </c>
      <c r="E82" s="130" t="s">
        <v>261</v>
      </c>
      <c r="F82" s="130">
        <v>2009.0</v>
      </c>
      <c r="G82" s="130">
        <v>2014.0</v>
      </c>
      <c r="H82" s="130">
        <v>0.0</v>
      </c>
      <c r="I82" s="130">
        <v>41.4</v>
      </c>
      <c r="J82" s="131">
        <v>0.6690821256</v>
      </c>
      <c r="K82" s="130">
        <v>27.7</v>
      </c>
      <c r="L82" s="132">
        <v>13.605</v>
      </c>
      <c r="M82" s="132">
        <v>0.471</v>
      </c>
      <c r="N82" s="130">
        <v>18.0</v>
      </c>
      <c r="O82" s="133">
        <v>117.0</v>
      </c>
      <c r="P82" s="130" t="s">
        <v>42</v>
      </c>
      <c r="Q82" s="135">
        <v>18100.0</v>
      </c>
      <c r="R82" s="130" t="s">
        <v>234</v>
      </c>
      <c r="S82" s="130">
        <v>2010.0</v>
      </c>
      <c r="T82" s="136">
        <v>0.3</v>
      </c>
      <c r="U82" s="128">
        <f>T82*Q82</f>
        <v>5430</v>
      </c>
      <c r="V82" s="24">
        <f t="shared" ref="V82:V84" si="45">U82/I82</f>
        <v>131.1594203</v>
      </c>
      <c r="W82" s="3">
        <f t="shared" si="31"/>
        <v>0</v>
      </c>
      <c r="X82" s="3">
        <f t="shared" si="32"/>
        <v>0</v>
      </c>
      <c r="Y82" s="3">
        <f t="shared" si="33"/>
        <v>0</v>
      </c>
      <c r="Z82" s="25">
        <f t="shared" si="34"/>
        <v>0</v>
      </c>
      <c r="AA82" s="26">
        <f>VLOOKUP(S82,CPI!$A$2:$F$71,6,0)</f>
        <v>1.477209983</v>
      </c>
      <c r="AB82" s="27">
        <f t="shared" ref="AB82:AB84" si="46">U82*AA82</f>
        <v>8021.250206</v>
      </c>
      <c r="AC82" s="27">
        <f t="shared" ref="AC82:AC84" si="47">V82*AA82</f>
        <v>193.750005</v>
      </c>
      <c r="AD82" s="130" t="s">
        <v>42</v>
      </c>
      <c r="AE82" s="137" t="s">
        <v>262</v>
      </c>
      <c r="AF82" s="100"/>
      <c r="AG82" s="101"/>
      <c r="AH82" s="101"/>
      <c r="AI82" s="101"/>
      <c r="AJ82" s="102"/>
      <c r="AK82" s="102"/>
      <c r="AL82" s="102"/>
      <c r="AM82" s="103"/>
      <c r="AN82" s="103"/>
      <c r="AO82" s="103"/>
      <c r="AP82" s="103"/>
      <c r="AQ82" s="104"/>
    </row>
    <row r="83" ht="15.75" customHeight="1">
      <c r="A83" s="139">
        <v>7904.0</v>
      </c>
      <c r="B83" s="123" t="s">
        <v>230</v>
      </c>
      <c r="C83" s="123" t="s">
        <v>231</v>
      </c>
      <c r="D83" s="36" t="s">
        <v>228</v>
      </c>
      <c r="E83" s="123" t="s">
        <v>263</v>
      </c>
      <c r="F83" s="75">
        <v>2009.0</v>
      </c>
      <c r="G83" s="75">
        <v>2014.0</v>
      </c>
      <c r="H83" s="75">
        <v>0.0</v>
      </c>
      <c r="I83" s="75">
        <v>23.7</v>
      </c>
      <c r="J83" s="124">
        <v>1.0</v>
      </c>
      <c r="K83" s="75">
        <v>23.7</v>
      </c>
      <c r="L83" s="125">
        <v>0.0</v>
      </c>
      <c r="M83" s="125">
        <v>0.0</v>
      </c>
      <c r="N83" s="75">
        <v>21.0</v>
      </c>
      <c r="O83" s="152"/>
      <c r="P83" s="123" t="s">
        <v>60</v>
      </c>
      <c r="Q83" s="126">
        <v>16000.0</v>
      </c>
      <c r="R83" s="123" t="s">
        <v>234</v>
      </c>
      <c r="S83" s="75">
        <v>2014.0</v>
      </c>
      <c r="T83" s="136">
        <v>0.266</v>
      </c>
      <c r="U83" s="128">
        <f t="shared" ref="U83:U84" si="48">Q83*T83</f>
        <v>4256</v>
      </c>
      <c r="V83" s="24">
        <f t="shared" si="45"/>
        <v>179.5780591</v>
      </c>
      <c r="W83" s="3">
        <f t="shared" si="31"/>
        <v>0</v>
      </c>
      <c r="X83" s="3">
        <f t="shared" si="32"/>
        <v>0</v>
      </c>
      <c r="Y83" s="3">
        <f t="shared" si="33"/>
        <v>0</v>
      </c>
      <c r="Z83" s="25">
        <f t="shared" si="34"/>
        <v>0</v>
      </c>
      <c r="AA83" s="26">
        <f>VLOOKUP(S83,CPI!$A$2:$F$71,6,0)</f>
        <v>1.360648571</v>
      </c>
      <c r="AB83" s="27">
        <f t="shared" si="46"/>
        <v>5790.920316</v>
      </c>
      <c r="AC83" s="27">
        <f t="shared" si="47"/>
        <v>244.3426294</v>
      </c>
      <c r="AD83" s="123" t="s">
        <v>42</v>
      </c>
      <c r="AE83" s="129" t="s">
        <v>264</v>
      </c>
      <c r="AF83" s="100"/>
      <c r="AG83" s="101"/>
      <c r="AH83" s="101"/>
      <c r="AI83" s="101"/>
      <c r="AJ83" s="102"/>
      <c r="AK83" s="102"/>
      <c r="AL83" s="102"/>
      <c r="AM83" s="103"/>
      <c r="AN83" s="103"/>
      <c r="AO83" s="103"/>
      <c r="AP83" s="103"/>
      <c r="AQ83" s="104"/>
    </row>
    <row r="84" ht="15.75" customHeight="1">
      <c r="A84" s="146"/>
      <c r="B84" s="114" t="s">
        <v>230</v>
      </c>
      <c r="C84" s="114" t="s">
        <v>231</v>
      </c>
      <c r="D84" s="115" t="s">
        <v>80</v>
      </c>
      <c r="E84" s="115" t="s">
        <v>265</v>
      </c>
      <c r="F84" s="116">
        <v>2011.0</v>
      </c>
      <c r="G84" s="116">
        <v>2014.0</v>
      </c>
      <c r="H84" s="116">
        <v>0.0</v>
      </c>
      <c r="I84" s="116">
        <v>12.4</v>
      </c>
      <c r="J84" s="117">
        <v>1.0</v>
      </c>
      <c r="K84" s="116">
        <v>12.4</v>
      </c>
      <c r="L84" s="114"/>
      <c r="M84" s="114"/>
      <c r="N84" s="116">
        <v>8.0</v>
      </c>
      <c r="O84" s="116">
        <v>156.0</v>
      </c>
      <c r="P84" s="114"/>
      <c r="Q84" s="140">
        <v>6000.0</v>
      </c>
      <c r="R84" s="114" t="s">
        <v>234</v>
      </c>
      <c r="S84" s="115">
        <v>2013.0</v>
      </c>
      <c r="T84" s="85">
        <v>0.273</v>
      </c>
      <c r="U84" s="118">
        <f t="shared" si="48"/>
        <v>1638</v>
      </c>
      <c r="V84" s="24">
        <f t="shared" si="45"/>
        <v>132.0967742</v>
      </c>
      <c r="W84" s="3">
        <f t="shared" si="31"/>
        <v>0</v>
      </c>
      <c r="X84" s="3">
        <f t="shared" si="32"/>
        <v>0</v>
      </c>
      <c r="Y84" s="3">
        <f t="shared" si="33"/>
        <v>0</v>
      </c>
      <c r="Z84" s="25">
        <f t="shared" si="34"/>
        <v>0</v>
      </c>
      <c r="AA84" s="26">
        <f>VLOOKUP(S84,CPI!$A$2:$F$71,6,0)</f>
        <v>1.382720845</v>
      </c>
      <c r="AB84" s="27">
        <f t="shared" si="46"/>
        <v>2264.896745</v>
      </c>
      <c r="AC84" s="27">
        <f t="shared" si="47"/>
        <v>182.6529633</v>
      </c>
      <c r="AD84" s="114"/>
      <c r="AE84" s="119" t="s">
        <v>266</v>
      </c>
      <c r="AF84" s="153"/>
      <c r="AG84" s="121"/>
      <c r="AH84" s="121"/>
      <c r="AI84" s="121"/>
      <c r="AJ84" s="122"/>
      <c r="AK84" s="122"/>
      <c r="AL84" s="122"/>
      <c r="AM84" s="103"/>
      <c r="AN84" s="103"/>
      <c r="AO84" s="103"/>
      <c r="AP84" s="103"/>
      <c r="AQ84" s="104"/>
    </row>
    <row r="85" ht="15.75" customHeight="1">
      <c r="A85" s="105">
        <v>7643.0</v>
      </c>
      <c r="B85" s="123" t="s">
        <v>230</v>
      </c>
      <c r="C85" s="123" t="s">
        <v>231</v>
      </c>
      <c r="D85" s="36" t="s">
        <v>267</v>
      </c>
      <c r="E85" s="123" t="s">
        <v>268</v>
      </c>
      <c r="F85" s="75">
        <v>2010.0</v>
      </c>
      <c r="G85" s="75">
        <v>2015.0</v>
      </c>
      <c r="H85" s="75">
        <v>0.0</v>
      </c>
      <c r="I85" s="75">
        <v>31.4</v>
      </c>
      <c r="J85" s="124">
        <v>1.0</v>
      </c>
      <c r="K85" s="75">
        <v>31.4</v>
      </c>
      <c r="L85" s="125">
        <v>0.0</v>
      </c>
      <c r="M85" s="125">
        <v>0.0</v>
      </c>
      <c r="N85" s="75">
        <v>23.0</v>
      </c>
      <c r="O85" s="75"/>
      <c r="P85" s="123" t="s">
        <v>42</v>
      </c>
      <c r="Q85" s="141"/>
      <c r="R85" s="123" t="s">
        <v>234</v>
      </c>
      <c r="S85" s="75">
        <v>2012.0</v>
      </c>
      <c r="T85" s="136">
        <v>0.2808</v>
      </c>
      <c r="U85" s="128"/>
      <c r="V85" s="24"/>
      <c r="W85" s="3">
        <f t="shared" si="31"/>
        <v>0</v>
      </c>
      <c r="X85" s="3">
        <f t="shared" si="32"/>
        <v>0</v>
      </c>
      <c r="Y85" s="3">
        <f t="shared" si="33"/>
        <v>0</v>
      </c>
      <c r="Z85" s="25">
        <f t="shared" si="34"/>
        <v>0</v>
      </c>
      <c r="AA85" s="26">
        <f>VLOOKUP(S85,CPI!$A$2:$F$71,6,0)</f>
        <v>1.402974381</v>
      </c>
      <c r="AB85" s="27"/>
      <c r="AC85" s="27"/>
      <c r="AD85" s="123" t="s">
        <v>42</v>
      </c>
      <c r="AE85" s="154" t="s">
        <v>269</v>
      </c>
      <c r="AF85" s="100"/>
      <c r="AG85" s="101"/>
      <c r="AH85" s="101"/>
      <c r="AI85" s="101"/>
      <c r="AJ85" s="102"/>
      <c r="AK85" s="102"/>
      <c r="AL85" s="102"/>
      <c r="AM85" s="103"/>
      <c r="AN85" s="103"/>
      <c r="AO85" s="103"/>
      <c r="AP85" s="103"/>
      <c r="AQ85" s="104"/>
    </row>
    <row r="86" ht="15.75" customHeight="1">
      <c r="A86" s="105">
        <v>8144.0</v>
      </c>
      <c r="B86" s="123" t="s">
        <v>230</v>
      </c>
      <c r="C86" s="123" t="s">
        <v>231</v>
      </c>
      <c r="D86" s="36" t="s">
        <v>243</v>
      </c>
      <c r="E86" s="123" t="s">
        <v>270</v>
      </c>
      <c r="F86" s="75">
        <v>2014.0</v>
      </c>
      <c r="G86" s="75">
        <v>2018.0</v>
      </c>
      <c r="H86" s="75">
        <v>0.0</v>
      </c>
      <c r="I86" s="75">
        <v>13.0</v>
      </c>
      <c r="J86" s="124">
        <v>1.0</v>
      </c>
      <c r="K86" s="143">
        <v>13.0</v>
      </c>
      <c r="L86" s="125">
        <v>0.0</v>
      </c>
      <c r="M86" s="125">
        <v>0.0</v>
      </c>
      <c r="N86" s="75">
        <v>11.0</v>
      </c>
      <c r="O86" s="75"/>
      <c r="P86" s="123" t="s">
        <v>59</v>
      </c>
      <c r="Q86" s="141"/>
      <c r="R86" s="123" t="s">
        <v>234</v>
      </c>
      <c r="S86" s="75">
        <v>2014.0</v>
      </c>
      <c r="T86" s="136">
        <v>0.266</v>
      </c>
      <c r="U86" s="118"/>
      <c r="V86" s="24"/>
      <c r="W86" s="3">
        <f t="shared" si="31"/>
        <v>0</v>
      </c>
      <c r="X86" s="3">
        <f t="shared" si="32"/>
        <v>0</v>
      </c>
      <c r="Y86" s="3">
        <f t="shared" si="33"/>
        <v>0</v>
      </c>
      <c r="Z86" s="25">
        <f t="shared" si="34"/>
        <v>0</v>
      </c>
      <c r="AA86" s="26">
        <f>VLOOKUP(S86,CPI!$A$2:$F$71,6,0)</f>
        <v>1.360648571</v>
      </c>
      <c r="AB86" s="27"/>
      <c r="AC86" s="27"/>
      <c r="AD86" s="123" t="s">
        <v>42</v>
      </c>
      <c r="AE86" s="129" t="s">
        <v>271</v>
      </c>
      <c r="AF86" s="144"/>
      <c r="AG86" s="145"/>
      <c r="AH86" s="145"/>
      <c r="AI86" s="145"/>
      <c r="AJ86" s="145"/>
      <c r="AK86" s="145"/>
      <c r="AL86" s="145"/>
      <c r="AM86" s="103"/>
      <c r="AN86" s="103"/>
      <c r="AO86" s="103"/>
      <c r="AP86" s="103"/>
      <c r="AQ86" s="104"/>
    </row>
    <row r="87" ht="15.75" customHeight="1">
      <c r="A87" s="139">
        <v>7785.0</v>
      </c>
      <c r="B87" s="123" t="s">
        <v>230</v>
      </c>
      <c r="C87" s="123" t="s">
        <v>231</v>
      </c>
      <c r="D87" s="36" t="s">
        <v>243</v>
      </c>
      <c r="E87" s="123" t="s">
        <v>272</v>
      </c>
      <c r="F87" s="75">
        <v>2016.0</v>
      </c>
      <c r="G87" s="75">
        <v>2018.0</v>
      </c>
      <c r="H87" s="75">
        <v>0.0</v>
      </c>
      <c r="I87" s="75">
        <v>3.4</v>
      </c>
      <c r="J87" s="124">
        <f>K87/I87</f>
        <v>0.2907647059</v>
      </c>
      <c r="K87" s="75">
        <v>0.9886</v>
      </c>
      <c r="L87" s="125">
        <v>2.414</v>
      </c>
      <c r="M87" s="125">
        <v>0.0</v>
      </c>
      <c r="N87" s="75">
        <v>2.0</v>
      </c>
      <c r="O87" s="75"/>
      <c r="P87" s="123" t="s">
        <v>74</v>
      </c>
      <c r="Q87" s="126">
        <v>3420.0</v>
      </c>
      <c r="R87" s="123" t="s">
        <v>234</v>
      </c>
      <c r="S87" s="75">
        <v>2015.0</v>
      </c>
      <c r="T87" s="136">
        <v>0.258</v>
      </c>
      <c r="U87" s="128">
        <f>Q87*T87</f>
        <v>882.36</v>
      </c>
      <c r="V87" s="24">
        <f t="shared" ref="V87:V98" si="49">U87/I87</f>
        <v>259.5176471</v>
      </c>
      <c r="W87" s="3">
        <f t="shared" si="31"/>
        <v>0</v>
      </c>
      <c r="X87" s="3">
        <f t="shared" si="32"/>
        <v>0</v>
      </c>
      <c r="Y87" s="3">
        <f t="shared" si="33"/>
        <v>0</v>
      </c>
      <c r="Z87" s="25">
        <f t="shared" si="34"/>
        <v>0</v>
      </c>
      <c r="AA87" s="26">
        <f>VLOOKUP(S87,CPI!$A$2:$F$71,6,0)</f>
        <v>1.359035428</v>
      </c>
      <c r="AB87" s="27">
        <f t="shared" ref="AB87:AB98" si="50">U87*AA87</f>
        <v>1199.1585</v>
      </c>
      <c r="AC87" s="27">
        <f t="shared" ref="AC87:AC98" si="51">V87*AA87</f>
        <v>352.6936765</v>
      </c>
      <c r="AD87" s="123" t="s">
        <v>42</v>
      </c>
      <c r="AE87" s="129" t="s">
        <v>273</v>
      </c>
      <c r="AF87" s="100"/>
      <c r="AG87" s="101"/>
      <c r="AH87" s="101"/>
      <c r="AI87" s="101"/>
      <c r="AJ87" s="102"/>
      <c r="AK87" s="102"/>
      <c r="AL87" s="102"/>
      <c r="AM87" s="103"/>
      <c r="AN87" s="103"/>
      <c r="AO87" s="103"/>
      <c r="AP87" s="103"/>
      <c r="AQ87" s="104"/>
    </row>
    <row r="88" ht="15.75" customHeight="1">
      <c r="A88" s="105">
        <v>7985.0</v>
      </c>
      <c r="B88" s="130" t="s">
        <v>230</v>
      </c>
      <c r="C88" s="130" t="s">
        <v>231</v>
      </c>
      <c r="D88" s="36" t="s">
        <v>274</v>
      </c>
      <c r="E88" s="130" t="s">
        <v>275</v>
      </c>
      <c r="F88" s="130">
        <v>2016.0</v>
      </c>
      <c r="G88" s="130">
        <v>2019.0</v>
      </c>
      <c r="H88" s="130">
        <v>0.0</v>
      </c>
      <c r="I88" s="130">
        <v>44.0</v>
      </c>
      <c r="J88" s="131"/>
      <c r="K88" s="130"/>
      <c r="L88" s="132" t="e">
        <v>#N/A</v>
      </c>
      <c r="M88" s="132" t="e">
        <v>#N/A</v>
      </c>
      <c r="N88" s="130">
        <v>3.0</v>
      </c>
      <c r="O88" s="138"/>
      <c r="P88" s="130" t="s">
        <v>60</v>
      </c>
      <c r="Q88" s="135">
        <v>27820.0</v>
      </c>
      <c r="R88" s="130" t="s">
        <v>234</v>
      </c>
      <c r="S88" s="130">
        <v>2019.0</v>
      </c>
      <c r="T88" s="136">
        <v>0.238</v>
      </c>
      <c r="U88" s="128">
        <f>T88*Q88</f>
        <v>6621.16</v>
      </c>
      <c r="V88" s="24">
        <f t="shared" si="49"/>
        <v>150.4809091</v>
      </c>
      <c r="W88" s="3">
        <f t="shared" si="31"/>
        <v>0</v>
      </c>
      <c r="X88" s="3">
        <f t="shared" si="32"/>
        <v>0</v>
      </c>
      <c r="Y88" s="3">
        <f t="shared" si="33"/>
        <v>0</v>
      </c>
      <c r="Z88" s="25">
        <f t="shared" si="34"/>
        <v>0</v>
      </c>
      <c r="AA88" s="26">
        <f>VLOOKUP(S88,CPI!$A$2:$F$71,6,0)</f>
        <v>1.259947899</v>
      </c>
      <c r="AB88" s="27">
        <f t="shared" si="50"/>
        <v>8342.316631</v>
      </c>
      <c r="AC88" s="27">
        <f t="shared" si="51"/>
        <v>189.5981052</v>
      </c>
      <c r="AD88" s="130" t="s">
        <v>60</v>
      </c>
      <c r="AE88" s="137" t="s">
        <v>276</v>
      </c>
      <c r="AF88" s="100"/>
      <c r="AG88" s="101"/>
      <c r="AH88" s="101"/>
      <c r="AI88" s="101"/>
      <c r="AJ88" s="102"/>
      <c r="AK88" s="102"/>
      <c r="AL88" s="102"/>
      <c r="AM88" s="103"/>
      <c r="AN88" s="103"/>
      <c r="AO88" s="103"/>
      <c r="AP88" s="103"/>
      <c r="AQ88" s="104"/>
    </row>
    <row r="89" ht="15.75" customHeight="1">
      <c r="A89" s="107">
        <v>7648.0</v>
      </c>
      <c r="B89" s="72" t="s">
        <v>230</v>
      </c>
      <c r="C89" s="72" t="s">
        <v>231</v>
      </c>
      <c r="D89" s="36" t="s">
        <v>242</v>
      </c>
      <c r="E89" s="72" t="s">
        <v>277</v>
      </c>
      <c r="F89" s="69">
        <v>2016.0</v>
      </c>
      <c r="G89" s="69">
        <v>2020.0</v>
      </c>
      <c r="H89" s="69">
        <v>0.0</v>
      </c>
      <c r="I89" s="69">
        <v>1.83</v>
      </c>
      <c r="J89" s="117">
        <v>1.0</v>
      </c>
      <c r="K89" s="69">
        <v>1.83</v>
      </c>
      <c r="L89" s="72"/>
      <c r="M89" s="72"/>
      <c r="N89" s="69">
        <v>1.0</v>
      </c>
      <c r="O89" s="69">
        <v>68.0</v>
      </c>
      <c r="P89" s="72"/>
      <c r="Q89" s="140">
        <v>1800.0</v>
      </c>
      <c r="R89" s="72" t="s">
        <v>234</v>
      </c>
      <c r="S89" s="69">
        <v>2018.0</v>
      </c>
      <c r="T89" s="136">
        <v>0.237</v>
      </c>
      <c r="U89" s="148">
        <f t="shared" ref="U89:U98" si="52">Q89*T89</f>
        <v>426.6</v>
      </c>
      <c r="V89" s="24">
        <f t="shared" si="49"/>
        <v>233.1147541</v>
      </c>
      <c r="W89" s="3">
        <f t="shared" si="31"/>
        <v>0</v>
      </c>
      <c r="X89" s="3">
        <f t="shared" si="32"/>
        <v>0</v>
      </c>
      <c r="Y89" s="3">
        <f t="shared" si="33"/>
        <v>0</v>
      </c>
      <c r="Z89" s="25">
        <f t="shared" si="34"/>
        <v>0</v>
      </c>
      <c r="AA89" s="26">
        <f>VLOOKUP(S89,CPI!$A$2:$F$71,6,0)</f>
        <v>1.28277786</v>
      </c>
      <c r="AB89" s="27">
        <f t="shared" si="50"/>
        <v>547.2330349</v>
      </c>
      <c r="AC89" s="27">
        <f t="shared" si="51"/>
        <v>299.0344453</v>
      </c>
      <c r="AD89" s="72" t="s">
        <v>42</v>
      </c>
      <c r="AE89" s="149" t="s">
        <v>278</v>
      </c>
      <c r="AF89" s="150"/>
      <c r="AG89" s="145"/>
      <c r="AH89" s="145"/>
      <c r="AI89" s="145"/>
      <c r="AJ89" s="151"/>
      <c r="AK89" s="151"/>
      <c r="AL89" s="151"/>
      <c r="AM89" s="103"/>
      <c r="AN89" s="103"/>
      <c r="AO89" s="103"/>
      <c r="AP89" s="103"/>
      <c r="AQ89" s="104"/>
    </row>
    <row r="90" ht="15.75" customHeight="1">
      <c r="A90" s="139">
        <v>7816.0</v>
      </c>
      <c r="B90" s="123" t="s">
        <v>230</v>
      </c>
      <c r="C90" s="123" t="s">
        <v>231</v>
      </c>
      <c r="D90" s="36" t="s">
        <v>228</v>
      </c>
      <c r="E90" s="123" t="s">
        <v>279</v>
      </c>
      <c r="F90" s="75">
        <v>2016.0</v>
      </c>
      <c r="G90" s="75">
        <v>2020.0</v>
      </c>
      <c r="H90" s="75">
        <v>0.0</v>
      </c>
      <c r="I90" s="75">
        <v>17.2</v>
      </c>
      <c r="J90" s="124">
        <v>0.8720930233</v>
      </c>
      <c r="K90" s="75">
        <v>15.0</v>
      </c>
      <c r="L90" s="125">
        <v>0.0</v>
      </c>
      <c r="M90" s="125">
        <v>0.0</v>
      </c>
      <c r="N90" s="75">
        <v>9.0</v>
      </c>
      <c r="O90" s="75"/>
      <c r="P90" s="123" t="s">
        <v>60</v>
      </c>
      <c r="Q90" s="126">
        <v>15330.0</v>
      </c>
      <c r="R90" s="123" t="s">
        <v>234</v>
      </c>
      <c r="S90" s="75">
        <v>2016.0</v>
      </c>
      <c r="T90" s="136">
        <v>0.251</v>
      </c>
      <c r="U90" s="128">
        <f t="shared" si="52"/>
        <v>3847.83</v>
      </c>
      <c r="V90" s="24">
        <f t="shared" si="49"/>
        <v>223.7110465</v>
      </c>
      <c r="W90" s="3">
        <f t="shared" si="31"/>
        <v>0</v>
      </c>
      <c r="X90" s="3">
        <f t="shared" si="32"/>
        <v>0</v>
      </c>
      <c r="Y90" s="3">
        <f t="shared" si="33"/>
        <v>0</v>
      </c>
      <c r="Z90" s="25">
        <f t="shared" si="34"/>
        <v>0</v>
      </c>
      <c r="AA90" s="26">
        <f>VLOOKUP(S90,CPI!$A$2:$F$71,6,0)</f>
        <v>1.342104605</v>
      </c>
      <c r="AB90" s="27">
        <f t="shared" si="50"/>
        <v>5164.190363</v>
      </c>
      <c r="AC90" s="27">
        <f t="shared" si="51"/>
        <v>300.2436258</v>
      </c>
      <c r="AD90" s="123" t="s">
        <v>42</v>
      </c>
      <c r="AE90" s="129" t="s">
        <v>280</v>
      </c>
      <c r="AF90" s="100"/>
      <c r="AG90" s="101"/>
      <c r="AH90" s="101"/>
      <c r="AI90" s="101"/>
      <c r="AJ90" s="102"/>
      <c r="AK90" s="102"/>
      <c r="AL90" s="102"/>
      <c r="AM90" s="103"/>
      <c r="AN90" s="103"/>
      <c r="AO90" s="103"/>
      <c r="AP90" s="103"/>
      <c r="AQ90" s="104"/>
    </row>
    <row r="91" ht="15.75" customHeight="1">
      <c r="A91" s="139">
        <v>7795.0</v>
      </c>
      <c r="B91" s="123" t="s">
        <v>230</v>
      </c>
      <c r="C91" s="123" t="s">
        <v>231</v>
      </c>
      <c r="D91" s="36" t="s">
        <v>281</v>
      </c>
      <c r="E91" s="123" t="s">
        <v>282</v>
      </c>
      <c r="F91" s="75">
        <v>2017.0</v>
      </c>
      <c r="G91" s="75">
        <v>2020.0</v>
      </c>
      <c r="H91" s="75">
        <v>0.0</v>
      </c>
      <c r="I91" s="75">
        <v>5.0</v>
      </c>
      <c r="J91" s="155"/>
      <c r="K91" s="123"/>
      <c r="L91" s="125" t="e">
        <v>#N/A</v>
      </c>
      <c r="M91" s="125" t="e">
        <v>#N/A</v>
      </c>
      <c r="N91" s="75">
        <v>4.0</v>
      </c>
      <c r="O91" s="75"/>
      <c r="P91" s="123" t="s">
        <v>60</v>
      </c>
      <c r="Q91" s="126">
        <v>4860.0</v>
      </c>
      <c r="R91" s="123" t="s">
        <v>234</v>
      </c>
      <c r="S91" s="75">
        <v>2015.0</v>
      </c>
      <c r="T91" s="136">
        <v>0.258</v>
      </c>
      <c r="U91" s="128">
        <f t="shared" si="52"/>
        <v>1253.88</v>
      </c>
      <c r="V91" s="24">
        <f t="shared" si="49"/>
        <v>250.776</v>
      </c>
      <c r="W91" s="3">
        <f t="shared" si="31"/>
        <v>0</v>
      </c>
      <c r="X91" s="3">
        <f t="shared" si="32"/>
        <v>0</v>
      </c>
      <c r="Y91" s="3">
        <f t="shared" si="33"/>
        <v>0</v>
      </c>
      <c r="Z91" s="25">
        <f t="shared" si="34"/>
        <v>0</v>
      </c>
      <c r="AA91" s="26">
        <f>VLOOKUP(S91,CPI!$A$2:$F$71,6,0)</f>
        <v>1.359035428</v>
      </c>
      <c r="AB91" s="27">
        <f t="shared" si="50"/>
        <v>1704.067342</v>
      </c>
      <c r="AC91" s="27">
        <f t="shared" si="51"/>
        <v>340.8134685</v>
      </c>
      <c r="AD91" s="123" t="s">
        <v>42</v>
      </c>
      <c r="AE91" s="129" t="s">
        <v>280</v>
      </c>
      <c r="AF91" s="100"/>
      <c r="AG91" s="101"/>
      <c r="AH91" s="101"/>
      <c r="AI91" s="101"/>
      <c r="AJ91" s="102"/>
      <c r="AK91" s="102"/>
      <c r="AL91" s="102"/>
      <c r="AM91" s="103"/>
      <c r="AN91" s="103"/>
      <c r="AO91" s="103"/>
      <c r="AP91" s="103"/>
      <c r="AQ91" s="104"/>
    </row>
    <row r="92" ht="15.75" customHeight="1">
      <c r="A92" s="156">
        <v>7794.0</v>
      </c>
      <c r="B92" s="123" t="s">
        <v>230</v>
      </c>
      <c r="C92" s="123" t="s">
        <v>231</v>
      </c>
      <c r="D92" s="123" t="s">
        <v>283</v>
      </c>
      <c r="E92" s="123" t="s">
        <v>283</v>
      </c>
      <c r="F92" s="75">
        <v>2013.0</v>
      </c>
      <c r="G92" s="75">
        <v>2021.0</v>
      </c>
      <c r="H92" s="75">
        <v>0.0</v>
      </c>
      <c r="I92" s="75">
        <v>49.8</v>
      </c>
      <c r="J92" s="124">
        <v>1.0</v>
      </c>
      <c r="K92" s="75">
        <v>49.8</v>
      </c>
      <c r="L92" s="125">
        <v>0.0</v>
      </c>
      <c r="M92" s="125">
        <v>0.0</v>
      </c>
      <c r="N92" s="75">
        <v>29.0</v>
      </c>
      <c r="O92" s="75"/>
      <c r="P92" s="123" t="s">
        <v>42</v>
      </c>
      <c r="Q92" s="157">
        <v>49500.0</v>
      </c>
      <c r="R92" s="123" t="s">
        <v>234</v>
      </c>
      <c r="S92" s="75">
        <v>2013.0</v>
      </c>
      <c r="T92" s="136">
        <v>0.273</v>
      </c>
      <c r="U92" s="128">
        <f t="shared" si="52"/>
        <v>13513.5</v>
      </c>
      <c r="V92" s="24">
        <f t="shared" si="49"/>
        <v>271.3554217</v>
      </c>
      <c r="W92" s="3">
        <f t="shared" si="31"/>
        <v>0</v>
      </c>
      <c r="X92" s="3">
        <f t="shared" si="32"/>
        <v>0</v>
      </c>
      <c r="Y92" s="3">
        <f t="shared" si="33"/>
        <v>0</v>
      </c>
      <c r="Z92" s="25">
        <f t="shared" si="34"/>
        <v>0</v>
      </c>
      <c r="AA92" s="26">
        <f>VLOOKUP(S92,CPI!$A$2:$F$71,6,0)</f>
        <v>1.382720845</v>
      </c>
      <c r="AB92" s="27">
        <f t="shared" si="50"/>
        <v>18685.39815</v>
      </c>
      <c r="AC92" s="27">
        <f t="shared" si="51"/>
        <v>375.2087981</v>
      </c>
      <c r="AD92" s="123" t="s">
        <v>42</v>
      </c>
      <c r="AE92" s="154" t="s">
        <v>284</v>
      </c>
      <c r="AF92" s="100"/>
      <c r="AG92" s="101"/>
      <c r="AH92" s="101"/>
      <c r="AI92" s="101"/>
      <c r="AJ92" s="102"/>
      <c r="AK92" s="102"/>
      <c r="AL92" s="102"/>
      <c r="AM92" s="103"/>
      <c r="AN92" s="103"/>
      <c r="AO92" s="103"/>
      <c r="AP92" s="103"/>
      <c r="AQ92" s="104"/>
    </row>
    <row r="93" ht="15.75" customHeight="1">
      <c r="A93" s="139">
        <v>7776.0</v>
      </c>
      <c r="B93" s="123" t="s">
        <v>230</v>
      </c>
      <c r="C93" s="123" t="s">
        <v>231</v>
      </c>
      <c r="D93" s="36" t="s">
        <v>87</v>
      </c>
      <c r="E93" s="123" t="s">
        <v>285</v>
      </c>
      <c r="F93" s="75">
        <v>2016.0</v>
      </c>
      <c r="G93" s="75">
        <v>2021.0</v>
      </c>
      <c r="H93" s="75">
        <v>0.0</v>
      </c>
      <c r="I93" s="75">
        <v>37.4</v>
      </c>
      <c r="J93" s="124">
        <v>0.5561497326</v>
      </c>
      <c r="K93" s="75">
        <v>20.8</v>
      </c>
      <c r="L93" s="125">
        <v>0.0</v>
      </c>
      <c r="M93" s="125">
        <v>0.0</v>
      </c>
      <c r="N93" s="75">
        <v>27.0</v>
      </c>
      <c r="O93" s="75"/>
      <c r="P93" s="123" t="s">
        <v>60</v>
      </c>
      <c r="Q93" s="126">
        <v>41500.0</v>
      </c>
      <c r="R93" s="123" t="s">
        <v>234</v>
      </c>
      <c r="S93" s="75">
        <v>2015.0</v>
      </c>
      <c r="T93" s="136">
        <v>0.258</v>
      </c>
      <c r="U93" s="128">
        <f t="shared" si="52"/>
        <v>10707</v>
      </c>
      <c r="V93" s="24">
        <f t="shared" si="49"/>
        <v>286.2834225</v>
      </c>
      <c r="W93" s="3">
        <f t="shared" si="31"/>
        <v>0</v>
      </c>
      <c r="X93" s="3">
        <f t="shared" si="32"/>
        <v>0</v>
      </c>
      <c r="Y93" s="3">
        <f t="shared" si="33"/>
        <v>0</v>
      </c>
      <c r="Z93" s="25">
        <f t="shared" si="34"/>
        <v>0</v>
      </c>
      <c r="AA93" s="26">
        <f>VLOOKUP(S93,CPI!$A$2:$F$71,6,0)</f>
        <v>1.359035428</v>
      </c>
      <c r="AB93" s="27">
        <f t="shared" si="50"/>
        <v>14551.19233</v>
      </c>
      <c r="AC93" s="27">
        <f t="shared" si="51"/>
        <v>389.0693135</v>
      </c>
      <c r="AD93" s="123" t="s">
        <v>60</v>
      </c>
      <c r="AE93" s="154" t="s">
        <v>286</v>
      </c>
      <c r="AF93" s="100"/>
      <c r="AG93" s="101"/>
      <c r="AH93" s="101"/>
      <c r="AI93" s="101"/>
      <c r="AJ93" s="102"/>
      <c r="AK93" s="102"/>
      <c r="AL93" s="102"/>
      <c r="AM93" s="103"/>
      <c r="AN93" s="103"/>
      <c r="AO93" s="103"/>
      <c r="AP93" s="103"/>
      <c r="AQ93" s="104"/>
    </row>
    <row r="94" ht="15.75" customHeight="1">
      <c r="A94" s="139">
        <v>7777.0</v>
      </c>
      <c r="B94" s="123" t="s">
        <v>230</v>
      </c>
      <c r="C94" s="123" t="s">
        <v>231</v>
      </c>
      <c r="D94" s="36" t="s">
        <v>287</v>
      </c>
      <c r="E94" s="123" t="s">
        <v>287</v>
      </c>
      <c r="F94" s="75">
        <v>2017.0</v>
      </c>
      <c r="G94" s="75">
        <v>2021.0</v>
      </c>
      <c r="H94" s="75">
        <v>0.0</v>
      </c>
      <c r="I94" s="75">
        <v>29.2</v>
      </c>
      <c r="J94" s="124">
        <v>1.0</v>
      </c>
      <c r="K94" s="75">
        <v>29.2</v>
      </c>
      <c r="L94" s="125">
        <v>0.0</v>
      </c>
      <c r="M94" s="125">
        <v>0.0</v>
      </c>
      <c r="N94" s="75">
        <v>21.0</v>
      </c>
      <c r="O94" s="75"/>
      <c r="P94" s="123" t="s">
        <v>60</v>
      </c>
      <c r="Q94" s="126">
        <v>32400.0</v>
      </c>
      <c r="R94" s="123" t="s">
        <v>234</v>
      </c>
      <c r="S94" s="75">
        <v>2015.0</v>
      </c>
      <c r="T94" s="136">
        <v>0.258</v>
      </c>
      <c r="U94" s="128">
        <f t="shared" si="52"/>
        <v>8359.2</v>
      </c>
      <c r="V94" s="24">
        <f t="shared" si="49"/>
        <v>286.2739726</v>
      </c>
      <c r="W94" s="3">
        <f t="shared" si="31"/>
        <v>0</v>
      </c>
      <c r="X94" s="3">
        <f t="shared" si="32"/>
        <v>0</v>
      </c>
      <c r="Y94" s="3">
        <f t="shared" si="33"/>
        <v>0</v>
      </c>
      <c r="Z94" s="25">
        <f t="shared" si="34"/>
        <v>0</v>
      </c>
      <c r="AA94" s="26">
        <f>VLOOKUP(S94,CPI!$A$2:$F$71,6,0)</f>
        <v>1.359035428</v>
      </c>
      <c r="AB94" s="27">
        <f t="shared" si="50"/>
        <v>11360.44895</v>
      </c>
      <c r="AC94" s="27">
        <f t="shared" si="51"/>
        <v>389.0564708</v>
      </c>
      <c r="AD94" s="123" t="s">
        <v>42</v>
      </c>
      <c r="AE94" s="129" t="s">
        <v>280</v>
      </c>
      <c r="AF94" s="100"/>
      <c r="AG94" s="101"/>
      <c r="AH94" s="101"/>
      <c r="AI94" s="101"/>
      <c r="AJ94" s="102"/>
      <c r="AK94" s="102"/>
      <c r="AL94" s="102"/>
      <c r="AM94" s="103"/>
      <c r="AN94" s="103"/>
      <c r="AO94" s="103"/>
      <c r="AP94" s="103"/>
      <c r="AQ94" s="104"/>
    </row>
    <row r="95" ht="15.75" customHeight="1">
      <c r="A95" s="139">
        <v>7792.0</v>
      </c>
      <c r="B95" s="123" t="s">
        <v>230</v>
      </c>
      <c r="C95" s="123" t="s">
        <v>231</v>
      </c>
      <c r="D95" s="36" t="s">
        <v>288</v>
      </c>
      <c r="E95" s="123" t="s">
        <v>289</v>
      </c>
      <c r="F95" s="75">
        <v>2017.0</v>
      </c>
      <c r="G95" s="75">
        <v>2021.0</v>
      </c>
      <c r="H95" s="75">
        <v>0.0</v>
      </c>
      <c r="I95" s="75">
        <v>22.4</v>
      </c>
      <c r="J95" s="124">
        <v>1.0</v>
      </c>
      <c r="K95" s="75">
        <v>22.4</v>
      </c>
      <c r="L95" s="125">
        <v>0.0</v>
      </c>
      <c r="M95" s="125">
        <v>0.0</v>
      </c>
      <c r="N95" s="75">
        <v>10.0</v>
      </c>
      <c r="O95" s="75"/>
      <c r="P95" s="123" t="s">
        <v>60</v>
      </c>
      <c r="Q95" s="126">
        <v>22180.0</v>
      </c>
      <c r="R95" s="123" t="s">
        <v>234</v>
      </c>
      <c r="S95" s="75">
        <v>2015.0</v>
      </c>
      <c r="T95" s="136">
        <v>0.258</v>
      </c>
      <c r="U95" s="128">
        <f t="shared" si="52"/>
        <v>5722.44</v>
      </c>
      <c r="V95" s="24">
        <f t="shared" si="49"/>
        <v>255.4660714</v>
      </c>
      <c r="W95" s="3">
        <f t="shared" si="31"/>
        <v>0</v>
      </c>
      <c r="X95" s="3">
        <f t="shared" si="32"/>
        <v>0</v>
      </c>
      <c r="Y95" s="3">
        <f t="shared" si="33"/>
        <v>0</v>
      </c>
      <c r="Z95" s="25">
        <f t="shared" si="34"/>
        <v>0</v>
      </c>
      <c r="AA95" s="26">
        <f>VLOOKUP(S95,CPI!$A$2:$F$71,6,0)</f>
        <v>1.359035428</v>
      </c>
      <c r="AB95" s="27">
        <f t="shared" si="50"/>
        <v>7776.998694</v>
      </c>
      <c r="AC95" s="27">
        <f t="shared" si="51"/>
        <v>347.1874417</v>
      </c>
      <c r="AD95" s="123" t="s">
        <v>42</v>
      </c>
      <c r="AE95" s="129" t="s">
        <v>280</v>
      </c>
      <c r="AF95" s="100"/>
      <c r="AG95" s="101"/>
      <c r="AH95" s="101"/>
      <c r="AI95" s="101"/>
      <c r="AJ95" s="102"/>
      <c r="AK95" s="102"/>
      <c r="AL95" s="102"/>
      <c r="AM95" s="103"/>
      <c r="AN95" s="103"/>
      <c r="AO95" s="103"/>
      <c r="AP95" s="103"/>
      <c r="AQ95" s="104"/>
    </row>
    <row r="96" ht="15.75" customHeight="1">
      <c r="A96" s="139">
        <v>7760.0</v>
      </c>
      <c r="B96" s="123" t="s">
        <v>230</v>
      </c>
      <c r="C96" s="123" t="s">
        <v>231</v>
      </c>
      <c r="D96" s="36" t="s">
        <v>290</v>
      </c>
      <c r="E96" s="123" t="s">
        <v>290</v>
      </c>
      <c r="F96" s="75">
        <v>2017.0</v>
      </c>
      <c r="G96" s="75">
        <v>2021.0</v>
      </c>
      <c r="H96" s="75">
        <v>0.0</v>
      </c>
      <c r="I96" s="75">
        <v>8.777</v>
      </c>
      <c r="J96" s="124">
        <v>1.0</v>
      </c>
      <c r="K96" s="75">
        <v>8.777</v>
      </c>
      <c r="L96" s="125">
        <v>0.0</v>
      </c>
      <c r="M96" s="125">
        <v>0.0</v>
      </c>
      <c r="N96" s="75">
        <v>9.0</v>
      </c>
      <c r="O96" s="75"/>
      <c r="P96" s="123" t="s">
        <v>42</v>
      </c>
      <c r="Q96" s="126">
        <f>12.75*1000</f>
        <v>12750</v>
      </c>
      <c r="R96" s="123" t="s">
        <v>234</v>
      </c>
      <c r="S96" s="75">
        <v>2019.0</v>
      </c>
      <c r="T96" s="136">
        <v>0.238</v>
      </c>
      <c r="U96" s="128">
        <f t="shared" si="52"/>
        <v>3034.5</v>
      </c>
      <c r="V96" s="24">
        <f t="shared" si="49"/>
        <v>345.7331662</v>
      </c>
      <c r="W96" s="3">
        <f t="shared" si="31"/>
        <v>0</v>
      </c>
      <c r="X96" s="3">
        <f t="shared" si="32"/>
        <v>0</v>
      </c>
      <c r="Y96" s="3">
        <f t="shared" si="33"/>
        <v>0</v>
      </c>
      <c r="Z96" s="25">
        <f t="shared" si="34"/>
        <v>0</v>
      </c>
      <c r="AA96" s="26">
        <f>VLOOKUP(S96,CPI!$A$2:$F$71,6,0)</f>
        <v>1.259947899</v>
      </c>
      <c r="AB96" s="27">
        <f t="shared" si="50"/>
        <v>3823.311899</v>
      </c>
      <c r="AC96" s="27">
        <f t="shared" si="51"/>
        <v>435.6057764</v>
      </c>
      <c r="AD96" s="123" t="s">
        <v>42</v>
      </c>
      <c r="AE96" s="154" t="s">
        <v>291</v>
      </c>
      <c r="AF96" s="100"/>
      <c r="AG96" s="101"/>
      <c r="AH96" s="101"/>
      <c r="AI96" s="101"/>
      <c r="AJ96" s="102"/>
      <c r="AK96" s="102"/>
      <c r="AL96" s="102"/>
      <c r="AM96" s="103"/>
      <c r="AN96" s="103"/>
      <c r="AO96" s="103"/>
      <c r="AP96" s="103"/>
      <c r="AQ96" s="104"/>
    </row>
    <row r="97" ht="15.75" customHeight="1">
      <c r="A97" s="139">
        <v>7769.0</v>
      </c>
      <c r="B97" s="72" t="s">
        <v>230</v>
      </c>
      <c r="C97" s="72" t="s">
        <v>231</v>
      </c>
      <c r="D97" s="115" t="s">
        <v>292</v>
      </c>
      <c r="E97" s="72" t="s">
        <v>293</v>
      </c>
      <c r="F97" s="69">
        <v>2019.0</v>
      </c>
      <c r="G97" s="69">
        <v>2021.0</v>
      </c>
      <c r="H97" s="69">
        <v>0.0</v>
      </c>
      <c r="I97" s="69">
        <v>4.2</v>
      </c>
      <c r="J97" s="117">
        <v>1.0</v>
      </c>
      <c r="K97" s="69">
        <v>4.2</v>
      </c>
      <c r="L97" s="72"/>
      <c r="M97" s="72"/>
      <c r="N97" s="69">
        <v>4.0</v>
      </c>
      <c r="O97" s="69">
        <v>138.0</v>
      </c>
      <c r="P97" s="72"/>
      <c r="Q97" s="140">
        <v>5715.0</v>
      </c>
      <c r="R97" s="72" t="s">
        <v>234</v>
      </c>
      <c r="S97" s="75">
        <v>2020.0</v>
      </c>
      <c r="T97" s="136">
        <v>0.239</v>
      </c>
      <c r="U97" s="118">
        <f t="shared" si="52"/>
        <v>1365.885</v>
      </c>
      <c r="V97" s="24">
        <f t="shared" si="49"/>
        <v>325.2107143</v>
      </c>
      <c r="W97" s="3">
        <f t="shared" si="31"/>
        <v>0</v>
      </c>
      <c r="X97" s="3">
        <f t="shared" si="32"/>
        <v>0</v>
      </c>
      <c r="Y97" s="3">
        <f t="shared" si="33"/>
        <v>0</v>
      </c>
      <c r="Z97" s="25">
        <f t="shared" si="34"/>
        <v>0</v>
      </c>
      <c r="AA97" s="26">
        <f>VLOOKUP(S97,CPI!$A$2:$F$71,6,0)</f>
        <v>1.244593545</v>
      </c>
      <c r="AB97" s="27">
        <f t="shared" si="50"/>
        <v>1699.971654</v>
      </c>
      <c r="AC97" s="27">
        <f t="shared" si="51"/>
        <v>404.7551558</v>
      </c>
      <c r="AD97" s="72" t="s">
        <v>36</v>
      </c>
      <c r="AE97" s="79" t="s">
        <v>294</v>
      </c>
      <c r="AF97" s="158"/>
      <c r="AG97" s="159"/>
      <c r="AH97" s="159"/>
      <c r="AI97" s="159"/>
      <c r="AJ97" s="160"/>
      <c r="AK97" s="160"/>
      <c r="AL97" s="160"/>
      <c r="AM97" s="103"/>
      <c r="AN97" s="103"/>
      <c r="AO97" s="103"/>
      <c r="AP97" s="103"/>
      <c r="AQ97" s="104"/>
    </row>
    <row r="98" ht="15.75" customHeight="1">
      <c r="A98" s="139">
        <v>7824.0</v>
      </c>
      <c r="B98" s="123" t="s">
        <v>230</v>
      </c>
      <c r="C98" s="123" t="s">
        <v>231</v>
      </c>
      <c r="D98" s="16" t="s">
        <v>295</v>
      </c>
      <c r="E98" s="123" t="s">
        <v>296</v>
      </c>
      <c r="F98" s="75">
        <v>2019.0</v>
      </c>
      <c r="G98" s="75">
        <v>2021.0</v>
      </c>
      <c r="H98" s="75">
        <v>0.0</v>
      </c>
      <c r="I98" s="75">
        <v>16.6</v>
      </c>
      <c r="J98" s="155"/>
      <c r="K98" s="123"/>
      <c r="L98" s="125" t="e">
        <v>#N/A</v>
      </c>
      <c r="M98" s="125" t="e">
        <v>#N/A</v>
      </c>
      <c r="N98" s="75">
        <v>8.0</v>
      </c>
      <c r="O98" s="75"/>
      <c r="P98" s="123" t="s">
        <v>60</v>
      </c>
      <c r="Q98" s="126">
        <v>14230.0</v>
      </c>
      <c r="R98" s="123" t="s">
        <v>234</v>
      </c>
      <c r="S98" s="75">
        <v>2015.0</v>
      </c>
      <c r="T98" s="136">
        <v>0.258</v>
      </c>
      <c r="U98" s="128">
        <f t="shared" si="52"/>
        <v>3671.34</v>
      </c>
      <c r="V98" s="24">
        <f t="shared" si="49"/>
        <v>221.1650602</v>
      </c>
      <c r="W98" s="3">
        <f t="shared" si="31"/>
        <v>0</v>
      </c>
      <c r="X98" s="3">
        <f t="shared" si="32"/>
        <v>0</v>
      </c>
      <c r="Y98" s="3">
        <f t="shared" si="33"/>
        <v>0</v>
      </c>
      <c r="Z98" s="25">
        <f t="shared" si="34"/>
        <v>0</v>
      </c>
      <c r="AA98" s="26">
        <f>VLOOKUP(S98,CPI!$A$2:$F$71,6,0)</f>
        <v>1.359035428</v>
      </c>
      <c r="AB98" s="27">
        <f t="shared" si="50"/>
        <v>4989.481128</v>
      </c>
      <c r="AC98" s="27">
        <f t="shared" si="51"/>
        <v>300.5711523</v>
      </c>
      <c r="AD98" s="123" t="s">
        <v>42</v>
      </c>
      <c r="AE98" s="129" t="s">
        <v>280</v>
      </c>
      <c r="AF98" s="100"/>
      <c r="AG98" s="101"/>
      <c r="AH98" s="101"/>
      <c r="AI98" s="101"/>
      <c r="AJ98" s="102"/>
      <c r="AK98" s="102"/>
      <c r="AL98" s="102"/>
      <c r="AM98" s="103"/>
      <c r="AN98" s="103"/>
      <c r="AO98" s="103"/>
      <c r="AP98" s="103"/>
      <c r="AQ98" s="104"/>
    </row>
    <row r="99" ht="15.75" customHeight="1">
      <c r="A99" s="105">
        <v>7635.0</v>
      </c>
      <c r="B99" s="123" t="s">
        <v>230</v>
      </c>
      <c r="C99" s="123" t="s">
        <v>231</v>
      </c>
      <c r="D99" s="36" t="s">
        <v>243</v>
      </c>
      <c r="E99" s="123" t="s">
        <v>297</v>
      </c>
      <c r="F99" s="75">
        <v>2019.0</v>
      </c>
      <c r="G99" s="75">
        <v>2021.0</v>
      </c>
      <c r="H99" s="75">
        <v>0.0</v>
      </c>
      <c r="I99" s="75">
        <v>3.6</v>
      </c>
      <c r="J99" s="124">
        <v>1.0</v>
      </c>
      <c r="K99" s="75">
        <f>I99</f>
        <v>3.6</v>
      </c>
      <c r="L99" s="125">
        <v>0.0</v>
      </c>
      <c r="M99" s="125">
        <v>0.0</v>
      </c>
      <c r="N99" s="75">
        <v>3.0</v>
      </c>
      <c r="O99" s="75"/>
      <c r="P99" s="123" t="s">
        <v>42</v>
      </c>
      <c r="Q99" s="141"/>
      <c r="R99" s="123" t="s">
        <v>234</v>
      </c>
      <c r="S99" s="152">
        <v>2020.0</v>
      </c>
      <c r="T99" s="136">
        <v>0.239</v>
      </c>
      <c r="U99" s="128"/>
      <c r="V99" s="24"/>
      <c r="W99" s="3">
        <f t="shared" si="31"/>
        <v>0</v>
      </c>
      <c r="X99" s="3">
        <f t="shared" si="32"/>
        <v>0</v>
      </c>
      <c r="Y99" s="3">
        <f t="shared" si="33"/>
        <v>0</v>
      </c>
      <c r="Z99" s="25">
        <f t="shared" si="34"/>
        <v>0</v>
      </c>
      <c r="AA99" s="26">
        <f>VLOOKUP(S99,CPI!$A$2:$F$71,6,0)</f>
        <v>1.244593545</v>
      </c>
      <c r="AB99" s="27"/>
      <c r="AC99" s="27"/>
      <c r="AD99" s="123" t="s">
        <v>42</v>
      </c>
      <c r="AE99" s="129" t="s">
        <v>271</v>
      </c>
      <c r="AF99" s="100"/>
      <c r="AG99" s="101"/>
      <c r="AH99" s="101"/>
      <c r="AI99" s="101"/>
      <c r="AJ99" s="102"/>
      <c r="AK99" s="102"/>
      <c r="AL99" s="102"/>
      <c r="AM99" s="103"/>
      <c r="AN99" s="103"/>
      <c r="AO99" s="103"/>
      <c r="AP99" s="103"/>
      <c r="AQ99" s="104"/>
    </row>
    <row r="100" ht="15.75" customHeight="1">
      <c r="A100" s="139">
        <v>7793.0</v>
      </c>
      <c r="B100" s="72" t="s">
        <v>230</v>
      </c>
      <c r="C100" s="72" t="s">
        <v>231</v>
      </c>
      <c r="D100" s="115" t="s">
        <v>121</v>
      </c>
      <c r="E100" s="72" t="s">
        <v>121</v>
      </c>
      <c r="F100" s="69">
        <v>2015.0</v>
      </c>
      <c r="G100" s="69">
        <v>2022.0</v>
      </c>
      <c r="H100" s="69">
        <v>0.0</v>
      </c>
      <c r="I100" s="69">
        <v>49.7</v>
      </c>
      <c r="J100" s="117">
        <v>1.0</v>
      </c>
      <c r="K100" s="69">
        <v>49.7</v>
      </c>
      <c r="L100" s="72"/>
      <c r="M100" s="72"/>
      <c r="N100" s="69">
        <v>20.0</v>
      </c>
      <c r="O100" s="69">
        <v>184.0</v>
      </c>
      <c r="P100" s="72"/>
      <c r="Q100" s="140">
        <v>51085.0</v>
      </c>
      <c r="R100" s="72" t="s">
        <v>234</v>
      </c>
      <c r="S100" s="75">
        <v>2019.0</v>
      </c>
      <c r="T100" s="136">
        <v>0.238</v>
      </c>
      <c r="U100" s="128">
        <f t="shared" ref="U100:U101" si="53">Q100*T100</f>
        <v>12158.23</v>
      </c>
      <c r="V100" s="24">
        <f t="shared" ref="V100:V104" si="54">U100/I100</f>
        <v>244.6323944</v>
      </c>
      <c r="W100" s="3">
        <f t="shared" si="31"/>
        <v>0</v>
      </c>
      <c r="X100" s="3">
        <f t="shared" si="32"/>
        <v>0</v>
      </c>
      <c r="Y100" s="3">
        <f t="shared" si="33"/>
        <v>0</v>
      </c>
      <c r="Z100" s="25">
        <f t="shared" si="34"/>
        <v>0</v>
      </c>
      <c r="AA100" s="26">
        <f>VLOOKUP(S100,CPI!$A$2:$F$71,6,0)</f>
        <v>1.259947899</v>
      </c>
      <c r="AB100" s="27">
        <f t="shared" ref="AB100:AB104" si="55">U100*AA100</f>
        <v>15318.73634</v>
      </c>
      <c r="AC100" s="27">
        <f t="shared" ref="AC100:AC104" si="56">V100*AA100</f>
        <v>308.2240713</v>
      </c>
      <c r="AD100" s="72" t="s">
        <v>36</v>
      </c>
      <c r="AE100" s="79" t="s">
        <v>298</v>
      </c>
      <c r="AF100" s="158"/>
      <c r="AG100" s="159"/>
      <c r="AH100" s="159"/>
      <c r="AI100" s="159"/>
      <c r="AJ100" s="160"/>
      <c r="AK100" s="160"/>
      <c r="AL100" s="160"/>
      <c r="AM100" s="103"/>
      <c r="AN100" s="103"/>
      <c r="AO100" s="103"/>
      <c r="AP100" s="103"/>
      <c r="AQ100" s="104"/>
    </row>
    <row r="101" ht="15.75" customHeight="1">
      <c r="A101" s="139">
        <v>7883.0</v>
      </c>
      <c r="B101" s="123" t="s">
        <v>230</v>
      </c>
      <c r="C101" s="123" t="s">
        <v>231</v>
      </c>
      <c r="D101" s="36" t="s">
        <v>236</v>
      </c>
      <c r="E101" s="123" t="s">
        <v>299</v>
      </c>
      <c r="F101" s="75">
        <v>2019.0</v>
      </c>
      <c r="G101" s="75">
        <v>2022.0</v>
      </c>
      <c r="H101" s="75">
        <v>0.0</v>
      </c>
      <c r="I101" s="75">
        <v>30.2</v>
      </c>
      <c r="J101" s="124">
        <f t="shared" ref="J101:J102" si="57">K101/I101</f>
        <v>0.6026490066</v>
      </c>
      <c r="K101" s="75">
        <v>18.2</v>
      </c>
      <c r="L101" s="125">
        <v>12.08</v>
      </c>
      <c r="M101" s="125">
        <v>0.0</v>
      </c>
      <c r="N101" s="75">
        <v>18.0</v>
      </c>
      <c r="O101" s="75"/>
      <c r="P101" s="123" t="s">
        <v>60</v>
      </c>
      <c r="Q101" s="126">
        <v>23960.0</v>
      </c>
      <c r="R101" s="123" t="s">
        <v>234</v>
      </c>
      <c r="S101" s="75">
        <v>2019.0</v>
      </c>
      <c r="T101" s="136">
        <v>0.238</v>
      </c>
      <c r="U101" s="128">
        <f t="shared" si="53"/>
        <v>5702.48</v>
      </c>
      <c r="V101" s="24">
        <f t="shared" si="54"/>
        <v>188.8238411</v>
      </c>
      <c r="W101" s="3">
        <f t="shared" si="31"/>
        <v>0</v>
      </c>
      <c r="X101" s="3">
        <f t="shared" si="32"/>
        <v>0</v>
      </c>
      <c r="Y101" s="3">
        <f t="shared" si="33"/>
        <v>0</v>
      </c>
      <c r="Z101" s="25">
        <f t="shared" si="34"/>
        <v>0</v>
      </c>
      <c r="AA101" s="26">
        <f>VLOOKUP(S101,CPI!$A$2:$F$71,6,0)</f>
        <v>1.259947899</v>
      </c>
      <c r="AB101" s="27">
        <f t="shared" si="55"/>
        <v>7184.827695</v>
      </c>
      <c r="AC101" s="27">
        <f t="shared" si="56"/>
        <v>237.9082018</v>
      </c>
      <c r="AD101" s="123" t="s">
        <v>60</v>
      </c>
      <c r="AE101" s="154" t="s">
        <v>300</v>
      </c>
      <c r="AF101" s="100"/>
      <c r="AG101" s="101"/>
      <c r="AH101" s="101"/>
      <c r="AI101" s="101"/>
      <c r="AJ101" s="102"/>
      <c r="AK101" s="102"/>
      <c r="AL101" s="102"/>
      <c r="AM101" s="103"/>
      <c r="AN101" s="103"/>
      <c r="AO101" s="103"/>
      <c r="AP101" s="103"/>
      <c r="AQ101" s="104"/>
    </row>
    <row r="102" ht="15.75" customHeight="1">
      <c r="A102" s="105">
        <v>8129.0</v>
      </c>
      <c r="B102" s="130" t="s">
        <v>230</v>
      </c>
      <c r="C102" s="130" t="s">
        <v>231</v>
      </c>
      <c r="D102" s="36" t="s">
        <v>236</v>
      </c>
      <c r="E102" s="130" t="s">
        <v>301</v>
      </c>
      <c r="F102" s="130">
        <v>2019.0</v>
      </c>
      <c r="G102" s="130">
        <v>2022.0</v>
      </c>
      <c r="H102" s="130">
        <v>0.0</v>
      </c>
      <c r="I102" s="130">
        <v>32.2</v>
      </c>
      <c r="J102" s="131">
        <f t="shared" si="57"/>
        <v>0.3198757764</v>
      </c>
      <c r="K102" s="130">
        <v>10.3</v>
      </c>
      <c r="L102" s="132">
        <v>12.11</v>
      </c>
      <c r="M102" s="132">
        <v>10.108</v>
      </c>
      <c r="N102" s="130">
        <v>15.0</v>
      </c>
      <c r="O102" s="138"/>
      <c r="P102" s="130" t="s">
        <v>60</v>
      </c>
      <c r="Q102" s="135">
        <v>12640.0</v>
      </c>
      <c r="R102" s="130" t="s">
        <v>234</v>
      </c>
      <c r="S102" s="130">
        <v>2019.0</v>
      </c>
      <c r="T102" s="136">
        <v>0.238</v>
      </c>
      <c r="U102" s="128">
        <f>T102*Q102</f>
        <v>3008.32</v>
      </c>
      <c r="V102" s="24">
        <f t="shared" si="54"/>
        <v>93.42608696</v>
      </c>
      <c r="W102" s="3">
        <f t="shared" si="31"/>
        <v>0</v>
      </c>
      <c r="X102" s="3">
        <f t="shared" si="32"/>
        <v>0</v>
      </c>
      <c r="Y102" s="3">
        <f t="shared" si="33"/>
        <v>0</v>
      </c>
      <c r="Z102" s="25">
        <f t="shared" si="34"/>
        <v>0</v>
      </c>
      <c r="AA102" s="26">
        <f>VLOOKUP(S102,CPI!$A$2:$F$71,6,0)</f>
        <v>1.259947899</v>
      </c>
      <c r="AB102" s="27">
        <f t="shared" si="55"/>
        <v>3790.326463</v>
      </c>
      <c r="AC102" s="27">
        <f t="shared" si="56"/>
        <v>117.712002</v>
      </c>
      <c r="AD102" s="130" t="s">
        <v>60</v>
      </c>
      <c r="AE102" s="137" t="s">
        <v>276</v>
      </c>
      <c r="AF102" s="100"/>
      <c r="AG102" s="101"/>
      <c r="AH102" s="101"/>
      <c r="AI102" s="101"/>
      <c r="AJ102" s="102"/>
      <c r="AK102" s="102"/>
      <c r="AL102" s="102"/>
      <c r="AM102" s="103"/>
      <c r="AN102" s="103"/>
      <c r="AO102" s="103"/>
      <c r="AP102" s="103"/>
      <c r="AQ102" s="104"/>
    </row>
    <row r="103" ht="15.75" customHeight="1">
      <c r="A103" s="139">
        <v>7864.0</v>
      </c>
      <c r="B103" s="123" t="s">
        <v>230</v>
      </c>
      <c r="C103" s="123" t="s">
        <v>231</v>
      </c>
      <c r="D103" s="36" t="s">
        <v>302</v>
      </c>
      <c r="E103" s="123" t="s">
        <v>302</v>
      </c>
      <c r="F103" s="142">
        <v>2019.0</v>
      </c>
      <c r="G103" s="142">
        <v>2022.0</v>
      </c>
      <c r="H103" s="75">
        <v>0.0</v>
      </c>
      <c r="I103" s="75">
        <v>78.6</v>
      </c>
      <c r="J103" s="124">
        <v>0.62</v>
      </c>
      <c r="K103" s="75">
        <v>48.5</v>
      </c>
      <c r="L103" s="125">
        <v>0.0</v>
      </c>
      <c r="M103" s="125">
        <v>0.0</v>
      </c>
      <c r="N103" s="75">
        <v>20.0</v>
      </c>
      <c r="O103" s="75"/>
      <c r="P103" s="123" t="s">
        <v>60</v>
      </c>
      <c r="Q103" s="126">
        <v>63930.0</v>
      </c>
      <c r="R103" s="123" t="s">
        <v>234</v>
      </c>
      <c r="S103" s="75">
        <v>2019.0</v>
      </c>
      <c r="T103" s="136">
        <v>0.238</v>
      </c>
      <c r="U103" s="128">
        <f t="shared" ref="U103:U104" si="58">Q103*T103</f>
        <v>15215.34</v>
      </c>
      <c r="V103" s="24">
        <f t="shared" si="54"/>
        <v>193.5793893</v>
      </c>
      <c r="W103" s="3">
        <f t="shared" si="31"/>
        <v>0</v>
      </c>
      <c r="X103" s="3">
        <f t="shared" si="32"/>
        <v>0</v>
      </c>
      <c r="Y103" s="3">
        <f t="shared" si="33"/>
        <v>0</v>
      </c>
      <c r="Z103" s="25">
        <f t="shared" si="34"/>
        <v>0</v>
      </c>
      <c r="AA103" s="26">
        <f>VLOOKUP(S103,CPI!$A$2:$F$71,6,0)</f>
        <v>1.259947899</v>
      </c>
      <c r="AB103" s="27">
        <f t="shared" si="55"/>
        <v>19170.53566</v>
      </c>
      <c r="AC103" s="27">
        <f t="shared" si="56"/>
        <v>243.8999448</v>
      </c>
      <c r="AD103" s="123" t="s">
        <v>60</v>
      </c>
      <c r="AE103" s="129" t="s">
        <v>276</v>
      </c>
      <c r="AF103" s="100"/>
      <c r="AG103" s="101"/>
      <c r="AH103" s="101"/>
      <c r="AI103" s="101"/>
      <c r="AJ103" s="102"/>
      <c r="AK103" s="102"/>
      <c r="AL103" s="102"/>
      <c r="AM103" s="103"/>
      <c r="AN103" s="103"/>
      <c r="AO103" s="103"/>
      <c r="AP103" s="103"/>
      <c r="AQ103" s="104"/>
    </row>
    <row r="104" ht="15.75" customHeight="1">
      <c r="A104" s="146"/>
      <c r="B104" s="114" t="s">
        <v>230</v>
      </c>
      <c r="C104" s="114" t="s">
        <v>231</v>
      </c>
      <c r="D104" s="114" t="s">
        <v>303</v>
      </c>
      <c r="E104" s="114" t="s">
        <v>303</v>
      </c>
      <c r="F104" s="116">
        <v>2022.0</v>
      </c>
      <c r="G104" s="116">
        <v>2027.0</v>
      </c>
      <c r="H104" s="116">
        <v>0.0</v>
      </c>
      <c r="I104" s="116">
        <v>19.0</v>
      </c>
      <c r="J104" s="117">
        <v>1.0</v>
      </c>
      <c r="K104" s="116">
        <v>19.0</v>
      </c>
      <c r="L104" s="114"/>
      <c r="M104" s="114"/>
      <c r="N104" s="116">
        <v>14.0</v>
      </c>
      <c r="O104" s="116">
        <v>138.0</v>
      </c>
      <c r="P104" s="114"/>
      <c r="Q104" s="140">
        <v>18753.93</v>
      </c>
      <c r="R104" s="114" t="s">
        <v>234</v>
      </c>
      <c r="S104" s="115">
        <v>2021.0</v>
      </c>
      <c r="T104" s="136">
        <v>0.239000000000001</v>
      </c>
      <c r="U104" s="118">
        <f t="shared" si="58"/>
        <v>4482.18927</v>
      </c>
      <c r="V104" s="24">
        <f t="shared" si="54"/>
        <v>235.9046984</v>
      </c>
      <c r="W104" s="3">
        <f t="shared" si="31"/>
        <v>0</v>
      </c>
      <c r="X104" s="3">
        <f t="shared" si="32"/>
        <v>0</v>
      </c>
      <c r="Y104" s="3">
        <f t="shared" si="33"/>
        <v>0</v>
      </c>
      <c r="Z104" s="25">
        <f t="shared" si="34"/>
        <v>0</v>
      </c>
      <c r="AA104" s="26">
        <f>VLOOKUP(S104,CPI!$A$2:$F$71,6,0)</f>
        <v>1.188745987</v>
      </c>
      <c r="AB104" s="27">
        <f t="shared" si="55"/>
        <v>5328.184506</v>
      </c>
      <c r="AC104" s="27">
        <f t="shared" si="56"/>
        <v>280.4307635</v>
      </c>
      <c r="AD104" s="114"/>
      <c r="AE104" s="161" t="s">
        <v>304</v>
      </c>
      <c r="AF104" s="153"/>
      <c r="AG104" s="121"/>
      <c r="AH104" s="121"/>
      <c r="AI104" s="121"/>
      <c r="AJ104" s="122"/>
      <c r="AK104" s="122"/>
      <c r="AL104" s="122"/>
      <c r="AM104" s="103"/>
      <c r="AN104" s="103"/>
      <c r="AO104" s="103"/>
      <c r="AP104" s="103"/>
      <c r="AQ104" s="104"/>
    </row>
    <row r="105" ht="15.75" customHeight="1">
      <c r="A105" s="105">
        <v>7642.0</v>
      </c>
      <c r="B105" s="123" t="s">
        <v>230</v>
      </c>
      <c r="C105" s="123" t="s">
        <v>231</v>
      </c>
      <c r="D105" s="36" t="s">
        <v>267</v>
      </c>
      <c r="E105" s="123" t="s">
        <v>305</v>
      </c>
      <c r="F105" s="75">
        <v>2010.0</v>
      </c>
      <c r="G105" s="123"/>
      <c r="H105" s="75">
        <v>0.0</v>
      </c>
      <c r="I105" s="75">
        <v>12.4</v>
      </c>
      <c r="J105" s="124">
        <v>0.5967741935</v>
      </c>
      <c r="K105" s="75">
        <v>7.4</v>
      </c>
      <c r="L105" s="125">
        <v>4.565</v>
      </c>
      <c r="M105" s="125">
        <v>0.519</v>
      </c>
      <c r="N105" s="75">
        <v>7.0</v>
      </c>
      <c r="O105" s="75"/>
      <c r="P105" s="123" t="s">
        <v>42</v>
      </c>
      <c r="Q105" s="141"/>
      <c r="R105" s="123" t="s">
        <v>234</v>
      </c>
      <c r="S105" s="75">
        <v>2012.0</v>
      </c>
      <c r="T105" s="136">
        <v>0.2808</v>
      </c>
      <c r="U105" s="118"/>
      <c r="V105" s="24"/>
      <c r="W105" s="3">
        <f t="shared" si="31"/>
        <v>0</v>
      </c>
      <c r="X105" s="3">
        <f t="shared" si="32"/>
        <v>0</v>
      </c>
      <c r="Y105" s="3">
        <f t="shared" si="33"/>
        <v>0</v>
      </c>
      <c r="Z105" s="25">
        <f t="shared" si="34"/>
        <v>0</v>
      </c>
      <c r="AA105" s="26">
        <f>VLOOKUP(S105,CPI!$A$2:$F$71,6,0)</f>
        <v>1.402974381</v>
      </c>
      <c r="AB105" s="27"/>
      <c r="AC105" s="27"/>
      <c r="AD105" s="123" t="s">
        <v>42</v>
      </c>
      <c r="AE105" s="154" t="s">
        <v>269</v>
      </c>
      <c r="AF105" s="100"/>
      <c r="AG105" s="101"/>
      <c r="AH105" s="101"/>
      <c r="AI105" s="101"/>
      <c r="AJ105" s="102"/>
      <c r="AK105" s="102"/>
      <c r="AL105" s="102"/>
      <c r="AM105" s="103"/>
      <c r="AN105" s="103"/>
      <c r="AO105" s="103"/>
      <c r="AP105" s="103"/>
      <c r="AQ105" s="104"/>
    </row>
    <row r="106" ht="15.75" customHeight="1">
      <c r="A106" s="105">
        <v>7986.0</v>
      </c>
      <c r="B106" s="130" t="s">
        <v>230</v>
      </c>
      <c r="C106" s="130" t="s">
        <v>231</v>
      </c>
      <c r="D106" s="36" t="s">
        <v>274</v>
      </c>
      <c r="E106" s="130" t="s">
        <v>306</v>
      </c>
      <c r="F106" s="130">
        <v>2019.0</v>
      </c>
      <c r="G106" s="130"/>
      <c r="H106" s="130">
        <v>0.0</v>
      </c>
      <c r="I106" s="130">
        <v>3.5</v>
      </c>
      <c r="J106" s="131"/>
      <c r="K106" s="130"/>
      <c r="L106" s="132" t="e">
        <v>#N/A</v>
      </c>
      <c r="M106" s="132" t="e">
        <v>#N/A</v>
      </c>
      <c r="N106" s="130">
        <v>2.0</v>
      </c>
      <c r="O106" s="138"/>
      <c r="P106" s="130" t="s">
        <v>60</v>
      </c>
      <c r="Q106" s="135">
        <v>4040.0</v>
      </c>
      <c r="R106" s="130" t="s">
        <v>234</v>
      </c>
      <c r="S106" s="130">
        <v>2019.0</v>
      </c>
      <c r="T106" s="136">
        <v>0.238</v>
      </c>
      <c r="U106" s="128">
        <f>T106*Q106</f>
        <v>961.52</v>
      </c>
      <c r="V106" s="24">
        <f t="shared" ref="V106:V394" si="59">U106/I106</f>
        <v>274.72</v>
      </c>
      <c r="W106" s="3">
        <f t="shared" si="31"/>
        <v>0</v>
      </c>
      <c r="X106" s="3">
        <f t="shared" si="32"/>
        <v>0</v>
      </c>
      <c r="Y106" s="3">
        <f t="shared" si="33"/>
        <v>0</v>
      </c>
      <c r="Z106" s="25">
        <f t="shared" si="34"/>
        <v>0</v>
      </c>
      <c r="AA106" s="26">
        <f>VLOOKUP(S106,CPI!$A$2:$F$71,6,0)</f>
        <v>1.259947899</v>
      </c>
      <c r="AB106" s="27">
        <f t="shared" ref="AB106:AB394" si="60">U106*AA106</f>
        <v>1211.465104</v>
      </c>
      <c r="AC106" s="27">
        <f t="shared" ref="AC106:AC394" si="61">V106*AA106</f>
        <v>346.1328868</v>
      </c>
      <c r="AD106" s="130" t="s">
        <v>60</v>
      </c>
      <c r="AE106" s="137" t="s">
        <v>276</v>
      </c>
      <c r="AF106" s="100"/>
      <c r="AG106" s="101"/>
      <c r="AH106" s="101"/>
      <c r="AI106" s="101"/>
      <c r="AJ106" s="102"/>
      <c r="AK106" s="102"/>
      <c r="AL106" s="102"/>
      <c r="AM106" s="103"/>
      <c r="AN106" s="103"/>
      <c r="AO106" s="103"/>
      <c r="AP106" s="103"/>
      <c r="AQ106" s="104"/>
    </row>
    <row r="107" ht="15.75" customHeight="1">
      <c r="A107" s="146"/>
      <c r="B107" s="114" t="s">
        <v>230</v>
      </c>
      <c r="C107" s="114" t="s">
        <v>231</v>
      </c>
      <c r="D107" s="114" t="s">
        <v>307</v>
      </c>
      <c r="E107" s="114" t="s">
        <v>307</v>
      </c>
      <c r="F107" s="116">
        <v>2020.0</v>
      </c>
      <c r="G107" s="114"/>
      <c r="H107" s="116">
        <v>0.0</v>
      </c>
      <c r="I107" s="116">
        <v>6.015</v>
      </c>
      <c r="J107" s="117">
        <v>0.0</v>
      </c>
      <c r="K107" s="116">
        <v>0.0</v>
      </c>
      <c r="L107" s="114"/>
      <c r="M107" s="114"/>
      <c r="N107" s="116">
        <v>3.0</v>
      </c>
      <c r="O107" s="116">
        <v>117.0</v>
      </c>
      <c r="P107" s="114"/>
      <c r="Q107" s="140">
        <v>4500.0</v>
      </c>
      <c r="R107" s="114" t="s">
        <v>234</v>
      </c>
      <c r="S107" s="115">
        <v>2020.0</v>
      </c>
      <c r="T107" s="136">
        <v>0.239</v>
      </c>
      <c r="U107" s="118">
        <f t="shared" ref="U107:U111" si="62">Q107*T107</f>
        <v>1075.5</v>
      </c>
      <c r="V107" s="24">
        <f t="shared" si="59"/>
        <v>178.8029925</v>
      </c>
      <c r="W107" s="3">
        <f t="shared" si="31"/>
        <v>0</v>
      </c>
      <c r="X107" s="3">
        <f t="shared" si="32"/>
        <v>0</v>
      </c>
      <c r="Y107" s="3">
        <f t="shared" si="33"/>
        <v>0</v>
      </c>
      <c r="Z107" s="25">
        <f t="shared" si="34"/>
        <v>0</v>
      </c>
      <c r="AA107" s="26">
        <f>VLOOKUP(S107,CPI!$A$2:$F$71,6,0)</f>
        <v>1.244593545</v>
      </c>
      <c r="AB107" s="27">
        <f t="shared" si="60"/>
        <v>1338.560358</v>
      </c>
      <c r="AC107" s="27">
        <f t="shared" si="61"/>
        <v>222.5370503</v>
      </c>
      <c r="AD107" s="114"/>
      <c r="AE107" s="119" t="s">
        <v>308</v>
      </c>
      <c r="AF107" s="153"/>
      <c r="AG107" s="121"/>
      <c r="AH107" s="121"/>
      <c r="AI107" s="121"/>
      <c r="AJ107" s="122"/>
      <c r="AK107" s="122"/>
      <c r="AL107" s="122"/>
      <c r="AM107" s="103"/>
      <c r="AN107" s="103"/>
      <c r="AO107" s="103"/>
      <c r="AP107" s="103"/>
      <c r="AQ107" s="104"/>
    </row>
    <row r="108" ht="15.75" customHeight="1">
      <c r="A108" s="146"/>
      <c r="B108" s="114" t="s">
        <v>230</v>
      </c>
      <c r="C108" s="114" t="s">
        <v>309</v>
      </c>
      <c r="D108" s="16" t="s">
        <v>57</v>
      </c>
      <c r="E108" s="114" t="s">
        <v>310</v>
      </c>
      <c r="F108" s="116">
        <v>2010.0</v>
      </c>
      <c r="G108" s="116">
        <v>2019.0</v>
      </c>
      <c r="H108" s="116">
        <v>0.0</v>
      </c>
      <c r="I108" s="116">
        <v>8.0</v>
      </c>
      <c r="J108" s="117">
        <v>1.0</v>
      </c>
      <c r="K108" s="116">
        <v>8.0</v>
      </c>
      <c r="L108" s="114"/>
      <c r="M108" s="114"/>
      <c r="N108" s="116">
        <v>6.0</v>
      </c>
      <c r="O108" s="116">
        <v>117.0</v>
      </c>
      <c r="P108" s="114"/>
      <c r="Q108" s="140">
        <v>5520.0</v>
      </c>
      <c r="R108" s="114" t="s">
        <v>234</v>
      </c>
      <c r="S108" s="115">
        <v>2015.0</v>
      </c>
      <c r="T108" s="85">
        <v>0.258</v>
      </c>
      <c r="U108" s="118">
        <f t="shared" si="62"/>
        <v>1424.16</v>
      </c>
      <c r="V108" s="24">
        <f t="shared" si="59"/>
        <v>178.02</v>
      </c>
      <c r="W108" s="3">
        <f t="shared" si="31"/>
        <v>0</v>
      </c>
      <c r="X108" s="3">
        <f t="shared" si="32"/>
        <v>0</v>
      </c>
      <c r="Y108" s="3">
        <f t="shared" si="33"/>
        <v>0</v>
      </c>
      <c r="Z108" s="25">
        <f t="shared" si="34"/>
        <v>0</v>
      </c>
      <c r="AA108" s="26">
        <f>VLOOKUP(S108,CPI!$A$2:$F$71,6,0)</f>
        <v>1.359035428</v>
      </c>
      <c r="AB108" s="27">
        <f t="shared" si="60"/>
        <v>1935.483895</v>
      </c>
      <c r="AC108" s="27">
        <f t="shared" si="61"/>
        <v>241.9354869</v>
      </c>
      <c r="AD108" s="114"/>
      <c r="AE108" s="119" t="s">
        <v>311</v>
      </c>
      <c r="AF108" s="153"/>
      <c r="AG108" s="121"/>
      <c r="AH108" s="121"/>
      <c r="AI108" s="121"/>
      <c r="AJ108" s="122"/>
      <c r="AK108" s="122"/>
      <c r="AL108" s="122"/>
      <c r="AM108" s="103"/>
      <c r="AN108" s="103"/>
      <c r="AO108" s="103"/>
      <c r="AP108" s="103"/>
      <c r="AQ108" s="104"/>
    </row>
    <row r="109" ht="15.75" customHeight="1">
      <c r="A109" s="146"/>
      <c r="B109" s="114" t="s">
        <v>230</v>
      </c>
      <c r="C109" s="114" t="s">
        <v>309</v>
      </c>
      <c r="D109" s="114" t="s">
        <v>312</v>
      </c>
      <c r="E109" s="114" t="s">
        <v>312</v>
      </c>
      <c r="F109" s="116">
        <v>2010.0</v>
      </c>
      <c r="G109" s="116">
        <v>2019.0</v>
      </c>
      <c r="H109" s="116">
        <v>0.0</v>
      </c>
      <c r="I109" s="116">
        <v>13.4</v>
      </c>
      <c r="J109" s="117">
        <v>0.0</v>
      </c>
      <c r="K109" s="116">
        <v>0.0</v>
      </c>
      <c r="L109" s="114"/>
      <c r="M109" s="114"/>
      <c r="N109" s="116">
        <v>13.0</v>
      </c>
      <c r="O109" s="116">
        <v>55.0</v>
      </c>
      <c r="P109" s="114"/>
      <c r="Q109" s="140">
        <v>4210.0</v>
      </c>
      <c r="R109" s="114" t="s">
        <v>234</v>
      </c>
      <c r="S109" s="115">
        <v>2015.0</v>
      </c>
      <c r="T109" s="85">
        <v>0.258</v>
      </c>
      <c r="U109" s="118">
        <f t="shared" si="62"/>
        <v>1086.18</v>
      </c>
      <c r="V109" s="24">
        <f t="shared" si="59"/>
        <v>81.05820896</v>
      </c>
      <c r="W109" s="3">
        <f t="shared" si="31"/>
        <v>0</v>
      </c>
      <c r="X109" s="3">
        <f t="shared" si="32"/>
        <v>0</v>
      </c>
      <c r="Y109" s="3">
        <f t="shared" si="33"/>
        <v>0</v>
      </c>
      <c r="Z109" s="25">
        <f t="shared" si="34"/>
        <v>0</v>
      </c>
      <c r="AA109" s="26">
        <f>VLOOKUP(S109,CPI!$A$2:$F$71,6,0)</f>
        <v>1.359035428</v>
      </c>
      <c r="AB109" s="27">
        <f t="shared" si="60"/>
        <v>1476.157101</v>
      </c>
      <c r="AC109" s="27">
        <f t="shared" si="61"/>
        <v>110.1609777</v>
      </c>
      <c r="AD109" s="114"/>
      <c r="AE109" s="119" t="s">
        <v>311</v>
      </c>
      <c r="AF109" s="153"/>
      <c r="AG109" s="121"/>
      <c r="AH109" s="121"/>
      <c r="AI109" s="121"/>
      <c r="AJ109" s="122"/>
      <c r="AK109" s="122"/>
      <c r="AL109" s="122"/>
      <c r="AM109" s="103"/>
      <c r="AN109" s="103"/>
      <c r="AO109" s="103"/>
      <c r="AP109" s="103"/>
      <c r="AQ109" s="104"/>
    </row>
    <row r="110" ht="15.75" customHeight="1">
      <c r="A110" s="146"/>
      <c r="B110" s="114" t="s">
        <v>230</v>
      </c>
      <c r="C110" s="114" t="s">
        <v>309</v>
      </c>
      <c r="D110" s="115" t="s">
        <v>54</v>
      </c>
      <c r="E110" s="114" t="s">
        <v>313</v>
      </c>
      <c r="F110" s="116">
        <v>2015.0</v>
      </c>
      <c r="G110" s="116">
        <v>2019.0</v>
      </c>
      <c r="H110" s="116">
        <v>0.0</v>
      </c>
      <c r="I110" s="116">
        <v>5.3</v>
      </c>
      <c r="J110" s="117">
        <v>1.0</v>
      </c>
      <c r="K110" s="116">
        <v>5.3</v>
      </c>
      <c r="L110" s="114"/>
      <c r="M110" s="114"/>
      <c r="N110" s="116">
        <v>3.0</v>
      </c>
      <c r="O110" s="116">
        <v>117.0</v>
      </c>
      <c r="P110" s="114"/>
      <c r="Q110" s="140">
        <v>3350.0</v>
      </c>
      <c r="R110" s="114" t="s">
        <v>234</v>
      </c>
      <c r="S110" s="115">
        <v>2017.0</v>
      </c>
      <c r="T110" s="85">
        <v>0.239</v>
      </c>
      <c r="U110" s="118">
        <f t="shared" si="62"/>
        <v>800.65</v>
      </c>
      <c r="V110" s="24">
        <f t="shared" si="59"/>
        <v>151.0660377</v>
      </c>
      <c r="W110" s="3">
        <f t="shared" si="31"/>
        <v>0</v>
      </c>
      <c r="X110" s="3">
        <f t="shared" si="32"/>
        <v>0</v>
      </c>
      <c r="Y110" s="3">
        <f t="shared" si="33"/>
        <v>0</v>
      </c>
      <c r="Z110" s="25">
        <f t="shared" si="34"/>
        <v>0</v>
      </c>
      <c r="AA110" s="26">
        <f>VLOOKUP(S110,CPI!$A$2:$F$71,6,0)</f>
        <v>1.314109416</v>
      </c>
      <c r="AB110" s="27">
        <f t="shared" si="60"/>
        <v>1052.141704</v>
      </c>
      <c r="AC110" s="27">
        <f t="shared" si="61"/>
        <v>198.5173026</v>
      </c>
      <c r="AD110" s="114"/>
      <c r="AE110" s="119" t="s">
        <v>311</v>
      </c>
      <c r="AF110" s="153"/>
      <c r="AG110" s="121"/>
      <c r="AH110" s="121"/>
      <c r="AI110" s="121"/>
      <c r="AJ110" s="122"/>
      <c r="AK110" s="122"/>
      <c r="AL110" s="122"/>
      <c r="AM110" s="103"/>
      <c r="AN110" s="103"/>
      <c r="AO110" s="103"/>
      <c r="AP110" s="103"/>
      <c r="AQ110" s="104"/>
    </row>
    <row r="111" ht="15.75" customHeight="1">
      <c r="A111" s="146"/>
      <c r="B111" s="114" t="s">
        <v>230</v>
      </c>
      <c r="C111" s="114" t="s">
        <v>309</v>
      </c>
      <c r="D111" s="115" t="s">
        <v>54</v>
      </c>
      <c r="E111" s="114" t="s">
        <v>54</v>
      </c>
      <c r="F111" s="114"/>
      <c r="G111" s="116">
        <v>2020.0</v>
      </c>
      <c r="H111" s="116">
        <v>0.0</v>
      </c>
      <c r="I111" s="116">
        <v>22.8</v>
      </c>
      <c r="J111" s="117">
        <v>1.0</v>
      </c>
      <c r="K111" s="116">
        <v>22.8</v>
      </c>
      <c r="L111" s="114"/>
      <c r="M111" s="114"/>
      <c r="N111" s="116">
        <v>19.0</v>
      </c>
      <c r="O111" s="116">
        <v>117.0</v>
      </c>
      <c r="P111" s="114"/>
      <c r="Q111" s="140">
        <v>15400.0</v>
      </c>
      <c r="R111" s="114" t="s">
        <v>234</v>
      </c>
      <c r="S111" s="115">
        <v>2020.0</v>
      </c>
      <c r="T111" s="85">
        <v>0.239</v>
      </c>
      <c r="U111" s="118">
        <f t="shared" si="62"/>
        <v>3680.6</v>
      </c>
      <c r="V111" s="24">
        <f t="shared" si="59"/>
        <v>161.4298246</v>
      </c>
      <c r="W111" s="3">
        <f t="shared" si="31"/>
        <v>0</v>
      </c>
      <c r="X111" s="3">
        <f t="shared" si="32"/>
        <v>0</v>
      </c>
      <c r="Y111" s="3">
        <f t="shared" si="33"/>
        <v>0</v>
      </c>
      <c r="Z111" s="25">
        <f t="shared" si="34"/>
        <v>0</v>
      </c>
      <c r="AA111" s="26">
        <f>VLOOKUP(S111,CPI!$A$2:$F$71,6,0)</f>
        <v>1.244593545</v>
      </c>
      <c r="AB111" s="27">
        <f t="shared" si="60"/>
        <v>4580.851002</v>
      </c>
      <c r="AC111" s="27">
        <f t="shared" si="61"/>
        <v>200.9145176</v>
      </c>
      <c r="AD111" s="114"/>
      <c r="AE111" s="119" t="s">
        <v>314</v>
      </c>
      <c r="AF111" s="153"/>
      <c r="AG111" s="121"/>
      <c r="AH111" s="121"/>
      <c r="AI111" s="121"/>
      <c r="AJ111" s="122"/>
      <c r="AK111" s="122"/>
      <c r="AL111" s="122"/>
      <c r="AM111" s="103"/>
      <c r="AN111" s="103"/>
      <c r="AO111" s="103"/>
      <c r="AP111" s="103"/>
      <c r="AQ111" s="104"/>
    </row>
    <row r="112" ht="15.75" customHeight="1">
      <c r="A112" s="105">
        <v>8056.0</v>
      </c>
      <c r="B112" s="130" t="s">
        <v>230</v>
      </c>
      <c r="C112" s="130" t="s">
        <v>309</v>
      </c>
      <c r="D112" s="36" t="s">
        <v>54</v>
      </c>
      <c r="E112" s="130" t="s">
        <v>315</v>
      </c>
      <c r="F112" s="130">
        <v>2019.0</v>
      </c>
      <c r="G112" s="130">
        <v>2025.0</v>
      </c>
      <c r="H112" s="130">
        <v>0.0</v>
      </c>
      <c r="I112" s="130">
        <v>9.1</v>
      </c>
      <c r="J112" s="131">
        <v>1.0</v>
      </c>
      <c r="K112" s="130">
        <v>9.1</v>
      </c>
      <c r="L112" s="132">
        <v>0.0</v>
      </c>
      <c r="M112" s="132">
        <v>0.0</v>
      </c>
      <c r="N112" s="130">
        <v>5.0</v>
      </c>
      <c r="O112" s="138"/>
      <c r="P112" s="130" t="s">
        <v>60</v>
      </c>
      <c r="Q112" s="135">
        <v>5131.0</v>
      </c>
      <c r="R112" s="130" t="s">
        <v>234</v>
      </c>
      <c r="S112" s="130">
        <v>2018.0</v>
      </c>
      <c r="T112" s="136">
        <v>0.237</v>
      </c>
      <c r="U112" s="128">
        <f t="shared" ref="U112:U113" si="63">T112*Q112</f>
        <v>1216.047</v>
      </c>
      <c r="V112" s="24">
        <f t="shared" si="59"/>
        <v>133.6315385</v>
      </c>
      <c r="W112" s="3">
        <f t="shared" si="31"/>
        <v>0</v>
      </c>
      <c r="X112" s="3">
        <f t="shared" si="32"/>
        <v>0</v>
      </c>
      <c r="Y112" s="3">
        <f t="shared" si="33"/>
        <v>0</v>
      </c>
      <c r="Z112" s="25">
        <f t="shared" si="34"/>
        <v>0</v>
      </c>
      <c r="AA112" s="26">
        <f>VLOOKUP(S112,CPI!$A$2:$F$71,6,0)</f>
        <v>1.28277786</v>
      </c>
      <c r="AB112" s="27">
        <f t="shared" si="60"/>
        <v>1559.918168</v>
      </c>
      <c r="AC112" s="27">
        <f t="shared" si="61"/>
        <v>171.4195789</v>
      </c>
      <c r="AD112" s="130" t="s">
        <v>60</v>
      </c>
      <c r="AE112" s="137" t="s">
        <v>316</v>
      </c>
      <c r="AF112" s="100"/>
      <c r="AG112" s="101"/>
      <c r="AH112" s="101"/>
      <c r="AI112" s="101"/>
      <c r="AJ112" s="102"/>
      <c r="AK112" s="102"/>
      <c r="AL112" s="102"/>
      <c r="AM112" s="103"/>
      <c r="AN112" s="103"/>
      <c r="AO112" s="103"/>
      <c r="AP112" s="103"/>
      <c r="AQ112" s="104"/>
    </row>
    <row r="113" ht="15.75" customHeight="1">
      <c r="A113" s="105">
        <v>8115.0</v>
      </c>
      <c r="B113" s="130" t="s">
        <v>230</v>
      </c>
      <c r="C113" s="130" t="s">
        <v>309</v>
      </c>
      <c r="D113" s="16" t="s">
        <v>253</v>
      </c>
      <c r="E113" s="130" t="s">
        <v>317</v>
      </c>
      <c r="F113" s="130">
        <v>2019.0</v>
      </c>
      <c r="G113" s="130">
        <v>2025.0</v>
      </c>
      <c r="H113" s="130">
        <v>0.0</v>
      </c>
      <c r="I113" s="130">
        <v>28.2</v>
      </c>
      <c r="J113" s="131">
        <v>0.4929078014</v>
      </c>
      <c r="K113" s="130">
        <v>13.9</v>
      </c>
      <c r="L113" s="132">
        <v>0.0</v>
      </c>
      <c r="M113" s="132">
        <v>0.0</v>
      </c>
      <c r="N113" s="130">
        <v>8.0</v>
      </c>
      <c r="O113" s="138"/>
      <c r="P113" s="130" t="s">
        <v>60</v>
      </c>
      <c r="Q113" s="135">
        <v>12640.0</v>
      </c>
      <c r="R113" s="130" t="s">
        <v>234</v>
      </c>
      <c r="S113" s="130">
        <v>2018.0</v>
      </c>
      <c r="T113" s="136">
        <v>0.237</v>
      </c>
      <c r="U113" s="128">
        <f t="shared" si="63"/>
        <v>2995.68</v>
      </c>
      <c r="V113" s="24">
        <f t="shared" si="59"/>
        <v>106.2297872</v>
      </c>
      <c r="W113" s="3">
        <f t="shared" si="31"/>
        <v>0</v>
      </c>
      <c r="X113" s="3">
        <f t="shared" si="32"/>
        <v>0</v>
      </c>
      <c r="Y113" s="3">
        <f t="shared" si="33"/>
        <v>0</v>
      </c>
      <c r="Z113" s="25">
        <f t="shared" si="34"/>
        <v>0</v>
      </c>
      <c r="AA113" s="26">
        <f>VLOOKUP(S113,CPI!$A$2:$F$71,6,0)</f>
        <v>1.28277786</v>
      </c>
      <c r="AB113" s="27">
        <f t="shared" si="60"/>
        <v>3842.791979</v>
      </c>
      <c r="AC113" s="27">
        <f t="shared" si="61"/>
        <v>136.2692191</v>
      </c>
      <c r="AD113" s="130" t="s">
        <v>60</v>
      </c>
      <c r="AE113" s="137" t="s">
        <v>316</v>
      </c>
      <c r="AF113" s="100"/>
      <c r="AG113" s="101"/>
      <c r="AH113" s="101"/>
      <c r="AI113" s="101"/>
      <c r="AJ113" s="102"/>
      <c r="AK113" s="102"/>
      <c r="AL113" s="102"/>
      <c r="AM113" s="103"/>
      <c r="AN113" s="103"/>
      <c r="AO113" s="103"/>
      <c r="AP113" s="103"/>
      <c r="AQ113" s="104"/>
    </row>
    <row r="114" ht="15.75" customHeight="1">
      <c r="A114" s="139">
        <v>7963.0</v>
      </c>
      <c r="B114" s="123" t="s">
        <v>230</v>
      </c>
      <c r="C114" s="123" t="s">
        <v>309</v>
      </c>
      <c r="D114" s="16" t="s">
        <v>228</v>
      </c>
      <c r="E114" s="123" t="s">
        <v>263</v>
      </c>
      <c r="F114" s="75">
        <v>2020.0</v>
      </c>
      <c r="G114" s="75">
        <v>2025.0</v>
      </c>
      <c r="H114" s="75">
        <v>0.0</v>
      </c>
      <c r="I114" s="75">
        <v>22.5</v>
      </c>
      <c r="J114" s="124">
        <v>1.0</v>
      </c>
      <c r="K114" s="75">
        <v>22.5</v>
      </c>
      <c r="L114" s="125">
        <v>0.0</v>
      </c>
      <c r="M114" s="125">
        <v>0.0</v>
      </c>
      <c r="N114" s="75">
        <v>19.0</v>
      </c>
      <c r="O114" s="75"/>
      <c r="P114" s="123" t="s">
        <v>60</v>
      </c>
      <c r="Q114" s="126">
        <v>15583.0</v>
      </c>
      <c r="R114" s="123" t="s">
        <v>234</v>
      </c>
      <c r="S114" s="75">
        <v>2018.0</v>
      </c>
      <c r="T114" s="136">
        <v>0.237</v>
      </c>
      <c r="U114" s="128">
        <f t="shared" ref="U114:U115" si="64">Q114*T114</f>
        <v>3693.171</v>
      </c>
      <c r="V114" s="24">
        <f t="shared" si="59"/>
        <v>164.1409333</v>
      </c>
      <c r="W114" s="3">
        <f t="shared" si="31"/>
        <v>0</v>
      </c>
      <c r="X114" s="3">
        <f t="shared" si="32"/>
        <v>0</v>
      </c>
      <c r="Y114" s="3">
        <f t="shared" si="33"/>
        <v>0</v>
      </c>
      <c r="Z114" s="25">
        <f t="shared" si="34"/>
        <v>0</v>
      </c>
      <c r="AA114" s="26">
        <f>VLOOKUP(S114,CPI!$A$2:$F$71,6,0)</f>
        <v>1.28277786</v>
      </c>
      <c r="AB114" s="27">
        <f t="shared" si="60"/>
        <v>4737.517991</v>
      </c>
      <c r="AC114" s="27">
        <f t="shared" si="61"/>
        <v>210.5563551</v>
      </c>
      <c r="AD114" s="123" t="s">
        <v>60</v>
      </c>
      <c r="AE114" s="154" t="s">
        <v>318</v>
      </c>
      <c r="AF114" s="100"/>
      <c r="AG114" s="101"/>
      <c r="AH114" s="101"/>
      <c r="AI114" s="101"/>
      <c r="AJ114" s="102"/>
      <c r="AK114" s="102"/>
      <c r="AL114" s="102"/>
      <c r="AM114" s="103"/>
      <c r="AN114" s="103"/>
      <c r="AO114" s="103"/>
      <c r="AP114" s="103"/>
      <c r="AQ114" s="104"/>
    </row>
    <row r="115" ht="15.75" customHeight="1">
      <c r="A115" s="162">
        <v>7889.0</v>
      </c>
      <c r="B115" s="72" t="s">
        <v>230</v>
      </c>
      <c r="C115" s="72" t="s">
        <v>309</v>
      </c>
      <c r="D115" s="115" t="s">
        <v>84</v>
      </c>
      <c r="E115" s="115" t="s">
        <v>319</v>
      </c>
      <c r="F115" s="69">
        <v>2021.0</v>
      </c>
      <c r="G115" s="69"/>
      <c r="H115" s="69">
        <v>0.0</v>
      </c>
      <c r="I115" s="69">
        <v>19.567</v>
      </c>
      <c r="J115" s="117">
        <v>1.0</v>
      </c>
      <c r="K115" s="69">
        <v>19.567</v>
      </c>
      <c r="L115" s="72"/>
      <c r="M115" s="72"/>
      <c r="N115" s="69">
        <v>18.0</v>
      </c>
      <c r="O115" s="69">
        <v>117.0</v>
      </c>
      <c r="P115" s="72"/>
      <c r="Q115" s="140">
        <v>20000.0</v>
      </c>
      <c r="R115" s="72" t="s">
        <v>234</v>
      </c>
      <c r="S115" s="69">
        <v>2019.0</v>
      </c>
      <c r="T115" s="136">
        <v>0.238</v>
      </c>
      <c r="U115" s="148">
        <f t="shared" si="64"/>
        <v>4760</v>
      </c>
      <c r="V115" s="24">
        <f t="shared" si="59"/>
        <v>243.2667246</v>
      </c>
      <c r="W115" s="3">
        <f t="shared" si="31"/>
        <v>0</v>
      </c>
      <c r="X115" s="3">
        <f t="shared" si="32"/>
        <v>0</v>
      </c>
      <c r="Y115" s="3">
        <f t="shared" si="33"/>
        <v>0</v>
      </c>
      <c r="Z115" s="25">
        <f t="shared" si="34"/>
        <v>0</v>
      </c>
      <c r="AA115" s="26">
        <f>VLOOKUP(S115,CPI!$A$2:$F$71,6,0)</f>
        <v>1.259947899</v>
      </c>
      <c r="AB115" s="27">
        <f t="shared" si="60"/>
        <v>5997.351999</v>
      </c>
      <c r="AC115" s="27">
        <f t="shared" si="61"/>
        <v>306.5033985</v>
      </c>
      <c r="AD115" s="72" t="s">
        <v>60</v>
      </c>
      <c r="AE115" s="149" t="s">
        <v>320</v>
      </c>
      <c r="AF115" s="150"/>
      <c r="AG115" s="145"/>
      <c r="AH115" s="145"/>
      <c r="AI115" s="145"/>
      <c r="AJ115" s="151"/>
      <c r="AK115" s="151"/>
      <c r="AL115" s="151"/>
      <c r="AM115" s="103"/>
      <c r="AN115" s="103"/>
      <c r="AO115" s="103"/>
      <c r="AP115" s="103"/>
      <c r="AQ115" s="33"/>
    </row>
    <row r="116" ht="15.75" customHeight="1">
      <c r="A116" s="38">
        <v>8138.0</v>
      </c>
      <c r="B116" s="130" t="s">
        <v>230</v>
      </c>
      <c r="C116" s="130" t="s">
        <v>309</v>
      </c>
      <c r="D116" s="16" t="s">
        <v>87</v>
      </c>
      <c r="E116" s="130" t="s">
        <v>321</v>
      </c>
      <c r="F116" s="130"/>
      <c r="G116" s="130"/>
      <c r="H116" s="130">
        <v>0.0</v>
      </c>
      <c r="I116" s="130">
        <v>3.0</v>
      </c>
      <c r="J116" s="131">
        <v>0.2666666667</v>
      </c>
      <c r="K116" s="130">
        <v>0.8</v>
      </c>
      <c r="L116" s="132">
        <v>0.0</v>
      </c>
      <c r="M116" s="132">
        <v>0.0</v>
      </c>
      <c r="N116" s="130">
        <v>2.0</v>
      </c>
      <c r="O116" s="138"/>
      <c r="P116" s="130" t="s">
        <v>60</v>
      </c>
      <c r="Q116" s="135">
        <v>839.0</v>
      </c>
      <c r="R116" s="130" t="s">
        <v>234</v>
      </c>
      <c r="S116" s="130">
        <v>2018.0</v>
      </c>
      <c r="T116" s="136">
        <v>0.237</v>
      </c>
      <c r="U116" s="128">
        <f t="shared" ref="U116:U118" si="65">T116*Q116</f>
        <v>198.843</v>
      </c>
      <c r="V116" s="24">
        <f t="shared" si="59"/>
        <v>66.281</v>
      </c>
      <c r="W116" s="3">
        <f t="shared" si="31"/>
        <v>0</v>
      </c>
      <c r="X116" s="3">
        <f t="shared" si="32"/>
        <v>0</v>
      </c>
      <c r="Y116" s="3">
        <f t="shared" si="33"/>
        <v>0</v>
      </c>
      <c r="Z116" s="25">
        <f t="shared" si="34"/>
        <v>0</v>
      </c>
      <c r="AA116" s="26">
        <f>VLOOKUP(S116,CPI!$A$2:$F$71,6,0)</f>
        <v>1.28277786</v>
      </c>
      <c r="AB116" s="27">
        <f t="shared" si="60"/>
        <v>255.0713979</v>
      </c>
      <c r="AC116" s="27">
        <f t="shared" si="61"/>
        <v>85.02379931</v>
      </c>
      <c r="AD116" s="130" t="s">
        <v>60</v>
      </c>
      <c r="AE116" s="137" t="s">
        <v>316</v>
      </c>
      <c r="AF116" s="29"/>
      <c r="AG116" s="30"/>
      <c r="AH116" s="30"/>
      <c r="AI116" s="30"/>
      <c r="AJ116" s="31"/>
      <c r="AK116" s="31"/>
      <c r="AL116" s="31"/>
      <c r="AM116" s="32"/>
      <c r="AN116" s="32"/>
      <c r="AO116" s="32"/>
      <c r="AP116" s="32"/>
      <c r="AQ116" s="33"/>
    </row>
    <row r="117" ht="15.75" customHeight="1">
      <c r="A117" s="38">
        <v>8097.0</v>
      </c>
      <c r="B117" s="130" t="s">
        <v>230</v>
      </c>
      <c r="C117" s="130" t="s">
        <v>309</v>
      </c>
      <c r="D117" s="16" t="s">
        <v>110</v>
      </c>
      <c r="E117" s="130" t="s">
        <v>322</v>
      </c>
      <c r="F117" s="130"/>
      <c r="G117" s="130"/>
      <c r="H117" s="130">
        <v>0.0</v>
      </c>
      <c r="I117" s="130">
        <v>4.0</v>
      </c>
      <c r="J117" s="131">
        <v>0.0</v>
      </c>
      <c r="K117" s="130">
        <v>0.0</v>
      </c>
      <c r="L117" s="132">
        <v>0.0</v>
      </c>
      <c r="M117" s="132">
        <v>0.0</v>
      </c>
      <c r="N117" s="130">
        <v>6.0</v>
      </c>
      <c r="O117" s="138"/>
      <c r="P117" s="130" t="s">
        <v>60</v>
      </c>
      <c r="Q117" s="135">
        <v>2013.0</v>
      </c>
      <c r="R117" s="130" t="s">
        <v>234</v>
      </c>
      <c r="S117" s="130">
        <v>2018.0</v>
      </c>
      <c r="T117" s="136">
        <v>0.237</v>
      </c>
      <c r="U117" s="128">
        <f t="shared" si="65"/>
        <v>477.081</v>
      </c>
      <c r="V117" s="24">
        <f t="shared" si="59"/>
        <v>119.27025</v>
      </c>
      <c r="W117" s="3">
        <f t="shared" si="31"/>
        <v>0</v>
      </c>
      <c r="X117" s="3">
        <f t="shared" si="32"/>
        <v>0</v>
      </c>
      <c r="Y117" s="3">
        <f t="shared" si="33"/>
        <v>0</v>
      </c>
      <c r="Z117" s="25">
        <f t="shared" si="34"/>
        <v>0</v>
      </c>
      <c r="AA117" s="26">
        <f>VLOOKUP(S117,CPI!$A$2:$F$71,6,0)</f>
        <v>1.28277786</v>
      </c>
      <c r="AB117" s="27">
        <f t="shared" si="60"/>
        <v>611.9889441</v>
      </c>
      <c r="AC117" s="27">
        <f t="shared" si="61"/>
        <v>152.997236</v>
      </c>
      <c r="AD117" s="130" t="s">
        <v>60</v>
      </c>
      <c r="AE117" s="137" t="s">
        <v>316</v>
      </c>
      <c r="AF117" s="29"/>
      <c r="AG117" s="30"/>
      <c r="AH117" s="30"/>
      <c r="AI117" s="30"/>
      <c r="AJ117" s="31"/>
      <c r="AK117" s="31"/>
      <c r="AL117" s="31"/>
      <c r="AM117" s="32"/>
      <c r="AN117" s="32"/>
      <c r="AO117" s="32"/>
      <c r="AP117" s="32"/>
      <c r="AQ117" s="33"/>
    </row>
    <row r="118" ht="15.75" customHeight="1">
      <c r="A118" s="38">
        <v>8008.0</v>
      </c>
      <c r="B118" s="130" t="s">
        <v>230</v>
      </c>
      <c r="C118" s="130" t="s">
        <v>309</v>
      </c>
      <c r="D118" s="130" t="s">
        <v>80</v>
      </c>
      <c r="E118" s="130" t="s">
        <v>80</v>
      </c>
      <c r="F118" s="130"/>
      <c r="G118" s="130"/>
      <c r="H118" s="130">
        <v>0.0</v>
      </c>
      <c r="I118" s="130">
        <v>29.7</v>
      </c>
      <c r="J118" s="131">
        <v>1.0</v>
      </c>
      <c r="K118" s="130">
        <v>29.7</v>
      </c>
      <c r="L118" s="132">
        <v>0.0</v>
      </c>
      <c r="M118" s="132">
        <v>0.0</v>
      </c>
      <c r="N118" s="130">
        <v>22.0</v>
      </c>
      <c r="O118" s="138"/>
      <c r="P118" s="130" t="s">
        <v>60</v>
      </c>
      <c r="Q118" s="135">
        <v>19549.0</v>
      </c>
      <c r="R118" s="130" t="s">
        <v>234</v>
      </c>
      <c r="S118" s="130">
        <v>2018.0</v>
      </c>
      <c r="T118" s="136">
        <v>0.237</v>
      </c>
      <c r="U118" s="128">
        <f t="shared" si="65"/>
        <v>4633.113</v>
      </c>
      <c r="V118" s="24">
        <f t="shared" si="59"/>
        <v>155.9970707</v>
      </c>
      <c r="W118" s="3">
        <f t="shared" si="31"/>
        <v>0</v>
      </c>
      <c r="X118" s="3">
        <f t="shared" si="32"/>
        <v>0</v>
      </c>
      <c r="Y118" s="3">
        <f t="shared" si="33"/>
        <v>0</v>
      </c>
      <c r="Z118" s="25">
        <f t="shared" si="34"/>
        <v>0</v>
      </c>
      <c r="AA118" s="26">
        <f>VLOOKUP(S118,CPI!$A$2:$F$71,6,0)</f>
        <v>1.28277786</v>
      </c>
      <c r="AB118" s="27">
        <f t="shared" si="60"/>
        <v>5943.254778</v>
      </c>
      <c r="AC118" s="27">
        <f t="shared" si="61"/>
        <v>200.1095885</v>
      </c>
      <c r="AD118" s="130" t="s">
        <v>60</v>
      </c>
      <c r="AE118" s="137" t="s">
        <v>316</v>
      </c>
      <c r="AF118" s="29"/>
      <c r="AG118" s="30"/>
      <c r="AH118" s="30"/>
      <c r="AI118" s="30"/>
      <c r="AJ118" s="31"/>
      <c r="AK118" s="31"/>
      <c r="AL118" s="31"/>
      <c r="AM118" s="32"/>
      <c r="AN118" s="32"/>
      <c r="AO118" s="32"/>
      <c r="AP118" s="32"/>
      <c r="AQ118" s="33"/>
    </row>
    <row r="119" ht="15.75" customHeight="1">
      <c r="A119" s="163"/>
      <c r="B119" s="114" t="s">
        <v>230</v>
      </c>
      <c r="C119" s="114" t="s">
        <v>323</v>
      </c>
      <c r="D119" s="114" t="s">
        <v>324</v>
      </c>
      <c r="E119" s="114" t="s">
        <v>324</v>
      </c>
      <c r="F119" s="116">
        <v>2008.0</v>
      </c>
      <c r="G119" s="116">
        <v>2015.0</v>
      </c>
      <c r="H119" s="116">
        <v>0.0</v>
      </c>
      <c r="I119" s="116">
        <v>45.92</v>
      </c>
      <c r="J119" s="117">
        <v>0.97</v>
      </c>
      <c r="K119" s="116">
        <v>44.61</v>
      </c>
      <c r="L119" s="114"/>
      <c r="M119" s="114"/>
      <c r="N119" s="116">
        <v>32.0</v>
      </c>
      <c r="O119" s="116">
        <v>117.0</v>
      </c>
      <c r="P119" s="114"/>
      <c r="Q119" s="140">
        <v>22171.0</v>
      </c>
      <c r="R119" s="114" t="s">
        <v>234</v>
      </c>
      <c r="S119" s="115">
        <v>2012.0</v>
      </c>
      <c r="T119" s="85">
        <v>0.281</v>
      </c>
      <c r="U119" s="118">
        <f t="shared" ref="U119:U120" si="66">Q119*T119</f>
        <v>6230.051</v>
      </c>
      <c r="V119" s="24">
        <f t="shared" si="59"/>
        <v>135.6718423</v>
      </c>
      <c r="W119" s="3">
        <f t="shared" si="31"/>
        <v>0</v>
      </c>
      <c r="X119" s="3">
        <f t="shared" si="32"/>
        <v>0</v>
      </c>
      <c r="Y119" s="3">
        <f t="shared" si="33"/>
        <v>0</v>
      </c>
      <c r="Z119" s="25">
        <f t="shared" si="34"/>
        <v>0</v>
      </c>
      <c r="AA119" s="26">
        <f>VLOOKUP(S119,CPI!$A$2:$F$71,6,0)</f>
        <v>1.402974381</v>
      </c>
      <c r="AB119" s="27">
        <f t="shared" si="60"/>
        <v>8740.601944</v>
      </c>
      <c r="AC119" s="27">
        <f t="shared" si="61"/>
        <v>190.344119</v>
      </c>
      <c r="AD119" s="114"/>
      <c r="AE119" s="161" t="s">
        <v>325</v>
      </c>
      <c r="AF119" s="164"/>
      <c r="AG119" s="165"/>
      <c r="AH119" s="165"/>
      <c r="AI119" s="165"/>
      <c r="AJ119" s="166"/>
      <c r="AK119" s="166"/>
      <c r="AL119" s="166"/>
      <c r="AM119" s="32"/>
      <c r="AN119" s="32"/>
      <c r="AO119" s="32"/>
      <c r="AP119" s="32"/>
      <c r="AQ119" s="33"/>
    </row>
    <row r="120" ht="15.75" customHeight="1">
      <c r="A120" s="163"/>
      <c r="B120" s="114" t="s">
        <v>230</v>
      </c>
      <c r="C120" s="114" t="s">
        <v>323</v>
      </c>
      <c r="D120" s="115" t="s">
        <v>54</v>
      </c>
      <c r="E120" s="115" t="s">
        <v>326</v>
      </c>
      <c r="F120" s="116">
        <v>2011.0</v>
      </c>
      <c r="G120" s="116">
        <v>2015.0</v>
      </c>
      <c r="H120" s="116">
        <v>0.0</v>
      </c>
      <c r="I120" s="116">
        <v>21.926</v>
      </c>
      <c r="J120" s="117">
        <v>1.0</v>
      </c>
      <c r="K120" s="116">
        <v>21.926</v>
      </c>
      <c r="L120" s="114"/>
      <c r="M120" s="114"/>
      <c r="N120" s="116">
        <v>19.0</v>
      </c>
      <c r="O120" s="116">
        <v>117.0</v>
      </c>
      <c r="P120" s="114"/>
      <c r="Q120" s="140">
        <v>11900.0</v>
      </c>
      <c r="R120" s="114" t="s">
        <v>234</v>
      </c>
      <c r="S120" s="115">
        <v>2013.0</v>
      </c>
      <c r="T120" s="85">
        <v>0.273</v>
      </c>
      <c r="U120" s="118">
        <f t="shared" si="66"/>
        <v>3248.7</v>
      </c>
      <c r="V120" s="24">
        <f t="shared" si="59"/>
        <v>148.1665602</v>
      </c>
      <c r="W120" s="3">
        <f t="shared" si="31"/>
        <v>0</v>
      </c>
      <c r="X120" s="3">
        <f t="shared" si="32"/>
        <v>0</v>
      </c>
      <c r="Y120" s="3">
        <f t="shared" si="33"/>
        <v>0</v>
      </c>
      <c r="Z120" s="25">
        <f t="shared" si="34"/>
        <v>0</v>
      </c>
      <c r="AA120" s="26">
        <f>VLOOKUP(S120,CPI!$A$2:$F$71,6,0)</f>
        <v>1.382720845</v>
      </c>
      <c r="AB120" s="27">
        <f t="shared" si="60"/>
        <v>4492.045211</v>
      </c>
      <c r="AC120" s="27">
        <f t="shared" si="61"/>
        <v>204.8729915</v>
      </c>
      <c r="AD120" s="114"/>
      <c r="AE120" s="119" t="s">
        <v>327</v>
      </c>
      <c r="AF120" s="167" t="s">
        <v>328</v>
      </c>
      <c r="AG120" s="168"/>
      <c r="AH120" s="168"/>
      <c r="AI120" s="169"/>
      <c r="AJ120" s="166"/>
      <c r="AK120" s="166"/>
      <c r="AL120" s="166"/>
      <c r="AM120" s="32"/>
      <c r="AN120" s="32"/>
      <c r="AO120" s="32"/>
      <c r="AP120" s="32"/>
      <c r="AQ120" s="33"/>
    </row>
    <row r="121" ht="15.75" customHeight="1">
      <c r="A121" s="38">
        <v>8064.0</v>
      </c>
      <c r="B121" s="130" t="s">
        <v>230</v>
      </c>
      <c r="C121" s="130" t="s">
        <v>323</v>
      </c>
      <c r="D121" s="36" t="s">
        <v>54</v>
      </c>
      <c r="E121" s="130" t="s">
        <v>329</v>
      </c>
      <c r="F121" s="130">
        <v>2012.0</v>
      </c>
      <c r="G121" s="130">
        <v>2015.0</v>
      </c>
      <c r="H121" s="130">
        <v>0.0</v>
      </c>
      <c r="I121" s="130">
        <v>4.5</v>
      </c>
      <c r="J121" s="131"/>
      <c r="K121" s="130"/>
      <c r="L121" s="132" t="e">
        <v>#N/A</v>
      </c>
      <c r="M121" s="132" t="e">
        <v>#N/A</v>
      </c>
      <c r="N121" s="130">
        <v>4.0</v>
      </c>
      <c r="O121" s="138"/>
      <c r="P121" s="130" t="s">
        <v>60</v>
      </c>
      <c r="Q121" s="135">
        <v>2466.0</v>
      </c>
      <c r="R121" s="130" t="s">
        <v>234</v>
      </c>
      <c r="S121" s="130">
        <v>2012.0</v>
      </c>
      <c r="T121" s="136">
        <v>0.2808</v>
      </c>
      <c r="U121" s="128">
        <f t="shared" ref="U121:U123" si="67">T121*Q121</f>
        <v>692.4528</v>
      </c>
      <c r="V121" s="24">
        <f t="shared" si="59"/>
        <v>153.8784</v>
      </c>
      <c r="W121" s="3">
        <f t="shared" si="31"/>
        <v>0</v>
      </c>
      <c r="X121" s="3">
        <f t="shared" si="32"/>
        <v>0</v>
      </c>
      <c r="Y121" s="3">
        <f t="shared" si="33"/>
        <v>0</v>
      </c>
      <c r="Z121" s="25">
        <f t="shared" si="34"/>
        <v>0</v>
      </c>
      <c r="AA121" s="26">
        <f>VLOOKUP(S121,CPI!$A$2:$F$71,6,0)</f>
        <v>1.402974381</v>
      </c>
      <c r="AB121" s="27">
        <f t="shared" si="60"/>
        <v>971.4935384</v>
      </c>
      <c r="AC121" s="27">
        <f t="shared" si="61"/>
        <v>215.887453</v>
      </c>
      <c r="AD121" s="130" t="s">
        <v>60</v>
      </c>
      <c r="AE121" s="137" t="s">
        <v>330</v>
      </c>
      <c r="AF121" s="29"/>
      <c r="AG121" s="30"/>
      <c r="AH121" s="30"/>
      <c r="AI121" s="30"/>
      <c r="AJ121" s="31"/>
      <c r="AK121" s="31"/>
      <c r="AL121" s="31"/>
      <c r="AM121" s="32"/>
      <c r="AN121" s="32"/>
      <c r="AO121" s="32"/>
      <c r="AP121" s="32"/>
      <c r="AQ121" s="33"/>
    </row>
    <row r="122" ht="15.75" customHeight="1">
      <c r="A122" s="38">
        <v>7993.0</v>
      </c>
      <c r="B122" s="130" t="s">
        <v>230</v>
      </c>
      <c r="C122" s="130" t="s">
        <v>323</v>
      </c>
      <c r="D122" s="16" t="s">
        <v>87</v>
      </c>
      <c r="E122" s="130" t="s">
        <v>331</v>
      </c>
      <c r="F122" s="130">
        <v>2012.0</v>
      </c>
      <c r="G122" s="130">
        <v>2016.0</v>
      </c>
      <c r="H122" s="130">
        <v>0.0</v>
      </c>
      <c r="I122" s="130">
        <v>35.6</v>
      </c>
      <c r="J122" s="131"/>
      <c r="K122" s="130"/>
      <c r="L122" s="132" t="e">
        <v>#N/A</v>
      </c>
      <c r="M122" s="132" t="e">
        <v>#N/A</v>
      </c>
      <c r="N122" s="130">
        <v>25.0</v>
      </c>
      <c r="O122" s="138"/>
      <c r="P122" s="130" t="s">
        <v>60</v>
      </c>
      <c r="Q122" s="135">
        <v>23628.0</v>
      </c>
      <c r="R122" s="130" t="s">
        <v>234</v>
      </c>
      <c r="S122" s="75">
        <v>2017.0</v>
      </c>
      <c r="T122" s="136">
        <v>0.239</v>
      </c>
      <c r="U122" s="128">
        <f t="shared" si="67"/>
        <v>5647.092</v>
      </c>
      <c r="V122" s="24">
        <f t="shared" si="59"/>
        <v>158.6261798</v>
      </c>
      <c r="W122" s="3">
        <f t="shared" si="31"/>
        <v>0</v>
      </c>
      <c r="X122" s="3">
        <f t="shared" si="32"/>
        <v>0</v>
      </c>
      <c r="Y122" s="3">
        <f t="shared" si="33"/>
        <v>0</v>
      </c>
      <c r="Z122" s="25">
        <f t="shared" si="34"/>
        <v>0</v>
      </c>
      <c r="AA122" s="26">
        <f>VLOOKUP(S122,CPI!$A$2:$F$71,6,0)</f>
        <v>1.314109416</v>
      </c>
      <c r="AB122" s="27">
        <f t="shared" si="60"/>
        <v>7420.896769</v>
      </c>
      <c r="AC122" s="27">
        <f t="shared" si="61"/>
        <v>208.4521564</v>
      </c>
      <c r="AD122" s="130" t="s">
        <v>60</v>
      </c>
      <c r="AE122" s="137" t="s">
        <v>330</v>
      </c>
      <c r="AF122" s="29"/>
      <c r="AG122" s="30"/>
      <c r="AH122" s="30"/>
      <c r="AI122" s="30"/>
      <c r="AJ122" s="31"/>
      <c r="AK122" s="31"/>
      <c r="AL122" s="31"/>
      <c r="AM122" s="32"/>
      <c r="AN122" s="32"/>
      <c r="AO122" s="32"/>
      <c r="AP122" s="32"/>
      <c r="AQ122" s="33"/>
    </row>
    <row r="123" ht="15.75" customHeight="1">
      <c r="A123" s="38">
        <v>8003.0</v>
      </c>
      <c r="B123" s="130" t="s">
        <v>230</v>
      </c>
      <c r="C123" s="130" t="s">
        <v>323</v>
      </c>
      <c r="D123" s="36" t="s">
        <v>110</v>
      </c>
      <c r="E123" s="130" t="s">
        <v>332</v>
      </c>
      <c r="F123" s="130">
        <v>2013.0</v>
      </c>
      <c r="G123" s="130">
        <v>2017.0</v>
      </c>
      <c r="H123" s="130">
        <v>0.0</v>
      </c>
      <c r="I123" s="130">
        <v>33.5</v>
      </c>
      <c r="J123" s="131"/>
      <c r="K123" s="130"/>
      <c r="L123" s="132" t="e">
        <v>#N/A</v>
      </c>
      <c r="M123" s="132" t="e">
        <v>#N/A</v>
      </c>
      <c r="N123" s="130">
        <v>24.0</v>
      </c>
      <c r="O123" s="138"/>
      <c r="P123" s="130" t="s">
        <v>60</v>
      </c>
      <c r="Q123" s="135">
        <v>21938.0</v>
      </c>
      <c r="R123" s="130" t="s">
        <v>234</v>
      </c>
      <c r="S123" s="130">
        <v>2012.0</v>
      </c>
      <c r="T123" s="136">
        <v>0.2808</v>
      </c>
      <c r="U123" s="128">
        <f t="shared" si="67"/>
        <v>6160.1904</v>
      </c>
      <c r="V123" s="24">
        <f t="shared" si="59"/>
        <v>183.8862806</v>
      </c>
      <c r="W123" s="3">
        <f t="shared" si="31"/>
        <v>0</v>
      </c>
      <c r="X123" s="3">
        <f t="shared" si="32"/>
        <v>0</v>
      </c>
      <c r="Y123" s="3">
        <f t="shared" si="33"/>
        <v>0</v>
      </c>
      <c r="Z123" s="25">
        <f t="shared" si="34"/>
        <v>0</v>
      </c>
      <c r="AA123" s="26">
        <f>VLOOKUP(S123,CPI!$A$2:$F$71,6,0)</f>
        <v>1.402974381</v>
      </c>
      <c r="AB123" s="27">
        <f t="shared" si="60"/>
        <v>8642.589312</v>
      </c>
      <c r="AC123" s="27">
        <f t="shared" si="61"/>
        <v>257.9877407</v>
      </c>
      <c r="AD123" s="130" t="s">
        <v>60</v>
      </c>
      <c r="AE123" s="137" t="s">
        <v>330</v>
      </c>
      <c r="AF123" s="29"/>
      <c r="AG123" s="30"/>
      <c r="AH123" s="30"/>
      <c r="AI123" s="30"/>
      <c r="AJ123" s="31"/>
      <c r="AK123" s="31"/>
      <c r="AL123" s="31"/>
      <c r="AM123" s="32"/>
      <c r="AN123" s="32"/>
      <c r="AO123" s="32"/>
      <c r="AP123" s="32"/>
      <c r="AQ123" s="33"/>
    </row>
    <row r="124" ht="15.75" customHeight="1">
      <c r="A124" s="170">
        <v>7961.0</v>
      </c>
      <c r="B124" s="123" t="s">
        <v>230</v>
      </c>
      <c r="C124" s="123" t="s">
        <v>323</v>
      </c>
      <c r="D124" s="36" t="s">
        <v>84</v>
      </c>
      <c r="E124" s="123" t="s">
        <v>319</v>
      </c>
      <c r="F124" s="75">
        <v>2014.0</v>
      </c>
      <c r="G124" s="152">
        <v>2021.0</v>
      </c>
      <c r="H124" s="75">
        <v>0.0</v>
      </c>
      <c r="I124" s="75">
        <v>22.7</v>
      </c>
      <c r="J124" s="124">
        <f>K124/I124</f>
        <v>1</v>
      </c>
      <c r="K124" s="75">
        <f>I124</f>
        <v>22.7</v>
      </c>
      <c r="L124" s="125">
        <v>0.0</v>
      </c>
      <c r="M124" s="125">
        <v>0.0</v>
      </c>
      <c r="N124" s="75">
        <v>18.0</v>
      </c>
      <c r="O124" s="152">
        <v>117.0</v>
      </c>
      <c r="P124" s="123" t="s">
        <v>60</v>
      </c>
      <c r="Q124" s="126">
        <v>16393.0</v>
      </c>
      <c r="R124" s="123" t="s">
        <v>234</v>
      </c>
      <c r="S124" s="75">
        <v>2012.0</v>
      </c>
      <c r="T124" s="136">
        <v>0.2808</v>
      </c>
      <c r="U124" s="128">
        <f>Q124*T124</f>
        <v>4603.1544</v>
      </c>
      <c r="V124" s="24">
        <f t="shared" si="59"/>
        <v>202.7821322</v>
      </c>
      <c r="W124" s="3">
        <f t="shared" si="31"/>
        <v>0</v>
      </c>
      <c r="X124" s="3">
        <f t="shared" si="32"/>
        <v>0</v>
      </c>
      <c r="Y124" s="3">
        <f t="shared" si="33"/>
        <v>0</v>
      </c>
      <c r="Z124" s="25">
        <f t="shared" si="34"/>
        <v>0</v>
      </c>
      <c r="AA124" s="26">
        <f>VLOOKUP(S124,CPI!$A$2:$F$71,6,0)</f>
        <v>1.402974381</v>
      </c>
      <c r="AB124" s="27">
        <f t="shared" si="60"/>
        <v>6458.107694</v>
      </c>
      <c r="AC124" s="27">
        <f t="shared" si="61"/>
        <v>284.4981363</v>
      </c>
      <c r="AD124" s="123" t="s">
        <v>60</v>
      </c>
      <c r="AE124" s="129" t="s">
        <v>330</v>
      </c>
      <c r="AF124" s="29"/>
      <c r="AG124" s="30"/>
      <c r="AH124" s="30"/>
      <c r="AI124" s="30"/>
      <c r="AJ124" s="31"/>
      <c r="AK124" s="31"/>
      <c r="AL124" s="31"/>
      <c r="AM124" s="32"/>
      <c r="AN124" s="32"/>
      <c r="AO124" s="32"/>
      <c r="AP124" s="32"/>
      <c r="AQ124" s="33"/>
    </row>
    <row r="125" ht="15.75" customHeight="1">
      <c r="A125" s="38">
        <v>8067.0</v>
      </c>
      <c r="B125" s="130" t="s">
        <v>230</v>
      </c>
      <c r="C125" s="130" t="s">
        <v>323</v>
      </c>
      <c r="D125" s="171" t="s">
        <v>333</v>
      </c>
      <c r="E125" s="130" t="s">
        <v>334</v>
      </c>
      <c r="F125" s="130">
        <v>2017.0</v>
      </c>
      <c r="G125" s="130">
        <v>2021.0</v>
      </c>
      <c r="H125" s="130">
        <v>0.0</v>
      </c>
      <c r="I125" s="130">
        <v>9.93</v>
      </c>
      <c r="J125" s="131">
        <v>0.5438066465</v>
      </c>
      <c r="K125" s="130">
        <v>5.4</v>
      </c>
      <c r="L125" s="132">
        <v>0.0</v>
      </c>
      <c r="M125" s="132">
        <v>0.0</v>
      </c>
      <c r="N125" s="130">
        <v>5.0</v>
      </c>
      <c r="O125" s="133">
        <v>117.0</v>
      </c>
      <c r="P125" s="130" t="s">
        <v>60</v>
      </c>
      <c r="Q125" s="140">
        <v>6111.0</v>
      </c>
      <c r="R125" s="130" t="s">
        <v>234</v>
      </c>
      <c r="S125" s="130">
        <v>2017.0</v>
      </c>
      <c r="T125" s="136">
        <v>0.239</v>
      </c>
      <c r="U125" s="128">
        <f t="shared" ref="U125:U126" si="68">T125*Q125</f>
        <v>1460.529</v>
      </c>
      <c r="V125" s="24">
        <f t="shared" si="59"/>
        <v>147.0824773</v>
      </c>
      <c r="W125" s="3">
        <f t="shared" si="31"/>
        <v>0</v>
      </c>
      <c r="X125" s="3">
        <f t="shared" si="32"/>
        <v>0</v>
      </c>
      <c r="Y125" s="3">
        <f t="shared" si="33"/>
        <v>0</v>
      </c>
      <c r="Z125" s="25">
        <f t="shared" si="34"/>
        <v>0</v>
      </c>
      <c r="AA125" s="26">
        <f>VLOOKUP(S125,CPI!$A$2:$F$71,6,0)</f>
        <v>1.314109416</v>
      </c>
      <c r="AB125" s="27">
        <f t="shared" si="60"/>
        <v>1919.294911</v>
      </c>
      <c r="AC125" s="27">
        <f t="shared" si="61"/>
        <v>193.2824684</v>
      </c>
      <c r="AD125" s="130" t="s">
        <v>60</v>
      </c>
      <c r="AE125" s="137" t="s">
        <v>335</v>
      </c>
      <c r="AF125" s="29"/>
      <c r="AG125" s="30"/>
      <c r="AH125" s="30"/>
      <c r="AI125" s="30"/>
      <c r="AJ125" s="31"/>
      <c r="AK125" s="31"/>
      <c r="AL125" s="31"/>
      <c r="AM125" s="32"/>
      <c r="AN125" s="32"/>
      <c r="AO125" s="32"/>
      <c r="AP125" s="32"/>
      <c r="AQ125" s="33"/>
    </row>
    <row r="126" ht="15.75" customHeight="1">
      <c r="A126" s="38">
        <v>8018.0</v>
      </c>
      <c r="B126" s="130" t="s">
        <v>230</v>
      </c>
      <c r="C126" s="130" t="s">
        <v>323</v>
      </c>
      <c r="D126" s="36" t="s">
        <v>54</v>
      </c>
      <c r="E126" s="130" t="s">
        <v>336</v>
      </c>
      <c r="F126" s="130">
        <v>2017.0</v>
      </c>
      <c r="G126" s="130">
        <v>2021.0</v>
      </c>
      <c r="H126" s="130">
        <v>0.0</v>
      </c>
      <c r="I126" s="130">
        <v>14.72</v>
      </c>
      <c r="J126" s="131">
        <v>0.7826086957</v>
      </c>
      <c r="K126" s="130">
        <v>11.52</v>
      </c>
      <c r="L126" s="132">
        <v>0.0</v>
      </c>
      <c r="M126" s="132">
        <v>0.0</v>
      </c>
      <c r="N126" s="130">
        <v>11.0</v>
      </c>
      <c r="O126" s="138"/>
      <c r="P126" s="130" t="s">
        <v>60</v>
      </c>
      <c r="Q126" s="135">
        <v>9513.0</v>
      </c>
      <c r="R126" s="130" t="s">
        <v>234</v>
      </c>
      <c r="S126" s="130">
        <v>2017.0</v>
      </c>
      <c r="T126" s="136">
        <v>0.239</v>
      </c>
      <c r="U126" s="128">
        <f t="shared" si="68"/>
        <v>2273.607</v>
      </c>
      <c r="V126" s="24">
        <f t="shared" si="59"/>
        <v>154.4569973</v>
      </c>
      <c r="W126" s="3">
        <f t="shared" si="31"/>
        <v>0</v>
      </c>
      <c r="X126" s="3">
        <f t="shared" si="32"/>
        <v>0</v>
      </c>
      <c r="Y126" s="3">
        <f t="shared" si="33"/>
        <v>0</v>
      </c>
      <c r="Z126" s="25">
        <f t="shared" si="34"/>
        <v>0</v>
      </c>
      <c r="AA126" s="26">
        <f>VLOOKUP(S126,CPI!$A$2:$F$71,6,0)</f>
        <v>1.314109416</v>
      </c>
      <c r="AB126" s="27">
        <f t="shared" si="60"/>
        <v>2987.768367</v>
      </c>
      <c r="AC126" s="27">
        <f t="shared" si="61"/>
        <v>202.9733945</v>
      </c>
      <c r="AD126" s="130" t="s">
        <v>60</v>
      </c>
      <c r="AE126" s="137" t="s">
        <v>337</v>
      </c>
      <c r="AF126" s="29"/>
      <c r="AG126" s="30"/>
      <c r="AH126" s="30"/>
      <c r="AI126" s="30"/>
      <c r="AJ126" s="31"/>
      <c r="AK126" s="31"/>
      <c r="AL126" s="31"/>
      <c r="AM126" s="32"/>
      <c r="AN126" s="32"/>
      <c r="AO126" s="32"/>
      <c r="AP126" s="32"/>
      <c r="AQ126" s="33"/>
    </row>
    <row r="127" ht="15.75" customHeight="1">
      <c r="A127" s="170">
        <v>7833.0</v>
      </c>
      <c r="B127" s="123" t="s">
        <v>230</v>
      </c>
      <c r="C127" s="123" t="s">
        <v>323</v>
      </c>
      <c r="D127" s="36" t="s">
        <v>80</v>
      </c>
      <c r="E127" s="123" t="s">
        <v>338</v>
      </c>
      <c r="F127" s="75">
        <v>2017.0</v>
      </c>
      <c r="G127" s="75">
        <v>2021.0</v>
      </c>
      <c r="H127" s="75">
        <v>0.0</v>
      </c>
      <c r="I127" s="75">
        <v>26.5</v>
      </c>
      <c r="J127" s="124">
        <v>1.0</v>
      </c>
      <c r="K127" s="75">
        <v>26.5</v>
      </c>
      <c r="L127" s="125">
        <v>0.0</v>
      </c>
      <c r="M127" s="125">
        <v>0.0</v>
      </c>
      <c r="N127" s="75">
        <v>20.0</v>
      </c>
      <c r="O127" s="75"/>
      <c r="P127" s="123" t="s">
        <v>60</v>
      </c>
      <c r="Q127" s="126">
        <v>22360.0</v>
      </c>
      <c r="R127" s="123" t="s">
        <v>234</v>
      </c>
      <c r="S127" s="75">
        <v>2017.0</v>
      </c>
      <c r="T127" s="136">
        <v>0.239</v>
      </c>
      <c r="U127" s="128">
        <f t="shared" ref="U127:U128" si="69">Q127*T127</f>
        <v>5344.04</v>
      </c>
      <c r="V127" s="24">
        <f t="shared" si="59"/>
        <v>201.6618868</v>
      </c>
      <c r="W127" s="3">
        <f t="shared" si="31"/>
        <v>0</v>
      </c>
      <c r="X127" s="3">
        <f t="shared" si="32"/>
        <v>0</v>
      </c>
      <c r="Y127" s="3">
        <f t="shared" si="33"/>
        <v>0</v>
      </c>
      <c r="Z127" s="25">
        <f t="shared" si="34"/>
        <v>0</v>
      </c>
      <c r="AA127" s="26">
        <f>VLOOKUP(S127,CPI!$A$2:$F$71,6,0)</f>
        <v>1.314109416</v>
      </c>
      <c r="AB127" s="27">
        <f t="shared" si="60"/>
        <v>7022.653282</v>
      </c>
      <c r="AC127" s="27">
        <f t="shared" si="61"/>
        <v>265.0057842</v>
      </c>
      <c r="AD127" s="123" t="s">
        <v>60</v>
      </c>
      <c r="AE127" s="129" t="s">
        <v>337</v>
      </c>
      <c r="AF127" s="29"/>
      <c r="AG127" s="30"/>
      <c r="AH127" s="30"/>
      <c r="AI127" s="30"/>
      <c r="AJ127" s="31"/>
      <c r="AK127" s="31"/>
      <c r="AL127" s="31"/>
      <c r="AM127" s="32"/>
      <c r="AN127" s="32"/>
      <c r="AO127" s="32"/>
      <c r="AP127" s="32"/>
      <c r="AQ127" s="33"/>
    </row>
    <row r="128" ht="15.75" customHeight="1">
      <c r="A128" s="170">
        <v>7841.0</v>
      </c>
      <c r="B128" s="123" t="s">
        <v>230</v>
      </c>
      <c r="C128" s="123" t="s">
        <v>323</v>
      </c>
      <c r="D128" s="36" t="s">
        <v>228</v>
      </c>
      <c r="E128" s="123" t="s">
        <v>263</v>
      </c>
      <c r="F128" s="75">
        <v>2017.0</v>
      </c>
      <c r="G128" s="75">
        <v>2021.0</v>
      </c>
      <c r="H128" s="75">
        <v>0.0</v>
      </c>
      <c r="I128" s="75">
        <v>21.6</v>
      </c>
      <c r="J128" s="124">
        <v>1.0</v>
      </c>
      <c r="K128" s="75">
        <v>21.6</v>
      </c>
      <c r="L128" s="125">
        <v>0.0</v>
      </c>
      <c r="M128" s="125">
        <v>0.0</v>
      </c>
      <c r="N128" s="75">
        <v>16.0</v>
      </c>
      <c r="O128" s="75"/>
      <c r="P128" s="123" t="s">
        <v>60</v>
      </c>
      <c r="Q128" s="126">
        <v>18132.0</v>
      </c>
      <c r="R128" s="123" t="s">
        <v>234</v>
      </c>
      <c r="S128" s="75">
        <v>2017.0</v>
      </c>
      <c r="T128" s="136">
        <v>0.239</v>
      </c>
      <c r="U128" s="128">
        <f t="shared" si="69"/>
        <v>4333.548</v>
      </c>
      <c r="V128" s="24">
        <f t="shared" si="59"/>
        <v>200.6272222</v>
      </c>
      <c r="W128" s="3">
        <f t="shared" si="31"/>
        <v>0</v>
      </c>
      <c r="X128" s="3">
        <f t="shared" si="32"/>
        <v>0</v>
      </c>
      <c r="Y128" s="3">
        <f t="shared" si="33"/>
        <v>0</v>
      </c>
      <c r="Z128" s="25">
        <f t="shared" si="34"/>
        <v>0</v>
      </c>
      <c r="AA128" s="26">
        <f>VLOOKUP(S128,CPI!$A$2:$F$71,6,0)</f>
        <v>1.314109416</v>
      </c>
      <c r="AB128" s="27">
        <f t="shared" si="60"/>
        <v>5694.756231</v>
      </c>
      <c r="AC128" s="27">
        <f t="shared" si="61"/>
        <v>263.6461218</v>
      </c>
      <c r="AD128" s="123" t="s">
        <v>60</v>
      </c>
      <c r="AE128" s="129" t="s">
        <v>337</v>
      </c>
      <c r="AF128" s="29"/>
      <c r="AG128" s="30"/>
      <c r="AH128" s="30"/>
      <c r="AI128" s="30"/>
      <c r="AJ128" s="31"/>
      <c r="AK128" s="31"/>
      <c r="AL128" s="31"/>
      <c r="AM128" s="32"/>
      <c r="AN128" s="32"/>
      <c r="AO128" s="32"/>
      <c r="AP128" s="32"/>
      <c r="AQ128" s="33"/>
    </row>
    <row r="129" ht="15.75" customHeight="1">
      <c r="A129" s="38">
        <v>8104.0</v>
      </c>
      <c r="B129" s="130" t="s">
        <v>230</v>
      </c>
      <c r="C129" s="130" t="s">
        <v>323</v>
      </c>
      <c r="D129" s="36" t="s">
        <v>110</v>
      </c>
      <c r="E129" s="130" t="s">
        <v>339</v>
      </c>
      <c r="F129" s="130">
        <v>2018.0</v>
      </c>
      <c r="G129" s="130">
        <v>2022.0</v>
      </c>
      <c r="H129" s="130">
        <v>0.0</v>
      </c>
      <c r="I129" s="130">
        <v>14.26</v>
      </c>
      <c r="J129" s="131">
        <v>0.1444600281</v>
      </c>
      <c r="K129" s="130">
        <v>2.06</v>
      </c>
      <c r="L129" s="132">
        <v>0.0</v>
      </c>
      <c r="M129" s="132">
        <v>0.0</v>
      </c>
      <c r="N129" s="130">
        <v>8.0</v>
      </c>
      <c r="O129" s="138"/>
      <c r="P129" s="130" t="s">
        <v>60</v>
      </c>
      <c r="Q129" s="135">
        <v>6831.0</v>
      </c>
      <c r="R129" s="130" t="s">
        <v>234</v>
      </c>
      <c r="S129" s="130">
        <v>2017.0</v>
      </c>
      <c r="T129" s="136">
        <v>0.239</v>
      </c>
      <c r="U129" s="128">
        <f>T129*Q129</f>
        <v>1632.609</v>
      </c>
      <c r="V129" s="24">
        <f t="shared" si="59"/>
        <v>114.4887097</v>
      </c>
      <c r="W129" s="3">
        <f t="shared" si="31"/>
        <v>0</v>
      </c>
      <c r="X129" s="3">
        <f t="shared" si="32"/>
        <v>0</v>
      </c>
      <c r="Y129" s="3">
        <f t="shared" si="33"/>
        <v>0</v>
      </c>
      <c r="Z129" s="25">
        <f t="shared" si="34"/>
        <v>0</v>
      </c>
      <c r="AA129" s="26">
        <f>VLOOKUP(S129,CPI!$A$2:$F$71,6,0)</f>
        <v>1.314109416</v>
      </c>
      <c r="AB129" s="27">
        <f t="shared" si="60"/>
        <v>2145.426859</v>
      </c>
      <c r="AC129" s="27">
        <f t="shared" si="61"/>
        <v>150.4506914</v>
      </c>
      <c r="AD129" s="130" t="s">
        <v>60</v>
      </c>
      <c r="AE129" s="137" t="s">
        <v>337</v>
      </c>
      <c r="AF129" s="29"/>
      <c r="AG129" s="30"/>
      <c r="AH129" s="30"/>
      <c r="AI129" s="30"/>
      <c r="AJ129" s="31"/>
      <c r="AK129" s="31"/>
      <c r="AL129" s="31"/>
      <c r="AM129" s="60"/>
      <c r="AN129" s="60"/>
      <c r="AO129" s="60"/>
      <c r="AP129" s="60"/>
      <c r="AQ129" s="6"/>
    </row>
    <row r="130" ht="15.75" customHeight="1">
      <c r="A130" s="170">
        <v>7880.0</v>
      </c>
      <c r="B130" s="123" t="s">
        <v>230</v>
      </c>
      <c r="C130" s="123" t="s">
        <v>323</v>
      </c>
      <c r="D130" s="36" t="s">
        <v>84</v>
      </c>
      <c r="E130" s="123" t="s">
        <v>340</v>
      </c>
      <c r="F130" s="75">
        <v>2018.0</v>
      </c>
      <c r="G130" s="75">
        <v>2022.0</v>
      </c>
      <c r="H130" s="75">
        <v>0.0</v>
      </c>
      <c r="I130" s="75">
        <v>8.43</v>
      </c>
      <c r="J130" s="124">
        <v>1.0</v>
      </c>
      <c r="K130" s="75">
        <v>8.43</v>
      </c>
      <c r="L130" s="125">
        <v>0.0</v>
      </c>
      <c r="M130" s="125">
        <v>0.0</v>
      </c>
      <c r="N130" s="75">
        <v>7.0</v>
      </c>
      <c r="O130" s="75"/>
      <c r="P130" s="123" t="s">
        <v>60</v>
      </c>
      <c r="Q130" s="126">
        <v>6727.0</v>
      </c>
      <c r="R130" s="123" t="s">
        <v>234</v>
      </c>
      <c r="S130" s="75">
        <v>2017.0</v>
      </c>
      <c r="T130" s="136">
        <v>0.239</v>
      </c>
      <c r="U130" s="128">
        <f t="shared" ref="U130:U131" si="70">Q130*T130</f>
        <v>1607.753</v>
      </c>
      <c r="V130" s="24">
        <f t="shared" si="59"/>
        <v>190.7180308</v>
      </c>
      <c r="W130" s="3">
        <f t="shared" si="31"/>
        <v>0</v>
      </c>
      <c r="X130" s="3">
        <f t="shared" si="32"/>
        <v>0</v>
      </c>
      <c r="Y130" s="3">
        <f t="shared" si="33"/>
        <v>0</v>
      </c>
      <c r="Z130" s="25">
        <f t="shared" si="34"/>
        <v>0</v>
      </c>
      <c r="AA130" s="26">
        <f>VLOOKUP(S130,CPI!$A$2:$F$71,6,0)</f>
        <v>1.314109416</v>
      </c>
      <c r="AB130" s="27">
        <f t="shared" si="60"/>
        <v>2112.763356</v>
      </c>
      <c r="AC130" s="27">
        <f t="shared" si="61"/>
        <v>250.6243601</v>
      </c>
      <c r="AD130" s="123" t="s">
        <v>60</v>
      </c>
      <c r="AE130" s="129" t="s">
        <v>337</v>
      </c>
      <c r="AF130" s="29"/>
      <c r="AG130" s="30"/>
      <c r="AH130" s="30"/>
      <c r="AI130" s="30"/>
      <c r="AJ130" s="31"/>
      <c r="AK130" s="31"/>
      <c r="AL130" s="31"/>
      <c r="AM130" s="32"/>
      <c r="AN130" s="32"/>
      <c r="AO130" s="32"/>
      <c r="AP130" s="32"/>
      <c r="AQ130" s="33"/>
    </row>
    <row r="131" ht="15.75" customHeight="1">
      <c r="A131" s="170">
        <v>7913.0</v>
      </c>
      <c r="B131" s="123" t="s">
        <v>230</v>
      </c>
      <c r="C131" s="123" t="s">
        <v>323</v>
      </c>
      <c r="D131" s="36" t="s">
        <v>80</v>
      </c>
      <c r="E131" s="123" t="s">
        <v>341</v>
      </c>
      <c r="F131" s="75">
        <v>2018.0</v>
      </c>
      <c r="G131" s="75">
        <v>2022.0</v>
      </c>
      <c r="H131" s="75">
        <v>0.0</v>
      </c>
      <c r="I131" s="75">
        <v>10.05</v>
      </c>
      <c r="J131" s="124">
        <v>1.0</v>
      </c>
      <c r="K131" s="75">
        <v>10.05</v>
      </c>
      <c r="L131" s="125">
        <v>0.0</v>
      </c>
      <c r="M131" s="125">
        <v>0.0</v>
      </c>
      <c r="N131" s="75">
        <v>7.0</v>
      </c>
      <c r="O131" s="75"/>
      <c r="P131" s="123" t="s">
        <v>60</v>
      </c>
      <c r="Q131" s="126">
        <v>7565.0</v>
      </c>
      <c r="R131" s="123" t="s">
        <v>234</v>
      </c>
      <c r="S131" s="75">
        <v>2017.0</v>
      </c>
      <c r="T131" s="136">
        <v>0.239</v>
      </c>
      <c r="U131" s="128">
        <f t="shared" si="70"/>
        <v>1808.035</v>
      </c>
      <c r="V131" s="24">
        <f t="shared" si="59"/>
        <v>179.9039801</v>
      </c>
      <c r="W131" s="3">
        <f t="shared" si="31"/>
        <v>0</v>
      </c>
      <c r="X131" s="3">
        <f t="shared" si="32"/>
        <v>0</v>
      </c>
      <c r="Y131" s="3">
        <f t="shared" si="33"/>
        <v>0</v>
      </c>
      <c r="Z131" s="25">
        <f t="shared" si="34"/>
        <v>0</v>
      </c>
      <c r="AA131" s="26">
        <f>VLOOKUP(S131,CPI!$A$2:$F$71,6,0)</f>
        <v>1.314109416</v>
      </c>
      <c r="AB131" s="27">
        <f t="shared" si="60"/>
        <v>2375.955818</v>
      </c>
      <c r="AC131" s="27">
        <f t="shared" si="61"/>
        <v>236.4135142</v>
      </c>
      <c r="AD131" s="123" t="s">
        <v>60</v>
      </c>
      <c r="AE131" s="129" t="s">
        <v>337</v>
      </c>
      <c r="AF131" s="29"/>
      <c r="AG131" s="30"/>
      <c r="AH131" s="30"/>
      <c r="AI131" s="30"/>
      <c r="AJ131" s="31"/>
      <c r="AK131" s="31"/>
      <c r="AL131" s="31"/>
      <c r="AM131" s="172"/>
      <c r="AN131" s="172"/>
      <c r="AO131" s="172"/>
      <c r="AP131" s="172"/>
      <c r="AQ131" s="130"/>
    </row>
    <row r="132" ht="15.75" customHeight="1">
      <c r="A132" s="38">
        <v>8096.0</v>
      </c>
      <c r="B132" s="130" t="s">
        <v>230</v>
      </c>
      <c r="C132" s="130" t="s">
        <v>323</v>
      </c>
      <c r="D132" s="36" t="s">
        <v>80</v>
      </c>
      <c r="E132" s="130" t="s">
        <v>342</v>
      </c>
      <c r="F132" s="130">
        <v>2018.0</v>
      </c>
      <c r="G132" s="130">
        <v>2022.0</v>
      </c>
      <c r="H132" s="130">
        <v>0.0</v>
      </c>
      <c r="I132" s="130">
        <v>12.15</v>
      </c>
      <c r="J132" s="131">
        <v>1.0</v>
      </c>
      <c r="K132" s="130">
        <v>12.15</v>
      </c>
      <c r="L132" s="132">
        <v>0.0</v>
      </c>
      <c r="M132" s="132">
        <v>0.0</v>
      </c>
      <c r="N132" s="130">
        <v>5.0</v>
      </c>
      <c r="O132" s="138"/>
      <c r="P132" s="130" t="s">
        <v>60</v>
      </c>
      <c r="Q132" s="135">
        <v>6140.0</v>
      </c>
      <c r="R132" s="130" t="s">
        <v>234</v>
      </c>
      <c r="S132" s="130">
        <v>2017.0</v>
      </c>
      <c r="T132" s="136">
        <v>0.239</v>
      </c>
      <c r="U132" s="128">
        <f t="shared" ref="U132:U133" si="71">T132*Q132</f>
        <v>1467.46</v>
      </c>
      <c r="V132" s="24">
        <f t="shared" si="59"/>
        <v>120.7786008</v>
      </c>
      <c r="W132" s="3">
        <f t="shared" si="31"/>
        <v>0</v>
      </c>
      <c r="X132" s="3">
        <f t="shared" si="32"/>
        <v>0</v>
      </c>
      <c r="Y132" s="3">
        <f t="shared" si="33"/>
        <v>0</v>
      </c>
      <c r="Z132" s="25">
        <f t="shared" si="34"/>
        <v>0</v>
      </c>
      <c r="AA132" s="26">
        <f>VLOOKUP(S132,CPI!$A$2:$F$71,6,0)</f>
        <v>1.314109416</v>
      </c>
      <c r="AB132" s="27">
        <f t="shared" si="60"/>
        <v>1928.403003</v>
      </c>
      <c r="AC132" s="27">
        <f t="shared" si="61"/>
        <v>158.7162966</v>
      </c>
      <c r="AD132" s="130" t="s">
        <v>60</v>
      </c>
      <c r="AE132" s="137" t="s">
        <v>337</v>
      </c>
      <c r="AF132" s="29"/>
      <c r="AG132" s="30"/>
      <c r="AH132" s="30"/>
      <c r="AI132" s="30"/>
      <c r="AJ132" s="31"/>
      <c r="AK132" s="31"/>
      <c r="AL132" s="31"/>
      <c r="AM132" s="32"/>
      <c r="AN132" s="32"/>
      <c r="AO132" s="32"/>
      <c r="AP132" s="32"/>
      <c r="AQ132" s="33"/>
    </row>
    <row r="133" ht="15.75" customHeight="1">
      <c r="A133" s="38">
        <v>8130.0</v>
      </c>
      <c r="B133" s="130" t="s">
        <v>230</v>
      </c>
      <c r="C133" s="130" t="s">
        <v>323</v>
      </c>
      <c r="D133" s="36" t="s">
        <v>84</v>
      </c>
      <c r="E133" s="130" t="s">
        <v>343</v>
      </c>
      <c r="F133" s="130">
        <v>2019.0</v>
      </c>
      <c r="G133" s="130">
        <v>2022.0</v>
      </c>
      <c r="H133" s="130">
        <v>0.0</v>
      </c>
      <c r="I133" s="130">
        <v>3.65</v>
      </c>
      <c r="J133" s="131">
        <v>0.4849315068</v>
      </c>
      <c r="K133" s="130">
        <v>1.77</v>
      </c>
      <c r="L133" s="132">
        <v>0.0</v>
      </c>
      <c r="M133" s="132">
        <v>0.0</v>
      </c>
      <c r="N133" s="130">
        <v>2.0</v>
      </c>
      <c r="O133" s="138"/>
      <c r="P133" s="130" t="s">
        <v>60</v>
      </c>
      <c r="Q133" s="135">
        <v>1409.0</v>
      </c>
      <c r="R133" s="130" t="s">
        <v>234</v>
      </c>
      <c r="S133" s="130">
        <v>2017.0</v>
      </c>
      <c r="T133" s="136">
        <v>0.239</v>
      </c>
      <c r="U133" s="128">
        <f t="shared" si="71"/>
        <v>336.751</v>
      </c>
      <c r="V133" s="24">
        <f t="shared" si="59"/>
        <v>92.26054795</v>
      </c>
      <c r="W133" s="3">
        <f t="shared" si="31"/>
        <v>0</v>
      </c>
      <c r="X133" s="3">
        <f t="shared" si="32"/>
        <v>0</v>
      </c>
      <c r="Y133" s="3">
        <f t="shared" si="33"/>
        <v>0</v>
      </c>
      <c r="Z133" s="25">
        <f t="shared" si="34"/>
        <v>0</v>
      </c>
      <c r="AA133" s="26">
        <f>VLOOKUP(S133,CPI!$A$2:$F$71,6,0)</f>
        <v>1.314109416</v>
      </c>
      <c r="AB133" s="27">
        <f t="shared" si="60"/>
        <v>442.5276599</v>
      </c>
      <c r="AC133" s="27">
        <f t="shared" si="61"/>
        <v>121.2404548</v>
      </c>
      <c r="AD133" s="130" t="s">
        <v>60</v>
      </c>
      <c r="AE133" s="137" t="s">
        <v>337</v>
      </c>
      <c r="AF133" s="29"/>
      <c r="AG133" s="30"/>
      <c r="AH133" s="30"/>
      <c r="AI133" s="30"/>
      <c r="AJ133" s="31"/>
      <c r="AK133" s="31"/>
      <c r="AL133" s="31"/>
      <c r="AM133" s="32"/>
      <c r="AN133" s="32"/>
      <c r="AO133" s="32"/>
      <c r="AP133" s="32"/>
      <c r="AQ133" s="33"/>
    </row>
    <row r="134" ht="15.75" customHeight="1">
      <c r="A134" s="163"/>
      <c r="B134" s="114" t="s">
        <v>230</v>
      </c>
      <c r="C134" s="114" t="s">
        <v>323</v>
      </c>
      <c r="D134" s="171" t="s">
        <v>336</v>
      </c>
      <c r="E134" s="115" t="s">
        <v>344</v>
      </c>
      <c r="F134" s="116">
        <v>2021.0</v>
      </c>
      <c r="G134" s="116">
        <v>2025.0</v>
      </c>
      <c r="H134" s="116">
        <v>0.0</v>
      </c>
      <c r="I134" s="116">
        <v>13.99</v>
      </c>
      <c r="J134" s="117">
        <v>0.98</v>
      </c>
      <c r="K134" s="116">
        <v>13.78</v>
      </c>
      <c r="L134" s="114"/>
      <c r="M134" s="114"/>
      <c r="N134" s="116">
        <v>11.0</v>
      </c>
      <c r="O134" s="116">
        <v>117.0</v>
      </c>
      <c r="P134" s="114"/>
      <c r="Q134" s="140">
        <v>12342.0</v>
      </c>
      <c r="R134" s="114" t="s">
        <v>234</v>
      </c>
      <c r="S134" s="115">
        <v>2021.0</v>
      </c>
      <c r="T134" s="136">
        <v>0.239000000000001</v>
      </c>
      <c r="U134" s="118">
        <f t="shared" ref="U134:U148" si="72">Q134*T134</f>
        <v>2949.738</v>
      </c>
      <c r="V134" s="24">
        <f t="shared" si="59"/>
        <v>210.8461758</v>
      </c>
      <c r="W134" s="3">
        <f t="shared" si="31"/>
        <v>0</v>
      </c>
      <c r="X134" s="3">
        <f t="shared" si="32"/>
        <v>0</v>
      </c>
      <c r="Y134" s="3">
        <f t="shared" si="33"/>
        <v>0</v>
      </c>
      <c r="Z134" s="25">
        <f t="shared" si="34"/>
        <v>0</v>
      </c>
      <c r="AA134" s="26">
        <f>VLOOKUP(S134,CPI!$A$2:$F$71,6,0)</f>
        <v>1.188745987</v>
      </c>
      <c r="AB134" s="27">
        <f t="shared" si="60"/>
        <v>3506.489209</v>
      </c>
      <c r="AC134" s="27">
        <f t="shared" si="61"/>
        <v>250.6425453</v>
      </c>
      <c r="AD134" s="114"/>
      <c r="AE134" s="119" t="s">
        <v>345</v>
      </c>
      <c r="AF134" s="164"/>
      <c r="AG134" s="165"/>
      <c r="AH134" s="165"/>
      <c r="AI134" s="165"/>
      <c r="AJ134" s="166"/>
      <c r="AK134" s="166"/>
      <c r="AL134" s="166"/>
      <c r="AM134" s="32"/>
      <c r="AN134" s="32"/>
      <c r="AO134" s="32"/>
      <c r="AP134" s="32"/>
      <c r="AQ134" s="33"/>
    </row>
    <row r="135" ht="15.75" customHeight="1">
      <c r="A135" s="7"/>
      <c r="B135" s="114" t="s">
        <v>230</v>
      </c>
      <c r="C135" s="114" t="s">
        <v>346</v>
      </c>
      <c r="D135" s="16" t="s">
        <v>57</v>
      </c>
      <c r="E135" s="115" t="s">
        <v>232</v>
      </c>
      <c r="F135" s="116">
        <v>2019.0</v>
      </c>
      <c r="G135" s="114"/>
      <c r="H135" s="116">
        <v>0.0</v>
      </c>
      <c r="I135" s="116">
        <v>34.237</v>
      </c>
      <c r="J135" s="117">
        <v>0.92</v>
      </c>
      <c r="K135" s="116">
        <v>31.635</v>
      </c>
      <c r="L135" s="114"/>
      <c r="M135" s="114"/>
      <c r="N135" s="116">
        <v>29.0</v>
      </c>
      <c r="O135" s="116">
        <v>117.0</v>
      </c>
      <c r="P135" s="114"/>
      <c r="Q135" s="140">
        <v>23297.0</v>
      </c>
      <c r="R135" s="114" t="s">
        <v>234</v>
      </c>
      <c r="S135" s="115">
        <v>2021.0</v>
      </c>
      <c r="T135" s="136">
        <v>0.239</v>
      </c>
      <c r="U135" s="118">
        <f t="shared" si="72"/>
        <v>5567.983</v>
      </c>
      <c r="V135" s="24">
        <f t="shared" si="59"/>
        <v>162.6305751</v>
      </c>
      <c r="W135" s="3">
        <f t="shared" si="31"/>
        <v>0</v>
      </c>
      <c r="X135" s="3">
        <f t="shared" si="32"/>
        <v>0</v>
      </c>
      <c r="Y135" s="3">
        <f t="shared" si="33"/>
        <v>0</v>
      </c>
      <c r="Z135" s="25">
        <f t="shared" si="34"/>
        <v>0</v>
      </c>
      <c r="AA135" s="26">
        <f>VLOOKUP(S135,CPI!$A$2:$F$71,6,0)</f>
        <v>1.188745987</v>
      </c>
      <c r="AB135" s="27">
        <f t="shared" si="60"/>
        <v>6618.917445</v>
      </c>
      <c r="AC135" s="27">
        <f t="shared" si="61"/>
        <v>193.3264435</v>
      </c>
      <c r="AD135" s="72" t="s">
        <v>36</v>
      </c>
      <c r="AE135" s="119" t="s">
        <v>347</v>
      </c>
      <c r="AF135" s="173"/>
      <c r="AG135" s="174"/>
      <c r="AH135" s="174"/>
      <c r="AI135" s="174"/>
      <c r="AJ135" s="175"/>
      <c r="AK135" s="175"/>
      <c r="AL135" s="175"/>
      <c r="AM135" s="32"/>
      <c r="AN135" s="32"/>
      <c r="AO135" s="32"/>
      <c r="AP135" s="32"/>
      <c r="AQ135" s="33"/>
    </row>
    <row r="136" ht="15.75" customHeight="1">
      <c r="A136" s="7"/>
      <c r="B136" s="114" t="s">
        <v>230</v>
      </c>
      <c r="C136" s="114" t="s">
        <v>346</v>
      </c>
      <c r="D136" s="16" t="s">
        <v>54</v>
      </c>
      <c r="E136" s="115" t="s">
        <v>348</v>
      </c>
      <c r="F136" s="116">
        <v>2021.0</v>
      </c>
      <c r="G136" s="114"/>
      <c r="H136" s="116">
        <v>0.0</v>
      </c>
      <c r="I136" s="116">
        <v>19.79</v>
      </c>
      <c r="J136" s="117">
        <v>1.0</v>
      </c>
      <c r="K136" s="116">
        <v>19.79</v>
      </c>
      <c r="L136" s="114"/>
      <c r="M136" s="114"/>
      <c r="N136" s="116">
        <v>15.0</v>
      </c>
      <c r="O136" s="116">
        <v>117.0</v>
      </c>
      <c r="P136" s="114"/>
      <c r="Q136" s="140">
        <v>14864.0</v>
      </c>
      <c r="R136" s="114" t="s">
        <v>234</v>
      </c>
      <c r="S136" s="115">
        <v>2021.0</v>
      </c>
      <c r="T136" s="136">
        <v>0.239</v>
      </c>
      <c r="U136" s="118">
        <f t="shared" si="72"/>
        <v>3552.496</v>
      </c>
      <c r="V136" s="24">
        <f t="shared" si="59"/>
        <v>179.5096513</v>
      </c>
      <c r="W136" s="3">
        <f t="shared" si="31"/>
        <v>0</v>
      </c>
      <c r="X136" s="3">
        <f t="shared" si="32"/>
        <v>0</v>
      </c>
      <c r="Y136" s="3">
        <f t="shared" si="33"/>
        <v>0</v>
      </c>
      <c r="Z136" s="25">
        <f t="shared" si="34"/>
        <v>0</v>
      </c>
      <c r="AA136" s="26">
        <f>VLOOKUP(S136,CPI!$A$2:$F$71,6,0)</f>
        <v>1.188745987</v>
      </c>
      <c r="AB136" s="27">
        <f t="shared" si="60"/>
        <v>4223.015363</v>
      </c>
      <c r="AC136" s="27">
        <f t="shared" si="61"/>
        <v>213.3913776</v>
      </c>
      <c r="AD136" s="114"/>
      <c r="AE136" s="119" t="s">
        <v>349</v>
      </c>
      <c r="AF136" s="173"/>
      <c r="AG136" s="174"/>
      <c r="AH136" s="174"/>
      <c r="AI136" s="174"/>
      <c r="AJ136" s="175"/>
      <c r="AK136" s="175"/>
      <c r="AL136" s="175"/>
      <c r="AM136" s="32"/>
      <c r="AN136" s="32"/>
      <c r="AO136" s="32"/>
      <c r="AP136" s="32"/>
      <c r="AQ136" s="33"/>
    </row>
    <row r="137" ht="15.75" customHeight="1">
      <c r="A137" s="163"/>
      <c r="B137" s="114" t="s">
        <v>230</v>
      </c>
      <c r="C137" s="114" t="s">
        <v>350</v>
      </c>
      <c r="D137" s="115" t="s">
        <v>351</v>
      </c>
      <c r="E137" s="115" t="s">
        <v>352</v>
      </c>
      <c r="F137" s="116">
        <v>2016.0</v>
      </c>
      <c r="G137" s="116">
        <v>2019.0</v>
      </c>
      <c r="H137" s="116">
        <v>0.0</v>
      </c>
      <c r="I137" s="116">
        <v>58.6</v>
      </c>
      <c r="J137" s="117">
        <v>0.65</v>
      </c>
      <c r="K137" s="116">
        <v>37.9</v>
      </c>
      <c r="L137" s="114"/>
      <c r="M137" s="114"/>
      <c r="N137" s="116">
        <v>13.0</v>
      </c>
      <c r="O137" s="116">
        <v>184.0</v>
      </c>
      <c r="P137" s="114"/>
      <c r="Q137" s="140">
        <v>34700.0</v>
      </c>
      <c r="R137" s="114" t="s">
        <v>234</v>
      </c>
      <c r="S137" s="115">
        <v>2018.0</v>
      </c>
      <c r="T137" s="85">
        <v>0.237</v>
      </c>
      <c r="U137" s="118">
        <f t="shared" si="72"/>
        <v>8223.9</v>
      </c>
      <c r="V137" s="24">
        <f t="shared" si="59"/>
        <v>140.3395904</v>
      </c>
      <c r="W137" s="3">
        <f t="shared" si="31"/>
        <v>0</v>
      </c>
      <c r="X137" s="3">
        <f t="shared" si="32"/>
        <v>0</v>
      </c>
      <c r="Y137" s="3">
        <f t="shared" si="33"/>
        <v>0</v>
      </c>
      <c r="Z137" s="25">
        <f t="shared" si="34"/>
        <v>0</v>
      </c>
      <c r="AA137" s="26">
        <f>VLOOKUP(S137,CPI!$A$2:$F$71,6,0)</f>
        <v>1.28277786</v>
      </c>
      <c r="AB137" s="27">
        <f t="shared" si="60"/>
        <v>10549.43684</v>
      </c>
      <c r="AC137" s="27">
        <f t="shared" si="61"/>
        <v>180.0245195</v>
      </c>
      <c r="AD137" s="114"/>
      <c r="AE137" s="119" t="s">
        <v>353</v>
      </c>
      <c r="AF137" s="164"/>
      <c r="AG137" s="165"/>
      <c r="AH137" s="165"/>
      <c r="AI137" s="165"/>
      <c r="AJ137" s="166"/>
      <c r="AK137" s="166"/>
      <c r="AL137" s="166"/>
      <c r="AM137" s="60"/>
      <c r="AN137" s="60"/>
      <c r="AO137" s="60"/>
      <c r="AP137" s="60"/>
      <c r="AQ137" s="6"/>
    </row>
    <row r="138" ht="15.75" customHeight="1">
      <c r="A138" s="163"/>
      <c r="B138" s="114" t="s">
        <v>230</v>
      </c>
      <c r="C138" s="114" t="s">
        <v>350</v>
      </c>
      <c r="D138" s="115" t="s">
        <v>57</v>
      </c>
      <c r="E138" s="115" t="s">
        <v>354</v>
      </c>
      <c r="F138" s="116">
        <v>2013.0</v>
      </c>
      <c r="G138" s="116">
        <v>2020.0</v>
      </c>
      <c r="H138" s="116">
        <v>0.0</v>
      </c>
      <c r="I138" s="116">
        <v>13.0</v>
      </c>
      <c r="J138" s="117">
        <v>0.43</v>
      </c>
      <c r="K138" s="116">
        <v>5.6</v>
      </c>
      <c r="L138" s="114"/>
      <c r="M138" s="114"/>
      <c r="N138" s="116">
        <v>10.0</v>
      </c>
      <c r="O138" s="116">
        <v>117.0</v>
      </c>
      <c r="P138" s="114"/>
      <c r="Q138" s="140">
        <v>5820.0</v>
      </c>
      <c r="R138" s="114" t="s">
        <v>234</v>
      </c>
      <c r="S138" s="115">
        <v>2017.0</v>
      </c>
      <c r="T138" s="85">
        <v>0.239</v>
      </c>
      <c r="U138" s="118">
        <f t="shared" si="72"/>
        <v>1390.98</v>
      </c>
      <c r="V138" s="24">
        <f t="shared" si="59"/>
        <v>106.9984615</v>
      </c>
      <c r="W138" s="3">
        <f t="shared" si="31"/>
        <v>0</v>
      </c>
      <c r="X138" s="3">
        <f t="shared" si="32"/>
        <v>0</v>
      </c>
      <c r="Y138" s="3">
        <f t="shared" si="33"/>
        <v>0</v>
      </c>
      <c r="Z138" s="25">
        <f t="shared" si="34"/>
        <v>0</v>
      </c>
      <c r="AA138" s="26">
        <f>VLOOKUP(S138,CPI!$A$2:$F$71,6,0)</f>
        <v>1.314109416</v>
      </c>
      <c r="AB138" s="27">
        <f t="shared" si="60"/>
        <v>1827.899915</v>
      </c>
      <c r="AC138" s="27">
        <f t="shared" si="61"/>
        <v>140.6076858</v>
      </c>
      <c r="AD138" s="114"/>
      <c r="AE138" s="161" t="s">
        <v>355</v>
      </c>
      <c r="AF138" s="164"/>
      <c r="AG138" s="165"/>
      <c r="AH138" s="165"/>
      <c r="AI138" s="165"/>
      <c r="AJ138" s="166"/>
      <c r="AK138" s="166"/>
      <c r="AL138" s="166"/>
      <c r="AM138" s="60"/>
      <c r="AN138" s="60"/>
      <c r="AO138" s="60"/>
      <c r="AP138" s="60"/>
      <c r="AQ138" s="6"/>
    </row>
    <row r="139" ht="15.75" customHeight="1">
      <c r="A139" s="163"/>
      <c r="B139" s="114" t="s">
        <v>230</v>
      </c>
      <c r="C139" s="114" t="s">
        <v>350</v>
      </c>
      <c r="D139" s="115" t="s">
        <v>239</v>
      </c>
      <c r="E139" s="115" t="s">
        <v>356</v>
      </c>
      <c r="F139" s="116">
        <v>2013.0</v>
      </c>
      <c r="G139" s="116">
        <v>2020.0</v>
      </c>
      <c r="H139" s="116">
        <v>0.0</v>
      </c>
      <c r="I139" s="116">
        <v>10.9</v>
      </c>
      <c r="J139" s="117">
        <v>1.0</v>
      </c>
      <c r="K139" s="116">
        <v>10.9</v>
      </c>
      <c r="L139" s="114"/>
      <c r="M139" s="114"/>
      <c r="N139" s="116">
        <v>5.0</v>
      </c>
      <c r="O139" s="116">
        <v>138.0</v>
      </c>
      <c r="P139" s="114"/>
      <c r="Q139" s="140">
        <v>5520.0</v>
      </c>
      <c r="R139" s="114" t="s">
        <v>234</v>
      </c>
      <c r="S139" s="115">
        <v>2017.0</v>
      </c>
      <c r="T139" s="85">
        <v>0.239</v>
      </c>
      <c r="U139" s="118">
        <f t="shared" si="72"/>
        <v>1319.28</v>
      </c>
      <c r="V139" s="24">
        <f t="shared" si="59"/>
        <v>121.0348624</v>
      </c>
      <c r="W139" s="3">
        <f t="shared" si="31"/>
        <v>0</v>
      </c>
      <c r="X139" s="3">
        <f t="shared" si="32"/>
        <v>0</v>
      </c>
      <c r="Y139" s="3">
        <f t="shared" si="33"/>
        <v>0</v>
      </c>
      <c r="Z139" s="25">
        <f t="shared" si="34"/>
        <v>0</v>
      </c>
      <c r="AA139" s="26">
        <f>VLOOKUP(S139,CPI!$A$2:$F$71,6,0)</f>
        <v>1.314109416</v>
      </c>
      <c r="AB139" s="27">
        <f t="shared" si="60"/>
        <v>1733.67827</v>
      </c>
      <c r="AC139" s="27">
        <f t="shared" si="61"/>
        <v>159.0530523</v>
      </c>
      <c r="AD139" s="114"/>
      <c r="AE139" s="161" t="s">
        <v>355</v>
      </c>
      <c r="AF139" s="164"/>
      <c r="AG139" s="165"/>
      <c r="AH139" s="165"/>
      <c r="AI139" s="165"/>
      <c r="AJ139" s="166"/>
      <c r="AK139" s="166"/>
      <c r="AL139" s="166"/>
      <c r="AM139" s="32"/>
      <c r="AN139" s="32"/>
      <c r="AO139" s="32"/>
      <c r="AP139" s="32"/>
      <c r="AQ139" s="33"/>
    </row>
    <row r="140" ht="15.75" customHeight="1">
      <c r="A140" s="163"/>
      <c r="B140" s="114" t="s">
        <v>230</v>
      </c>
      <c r="C140" s="114" t="s">
        <v>350</v>
      </c>
      <c r="D140" s="115" t="s">
        <v>87</v>
      </c>
      <c r="E140" s="115" t="s">
        <v>357</v>
      </c>
      <c r="F140" s="116">
        <v>2013.0</v>
      </c>
      <c r="G140" s="116">
        <v>2020.0</v>
      </c>
      <c r="H140" s="116">
        <v>0.0</v>
      </c>
      <c r="I140" s="116">
        <v>15.0</v>
      </c>
      <c r="J140" s="117">
        <v>0.6</v>
      </c>
      <c r="K140" s="116">
        <v>9.0</v>
      </c>
      <c r="L140" s="114"/>
      <c r="M140" s="114"/>
      <c r="N140" s="116">
        <v>9.0</v>
      </c>
      <c r="O140" s="116">
        <v>117.0</v>
      </c>
      <c r="P140" s="114"/>
      <c r="Q140" s="140">
        <v>7030.0</v>
      </c>
      <c r="R140" s="114" t="s">
        <v>234</v>
      </c>
      <c r="S140" s="115">
        <v>2017.0</v>
      </c>
      <c r="T140" s="85">
        <v>0.239</v>
      </c>
      <c r="U140" s="118">
        <f t="shared" si="72"/>
        <v>1680.17</v>
      </c>
      <c r="V140" s="24">
        <f t="shared" si="59"/>
        <v>112.0113333</v>
      </c>
      <c r="W140" s="3">
        <f t="shared" si="31"/>
        <v>0</v>
      </c>
      <c r="X140" s="3">
        <f t="shared" si="32"/>
        <v>0</v>
      </c>
      <c r="Y140" s="3">
        <f t="shared" si="33"/>
        <v>0</v>
      </c>
      <c r="Z140" s="25">
        <f t="shared" si="34"/>
        <v>0</v>
      </c>
      <c r="AA140" s="26">
        <f>VLOOKUP(S140,CPI!$A$2:$F$71,6,0)</f>
        <v>1.314109416</v>
      </c>
      <c r="AB140" s="27">
        <f t="shared" si="60"/>
        <v>2207.927217</v>
      </c>
      <c r="AC140" s="27">
        <f t="shared" si="61"/>
        <v>147.1951478</v>
      </c>
      <c r="AD140" s="114"/>
      <c r="AE140" s="161" t="s">
        <v>355</v>
      </c>
      <c r="AF140" s="164"/>
      <c r="AG140" s="165"/>
      <c r="AH140" s="165"/>
      <c r="AI140" s="165"/>
      <c r="AJ140" s="166"/>
      <c r="AK140" s="166"/>
      <c r="AL140" s="166"/>
      <c r="AM140" s="32"/>
      <c r="AN140" s="32"/>
      <c r="AO140" s="32"/>
      <c r="AP140" s="32"/>
      <c r="AQ140" s="33"/>
    </row>
    <row r="141" ht="15.75" customHeight="1">
      <c r="A141" s="163"/>
      <c r="B141" s="114" t="s">
        <v>230</v>
      </c>
      <c r="C141" s="114" t="s">
        <v>350</v>
      </c>
      <c r="D141" s="115" t="s">
        <v>110</v>
      </c>
      <c r="E141" s="115" t="s">
        <v>358</v>
      </c>
      <c r="F141" s="116">
        <v>2013.0</v>
      </c>
      <c r="G141" s="116">
        <v>2020.0</v>
      </c>
      <c r="H141" s="116">
        <v>0.0</v>
      </c>
      <c r="I141" s="116">
        <v>21.3</v>
      </c>
      <c r="J141" s="117">
        <v>1.0</v>
      </c>
      <c r="K141" s="116">
        <v>21.3</v>
      </c>
      <c r="L141" s="114"/>
      <c r="M141" s="114"/>
      <c r="N141" s="116">
        <v>13.0</v>
      </c>
      <c r="O141" s="116">
        <v>117.0</v>
      </c>
      <c r="P141" s="114"/>
      <c r="Q141" s="140">
        <v>10220.0</v>
      </c>
      <c r="R141" s="114" t="s">
        <v>234</v>
      </c>
      <c r="S141" s="115">
        <v>2017.0</v>
      </c>
      <c r="T141" s="85">
        <v>0.239</v>
      </c>
      <c r="U141" s="118">
        <f t="shared" si="72"/>
        <v>2442.58</v>
      </c>
      <c r="V141" s="24">
        <f t="shared" si="59"/>
        <v>114.6751174</v>
      </c>
      <c r="W141" s="3">
        <f t="shared" si="31"/>
        <v>0</v>
      </c>
      <c r="X141" s="3">
        <f t="shared" si="32"/>
        <v>0</v>
      </c>
      <c r="Y141" s="3">
        <f t="shared" si="33"/>
        <v>0</v>
      </c>
      <c r="Z141" s="25">
        <f t="shared" si="34"/>
        <v>0</v>
      </c>
      <c r="AA141" s="26">
        <f>VLOOKUP(S141,CPI!$A$2:$F$71,6,0)</f>
        <v>1.314109416</v>
      </c>
      <c r="AB141" s="27">
        <f t="shared" si="60"/>
        <v>3209.817377</v>
      </c>
      <c r="AC141" s="27">
        <f t="shared" si="61"/>
        <v>150.6956515</v>
      </c>
      <c r="AD141" s="114"/>
      <c r="AE141" s="161" t="s">
        <v>355</v>
      </c>
      <c r="AF141" s="164"/>
      <c r="AG141" s="165"/>
      <c r="AH141" s="165"/>
      <c r="AI141" s="165"/>
      <c r="AJ141" s="166"/>
      <c r="AK141" s="166"/>
      <c r="AL141" s="166"/>
      <c r="AM141" s="32"/>
      <c r="AN141" s="32"/>
      <c r="AO141" s="32"/>
      <c r="AP141" s="32"/>
      <c r="AQ141" s="33"/>
    </row>
    <row r="142" ht="15.75" customHeight="1">
      <c r="A142" s="163"/>
      <c r="B142" s="114" t="s">
        <v>230</v>
      </c>
      <c r="C142" s="114" t="s">
        <v>350</v>
      </c>
      <c r="D142" s="114" t="s">
        <v>228</v>
      </c>
      <c r="E142" s="114" t="s">
        <v>228</v>
      </c>
      <c r="F142" s="116">
        <v>2013.0</v>
      </c>
      <c r="G142" s="116">
        <v>2020.0</v>
      </c>
      <c r="H142" s="116">
        <v>0.0</v>
      </c>
      <c r="I142" s="116">
        <v>38.6</v>
      </c>
      <c r="J142" s="117">
        <v>1.0</v>
      </c>
      <c r="K142" s="116">
        <v>38.6</v>
      </c>
      <c r="L142" s="114"/>
      <c r="M142" s="114"/>
      <c r="N142" s="116">
        <v>31.0</v>
      </c>
      <c r="O142" s="116">
        <v>138.0</v>
      </c>
      <c r="P142" s="114"/>
      <c r="Q142" s="140">
        <v>27010.0</v>
      </c>
      <c r="R142" s="114" t="s">
        <v>234</v>
      </c>
      <c r="S142" s="115">
        <v>2017.0</v>
      </c>
      <c r="T142" s="85">
        <v>0.239</v>
      </c>
      <c r="U142" s="118">
        <f t="shared" si="72"/>
        <v>6455.39</v>
      </c>
      <c r="V142" s="24">
        <f t="shared" si="59"/>
        <v>167.2380829</v>
      </c>
      <c r="W142" s="3">
        <f t="shared" si="31"/>
        <v>0</v>
      </c>
      <c r="X142" s="3">
        <f t="shared" si="32"/>
        <v>0</v>
      </c>
      <c r="Y142" s="3">
        <f t="shared" si="33"/>
        <v>0</v>
      </c>
      <c r="Z142" s="25">
        <f t="shared" si="34"/>
        <v>0</v>
      </c>
      <c r="AA142" s="26">
        <f>VLOOKUP(S142,CPI!$A$2:$F$71,6,0)</f>
        <v>1.314109416</v>
      </c>
      <c r="AB142" s="27">
        <f t="shared" si="60"/>
        <v>8483.088782</v>
      </c>
      <c r="AC142" s="27">
        <f t="shared" si="61"/>
        <v>219.7691394</v>
      </c>
      <c r="AD142" s="114"/>
      <c r="AE142" s="161" t="s">
        <v>355</v>
      </c>
      <c r="AF142" s="164"/>
      <c r="AG142" s="165"/>
      <c r="AH142" s="165"/>
      <c r="AI142" s="165"/>
      <c r="AJ142" s="166"/>
      <c r="AK142" s="166"/>
      <c r="AL142" s="166"/>
      <c r="AM142" s="32"/>
      <c r="AN142" s="32"/>
      <c r="AO142" s="32"/>
      <c r="AP142" s="32"/>
      <c r="AQ142" s="33"/>
    </row>
    <row r="143" ht="15.75" customHeight="1">
      <c r="A143" s="163"/>
      <c r="B143" s="114" t="s">
        <v>230</v>
      </c>
      <c r="C143" s="114" t="s">
        <v>350</v>
      </c>
      <c r="D143" s="115" t="s">
        <v>84</v>
      </c>
      <c r="E143" s="115" t="s">
        <v>359</v>
      </c>
      <c r="F143" s="116">
        <v>2015.0</v>
      </c>
      <c r="G143" s="116">
        <v>2020.0</v>
      </c>
      <c r="H143" s="116">
        <v>0.0</v>
      </c>
      <c r="I143" s="116">
        <v>49.0</v>
      </c>
      <c r="J143" s="117">
        <v>0.68</v>
      </c>
      <c r="K143" s="116">
        <v>33.2</v>
      </c>
      <c r="L143" s="114"/>
      <c r="M143" s="114"/>
      <c r="N143" s="116">
        <v>39.0</v>
      </c>
      <c r="O143" s="116">
        <v>184.0</v>
      </c>
      <c r="P143" s="114"/>
      <c r="Q143" s="140">
        <v>32480.0</v>
      </c>
      <c r="R143" s="114" t="s">
        <v>234</v>
      </c>
      <c r="S143" s="115">
        <v>2018.0</v>
      </c>
      <c r="T143" s="85">
        <v>0.237</v>
      </c>
      <c r="U143" s="118">
        <f t="shared" si="72"/>
        <v>7697.76</v>
      </c>
      <c r="V143" s="24">
        <f t="shared" si="59"/>
        <v>157.0971429</v>
      </c>
      <c r="W143" s="3">
        <f t="shared" si="31"/>
        <v>0</v>
      </c>
      <c r="X143" s="3">
        <f t="shared" si="32"/>
        <v>0</v>
      </c>
      <c r="Y143" s="3">
        <f t="shared" si="33"/>
        <v>0</v>
      </c>
      <c r="Z143" s="25">
        <f t="shared" si="34"/>
        <v>0</v>
      </c>
      <c r="AA143" s="26">
        <f>VLOOKUP(S143,CPI!$A$2:$F$71,6,0)</f>
        <v>1.28277786</v>
      </c>
      <c r="AB143" s="27">
        <f t="shared" si="60"/>
        <v>9874.516097</v>
      </c>
      <c r="AC143" s="27">
        <f t="shared" si="61"/>
        <v>201.5207367</v>
      </c>
      <c r="AD143" s="114"/>
      <c r="AE143" s="161" t="s">
        <v>355</v>
      </c>
      <c r="AF143" s="164"/>
      <c r="AG143" s="165"/>
      <c r="AH143" s="165"/>
      <c r="AI143" s="165"/>
      <c r="AJ143" s="166"/>
      <c r="AK143" s="166"/>
      <c r="AL143" s="166"/>
      <c r="AM143" s="32"/>
      <c r="AN143" s="32"/>
      <c r="AO143" s="32"/>
      <c r="AP143" s="32"/>
      <c r="AQ143" s="33"/>
    </row>
    <row r="144" ht="15.75" customHeight="1">
      <c r="A144" s="14">
        <v>9499.0</v>
      </c>
      <c r="B144" s="22" t="s">
        <v>230</v>
      </c>
      <c r="C144" s="22" t="s">
        <v>350</v>
      </c>
      <c r="D144" s="36" t="s">
        <v>239</v>
      </c>
      <c r="E144" s="22" t="s">
        <v>360</v>
      </c>
      <c r="F144" s="17">
        <v>2016.0</v>
      </c>
      <c r="G144" s="176">
        <v>2020.0</v>
      </c>
      <c r="H144" s="17">
        <v>0.0</v>
      </c>
      <c r="I144" s="17">
        <v>26.7</v>
      </c>
      <c r="J144" s="19">
        <f t="shared" ref="J144:J146" si="73">K144/I144</f>
        <v>0.3895131086</v>
      </c>
      <c r="K144" s="17">
        <v>10.4</v>
      </c>
      <c r="L144" s="177">
        <v>16.554</v>
      </c>
      <c r="M144" s="177">
        <v>0.0</v>
      </c>
      <c r="N144" s="17">
        <v>9.0</v>
      </c>
      <c r="O144" s="176">
        <v>138.0</v>
      </c>
      <c r="P144" s="22" t="s">
        <v>60</v>
      </c>
      <c r="Q144" s="23">
        <v>13156.0</v>
      </c>
      <c r="R144" s="22" t="s">
        <v>234</v>
      </c>
      <c r="S144" s="17">
        <v>2016.0</v>
      </c>
      <c r="T144" s="136">
        <v>0.251</v>
      </c>
      <c r="U144" s="3">
        <f t="shared" si="72"/>
        <v>3302.156</v>
      </c>
      <c r="V144" s="24">
        <f t="shared" si="59"/>
        <v>123.6762547</v>
      </c>
      <c r="W144" s="3">
        <f t="shared" si="31"/>
        <v>0</v>
      </c>
      <c r="X144" s="3">
        <f t="shared" si="32"/>
        <v>0</v>
      </c>
      <c r="Y144" s="3">
        <f t="shared" si="33"/>
        <v>0</v>
      </c>
      <c r="Z144" s="25">
        <f t="shared" si="34"/>
        <v>0</v>
      </c>
      <c r="AA144" s="26">
        <f>VLOOKUP(S144,CPI!$A$2:$F$71,6,0)</f>
        <v>1.342104605</v>
      </c>
      <c r="AB144" s="27">
        <f t="shared" si="60"/>
        <v>4431.838775</v>
      </c>
      <c r="AC144" s="27">
        <f t="shared" si="61"/>
        <v>165.986471</v>
      </c>
      <c r="AD144" s="26" t="s">
        <v>60</v>
      </c>
      <c r="AE144" s="129" t="s">
        <v>361</v>
      </c>
      <c r="AF144" s="178"/>
      <c r="AG144" s="172"/>
      <c r="AH144" s="172"/>
      <c r="AI144" s="172"/>
      <c r="AJ144" s="32"/>
      <c r="AK144" s="32"/>
      <c r="AL144" s="32"/>
      <c r="AM144" s="32"/>
      <c r="AN144" s="32"/>
      <c r="AO144" s="32"/>
      <c r="AP144" s="32"/>
      <c r="AQ144" s="33"/>
    </row>
    <row r="145" ht="15.75" customHeight="1">
      <c r="A145" s="14">
        <v>9494.0</v>
      </c>
      <c r="B145" s="22" t="s">
        <v>230</v>
      </c>
      <c r="C145" s="22" t="s">
        <v>350</v>
      </c>
      <c r="D145" s="22" t="s">
        <v>253</v>
      </c>
      <c r="E145" s="22" t="s">
        <v>362</v>
      </c>
      <c r="F145" s="17">
        <v>2016.0</v>
      </c>
      <c r="G145" s="17">
        <v>2020.0</v>
      </c>
      <c r="H145" s="17">
        <v>0.0</v>
      </c>
      <c r="I145" s="17">
        <v>22.2</v>
      </c>
      <c r="J145" s="19">
        <f t="shared" si="73"/>
        <v>1</v>
      </c>
      <c r="K145" s="17">
        <v>22.2</v>
      </c>
      <c r="L145" s="177">
        <v>0.0</v>
      </c>
      <c r="M145" s="177">
        <v>0.0</v>
      </c>
      <c r="N145" s="17">
        <v>13.0</v>
      </c>
      <c r="O145" s="17"/>
      <c r="P145" s="22" t="s">
        <v>60</v>
      </c>
      <c r="Q145" s="23">
        <v>20253.0923</v>
      </c>
      <c r="R145" s="22" t="s">
        <v>234</v>
      </c>
      <c r="S145" s="17">
        <v>2017.0</v>
      </c>
      <c r="T145" s="136">
        <v>0.239</v>
      </c>
      <c r="U145" s="3">
        <f t="shared" si="72"/>
        <v>4840.48906</v>
      </c>
      <c r="V145" s="24">
        <f t="shared" si="59"/>
        <v>218.0400477</v>
      </c>
      <c r="W145" s="3">
        <f t="shared" si="31"/>
        <v>0</v>
      </c>
      <c r="X145" s="3">
        <f t="shared" si="32"/>
        <v>0</v>
      </c>
      <c r="Y145" s="3">
        <f t="shared" si="33"/>
        <v>0</v>
      </c>
      <c r="Z145" s="25">
        <f t="shared" si="34"/>
        <v>0</v>
      </c>
      <c r="AA145" s="26">
        <f>VLOOKUP(S145,CPI!$A$2:$F$71,6,0)</f>
        <v>1.314109416</v>
      </c>
      <c r="AB145" s="27">
        <f t="shared" si="60"/>
        <v>6360.93225</v>
      </c>
      <c r="AC145" s="27">
        <f t="shared" si="61"/>
        <v>286.5284797</v>
      </c>
      <c r="AD145" s="26" t="s">
        <v>60</v>
      </c>
      <c r="AE145" s="129" t="s">
        <v>363</v>
      </c>
      <c r="AF145" s="178"/>
      <c r="AG145" s="172"/>
      <c r="AH145" s="172"/>
      <c r="AI145" s="172"/>
      <c r="AJ145" s="32"/>
      <c r="AK145" s="32"/>
      <c r="AL145" s="32"/>
      <c r="AM145" s="32"/>
      <c r="AN145" s="32"/>
      <c r="AO145" s="32"/>
      <c r="AP145" s="32"/>
      <c r="AQ145" s="33"/>
    </row>
    <row r="146" ht="15.75" customHeight="1">
      <c r="A146" s="170">
        <v>7856.0</v>
      </c>
      <c r="B146" s="123" t="s">
        <v>230</v>
      </c>
      <c r="C146" s="123" t="s">
        <v>350</v>
      </c>
      <c r="D146" s="36" t="s">
        <v>236</v>
      </c>
      <c r="E146" s="123" t="s">
        <v>364</v>
      </c>
      <c r="F146" s="75">
        <v>2019.0</v>
      </c>
      <c r="G146" s="75">
        <v>2024.0</v>
      </c>
      <c r="H146" s="75">
        <v>0.0</v>
      </c>
      <c r="I146" s="75">
        <v>28.85</v>
      </c>
      <c r="J146" s="124">
        <f t="shared" si="73"/>
        <v>0.9116117851</v>
      </c>
      <c r="K146" s="75">
        <v>26.3</v>
      </c>
      <c r="L146" s="125">
        <v>0.0</v>
      </c>
      <c r="M146" s="125">
        <v>0.0</v>
      </c>
      <c r="N146" s="75">
        <v>19.0</v>
      </c>
      <c r="O146" s="75"/>
      <c r="P146" s="123" t="s">
        <v>60</v>
      </c>
      <c r="Q146" s="126">
        <v>23644.0</v>
      </c>
      <c r="R146" s="123" t="s">
        <v>234</v>
      </c>
      <c r="S146" s="75">
        <v>2019.0</v>
      </c>
      <c r="T146" s="136">
        <v>0.238</v>
      </c>
      <c r="U146" s="128">
        <f t="shared" si="72"/>
        <v>5627.272</v>
      </c>
      <c r="V146" s="24">
        <f t="shared" si="59"/>
        <v>195.0527556</v>
      </c>
      <c r="W146" s="3">
        <f t="shared" si="31"/>
        <v>0</v>
      </c>
      <c r="X146" s="3">
        <f t="shared" si="32"/>
        <v>0</v>
      </c>
      <c r="Y146" s="3">
        <f t="shared" si="33"/>
        <v>0</v>
      </c>
      <c r="Z146" s="25">
        <f t="shared" si="34"/>
        <v>0</v>
      </c>
      <c r="AA146" s="26">
        <f>VLOOKUP(S146,CPI!$A$2:$F$71,6,0)</f>
        <v>1.259947899</v>
      </c>
      <c r="AB146" s="27">
        <f t="shared" si="60"/>
        <v>7090.069533</v>
      </c>
      <c r="AC146" s="27">
        <f t="shared" si="61"/>
        <v>245.7563096</v>
      </c>
      <c r="AD146" s="123" t="s">
        <v>60</v>
      </c>
      <c r="AE146" s="129" t="s">
        <v>365</v>
      </c>
      <c r="AF146" s="179"/>
      <c r="AG146" s="174"/>
      <c r="AH146" s="174"/>
      <c r="AI146" s="174"/>
      <c r="AJ146" s="175"/>
      <c r="AK146" s="175"/>
      <c r="AL146" s="175"/>
      <c r="AM146" s="32"/>
      <c r="AN146" s="32"/>
      <c r="AO146" s="32"/>
      <c r="AP146" s="32"/>
      <c r="AQ146" s="33"/>
    </row>
    <row r="147" ht="15.75" customHeight="1">
      <c r="A147" s="170">
        <v>7928.0</v>
      </c>
      <c r="B147" s="123" t="s">
        <v>230</v>
      </c>
      <c r="C147" s="123" t="s">
        <v>350</v>
      </c>
      <c r="D147" s="36" t="s">
        <v>121</v>
      </c>
      <c r="E147" s="123" t="s">
        <v>366</v>
      </c>
      <c r="F147" s="75">
        <v>2019.0</v>
      </c>
      <c r="G147" s="75">
        <v>2024.0</v>
      </c>
      <c r="H147" s="75">
        <v>0.0</v>
      </c>
      <c r="I147" s="75">
        <v>27.6</v>
      </c>
      <c r="J147" s="124">
        <v>1.0</v>
      </c>
      <c r="K147" s="75">
        <v>27.6</v>
      </c>
      <c r="L147" s="125">
        <v>0.0</v>
      </c>
      <c r="M147" s="125">
        <v>0.0</v>
      </c>
      <c r="N147" s="75">
        <v>17.0</v>
      </c>
      <c r="O147" s="75"/>
      <c r="P147" s="123" t="s">
        <v>60</v>
      </c>
      <c r="Q147" s="126">
        <v>20014.0</v>
      </c>
      <c r="R147" s="123" t="s">
        <v>234</v>
      </c>
      <c r="S147" s="75">
        <v>2019.0</v>
      </c>
      <c r="T147" s="136">
        <v>0.238</v>
      </c>
      <c r="U147" s="128">
        <f t="shared" si="72"/>
        <v>4763.332</v>
      </c>
      <c r="V147" s="24">
        <f t="shared" si="59"/>
        <v>172.5844928</v>
      </c>
      <c r="W147" s="3">
        <f t="shared" si="31"/>
        <v>0</v>
      </c>
      <c r="X147" s="3">
        <f t="shared" si="32"/>
        <v>0</v>
      </c>
      <c r="Y147" s="3">
        <f t="shared" si="33"/>
        <v>0</v>
      </c>
      <c r="Z147" s="25">
        <f t="shared" si="34"/>
        <v>0</v>
      </c>
      <c r="AA147" s="26">
        <f>VLOOKUP(S147,CPI!$A$2:$F$71,6,0)</f>
        <v>1.259947899</v>
      </c>
      <c r="AB147" s="27">
        <f t="shared" si="60"/>
        <v>6001.550145</v>
      </c>
      <c r="AC147" s="27">
        <f t="shared" si="61"/>
        <v>217.447469</v>
      </c>
      <c r="AD147" s="123" t="s">
        <v>60</v>
      </c>
      <c r="AE147" s="129" t="s">
        <v>365</v>
      </c>
      <c r="AF147" s="29"/>
      <c r="AG147" s="30"/>
      <c r="AH147" s="30"/>
      <c r="AI147" s="30"/>
      <c r="AJ147" s="31"/>
      <c r="AK147" s="31"/>
      <c r="AL147" s="31"/>
      <c r="AM147" s="32"/>
      <c r="AN147" s="32"/>
      <c r="AO147" s="32"/>
      <c r="AP147" s="32"/>
      <c r="AQ147" s="33"/>
    </row>
    <row r="148" ht="15.75" customHeight="1">
      <c r="A148" s="170">
        <v>7786.0</v>
      </c>
      <c r="B148" s="123" t="s">
        <v>230</v>
      </c>
      <c r="C148" s="123" t="s">
        <v>350</v>
      </c>
      <c r="D148" s="36" t="s">
        <v>351</v>
      </c>
      <c r="E148" s="123" t="s">
        <v>367</v>
      </c>
      <c r="F148" s="75">
        <v>2019.0</v>
      </c>
      <c r="G148" s="75">
        <v>2024.0</v>
      </c>
      <c r="H148" s="75">
        <v>0.0</v>
      </c>
      <c r="I148" s="75">
        <f>11.01+3.28</f>
        <v>14.29</v>
      </c>
      <c r="J148" s="124">
        <v>1.0</v>
      </c>
      <c r="K148" s="75">
        <v>14.29</v>
      </c>
      <c r="L148" s="125">
        <v>0.0</v>
      </c>
      <c r="M148" s="125">
        <v>0.0</v>
      </c>
      <c r="N148" s="75">
        <v>7.0</v>
      </c>
      <c r="O148" s="75"/>
      <c r="P148" s="123" t="s">
        <v>60</v>
      </c>
      <c r="Q148" s="126">
        <v>14656.0</v>
      </c>
      <c r="R148" s="123" t="s">
        <v>234</v>
      </c>
      <c r="S148" s="75">
        <v>2019.0</v>
      </c>
      <c r="T148" s="136">
        <v>0.238</v>
      </c>
      <c r="U148" s="128">
        <f t="shared" si="72"/>
        <v>3488.128</v>
      </c>
      <c r="V148" s="24">
        <f t="shared" si="59"/>
        <v>244.0957313</v>
      </c>
      <c r="W148" s="3">
        <f t="shared" si="31"/>
        <v>0</v>
      </c>
      <c r="X148" s="3">
        <f t="shared" si="32"/>
        <v>0</v>
      </c>
      <c r="Y148" s="3">
        <f t="shared" si="33"/>
        <v>0</v>
      </c>
      <c r="Z148" s="25">
        <f t="shared" si="34"/>
        <v>0</v>
      </c>
      <c r="AA148" s="26">
        <f>VLOOKUP(S148,CPI!$A$2:$F$71,6,0)</f>
        <v>1.259947899</v>
      </c>
      <c r="AB148" s="27">
        <f t="shared" si="60"/>
        <v>4394.859545</v>
      </c>
      <c r="AC148" s="27">
        <f t="shared" si="61"/>
        <v>307.5479038</v>
      </c>
      <c r="AD148" s="123" t="s">
        <v>60</v>
      </c>
      <c r="AE148" s="129" t="s">
        <v>365</v>
      </c>
      <c r="AF148" s="29"/>
      <c r="AG148" s="30"/>
      <c r="AH148" s="30"/>
      <c r="AI148" s="30"/>
      <c r="AJ148" s="31"/>
      <c r="AK148" s="31"/>
      <c r="AL148" s="31"/>
      <c r="AM148" s="32"/>
      <c r="AN148" s="32"/>
      <c r="AO148" s="32"/>
      <c r="AP148" s="32"/>
      <c r="AQ148" s="33"/>
    </row>
    <row r="149" ht="15.75" customHeight="1">
      <c r="A149" s="180">
        <v>8026.0</v>
      </c>
      <c r="B149" s="6" t="s">
        <v>230</v>
      </c>
      <c r="C149" s="6" t="s">
        <v>350</v>
      </c>
      <c r="D149" s="16" t="s">
        <v>288</v>
      </c>
      <c r="E149" s="6" t="s">
        <v>368</v>
      </c>
      <c r="F149" s="6">
        <v>2019.0</v>
      </c>
      <c r="G149" s="6">
        <v>2024.0</v>
      </c>
      <c r="H149" s="69">
        <v>0.0</v>
      </c>
      <c r="I149" s="69">
        <v>42.87</v>
      </c>
      <c r="J149" s="117">
        <v>1.0</v>
      </c>
      <c r="K149" s="69">
        <v>42.87</v>
      </c>
      <c r="L149" s="72"/>
      <c r="M149" s="72"/>
      <c r="N149" s="69">
        <v>12.0</v>
      </c>
      <c r="O149" s="69">
        <v>184.0</v>
      </c>
      <c r="P149" s="72"/>
      <c r="Q149" s="140">
        <v>35518.0</v>
      </c>
      <c r="R149" s="72" t="s">
        <v>234</v>
      </c>
      <c r="S149" s="6">
        <v>2019.0</v>
      </c>
      <c r="T149" s="136">
        <v>0.238</v>
      </c>
      <c r="U149" s="148">
        <f t="shared" ref="U149:U150" si="74">T149*Q149</f>
        <v>8453.284</v>
      </c>
      <c r="V149" s="24">
        <f t="shared" si="59"/>
        <v>197.1841381</v>
      </c>
      <c r="W149" s="3">
        <f t="shared" si="31"/>
        <v>0</v>
      </c>
      <c r="X149" s="3">
        <f t="shared" si="32"/>
        <v>0</v>
      </c>
      <c r="Y149" s="3">
        <f t="shared" si="33"/>
        <v>0</v>
      </c>
      <c r="Z149" s="25">
        <f t="shared" si="34"/>
        <v>0</v>
      </c>
      <c r="AA149" s="26">
        <f>VLOOKUP(S149,CPI!$A$2:$F$71,6,0)</f>
        <v>1.259947899</v>
      </c>
      <c r="AB149" s="27">
        <f t="shared" si="60"/>
        <v>10650.69741</v>
      </c>
      <c r="AC149" s="27">
        <f t="shared" si="61"/>
        <v>248.4417405</v>
      </c>
      <c r="AD149" s="6" t="s">
        <v>60</v>
      </c>
      <c r="AE149" s="149" t="s">
        <v>369</v>
      </c>
      <c r="AF149" s="179"/>
      <c r="AG149" s="60"/>
      <c r="AH149" s="60"/>
      <c r="AI149" s="60"/>
      <c r="AJ149" s="181"/>
      <c r="AK149" s="181"/>
      <c r="AL149" s="181"/>
      <c r="AM149" s="31"/>
      <c r="AN149" s="31"/>
      <c r="AO149" s="31"/>
      <c r="AP149" s="31"/>
      <c r="AQ149" s="35"/>
    </row>
    <row r="150" ht="15.75" customHeight="1">
      <c r="A150" s="180">
        <v>7994.0</v>
      </c>
      <c r="B150" s="6" t="s">
        <v>230</v>
      </c>
      <c r="C150" s="6" t="s">
        <v>350</v>
      </c>
      <c r="D150" s="16" t="s">
        <v>295</v>
      </c>
      <c r="E150" s="6" t="s">
        <v>370</v>
      </c>
      <c r="F150" s="6">
        <v>2019.0</v>
      </c>
      <c r="G150" s="6">
        <v>2024.0</v>
      </c>
      <c r="H150" s="6">
        <v>0.0</v>
      </c>
      <c r="I150" s="69">
        <v>24.86</v>
      </c>
      <c r="J150" s="117">
        <v>0.7</v>
      </c>
      <c r="K150" s="69">
        <v>17.35</v>
      </c>
      <c r="L150" s="72"/>
      <c r="M150" s="72"/>
      <c r="N150" s="69">
        <v>17.0</v>
      </c>
      <c r="O150" s="69">
        <v>117.0</v>
      </c>
      <c r="P150" s="72"/>
      <c r="Q150" s="140">
        <v>16587.0</v>
      </c>
      <c r="R150" s="72" t="s">
        <v>234</v>
      </c>
      <c r="S150" s="6">
        <v>2019.0</v>
      </c>
      <c r="T150" s="136">
        <v>0.238</v>
      </c>
      <c r="U150" s="148">
        <f t="shared" si="74"/>
        <v>3947.706</v>
      </c>
      <c r="V150" s="24">
        <f t="shared" si="59"/>
        <v>158.797506</v>
      </c>
      <c r="W150" s="3">
        <f t="shared" si="31"/>
        <v>0</v>
      </c>
      <c r="X150" s="3">
        <f t="shared" si="32"/>
        <v>0</v>
      </c>
      <c r="Y150" s="3">
        <f t="shared" si="33"/>
        <v>0</v>
      </c>
      <c r="Z150" s="25">
        <f t="shared" si="34"/>
        <v>0</v>
      </c>
      <c r="AA150" s="26">
        <f>VLOOKUP(S150,CPI!$A$2:$F$71,6,0)</f>
        <v>1.259947899</v>
      </c>
      <c r="AB150" s="27">
        <f t="shared" si="60"/>
        <v>4973.90388</v>
      </c>
      <c r="AC150" s="27">
        <f t="shared" si="61"/>
        <v>200.0765841</v>
      </c>
      <c r="AD150" s="6" t="s">
        <v>60</v>
      </c>
      <c r="AE150" s="182" t="s">
        <v>365</v>
      </c>
      <c r="AF150" s="179"/>
      <c r="AG150" s="60"/>
      <c r="AH150" s="60"/>
      <c r="AI150" s="60"/>
      <c r="AJ150" s="181"/>
      <c r="AK150" s="181"/>
      <c r="AL150" s="181"/>
      <c r="AM150" s="32"/>
      <c r="AN150" s="32"/>
      <c r="AO150" s="32"/>
      <c r="AP150" s="32"/>
      <c r="AQ150" s="33"/>
    </row>
    <row r="151" ht="15.75" customHeight="1">
      <c r="A151" s="170">
        <v>7899.0</v>
      </c>
      <c r="B151" s="123" t="s">
        <v>230</v>
      </c>
      <c r="C151" s="123" t="s">
        <v>350</v>
      </c>
      <c r="D151" s="16" t="s">
        <v>371</v>
      </c>
      <c r="E151" s="123" t="s">
        <v>372</v>
      </c>
      <c r="F151" s="75">
        <v>2019.0</v>
      </c>
      <c r="G151" s="75">
        <v>2024.0</v>
      </c>
      <c r="H151" s="75">
        <v>0.0</v>
      </c>
      <c r="I151" s="75">
        <v>24.78</v>
      </c>
      <c r="J151" s="124">
        <v>1.0</v>
      </c>
      <c r="K151" s="75">
        <v>24.78</v>
      </c>
      <c r="L151" s="125">
        <v>0.0</v>
      </c>
      <c r="M151" s="125">
        <v>0.0</v>
      </c>
      <c r="N151" s="75">
        <v>24.0</v>
      </c>
      <c r="O151" s="152">
        <v>117.0</v>
      </c>
      <c r="P151" s="123" t="s">
        <v>60</v>
      </c>
      <c r="Q151" s="126">
        <v>19112.0</v>
      </c>
      <c r="R151" s="123" t="s">
        <v>234</v>
      </c>
      <c r="S151" s="69">
        <v>2019.0</v>
      </c>
      <c r="T151" s="136">
        <v>0.238</v>
      </c>
      <c r="U151" s="128">
        <f t="shared" ref="U151:U159" si="75">Q151*T151</f>
        <v>4548.656</v>
      </c>
      <c r="V151" s="24">
        <f t="shared" si="59"/>
        <v>183.5615819</v>
      </c>
      <c r="W151" s="3">
        <f t="shared" si="31"/>
        <v>0</v>
      </c>
      <c r="X151" s="3">
        <f t="shared" si="32"/>
        <v>0</v>
      </c>
      <c r="Y151" s="3">
        <f t="shared" si="33"/>
        <v>0</v>
      </c>
      <c r="Z151" s="25">
        <f t="shared" si="34"/>
        <v>0</v>
      </c>
      <c r="AA151" s="26">
        <f>VLOOKUP(S151,CPI!$A$2:$F$71,6,0)</f>
        <v>1.259947899</v>
      </c>
      <c r="AB151" s="27">
        <f t="shared" si="60"/>
        <v>5731.06957</v>
      </c>
      <c r="AC151" s="27">
        <f t="shared" si="61"/>
        <v>231.2780295</v>
      </c>
      <c r="AD151" s="123" t="s">
        <v>60</v>
      </c>
      <c r="AE151" s="129" t="s">
        <v>365</v>
      </c>
      <c r="AF151" s="179"/>
      <c r="AG151" s="174"/>
      <c r="AH151" s="174"/>
      <c r="AI151" s="174"/>
      <c r="AJ151" s="175"/>
      <c r="AK151" s="175"/>
      <c r="AL151" s="175"/>
      <c r="AM151" s="32"/>
      <c r="AN151" s="32"/>
      <c r="AO151" s="32"/>
      <c r="AP151" s="32"/>
      <c r="AQ151" s="33"/>
    </row>
    <row r="152" ht="15.75" customHeight="1">
      <c r="A152" s="170">
        <v>7808.0</v>
      </c>
      <c r="B152" s="123" t="s">
        <v>230</v>
      </c>
      <c r="C152" s="123" t="s">
        <v>350</v>
      </c>
      <c r="D152" s="36" t="s">
        <v>243</v>
      </c>
      <c r="E152" s="123" t="s">
        <v>373</v>
      </c>
      <c r="F152" s="75">
        <v>2019.0</v>
      </c>
      <c r="G152" s="75">
        <v>2024.0</v>
      </c>
      <c r="H152" s="75">
        <v>0.0</v>
      </c>
      <c r="I152" s="75">
        <f>6.51+1.32</f>
        <v>7.83</v>
      </c>
      <c r="J152" s="124">
        <f t="shared" ref="J152:J153" si="76">K152/I152</f>
        <v>1</v>
      </c>
      <c r="K152" s="75">
        <f>I152</f>
        <v>7.83</v>
      </c>
      <c r="L152" s="125">
        <v>0.0</v>
      </c>
      <c r="M152" s="125">
        <v>0.0</v>
      </c>
      <c r="N152" s="75">
        <v>7.0</v>
      </c>
      <c r="O152" s="75"/>
      <c r="P152" s="123" t="s">
        <v>60</v>
      </c>
      <c r="Q152" s="126">
        <v>7452.0</v>
      </c>
      <c r="R152" s="123" t="s">
        <v>234</v>
      </c>
      <c r="S152" s="75">
        <v>2019.0</v>
      </c>
      <c r="T152" s="183">
        <f>T142</f>
        <v>0.239</v>
      </c>
      <c r="U152" s="128">
        <f t="shared" si="75"/>
        <v>1781.028</v>
      </c>
      <c r="V152" s="24">
        <f t="shared" si="59"/>
        <v>227.462069</v>
      </c>
      <c r="W152" s="3">
        <f t="shared" si="31"/>
        <v>0</v>
      </c>
      <c r="X152" s="3">
        <f t="shared" si="32"/>
        <v>0</v>
      </c>
      <c r="Y152" s="3">
        <f t="shared" si="33"/>
        <v>0</v>
      </c>
      <c r="Z152" s="25">
        <f t="shared" si="34"/>
        <v>0</v>
      </c>
      <c r="AA152" s="26">
        <f>VLOOKUP(S152,CPI!$A$2:$F$71,6,0)</f>
        <v>1.259947899</v>
      </c>
      <c r="AB152" s="27">
        <f t="shared" si="60"/>
        <v>2244.002487</v>
      </c>
      <c r="AC152" s="27">
        <f t="shared" si="61"/>
        <v>286.5903559</v>
      </c>
      <c r="AD152" s="123" t="s">
        <v>60</v>
      </c>
      <c r="AE152" s="129" t="s">
        <v>365</v>
      </c>
      <c r="AF152" s="29"/>
      <c r="AG152" s="30"/>
      <c r="AH152" s="30"/>
      <c r="AI152" s="30"/>
      <c r="AJ152" s="31"/>
      <c r="AK152" s="31"/>
      <c r="AL152" s="31"/>
      <c r="AM152" s="32"/>
      <c r="AN152" s="32"/>
      <c r="AO152" s="32"/>
      <c r="AP152" s="32"/>
      <c r="AQ152" s="33"/>
    </row>
    <row r="153" ht="15.75" customHeight="1">
      <c r="A153" s="170">
        <v>7977.0</v>
      </c>
      <c r="B153" s="123" t="s">
        <v>230</v>
      </c>
      <c r="C153" s="123" t="s">
        <v>350</v>
      </c>
      <c r="D153" s="36" t="s">
        <v>239</v>
      </c>
      <c r="E153" s="123" t="s">
        <v>374</v>
      </c>
      <c r="F153" s="75">
        <v>2019.0</v>
      </c>
      <c r="G153" s="152">
        <v>2025.0</v>
      </c>
      <c r="H153" s="75">
        <v>0.0</v>
      </c>
      <c r="I153" s="75">
        <v>5.5</v>
      </c>
      <c r="J153" s="124">
        <f t="shared" si="76"/>
        <v>1</v>
      </c>
      <c r="K153" s="75">
        <v>5.5</v>
      </c>
      <c r="L153" s="125">
        <v>0.0</v>
      </c>
      <c r="M153" s="125">
        <v>0.0</v>
      </c>
      <c r="N153" s="75">
        <v>4.0</v>
      </c>
      <c r="O153" s="152">
        <v>138.0</v>
      </c>
      <c r="P153" s="123" t="s">
        <v>60</v>
      </c>
      <c r="Q153" s="126">
        <v>3716.0</v>
      </c>
      <c r="R153" s="123" t="s">
        <v>234</v>
      </c>
      <c r="S153" s="75">
        <v>2019.0</v>
      </c>
      <c r="T153" s="136">
        <v>0.238</v>
      </c>
      <c r="U153" s="128">
        <f t="shared" si="75"/>
        <v>884.408</v>
      </c>
      <c r="V153" s="24">
        <f t="shared" si="59"/>
        <v>160.8014545</v>
      </c>
      <c r="W153" s="3">
        <f t="shared" si="31"/>
        <v>0</v>
      </c>
      <c r="X153" s="3">
        <f t="shared" si="32"/>
        <v>0</v>
      </c>
      <c r="Y153" s="3">
        <f t="shared" si="33"/>
        <v>0</v>
      </c>
      <c r="Z153" s="25">
        <f t="shared" si="34"/>
        <v>0</v>
      </c>
      <c r="AA153" s="26">
        <f>VLOOKUP(S153,CPI!$A$2:$F$71,6,0)</f>
        <v>1.259947899</v>
      </c>
      <c r="AB153" s="27">
        <f t="shared" si="60"/>
        <v>1114.308001</v>
      </c>
      <c r="AC153" s="27">
        <f t="shared" si="61"/>
        <v>202.6014548</v>
      </c>
      <c r="AD153" s="123" t="s">
        <v>60</v>
      </c>
      <c r="AE153" s="129" t="s">
        <v>365</v>
      </c>
      <c r="AF153" s="29"/>
      <c r="AG153" s="30"/>
      <c r="AH153" s="30"/>
      <c r="AI153" s="30"/>
      <c r="AJ153" s="31"/>
      <c r="AK153" s="31"/>
      <c r="AL153" s="31"/>
      <c r="AM153" s="31"/>
      <c r="AN153" s="31"/>
      <c r="AO153" s="31"/>
      <c r="AP153" s="31"/>
      <c r="AQ153" s="35"/>
    </row>
    <row r="154" ht="15.75" customHeight="1">
      <c r="A154" s="163"/>
      <c r="B154" s="114" t="s">
        <v>230</v>
      </c>
      <c r="C154" s="114" t="s">
        <v>350</v>
      </c>
      <c r="D154" s="115" t="s">
        <v>87</v>
      </c>
      <c r="E154" s="115" t="s">
        <v>375</v>
      </c>
      <c r="F154" s="116">
        <v>2015.0</v>
      </c>
      <c r="G154" s="114"/>
      <c r="H154" s="116">
        <v>0.0</v>
      </c>
      <c r="I154" s="116">
        <v>12.6</v>
      </c>
      <c r="J154" s="117">
        <v>0.57</v>
      </c>
      <c r="K154" s="116">
        <v>7.2</v>
      </c>
      <c r="L154" s="114"/>
      <c r="M154" s="114"/>
      <c r="N154" s="116">
        <v>9.0</v>
      </c>
      <c r="O154" s="116">
        <v>117.0</v>
      </c>
      <c r="P154" s="114"/>
      <c r="Q154" s="140">
        <v>6240.0</v>
      </c>
      <c r="R154" s="114" t="s">
        <v>234</v>
      </c>
      <c r="S154" s="115">
        <v>2015.0</v>
      </c>
      <c r="T154" s="85">
        <v>0.258</v>
      </c>
      <c r="U154" s="118">
        <f t="shared" si="75"/>
        <v>1609.92</v>
      </c>
      <c r="V154" s="24">
        <f t="shared" si="59"/>
        <v>127.7714286</v>
      </c>
      <c r="W154" s="3">
        <f t="shared" si="31"/>
        <v>0</v>
      </c>
      <c r="X154" s="3">
        <f t="shared" si="32"/>
        <v>0</v>
      </c>
      <c r="Y154" s="3">
        <f t="shared" si="33"/>
        <v>0</v>
      </c>
      <c r="Z154" s="25">
        <f t="shared" si="34"/>
        <v>0</v>
      </c>
      <c r="AA154" s="26">
        <f>VLOOKUP(S154,CPI!$A$2:$F$71,6,0)</f>
        <v>1.359035428</v>
      </c>
      <c r="AB154" s="27">
        <f t="shared" si="60"/>
        <v>2187.938316</v>
      </c>
      <c r="AC154" s="27">
        <f t="shared" si="61"/>
        <v>173.6458981</v>
      </c>
      <c r="AD154" s="114"/>
      <c r="AE154" s="161" t="s">
        <v>355</v>
      </c>
      <c r="AF154" s="164"/>
      <c r="AG154" s="165"/>
      <c r="AH154" s="165"/>
      <c r="AI154" s="165"/>
      <c r="AJ154" s="166"/>
      <c r="AK154" s="166"/>
      <c r="AL154" s="166"/>
      <c r="AM154" s="31"/>
      <c r="AN154" s="31"/>
      <c r="AO154" s="31"/>
      <c r="AP154" s="31"/>
      <c r="AQ154" s="35"/>
    </row>
    <row r="155" ht="15.75" customHeight="1">
      <c r="A155" s="163"/>
      <c r="B155" s="114" t="s">
        <v>230</v>
      </c>
      <c r="C155" s="114" t="s">
        <v>350</v>
      </c>
      <c r="D155" s="115" t="s">
        <v>121</v>
      </c>
      <c r="E155" s="115" t="s">
        <v>376</v>
      </c>
      <c r="F155" s="116">
        <v>2021.0</v>
      </c>
      <c r="G155" s="116"/>
      <c r="H155" s="116">
        <v>0.0</v>
      </c>
      <c r="I155" s="116">
        <v>26.14</v>
      </c>
      <c r="J155" s="117">
        <v>0.79</v>
      </c>
      <c r="K155" s="116">
        <v>20.64</v>
      </c>
      <c r="L155" s="114"/>
      <c r="M155" s="114"/>
      <c r="N155" s="116">
        <v>9.0</v>
      </c>
      <c r="O155" s="116">
        <v>184.0</v>
      </c>
      <c r="P155" s="114"/>
      <c r="Q155" s="140">
        <v>17151.0</v>
      </c>
      <c r="R155" s="114" t="s">
        <v>234</v>
      </c>
      <c r="S155" s="115">
        <v>2021.0</v>
      </c>
      <c r="T155" s="136">
        <v>0.239000000000001</v>
      </c>
      <c r="U155" s="118">
        <f t="shared" si="75"/>
        <v>4099.089</v>
      </c>
      <c r="V155" s="24">
        <f t="shared" si="59"/>
        <v>156.8128921</v>
      </c>
      <c r="W155" s="3">
        <f t="shared" si="31"/>
        <v>0</v>
      </c>
      <c r="X155" s="3">
        <f t="shared" si="32"/>
        <v>0</v>
      </c>
      <c r="Y155" s="3">
        <f t="shared" si="33"/>
        <v>0</v>
      </c>
      <c r="Z155" s="25">
        <f t="shared" si="34"/>
        <v>0</v>
      </c>
      <c r="AA155" s="26">
        <f>VLOOKUP(S155,CPI!$A$2:$F$71,6,0)</f>
        <v>1.188745987</v>
      </c>
      <c r="AB155" s="27">
        <f t="shared" si="60"/>
        <v>4872.775598</v>
      </c>
      <c r="AC155" s="27">
        <f t="shared" si="61"/>
        <v>186.4106962</v>
      </c>
      <c r="AD155" s="114"/>
      <c r="AE155" s="119" t="s">
        <v>377</v>
      </c>
      <c r="AF155" s="184" t="s">
        <v>378</v>
      </c>
      <c r="AG155" s="165"/>
      <c r="AH155" s="165"/>
      <c r="AI155" s="165"/>
      <c r="AJ155" s="166"/>
      <c r="AK155" s="166"/>
      <c r="AL155" s="166"/>
      <c r="AM155" s="31"/>
      <c r="AN155" s="31"/>
      <c r="AO155" s="31"/>
      <c r="AP155" s="31"/>
      <c r="AQ155" s="35"/>
    </row>
    <row r="156" ht="15.75" customHeight="1">
      <c r="A156" s="162">
        <v>9493.0</v>
      </c>
      <c r="B156" s="72" t="s">
        <v>230</v>
      </c>
      <c r="C156" s="72" t="s">
        <v>350</v>
      </c>
      <c r="D156" s="115" t="s">
        <v>243</v>
      </c>
      <c r="E156" s="115" t="s">
        <v>379</v>
      </c>
      <c r="F156" s="69">
        <v>2021.0</v>
      </c>
      <c r="G156" s="69"/>
      <c r="H156" s="69">
        <v>0.0</v>
      </c>
      <c r="I156" s="69">
        <v>29.1</v>
      </c>
      <c r="J156" s="117">
        <v>1.0</v>
      </c>
      <c r="K156" s="69">
        <v>29.1</v>
      </c>
      <c r="L156" s="72"/>
      <c r="M156" s="72"/>
      <c r="N156" s="69">
        <v>25.0</v>
      </c>
      <c r="O156" s="69">
        <v>138.0</v>
      </c>
      <c r="P156" s="72"/>
      <c r="Q156" s="140">
        <v>23757.0</v>
      </c>
      <c r="R156" s="72" t="s">
        <v>234</v>
      </c>
      <c r="S156" s="130">
        <v>2019.0</v>
      </c>
      <c r="T156" s="136">
        <v>0.238</v>
      </c>
      <c r="U156" s="3">
        <f t="shared" si="75"/>
        <v>5654.166</v>
      </c>
      <c r="V156" s="24">
        <f t="shared" si="59"/>
        <v>194.3012371</v>
      </c>
      <c r="W156" s="3">
        <f t="shared" si="31"/>
        <v>0</v>
      </c>
      <c r="X156" s="3">
        <f t="shared" si="32"/>
        <v>0</v>
      </c>
      <c r="Y156" s="3">
        <f t="shared" si="33"/>
        <v>0</v>
      </c>
      <c r="Z156" s="25">
        <f t="shared" si="34"/>
        <v>0</v>
      </c>
      <c r="AA156" s="26">
        <f>VLOOKUP(S156,CPI!$A$2:$F$71,6,0)</f>
        <v>1.259947899</v>
      </c>
      <c r="AB156" s="27">
        <f t="shared" si="60"/>
        <v>7123.954572</v>
      </c>
      <c r="AC156" s="27">
        <f t="shared" si="61"/>
        <v>244.8094355</v>
      </c>
      <c r="AD156" s="2" t="s">
        <v>60</v>
      </c>
      <c r="AE156" s="79" t="s">
        <v>380</v>
      </c>
      <c r="AF156" s="185" t="s">
        <v>381</v>
      </c>
      <c r="AG156" s="60"/>
      <c r="AH156" s="60"/>
      <c r="AI156" s="60"/>
      <c r="AJ156" s="181"/>
      <c r="AK156" s="181"/>
      <c r="AL156" s="181"/>
      <c r="AM156" s="32"/>
      <c r="AN156" s="32"/>
      <c r="AO156" s="32"/>
      <c r="AP156" s="32"/>
      <c r="AQ156" s="33"/>
    </row>
    <row r="157" ht="15.75" customHeight="1">
      <c r="A157" s="163"/>
      <c r="B157" s="114" t="s">
        <v>230</v>
      </c>
      <c r="C157" s="114" t="s">
        <v>350</v>
      </c>
      <c r="D157" s="114" t="s">
        <v>382</v>
      </c>
      <c r="E157" s="114" t="s">
        <v>382</v>
      </c>
      <c r="F157" s="116">
        <v>2021.0</v>
      </c>
      <c r="G157" s="114"/>
      <c r="H157" s="116">
        <v>1.0</v>
      </c>
      <c r="I157" s="116">
        <v>38.7</v>
      </c>
      <c r="J157" s="117">
        <v>0.27</v>
      </c>
      <c r="K157" s="116">
        <v>10.42</v>
      </c>
      <c r="L157" s="114"/>
      <c r="M157" s="114"/>
      <c r="N157" s="116">
        <v>7.0</v>
      </c>
      <c r="O157" s="116">
        <v>184.0</v>
      </c>
      <c r="P157" s="114"/>
      <c r="Q157" s="140">
        <v>12903.0</v>
      </c>
      <c r="R157" s="114" t="s">
        <v>234</v>
      </c>
      <c r="S157" s="115">
        <v>2021.0</v>
      </c>
      <c r="T157" s="136">
        <v>0.239000000000001</v>
      </c>
      <c r="U157" s="118">
        <f t="shared" si="75"/>
        <v>3083.817</v>
      </c>
      <c r="V157" s="24">
        <f t="shared" si="59"/>
        <v>79.6851938</v>
      </c>
      <c r="W157" s="3">
        <f t="shared" si="31"/>
        <v>0</v>
      </c>
      <c r="X157" s="3">
        <f t="shared" si="32"/>
        <v>0</v>
      </c>
      <c r="Y157" s="3">
        <f t="shared" si="33"/>
        <v>0</v>
      </c>
      <c r="Z157" s="25">
        <f t="shared" si="34"/>
        <v>0</v>
      </c>
      <c r="AA157" s="26">
        <f>VLOOKUP(S157,CPI!$A$2:$F$71,6,0)</f>
        <v>1.188745987</v>
      </c>
      <c r="AB157" s="27">
        <f t="shared" si="60"/>
        <v>3665.875082</v>
      </c>
      <c r="AC157" s="27">
        <f t="shared" si="61"/>
        <v>94.72545432</v>
      </c>
      <c r="AD157" s="114"/>
      <c r="AE157" s="119" t="s">
        <v>383</v>
      </c>
      <c r="AF157" s="164"/>
      <c r="AG157" s="165"/>
      <c r="AH157" s="165"/>
      <c r="AI157" s="165"/>
      <c r="AJ157" s="166"/>
      <c r="AK157" s="166"/>
      <c r="AL157" s="166"/>
      <c r="AM157" s="32"/>
      <c r="AN157" s="32"/>
      <c r="AO157" s="32"/>
      <c r="AP157" s="32"/>
      <c r="AQ157" s="33"/>
    </row>
    <row r="158" ht="15.75" customHeight="1">
      <c r="A158" s="163"/>
      <c r="B158" s="114" t="s">
        <v>230</v>
      </c>
      <c r="C158" s="114" t="s">
        <v>350</v>
      </c>
      <c r="D158" s="114" t="s">
        <v>384</v>
      </c>
      <c r="E158" s="114" t="s">
        <v>384</v>
      </c>
      <c r="F158" s="116">
        <v>2022.0</v>
      </c>
      <c r="G158" s="114"/>
      <c r="H158" s="116">
        <v>1.0</v>
      </c>
      <c r="I158" s="116">
        <v>59.0</v>
      </c>
      <c r="J158" s="117">
        <v>0.17</v>
      </c>
      <c r="K158" s="116">
        <v>9.85</v>
      </c>
      <c r="L158" s="114"/>
      <c r="M158" s="114"/>
      <c r="N158" s="116">
        <v>13.0</v>
      </c>
      <c r="O158" s="116">
        <v>184.0</v>
      </c>
      <c r="P158" s="114"/>
      <c r="Q158" s="140">
        <v>22600.0</v>
      </c>
      <c r="R158" s="114" t="s">
        <v>234</v>
      </c>
      <c r="S158" s="115">
        <v>2021.0</v>
      </c>
      <c r="T158" s="136">
        <v>0.239000000000001</v>
      </c>
      <c r="U158" s="118">
        <f t="shared" si="75"/>
        <v>5401.4</v>
      </c>
      <c r="V158" s="24">
        <f t="shared" si="59"/>
        <v>91.54915254</v>
      </c>
      <c r="W158" s="3">
        <f t="shared" si="31"/>
        <v>0</v>
      </c>
      <c r="X158" s="3">
        <f t="shared" si="32"/>
        <v>0</v>
      </c>
      <c r="Y158" s="3">
        <f t="shared" si="33"/>
        <v>0</v>
      </c>
      <c r="Z158" s="25">
        <f t="shared" si="34"/>
        <v>0</v>
      </c>
      <c r="AA158" s="26">
        <f>VLOOKUP(S158,CPI!$A$2:$F$71,6,0)</f>
        <v>1.188745987</v>
      </c>
      <c r="AB158" s="27">
        <f t="shared" si="60"/>
        <v>6420.892572</v>
      </c>
      <c r="AC158" s="27">
        <f t="shared" si="61"/>
        <v>108.8286877</v>
      </c>
      <c r="AD158" s="114"/>
      <c r="AE158" s="119" t="s">
        <v>385</v>
      </c>
      <c r="AF158" s="167" t="s">
        <v>386</v>
      </c>
      <c r="AG158" s="168"/>
      <c r="AH158" s="168"/>
      <c r="AI158" s="169"/>
      <c r="AJ158" s="166"/>
      <c r="AK158" s="166"/>
      <c r="AL158" s="166"/>
      <c r="AM158" s="32"/>
      <c r="AN158" s="32"/>
      <c r="AO158" s="32"/>
      <c r="AP158" s="32"/>
      <c r="AQ158" s="33"/>
    </row>
    <row r="159" ht="15.75" customHeight="1">
      <c r="A159" s="38">
        <v>8066.0</v>
      </c>
      <c r="B159" s="72" t="s">
        <v>230</v>
      </c>
      <c r="C159" s="72" t="s">
        <v>387</v>
      </c>
      <c r="D159" s="72" t="s">
        <v>388</v>
      </c>
      <c r="E159" s="72" t="s">
        <v>388</v>
      </c>
      <c r="F159" s="69">
        <v>2012.0</v>
      </c>
      <c r="G159" s="69">
        <v>2016.0</v>
      </c>
      <c r="H159" s="69">
        <v>0.0</v>
      </c>
      <c r="I159" s="69">
        <v>50.93</v>
      </c>
      <c r="J159" s="117">
        <v>0.86</v>
      </c>
      <c r="K159" s="69">
        <v>43.622</v>
      </c>
      <c r="L159" s="72"/>
      <c r="M159" s="72"/>
      <c r="N159" s="69">
        <v>33.0</v>
      </c>
      <c r="O159" s="69">
        <v>117.0</v>
      </c>
      <c r="P159" s="72"/>
      <c r="Q159" s="140">
        <v>34163.0</v>
      </c>
      <c r="R159" s="72" t="s">
        <v>234</v>
      </c>
      <c r="S159" s="115">
        <v>2014.0</v>
      </c>
      <c r="T159" s="136">
        <v>0.266</v>
      </c>
      <c r="U159" s="118">
        <f t="shared" si="75"/>
        <v>9087.358</v>
      </c>
      <c r="V159" s="24">
        <f t="shared" si="59"/>
        <v>178.4283919</v>
      </c>
      <c r="W159" s="3">
        <f t="shared" si="31"/>
        <v>0</v>
      </c>
      <c r="X159" s="3">
        <f t="shared" si="32"/>
        <v>0</v>
      </c>
      <c r="Y159" s="3">
        <f t="shared" si="33"/>
        <v>0</v>
      </c>
      <c r="Z159" s="25">
        <f t="shared" si="34"/>
        <v>0</v>
      </c>
      <c r="AA159" s="26">
        <f>VLOOKUP(S159,CPI!$A$2:$F$71,6,0)</f>
        <v>1.360648571</v>
      </c>
      <c r="AB159" s="27">
        <f t="shared" si="60"/>
        <v>12364.70067</v>
      </c>
      <c r="AC159" s="27">
        <f t="shared" si="61"/>
        <v>242.7783364</v>
      </c>
      <c r="AD159" s="72"/>
      <c r="AE159" s="182" t="s">
        <v>389</v>
      </c>
      <c r="AF159" s="186"/>
      <c r="AG159" s="187"/>
      <c r="AH159" s="187"/>
      <c r="AI159" s="187"/>
      <c r="AJ159" s="81"/>
      <c r="AK159" s="81"/>
      <c r="AL159" s="81"/>
      <c r="AM159" s="32"/>
      <c r="AN159" s="32"/>
      <c r="AO159" s="32"/>
      <c r="AP159" s="32"/>
      <c r="AQ159" s="33"/>
    </row>
    <row r="160" ht="15.75" customHeight="1">
      <c r="A160" s="38">
        <v>8123.0</v>
      </c>
      <c r="B160" s="130" t="s">
        <v>230</v>
      </c>
      <c r="C160" s="130" t="s">
        <v>387</v>
      </c>
      <c r="D160" s="36" t="s">
        <v>84</v>
      </c>
      <c r="E160" s="130" t="s">
        <v>319</v>
      </c>
      <c r="F160" s="130">
        <v>2013.0</v>
      </c>
      <c r="G160" s="130">
        <v>2017.0</v>
      </c>
      <c r="H160" s="130">
        <v>0.0</v>
      </c>
      <c r="I160" s="130">
        <v>40.0</v>
      </c>
      <c r="J160" s="131"/>
      <c r="K160" s="130"/>
      <c r="L160" s="132" t="e">
        <v>#N/A</v>
      </c>
      <c r="M160" s="132" t="e">
        <v>#N/A</v>
      </c>
      <c r="N160" s="130">
        <v>25.0</v>
      </c>
      <c r="O160" s="138"/>
      <c r="P160" s="130" t="s">
        <v>42</v>
      </c>
      <c r="Q160" s="135">
        <v>20046.0</v>
      </c>
      <c r="R160" s="130" t="s">
        <v>234</v>
      </c>
      <c r="S160" s="130">
        <v>2013.0</v>
      </c>
      <c r="T160" s="136">
        <v>0.273</v>
      </c>
      <c r="U160" s="128">
        <f t="shared" ref="U160:U161" si="77">T160*Q160</f>
        <v>5472.558</v>
      </c>
      <c r="V160" s="24">
        <f t="shared" si="59"/>
        <v>136.81395</v>
      </c>
      <c r="W160" s="3">
        <f t="shared" si="31"/>
        <v>0</v>
      </c>
      <c r="X160" s="3">
        <f t="shared" si="32"/>
        <v>0</v>
      </c>
      <c r="Y160" s="3">
        <f t="shared" si="33"/>
        <v>0</v>
      </c>
      <c r="Z160" s="25">
        <f t="shared" si="34"/>
        <v>0</v>
      </c>
      <c r="AA160" s="26">
        <f>VLOOKUP(S160,CPI!$A$2:$F$71,6,0)</f>
        <v>1.382720845</v>
      </c>
      <c r="AB160" s="27">
        <f t="shared" si="60"/>
        <v>7567.020025</v>
      </c>
      <c r="AC160" s="27">
        <f t="shared" si="61"/>
        <v>189.1755006</v>
      </c>
      <c r="AD160" s="130" t="s">
        <v>42</v>
      </c>
      <c r="AE160" s="137" t="s">
        <v>390</v>
      </c>
      <c r="AF160" s="29"/>
      <c r="AG160" s="30"/>
      <c r="AH160" s="30"/>
      <c r="AI160" s="30"/>
      <c r="AJ160" s="31"/>
      <c r="AK160" s="31"/>
      <c r="AL160" s="31"/>
      <c r="AM160" s="32"/>
      <c r="AN160" s="32"/>
      <c r="AO160" s="32"/>
      <c r="AP160" s="32"/>
      <c r="AQ160" s="33"/>
    </row>
    <row r="161" ht="15.75" customHeight="1">
      <c r="A161" s="38">
        <v>8090.0</v>
      </c>
      <c r="B161" s="130" t="s">
        <v>230</v>
      </c>
      <c r="C161" s="130" t="s">
        <v>387</v>
      </c>
      <c r="D161" s="36" t="s">
        <v>110</v>
      </c>
      <c r="E161" s="130" t="s">
        <v>332</v>
      </c>
      <c r="F161" s="130">
        <v>2013.0</v>
      </c>
      <c r="G161" s="130">
        <v>2018.0</v>
      </c>
      <c r="H161" s="130">
        <v>0.0</v>
      </c>
      <c r="I161" s="130">
        <v>15.77</v>
      </c>
      <c r="J161" s="131">
        <v>0.7006975269</v>
      </c>
      <c r="K161" s="130">
        <v>11.05</v>
      </c>
      <c r="L161" s="132">
        <v>4.731</v>
      </c>
      <c r="M161" s="132">
        <v>0.0</v>
      </c>
      <c r="N161" s="130">
        <v>9.0</v>
      </c>
      <c r="O161" s="138"/>
      <c r="P161" s="130" t="s">
        <v>60</v>
      </c>
      <c r="Q161" s="135">
        <v>8805.0</v>
      </c>
      <c r="R161" s="130" t="s">
        <v>234</v>
      </c>
      <c r="S161" s="130">
        <v>2013.0</v>
      </c>
      <c r="T161" s="136">
        <v>0.273</v>
      </c>
      <c r="U161" s="128">
        <f t="shared" si="77"/>
        <v>2403.765</v>
      </c>
      <c r="V161" s="24">
        <f t="shared" si="59"/>
        <v>152.4264426</v>
      </c>
      <c r="W161" s="3">
        <f t="shared" si="31"/>
        <v>0</v>
      </c>
      <c r="X161" s="3">
        <f t="shared" si="32"/>
        <v>0</v>
      </c>
      <c r="Y161" s="3">
        <f t="shared" si="33"/>
        <v>0</v>
      </c>
      <c r="Z161" s="25">
        <f t="shared" si="34"/>
        <v>0</v>
      </c>
      <c r="AA161" s="26">
        <f>VLOOKUP(S161,CPI!$A$2:$F$71,6,0)</f>
        <v>1.382720845</v>
      </c>
      <c r="AB161" s="27">
        <f t="shared" si="60"/>
        <v>3323.735973</v>
      </c>
      <c r="AC161" s="27">
        <f t="shared" si="61"/>
        <v>210.7632196</v>
      </c>
      <c r="AD161" s="130" t="s">
        <v>60</v>
      </c>
      <c r="AE161" s="137" t="s">
        <v>391</v>
      </c>
      <c r="AF161" s="29"/>
      <c r="AG161" s="30"/>
      <c r="AH161" s="30"/>
      <c r="AI161" s="30"/>
      <c r="AJ161" s="31"/>
      <c r="AK161" s="31"/>
      <c r="AL161" s="31"/>
      <c r="AM161" s="32"/>
      <c r="AN161" s="32"/>
      <c r="AO161" s="32"/>
      <c r="AP161" s="32"/>
      <c r="AQ161" s="33"/>
    </row>
    <row r="162" ht="15.75" customHeight="1">
      <c r="A162" s="170">
        <v>7944.0</v>
      </c>
      <c r="B162" s="123" t="s">
        <v>230</v>
      </c>
      <c r="C162" s="123" t="s">
        <v>387</v>
      </c>
      <c r="D162" s="16" t="s">
        <v>239</v>
      </c>
      <c r="E162" s="123" t="s">
        <v>239</v>
      </c>
      <c r="F162" s="75">
        <v>2014.0</v>
      </c>
      <c r="G162" s="75">
        <v>2020.0</v>
      </c>
      <c r="H162" s="75">
        <v>0.0</v>
      </c>
      <c r="I162" s="75">
        <v>44.09</v>
      </c>
      <c r="J162" s="124">
        <v>0.811521887</v>
      </c>
      <c r="K162" s="75">
        <v>35.78</v>
      </c>
      <c r="L162" s="125">
        <v>7.06</v>
      </c>
      <c r="M162" s="125">
        <v>1.3171</v>
      </c>
      <c r="N162" s="75">
        <v>27.0</v>
      </c>
      <c r="O162" s="75"/>
      <c r="P162" s="123" t="s">
        <v>60</v>
      </c>
      <c r="Q162" s="126">
        <v>31098.0</v>
      </c>
      <c r="R162" s="123" t="s">
        <v>234</v>
      </c>
      <c r="S162" s="75">
        <v>2018.0</v>
      </c>
      <c r="T162" s="136">
        <v>0.237</v>
      </c>
      <c r="U162" s="128">
        <f>Q162*T162</f>
        <v>7370.226</v>
      </c>
      <c r="V162" s="24">
        <f t="shared" si="59"/>
        <v>167.1632116</v>
      </c>
      <c r="W162" s="3">
        <f t="shared" si="31"/>
        <v>0</v>
      </c>
      <c r="X162" s="3">
        <f t="shared" si="32"/>
        <v>0</v>
      </c>
      <c r="Y162" s="3">
        <f t="shared" si="33"/>
        <v>0</v>
      </c>
      <c r="Z162" s="25">
        <f t="shared" si="34"/>
        <v>0</v>
      </c>
      <c r="AA162" s="26">
        <f>VLOOKUP(S162,CPI!$A$2:$F$71,6,0)</f>
        <v>1.28277786</v>
      </c>
      <c r="AB162" s="27">
        <f t="shared" si="60"/>
        <v>9454.362733</v>
      </c>
      <c r="AC162" s="27">
        <f t="shared" si="61"/>
        <v>214.4332668</v>
      </c>
      <c r="AD162" s="123" t="s">
        <v>60</v>
      </c>
      <c r="AE162" s="129" t="s">
        <v>391</v>
      </c>
      <c r="AF162" s="29"/>
      <c r="AG162" s="30"/>
      <c r="AH162" s="30"/>
      <c r="AI162" s="30"/>
      <c r="AJ162" s="31"/>
      <c r="AK162" s="31"/>
      <c r="AL162" s="31"/>
      <c r="AM162" s="32"/>
      <c r="AN162" s="32"/>
      <c r="AO162" s="32"/>
      <c r="AP162" s="32"/>
      <c r="AQ162" s="33"/>
    </row>
    <row r="163" ht="15.75" customHeight="1">
      <c r="A163" s="38">
        <v>8074.0</v>
      </c>
      <c r="B163" s="130" t="s">
        <v>230</v>
      </c>
      <c r="C163" s="130" t="s">
        <v>387</v>
      </c>
      <c r="D163" s="36" t="s">
        <v>80</v>
      </c>
      <c r="E163" s="130" t="s">
        <v>392</v>
      </c>
      <c r="F163" s="130">
        <v>2016.0</v>
      </c>
      <c r="G163" s="130">
        <v>2020.0</v>
      </c>
      <c r="H163" s="130">
        <v>0.0</v>
      </c>
      <c r="I163" s="130">
        <v>13.99</v>
      </c>
      <c r="J163" s="131">
        <v>0.6383130808</v>
      </c>
      <c r="K163" s="130">
        <v>8.93</v>
      </c>
      <c r="L163" s="132">
        <v>0.0</v>
      </c>
      <c r="M163" s="132">
        <v>0.0</v>
      </c>
      <c r="N163" s="130">
        <v>7.0</v>
      </c>
      <c r="O163" s="133">
        <v>117.0</v>
      </c>
      <c r="P163" s="134" t="s">
        <v>60</v>
      </c>
      <c r="Q163" s="135">
        <v>7474.0</v>
      </c>
      <c r="R163" s="130" t="s">
        <v>234</v>
      </c>
      <c r="S163" s="130">
        <v>2018.0</v>
      </c>
      <c r="T163" s="136">
        <v>0.237</v>
      </c>
      <c r="U163" s="128">
        <f t="shared" ref="U163:U164" si="78">T163*Q163</f>
        <v>1771.338</v>
      </c>
      <c r="V163" s="24">
        <f t="shared" si="59"/>
        <v>126.6145818</v>
      </c>
      <c r="W163" s="3">
        <f t="shared" si="31"/>
        <v>0</v>
      </c>
      <c r="X163" s="3">
        <f t="shared" si="32"/>
        <v>0</v>
      </c>
      <c r="Y163" s="3">
        <f t="shared" si="33"/>
        <v>0</v>
      </c>
      <c r="Z163" s="25">
        <f t="shared" si="34"/>
        <v>0</v>
      </c>
      <c r="AA163" s="26">
        <f>VLOOKUP(S163,CPI!$A$2:$F$71,6,0)</f>
        <v>1.28277786</v>
      </c>
      <c r="AB163" s="27">
        <f t="shared" si="60"/>
        <v>2272.233168</v>
      </c>
      <c r="AC163" s="27">
        <f t="shared" si="61"/>
        <v>162.4183823</v>
      </c>
      <c r="AD163" s="130" t="s">
        <v>60</v>
      </c>
      <c r="AE163" s="137" t="s">
        <v>391</v>
      </c>
      <c r="AF163" s="29"/>
      <c r="AG163" s="30"/>
      <c r="AH163" s="30"/>
      <c r="AI163" s="30"/>
      <c r="AJ163" s="31"/>
      <c r="AK163" s="31"/>
      <c r="AL163" s="31"/>
      <c r="AM163" s="32"/>
      <c r="AN163" s="32"/>
      <c r="AO163" s="32"/>
      <c r="AP163" s="32"/>
      <c r="AQ163" s="33"/>
    </row>
    <row r="164" ht="15.75" customHeight="1">
      <c r="A164" s="38">
        <v>8081.0</v>
      </c>
      <c r="B164" s="130" t="s">
        <v>230</v>
      </c>
      <c r="C164" s="130" t="s">
        <v>387</v>
      </c>
      <c r="D164" s="36" t="s">
        <v>253</v>
      </c>
      <c r="E164" s="130" t="s">
        <v>393</v>
      </c>
      <c r="F164" s="130">
        <v>2016.0</v>
      </c>
      <c r="G164" s="130">
        <v>2020.0</v>
      </c>
      <c r="H164" s="130">
        <v>0.0</v>
      </c>
      <c r="I164" s="130">
        <v>10.77</v>
      </c>
      <c r="J164" s="131"/>
      <c r="K164" s="130"/>
      <c r="L164" s="132" t="e">
        <v>#N/A</v>
      </c>
      <c r="M164" s="132" t="e">
        <v>#N/A</v>
      </c>
      <c r="N164" s="130">
        <v>5.0</v>
      </c>
      <c r="O164" s="138"/>
      <c r="P164" s="130" t="s">
        <v>42</v>
      </c>
      <c r="Q164" s="135">
        <v>5613.0</v>
      </c>
      <c r="R164" s="130" t="s">
        <v>234</v>
      </c>
      <c r="S164" s="130">
        <v>2013.0</v>
      </c>
      <c r="T164" s="136">
        <v>0.273</v>
      </c>
      <c r="U164" s="128">
        <f t="shared" si="78"/>
        <v>1532.349</v>
      </c>
      <c r="V164" s="24">
        <f t="shared" si="59"/>
        <v>142.2793872</v>
      </c>
      <c r="W164" s="3">
        <f t="shared" si="31"/>
        <v>0</v>
      </c>
      <c r="X164" s="3">
        <f t="shared" si="32"/>
        <v>0</v>
      </c>
      <c r="Y164" s="3">
        <f t="shared" si="33"/>
        <v>0</v>
      </c>
      <c r="Z164" s="25">
        <f t="shared" si="34"/>
        <v>0</v>
      </c>
      <c r="AA164" s="26">
        <f>VLOOKUP(S164,CPI!$A$2:$F$71,6,0)</f>
        <v>1.382720845</v>
      </c>
      <c r="AB164" s="27">
        <f t="shared" si="60"/>
        <v>2118.810905</v>
      </c>
      <c r="AC164" s="27">
        <f t="shared" si="61"/>
        <v>196.7326745</v>
      </c>
      <c r="AD164" s="130" t="s">
        <v>42</v>
      </c>
      <c r="AE164" s="137" t="s">
        <v>390</v>
      </c>
      <c r="AF164" s="29"/>
      <c r="AG164" s="30"/>
      <c r="AH164" s="30"/>
      <c r="AI164" s="30"/>
      <c r="AJ164" s="31"/>
      <c r="AK164" s="31"/>
      <c r="AL164" s="31"/>
      <c r="AM164" s="32"/>
      <c r="AN164" s="32"/>
      <c r="AO164" s="32"/>
      <c r="AP164" s="32"/>
      <c r="AQ164" s="33"/>
    </row>
    <row r="165" ht="15.75" customHeight="1">
      <c r="A165" s="170">
        <v>7882.0</v>
      </c>
      <c r="B165" s="123" t="s">
        <v>230</v>
      </c>
      <c r="C165" s="123" t="s">
        <v>387</v>
      </c>
      <c r="D165" s="36" t="s">
        <v>84</v>
      </c>
      <c r="E165" s="123" t="s">
        <v>394</v>
      </c>
      <c r="F165" s="75">
        <v>2019.0</v>
      </c>
      <c r="G165" s="75">
        <v>2024.0</v>
      </c>
      <c r="H165" s="69">
        <v>0.0</v>
      </c>
      <c r="I165" s="69">
        <v>8.95</v>
      </c>
      <c r="J165" s="117">
        <v>1.0</v>
      </c>
      <c r="K165" s="69">
        <v>8.95</v>
      </c>
      <c r="L165" s="72"/>
      <c r="M165" s="72"/>
      <c r="N165" s="69">
        <v>7.0</v>
      </c>
      <c r="O165" s="69">
        <v>117.0</v>
      </c>
      <c r="P165" s="72"/>
      <c r="Q165" s="140">
        <v>8900.0</v>
      </c>
      <c r="R165" s="72" t="s">
        <v>234</v>
      </c>
      <c r="S165" s="115">
        <v>2021.0</v>
      </c>
      <c r="T165" s="136">
        <v>0.239</v>
      </c>
      <c r="U165" s="118">
        <f t="shared" ref="U165:U175" si="79">Q165*T165</f>
        <v>2127.1</v>
      </c>
      <c r="V165" s="24">
        <f t="shared" si="59"/>
        <v>237.6648045</v>
      </c>
      <c r="W165" s="3">
        <f t="shared" si="31"/>
        <v>0</v>
      </c>
      <c r="X165" s="3">
        <f t="shared" si="32"/>
        <v>0</v>
      </c>
      <c r="Y165" s="3">
        <f t="shared" si="33"/>
        <v>0</v>
      </c>
      <c r="Z165" s="25">
        <f t="shared" si="34"/>
        <v>0</v>
      </c>
      <c r="AA165" s="26">
        <f>VLOOKUP(S165,CPI!$A$2:$F$71,6,0)</f>
        <v>1.188745987</v>
      </c>
      <c r="AB165" s="27">
        <f t="shared" si="60"/>
        <v>2528.581588</v>
      </c>
      <c r="AC165" s="27">
        <f t="shared" si="61"/>
        <v>282.5230825</v>
      </c>
      <c r="AD165" s="72" t="s">
        <v>36</v>
      </c>
      <c r="AE165" s="79" t="s">
        <v>395</v>
      </c>
      <c r="AF165" s="29"/>
      <c r="AG165" s="30"/>
      <c r="AH165" s="30"/>
      <c r="AI165" s="30"/>
      <c r="AJ165" s="31"/>
      <c r="AK165" s="31"/>
      <c r="AL165" s="31"/>
      <c r="AM165" s="32"/>
      <c r="AN165" s="32"/>
      <c r="AO165" s="32"/>
      <c r="AP165" s="32"/>
      <c r="AQ165" s="33"/>
    </row>
    <row r="166" ht="15.75" customHeight="1">
      <c r="A166" s="170">
        <v>7952.0</v>
      </c>
      <c r="B166" s="123" t="s">
        <v>230</v>
      </c>
      <c r="C166" s="123" t="s">
        <v>387</v>
      </c>
      <c r="D166" s="36" t="s">
        <v>84</v>
      </c>
      <c r="E166" s="123" t="s">
        <v>396</v>
      </c>
      <c r="F166" s="75">
        <v>2019.0</v>
      </c>
      <c r="G166" s="75">
        <v>2024.0</v>
      </c>
      <c r="H166" s="75">
        <v>0.0</v>
      </c>
      <c r="I166" s="75">
        <v>28.96</v>
      </c>
      <c r="J166" s="124">
        <v>0.6256906077</v>
      </c>
      <c r="K166" s="75">
        <v>18.12</v>
      </c>
      <c r="L166" s="125">
        <v>0.0</v>
      </c>
      <c r="M166" s="125">
        <v>0.0</v>
      </c>
      <c r="N166" s="75">
        <v>19.0</v>
      </c>
      <c r="O166" s="75"/>
      <c r="P166" s="123" t="s">
        <v>60</v>
      </c>
      <c r="Q166" s="126">
        <v>20334.0</v>
      </c>
      <c r="R166" s="123" t="s">
        <v>234</v>
      </c>
      <c r="S166" s="75">
        <v>2018.0</v>
      </c>
      <c r="T166" s="136">
        <v>0.237</v>
      </c>
      <c r="U166" s="128">
        <f t="shared" si="79"/>
        <v>4819.158</v>
      </c>
      <c r="V166" s="24">
        <f t="shared" si="59"/>
        <v>166.4073895</v>
      </c>
      <c r="W166" s="3">
        <f t="shared" si="31"/>
        <v>0</v>
      </c>
      <c r="X166" s="3">
        <f t="shared" si="32"/>
        <v>0</v>
      </c>
      <c r="Y166" s="3">
        <f t="shared" si="33"/>
        <v>0</v>
      </c>
      <c r="Z166" s="25">
        <f t="shared" si="34"/>
        <v>0</v>
      </c>
      <c r="AA166" s="26">
        <f>VLOOKUP(S166,CPI!$A$2:$F$71,6,0)</f>
        <v>1.28277786</v>
      </c>
      <c r="AB166" s="27">
        <f t="shared" si="60"/>
        <v>6181.909184</v>
      </c>
      <c r="AC166" s="27">
        <f t="shared" si="61"/>
        <v>213.4637149</v>
      </c>
      <c r="AD166" s="123" t="s">
        <v>60</v>
      </c>
      <c r="AE166" s="129" t="s">
        <v>391</v>
      </c>
      <c r="AF166" s="29"/>
      <c r="AG166" s="30"/>
      <c r="AH166" s="30"/>
      <c r="AI166" s="30"/>
      <c r="AJ166" s="31"/>
      <c r="AK166" s="31"/>
      <c r="AL166" s="31"/>
      <c r="AM166" s="32"/>
      <c r="AN166" s="32"/>
      <c r="AO166" s="32"/>
      <c r="AP166" s="32"/>
      <c r="AQ166" s="33"/>
    </row>
    <row r="167" ht="15.75" customHeight="1">
      <c r="A167" s="163"/>
      <c r="B167" s="114" t="s">
        <v>230</v>
      </c>
      <c r="C167" s="114" t="s">
        <v>387</v>
      </c>
      <c r="D167" s="16" t="s">
        <v>351</v>
      </c>
      <c r="E167" s="115" t="s">
        <v>397</v>
      </c>
      <c r="F167" s="82">
        <v>2020.0</v>
      </c>
      <c r="G167" s="116">
        <v>2025.0</v>
      </c>
      <c r="H167" s="116">
        <v>0.0</v>
      </c>
      <c r="I167" s="116">
        <v>10.61</v>
      </c>
      <c r="J167" s="117">
        <v>1.0</v>
      </c>
      <c r="K167" s="116">
        <v>10.61</v>
      </c>
      <c r="L167" s="114"/>
      <c r="M167" s="114"/>
      <c r="N167" s="116">
        <v>8.0</v>
      </c>
      <c r="O167" s="116">
        <v>117.0</v>
      </c>
      <c r="P167" s="114"/>
      <c r="Q167" s="140">
        <v>9966.0</v>
      </c>
      <c r="R167" s="114" t="s">
        <v>234</v>
      </c>
      <c r="S167" s="115">
        <v>2023.0</v>
      </c>
      <c r="T167" s="136">
        <v>0.239000000000001</v>
      </c>
      <c r="U167" s="118">
        <f t="shared" si="79"/>
        <v>2381.874</v>
      </c>
      <c r="V167" s="24">
        <f t="shared" si="59"/>
        <v>224.4933082</v>
      </c>
      <c r="W167" s="3">
        <f t="shared" si="31"/>
        <v>0</v>
      </c>
      <c r="X167" s="3">
        <f t="shared" si="32"/>
        <v>0</v>
      </c>
      <c r="Y167" s="3">
        <f t="shared" si="33"/>
        <v>0</v>
      </c>
      <c r="Z167" s="25">
        <f t="shared" si="34"/>
        <v>0</v>
      </c>
      <c r="AA167" s="26">
        <f>VLOOKUP(S167,CPI!$A$2:$F$71,6,0)</f>
        <v>1.057145998</v>
      </c>
      <c r="AB167" s="27">
        <f t="shared" si="60"/>
        <v>2517.988568</v>
      </c>
      <c r="AC167" s="27">
        <f t="shared" si="61"/>
        <v>237.3222024</v>
      </c>
      <c r="AD167" s="114"/>
      <c r="AE167" s="188" t="s">
        <v>398</v>
      </c>
      <c r="AF167" s="164"/>
      <c r="AG167" s="165"/>
      <c r="AH167" s="165"/>
      <c r="AI167" s="165"/>
      <c r="AJ167" s="166"/>
      <c r="AK167" s="166"/>
      <c r="AL167" s="166"/>
      <c r="AM167" s="32"/>
      <c r="AN167" s="32"/>
      <c r="AO167" s="32"/>
      <c r="AP167" s="32"/>
      <c r="AQ167" s="33"/>
    </row>
    <row r="168" ht="15.75" customHeight="1">
      <c r="A168" s="163"/>
      <c r="B168" s="114" t="s">
        <v>230</v>
      </c>
      <c r="C168" s="114" t="s">
        <v>387</v>
      </c>
      <c r="D168" s="36" t="s">
        <v>110</v>
      </c>
      <c r="E168" s="114" t="s">
        <v>399</v>
      </c>
      <c r="F168" s="116">
        <v>2021.0</v>
      </c>
      <c r="G168" s="116">
        <v>2026.0</v>
      </c>
      <c r="H168" s="116">
        <v>0.0</v>
      </c>
      <c r="I168" s="116">
        <v>10.9</v>
      </c>
      <c r="J168" s="117">
        <v>1.0</v>
      </c>
      <c r="K168" s="116">
        <v>10.9</v>
      </c>
      <c r="L168" s="114"/>
      <c r="M168" s="114"/>
      <c r="N168" s="116">
        <v>9.0</v>
      </c>
      <c r="O168" s="116">
        <v>117.0</v>
      </c>
      <c r="P168" s="114"/>
      <c r="Q168" s="140">
        <v>10603.0</v>
      </c>
      <c r="R168" s="114" t="s">
        <v>234</v>
      </c>
      <c r="S168" s="115">
        <v>2021.0</v>
      </c>
      <c r="T168" s="136">
        <v>0.239000000000001</v>
      </c>
      <c r="U168" s="118">
        <f t="shared" si="79"/>
        <v>2534.117</v>
      </c>
      <c r="V168" s="24">
        <f t="shared" si="59"/>
        <v>232.4877982</v>
      </c>
      <c r="W168" s="3">
        <f t="shared" si="31"/>
        <v>0</v>
      </c>
      <c r="X168" s="3">
        <f t="shared" si="32"/>
        <v>0</v>
      </c>
      <c r="Y168" s="3">
        <f t="shared" si="33"/>
        <v>0</v>
      </c>
      <c r="Z168" s="25">
        <f t="shared" si="34"/>
        <v>0</v>
      </c>
      <c r="AA168" s="26">
        <f>VLOOKUP(S168,CPI!$A$2:$F$71,6,0)</f>
        <v>1.188745987</v>
      </c>
      <c r="AB168" s="27">
        <f t="shared" si="60"/>
        <v>3012.421413</v>
      </c>
      <c r="AC168" s="27">
        <f t="shared" si="61"/>
        <v>276.368937</v>
      </c>
      <c r="AD168" s="114"/>
      <c r="AE168" s="119" t="s">
        <v>400</v>
      </c>
      <c r="AF168" s="184" t="s">
        <v>401</v>
      </c>
      <c r="AG168" s="165"/>
      <c r="AH168" s="165"/>
      <c r="AI168" s="165"/>
      <c r="AJ168" s="166"/>
      <c r="AK168" s="166"/>
      <c r="AL168" s="166"/>
      <c r="AM168" s="32"/>
      <c r="AN168" s="32"/>
      <c r="AO168" s="32"/>
      <c r="AP168" s="32"/>
      <c r="AQ168" s="33"/>
    </row>
    <row r="169" ht="15.75" customHeight="1">
      <c r="A169" s="163"/>
      <c r="B169" s="114" t="s">
        <v>230</v>
      </c>
      <c r="C169" s="114" t="s">
        <v>387</v>
      </c>
      <c r="D169" s="16" t="s">
        <v>121</v>
      </c>
      <c r="E169" s="115" t="s">
        <v>402</v>
      </c>
      <c r="F169" s="116">
        <v>2022.0</v>
      </c>
      <c r="G169" s="116">
        <v>2026.0</v>
      </c>
      <c r="H169" s="116">
        <v>0.0</v>
      </c>
      <c r="I169" s="116">
        <v>14.18</v>
      </c>
      <c r="J169" s="117">
        <v>1.0</v>
      </c>
      <c r="K169" s="116">
        <v>14.18</v>
      </c>
      <c r="L169" s="114"/>
      <c r="M169" s="114"/>
      <c r="N169" s="116">
        <v>9.0</v>
      </c>
      <c r="O169" s="116">
        <v>117.0</v>
      </c>
      <c r="P169" s="114"/>
      <c r="Q169" s="140">
        <v>12256.96</v>
      </c>
      <c r="R169" s="114" t="s">
        <v>234</v>
      </c>
      <c r="S169" s="115">
        <v>2024.0</v>
      </c>
      <c r="T169" s="136">
        <v>0.239000000000001</v>
      </c>
      <c r="U169" s="118">
        <f t="shared" si="79"/>
        <v>2929.41344</v>
      </c>
      <c r="V169" s="24">
        <f t="shared" si="59"/>
        <v>206.5876897</v>
      </c>
      <c r="W169" s="3">
        <f t="shared" si="31"/>
        <v>0</v>
      </c>
      <c r="X169" s="3">
        <f t="shared" si="32"/>
        <v>0</v>
      </c>
      <c r="Y169" s="3">
        <f t="shared" si="33"/>
        <v>0</v>
      </c>
      <c r="Z169" s="25">
        <f t="shared" si="34"/>
        <v>0</v>
      </c>
      <c r="AA169" s="26">
        <f>VLOOKUP(S169,CPI!$A$2:$F$71,6,0)</f>
        <v>1</v>
      </c>
      <c r="AB169" s="27">
        <f t="shared" si="60"/>
        <v>2929.41344</v>
      </c>
      <c r="AC169" s="27">
        <f t="shared" si="61"/>
        <v>206.5876897</v>
      </c>
      <c r="AD169" s="114"/>
      <c r="AE169" s="119" t="s">
        <v>403</v>
      </c>
      <c r="AF169" s="164"/>
      <c r="AG169" s="165"/>
      <c r="AH169" s="189"/>
      <c r="AI169" s="165"/>
      <c r="AJ169" s="166"/>
      <c r="AK169" s="166"/>
      <c r="AL169" s="166"/>
      <c r="AM169" s="32"/>
      <c r="AN169" s="32"/>
      <c r="AO169" s="32"/>
      <c r="AP169" s="32"/>
      <c r="AQ169" s="33"/>
    </row>
    <row r="170" ht="15.75" customHeight="1">
      <c r="A170" s="163"/>
      <c r="B170" s="114" t="s">
        <v>230</v>
      </c>
      <c r="C170" s="114" t="s">
        <v>387</v>
      </c>
      <c r="D170" s="115" t="s">
        <v>260</v>
      </c>
      <c r="E170" s="115" t="s">
        <v>261</v>
      </c>
      <c r="F170" s="116">
        <v>2021.0</v>
      </c>
      <c r="G170" s="116">
        <v>2027.0</v>
      </c>
      <c r="H170" s="116">
        <v>1.0</v>
      </c>
      <c r="I170" s="116">
        <v>38.73</v>
      </c>
      <c r="J170" s="117">
        <v>0.92</v>
      </c>
      <c r="K170" s="116">
        <v>35.463</v>
      </c>
      <c r="L170" s="114"/>
      <c r="M170" s="114"/>
      <c r="N170" s="116">
        <v>14.0</v>
      </c>
      <c r="O170" s="116">
        <v>138.0</v>
      </c>
      <c r="P170" s="114"/>
      <c r="Q170" s="140">
        <v>27398.0</v>
      </c>
      <c r="R170" s="114" t="s">
        <v>234</v>
      </c>
      <c r="S170" s="115">
        <v>2021.0</v>
      </c>
      <c r="T170" s="136">
        <v>0.239000000000001</v>
      </c>
      <c r="U170" s="118">
        <f t="shared" si="79"/>
        <v>6548.122</v>
      </c>
      <c r="V170" s="24">
        <f t="shared" si="59"/>
        <v>169.071056</v>
      </c>
      <c r="W170" s="3">
        <f t="shared" si="31"/>
        <v>0</v>
      </c>
      <c r="X170" s="3">
        <f t="shared" si="32"/>
        <v>0</v>
      </c>
      <c r="Y170" s="3">
        <f t="shared" si="33"/>
        <v>0</v>
      </c>
      <c r="Z170" s="25">
        <f t="shared" si="34"/>
        <v>0</v>
      </c>
      <c r="AA170" s="26">
        <f>VLOOKUP(S170,CPI!$A$2:$F$71,6,0)</f>
        <v>1.188745987</v>
      </c>
      <c r="AB170" s="27">
        <f t="shared" si="60"/>
        <v>7784.053748</v>
      </c>
      <c r="AC170" s="27">
        <f t="shared" si="61"/>
        <v>200.9825393</v>
      </c>
      <c r="AD170" s="114"/>
      <c r="AE170" s="119" t="s">
        <v>404</v>
      </c>
      <c r="AF170" s="184" t="s">
        <v>405</v>
      </c>
      <c r="AG170" s="165"/>
      <c r="AH170" s="165"/>
      <c r="AI170" s="165"/>
      <c r="AJ170" s="166"/>
      <c r="AK170" s="166"/>
      <c r="AL170" s="166"/>
      <c r="AM170" s="32"/>
      <c r="AN170" s="32"/>
      <c r="AO170" s="32"/>
      <c r="AP170" s="32"/>
      <c r="AQ170" s="33"/>
    </row>
    <row r="171" ht="15.75" customHeight="1">
      <c r="A171" s="163"/>
      <c r="B171" s="114" t="s">
        <v>230</v>
      </c>
      <c r="C171" s="114" t="s">
        <v>387</v>
      </c>
      <c r="D171" s="114" t="s">
        <v>295</v>
      </c>
      <c r="E171" s="114" t="s">
        <v>295</v>
      </c>
      <c r="F171" s="116">
        <v>2021.0</v>
      </c>
      <c r="G171" s="116">
        <v>2027.0</v>
      </c>
      <c r="H171" s="116">
        <v>1.0</v>
      </c>
      <c r="I171" s="116">
        <v>51.789</v>
      </c>
      <c r="J171" s="117">
        <v>0.98</v>
      </c>
      <c r="K171" s="116">
        <v>50.529</v>
      </c>
      <c r="L171" s="114"/>
      <c r="M171" s="114"/>
      <c r="N171" s="116">
        <v>14.0</v>
      </c>
      <c r="O171" s="116">
        <v>138.0</v>
      </c>
      <c r="P171" s="114"/>
      <c r="Q171" s="140">
        <v>34587.0</v>
      </c>
      <c r="R171" s="114" t="s">
        <v>234</v>
      </c>
      <c r="S171" s="115">
        <v>2021.0</v>
      </c>
      <c r="T171" s="136">
        <v>0.239000000000001</v>
      </c>
      <c r="U171" s="118">
        <f t="shared" si="79"/>
        <v>8266.293</v>
      </c>
      <c r="V171" s="24">
        <f t="shared" si="59"/>
        <v>159.614841</v>
      </c>
      <c r="W171" s="3">
        <f t="shared" si="31"/>
        <v>0</v>
      </c>
      <c r="X171" s="3">
        <f t="shared" si="32"/>
        <v>0</v>
      </c>
      <c r="Y171" s="3">
        <f t="shared" si="33"/>
        <v>0</v>
      </c>
      <c r="Z171" s="25">
        <f t="shared" si="34"/>
        <v>0</v>
      </c>
      <c r="AA171" s="26">
        <f>VLOOKUP(S171,CPI!$A$2:$F$71,6,0)</f>
        <v>1.188745987</v>
      </c>
      <c r="AB171" s="27">
        <f t="shared" si="60"/>
        <v>9826.522628</v>
      </c>
      <c r="AC171" s="27">
        <f t="shared" si="61"/>
        <v>189.7415016</v>
      </c>
      <c r="AD171" s="114"/>
      <c r="AE171" s="119" t="s">
        <v>406</v>
      </c>
      <c r="AF171" s="167" t="s">
        <v>407</v>
      </c>
      <c r="AG171" s="168"/>
      <c r="AH171" s="168"/>
      <c r="AI171" s="169"/>
      <c r="AJ171" s="166"/>
      <c r="AK171" s="166"/>
      <c r="AL171" s="166"/>
      <c r="AM171" s="32"/>
      <c r="AN171" s="32"/>
      <c r="AO171" s="32"/>
      <c r="AP171" s="32"/>
      <c r="AQ171" s="33"/>
    </row>
    <row r="172" ht="15.75" customHeight="1">
      <c r="A172" s="163"/>
      <c r="B172" s="114" t="s">
        <v>230</v>
      </c>
      <c r="C172" s="114" t="s">
        <v>387</v>
      </c>
      <c r="D172" s="114" t="s">
        <v>54</v>
      </c>
      <c r="E172" s="114" t="s">
        <v>54</v>
      </c>
      <c r="F172" s="116">
        <v>2000.0</v>
      </c>
      <c r="G172" s="114"/>
      <c r="H172" s="116">
        <v>0.0</v>
      </c>
      <c r="I172" s="116">
        <v>19.15</v>
      </c>
      <c r="J172" s="114"/>
      <c r="K172" s="114"/>
      <c r="L172" s="114"/>
      <c r="M172" s="114"/>
      <c r="N172" s="116">
        <v>18.0</v>
      </c>
      <c r="O172" s="116">
        <v>120.0</v>
      </c>
      <c r="P172" s="114"/>
      <c r="Q172" s="140">
        <v>4300.0</v>
      </c>
      <c r="R172" s="114" t="s">
        <v>234</v>
      </c>
      <c r="S172" s="115">
        <v>2000.0</v>
      </c>
      <c r="T172" s="85">
        <v>0.367</v>
      </c>
      <c r="U172" s="118">
        <f t="shared" si="79"/>
        <v>1578.1</v>
      </c>
      <c r="V172" s="24">
        <f t="shared" si="59"/>
        <v>82.4073107</v>
      </c>
      <c r="W172" s="3">
        <f t="shared" si="31"/>
        <v>0</v>
      </c>
      <c r="X172" s="3">
        <f t="shared" si="32"/>
        <v>0</v>
      </c>
      <c r="Y172" s="3">
        <f t="shared" si="33"/>
        <v>0</v>
      </c>
      <c r="Z172" s="25">
        <f t="shared" si="34"/>
        <v>0</v>
      </c>
      <c r="AA172" s="26">
        <f>VLOOKUP(S172,CPI!$A$2:$F$71,6,0)</f>
        <v>1.870583624</v>
      </c>
      <c r="AB172" s="27">
        <f t="shared" si="60"/>
        <v>2951.968017</v>
      </c>
      <c r="AC172" s="27">
        <f t="shared" si="61"/>
        <v>154.1497659</v>
      </c>
      <c r="AD172" s="114"/>
      <c r="AE172" s="119" t="s">
        <v>408</v>
      </c>
      <c r="AF172" s="167" t="s">
        <v>409</v>
      </c>
      <c r="AG172" s="168"/>
      <c r="AH172" s="168"/>
      <c r="AI172" s="169"/>
      <c r="AJ172" s="166"/>
      <c r="AK172" s="166"/>
      <c r="AL172" s="166"/>
      <c r="AM172" s="32"/>
      <c r="AN172" s="32"/>
      <c r="AO172" s="32"/>
      <c r="AP172" s="32"/>
      <c r="AQ172" s="33"/>
    </row>
    <row r="173" ht="15.75" customHeight="1">
      <c r="A173" s="163"/>
      <c r="B173" s="114" t="s">
        <v>230</v>
      </c>
      <c r="C173" s="114" t="s">
        <v>387</v>
      </c>
      <c r="D173" s="115" t="s">
        <v>57</v>
      </c>
      <c r="E173" s="115" t="s">
        <v>410</v>
      </c>
      <c r="F173" s="116">
        <v>2007.0</v>
      </c>
      <c r="G173" s="114"/>
      <c r="H173" s="116">
        <v>0.0</v>
      </c>
      <c r="I173" s="116">
        <v>15.5</v>
      </c>
      <c r="J173" s="114"/>
      <c r="K173" s="114"/>
      <c r="L173" s="114"/>
      <c r="M173" s="114"/>
      <c r="N173" s="116">
        <v>9.0</v>
      </c>
      <c r="O173" s="116">
        <v>117.0</v>
      </c>
      <c r="P173" s="114"/>
      <c r="Q173" s="140">
        <v>5014.0</v>
      </c>
      <c r="R173" s="114" t="s">
        <v>234</v>
      </c>
      <c r="S173" s="115">
        <v>2007.0</v>
      </c>
      <c r="T173" s="85">
        <v>0.333</v>
      </c>
      <c r="U173" s="118">
        <f t="shared" si="79"/>
        <v>1669.662</v>
      </c>
      <c r="V173" s="24">
        <f t="shared" si="59"/>
        <v>107.720129</v>
      </c>
      <c r="W173" s="3">
        <f t="shared" si="31"/>
        <v>0</v>
      </c>
      <c r="X173" s="3">
        <f t="shared" si="32"/>
        <v>0</v>
      </c>
      <c r="Y173" s="3">
        <f t="shared" si="33"/>
        <v>0</v>
      </c>
      <c r="Z173" s="25">
        <f t="shared" si="34"/>
        <v>0</v>
      </c>
      <c r="AA173" s="26">
        <f>VLOOKUP(S173,CPI!$A$2:$F$71,6,0)</f>
        <v>1.553541974</v>
      </c>
      <c r="AB173" s="27">
        <f t="shared" si="60"/>
        <v>2593.89</v>
      </c>
      <c r="AC173" s="27">
        <f t="shared" si="61"/>
        <v>167.3477419</v>
      </c>
      <c r="AD173" s="114"/>
      <c r="AE173" s="119" t="s">
        <v>411</v>
      </c>
      <c r="AF173" s="164"/>
      <c r="AG173" s="165"/>
      <c r="AH173" s="165"/>
      <c r="AI173" s="165"/>
      <c r="AJ173" s="166"/>
      <c r="AK173" s="166"/>
      <c r="AL173" s="166"/>
      <c r="AM173" s="32"/>
      <c r="AN173" s="32"/>
      <c r="AO173" s="32"/>
      <c r="AP173" s="32"/>
      <c r="AQ173" s="33"/>
    </row>
    <row r="174" ht="15.75" customHeight="1">
      <c r="A174" s="163"/>
      <c r="B174" s="114" t="s">
        <v>230</v>
      </c>
      <c r="C174" s="114" t="s">
        <v>387</v>
      </c>
      <c r="D174" s="115" t="s">
        <v>57</v>
      </c>
      <c r="E174" s="115" t="s">
        <v>232</v>
      </c>
      <c r="F174" s="116">
        <v>2007.0</v>
      </c>
      <c r="G174" s="114"/>
      <c r="H174" s="116">
        <v>0.0</v>
      </c>
      <c r="I174" s="116">
        <v>16.5</v>
      </c>
      <c r="J174" s="114"/>
      <c r="K174" s="114"/>
      <c r="L174" s="114"/>
      <c r="M174" s="114"/>
      <c r="N174" s="116">
        <v>14.0</v>
      </c>
      <c r="O174" s="116">
        <v>117.0</v>
      </c>
      <c r="P174" s="114"/>
      <c r="Q174" s="140">
        <v>7500.0</v>
      </c>
      <c r="R174" s="114" t="s">
        <v>234</v>
      </c>
      <c r="S174" s="115">
        <v>2007.0</v>
      </c>
      <c r="T174" s="85">
        <v>0.333</v>
      </c>
      <c r="U174" s="118">
        <f t="shared" si="79"/>
        <v>2497.5</v>
      </c>
      <c r="V174" s="24">
        <f t="shared" si="59"/>
        <v>151.3636364</v>
      </c>
      <c r="W174" s="3">
        <f t="shared" si="31"/>
        <v>0</v>
      </c>
      <c r="X174" s="3">
        <f t="shared" si="32"/>
        <v>0</v>
      </c>
      <c r="Y174" s="3">
        <f t="shared" si="33"/>
        <v>0</v>
      </c>
      <c r="Z174" s="25">
        <f t="shared" si="34"/>
        <v>0</v>
      </c>
      <c r="AA174" s="26">
        <f>VLOOKUP(S174,CPI!$A$2:$F$71,6,0)</f>
        <v>1.553541974</v>
      </c>
      <c r="AB174" s="27">
        <f t="shared" si="60"/>
        <v>3879.97108</v>
      </c>
      <c r="AC174" s="27">
        <f t="shared" si="61"/>
        <v>235.1497624</v>
      </c>
      <c r="AD174" s="114"/>
      <c r="AE174" s="119" t="s">
        <v>411</v>
      </c>
      <c r="AF174" s="164"/>
      <c r="AG174" s="165"/>
      <c r="AH174" s="165"/>
      <c r="AI174" s="165"/>
      <c r="AJ174" s="166"/>
      <c r="AK174" s="166"/>
      <c r="AL174" s="166"/>
      <c r="AM174" s="32"/>
      <c r="AN174" s="32"/>
      <c r="AO174" s="32"/>
      <c r="AP174" s="32"/>
      <c r="AQ174" s="33"/>
    </row>
    <row r="175" ht="15.75" customHeight="1">
      <c r="A175" s="163"/>
      <c r="B175" s="114" t="s">
        <v>230</v>
      </c>
      <c r="C175" s="114" t="s">
        <v>387</v>
      </c>
      <c r="D175" s="114" t="s">
        <v>87</v>
      </c>
      <c r="E175" s="114" t="s">
        <v>87</v>
      </c>
      <c r="F175" s="116">
        <v>2007.0</v>
      </c>
      <c r="G175" s="114"/>
      <c r="H175" s="116">
        <v>0.0</v>
      </c>
      <c r="I175" s="116">
        <v>39.1</v>
      </c>
      <c r="J175" s="114"/>
      <c r="K175" s="114"/>
      <c r="L175" s="114"/>
      <c r="M175" s="114"/>
      <c r="N175" s="116">
        <v>29.0</v>
      </c>
      <c r="O175" s="116">
        <v>120.0</v>
      </c>
      <c r="P175" s="114"/>
      <c r="Q175" s="140">
        <v>13800.0</v>
      </c>
      <c r="R175" s="114" t="s">
        <v>234</v>
      </c>
      <c r="S175" s="115">
        <v>2007.0</v>
      </c>
      <c r="T175" s="85">
        <v>0.333</v>
      </c>
      <c r="U175" s="118">
        <f t="shared" si="79"/>
        <v>4595.4</v>
      </c>
      <c r="V175" s="24">
        <f t="shared" si="59"/>
        <v>117.5294118</v>
      </c>
      <c r="W175" s="3">
        <f t="shared" si="31"/>
        <v>0</v>
      </c>
      <c r="X175" s="3">
        <f t="shared" si="32"/>
        <v>0</v>
      </c>
      <c r="Y175" s="3">
        <f t="shared" si="33"/>
        <v>0</v>
      </c>
      <c r="Z175" s="25">
        <f t="shared" si="34"/>
        <v>0</v>
      </c>
      <c r="AA175" s="26">
        <f>VLOOKUP(S175,CPI!$A$2:$F$71,6,0)</f>
        <v>1.553541974</v>
      </c>
      <c r="AB175" s="27">
        <f t="shared" si="60"/>
        <v>7139.146788</v>
      </c>
      <c r="AC175" s="27">
        <f t="shared" si="61"/>
        <v>182.5868744</v>
      </c>
      <c r="AD175" s="114"/>
      <c r="AE175" s="119" t="s">
        <v>412</v>
      </c>
      <c r="AF175" s="164"/>
      <c r="AG175" s="165"/>
      <c r="AH175" s="165"/>
      <c r="AI175" s="165"/>
      <c r="AJ175" s="166"/>
      <c r="AK175" s="166"/>
      <c r="AL175" s="166"/>
      <c r="AM175" s="32"/>
      <c r="AN175" s="32"/>
      <c r="AO175" s="32"/>
      <c r="AP175" s="32"/>
      <c r="AQ175" s="33"/>
    </row>
    <row r="176" ht="15.75" customHeight="1">
      <c r="A176" s="38">
        <v>8121.0</v>
      </c>
      <c r="B176" s="130" t="s">
        <v>230</v>
      </c>
      <c r="C176" s="130" t="s">
        <v>387</v>
      </c>
      <c r="D176" s="36" t="s">
        <v>80</v>
      </c>
      <c r="E176" s="72" t="s">
        <v>413</v>
      </c>
      <c r="F176" s="69">
        <v>2013.0</v>
      </c>
      <c r="G176" s="72"/>
      <c r="H176" s="69">
        <v>0.0</v>
      </c>
      <c r="I176" s="69">
        <v>12.1</v>
      </c>
      <c r="J176" s="117">
        <v>0.98</v>
      </c>
      <c r="K176" s="69">
        <v>11.9</v>
      </c>
      <c r="L176" s="72"/>
      <c r="M176" s="72"/>
      <c r="N176" s="69">
        <v>5.0</v>
      </c>
      <c r="O176" s="70">
        <v>117.0</v>
      </c>
      <c r="P176" s="72"/>
      <c r="Q176" s="140">
        <v>5563.0</v>
      </c>
      <c r="R176" s="72" t="s">
        <v>234</v>
      </c>
      <c r="S176" s="130">
        <v>2013.0</v>
      </c>
      <c r="T176" s="136">
        <v>0.273</v>
      </c>
      <c r="U176" s="128">
        <f>T176*Q176</f>
        <v>1518.699</v>
      </c>
      <c r="V176" s="24">
        <f t="shared" si="59"/>
        <v>125.512314</v>
      </c>
      <c r="W176" s="3">
        <f t="shared" si="31"/>
        <v>0</v>
      </c>
      <c r="X176" s="3">
        <f t="shared" si="32"/>
        <v>0</v>
      </c>
      <c r="Y176" s="3">
        <f t="shared" si="33"/>
        <v>0</v>
      </c>
      <c r="Z176" s="25">
        <f t="shared" si="34"/>
        <v>0</v>
      </c>
      <c r="AA176" s="26">
        <f>VLOOKUP(S176,CPI!$A$2:$F$71,6,0)</f>
        <v>1.382720845</v>
      </c>
      <c r="AB176" s="27">
        <f t="shared" si="60"/>
        <v>2099.936765</v>
      </c>
      <c r="AC176" s="27">
        <f t="shared" si="61"/>
        <v>173.548493</v>
      </c>
      <c r="AD176" s="130" t="s">
        <v>42</v>
      </c>
      <c r="AE176" s="137" t="s">
        <v>390</v>
      </c>
      <c r="AF176" s="29"/>
      <c r="AG176" s="30"/>
      <c r="AH176" s="30"/>
      <c r="AI176" s="30"/>
      <c r="AJ176" s="31"/>
      <c r="AK176" s="31"/>
      <c r="AL176" s="31"/>
      <c r="AM176" s="32"/>
      <c r="AN176" s="32"/>
      <c r="AO176" s="32"/>
      <c r="AP176" s="32"/>
      <c r="AQ176" s="33"/>
    </row>
    <row r="177" ht="15.75" customHeight="1">
      <c r="A177" s="163"/>
      <c r="B177" s="114" t="s">
        <v>230</v>
      </c>
      <c r="C177" s="114" t="s">
        <v>387</v>
      </c>
      <c r="D177" s="171" t="s">
        <v>414</v>
      </c>
      <c r="E177" s="114" t="s">
        <v>415</v>
      </c>
      <c r="F177" s="116">
        <v>2018.0</v>
      </c>
      <c r="G177" s="114"/>
      <c r="H177" s="116">
        <v>0.0</v>
      </c>
      <c r="I177" s="116">
        <v>4.6</v>
      </c>
      <c r="J177" s="114"/>
      <c r="K177" s="114"/>
      <c r="L177" s="114"/>
      <c r="M177" s="114"/>
      <c r="N177" s="116">
        <v>2.0</v>
      </c>
      <c r="O177" s="116">
        <v>117.0</v>
      </c>
      <c r="P177" s="114"/>
      <c r="Q177" s="140">
        <v>3500.0</v>
      </c>
      <c r="R177" s="114" t="s">
        <v>234</v>
      </c>
      <c r="S177" s="115">
        <v>2018.0</v>
      </c>
      <c r="T177" s="85">
        <v>0.237</v>
      </c>
      <c r="U177" s="118">
        <f t="shared" ref="U177:U183" si="80">Q177*T177</f>
        <v>829.5</v>
      </c>
      <c r="V177" s="24">
        <f t="shared" si="59"/>
        <v>180.326087</v>
      </c>
      <c r="W177" s="3">
        <f t="shared" si="31"/>
        <v>0</v>
      </c>
      <c r="X177" s="3">
        <f t="shared" si="32"/>
        <v>0</v>
      </c>
      <c r="Y177" s="3">
        <f t="shared" si="33"/>
        <v>0</v>
      </c>
      <c r="Z177" s="25">
        <f t="shared" si="34"/>
        <v>0</v>
      </c>
      <c r="AA177" s="26">
        <f>VLOOKUP(S177,CPI!$A$2:$F$71,6,0)</f>
        <v>1.28277786</v>
      </c>
      <c r="AB177" s="27">
        <f t="shared" si="60"/>
        <v>1064.064235</v>
      </c>
      <c r="AC177" s="27">
        <f t="shared" si="61"/>
        <v>231.3183119</v>
      </c>
      <c r="AD177" s="114"/>
      <c r="AE177" s="161" t="s">
        <v>416</v>
      </c>
      <c r="AF177" s="164"/>
      <c r="AG177" s="165"/>
      <c r="AH177" s="165"/>
      <c r="AI177" s="165"/>
      <c r="AJ177" s="166"/>
      <c r="AK177" s="166"/>
      <c r="AL177" s="166"/>
      <c r="AM177" s="32"/>
      <c r="AN177" s="32"/>
      <c r="AO177" s="32"/>
      <c r="AP177" s="32"/>
      <c r="AQ177" s="33"/>
    </row>
    <row r="178" ht="15.75" customHeight="1">
      <c r="A178" s="163"/>
      <c r="B178" s="114" t="s">
        <v>230</v>
      </c>
      <c r="C178" s="114" t="s">
        <v>387</v>
      </c>
      <c r="D178" s="114" t="s">
        <v>417</v>
      </c>
      <c r="E178" s="114" t="s">
        <v>417</v>
      </c>
      <c r="F178" s="116">
        <v>2020.0</v>
      </c>
      <c r="G178" s="114"/>
      <c r="H178" s="116">
        <v>0.0</v>
      </c>
      <c r="I178" s="116">
        <v>37.353</v>
      </c>
      <c r="J178" s="117">
        <v>0.28</v>
      </c>
      <c r="K178" s="116">
        <v>10.386</v>
      </c>
      <c r="L178" s="114"/>
      <c r="M178" s="114"/>
      <c r="N178" s="116">
        <v>9.0</v>
      </c>
      <c r="O178" s="116">
        <v>92.0</v>
      </c>
      <c r="P178" s="114"/>
      <c r="Q178" s="140">
        <v>8642.0</v>
      </c>
      <c r="R178" s="114" t="s">
        <v>234</v>
      </c>
      <c r="S178" s="115">
        <v>2020.0</v>
      </c>
      <c r="T178" s="136">
        <v>0.239</v>
      </c>
      <c r="U178" s="118">
        <f t="shared" si="80"/>
        <v>2065.438</v>
      </c>
      <c r="V178" s="24">
        <f t="shared" si="59"/>
        <v>55.29510347</v>
      </c>
      <c r="W178" s="3">
        <f t="shared" si="31"/>
        <v>0</v>
      </c>
      <c r="X178" s="3">
        <f t="shared" si="32"/>
        <v>0</v>
      </c>
      <c r="Y178" s="3">
        <f t="shared" si="33"/>
        <v>0</v>
      </c>
      <c r="Z178" s="25">
        <f t="shared" si="34"/>
        <v>0</v>
      </c>
      <c r="AA178" s="26">
        <f>VLOOKUP(S178,CPI!$A$2:$F$71,6,0)</f>
        <v>1.244593545</v>
      </c>
      <c r="AB178" s="27">
        <f t="shared" si="60"/>
        <v>2570.630803</v>
      </c>
      <c r="AC178" s="27">
        <f t="shared" si="61"/>
        <v>68.81992886</v>
      </c>
      <c r="AD178" s="114"/>
      <c r="AE178" s="119" t="s">
        <v>418</v>
      </c>
      <c r="AF178" s="190" t="s">
        <v>419</v>
      </c>
      <c r="AG178" s="191" t="s">
        <v>420</v>
      </c>
      <c r="AH178" s="165"/>
      <c r="AI178" s="165"/>
      <c r="AJ178" s="166"/>
      <c r="AK178" s="166"/>
      <c r="AL178" s="166"/>
      <c r="AM178" s="32"/>
      <c r="AN178" s="32"/>
      <c r="AO178" s="32"/>
      <c r="AP178" s="32"/>
      <c r="AQ178" s="33"/>
    </row>
    <row r="179" ht="15.75" customHeight="1">
      <c r="A179" s="163"/>
      <c r="B179" s="114" t="s">
        <v>230</v>
      </c>
      <c r="C179" s="114" t="s">
        <v>387</v>
      </c>
      <c r="D179" s="171" t="s">
        <v>414</v>
      </c>
      <c r="E179" s="114" t="s">
        <v>414</v>
      </c>
      <c r="F179" s="116">
        <v>2020.0</v>
      </c>
      <c r="G179" s="114"/>
      <c r="H179" s="116">
        <v>0.0</v>
      </c>
      <c r="I179" s="116">
        <v>28.22</v>
      </c>
      <c r="J179" s="117">
        <v>0.21</v>
      </c>
      <c r="K179" s="116">
        <v>5.8</v>
      </c>
      <c r="L179" s="114"/>
      <c r="M179" s="114"/>
      <c r="N179" s="116">
        <v>7.0</v>
      </c>
      <c r="O179" s="116">
        <v>117.0</v>
      </c>
      <c r="P179" s="114"/>
      <c r="Q179" s="140">
        <v>6892.0</v>
      </c>
      <c r="R179" s="114" t="s">
        <v>234</v>
      </c>
      <c r="S179" s="115">
        <v>2020.0</v>
      </c>
      <c r="T179" s="136">
        <v>0.239</v>
      </c>
      <c r="U179" s="118">
        <f t="shared" si="80"/>
        <v>1647.188</v>
      </c>
      <c r="V179" s="24">
        <f t="shared" si="59"/>
        <v>58.36952516</v>
      </c>
      <c r="W179" s="3">
        <f t="shared" si="31"/>
        <v>0</v>
      </c>
      <c r="X179" s="3">
        <f t="shared" si="32"/>
        <v>0</v>
      </c>
      <c r="Y179" s="3">
        <f t="shared" si="33"/>
        <v>0</v>
      </c>
      <c r="Z179" s="25">
        <f t="shared" si="34"/>
        <v>0</v>
      </c>
      <c r="AA179" s="26">
        <f>VLOOKUP(S179,CPI!$A$2:$F$71,6,0)</f>
        <v>1.244593545</v>
      </c>
      <c r="AB179" s="27">
        <f t="shared" si="60"/>
        <v>2050.079552</v>
      </c>
      <c r="AC179" s="27">
        <f t="shared" si="61"/>
        <v>72.64633424</v>
      </c>
      <c r="AD179" s="114"/>
      <c r="AE179" s="119" t="s">
        <v>421</v>
      </c>
      <c r="AF179" s="167" t="s">
        <v>422</v>
      </c>
      <c r="AG179" s="168"/>
      <c r="AH179" s="168"/>
      <c r="AI179" s="169"/>
      <c r="AJ179" s="166"/>
      <c r="AK179" s="166"/>
      <c r="AL179" s="166"/>
      <c r="AM179" s="32"/>
      <c r="AN179" s="32"/>
      <c r="AO179" s="32"/>
      <c r="AP179" s="32"/>
      <c r="AQ179" s="33"/>
    </row>
    <row r="180" ht="15.75" customHeight="1">
      <c r="A180" s="163"/>
      <c r="B180" s="114" t="s">
        <v>230</v>
      </c>
      <c r="C180" s="114" t="s">
        <v>387</v>
      </c>
      <c r="D180" s="115" t="s">
        <v>260</v>
      </c>
      <c r="E180" s="115" t="s">
        <v>423</v>
      </c>
      <c r="F180" s="116">
        <v>2021.0</v>
      </c>
      <c r="G180" s="114"/>
      <c r="H180" s="116">
        <v>1.0</v>
      </c>
      <c r="I180" s="116">
        <v>32.8</v>
      </c>
      <c r="J180" s="117">
        <v>0.93</v>
      </c>
      <c r="K180" s="116">
        <v>30.5</v>
      </c>
      <c r="L180" s="114"/>
      <c r="M180" s="114"/>
      <c r="N180" s="116">
        <v>11.0</v>
      </c>
      <c r="O180" s="116">
        <v>138.0</v>
      </c>
      <c r="P180" s="114"/>
      <c r="Q180" s="140">
        <v>22659.0</v>
      </c>
      <c r="R180" s="114" t="s">
        <v>234</v>
      </c>
      <c r="S180" s="115">
        <v>2021.0</v>
      </c>
      <c r="T180" s="136">
        <v>0.239000000000001</v>
      </c>
      <c r="U180" s="118">
        <f t="shared" si="80"/>
        <v>5415.501</v>
      </c>
      <c r="V180" s="24">
        <f t="shared" si="59"/>
        <v>165.1067378</v>
      </c>
      <c r="W180" s="3">
        <f t="shared" si="31"/>
        <v>0</v>
      </c>
      <c r="X180" s="3">
        <f t="shared" si="32"/>
        <v>0</v>
      </c>
      <c r="Y180" s="3">
        <f t="shared" si="33"/>
        <v>0</v>
      </c>
      <c r="Z180" s="25">
        <f t="shared" si="34"/>
        <v>0</v>
      </c>
      <c r="AA180" s="26">
        <f>VLOOKUP(S180,CPI!$A$2:$F$71,6,0)</f>
        <v>1.188745987</v>
      </c>
      <c r="AB180" s="27">
        <f t="shared" si="60"/>
        <v>6437.655079</v>
      </c>
      <c r="AC180" s="27">
        <f t="shared" si="61"/>
        <v>196.2699719</v>
      </c>
      <c r="AD180" s="114"/>
      <c r="AE180" s="119" t="s">
        <v>424</v>
      </c>
      <c r="AF180" s="164"/>
      <c r="AG180" s="165"/>
      <c r="AH180" s="165"/>
      <c r="AI180" s="165"/>
      <c r="AJ180" s="166"/>
      <c r="AK180" s="166"/>
      <c r="AL180" s="166"/>
      <c r="AM180" s="32"/>
      <c r="AN180" s="32"/>
      <c r="AO180" s="32"/>
      <c r="AP180" s="32"/>
      <c r="AQ180" s="33"/>
    </row>
    <row r="181" ht="15.75" customHeight="1">
      <c r="A181" s="163"/>
      <c r="B181" s="114" t="s">
        <v>230</v>
      </c>
      <c r="C181" s="114" t="s">
        <v>387</v>
      </c>
      <c r="D181" s="16" t="s">
        <v>425</v>
      </c>
      <c r="E181" s="115" t="s">
        <v>426</v>
      </c>
      <c r="F181" s="116">
        <v>2021.0</v>
      </c>
      <c r="G181" s="114"/>
      <c r="H181" s="116">
        <v>0.0</v>
      </c>
      <c r="I181" s="116">
        <v>18.9</v>
      </c>
      <c r="J181" s="117">
        <v>1.0</v>
      </c>
      <c r="K181" s="116">
        <v>18.9</v>
      </c>
      <c r="L181" s="114"/>
      <c r="M181" s="114"/>
      <c r="N181" s="116">
        <v>12.0</v>
      </c>
      <c r="O181" s="116">
        <v>117.0</v>
      </c>
      <c r="P181" s="114"/>
      <c r="Q181" s="140">
        <v>15364.0</v>
      </c>
      <c r="R181" s="114" t="s">
        <v>234</v>
      </c>
      <c r="S181" s="115">
        <v>2021.0</v>
      </c>
      <c r="T181" s="136">
        <v>0.239000000000001</v>
      </c>
      <c r="U181" s="118">
        <f t="shared" si="80"/>
        <v>3671.996</v>
      </c>
      <c r="V181" s="24">
        <f t="shared" si="59"/>
        <v>194.2855026</v>
      </c>
      <c r="W181" s="3">
        <f t="shared" si="31"/>
        <v>0</v>
      </c>
      <c r="X181" s="3">
        <f t="shared" si="32"/>
        <v>0</v>
      </c>
      <c r="Y181" s="3">
        <f t="shared" si="33"/>
        <v>0</v>
      </c>
      <c r="Z181" s="25">
        <f t="shared" si="34"/>
        <v>0</v>
      </c>
      <c r="AA181" s="26">
        <f>VLOOKUP(S181,CPI!$A$2:$F$71,6,0)</f>
        <v>1.188745987</v>
      </c>
      <c r="AB181" s="27">
        <f t="shared" si="60"/>
        <v>4365.070508</v>
      </c>
      <c r="AC181" s="27">
        <f t="shared" si="61"/>
        <v>230.9561115</v>
      </c>
      <c r="AD181" s="114"/>
      <c r="AE181" s="119" t="s">
        <v>427</v>
      </c>
      <c r="AF181" s="164"/>
      <c r="AG181" s="165"/>
      <c r="AH181" s="165"/>
      <c r="AI181" s="165"/>
      <c r="AJ181" s="166"/>
      <c r="AK181" s="166"/>
      <c r="AL181" s="166"/>
      <c r="AM181" s="32"/>
      <c r="AN181" s="32"/>
      <c r="AO181" s="32"/>
      <c r="AP181" s="32"/>
      <c r="AQ181" s="33"/>
    </row>
    <row r="182" ht="15.75" customHeight="1">
      <c r="A182" s="38">
        <v>8082.0</v>
      </c>
      <c r="B182" s="72" t="s">
        <v>230</v>
      </c>
      <c r="C182" s="72" t="s">
        <v>387</v>
      </c>
      <c r="D182" s="36" t="s">
        <v>253</v>
      </c>
      <c r="E182" s="115" t="s">
        <v>362</v>
      </c>
      <c r="F182" s="69">
        <v>2021.0</v>
      </c>
      <c r="G182" s="72"/>
      <c r="H182" s="69">
        <v>0.0</v>
      </c>
      <c r="I182" s="69">
        <v>32.3</v>
      </c>
      <c r="J182" s="192"/>
      <c r="K182" s="72"/>
      <c r="L182" s="72"/>
      <c r="M182" s="72"/>
      <c r="N182" s="69">
        <v>26.0</v>
      </c>
      <c r="O182" s="69">
        <v>117.0</v>
      </c>
      <c r="P182" s="72"/>
      <c r="Q182" s="140">
        <v>21100.0</v>
      </c>
      <c r="R182" s="72" t="s">
        <v>234</v>
      </c>
      <c r="S182" s="115">
        <v>2021.0</v>
      </c>
      <c r="T182" s="136">
        <v>0.239</v>
      </c>
      <c r="U182" s="118">
        <f t="shared" si="80"/>
        <v>5042.9</v>
      </c>
      <c r="V182" s="24">
        <f t="shared" si="59"/>
        <v>156.126935</v>
      </c>
      <c r="W182" s="3">
        <f t="shared" si="31"/>
        <v>0</v>
      </c>
      <c r="X182" s="3">
        <f t="shared" si="32"/>
        <v>0</v>
      </c>
      <c r="Y182" s="3">
        <f t="shared" si="33"/>
        <v>0</v>
      </c>
      <c r="Z182" s="25">
        <f t="shared" si="34"/>
        <v>0</v>
      </c>
      <c r="AA182" s="26">
        <f>VLOOKUP(S182,CPI!$A$2:$F$71,6,0)</f>
        <v>1.188745987</v>
      </c>
      <c r="AB182" s="27">
        <f t="shared" si="60"/>
        <v>5994.727136</v>
      </c>
      <c r="AC182" s="27">
        <f t="shared" si="61"/>
        <v>185.5952674</v>
      </c>
      <c r="AD182" s="72" t="s">
        <v>36</v>
      </c>
      <c r="AE182" s="79" t="s">
        <v>428</v>
      </c>
      <c r="AF182" s="186"/>
      <c r="AG182" s="187"/>
      <c r="AH182" s="187"/>
      <c r="AI182" s="187"/>
      <c r="AJ182" s="81"/>
      <c r="AK182" s="81"/>
      <c r="AL182" s="81"/>
      <c r="AM182" s="60"/>
      <c r="AN182" s="60"/>
      <c r="AO182" s="60"/>
      <c r="AP182" s="60"/>
      <c r="AQ182" s="6"/>
    </row>
    <row r="183" ht="15.75" customHeight="1">
      <c r="A183" s="163"/>
      <c r="B183" s="114" t="s">
        <v>230</v>
      </c>
      <c r="C183" s="114" t="s">
        <v>387</v>
      </c>
      <c r="D183" s="171" t="s">
        <v>80</v>
      </c>
      <c r="E183" s="114" t="s">
        <v>342</v>
      </c>
      <c r="F183" s="116">
        <v>2022.0</v>
      </c>
      <c r="G183" s="114"/>
      <c r="H183" s="116">
        <v>0.0</v>
      </c>
      <c r="I183" s="116">
        <v>6.7</v>
      </c>
      <c r="J183" s="114"/>
      <c r="K183" s="114"/>
      <c r="L183" s="114"/>
      <c r="M183" s="114"/>
      <c r="N183" s="116">
        <v>3.0</v>
      </c>
      <c r="O183" s="116">
        <v>117.0</v>
      </c>
      <c r="P183" s="114"/>
      <c r="Q183" s="140">
        <v>4469.0</v>
      </c>
      <c r="R183" s="114" t="s">
        <v>234</v>
      </c>
      <c r="S183" s="115">
        <v>2021.0</v>
      </c>
      <c r="T183" s="136">
        <v>0.239000000000001</v>
      </c>
      <c r="U183" s="118">
        <f t="shared" si="80"/>
        <v>1068.091</v>
      </c>
      <c r="V183" s="24">
        <f t="shared" si="59"/>
        <v>159.4165672</v>
      </c>
      <c r="W183" s="3">
        <f t="shared" si="31"/>
        <v>0</v>
      </c>
      <c r="X183" s="3">
        <f t="shared" si="32"/>
        <v>0</v>
      </c>
      <c r="Y183" s="3">
        <f t="shared" si="33"/>
        <v>0</v>
      </c>
      <c r="Z183" s="25">
        <f t="shared" si="34"/>
        <v>0</v>
      </c>
      <c r="AA183" s="26">
        <f>VLOOKUP(S183,CPI!$A$2:$F$71,6,0)</f>
        <v>1.188745987</v>
      </c>
      <c r="AB183" s="27">
        <f t="shared" si="60"/>
        <v>1269.68889</v>
      </c>
      <c r="AC183" s="27">
        <f t="shared" si="61"/>
        <v>189.5058044</v>
      </c>
      <c r="AD183" s="114"/>
      <c r="AE183" s="119" t="s">
        <v>429</v>
      </c>
      <c r="AF183" s="164"/>
      <c r="AG183" s="165"/>
      <c r="AH183" s="165"/>
      <c r="AI183" s="165"/>
      <c r="AJ183" s="166"/>
      <c r="AK183" s="166"/>
      <c r="AL183" s="166"/>
      <c r="AM183" s="31"/>
      <c r="AN183" s="31"/>
      <c r="AO183" s="31"/>
      <c r="AP183" s="31"/>
      <c r="AQ183" s="35"/>
    </row>
    <row r="184" ht="15.75" customHeight="1">
      <c r="A184" s="38">
        <v>8059.0</v>
      </c>
      <c r="B184" s="130" t="s">
        <v>230</v>
      </c>
      <c r="C184" s="130" t="s">
        <v>387</v>
      </c>
      <c r="D184" s="36" t="s">
        <v>110</v>
      </c>
      <c r="E184" s="130" t="s">
        <v>358</v>
      </c>
      <c r="F184" s="130"/>
      <c r="G184" s="130"/>
      <c r="H184" s="130">
        <v>0.0</v>
      </c>
      <c r="I184" s="130">
        <v>32.6</v>
      </c>
      <c r="J184" s="131">
        <v>0.6340490798</v>
      </c>
      <c r="K184" s="130">
        <v>20.67</v>
      </c>
      <c r="L184" s="132">
        <v>0.0</v>
      </c>
      <c r="M184" s="132">
        <v>0.0</v>
      </c>
      <c r="N184" s="130">
        <v>14.0</v>
      </c>
      <c r="O184" s="138"/>
      <c r="P184" s="130" t="s">
        <v>60</v>
      </c>
      <c r="Q184" s="135">
        <v>18068.0</v>
      </c>
      <c r="R184" s="130" t="s">
        <v>234</v>
      </c>
      <c r="S184" s="130">
        <v>2018.0</v>
      </c>
      <c r="T184" s="136">
        <v>0.237</v>
      </c>
      <c r="U184" s="128">
        <f>T184*Q184</f>
        <v>4282.116</v>
      </c>
      <c r="V184" s="24">
        <f t="shared" si="59"/>
        <v>131.3532515</v>
      </c>
      <c r="W184" s="3">
        <f t="shared" si="31"/>
        <v>0</v>
      </c>
      <c r="X184" s="3">
        <f t="shared" si="32"/>
        <v>0</v>
      </c>
      <c r="Y184" s="3">
        <f t="shared" si="33"/>
        <v>0</v>
      </c>
      <c r="Z184" s="25">
        <f t="shared" si="34"/>
        <v>0</v>
      </c>
      <c r="AA184" s="26">
        <f>VLOOKUP(S184,CPI!$A$2:$F$71,6,0)</f>
        <v>1.28277786</v>
      </c>
      <c r="AB184" s="27">
        <f t="shared" si="60"/>
        <v>5493.003597</v>
      </c>
      <c r="AC184" s="27">
        <f t="shared" si="61"/>
        <v>168.4970429</v>
      </c>
      <c r="AD184" s="130" t="s">
        <v>60</v>
      </c>
      <c r="AE184" s="137" t="s">
        <v>391</v>
      </c>
      <c r="AF184" s="34"/>
      <c r="AG184" s="34"/>
      <c r="AH184" s="34"/>
      <c r="AI184" s="34"/>
      <c r="AJ184" s="35"/>
      <c r="AK184" s="35"/>
      <c r="AL184" s="35"/>
      <c r="AM184" s="35"/>
      <c r="AN184" s="35"/>
      <c r="AO184" s="35"/>
      <c r="AP184" s="35"/>
      <c r="AQ184" s="35"/>
    </row>
    <row r="185" ht="15.75" customHeight="1">
      <c r="A185" s="7"/>
      <c r="B185" s="114" t="s">
        <v>230</v>
      </c>
      <c r="C185" s="114" t="s">
        <v>430</v>
      </c>
      <c r="D185" s="115" t="s">
        <v>57</v>
      </c>
      <c r="E185" s="115" t="s">
        <v>354</v>
      </c>
      <c r="F185" s="116">
        <v>2010.0</v>
      </c>
      <c r="G185" s="116">
        <v>2021.0</v>
      </c>
      <c r="H185" s="116">
        <v>0.0</v>
      </c>
      <c r="I185" s="116">
        <v>13.2</v>
      </c>
      <c r="J185" s="117">
        <v>0.14</v>
      </c>
      <c r="K185" s="116">
        <v>1.8</v>
      </c>
      <c r="L185" s="114"/>
      <c r="M185" s="114"/>
      <c r="N185" s="116">
        <v>3.0</v>
      </c>
      <c r="O185" s="116">
        <v>117.0</v>
      </c>
      <c r="P185" s="114" t="s">
        <v>60</v>
      </c>
      <c r="Q185" s="140">
        <v>7200.0</v>
      </c>
      <c r="R185" s="114" t="s">
        <v>234</v>
      </c>
      <c r="S185" s="115">
        <v>2016.0</v>
      </c>
      <c r="T185" s="85">
        <v>0.251</v>
      </c>
      <c r="U185" s="118">
        <f t="shared" ref="U185:U186" si="81">Q185*T185</f>
        <v>1807.2</v>
      </c>
      <c r="V185" s="24">
        <f t="shared" si="59"/>
        <v>136.9090909</v>
      </c>
      <c r="W185" s="3">
        <f t="shared" si="31"/>
        <v>0</v>
      </c>
      <c r="X185" s="3">
        <f t="shared" si="32"/>
        <v>0</v>
      </c>
      <c r="Y185" s="3">
        <f t="shared" si="33"/>
        <v>0</v>
      </c>
      <c r="Z185" s="25">
        <f t="shared" si="34"/>
        <v>0</v>
      </c>
      <c r="AA185" s="26">
        <f>VLOOKUP(S185,CPI!$A$2:$F$71,6,0)</f>
        <v>1.342104605</v>
      </c>
      <c r="AB185" s="27">
        <f t="shared" si="60"/>
        <v>2425.451443</v>
      </c>
      <c r="AC185" s="27">
        <f t="shared" si="61"/>
        <v>183.7463214</v>
      </c>
      <c r="AD185" s="114" t="s">
        <v>60</v>
      </c>
      <c r="AE185" s="119" t="s">
        <v>431</v>
      </c>
      <c r="AF185" s="7"/>
      <c r="AG185" s="7"/>
      <c r="AH185" s="7"/>
      <c r="AI185" s="7"/>
      <c r="AM185" s="35"/>
      <c r="AN185" s="35"/>
      <c r="AO185" s="35"/>
      <c r="AP185" s="35"/>
      <c r="AQ185" s="35"/>
    </row>
    <row r="186" ht="15.75" customHeight="1">
      <c r="A186" s="7"/>
      <c r="B186" s="114" t="s">
        <v>230</v>
      </c>
      <c r="C186" s="114" t="s">
        <v>430</v>
      </c>
      <c r="D186" s="114" t="s">
        <v>110</v>
      </c>
      <c r="E186" s="114" t="s">
        <v>110</v>
      </c>
      <c r="F186" s="116">
        <v>2010.0</v>
      </c>
      <c r="G186" s="116">
        <v>2022.0</v>
      </c>
      <c r="H186" s="114">
        <v>0.0</v>
      </c>
      <c r="I186" s="114">
        <v>24.484</v>
      </c>
      <c r="J186" s="116">
        <v>1.0</v>
      </c>
      <c r="K186" s="116">
        <v>24.484</v>
      </c>
      <c r="L186" s="114"/>
      <c r="M186" s="114"/>
      <c r="N186" s="114">
        <v>18.0</v>
      </c>
      <c r="O186" s="116">
        <v>117.0</v>
      </c>
      <c r="P186" s="114" t="s">
        <v>36</v>
      </c>
      <c r="Q186" s="140">
        <v>18217.0</v>
      </c>
      <c r="R186" s="114" t="s">
        <v>234</v>
      </c>
      <c r="S186" s="115">
        <v>2016.0</v>
      </c>
      <c r="T186" s="85">
        <v>0.251</v>
      </c>
      <c r="U186" s="118">
        <f t="shared" si="81"/>
        <v>4572.467</v>
      </c>
      <c r="V186" s="24">
        <f t="shared" si="59"/>
        <v>186.7532674</v>
      </c>
      <c r="W186" s="3">
        <f t="shared" si="31"/>
        <v>0</v>
      </c>
      <c r="X186" s="3">
        <f t="shared" si="32"/>
        <v>0</v>
      </c>
      <c r="Y186" s="3">
        <f t="shared" si="33"/>
        <v>0</v>
      </c>
      <c r="Z186" s="25">
        <f t="shared" si="34"/>
        <v>0</v>
      </c>
      <c r="AA186" s="26">
        <f>VLOOKUP(S186,CPI!$A$2:$F$71,6,0)</f>
        <v>1.342104605</v>
      </c>
      <c r="AB186" s="27">
        <f t="shared" si="60"/>
        <v>6136.729018</v>
      </c>
      <c r="AC186" s="27">
        <f t="shared" si="61"/>
        <v>250.6424203</v>
      </c>
      <c r="AD186" s="114" t="s">
        <v>36</v>
      </c>
      <c r="AE186" s="119" t="s">
        <v>432</v>
      </c>
      <c r="AF186" s="173"/>
      <c r="AG186" s="174"/>
      <c r="AH186" s="174"/>
      <c r="AI186" s="174"/>
      <c r="AJ186" s="175"/>
      <c r="AK186" s="175"/>
      <c r="AL186" s="175"/>
      <c r="AM186" s="31"/>
      <c r="AN186" s="31"/>
      <c r="AO186" s="31"/>
      <c r="AP186" s="31"/>
      <c r="AQ186" s="35"/>
    </row>
    <row r="187" ht="15.75" customHeight="1">
      <c r="A187" s="38">
        <v>8160.0</v>
      </c>
      <c r="B187" s="130" t="s">
        <v>230</v>
      </c>
      <c r="C187" s="130" t="s">
        <v>433</v>
      </c>
      <c r="D187" s="36" t="s">
        <v>57</v>
      </c>
      <c r="E187" s="130" t="s">
        <v>232</v>
      </c>
      <c r="F187" s="69">
        <v>2021.0</v>
      </c>
      <c r="G187" s="69">
        <v>2026.0</v>
      </c>
      <c r="H187" s="69">
        <v>0.0</v>
      </c>
      <c r="I187" s="69">
        <v>57.46</v>
      </c>
      <c r="J187" s="117">
        <v>0.86</v>
      </c>
      <c r="K187" s="193">
        <v>49.4</v>
      </c>
      <c r="L187" s="72"/>
      <c r="M187" s="72"/>
      <c r="N187" s="69">
        <v>25.0</v>
      </c>
      <c r="O187" s="69">
        <v>117.0</v>
      </c>
      <c r="P187" s="72"/>
      <c r="Q187" s="73">
        <v>37976.0</v>
      </c>
      <c r="R187" s="72" t="s">
        <v>234</v>
      </c>
      <c r="S187" s="138">
        <v>2019.0</v>
      </c>
      <c r="T187" s="136">
        <v>0.238</v>
      </c>
      <c r="U187" s="194">
        <f t="shared" ref="U187:U193" si="82">T187*Q187</f>
        <v>9038.288</v>
      </c>
      <c r="V187" s="24">
        <f t="shared" si="59"/>
        <v>157.2970414</v>
      </c>
      <c r="W187" s="3">
        <f t="shared" si="31"/>
        <v>0</v>
      </c>
      <c r="X187" s="3">
        <f t="shared" si="32"/>
        <v>0</v>
      </c>
      <c r="Y187" s="3">
        <f t="shared" si="33"/>
        <v>0</v>
      </c>
      <c r="Z187" s="25">
        <f t="shared" si="34"/>
        <v>0</v>
      </c>
      <c r="AA187" s="26">
        <f>VLOOKUP(S187,CPI!$A$2:$F$71,6,0)</f>
        <v>1.259947899</v>
      </c>
      <c r="AB187" s="27">
        <f t="shared" si="60"/>
        <v>11387.77198</v>
      </c>
      <c r="AC187" s="27">
        <f t="shared" si="61"/>
        <v>198.1860768</v>
      </c>
      <c r="AD187" s="130" t="s">
        <v>60</v>
      </c>
      <c r="AE187" s="195" t="s">
        <v>434</v>
      </c>
      <c r="AF187" s="29"/>
      <c r="AG187" s="30"/>
      <c r="AH187" s="30"/>
      <c r="AI187" s="30"/>
      <c r="AJ187" s="31"/>
      <c r="AK187" s="31"/>
      <c r="AL187" s="31"/>
      <c r="AM187" s="32"/>
      <c r="AN187" s="32"/>
      <c r="AO187" s="32"/>
      <c r="AP187" s="32"/>
      <c r="AQ187" s="33"/>
    </row>
    <row r="188" ht="15.75" customHeight="1">
      <c r="A188" s="38">
        <v>8162.0</v>
      </c>
      <c r="B188" s="130" t="s">
        <v>230</v>
      </c>
      <c r="C188" s="130" t="s">
        <v>433</v>
      </c>
      <c r="D188" s="36" t="s">
        <v>57</v>
      </c>
      <c r="E188" s="130" t="s">
        <v>354</v>
      </c>
      <c r="F188" s="69">
        <v>2021.0</v>
      </c>
      <c r="G188" s="69">
        <v>2026.0</v>
      </c>
      <c r="H188" s="69">
        <v>0.0</v>
      </c>
      <c r="I188" s="69">
        <v>51.5</v>
      </c>
      <c r="J188" s="117">
        <v>1.0</v>
      </c>
      <c r="K188" s="193">
        <v>51.5</v>
      </c>
      <c r="L188" s="72"/>
      <c r="M188" s="72"/>
      <c r="N188" s="69">
        <v>20.0</v>
      </c>
      <c r="O188" s="69">
        <v>117.0</v>
      </c>
      <c r="P188" s="72"/>
      <c r="Q188" s="73">
        <v>36807.0</v>
      </c>
      <c r="R188" s="130" t="s">
        <v>234</v>
      </c>
      <c r="S188" s="138">
        <v>2019.0</v>
      </c>
      <c r="T188" s="136">
        <v>0.238</v>
      </c>
      <c r="U188" s="194">
        <f t="shared" si="82"/>
        <v>8760.066</v>
      </c>
      <c r="V188" s="24">
        <f t="shared" si="59"/>
        <v>170.0983689</v>
      </c>
      <c r="W188" s="3">
        <f t="shared" si="31"/>
        <v>0</v>
      </c>
      <c r="X188" s="3">
        <f t="shared" si="32"/>
        <v>0</v>
      </c>
      <c r="Y188" s="3">
        <f t="shared" si="33"/>
        <v>0</v>
      </c>
      <c r="Z188" s="25">
        <f t="shared" si="34"/>
        <v>0</v>
      </c>
      <c r="AA188" s="26">
        <f>VLOOKUP(S188,CPI!$A$2:$F$71,6,0)</f>
        <v>1.259947899</v>
      </c>
      <c r="AB188" s="27">
        <f t="shared" si="60"/>
        <v>11037.22675</v>
      </c>
      <c r="AC188" s="27">
        <f t="shared" si="61"/>
        <v>214.3150825</v>
      </c>
      <c r="AD188" s="130" t="s">
        <v>60</v>
      </c>
      <c r="AE188" s="196" t="s">
        <v>435</v>
      </c>
      <c r="AF188" s="29"/>
      <c r="AG188" s="30"/>
      <c r="AH188" s="30"/>
      <c r="AI188" s="30"/>
      <c r="AJ188" s="31"/>
      <c r="AK188" s="31"/>
      <c r="AL188" s="31"/>
      <c r="AM188" s="32"/>
      <c r="AN188" s="32"/>
      <c r="AO188" s="32"/>
      <c r="AP188" s="32"/>
      <c r="AQ188" s="33"/>
    </row>
    <row r="189" ht="15.75" customHeight="1">
      <c r="A189" s="38">
        <v>8163.0</v>
      </c>
      <c r="B189" s="130" t="s">
        <v>230</v>
      </c>
      <c r="C189" s="130" t="s">
        <v>433</v>
      </c>
      <c r="D189" s="36" t="s">
        <v>57</v>
      </c>
      <c r="E189" s="130" t="s">
        <v>436</v>
      </c>
      <c r="F189" s="138">
        <v>2022.0</v>
      </c>
      <c r="G189" s="138">
        <v>2027.0</v>
      </c>
      <c r="H189" s="138">
        <v>0.0</v>
      </c>
      <c r="I189" s="138">
        <v>25.56</v>
      </c>
      <c r="J189" s="197">
        <f>K189/I189</f>
        <v>1</v>
      </c>
      <c r="K189" s="198">
        <v>25.56</v>
      </c>
      <c r="L189" s="199">
        <v>0.0</v>
      </c>
      <c r="M189" s="199">
        <v>0.0</v>
      </c>
      <c r="N189" s="138">
        <v>10.0</v>
      </c>
      <c r="O189" s="138"/>
      <c r="P189" s="130" t="s">
        <v>60</v>
      </c>
      <c r="Q189" s="200">
        <v>17499.0</v>
      </c>
      <c r="R189" s="130" t="s">
        <v>234</v>
      </c>
      <c r="S189" s="138">
        <v>2019.0</v>
      </c>
      <c r="T189" s="136">
        <v>0.238</v>
      </c>
      <c r="U189" s="194">
        <f t="shared" si="82"/>
        <v>4164.762</v>
      </c>
      <c r="V189" s="24">
        <f t="shared" si="59"/>
        <v>162.9406103</v>
      </c>
      <c r="W189" s="3">
        <f t="shared" si="31"/>
        <v>0</v>
      </c>
      <c r="X189" s="3">
        <f t="shared" si="32"/>
        <v>0</v>
      </c>
      <c r="Y189" s="3">
        <f t="shared" si="33"/>
        <v>0</v>
      </c>
      <c r="Z189" s="25">
        <f t="shared" si="34"/>
        <v>0</v>
      </c>
      <c r="AA189" s="26">
        <f>VLOOKUP(S189,CPI!$A$2:$F$71,6,0)</f>
        <v>1.259947899</v>
      </c>
      <c r="AB189" s="27">
        <f t="shared" si="60"/>
        <v>5247.383131</v>
      </c>
      <c r="AC189" s="27">
        <f t="shared" si="61"/>
        <v>205.2966796</v>
      </c>
      <c r="AD189" s="130" t="s">
        <v>60</v>
      </c>
      <c r="AE189" s="196" t="s">
        <v>435</v>
      </c>
      <c r="AF189" s="29"/>
      <c r="AG189" s="30"/>
      <c r="AH189" s="30"/>
      <c r="AI189" s="30"/>
      <c r="AJ189" s="31"/>
      <c r="AK189" s="31"/>
      <c r="AL189" s="31"/>
      <c r="AM189" s="32"/>
      <c r="AN189" s="32"/>
      <c r="AO189" s="32"/>
      <c r="AP189" s="32"/>
      <c r="AQ189" s="33"/>
    </row>
    <row r="190" ht="15.75" customHeight="1">
      <c r="A190" s="38">
        <v>8168.0</v>
      </c>
      <c r="B190" s="72" t="s">
        <v>230</v>
      </c>
      <c r="C190" s="72" t="s">
        <v>433</v>
      </c>
      <c r="D190" s="16" t="s">
        <v>54</v>
      </c>
      <c r="E190" s="115" t="s">
        <v>437</v>
      </c>
      <c r="F190" s="69">
        <v>2022.0</v>
      </c>
      <c r="G190" s="69">
        <v>2027.0</v>
      </c>
      <c r="H190" s="69">
        <v>0.0</v>
      </c>
      <c r="I190" s="69">
        <v>17.5</v>
      </c>
      <c r="J190" s="117">
        <v>0.96</v>
      </c>
      <c r="K190" s="193">
        <v>16.8</v>
      </c>
      <c r="L190" s="72"/>
      <c r="M190" s="72"/>
      <c r="N190" s="69">
        <v>9.0</v>
      </c>
      <c r="O190" s="69">
        <v>117.0</v>
      </c>
      <c r="P190" s="72"/>
      <c r="Q190" s="73">
        <v>14690.0</v>
      </c>
      <c r="R190" s="72" t="s">
        <v>234</v>
      </c>
      <c r="S190" s="138">
        <v>2019.0</v>
      </c>
      <c r="T190" s="136">
        <v>0.238</v>
      </c>
      <c r="U190" s="194">
        <f t="shared" si="82"/>
        <v>3496.22</v>
      </c>
      <c r="V190" s="24">
        <f t="shared" si="59"/>
        <v>199.784</v>
      </c>
      <c r="W190" s="3">
        <f t="shared" si="31"/>
        <v>0</v>
      </c>
      <c r="X190" s="3">
        <f t="shared" si="32"/>
        <v>0</v>
      </c>
      <c r="Y190" s="3">
        <f t="shared" si="33"/>
        <v>0</v>
      </c>
      <c r="Z190" s="25">
        <f t="shared" si="34"/>
        <v>0</v>
      </c>
      <c r="AA190" s="26">
        <f>VLOOKUP(S190,CPI!$A$2:$F$71,6,0)</f>
        <v>1.259947899</v>
      </c>
      <c r="AB190" s="27">
        <f t="shared" si="60"/>
        <v>4405.055043</v>
      </c>
      <c r="AC190" s="27">
        <f t="shared" si="61"/>
        <v>251.717431</v>
      </c>
      <c r="AD190" s="72" t="s">
        <v>36</v>
      </c>
      <c r="AE190" s="79" t="s">
        <v>438</v>
      </c>
      <c r="AF190" s="29"/>
      <c r="AG190" s="30"/>
      <c r="AH190" s="30"/>
      <c r="AI190" s="30"/>
      <c r="AJ190" s="31"/>
      <c r="AK190" s="31"/>
      <c r="AL190" s="31"/>
      <c r="AM190" s="32"/>
      <c r="AN190" s="32"/>
      <c r="AO190" s="32"/>
      <c r="AP190" s="32"/>
      <c r="AQ190" s="33"/>
    </row>
    <row r="191" ht="15.75" customHeight="1">
      <c r="A191" s="38">
        <v>8161.0</v>
      </c>
      <c r="B191" s="130" t="s">
        <v>230</v>
      </c>
      <c r="C191" s="130" t="s">
        <v>433</v>
      </c>
      <c r="D191" s="36" t="s">
        <v>57</v>
      </c>
      <c r="E191" s="130" t="s">
        <v>410</v>
      </c>
      <c r="F191" s="138">
        <v>2023.0</v>
      </c>
      <c r="G191" s="138">
        <v>2028.0</v>
      </c>
      <c r="H191" s="138">
        <v>0.0</v>
      </c>
      <c r="I191" s="138">
        <v>10.9</v>
      </c>
      <c r="J191" s="197">
        <f t="shared" ref="J191:J193" si="83">K191/I191</f>
        <v>0.3486238532</v>
      </c>
      <c r="K191" s="198">
        <v>3.8</v>
      </c>
      <c r="L191" s="199">
        <v>0.0</v>
      </c>
      <c r="M191" s="199">
        <v>0.0</v>
      </c>
      <c r="N191" s="138">
        <v>4.0</v>
      </c>
      <c r="O191" s="138"/>
      <c r="P191" s="130" t="s">
        <v>60</v>
      </c>
      <c r="Q191" s="200">
        <v>6055.0</v>
      </c>
      <c r="R191" s="130" t="s">
        <v>234</v>
      </c>
      <c r="S191" s="138">
        <v>2019.0</v>
      </c>
      <c r="T191" s="136">
        <v>0.238</v>
      </c>
      <c r="U191" s="194">
        <f t="shared" si="82"/>
        <v>1441.09</v>
      </c>
      <c r="V191" s="24">
        <f t="shared" si="59"/>
        <v>132.2100917</v>
      </c>
      <c r="W191" s="3">
        <f t="shared" si="31"/>
        <v>0</v>
      </c>
      <c r="X191" s="3">
        <f t="shared" si="32"/>
        <v>0</v>
      </c>
      <c r="Y191" s="3">
        <f t="shared" si="33"/>
        <v>0</v>
      </c>
      <c r="Z191" s="25">
        <f t="shared" si="34"/>
        <v>0</v>
      </c>
      <c r="AA191" s="26">
        <f>VLOOKUP(S191,CPI!$A$2:$F$71,6,0)</f>
        <v>1.259947899</v>
      </c>
      <c r="AB191" s="27">
        <f t="shared" si="60"/>
        <v>1815.698318</v>
      </c>
      <c r="AC191" s="27">
        <f t="shared" si="61"/>
        <v>166.5778273</v>
      </c>
      <c r="AD191" s="130" t="s">
        <v>60</v>
      </c>
      <c r="AE191" s="196" t="s">
        <v>435</v>
      </c>
      <c r="AF191" s="29"/>
      <c r="AG191" s="30"/>
      <c r="AH191" s="30"/>
      <c r="AI191" s="30"/>
      <c r="AJ191" s="31"/>
      <c r="AK191" s="31"/>
      <c r="AL191" s="31"/>
      <c r="AM191" s="32"/>
      <c r="AN191" s="32"/>
      <c r="AO191" s="32"/>
      <c r="AP191" s="32"/>
      <c r="AQ191" s="33"/>
    </row>
    <row r="192" ht="15.75" customHeight="1">
      <c r="A192" s="38">
        <v>8169.0</v>
      </c>
      <c r="B192" s="130" t="s">
        <v>230</v>
      </c>
      <c r="C192" s="130" t="s">
        <v>433</v>
      </c>
      <c r="D192" s="36" t="s">
        <v>87</v>
      </c>
      <c r="E192" s="130" t="s">
        <v>331</v>
      </c>
      <c r="F192" s="138">
        <v>2023.0</v>
      </c>
      <c r="G192" s="138">
        <v>2028.0</v>
      </c>
      <c r="H192" s="138">
        <v>0.0</v>
      </c>
      <c r="I192" s="138">
        <v>50.14</v>
      </c>
      <c r="J192" s="197">
        <f t="shared" si="83"/>
        <v>1</v>
      </c>
      <c r="K192" s="198">
        <v>50.14</v>
      </c>
      <c r="L192" s="199">
        <v>0.0</v>
      </c>
      <c r="M192" s="199">
        <v>0.0</v>
      </c>
      <c r="N192" s="138">
        <v>18.0</v>
      </c>
      <c r="O192" s="138"/>
      <c r="P192" s="130" t="s">
        <v>60</v>
      </c>
      <c r="Q192" s="200">
        <v>32178.0</v>
      </c>
      <c r="R192" s="130" t="s">
        <v>234</v>
      </c>
      <c r="S192" s="138">
        <v>2019.0</v>
      </c>
      <c r="T192" s="136">
        <v>0.238</v>
      </c>
      <c r="U192" s="194">
        <f t="shared" si="82"/>
        <v>7658.364</v>
      </c>
      <c r="V192" s="24">
        <f t="shared" si="59"/>
        <v>152.7396091</v>
      </c>
      <c r="W192" s="3">
        <f t="shared" si="31"/>
        <v>0</v>
      </c>
      <c r="X192" s="3">
        <f t="shared" si="32"/>
        <v>0</v>
      </c>
      <c r="Y192" s="3">
        <f t="shared" si="33"/>
        <v>0</v>
      </c>
      <c r="Z192" s="25">
        <f t="shared" si="34"/>
        <v>0</v>
      </c>
      <c r="AA192" s="26">
        <f>VLOOKUP(S192,CPI!$A$2:$F$71,6,0)</f>
        <v>1.259947899</v>
      </c>
      <c r="AB192" s="27">
        <f t="shared" si="60"/>
        <v>9649.139631</v>
      </c>
      <c r="AC192" s="27">
        <f t="shared" si="61"/>
        <v>192.4439496</v>
      </c>
      <c r="AD192" s="130" t="s">
        <v>60</v>
      </c>
      <c r="AE192" s="149" t="s">
        <v>434</v>
      </c>
      <c r="AF192" s="29"/>
      <c r="AG192" s="30"/>
      <c r="AH192" s="30"/>
      <c r="AI192" s="30"/>
      <c r="AJ192" s="31"/>
      <c r="AK192" s="31"/>
      <c r="AL192" s="31"/>
      <c r="AM192" s="32"/>
      <c r="AN192" s="32"/>
      <c r="AO192" s="32"/>
      <c r="AP192" s="32"/>
      <c r="AQ192" s="33"/>
    </row>
    <row r="193" ht="15.75" customHeight="1">
      <c r="A193" s="38">
        <v>8170.0</v>
      </c>
      <c r="B193" s="130" t="s">
        <v>230</v>
      </c>
      <c r="C193" s="130" t="s">
        <v>433</v>
      </c>
      <c r="D193" s="36" t="s">
        <v>87</v>
      </c>
      <c r="E193" s="130" t="s">
        <v>439</v>
      </c>
      <c r="F193" s="138">
        <v>2024.0</v>
      </c>
      <c r="G193" s="138">
        <v>2028.0</v>
      </c>
      <c r="H193" s="138">
        <v>0.0</v>
      </c>
      <c r="I193" s="138">
        <v>1.8</v>
      </c>
      <c r="J193" s="197">
        <f t="shared" si="83"/>
        <v>1</v>
      </c>
      <c r="K193" s="198">
        <v>1.8</v>
      </c>
      <c r="L193" s="199">
        <v>0.0</v>
      </c>
      <c r="M193" s="199">
        <v>0.0</v>
      </c>
      <c r="N193" s="138">
        <v>1.0</v>
      </c>
      <c r="O193" s="138"/>
      <c r="P193" s="130" t="s">
        <v>60</v>
      </c>
      <c r="Q193" s="200">
        <v>1297.0</v>
      </c>
      <c r="R193" s="130" t="s">
        <v>234</v>
      </c>
      <c r="S193" s="138">
        <v>2019.0</v>
      </c>
      <c r="T193" s="136">
        <v>0.238</v>
      </c>
      <c r="U193" s="194">
        <f t="shared" si="82"/>
        <v>308.686</v>
      </c>
      <c r="V193" s="24">
        <f t="shared" si="59"/>
        <v>171.4922222</v>
      </c>
      <c r="W193" s="3">
        <f t="shared" si="31"/>
        <v>0</v>
      </c>
      <c r="X193" s="3">
        <f t="shared" si="32"/>
        <v>0</v>
      </c>
      <c r="Y193" s="3">
        <f t="shared" si="33"/>
        <v>0</v>
      </c>
      <c r="Z193" s="25">
        <f t="shared" si="34"/>
        <v>0</v>
      </c>
      <c r="AA193" s="26">
        <f>VLOOKUP(S193,CPI!$A$2:$F$71,6,0)</f>
        <v>1.259947899</v>
      </c>
      <c r="AB193" s="27">
        <f t="shared" si="60"/>
        <v>388.9282771</v>
      </c>
      <c r="AC193" s="27">
        <f t="shared" si="61"/>
        <v>216.0712651</v>
      </c>
      <c r="AD193" s="130" t="s">
        <v>60</v>
      </c>
      <c r="AE193" s="196" t="s">
        <v>435</v>
      </c>
      <c r="AF193" s="29"/>
      <c r="AG193" s="30"/>
      <c r="AH193" s="30"/>
      <c r="AI193" s="30"/>
      <c r="AJ193" s="31"/>
      <c r="AK193" s="31"/>
      <c r="AL193" s="31"/>
      <c r="AM193" s="32"/>
      <c r="AN193" s="32"/>
      <c r="AO193" s="32"/>
      <c r="AP193" s="32"/>
      <c r="AQ193" s="33"/>
    </row>
    <row r="194" ht="15.75" customHeight="1">
      <c r="A194" s="7"/>
      <c r="B194" s="114" t="s">
        <v>230</v>
      </c>
      <c r="C194" s="114" t="s">
        <v>440</v>
      </c>
      <c r="D194" s="114" t="s">
        <v>441</v>
      </c>
      <c r="E194" s="114" t="s">
        <v>441</v>
      </c>
      <c r="F194" s="116">
        <v>2007.0</v>
      </c>
      <c r="G194" s="116">
        <v>2011.0</v>
      </c>
      <c r="H194" s="116">
        <v>0.0</v>
      </c>
      <c r="I194" s="116">
        <v>32.16</v>
      </c>
      <c r="J194" s="117">
        <v>1.0</v>
      </c>
      <c r="K194" s="116">
        <v>32.16</v>
      </c>
      <c r="L194" s="114"/>
      <c r="M194" s="114"/>
      <c r="N194" s="116">
        <v>21.0</v>
      </c>
      <c r="O194" s="116">
        <v>78.0</v>
      </c>
      <c r="P194" s="114"/>
      <c r="Q194" s="140">
        <v>14519.0</v>
      </c>
      <c r="R194" s="114" t="s">
        <v>234</v>
      </c>
      <c r="S194" s="115">
        <v>2009.0</v>
      </c>
      <c r="T194" s="85">
        <v>0.317</v>
      </c>
      <c r="U194" s="118">
        <f t="shared" ref="U194:U217" si="84">Q194*T194</f>
        <v>4602.523</v>
      </c>
      <c r="V194" s="24">
        <f t="shared" si="59"/>
        <v>143.1132774</v>
      </c>
      <c r="W194" s="3">
        <f t="shared" si="31"/>
        <v>0</v>
      </c>
      <c r="X194" s="3">
        <f t="shared" si="32"/>
        <v>0</v>
      </c>
      <c r="Y194" s="3">
        <f t="shared" si="33"/>
        <v>0</v>
      </c>
      <c r="Z194" s="25">
        <f t="shared" si="34"/>
        <v>0</v>
      </c>
      <c r="AA194" s="26">
        <f>VLOOKUP(S194,CPI!$A$2:$F$71,6,0)</f>
        <v>1.501440311</v>
      </c>
      <c r="AB194" s="27">
        <f t="shared" si="60"/>
        <v>6910.413564</v>
      </c>
      <c r="AC194" s="27">
        <f t="shared" si="61"/>
        <v>214.8760437</v>
      </c>
      <c r="AD194" s="114"/>
      <c r="AE194" s="161" t="s">
        <v>442</v>
      </c>
      <c r="AF194" s="173"/>
      <c r="AG194" s="174"/>
      <c r="AH194" s="174"/>
      <c r="AI194" s="174"/>
      <c r="AJ194" s="175"/>
      <c r="AK194" s="175"/>
      <c r="AL194" s="175"/>
      <c r="AM194" s="31"/>
      <c r="AN194" s="31"/>
      <c r="AO194" s="31"/>
      <c r="AP194" s="31"/>
      <c r="AQ194" s="35"/>
    </row>
    <row r="195" ht="15.75" customHeight="1">
      <c r="A195" s="7"/>
      <c r="B195" s="114" t="s">
        <v>230</v>
      </c>
      <c r="C195" s="114" t="s">
        <v>440</v>
      </c>
      <c r="D195" s="115" t="s">
        <v>54</v>
      </c>
      <c r="E195" s="115" t="s">
        <v>348</v>
      </c>
      <c r="F195" s="116">
        <v>2014.0</v>
      </c>
      <c r="G195" s="116">
        <v>2021.0</v>
      </c>
      <c r="H195" s="116">
        <v>0.0</v>
      </c>
      <c r="I195" s="116">
        <v>32.41</v>
      </c>
      <c r="J195" s="117">
        <v>0.78</v>
      </c>
      <c r="K195" s="116">
        <v>25.3</v>
      </c>
      <c r="L195" s="114"/>
      <c r="M195" s="114"/>
      <c r="N195" s="116">
        <v>17.0</v>
      </c>
      <c r="O195" s="116">
        <v>117.0</v>
      </c>
      <c r="P195" s="114"/>
      <c r="Q195" s="140">
        <v>20671.0</v>
      </c>
      <c r="R195" s="114" t="s">
        <v>234</v>
      </c>
      <c r="S195" s="115">
        <v>2018.0</v>
      </c>
      <c r="T195" s="85">
        <v>0.237</v>
      </c>
      <c r="U195" s="118">
        <f t="shared" si="84"/>
        <v>4899.027</v>
      </c>
      <c r="V195" s="24">
        <f t="shared" si="59"/>
        <v>151.1578834</v>
      </c>
      <c r="W195" s="3">
        <f t="shared" si="31"/>
        <v>0</v>
      </c>
      <c r="X195" s="3">
        <f t="shared" si="32"/>
        <v>0</v>
      </c>
      <c r="Y195" s="3">
        <f t="shared" si="33"/>
        <v>0</v>
      </c>
      <c r="Z195" s="25">
        <f t="shared" si="34"/>
        <v>0</v>
      </c>
      <c r="AA195" s="26">
        <f>VLOOKUP(S195,CPI!$A$2:$F$71,6,0)</f>
        <v>1.28277786</v>
      </c>
      <c r="AB195" s="27">
        <f t="shared" si="60"/>
        <v>6284.363369</v>
      </c>
      <c r="AC195" s="27">
        <f t="shared" si="61"/>
        <v>193.9019861</v>
      </c>
      <c r="AD195" s="114"/>
      <c r="AE195" s="119" t="s">
        <v>443</v>
      </c>
      <c r="AF195" s="164"/>
      <c r="AG195" s="165"/>
      <c r="AH195" s="165"/>
      <c r="AI195" s="165"/>
      <c r="AJ195" s="166"/>
      <c r="AK195" s="166"/>
      <c r="AL195" s="166"/>
      <c r="AM195" s="31"/>
      <c r="AN195" s="31"/>
      <c r="AO195" s="31"/>
      <c r="AP195" s="31"/>
      <c r="AQ195" s="35"/>
    </row>
    <row r="196" ht="15.75" customHeight="1">
      <c r="A196" s="7"/>
      <c r="B196" s="114" t="s">
        <v>230</v>
      </c>
      <c r="C196" s="114" t="s">
        <v>440</v>
      </c>
      <c r="D196" s="16" t="s">
        <v>87</v>
      </c>
      <c r="E196" s="115" t="s">
        <v>331</v>
      </c>
      <c r="F196" s="116">
        <v>2016.0</v>
      </c>
      <c r="G196" s="116">
        <v>2022.0</v>
      </c>
      <c r="H196" s="116">
        <v>0.0</v>
      </c>
      <c r="I196" s="116">
        <v>69.5</v>
      </c>
      <c r="J196" s="117">
        <v>0.86</v>
      </c>
      <c r="K196" s="116">
        <v>59.5</v>
      </c>
      <c r="L196" s="114"/>
      <c r="M196" s="114"/>
      <c r="N196" s="116">
        <v>37.0</v>
      </c>
      <c r="O196" s="116">
        <v>117.0</v>
      </c>
      <c r="P196" s="114"/>
      <c r="Q196" s="140">
        <v>42572.0</v>
      </c>
      <c r="R196" s="114" t="s">
        <v>234</v>
      </c>
      <c r="S196" s="115">
        <v>2019.0</v>
      </c>
      <c r="T196" s="136">
        <v>0.238</v>
      </c>
      <c r="U196" s="118">
        <f t="shared" si="84"/>
        <v>10132.136</v>
      </c>
      <c r="V196" s="24">
        <f t="shared" si="59"/>
        <v>145.7861295</v>
      </c>
      <c r="W196" s="3">
        <f t="shared" si="31"/>
        <v>0</v>
      </c>
      <c r="X196" s="3">
        <f t="shared" si="32"/>
        <v>0</v>
      </c>
      <c r="Y196" s="3">
        <f t="shared" si="33"/>
        <v>0</v>
      </c>
      <c r="Z196" s="25">
        <f t="shared" si="34"/>
        <v>0</v>
      </c>
      <c r="AA196" s="26">
        <f>VLOOKUP(S196,CPI!$A$2:$F$71,6,0)</f>
        <v>1.259947899</v>
      </c>
      <c r="AB196" s="27">
        <f t="shared" si="60"/>
        <v>12765.96347</v>
      </c>
      <c r="AC196" s="27">
        <f t="shared" si="61"/>
        <v>183.6829276</v>
      </c>
      <c r="AD196" s="114"/>
      <c r="AE196" s="119" t="s">
        <v>444</v>
      </c>
      <c r="AF196" s="164"/>
      <c r="AG196" s="165"/>
      <c r="AH196" s="165"/>
      <c r="AI196" s="165"/>
      <c r="AJ196" s="166"/>
      <c r="AK196" s="166"/>
      <c r="AL196" s="166"/>
      <c r="AM196" s="31"/>
      <c r="AN196" s="31"/>
      <c r="AO196" s="31"/>
      <c r="AP196" s="31"/>
      <c r="AQ196" s="35"/>
    </row>
    <row r="197" ht="15.75" customHeight="1">
      <c r="A197" s="7"/>
      <c r="B197" s="114" t="s">
        <v>230</v>
      </c>
      <c r="C197" s="114" t="s">
        <v>440</v>
      </c>
      <c r="D197" s="114" t="s">
        <v>292</v>
      </c>
      <c r="E197" s="114" t="s">
        <v>292</v>
      </c>
      <c r="F197" s="116">
        <v>2021.0</v>
      </c>
      <c r="G197" s="116">
        <v>2026.0</v>
      </c>
      <c r="H197" s="116">
        <v>0.0</v>
      </c>
      <c r="I197" s="116">
        <v>36.4</v>
      </c>
      <c r="J197" s="117">
        <v>0.66</v>
      </c>
      <c r="K197" s="116">
        <v>24.0</v>
      </c>
      <c r="L197" s="114"/>
      <c r="M197" s="114"/>
      <c r="N197" s="116">
        <v>18.0</v>
      </c>
      <c r="O197" s="116">
        <v>117.0</v>
      </c>
      <c r="P197" s="114"/>
      <c r="Q197" s="140">
        <v>26060.0</v>
      </c>
      <c r="R197" s="114" t="s">
        <v>234</v>
      </c>
      <c r="S197" s="115">
        <v>2021.0</v>
      </c>
      <c r="T197" s="136">
        <v>0.239</v>
      </c>
      <c r="U197" s="118">
        <f t="shared" si="84"/>
        <v>6228.34</v>
      </c>
      <c r="V197" s="24">
        <f t="shared" si="59"/>
        <v>171.1082418</v>
      </c>
      <c r="W197" s="3">
        <f t="shared" si="31"/>
        <v>0</v>
      </c>
      <c r="X197" s="3">
        <f t="shared" si="32"/>
        <v>0</v>
      </c>
      <c r="Y197" s="3">
        <f t="shared" si="33"/>
        <v>0</v>
      </c>
      <c r="Z197" s="25">
        <f t="shared" si="34"/>
        <v>0</v>
      </c>
      <c r="AA197" s="26">
        <f>VLOOKUP(S197,CPI!$A$2:$F$71,6,0)</f>
        <v>1.188745987</v>
      </c>
      <c r="AB197" s="27">
        <f t="shared" si="60"/>
        <v>7403.914178</v>
      </c>
      <c r="AC197" s="27">
        <f t="shared" si="61"/>
        <v>203.4042357</v>
      </c>
      <c r="AD197" s="72" t="s">
        <v>36</v>
      </c>
      <c r="AE197" s="119" t="s">
        <v>445</v>
      </c>
      <c r="AF197" s="173"/>
      <c r="AG197" s="174"/>
      <c r="AH197" s="174"/>
      <c r="AI197" s="174"/>
      <c r="AJ197" s="175"/>
      <c r="AK197" s="175"/>
      <c r="AL197" s="175"/>
      <c r="AM197" s="32"/>
      <c r="AN197" s="32"/>
      <c r="AO197" s="32"/>
      <c r="AP197" s="32"/>
      <c r="AQ197" s="33"/>
    </row>
    <row r="198" ht="15.75" customHeight="1">
      <c r="A198" s="163"/>
      <c r="B198" s="114" t="s">
        <v>230</v>
      </c>
      <c r="C198" s="114" t="s">
        <v>440</v>
      </c>
      <c r="D198" s="115" t="s">
        <v>54</v>
      </c>
      <c r="E198" s="115" t="s">
        <v>326</v>
      </c>
      <c r="F198" s="114">
        <v>2021.0</v>
      </c>
      <c r="G198" s="114">
        <v>2026.0</v>
      </c>
      <c r="H198" s="114">
        <v>0.0</v>
      </c>
      <c r="I198" s="114">
        <v>23.5</v>
      </c>
      <c r="J198" s="114">
        <v>0.54</v>
      </c>
      <c r="K198" s="114">
        <v>12.7</v>
      </c>
      <c r="L198" s="114"/>
      <c r="M198" s="114"/>
      <c r="N198" s="114">
        <v>10.0</v>
      </c>
      <c r="O198" s="116">
        <v>117.0</v>
      </c>
      <c r="P198" s="114"/>
      <c r="Q198" s="114">
        <v>12228.0</v>
      </c>
      <c r="R198" s="114" t="s">
        <v>234</v>
      </c>
      <c r="S198" s="115">
        <v>2021.0</v>
      </c>
      <c r="T198" s="136">
        <v>0.239</v>
      </c>
      <c r="U198" s="118">
        <f t="shared" si="84"/>
        <v>2922.492</v>
      </c>
      <c r="V198" s="24">
        <f t="shared" si="59"/>
        <v>124.3613617</v>
      </c>
      <c r="W198" s="3">
        <f t="shared" si="31"/>
        <v>0</v>
      </c>
      <c r="X198" s="3">
        <f t="shared" si="32"/>
        <v>0</v>
      </c>
      <c r="Y198" s="3">
        <f t="shared" si="33"/>
        <v>0</v>
      </c>
      <c r="Z198" s="25">
        <f t="shared" si="34"/>
        <v>0</v>
      </c>
      <c r="AA198" s="26">
        <f>VLOOKUP(S198,CPI!$A$2:$F$71,6,0)</f>
        <v>1.188745987</v>
      </c>
      <c r="AB198" s="27">
        <f t="shared" si="60"/>
        <v>3474.100636</v>
      </c>
      <c r="AC198" s="27">
        <f t="shared" si="61"/>
        <v>147.8340696</v>
      </c>
      <c r="AD198" s="114"/>
      <c r="AE198" s="119" t="s">
        <v>446</v>
      </c>
      <c r="AF198" s="167" t="s">
        <v>447</v>
      </c>
      <c r="AG198" s="168"/>
      <c r="AH198" s="168"/>
      <c r="AI198" s="169"/>
      <c r="AJ198" s="175"/>
      <c r="AK198" s="175"/>
      <c r="AL198" s="175"/>
      <c r="AM198" s="32"/>
      <c r="AN198" s="32"/>
      <c r="AO198" s="32"/>
      <c r="AP198" s="32"/>
      <c r="AQ198" s="33"/>
    </row>
    <row r="199" ht="15.75" customHeight="1">
      <c r="A199" s="7"/>
      <c r="B199" s="114" t="s">
        <v>230</v>
      </c>
      <c r="C199" s="114" t="s">
        <v>440</v>
      </c>
      <c r="D199" s="16" t="s">
        <v>110</v>
      </c>
      <c r="E199" s="115" t="s">
        <v>332</v>
      </c>
      <c r="F199" s="116">
        <v>2021.0</v>
      </c>
      <c r="G199" s="116">
        <v>2026.0</v>
      </c>
      <c r="H199" s="116">
        <v>0.0</v>
      </c>
      <c r="I199" s="116">
        <v>55.91</v>
      </c>
      <c r="J199" s="117">
        <v>0.88</v>
      </c>
      <c r="K199" s="116">
        <v>49.1</v>
      </c>
      <c r="L199" s="114"/>
      <c r="M199" s="114"/>
      <c r="N199" s="116">
        <v>33.0</v>
      </c>
      <c r="O199" s="116">
        <v>117.0</v>
      </c>
      <c r="P199" s="114"/>
      <c r="Q199" s="140">
        <v>44601.0</v>
      </c>
      <c r="R199" s="114" t="s">
        <v>234</v>
      </c>
      <c r="S199" s="115">
        <v>2021.0</v>
      </c>
      <c r="T199" s="136">
        <v>0.239</v>
      </c>
      <c r="U199" s="118">
        <f t="shared" si="84"/>
        <v>10659.639</v>
      </c>
      <c r="V199" s="24">
        <f t="shared" si="59"/>
        <v>190.6571096</v>
      </c>
      <c r="W199" s="3">
        <f t="shared" si="31"/>
        <v>0</v>
      </c>
      <c r="X199" s="3">
        <f t="shared" si="32"/>
        <v>0</v>
      </c>
      <c r="Y199" s="3">
        <f t="shared" si="33"/>
        <v>0</v>
      </c>
      <c r="Z199" s="25">
        <f t="shared" si="34"/>
        <v>0</v>
      </c>
      <c r="AA199" s="26">
        <f>VLOOKUP(S199,CPI!$A$2:$F$71,6,0)</f>
        <v>1.188745987</v>
      </c>
      <c r="AB199" s="27">
        <f t="shared" si="60"/>
        <v>12671.60308</v>
      </c>
      <c r="AC199" s="27">
        <f t="shared" si="61"/>
        <v>226.6428739</v>
      </c>
      <c r="AD199" s="114"/>
      <c r="AE199" s="119" t="s">
        <v>448</v>
      </c>
      <c r="AF199" s="190" t="s">
        <v>446</v>
      </c>
      <c r="AG199" s="201" t="s">
        <v>447</v>
      </c>
      <c r="AH199" s="168"/>
      <c r="AI199" s="169"/>
      <c r="AJ199" s="166"/>
      <c r="AK199" s="166"/>
      <c r="AL199" s="166"/>
      <c r="AM199" s="32"/>
      <c r="AN199" s="32"/>
      <c r="AO199" s="32"/>
      <c r="AP199" s="32"/>
      <c r="AQ199" s="33"/>
    </row>
    <row r="200" ht="15.75" customHeight="1">
      <c r="A200" s="7"/>
      <c r="B200" s="114" t="s">
        <v>230</v>
      </c>
      <c r="C200" s="114" t="s">
        <v>449</v>
      </c>
      <c r="D200" s="115" t="s">
        <v>57</v>
      </c>
      <c r="E200" s="115" t="s">
        <v>232</v>
      </c>
      <c r="F200" s="116">
        <v>2009.0</v>
      </c>
      <c r="G200" s="116">
        <v>2017.0</v>
      </c>
      <c r="H200" s="116">
        <v>0.0</v>
      </c>
      <c r="I200" s="116">
        <v>24.6</v>
      </c>
      <c r="J200" s="117">
        <v>1.0</v>
      </c>
      <c r="K200" s="116">
        <v>24.6</v>
      </c>
      <c r="L200" s="114"/>
      <c r="M200" s="114"/>
      <c r="N200" s="116">
        <v>21.0</v>
      </c>
      <c r="O200" s="116">
        <v>117.0</v>
      </c>
      <c r="P200" s="114"/>
      <c r="Q200" s="140">
        <v>17337.0</v>
      </c>
      <c r="R200" s="114" t="s">
        <v>234</v>
      </c>
      <c r="S200" s="115">
        <v>2013.0</v>
      </c>
      <c r="T200" s="85">
        <v>0.273</v>
      </c>
      <c r="U200" s="118">
        <f t="shared" si="84"/>
        <v>4733.001</v>
      </c>
      <c r="V200" s="24">
        <f t="shared" si="59"/>
        <v>192.3984146</v>
      </c>
      <c r="W200" s="3">
        <f t="shared" si="31"/>
        <v>0</v>
      </c>
      <c r="X200" s="3">
        <f t="shared" si="32"/>
        <v>0</v>
      </c>
      <c r="Y200" s="3">
        <f t="shared" si="33"/>
        <v>0</v>
      </c>
      <c r="Z200" s="25">
        <f t="shared" si="34"/>
        <v>0</v>
      </c>
      <c r="AA200" s="26">
        <f>VLOOKUP(S200,CPI!$A$2:$F$71,6,0)</f>
        <v>1.382720845</v>
      </c>
      <c r="AB200" s="27">
        <f t="shared" si="60"/>
        <v>6544.419144</v>
      </c>
      <c r="AC200" s="27">
        <f t="shared" si="61"/>
        <v>266.0332986</v>
      </c>
      <c r="AD200" s="114"/>
      <c r="AE200" s="161" t="s">
        <v>450</v>
      </c>
      <c r="AF200" s="164"/>
      <c r="AG200" s="165"/>
      <c r="AH200" s="165"/>
      <c r="AI200" s="165"/>
      <c r="AJ200" s="166"/>
      <c r="AK200" s="166"/>
      <c r="AL200" s="166"/>
      <c r="AM200" s="32"/>
      <c r="AN200" s="32"/>
      <c r="AO200" s="32"/>
      <c r="AP200" s="32"/>
      <c r="AQ200" s="33"/>
    </row>
    <row r="201" ht="15.75" customHeight="1">
      <c r="A201" s="170">
        <v>7953.0</v>
      </c>
      <c r="B201" s="123" t="s">
        <v>230</v>
      </c>
      <c r="C201" s="123" t="s">
        <v>449</v>
      </c>
      <c r="D201" s="36" t="s">
        <v>80</v>
      </c>
      <c r="E201" s="123" t="s">
        <v>80</v>
      </c>
      <c r="F201" s="75">
        <v>2015.0</v>
      </c>
      <c r="G201" s="75">
        <v>2019.0</v>
      </c>
      <c r="H201" s="75">
        <v>0.0</v>
      </c>
      <c r="I201" s="75">
        <v>40.5</v>
      </c>
      <c r="J201" s="124">
        <v>0.7901234568</v>
      </c>
      <c r="K201" s="75">
        <v>32.0</v>
      </c>
      <c r="L201" s="125">
        <v>0.455</v>
      </c>
      <c r="M201" s="125">
        <v>8.05</v>
      </c>
      <c r="N201" s="75">
        <v>20.0</v>
      </c>
      <c r="O201" s="75"/>
      <c r="P201" s="123" t="s">
        <v>60</v>
      </c>
      <c r="Q201" s="126">
        <v>27716.0</v>
      </c>
      <c r="R201" s="123" t="s">
        <v>234</v>
      </c>
      <c r="S201" s="75">
        <v>2015.0</v>
      </c>
      <c r="T201" s="136">
        <v>0.258</v>
      </c>
      <c r="U201" s="128">
        <f t="shared" si="84"/>
        <v>7150.728</v>
      </c>
      <c r="V201" s="24">
        <f t="shared" si="59"/>
        <v>176.5611852</v>
      </c>
      <c r="W201" s="3">
        <f t="shared" si="31"/>
        <v>0</v>
      </c>
      <c r="X201" s="3">
        <f t="shared" si="32"/>
        <v>0</v>
      </c>
      <c r="Y201" s="3">
        <f t="shared" si="33"/>
        <v>0</v>
      </c>
      <c r="Z201" s="25">
        <f t="shared" si="34"/>
        <v>0</v>
      </c>
      <c r="AA201" s="26">
        <f>VLOOKUP(S201,CPI!$A$2:$F$71,6,0)</f>
        <v>1.359035428</v>
      </c>
      <c r="AB201" s="27">
        <f t="shared" si="60"/>
        <v>9718.092687</v>
      </c>
      <c r="AC201" s="27">
        <f t="shared" si="61"/>
        <v>239.9529058</v>
      </c>
      <c r="AD201" s="123" t="s">
        <v>60</v>
      </c>
      <c r="AE201" s="129" t="s">
        <v>451</v>
      </c>
      <c r="AF201" s="29"/>
      <c r="AG201" s="30"/>
      <c r="AH201" s="30"/>
      <c r="AI201" s="30"/>
      <c r="AJ201" s="31"/>
      <c r="AK201" s="31"/>
      <c r="AL201" s="31"/>
      <c r="AM201" s="32"/>
      <c r="AN201" s="32"/>
      <c r="AO201" s="32"/>
      <c r="AP201" s="32"/>
      <c r="AQ201" s="33"/>
    </row>
    <row r="202" ht="15.75" customHeight="1">
      <c r="A202" s="7"/>
      <c r="B202" s="114" t="s">
        <v>230</v>
      </c>
      <c r="C202" s="114" t="s">
        <v>449</v>
      </c>
      <c r="D202" s="115" t="s">
        <v>57</v>
      </c>
      <c r="E202" s="114" t="s">
        <v>310</v>
      </c>
      <c r="F202" s="116">
        <v>2015.0</v>
      </c>
      <c r="G202" s="116">
        <v>2020.0</v>
      </c>
      <c r="H202" s="116">
        <v>0.0</v>
      </c>
      <c r="I202" s="116">
        <v>4.924</v>
      </c>
      <c r="J202" s="117">
        <v>1.0</v>
      </c>
      <c r="K202" s="116">
        <v>4.924</v>
      </c>
      <c r="L202" s="114"/>
      <c r="M202" s="114"/>
      <c r="N202" s="116">
        <v>4.0</v>
      </c>
      <c r="O202" s="116">
        <v>117.0</v>
      </c>
      <c r="P202" s="114"/>
      <c r="Q202" s="140">
        <v>2883.0</v>
      </c>
      <c r="R202" s="114" t="s">
        <v>234</v>
      </c>
      <c r="S202" s="115">
        <v>2018.0</v>
      </c>
      <c r="T202" s="85">
        <v>0.237</v>
      </c>
      <c r="U202" s="118">
        <f t="shared" si="84"/>
        <v>683.271</v>
      </c>
      <c r="V202" s="24">
        <f t="shared" si="59"/>
        <v>138.7634037</v>
      </c>
      <c r="W202" s="3">
        <f t="shared" si="31"/>
        <v>0</v>
      </c>
      <c r="X202" s="3">
        <f t="shared" si="32"/>
        <v>0</v>
      </c>
      <c r="Y202" s="3">
        <f t="shared" si="33"/>
        <v>0</v>
      </c>
      <c r="Z202" s="25">
        <f t="shared" si="34"/>
        <v>0</v>
      </c>
      <c r="AA202" s="26">
        <f>VLOOKUP(S202,CPI!$A$2:$F$71,6,0)</f>
        <v>1.28277786</v>
      </c>
      <c r="AB202" s="27">
        <f t="shared" si="60"/>
        <v>876.4849109</v>
      </c>
      <c r="AC202" s="27">
        <f t="shared" si="61"/>
        <v>178.002622</v>
      </c>
      <c r="AD202" s="114"/>
      <c r="AE202" s="119" t="s">
        <v>452</v>
      </c>
      <c r="AF202" s="164"/>
      <c r="AG202" s="165"/>
      <c r="AH202" s="165"/>
      <c r="AI202" s="165"/>
      <c r="AJ202" s="166"/>
      <c r="AK202" s="166"/>
      <c r="AL202" s="166"/>
      <c r="AM202" s="32"/>
      <c r="AN202" s="32"/>
      <c r="AO202" s="32"/>
      <c r="AP202" s="32"/>
      <c r="AQ202" s="33"/>
    </row>
    <row r="203" ht="15.75" customHeight="1">
      <c r="A203" s="170">
        <v>7898.0</v>
      </c>
      <c r="B203" s="123" t="s">
        <v>230</v>
      </c>
      <c r="C203" s="123" t="s">
        <v>449</v>
      </c>
      <c r="D203" s="16" t="s">
        <v>110</v>
      </c>
      <c r="E203" s="123" t="s">
        <v>332</v>
      </c>
      <c r="F203" s="75">
        <v>2017.0</v>
      </c>
      <c r="G203" s="75">
        <v>2021.0</v>
      </c>
      <c r="H203" s="75">
        <v>0.0</v>
      </c>
      <c r="I203" s="75">
        <v>24.2</v>
      </c>
      <c r="J203" s="124">
        <v>1.0</v>
      </c>
      <c r="K203" s="75">
        <v>24.2</v>
      </c>
      <c r="L203" s="125">
        <v>0.0</v>
      </c>
      <c r="M203" s="125">
        <v>0.0</v>
      </c>
      <c r="N203" s="75">
        <v>21.0</v>
      </c>
      <c r="O203" s="75"/>
      <c r="P203" s="123" t="s">
        <v>60</v>
      </c>
      <c r="Q203" s="126">
        <v>18436.0</v>
      </c>
      <c r="R203" s="123" t="s">
        <v>234</v>
      </c>
      <c r="S203" s="75">
        <v>2015.0</v>
      </c>
      <c r="T203" s="136">
        <v>0.258</v>
      </c>
      <c r="U203" s="128">
        <f t="shared" si="84"/>
        <v>4756.488</v>
      </c>
      <c r="V203" s="24">
        <f t="shared" si="59"/>
        <v>196.5490909</v>
      </c>
      <c r="W203" s="3">
        <f t="shared" si="31"/>
        <v>0</v>
      </c>
      <c r="X203" s="3">
        <f t="shared" si="32"/>
        <v>0</v>
      </c>
      <c r="Y203" s="3">
        <f t="shared" si="33"/>
        <v>0</v>
      </c>
      <c r="Z203" s="25">
        <f t="shared" si="34"/>
        <v>0</v>
      </c>
      <c r="AA203" s="26">
        <f>VLOOKUP(S203,CPI!$A$2:$F$71,6,0)</f>
        <v>1.359035428</v>
      </c>
      <c r="AB203" s="27">
        <f t="shared" si="60"/>
        <v>6464.235704</v>
      </c>
      <c r="AC203" s="27">
        <f t="shared" si="61"/>
        <v>267.1171779</v>
      </c>
      <c r="AD203" s="123" t="s">
        <v>60</v>
      </c>
      <c r="AE203" s="129" t="s">
        <v>451</v>
      </c>
      <c r="AF203" s="29"/>
      <c r="AG203" s="30"/>
      <c r="AH203" s="30"/>
      <c r="AI203" s="30"/>
      <c r="AJ203" s="31"/>
      <c r="AK203" s="31"/>
      <c r="AL203" s="31"/>
      <c r="AM203" s="32"/>
      <c r="AN203" s="32"/>
      <c r="AO203" s="32"/>
      <c r="AP203" s="32"/>
      <c r="AQ203" s="33"/>
    </row>
    <row r="204" ht="15.75" customHeight="1">
      <c r="A204" s="7"/>
      <c r="B204" s="114" t="s">
        <v>230</v>
      </c>
      <c r="C204" s="114" t="s">
        <v>449</v>
      </c>
      <c r="D204" s="16" t="s">
        <v>54</v>
      </c>
      <c r="E204" s="114" t="s">
        <v>453</v>
      </c>
      <c r="F204" s="116">
        <v>2020.0</v>
      </c>
      <c r="G204" s="114"/>
      <c r="H204" s="116">
        <v>0.0</v>
      </c>
      <c r="I204" s="116">
        <v>16.88</v>
      </c>
      <c r="J204" s="117">
        <v>1.0</v>
      </c>
      <c r="K204" s="116">
        <v>16.88</v>
      </c>
      <c r="L204" s="114"/>
      <c r="M204" s="114"/>
      <c r="N204" s="116">
        <v>12.0</v>
      </c>
      <c r="O204" s="116">
        <v>117.0</v>
      </c>
      <c r="P204" s="114"/>
      <c r="Q204" s="140">
        <v>12706.0</v>
      </c>
      <c r="R204" s="114" t="s">
        <v>234</v>
      </c>
      <c r="S204" s="115">
        <v>2020.0</v>
      </c>
      <c r="T204" s="136">
        <v>0.239</v>
      </c>
      <c r="U204" s="118">
        <f t="shared" si="84"/>
        <v>3036.734</v>
      </c>
      <c r="V204" s="24">
        <f t="shared" si="59"/>
        <v>179.9013033</v>
      </c>
      <c r="W204" s="3">
        <f t="shared" si="31"/>
        <v>0</v>
      </c>
      <c r="X204" s="3">
        <f t="shared" si="32"/>
        <v>0</v>
      </c>
      <c r="Y204" s="3">
        <f t="shared" si="33"/>
        <v>0</v>
      </c>
      <c r="Z204" s="25">
        <f t="shared" si="34"/>
        <v>0</v>
      </c>
      <c r="AA204" s="26">
        <f>VLOOKUP(S204,CPI!$A$2:$F$71,6,0)</f>
        <v>1.244593545</v>
      </c>
      <c r="AB204" s="27">
        <f t="shared" si="60"/>
        <v>3779.499535</v>
      </c>
      <c r="AC204" s="27">
        <f t="shared" si="61"/>
        <v>223.9040009</v>
      </c>
      <c r="AD204" s="114"/>
      <c r="AE204" s="119" t="s">
        <v>454</v>
      </c>
      <c r="AF204" s="184" t="s">
        <v>455</v>
      </c>
      <c r="AG204" s="174"/>
      <c r="AH204" s="174"/>
      <c r="AI204" s="174"/>
      <c r="AJ204" s="175"/>
      <c r="AK204" s="175"/>
      <c r="AL204" s="175"/>
      <c r="AM204" s="32"/>
      <c r="AN204" s="32"/>
      <c r="AO204" s="32"/>
      <c r="AP204" s="32"/>
      <c r="AQ204" s="33"/>
    </row>
    <row r="205" ht="15.75" customHeight="1">
      <c r="A205" s="170">
        <v>7874.0</v>
      </c>
      <c r="B205" s="72" t="s">
        <v>230</v>
      </c>
      <c r="C205" s="72" t="s">
        <v>449</v>
      </c>
      <c r="D205" s="16" t="s">
        <v>84</v>
      </c>
      <c r="E205" s="115" t="s">
        <v>319</v>
      </c>
      <c r="F205" s="69">
        <v>2020.0</v>
      </c>
      <c r="G205" s="72"/>
      <c r="H205" s="69">
        <v>0.0</v>
      </c>
      <c r="I205" s="69">
        <v>27.7</v>
      </c>
      <c r="J205" s="117">
        <v>1.0</v>
      </c>
      <c r="K205" s="69">
        <v>27.7</v>
      </c>
      <c r="L205" s="72"/>
      <c r="M205" s="72"/>
      <c r="N205" s="69">
        <v>20.0</v>
      </c>
      <c r="O205" s="69">
        <v>117.0</v>
      </c>
      <c r="P205" s="72"/>
      <c r="Q205" s="140">
        <v>21786.0</v>
      </c>
      <c r="R205" s="72" t="s">
        <v>234</v>
      </c>
      <c r="S205" s="115">
        <v>2020.0</v>
      </c>
      <c r="T205" s="136">
        <v>0.239</v>
      </c>
      <c r="U205" s="118">
        <f t="shared" si="84"/>
        <v>5206.854</v>
      </c>
      <c r="V205" s="24">
        <f t="shared" si="59"/>
        <v>187.9730686</v>
      </c>
      <c r="W205" s="3">
        <f t="shared" si="31"/>
        <v>0</v>
      </c>
      <c r="X205" s="3">
        <f t="shared" si="32"/>
        <v>0</v>
      </c>
      <c r="Y205" s="3">
        <f t="shared" si="33"/>
        <v>0</v>
      </c>
      <c r="Z205" s="25">
        <f t="shared" si="34"/>
        <v>0</v>
      </c>
      <c r="AA205" s="26">
        <f>VLOOKUP(S205,CPI!$A$2:$F$71,6,0)</f>
        <v>1.244593545</v>
      </c>
      <c r="AB205" s="27">
        <f t="shared" si="60"/>
        <v>6480.416879</v>
      </c>
      <c r="AC205" s="27">
        <f t="shared" si="61"/>
        <v>233.9500678</v>
      </c>
      <c r="AD205" s="72" t="s">
        <v>36</v>
      </c>
      <c r="AE205" s="79" t="s">
        <v>456</v>
      </c>
      <c r="AF205" s="186"/>
      <c r="AG205" s="187"/>
      <c r="AH205" s="187"/>
      <c r="AI205" s="187"/>
      <c r="AJ205" s="81"/>
      <c r="AK205" s="81"/>
      <c r="AL205" s="81"/>
      <c r="AM205" s="32"/>
      <c r="AN205" s="32"/>
      <c r="AO205" s="32"/>
      <c r="AP205" s="32"/>
      <c r="AQ205" s="33"/>
    </row>
    <row r="206" ht="15.75" customHeight="1">
      <c r="A206" s="163"/>
      <c r="B206" s="114" t="s">
        <v>230</v>
      </c>
      <c r="C206" s="114" t="s">
        <v>449</v>
      </c>
      <c r="D206" s="36" t="s">
        <v>80</v>
      </c>
      <c r="E206" s="114" t="s">
        <v>457</v>
      </c>
      <c r="F206" s="116">
        <v>2020.0</v>
      </c>
      <c r="G206" s="114"/>
      <c r="H206" s="116">
        <v>0.0</v>
      </c>
      <c r="I206" s="116">
        <v>5.29</v>
      </c>
      <c r="J206" s="117">
        <v>1.0</v>
      </c>
      <c r="K206" s="116">
        <v>5.29</v>
      </c>
      <c r="L206" s="114"/>
      <c r="M206" s="114"/>
      <c r="N206" s="116">
        <v>6.0</v>
      </c>
      <c r="O206" s="116">
        <v>117.0</v>
      </c>
      <c r="P206" s="114"/>
      <c r="Q206" s="140">
        <v>4083.0</v>
      </c>
      <c r="R206" s="114" t="s">
        <v>234</v>
      </c>
      <c r="S206" s="115">
        <v>2020.0</v>
      </c>
      <c r="T206" s="136">
        <v>0.239</v>
      </c>
      <c r="U206" s="118">
        <f t="shared" si="84"/>
        <v>975.837</v>
      </c>
      <c r="V206" s="24">
        <f t="shared" si="59"/>
        <v>184.468242</v>
      </c>
      <c r="W206" s="3">
        <f t="shared" si="31"/>
        <v>0</v>
      </c>
      <c r="X206" s="3">
        <f t="shared" si="32"/>
        <v>0</v>
      </c>
      <c r="Y206" s="3">
        <f t="shared" si="33"/>
        <v>0</v>
      </c>
      <c r="Z206" s="25">
        <f t="shared" si="34"/>
        <v>0</v>
      </c>
      <c r="AA206" s="26">
        <f>VLOOKUP(S206,CPI!$A$2:$F$71,6,0)</f>
        <v>1.244593545</v>
      </c>
      <c r="AB206" s="27">
        <f t="shared" si="60"/>
        <v>1214.520431</v>
      </c>
      <c r="AC206" s="27">
        <f t="shared" si="61"/>
        <v>229.5879832</v>
      </c>
      <c r="AD206" s="114"/>
      <c r="AE206" s="119" t="s">
        <v>454</v>
      </c>
      <c r="AF206" s="184" t="s">
        <v>455</v>
      </c>
      <c r="AG206" s="165"/>
      <c r="AH206" s="165"/>
      <c r="AI206" s="165"/>
      <c r="AJ206" s="166"/>
      <c r="AK206" s="166"/>
      <c r="AL206" s="166"/>
      <c r="AM206" s="32"/>
      <c r="AN206" s="32"/>
      <c r="AO206" s="32"/>
      <c r="AP206" s="32"/>
      <c r="AQ206" s="33"/>
    </row>
    <row r="207" ht="15.75" customHeight="1">
      <c r="A207" s="7"/>
      <c r="B207" s="114" t="s">
        <v>230</v>
      </c>
      <c r="C207" s="114" t="s">
        <v>449</v>
      </c>
      <c r="D207" s="115" t="s">
        <v>458</v>
      </c>
      <c r="E207" s="114" t="s">
        <v>459</v>
      </c>
      <c r="F207" s="116">
        <v>2021.0</v>
      </c>
      <c r="G207" s="114"/>
      <c r="H207" s="116">
        <v>0.0</v>
      </c>
      <c r="I207" s="116">
        <v>62.4</v>
      </c>
      <c r="J207" s="117">
        <v>0.76</v>
      </c>
      <c r="K207" s="116">
        <v>47.2</v>
      </c>
      <c r="L207" s="114"/>
      <c r="M207" s="114"/>
      <c r="N207" s="116">
        <v>15.0</v>
      </c>
      <c r="O207" s="116">
        <v>138.0</v>
      </c>
      <c r="P207" s="114"/>
      <c r="Q207" s="140">
        <v>39890.0</v>
      </c>
      <c r="R207" s="114" t="s">
        <v>234</v>
      </c>
      <c r="S207" s="115">
        <v>2021.0</v>
      </c>
      <c r="T207" s="136">
        <v>0.239</v>
      </c>
      <c r="U207" s="118">
        <f t="shared" si="84"/>
        <v>9533.71</v>
      </c>
      <c r="V207" s="24">
        <f t="shared" si="59"/>
        <v>152.7838141</v>
      </c>
      <c r="W207" s="3">
        <f t="shared" si="31"/>
        <v>0</v>
      </c>
      <c r="X207" s="3">
        <f t="shared" si="32"/>
        <v>0</v>
      </c>
      <c r="Y207" s="3">
        <f t="shared" si="33"/>
        <v>0</v>
      </c>
      <c r="Z207" s="25">
        <f t="shared" si="34"/>
        <v>0</v>
      </c>
      <c r="AA207" s="26">
        <f>VLOOKUP(S207,CPI!$A$2:$F$71,6,0)</f>
        <v>1.188745987</v>
      </c>
      <c r="AB207" s="27">
        <f t="shared" si="60"/>
        <v>11333.1595</v>
      </c>
      <c r="AC207" s="27">
        <f t="shared" si="61"/>
        <v>181.6211458</v>
      </c>
      <c r="AD207" s="114"/>
      <c r="AE207" s="161" t="s">
        <v>460</v>
      </c>
      <c r="AF207" s="164"/>
      <c r="AG207" s="165"/>
      <c r="AH207" s="165"/>
      <c r="AI207" s="165"/>
      <c r="AJ207" s="166"/>
      <c r="AK207" s="166"/>
      <c r="AL207" s="166"/>
      <c r="AM207" s="32"/>
      <c r="AN207" s="32"/>
      <c r="AO207" s="32"/>
      <c r="AP207" s="32"/>
      <c r="AQ207" s="33"/>
    </row>
    <row r="208" ht="15.75" customHeight="1">
      <c r="A208" s="14">
        <v>9486.0</v>
      </c>
      <c r="B208" s="22" t="s">
        <v>230</v>
      </c>
      <c r="C208" s="22" t="s">
        <v>461</v>
      </c>
      <c r="D208" s="36" t="s">
        <v>236</v>
      </c>
      <c r="E208" s="22" t="s">
        <v>364</v>
      </c>
      <c r="F208" s="17">
        <v>2013.0</v>
      </c>
      <c r="G208" s="17">
        <v>2017.0</v>
      </c>
      <c r="H208" s="17">
        <v>0.0</v>
      </c>
      <c r="I208" s="17">
        <v>27.03</v>
      </c>
      <c r="J208" s="19">
        <f>K208/I208</f>
        <v>1</v>
      </c>
      <c r="K208" s="17">
        <f>I208</f>
        <v>27.03</v>
      </c>
      <c r="L208" s="177">
        <v>0.0</v>
      </c>
      <c r="M208" s="177">
        <v>0.0</v>
      </c>
      <c r="N208" s="17">
        <v>11.0</v>
      </c>
      <c r="O208" s="17"/>
      <c r="P208" s="22" t="s">
        <v>42</v>
      </c>
      <c r="Q208" s="23">
        <v>19038.0</v>
      </c>
      <c r="R208" s="22" t="s">
        <v>234</v>
      </c>
      <c r="S208" s="17">
        <v>2013.0</v>
      </c>
      <c r="T208" s="136">
        <v>0.273</v>
      </c>
      <c r="U208" s="3">
        <f t="shared" si="84"/>
        <v>5197.374</v>
      </c>
      <c r="V208" s="24">
        <f t="shared" si="59"/>
        <v>192.281687</v>
      </c>
      <c r="W208" s="3">
        <f t="shared" si="31"/>
        <v>0</v>
      </c>
      <c r="X208" s="3">
        <f t="shared" si="32"/>
        <v>0</v>
      </c>
      <c r="Y208" s="3">
        <f t="shared" si="33"/>
        <v>0</v>
      </c>
      <c r="Z208" s="25">
        <f t="shared" si="34"/>
        <v>0</v>
      </c>
      <c r="AA208" s="26">
        <f>VLOOKUP(S208,CPI!$A$2:$F$71,6,0)</f>
        <v>1.382720845</v>
      </c>
      <c r="AB208" s="27">
        <f t="shared" si="60"/>
        <v>7186.517372</v>
      </c>
      <c r="AC208" s="27">
        <f t="shared" si="61"/>
        <v>265.8718968</v>
      </c>
      <c r="AD208" s="26" t="s">
        <v>42</v>
      </c>
      <c r="AE208" s="129" t="s">
        <v>462</v>
      </c>
      <c r="AF208" s="178"/>
      <c r="AG208" s="172"/>
      <c r="AH208" s="172"/>
      <c r="AI208" s="172"/>
      <c r="AJ208" s="32"/>
      <c r="AK208" s="32"/>
      <c r="AL208" s="32"/>
      <c r="AM208" s="32"/>
      <c r="AN208" s="32"/>
      <c r="AO208" s="32"/>
      <c r="AP208" s="32"/>
      <c r="AQ208" s="33"/>
    </row>
    <row r="209" ht="15.75" customHeight="1">
      <c r="A209" s="163"/>
      <c r="B209" s="114" t="s">
        <v>230</v>
      </c>
      <c r="C209" s="114" t="s">
        <v>461</v>
      </c>
      <c r="D209" s="115" t="s">
        <v>267</v>
      </c>
      <c r="E209" s="115" t="s">
        <v>463</v>
      </c>
      <c r="F209" s="116">
        <v>2012.0</v>
      </c>
      <c r="G209" s="116">
        <v>2018.0</v>
      </c>
      <c r="H209" s="116">
        <v>0.0</v>
      </c>
      <c r="I209" s="116">
        <v>54.4</v>
      </c>
      <c r="J209" s="117">
        <v>0.4</v>
      </c>
      <c r="K209" s="116">
        <v>21.9</v>
      </c>
      <c r="L209" s="114"/>
      <c r="M209" s="114"/>
      <c r="N209" s="116">
        <v>13.0</v>
      </c>
      <c r="O209" s="116">
        <v>117.0</v>
      </c>
      <c r="P209" s="114"/>
      <c r="Q209" s="140">
        <v>18913.0</v>
      </c>
      <c r="R209" s="114" t="s">
        <v>234</v>
      </c>
      <c r="S209" s="115">
        <v>2015.0</v>
      </c>
      <c r="T209" s="85">
        <v>0.258</v>
      </c>
      <c r="U209" s="118">
        <f t="shared" si="84"/>
        <v>4879.554</v>
      </c>
      <c r="V209" s="24">
        <f t="shared" si="59"/>
        <v>89.69768382</v>
      </c>
      <c r="W209" s="3">
        <f t="shared" si="31"/>
        <v>0</v>
      </c>
      <c r="X209" s="3">
        <f t="shared" si="32"/>
        <v>0</v>
      </c>
      <c r="Y209" s="3">
        <f t="shared" si="33"/>
        <v>0</v>
      </c>
      <c r="Z209" s="25">
        <f t="shared" si="34"/>
        <v>0</v>
      </c>
      <c r="AA209" s="26">
        <f>VLOOKUP(S209,CPI!$A$2:$F$71,6,0)</f>
        <v>1.359035428</v>
      </c>
      <c r="AB209" s="27">
        <f t="shared" si="60"/>
        <v>6631.486758</v>
      </c>
      <c r="AC209" s="27">
        <f t="shared" si="61"/>
        <v>121.9023301</v>
      </c>
      <c r="AD209" s="114"/>
      <c r="AE209" s="119" t="s">
        <v>464</v>
      </c>
      <c r="AF209" s="167" t="s">
        <v>465</v>
      </c>
      <c r="AG209" s="168"/>
      <c r="AH209" s="168"/>
      <c r="AI209" s="169"/>
      <c r="AJ209" s="166"/>
      <c r="AK209" s="166"/>
      <c r="AL209" s="166"/>
      <c r="AM209" s="32"/>
      <c r="AN209" s="32"/>
      <c r="AO209" s="32"/>
      <c r="AP209" s="32"/>
      <c r="AQ209" s="33"/>
    </row>
    <row r="210" ht="15.75" customHeight="1">
      <c r="A210" s="163"/>
      <c r="B210" s="114" t="s">
        <v>230</v>
      </c>
      <c r="C210" s="114" t="s">
        <v>461</v>
      </c>
      <c r="D210" s="115" t="s">
        <v>267</v>
      </c>
      <c r="E210" s="114" t="s">
        <v>466</v>
      </c>
      <c r="F210" s="116">
        <v>2012.0</v>
      </c>
      <c r="G210" s="116">
        <v>2018.0</v>
      </c>
      <c r="H210" s="116">
        <v>0.0</v>
      </c>
      <c r="I210" s="116">
        <v>21.6</v>
      </c>
      <c r="J210" s="117">
        <v>0.92</v>
      </c>
      <c r="K210" s="116">
        <v>19.9</v>
      </c>
      <c r="L210" s="114"/>
      <c r="M210" s="114"/>
      <c r="N210" s="116">
        <v>5.0</v>
      </c>
      <c r="O210" s="116">
        <v>117.0</v>
      </c>
      <c r="P210" s="114"/>
      <c r="Q210" s="140">
        <v>7802.0</v>
      </c>
      <c r="R210" s="114" t="s">
        <v>234</v>
      </c>
      <c r="S210" s="115">
        <v>2015.0</v>
      </c>
      <c r="T210" s="85">
        <v>0.258</v>
      </c>
      <c r="U210" s="118">
        <f t="shared" si="84"/>
        <v>2012.916</v>
      </c>
      <c r="V210" s="24">
        <f t="shared" si="59"/>
        <v>93.19055556</v>
      </c>
      <c r="W210" s="3">
        <f t="shared" si="31"/>
        <v>0</v>
      </c>
      <c r="X210" s="3">
        <f t="shared" si="32"/>
        <v>0</v>
      </c>
      <c r="Y210" s="3">
        <f t="shared" si="33"/>
        <v>0</v>
      </c>
      <c r="Z210" s="25">
        <f t="shared" si="34"/>
        <v>0</v>
      </c>
      <c r="AA210" s="26">
        <f>VLOOKUP(S210,CPI!$A$2:$F$71,6,0)</f>
        <v>1.359035428</v>
      </c>
      <c r="AB210" s="27">
        <f t="shared" si="60"/>
        <v>2735.624157</v>
      </c>
      <c r="AC210" s="27">
        <f t="shared" si="61"/>
        <v>126.6492665</v>
      </c>
      <c r="AD210" s="114"/>
      <c r="AE210" s="119" t="s">
        <v>464</v>
      </c>
      <c r="AF210" s="167" t="s">
        <v>467</v>
      </c>
      <c r="AG210" s="168"/>
      <c r="AH210" s="168"/>
      <c r="AI210" s="169"/>
      <c r="AJ210" s="166"/>
      <c r="AK210" s="166"/>
      <c r="AL210" s="166"/>
      <c r="AM210" s="32"/>
      <c r="AN210" s="32"/>
      <c r="AO210" s="32"/>
      <c r="AP210" s="32"/>
      <c r="AQ210" s="33"/>
    </row>
    <row r="211" ht="15.75" customHeight="1">
      <c r="A211" s="163"/>
      <c r="B211" s="114" t="s">
        <v>230</v>
      </c>
      <c r="C211" s="114" t="s">
        <v>461</v>
      </c>
      <c r="D211" s="16" t="s">
        <v>468</v>
      </c>
      <c r="E211" s="114" t="s">
        <v>468</v>
      </c>
      <c r="F211" s="116">
        <v>2012.0</v>
      </c>
      <c r="G211" s="116">
        <v>2018.0</v>
      </c>
      <c r="H211" s="116">
        <v>0.0</v>
      </c>
      <c r="I211" s="116">
        <v>61.6</v>
      </c>
      <c r="J211" s="117">
        <v>0.69</v>
      </c>
      <c r="K211" s="116">
        <v>42.5</v>
      </c>
      <c r="L211" s="114"/>
      <c r="M211" s="114"/>
      <c r="N211" s="116">
        <v>14.0</v>
      </c>
      <c r="O211" s="116">
        <v>117.0</v>
      </c>
      <c r="P211" s="114"/>
      <c r="Q211" s="140">
        <v>29133.0</v>
      </c>
      <c r="R211" s="114" t="s">
        <v>234</v>
      </c>
      <c r="S211" s="115">
        <v>2015.0</v>
      </c>
      <c r="T211" s="85">
        <v>0.258</v>
      </c>
      <c r="U211" s="118">
        <f t="shared" si="84"/>
        <v>7516.314</v>
      </c>
      <c r="V211" s="24">
        <f t="shared" si="59"/>
        <v>122.0180844</v>
      </c>
      <c r="W211" s="3">
        <f t="shared" si="31"/>
        <v>0</v>
      </c>
      <c r="X211" s="3">
        <f t="shared" si="32"/>
        <v>0</v>
      </c>
      <c r="Y211" s="3">
        <f t="shared" si="33"/>
        <v>0</v>
      </c>
      <c r="Z211" s="25">
        <f t="shared" si="34"/>
        <v>0</v>
      </c>
      <c r="AA211" s="26">
        <f>VLOOKUP(S211,CPI!$A$2:$F$71,6,0)</f>
        <v>1.359035428</v>
      </c>
      <c r="AB211" s="27">
        <f t="shared" si="60"/>
        <v>10214.93701</v>
      </c>
      <c r="AC211" s="27">
        <f t="shared" si="61"/>
        <v>165.8268996</v>
      </c>
      <c r="AD211" s="114"/>
      <c r="AE211" s="119" t="s">
        <v>464</v>
      </c>
      <c r="AF211" s="167" t="s">
        <v>469</v>
      </c>
      <c r="AG211" s="168"/>
      <c r="AH211" s="168"/>
      <c r="AI211" s="169"/>
      <c r="AJ211" s="166"/>
      <c r="AK211" s="166"/>
      <c r="AL211" s="166"/>
      <c r="AM211" s="32"/>
      <c r="AN211" s="32"/>
      <c r="AO211" s="32"/>
      <c r="AP211" s="32"/>
      <c r="AQ211" s="33"/>
    </row>
    <row r="212" ht="15.75" customHeight="1">
      <c r="A212" s="163"/>
      <c r="B212" s="114" t="s">
        <v>230</v>
      </c>
      <c r="C212" s="114" t="s">
        <v>461</v>
      </c>
      <c r="D212" s="16" t="s">
        <v>110</v>
      </c>
      <c r="E212" s="114" t="s">
        <v>470</v>
      </c>
      <c r="F212" s="116">
        <v>2012.0</v>
      </c>
      <c r="G212" s="116">
        <v>2018.0</v>
      </c>
      <c r="H212" s="116">
        <v>0.0</v>
      </c>
      <c r="I212" s="116">
        <v>12.5</v>
      </c>
      <c r="J212" s="117">
        <v>0.96</v>
      </c>
      <c r="K212" s="116">
        <v>12.01</v>
      </c>
      <c r="L212" s="114"/>
      <c r="M212" s="114"/>
      <c r="N212" s="116">
        <v>6.0</v>
      </c>
      <c r="O212" s="116">
        <v>68.0</v>
      </c>
      <c r="P212" s="114"/>
      <c r="Q212" s="140">
        <v>7849.42</v>
      </c>
      <c r="R212" s="114" t="s">
        <v>234</v>
      </c>
      <c r="S212" s="115">
        <v>2015.0</v>
      </c>
      <c r="T212" s="85">
        <v>0.258</v>
      </c>
      <c r="U212" s="118">
        <f t="shared" si="84"/>
        <v>2025.15036</v>
      </c>
      <c r="V212" s="24">
        <f t="shared" si="59"/>
        <v>162.0120288</v>
      </c>
      <c r="W212" s="3">
        <f t="shared" si="31"/>
        <v>0</v>
      </c>
      <c r="X212" s="3">
        <f t="shared" si="32"/>
        <v>0</v>
      </c>
      <c r="Y212" s="3">
        <f t="shared" si="33"/>
        <v>0</v>
      </c>
      <c r="Z212" s="25">
        <f t="shared" si="34"/>
        <v>0</v>
      </c>
      <c r="AA212" s="26">
        <f>VLOOKUP(S212,CPI!$A$2:$F$71,6,0)</f>
        <v>1.359035428</v>
      </c>
      <c r="AB212" s="27">
        <f t="shared" si="60"/>
        <v>2752.251086</v>
      </c>
      <c r="AC212" s="27">
        <f t="shared" si="61"/>
        <v>220.1800869</v>
      </c>
      <c r="AD212" s="114"/>
      <c r="AE212" s="161" t="s">
        <v>471</v>
      </c>
      <c r="AF212" s="164"/>
      <c r="AG212" s="165"/>
      <c r="AH212" s="165"/>
      <c r="AI212" s="165"/>
      <c r="AJ212" s="166"/>
      <c r="AK212" s="166"/>
      <c r="AL212" s="166"/>
      <c r="AM212" s="32"/>
      <c r="AN212" s="32"/>
      <c r="AO212" s="32"/>
      <c r="AP212" s="32"/>
      <c r="AQ212" s="33"/>
    </row>
    <row r="213" ht="15.75" customHeight="1">
      <c r="A213" s="170">
        <v>7851.0</v>
      </c>
      <c r="B213" s="123" t="s">
        <v>230</v>
      </c>
      <c r="C213" s="123" t="s">
        <v>461</v>
      </c>
      <c r="D213" s="36" t="s">
        <v>267</v>
      </c>
      <c r="E213" s="123" t="s">
        <v>472</v>
      </c>
      <c r="F213" s="75">
        <v>2017.0</v>
      </c>
      <c r="G213" s="75">
        <v>2021.0</v>
      </c>
      <c r="H213" s="75">
        <v>0.0</v>
      </c>
      <c r="I213" s="75">
        <v>11.6</v>
      </c>
      <c r="J213" s="124">
        <v>1.0</v>
      </c>
      <c r="K213" s="75">
        <v>11.6</v>
      </c>
      <c r="L213" s="125">
        <v>0.0</v>
      </c>
      <c r="M213" s="125">
        <v>0.0</v>
      </c>
      <c r="N213" s="75">
        <v>7.0</v>
      </c>
      <c r="O213" s="75"/>
      <c r="P213" s="123" t="s">
        <v>60</v>
      </c>
      <c r="Q213" s="126">
        <v>9494.0</v>
      </c>
      <c r="R213" s="123" t="s">
        <v>234</v>
      </c>
      <c r="S213" s="75">
        <v>2017.0</v>
      </c>
      <c r="T213" s="136">
        <v>0.239</v>
      </c>
      <c r="U213" s="128">
        <f t="shared" si="84"/>
        <v>2269.066</v>
      </c>
      <c r="V213" s="24">
        <f t="shared" si="59"/>
        <v>195.6091379</v>
      </c>
      <c r="W213" s="3">
        <f t="shared" si="31"/>
        <v>0</v>
      </c>
      <c r="X213" s="3">
        <f t="shared" si="32"/>
        <v>0</v>
      </c>
      <c r="Y213" s="3">
        <f t="shared" si="33"/>
        <v>0</v>
      </c>
      <c r="Z213" s="25">
        <f t="shared" si="34"/>
        <v>0</v>
      </c>
      <c r="AA213" s="26">
        <f>VLOOKUP(S213,CPI!$A$2:$F$71,6,0)</f>
        <v>1.314109416</v>
      </c>
      <c r="AB213" s="27">
        <f t="shared" si="60"/>
        <v>2981.800996</v>
      </c>
      <c r="AC213" s="27">
        <f t="shared" si="61"/>
        <v>257.05181</v>
      </c>
      <c r="AD213" s="123" t="s">
        <v>60</v>
      </c>
      <c r="AE213" s="129" t="s">
        <v>473</v>
      </c>
      <c r="AF213" s="29"/>
      <c r="AG213" s="30"/>
      <c r="AH213" s="30"/>
      <c r="AI213" s="30"/>
      <c r="AJ213" s="31"/>
      <c r="AK213" s="31"/>
      <c r="AL213" s="31"/>
      <c r="AM213" s="32"/>
      <c r="AN213" s="32"/>
      <c r="AO213" s="32"/>
      <c r="AP213" s="32"/>
      <c r="AQ213" s="33"/>
    </row>
    <row r="214" ht="15.75" customHeight="1">
      <c r="A214" s="170">
        <v>7859.0</v>
      </c>
      <c r="B214" s="72" t="s">
        <v>230</v>
      </c>
      <c r="C214" s="72" t="s">
        <v>461</v>
      </c>
      <c r="D214" s="36" t="s">
        <v>302</v>
      </c>
      <c r="E214" s="72" t="s">
        <v>302</v>
      </c>
      <c r="F214" s="69">
        <v>2017.0</v>
      </c>
      <c r="G214" s="69">
        <v>2021.0</v>
      </c>
      <c r="H214" s="69">
        <v>1.0</v>
      </c>
      <c r="I214" s="69">
        <v>31.0</v>
      </c>
      <c r="J214" s="117">
        <v>1.0</v>
      </c>
      <c r="K214" s="69">
        <v>31.0</v>
      </c>
      <c r="L214" s="72"/>
      <c r="M214" s="72"/>
      <c r="N214" s="69">
        <v>6.0</v>
      </c>
      <c r="O214" s="69">
        <v>184.0</v>
      </c>
      <c r="P214" s="72"/>
      <c r="Q214" s="140">
        <v>26400.0</v>
      </c>
      <c r="R214" s="72" t="s">
        <v>234</v>
      </c>
      <c r="S214" s="115">
        <v>2020.0</v>
      </c>
      <c r="T214" s="136">
        <v>0.239</v>
      </c>
      <c r="U214" s="118">
        <f t="shared" si="84"/>
        <v>6309.6</v>
      </c>
      <c r="V214" s="24">
        <f t="shared" si="59"/>
        <v>203.5354839</v>
      </c>
      <c r="W214" s="3">
        <f t="shared" si="31"/>
        <v>0</v>
      </c>
      <c r="X214" s="3">
        <f t="shared" si="32"/>
        <v>0</v>
      </c>
      <c r="Y214" s="3">
        <f t="shared" si="33"/>
        <v>0</v>
      </c>
      <c r="Z214" s="25">
        <f t="shared" si="34"/>
        <v>0</v>
      </c>
      <c r="AA214" s="26">
        <f>VLOOKUP(S214,CPI!$A$2:$F$71,6,0)</f>
        <v>1.244593545</v>
      </c>
      <c r="AB214" s="27">
        <f t="shared" si="60"/>
        <v>7852.887432</v>
      </c>
      <c r="AC214" s="27">
        <f t="shared" si="61"/>
        <v>253.3189494</v>
      </c>
      <c r="AD214" s="72" t="s">
        <v>36</v>
      </c>
      <c r="AE214" s="79" t="s">
        <v>474</v>
      </c>
      <c r="AF214" s="202"/>
      <c r="AG214" s="187"/>
      <c r="AH214" s="187"/>
      <c r="AI214" s="187"/>
      <c r="AJ214" s="81"/>
      <c r="AK214" s="81"/>
      <c r="AL214" s="81"/>
      <c r="AM214" s="32"/>
      <c r="AN214" s="32"/>
      <c r="AO214" s="32"/>
      <c r="AP214" s="32"/>
      <c r="AQ214" s="33"/>
    </row>
    <row r="215" ht="15.75" customHeight="1">
      <c r="A215" s="203">
        <v>7779.0</v>
      </c>
      <c r="B215" s="72" t="s">
        <v>230</v>
      </c>
      <c r="C215" s="72" t="s">
        <v>461</v>
      </c>
      <c r="D215" s="115" t="s">
        <v>239</v>
      </c>
      <c r="E215" s="72" t="s">
        <v>239</v>
      </c>
      <c r="F215" s="69">
        <v>2017.0</v>
      </c>
      <c r="G215" s="69">
        <v>2022.0</v>
      </c>
      <c r="H215" s="69">
        <v>0.0</v>
      </c>
      <c r="I215" s="69">
        <v>19.41</v>
      </c>
      <c r="J215" s="117">
        <v>1.0</v>
      </c>
      <c r="K215" s="69">
        <v>19.41</v>
      </c>
      <c r="L215" s="72"/>
      <c r="M215" s="72"/>
      <c r="N215" s="69">
        <v>14.0</v>
      </c>
      <c r="O215" s="69">
        <v>117.0</v>
      </c>
      <c r="P215" s="72"/>
      <c r="Q215" s="140">
        <v>23143.0</v>
      </c>
      <c r="R215" s="72" t="s">
        <v>234</v>
      </c>
      <c r="S215" s="115">
        <v>2020.0</v>
      </c>
      <c r="T215" s="136">
        <v>0.239</v>
      </c>
      <c r="U215" s="118">
        <f t="shared" si="84"/>
        <v>5531.177</v>
      </c>
      <c r="V215" s="24">
        <f t="shared" si="59"/>
        <v>284.9653272</v>
      </c>
      <c r="W215" s="3">
        <f t="shared" si="31"/>
        <v>0</v>
      </c>
      <c r="X215" s="3">
        <f t="shared" si="32"/>
        <v>0</v>
      </c>
      <c r="Y215" s="3">
        <f t="shared" si="33"/>
        <v>0</v>
      </c>
      <c r="Z215" s="25">
        <f t="shared" si="34"/>
        <v>0</v>
      </c>
      <c r="AA215" s="26">
        <f>VLOOKUP(S215,CPI!$A$2:$F$71,6,0)</f>
        <v>1.244593545</v>
      </c>
      <c r="AB215" s="27">
        <f t="shared" si="60"/>
        <v>6884.067191</v>
      </c>
      <c r="AC215" s="27">
        <f t="shared" si="61"/>
        <v>354.6660067</v>
      </c>
      <c r="AD215" s="72" t="s">
        <v>36</v>
      </c>
      <c r="AE215" s="79" t="s">
        <v>475</v>
      </c>
      <c r="AF215" s="186"/>
      <c r="AG215" s="187"/>
      <c r="AH215" s="187"/>
      <c r="AI215" s="187"/>
      <c r="AJ215" s="81"/>
      <c r="AK215" s="81"/>
      <c r="AL215" s="81"/>
      <c r="AM215" s="31"/>
      <c r="AN215" s="31"/>
      <c r="AO215" s="31"/>
      <c r="AP215" s="31"/>
      <c r="AQ215" s="35"/>
    </row>
    <row r="216" ht="15.75" customHeight="1">
      <c r="A216" s="170">
        <v>7865.0</v>
      </c>
      <c r="B216" s="123" t="s">
        <v>230</v>
      </c>
      <c r="C216" s="123" t="s">
        <v>461</v>
      </c>
      <c r="D216" s="36" t="s">
        <v>84</v>
      </c>
      <c r="E216" s="123" t="s">
        <v>476</v>
      </c>
      <c r="F216" s="75">
        <v>2018.0</v>
      </c>
      <c r="G216" s="75">
        <v>2022.0</v>
      </c>
      <c r="H216" s="75">
        <v>0.0</v>
      </c>
      <c r="I216" s="75">
        <v>9.7</v>
      </c>
      <c r="J216" s="124">
        <v>1.0</v>
      </c>
      <c r="K216" s="75">
        <v>9.7</v>
      </c>
      <c r="L216" s="125">
        <v>0.0</v>
      </c>
      <c r="M216" s="125">
        <v>0.0</v>
      </c>
      <c r="N216" s="75">
        <v>6.0</v>
      </c>
      <c r="O216" s="75"/>
      <c r="P216" s="123" t="s">
        <v>60</v>
      </c>
      <c r="Q216" s="126">
        <v>7862.0</v>
      </c>
      <c r="R216" s="123" t="s">
        <v>234</v>
      </c>
      <c r="S216" s="75">
        <v>2017.0</v>
      </c>
      <c r="T216" s="136">
        <v>0.239</v>
      </c>
      <c r="U216" s="128">
        <f t="shared" si="84"/>
        <v>1879.018</v>
      </c>
      <c r="V216" s="24">
        <f t="shared" si="59"/>
        <v>193.7131959</v>
      </c>
      <c r="W216" s="3">
        <f t="shared" si="31"/>
        <v>0</v>
      </c>
      <c r="X216" s="3">
        <f t="shared" si="32"/>
        <v>0</v>
      </c>
      <c r="Y216" s="3">
        <f t="shared" si="33"/>
        <v>0</v>
      </c>
      <c r="Z216" s="25">
        <f t="shared" si="34"/>
        <v>0</v>
      </c>
      <c r="AA216" s="26">
        <f>VLOOKUP(S216,CPI!$A$2:$F$71,6,0)</f>
        <v>1.314109416</v>
      </c>
      <c r="AB216" s="27">
        <f t="shared" si="60"/>
        <v>2469.235246</v>
      </c>
      <c r="AC216" s="27">
        <f t="shared" si="61"/>
        <v>254.5603347</v>
      </c>
      <c r="AD216" s="123" t="s">
        <v>60</v>
      </c>
      <c r="AE216" s="129" t="s">
        <v>473</v>
      </c>
      <c r="AF216" s="29"/>
      <c r="AG216" s="30"/>
      <c r="AH216" s="30"/>
      <c r="AI216" s="30"/>
      <c r="AJ216" s="31"/>
      <c r="AK216" s="31"/>
      <c r="AL216" s="31"/>
      <c r="AM216" s="91"/>
      <c r="AN216" s="91"/>
      <c r="AO216" s="91"/>
      <c r="AP216" s="91"/>
      <c r="AQ216" s="204"/>
    </row>
    <row r="217" ht="15.75" customHeight="1">
      <c r="A217" s="170">
        <v>7915.0</v>
      </c>
      <c r="B217" s="123" t="s">
        <v>230</v>
      </c>
      <c r="C217" s="123" t="s">
        <v>461</v>
      </c>
      <c r="D217" s="36" t="s">
        <v>228</v>
      </c>
      <c r="E217" s="123" t="s">
        <v>477</v>
      </c>
      <c r="F217" s="75">
        <v>2018.0</v>
      </c>
      <c r="G217" s="75">
        <v>2022.0</v>
      </c>
      <c r="H217" s="75">
        <v>0.0</v>
      </c>
      <c r="I217" s="75">
        <v>21.8</v>
      </c>
      <c r="J217" s="124">
        <v>1.0</v>
      </c>
      <c r="K217" s="75">
        <v>21.8</v>
      </c>
      <c r="L217" s="125">
        <v>0.0</v>
      </c>
      <c r="M217" s="125">
        <v>0.0</v>
      </c>
      <c r="N217" s="75">
        <v>11.0</v>
      </c>
      <c r="O217" s="75"/>
      <c r="P217" s="123" t="s">
        <v>60</v>
      </c>
      <c r="Q217" s="126">
        <v>16235.0</v>
      </c>
      <c r="R217" s="123" t="s">
        <v>234</v>
      </c>
      <c r="S217" s="75">
        <v>2017.0</v>
      </c>
      <c r="T217" s="136">
        <v>0.239</v>
      </c>
      <c r="U217" s="128">
        <f t="shared" si="84"/>
        <v>3880.165</v>
      </c>
      <c r="V217" s="24">
        <f t="shared" si="59"/>
        <v>177.9892202</v>
      </c>
      <c r="W217" s="3">
        <f t="shared" si="31"/>
        <v>0</v>
      </c>
      <c r="X217" s="3">
        <f t="shared" si="32"/>
        <v>0</v>
      </c>
      <c r="Y217" s="3">
        <f t="shared" si="33"/>
        <v>0</v>
      </c>
      <c r="Z217" s="25">
        <f t="shared" si="34"/>
        <v>0</v>
      </c>
      <c r="AA217" s="26">
        <f>VLOOKUP(S217,CPI!$A$2:$F$71,6,0)</f>
        <v>1.314109416</v>
      </c>
      <c r="AB217" s="27">
        <f t="shared" si="60"/>
        <v>5098.961361</v>
      </c>
      <c r="AC217" s="27">
        <f t="shared" si="61"/>
        <v>233.8973102</v>
      </c>
      <c r="AD217" s="123" t="s">
        <v>60</v>
      </c>
      <c r="AE217" s="129" t="s">
        <v>473</v>
      </c>
      <c r="AF217" s="29"/>
      <c r="AG217" s="30"/>
      <c r="AH217" s="30"/>
      <c r="AI217" s="30"/>
      <c r="AJ217" s="31"/>
      <c r="AK217" s="31"/>
      <c r="AL217" s="31"/>
      <c r="AM217" s="32"/>
      <c r="AN217" s="32"/>
      <c r="AO217" s="32"/>
      <c r="AP217" s="32"/>
      <c r="AQ217" s="33"/>
    </row>
    <row r="218" ht="15.75" customHeight="1">
      <c r="A218" s="38">
        <v>8040.0</v>
      </c>
      <c r="B218" s="130" t="s">
        <v>230</v>
      </c>
      <c r="C218" s="130" t="s">
        <v>461</v>
      </c>
      <c r="D218" s="16" t="s">
        <v>87</v>
      </c>
      <c r="E218" s="130" t="s">
        <v>478</v>
      </c>
      <c r="F218" s="130">
        <v>2019.0</v>
      </c>
      <c r="G218" s="130">
        <v>2022.0</v>
      </c>
      <c r="H218" s="130">
        <v>0.0</v>
      </c>
      <c r="I218" s="130">
        <v>9.6</v>
      </c>
      <c r="J218" s="131">
        <v>1.0</v>
      </c>
      <c r="K218" s="130">
        <v>9.6</v>
      </c>
      <c r="L218" s="132">
        <v>0.0</v>
      </c>
      <c r="M218" s="132">
        <v>0.0</v>
      </c>
      <c r="N218" s="130">
        <v>4.0</v>
      </c>
      <c r="O218" s="138"/>
      <c r="P218" s="130" t="s">
        <v>60</v>
      </c>
      <c r="Q218" s="135">
        <v>5698.0</v>
      </c>
      <c r="R218" s="130" t="s">
        <v>234</v>
      </c>
      <c r="S218" s="130">
        <v>2017.0</v>
      </c>
      <c r="T218" s="136">
        <v>0.239</v>
      </c>
      <c r="U218" s="128">
        <f>T218*Q218</f>
        <v>1361.822</v>
      </c>
      <c r="V218" s="24">
        <f t="shared" si="59"/>
        <v>141.8564583</v>
      </c>
      <c r="W218" s="3">
        <f t="shared" si="31"/>
        <v>0</v>
      </c>
      <c r="X218" s="3">
        <f t="shared" si="32"/>
        <v>0</v>
      </c>
      <c r="Y218" s="3">
        <f t="shared" si="33"/>
        <v>0</v>
      </c>
      <c r="Z218" s="25">
        <f t="shared" si="34"/>
        <v>0</v>
      </c>
      <c r="AA218" s="26">
        <f>VLOOKUP(S218,CPI!$A$2:$F$71,6,0)</f>
        <v>1.314109416</v>
      </c>
      <c r="AB218" s="27">
        <f t="shared" si="60"/>
        <v>1789.583113</v>
      </c>
      <c r="AC218" s="27">
        <f t="shared" si="61"/>
        <v>186.4149076</v>
      </c>
      <c r="AD218" s="130" t="s">
        <v>60</v>
      </c>
      <c r="AE218" s="137" t="s">
        <v>473</v>
      </c>
      <c r="AF218" s="29"/>
      <c r="AG218" s="30"/>
      <c r="AH218" s="30"/>
      <c r="AI218" s="30"/>
      <c r="AJ218" s="31"/>
      <c r="AK218" s="31"/>
      <c r="AL218" s="31"/>
      <c r="AM218" s="32"/>
      <c r="AN218" s="32"/>
      <c r="AO218" s="32"/>
      <c r="AP218" s="32"/>
      <c r="AQ218" s="33"/>
    </row>
    <row r="219" ht="15.75" customHeight="1">
      <c r="A219" s="170">
        <v>7922.0</v>
      </c>
      <c r="B219" s="72" t="s">
        <v>230</v>
      </c>
      <c r="C219" s="72" t="s">
        <v>461</v>
      </c>
      <c r="D219" s="72" t="s">
        <v>351</v>
      </c>
      <c r="E219" s="72" t="s">
        <v>351</v>
      </c>
      <c r="F219" s="69">
        <v>2017.0</v>
      </c>
      <c r="G219" s="69">
        <v>2023.0</v>
      </c>
      <c r="H219" s="69">
        <v>1.0</v>
      </c>
      <c r="I219" s="69">
        <v>62.5</v>
      </c>
      <c r="J219" s="117">
        <v>1.0</v>
      </c>
      <c r="K219" s="69">
        <v>62.5</v>
      </c>
      <c r="L219" s="72"/>
      <c r="M219" s="72"/>
      <c r="N219" s="69">
        <v>9.0</v>
      </c>
      <c r="O219" s="69">
        <v>184.0</v>
      </c>
      <c r="P219" s="72"/>
      <c r="Q219" s="140">
        <v>48600.0</v>
      </c>
      <c r="R219" s="72" t="s">
        <v>234</v>
      </c>
      <c r="S219" s="115">
        <v>2020.0</v>
      </c>
      <c r="T219" s="136">
        <v>0.239</v>
      </c>
      <c r="U219" s="118">
        <f t="shared" ref="U219:U236" si="85">Q219*T219</f>
        <v>11615.4</v>
      </c>
      <c r="V219" s="24">
        <f t="shared" si="59"/>
        <v>185.8464</v>
      </c>
      <c r="W219" s="3">
        <f t="shared" si="31"/>
        <v>0</v>
      </c>
      <c r="X219" s="3">
        <f t="shared" si="32"/>
        <v>0</v>
      </c>
      <c r="Y219" s="3">
        <f t="shared" si="33"/>
        <v>0</v>
      </c>
      <c r="Z219" s="25">
        <f t="shared" si="34"/>
        <v>0</v>
      </c>
      <c r="AA219" s="26">
        <f>VLOOKUP(S219,CPI!$A$2:$F$71,6,0)</f>
        <v>1.244593545</v>
      </c>
      <c r="AB219" s="27">
        <f t="shared" si="60"/>
        <v>14456.45186</v>
      </c>
      <c r="AC219" s="27">
        <f t="shared" si="61"/>
        <v>231.3032298</v>
      </c>
      <c r="AD219" s="72" t="s">
        <v>36</v>
      </c>
      <c r="AE219" s="79" t="s">
        <v>479</v>
      </c>
      <c r="AF219" s="167" t="s">
        <v>480</v>
      </c>
      <c r="AG219" s="168"/>
      <c r="AH219" s="168"/>
      <c r="AI219" s="169"/>
      <c r="AJ219" s="166"/>
      <c r="AK219" s="166"/>
      <c r="AL219" s="166"/>
      <c r="AM219" s="60"/>
      <c r="AN219" s="60"/>
      <c r="AO219" s="60"/>
      <c r="AP219" s="60"/>
      <c r="AQ219" s="6"/>
    </row>
    <row r="220" ht="15.75" customHeight="1">
      <c r="A220" s="170">
        <v>7912.0</v>
      </c>
      <c r="B220" s="72" t="s">
        <v>230</v>
      </c>
      <c r="C220" s="72" t="s">
        <v>461</v>
      </c>
      <c r="D220" s="115" t="s">
        <v>243</v>
      </c>
      <c r="E220" s="72" t="s">
        <v>256</v>
      </c>
      <c r="F220" s="69">
        <v>2017.0</v>
      </c>
      <c r="G220" s="69">
        <v>2023.0</v>
      </c>
      <c r="H220" s="69">
        <v>0.0</v>
      </c>
      <c r="I220" s="69">
        <v>20.0</v>
      </c>
      <c r="J220" s="117">
        <v>0.57</v>
      </c>
      <c r="K220" s="69">
        <v>11.3</v>
      </c>
      <c r="L220" s="72"/>
      <c r="M220" s="72"/>
      <c r="N220" s="69">
        <v>9.0</v>
      </c>
      <c r="O220" s="70">
        <v>138.0</v>
      </c>
      <c r="P220" s="72"/>
      <c r="Q220" s="140">
        <v>15083.0</v>
      </c>
      <c r="R220" s="72" t="s">
        <v>234</v>
      </c>
      <c r="S220" s="115">
        <v>2020.0</v>
      </c>
      <c r="T220" s="136">
        <v>0.239</v>
      </c>
      <c r="U220" s="118">
        <f t="shared" si="85"/>
        <v>3604.837</v>
      </c>
      <c r="V220" s="24">
        <f t="shared" si="59"/>
        <v>180.24185</v>
      </c>
      <c r="W220" s="3">
        <f t="shared" si="31"/>
        <v>0</v>
      </c>
      <c r="X220" s="3">
        <f t="shared" si="32"/>
        <v>0</v>
      </c>
      <c r="Y220" s="3">
        <f t="shared" si="33"/>
        <v>0</v>
      </c>
      <c r="Z220" s="25">
        <f t="shared" si="34"/>
        <v>0</v>
      </c>
      <c r="AA220" s="26">
        <f>VLOOKUP(S220,CPI!$A$2:$F$71,6,0)</f>
        <v>1.244593545</v>
      </c>
      <c r="AB220" s="27">
        <f t="shared" si="60"/>
        <v>4486.556861</v>
      </c>
      <c r="AC220" s="27">
        <f t="shared" si="61"/>
        <v>224.3278431</v>
      </c>
      <c r="AD220" s="115" t="s">
        <v>60</v>
      </c>
      <c r="AE220" s="182" t="s">
        <v>481</v>
      </c>
      <c r="AF220" s="72"/>
      <c r="AG220" s="72"/>
      <c r="AH220" s="72"/>
      <c r="AI220" s="72"/>
      <c r="AJ220" s="54"/>
      <c r="AK220" s="54"/>
      <c r="AL220" s="54"/>
      <c r="AM220" s="6"/>
      <c r="AN220" s="6"/>
      <c r="AO220" s="6"/>
      <c r="AP220" s="6"/>
      <c r="AQ220" s="6"/>
    </row>
    <row r="221" ht="15.75" customHeight="1">
      <c r="A221" s="170">
        <v>7811.0</v>
      </c>
      <c r="B221" s="72" t="s">
        <v>230</v>
      </c>
      <c r="C221" s="72" t="s">
        <v>461</v>
      </c>
      <c r="D221" s="115" t="s">
        <v>287</v>
      </c>
      <c r="E221" s="72" t="s">
        <v>287</v>
      </c>
      <c r="F221" s="69">
        <v>2018.0</v>
      </c>
      <c r="G221" s="69">
        <v>2023.0</v>
      </c>
      <c r="H221" s="69">
        <v>0.0</v>
      </c>
      <c r="I221" s="69">
        <v>37.6</v>
      </c>
      <c r="J221" s="117">
        <v>1.0</v>
      </c>
      <c r="K221" s="69">
        <v>37.6</v>
      </c>
      <c r="L221" s="72"/>
      <c r="M221" s="72"/>
      <c r="N221" s="69">
        <v>25.0</v>
      </c>
      <c r="O221" s="69">
        <v>138.0</v>
      </c>
      <c r="P221" s="72"/>
      <c r="Q221" s="140">
        <v>37500.0</v>
      </c>
      <c r="R221" s="72" t="s">
        <v>234</v>
      </c>
      <c r="S221" s="115">
        <v>2020.0</v>
      </c>
      <c r="T221" s="136">
        <v>0.239</v>
      </c>
      <c r="U221" s="118">
        <f t="shared" si="85"/>
        <v>8962.5</v>
      </c>
      <c r="V221" s="24">
        <f t="shared" si="59"/>
        <v>238.3643617</v>
      </c>
      <c r="W221" s="3">
        <f t="shared" si="31"/>
        <v>0</v>
      </c>
      <c r="X221" s="3">
        <f t="shared" si="32"/>
        <v>0</v>
      </c>
      <c r="Y221" s="3">
        <f t="shared" si="33"/>
        <v>0</v>
      </c>
      <c r="Z221" s="25">
        <f t="shared" si="34"/>
        <v>0</v>
      </c>
      <c r="AA221" s="26">
        <f>VLOOKUP(S221,CPI!$A$2:$F$71,6,0)</f>
        <v>1.244593545</v>
      </c>
      <c r="AB221" s="27">
        <f t="shared" si="60"/>
        <v>11154.66965</v>
      </c>
      <c r="AC221" s="27">
        <f t="shared" si="61"/>
        <v>296.666746</v>
      </c>
      <c r="AD221" s="72" t="s">
        <v>36</v>
      </c>
      <c r="AE221" s="79" t="s">
        <v>482</v>
      </c>
      <c r="AF221" s="186"/>
      <c r="AG221" s="187"/>
      <c r="AH221" s="187"/>
      <c r="AI221" s="187"/>
      <c r="AJ221" s="81"/>
      <c r="AK221" s="81"/>
      <c r="AL221" s="81"/>
      <c r="AM221" s="60"/>
      <c r="AN221" s="60"/>
      <c r="AO221" s="60"/>
      <c r="AP221" s="60"/>
      <c r="AQ221" s="6"/>
    </row>
    <row r="222" ht="15.75" customHeight="1">
      <c r="A222" s="163"/>
      <c r="B222" s="114" t="s">
        <v>230</v>
      </c>
      <c r="C222" s="114" t="s">
        <v>461</v>
      </c>
      <c r="D222" s="115" t="s">
        <v>87</v>
      </c>
      <c r="E222" s="115" t="s">
        <v>331</v>
      </c>
      <c r="F222" s="116">
        <v>2000.0</v>
      </c>
      <c r="G222" s="114"/>
      <c r="H222" s="116">
        <v>0.0</v>
      </c>
      <c r="I222" s="116">
        <v>35.86</v>
      </c>
      <c r="J222" s="117">
        <v>1.0</v>
      </c>
      <c r="K222" s="116">
        <v>35.86</v>
      </c>
      <c r="L222" s="114"/>
      <c r="M222" s="114"/>
      <c r="N222" s="116">
        <v>18.0</v>
      </c>
      <c r="O222" s="116">
        <v>117.0</v>
      </c>
      <c r="P222" s="114"/>
      <c r="Q222" s="140">
        <v>15300.0</v>
      </c>
      <c r="R222" s="114" t="s">
        <v>234</v>
      </c>
      <c r="S222" s="115">
        <v>2000.0</v>
      </c>
      <c r="T222" s="85">
        <v>0.367</v>
      </c>
      <c r="U222" s="118">
        <f t="shared" si="85"/>
        <v>5615.1</v>
      </c>
      <c r="V222" s="24">
        <f t="shared" si="59"/>
        <v>156.5839375</v>
      </c>
      <c r="W222" s="3">
        <f t="shared" si="31"/>
        <v>0</v>
      </c>
      <c r="X222" s="3">
        <f t="shared" si="32"/>
        <v>0</v>
      </c>
      <c r="Y222" s="3">
        <f t="shared" si="33"/>
        <v>0</v>
      </c>
      <c r="Z222" s="25">
        <f t="shared" si="34"/>
        <v>0</v>
      </c>
      <c r="AA222" s="26">
        <f>VLOOKUP(S222,CPI!$A$2:$F$71,6,0)</f>
        <v>1.870583624</v>
      </c>
      <c r="AB222" s="27">
        <f t="shared" si="60"/>
        <v>10503.51411</v>
      </c>
      <c r="AC222" s="27">
        <f t="shared" si="61"/>
        <v>292.9033493</v>
      </c>
      <c r="AD222" s="114"/>
      <c r="AE222" s="119" t="s">
        <v>483</v>
      </c>
      <c r="AF222" s="164"/>
      <c r="AG222" s="165"/>
      <c r="AH222" s="165"/>
      <c r="AI222" s="165"/>
      <c r="AJ222" s="166"/>
      <c r="AK222" s="166"/>
      <c r="AL222" s="166"/>
      <c r="AM222" s="60"/>
      <c r="AN222" s="60"/>
      <c r="AO222" s="60"/>
      <c r="AP222" s="60"/>
      <c r="AQ222" s="6"/>
    </row>
    <row r="223" ht="15.75" customHeight="1">
      <c r="A223" s="163"/>
      <c r="B223" s="114" t="s">
        <v>230</v>
      </c>
      <c r="C223" s="114" t="s">
        <v>461</v>
      </c>
      <c r="D223" s="115" t="s">
        <v>80</v>
      </c>
      <c r="E223" s="115" t="s">
        <v>255</v>
      </c>
      <c r="F223" s="116">
        <v>2006.0</v>
      </c>
      <c r="G223" s="114"/>
      <c r="H223" s="116">
        <v>0.0</v>
      </c>
      <c r="I223" s="116">
        <v>24.3</v>
      </c>
      <c r="J223" s="117">
        <v>0.87</v>
      </c>
      <c r="K223" s="116">
        <v>21.2</v>
      </c>
      <c r="L223" s="114"/>
      <c r="M223" s="114"/>
      <c r="N223" s="116">
        <v>22.0</v>
      </c>
      <c r="O223" s="116">
        <v>68.0</v>
      </c>
      <c r="P223" s="114"/>
      <c r="Q223" s="140">
        <v>11529.0</v>
      </c>
      <c r="R223" s="114" t="s">
        <v>234</v>
      </c>
      <c r="S223" s="115">
        <v>2006.0</v>
      </c>
      <c r="T223" s="85">
        <v>0.349</v>
      </c>
      <c r="U223" s="118">
        <f t="shared" si="85"/>
        <v>4023.621</v>
      </c>
      <c r="V223" s="24">
        <f t="shared" si="59"/>
        <v>165.5811111</v>
      </c>
      <c r="W223" s="3">
        <f t="shared" si="31"/>
        <v>0</v>
      </c>
      <c r="X223" s="3">
        <f t="shared" si="32"/>
        <v>0</v>
      </c>
      <c r="Y223" s="3">
        <f t="shared" si="33"/>
        <v>0</v>
      </c>
      <c r="Z223" s="25">
        <f t="shared" si="34"/>
        <v>0</v>
      </c>
      <c r="AA223" s="26">
        <f>VLOOKUP(S223,CPI!$A$2:$F$71,6,0)</f>
        <v>1.597790179</v>
      </c>
      <c r="AB223" s="27">
        <f t="shared" si="60"/>
        <v>6428.902116</v>
      </c>
      <c r="AC223" s="27">
        <f t="shared" si="61"/>
        <v>264.5638731</v>
      </c>
      <c r="AD223" s="114"/>
      <c r="AE223" s="161" t="s">
        <v>484</v>
      </c>
      <c r="AF223" s="164"/>
      <c r="AG223" s="165"/>
      <c r="AH223" s="165"/>
      <c r="AI223" s="165"/>
      <c r="AJ223" s="166"/>
      <c r="AK223" s="166"/>
      <c r="AL223" s="166"/>
      <c r="AM223" s="60"/>
      <c r="AN223" s="60"/>
      <c r="AO223" s="60"/>
      <c r="AP223" s="60"/>
      <c r="AQ223" s="6"/>
    </row>
    <row r="224" ht="15.75" customHeight="1">
      <c r="A224" s="163"/>
      <c r="B224" s="114" t="s">
        <v>230</v>
      </c>
      <c r="C224" s="114" t="s">
        <v>461</v>
      </c>
      <c r="D224" s="16" t="s">
        <v>485</v>
      </c>
      <c r="E224" s="114" t="s">
        <v>486</v>
      </c>
      <c r="F224" s="116">
        <v>2007.0</v>
      </c>
      <c r="G224" s="114"/>
      <c r="H224" s="116">
        <v>0.0</v>
      </c>
      <c r="I224" s="116">
        <v>28.55</v>
      </c>
      <c r="J224" s="114"/>
      <c r="K224" s="114"/>
      <c r="L224" s="114"/>
      <c r="M224" s="114"/>
      <c r="N224" s="116">
        <v>22.0</v>
      </c>
      <c r="O224" s="116">
        <v>138.0</v>
      </c>
      <c r="P224" s="114"/>
      <c r="Q224" s="140">
        <v>14729.0</v>
      </c>
      <c r="R224" s="114" t="s">
        <v>234</v>
      </c>
      <c r="S224" s="115">
        <v>2007.0</v>
      </c>
      <c r="T224" s="85">
        <v>0.333</v>
      </c>
      <c r="U224" s="118">
        <f t="shared" si="85"/>
        <v>4904.757</v>
      </c>
      <c r="V224" s="24">
        <f t="shared" si="59"/>
        <v>171.7953415</v>
      </c>
      <c r="W224" s="3">
        <f t="shared" si="31"/>
        <v>0</v>
      </c>
      <c r="X224" s="3">
        <f t="shared" si="32"/>
        <v>0</v>
      </c>
      <c r="Y224" s="3">
        <f t="shared" si="33"/>
        <v>0</v>
      </c>
      <c r="Z224" s="25">
        <f t="shared" si="34"/>
        <v>0</v>
      </c>
      <c r="AA224" s="26">
        <f>VLOOKUP(S224,CPI!$A$2:$F$71,6,0)</f>
        <v>1.553541974</v>
      </c>
      <c r="AB224" s="27">
        <f t="shared" si="60"/>
        <v>7619.745872</v>
      </c>
      <c r="AC224" s="27">
        <f t="shared" si="61"/>
        <v>266.891274</v>
      </c>
      <c r="AD224" s="114"/>
      <c r="AE224" s="161" t="s">
        <v>487</v>
      </c>
      <c r="AF224" s="164"/>
      <c r="AG224" s="165"/>
      <c r="AH224" s="165"/>
      <c r="AI224" s="165"/>
      <c r="AJ224" s="166"/>
      <c r="AK224" s="166"/>
      <c r="AL224" s="166"/>
      <c r="AM224" s="60"/>
      <c r="AN224" s="60"/>
      <c r="AO224" s="60"/>
      <c r="AP224" s="60"/>
      <c r="AQ224" s="6"/>
    </row>
    <row r="225" ht="15.75" customHeight="1">
      <c r="A225" s="163"/>
      <c r="B225" s="114" t="s">
        <v>230</v>
      </c>
      <c r="C225" s="114" t="s">
        <v>461</v>
      </c>
      <c r="D225" s="115" t="s">
        <v>80</v>
      </c>
      <c r="E225" s="115" t="s">
        <v>488</v>
      </c>
      <c r="F225" s="116">
        <v>2009.0</v>
      </c>
      <c r="G225" s="114"/>
      <c r="H225" s="116">
        <v>0.0</v>
      </c>
      <c r="I225" s="116">
        <v>17.6</v>
      </c>
      <c r="J225" s="117">
        <v>1.0</v>
      </c>
      <c r="K225" s="116">
        <v>17.6</v>
      </c>
      <c r="L225" s="114"/>
      <c r="M225" s="114"/>
      <c r="N225" s="114"/>
      <c r="O225" s="116">
        <v>102.0</v>
      </c>
      <c r="P225" s="114"/>
      <c r="Q225" s="140">
        <v>7156.0</v>
      </c>
      <c r="R225" s="114" t="s">
        <v>234</v>
      </c>
      <c r="S225" s="115">
        <v>2009.0</v>
      </c>
      <c r="T225" s="85">
        <v>0.317</v>
      </c>
      <c r="U225" s="118">
        <f t="shared" si="85"/>
        <v>2268.452</v>
      </c>
      <c r="V225" s="24">
        <f t="shared" si="59"/>
        <v>128.8893182</v>
      </c>
      <c r="W225" s="3">
        <f t="shared" si="31"/>
        <v>0</v>
      </c>
      <c r="X225" s="3">
        <f t="shared" si="32"/>
        <v>0</v>
      </c>
      <c r="Y225" s="3">
        <f t="shared" si="33"/>
        <v>0</v>
      </c>
      <c r="Z225" s="25">
        <f t="shared" si="34"/>
        <v>0</v>
      </c>
      <c r="AA225" s="26">
        <f>VLOOKUP(S225,CPI!$A$2:$F$71,6,0)</f>
        <v>1.501440311</v>
      </c>
      <c r="AB225" s="27">
        <f t="shared" si="60"/>
        <v>3405.945276</v>
      </c>
      <c r="AC225" s="27">
        <f t="shared" si="61"/>
        <v>193.519618</v>
      </c>
      <c r="AD225" s="114"/>
      <c r="AE225" s="119" t="s">
        <v>489</v>
      </c>
      <c r="AF225" s="164"/>
      <c r="AG225" s="165"/>
      <c r="AH225" s="165"/>
      <c r="AI225" s="165"/>
      <c r="AJ225" s="166"/>
      <c r="AK225" s="166"/>
      <c r="AL225" s="166"/>
      <c r="AM225" s="32"/>
      <c r="AN225" s="32"/>
      <c r="AO225" s="32"/>
      <c r="AP225" s="32"/>
      <c r="AQ225" s="33"/>
    </row>
    <row r="226" ht="15.75" customHeight="1">
      <c r="A226" s="163"/>
      <c r="B226" s="114" t="s">
        <v>230</v>
      </c>
      <c r="C226" s="114" t="s">
        <v>461</v>
      </c>
      <c r="D226" s="114" t="s">
        <v>253</v>
      </c>
      <c r="E226" s="114" t="s">
        <v>253</v>
      </c>
      <c r="F226" s="116">
        <v>2009.0</v>
      </c>
      <c r="G226" s="114"/>
      <c r="H226" s="116">
        <v>0.0</v>
      </c>
      <c r="I226" s="116">
        <v>18.3</v>
      </c>
      <c r="J226" s="117">
        <v>1.0</v>
      </c>
      <c r="K226" s="116">
        <v>18.3</v>
      </c>
      <c r="L226" s="114"/>
      <c r="M226" s="114"/>
      <c r="N226" s="114"/>
      <c r="O226" s="116">
        <v>117.0</v>
      </c>
      <c r="P226" s="114"/>
      <c r="Q226" s="140">
        <v>7750.0</v>
      </c>
      <c r="R226" s="114" t="s">
        <v>234</v>
      </c>
      <c r="S226" s="115">
        <v>2009.0</v>
      </c>
      <c r="T226" s="85">
        <v>0.317</v>
      </c>
      <c r="U226" s="118">
        <f t="shared" si="85"/>
        <v>2456.75</v>
      </c>
      <c r="V226" s="24">
        <f t="shared" si="59"/>
        <v>134.2486339</v>
      </c>
      <c r="W226" s="3">
        <f t="shared" si="31"/>
        <v>0</v>
      </c>
      <c r="X226" s="3">
        <f t="shared" si="32"/>
        <v>0</v>
      </c>
      <c r="Y226" s="3">
        <f t="shared" si="33"/>
        <v>0</v>
      </c>
      <c r="Z226" s="25">
        <f t="shared" si="34"/>
        <v>0</v>
      </c>
      <c r="AA226" s="26">
        <f>VLOOKUP(S226,CPI!$A$2:$F$71,6,0)</f>
        <v>1.501440311</v>
      </c>
      <c r="AB226" s="27">
        <f t="shared" si="60"/>
        <v>3688.663484</v>
      </c>
      <c r="AC226" s="27">
        <f t="shared" si="61"/>
        <v>201.5663106</v>
      </c>
      <c r="AD226" s="114"/>
      <c r="AE226" s="119" t="s">
        <v>489</v>
      </c>
      <c r="AF226" s="164"/>
      <c r="AG226" s="165"/>
      <c r="AH226" s="165"/>
      <c r="AI226" s="165"/>
      <c r="AJ226" s="166"/>
      <c r="AK226" s="166"/>
      <c r="AL226" s="166"/>
      <c r="AM226" s="32"/>
      <c r="AN226" s="32"/>
      <c r="AO226" s="32"/>
      <c r="AP226" s="32"/>
      <c r="AQ226" s="33"/>
    </row>
    <row r="227" ht="15.75" customHeight="1">
      <c r="A227" s="163"/>
      <c r="B227" s="114" t="s">
        <v>230</v>
      </c>
      <c r="C227" s="114" t="s">
        <v>461</v>
      </c>
      <c r="D227" s="115" t="s">
        <v>228</v>
      </c>
      <c r="E227" s="114" t="s">
        <v>228</v>
      </c>
      <c r="F227" s="116">
        <v>2012.0</v>
      </c>
      <c r="G227" s="114"/>
      <c r="H227" s="116">
        <v>0.0</v>
      </c>
      <c r="I227" s="116">
        <v>17.6</v>
      </c>
      <c r="J227" s="117">
        <v>1.0</v>
      </c>
      <c r="K227" s="116">
        <v>17.6</v>
      </c>
      <c r="L227" s="114"/>
      <c r="M227" s="114"/>
      <c r="N227" s="114"/>
      <c r="O227" s="116">
        <v>117.0</v>
      </c>
      <c r="P227" s="114"/>
      <c r="Q227" s="140">
        <v>9230.0</v>
      </c>
      <c r="R227" s="114" t="s">
        <v>234</v>
      </c>
      <c r="S227" s="115">
        <v>2012.0</v>
      </c>
      <c r="T227" s="85">
        <v>0.281</v>
      </c>
      <c r="U227" s="118">
        <f t="shared" si="85"/>
        <v>2593.63</v>
      </c>
      <c r="V227" s="24">
        <f t="shared" si="59"/>
        <v>147.3653409</v>
      </c>
      <c r="W227" s="3">
        <f t="shared" si="31"/>
        <v>0</v>
      </c>
      <c r="X227" s="3">
        <f t="shared" si="32"/>
        <v>0</v>
      </c>
      <c r="Y227" s="3">
        <f t="shared" si="33"/>
        <v>0</v>
      </c>
      <c r="Z227" s="25">
        <f t="shared" si="34"/>
        <v>0</v>
      </c>
      <c r="AA227" s="26">
        <f>VLOOKUP(S227,CPI!$A$2:$F$71,6,0)</f>
        <v>1.402974381</v>
      </c>
      <c r="AB227" s="27">
        <f t="shared" si="60"/>
        <v>3638.796443</v>
      </c>
      <c r="AC227" s="27">
        <f t="shared" si="61"/>
        <v>206.7497979</v>
      </c>
      <c r="AD227" s="114"/>
      <c r="AE227" s="161" t="s">
        <v>490</v>
      </c>
      <c r="AF227" s="164"/>
      <c r="AG227" s="165"/>
      <c r="AH227" s="165"/>
      <c r="AI227" s="165"/>
      <c r="AJ227" s="166"/>
      <c r="AK227" s="166"/>
      <c r="AL227" s="166"/>
      <c r="AM227" s="32"/>
      <c r="AN227" s="32"/>
      <c r="AO227" s="32"/>
      <c r="AP227" s="32"/>
      <c r="AQ227" s="33"/>
    </row>
    <row r="228" ht="15.75" customHeight="1">
      <c r="A228" s="7"/>
      <c r="B228" s="114" t="s">
        <v>230</v>
      </c>
      <c r="C228" s="114" t="s">
        <v>461</v>
      </c>
      <c r="D228" s="114" t="s">
        <v>292</v>
      </c>
      <c r="E228" s="114" t="s">
        <v>292</v>
      </c>
      <c r="F228" s="116">
        <v>2019.0</v>
      </c>
      <c r="G228" s="114"/>
      <c r="H228" s="116">
        <v>0.0</v>
      </c>
      <c r="I228" s="116">
        <v>44.2</v>
      </c>
      <c r="J228" s="117">
        <v>1.0</v>
      </c>
      <c r="K228" s="116">
        <v>44.2</v>
      </c>
      <c r="L228" s="114"/>
      <c r="M228" s="114"/>
      <c r="N228" s="116">
        <v>32.0</v>
      </c>
      <c r="O228" s="116">
        <v>184.0</v>
      </c>
      <c r="P228" s="114"/>
      <c r="Q228" s="140">
        <v>45521.0</v>
      </c>
      <c r="R228" s="114" t="s">
        <v>234</v>
      </c>
      <c r="S228" s="115">
        <v>2019.0</v>
      </c>
      <c r="T228" s="136">
        <v>0.238</v>
      </c>
      <c r="U228" s="118">
        <f t="shared" si="85"/>
        <v>10833.998</v>
      </c>
      <c r="V228" s="24">
        <f t="shared" si="59"/>
        <v>245.1130769</v>
      </c>
      <c r="W228" s="3">
        <f t="shared" si="31"/>
        <v>0</v>
      </c>
      <c r="X228" s="3">
        <f t="shared" si="32"/>
        <v>0</v>
      </c>
      <c r="Y228" s="3">
        <f t="shared" si="33"/>
        <v>0</v>
      </c>
      <c r="Z228" s="25">
        <f t="shared" si="34"/>
        <v>0</v>
      </c>
      <c r="AA228" s="26">
        <f>VLOOKUP(S228,CPI!$A$2:$F$71,6,0)</f>
        <v>1.259947899</v>
      </c>
      <c r="AB228" s="27">
        <f t="shared" si="60"/>
        <v>13650.27302</v>
      </c>
      <c r="AC228" s="27">
        <f t="shared" si="61"/>
        <v>308.8297063</v>
      </c>
      <c r="AD228" s="114"/>
      <c r="AE228" s="119" t="s">
        <v>491</v>
      </c>
      <c r="AF228" s="164"/>
      <c r="AG228" s="165"/>
      <c r="AH228" s="165"/>
      <c r="AI228" s="165"/>
      <c r="AJ228" s="166"/>
      <c r="AK228" s="166"/>
      <c r="AL228" s="166"/>
      <c r="AM228" s="32"/>
      <c r="AN228" s="32"/>
      <c r="AO228" s="32"/>
      <c r="AP228" s="32"/>
      <c r="AQ228" s="33"/>
    </row>
    <row r="229" ht="15.75" customHeight="1">
      <c r="A229" s="170">
        <v>7778.0</v>
      </c>
      <c r="B229" s="114" t="s">
        <v>230</v>
      </c>
      <c r="C229" s="114" t="s">
        <v>461</v>
      </c>
      <c r="D229" s="115" t="s">
        <v>236</v>
      </c>
      <c r="E229" s="115" t="s">
        <v>492</v>
      </c>
      <c r="F229" s="116">
        <v>2019.0</v>
      </c>
      <c r="G229" s="114"/>
      <c r="H229" s="116">
        <v>0.0</v>
      </c>
      <c r="I229" s="116">
        <v>33.5</v>
      </c>
      <c r="J229" s="117">
        <v>1.0</v>
      </c>
      <c r="K229" s="116">
        <v>33.5</v>
      </c>
      <c r="L229" s="114"/>
      <c r="M229" s="114"/>
      <c r="N229" s="116">
        <v>23.0</v>
      </c>
      <c r="O229" s="116">
        <v>184.0</v>
      </c>
      <c r="P229" s="114"/>
      <c r="Q229" s="140">
        <v>41085.0</v>
      </c>
      <c r="R229" s="114" t="s">
        <v>234</v>
      </c>
      <c r="S229" s="115">
        <v>2019.0</v>
      </c>
      <c r="T229" s="136">
        <v>0.238</v>
      </c>
      <c r="U229" s="118">
        <f t="shared" si="85"/>
        <v>9778.23</v>
      </c>
      <c r="V229" s="24">
        <f t="shared" si="59"/>
        <v>291.8874627</v>
      </c>
      <c r="W229" s="3">
        <f t="shared" si="31"/>
        <v>0</v>
      </c>
      <c r="X229" s="3">
        <f t="shared" si="32"/>
        <v>0</v>
      </c>
      <c r="Y229" s="3">
        <f t="shared" si="33"/>
        <v>0</v>
      </c>
      <c r="Z229" s="25">
        <f t="shared" si="34"/>
        <v>0</v>
      </c>
      <c r="AA229" s="26">
        <f>VLOOKUP(S229,CPI!$A$2:$F$71,6,0)</f>
        <v>1.259947899</v>
      </c>
      <c r="AB229" s="27">
        <f t="shared" si="60"/>
        <v>12320.06034</v>
      </c>
      <c r="AC229" s="27">
        <f t="shared" si="61"/>
        <v>367.7629953</v>
      </c>
      <c r="AD229" s="114"/>
      <c r="AE229" s="119" t="s">
        <v>493</v>
      </c>
      <c r="AF229" s="29"/>
      <c r="AG229" s="30"/>
      <c r="AH229" s="30"/>
      <c r="AI229" s="30"/>
      <c r="AJ229" s="31"/>
      <c r="AK229" s="31"/>
      <c r="AL229" s="31"/>
      <c r="AM229" s="32"/>
      <c r="AN229" s="32"/>
      <c r="AO229" s="32"/>
      <c r="AP229" s="32"/>
      <c r="AQ229" s="33"/>
    </row>
    <row r="230" ht="15.75" customHeight="1">
      <c r="A230" s="7"/>
      <c r="B230" s="114" t="s">
        <v>230</v>
      </c>
      <c r="C230" s="114" t="s">
        <v>461</v>
      </c>
      <c r="D230" s="115" t="s">
        <v>351</v>
      </c>
      <c r="E230" s="114" t="s">
        <v>494</v>
      </c>
      <c r="F230" s="116">
        <v>2020.0</v>
      </c>
      <c r="G230" s="114"/>
      <c r="H230" s="116">
        <v>1.0</v>
      </c>
      <c r="I230" s="116">
        <v>79.0</v>
      </c>
      <c r="J230" s="117">
        <v>1.0</v>
      </c>
      <c r="K230" s="116">
        <v>79.0</v>
      </c>
      <c r="L230" s="114"/>
      <c r="M230" s="114"/>
      <c r="N230" s="114"/>
      <c r="O230" s="116">
        <v>184.0</v>
      </c>
      <c r="P230" s="114"/>
      <c r="Q230" s="140">
        <v>48600.0</v>
      </c>
      <c r="R230" s="114" t="s">
        <v>234</v>
      </c>
      <c r="S230" s="115">
        <v>2020.0</v>
      </c>
      <c r="T230" s="136">
        <v>0.239</v>
      </c>
      <c r="U230" s="118">
        <f t="shared" si="85"/>
        <v>11615.4</v>
      </c>
      <c r="V230" s="24">
        <f t="shared" si="59"/>
        <v>147.0303797</v>
      </c>
      <c r="W230" s="3">
        <f t="shared" si="31"/>
        <v>0</v>
      </c>
      <c r="X230" s="3">
        <f t="shared" si="32"/>
        <v>0</v>
      </c>
      <c r="Y230" s="3">
        <f t="shared" si="33"/>
        <v>0</v>
      </c>
      <c r="Z230" s="25">
        <f t="shared" si="34"/>
        <v>0</v>
      </c>
      <c r="AA230" s="26">
        <f>VLOOKUP(S230,CPI!$A$2:$F$71,6,0)</f>
        <v>1.244593545</v>
      </c>
      <c r="AB230" s="27">
        <f t="shared" si="60"/>
        <v>14456.45186</v>
      </c>
      <c r="AC230" s="27">
        <f t="shared" si="61"/>
        <v>182.9930616</v>
      </c>
      <c r="AD230" s="114"/>
      <c r="AE230" s="119" t="s">
        <v>495</v>
      </c>
      <c r="AF230" s="164"/>
      <c r="AG230" s="165"/>
      <c r="AH230" s="165"/>
      <c r="AI230" s="165"/>
      <c r="AJ230" s="166"/>
      <c r="AK230" s="166"/>
      <c r="AL230" s="166"/>
      <c r="AM230" s="32"/>
      <c r="AN230" s="32"/>
      <c r="AO230" s="32"/>
      <c r="AP230" s="32"/>
      <c r="AQ230" s="33"/>
    </row>
    <row r="231" ht="15.75" customHeight="1">
      <c r="A231" s="7"/>
      <c r="B231" s="114" t="s">
        <v>230</v>
      </c>
      <c r="C231" s="114" t="s">
        <v>461</v>
      </c>
      <c r="D231" s="115" t="s">
        <v>302</v>
      </c>
      <c r="E231" s="115" t="s">
        <v>496</v>
      </c>
      <c r="F231" s="116">
        <v>2020.0</v>
      </c>
      <c r="G231" s="114"/>
      <c r="H231" s="116">
        <v>1.0</v>
      </c>
      <c r="I231" s="116">
        <v>39.0</v>
      </c>
      <c r="J231" s="117">
        <v>1.0</v>
      </c>
      <c r="K231" s="116">
        <v>39.0</v>
      </c>
      <c r="L231" s="114"/>
      <c r="M231" s="114"/>
      <c r="N231" s="114"/>
      <c r="O231" s="116">
        <v>184.0</v>
      </c>
      <c r="P231" s="114"/>
      <c r="Q231" s="140">
        <v>32500.0</v>
      </c>
      <c r="R231" s="114" t="s">
        <v>234</v>
      </c>
      <c r="S231" s="115">
        <v>2020.0</v>
      </c>
      <c r="T231" s="136">
        <v>0.239</v>
      </c>
      <c r="U231" s="118">
        <f t="shared" si="85"/>
        <v>7767.5</v>
      </c>
      <c r="V231" s="24">
        <f t="shared" si="59"/>
        <v>199.1666667</v>
      </c>
      <c r="W231" s="3">
        <f t="shared" si="31"/>
        <v>0</v>
      </c>
      <c r="X231" s="3">
        <f t="shared" si="32"/>
        <v>0</v>
      </c>
      <c r="Y231" s="3">
        <f t="shared" si="33"/>
        <v>0</v>
      </c>
      <c r="Z231" s="25">
        <f t="shared" si="34"/>
        <v>0</v>
      </c>
      <c r="AA231" s="26">
        <f>VLOOKUP(S231,CPI!$A$2:$F$71,6,0)</f>
        <v>1.244593545</v>
      </c>
      <c r="AB231" s="27">
        <f t="shared" si="60"/>
        <v>9667.380362</v>
      </c>
      <c r="AC231" s="27">
        <f t="shared" si="61"/>
        <v>247.8815477</v>
      </c>
      <c r="AD231" s="114"/>
      <c r="AE231" s="119" t="s">
        <v>495</v>
      </c>
      <c r="AF231" s="164"/>
      <c r="AG231" s="165"/>
      <c r="AH231" s="165"/>
      <c r="AI231" s="165"/>
      <c r="AJ231" s="166"/>
      <c r="AK231" s="166"/>
      <c r="AL231" s="166"/>
      <c r="AM231" s="32"/>
      <c r="AN231" s="32"/>
      <c r="AO231" s="32"/>
      <c r="AP231" s="32"/>
      <c r="AQ231" s="33"/>
    </row>
    <row r="232" ht="15.75" customHeight="1">
      <c r="A232" s="7"/>
      <c r="B232" s="114" t="s">
        <v>230</v>
      </c>
      <c r="C232" s="114" t="s">
        <v>461</v>
      </c>
      <c r="D232" s="114" t="s">
        <v>290</v>
      </c>
      <c r="E232" s="114" t="s">
        <v>290</v>
      </c>
      <c r="F232" s="116">
        <v>2020.0</v>
      </c>
      <c r="G232" s="114"/>
      <c r="H232" s="116">
        <v>1.0</v>
      </c>
      <c r="I232" s="116">
        <v>107.0</v>
      </c>
      <c r="J232" s="117">
        <v>1.0</v>
      </c>
      <c r="K232" s="116">
        <v>107.0</v>
      </c>
      <c r="L232" s="114"/>
      <c r="M232" s="114"/>
      <c r="N232" s="114"/>
      <c r="O232" s="116">
        <v>184.0</v>
      </c>
      <c r="P232" s="114"/>
      <c r="Q232" s="140">
        <v>95300.0</v>
      </c>
      <c r="R232" s="114" t="s">
        <v>234</v>
      </c>
      <c r="S232" s="115">
        <v>2020.0</v>
      </c>
      <c r="T232" s="136">
        <v>0.239</v>
      </c>
      <c r="U232" s="118">
        <f t="shared" si="85"/>
        <v>22776.7</v>
      </c>
      <c r="V232" s="24">
        <f t="shared" si="59"/>
        <v>212.8663551</v>
      </c>
      <c r="W232" s="3">
        <f t="shared" si="31"/>
        <v>0</v>
      </c>
      <c r="X232" s="3">
        <f t="shared" si="32"/>
        <v>0</v>
      </c>
      <c r="Y232" s="3">
        <f t="shared" si="33"/>
        <v>0</v>
      </c>
      <c r="Z232" s="25">
        <f t="shared" si="34"/>
        <v>0</v>
      </c>
      <c r="AA232" s="26">
        <f>VLOOKUP(S232,CPI!$A$2:$F$71,6,0)</f>
        <v>1.244593545</v>
      </c>
      <c r="AB232" s="27">
        <f t="shared" si="60"/>
        <v>28347.7338</v>
      </c>
      <c r="AC232" s="27">
        <f t="shared" si="61"/>
        <v>264.9320916</v>
      </c>
      <c r="AD232" s="114"/>
      <c r="AE232" s="161" t="s">
        <v>495</v>
      </c>
      <c r="AF232" s="164"/>
      <c r="AG232" s="165"/>
      <c r="AH232" s="165"/>
      <c r="AI232" s="165"/>
      <c r="AJ232" s="166"/>
      <c r="AK232" s="166"/>
      <c r="AL232" s="166"/>
      <c r="AM232" s="32"/>
      <c r="AN232" s="32"/>
      <c r="AO232" s="32"/>
      <c r="AP232" s="32"/>
      <c r="AQ232" s="33"/>
    </row>
    <row r="233" ht="15.75" customHeight="1">
      <c r="A233" s="7"/>
      <c r="B233" s="114" t="s">
        <v>230</v>
      </c>
      <c r="C233" s="114" t="s">
        <v>461</v>
      </c>
      <c r="D233" s="115" t="s">
        <v>351</v>
      </c>
      <c r="E233" s="114" t="s">
        <v>497</v>
      </c>
      <c r="F233" s="116">
        <v>2021.0</v>
      </c>
      <c r="G233" s="114"/>
      <c r="H233" s="116">
        <v>1.0</v>
      </c>
      <c r="I233" s="116">
        <v>41.1</v>
      </c>
      <c r="J233" s="117">
        <v>1.0</v>
      </c>
      <c r="K233" s="116">
        <v>41.1</v>
      </c>
      <c r="L233" s="114"/>
      <c r="M233" s="114"/>
      <c r="N233" s="116">
        <v>10.0</v>
      </c>
      <c r="O233" s="116">
        <v>184.0</v>
      </c>
      <c r="P233" s="114"/>
      <c r="Q233" s="140">
        <v>38130.0</v>
      </c>
      <c r="R233" s="114" t="s">
        <v>234</v>
      </c>
      <c r="S233" s="115">
        <v>2021.0</v>
      </c>
      <c r="T233" s="136">
        <v>0.239000000000001</v>
      </c>
      <c r="U233" s="118">
        <f t="shared" si="85"/>
        <v>9113.07</v>
      </c>
      <c r="V233" s="24">
        <f t="shared" si="59"/>
        <v>221.7291971</v>
      </c>
      <c r="W233" s="3">
        <f t="shared" si="31"/>
        <v>0</v>
      </c>
      <c r="X233" s="3">
        <f t="shared" si="32"/>
        <v>0</v>
      </c>
      <c r="Y233" s="3">
        <f t="shared" si="33"/>
        <v>0</v>
      </c>
      <c r="Z233" s="25">
        <f t="shared" si="34"/>
        <v>0</v>
      </c>
      <c r="AA233" s="26">
        <f>VLOOKUP(S233,CPI!$A$2:$F$71,6,0)</f>
        <v>1.188745987</v>
      </c>
      <c r="AB233" s="27">
        <f t="shared" si="60"/>
        <v>10833.12539</v>
      </c>
      <c r="AC233" s="27">
        <f t="shared" si="61"/>
        <v>263.5796932</v>
      </c>
      <c r="AD233" s="114"/>
      <c r="AE233" s="119" t="s">
        <v>498</v>
      </c>
      <c r="AF233" s="164"/>
      <c r="AG233" s="165"/>
      <c r="AH233" s="165"/>
      <c r="AI233" s="165"/>
      <c r="AJ233" s="166"/>
      <c r="AK233" s="166"/>
      <c r="AL233" s="166"/>
      <c r="AM233" s="32"/>
      <c r="AN233" s="32"/>
      <c r="AO233" s="32"/>
      <c r="AP233" s="32"/>
      <c r="AQ233" s="33"/>
    </row>
    <row r="234" ht="15.75" customHeight="1">
      <c r="A234" s="163"/>
      <c r="B234" s="114" t="s">
        <v>230</v>
      </c>
      <c r="C234" s="114" t="s">
        <v>461</v>
      </c>
      <c r="D234" s="115" t="s">
        <v>243</v>
      </c>
      <c r="E234" s="114" t="s">
        <v>499</v>
      </c>
      <c r="F234" s="116">
        <v>2021.0</v>
      </c>
      <c r="G234" s="114"/>
      <c r="H234" s="116">
        <v>0.0</v>
      </c>
      <c r="I234" s="116">
        <v>18.0</v>
      </c>
      <c r="J234" s="117">
        <v>1.0</v>
      </c>
      <c r="K234" s="116">
        <v>18.0</v>
      </c>
      <c r="L234" s="114"/>
      <c r="M234" s="114"/>
      <c r="N234" s="116">
        <v>7.0</v>
      </c>
      <c r="O234" s="116">
        <v>138.0</v>
      </c>
      <c r="P234" s="114"/>
      <c r="Q234" s="140">
        <v>16576.0</v>
      </c>
      <c r="R234" s="114" t="s">
        <v>234</v>
      </c>
      <c r="S234" s="115">
        <v>2021.0</v>
      </c>
      <c r="T234" s="136">
        <v>0.239000000000001</v>
      </c>
      <c r="U234" s="118">
        <f t="shared" si="85"/>
        <v>3961.664</v>
      </c>
      <c r="V234" s="24">
        <f t="shared" si="59"/>
        <v>220.0924444</v>
      </c>
      <c r="W234" s="3">
        <f t="shared" si="31"/>
        <v>0</v>
      </c>
      <c r="X234" s="3">
        <f t="shared" si="32"/>
        <v>0</v>
      </c>
      <c r="Y234" s="3">
        <f t="shared" si="33"/>
        <v>0</v>
      </c>
      <c r="Z234" s="25">
        <f t="shared" si="34"/>
        <v>0</v>
      </c>
      <c r="AA234" s="26">
        <f>VLOOKUP(S234,CPI!$A$2:$F$71,6,0)</f>
        <v>1.188745987</v>
      </c>
      <c r="AB234" s="27">
        <f t="shared" si="60"/>
        <v>4709.41218</v>
      </c>
      <c r="AC234" s="27">
        <f t="shared" si="61"/>
        <v>261.63401</v>
      </c>
      <c r="AD234" s="114"/>
      <c r="AE234" s="119" t="s">
        <v>500</v>
      </c>
      <c r="AF234" s="167" t="s">
        <v>501</v>
      </c>
      <c r="AG234" s="168"/>
      <c r="AH234" s="168"/>
      <c r="AI234" s="169"/>
      <c r="AJ234" s="166"/>
      <c r="AK234" s="166"/>
      <c r="AL234" s="166"/>
      <c r="AM234" s="32"/>
      <c r="AN234" s="32"/>
      <c r="AO234" s="32"/>
      <c r="AP234" s="32"/>
      <c r="AQ234" s="33"/>
    </row>
    <row r="235" ht="15.75" customHeight="1">
      <c r="A235" s="7"/>
      <c r="B235" s="114" t="s">
        <v>230</v>
      </c>
      <c r="C235" s="114" t="s">
        <v>502</v>
      </c>
      <c r="D235" s="114" t="s">
        <v>57</v>
      </c>
      <c r="E235" s="114" t="s">
        <v>57</v>
      </c>
      <c r="F235" s="116">
        <v>2020.0</v>
      </c>
      <c r="G235" s="114"/>
      <c r="H235" s="116">
        <v>0.0</v>
      </c>
      <c r="I235" s="116">
        <v>29.27</v>
      </c>
      <c r="J235" s="117">
        <v>0.06</v>
      </c>
      <c r="K235" s="116">
        <v>1.9</v>
      </c>
      <c r="L235" s="114"/>
      <c r="M235" s="114"/>
      <c r="N235" s="116">
        <v>13.0</v>
      </c>
      <c r="O235" s="116"/>
      <c r="P235" s="114"/>
      <c r="Q235" s="140">
        <v>8299.0</v>
      </c>
      <c r="R235" s="114" t="s">
        <v>234</v>
      </c>
      <c r="S235" s="115">
        <v>2020.0</v>
      </c>
      <c r="T235" s="136">
        <v>0.239</v>
      </c>
      <c r="U235" s="118">
        <f t="shared" si="85"/>
        <v>1983.461</v>
      </c>
      <c r="V235" s="24">
        <f t="shared" si="59"/>
        <v>67.76429792</v>
      </c>
      <c r="W235" s="3">
        <f t="shared" si="31"/>
        <v>0</v>
      </c>
      <c r="X235" s="3">
        <f t="shared" si="32"/>
        <v>0</v>
      </c>
      <c r="Y235" s="3">
        <f t="shared" si="33"/>
        <v>0</v>
      </c>
      <c r="Z235" s="25">
        <f t="shared" si="34"/>
        <v>0</v>
      </c>
      <c r="AA235" s="26">
        <f>VLOOKUP(S235,CPI!$A$2:$F$71,6,0)</f>
        <v>1.244593545</v>
      </c>
      <c r="AB235" s="27">
        <f t="shared" si="60"/>
        <v>2468.602758</v>
      </c>
      <c r="AC235" s="27">
        <f t="shared" si="61"/>
        <v>84.33900777</v>
      </c>
      <c r="AD235" s="72" t="s">
        <v>36</v>
      </c>
      <c r="AE235" s="119" t="s">
        <v>503</v>
      </c>
      <c r="AF235" s="7"/>
      <c r="AG235" s="7"/>
      <c r="AH235" s="7"/>
      <c r="AI235" s="7"/>
      <c r="AM235" s="33"/>
      <c r="AN235" s="33"/>
      <c r="AO235" s="33"/>
      <c r="AP235" s="33"/>
      <c r="AQ235" s="33"/>
    </row>
    <row r="236" ht="15.75" customHeight="1">
      <c r="A236" s="14">
        <v>9491.0</v>
      </c>
      <c r="B236" s="22" t="s">
        <v>230</v>
      </c>
      <c r="C236" s="22" t="s">
        <v>504</v>
      </c>
      <c r="D236" s="16" t="s">
        <v>57</v>
      </c>
      <c r="E236" s="22" t="s">
        <v>232</v>
      </c>
      <c r="F236" s="17">
        <v>2013.0</v>
      </c>
      <c r="G236" s="17">
        <v>2017.0</v>
      </c>
      <c r="H236" s="17">
        <v>0.0</v>
      </c>
      <c r="I236" s="17">
        <v>34.3</v>
      </c>
      <c r="J236" s="19">
        <f>K236/I236</f>
        <v>0.8454810496</v>
      </c>
      <c r="K236" s="17">
        <v>29.0</v>
      </c>
      <c r="L236" s="177">
        <v>5.14</v>
      </c>
      <c r="M236" s="177">
        <v>0.348</v>
      </c>
      <c r="N236" s="17">
        <v>25.0</v>
      </c>
      <c r="O236" s="17"/>
      <c r="P236" s="22" t="s">
        <v>42</v>
      </c>
      <c r="Q236" s="23">
        <v>19370.0</v>
      </c>
      <c r="R236" s="22" t="s">
        <v>234</v>
      </c>
      <c r="S236" s="17">
        <v>2010.0</v>
      </c>
      <c r="T236" s="136">
        <v>0.3</v>
      </c>
      <c r="U236" s="3">
        <f t="shared" si="85"/>
        <v>5811</v>
      </c>
      <c r="V236" s="24">
        <f t="shared" si="59"/>
        <v>169.4169096</v>
      </c>
      <c r="W236" s="3">
        <f t="shared" si="31"/>
        <v>0</v>
      </c>
      <c r="X236" s="3">
        <f t="shared" si="32"/>
        <v>0</v>
      </c>
      <c r="Y236" s="3">
        <f t="shared" si="33"/>
        <v>0</v>
      </c>
      <c r="Z236" s="25">
        <f t="shared" si="34"/>
        <v>0</v>
      </c>
      <c r="AA236" s="26">
        <f>VLOOKUP(S236,CPI!$A$2:$F$71,6,0)</f>
        <v>1.477209983</v>
      </c>
      <c r="AB236" s="27">
        <f t="shared" si="60"/>
        <v>8584.06721</v>
      </c>
      <c r="AC236" s="27">
        <f t="shared" si="61"/>
        <v>250.2643501</v>
      </c>
      <c r="AD236" s="26" t="s">
        <v>42</v>
      </c>
      <c r="AE236" s="129" t="s">
        <v>505</v>
      </c>
      <c r="AF236" s="178"/>
      <c r="AG236" s="172"/>
      <c r="AH236" s="172"/>
      <c r="AI236" s="172"/>
      <c r="AJ236" s="32"/>
      <c r="AK236" s="32"/>
      <c r="AL236" s="32"/>
      <c r="AM236" s="32"/>
      <c r="AN236" s="32"/>
      <c r="AO236" s="32"/>
      <c r="AP236" s="32"/>
      <c r="AQ236" s="33"/>
    </row>
    <row r="237" ht="15.75" customHeight="1">
      <c r="A237" s="38">
        <v>8058.0</v>
      </c>
      <c r="B237" s="130" t="s">
        <v>230</v>
      </c>
      <c r="C237" s="130" t="s">
        <v>504</v>
      </c>
      <c r="D237" s="16" t="s">
        <v>506</v>
      </c>
      <c r="E237" s="130" t="s">
        <v>507</v>
      </c>
      <c r="F237" s="130">
        <v>2016.0</v>
      </c>
      <c r="G237" s="130">
        <v>2020.0</v>
      </c>
      <c r="H237" s="130">
        <v>0.0</v>
      </c>
      <c r="I237" s="130">
        <v>28.5</v>
      </c>
      <c r="J237" s="131">
        <v>0.5298245614</v>
      </c>
      <c r="K237" s="130">
        <v>15.1</v>
      </c>
      <c r="L237" s="132">
        <v>0.0</v>
      </c>
      <c r="M237" s="132">
        <v>0.0</v>
      </c>
      <c r="N237" s="130">
        <v>12.0</v>
      </c>
      <c r="O237" s="138"/>
      <c r="P237" s="130" t="s">
        <v>60</v>
      </c>
      <c r="Q237" s="135">
        <v>15479.0</v>
      </c>
      <c r="R237" s="130" t="s">
        <v>234</v>
      </c>
      <c r="S237" s="130">
        <v>2016.0</v>
      </c>
      <c r="T237" s="136">
        <v>0.251</v>
      </c>
      <c r="U237" s="128">
        <f>T237*Q237</f>
        <v>3885.229</v>
      </c>
      <c r="V237" s="24">
        <f t="shared" si="59"/>
        <v>136.3238246</v>
      </c>
      <c r="W237" s="3">
        <f t="shared" si="31"/>
        <v>0</v>
      </c>
      <c r="X237" s="3">
        <f t="shared" si="32"/>
        <v>0</v>
      </c>
      <c r="Y237" s="3">
        <f t="shared" si="33"/>
        <v>0</v>
      </c>
      <c r="Z237" s="25">
        <f t="shared" si="34"/>
        <v>0</v>
      </c>
      <c r="AA237" s="26">
        <f>VLOOKUP(S237,CPI!$A$2:$F$71,6,0)</f>
        <v>1.342104605</v>
      </c>
      <c r="AB237" s="27">
        <f t="shared" si="60"/>
        <v>5214.383733</v>
      </c>
      <c r="AC237" s="27">
        <f t="shared" si="61"/>
        <v>182.9608328</v>
      </c>
      <c r="AD237" s="130" t="s">
        <v>60</v>
      </c>
      <c r="AE237" s="137" t="s">
        <v>508</v>
      </c>
      <c r="AF237" s="29"/>
      <c r="AG237" s="30"/>
      <c r="AH237" s="30"/>
      <c r="AI237" s="30"/>
      <c r="AJ237" s="31"/>
      <c r="AK237" s="31"/>
      <c r="AL237" s="31"/>
      <c r="AM237" s="32"/>
      <c r="AN237" s="32"/>
      <c r="AO237" s="32"/>
      <c r="AP237" s="32"/>
      <c r="AQ237" s="33"/>
    </row>
    <row r="238" ht="15.75" customHeight="1">
      <c r="A238" s="7"/>
      <c r="B238" s="114" t="s">
        <v>230</v>
      </c>
      <c r="C238" s="114" t="s">
        <v>504</v>
      </c>
      <c r="D238" s="115" t="s">
        <v>54</v>
      </c>
      <c r="E238" s="115" t="s">
        <v>348</v>
      </c>
      <c r="F238" s="114"/>
      <c r="G238" s="114">
        <v>2021.0</v>
      </c>
      <c r="H238" s="114">
        <v>0.0</v>
      </c>
      <c r="I238" s="114">
        <v>27.6</v>
      </c>
      <c r="J238" s="117">
        <v>1.0</v>
      </c>
      <c r="K238" s="114">
        <v>27.6</v>
      </c>
      <c r="L238" s="114"/>
      <c r="M238" s="114"/>
      <c r="N238" s="114">
        <v>24.0</v>
      </c>
      <c r="O238" s="116">
        <v>117.0</v>
      </c>
      <c r="P238" s="114"/>
      <c r="Q238" s="140">
        <v>19459.0</v>
      </c>
      <c r="R238" s="114" t="s">
        <v>234</v>
      </c>
      <c r="S238" s="115">
        <v>2021.0</v>
      </c>
      <c r="T238" s="136">
        <v>0.239000000000001</v>
      </c>
      <c r="U238" s="118">
        <f t="shared" ref="U238:U245" si="86">Q238*T238</f>
        <v>4650.701</v>
      </c>
      <c r="V238" s="24">
        <f t="shared" si="59"/>
        <v>168.5036594</v>
      </c>
      <c r="W238" s="3">
        <f t="shared" si="31"/>
        <v>0</v>
      </c>
      <c r="X238" s="3">
        <f t="shared" si="32"/>
        <v>0</v>
      </c>
      <c r="Y238" s="3">
        <f t="shared" si="33"/>
        <v>0</v>
      </c>
      <c r="Z238" s="25">
        <f t="shared" si="34"/>
        <v>0</v>
      </c>
      <c r="AA238" s="26">
        <f>VLOOKUP(S238,CPI!$A$2:$F$71,6,0)</f>
        <v>1.188745987</v>
      </c>
      <c r="AB238" s="27">
        <f t="shared" si="60"/>
        <v>5528.502149</v>
      </c>
      <c r="AC238" s="27">
        <f t="shared" si="61"/>
        <v>200.3080489</v>
      </c>
      <c r="AD238" s="114"/>
      <c r="AE238" s="119" t="s">
        <v>509</v>
      </c>
      <c r="AF238" s="164"/>
      <c r="AG238" s="165"/>
      <c r="AH238" s="165"/>
      <c r="AI238" s="165"/>
      <c r="AJ238" s="166"/>
      <c r="AK238" s="166"/>
      <c r="AL238" s="166"/>
      <c r="AM238" s="32"/>
      <c r="AN238" s="32"/>
      <c r="AO238" s="32"/>
      <c r="AP238" s="32"/>
      <c r="AQ238" s="33"/>
    </row>
    <row r="239" ht="15.75" customHeight="1">
      <c r="A239" s="170">
        <v>7976.0</v>
      </c>
      <c r="B239" s="123" t="s">
        <v>230</v>
      </c>
      <c r="C239" s="123" t="s">
        <v>504</v>
      </c>
      <c r="D239" s="36" t="s">
        <v>54</v>
      </c>
      <c r="E239" s="123" t="s">
        <v>326</v>
      </c>
      <c r="F239" s="75">
        <v>2017.0</v>
      </c>
      <c r="G239" s="75">
        <v>2022.0</v>
      </c>
      <c r="H239" s="75">
        <v>0.0</v>
      </c>
      <c r="I239" s="75">
        <v>12.8</v>
      </c>
      <c r="J239" s="124">
        <v>0.8125</v>
      </c>
      <c r="K239" s="75">
        <v>10.4</v>
      </c>
      <c r="L239" s="125">
        <v>2.27</v>
      </c>
      <c r="M239" s="125">
        <v>0.162</v>
      </c>
      <c r="N239" s="75">
        <v>8.0</v>
      </c>
      <c r="O239" s="75"/>
      <c r="P239" s="123" t="s">
        <v>60</v>
      </c>
      <c r="Q239" s="126">
        <v>8475.0</v>
      </c>
      <c r="R239" s="123" t="s">
        <v>234</v>
      </c>
      <c r="S239" s="75">
        <v>2016.0</v>
      </c>
      <c r="T239" s="136">
        <v>0.251</v>
      </c>
      <c r="U239" s="128">
        <f t="shared" si="86"/>
        <v>2127.225</v>
      </c>
      <c r="V239" s="24">
        <f t="shared" si="59"/>
        <v>166.1894531</v>
      </c>
      <c r="W239" s="3">
        <f t="shared" si="31"/>
        <v>0</v>
      </c>
      <c r="X239" s="3">
        <f t="shared" si="32"/>
        <v>0</v>
      </c>
      <c r="Y239" s="3">
        <f t="shared" si="33"/>
        <v>0</v>
      </c>
      <c r="Z239" s="25">
        <f t="shared" si="34"/>
        <v>0</v>
      </c>
      <c r="AA239" s="26">
        <f>VLOOKUP(S239,CPI!$A$2:$F$71,6,0)</f>
        <v>1.342104605</v>
      </c>
      <c r="AB239" s="27">
        <f t="shared" si="60"/>
        <v>2854.958469</v>
      </c>
      <c r="AC239" s="27">
        <f t="shared" si="61"/>
        <v>223.0436304</v>
      </c>
      <c r="AD239" s="123" t="s">
        <v>60</v>
      </c>
      <c r="AE239" s="129" t="s">
        <v>508</v>
      </c>
      <c r="AF239" s="29"/>
      <c r="AG239" s="30"/>
      <c r="AH239" s="30"/>
      <c r="AI239" s="30"/>
      <c r="AJ239" s="31"/>
      <c r="AK239" s="31"/>
      <c r="AL239" s="31"/>
      <c r="AM239" s="32"/>
      <c r="AN239" s="32"/>
      <c r="AO239" s="32"/>
      <c r="AP239" s="32"/>
      <c r="AQ239" s="33"/>
    </row>
    <row r="240" ht="15.75" customHeight="1">
      <c r="A240" s="170">
        <v>7931.0</v>
      </c>
      <c r="B240" s="123" t="s">
        <v>230</v>
      </c>
      <c r="C240" s="123" t="s">
        <v>504</v>
      </c>
      <c r="D240" s="16" t="s">
        <v>87</v>
      </c>
      <c r="E240" s="123" t="s">
        <v>331</v>
      </c>
      <c r="F240" s="75">
        <v>2018.0</v>
      </c>
      <c r="G240" s="75">
        <v>2023.0</v>
      </c>
      <c r="H240" s="75">
        <v>0.0</v>
      </c>
      <c r="I240" s="75">
        <v>43.135</v>
      </c>
      <c r="J240" s="124">
        <v>1.0</v>
      </c>
      <c r="K240" s="75">
        <v>43.135</v>
      </c>
      <c r="L240" s="125">
        <v>0.0</v>
      </c>
      <c r="M240" s="125">
        <v>0.0</v>
      </c>
      <c r="N240" s="75">
        <v>29.0</v>
      </c>
      <c r="O240" s="75"/>
      <c r="P240" s="123" t="s">
        <v>42</v>
      </c>
      <c r="Q240" s="126">
        <v>31545.0</v>
      </c>
      <c r="R240" s="123" t="s">
        <v>234</v>
      </c>
      <c r="S240" s="75">
        <v>2017.0</v>
      </c>
      <c r="T240" s="136">
        <v>0.239</v>
      </c>
      <c r="U240" s="128">
        <f t="shared" si="86"/>
        <v>7539.255</v>
      </c>
      <c r="V240" s="24">
        <f t="shared" si="59"/>
        <v>174.782775</v>
      </c>
      <c r="W240" s="3">
        <f t="shared" si="31"/>
        <v>0</v>
      </c>
      <c r="X240" s="3">
        <f t="shared" si="32"/>
        <v>0</v>
      </c>
      <c r="Y240" s="3">
        <f t="shared" si="33"/>
        <v>0</v>
      </c>
      <c r="Z240" s="25">
        <f t="shared" si="34"/>
        <v>0</v>
      </c>
      <c r="AA240" s="26">
        <f>VLOOKUP(S240,CPI!$A$2:$F$71,6,0)</f>
        <v>1.314109416</v>
      </c>
      <c r="AB240" s="27">
        <f t="shared" si="60"/>
        <v>9907.405984</v>
      </c>
      <c r="AC240" s="27">
        <f t="shared" si="61"/>
        <v>229.6836904</v>
      </c>
      <c r="AD240" s="123" t="s">
        <v>42</v>
      </c>
      <c r="AE240" s="129" t="s">
        <v>510</v>
      </c>
      <c r="AF240" s="29"/>
      <c r="AG240" s="30"/>
      <c r="AH240" s="30"/>
      <c r="AI240" s="30"/>
      <c r="AJ240" s="31"/>
      <c r="AK240" s="31"/>
      <c r="AL240" s="31"/>
      <c r="AM240" s="32"/>
      <c r="AN240" s="32"/>
      <c r="AO240" s="32"/>
      <c r="AP240" s="32"/>
      <c r="AQ240" s="33"/>
    </row>
    <row r="241" ht="15.75" customHeight="1">
      <c r="A241" s="38">
        <v>8011.0</v>
      </c>
      <c r="B241" s="72" t="s">
        <v>230</v>
      </c>
      <c r="C241" s="72" t="s">
        <v>504</v>
      </c>
      <c r="D241" s="115" t="s">
        <v>511</v>
      </c>
      <c r="E241" s="115" t="s">
        <v>512</v>
      </c>
      <c r="F241" s="69">
        <v>2021.0</v>
      </c>
      <c r="G241" s="72"/>
      <c r="H241" s="69">
        <v>0.0</v>
      </c>
      <c r="I241" s="69">
        <v>30.32</v>
      </c>
      <c r="J241" s="117">
        <v>0.75</v>
      </c>
      <c r="K241" s="69">
        <v>22.64</v>
      </c>
      <c r="L241" s="72"/>
      <c r="M241" s="72"/>
      <c r="N241" s="69">
        <v>13.0</v>
      </c>
      <c r="O241" s="69">
        <v>117.0</v>
      </c>
      <c r="P241" s="72"/>
      <c r="Q241" s="140">
        <v>17252.45</v>
      </c>
      <c r="R241" s="72" t="s">
        <v>234</v>
      </c>
      <c r="S241" s="115">
        <v>2021.0</v>
      </c>
      <c r="T241" s="136">
        <v>0.239</v>
      </c>
      <c r="U241" s="118">
        <f t="shared" si="86"/>
        <v>4123.33555</v>
      </c>
      <c r="V241" s="24">
        <f t="shared" si="59"/>
        <v>135.9939166</v>
      </c>
      <c r="W241" s="3">
        <f t="shared" si="31"/>
        <v>0</v>
      </c>
      <c r="X241" s="3">
        <f t="shared" si="32"/>
        <v>0</v>
      </c>
      <c r="Y241" s="3">
        <f t="shared" si="33"/>
        <v>0</v>
      </c>
      <c r="Z241" s="25">
        <f t="shared" si="34"/>
        <v>0</v>
      </c>
      <c r="AA241" s="26">
        <f>VLOOKUP(S241,CPI!$A$2:$F$71,6,0)</f>
        <v>1.188745987</v>
      </c>
      <c r="AB241" s="27">
        <f t="shared" si="60"/>
        <v>4901.598587</v>
      </c>
      <c r="AC241" s="27">
        <f t="shared" si="61"/>
        <v>161.6622225</v>
      </c>
      <c r="AD241" s="72" t="s">
        <v>36</v>
      </c>
      <c r="AE241" s="79" t="s">
        <v>513</v>
      </c>
      <c r="AF241" s="186"/>
      <c r="AG241" s="187"/>
      <c r="AH241" s="187"/>
      <c r="AI241" s="187"/>
      <c r="AJ241" s="81"/>
      <c r="AK241" s="81"/>
      <c r="AL241" s="81"/>
      <c r="AM241" s="32"/>
      <c r="AN241" s="32"/>
      <c r="AO241" s="32"/>
      <c r="AP241" s="32"/>
      <c r="AQ241" s="33"/>
    </row>
    <row r="242" ht="15.75" customHeight="1">
      <c r="A242" s="170">
        <v>7729.0</v>
      </c>
      <c r="B242" s="123" t="s">
        <v>230</v>
      </c>
      <c r="C242" s="123" t="s">
        <v>514</v>
      </c>
      <c r="D242" s="36" t="s">
        <v>57</v>
      </c>
      <c r="E242" s="123" t="s">
        <v>232</v>
      </c>
      <c r="F242" s="75">
        <v>2007.0</v>
      </c>
      <c r="G242" s="75">
        <v>2012.0</v>
      </c>
      <c r="H242" s="75">
        <v>0.0</v>
      </c>
      <c r="I242" s="75">
        <v>48.0</v>
      </c>
      <c r="J242" s="155"/>
      <c r="K242" s="123"/>
      <c r="L242" s="125" t="e">
        <v>#N/A</v>
      </c>
      <c r="M242" s="125" t="e">
        <v>#N/A</v>
      </c>
      <c r="N242" s="75">
        <v>31.0</v>
      </c>
      <c r="O242" s="75"/>
      <c r="P242" s="123" t="s">
        <v>60</v>
      </c>
      <c r="Q242" s="126">
        <f>(137.86+82.9)*10^2</f>
        <v>22076</v>
      </c>
      <c r="R242" s="123" t="s">
        <v>234</v>
      </c>
      <c r="S242" s="75">
        <v>2007.0</v>
      </c>
      <c r="T242" s="136">
        <v>0.333</v>
      </c>
      <c r="U242" s="128">
        <f t="shared" si="86"/>
        <v>7351.308</v>
      </c>
      <c r="V242" s="24">
        <f t="shared" si="59"/>
        <v>153.15225</v>
      </c>
      <c r="W242" s="3">
        <f t="shared" si="31"/>
        <v>0</v>
      </c>
      <c r="X242" s="3">
        <f t="shared" si="32"/>
        <v>0</v>
      </c>
      <c r="Y242" s="3">
        <f t="shared" si="33"/>
        <v>0</v>
      </c>
      <c r="Z242" s="25">
        <f t="shared" si="34"/>
        <v>0</v>
      </c>
      <c r="AA242" s="26">
        <f>VLOOKUP(S242,CPI!$A$2:$F$71,6,0)</f>
        <v>1.553541974</v>
      </c>
      <c r="AB242" s="27">
        <f t="shared" si="60"/>
        <v>11420.56554</v>
      </c>
      <c r="AC242" s="27">
        <f t="shared" si="61"/>
        <v>237.9284488</v>
      </c>
      <c r="AD242" s="123" t="s">
        <v>60</v>
      </c>
      <c r="AE242" s="154" t="s">
        <v>515</v>
      </c>
      <c r="AF242" s="179"/>
      <c r="AG242" s="174"/>
      <c r="AH242" s="174"/>
      <c r="AI242" s="174"/>
      <c r="AJ242" s="175"/>
      <c r="AK242" s="175"/>
      <c r="AL242" s="175"/>
      <c r="AM242" s="32"/>
      <c r="AN242" s="32"/>
      <c r="AO242" s="32"/>
      <c r="AP242" s="32"/>
      <c r="AQ242" s="33"/>
    </row>
    <row r="243" ht="15.75" customHeight="1">
      <c r="A243" s="163"/>
      <c r="B243" s="114" t="s">
        <v>230</v>
      </c>
      <c r="C243" s="72" t="s">
        <v>514</v>
      </c>
      <c r="D243" s="115" t="s">
        <v>84</v>
      </c>
      <c r="E243" s="115" t="s">
        <v>319</v>
      </c>
      <c r="F243" s="116">
        <v>2014.0</v>
      </c>
      <c r="G243" s="116">
        <v>2020.0</v>
      </c>
      <c r="H243" s="116">
        <v>0.0</v>
      </c>
      <c r="I243" s="116">
        <v>51.6</v>
      </c>
      <c r="J243" s="117">
        <v>1.0</v>
      </c>
      <c r="K243" s="116">
        <v>51.6</v>
      </c>
      <c r="L243" s="114"/>
      <c r="M243" s="114"/>
      <c r="N243" s="116">
        <v>36.0</v>
      </c>
      <c r="O243" s="116">
        <v>117.0</v>
      </c>
      <c r="P243" s="114"/>
      <c r="Q243" s="140">
        <v>36064.0</v>
      </c>
      <c r="R243" s="114" t="s">
        <v>234</v>
      </c>
      <c r="S243" s="115">
        <v>2017.0</v>
      </c>
      <c r="T243" s="85">
        <v>0.239</v>
      </c>
      <c r="U243" s="118">
        <f t="shared" si="86"/>
        <v>8619.296</v>
      </c>
      <c r="V243" s="24">
        <f t="shared" si="59"/>
        <v>167.0406202</v>
      </c>
      <c r="W243" s="3">
        <f t="shared" si="31"/>
        <v>0</v>
      </c>
      <c r="X243" s="3">
        <f t="shared" si="32"/>
        <v>0</v>
      </c>
      <c r="Y243" s="3">
        <f t="shared" si="33"/>
        <v>0</v>
      </c>
      <c r="Z243" s="25">
        <f t="shared" si="34"/>
        <v>0</v>
      </c>
      <c r="AA243" s="26">
        <f>VLOOKUP(S243,CPI!$A$2:$F$71,6,0)</f>
        <v>1.314109416</v>
      </c>
      <c r="AB243" s="27">
        <f t="shared" si="60"/>
        <v>11326.69803</v>
      </c>
      <c r="AC243" s="27">
        <f t="shared" si="61"/>
        <v>219.5096518</v>
      </c>
      <c r="AD243" s="114"/>
      <c r="AE243" s="119" t="s">
        <v>516</v>
      </c>
      <c r="AF243" s="164"/>
      <c r="AG243" s="165"/>
      <c r="AH243" s="165"/>
      <c r="AI243" s="165"/>
      <c r="AJ243" s="166"/>
      <c r="AK243" s="166"/>
      <c r="AL243" s="166"/>
      <c r="AM243" s="32"/>
      <c r="AN243" s="32"/>
      <c r="AO243" s="32"/>
      <c r="AP243" s="32"/>
      <c r="AQ243" s="33"/>
    </row>
    <row r="244" ht="15.75" customHeight="1">
      <c r="A244" s="7"/>
      <c r="B244" s="114" t="s">
        <v>230</v>
      </c>
      <c r="C244" s="114" t="s">
        <v>514</v>
      </c>
      <c r="D244" s="115" t="s">
        <v>517</v>
      </c>
      <c r="E244" s="114" t="s">
        <v>518</v>
      </c>
      <c r="F244" s="116">
        <v>2016.0</v>
      </c>
      <c r="G244" s="116">
        <v>2020.0</v>
      </c>
      <c r="H244" s="116">
        <v>0.0</v>
      </c>
      <c r="I244" s="116">
        <v>14.26</v>
      </c>
      <c r="J244" s="117">
        <v>0.3</v>
      </c>
      <c r="K244" s="116">
        <v>4.32</v>
      </c>
      <c r="L244" s="114"/>
      <c r="M244" s="114"/>
      <c r="N244" s="116">
        <v>6.0</v>
      </c>
      <c r="O244" s="116">
        <v>78.0</v>
      </c>
      <c r="P244" s="114"/>
      <c r="Q244" s="140">
        <v>4590.0</v>
      </c>
      <c r="R244" s="114" t="s">
        <v>234</v>
      </c>
      <c r="S244" s="115">
        <v>2018.0</v>
      </c>
      <c r="T244" s="85">
        <v>0.237</v>
      </c>
      <c r="U244" s="118">
        <f t="shared" si="86"/>
        <v>1087.83</v>
      </c>
      <c r="V244" s="24">
        <f t="shared" si="59"/>
        <v>76.28541374</v>
      </c>
      <c r="W244" s="3">
        <f t="shared" si="31"/>
        <v>0</v>
      </c>
      <c r="X244" s="3">
        <f t="shared" si="32"/>
        <v>0</v>
      </c>
      <c r="Y244" s="3">
        <f t="shared" si="33"/>
        <v>0</v>
      </c>
      <c r="Z244" s="25">
        <f t="shared" si="34"/>
        <v>0</v>
      </c>
      <c r="AA244" s="26">
        <f>VLOOKUP(S244,CPI!$A$2:$F$71,6,0)</f>
        <v>1.28277786</v>
      </c>
      <c r="AB244" s="27">
        <f t="shared" si="60"/>
        <v>1395.444239</v>
      </c>
      <c r="AC244" s="27">
        <f t="shared" si="61"/>
        <v>97.85723977</v>
      </c>
      <c r="AD244" s="114"/>
      <c r="AE244" s="119" t="s">
        <v>519</v>
      </c>
      <c r="AF244" s="164"/>
      <c r="AG244" s="165"/>
      <c r="AH244" s="165"/>
      <c r="AI244" s="165"/>
      <c r="AJ244" s="166"/>
      <c r="AK244" s="166"/>
      <c r="AL244" s="166"/>
      <c r="AM244" s="32"/>
      <c r="AN244" s="32"/>
      <c r="AO244" s="32"/>
      <c r="AP244" s="32"/>
      <c r="AQ244" s="33"/>
    </row>
    <row r="245" ht="15.75" customHeight="1">
      <c r="A245" s="163"/>
      <c r="B245" s="114" t="s">
        <v>230</v>
      </c>
      <c r="C245" s="72" t="s">
        <v>514</v>
      </c>
      <c r="D245" s="115" t="s">
        <v>517</v>
      </c>
      <c r="E245" s="72" t="s">
        <v>520</v>
      </c>
      <c r="F245" s="116">
        <v>2016.0</v>
      </c>
      <c r="G245" s="116">
        <v>2020.0</v>
      </c>
      <c r="H245" s="116">
        <v>0.0</v>
      </c>
      <c r="I245" s="116">
        <v>20.72</v>
      </c>
      <c r="J245" s="117">
        <v>0.42</v>
      </c>
      <c r="K245" s="116">
        <v>8.64</v>
      </c>
      <c r="L245" s="114"/>
      <c r="M245" s="114"/>
      <c r="N245" s="116">
        <v>6.0</v>
      </c>
      <c r="O245" s="116">
        <v>78.0</v>
      </c>
      <c r="P245" s="114"/>
      <c r="Q245" s="140">
        <v>6740.0</v>
      </c>
      <c r="R245" s="114" t="s">
        <v>234</v>
      </c>
      <c r="S245" s="115">
        <v>2018.0</v>
      </c>
      <c r="T245" s="85">
        <v>0.237</v>
      </c>
      <c r="U245" s="118">
        <f t="shared" si="86"/>
        <v>1597.38</v>
      </c>
      <c r="V245" s="24">
        <f t="shared" si="59"/>
        <v>77.09362934</v>
      </c>
      <c r="W245" s="3">
        <f t="shared" si="31"/>
        <v>0</v>
      </c>
      <c r="X245" s="3">
        <f t="shared" si="32"/>
        <v>0</v>
      </c>
      <c r="Y245" s="3">
        <f t="shared" si="33"/>
        <v>0</v>
      </c>
      <c r="Z245" s="25">
        <f t="shared" si="34"/>
        <v>0</v>
      </c>
      <c r="AA245" s="26">
        <f>VLOOKUP(S245,CPI!$A$2:$F$71,6,0)</f>
        <v>1.28277786</v>
      </c>
      <c r="AB245" s="27">
        <f t="shared" si="60"/>
        <v>2049.083697</v>
      </c>
      <c r="AC245" s="27">
        <f t="shared" si="61"/>
        <v>98.89400084</v>
      </c>
      <c r="AD245" s="114"/>
      <c r="AE245" s="119" t="s">
        <v>519</v>
      </c>
      <c r="AF245" s="164"/>
      <c r="AG245" s="165"/>
      <c r="AH245" s="165"/>
      <c r="AI245" s="165"/>
      <c r="AJ245" s="166"/>
      <c r="AK245" s="166"/>
      <c r="AL245" s="166"/>
      <c r="AM245" s="32"/>
      <c r="AN245" s="32"/>
      <c r="AO245" s="32"/>
      <c r="AP245" s="32"/>
      <c r="AQ245" s="33"/>
    </row>
    <row r="246" ht="15.75" customHeight="1">
      <c r="A246" s="38">
        <v>8024.0</v>
      </c>
      <c r="B246" s="130" t="s">
        <v>230</v>
      </c>
      <c r="C246" s="130" t="s">
        <v>514</v>
      </c>
      <c r="D246" s="36" t="s">
        <v>54</v>
      </c>
      <c r="E246" s="130" t="s">
        <v>437</v>
      </c>
      <c r="F246" s="130">
        <v>2017.0</v>
      </c>
      <c r="G246" s="130">
        <v>2020.0</v>
      </c>
      <c r="H246" s="130">
        <v>0.0</v>
      </c>
      <c r="I246" s="130">
        <v>1.6</v>
      </c>
      <c r="J246" s="131"/>
      <c r="K246" s="130"/>
      <c r="L246" s="132" t="e">
        <v>#N/A</v>
      </c>
      <c r="M246" s="132" t="e">
        <v>#N/A</v>
      </c>
      <c r="N246" s="130">
        <v>1.0</v>
      </c>
      <c r="O246" s="138"/>
      <c r="P246" s="130" t="s">
        <v>60</v>
      </c>
      <c r="Q246" s="135">
        <v>988.0</v>
      </c>
      <c r="R246" s="130" t="s">
        <v>234</v>
      </c>
      <c r="S246" s="130">
        <v>2016.0</v>
      </c>
      <c r="T246" s="136">
        <v>0.251</v>
      </c>
      <c r="U246" s="128">
        <f t="shared" ref="U246:U247" si="87">T246*Q246</f>
        <v>247.988</v>
      </c>
      <c r="V246" s="24">
        <f t="shared" si="59"/>
        <v>154.9925</v>
      </c>
      <c r="W246" s="3">
        <f t="shared" si="31"/>
        <v>0</v>
      </c>
      <c r="X246" s="3">
        <f t="shared" si="32"/>
        <v>0</v>
      </c>
      <c r="Y246" s="3">
        <f t="shared" si="33"/>
        <v>0</v>
      </c>
      <c r="Z246" s="25">
        <f t="shared" si="34"/>
        <v>0</v>
      </c>
      <c r="AA246" s="26">
        <f>VLOOKUP(S246,CPI!$A$2:$F$71,6,0)</f>
        <v>1.342104605</v>
      </c>
      <c r="AB246" s="27">
        <f t="shared" si="60"/>
        <v>332.8258369</v>
      </c>
      <c r="AC246" s="27">
        <f t="shared" si="61"/>
        <v>208.016148</v>
      </c>
      <c r="AD246" s="130" t="s">
        <v>60</v>
      </c>
      <c r="AE246" s="137" t="s">
        <v>521</v>
      </c>
      <c r="AF246" s="29"/>
      <c r="AG246" s="30"/>
      <c r="AH246" s="30"/>
      <c r="AI246" s="30"/>
      <c r="AJ246" s="31"/>
      <c r="AK246" s="31"/>
      <c r="AL246" s="31"/>
      <c r="AM246" s="32"/>
      <c r="AN246" s="32"/>
      <c r="AO246" s="32"/>
      <c r="AP246" s="32"/>
      <c r="AQ246" s="33"/>
    </row>
    <row r="247" ht="15.75" customHeight="1">
      <c r="A247" s="38">
        <v>8057.0</v>
      </c>
      <c r="B247" s="130" t="s">
        <v>230</v>
      </c>
      <c r="C247" s="130" t="s">
        <v>514</v>
      </c>
      <c r="D247" s="36" t="s">
        <v>84</v>
      </c>
      <c r="E247" s="130" t="s">
        <v>522</v>
      </c>
      <c r="F247" s="130">
        <v>2017.0</v>
      </c>
      <c r="G247" s="130">
        <v>2020.0</v>
      </c>
      <c r="H247" s="130">
        <v>0.0</v>
      </c>
      <c r="I247" s="130">
        <v>3.2</v>
      </c>
      <c r="J247" s="131"/>
      <c r="K247" s="130"/>
      <c r="L247" s="132" t="e">
        <v>#N/A</v>
      </c>
      <c r="M247" s="132" t="e">
        <v>#N/A</v>
      </c>
      <c r="N247" s="130">
        <v>2.0</v>
      </c>
      <c r="O247" s="138"/>
      <c r="P247" s="130" t="s">
        <v>60</v>
      </c>
      <c r="Q247" s="135">
        <v>1754.0</v>
      </c>
      <c r="R247" s="130" t="s">
        <v>234</v>
      </c>
      <c r="S247" s="130">
        <v>2016.0</v>
      </c>
      <c r="T247" s="136">
        <v>0.251</v>
      </c>
      <c r="U247" s="128">
        <f t="shared" si="87"/>
        <v>440.254</v>
      </c>
      <c r="V247" s="24">
        <f t="shared" si="59"/>
        <v>137.579375</v>
      </c>
      <c r="W247" s="3">
        <f t="shared" si="31"/>
        <v>0</v>
      </c>
      <c r="X247" s="3">
        <f t="shared" si="32"/>
        <v>0</v>
      </c>
      <c r="Y247" s="3">
        <f t="shared" si="33"/>
        <v>0</v>
      </c>
      <c r="Z247" s="25">
        <f t="shared" si="34"/>
        <v>0</v>
      </c>
      <c r="AA247" s="26">
        <f>VLOOKUP(S247,CPI!$A$2:$F$71,6,0)</f>
        <v>1.342104605</v>
      </c>
      <c r="AB247" s="27">
        <f t="shared" si="60"/>
        <v>590.8669209</v>
      </c>
      <c r="AC247" s="27">
        <f t="shared" si="61"/>
        <v>184.6459128</v>
      </c>
      <c r="AD247" s="130" t="s">
        <v>60</v>
      </c>
      <c r="AE247" s="137" t="s">
        <v>521</v>
      </c>
      <c r="AF247" s="29"/>
      <c r="AG247" s="30"/>
      <c r="AH247" s="30"/>
      <c r="AI247" s="30"/>
      <c r="AJ247" s="31"/>
      <c r="AK247" s="31"/>
      <c r="AL247" s="31"/>
      <c r="AM247" s="30"/>
      <c r="AN247" s="30"/>
      <c r="AO247" s="30"/>
      <c r="AP247" s="30"/>
      <c r="AQ247" s="34"/>
    </row>
    <row r="248" ht="15.75" customHeight="1">
      <c r="A248" s="162">
        <v>7937.0</v>
      </c>
      <c r="B248" s="72" t="s">
        <v>230</v>
      </c>
      <c r="C248" s="72" t="s">
        <v>514</v>
      </c>
      <c r="D248" s="115" t="s">
        <v>87</v>
      </c>
      <c r="E248" s="115" t="s">
        <v>331</v>
      </c>
      <c r="F248" s="69">
        <v>2017.0</v>
      </c>
      <c r="G248" s="69">
        <v>2021.0</v>
      </c>
      <c r="H248" s="69">
        <v>0.0</v>
      </c>
      <c r="I248" s="69">
        <v>52.9</v>
      </c>
      <c r="J248" s="117">
        <v>1.0</v>
      </c>
      <c r="K248" s="69">
        <v>52.9</v>
      </c>
      <c r="L248" s="72"/>
      <c r="M248" s="72"/>
      <c r="N248" s="69">
        <v>35.0</v>
      </c>
      <c r="O248" s="69">
        <v>117.0</v>
      </c>
      <c r="P248" s="72"/>
      <c r="Q248" s="140">
        <v>42062.0</v>
      </c>
      <c r="R248" s="72" t="s">
        <v>234</v>
      </c>
      <c r="S248" s="115">
        <v>2020.0</v>
      </c>
      <c r="T248" s="136">
        <v>0.239</v>
      </c>
      <c r="U248" s="118">
        <f>Q248*T248</f>
        <v>10052.818</v>
      </c>
      <c r="V248" s="24">
        <f t="shared" si="59"/>
        <v>190.0343667</v>
      </c>
      <c r="W248" s="3">
        <f t="shared" si="31"/>
        <v>0</v>
      </c>
      <c r="X248" s="3">
        <f t="shared" si="32"/>
        <v>0</v>
      </c>
      <c r="Y248" s="3">
        <f t="shared" si="33"/>
        <v>0</v>
      </c>
      <c r="Z248" s="25">
        <f t="shared" si="34"/>
        <v>0</v>
      </c>
      <c r="AA248" s="26">
        <f>VLOOKUP(S248,CPI!$A$2:$F$71,6,0)</f>
        <v>1.244593545</v>
      </c>
      <c r="AB248" s="27">
        <f t="shared" si="60"/>
        <v>12511.67239</v>
      </c>
      <c r="AC248" s="27">
        <f t="shared" si="61"/>
        <v>236.5155462</v>
      </c>
      <c r="AD248" s="72" t="s">
        <v>36</v>
      </c>
      <c r="AE248" s="79" t="s">
        <v>523</v>
      </c>
      <c r="AF248" s="186"/>
      <c r="AG248" s="187"/>
      <c r="AH248" s="187"/>
      <c r="AI248" s="187"/>
      <c r="AJ248" s="81"/>
      <c r="AK248" s="81"/>
      <c r="AL248" s="81"/>
      <c r="AM248" s="31"/>
      <c r="AN248" s="31"/>
      <c r="AO248" s="31"/>
      <c r="AP248" s="31"/>
      <c r="AQ248" s="35"/>
    </row>
    <row r="249" ht="15.75" customHeight="1">
      <c r="A249" s="38">
        <v>8001.0</v>
      </c>
      <c r="B249" s="130" t="s">
        <v>230</v>
      </c>
      <c r="C249" s="130" t="s">
        <v>514</v>
      </c>
      <c r="D249" s="130" t="s">
        <v>228</v>
      </c>
      <c r="E249" s="130" t="s">
        <v>228</v>
      </c>
      <c r="F249" s="130">
        <v>2017.0</v>
      </c>
      <c r="G249" s="130">
        <v>2021.0</v>
      </c>
      <c r="H249" s="130">
        <v>0.0</v>
      </c>
      <c r="I249" s="130">
        <v>45.0</v>
      </c>
      <c r="J249" s="131"/>
      <c r="K249" s="130"/>
      <c r="L249" s="132" t="e">
        <v>#N/A</v>
      </c>
      <c r="M249" s="132" t="e">
        <v>#N/A</v>
      </c>
      <c r="N249" s="130">
        <v>22.0</v>
      </c>
      <c r="O249" s="138"/>
      <c r="P249" s="130" t="s">
        <v>60</v>
      </c>
      <c r="Q249" s="135">
        <v>28997.0</v>
      </c>
      <c r="R249" s="130" t="s">
        <v>234</v>
      </c>
      <c r="S249" s="130">
        <v>2016.0</v>
      </c>
      <c r="T249" s="136">
        <v>0.251</v>
      </c>
      <c r="U249" s="128">
        <f>T249*Q249</f>
        <v>7278.247</v>
      </c>
      <c r="V249" s="24">
        <f t="shared" si="59"/>
        <v>161.7388222</v>
      </c>
      <c r="W249" s="3">
        <f t="shared" si="31"/>
        <v>0</v>
      </c>
      <c r="X249" s="3">
        <f t="shared" si="32"/>
        <v>0</v>
      </c>
      <c r="Y249" s="3">
        <f t="shared" si="33"/>
        <v>0</v>
      </c>
      <c r="Z249" s="25">
        <f t="shared" si="34"/>
        <v>0</v>
      </c>
      <c r="AA249" s="26">
        <f>VLOOKUP(S249,CPI!$A$2:$F$71,6,0)</f>
        <v>1.342104605</v>
      </c>
      <c r="AB249" s="27">
        <f t="shared" si="60"/>
        <v>9768.168817</v>
      </c>
      <c r="AC249" s="27">
        <f t="shared" si="61"/>
        <v>217.0704182</v>
      </c>
      <c r="AD249" s="130" t="s">
        <v>60</v>
      </c>
      <c r="AE249" s="137" t="s">
        <v>521</v>
      </c>
      <c r="AF249" s="29"/>
      <c r="AG249" s="30"/>
      <c r="AH249" s="30"/>
      <c r="AI249" s="30"/>
      <c r="AJ249" s="31"/>
      <c r="AK249" s="31"/>
      <c r="AL249" s="31"/>
      <c r="AM249" s="31"/>
      <c r="AN249" s="31"/>
      <c r="AO249" s="31"/>
      <c r="AP249" s="31"/>
      <c r="AQ249" s="35"/>
    </row>
    <row r="250" ht="15.75" customHeight="1">
      <c r="A250" s="163"/>
      <c r="B250" s="114" t="s">
        <v>230</v>
      </c>
      <c r="C250" s="72" t="s">
        <v>514</v>
      </c>
      <c r="D250" s="72" t="s">
        <v>524</v>
      </c>
      <c r="E250" s="72" t="s">
        <v>524</v>
      </c>
      <c r="F250" s="114"/>
      <c r="G250" s="116">
        <v>2021.0</v>
      </c>
      <c r="H250" s="116">
        <v>0.0</v>
      </c>
      <c r="I250" s="116">
        <v>23.508</v>
      </c>
      <c r="J250" s="117">
        <v>1.0</v>
      </c>
      <c r="K250" s="116">
        <v>23.508</v>
      </c>
      <c r="L250" s="114"/>
      <c r="M250" s="114"/>
      <c r="N250" s="116">
        <v>11.0</v>
      </c>
      <c r="O250" s="116">
        <v>117.0</v>
      </c>
      <c r="P250" s="114"/>
      <c r="Q250" s="140">
        <v>13298.0</v>
      </c>
      <c r="R250" s="114" t="s">
        <v>234</v>
      </c>
      <c r="S250" s="115">
        <v>2021.0</v>
      </c>
      <c r="T250" s="136">
        <v>0.239000000000001</v>
      </c>
      <c r="U250" s="118">
        <f t="shared" ref="U250:U293" si="88">Q250*T250</f>
        <v>3178.222</v>
      </c>
      <c r="V250" s="24">
        <f t="shared" si="59"/>
        <v>135.1974647</v>
      </c>
      <c r="W250" s="3">
        <f t="shared" si="31"/>
        <v>0</v>
      </c>
      <c r="X250" s="3">
        <f t="shared" si="32"/>
        <v>0</v>
      </c>
      <c r="Y250" s="3">
        <f t="shared" si="33"/>
        <v>0</v>
      </c>
      <c r="Z250" s="25">
        <f t="shared" si="34"/>
        <v>0</v>
      </c>
      <c r="AA250" s="26">
        <f>VLOOKUP(S250,CPI!$A$2:$F$71,6,0)</f>
        <v>1.188745987</v>
      </c>
      <c r="AB250" s="27">
        <f t="shared" si="60"/>
        <v>3778.098647</v>
      </c>
      <c r="AC250" s="27">
        <f t="shared" si="61"/>
        <v>160.7154436</v>
      </c>
      <c r="AD250" s="114"/>
      <c r="AE250" s="119" t="s">
        <v>525</v>
      </c>
      <c r="AF250" s="164"/>
      <c r="AG250" s="165"/>
      <c r="AH250" s="165"/>
      <c r="AI250" s="165"/>
      <c r="AJ250" s="166"/>
      <c r="AK250" s="166"/>
      <c r="AL250" s="166"/>
      <c r="AM250" s="32"/>
      <c r="AN250" s="32"/>
      <c r="AO250" s="32"/>
      <c r="AP250" s="32"/>
      <c r="AQ250" s="33"/>
    </row>
    <row r="251" ht="15.75" customHeight="1">
      <c r="A251" s="7"/>
      <c r="B251" s="114" t="s">
        <v>230</v>
      </c>
      <c r="C251" s="114" t="s">
        <v>514</v>
      </c>
      <c r="D251" s="114" t="s">
        <v>526</v>
      </c>
      <c r="E251" s="114" t="s">
        <v>526</v>
      </c>
      <c r="F251" s="114"/>
      <c r="G251" s="116">
        <v>2021.0</v>
      </c>
      <c r="H251" s="116">
        <v>0.0</v>
      </c>
      <c r="I251" s="116">
        <v>48.18</v>
      </c>
      <c r="J251" s="117">
        <v>0.31</v>
      </c>
      <c r="K251" s="116">
        <v>14.81</v>
      </c>
      <c r="L251" s="114"/>
      <c r="M251" s="114"/>
      <c r="N251" s="116">
        <v>12.0</v>
      </c>
      <c r="O251" s="116">
        <v>78.0</v>
      </c>
      <c r="P251" s="114"/>
      <c r="Q251" s="140">
        <v>13611.0</v>
      </c>
      <c r="R251" s="114" t="s">
        <v>234</v>
      </c>
      <c r="S251" s="115">
        <v>2021.0</v>
      </c>
      <c r="T251" s="136">
        <v>0.239000000000001</v>
      </c>
      <c r="U251" s="118">
        <f t="shared" si="88"/>
        <v>3253.029</v>
      </c>
      <c r="V251" s="24">
        <f t="shared" si="59"/>
        <v>67.51824408</v>
      </c>
      <c r="W251" s="3">
        <f t="shared" si="31"/>
        <v>0</v>
      </c>
      <c r="X251" s="3">
        <f t="shared" si="32"/>
        <v>0</v>
      </c>
      <c r="Y251" s="3">
        <f t="shared" si="33"/>
        <v>0</v>
      </c>
      <c r="Z251" s="25">
        <f t="shared" si="34"/>
        <v>0</v>
      </c>
      <c r="AA251" s="26">
        <f>VLOOKUP(S251,CPI!$A$2:$F$71,6,0)</f>
        <v>1.188745987</v>
      </c>
      <c r="AB251" s="27">
        <f t="shared" si="60"/>
        <v>3867.025168</v>
      </c>
      <c r="AC251" s="27">
        <f t="shared" si="61"/>
        <v>80.26204168</v>
      </c>
      <c r="AD251" s="114"/>
      <c r="AE251" s="119" t="s">
        <v>527</v>
      </c>
      <c r="AF251" s="164"/>
      <c r="AG251" s="165"/>
      <c r="AH251" s="165"/>
      <c r="AI251" s="165"/>
      <c r="AJ251" s="166"/>
      <c r="AK251" s="166"/>
      <c r="AL251" s="166"/>
      <c r="AM251" s="32"/>
      <c r="AN251" s="32"/>
      <c r="AO251" s="32"/>
      <c r="AP251" s="32"/>
      <c r="AQ251" s="33"/>
    </row>
    <row r="252" ht="15.75" customHeight="1">
      <c r="A252" s="162">
        <v>7835.0</v>
      </c>
      <c r="B252" s="72" t="s">
        <v>230</v>
      </c>
      <c r="C252" s="72" t="s">
        <v>514</v>
      </c>
      <c r="D252" s="115" t="s">
        <v>239</v>
      </c>
      <c r="E252" s="115" t="s">
        <v>356</v>
      </c>
      <c r="F252" s="72"/>
      <c r="G252" s="72">
        <v>2021.0</v>
      </c>
      <c r="H252" s="72">
        <v>0.0</v>
      </c>
      <c r="I252" s="72">
        <v>15.184</v>
      </c>
      <c r="J252" s="117">
        <v>1.0</v>
      </c>
      <c r="K252" s="72">
        <v>15.184</v>
      </c>
      <c r="L252" s="72"/>
      <c r="M252" s="72"/>
      <c r="N252" s="72">
        <v>12.0</v>
      </c>
      <c r="O252" s="69">
        <v>138.0</v>
      </c>
      <c r="P252" s="72"/>
      <c r="Q252" s="140">
        <v>15702.0</v>
      </c>
      <c r="R252" s="72" t="s">
        <v>234</v>
      </c>
      <c r="S252" s="115">
        <v>2021.0</v>
      </c>
      <c r="T252" s="136">
        <v>0.239</v>
      </c>
      <c r="U252" s="118">
        <f t="shared" si="88"/>
        <v>3752.778</v>
      </c>
      <c r="V252" s="24">
        <f t="shared" si="59"/>
        <v>247.153451</v>
      </c>
      <c r="W252" s="3">
        <f t="shared" si="31"/>
        <v>0</v>
      </c>
      <c r="X252" s="3">
        <f t="shared" si="32"/>
        <v>0</v>
      </c>
      <c r="Y252" s="3">
        <f t="shared" si="33"/>
        <v>0</v>
      </c>
      <c r="Z252" s="25">
        <f t="shared" si="34"/>
        <v>0</v>
      </c>
      <c r="AA252" s="26">
        <f>VLOOKUP(S252,CPI!$A$2:$F$71,6,0)</f>
        <v>1.188745987</v>
      </c>
      <c r="AB252" s="27">
        <f t="shared" si="60"/>
        <v>4461.099786</v>
      </c>
      <c r="AC252" s="27">
        <f t="shared" si="61"/>
        <v>293.802673</v>
      </c>
      <c r="AD252" s="72" t="s">
        <v>36</v>
      </c>
      <c r="AE252" s="79" t="s">
        <v>528</v>
      </c>
      <c r="AF252" s="186"/>
      <c r="AG252" s="187"/>
      <c r="AH252" s="187"/>
      <c r="AI252" s="187"/>
      <c r="AJ252" s="187"/>
      <c r="AK252" s="187"/>
      <c r="AL252" s="187"/>
      <c r="AM252" s="32"/>
      <c r="AN252" s="32"/>
      <c r="AO252" s="32"/>
      <c r="AP252" s="32"/>
      <c r="AQ252" s="33"/>
    </row>
    <row r="253" ht="15.75" customHeight="1">
      <c r="A253" s="163"/>
      <c r="B253" s="114" t="s">
        <v>230</v>
      </c>
      <c r="C253" s="72" t="s">
        <v>514</v>
      </c>
      <c r="D253" s="115" t="s">
        <v>80</v>
      </c>
      <c r="E253" s="115" t="s">
        <v>255</v>
      </c>
      <c r="F253" s="114"/>
      <c r="G253" s="116">
        <v>2021.0</v>
      </c>
      <c r="H253" s="116">
        <v>0.0</v>
      </c>
      <c r="I253" s="116">
        <v>26.955</v>
      </c>
      <c r="J253" s="117">
        <v>1.0</v>
      </c>
      <c r="K253" s="116">
        <v>26.955</v>
      </c>
      <c r="L253" s="114"/>
      <c r="M253" s="114"/>
      <c r="N253" s="116">
        <v>19.0</v>
      </c>
      <c r="O253" s="116">
        <v>117.0</v>
      </c>
      <c r="P253" s="114"/>
      <c r="Q253" s="140">
        <v>17830.0</v>
      </c>
      <c r="R253" s="114" t="s">
        <v>234</v>
      </c>
      <c r="S253" s="115">
        <v>2021.0</v>
      </c>
      <c r="T253" s="136">
        <v>0.239000000000001</v>
      </c>
      <c r="U253" s="118">
        <f t="shared" si="88"/>
        <v>4261.37</v>
      </c>
      <c r="V253" s="24">
        <f t="shared" si="59"/>
        <v>158.0920052</v>
      </c>
      <c r="W253" s="3">
        <f t="shared" si="31"/>
        <v>0</v>
      </c>
      <c r="X253" s="3">
        <f t="shared" si="32"/>
        <v>0</v>
      </c>
      <c r="Y253" s="3">
        <f t="shared" si="33"/>
        <v>0</v>
      </c>
      <c r="Z253" s="25">
        <f t="shared" si="34"/>
        <v>0</v>
      </c>
      <c r="AA253" s="26">
        <f>VLOOKUP(S253,CPI!$A$2:$F$71,6,0)</f>
        <v>1.188745987</v>
      </c>
      <c r="AB253" s="27">
        <f t="shared" si="60"/>
        <v>5065.686485</v>
      </c>
      <c r="AC253" s="27">
        <f t="shared" si="61"/>
        <v>187.9312367</v>
      </c>
      <c r="AD253" s="114"/>
      <c r="AE253" s="119" t="s">
        <v>529</v>
      </c>
      <c r="AF253" s="164"/>
      <c r="AG253" s="165"/>
      <c r="AH253" s="165"/>
      <c r="AI253" s="165"/>
      <c r="AJ253" s="166"/>
      <c r="AK253" s="166"/>
      <c r="AL253" s="166"/>
      <c r="AM253" s="32"/>
      <c r="AN253" s="32"/>
      <c r="AO253" s="32"/>
      <c r="AP253" s="32"/>
      <c r="AQ253" s="33"/>
    </row>
    <row r="254" ht="15.75" customHeight="1">
      <c r="A254" s="170">
        <v>7907.0</v>
      </c>
      <c r="B254" s="72" t="s">
        <v>230</v>
      </c>
      <c r="C254" s="72" t="s">
        <v>514</v>
      </c>
      <c r="D254" s="115" t="s">
        <v>110</v>
      </c>
      <c r="E254" s="115" t="s">
        <v>358</v>
      </c>
      <c r="F254" s="69">
        <v>2017.0</v>
      </c>
      <c r="G254" s="69">
        <v>2022.0</v>
      </c>
      <c r="H254" s="69">
        <v>0.0</v>
      </c>
      <c r="I254" s="69">
        <v>23.9</v>
      </c>
      <c r="J254" s="117">
        <v>1.0</v>
      </c>
      <c r="K254" s="69">
        <v>23.9</v>
      </c>
      <c r="L254" s="72"/>
      <c r="M254" s="72"/>
      <c r="N254" s="69">
        <v>15.0</v>
      </c>
      <c r="O254" s="69">
        <v>117.0</v>
      </c>
      <c r="P254" s="72"/>
      <c r="Q254" s="140">
        <v>20686.0</v>
      </c>
      <c r="R254" s="72" t="s">
        <v>234</v>
      </c>
      <c r="S254" s="115">
        <v>2020.0</v>
      </c>
      <c r="T254" s="136">
        <v>0.239</v>
      </c>
      <c r="U254" s="118">
        <f t="shared" si="88"/>
        <v>4943.954</v>
      </c>
      <c r="V254" s="24">
        <f t="shared" si="59"/>
        <v>206.86</v>
      </c>
      <c r="W254" s="3">
        <f t="shared" si="31"/>
        <v>0</v>
      </c>
      <c r="X254" s="3">
        <f t="shared" si="32"/>
        <v>0</v>
      </c>
      <c r="Y254" s="3">
        <f t="shared" si="33"/>
        <v>0</v>
      </c>
      <c r="Z254" s="25">
        <f t="shared" si="34"/>
        <v>0</v>
      </c>
      <c r="AA254" s="26">
        <f>VLOOKUP(S254,CPI!$A$2:$F$71,6,0)</f>
        <v>1.244593545</v>
      </c>
      <c r="AB254" s="27">
        <f t="shared" si="60"/>
        <v>6153.213236</v>
      </c>
      <c r="AC254" s="27">
        <f t="shared" si="61"/>
        <v>257.4566207</v>
      </c>
      <c r="AD254" s="72" t="s">
        <v>36</v>
      </c>
      <c r="AE254" s="79" t="s">
        <v>530</v>
      </c>
      <c r="AF254" s="186"/>
      <c r="AG254" s="187"/>
      <c r="AH254" s="187"/>
      <c r="AI254" s="187"/>
      <c r="AJ254" s="81"/>
      <c r="AK254" s="81"/>
      <c r="AL254" s="81"/>
      <c r="AM254" s="32"/>
      <c r="AN254" s="32"/>
      <c r="AO254" s="32"/>
      <c r="AP254" s="32"/>
      <c r="AQ254" s="33"/>
    </row>
    <row r="255" ht="15.75" customHeight="1">
      <c r="A255" s="170">
        <v>7866.0</v>
      </c>
      <c r="B255" s="72" t="s">
        <v>230</v>
      </c>
      <c r="C255" s="72" t="s">
        <v>514</v>
      </c>
      <c r="D255" s="115" t="s">
        <v>80</v>
      </c>
      <c r="E255" s="115" t="s">
        <v>265</v>
      </c>
      <c r="F255" s="69">
        <v>2017.0</v>
      </c>
      <c r="G255" s="69">
        <v>2022.0</v>
      </c>
      <c r="H255" s="69">
        <v>0.0</v>
      </c>
      <c r="I255" s="69">
        <v>8.366</v>
      </c>
      <c r="J255" s="117">
        <v>1.0</v>
      </c>
      <c r="K255" s="69">
        <v>8.366</v>
      </c>
      <c r="L255" s="72"/>
      <c r="M255" s="72"/>
      <c r="N255" s="69">
        <v>5.0</v>
      </c>
      <c r="O255" s="69">
        <v>117.0</v>
      </c>
      <c r="P255" s="72"/>
      <c r="Q255" s="140">
        <v>6226.0</v>
      </c>
      <c r="R255" s="72" t="s">
        <v>234</v>
      </c>
      <c r="S255" s="115">
        <v>2020.0</v>
      </c>
      <c r="T255" s="136">
        <v>0.239</v>
      </c>
      <c r="U255" s="118">
        <f t="shared" si="88"/>
        <v>1488.014</v>
      </c>
      <c r="V255" s="24">
        <f t="shared" si="59"/>
        <v>177.8644514</v>
      </c>
      <c r="W255" s="3">
        <f t="shared" si="31"/>
        <v>0</v>
      </c>
      <c r="X255" s="3">
        <f t="shared" si="32"/>
        <v>0</v>
      </c>
      <c r="Y255" s="3">
        <f t="shared" si="33"/>
        <v>0</v>
      </c>
      <c r="Z255" s="25">
        <f t="shared" si="34"/>
        <v>0</v>
      </c>
      <c r="AA255" s="26">
        <f>VLOOKUP(S255,CPI!$A$2:$F$71,6,0)</f>
        <v>1.244593545</v>
      </c>
      <c r="AB255" s="27">
        <f t="shared" si="60"/>
        <v>1851.972619</v>
      </c>
      <c r="AC255" s="27">
        <f t="shared" si="61"/>
        <v>221.3689481</v>
      </c>
      <c r="AD255" s="72" t="s">
        <v>36</v>
      </c>
      <c r="AE255" s="79" t="s">
        <v>531</v>
      </c>
      <c r="AF255" s="186"/>
      <c r="AG255" s="187"/>
      <c r="AH255" s="187"/>
      <c r="AI255" s="187"/>
      <c r="AJ255" s="81"/>
      <c r="AK255" s="81"/>
      <c r="AL255" s="81"/>
      <c r="AM255" s="32"/>
      <c r="AN255" s="32"/>
      <c r="AO255" s="32"/>
      <c r="AP255" s="32"/>
      <c r="AQ255" s="33"/>
    </row>
    <row r="256" ht="15.75" customHeight="1">
      <c r="A256" s="170">
        <v>7818.0</v>
      </c>
      <c r="B256" s="123" t="s">
        <v>230</v>
      </c>
      <c r="C256" s="123" t="s">
        <v>514</v>
      </c>
      <c r="D256" s="36" t="s">
        <v>253</v>
      </c>
      <c r="E256" s="123" t="s">
        <v>362</v>
      </c>
      <c r="F256" s="75">
        <v>2017.0</v>
      </c>
      <c r="G256" s="75">
        <v>2022.0</v>
      </c>
      <c r="H256" s="75">
        <v>0.0</v>
      </c>
      <c r="I256" s="75">
        <v>17.8</v>
      </c>
      <c r="J256" s="155"/>
      <c r="K256" s="123"/>
      <c r="L256" s="125" t="e">
        <v>#N/A</v>
      </c>
      <c r="M256" s="125" t="e">
        <v>#N/A</v>
      </c>
      <c r="N256" s="75">
        <v>14.0</v>
      </c>
      <c r="O256" s="75"/>
      <c r="P256" s="123" t="s">
        <v>60</v>
      </c>
      <c r="Q256" s="126">
        <v>15657.0</v>
      </c>
      <c r="R256" s="123" t="s">
        <v>234</v>
      </c>
      <c r="S256" s="75">
        <v>2016.0</v>
      </c>
      <c r="T256" s="136">
        <v>0.251</v>
      </c>
      <c r="U256" s="128">
        <f t="shared" si="88"/>
        <v>3929.907</v>
      </c>
      <c r="V256" s="24">
        <f t="shared" si="59"/>
        <v>220.7812921</v>
      </c>
      <c r="W256" s="3">
        <f t="shared" si="31"/>
        <v>0</v>
      </c>
      <c r="X256" s="3">
        <f t="shared" si="32"/>
        <v>0</v>
      </c>
      <c r="Y256" s="3">
        <f t="shared" si="33"/>
        <v>0</v>
      </c>
      <c r="Z256" s="25">
        <f t="shared" si="34"/>
        <v>0</v>
      </c>
      <c r="AA256" s="26">
        <f>VLOOKUP(S256,CPI!$A$2:$F$71,6,0)</f>
        <v>1.342104605</v>
      </c>
      <c r="AB256" s="27">
        <f t="shared" si="60"/>
        <v>5274.346283</v>
      </c>
      <c r="AC256" s="27">
        <f t="shared" si="61"/>
        <v>296.3115889</v>
      </c>
      <c r="AD256" s="123" t="s">
        <v>60</v>
      </c>
      <c r="AE256" s="129" t="s">
        <v>521</v>
      </c>
      <c r="AF256" s="29"/>
      <c r="AG256" s="30"/>
      <c r="AH256" s="30"/>
      <c r="AI256" s="30"/>
      <c r="AJ256" s="31"/>
      <c r="AK256" s="31"/>
      <c r="AL256" s="31"/>
      <c r="AM256" s="32"/>
      <c r="AN256" s="32"/>
      <c r="AO256" s="32"/>
      <c r="AP256" s="32"/>
      <c r="AQ256" s="33"/>
    </row>
    <row r="257" ht="15.75" customHeight="1">
      <c r="A257" s="170">
        <v>7914.0</v>
      </c>
      <c r="B257" s="72" t="s">
        <v>230</v>
      </c>
      <c r="C257" s="72" t="s">
        <v>514</v>
      </c>
      <c r="D257" s="16" t="s">
        <v>243</v>
      </c>
      <c r="E257" s="115" t="s">
        <v>379</v>
      </c>
      <c r="F257" s="69">
        <v>2018.0</v>
      </c>
      <c r="G257" s="69">
        <v>2022.0</v>
      </c>
      <c r="H257" s="69">
        <v>0.0</v>
      </c>
      <c r="I257" s="69">
        <v>17.1</v>
      </c>
      <c r="J257" s="117">
        <v>1.0</v>
      </c>
      <c r="K257" s="69">
        <v>17.1</v>
      </c>
      <c r="L257" s="72"/>
      <c r="M257" s="72"/>
      <c r="N257" s="69">
        <v>9.0</v>
      </c>
      <c r="O257" s="69">
        <v>138.0</v>
      </c>
      <c r="P257" s="72"/>
      <c r="Q257" s="140">
        <v>13526.0</v>
      </c>
      <c r="R257" s="72" t="s">
        <v>234</v>
      </c>
      <c r="S257" s="115">
        <v>2020.0</v>
      </c>
      <c r="T257" s="136">
        <v>0.239</v>
      </c>
      <c r="U257" s="118">
        <f t="shared" si="88"/>
        <v>3232.714</v>
      </c>
      <c r="V257" s="24">
        <f t="shared" si="59"/>
        <v>189.0476023</v>
      </c>
      <c r="W257" s="3">
        <f t="shared" si="31"/>
        <v>0</v>
      </c>
      <c r="X257" s="3">
        <f t="shared" si="32"/>
        <v>0</v>
      </c>
      <c r="Y257" s="3">
        <f t="shared" si="33"/>
        <v>0</v>
      </c>
      <c r="Z257" s="25">
        <f t="shared" si="34"/>
        <v>0</v>
      </c>
      <c r="AA257" s="26">
        <f>VLOOKUP(S257,CPI!$A$2:$F$71,6,0)</f>
        <v>1.244593545</v>
      </c>
      <c r="AB257" s="27">
        <f t="shared" si="60"/>
        <v>4023.414978</v>
      </c>
      <c r="AC257" s="27">
        <f t="shared" si="61"/>
        <v>235.2874256</v>
      </c>
      <c r="AD257" s="72" t="s">
        <v>36</v>
      </c>
      <c r="AE257" s="79" t="s">
        <v>532</v>
      </c>
      <c r="AF257" s="186"/>
      <c r="AG257" s="187"/>
      <c r="AH257" s="187"/>
      <c r="AI257" s="187"/>
      <c r="AJ257" s="81"/>
      <c r="AK257" s="81"/>
      <c r="AL257" s="81"/>
      <c r="AM257" s="32"/>
      <c r="AN257" s="32"/>
      <c r="AO257" s="32"/>
      <c r="AP257" s="32"/>
      <c r="AQ257" s="33"/>
    </row>
    <row r="258" ht="15.75" customHeight="1">
      <c r="A258" s="163"/>
      <c r="B258" s="114" t="s">
        <v>230</v>
      </c>
      <c r="C258" s="72" t="s">
        <v>514</v>
      </c>
      <c r="D258" s="72" t="s">
        <v>533</v>
      </c>
      <c r="E258" s="72" t="s">
        <v>533</v>
      </c>
      <c r="F258" s="116">
        <v>2019.0</v>
      </c>
      <c r="G258" s="116">
        <v>2022.0</v>
      </c>
      <c r="H258" s="116">
        <v>0.0</v>
      </c>
      <c r="I258" s="116">
        <v>59.1316</v>
      </c>
      <c r="J258" s="117">
        <v>0.79</v>
      </c>
      <c r="K258" s="116">
        <v>46.5</v>
      </c>
      <c r="L258" s="114"/>
      <c r="M258" s="114"/>
      <c r="N258" s="116">
        <v>15.0</v>
      </c>
      <c r="O258" s="116">
        <v>138.0</v>
      </c>
      <c r="P258" s="114"/>
      <c r="Q258" s="140">
        <v>43206.0</v>
      </c>
      <c r="R258" s="114" t="s">
        <v>234</v>
      </c>
      <c r="S258" s="115">
        <v>2021.0</v>
      </c>
      <c r="T258" s="136">
        <v>0.239000000000001</v>
      </c>
      <c r="U258" s="118">
        <f t="shared" si="88"/>
        <v>10326.234</v>
      </c>
      <c r="V258" s="24">
        <f t="shared" si="59"/>
        <v>174.6313984</v>
      </c>
      <c r="W258" s="3">
        <f t="shared" si="31"/>
        <v>0</v>
      </c>
      <c r="X258" s="3">
        <f t="shared" si="32"/>
        <v>0</v>
      </c>
      <c r="Y258" s="3">
        <f t="shared" si="33"/>
        <v>0</v>
      </c>
      <c r="Z258" s="25">
        <f t="shared" si="34"/>
        <v>0</v>
      </c>
      <c r="AA258" s="26">
        <f>VLOOKUP(S258,CPI!$A$2:$F$71,6,0)</f>
        <v>1.188745987</v>
      </c>
      <c r="AB258" s="27">
        <f t="shared" si="60"/>
        <v>12275.26922</v>
      </c>
      <c r="AC258" s="27">
        <f t="shared" si="61"/>
        <v>207.592374</v>
      </c>
      <c r="AD258" s="114"/>
      <c r="AE258" s="119" t="s">
        <v>534</v>
      </c>
      <c r="AF258" s="164"/>
      <c r="AG258" s="165"/>
      <c r="AH258" s="165"/>
      <c r="AI258" s="165"/>
      <c r="AJ258" s="166"/>
      <c r="AK258" s="166"/>
      <c r="AL258" s="166"/>
      <c r="AM258" s="32"/>
      <c r="AN258" s="32"/>
      <c r="AO258" s="32"/>
      <c r="AP258" s="32"/>
      <c r="AQ258" s="33"/>
    </row>
    <row r="259" ht="15.75" customHeight="1">
      <c r="A259" s="163"/>
      <c r="B259" s="114" t="s">
        <v>230</v>
      </c>
      <c r="C259" s="72" t="s">
        <v>514</v>
      </c>
      <c r="D259" s="115" t="s">
        <v>87</v>
      </c>
      <c r="E259" s="72" t="s">
        <v>535</v>
      </c>
      <c r="F259" s="116">
        <v>2020.0</v>
      </c>
      <c r="G259" s="116">
        <v>2022.0</v>
      </c>
      <c r="H259" s="116">
        <v>0.0</v>
      </c>
      <c r="I259" s="116">
        <v>4.7</v>
      </c>
      <c r="J259" s="117">
        <v>1.0</v>
      </c>
      <c r="K259" s="116">
        <v>4.7</v>
      </c>
      <c r="L259" s="114"/>
      <c r="M259" s="114"/>
      <c r="N259" s="116">
        <v>4.0</v>
      </c>
      <c r="O259" s="116">
        <v>117.0</v>
      </c>
      <c r="P259" s="114"/>
      <c r="Q259" s="140">
        <v>10870.0</v>
      </c>
      <c r="R259" s="114" t="s">
        <v>234</v>
      </c>
      <c r="S259" s="115">
        <v>2020.0</v>
      </c>
      <c r="T259" s="136">
        <v>0.239</v>
      </c>
      <c r="U259" s="118">
        <f t="shared" si="88"/>
        <v>2597.93</v>
      </c>
      <c r="V259" s="24">
        <f t="shared" si="59"/>
        <v>552.7510638</v>
      </c>
      <c r="W259" s="3">
        <f t="shared" si="31"/>
        <v>0</v>
      </c>
      <c r="X259" s="3">
        <f t="shared" si="32"/>
        <v>0</v>
      </c>
      <c r="Y259" s="3">
        <f t="shared" si="33"/>
        <v>0</v>
      </c>
      <c r="Z259" s="25">
        <f t="shared" si="34"/>
        <v>0</v>
      </c>
      <c r="AA259" s="26">
        <f>VLOOKUP(S259,CPI!$A$2:$F$71,6,0)</f>
        <v>1.244593545</v>
      </c>
      <c r="AB259" s="27">
        <f t="shared" si="60"/>
        <v>3233.366909</v>
      </c>
      <c r="AC259" s="27">
        <f t="shared" si="61"/>
        <v>687.9504061</v>
      </c>
      <c r="AD259" s="114"/>
      <c r="AE259" s="119" t="s">
        <v>536</v>
      </c>
      <c r="AF259" s="164"/>
      <c r="AG259" s="165"/>
      <c r="AH259" s="165"/>
      <c r="AI259" s="165"/>
      <c r="AJ259" s="166"/>
      <c r="AK259" s="166"/>
      <c r="AL259" s="166"/>
      <c r="AM259" s="32"/>
      <c r="AN259" s="32"/>
      <c r="AO259" s="32"/>
      <c r="AP259" s="32"/>
      <c r="AQ259" s="33"/>
    </row>
    <row r="260" ht="15.75" customHeight="1">
      <c r="A260" s="163"/>
      <c r="B260" s="114" t="s">
        <v>230</v>
      </c>
      <c r="C260" s="72" t="s">
        <v>514</v>
      </c>
      <c r="D260" s="115" t="s">
        <v>54</v>
      </c>
      <c r="E260" s="115" t="s">
        <v>537</v>
      </c>
      <c r="F260" s="116">
        <v>2008.0</v>
      </c>
      <c r="G260" s="114"/>
      <c r="H260" s="116">
        <v>0.0</v>
      </c>
      <c r="I260" s="116">
        <v>18.2</v>
      </c>
      <c r="J260" s="117">
        <v>1.0</v>
      </c>
      <c r="K260" s="116">
        <v>18.2</v>
      </c>
      <c r="L260" s="114"/>
      <c r="M260" s="114"/>
      <c r="N260" s="116">
        <v>13.0</v>
      </c>
      <c r="O260" s="116">
        <v>117.0</v>
      </c>
      <c r="P260" s="114"/>
      <c r="Q260" s="140">
        <v>10500.0</v>
      </c>
      <c r="R260" s="114" t="s">
        <v>234</v>
      </c>
      <c r="S260" s="115">
        <v>2008.0</v>
      </c>
      <c r="T260" s="85">
        <v>0.315</v>
      </c>
      <c r="U260" s="118">
        <f t="shared" si="88"/>
        <v>3307.5</v>
      </c>
      <c r="V260" s="24">
        <f t="shared" si="59"/>
        <v>181.7307692</v>
      </c>
      <c r="W260" s="3">
        <f t="shared" si="31"/>
        <v>0</v>
      </c>
      <c r="X260" s="3">
        <f t="shared" si="32"/>
        <v>0</v>
      </c>
      <c r="Y260" s="3">
        <f t="shared" si="33"/>
        <v>0</v>
      </c>
      <c r="Z260" s="25">
        <f t="shared" si="34"/>
        <v>0</v>
      </c>
      <c r="AA260" s="26">
        <f>VLOOKUP(S260,CPI!$A$2:$F$71,6,0)</f>
        <v>1.496098522</v>
      </c>
      <c r="AB260" s="27">
        <f t="shared" si="60"/>
        <v>4948.34586</v>
      </c>
      <c r="AC260" s="27">
        <f t="shared" si="61"/>
        <v>271.8871352</v>
      </c>
      <c r="AD260" s="114"/>
      <c r="AE260" s="161" t="s">
        <v>538</v>
      </c>
      <c r="AF260" s="164"/>
      <c r="AG260" s="165"/>
      <c r="AH260" s="165"/>
      <c r="AI260" s="165"/>
      <c r="AJ260" s="166"/>
      <c r="AK260" s="166"/>
      <c r="AL260" s="166"/>
      <c r="AM260" s="32"/>
      <c r="AN260" s="32"/>
      <c r="AO260" s="32"/>
      <c r="AP260" s="32"/>
      <c r="AQ260" s="33"/>
    </row>
    <row r="261" ht="15.75" customHeight="1">
      <c r="A261" s="163"/>
      <c r="B261" s="114" t="s">
        <v>230</v>
      </c>
      <c r="C261" s="72" t="s">
        <v>514</v>
      </c>
      <c r="D261" s="115" t="s">
        <v>110</v>
      </c>
      <c r="E261" s="115" t="s">
        <v>332</v>
      </c>
      <c r="F261" s="116">
        <v>2013.0</v>
      </c>
      <c r="G261" s="114"/>
      <c r="H261" s="116">
        <v>0.0</v>
      </c>
      <c r="I261" s="116">
        <v>20.8</v>
      </c>
      <c r="J261" s="117">
        <v>1.0</v>
      </c>
      <c r="K261" s="116">
        <v>20.8</v>
      </c>
      <c r="L261" s="114"/>
      <c r="M261" s="114"/>
      <c r="N261" s="116">
        <v>18.0</v>
      </c>
      <c r="O261" s="116">
        <v>117.0</v>
      </c>
      <c r="P261" s="114"/>
      <c r="Q261" s="140">
        <v>14350.0</v>
      </c>
      <c r="R261" s="114" t="s">
        <v>234</v>
      </c>
      <c r="S261" s="115">
        <v>2013.0</v>
      </c>
      <c r="T261" s="85">
        <v>0.273</v>
      </c>
      <c r="U261" s="118">
        <f t="shared" si="88"/>
        <v>3917.55</v>
      </c>
      <c r="V261" s="24">
        <f t="shared" si="59"/>
        <v>188.34375</v>
      </c>
      <c r="W261" s="3">
        <f t="shared" si="31"/>
        <v>0</v>
      </c>
      <c r="X261" s="3">
        <f t="shared" si="32"/>
        <v>0</v>
      </c>
      <c r="Y261" s="3">
        <f t="shared" si="33"/>
        <v>0</v>
      </c>
      <c r="Z261" s="25">
        <f t="shared" si="34"/>
        <v>0</v>
      </c>
      <c r="AA261" s="26">
        <f>VLOOKUP(S261,CPI!$A$2:$F$71,6,0)</f>
        <v>1.382720845</v>
      </c>
      <c r="AB261" s="27">
        <f t="shared" si="60"/>
        <v>5416.878048</v>
      </c>
      <c r="AC261" s="27">
        <f t="shared" si="61"/>
        <v>260.4268292</v>
      </c>
      <c r="AD261" s="114"/>
      <c r="AE261" s="119" t="s">
        <v>539</v>
      </c>
      <c r="AF261" s="164"/>
      <c r="AG261" s="165"/>
      <c r="AH261" s="165"/>
      <c r="AI261" s="165"/>
      <c r="AJ261" s="166"/>
      <c r="AK261" s="166"/>
      <c r="AL261" s="166"/>
      <c r="AM261" s="32"/>
      <c r="AN261" s="32"/>
      <c r="AO261" s="32"/>
      <c r="AP261" s="32"/>
      <c r="AQ261" s="33"/>
    </row>
    <row r="262" ht="15.75" customHeight="1">
      <c r="A262" s="163"/>
      <c r="B262" s="114" t="s">
        <v>230</v>
      </c>
      <c r="C262" s="114" t="s">
        <v>514</v>
      </c>
      <c r="D262" s="115" t="s">
        <v>54</v>
      </c>
      <c r="E262" s="115" t="s">
        <v>326</v>
      </c>
      <c r="F262" s="116">
        <v>2014.0</v>
      </c>
      <c r="G262" s="114"/>
      <c r="H262" s="116">
        <v>0.0</v>
      </c>
      <c r="I262" s="116">
        <v>11.281</v>
      </c>
      <c r="J262" s="117">
        <v>1.0</v>
      </c>
      <c r="K262" s="116">
        <v>11.281</v>
      </c>
      <c r="L262" s="114"/>
      <c r="M262" s="114"/>
      <c r="N262" s="116">
        <v>9.0</v>
      </c>
      <c r="O262" s="116">
        <v>117.0</v>
      </c>
      <c r="P262" s="114"/>
      <c r="Q262" s="140">
        <v>7900.0</v>
      </c>
      <c r="R262" s="114" t="s">
        <v>234</v>
      </c>
      <c r="S262" s="115">
        <v>2014.0</v>
      </c>
      <c r="T262" s="85">
        <v>0.266</v>
      </c>
      <c r="U262" s="118">
        <f t="shared" si="88"/>
        <v>2101.4</v>
      </c>
      <c r="V262" s="24">
        <f t="shared" si="59"/>
        <v>186.2778123</v>
      </c>
      <c r="W262" s="3">
        <f t="shared" si="31"/>
        <v>0</v>
      </c>
      <c r="X262" s="3">
        <f t="shared" si="32"/>
        <v>0</v>
      </c>
      <c r="Y262" s="3">
        <f t="shared" si="33"/>
        <v>0</v>
      </c>
      <c r="Z262" s="25">
        <f t="shared" si="34"/>
        <v>0</v>
      </c>
      <c r="AA262" s="26">
        <f>VLOOKUP(S262,CPI!$A$2:$F$71,6,0)</f>
        <v>1.360648571</v>
      </c>
      <c r="AB262" s="27">
        <f t="shared" si="60"/>
        <v>2859.266906</v>
      </c>
      <c r="AC262" s="27">
        <f t="shared" si="61"/>
        <v>253.458639</v>
      </c>
      <c r="AD262" s="114"/>
      <c r="AE262" s="119" t="s">
        <v>540</v>
      </c>
      <c r="AF262" s="167" t="s">
        <v>541</v>
      </c>
      <c r="AG262" s="168"/>
      <c r="AH262" s="168"/>
      <c r="AI262" s="169"/>
      <c r="AJ262" s="166"/>
      <c r="AK262" s="166"/>
      <c r="AL262" s="166"/>
      <c r="AM262" s="32"/>
      <c r="AN262" s="32"/>
      <c r="AO262" s="32"/>
      <c r="AP262" s="32"/>
      <c r="AQ262" s="33"/>
    </row>
    <row r="263" ht="15.75" customHeight="1">
      <c r="A263" s="163"/>
      <c r="B263" s="114" t="s">
        <v>230</v>
      </c>
      <c r="C263" s="72" t="s">
        <v>514</v>
      </c>
      <c r="D263" s="115" t="s">
        <v>54</v>
      </c>
      <c r="E263" s="115" t="s">
        <v>542</v>
      </c>
      <c r="F263" s="116">
        <v>2017.0</v>
      </c>
      <c r="G263" s="116"/>
      <c r="H263" s="116">
        <v>0.0</v>
      </c>
      <c r="I263" s="116">
        <v>30.5</v>
      </c>
      <c r="J263" s="117">
        <v>1.0</v>
      </c>
      <c r="K263" s="116">
        <v>30.5</v>
      </c>
      <c r="L263" s="114"/>
      <c r="M263" s="114"/>
      <c r="N263" s="116">
        <v>24.0</v>
      </c>
      <c r="O263" s="116">
        <v>117.0</v>
      </c>
      <c r="P263" s="114"/>
      <c r="Q263" s="140">
        <v>17783.0</v>
      </c>
      <c r="R263" s="114" t="s">
        <v>234</v>
      </c>
      <c r="S263" s="115">
        <v>2017.0</v>
      </c>
      <c r="T263" s="85">
        <v>0.239</v>
      </c>
      <c r="U263" s="118">
        <f t="shared" si="88"/>
        <v>4250.137</v>
      </c>
      <c r="V263" s="24">
        <f t="shared" si="59"/>
        <v>139.3487541</v>
      </c>
      <c r="W263" s="3">
        <f t="shared" si="31"/>
        <v>0</v>
      </c>
      <c r="X263" s="3">
        <f t="shared" si="32"/>
        <v>0</v>
      </c>
      <c r="Y263" s="3">
        <f t="shared" si="33"/>
        <v>0</v>
      </c>
      <c r="Z263" s="25">
        <f t="shared" si="34"/>
        <v>0</v>
      </c>
      <c r="AA263" s="26">
        <f>VLOOKUP(S263,CPI!$A$2:$F$71,6,0)</f>
        <v>1.314109416</v>
      </c>
      <c r="AB263" s="27">
        <f t="shared" si="60"/>
        <v>5585.14505</v>
      </c>
      <c r="AC263" s="27">
        <f t="shared" si="61"/>
        <v>183.1195098</v>
      </c>
      <c r="AD263" s="114"/>
      <c r="AE263" s="161" t="s">
        <v>543</v>
      </c>
      <c r="AF263" s="164"/>
      <c r="AG263" s="165"/>
      <c r="AH263" s="165"/>
      <c r="AI263" s="165"/>
      <c r="AJ263" s="166"/>
      <c r="AK263" s="166"/>
      <c r="AL263" s="166"/>
      <c r="AM263" s="30"/>
      <c r="AN263" s="30"/>
      <c r="AO263" s="30"/>
      <c r="AP263" s="30"/>
      <c r="AQ263" s="34"/>
    </row>
    <row r="264" ht="15.75" customHeight="1">
      <c r="A264" s="163"/>
      <c r="B264" s="114" t="s">
        <v>230</v>
      </c>
      <c r="C264" s="72" t="s">
        <v>514</v>
      </c>
      <c r="D264" s="115" t="s">
        <v>84</v>
      </c>
      <c r="E264" s="115" t="s">
        <v>544</v>
      </c>
      <c r="F264" s="116">
        <v>2020.0</v>
      </c>
      <c r="G264" s="114"/>
      <c r="H264" s="116">
        <v>0.0</v>
      </c>
      <c r="I264" s="116">
        <v>4.95</v>
      </c>
      <c r="J264" s="117">
        <v>1.0</v>
      </c>
      <c r="K264" s="116">
        <v>4.95</v>
      </c>
      <c r="L264" s="114"/>
      <c r="M264" s="114"/>
      <c r="N264" s="116">
        <v>2.0</v>
      </c>
      <c r="O264" s="116">
        <v>117.0</v>
      </c>
      <c r="P264" s="114"/>
      <c r="Q264" s="140">
        <v>3038.0</v>
      </c>
      <c r="R264" s="114" t="s">
        <v>234</v>
      </c>
      <c r="S264" s="115">
        <v>2020.0</v>
      </c>
      <c r="T264" s="136">
        <v>0.239</v>
      </c>
      <c r="U264" s="118">
        <f t="shared" si="88"/>
        <v>726.082</v>
      </c>
      <c r="V264" s="24">
        <f t="shared" si="59"/>
        <v>146.6832323</v>
      </c>
      <c r="W264" s="3">
        <f t="shared" si="31"/>
        <v>0</v>
      </c>
      <c r="X264" s="3">
        <f t="shared" si="32"/>
        <v>0</v>
      </c>
      <c r="Y264" s="3">
        <f t="shared" si="33"/>
        <v>0</v>
      </c>
      <c r="Z264" s="25">
        <f t="shared" si="34"/>
        <v>0</v>
      </c>
      <c r="AA264" s="26">
        <f>VLOOKUP(S264,CPI!$A$2:$F$71,6,0)</f>
        <v>1.244593545</v>
      </c>
      <c r="AB264" s="27">
        <f t="shared" si="60"/>
        <v>903.6769704</v>
      </c>
      <c r="AC264" s="27">
        <f t="shared" si="61"/>
        <v>182.5610041</v>
      </c>
      <c r="AD264" s="114"/>
      <c r="AE264" s="119" t="s">
        <v>545</v>
      </c>
      <c r="AF264" s="164"/>
      <c r="AG264" s="165"/>
      <c r="AH264" s="165"/>
      <c r="AI264" s="165"/>
      <c r="AJ264" s="166"/>
      <c r="AK264" s="166"/>
      <c r="AL264" s="166"/>
      <c r="AM264" s="30"/>
      <c r="AN264" s="30"/>
      <c r="AO264" s="30"/>
      <c r="AP264" s="30"/>
      <c r="AQ264" s="34"/>
    </row>
    <row r="265" ht="15.75" customHeight="1">
      <c r="A265" s="163"/>
      <c r="B265" s="114" t="s">
        <v>230</v>
      </c>
      <c r="C265" s="72" t="s">
        <v>514</v>
      </c>
      <c r="D265" s="115" t="s">
        <v>239</v>
      </c>
      <c r="E265" s="115" t="s">
        <v>360</v>
      </c>
      <c r="F265" s="116">
        <v>2022.0</v>
      </c>
      <c r="G265" s="114"/>
      <c r="H265" s="116">
        <v>0.0</v>
      </c>
      <c r="I265" s="116">
        <v>13.33</v>
      </c>
      <c r="J265" s="117">
        <v>1.0</v>
      </c>
      <c r="K265" s="116">
        <v>13.33</v>
      </c>
      <c r="L265" s="114"/>
      <c r="M265" s="114"/>
      <c r="N265" s="116">
        <v>10.0</v>
      </c>
      <c r="O265" s="116">
        <v>138.0</v>
      </c>
      <c r="P265" s="114"/>
      <c r="Q265" s="140">
        <v>10508.0</v>
      </c>
      <c r="R265" s="114" t="s">
        <v>234</v>
      </c>
      <c r="S265" s="115">
        <v>2021.0</v>
      </c>
      <c r="T265" s="136">
        <v>0.239000000000001</v>
      </c>
      <c r="U265" s="118">
        <f t="shared" si="88"/>
        <v>2511.412</v>
      </c>
      <c r="V265" s="24">
        <f t="shared" si="59"/>
        <v>188.4030008</v>
      </c>
      <c r="W265" s="3">
        <f t="shared" si="31"/>
        <v>0</v>
      </c>
      <c r="X265" s="3">
        <f t="shared" si="32"/>
        <v>0</v>
      </c>
      <c r="Y265" s="3">
        <f t="shared" si="33"/>
        <v>0</v>
      </c>
      <c r="Z265" s="25">
        <f t="shared" si="34"/>
        <v>0</v>
      </c>
      <c r="AA265" s="26">
        <f>VLOOKUP(S265,CPI!$A$2:$F$71,6,0)</f>
        <v>1.188745987</v>
      </c>
      <c r="AB265" s="27">
        <f t="shared" si="60"/>
        <v>2985.430936</v>
      </c>
      <c r="AC265" s="27">
        <f t="shared" si="61"/>
        <v>223.963311</v>
      </c>
      <c r="AD265" s="114"/>
      <c r="AE265" s="119" t="s">
        <v>546</v>
      </c>
      <c r="AF265" s="164"/>
      <c r="AG265" s="165"/>
      <c r="AH265" s="165"/>
      <c r="AI265" s="165"/>
      <c r="AJ265" s="166"/>
      <c r="AK265" s="166"/>
      <c r="AL265" s="166"/>
      <c r="AM265" s="30"/>
      <c r="AN265" s="30"/>
      <c r="AO265" s="30"/>
      <c r="AP265" s="30"/>
      <c r="AQ265" s="34"/>
    </row>
    <row r="266" ht="15.75" customHeight="1">
      <c r="A266" s="7"/>
      <c r="B266" s="114" t="s">
        <v>230</v>
      </c>
      <c r="C266" s="114" t="s">
        <v>547</v>
      </c>
      <c r="D266" s="171" t="s">
        <v>57</v>
      </c>
      <c r="E266" s="115" t="s">
        <v>232</v>
      </c>
      <c r="F266" s="116">
        <v>2005.0</v>
      </c>
      <c r="G266" s="114"/>
      <c r="H266" s="116">
        <v>0.0</v>
      </c>
      <c r="I266" s="116">
        <v>14.4</v>
      </c>
      <c r="J266" s="117">
        <v>1.0</v>
      </c>
      <c r="K266" s="116">
        <v>14.4</v>
      </c>
      <c r="L266" s="114"/>
      <c r="M266" s="114"/>
      <c r="N266" s="116">
        <v>16.0</v>
      </c>
      <c r="O266" s="116">
        <v>117.0</v>
      </c>
      <c r="P266" s="114"/>
      <c r="Q266" s="140">
        <v>5890.0</v>
      </c>
      <c r="R266" s="114" t="s">
        <v>234</v>
      </c>
      <c r="S266" s="115">
        <v>2005.0</v>
      </c>
      <c r="T266" s="85">
        <v>0.352</v>
      </c>
      <c r="U266" s="118">
        <f t="shared" si="88"/>
        <v>2073.28</v>
      </c>
      <c r="V266" s="24">
        <f t="shared" si="59"/>
        <v>143.9777778</v>
      </c>
      <c r="W266" s="3">
        <f t="shared" si="31"/>
        <v>0</v>
      </c>
      <c r="X266" s="3">
        <f t="shared" si="32"/>
        <v>0</v>
      </c>
      <c r="Y266" s="3">
        <f t="shared" si="33"/>
        <v>0</v>
      </c>
      <c r="Z266" s="25">
        <f t="shared" si="34"/>
        <v>0</v>
      </c>
      <c r="AA266" s="26">
        <f>VLOOKUP(S266,CPI!$A$2:$F$71,6,0)</f>
        <v>1.649331797</v>
      </c>
      <c r="AB266" s="27">
        <f t="shared" si="60"/>
        <v>3419.526629</v>
      </c>
      <c r="AC266" s="27">
        <f t="shared" si="61"/>
        <v>237.467127</v>
      </c>
      <c r="AD266" s="115" t="s">
        <v>60</v>
      </c>
      <c r="AE266" s="119" t="s">
        <v>548</v>
      </c>
      <c r="AF266" s="164"/>
      <c r="AG266" s="165"/>
      <c r="AH266" s="165"/>
      <c r="AI266" s="165"/>
      <c r="AJ266" s="166"/>
      <c r="AK266" s="166"/>
      <c r="AL266" s="166"/>
      <c r="AM266" s="32"/>
      <c r="AN266" s="32"/>
      <c r="AO266" s="32"/>
      <c r="AP266" s="32"/>
      <c r="AQ266" s="33"/>
    </row>
    <row r="267" ht="15.75" customHeight="1">
      <c r="A267" s="7"/>
      <c r="B267" s="114" t="s">
        <v>230</v>
      </c>
      <c r="C267" s="114" t="s">
        <v>547</v>
      </c>
      <c r="D267" s="171" t="s">
        <v>57</v>
      </c>
      <c r="E267" s="115" t="s">
        <v>549</v>
      </c>
      <c r="F267" s="116">
        <v>2016.0</v>
      </c>
      <c r="G267" s="114"/>
      <c r="H267" s="116">
        <v>0.0</v>
      </c>
      <c r="I267" s="116">
        <v>2.6</v>
      </c>
      <c r="J267" s="117">
        <v>1.0</v>
      </c>
      <c r="K267" s="116">
        <v>2.6</v>
      </c>
      <c r="L267" s="114"/>
      <c r="M267" s="114"/>
      <c r="N267" s="116">
        <v>2.0</v>
      </c>
      <c r="O267" s="116">
        <v>117.0</v>
      </c>
      <c r="P267" s="114"/>
      <c r="Q267" s="140">
        <v>1750.0</v>
      </c>
      <c r="R267" s="114" t="s">
        <v>234</v>
      </c>
      <c r="S267" s="115">
        <v>2016.0</v>
      </c>
      <c r="T267" s="85">
        <v>0.251</v>
      </c>
      <c r="U267" s="118">
        <f t="shared" si="88"/>
        <v>439.25</v>
      </c>
      <c r="V267" s="24">
        <f t="shared" si="59"/>
        <v>168.9423077</v>
      </c>
      <c r="W267" s="3">
        <f t="shared" si="31"/>
        <v>0</v>
      </c>
      <c r="X267" s="3">
        <f t="shared" si="32"/>
        <v>0</v>
      </c>
      <c r="Y267" s="3">
        <f t="shared" si="33"/>
        <v>0</v>
      </c>
      <c r="Z267" s="25">
        <f t="shared" si="34"/>
        <v>0</v>
      </c>
      <c r="AA267" s="26">
        <f>VLOOKUP(S267,CPI!$A$2:$F$71,6,0)</f>
        <v>1.342104605</v>
      </c>
      <c r="AB267" s="27">
        <f t="shared" si="60"/>
        <v>589.5194479</v>
      </c>
      <c r="AC267" s="27">
        <f t="shared" si="61"/>
        <v>226.7382492</v>
      </c>
      <c r="AD267" s="115" t="s">
        <v>60</v>
      </c>
      <c r="AE267" s="161" t="s">
        <v>550</v>
      </c>
      <c r="AF267" s="173"/>
      <c r="AG267" s="174"/>
      <c r="AH267" s="174"/>
      <c r="AI267" s="174"/>
      <c r="AJ267" s="175"/>
      <c r="AK267" s="175"/>
      <c r="AL267" s="175"/>
      <c r="AM267" s="32"/>
      <c r="AN267" s="32"/>
      <c r="AO267" s="32"/>
      <c r="AP267" s="32"/>
      <c r="AQ267" s="33"/>
    </row>
    <row r="268" ht="15.75" customHeight="1">
      <c r="A268" s="7"/>
      <c r="B268" s="114" t="s">
        <v>230</v>
      </c>
      <c r="C268" s="114" t="s">
        <v>547</v>
      </c>
      <c r="D268" s="115" t="s">
        <v>54</v>
      </c>
      <c r="E268" s="115" t="s">
        <v>551</v>
      </c>
      <c r="F268" s="116">
        <v>2016.0</v>
      </c>
      <c r="G268" s="114"/>
      <c r="H268" s="116">
        <v>0.0</v>
      </c>
      <c r="I268" s="116">
        <v>14.1</v>
      </c>
      <c r="J268" s="117">
        <v>1.0</v>
      </c>
      <c r="K268" s="116">
        <v>14.1</v>
      </c>
      <c r="L268" s="114"/>
      <c r="M268" s="114"/>
      <c r="N268" s="116">
        <v>11.0</v>
      </c>
      <c r="O268" s="116">
        <v>117.0</v>
      </c>
      <c r="P268" s="114"/>
      <c r="Q268" s="140">
        <v>8750.0</v>
      </c>
      <c r="R268" s="114" t="s">
        <v>234</v>
      </c>
      <c r="S268" s="115">
        <v>2016.0</v>
      </c>
      <c r="T268" s="85">
        <v>0.251</v>
      </c>
      <c r="U268" s="118">
        <f t="shared" si="88"/>
        <v>2196.25</v>
      </c>
      <c r="V268" s="24">
        <f t="shared" si="59"/>
        <v>155.7624113</v>
      </c>
      <c r="W268" s="3">
        <f t="shared" si="31"/>
        <v>0</v>
      </c>
      <c r="X268" s="3">
        <f t="shared" si="32"/>
        <v>0</v>
      </c>
      <c r="Y268" s="3">
        <f t="shared" si="33"/>
        <v>0</v>
      </c>
      <c r="Z268" s="25">
        <f t="shared" si="34"/>
        <v>0</v>
      </c>
      <c r="AA268" s="26">
        <f>VLOOKUP(S268,CPI!$A$2:$F$71,6,0)</f>
        <v>1.342104605</v>
      </c>
      <c r="AB268" s="27">
        <f t="shared" si="60"/>
        <v>2947.597239</v>
      </c>
      <c r="AC268" s="27">
        <f t="shared" si="61"/>
        <v>209.0494496</v>
      </c>
      <c r="AD268" s="115" t="s">
        <v>60</v>
      </c>
      <c r="AE268" s="161" t="s">
        <v>550</v>
      </c>
      <c r="AF268" s="173"/>
      <c r="AG268" s="174"/>
      <c r="AH268" s="174"/>
      <c r="AI268" s="174"/>
      <c r="AJ268" s="175"/>
      <c r="AK268" s="175"/>
      <c r="AL268" s="175"/>
      <c r="AM268" s="32"/>
      <c r="AN268" s="32"/>
      <c r="AO268" s="32"/>
      <c r="AP268" s="32"/>
      <c r="AQ268" s="33"/>
    </row>
    <row r="269" ht="15.75" customHeight="1">
      <c r="A269" s="7"/>
      <c r="B269" s="114" t="s">
        <v>230</v>
      </c>
      <c r="C269" s="114" t="s">
        <v>547</v>
      </c>
      <c r="D269" s="16" t="s">
        <v>110</v>
      </c>
      <c r="E269" s="115" t="s">
        <v>332</v>
      </c>
      <c r="F269" s="116">
        <v>2016.0</v>
      </c>
      <c r="G269" s="114"/>
      <c r="H269" s="116">
        <v>0.0</v>
      </c>
      <c r="I269" s="116">
        <v>32.2</v>
      </c>
      <c r="J269" s="117">
        <v>1.0</v>
      </c>
      <c r="K269" s="116">
        <v>32.2</v>
      </c>
      <c r="L269" s="114"/>
      <c r="M269" s="114"/>
      <c r="N269" s="116">
        <v>27.0</v>
      </c>
      <c r="O269" s="116"/>
      <c r="P269" s="114"/>
      <c r="Q269" s="140">
        <v>23760.0</v>
      </c>
      <c r="R269" s="114" t="s">
        <v>234</v>
      </c>
      <c r="S269" s="115">
        <v>2016.0</v>
      </c>
      <c r="T269" s="85">
        <v>0.251</v>
      </c>
      <c r="U269" s="118">
        <f t="shared" si="88"/>
        <v>5963.76</v>
      </c>
      <c r="V269" s="24">
        <f t="shared" si="59"/>
        <v>185.2099379</v>
      </c>
      <c r="W269" s="3">
        <f t="shared" si="31"/>
        <v>0</v>
      </c>
      <c r="X269" s="3">
        <f t="shared" si="32"/>
        <v>0</v>
      </c>
      <c r="Y269" s="3">
        <f t="shared" si="33"/>
        <v>0</v>
      </c>
      <c r="Z269" s="25">
        <f t="shared" si="34"/>
        <v>0</v>
      </c>
      <c r="AA269" s="26">
        <f>VLOOKUP(S269,CPI!$A$2:$F$71,6,0)</f>
        <v>1.342104605</v>
      </c>
      <c r="AB269" s="27">
        <f t="shared" si="60"/>
        <v>8003.989761</v>
      </c>
      <c r="AC269" s="27">
        <f t="shared" si="61"/>
        <v>248.5711106</v>
      </c>
      <c r="AD269" s="115" t="s">
        <v>60</v>
      </c>
      <c r="AE269" s="161" t="s">
        <v>550</v>
      </c>
      <c r="AF269" s="164"/>
      <c r="AG269" s="165"/>
      <c r="AH269" s="165"/>
      <c r="AI269" s="165"/>
      <c r="AJ269" s="166"/>
      <c r="AK269" s="166"/>
      <c r="AL269" s="166"/>
      <c r="AM269" s="32"/>
      <c r="AN269" s="32"/>
      <c r="AO269" s="32"/>
      <c r="AP269" s="32"/>
      <c r="AQ269" s="33"/>
    </row>
    <row r="270" ht="15.75" customHeight="1">
      <c r="A270" s="7"/>
      <c r="B270" s="114" t="s">
        <v>230</v>
      </c>
      <c r="C270" s="114" t="s">
        <v>547</v>
      </c>
      <c r="D270" s="16" t="s">
        <v>84</v>
      </c>
      <c r="E270" s="115" t="s">
        <v>319</v>
      </c>
      <c r="F270" s="116">
        <v>2016.0</v>
      </c>
      <c r="G270" s="114"/>
      <c r="H270" s="116">
        <v>0.0</v>
      </c>
      <c r="I270" s="116">
        <v>36.1</v>
      </c>
      <c r="J270" s="117">
        <v>1.0</v>
      </c>
      <c r="K270" s="116">
        <v>36.1</v>
      </c>
      <c r="L270" s="114"/>
      <c r="M270" s="114"/>
      <c r="N270" s="116">
        <v>25.0</v>
      </c>
      <c r="O270" s="116"/>
      <c r="P270" s="114"/>
      <c r="Q270" s="140">
        <v>22230.0</v>
      </c>
      <c r="R270" s="114" t="s">
        <v>234</v>
      </c>
      <c r="S270" s="115">
        <v>2016.0</v>
      </c>
      <c r="T270" s="85">
        <v>0.251</v>
      </c>
      <c r="U270" s="118">
        <f t="shared" si="88"/>
        <v>5579.73</v>
      </c>
      <c r="V270" s="24">
        <f t="shared" si="59"/>
        <v>154.5631579</v>
      </c>
      <c r="W270" s="3">
        <f t="shared" si="31"/>
        <v>0</v>
      </c>
      <c r="X270" s="3">
        <f t="shared" si="32"/>
        <v>0</v>
      </c>
      <c r="Y270" s="3">
        <f t="shared" si="33"/>
        <v>0</v>
      </c>
      <c r="Z270" s="25">
        <f t="shared" si="34"/>
        <v>0</v>
      </c>
      <c r="AA270" s="26">
        <f>VLOOKUP(S270,CPI!$A$2:$F$71,6,0)</f>
        <v>1.342104605</v>
      </c>
      <c r="AB270" s="27">
        <f t="shared" si="60"/>
        <v>7488.581329</v>
      </c>
      <c r="AC270" s="27">
        <f t="shared" si="61"/>
        <v>207.439926</v>
      </c>
      <c r="AD270" s="115" t="s">
        <v>60</v>
      </c>
      <c r="AE270" s="161" t="s">
        <v>550</v>
      </c>
      <c r="AF270" s="164"/>
      <c r="AG270" s="165"/>
      <c r="AH270" s="165"/>
      <c r="AI270" s="165"/>
      <c r="AJ270" s="166"/>
      <c r="AK270" s="166"/>
      <c r="AL270" s="166"/>
      <c r="AM270" s="32"/>
      <c r="AN270" s="32"/>
      <c r="AO270" s="32"/>
      <c r="AP270" s="32"/>
      <c r="AQ270" s="33"/>
    </row>
    <row r="271" ht="15.75" customHeight="1">
      <c r="A271" s="7"/>
      <c r="B271" s="114" t="s">
        <v>230</v>
      </c>
      <c r="C271" s="114" t="s">
        <v>547</v>
      </c>
      <c r="D271" s="171" t="s">
        <v>54</v>
      </c>
      <c r="E271" s="115" t="s">
        <v>348</v>
      </c>
      <c r="F271" s="116">
        <v>2021.0</v>
      </c>
      <c r="G271" s="114"/>
      <c r="H271" s="116">
        <v>0.0</v>
      </c>
      <c r="I271" s="116">
        <v>28.7</v>
      </c>
      <c r="J271" s="117">
        <v>1.0</v>
      </c>
      <c r="K271" s="116">
        <v>28.7</v>
      </c>
      <c r="L271" s="114"/>
      <c r="M271" s="114"/>
      <c r="N271" s="116">
        <v>19.0</v>
      </c>
      <c r="O271" s="116">
        <v>117.0</v>
      </c>
      <c r="P271" s="114"/>
      <c r="Q271" s="73">
        <v>20488.0</v>
      </c>
      <c r="R271" s="114" t="s">
        <v>234</v>
      </c>
      <c r="S271" s="115">
        <v>2021.0</v>
      </c>
      <c r="T271" s="136">
        <v>0.239</v>
      </c>
      <c r="U271" s="118">
        <f t="shared" si="88"/>
        <v>4896.632</v>
      </c>
      <c r="V271" s="24">
        <f t="shared" si="59"/>
        <v>170.6143554</v>
      </c>
      <c r="W271" s="3">
        <f t="shared" si="31"/>
        <v>0</v>
      </c>
      <c r="X271" s="3">
        <f t="shared" si="32"/>
        <v>0</v>
      </c>
      <c r="Y271" s="3">
        <f t="shared" si="33"/>
        <v>0</v>
      </c>
      <c r="Z271" s="25">
        <f t="shared" si="34"/>
        <v>0</v>
      </c>
      <c r="AA271" s="26">
        <f>VLOOKUP(S271,CPI!$A$2:$F$71,6,0)</f>
        <v>1.188745987</v>
      </c>
      <c r="AB271" s="27">
        <f t="shared" si="60"/>
        <v>5820.851638</v>
      </c>
      <c r="AC271" s="27">
        <f t="shared" si="61"/>
        <v>202.8171302</v>
      </c>
      <c r="AD271" s="72" t="s">
        <v>36</v>
      </c>
      <c r="AE271" s="119" t="s">
        <v>552</v>
      </c>
      <c r="AF271" s="164" t="s">
        <v>553</v>
      </c>
      <c r="AG271" s="165"/>
      <c r="AH271" s="165"/>
      <c r="AI271" s="165"/>
      <c r="AJ271" s="165"/>
      <c r="AK271" s="165"/>
      <c r="AL271" s="165"/>
      <c r="AM271" s="32"/>
      <c r="AN271" s="32"/>
      <c r="AO271" s="32"/>
      <c r="AP271" s="32"/>
      <c r="AQ271" s="33"/>
    </row>
    <row r="272" ht="15.75" customHeight="1">
      <c r="A272" s="7"/>
      <c r="B272" s="114" t="s">
        <v>230</v>
      </c>
      <c r="C272" s="114" t="s">
        <v>547</v>
      </c>
      <c r="D272" s="16" t="s">
        <v>87</v>
      </c>
      <c r="E272" s="115" t="s">
        <v>357</v>
      </c>
      <c r="F272" s="116">
        <v>2021.0</v>
      </c>
      <c r="G272" s="114"/>
      <c r="H272" s="116">
        <v>0.0</v>
      </c>
      <c r="I272" s="116">
        <v>32.18</v>
      </c>
      <c r="J272" s="117">
        <v>1.0</v>
      </c>
      <c r="K272" s="116">
        <v>32.2</v>
      </c>
      <c r="L272" s="114"/>
      <c r="M272" s="114"/>
      <c r="N272" s="116">
        <v>31.0</v>
      </c>
      <c r="O272" s="116">
        <v>117.0</v>
      </c>
      <c r="P272" s="114"/>
      <c r="Q272" s="73">
        <v>26700.0</v>
      </c>
      <c r="R272" s="114" t="s">
        <v>234</v>
      </c>
      <c r="S272" s="115">
        <v>2021.0</v>
      </c>
      <c r="T272" s="136">
        <v>0.239</v>
      </c>
      <c r="U272" s="118">
        <f t="shared" si="88"/>
        <v>6381.3</v>
      </c>
      <c r="V272" s="24">
        <f t="shared" si="59"/>
        <v>198.3001865</v>
      </c>
      <c r="W272" s="3">
        <f t="shared" si="31"/>
        <v>0</v>
      </c>
      <c r="X272" s="3">
        <f t="shared" si="32"/>
        <v>0</v>
      </c>
      <c r="Y272" s="3">
        <f t="shared" si="33"/>
        <v>0</v>
      </c>
      <c r="Z272" s="25">
        <f t="shared" si="34"/>
        <v>0</v>
      </c>
      <c r="AA272" s="26">
        <f>VLOOKUP(S272,CPI!$A$2:$F$71,6,0)</f>
        <v>1.188745987</v>
      </c>
      <c r="AB272" s="27">
        <f t="shared" si="60"/>
        <v>7585.744765</v>
      </c>
      <c r="AC272" s="27">
        <f t="shared" si="61"/>
        <v>235.7285508</v>
      </c>
      <c r="AD272" s="72" t="s">
        <v>36</v>
      </c>
      <c r="AE272" s="119" t="s">
        <v>554</v>
      </c>
      <c r="AF272" s="164"/>
      <c r="AG272" s="165"/>
      <c r="AH272" s="165"/>
      <c r="AI272" s="165"/>
      <c r="AJ272" s="165"/>
      <c r="AK272" s="165"/>
      <c r="AL272" s="165"/>
      <c r="AM272" s="32"/>
      <c r="AN272" s="32"/>
      <c r="AO272" s="32"/>
      <c r="AP272" s="32"/>
      <c r="AQ272" s="33"/>
    </row>
    <row r="273" ht="15.75" customHeight="1">
      <c r="A273" s="170">
        <v>7978.0</v>
      </c>
      <c r="B273" s="123" t="s">
        <v>230</v>
      </c>
      <c r="C273" s="123" t="s">
        <v>555</v>
      </c>
      <c r="D273" s="36" t="s">
        <v>57</v>
      </c>
      <c r="E273" s="123" t="s">
        <v>556</v>
      </c>
      <c r="F273" s="75">
        <v>2012.0</v>
      </c>
      <c r="G273" s="142">
        <v>2016.0</v>
      </c>
      <c r="H273" s="75">
        <v>0.0</v>
      </c>
      <c r="I273" s="75">
        <v>24.58</v>
      </c>
      <c r="J273" s="124">
        <v>1.0</v>
      </c>
      <c r="K273" s="75">
        <v>24.58</v>
      </c>
      <c r="L273" s="125">
        <v>0.0</v>
      </c>
      <c r="M273" s="125">
        <v>0.0</v>
      </c>
      <c r="N273" s="75">
        <v>26.0</v>
      </c>
      <c r="O273" s="152">
        <v>117.0</v>
      </c>
      <c r="P273" s="123" t="s">
        <v>59</v>
      </c>
      <c r="Q273" s="126">
        <v>16496.0</v>
      </c>
      <c r="R273" s="123" t="s">
        <v>234</v>
      </c>
      <c r="S273" s="75">
        <v>2012.0</v>
      </c>
      <c r="T273" s="136">
        <v>0.2808</v>
      </c>
      <c r="U273" s="128">
        <f t="shared" si="88"/>
        <v>4632.0768</v>
      </c>
      <c r="V273" s="24">
        <f t="shared" si="59"/>
        <v>188.4490155</v>
      </c>
      <c r="W273" s="3">
        <f t="shared" si="31"/>
        <v>0</v>
      </c>
      <c r="X273" s="3">
        <f t="shared" si="32"/>
        <v>0</v>
      </c>
      <c r="Y273" s="3">
        <f t="shared" si="33"/>
        <v>0</v>
      </c>
      <c r="Z273" s="25">
        <f t="shared" si="34"/>
        <v>0</v>
      </c>
      <c r="AA273" s="26">
        <f>VLOOKUP(S273,CPI!$A$2:$F$71,6,0)</f>
        <v>1.402974381</v>
      </c>
      <c r="AB273" s="27">
        <f t="shared" si="60"/>
        <v>6498.685081</v>
      </c>
      <c r="AC273" s="27">
        <f t="shared" si="61"/>
        <v>264.3891408</v>
      </c>
      <c r="AD273" s="123" t="s">
        <v>42</v>
      </c>
      <c r="AE273" s="129" t="s">
        <v>557</v>
      </c>
      <c r="AF273" s="29"/>
      <c r="AG273" s="30"/>
      <c r="AH273" s="30"/>
      <c r="AI273" s="30"/>
      <c r="AJ273" s="31"/>
      <c r="AK273" s="31"/>
      <c r="AL273" s="31"/>
      <c r="AM273" s="32"/>
      <c r="AN273" s="32"/>
      <c r="AO273" s="32"/>
      <c r="AP273" s="32"/>
      <c r="AQ273" s="33"/>
    </row>
    <row r="274" ht="15.75" customHeight="1">
      <c r="A274" s="170">
        <v>7946.0</v>
      </c>
      <c r="B274" s="72" t="s">
        <v>230</v>
      </c>
      <c r="C274" s="72" t="s">
        <v>555</v>
      </c>
      <c r="D274" s="115" t="s">
        <v>87</v>
      </c>
      <c r="E274" s="115" t="s">
        <v>331</v>
      </c>
      <c r="F274" s="69">
        <v>2014.0</v>
      </c>
      <c r="G274" s="69">
        <v>2019.0</v>
      </c>
      <c r="H274" s="69">
        <v>0.0</v>
      </c>
      <c r="I274" s="69">
        <v>37.2</v>
      </c>
      <c r="J274" s="117">
        <v>0.89</v>
      </c>
      <c r="K274" s="69">
        <v>32.97</v>
      </c>
      <c r="L274" s="72"/>
      <c r="M274" s="72"/>
      <c r="N274" s="69">
        <v>33.0</v>
      </c>
      <c r="O274" s="69">
        <v>117.0</v>
      </c>
      <c r="P274" s="72"/>
      <c r="Q274" s="140">
        <v>26102.0</v>
      </c>
      <c r="R274" s="72" t="s">
        <v>234</v>
      </c>
      <c r="S274" s="115">
        <v>2017.0</v>
      </c>
      <c r="T274" s="136">
        <v>0.239</v>
      </c>
      <c r="U274" s="118">
        <f t="shared" si="88"/>
        <v>6238.378</v>
      </c>
      <c r="V274" s="24">
        <f t="shared" si="59"/>
        <v>167.6983333</v>
      </c>
      <c r="W274" s="3">
        <f t="shared" si="31"/>
        <v>0</v>
      </c>
      <c r="X274" s="3">
        <f t="shared" si="32"/>
        <v>0</v>
      </c>
      <c r="Y274" s="3">
        <f t="shared" si="33"/>
        <v>0</v>
      </c>
      <c r="Z274" s="25">
        <f t="shared" si="34"/>
        <v>0</v>
      </c>
      <c r="AA274" s="26">
        <f>VLOOKUP(S274,CPI!$A$2:$F$71,6,0)</f>
        <v>1.314109416</v>
      </c>
      <c r="AB274" s="27">
        <f t="shared" si="60"/>
        <v>8197.911269</v>
      </c>
      <c r="AC274" s="27">
        <f t="shared" si="61"/>
        <v>220.3739588</v>
      </c>
      <c r="AD274" s="72" t="s">
        <v>36</v>
      </c>
      <c r="AE274" s="79" t="s">
        <v>558</v>
      </c>
      <c r="AF274" s="186"/>
      <c r="AG274" s="187"/>
      <c r="AH274" s="187"/>
      <c r="AI274" s="187"/>
      <c r="AJ274" s="81"/>
      <c r="AK274" s="81"/>
      <c r="AL274" s="81"/>
      <c r="AM274" s="32"/>
      <c r="AN274" s="32"/>
      <c r="AO274" s="32"/>
      <c r="AP274" s="32"/>
      <c r="AQ274" s="33"/>
    </row>
    <row r="275" ht="15.75" customHeight="1">
      <c r="A275" s="170">
        <v>7971.0</v>
      </c>
      <c r="B275" s="123" t="s">
        <v>230</v>
      </c>
      <c r="C275" s="123" t="s">
        <v>555</v>
      </c>
      <c r="D275" s="36" t="s">
        <v>110</v>
      </c>
      <c r="E275" s="123" t="s">
        <v>332</v>
      </c>
      <c r="F275" s="75">
        <v>2015.0</v>
      </c>
      <c r="G275" s="75">
        <v>2020.0</v>
      </c>
      <c r="H275" s="75">
        <v>0.0</v>
      </c>
      <c r="I275" s="75">
        <v>36.0</v>
      </c>
      <c r="J275" s="124">
        <v>1.0</v>
      </c>
      <c r="K275" s="75">
        <v>36.0</v>
      </c>
      <c r="L275" s="125">
        <v>0.0</v>
      </c>
      <c r="M275" s="125">
        <v>0.0</v>
      </c>
      <c r="N275" s="75">
        <v>28.0</v>
      </c>
      <c r="O275" s="152">
        <v>117.0</v>
      </c>
      <c r="P275" s="123" t="s">
        <v>60</v>
      </c>
      <c r="Q275" s="126">
        <v>24289.0</v>
      </c>
      <c r="R275" s="123" t="s">
        <v>234</v>
      </c>
      <c r="S275" s="75">
        <v>2014.0</v>
      </c>
      <c r="T275" s="136">
        <v>0.266</v>
      </c>
      <c r="U275" s="128">
        <f t="shared" si="88"/>
        <v>6460.874</v>
      </c>
      <c r="V275" s="24">
        <f t="shared" si="59"/>
        <v>179.4687222</v>
      </c>
      <c r="W275" s="3">
        <f t="shared" si="31"/>
        <v>0</v>
      </c>
      <c r="X275" s="3">
        <f t="shared" si="32"/>
        <v>0</v>
      </c>
      <c r="Y275" s="3">
        <f t="shared" si="33"/>
        <v>0</v>
      </c>
      <c r="Z275" s="25">
        <f t="shared" si="34"/>
        <v>0</v>
      </c>
      <c r="AA275" s="26">
        <f>VLOOKUP(S275,CPI!$A$2:$F$71,6,0)</f>
        <v>1.360648571</v>
      </c>
      <c r="AB275" s="27">
        <f t="shared" si="60"/>
        <v>8790.978973</v>
      </c>
      <c r="AC275" s="27">
        <f t="shared" si="61"/>
        <v>244.1938604</v>
      </c>
      <c r="AD275" s="123" t="s">
        <v>60</v>
      </c>
      <c r="AE275" s="129" t="s">
        <v>559</v>
      </c>
      <c r="AF275" s="29"/>
      <c r="AG275" s="30"/>
      <c r="AH275" s="30"/>
      <c r="AI275" s="30"/>
      <c r="AJ275" s="31"/>
      <c r="AK275" s="31"/>
      <c r="AL275" s="31"/>
      <c r="AM275" s="32"/>
      <c r="AN275" s="32"/>
      <c r="AO275" s="32"/>
      <c r="AP275" s="32"/>
      <c r="AQ275" s="33"/>
    </row>
    <row r="276" ht="15.75" customHeight="1">
      <c r="A276" s="170">
        <v>7739.0</v>
      </c>
      <c r="B276" s="72" t="s">
        <v>230</v>
      </c>
      <c r="C276" s="72" t="s">
        <v>555</v>
      </c>
      <c r="D276" s="36" t="s">
        <v>54</v>
      </c>
      <c r="E276" s="72" t="s">
        <v>315</v>
      </c>
      <c r="F276" s="70">
        <v>2020.0</v>
      </c>
      <c r="G276" s="69">
        <v>2024.0</v>
      </c>
      <c r="H276" s="69">
        <v>0.0</v>
      </c>
      <c r="I276" s="69">
        <v>14.5</v>
      </c>
      <c r="J276" s="117">
        <v>1.0</v>
      </c>
      <c r="K276" s="69">
        <v>14.5</v>
      </c>
      <c r="L276" s="72"/>
      <c r="M276" s="72"/>
      <c r="N276" s="69">
        <v>11.0</v>
      </c>
      <c r="O276" s="69">
        <v>117.0</v>
      </c>
      <c r="P276" s="72"/>
      <c r="Q276" s="140">
        <v>9702.0</v>
      </c>
      <c r="R276" s="72" t="s">
        <v>234</v>
      </c>
      <c r="S276" s="75">
        <v>2020.0</v>
      </c>
      <c r="T276" s="136">
        <v>0.239</v>
      </c>
      <c r="U276" s="128">
        <f t="shared" si="88"/>
        <v>2318.778</v>
      </c>
      <c r="V276" s="24">
        <f t="shared" si="59"/>
        <v>159.9157241</v>
      </c>
      <c r="W276" s="3">
        <f t="shared" si="31"/>
        <v>0</v>
      </c>
      <c r="X276" s="3">
        <f t="shared" si="32"/>
        <v>0</v>
      </c>
      <c r="Y276" s="3">
        <f t="shared" si="33"/>
        <v>0</v>
      </c>
      <c r="Z276" s="25">
        <f t="shared" si="34"/>
        <v>0</v>
      </c>
      <c r="AA276" s="26">
        <f>VLOOKUP(S276,CPI!$A$2:$F$71,6,0)</f>
        <v>1.244593545</v>
      </c>
      <c r="AB276" s="27">
        <f t="shared" si="60"/>
        <v>2885.936131</v>
      </c>
      <c r="AC276" s="27">
        <f t="shared" si="61"/>
        <v>199.030078</v>
      </c>
      <c r="AD276" s="115" t="s">
        <v>36</v>
      </c>
      <c r="AE276" s="79" t="s">
        <v>560</v>
      </c>
      <c r="AF276" s="186"/>
      <c r="AG276" s="187"/>
      <c r="AH276" s="187"/>
      <c r="AI276" s="187"/>
      <c r="AJ276" s="81"/>
      <c r="AK276" s="81"/>
      <c r="AL276" s="81"/>
      <c r="AM276" s="32"/>
      <c r="AN276" s="32"/>
      <c r="AO276" s="32"/>
      <c r="AP276" s="32"/>
      <c r="AQ276" s="33"/>
    </row>
    <row r="277" ht="15.75" customHeight="1">
      <c r="A277" s="170">
        <v>7744.0</v>
      </c>
      <c r="B277" s="72" t="s">
        <v>230</v>
      </c>
      <c r="C277" s="72" t="s">
        <v>555</v>
      </c>
      <c r="D277" s="36" t="s">
        <v>87</v>
      </c>
      <c r="E277" s="72" t="s">
        <v>321</v>
      </c>
      <c r="F277" s="70">
        <v>2020.0</v>
      </c>
      <c r="G277" s="69">
        <v>2024.0</v>
      </c>
      <c r="H277" s="69">
        <v>0.0</v>
      </c>
      <c r="I277" s="69">
        <v>11.25</v>
      </c>
      <c r="J277" s="117">
        <v>1.0</v>
      </c>
      <c r="K277" s="69">
        <v>11.25</v>
      </c>
      <c r="L277" s="72"/>
      <c r="M277" s="72"/>
      <c r="N277" s="69">
        <v>8.0</v>
      </c>
      <c r="O277" s="69">
        <v>117.0</v>
      </c>
      <c r="P277" s="72"/>
      <c r="Q277" s="140">
        <v>9103.0</v>
      </c>
      <c r="R277" s="72" t="s">
        <v>234</v>
      </c>
      <c r="S277" s="75">
        <v>2020.0</v>
      </c>
      <c r="T277" s="136">
        <v>0.239</v>
      </c>
      <c r="U277" s="128">
        <f t="shared" si="88"/>
        <v>2175.617</v>
      </c>
      <c r="V277" s="24">
        <f t="shared" si="59"/>
        <v>193.3881778</v>
      </c>
      <c r="W277" s="3">
        <f t="shared" si="31"/>
        <v>0</v>
      </c>
      <c r="X277" s="3">
        <f t="shared" si="32"/>
        <v>0</v>
      </c>
      <c r="Y277" s="3">
        <f t="shared" si="33"/>
        <v>0</v>
      </c>
      <c r="Z277" s="25">
        <f t="shared" si="34"/>
        <v>0</v>
      </c>
      <c r="AA277" s="26">
        <f>VLOOKUP(S277,CPI!$A$2:$F$71,6,0)</f>
        <v>1.244593545</v>
      </c>
      <c r="AB277" s="27">
        <f t="shared" si="60"/>
        <v>2707.758875</v>
      </c>
      <c r="AC277" s="27">
        <f t="shared" si="61"/>
        <v>240.6896778</v>
      </c>
      <c r="AD277" s="115" t="s">
        <v>36</v>
      </c>
      <c r="AE277" s="79" t="s">
        <v>561</v>
      </c>
      <c r="AF277" s="186"/>
      <c r="AG277" s="187"/>
      <c r="AH277" s="187"/>
      <c r="AI277" s="187"/>
      <c r="AJ277" s="81"/>
      <c r="AK277" s="81"/>
      <c r="AL277" s="81"/>
      <c r="AM277" s="32"/>
      <c r="AN277" s="32"/>
      <c r="AO277" s="32"/>
      <c r="AP277" s="32"/>
      <c r="AQ277" s="33"/>
    </row>
    <row r="278" ht="15.75" customHeight="1">
      <c r="A278" s="163"/>
      <c r="B278" s="114" t="s">
        <v>230</v>
      </c>
      <c r="C278" s="114" t="s">
        <v>555</v>
      </c>
      <c r="D278" s="114" t="s">
        <v>562</v>
      </c>
      <c r="E278" s="114" t="s">
        <v>562</v>
      </c>
      <c r="F278" s="116">
        <v>2018.0</v>
      </c>
      <c r="G278" s="114"/>
      <c r="H278" s="116">
        <v>0.0</v>
      </c>
      <c r="I278" s="116">
        <v>63.1</v>
      </c>
      <c r="J278" s="117">
        <v>0.19</v>
      </c>
      <c r="K278" s="116">
        <v>11.94</v>
      </c>
      <c r="L278" s="114"/>
      <c r="M278" s="114"/>
      <c r="N278" s="116">
        <v>19.0</v>
      </c>
      <c r="O278" s="116">
        <v>117.0</v>
      </c>
      <c r="P278" s="114"/>
      <c r="Q278" s="140">
        <v>22190.0</v>
      </c>
      <c r="R278" s="114" t="s">
        <v>234</v>
      </c>
      <c r="S278" s="75">
        <v>2020.0</v>
      </c>
      <c r="T278" s="136">
        <v>0.239</v>
      </c>
      <c r="U278" s="128">
        <f t="shared" si="88"/>
        <v>5303.41</v>
      </c>
      <c r="V278" s="24">
        <f t="shared" si="59"/>
        <v>84.04770206</v>
      </c>
      <c r="W278" s="3">
        <f t="shared" si="31"/>
        <v>0</v>
      </c>
      <c r="X278" s="3">
        <f t="shared" si="32"/>
        <v>0</v>
      </c>
      <c r="Y278" s="3">
        <f t="shared" si="33"/>
        <v>0</v>
      </c>
      <c r="Z278" s="25">
        <f t="shared" si="34"/>
        <v>0</v>
      </c>
      <c r="AA278" s="26">
        <f>VLOOKUP(S278,CPI!$A$2:$F$71,6,0)</f>
        <v>1.244593545</v>
      </c>
      <c r="AB278" s="27">
        <f t="shared" si="60"/>
        <v>6600.589853</v>
      </c>
      <c r="AC278" s="27">
        <f t="shared" si="61"/>
        <v>104.6052275</v>
      </c>
      <c r="AD278" s="115" t="s">
        <v>36</v>
      </c>
      <c r="AE278" s="119" t="s">
        <v>563</v>
      </c>
      <c r="AF278" s="164"/>
      <c r="AG278" s="165"/>
      <c r="AH278" s="165"/>
      <c r="AI278" s="165"/>
      <c r="AJ278" s="166"/>
      <c r="AK278" s="166"/>
      <c r="AL278" s="166"/>
      <c r="AM278" s="32"/>
      <c r="AN278" s="32"/>
      <c r="AO278" s="32"/>
      <c r="AP278" s="32"/>
      <c r="AQ278" s="33"/>
    </row>
    <row r="279" ht="15.75" customHeight="1">
      <c r="A279" s="163"/>
      <c r="B279" s="114" t="s">
        <v>230</v>
      </c>
      <c r="C279" s="114" t="s">
        <v>555</v>
      </c>
      <c r="D279" s="115" t="s">
        <v>57</v>
      </c>
      <c r="E279" s="114" t="s">
        <v>564</v>
      </c>
      <c r="F279" s="116">
        <v>2019.0</v>
      </c>
      <c r="G279" s="114"/>
      <c r="H279" s="116">
        <v>0.0</v>
      </c>
      <c r="I279" s="116">
        <v>4.54</v>
      </c>
      <c r="J279" s="117">
        <v>1.0</v>
      </c>
      <c r="K279" s="116">
        <v>4.54</v>
      </c>
      <c r="L279" s="114"/>
      <c r="M279" s="114"/>
      <c r="N279" s="116">
        <v>3.0</v>
      </c>
      <c r="O279" s="116">
        <v>117.0</v>
      </c>
      <c r="P279" s="114"/>
      <c r="Q279" s="140">
        <v>4257.0</v>
      </c>
      <c r="R279" s="114" t="s">
        <v>234</v>
      </c>
      <c r="S279" s="115">
        <v>2019.0</v>
      </c>
      <c r="T279" s="136">
        <v>0.238</v>
      </c>
      <c r="U279" s="118">
        <f t="shared" si="88"/>
        <v>1013.166</v>
      </c>
      <c r="V279" s="24">
        <f t="shared" si="59"/>
        <v>223.1643172</v>
      </c>
      <c r="W279" s="3">
        <f t="shared" si="31"/>
        <v>0</v>
      </c>
      <c r="X279" s="3">
        <f t="shared" si="32"/>
        <v>0</v>
      </c>
      <c r="Y279" s="3">
        <f t="shared" si="33"/>
        <v>0</v>
      </c>
      <c r="Z279" s="25">
        <f t="shared" si="34"/>
        <v>0</v>
      </c>
      <c r="AA279" s="26">
        <f>VLOOKUP(S279,CPI!$A$2:$F$71,6,0)</f>
        <v>1.259947899</v>
      </c>
      <c r="AB279" s="27">
        <f t="shared" si="60"/>
        <v>1276.536373</v>
      </c>
      <c r="AC279" s="27">
        <f t="shared" si="61"/>
        <v>281.1754126</v>
      </c>
      <c r="AD279" s="114"/>
      <c r="AE279" s="119" t="s">
        <v>565</v>
      </c>
      <c r="AF279" s="164"/>
      <c r="AG279" s="165"/>
      <c r="AH279" s="165"/>
      <c r="AI279" s="165"/>
      <c r="AJ279" s="166"/>
      <c r="AK279" s="166"/>
      <c r="AL279" s="166"/>
      <c r="AM279" s="31"/>
      <c r="AN279" s="31"/>
      <c r="AO279" s="31"/>
      <c r="AP279" s="31"/>
      <c r="AQ279" s="35"/>
    </row>
    <row r="280" ht="15.75" customHeight="1">
      <c r="A280" s="170">
        <v>7936.0</v>
      </c>
      <c r="B280" s="72" t="s">
        <v>230</v>
      </c>
      <c r="C280" s="72" t="s">
        <v>555</v>
      </c>
      <c r="D280" s="16" t="s">
        <v>84</v>
      </c>
      <c r="E280" s="115" t="s">
        <v>319</v>
      </c>
      <c r="F280" s="69">
        <v>2020.0</v>
      </c>
      <c r="G280" s="72"/>
      <c r="H280" s="69">
        <v>0.0</v>
      </c>
      <c r="I280" s="69">
        <v>40.22</v>
      </c>
      <c r="J280" s="117">
        <v>1.0</v>
      </c>
      <c r="K280" s="69">
        <v>40.22</v>
      </c>
      <c r="L280" s="72"/>
      <c r="M280" s="72"/>
      <c r="N280" s="69">
        <v>33.0</v>
      </c>
      <c r="O280" s="69">
        <v>117.0</v>
      </c>
      <c r="P280" s="72"/>
      <c r="Q280" s="140">
        <v>30638.0</v>
      </c>
      <c r="R280" s="72" t="s">
        <v>234</v>
      </c>
      <c r="S280" s="115">
        <v>2020.0</v>
      </c>
      <c r="T280" s="136">
        <v>0.239</v>
      </c>
      <c r="U280" s="118">
        <f t="shared" si="88"/>
        <v>7322.482</v>
      </c>
      <c r="V280" s="24">
        <f t="shared" si="59"/>
        <v>182.0607161</v>
      </c>
      <c r="W280" s="3">
        <f t="shared" si="31"/>
        <v>0</v>
      </c>
      <c r="X280" s="3">
        <f t="shared" si="32"/>
        <v>0</v>
      </c>
      <c r="Y280" s="3">
        <f t="shared" si="33"/>
        <v>0</v>
      </c>
      <c r="Z280" s="25">
        <f t="shared" si="34"/>
        <v>0</v>
      </c>
      <c r="AA280" s="26">
        <f>VLOOKUP(S280,CPI!$A$2:$F$71,6,0)</f>
        <v>1.244593545</v>
      </c>
      <c r="AB280" s="27">
        <f t="shared" si="60"/>
        <v>9113.513831</v>
      </c>
      <c r="AC280" s="27">
        <f t="shared" si="61"/>
        <v>226.591592</v>
      </c>
      <c r="AD280" s="72" t="s">
        <v>36</v>
      </c>
      <c r="AE280" s="79" t="s">
        <v>566</v>
      </c>
      <c r="AF280" s="186"/>
      <c r="AG280" s="187"/>
      <c r="AH280" s="187"/>
      <c r="AI280" s="187"/>
      <c r="AJ280" s="81"/>
      <c r="AK280" s="81"/>
      <c r="AL280" s="81"/>
      <c r="AM280" s="31"/>
      <c r="AN280" s="31"/>
      <c r="AO280" s="31"/>
      <c r="AP280" s="31"/>
      <c r="AQ280" s="35"/>
    </row>
    <row r="281" ht="15.75" customHeight="1">
      <c r="A281" s="163"/>
      <c r="B281" s="114" t="s">
        <v>230</v>
      </c>
      <c r="C281" s="114" t="s">
        <v>555</v>
      </c>
      <c r="D281" s="115" t="s">
        <v>54</v>
      </c>
      <c r="E281" s="114" t="s">
        <v>313</v>
      </c>
      <c r="F281" s="116">
        <v>2021.0</v>
      </c>
      <c r="G281" s="114"/>
      <c r="H281" s="116">
        <v>0.0</v>
      </c>
      <c r="I281" s="116">
        <v>12.7</v>
      </c>
      <c r="J281" s="117">
        <v>1.0</v>
      </c>
      <c r="K281" s="116">
        <v>12.7</v>
      </c>
      <c r="L281" s="114"/>
      <c r="M281" s="114"/>
      <c r="N281" s="116">
        <v>8.0</v>
      </c>
      <c r="O281" s="116">
        <v>117.0</v>
      </c>
      <c r="P281" s="114"/>
      <c r="Q281" s="140">
        <v>8965.0</v>
      </c>
      <c r="R281" s="114" t="s">
        <v>234</v>
      </c>
      <c r="S281" s="115">
        <v>2021.0</v>
      </c>
      <c r="T281" s="136">
        <v>0.239000000000001</v>
      </c>
      <c r="U281" s="118">
        <f t="shared" si="88"/>
        <v>2142.635</v>
      </c>
      <c r="V281" s="24">
        <f t="shared" si="59"/>
        <v>168.7114173</v>
      </c>
      <c r="W281" s="3">
        <f t="shared" si="31"/>
        <v>0</v>
      </c>
      <c r="X281" s="3">
        <f t="shared" si="32"/>
        <v>0</v>
      </c>
      <c r="Y281" s="3">
        <f t="shared" si="33"/>
        <v>0</v>
      </c>
      <c r="Z281" s="25">
        <f t="shared" si="34"/>
        <v>0</v>
      </c>
      <c r="AA281" s="26">
        <f>VLOOKUP(S281,CPI!$A$2:$F$71,6,0)</f>
        <v>1.188745987</v>
      </c>
      <c r="AB281" s="27">
        <f t="shared" si="60"/>
        <v>2547.048757</v>
      </c>
      <c r="AC281" s="27">
        <f t="shared" si="61"/>
        <v>200.5550202</v>
      </c>
      <c r="AD281" s="114"/>
      <c r="AE281" s="119" t="s">
        <v>567</v>
      </c>
      <c r="AF281" s="164"/>
      <c r="AG281" s="165"/>
      <c r="AH281" s="165"/>
      <c r="AI281" s="165"/>
      <c r="AJ281" s="166"/>
      <c r="AK281" s="166"/>
      <c r="AL281" s="166"/>
      <c r="AM281" s="31"/>
      <c r="AN281" s="31"/>
      <c r="AO281" s="31"/>
      <c r="AP281" s="31"/>
      <c r="AQ281" s="35"/>
    </row>
    <row r="282" ht="15.75" customHeight="1">
      <c r="A282" s="170">
        <v>7746.0</v>
      </c>
      <c r="B282" s="72" t="s">
        <v>230</v>
      </c>
      <c r="C282" s="72" t="s">
        <v>555</v>
      </c>
      <c r="D282" s="115" t="s">
        <v>80</v>
      </c>
      <c r="E282" s="115" t="s">
        <v>255</v>
      </c>
      <c r="F282" s="70">
        <v>2021.0</v>
      </c>
      <c r="G282" s="72"/>
      <c r="H282" s="69">
        <v>0.0</v>
      </c>
      <c r="I282" s="69">
        <v>27.5</v>
      </c>
      <c r="J282" s="117">
        <v>1.0</v>
      </c>
      <c r="K282" s="69">
        <v>27.5</v>
      </c>
      <c r="L282" s="72"/>
      <c r="M282" s="72"/>
      <c r="N282" s="69">
        <v>17.0</v>
      </c>
      <c r="O282" s="69">
        <v>117.0</v>
      </c>
      <c r="P282" s="72"/>
      <c r="Q282" s="140">
        <v>20983.6</v>
      </c>
      <c r="R282" s="72" t="s">
        <v>234</v>
      </c>
      <c r="S282" s="115">
        <v>2021.0</v>
      </c>
      <c r="T282" s="136">
        <v>0.239</v>
      </c>
      <c r="U282" s="118">
        <f t="shared" si="88"/>
        <v>5015.0804</v>
      </c>
      <c r="V282" s="24">
        <f t="shared" si="59"/>
        <v>182.36656</v>
      </c>
      <c r="W282" s="3">
        <f t="shared" si="31"/>
        <v>0</v>
      </c>
      <c r="X282" s="3">
        <f t="shared" si="32"/>
        <v>0</v>
      </c>
      <c r="Y282" s="3">
        <f t="shared" si="33"/>
        <v>0</v>
      </c>
      <c r="Z282" s="25">
        <f t="shared" si="34"/>
        <v>0</v>
      </c>
      <c r="AA282" s="26">
        <f>VLOOKUP(S282,CPI!$A$2:$F$71,6,0)</f>
        <v>1.188745987</v>
      </c>
      <c r="AB282" s="27">
        <f t="shared" si="60"/>
        <v>5961.656698</v>
      </c>
      <c r="AC282" s="27">
        <f t="shared" si="61"/>
        <v>216.7875163</v>
      </c>
      <c r="AD282" s="115" t="s">
        <v>36</v>
      </c>
      <c r="AE282" s="79" t="s">
        <v>568</v>
      </c>
      <c r="AF282" s="186"/>
      <c r="AG282" s="187"/>
      <c r="AH282" s="187"/>
      <c r="AI282" s="187"/>
      <c r="AJ282" s="81"/>
      <c r="AK282" s="81"/>
      <c r="AL282" s="81"/>
      <c r="AM282" s="32"/>
      <c r="AN282" s="32"/>
      <c r="AO282" s="32"/>
      <c r="AP282" s="32"/>
      <c r="AQ282" s="33"/>
    </row>
    <row r="283" ht="15.75" customHeight="1">
      <c r="A283" s="163"/>
      <c r="B283" s="114" t="s">
        <v>230</v>
      </c>
      <c r="C283" s="72" t="s">
        <v>555</v>
      </c>
      <c r="D283" s="36" t="s">
        <v>80</v>
      </c>
      <c r="E283" s="72" t="s">
        <v>457</v>
      </c>
      <c r="F283" s="116">
        <v>2021.0</v>
      </c>
      <c r="G283" s="114"/>
      <c r="H283" s="116">
        <v>0.0</v>
      </c>
      <c r="I283" s="116">
        <v>10.0</v>
      </c>
      <c r="J283" s="117">
        <v>1.0</v>
      </c>
      <c r="K283" s="116">
        <v>10.0</v>
      </c>
      <c r="L283" s="114"/>
      <c r="M283" s="114"/>
      <c r="N283" s="116">
        <v>4.0</v>
      </c>
      <c r="O283" s="116">
        <v>117.0</v>
      </c>
      <c r="P283" s="114"/>
      <c r="Q283" s="140">
        <v>6887.0</v>
      </c>
      <c r="R283" s="114" t="s">
        <v>234</v>
      </c>
      <c r="S283" s="75">
        <v>2020.0</v>
      </c>
      <c r="T283" s="136">
        <v>0.239</v>
      </c>
      <c r="U283" s="128">
        <f t="shared" si="88"/>
        <v>1645.993</v>
      </c>
      <c r="V283" s="24">
        <f t="shared" si="59"/>
        <v>164.5993</v>
      </c>
      <c r="W283" s="3">
        <f t="shared" si="31"/>
        <v>0</v>
      </c>
      <c r="X283" s="3">
        <f t="shared" si="32"/>
        <v>0</v>
      </c>
      <c r="Y283" s="3">
        <f t="shared" si="33"/>
        <v>0</v>
      </c>
      <c r="Z283" s="25">
        <f t="shared" si="34"/>
        <v>0</v>
      </c>
      <c r="AA283" s="26">
        <f>VLOOKUP(S283,CPI!$A$2:$F$71,6,0)</f>
        <v>1.244593545</v>
      </c>
      <c r="AB283" s="27">
        <f t="shared" si="60"/>
        <v>2048.592263</v>
      </c>
      <c r="AC283" s="27">
        <f t="shared" si="61"/>
        <v>204.8592263</v>
      </c>
      <c r="AD283" s="123" t="s">
        <v>42</v>
      </c>
      <c r="AE283" s="119" t="s">
        <v>569</v>
      </c>
      <c r="AF283" s="164"/>
      <c r="AG283" s="165"/>
      <c r="AH283" s="165"/>
      <c r="AI283" s="165"/>
      <c r="AJ283" s="166"/>
      <c r="AK283" s="166"/>
      <c r="AL283" s="166"/>
      <c r="AM283" s="32"/>
      <c r="AN283" s="32"/>
      <c r="AO283" s="32"/>
      <c r="AP283" s="32"/>
      <c r="AQ283" s="33"/>
    </row>
    <row r="284" ht="15.75" customHeight="1">
      <c r="A284" s="170">
        <v>7745.0</v>
      </c>
      <c r="B284" s="72" t="s">
        <v>230</v>
      </c>
      <c r="C284" s="72" t="s">
        <v>555</v>
      </c>
      <c r="D284" s="115" t="s">
        <v>110</v>
      </c>
      <c r="E284" s="72" t="s">
        <v>322</v>
      </c>
      <c r="F284" s="70">
        <v>2022.0</v>
      </c>
      <c r="G284" s="72"/>
      <c r="H284" s="69">
        <v>0.0</v>
      </c>
      <c r="I284" s="69">
        <v>13.97</v>
      </c>
      <c r="J284" s="117">
        <v>0.47</v>
      </c>
      <c r="K284" s="69">
        <v>6.55</v>
      </c>
      <c r="L284" s="72"/>
      <c r="M284" s="72"/>
      <c r="N284" s="69">
        <v>8.0</v>
      </c>
      <c r="O284" s="69">
        <v>117.0</v>
      </c>
      <c r="P284" s="72"/>
      <c r="Q284" s="140">
        <v>7396.0</v>
      </c>
      <c r="R284" s="72" t="s">
        <v>234</v>
      </c>
      <c r="S284" s="75">
        <v>2020.0</v>
      </c>
      <c r="T284" s="136">
        <v>0.239</v>
      </c>
      <c r="U284" s="128">
        <f t="shared" si="88"/>
        <v>1767.644</v>
      </c>
      <c r="V284" s="24">
        <f t="shared" si="59"/>
        <v>126.5314245</v>
      </c>
      <c r="W284" s="3">
        <f t="shared" si="31"/>
        <v>0</v>
      </c>
      <c r="X284" s="3">
        <f t="shared" si="32"/>
        <v>0</v>
      </c>
      <c r="Y284" s="3">
        <f t="shared" si="33"/>
        <v>0</v>
      </c>
      <c r="Z284" s="25">
        <f t="shared" si="34"/>
        <v>0</v>
      </c>
      <c r="AA284" s="26">
        <f>VLOOKUP(S284,CPI!$A$2:$F$71,6,0)</f>
        <v>1.244593545</v>
      </c>
      <c r="AB284" s="27">
        <f t="shared" si="60"/>
        <v>2199.998312</v>
      </c>
      <c r="AC284" s="27">
        <f t="shared" si="61"/>
        <v>157.4801942</v>
      </c>
      <c r="AD284" s="115" t="s">
        <v>36</v>
      </c>
      <c r="AE284" s="79" t="s">
        <v>570</v>
      </c>
      <c r="AF284" s="186"/>
      <c r="AG284" s="187"/>
      <c r="AH284" s="187"/>
      <c r="AI284" s="187"/>
      <c r="AJ284" s="81"/>
      <c r="AK284" s="81"/>
      <c r="AL284" s="81"/>
      <c r="AM284" s="32"/>
      <c r="AN284" s="32"/>
      <c r="AO284" s="32"/>
      <c r="AP284" s="32"/>
      <c r="AQ284" s="33"/>
    </row>
    <row r="285" ht="15.75" customHeight="1">
      <c r="A285" s="170">
        <v>7747.0</v>
      </c>
      <c r="B285" s="123" t="s">
        <v>230</v>
      </c>
      <c r="C285" s="123" t="s">
        <v>555</v>
      </c>
      <c r="D285" s="36" t="s">
        <v>228</v>
      </c>
      <c r="E285" s="123" t="s">
        <v>263</v>
      </c>
      <c r="F285" s="142" t="s">
        <v>571</v>
      </c>
      <c r="G285" s="123"/>
      <c r="H285" s="75">
        <v>0.0</v>
      </c>
      <c r="I285" s="75">
        <v>21.0</v>
      </c>
      <c r="J285" s="124">
        <v>1.0</v>
      </c>
      <c r="K285" s="75">
        <v>21.0</v>
      </c>
      <c r="L285" s="125">
        <v>0.0</v>
      </c>
      <c r="M285" s="125">
        <v>0.0</v>
      </c>
      <c r="N285" s="75">
        <v>17.0</v>
      </c>
      <c r="O285" s="75"/>
      <c r="P285" s="123" t="s">
        <v>60</v>
      </c>
      <c r="Q285" s="126">
        <f>16.881*10^3</f>
        <v>16881</v>
      </c>
      <c r="R285" s="123" t="s">
        <v>234</v>
      </c>
      <c r="S285" s="75">
        <v>2020.0</v>
      </c>
      <c r="T285" s="136">
        <v>0.239</v>
      </c>
      <c r="U285" s="128">
        <f t="shared" si="88"/>
        <v>4034.559</v>
      </c>
      <c r="V285" s="24">
        <f t="shared" si="59"/>
        <v>192.1218571</v>
      </c>
      <c r="W285" s="3">
        <f t="shared" si="31"/>
        <v>0</v>
      </c>
      <c r="X285" s="3">
        <f t="shared" si="32"/>
        <v>0</v>
      </c>
      <c r="Y285" s="3">
        <f t="shared" si="33"/>
        <v>0</v>
      </c>
      <c r="Z285" s="25">
        <f t="shared" si="34"/>
        <v>0</v>
      </c>
      <c r="AA285" s="26">
        <f>VLOOKUP(S285,CPI!$A$2:$F$71,6,0)</f>
        <v>1.244593545</v>
      </c>
      <c r="AB285" s="27">
        <f t="shared" si="60"/>
        <v>5021.386089</v>
      </c>
      <c r="AC285" s="27">
        <f t="shared" si="61"/>
        <v>239.1136233</v>
      </c>
      <c r="AD285" s="123" t="s">
        <v>60</v>
      </c>
      <c r="AE285" s="129" t="s">
        <v>572</v>
      </c>
      <c r="AF285" s="29"/>
      <c r="AG285" s="30"/>
      <c r="AH285" s="30"/>
      <c r="AI285" s="30"/>
      <c r="AJ285" s="31"/>
      <c r="AK285" s="31"/>
      <c r="AL285" s="31"/>
      <c r="AM285" s="32"/>
      <c r="AN285" s="32"/>
      <c r="AO285" s="32"/>
      <c r="AP285" s="32"/>
      <c r="AQ285" s="33"/>
    </row>
    <row r="286" ht="15.75" customHeight="1">
      <c r="A286" s="170">
        <v>7752.0</v>
      </c>
      <c r="B286" s="123" t="s">
        <v>230</v>
      </c>
      <c r="C286" s="123" t="s">
        <v>555</v>
      </c>
      <c r="D286" s="36" t="s">
        <v>243</v>
      </c>
      <c r="E286" s="123" t="s">
        <v>379</v>
      </c>
      <c r="F286" s="142" t="s">
        <v>571</v>
      </c>
      <c r="G286" s="123"/>
      <c r="H286" s="75">
        <v>0.0</v>
      </c>
      <c r="I286" s="75">
        <v>23.0</v>
      </c>
      <c r="J286" s="124">
        <v>1.0</v>
      </c>
      <c r="K286" s="75">
        <v>23.0</v>
      </c>
      <c r="L286" s="125">
        <v>0.0</v>
      </c>
      <c r="M286" s="125">
        <v>0.0</v>
      </c>
      <c r="N286" s="75">
        <v>12.0</v>
      </c>
      <c r="O286" s="75"/>
      <c r="P286" s="123" t="s">
        <v>60</v>
      </c>
      <c r="Q286" s="126">
        <f>16.201*10^3</f>
        <v>16201</v>
      </c>
      <c r="R286" s="123" t="s">
        <v>234</v>
      </c>
      <c r="S286" s="75">
        <v>2020.0</v>
      </c>
      <c r="T286" s="136">
        <v>0.239</v>
      </c>
      <c r="U286" s="128">
        <f t="shared" si="88"/>
        <v>3872.039</v>
      </c>
      <c r="V286" s="24">
        <f t="shared" si="59"/>
        <v>168.3495217</v>
      </c>
      <c r="W286" s="3">
        <f t="shared" si="31"/>
        <v>0</v>
      </c>
      <c r="X286" s="3">
        <f t="shared" si="32"/>
        <v>0</v>
      </c>
      <c r="Y286" s="3">
        <f t="shared" si="33"/>
        <v>0</v>
      </c>
      <c r="Z286" s="25">
        <f t="shared" si="34"/>
        <v>0</v>
      </c>
      <c r="AA286" s="26">
        <f>VLOOKUP(S286,CPI!$A$2:$F$71,6,0)</f>
        <v>1.244593545</v>
      </c>
      <c r="AB286" s="27">
        <f t="shared" si="60"/>
        <v>4819.114746</v>
      </c>
      <c r="AC286" s="27">
        <f t="shared" si="61"/>
        <v>209.5267281</v>
      </c>
      <c r="AD286" s="123" t="s">
        <v>60</v>
      </c>
      <c r="AE286" s="129" t="s">
        <v>572</v>
      </c>
      <c r="AF286" s="29"/>
      <c r="AG286" s="30"/>
      <c r="AH286" s="30"/>
      <c r="AI286" s="30"/>
      <c r="AJ286" s="31"/>
      <c r="AK286" s="31"/>
      <c r="AL286" s="31"/>
      <c r="AM286" s="32"/>
      <c r="AN286" s="32"/>
      <c r="AO286" s="32"/>
      <c r="AP286" s="32"/>
      <c r="AQ286" s="33"/>
    </row>
    <row r="287" ht="15.75" customHeight="1">
      <c r="A287" s="7"/>
      <c r="B287" s="114" t="s">
        <v>230</v>
      </c>
      <c r="C287" s="114" t="s">
        <v>573</v>
      </c>
      <c r="D287" s="114" t="s">
        <v>54</v>
      </c>
      <c r="E287" s="114" t="s">
        <v>54</v>
      </c>
      <c r="F287" s="116">
        <v>2020.0</v>
      </c>
      <c r="G287" s="114"/>
      <c r="H287" s="116">
        <v>0.0</v>
      </c>
      <c r="I287" s="116">
        <v>27.3</v>
      </c>
      <c r="J287" s="117">
        <v>1.0</v>
      </c>
      <c r="K287" s="116">
        <v>27.3</v>
      </c>
      <c r="L287" s="114"/>
      <c r="M287" s="114"/>
      <c r="N287" s="116">
        <v>24.0</v>
      </c>
      <c r="O287" s="116">
        <v>117.0</v>
      </c>
      <c r="P287" s="114"/>
      <c r="Q287" s="140">
        <v>20304.0</v>
      </c>
      <c r="R287" s="114" t="s">
        <v>234</v>
      </c>
      <c r="S287" s="115">
        <v>2020.0</v>
      </c>
      <c r="T287" s="136">
        <v>0.239</v>
      </c>
      <c r="U287" s="118">
        <f t="shared" si="88"/>
        <v>4852.656</v>
      </c>
      <c r="V287" s="24">
        <f t="shared" si="59"/>
        <v>177.752967</v>
      </c>
      <c r="W287" s="3">
        <f t="shared" si="31"/>
        <v>0</v>
      </c>
      <c r="X287" s="3">
        <f t="shared" si="32"/>
        <v>0</v>
      </c>
      <c r="Y287" s="3">
        <f t="shared" si="33"/>
        <v>0</v>
      </c>
      <c r="Z287" s="25">
        <f t="shared" si="34"/>
        <v>0</v>
      </c>
      <c r="AA287" s="26">
        <f>VLOOKUP(S287,CPI!$A$2:$F$71,6,0)</f>
        <v>1.244593545</v>
      </c>
      <c r="AB287" s="27">
        <f t="shared" si="60"/>
        <v>6039.584334</v>
      </c>
      <c r="AC287" s="27">
        <f t="shared" si="61"/>
        <v>221.2301954</v>
      </c>
      <c r="AD287" s="114"/>
      <c r="AE287" s="119" t="s">
        <v>574</v>
      </c>
      <c r="AF287" s="164"/>
      <c r="AG287" s="165"/>
      <c r="AH287" s="165"/>
      <c r="AI287" s="165"/>
      <c r="AJ287" s="166"/>
      <c r="AK287" s="166"/>
      <c r="AL287" s="166"/>
      <c r="AM287" s="32"/>
      <c r="AN287" s="32"/>
      <c r="AO287" s="32"/>
      <c r="AP287" s="32"/>
      <c r="AQ287" s="33"/>
    </row>
    <row r="288" ht="15.75" customHeight="1">
      <c r="A288" s="7"/>
      <c r="B288" s="114" t="s">
        <v>230</v>
      </c>
      <c r="C288" s="114" t="s">
        <v>575</v>
      </c>
      <c r="D288" s="114" t="s">
        <v>57</v>
      </c>
      <c r="E288" s="114" t="s">
        <v>57</v>
      </c>
      <c r="F288" s="116">
        <v>2018.0</v>
      </c>
      <c r="G288" s="114"/>
      <c r="H288" s="116">
        <v>0.0</v>
      </c>
      <c r="I288" s="116">
        <v>58.0</v>
      </c>
      <c r="J288" s="114"/>
      <c r="K288" s="114"/>
      <c r="L288" s="114"/>
      <c r="M288" s="114"/>
      <c r="N288" s="116">
        <v>26.0</v>
      </c>
      <c r="O288" s="116"/>
      <c r="P288" s="114"/>
      <c r="Q288" s="140">
        <v>40000.0</v>
      </c>
      <c r="R288" s="114" t="s">
        <v>234</v>
      </c>
      <c r="S288" s="115">
        <v>2018.0</v>
      </c>
      <c r="T288" s="85">
        <v>0.237</v>
      </c>
      <c r="U288" s="118">
        <f t="shared" si="88"/>
        <v>9480</v>
      </c>
      <c r="V288" s="24">
        <f t="shared" si="59"/>
        <v>163.4482759</v>
      </c>
      <c r="W288" s="3">
        <f t="shared" si="31"/>
        <v>0</v>
      </c>
      <c r="X288" s="3">
        <f t="shared" si="32"/>
        <v>0</v>
      </c>
      <c r="Y288" s="3">
        <f t="shared" si="33"/>
        <v>0</v>
      </c>
      <c r="Z288" s="25">
        <f t="shared" si="34"/>
        <v>0</v>
      </c>
      <c r="AA288" s="26">
        <f>VLOOKUP(S288,CPI!$A$2:$F$71,6,0)</f>
        <v>1.28277786</v>
      </c>
      <c r="AB288" s="27">
        <f t="shared" si="60"/>
        <v>12160.73411</v>
      </c>
      <c r="AC288" s="27">
        <f t="shared" si="61"/>
        <v>209.6678295</v>
      </c>
      <c r="AD288" s="114"/>
      <c r="AE288" s="119" t="s">
        <v>576</v>
      </c>
      <c r="AF288" s="164"/>
      <c r="AG288" s="165"/>
      <c r="AH288" s="165"/>
      <c r="AI288" s="165"/>
      <c r="AJ288" s="166"/>
      <c r="AK288" s="166"/>
      <c r="AL288" s="166"/>
      <c r="AM288" s="32"/>
      <c r="AN288" s="32"/>
      <c r="AO288" s="32"/>
      <c r="AP288" s="32"/>
      <c r="AQ288" s="33"/>
    </row>
    <row r="289" ht="15.75" customHeight="1">
      <c r="A289" s="7"/>
      <c r="B289" s="114" t="s">
        <v>230</v>
      </c>
      <c r="C289" s="114" t="s">
        <v>577</v>
      </c>
      <c r="D289" s="16" t="s">
        <v>578</v>
      </c>
      <c r="E289" s="114" t="s">
        <v>579</v>
      </c>
      <c r="F289" s="116">
        <v>2020.0</v>
      </c>
      <c r="G289" s="114"/>
      <c r="H289" s="116">
        <v>1.0</v>
      </c>
      <c r="I289" s="116">
        <v>35.01</v>
      </c>
      <c r="J289" s="117">
        <v>0.0</v>
      </c>
      <c r="K289" s="116">
        <v>0.0</v>
      </c>
      <c r="L289" s="114"/>
      <c r="M289" s="114"/>
      <c r="N289" s="116">
        <v>8.0</v>
      </c>
      <c r="O289" s="116">
        <v>184.0</v>
      </c>
      <c r="P289" s="114"/>
      <c r="Q289" s="140">
        <v>17000.0</v>
      </c>
      <c r="R289" s="114" t="s">
        <v>234</v>
      </c>
      <c r="S289" s="115">
        <v>2020.0</v>
      </c>
      <c r="T289" s="136">
        <v>0.239</v>
      </c>
      <c r="U289" s="118">
        <f t="shared" si="88"/>
        <v>4063</v>
      </c>
      <c r="V289" s="24">
        <f t="shared" si="59"/>
        <v>116.0525564</v>
      </c>
      <c r="W289" s="3">
        <f t="shared" si="31"/>
        <v>0</v>
      </c>
      <c r="X289" s="3">
        <f t="shared" si="32"/>
        <v>0</v>
      </c>
      <c r="Y289" s="3">
        <f t="shared" si="33"/>
        <v>0</v>
      </c>
      <c r="Z289" s="25">
        <f t="shared" si="34"/>
        <v>0</v>
      </c>
      <c r="AA289" s="26">
        <f>VLOOKUP(S289,CPI!$A$2:$F$71,6,0)</f>
        <v>1.244593545</v>
      </c>
      <c r="AB289" s="27">
        <f t="shared" si="60"/>
        <v>5056.783574</v>
      </c>
      <c r="AC289" s="27">
        <f t="shared" si="61"/>
        <v>144.4382626</v>
      </c>
      <c r="AD289" s="72" t="s">
        <v>36</v>
      </c>
      <c r="AE289" s="119" t="s">
        <v>580</v>
      </c>
      <c r="AF289" s="173"/>
      <c r="AG289" s="174"/>
      <c r="AH289" s="174"/>
      <c r="AI289" s="174"/>
      <c r="AJ289" s="175"/>
      <c r="AK289" s="175"/>
      <c r="AL289" s="175"/>
      <c r="AM289" s="32"/>
      <c r="AN289" s="32"/>
      <c r="AO289" s="32"/>
      <c r="AP289" s="32"/>
      <c r="AQ289" s="33"/>
    </row>
    <row r="290" ht="15.75" customHeight="1">
      <c r="A290" s="7"/>
      <c r="B290" s="114" t="s">
        <v>230</v>
      </c>
      <c r="C290" s="114" t="s">
        <v>581</v>
      </c>
      <c r="D290" s="115" t="s">
        <v>87</v>
      </c>
      <c r="E290" s="115" t="s">
        <v>331</v>
      </c>
      <c r="F290" s="114"/>
      <c r="G290" s="116">
        <v>2022.0</v>
      </c>
      <c r="H290" s="116">
        <v>0.0</v>
      </c>
      <c r="I290" s="116">
        <v>21.57</v>
      </c>
      <c r="J290" s="116">
        <v>1.0</v>
      </c>
      <c r="K290" s="116">
        <v>21.6</v>
      </c>
      <c r="L290" s="114"/>
      <c r="M290" s="114"/>
      <c r="N290" s="116">
        <v>13.0</v>
      </c>
      <c r="O290" s="116">
        <v>117.0</v>
      </c>
      <c r="P290" s="114"/>
      <c r="Q290" s="116">
        <v>13446.0</v>
      </c>
      <c r="R290" s="114" t="s">
        <v>234</v>
      </c>
      <c r="S290" s="115">
        <v>2021.0</v>
      </c>
      <c r="T290" s="136">
        <v>0.239</v>
      </c>
      <c r="U290" s="118">
        <f t="shared" si="88"/>
        <v>3213.594</v>
      </c>
      <c r="V290" s="24">
        <f t="shared" si="59"/>
        <v>148.9844228</v>
      </c>
      <c r="W290" s="3">
        <f t="shared" si="31"/>
        <v>0</v>
      </c>
      <c r="X290" s="3">
        <f t="shared" si="32"/>
        <v>0</v>
      </c>
      <c r="Y290" s="3">
        <f t="shared" si="33"/>
        <v>0</v>
      </c>
      <c r="Z290" s="25">
        <f t="shared" si="34"/>
        <v>0</v>
      </c>
      <c r="AA290" s="26">
        <f>VLOOKUP(S290,CPI!$A$2:$F$71,6,0)</f>
        <v>1.188745987</v>
      </c>
      <c r="AB290" s="27">
        <f t="shared" si="60"/>
        <v>3820.14697</v>
      </c>
      <c r="AC290" s="27">
        <f t="shared" si="61"/>
        <v>177.1046347</v>
      </c>
      <c r="AD290" s="114"/>
      <c r="AE290" s="119" t="s">
        <v>582</v>
      </c>
      <c r="AF290" s="184" t="s">
        <v>583</v>
      </c>
      <c r="AG290" s="165"/>
      <c r="AH290" s="165"/>
      <c r="AI290" s="165"/>
      <c r="AJ290" s="165"/>
      <c r="AK290" s="165"/>
      <c r="AL290" s="165"/>
      <c r="AM290" s="32"/>
      <c r="AN290" s="32"/>
      <c r="AO290" s="32"/>
      <c r="AP290" s="32"/>
      <c r="AQ290" s="33"/>
    </row>
    <row r="291" ht="15.75" customHeight="1">
      <c r="A291" s="163"/>
      <c r="B291" s="114" t="s">
        <v>230</v>
      </c>
      <c r="C291" s="114" t="s">
        <v>581</v>
      </c>
      <c r="D291" s="114" t="s">
        <v>54</v>
      </c>
      <c r="E291" s="114" t="s">
        <v>54</v>
      </c>
      <c r="F291" s="116">
        <v>2021.0</v>
      </c>
      <c r="G291" s="114"/>
      <c r="H291" s="116">
        <v>0.0</v>
      </c>
      <c r="I291" s="116">
        <v>36.39</v>
      </c>
      <c r="J291" s="117">
        <v>0.95</v>
      </c>
      <c r="K291" s="116">
        <v>34.6</v>
      </c>
      <c r="L291" s="114"/>
      <c r="M291" s="114"/>
      <c r="N291" s="116">
        <v>18.0</v>
      </c>
      <c r="O291" s="116">
        <v>117.0</v>
      </c>
      <c r="P291" s="114"/>
      <c r="Q291" s="140">
        <v>22800.0</v>
      </c>
      <c r="R291" s="114" t="s">
        <v>234</v>
      </c>
      <c r="S291" s="115">
        <v>2021.0</v>
      </c>
      <c r="T291" s="136">
        <v>0.239</v>
      </c>
      <c r="U291" s="118">
        <f t="shared" si="88"/>
        <v>5449.2</v>
      </c>
      <c r="V291" s="24">
        <f t="shared" si="59"/>
        <v>149.7444353</v>
      </c>
      <c r="W291" s="3">
        <f t="shared" si="31"/>
        <v>0</v>
      </c>
      <c r="X291" s="3">
        <f t="shared" si="32"/>
        <v>0</v>
      </c>
      <c r="Y291" s="3">
        <f t="shared" si="33"/>
        <v>0</v>
      </c>
      <c r="Z291" s="25">
        <f t="shared" si="34"/>
        <v>0</v>
      </c>
      <c r="AA291" s="26">
        <f>VLOOKUP(S291,CPI!$A$2:$F$71,6,0)</f>
        <v>1.188745987</v>
      </c>
      <c r="AB291" s="27">
        <f t="shared" si="60"/>
        <v>6477.71463</v>
      </c>
      <c r="AC291" s="27">
        <f t="shared" si="61"/>
        <v>178.0080965</v>
      </c>
      <c r="AD291" s="114"/>
      <c r="AE291" s="119" t="s">
        <v>584</v>
      </c>
      <c r="AF291" s="164"/>
      <c r="AG291" s="165"/>
      <c r="AH291" s="165"/>
      <c r="AI291" s="165"/>
      <c r="AJ291" s="166"/>
      <c r="AK291" s="166"/>
      <c r="AL291" s="166"/>
      <c r="AM291" s="32"/>
      <c r="AN291" s="32"/>
      <c r="AO291" s="32"/>
      <c r="AP291" s="32"/>
      <c r="AQ291" s="33"/>
    </row>
    <row r="292" ht="15.75" customHeight="1">
      <c r="A292" s="163"/>
      <c r="B292" s="114" t="s">
        <v>230</v>
      </c>
      <c r="C292" s="114" t="s">
        <v>581</v>
      </c>
      <c r="D292" s="115" t="s">
        <v>110</v>
      </c>
      <c r="E292" s="115" t="s">
        <v>332</v>
      </c>
      <c r="F292" s="116">
        <v>2021.0</v>
      </c>
      <c r="G292" s="114"/>
      <c r="H292" s="116">
        <v>0.0</v>
      </c>
      <c r="I292" s="116">
        <v>40.3</v>
      </c>
      <c r="J292" s="116">
        <v>1.0</v>
      </c>
      <c r="K292" s="116">
        <v>40.3</v>
      </c>
      <c r="L292" s="114"/>
      <c r="M292" s="114"/>
      <c r="N292" s="116">
        <v>33.0</v>
      </c>
      <c r="O292" s="116">
        <v>138.0</v>
      </c>
      <c r="P292" s="114"/>
      <c r="Q292" s="116">
        <v>39900.0</v>
      </c>
      <c r="R292" s="114" t="s">
        <v>234</v>
      </c>
      <c r="S292" s="115">
        <v>2021.0</v>
      </c>
      <c r="T292" s="136">
        <v>0.239000000000001</v>
      </c>
      <c r="U292" s="118">
        <f t="shared" si="88"/>
        <v>9536.1</v>
      </c>
      <c r="V292" s="24">
        <f t="shared" si="59"/>
        <v>236.6277916</v>
      </c>
      <c r="W292" s="3">
        <f t="shared" si="31"/>
        <v>0</v>
      </c>
      <c r="X292" s="3">
        <f t="shared" si="32"/>
        <v>0</v>
      </c>
      <c r="Y292" s="3">
        <f t="shared" si="33"/>
        <v>0</v>
      </c>
      <c r="Z292" s="25">
        <f t="shared" si="34"/>
        <v>0</v>
      </c>
      <c r="AA292" s="26">
        <f>VLOOKUP(S292,CPI!$A$2:$F$71,6,0)</f>
        <v>1.188745987</v>
      </c>
      <c r="AB292" s="27">
        <f t="shared" si="60"/>
        <v>11336.0006</v>
      </c>
      <c r="AC292" s="27">
        <f t="shared" si="61"/>
        <v>281.2903375</v>
      </c>
      <c r="AD292" s="114"/>
      <c r="AE292" s="119" t="s">
        <v>585</v>
      </c>
      <c r="AF292" s="173"/>
      <c r="AG292" s="174"/>
      <c r="AH292" s="174"/>
      <c r="AI292" s="174"/>
      <c r="AJ292" s="175"/>
      <c r="AK292" s="175"/>
      <c r="AL292" s="175"/>
      <c r="AM292" s="32"/>
      <c r="AN292" s="32"/>
      <c r="AO292" s="32"/>
      <c r="AP292" s="32"/>
      <c r="AQ292" s="33"/>
    </row>
    <row r="293" ht="15.75" customHeight="1">
      <c r="A293" s="170">
        <v>7753.0</v>
      </c>
      <c r="B293" s="123" t="s">
        <v>230</v>
      </c>
      <c r="C293" s="123" t="s">
        <v>586</v>
      </c>
      <c r="D293" s="36" t="s">
        <v>57</v>
      </c>
      <c r="E293" s="123" t="s">
        <v>587</v>
      </c>
      <c r="F293" s="75">
        <v>2010.0</v>
      </c>
      <c r="G293" s="75">
        <v>2014.0</v>
      </c>
      <c r="H293" s="75">
        <v>0.0</v>
      </c>
      <c r="I293" s="75">
        <v>42.1</v>
      </c>
      <c r="J293" s="124">
        <v>0.6983372922</v>
      </c>
      <c r="K293" s="75">
        <v>29.4</v>
      </c>
      <c r="L293" s="125">
        <v>12.09</v>
      </c>
      <c r="M293" s="125">
        <v>0.961</v>
      </c>
      <c r="N293" s="75">
        <v>31.0</v>
      </c>
      <c r="O293" s="75"/>
      <c r="P293" s="123" t="s">
        <v>60</v>
      </c>
      <c r="Q293" s="126">
        <f>231.37*10^2</f>
        <v>23137</v>
      </c>
      <c r="R293" s="123" t="s">
        <v>234</v>
      </c>
      <c r="S293" s="130">
        <v>2010.0</v>
      </c>
      <c r="T293" s="136">
        <v>0.3</v>
      </c>
      <c r="U293" s="128">
        <f t="shared" si="88"/>
        <v>6941.1</v>
      </c>
      <c r="V293" s="24">
        <f t="shared" si="59"/>
        <v>164.871734</v>
      </c>
      <c r="W293" s="3">
        <f t="shared" si="31"/>
        <v>0</v>
      </c>
      <c r="X293" s="3">
        <f t="shared" si="32"/>
        <v>0</v>
      </c>
      <c r="Y293" s="3">
        <f t="shared" si="33"/>
        <v>0</v>
      </c>
      <c r="Z293" s="25">
        <f t="shared" si="34"/>
        <v>0</v>
      </c>
      <c r="AA293" s="26">
        <f>VLOOKUP(S293,CPI!$A$2:$F$71,6,0)</f>
        <v>1.477209983</v>
      </c>
      <c r="AB293" s="27">
        <f t="shared" si="60"/>
        <v>10253.46221</v>
      </c>
      <c r="AC293" s="27">
        <f t="shared" si="61"/>
        <v>243.5501713</v>
      </c>
      <c r="AD293" s="123" t="s">
        <v>42</v>
      </c>
      <c r="AE293" s="129" t="s">
        <v>588</v>
      </c>
      <c r="AF293" s="29"/>
      <c r="AG293" s="30"/>
      <c r="AH293" s="30"/>
      <c r="AI293" s="30"/>
      <c r="AJ293" s="31"/>
      <c r="AK293" s="31"/>
      <c r="AL293" s="31"/>
      <c r="AM293" s="32"/>
      <c r="AN293" s="32"/>
      <c r="AO293" s="32"/>
      <c r="AP293" s="32"/>
      <c r="AQ293" s="33"/>
    </row>
    <row r="294" ht="15.75" customHeight="1">
      <c r="A294" s="38">
        <v>8019.0</v>
      </c>
      <c r="B294" s="130" t="s">
        <v>230</v>
      </c>
      <c r="C294" s="130" t="s">
        <v>586</v>
      </c>
      <c r="D294" s="36" t="s">
        <v>57</v>
      </c>
      <c r="E294" s="130" t="s">
        <v>589</v>
      </c>
      <c r="F294" s="130">
        <v>2013.0</v>
      </c>
      <c r="G294" s="130">
        <v>2015.0</v>
      </c>
      <c r="H294" s="130">
        <v>0.0</v>
      </c>
      <c r="I294" s="130">
        <v>5.2</v>
      </c>
      <c r="J294" s="131"/>
      <c r="K294" s="130"/>
      <c r="L294" s="132" t="e">
        <v>#N/A</v>
      </c>
      <c r="M294" s="132" t="e">
        <v>#N/A</v>
      </c>
      <c r="N294" s="130">
        <v>4.0</v>
      </c>
      <c r="O294" s="138"/>
      <c r="P294" s="130" t="s">
        <v>60</v>
      </c>
      <c r="Q294" s="135">
        <v>3306.0</v>
      </c>
      <c r="R294" s="130" t="s">
        <v>234</v>
      </c>
      <c r="S294" s="130">
        <v>2013.0</v>
      </c>
      <c r="T294" s="136">
        <v>0.273</v>
      </c>
      <c r="U294" s="128">
        <f t="shared" ref="U294:U295" si="89">T294*Q294</f>
        <v>902.538</v>
      </c>
      <c r="V294" s="24">
        <f t="shared" si="59"/>
        <v>173.565</v>
      </c>
      <c r="W294" s="3">
        <f t="shared" si="31"/>
        <v>0</v>
      </c>
      <c r="X294" s="3">
        <f t="shared" si="32"/>
        <v>0</v>
      </c>
      <c r="Y294" s="3">
        <f t="shared" si="33"/>
        <v>0</v>
      </c>
      <c r="Z294" s="25">
        <f t="shared" si="34"/>
        <v>0</v>
      </c>
      <c r="AA294" s="26">
        <f>VLOOKUP(S294,CPI!$A$2:$F$71,6,0)</f>
        <v>1.382720845</v>
      </c>
      <c r="AB294" s="27">
        <f t="shared" si="60"/>
        <v>1247.958106</v>
      </c>
      <c r="AC294" s="27">
        <f t="shared" si="61"/>
        <v>239.9919435</v>
      </c>
      <c r="AD294" s="130" t="s">
        <v>60</v>
      </c>
      <c r="AE294" s="137" t="s">
        <v>590</v>
      </c>
      <c r="AF294" s="29"/>
      <c r="AG294" s="30"/>
      <c r="AH294" s="30"/>
      <c r="AI294" s="30"/>
      <c r="AJ294" s="31"/>
      <c r="AK294" s="31"/>
      <c r="AL294" s="31"/>
      <c r="AM294" s="32"/>
      <c r="AN294" s="32"/>
      <c r="AO294" s="32"/>
      <c r="AP294" s="32"/>
      <c r="AQ294" s="33"/>
    </row>
    <row r="295" ht="15.75" customHeight="1">
      <c r="A295" s="38">
        <v>8137.0</v>
      </c>
      <c r="B295" s="130" t="s">
        <v>230</v>
      </c>
      <c r="C295" s="130" t="s">
        <v>586</v>
      </c>
      <c r="D295" s="36" t="s">
        <v>57</v>
      </c>
      <c r="E295" s="130" t="s">
        <v>591</v>
      </c>
      <c r="F295" s="130">
        <v>2013.0</v>
      </c>
      <c r="G295" s="130">
        <v>2015.0</v>
      </c>
      <c r="H295" s="130">
        <v>0.0</v>
      </c>
      <c r="I295" s="130">
        <v>7.3</v>
      </c>
      <c r="J295" s="131"/>
      <c r="K295" s="130"/>
      <c r="L295" s="132" t="e">
        <v>#N/A</v>
      </c>
      <c r="M295" s="132" t="e">
        <v>#N/A</v>
      </c>
      <c r="N295" s="130">
        <v>3.0</v>
      </c>
      <c r="O295" s="138"/>
      <c r="P295" s="130" t="s">
        <v>60</v>
      </c>
      <c r="Q295" s="135">
        <v>2395.0</v>
      </c>
      <c r="R295" s="130" t="s">
        <v>234</v>
      </c>
      <c r="S295" s="130">
        <v>2013.0</v>
      </c>
      <c r="T295" s="136">
        <v>0.273</v>
      </c>
      <c r="U295" s="128">
        <f t="shared" si="89"/>
        <v>653.835</v>
      </c>
      <c r="V295" s="24">
        <f t="shared" si="59"/>
        <v>89.56643836</v>
      </c>
      <c r="W295" s="3">
        <f t="shared" si="31"/>
        <v>0</v>
      </c>
      <c r="X295" s="3">
        <f t="shared" si="32"/>
        <v>0</v>
      </c>
      <c r="Y295" s="3">
        <f t="shared" si="33"/>
        <v>0</v>
      </c>
      <c r="Z295" s="25">
        <f t="shared" si="34"/>
        <v>0</v>
      </c>
      <c r="AA295" s="26">
        <f>VLOOKUP(S295,CPI!$A$2:$F$71,6,0)</f>
        <v>1.382720845</v>
      </c>
      <c r="AB295" s="27">
        <f t="shared" si="60"/>
        <v>904.071284</v>
      </c>
      <c r="AC295" s="27">
        <f t="shared" si="61"/>
        <v>123.8453814</v>
      </c>
      <c r="AD295" s="130" t="s">
        <v>60</v>
      </c>
      <c r="AE295" s="137" t="s">
        <v>590</v>
      </c>
      <c r="AF295" s="29"/>
      <c r="AG295" s="30"/>
      <c r="AH295" s="30"/>
      <c r="AI295" s="30"/>
      <c r="AJ295" s="31"/>
      <c r="AK295" s="31"/>
      <c r="AL295" s="31"/>
      <c r="AM295" s="31"/>
      <c r="AN295" s="31"/>
      <c r="AO295" s="31"/>
      <c r="AP295" s="31"/>
      <c r="AQ295" s="35"/>
    </row>
    <row r="296" ht="15.75" customHeight="1">
      <c r="A296" s="38">
        <v>8051.0</v>
      </c>
      <c r="B296" s="72" t="s">
        <v>230</v>
      </c>
      <c r="C296" s="72" t="s">
        <v>586</v>
      </c>
      <c r="D296" s="115" t="s">
        <v>87</v>
      </c>
      <c r="E296" s="115" t="s">
        <v>357</v>
      </c>
      <c r="F296" s="69">
        <v>2013.0</v>
      </c>
      <c r="G296" s="69">
        <v>2018.0</v>
      </c>
      <c r="H296" s="69">
        <v>0.0</v>
      </c>
      <c r="I296" s="69">
        <v>4.0</v>
      </c>
      <c r="J296" s="192"/>
      <c r="K296" s="72"/>
      <c r="L296" s="72"/>
      <c r="M296" s="72"/>
      <c r="N296" s="69">
        <v>3.0</v>
      </c>
      <c r="O296" s="69">
        <v>117.0</v>
      </c>
      <c r="P296" s="72"/>
      <c r="Q296" s="140">
        <v>2493.0</v>
      </c>
      <c r="R296" s="72" t="s">
        <v>234</v>
      </c>
      <c r="S296" s="115">
        <v>2016.0</v>
      </c>
      <c r="T296" s="136">
        <v>0.251</v>
      </c>
      <c r="U296" s="118">
        <f>Q296*T296</f>
        <v>625.743</v>
      </c>
      <c r="V296" s="24">
        <f t="shared" si="59"/>
        <v>156.43575</v>
      </c>
      <c r="W296" s="3">
        <f t="shared" si="31"/>
        <v>0</v>
      </c>
      <c r="X296" s="3">
        <f t="shared" si="32"/>
        <v>0</v>
      </c>
      <c r="Y296" s="3">
        <f t="shared" si="33"/>
        <v>0</v>
      </c>
      <c r="Z296" s="25">
        <f t="shared" si="34"/>
        <v>0</v>
      </c>
      <c r="AA296" s="26">
        <f>VLOOKUP(S296,CPI!$A$2:$F$71,6,0)</f>
        <v>1.342104605</v>
      </c>
      <c r="AB296" s="27">
        <f t="shared" si="60"/>
        <v>839.812562</v>
      </c>
      <c r="AC296" s="27">
        <f t="shared" si="61"/>
        <v>209.9531405</v>
      </c>
      <c r="AD296" s="72"/>
      <c r="AE296" s="79" t="s">
        <v>588</v>
      </c>
      <c r="AF296" s="186"/>
      <c r="AG296" s="187"/>
      <c r="AH296" s="187"/>
      <c r="AI296" s="187"/>
      <c r="AJ296" s="81"/>
      <c r="AK296" s="81"/>
      <c r="AL296" s="81"/>
      <c r="AM296" s="172"/>
      <c r="AN296" s="172"/>
      <c r="AO296" s="172"/>
      <c r="AP296" s="172"/>
      <c r="AQ296" s="130"/>
    </row>
    <row r="297" ht="15.75" customHeight="1">
      <c r="A297" s="38">
        <v>8122.0</v>
      </c>
      <c r="B297" s="130" t="s">
        <v>230</v>
      </c>
      <c r="C297" s="130" t="s">
        <v>586</v>
      </c>
      <c r="D297" s="16" t="s">
        <v>54</v>
      </c>
      <c r="E297" s="130" t="s">
        <v>326</v>
      </c>
      <c r="F297" s="130">
        <v>2017.0</v>
      </c>
      <c r="G297" s="130">
        <v>2019.0</v>
      </c>
      <c r="H297" s="130">
        <v>0.0</v>
      </c>
      <c r="I297" s="130">
        <v>9.2</v>
      </c>
      <c r="J297" s="131">
        <v>1.0</v>
      </c>
      <c r="K297" s="130">
        <v>9.2</v>
      </c>
      <c r="L297" s="132">
        <v>0.0</v>
      </c>
      <c r="M297" s="132">
        <v>0.0</v>
      </c>
      <c r="N297" s="130">
        <v>8.0</v>
      </c>
      <c r="O297" s="138"/>
      <c r="P297" s="130" t="s">
        <v>60</v>
      </c>
      <c r="Q297" s="135">
        <v>5326.0</v>
      </c>
      <c r="R297" s="130" t="s">
        <v>234</v>
      </c>
      <c r="S297" s="130">
        <v>2013.0</v>
      </c>
      <c r="T297" s="136">
        <v>0.273</v>
      </c>
      <c r="U297" s="128">
        <f>T297*Q297</f>
        <v>1453.998</v>
      </c>
      <c r="V297" s="24">
        <f t="shared" si="59"/>
        <v>158.0432609</v>
      </c>
      <c r="W297" s="3">
        <f t="shared" si="31"/>
        <v>0</v>
      </c>
      <c r="X297" s="3">
        <f t="shared" si="32"/>
        <v>0</v>
      </c>
      <c r="Y297" s="3">
        <f t="shared" si="33"/>
        <v>0</v>
      </c>
      <c r="Z297" s="25">
        <f t="shared" si="34"/>
        <v>0</v>
      </c>
      <c r="AA297" s="26">
        <f>VLOOKUP(S297,CPI!$A$2:$F$71,6,0)</f>
        <v>1.382720845</v>
      </c>
      <c r="AB297" s="27">
        <f t="shared" si="60"/>
        <v>2010.473344</v>
      </c>
      <c r="AC297" s="27">
        <f t="shared" si="61"/>
        <v>218.5297113</v>
      </c>
      <c r="AD297" s="130" t="s">
        <v>60</v>
      </c>
      <c r="AE297" s="137" t="s">
        <v>590</v>
      </c>
      <c r="AF297" s="29"/>
      <c r="AG297" s="30"/>
      <c r="AH297" s="30"/>
      <c r="AI297" s="30"/>
      <c r="AJ297" s="31"/>
      <c r="AK297" s="31"/>
      <c r="AL297" s="31"/>
      <c r="AM297" s="172"/>
      <c r="AN297" s="172"/>
      <c r="AO297" s="172"/>
      <c r="AP297" s="172"/>
      <c r="AQ297" s="130"/>
    </row>
    <row r="298" ht="15.75" customHeight="1">
      <c r="A298" s="163"/>
      <c r="B298" s="114" t="s">
        <v>230</v>
      </c>
      <c r="C298" s="72" t="s">
        <v>586</v>
      </c>
      <c r="D298" s="115" t="s">
        <v>87</v>
      </c>
      <c r="E298" s="115" t="s">
        <v>331</v>
      </c>
      <c r="F298" s="116">
        <v>2017.0</v>
      </c>
      <c r="G298" s="114"/>
      <c r="H298" s="116">
        <v>0.0</v>
      </c>
      <c r="I298" s="116">
        <v>19.5</v>
      </c>
      <c r="J298" s="114"/>
      <c r="K298" s="114"/>
      <c r="L298" s="114"/>
      <c r="M298" s="114"/>
      <c r="N298" s="114"/>
      <c r="O298" s="116">
        <v>117.0</v>
      </c>
      <c r="P298" s="114"/>
      <c r="Q298" s="140">
        <v>13057.0</v>
      </c>
      <c r="R298" s="114" t="s">
        <v>234</v>
      </c>
      <c r="S298" s="115">
        <v>2017.0</v>
      </c>
      <c r="T298" s="85">
        <v>0.239</v>
      </c>
      <c r="U298" s="118">
        <f t="shared" ref="U298:U307" si="90">Q298*T298</f>
        <v>3120.623</v>
      </c>
      <c r="V298" s="24">
        <f t="shared" si="59"/>
        <v>160.0319487</v>
      </c>
      <c r="W298" s="3">
        <f t="shared" si="31"/>
        <v>0</v>
      </c>
      <c r="X298" s="3">
        <f t="shared" si="32"/>
        <v>0</v>
      </c>
      <c r="Y298" s="3">
        <f t="shared" si="33"/>
        <v>0</v>
      </c>
      <c r="Z298" s="25">
        <f t="shared" si="34"/>
        <v>0</v>
      </c>
      <c r="AA298" s="26">
        <f>VLOOKUP(S298,CPI!$A$2:$F$71,6,0)</f>
        <v>1.314109416</v>
      </c>
      <c r="AB298" s="27">
        <f t="shared" si="60"/>
        <v>4100.840067</v>
      </c>
      <c r="AC298" s="27">
        <f t="shared" si="61"/>
        <v>210.2994906</v>
      </c>
      <c r="AD298" s="114"/>
      <c r="AE298" s="119" t="s">
        <v>588</v>
      </c>
      <c r="AF298" s="164"/>
      <c r="AG298" s="165"/>
      <c r="AH298" s="165"/>
      <c r="AI298" s="165"/>
      <c r="AJ298" s="166"/>
      <c r="AK298" s="166"/>
      <c r="AL298" s="166"/>
      <c r="AM298" s="172"/>
      <c r="AN298" s="172"/>
      <c r="AO298" s="172"/>
      <c r="AP298" s="172"/>
      <c r="AQ298" s="130"/>
    </row>
    <row r="299" ht="15.75" customHeight="1">
      <c r="A299" s="170">
        <v>7939.0</v>
      </c>
      <c r="B299" s="72" t="s">
        <v>230</v>
      </c>
      <c r="C299" s="72" t="s">
        <v>586</v>
      </c>
      <c r="D299" s="115" t="s">
        <v>57</v>
      </c>
      <c r="E299" s="72" t="s">
        <v>592</v>
      </c>
      <c r="F299" s="69">
        <v>2020.0</v>
      </c>
      <c r="G299" s="72"/>
      <c r="H299" s="69">
        <v>0.0</v>
      </c>
      <c r="I299" s="69">
        <v>7.594</v>
      </c>
      <c r="J299" s="117">
        <v>1.0</v>
      </c>
      <c r="K299" s="69">
        <v>7.594</v>
      </c>
      <c r="L299" s="72"/>
      <c r="M299" s="72"/>
      <c r="N299" s="69">
        <v>7.0</v>
      </c>
      <c r="O299" s="69">
        <v>117.0</v>
      </c>
      <c r="P299" s="72"/>
      <c r="Q299" s="140">
        <v>8940.0</v>
      </c>
      <c r="R299" s="72" t="s">
        <v>234</v>
      </c>
      <c r="S299" s="115">
        <v>2020.0</v>
      </c>
      <c r="T299" s="136">
        <v>0.239</v>
      </c>
      <c r="U299" s="118">
        <f t="shared" si="90"/>
        <v>2136.66</v>
      </c>
      <c r="V299" s="24">
        <f t="shared" si="59"/>
        <v>281.3616013</v>
      </c>
      <c r="W299" s="3">
        <f t="shared" si="31"/>
        <v>0</v>
      </c>
      <c r="X299" s="3">
        <f t="shared" si="32"/>
        <v>0</v>
      </c>
      <c r="Y299" s="3">
        <f t="shared" si="33"/>
        <v>0</v>
      </c>
      <c r="Z299" s="25">
        <f t="shared" si="34"/>
        <v>0</v>
      </c>
      <c r="AA299" s="26">
        <f>VLOOKUP(S299,CPI!$A$2:$F$71,6,0)</f>
        <v>1.244593545</v>
      </c>
      <c r="AB299" s="27">
        <f t="shared" si="60"/>
        <v>2659.273244</v>
      </c>
      <c r="AC299" s="27">
        <f t="shared" si="61"/>
        <v>350.1808328</v>
      </c>
      <c r="AD299" s="72" t="s">
        <v>36</v>
      </c>
      <c r="AE299" s="79" t="s">
        <v>593</v>
      </c>
      <c r="AF299" s="186"/>
      <c r="AG299" s="187"/>
      <c r="AH299" s="187"/>
      <c r="AI299" s="187"/>
      <c r="AJ299" s="81"/>
      <c r="AK299" s="81"/>
      <c r="AL299" s="81"/>
      <c r="AM299" s="172"/>
      <c r="AN299" s="172"/>
      <c r="AO299" s="172"/>
      <c r="AP299" s="172"/>
      <c r="AQ299" s="130"/>
    </row>
    <row r="300" ht="15.75" customHeight="1">
      <c r="A300" s="38">
        <v>8098.0</v>
      </c>
      <c r="B300" s="72" t="s">
        <v>230</v>
      </c>
      <c r="C300" s="72" t="s">
        <v>586</v>
      </c>
      <c r="D300" s="72" t="s">
        <v>110</v>
      </c>
      <c r="E300" s="72" t="s">
        <v>110</v>
      </c>
      <c r="F300" s="69">
        <v>2020.0</v>
      </c>
      <c r="G300" s="72"/>
      <c r="H300" s="69">
        <v>0.0</v>
      </c>
      <c r="I300" s="69">
        <v>43.5</v>
      </c>
      <c r="J300" s="117">
        <v>1.0</v>
      </c>
      <c r="K300" s="69">
        <v>43.5</v>
      </c>
      <c r="L300" s="72"/>
      <c r="M300" s="72"/>
      <c r="N300" s="69">
        <v>26.0</v>
      </c>
      <c r="O300" s="69">
        <v>117.0</v>
      </c>
      <c r="P300" s="72"/>
      <c r="Q300" s="140">
        <v>30302.0</v>
      </c>
      <c r="R300" s="72" t="s">
        <v>234</v>
      </c>
      <c r="S300" s="115">
        <v>2020.0</v>
      </c>
      <c r="T300" s="136">
        <v>0.239</v>
      </c>
      <c r="U300" s="118">
        <f t="shared" si="90"/>
        <v>7242.178</v>
      </c>
      <c r="V300" s="24">
        <f t="shared" si="59"/>
        <v>166.4868506</v>
      </c>
      <c r="W300" s="3">
        <f t="shared" si="31"/>
        <v>0</v>
      </c>
      <c r="X300" s="3">
        <f t="shared" si="32"/>
        <v>0</v>
      </c>
      <c r="Y300" s="3">
        <f t="shared" si="33"/>
        <v>0</v>
      </c>
      <c r="Z300" s="25">
        <f t="shared" si="34"/>
        <v>0</v>
      </c>
      <c r="AA300" s="26">
        <f>VLOOKUP(S300,CPI!$A$2:$F$71,6,0)</f>
        <v>1.244593545</v>
      </c>
      <c r="AB300" s="27">
        <f t="shared" si="60"/>
        <v>9013.567991</v>
      </c>
      <c r="AC300" s="27">
        <f t="shared" si="61"/>
        <v>207.2084596</v>
      </c>
      <c r="AD300" s="72"/>
      <c r="AE300" s="79" t="s">
        <v>588</v>
      </c>
      <c r="AF300" s="186"/>
      <c r="AG300" s="187"/>
      <c r="AH300" s="187"/>
      <c r="AI300" s="187"/>
      <c r="AJ300" s="81"/>
      <c r="AK300" s="81"/>
      <c r="AL300" s="81"/>
      <c r="AM300" s="172"/>
      <c r="AN300" s="172"/>
      <c r="AO300" s="172"/>
      <c r="AP300" s="172"/>
      <c r="AQ300" s="130"/>
    </row>
    <row r="301" ht="15.75" customHeight="1">
      <c r="A301" s="38">
        <v>8072.0</v>
      </c>
      <c r="B301" s="72" t="s">
        <v>230</v>
      </c>
      <c r="C301" s="72" t="s">
        <v>586</v>
      </c>
      <c r="D301" s="72" t="s">
        <v>84</v>
      </c>
      <c r="E301" s="72" t="s">
        <v>84</v>
      </c>
      <c r="F301" s="69">
        <v>2020.0</v>
      </c>
      <c r="G301" s="72"/>
      <c r="H301" s="69">
        <v>0.0</v>
      </c>
      <c r="I301" s="69">
        <v>26.45</v>
      </c>
      <c r="J301" s="117">
        <v>1.0</v>
      </c>
      <c r="K301" s="69">
        <v>26.45</v>
      </c>
      <c r="L301" s="72"/>
      <c r="M301" s="72"/>
      <c r="N301" s="69">
        <v>22.0</v>
      </c>
      <c r="O301" s="69">
        <v>117.0</v>
      </c>
      <c r="P301" s="72"/>
      <c r="Q301" s="140">
        <v>22848.0</v>
      </c>
      <c r="R301" s="72" t="s">
        <v>234</v>
      </c>
      <c r="S301" s="115">
        <v>2020.0</v>
      </c>
      <c r="T301" s="136">
        <v>0.239</v>
      </c>
      <c r="U301" s="118">
        <f t="shared" si="90"/>
        <v>5460.672</v>
      </c>
      <c r="V301" s="24">
        <f t="shared" si="59"/>
        <v>206.4526276</v>
      </c>
      <c r="W301" s="3">
        <f t="shared" si="31"/>
        <v>0</v>
      </c>
      <c r="X301" s="3">
        <f t="shared" si="32"/>
        <v>0</v>
      </c>
      <c r="Y301" s="3">
        <f t="shared" si="33"/>
        <v>0</v>
      </c>
      <c r="Z301" s="25">
        <f t="shared" si="34"/>
        <v>0</v>
      </c>
      <c r="AA301" s="26">
        <f>VLOOKUP(S301,CPI!$A$2:$F$71,6,0)</f>
        <v>1.244593545</v>
      </c>
      <c r="AB301" s="27">
        <f t="shared" si="60"/>
        <v>6796.317123</v>
      </c>
      <c r="AC301" s="27">
        <f t="shared" si="61"/>
        <v>256.9496077</v>
      </c>
      <c r="AD301" s="72"/>
      <c r="AE301" s="79" t="s">
        <v>588</v>
      </c>
      <c r="AF301" s="186"/>
      <c r="AG301" s="187"/>
      <c r="AH301" s="187"/>
      <c r="AI301" s="187"/>
      <c r="AJ301" s="81"/>
      <c r="AK301" s="81"/>
      <c r="AL301" s="81"/>
      <c r="AM301" s="172"/>
      <c r="AN301" s="172"/>
      <c r="AO301" s="172"/>
      <c r="AP301" s="172"/>
      <c r="AQ301" s="130"/>
    </row>
    <row r="302" ht="15.75" customHeight="1">
      <c r="A302" s="38">
        <v>8128.0</v>
      </c>
      <c r="B302" s="72" t="s">
        <v>230</v>
      </c>
      <c r="C302" s="72" t="s">
        <v>586</v>
      </c>
      <c r="D302" s="72" t="s">
        <v>80</v>
      </c>
      <c r="E302" s="72" t="s">
        <v>80</v>
      </c>
      <c r="F302" s="69">
        <v>2020.0</v>
      </c>
      <c r="G302" s="72"/>
      <c r="H302" s="69">
        <v>0.0</v>
      </c>
      <c r="I302" s="69">
        <v>25.61</v>
      </c>
      <c r="J302" s="117">
        <v>0.59</v>
      </c>
      <c r="K302" s="69">
        <v>15.01</v>
      </c>
      <c r="L302" s="72"/>
      <c r="M302" s="72"/>
      <c r="N302" s="69">
        <v>8.0</v>
      </c>
      <c r="O302" s="69">
        <v>117.0</v>
      </c>
      <c r="P302" s="72"/>
      <c r="Q302" s="140">
        <v>14171.0</v>
      </c>
      <c r="R302" s="72" t="s">
        <v>234</v>
      </c>
      <c r="S302" s="115">
        <v>2020.0</v>
      </c>
      <c r="T302" s="136">
        <v>0.239</v>
      </c>
      <c r="U302" s="118">
        <f t="shared" si="90"/>
        <v>3386.869</v>
      </c>
      <c r="V302" s="24">
        <f t="shared" si="59"/>
        <v>132.247911</v>
      </c>
      <c r="W302" s="3">
        <f t="shared" si="31"/>
        <v>0</v>
      </c>
      <c r="X302" s="3">
        <f t="shared" si="32"/>
        <v>0</v>
      </c>
      <c r="Y302" s="3">
        <f t="shared" si="33"/>
        <v>0</v>
      </c>
      <c r="Z302" s="25">
        <f t="shared" si="34"/>
        <v>0</v>
      </c>
      <c r="AA302" s="26">
        <f>VLOOKUP(S302,CPI!$A$2:$F$71,6,0)</f>
        <v>1.244593545</v>
      </c>
      <c r="AB302" s="27">
        <f t="shared" si="60"/>
        <v>4215.275295</v>
      </c>
      <c r="AC302" s="27">
        <f t="shared" si="61"/>
        <v>164.5948963</v>
      </c>
      <c r="AD302" s="72"/>
      <c r="AE302" s="79" t="s">
        <v>588</v>
      </c>
      <c r="AF302" s="205" t="s">
        <v>594</v>
      </c>
      <c r="AG302" s="168"/>
      <c r="AH302" s="168"/>
      <c r="AI302" s="169"/>
      <c r="AJ302" s="81"/>
      <c r="AK302" s="81"/>
      <c r="AL302" s="81"/>
      <c r="AM302" s="172"/>
      <c r="AN302" s="172"/>
      <c r="AO302" s="172"/>
      <c r="AP302" s="172"/>
      <c r="AQ302" s="130"/>
    </row>
    <row r="303" ht="15.75" customHeight="1">
      <c r="A303" s="38">
        <v>8155.0</v>
      </c>
      <c r="B303" s="72" t="s">
        <v>230</v>
      </c>
      <c r="C303" s="72" t="s">
        <v>595</v>
      </c>
      <c r="D303" s="16" t="s">
        <v>57</v>
      </c>
      <c r="E303" s="115" t="s">
        <v>232</v>
      </c>
      <c r="F303" s="72"/>
      <c r="G303" s="70">
        <v>2019.0</v>
      </c>
      <c r="H303" s="69">
        <v>0.0</v>
      </c>
      <c r="I303" s="69">
        <v>25.9</v>
      </c>
      <c r="J303" s="117">
        <v>1.0</v>
      </c>
      <c r="K303" s="193">
        <v>25.9</v>
      </c>
      <c r="L303" s="72"/>
      <c r="M303" s="72"/>
      <c r="N303" s="69">
        <v>20.0</v>
      </c>
      <c r="O303" s="70">
        <v>138.0</v>
      </c>
      <c r="P303" s="72"/>
      <c r="Q303" s="140">
        <v>19816.0</v>
      </c>
      <c r="R303" s="72" t="s">
        <v>234</v>
      </c>
      <c r="S303" s="115">
        <v>2019.0</v>
      </c>
      <c r="T303" s="136">
        <v>0.238</v>
      </c>
      <c r="U303" s="118">
        <f t="shared" si="90"/>
        <v>4716.208</v>
      </c>
      <c r="V303" s="24">
        <f t="shared" si="59"/>
        <v>182.092973</v>
      </c>
      <c r="W303" s="3">
        <f t="shared" si="31"/>
        <v>0</v>
      </c>
      <c r="X303" s="3">
        <f t="shared" si="32"/>
        <v>0</v>
      </c>
      <c r="Y303" s="3">
        <f t="shared" si="33"/>
        <v>0</v>
      </c>
      <c r="Z303" s="25">
        <f t="shared" si="34"/>
        <v>0</v>
      </c>
      <c r="AA303" s="26">
        <f>VLOOKUP(S303,CPI!$A$2:$F$71,6,0)</f>
        <v>1.259947899</v>
      </c>
      <c r="AB303" s="27">
        <f t="shared" si="60"/>
        <v>5942.176361</v>
      </c>
      <c r="AC303" s="27">
        <f t="shared" si="61"/>
        <v>229.4276587</v>
      </c>
      <c r="AD303" s="72" t="s">
        <v>36</v>
      </c>
      <c r="AE303" s="79" t="s">
        <v>596</v>
      </c>
      <c r="AF303" s="186"/>
      <c r="AG303" s="187"/>
      <c r="AH303" s="187"/>
      <c r="AI303" s="187"/>
      <c r="AJ303" s="81"/>
      <c r="AK303" s="81"/>
      <c r="AL303" s="81"/>
      <c r="AM303" s="172"/>
      <c r="AN303" s="172"/>
      <c r="AO303" s="172"/>
      <c r="AP303" s="172"/>
      <c r="AQ303" s="130"/>
    </row>
    <row r="304" ht="15.75" customHeight="1">
      <c r="A304" s="163"/>
      <c r="B304" s="114" t="s">
        <v>230</v>
      </c>
      <c r="C304" s="72" t="s">
        <v>595</v>
      </c>
      <c r="D304" s="115" t="s">
        <v>110</v>
      </c>
      <c r="E304" s="115" t="s">
        <v>332</v>
      </c>
      <c r="F304" s="116">
        <v>2019.0</v>
      </c>
      <c r="G304" s="114"/>
      <c r="H304" s="116">
        <v>0.0</v>
      </c>
      <c r="I304" s="116">
        <v>26.8</v>
      </c>
      <c r="J304" s="117">
        <v>0.6</v>
      </c>
      <c r="K304" s="116">
        <v>16.0</v>
      </c>
      <c r="L304" s="114"/>
      <c r="M304" s="114"/>
      <c r="N304" s="116">
        <v>11.0</v>
      </c>
      <c r="O304" s="116"/>
      <c r="P304" s="114"/>
      <c r="Q304" s="140">
        <v>17062.0</v>
      </c>
      <c r="R304" s="114" t="s">
        <v>234</v>
      </c>
      <c r="S304" s="115">
        <v>2019.0</v>
      </c>
      <c r="T304" s="136">
        <v>0.238</v>
      </c>
      <c r="U304" s="118">
        <f t="shared" si="90"/>
        <v>4060.756</v>
      </c>
      <c r="V304" s="24">
        <f t="shared" si="59"/>
        <v>151.5207463</v>
      </c>
      <c r="W304" s="3">
        <f t="shared" si="31"/>
        <v>0</v>
      </c>
      <c r="X304" s="3">
        <f t="shared" si="32"/>
        <v>0</v>
      </c>
      <c r="Y304" s="3">
        <f t="shared" si="33"/>
        <v>0</v>
      </c>
      <c r="Z304" s="25">
        <f t="shared" si="34"/>
        <v>0</v>
      </c>
      <c r="AA304" s="26">
        <f>VLOOKUP(S304,CPI!$A$2:$F$71,6,0)</f>
        <v>1.259947899</v>
      </c>
      <c r="AB304" s="27">
        <f t="shared" si="60"/>
        <v>5116.34099</v>
      </c>
      <c r="AC304" s="27">
        <f t="shared" si="61"/>
        <v>190.9082459</v>
      </c>
      <c r="AD304" s="114"/>
      <c r="AE304" s="119" t="s">
        <v>597</v>
      </c>
      <c r="AF304" s="164"/>
      <c r="AG304" s="165"/>
      <c r="AH304" s="165"/>
      <c r="AI304" s="165"/>
      <c r="AJ304" s="166"/>
      <c r="AK304" s="166"/>
      <c r="AL304" s="166"/>
      <c r="AM304" s="172"/>
      <c r="AN304" s="172"/>
      <c r="AO304" s="172"/>
      <c r="AP304" s="172"/>
      <c r="AQ304" s="130"/>
    </row>
    <row r="305" ht="15.75" customHeight="1">
      <c r="A305" s="38">
        <v>8154.0</v>
      </c>
      <c r="B305" s="72" t="s">
        <v>230</v>
      </c>
      <c r="C305" s="72" t="s">
        <v>595</v>
      </c>
      <c r="D305" s="16" t="s">
        <v>54</v>
      </c>
      <c r="E305" s="115" t="s">
        <v>348</v>
      </c>
      <c r="F305" s="69">
        <v>2021.0</v>
      </c>
      <c r="G305" s="72"/>
      <c r="H305" s="69">
        <v>0.0</v>
      </c>
      <c r="I305" s="69">
        <v>9.6</v>
      </c>
      <c r="J305" s="117">
        <v>1.0</v>
      </c>
      <c r="K305" s="193">
        <v>9.6</v>
      </c>
      <c r="L305" s="72"/>
      <c r="M305" s="72"/>
      <c r="N305" s="69">
        <v>9.0</v>
      </c>
      <c r="O305" s="69">
        <v>138.0</v>
      </c>
      <c r="P305" s="72"/>
      <c r="Q305" s="140">
        <v>8960.0</v>
      </c>
      <c r="R305" s="72" t="s">
        <v>234</v>
      </c>
      <c r="S305" s="115">
        <v>2021.0</v>
      </c>
      <c r="T305" s="136">
        <v>0.239</v>
      </c>
      <c r="U305" s="118">
        <f t="shared" si="90"/>
        <v>2141.44</v>
      </c>
      <c r="V305" s="24">
        <f t="shared" si="59"/>
        <v>223.0666667</v>
      </c>
      <c r="W305" s="3">
        <f t="shared" si="31"/>
        <v>0</v>
      </c>
      <c r="X305" s="3">
        <f t="shared" si="32"/>
        <v>0</v>
      </c>
      <c r="Y305" s="3">
        <f t="shared" si="33"/>
        <v>0</v>
      </c>
      <c r="Z305" s="25">
        <f t="shared" si="34"/>
        <v>0</v>
      </c>
      <c r="AA305" s="26">
        <f>VLOOKUP(S305,CPI!$A$2:$F$71,6,0)</f>
        <v>1.188745987</v>
      </c>
      <c r="AB305" s="27">
        <f t="shared" si="60"/>
        <v>2545.628206</v>
      </c>
      <c r="AC305" s="27">
        <f t="shared" si="61"/>
        <v>265.1696048</v>
      </c>
      <c r="AD305" s="72" t="s">
        <v>36</v>
      </c>
      <c r="AE305" s="79" t="s">
        <v>598</v>
      </c>
      <c r="AF305" s="186"/>
      <c r="AG305" s="187"/>
      <c r="AH305" s="187"/>
      <c r="AI305" s="187"/>
      <c r="AJ305" s="81"/>
      <c r="AK305" s="81"/>
      <c r="AL305" s="81"/>
      <c r="AM305" s="172"/>
      <c r="AN305" s="172"/>
      <c r="AO305" s="172"/>
      <c r="AP305" s="172"/>
      <c r="AQ305" s="130"/>
    </row>
    <row r="306" ht="15.75" customHeight="1">
      <c r="A306" s="163"/>
      <c r="B306" s="114" t="s">
        <v>230</v>
      </c>
      <c r="C306" s="114" t="s">
        <v>599</v>
      </c>
      <c r="D306" s="114" t="s">
        <v>54</v>
      </c>
      <c r="E306" s="114" t="s">
        <v>54</v>
      </c>
      <c r="F306" s="116">
        <v>2022.0</v>
      </c>
      <c r="G306" s="114"/>
      <c r="H306" s="116">
        <v>0.0</v>
      </c>
      <c r="I306" s="116">
        <v>18.216</v>
      </c>
      <c r="J306" s="117">
        <v>1.0</v>
      </c>
      <c r="K306" s="116">
        <v>18.216</v>
      </c>
      <c r="L306" s="114"/>
      <c r="M306" s="114"/>
      <c r="N306" s="116">
        <v>15.0</v>
      </c>
      <c r="O306" s="116">
        <v>117.0</v>
      </c>
      <c r="P306" s="114"/>
      <c r="Q306" s="140">
        <v>14832.21</v>
      </c>
      <c r="R306" s="114" t="s">
        <v>234</v>
      </c>
      <c r="S306" s="115">
        <v>2021.0</v>
      </c>
      <c r="T306" s="136">
        <v>0.239000000000001</v>
      </c>
      <c r="U306" s="118">
        <f t="shared" si="90"/>
        <v>3544.89819</v>
      </c>
      <c r="V306" s="24">
        <f t="shared" si="59"/>
        <v>194.6035458</v>
      </c>
      <c r="W306" s="3">
        <f t="shared" si="31"/>
        <v>0</v>
      </c>
      <c r="X306" s="3">
        <f t="shared" si="32"/>
        <v>0</v>
      </c>
      <c r="Y306" s="3">
        <f t="shared" si="33"/>
        <v>0</v>
      </c>
      <c r="Z306" s="25">
        <f t="shared" si="34"/>
        <v>0</v>
      </c>
      <c r="AA306" s="26">
        <f>VLOOKUP(S306,CPI!$A$2:$F$71,6,0)</f>
        <v>1.188745987</v>
      </c>
      <c r="AB306" s="27">
        <f t="shared" si="60"/>
        <v>4213.983496</v>
      </c>
      <c r="AC306" s="27">
        <f t="shared" si="61"/>
        <v>231.334184</v>
      </c>
      <c r="AD306" s="114"/>
      <c r="AE306" s="119" t="s">
        <v>600</v>
      </c>
      <c r="AF306" s="164"/>
      <c r="AG306" s="165"/>
      <c r="AH306" s="165"/>
      <c r="AI306" s="165"/>
      <c r="AJ306" s="166"/>
      <c r="AK306" s="166"/>
      <c r="AL306" s="166"/>
      <c r="AM306" s="32"/>
      <c r="AN306" s="32"/>
      <c r="AO306" s="32"/>
      <c r="AP306" s="32"/>
      <c r="AQ306" s="33"/>
    </row>
    <row r="307" ht="15.75" customHeight="1">
      <c r="A307" s="163"/>
      <c r="B307" s="66" t="s">
        <v>230</v>
      </c>
      <c r="C307" s="114" t="s">
        <v>601</v>
      </c>
      <c r="D307" s="16" t="s">
        <v>34</v>
      </c>
      <c r="E307" s="114" t="s">
        <v>602</v>
      </c>
      <c r="F307" s="116">
        <v>2009.0</v>
      </c>
      <c r="G307" s="116">
        <v>2016.0</v>
      </c>
      <c r="H307" s="116">
        <v>0.0</v>
      </c>
      <c r="I307" s="116">
        <v>50.6</v>
      </c>
      <c r="J307" s="117">
        <v>1.0</v>
      </c>
      <c r="K307" s="116">
        <v>50.6</v>
      </c>
      <c r="L307" s="114"/>
      <c r="M307" s="114"/>
      <c r="N307" s="116">
        <v>50.0</v>
      </c>
      <c r="O307" s="116">
        <v>117.0</v>
      </c>
      <c r="P307" s="114"/>
      <c r="Q307" s="140">
        <v>27440.0</v>
      </c>
      <c r="R307" s="114" t="s">
        <v>234</v>
      </c>
      <c r="S307" s="115">
        <v>2013.0</v>
      </c>
      <c r="T307" s="85">
        <v>0.273</v>
      </c>
      <c r="U307" s="118">
        <f t="shared" si="90"/>
        <v>7491.12</v>
      </c>
      <c r="V307" s="24">
        <f t="shared" si="59"/>
        <v>148.0458498</v>
      </c>
      <c r="W307" s="3">
        <f t="shared" si="31"/>
        <v>0</v>
      </c>
      <c r="X307" s="3">
        <f t="shared" si="32"/>
        <v>0</v>
      </c>
      <c r="Y307" s="3">
        <f t="shared" si="33"/>
        <v>0</v>
      </c>
      <c r="Z307" s="25">
        <f t="shared" si="34"/>
        <v>0</v>
      </c>
      <c r="AA307" s="26">
        <f>VLOOKUP(S307,CPI!$A$2:$F$71,6,0)</f>
        <v>1.382720845</v>
      </c>
      <c r="AB307" s="27">
        <f t="shared" si="60"/>
        <v>10358.12778</v>
      </c>
      <c r="AC307" s="27">
        <f t="shared" si="61"/>
        <v>204.7060826</v>
      </c>
      <c r="AD307" s="114"/>
      <c r="AE307" s="161" t="s">
        <v>603</v>
      </c>
      <c r="AF307" s="164"/>
      <c r="AG307" s="165"/>
      <c r="AH307" s="165"/>
      <c r="AI307" s="165"/>
      <c r="AJ307" s="166"/>
      <c r="AK307" s="166"/>
      <c r="AL307" s="166"/>
      <c r="AM307" s="32"/>
      <c r="AN307" s="32"/>
      <c r="AO307" s="32"/>
      <c r="AP307" s="32"/>
      <c r="AQ307" s="33"/>
    </row>
    <row r="308" ht="15.75" customHeight="1">
      <c r="A308" s="38">
        <v>8107.0</v>
      </c>
      <c r="B308" s="130" t="s">
        <v>230</v>
      </c>
      <c r="C308" s="130" t="s">
        <v>601</v>
      </c>
      <c r="D308" s="36" t="s">
        <v>54</v>
      </c>
      <c r="E308" s="130" t="s">
        <v>313</v>
      </c>
      <c r="F308" s="130">
        <v>2015.0</v>
      </c>
      <c r="G308" s="130">
        <v>2018.0</v>
      </c>
      <c r="H308" s="130">
        <v>0.0</v>
      </c>
      <c r="I308" s="130">
        <v>8.5</v>
      </c>
      <c r="J308" s="131">
        <v>1.0</v>
      </c>
      <c r="K308" s="130">
        <v>8.5</v>
      </c>
      <c r="L308" s="132">
        <v>0.0</v>
      </c>
      <c r="M308" s="132">
        <v>0.0</v>
      </c>
      <c r="N308" s="130">
        <v>7.0</v>
      </c>
      <c r="O308" s="138"/>
      <c r="P308" s="130" t="s">
        <v>60</v>
      </c>
      <c r="Q308" s="135">
        <v>3930.0</v>
      </c>
      <c r="R308" s="130" t="s">
        <v>234</v>
      </c>
      <c r="S308" s="130">
        <v>2015.0</v>
      </c>
      <c r="T308" s="136">
        <v>0.258</v>
      </c>
      <c r="U308" s="128">
        <f>T308*Q308</f>
        <v>1013.94</v>
      </c>
      <c r="V308" s="24">
        <f t="shared" si="59"/>
        <v>119.2870588</v>
      </c>
      <c r="W308" s="3">
        <f t="shared" si="31"/>
        <v>0</v>
      </c>
      <c r="X308" s="3">
        <f t="shared" si="32"/>
        <v>0</v>
      </c>
      <c r="Y308" s="3">
        <f t="shared" si="33"/>
        <v>0</v>
      </c>
      <c r="Z308" s="25">
        <f t="shared" si="34"/>
        <v>0</v>
      </c>
      <c r="AA308" s="26">
        <f>VLOOKUP(S308,CPI!$A$2:$F$71,6,0)</f>
        <v>1.359035428</v>
      </c>
      <c r="AB308" s="27">
        <f t="shared" si="60"/>
        <v>1377.980382</v>
      </c>
      <c r="AC308" s="27">
        <f t="shared" si="61"/>
        <v>162.115339</v>
      </c>
      <c r="AD308" s="130" t="s">
        <v>60</v>
      </c>
      <c r="AE308" s="137" t="s">
        <v>604</v>
      </c>
      <c r="AF308" s="34"/>
      <c r="AG308" s="34"/>
      <c r="AH308" s="34"/>
      <c r="AI308" s="34"/>
      <c r="AJ308" s="35"/>
      <c r="AK308" s="35"/>
      <c r="AL308" s="35"/>
      <c r="AM308" s="33"/>
      <c r="AN308" s="33"/>
      <c r="AO308" s="33"/>
      <c r="AP308" s="33"/>
      <c r="AQ308" s="33"/>
    </row>
    <row r="309" ht="15.75" customHeight="1">
      <c r="A309" s="170">
        <v>7905.0</v>
      </c>
      <c r="B309" s="123" t="s">
        <v>230</v>
      </c>
      <c r="C309" s="123" t="s">
        <v>601</v>
      </c>
      <c r="D309" s="16" t="s">
        <v>110</v>
      </c>
      <c r="E309" s="123" t="s">
        <v>332</v>
      </c>
      <c r="F309" s="75">
        <v>2016.0</v>
      </c>
      <c r="G309" s="75">
        <v>2021.0</v>
      </c>
      <c r="H309" s="75">
        <v>0.0</v>
      </c>
      <c r="I309" s="75">
        <v>38.2</v>
      </c>
      <c r="J309" s="124">
        <v>0.8429319372</v>
      </c>
      <c r="K309" s="75">
        <v>32.2</v>
      </c>
      <c r="L309" s="125">
        <v>0.0</v>
      </c>
      <c r="M309" s="125">
        <v>0.0</v>
      </c>
      <c r="N309" s="75">
        <v>29.0</v>
      </c>
      <c r="O309" s="75"/>
      <c r="P309" s="123" t="s">
        <v>60</v>
      </c>
      <c r="Q309" s="126">
        <v>28650.0</v>
      </c>
      <c r="R309" s="123" t="s">
        <v>234</v>
      </c>
      <c r="S309" s="75">
        <v>2015.0</v>
      </c>
      <c r="T309" s="136">
        <v>0.258</v>
      </c>
      <c r="U309" s="128">
        <f>Q309*T309</f>
        <v>7391.7</v>
      </c>
      <c r="V309" s="24">
        <f t="shared" si="59"/>
        <v>193.5</v>
      </c>
      <c r="W309" s="3">
        <f t="shared" si="31"/>
        <v>0</v>
      </c>
      <c r="X309" s="3">
        <f t="shared" si="32"/>
        <v>0</v>
      </c>
      <c r="Y309" s="3">
        <f t="shared" si="33"/>
        <v>0</v>
      </c>
      <c r="Z309" s="25">
        <f t="shared" si="34"/>
        <v>0</v>
      </c>
      <c r="AA309" s="26">
        <f>VLOOKUP(S309,CPI!$A$2:$F$71,6,0)</f>
        <v>1.359035428</v>
      </c>
      <c r="AB309" s="27">
        <f t="shared" si="60"/>
        <v>10045.58217</v>
      </c>
      <c r="AC309" s="27">
        <f t="shared" si="61"/>
        <v>262.9733553</v>
      </c>
      <c r="AD309" s="123" t="s">
        <v>60</v>
      </c>
      <c r="AE309" s="129" t="s">
        <v>604</v>
      </c>
      <c r="AF309" s="29"/>
      <c r="AG309" s="30"/>
      <c r="AH309" s="30"/>
      <c r="AI309" s="30"/>
      <c r="AJ309" s="31"/>
      <c r="AK309" s="31"/>
      <c r="AL309" s="31"/>
      <c r="AM309" s="32"/>
      <c r="AN309" s="32"/>
      <c r="AO309" s="32"/>
      <c r="AP309" s="32"/>
      <c r="AQ309" s="33"/>
    </row>
    <row r="310" ht="15.75" customHeight="1">
      <c r="A310" s="38">
        <v>8091.0</v>
      </c>
      <c r="B310" s="130" t="s">
        <v>230</v>
      </c>
      <c r="C310" s="130" t="s">
        <v>601</v>
      </c>
      <c r="D310" s="36" t="s">
        <v>57</v>
      </c>
      <c r="E310" s="130" t="s">
        <v>605</v>
      </c>
      <c r="F310" s="130">
        <v>2018.0</v>
      </c>
      <c r="G310" s="130">
        <v>2021.0</v>
      </c>
      <c r="H310" s="130">
        <v>0.0</v>
      </c>
      <c r="I310" s="130">
        <v>4.1</v>
      </c>
      <c r="J310" s="131">
        <v>1.0</v>
      </c>
      <c r="K310" s="130">
        <v>4.1</v>
      </c>
      <c r="L310" s="132">
        <v>0.0</v>
      </c>
      <c r="M310" s="132">
        <v>0.0</v>
      </c>
      <c r="N310" s="130">
        <v>2.0</v>
      </c>
      <c r="O310" s="138"/>
      <c r="P310" s="130" t="s">
        <v>60</v>
      </c>
      <c r="Q310" s="135">
        <v>2040.0</v>
      </c>
      <c r="R310" s="130" t="s">
        <v>234</v>
      </c>
      <c r="S310" s="130">
        <v>2015.0</v>
      </c>
      <c r="T310" s="136">
        <v>0.258</v>
      </c>
      <c r="U310" s="128">
        <f>T310*Q310</f>
        <v>526.32</v>
      </c>
      <c r="V310" s="24">
        <f t="shared" si="59"/>
        <v>128.3707317</v>
      </c>
      <c r="W310" s="3">
        <f t="shared" si="31"/>
        <v>0</v>
      </c>
      <c r="X310" s="3">
        <f t="shared" si="32"/>
        <v>0</v>
      </c>
      <c r="Y310" s="3">
        <f t="shared" si="33"/>
        <v>0</v>
      </c>
      <c r="Z310" s="25">
        <f t="shared" si="34"/>
        <v>0</v>
      </c>
      <c r="AA310" s="26">
        <f>VLOOKUP(S310,CPI!$A$2:$F$71,6,0)</f>
        <v>1.359035428</v>
      </c>
      <c r="AB310" s="27">
        <f t="shared" si="60"/>
        <v>715.2875264</v>
      </c>
      <c r="AC310" s="27">
        <f t="shared" si="61"/>
        <v>174.4603723</v>
      </c>
      <c r="AD310" s="130" t="s">
        <v>60</v>
      </c>
      <c r="AE310" s="137" t="s">
        <v>604</v>
      </c>
      <c r="AF310" s="29"/>
      <c r="AG310" s="30"/>
      <c r="AH310" s="30"/>
      <c r="AI310" s="30"/>
      <c r="AJ310" s="31"/>
      <c r="AK310" s="31"/>
      <c r="AL310" s="31"/>
      <c r="AM310" s="31"/>
      <c r="AN310" s="31"/>
      <c r="AO310" s="31"/>
      <c r="AP310" s="31"/>
      <c r="AQ310" s="35"/>
    </row>
    <row r="311" ht="15.75" customHeight="1">
      <c r="A311" s="170">
        <v>7842.0</v>
      </c>
      <c r="B311" s="72" t="s">
        <v>230</v>
      </c>
      <c r="C311" s="72" t="s">
        <v>601</v>
      </c>
      <c r="D311" s="72" t="s">
        <v>87</v>
      </c>
      <c r="E311" s="72" t="s">
        <v>87</v>
      </c>
      <c r="F311" s="72"/>
      <c r="G311" s="69">
        <v>2021.0</v>
      </c>
      <c r="H311" s="69">
        <v>0.0</v>
      </c>
      <c r="I311" s="69">
        <v>28.5</v>
      </c>
      <c r="J311" s="117">
        <v>1.0</v>
      </c>
      <c r="K311" s="69">
        <v>28.5</v>
      </c>
      <c r="L311" s="72"/>
      <c r="M311" s="72"/>
      <c r="N311" s="69">
        <v>22.0</v>
      </c>
      <c r="O311" s="69">
        <v>117.0</v>
      </c>
      <c r="P311" s="72"/>
      <c r="Q311" s="140">
        <v>22347.0</v>
      </c>
      <c r="R311" s="72" t="s">
        <v>234</v>
      </c>
      <c r="S311" s="115">
        <v>2021.0</v>
      </c>
      <c r="T311" s="136">
        <v>0.239</v>
      </c>
      <c r="U311" s="118">
        <f t="shared" ref="U311:U316" si="91">Q311*T311</f>
        <v>5340.933</v>
      </c>
      <c r="V311" s="24">
        <f t="shared" si="59"/>
        <v>187.4011579</v>
      </c>
      <c r="W311" s="3">
        <f t="shared" si="31"/>
        <v>0</v>
      </c>
      <c r="X311" s="3">
        <f t="shared" si="32"/>
        <v>0</v>
      </c>
      <c r="Y311" s="3">
        <f t="shared" si="33"/>
        <v>0</v>
      </c>
      <c r="Z311" s="25">
        <f t="shared" si="34"/>
        <v>0</v>
      </c>
      <c r="AA311" s="26">
        <f>VLOOKUP(S311,CPI!$A$2:$F$71,6,0)</f>
        <v>1.188745987</v>
      </c>
      <c r="AB311" s="27">
        <f t="shared" si="60"/>
        <v>6349.012669</v>
      </c>
      <c r="AC311" s="27">
        <f t="shared" si="61"/>
        <v>222.7723743</v>
      </c>
      <c r="AD311" s="72" t="s">
        <v>36</v>
      </c>
      <c r="AE311" s="79" t="s">
        <v>606</v>
      </c>
      <c r="AF311" s="186"/>
      <c r="AG311" s="187"/>
      <c r="AH311" s="187"/>
      <c r="AI311" s="187"/>
      <c r="AJ311" s="81"/>
      <c r="AK311" s="81"/>
      <c r="AL311" s="81"/>
      <c r="AM311" s="32"/>
      <c r="AN311" s="32"/>
      <c r="AO311" s="32"/>
      <c r="AP311" s="32"/>
      <c r="AQ311" s="33"/>
    </row>
    <row r="312" ht="15.75" customHeight="1">
      <c r="A312" s="163"/>
      <c r="B312" s="66" t="s">
        <v>230</v>
      </c>
      <c r="C312" s="114" t="s">
        <v>601</v>
      </c>
      <c r="D312" s="115" t="s">
        <v>57</v>
      </c>
      <c r="E312" s="114" t="s">
        <v>333</v>
      </c>
      <c r="F312" s="116">
        <v>2021.0</v>
      </c>
      <c r="G312" s="114"/>
      <c r="H312" s="116">
        <v>0.0</v>
      </c>
      <c r="I312" s="116">
        <v>16.973</v>
      </c>
      <c r="J312" s="117">
        <v>0.8</v>
      </c>
      <c r="K312" s="116">
        <v>13.528</v>
      </c>
      <c r="L312" s="114"/>
      <c r="M312" s="114"/>
      <c r="N312" s="116">
        <v>8.0</v>
      </c>
      <c r="O312" s="116">
        <v>117.0</v>
      </c>
      <c r="P312" s="114"/>
      <c r="Q312" s="140">
        <v>10341.0</v>
      </c>
      <c r="R312" s="114" t="s">
        <v>234</v>
      </c>
      <c r="S312" s="115">
        <v>2021.0</v>
      </c>
      <c r="T312" s="136">
        <v>0.239000000000001</v>
      </c>
      <c r="U312" s="118">
        <f t="shared" si="91"/>
        <v>2471.499</v>
      </c>
      <c r="V312" s="24">
        <f t="shared" si="59"/>
        <v>145.6135627</v>
      </c>
      <c r="W312" s="3">
        <f t="shared" si="31"/>
        <v>0</v>
      </c>
      <c r="X312" s="3">
        <f t="shared" si="32"/>
        <v>0</v>
      </c>
      <c r="Y312" s="3">
        <f t="shared" si="33"/>
        <v>0</v>
      </c>
      <c r="Z312" s="25">
        <f t="shared" si="34"/>
        <v>0</v>
      </c>
      <c r="AA312" s="26">
        <f>VLOOKUP(S312,CPI!$A$2:$F$71,6,0)</f>
        <v>1.188745987</v>
      </c>
      <c r="AB312" s="27">
        <f t="shared" si="60"/>
        <v>2937.984517</v>
      </c>
      <c r="AC312" s="27">
        <f t="shared" si="61"/>
        <v>173.0975383</v>
      </c>
      <c r="AD312" s="114"/>
      <c r="AE312" s="119" t="s">
        <v>607</v>
      </c>
      <c r="AF312" s="164"/>
      <c r="AG312" s="165"/>
      <c r="AH312" s="165"/>
      <c r="AI312" s="165"/>
      <c r="AJ312" s="166"/>
      <c r="AK312" s="166"/>
      <c r="AL312" s="166"/>
      <c r="AM312" s="31"/>
      <c r="AN312" s="31"/>
      <c r="AO312" s="31"/>
      <c r="AP312" s="31"/>
      <c r="AQ312" s="35"/>
    </row>
    <row r="313" ht="15.75" customHeight="1">
      <c r="A313" s="170">
        <v>7803.0</v>
      </c>
      <c r="B313" s="72" t="s">
        <v>230</v>
      </c>
      <c r="C313" s="72" t="s">
        <v>601</v>
      </c>
      <c r="D313" s="115" t="s">
        <v>54</v>
      </c>
      <c r="E313" s="72" t="s">
        <v>315</v>
      </c>
      <c r="F313" s="69">
        <v>2021.0</v>
      </c>
      <c r="G313" s="72"/>
      <c r="H313" s="69">
        <v>0.0</v>
      </c>
      <c r="I313" s="69">
        <v>10.42</v>
      </c>
      <c r="J313" s="117">
        <v>1.0</v>
      </c>
      <c r="K313" s="69">
        <v>10.42</v>
      </c>
      <c r="L313" s="72"/>
      <c r="M313" s="72"/>
      <c r="N313" s="69">
        <v>9.0</v>
      </c>
      <c r="O313" s="69">
        <v>117.0</v>
      </c>
      <c r="P313" s="72"/>
      <c r="Q313" s="140">
        <v>10301.0</v>
      </c>
      <c r="R313" s="72" t="s">
        <v>234</v>
      </c>
      <c r="S313" s="115">
        <v>2021.0</v>
      </c>
      <c r="T313" s="136">
        <v>0.239</v>
      </c>
      <c r="U313" s="118">
        <f t="shared" si="91"/>
        <v>2461.939</v>
      </c>
      <c r="V313" s="24">
        <f t="shared" si="59"/>
        <v>236.2705374</v>
      </c>
      <c r="W313" s="3">
        <f t="shared" si="31"/>
        <v>0</v>
      </c>
      <c r="X313" s="3">
        <f t="shared" si="32"/>
        <v>0</v>
      </c>
      <c r="Y313" s="3">
        <f t="shared" si="33"/>
        <v>0</v>
      </c>
      <c r="Z313" s="25">
        <f t="shared" si="34"/>
        <v>0</v>
      </c>
      <c r="AA313" s="26">
        <f>VLOOKUP(S313,CPI!$A$2:$F$71,6,0)</f>
        <v>1.188745987</v>
      </c>
      <c r="AB313" s="27">
        <f t="shared" si="60"/>
        <v>2926.620106</v>
      </c>
      <c r="AC313" s="27">
        <f t="shared" si="61"/>
        <v>280.8656531</v>
      </c>
      <c r="AD313" s="72" t="s">
        <v>36</v>
      </c>
      <c r="AE313" s="79" t="s">
        <v>608</v>
      </c>
      <c r="AF313" s="186"/>
      <c r="AG313" s="187"/>
      <c r="AH313" s="187"/>
      <c r="AI313" s="187"/>
      <c r="AJ313" s="81"/>
      <c r="AK313" s="81"/>
      <c r="AL313" s="81"/>
      <c r="AM313" s="32"/>
      <c r="AN313" s="32"/>
      <c r="AO313" s="32"/>
      <c r="AP313" s="32"/>
      <c r="AQ313" s="33"/>
    </row>
    <row r="314" ht="15.75" customHeight="1">
      <c r="A314" s="170">
        <v>7730.0</v>
      </c>
      <c r="B314" s="123" t="s">
        <v>230</v>
      </c>
      <c r="C314" s="123" t="s">
        <v>609</v>
      </c>
      <c r="D314" s="36" t="s">
        <v>57</v>
      </c>
      <c r="E314" s="123" t="s">
        <v>232</v>
      </c>
      <c r="F314" s="75">
        <v>2000.0</v>
      </c>
      <c r="G314" s="75">
        <v>2005.0</v>
      </c>
      <c r="H314" s="75">
        <v>0.0</v>
      </c>
      <c r="I314" s="75">
        <v>21.72</v>
      </c>
      <c r="J314" s="124">
        <v>0.6597605893</v>
      </c>
      <c r="K314" s="75">
        <v>14.33</v>
      </c>
      <c r="L314" s="125">
        <v>6.05</v>
      </c>
      <c r="M314" s="125">
        <v>1.552</v>
      </c>
      <c r="N314" s="75">
        <v>16.0</v>
      </c>
      <c r="O314" s="75"/>
      <c r="P314" s="123" t="s">
        <v>42</v>
      </c>
      <c r="Q314" s="126">
        <f>8.5*10^3</f>
        <v>8500</v>
      </c>
      <c r="R314" s="123" t="s">
        <v>234</v>
      </c>
      <c r="S314" s="75">
        <v>2000.0</v>
      </c>
      <c r="T314" s="136">
        <v>0.367</v>
      </c>
      <c r="U314" s="128">
        <f t="shared" si="91"/>
        <v>3119.5</v>
      </c>
      <c r="V314" s="24">
        <f t="shared" si="59"/>
        <v>143.6233886</v>
      </c>
      <c r="W314" s="3">
        <f t="shared" si="31"/>
        <v>0</v>
      </c>
      <c r="X314" s="3">
        <f t="shared" si="32"/>
        <v>0</v>
      </c>
      <c r="Y314" s="3">
        <f t="shared" si="33"/>
        <v>0</v>
      </c>
      <c r="Z314" s="25">
        <f t="shared" si="34"/>
        <v>0</v>
      </c>
      <c r="AA314" s="26">
        <f>VLOOKUP(S314,CPI!$A$2:$F$71,6,0)</f>
        <v>1.870583624</v>
      </c>
      <c r="AB314" s="27">
        <f t="shared" si="60"/>
        <v>5835.285614</v>
      </c>
      <c r="AC314" s="27">
        <f t="shared" si="61"/>
        <v>268.6595587</v>
      </c>
      <c r="AD314" s="123" t="s">
        <v>42</v>
      </c>
      <c r="AE314" s="129" t="s">
        <v>610</v>
      </c>
      <c r="AF314" s="29"/>
      <c r="AG314" s="30"/>
      <c r="AH314" s="30"/>
      <c r="AI314" s="30"/>
      <c r="AJ314" s="31"/>
      <c r="AK314" s="31"/>
      <c r="AL314" s="31"/>
      <c r="AM314" s="32"/>
      <c r="AN314" s="32"/>
      <c r="AO314" s="32"/>
      <c r="AP314" s="32"/>
      <c r="AQ314" s="33"/>
    </row>
    <row r="315" ht="15.75" customHeight="1">
      <c r="A315" s="163"/>
      <c r="B315" s="114" t="s">
        <v>230</v>
      </c>
      <c r="C315" s="72" t="s">
        <v>609</v>
      </c>
      <c r="D315" s="115" t="s">
        <v>611</v>
      </c>
      <c r="E315" s="115" t="s">
        <v>612</v>
      </c>
      <c r="F315" s="116">
        <v>2012.0</v>
      </c>
      <c r="G315" s="116">
        <v>2014.0</v>
      </c>
      <c r="H315" s="116">
        <v>0.0</v>
      </c>
      <c r="I315" s="116">
        <v>45.2</v>
      </c>
      <c r="J315" s="117">
        <v>0.27</v>
      </c>
      <c r="K315" s="116">
        <v>12.2</v>
      </c>
      <c r="L315" s="114"/>
      <c r="M315" s="114"/>
      <c r="N315" s="116">
        <v>17.0</v>
      </c>
      <c r="O315" s="116">
        <v>78.0</v>
      </c>
      <c r="P315" s="114"/>
      <c r="Q315" s="140">
        <v>14379.0</v>
      </c>
      <c r="R315" s="114" t="s">
        <v>234</v>
      </c>
      <c r="S315" s="115">
        <v>2021.0</v>
      </c>
      <c r="T315" s="136">
        <v>0.239000000000001</v>
      </c>
      <c r="U315" s="118">
        <f t="shared" si="91"/>
        <v>3436.581</v>
      </c>
      <c r="V315" s="24">
        <f t="shared" si="59"/>
        <v>76.0305531</v>
      </c>
      <c r="W315" s="3">
        <f t="shared" si="31"/>
        <v>0</v>
      </c>
      <c r="X315" s="3">
        <f t="shared" si="32"/>
        <v>0</v>
      </c>
      <c r="Y315" s="3">
        <f t="shared" si="33"/>
        <v>0</v>
      </c>
      <c r="Z315" s="25">
        <f t="shared" si="34"/>
        <v>0</v>
      </c>
      <c r="AA315" s="26">
        <f>VLOOKUP(S315,CPI!$A$2:$F$71,6,0)</f>
        <v>1.188745987</v>
      </c>
      <c r="AB315" s="27">
        <f t="shared" si="60"/>
        <v>4085.221872</v>
      </c>
      <c r="AC315" s="27">
        <f t="shared" si="61"/>
        <v>90.38101486</v>
      </c>
      <c r="AD315" s="114"/>
      <c r="AE315" s="119" t="s">
        <v>613</v>
      </c>
      <c r="AF315" s="167" t="s">
        <v>614</v>
      </c>
      <c r="AG315" s="168"/>
      <c r="AH315" s="168"/>
      <c r="AI315" s="169"/>
      <c r="AJ315" s="166"/>
      <c r="AK315" s="166"/>
      <c r="AL315" s="166"/>
      <c r="AM315" s="32"/>
      <c r="AN315" s="32"/>
      <c r="AO315" s="32"/>
      <c r="AP315" s="32"/>
      <c r="AQ315" s="33"/>
    </row>
    <row r="316" ht="15.75" customHeight="1">
      <c r="A316" s="163"/>
      <c r="B316" s="114" t="s">
        <v>230</v>
      </c>
      <c r="C316" s="72" t="s">
        <v>609</v>
      </c>
      <c r="D316" s="115" t="s">
        <v>110</v>
      </c>
      <c r="E316" s="115" t="s">
        <v>332</v>
      </c>
      <c r="F316" s="116">
        <v>2004.0</v>
      </c>
      <c r="G316" s="116">
        <v>2015.0</v>
      </c>
      <c r="H316" s="116">
        <v>0.0</v>
      </c>
      <c r="I316" s="116">
        <v>43.9</v>
      </c>
      <c r="J316" s="117">
        <v>0.95</v>
      </c>
      <c r="K316" s="116">
        <v>41.7</v>
      </c>
      <c r="L316" s="114"/>
      <c r="M316" s="114"/>
      <c r="N316" s="114"/>
      <c r="O316" s="116">
        <v>117.0</v>
      </c>
      <c r="P316" s="114"/>
      <c r="Q316" s="140">
        <v>20070.0</v>
      </c>
      <c r="R316" s="114" t="s">
        <v>234</v>
      </c>
      <c r="S316" s="115">
        <v>2010.0</v>
      </c>
      <c r="T316" s="85">
        <v>0.3</v>
      </c>
      <c r="U316" s="118">
        <f t="shared" si="91"/>
        <v>6021</v>
      </c>
      <c r="V316" s="24">
        <f t="shared" si="59"/>
        <v>137.1526196</v>
      </c>
      <c r="W316" s="3">
        <f t="shared" si="31"/>
        <v>0</v>
      </c>
      <c r="X316" s="3">
        <f t="shared" si="32"/>
        <v>0</v>
      </c>
      <c r="Y316" s="3">
        <f t="shared" si="33"/>
        <v>0</v>
      </c>
      <c r="Z316" s="25">
        <f t="shared" si="34"/>
        <v>0</v>
      </c>
      <c r="AA316" s="26">
        <f>VLOOKUP(S316,CPI!$A$2:$F$71,6,0)</f>
        <v>1.477209983</v>
      </c>
      <c r="AB316" s="27">
        <f t="shared" si="60"/>
        <v>8894.281306</v>
      </c>
      <c r="AC316" s="27">
        <f t="shared" si="61"/>
        <v>202.6032188</v>
      </c>
      <c r="AD316" s="114"/>
      <c r="AE316" s="119" t="s">
        <v>615</v>
      </c>
      <c r="AF316" s="167" t="s">
        <v>328</v>
      </c>
      <c r="AG316" s="168"/>
      <c r="AH316" s="168"/>
      <c r="AI316" s="169"/>
      <c r="AJ316" s="166"/>
      <c r="AK316" s="166"/>
      <c r="AL316" s="166"/>
      <c r="AM316" s="32"/>
      <c r="AN316" s="32"/>
      <c r="AO316" s="32"/>
      <c r="AP316" s="32"/>
      <c r="AQ316" s="33"/>
    </row>
    <row r="317" ht="15.75" customHeight="1">
      <c r="A317" s="38">
        <v>8080.0</v>
      </c>
      <c r="B317" s="130" t="s">
        <v>230</v>
      </c>
      <c r="C317" s="130" t="s">
        <v>609</v>
      </c>
      <c r="D317" s="16" t="s">
        <v>87</v>
      </c>
      <c r="E317" s="130" t="s">
        <v>616</v>
      </c>
      <c r="F317" s="130">
        <v>2015.0</v>
      </c>
      <c r="G317" s="130">
        <v>2017.0</v>
      </c>
      <c r="H317" s="130">
        <v>0.0</v>
      </c>
      <c r="I317" s="130">
        <v>6.6</v>
      </c>
      <c r="J317" s="131">
        <v>1.0</v>
      </c>
      <c r="K317" s="130">
        <v>6.6</v>
      </c>
      <c r="L317" s="132">
        <v>0.0</v>
      </c>
      <c r="M317" s="132">
        <v>0.0</v>
      </c>
      <c r="N317" s="130">
        <v>2.0</v>
      </c>
      <c r="O317" s="138"/>
      <c r="P317" s="130" t="s">
        <v>60</v>
      </c>
      <c r="Q317" s="135">
        <v>3370.0</v>
      </c>
      <c r="R317" s="130" t="s">
        <v>234</v>
      </c>
      <c r="S317" s="130">
        <v>2015.0</v>
      </c>
      <c r="T317" s="136">
        <v>0.258</v>
      </c>
      <c r="U317" s="128">
        <f>T317*Q317</f>
        <v>869.46</v>
      </c>
      <c r="V317" s="24">
        <f t="shared" si="59"/>
        <v>131.7363636</v>
      </c>
      <c r="W317" s="3">
        <f t="shared" si="31"/>
        <v>0</v>
      </c>
      <c r="X317" s="3">
        <f t="shared" si="32"/>
        <v>0</v>
      </c>
      <c r="Y317" s="3">
        <f t="shared" si="33"/>
        <v>0</v>
      </c>
      <c r="Z317" s="25">
        <f t="shared" si="34"/>
        <v>0</v>
      </c>
      <c r="AA317" s="26">
        <f>VLOOKUP(S317,CPI!$A$2:$F$71,6,0)</f>
        <v>1.359035428</v>
      </c>
      <c r="AB317" s="27">
        <f t="shared" si="60"/>
        <v>1181.626943</v>
      </c>
      <c r="AC317" s="27">
        <f t="shared" si="61"/>
        <v>179.0343853</v>
      </c>
      <c r="AD317" s="130" t="s">
        <v>60</v>
      </c>
      <c r="AE317" s="137" t="s">
        <v>617</v>
      </c>
      <c r="AF317" s="29"/>
      <c r="AG317" s="30"/>
      <c r="AH317" s="30"/>
      <c r="AI317" s="30"/>
      <c r="AJ317" s="31"/>
      <c r="AK317" s="31"/>
      <c r="AL317" s="31"/>
      <c r="AM317" s="32"/>
      <c r="AN317" s="32"/>
      <c r="AO317" s="32"/>
      <c r="AP317" s="32"/>
      <c r="AQ317" s="33"/>
    </row>
    <row r="318" ht="15.75" customHeight="1">
      <c r="A318" s="170">
        <v>7875.0</v>
      </c>
      <c r="B318" s="72" t="s">
        <v>230</v>
      </c>
      <c r="C318" s="72" t="s">
        <v>609</v>
      </c>
      <c r="D318" s="16" t="s">
        <v>253</v>
      </c>
      <c r="E318" s="115" t="s">
        <v>618</v>
      </c>
      <c r="F318" s="69">
        <v>2016.0</v>
      </c>
      <c r="G318" s="69">
        <v>2020.0</v>
      </c>
      <c r="H318" s="69">
        <v>0.0</v>
      </c>
      <c r="I318" s="69">
        <v>19.677</v>
      </c>
      <c r="J318" s="117">
        <v>1.0</v>
      </c>
      <c r="K318" s="69">
        <v>19.677</v>
      </c>
      <c r="L318" s="72"/>
      <c r="M318" s="72"/>
      <c r="N318" s="69">
        <v>16.0</v>
      </c>
      <c r="O318" s="69">
        <v>117.0</v>
      </c>
      <c r="P318" s="72"/>
      <c r="Q318" s="140">
        <v>21250.0</v>
      </c>
      <c r="R318" s="72" t="s">
        <v>234</v>
      </c>
      <c r="S318" s="75">
        <v>2018.0</v>
      </c>
      <c r="T318" s="136">
        <v>0.237</v>
      </c>
      <c r="U318" s="118">
        <f t="shared" ref="U318:U384" si="92">Q318*T318</f>
        <v>5036.25</v>
      </c>
      <c r="V318" s="24">
        <f t="shared" si="59"/>
        <v>255.9460284</v>
      </c>
      <c r="W318" s="3">
        <f t="shared" si="31"/>
        <v>0</v>
      </c>
      <c r="X318" s="3">
        <f t="shared" si="32"/>
        <v>0</v>
      </c>
      <c r="Y318" s="3">
        <f t="shared" si="33"/>
        <v>0</v>
      </c>
      <c r="Z318" s="25">
        <f t="shared" si="34"/>
        <v>0</v>
      </c>
      <c r="AA318" s="26">
        <f>VLOOKUP(S318,CPI!$A$2:$F$71,6,0)</f>
        <v>1.28277786</v>
      </c>
      <c r="AB318" s="27">
        <f t="shared" si="60"/>
        <v>6460.389996</v>
      </c>
      <c r="AC318" s="27">
        <f t="shared" si="61"/>
        <v>328.3218984</v>
      </c>
      <c r="AD318" s="72" t="s">
        <v>36</v>
      </c>
      <c r="AE318" s="79" t="s">
        <v>619</v>
      </c>
      <c r="AF318" s="186"/>
      <c r="AG318" s="187"/>
      <c r="AH318" s="187"/>
      <c r="AI318" s="187"/>
      <c r="AJ318" s="81"/>
      <c r="AK318" s="81"/>
      <c r="AL318" s="81"/>
      <c r="AM318" s="32"/>
      <c r="AN318" s="32"/>
      <c r="AO318" s="32"/>
      <c r="AP318" s="32"/>
      <c r="AQ318" s="33"/>
    </row>
    <row r="319" ht="15.75" customHeight="1">
      <c r="A319" s="170">
        <v>7891.0</v>
      </c>
      <c r="B319" s="123" t="s">
        <v>230</v>
      </c>
      <c r="C319" s="123" t="s">
        <v>609</v>
      </c>
      <c r="D319" s="36" t="s">
        <v>54</v>
      </c>
      <c r="E319" s="123" t="s">
        <v>313</v>
      </c>
      <c r="F319" s="75">
        <v>2017.0</v>
      </c>
      <c r="G319" s="75">
        <v>2020.0</v>
      </c>
      <c r="H319" s="75">
        <v>0.0</v>
      </c>
      <c r="I319" s="75">
        <v>5.6</v>
      </c>
      <c r="J319" s="124">
        <v>1.0</v>
      </c>
      <c r="K319" s="75">
        <v>5.6</v>
      </c>
      <c r="L319" s="125">
        <v>0.0</v>
      </c>
      <c r="M319" s="125">
        <v>0.0</v>
      </c>
      <c r="N319" s="75">
        <v>4.0</v>
      </c>
      <c r="O319" s="75"/>
      <c r="P319" s="123" t="s">
        <v>60</v>
      </c>
      <c r="Q319" s="126">
        <v>4280.0</v>
      </c>
      <c r="R319" s="123" t="s">
        <v>234</v>
      </c>
      <c r="S319" s="75">
        <v>2015.0</v>
      </c>
      <c r="T319" s="136">
        <v>0.258</v>
      </c>
      <c r="U319" s="128">
        <f t="shared" si="92"/>
        <v>1104.24</v>
      </c>
      <c r="V319" s="24">
        <f t="shared" si="59"/>
        <v>197.1857143</v>
      </c>
      <c r="W319" s="3">
        <f t="shared" si="31"/>
        <v>0</v>
      </c>
      <c r="X319" s="3">
        <f t="shared" si="32"/>
        <v>0</v>
      </c>
      <c r="Y319" s="3">
        <f t="shared" si="33"/>
        <v>0</v>
      </c>
      <c r="Z319" s="25">
        <f t="shared" si="34"/>
        <v>0</v>
      </c>
      <c r="AA319" s="26">
        <f>VLOOKUP(S319,CPI!$A$2:$F$71,6,0)</f>
        <v>1.359035428</v>
      </c>
      <c r="AB319" s="27">
        <f t="shared" si="60"/>
        <v>1500.701281</v>
      </c>
      <c r="AC319" s="27">
        <f t="shared" si="61"/>
        <v>267.9823716</v>
      </c>
      <c r="AD319" s="123" t="s">
        <v>60</v>
      </c>
      <c r="AE319" s="129" t="s">
        <v>617</v>
      </c>
      <c r="AF319" s="29"/>
      <c r="AG319" s="30"/>
      <c r="AH319" s="30"/>
      <c r="AI319" s="30"/>
      <c r="AJ319" s="31"/>
      <c r="AK319" s="31"/>
      <c r="AL319" s="31"/>
      <c r="AM319" s="32"/>
      <c r="AN319" s="32"/>
      <c r="AO319" s="32"/>
      <c r="AP319" s="32"/>
      <c r="AQ319" s="33"/>
    </row>
    <row r="320" ht="15.75" customHeight="1">
      <c r="A320" s="170">
        <v>7947.0</v>
      </c>
      <c r="B320" s="123" t="s">
        <v>230</v>
      </c>
      <c r="C320" s="123" t="s">
        <v>609</v>
      </c>
      <c r="D320" s="115" t="s">
        <v>611</v>
      </c>
      <c r="E320" s="123" t="s">
        <v>620</v>
      </c>
      <c r="F320" s="75">
        <v>2017.0</v>
      </c>
      <c r="G320" s="75">
        <v>2020.0</v>
      </c>
      <c r="H320" s="75">
        <v>0.0</v>
      </c>
      <c r="I320" s="75">
        <v>2.5</v>
      </c>
      <c r="J320" s="124">
        <v>1.0</v>
      </c>
      <c r="K320" s="75">
        <v>2.5</v>
      </c>
      <c r="L320" s="125">
        <v>0.0</v>
      </c>
      <c r="M320" s="125">
        <v>0.0</v>
      </c>
      <c r="N320" s="75">
        <v>2.0</v>
      </c>
      <c r="O320" s="75"/>
      <c r="P320" s="123" t="s">
        <v>60</v>
      </c>
      <c r="Q320" s="126">
        <v>1711.0</v>
      </c>
      <c r="R320" s="123" t="s">
        <v>234</v>
      </c>
      <c r="S320" s="75">
        <v>2016.0</v>
      </c>
      <c r="T320" s="136">
        <v>0.251</v>
      </c>
      <c r="U320" s="128">
        <f t="shared" si="92"/>
        <v>429.461</v>
      </c>
      <c r="V320" s="24">
        <f t="shared" si="59"/>
        <v>171.7844</v>
      </c>
      <c r="W320" s="3">
        <f t="shared" si="31"/>
        <v>0</v>
      </c>
      <c r="X320" s="3">
        <f t="shared" si="32"/>
        <v>0</v>
      </c>
      <c r="Y320" s="3">
        <f t="shared" si="33"/>
        <v>0</v>
      </c>
      <c r="Z320" s="25">
        <f t="shared" si="34"/>
        <v>0</v>
      </c>
      <c r="AA320" s="26">
        <f>VLOOKUP(S320,CPI!$A$2:$F$71,6,0)</f>
        <v>1.342104605</v>
      </c>
      <c r="AB320" s="27">
        <f t="shared" si="60"/>
        <v>576.3815859</v>
      </c>
      <c r="AC320" s="27">
        <f t="shared" si="61"/>
        <v>230.5526344</v>
      </c>
      <c r="AD320" s="123" t="s">
        <v>60</v>
      </c>
      <c r="AE320" s="129" t="s">
        <v>621</v>
      </c>
      <c r="AF320" s="29"/>
      <c r="AG320" s="30"/>
      <c r="AH320" s="30"/>
      <c r="AI320" s="30"/>
      <c r="AJ320" s="31"/>
      <c r="AK320" s="31"/>
      <c r="AL320" s="31"/>
      <c r="AM320" s="32"/>
      <c r="AN320" s="32"/>
      <c r="AO320" s="32"/>
      <c r="AP320" s="32"/>
      <c r="AQ320" s="33"/>
    </row>
    <row r="321" ht="15.75" customHeight="1">
      <c r="A321" s="170">
        <v>7969.0</v>
      </c>
      <c r="B321" s="72" t="s">
        <v>230</v>
      </c>
      <c r="C321" s="72" t="s">
        <v>609</v>
      </c>
      <c r="D321" s="16" t="s">
        <v>292</v>
      </c>
      <c r="E321" s="115" t="s">
        <v>622</v>
      </c>
      <c r="F321" s="69">
        <v>2018.0</v>
      </c>
      <c r="G321" s="69">
        <v>2021.0</v>
      </c>
      <c r="H321" s="69">
        <v>0.0</v>
      </c>
      <c r="I321" s="69">
        <v>27.0</v>
      </c>
      <c r="J321" s="117">
        <v>0.95</v>
      </c>
      <c r="K321" s="69">
        <v>25.6</v>
      </c>
      <c r="L321" s="72"/>
      <c r="M321" s="72"/>
      <c r="N321" s="69">
        <v>20.0</v>
      </c>
      <c r="O321" s="69">
        <v>117.0</v>
      </c>
      <c r="P321" s="72"/>
      <c r="Q321" s="140">
        <v>21039.19</v>
      </c>
      <c r="R321" s="72" t="s">
        <v>234</v>
      </c>
      <c r="S321" s="115">
        <v>2020.0</v>
      </c>
      <c r="T321" s="136">
        <v>0.239</v>
      </c>
      <c r="U321" s="118">
        <f t="shared" si="92"/>
        <v>5028.36641</v>
      </c>
      <c r="V321" s="24">
        <f t="shared" si="59"/>
        <v>186.235793</v>
      </c>
      <c r="W321" s="3">
        <f t="shared" si="31"/>
        <v>0</v>
      </c>
      <c r="X321" s="3">
        <f t="shared" si="32"/>
        <v>0</v>
      </c>
      <c r="Y321" s="3">
        <f t="shared" si="33"/>
        <v>0</v>
      </c>
      <c r="Z321" s="25">
        <f t="shared" si="34"/>
        <v>0</v>
      </c>
      <c r="AA321" s="26">
        <f>VLOOKUP(S321,CPI!$A$2:$F$71,6,0)</f>
        <v>1.244593545</v>
      </c>
      <c r="AB321" s="27">
        <f t="shared" si="60"/>
        <v>6258.272376</v>
      </c>
      <c r="AC321" s="27">
        <f t="shared" si="61"/>
        <v>231.7878658</v>
      </c>
      <c r="AD321" s="72" t="s">
        <v>36</v>
      </c>
      <c r="AE321" s="79" t="s">
        <v>623</v>
      </c>
      <c r="AF321" s="186"/>
      <c r="AG321" s="187"/>
      <c r="AH321" s="187"/>
      <c r="AI321" s="187"/>
      <c r="AJ321" s="81"/>
      <c r="AK321" s="81"/>
      <c r="AL321" s="81"/>
      <c r="AM321" s="32"/>
      <c r="AN321" s="32"/>
      <c r="AO321" s="32"/>
      <c r="AP321" s="32"/>
      <c r="AQ321" s="33"/>
    </row>
    <row r="322" ht="15.75" customHeight="1">
      <c r="A322" s="163"/>
      <c r="B322" s="114" t="s">
        <v>230</v>
      </c>
      <c r="C322" s="72" t="s">
        <v>609</v>
      </c>
      <c r="D322" s="171" t="s">
        <v>624</v>
      </c>
      <c r="E322" s="115" t="s">
        <v>625</v>
      </c>
      <c r="F322" s="116">
        <v>2018.0</v>
      </c>
      <c r="G322" s="116">
        <v>2022.0</v>
      </c>
      <c r="H322" s="116">
        <v>0.0</v>
      </c>
      <c r="I322" s="116">
        <v>32.95</v>
      </c>
      <c r="J322" s="117">
        <v>0.0</v>
      </c>
      <c r="K322" s="116">
        <v>0.0</v>
      </c>
      <c r="L322" s="114"/>
      <c r="M322" s="114"/>
      <c r="N322" s="116">
        <v>6.0</v>
      </c>
      <c r="O322" s="116">
        <v>92.0</v>
      </c>
      <c r="P322" s="114"/>
      <c r="Q322" s="140">
        <v>9399.67</v>
      </c>
      <c r="R322" s="114" t="s">
        <v>234</v>
      </c>
      <c r="S322" s="115">
        <v>2013.0</v>
      </c>
      <c r="T322" s="85">
        <v>0.273</v>
      </c>
      <c r="U322" s="118">
        <f t="shared" si="92"/>
        <v>2566.10991</v>
      </c>
      <c r="V322" s="24">
        <f t="shared" si="59"/>
        <v>77.8789047</v>
      </c>
      <c r="W322" s="3">
        <f t="shared" si="31"/>
        <v>0</v>
      </c>
      <c r="X322" s="3">
        <f t="shared" si="32"/>
        <v>0</v>
      </c>
      <c r="Y322" s="3">
        <f t="shared" si="33"/>
        <v>0</v>
      </c>
      <c r="Z322" s="25">
        <f t="shared" si="34"/>
        <v>0</v>
      </c>
      <c r="AA322" s="26">
        <f>VLOOKUP(S322,CPI!$A$2:$F$71,6,0)</f>
        <v>1.382720845</v>
      </c>
      <c r="AB322" s="27">
        <f t="shared" si="60"/>
        <v>3548.213664</v>
      </c>
      <c r="AC322" s="27">
        <f t="shared" si="61"/>
        <v>107.684785</v>
      </c>
      <c r="AD322" s="114"/>
      <c r="AE322" s="119" t="s">
        <v>626</v>
      </c>
      <c r="AF322" s="167" t="s">
        <v>627</v>
      </c>
      <c r="AG322" s="168"/>
      <c r="AH322" s="168"/>
      <c r="AI322" s="169"/>
      <c r="AJ322" s="166"/>
      <c r="AK322" s="166"/>
      <c r="AL322" s="166"/>
      <c r="AM322" s="32"/>
      <c r="AN322" s="32"/>
      <c r="AO322" s="32"/>
      <c r="AP322" s="32"/>
      <c r="AQ322" s="33"/>
    </row>
    <row r="323" ht="15.75" customHeight="1">
      <c r="A323" s="170">
        <v>7945.0</v>
      </c>
      <c r="B323" s="72" t="s">
        <v>230</v>
      </c>
      <c r="C323" s="72" t="s">
        <v>609</v>
      </c>
      <c r="D323" s="72" t="s">
        <v>80</v>
      </c>
      <c r="E323" s="72" t="s">
        <v>80</v>
      </c>
      <c r="F323" s="69">
        <v>2019.0</v>
      </c>
      <c r="G323" s="69">
        <v>2023.0</v>
      </c>
      <c r="H323" s="69">
        <v>0.0</v>
      </c>
      <c r="I323" s="69">
        <v>32.365</v>
      </c>
      <c r="J323" s="117">
        <v>1.0</v>
      </c>
      <c r="K323" s="69">
        <v>32.365</v>
      </c>
      <c r="L323" s="72"/>
      <c r="M323" s="72"/>
      <c r="N323" s="69">
        <v>19.0</v>
      </c>
      <c r="O323" s="69">
        <v>117.0</v>
      </c>
      <c r="P323" s="72"/>
      <c r="Q323" s="140">
        <v>32870.0</v>
      </c>
      <c r="R323" s="72" t="s">
        <v>234</v>
      </c>
      <c r="S323" s="115">
        <v>2021.0</v>
      </c>
      <c r="T323" s="136">
        <v>0.239</v>
      </c>
      <c r="U323" s="118">
        <f t="shared" si="92"/>
        <v>7855.93</v>
      </c>
      <c r="V323" s="24">
        <f t="shared" si="59"/>
        <v>242.7291828</v>
      </c>
      <c r="W323" s="3">
        <f t="shared" si="31"/>
        <v>0</v>
      </c>
      <c r="X323" s="3">
        <f t="shared" si="32"/>
        <v>0</v>
      </c>
      <c r="Y323" s="3">
        <f t="shared" si="33"/>
        <v>0</v>
      </c>
      <c r="Z323" s="25">
        <f t="shared" si="34"/>
        <v>0</v>
      </c>
      <c r="AA323" s="26">
        <f>VLOOKUP(S323,CPI!$A$2:$F$71,6,0)</f>
        <v>1.188745987</v>
      </c>
      <c r="AB323" s="27">
        <f t="shared" si="60"/>
        <v>9338.705259</v>
      </c>
      <c r="AC323" s="27">
        <f t="shared" si="61"/>
        <v>288.5433418</v>
      </c>
      <c r="AD323" s="72" t="s">
        <v>36</v>
      </c>
      <c r="AE323" s="79" t="s">
        <v>628</v>
      </c>
      <c r="AF323" s="72"/>
      <c r="AG323" s="72"/>
      <c r="AH323" s="72"/>
      <c r="AI323" s="72"/>
      <c r="AJ323" s="54"/>
      <c r="AK323" s="54"/>
      <c r="AL323" s="54"/>
      <c r="AM323" s="33"/>
      <c r="AN323" s="33"/>
      <c r="AO323" s="33"/>
      <c r="AP323" s="33"/>
      <c r="AQ323" s="33"/>
    </row>
    <row r="324" ht="15.75" customHeight="1">
      <c r="A324" s="170">
        <v>7850.0</v>
      </c>
      <c r="B324" s="72" t="s">
        <v>230</v>
      </c>
      <c r="C324" s="72" t="s">
        <v>609</v>
      </c>
      <c r="D324" s="16" t="s">
        <v>239</v>
      </c>
      <c r="E324" s="115" t="s">
        <v>360</v>
      </c>
      <c r="F324" s="69">
        <v>2020.0</v>
      </c>
      <c r="G324" s="69">
        <v>2023.0</v>
      </c>
      <c r="H324" s="69">
        <v>0.0</v>
      </c>
      <c r="I324" s="69">
        <v>13.33</v>
      </c>
      <c r="J324" s="117">
        <v>1.0</v>
      </c>
      <c r="K324" s="69">
        <v>13.33</v>
      </c>
      <c r="L324" s="72"/>
      <c r="M324" s="72"/>
      <c r="N324" s="69">
        <v>10.0</v>
      </c>
      <c r="O324" s="69">
        <v>138.0</v>
      </c>
      <c r="P324" s="72"/>
      <c r="Q324" s="140">
        <v>10508.0</v>
      </c>
      <c r="R324" s="72" t="s">
        <v>234</v>
      </c>
      <c r="S324" s="115">
        <v>2021.0</v>
      </c>
      <c r="T324" s="136">
        <v>0.239</v>
      </c>
      <c r="U324" s="118">
        <f t="shared" si="92"/>
        <v>2511.412</v>
      </c>
      <c r="V324" s="24">
        <f t="shared" si="59"/>
        <v>188.4030008</v>
      </c>
      <c r="W324" s="3">
        <f t="shared" si="31"/>
        <v>0</v>
      </c>
      <c r="X324" s="3">
        <f t="shared" si="32"/>
        <v>0</v>
      </c>
      <c r="Y324" s="3">
        <f t="shared" si="33"/>
        <v>0</v>
      </c>
      <c r="Z324" s="25">
        <f t="shared" si="34"/>
        <v>0</v>
      </c>
      <c r="AA324" s="26">
        <f>VLOOKUP(S324,CPI!$A$2:$F$71,6,0)</f>
        <v>1.188745987</v>
      </c>
      <c r="AB324" s="27">
        <f t="shared" si="60"/>
        <v>2985.430936</v>
      </c>
      <c r="AC324" s="27">
        <f t="shared" si="61"/>
        <v>223.963311</v>
      </c>
      <c r="AD324" s="72" t="s">
        <v>36</v>
      </c>
      <c r="AE324" s="79" t="s">
        <v>546</v>
      </c>
      <c r="AF324" s="186"/>
      <c r="AG324" s="187"/>
      <c r="AH324" s="187"/>
      <c r="AI324" s="187"/>
      <c r="AJ324" s="81"/>
      <c r="AK324" s="81"/>
      <c r="AL324" s="81"/>
      <c r="AM324" s="32"/>
      <c r="AN324" s="32"/>
      <c r="AO324" s="32"/>
      <c r="AP324" s="32"/>
      <c r="AQ324" s="33"/>
    </row>
    <row r="325" ht="15.75" customHeight="1">
      <c r="A325" s="170">
        <v>7848.0</v>
      </c>
      <c r="B325" s="72" t="s">
        <v>230</v>
      </c>
      <c r="C325" s="72" t="s">
        <v>609</v>
      </c>
      <c r="D325" s="115" t="s">
        <v>110</v>
      </c>
      <c r="E325" s="115" t="s">
        <v>358</v>
      </c>
      <c r="F325" s="69">
        <v>2021.0</v>
      </c>
      <c r="G325" s="69">
        <v>2025.0</v>
      </c>
      <c r="H325" s="69">
        <v>0.0</v>
      </c>
      <c r="I325" s="69">
        <v>10.0</v>
      </c>
      <c r="J325" s="117">
        <v>1.0</v>
      </c>
      <c r="K325" s="69">
        <v>10.0</v>
      </c>
      <c r="L325" s="72"/>
      <c r="M325" s="72"/>
      <c r="N325" s="69">
        <v>6.0</v>
      </c>
      <c r="O325" s="69">
        <v>117.0</v>
      </c>
      <c r="P325" s="72"/>
      <c r="Q325" s="140">
        <v>8810.0</v>
      </c>
      <c r="R325" s="72" t="s">
        <v>234</v>
      </c>
      <c r="S325" s="115">
        <v>2021.0</v>
      </c>
      <c r="T325" s="136">
        <v>0.239</v>
      </c>
      <c r="U325" s="118">
        <f t="shared" si="92"/>
        <v>2105.59</v>
      </c>
      <c r="V325" s="24">
        <f t="shared" si="59"/>
        <v>210.559</v>
      </c>
      <c r="W325" s="3">
        <f t="shared" si="31"/>
        <v>0</v>
      </c>
      <c r="X325" s="3">
        <f t="shared" si="32"/>
        <v>0</v>
      </c>
      <c r="Y325" s="3">
        <f t="shared" si="33"/>
        <v>0</v>
      </c>
      <c r="Z325" s="25">
        <f t="shared" si="34"/>
        <v>0</v>
      </c>
      <c r="AA325" s="26">
        <f>VLOOKUP(S325,CPI!$A$2:$F$71,6,0)</f>
        <v>1.188745987</v>
      </c>
      <c r="AB325" s="27">
        <f t="shared" si="60"/>
        <v>2503.011662</v>
      </c>
      <c r="AC325" s="27">
        <f t="shared" si="61"/>
        <v>250.3011662</v>
      </c>
      <c r="AD325" s="72" t="s">
        <v>36</v>
      </c>
      <c r="AE325" s="79" t="s">
        <v>629</v>
      </c>
      <c r="AF325" s="186"/>
      <c r="AG325" s="187"/>
      <c r="AH325" s="187"/>
      <c r="AI325" s="187"/>
      <c r="AJ325" s="81"/>
      <c r="AK325" s="81"/>
      <c r="AL325" s="81"/>
      <c r="AM325" s="32"/>
      <c r="AN325" s="32"/>
      <c r="AO325" s="32"/>
      <c r="AP325" s="32"/>
      <c r="AQ325" s="33"/>
    </row>
    <row r="326" ht="15.75" customHeight="1">
      <c r="A326" s="7"/>
      <c r="B326" s="114" t="s">
        <v>230</v>
      </c>
      <c r="C326" s="114" t="s">
        <v>609</v>
      </c>
      <c r="D326" s="115" t="s">
        <v>54</v>
      </c>
      <c r="E326" s="115" t="s">
        <v>348</v>
      </c>
      <c r="F326" s="116">
        <v>2005.0</v>
      </c>
      <c r="G326" s="114"/>
      <c r="H326" s="116">
        <v>0.0</v>
      </c>
      <c r="I326" s="116">
        <v>21.63</v>
      </c>
      <c r="J326" s="117">
        <v>0.88</v>
      </c>
      <c r="K326" s="116">
        <v>19.11</v>
      </c>
      <c r="L326" s="114"/>
      <c r="M326" s="114"/>
      <c r="N326" s="116">
        <v>18.0</v>
      </c>
      <c r="O326" s="116">
        <v>138.0</v>
      </c>
      <c r="P326" s="114"/>
      <c r="Q326" s="140">
        <v>10450.0</v>
      </c>
      <c r="R326" s="114" t="s">
        <v>234</v>
      </c>
      <c r="S326" s="115">
        <v>2005.0</v>
      </c>
      <c r="T326" s="85">
        <v>0.352</v>
      </c>
      <c r="U326" s="118">
        <f t="shared" si="92"/>
        <v>3678.4</v>
      </c>
      <c r="V326" s="24">
        <f t="shared" si="59"/>
        <v>170.0601017</v>
      </c>
      <c r="W326" s="3">
        <f t="shared" si="31"/>
        <v>0</v>
      </c>
      <c r="X326" s="3">
        <f t="shared" si="32"/>
        <v>0</v>
      </c>
      <c r="Y326" s="3">
        <f t="shared" si="33"/>
        <v>0</v>
      </c>
      <c r="Z326" s="25">
        <f t="shared" si="34"/>
        <v>0</v>
      </c>
      <c r="AA326" s="26">
        <f>VLOOKUP(S326,CPI!$A$2:$F$71,6,0)</f>
        <v>1.649331797</v>
      </c>
      <c r="AB326" s="27">
        <f t="shared" si="60"/>
        <v>6066.902083</v>
      </c>
      <c r="AC326" s="27">
        <f t="shared" si="61"/>
        <v>280.4855332</v>
      </c>
      <c r="AD326" s="114"/>
      <c r="AE326" s="119" t="s">
        <v>630</v>
      </c>
      <c r="AF326" s="167" t="s">
        <v>631</v>
      </c>
      <c r="AG326" s="168"/>
      <c r="AH326" s="168"/>
      <c r="AI326" s="169"/>
      <c r="AJ326" s="166"/>
      <c r="AK326" s="166"/>
      <c r="AL326" s="166"/>
      <c r="AM326" s="32"/>
      <c r="AN326" s="32"/>
      <c r="AO326" s="32"/>
      <c r="AP326" s="32"/>
      <c r="AQ326" s="33"/>
    </row>
    <row r="327" ht="15.75" customHeight="1">
      <c r="A327" s="170">
        <v>7897.0</v>
      </c>
      <c r="B327" s="72" t="s">
        <v>230</v>
      </c>
      <c r="C327" s="72" t="s">
        <v>609</v>
      </c>
      <c r="D327" s="72" t="s">
        <v>228</v>
      </c>
      <c r="E327" s="72" t="s">
        <v>228</v>
      </c>
      <c r="F327" s="69">
        <v>2019.0</v>
      </c>
      <c r="G327" s="72"/>
      <c r="H327" s="69">
        <v>0.0</v>
      </c>
      <c r="I327" s="69">
        <v>35.49</v>
      </c>
      <c r="J327" s="117">
        <v>1.0</v>
      </c>
      <c r="K327" s="69">
        <v>35.49</v>
      </c>
      <c r="L327" s="72"/>
      <c r="M327" s="72"/>
      <c r="N327" s="69">
        <v>27.0</v>
      </c>
      <c r="O327" s="69">
        <v>117.0</v>
      </c>
      <c r="P327" s="72"/>
      <c r="Q327" s="140">
        <v>30186.0</v>
      </c>
      <c r="R327" s="72" t="s">
        <v>234</v>
      </c>
      <c r="S327" s="69">
        <v>2019.0</v>
      </c>
      <c r="T327" s="136">
        <v>0.238</v>
      </c>
      <c r="U327" s="118">
        <f t="shared" si="92"/>
        <v>7184.268</v>
      </c>
      <c r="V327" s="24">
        <f t="shared" si="59"/>
        <v>202.4307692</v>
      </c>
      <c r="W327" s="3">
        <f t="shared" si="31"/>
        <v>0</v>
      </c>
      <c r="X327" s="3">
        <f t="shared" si="32"/>
        <v>0</v>
      </c>
      <c r="Y327" s="3">
        <f t="shared" si="33"/>
        <v>0</v>
      </c>
      <c r="Z327" s="25">
        <f t="shared" si="34"/>
        <v>0</v>
      </c>
      <c r="AA327" s="26">
        <f>VLOOKUP(S327,CPI!$A$2:$F$71,6,0)</f>
        <v>1.259947899</v>
      </c>
      <c r="AB327" s="27">
        <f t="shared" si="60"/>
        <v>9051.803372</v>
      </c>
      <c r="AC327" s="27">
        <f t="shared" si="61"/>
        <v>255.0522224</v>
      </c>
      <c r="AD327" s="72" t="s">
        <v>36</v>
      </c>
      <c r="AE327" s="79" t="s">
        <v>632</v>
      </c>
      <c r="AF327" s="186"/>
      <c r="AG327" s="187"/>
      <c r="AH327" s="187"/>
      <c r="AI327" s="187"/>
      <c r="AJ327" s="81"/>
      <c r="AK327" s="81"/>
      <c r="AL327" s="81"/>
      <c r="AM327" s="32"/>
      <c r="AN327" s="32"/>
      <c r="AO327" s="32"/>
      <c r="AP327" s="32"/>
      <c r="AQ327" s="33"/>
    </row>
    <row r="328" ht="15.75" customHeight="1">
      <c r="A328" s="170">
        <v>7834.0</v>
      </c>
      <c r="B328" s="72" t="s">
        <v>230</v>
      </c>
      <c r="C328" s="72" t="s">
        <v>609</v>
      </c>
      <c r="D328" s="36" t="s">
        <v>57</v>
      </c>
      <c r="E328" s="72" t="s">
        <v>633</v>
      </c>
      <c r="F328" s="69">
        <v>2021.0</v>
      </c>
      <c r="G328" s="72"/>
      <c r="H328" s="69">
        <v>0.0</v>
      </c>
      <c r="I328" s="69">
        <v>6.54</v>
      </c>
      <c r="J328" s="117">
        <v>0.92</v>
      </c>
      <c r="K328" s="69">
        <v>6.04</v>
      </c>
      <c r="L328" s="72"/>
      <c r="M328" s="72"/>
      <c r="N328" s="69">
        <v>5.0</v>
      </c>
      <c r="O328" s="69">
        <v>138.0</v>
      </c>
      <c r="P328" s="72"/>
      <c r="Q328" s="140">
        <v>8180.0</v>
      </c>
      <c r="R328" s="72" t="s">
        <v>234</v>
      </c>
      <c r="S328" s="115">
        <v>2021.0</v>
      </c>
      <c r="T328" s="136">
        <v>0.239</v>
      </c>
      <c r="U328" s="118">
        <f t="shared" si="92"/>
        <v>1955.02</v>
      </c>
      <c r="V328" s="24">
        <f t="shared" si="59"/>
        <v>298.9327217</v>
      </c>
      <c r="W328" s="3">
        <f t="shared" si="31"/>
        <v>0</v>
      </c>
      <c r="X328" s="3">
        <f t="shared" si="32"/>
        <v>0</v>
      </c>
      <c r="Y328" s="3">
        <f t="shared" si="33"/>
        <v>0</v>
      </c>
      <c r="Z328" s="25">
        <f t="shared" si="34"/>
        <v>0</v>
      </c>
      <c r="AA328" s="26">
        <f>VLOOKUP(S328,CPI!$A$2:$F$71,6,0)</f>
        <v>1.188745987</v>
      </c>
      <c r="AB328" s="27">
        <f t="shared" si="60"/>
        <v>2324.022179</v>
      </c>
      <c r="AC328" s="27">
        <f t="shared" si="61"/>
        <v>355.3550732</v>
      </c>
      <c r="AD328" s="72" t="s">
        <v>36</v>
      </c>
      <c r="AE328" s="79" t="s">
        <v>634</v>
      </c>
      <c r="AF328" s="186"/>
      <c r="AG328" s="187"/>
      <c r="AH328" s="187"/>
      <c r="AI328" s="187"/>
      <c r="AJ328" s="81"/>
      <c r="AK328" s="81"/>
      <c r="AL328" s="81"/>
      <c r="AM328" s="32"/>
      <c r="AN328" s="32"/>
      <c r="AO328" s="32"/>
      <c r="AP328" s="32"/>
      <c r="AQ328" s="33"/>
    </row>
    <row r="329" ht="15.75" customHeight="1">
      <c r="A329" s="170">
        <v>7825.0</v>
      </c>
      <c r="B329" s="72" t="s">
        <v>230</v>
      </c>
      <c r="C329" s="72" t="s">
        <v>609</v>
      </c>
      <c r="D329" s="72" t="s">
        <v>84</v>
      </c>
      <c r="E329" s="72" t="s">
        <v>84</v>
      </c>
      <c r="F329" s="69">
        <v>2021.0</v>
      </c>
      <c r="G329" s="72"/>
      <c r="H329" s="69">
        <v>0.0</v>
      </c>
      <c r="I329" s="69">
        <v>37.4</v>
      </c>
      <c r="J329" s="117">
        <v>1.0</v>
      </c>
      <c r="K329" s="69">
        <v>37.4</v>
      </c>
      <c r="L329" s="72"/>
      <c r="M329" s="72"/>
      <c r="N329" s="69">
        <v>30.0</v>
      </c>
      <c r="O329" s="69">
        <v>138.0</v>
      </c>
      <c r="P329" s="72"/>
      <c r="Q329" s="140">
        <v>33458.0</v>
      </c>
      <c r="R329" s="72" t="s">
        <v>234</v>
      </c>
      <c r="S329" s="115">
        <v>2021.0</v>
      </c>
      <c r="T329" s="136">
        <v>0.239</v>
      </c>
      <c r="U329" s="118">
        <f t="shared" si="92"/>
        <v>7996.462</v>
      </c>
      <c r="V329" s="24">
        <f t="shared" si="59"/>
        <v>213.8091444</v>
      </c>
      <c r="W329" s="3">
        <f t="shared" si="31"/>
        <v>0</v>
      </c>
      <c r="X329" s="3">
        <f t="shared" si="32"/>
        <v>0</v>
      </c>
      <c r="Y329" s="3">
        <f t="shared" si="33"/>
        <v>0</v>
      </c>
      <c r="Z329" s="25">
        <f t="shared" si="34"/>
        <v>0</v>
      </c>
      <c r="AA329" s="26">
        <f>VLOOKUP(S329,CPI!$A$2:$F$71,6,0)</f>
        <v>1.188745987</v>
      </c>
      <c r="AB329" s="27">
        <f t="shared" si="60"/>
        <v>9505.76211</v>
      </c>
      <c r="AC329" s="27">
        <f t="shared" si="61"/>
        <v>254.1647623</v>
      </c>
      <c r="AD329" s="72" t="s">
        <v>36</v>
      </c>
      <c r="AE329" s="79" t="s">
        <v>635</v>
      </c>
      <c r="AF329" s="186"/>
      <c r="AG329" s="187"/>
      <c r="AH329" s="187"/>
      <c r="AI329" s="187"/>
      <c r="AJ329" s="81"/>
      <c r="AK329" s="81"/>
      <c r="AL329" s="81"/>
      <c r="AM329" s="32"/>
      <c r="AN329" s="32"/>
      <c r="AO329" s="32"/>
      <c r="AP329" s="32"/>
      <c r="AQ329" s="33"/>
    </row>
    <row r="330" ht="15.75" customHeight="1">
      <c r="A330" s="163"/>
      <c r="B330" s="114" t="s">
        <v>230</v>
      </c>
      <c r="C330" s="72" t="s">
        <v>609</v>
      </c>
      <c r="D330" s="171" t="s">
        <v>636</v>
      </c>
      <c r="E330" s="72" t="s">
        <v>637</v>
      </c>
      <c r="F330" s="116">
        <v>2021.0</v>
      </c>
      <c r="G330" s="114"/>
      <c r="H330" s="82">
        <v>1.0</v>
      </c>
      <c r="I330" s="116">
        <v>27.49</v>
      </c>
      <c r="J330" s="117">
        <v>0.0</v>
      </c>
      <c r="K330" s="116">
        <v>0.0</v>
      </c>
      <c r="L330" s="114"/>
      <c r="M330" s="114"/>
      <c r="N330" s="116">
        <v>8.0</v>
      </c>
      <c r="O330" s="116">
        <v>117.0</v>
      </c>
      <c r="P330" s="114"/>
      <c r="Q330" s="140">
        <v>6337.0</v>
      </c>
      <c r="R330" s="114" t="s">
        <v>234</v>
      </c>
      <c r="S330" s="115">
        <v>2021.0</v>
      </c>
      <c r="T330" s="136">
        <v>0.239000000000001</v>
      </c>
      <c r="U330" s="118">
        <f t="shared" si="92"/>
        <v>1514.543</v>
      </c>
      <c r="V330" s="24">
        <f t="shared" si="59"/>
        <v>55.09432521</v>
      </c>
      <c r="W330" s="3">
        <f t="shared" si="31"/>
        <v>0</v>
      </c>
      <c r="X330" s="3">
        <f t="shared" si="32"/>
        <v>0</v>
      </c>
      <c r="Y330" s="3">
        <f t="shared" si="33"/>
        <v>0</v>
      </c>
      <c r="Z330" s="25">
        <f t="shared" si="34"/>
        <v>0</v>
      </c>
      <c r="AA330" s="26">
        <f>VLOOKUP(S330,CPI!$A$2:$F$71,6,0)</f>
        <v>1.188745987</v>
      </c>
      <c r="AB330" s="27">
        <f t="shared" si="60"/>
        <v>1800.406913</v>
      </c>
      <c r="AC330" s="27">
        <f t="shared" si="61"/>
        <v>65.49315798</v>
      </c>
      <c r="AD330" s="114"/>
      <c r="AE330" s="119" t="s">
        <v>638</v>
      </c>
      <c r="AF330" s="164"/>
      <c r="AG330" s="165"/>
      <c r="AH330" s="165"/>
      <c r="AI330" s="165"/>
      <c r="AJ330" s="166"/>
      <c r="AK330" s="166"/>
      <c r="AL330" s="166"/>
      <c r="AM330" s="32"/>
      <c r="AN330" s="32"/>
      <c r="AO330" s="32"/>
      <c r="AP330" s="32"/>
      <c r="AQ330" s="33"/>
    </row>
    <row r="331" ht="15.75" customHeight="1">
      <c r="A331" s="163"/>
      <c r="B331" s="114" t="s">
        <v>230</v>
      </c>
      <c r="C331" s="72" t="s">
        <v>609</v>
      </c>
      <c r="D331" s="171" t="s">
        <v>636</v>
      </c>
      <c r="E331" s="72" t="s">
        <v>639</v>
      </c>
      <c r="F331" s="116">
        <v>2021.0</v>
      </c>
      <c r="G331" s="114"/>
      <c r="H331" s="82">
        <v>1.0</v>
      </c>
      <c r="I331" s="116">
        <v>26.5</v>
      </c>
      <c r="J331" s="117">
        <v>0.52</v>
      </c>
      <c r="K331" s="116">
        <v>13.71</v>
      </c>
      <c r="L331" s="114"/>
      <c r="M331" s="114"/>
      <c r="N331" s="116">
        <v>8.0</v>
      </c>
      <c r="O331" s="116">
        <v>117.0</v>
      </c>
      <c r="P331" s="114"/>
      <c r="Q331" s="140">
        <v>14698.0</v>
      </c>
      <c r="R331" s="114" t="s">
        <v>234</v>
      </c>
      <c r="S331" s="115">
        <v>2021.0</v>
      </c>
      <c r="T331" s="136">
        <v>0.239000000000002</v>
      </c>
      <c r="U331" s="118">
        <f t="shared" si="92"/>
        <v>3512.822</v>
      </c>
      <c r="V331" s="24">
        <f t="shared" si="59"/>
        <v>132.5593208</v>
      </c>
      <c r="W331" s="3">
        <f t="shared" si="31"/>
        <v>0</v>
      </c>
      <c r="X331" s="3">
        <f t="shared" si="32"/>
        <v>0</v>
      </c>
      <c r="Y331" s="3">
        <f t="shared" si="33"/>
        <v>0</v>
      </c>
      <c r="Z331" s="25">
        <f t="shared" si="34"/>
        <v>0</v>
      </c>
      <c r="AA331" s="26">
        <f>VLOOKUP(S331,CPI!$A$2:$F$71,6,0)</f>
        <v>1.188745987</v>
      </c>
      <c r="AB331" s="27">
        <f t="shared" si="60"/>
        <v>4175.853054</v>
      </c>
      <c r="AC331" s="27">
        <f t="shared" si="61"/>
        <v>157.5793605</v>
      </c>
      <c r="AD331" s="114"/>
      <c r="AE331" s="119" t="s">
        <v>640</v>
      </c>
      <c r="AF331" s="167" t="s">
        <v>641</v>
      </c>
      <c r="AG331" s="168"/>
      <c r="AH331" s="168"/>
      <c r="AI331" s="169"/>
      <c r="AJ331" s="166"/>
      <c r="AK331" s="166"/>
      <c r="AL331" s="166"/>
      <c r="AM331" s="32"/>
      <c r="AN331" s="32"/>
      <c r="AO331" s="32"/>
      <c r="AP331" s="32"/>
      <c r="AQ331" s="33"/>
    </row>
    <row r="332" ht="15.75" customHeight="1">
      <c r="A332" s="163"/>
      <c r="B332" s="114" t="s">
        <v>230</v>
      </c>
      <c r="C332" s="72" t="s">
        <v>609</v>
      </c>
      <c r="D332" s="72" t="s">
        <v>642</v>
      </c>
      <c r="E332" s="72" t="s">
        <v>642</v>
      </c>
      <c r="F332" s="116">
        <v>2021.0</v>
      </c>
      <c r="G332" s="114"/>
      <c r="H332" s="116">
        <v>0.0</v>
      </c>
      <c r="I332" s="116">
        <v>42.4</v>
      </c>
      <c r="J332" s="114"/>
      <c r="K332" s="114"/>
      <c r="L332" s="114"/>
      <c r="M332" s="114"/>
      <c r="N332" s="116">
        <v>11.0</v>
      </c>
      <c r="O332" s="116">
        <v>117.0</v>
      </c>
      <c r="P332" s="114"/>
      <c r="Q332" s="140">
        <v>14980.0</v>
      </c>
      <c r="R332" s="114" t="s">
        <v>234</v>
      </c>
      <c r="S332" s="115">
        <v>2021.0</v>
      </c>
      <c r="T332" s="136">
        <v>0.239000000000002</v>
      </c>
      <c r="U332" s="118">
        <f t="shared" si="92"/>
        <v>3580.22</v>
      </c>
      <c r="V332" s="24">
        <f t="shared" si="59"/>
        <v>84.43915094</v>
      </c>
      <c r="W332" s="3">
        <f t="shared" si="31"/>
        <v>0</v>
      </c>
      <c r="X332" s="3">
        <f t="shared" si="32"/>
        <v>0</v>
      </c>
      <c r="Y332" s="3">
        <f t="shared" si="33"/>
        <v>0</v>
      </c>
      <c r="Z332" s="25">
        <f t="shared" si="34"/>
        <v>0</v>
      </c>
      <c r="AA332" s="26">
        <f>VLOOKUP(S332,CPI!$A$2:$F$71,6,0)</f>
        <v>1.188745987</v>
      </c>
      <c r="AB332" s="27">
        <f t="shared" si="60"/>
        <v>4255.972156</v>
      </c>
      <c r="AC332" s="27">
        <f t="shared" si="61"/>
        <v>100.3767018</v>
      </c>
      <c r="AD332" s="114"/>
      <c r="AE332" s="119" t="s">
        <v>643</v>
      </c>
      <c r="AF332" s="114"/>
      <c r="AG332" s="114"/>
      <c r="AH332" s="114"/>
      <c r="AI332" s="114"/>
      <c r="AJ332" s="206"/>
      <c r="AK332" s="206"/>
      <c r="AL332" s="206"/>
      <c r="AM332" s="33"/>
      <c r="AN332" s="33"/>
      <c r="AO332" s="33"/>
      <c r="AP332" s="33"/>
      <c r="AQ332" s="33"/>
    </row>
    <row r="333" ht="15.75" customHeight="1">
      <c r="A333" s="163"/>
      <c r="B333" s="114" t="s">
        <v>230</v>
      </c>
      <c r="C333" s="72" t="s">
        <v>609</v>
      </c>
      <c r="D333" s="171" t="s">
        <v>624</v>
      </c>
      <c r="E333" s="115" t="s">
        <v>644</v>
      </c>
      <c r="F333" s="116">
        <v>2021.0</v>
      </c>
      <c r="G333" s="114"/>
      <c r="H333" s="116">
        <v>0.0</v>
      </c>
      <c r="I333" s="116">
        <v>5.671</v>
      </c>
      <c r="J333" s="117">
        <v>0.46</v>
      </c>
      <c r="K333" s="116">
        <v>2.63</v>
      </c>
      <c r="L333" s="114"/>
      <c r="M333" s="114"/>
      <c r="N333" s="116">
        <v>2.0</v>
      </c>
      <c r="O333" s="116">
        <v>92.0</v>
      </c>
      <c r="P333" s="114"/>
      <c r="Q333" s="140">
        <v>3435.0</v>
      </c>
      <c r="R333" s="114" t="s">
        <v>234</v>
      </c>
      <c r="S333" s="115">
        <v>2021.0</v>
      </c>
      <c r="T333" s="136">
        <v>0.239000000000002</v>
      </c>
      <c r="U333" s="118">
        <f t="shared" si="92"/>
        <v>820.965</v>
      </c>
      <c r="V333" s="24">
        <f t="shared" si="59"/>
        <v>144.7654735</v>
      </c>
      <c r="W333" s="3">
        <f t="shared" si="31"/>
        <v>0</v>
      </c>
      <c r="X333" s="3">
        <f t="shared" si="32"/>
        <v>0</v>
      </c>
      <c r="Y333" s="3">
        <f t="shared" si="33"/>
        <v>0</v>
      </c>
      <c r="Z333" s="25">
        <f t="shared" si="34"/>
        <v>0</v>
      </c>
      <c r="AA333" s="26">
        <f>VLOOKUP(S333,CPI!$A$2:$F$71,6,0)</f>
        <v>1.188745987</v>
      </c>
      <c r="AB333" s="27">
        <f t="shared" si="60"/>
        <v>975.9188489</v>
      </c>
      <c r="AC333" s="27">
        <f t="shared" si="61"/>
        <v>172.0893756</v>
      </c>
      <c r="AD333" s="114"/>
      <c r="AE333" s="119" t="s">
        <v>645</v>
      </c>
      <c r="AF333" s="119" t="s">
        <v>627</v>
      </c>
      <c r="AJ333" s="206"/>
      <c r="AK333" s="206"/>
      <c r="AL333" s="206"/>
      <c r="AM333" s="33"/>
      <c r="AN333" s="33"/>
      <c r="AO333" s="33"/>
      <c r="AP333" s="33"/>
      <c r="AQ333" s="33"/>
    </row>
    <row r="334" ht="15.75" customHeight="1">
      <c r="A334" s="163"/>
      <c r="B334" s="114" t="s">
        <v>230</v>
      </c>
      <c r="C334" s="72" t="s">
        <v>609</v>
      </c>
      <c r="D334" s="72" t="s">
        <v>646</v>
      </c>
      <c r="E334" s="72" t="s">
        <v>646</v>
      </c>
      <c r="F334" s="116">
        <v>2021.0</v>
      </c>
      <c r="G334" s="114"/>
      <c r="H334" s="116">
        <v>0.0</v>
      </c>
      <c r="I334" s="116">
        <v>53.75</v>
      </c>
      <c r="J334" s="117">
        <v>0.57</v>
      </c>
      <c r="K334" s="116">
        <v>30.66</v>
      </c>
      <c r="L334" s="114"/>
      <c r="M334" s="114"/>
      <c r="N334" s="116">
        <v>16.0</v>
      </c>
      <c r="O334" s="116">
        <v>138.0</v>
      </c>
      <c r="P334" s="114"/>
      <c r="Q334" s="140">
        <v>26852.0</v>
      </c>
      <c r="R334" s="114" t="s">
        <v>234</v>
      </c>
      <c r="S334" s="115">
        <v>2021.0</v>
      </c>
      <c r="T334" s="136">
        <v>0.239000000000002</v>
      </c>
      <c r="U334" s="118">
        <f t="shared" si="92"/>
        <v>6417.628</v>
      </c>
      <c r="V334" s="24">
        <f t="shared" si="59"/>
        <v>119.3977302</v>
      </c>
      <c r="W334" s="3">
        <f t="shared" si="31"/>
        <v>0</v>
      </c>
      <c r="X334" s="3">
        <f t="shared" si="32"/>
        <v>0</v>
      </c>
      <c r="Y334" s="3">
        <f t="shared" si="33"/>
        <v>0</v>
      </c>
      <c r="Z334" s="25">
        <f t="shared" si="34"/>
        <v>0</v>
      </c>
      <c r="AA334" s="26">
        <f>VLOOKUP(S334,CPI!$A$2:$F$71,6,0)</f>
        <v>1.188745987</v>
      </c>
      <c r="AB334" s="27">
        <f t="shared" si="60"/>
        <v>7628.929529</v>
      </c>
      <c r="AC334" s="27">
        <f t="shared" si="61"/>
        <v>141.9335726</v>
      </c>
      <c r="AD334" s="114"/>
      <c r="AE334" s="119" t="s">
        <v>647</v>
      </c>
      <c r="AF334" s="119" t="s">
        <v>648</v>
      </c>
      <c r="AJ334" s="206"/>
      <c r="AK334" s="206"/>
      <c r="AL334" s="206"/>
      <c r="AM334" s="35"/>
      <c r="AN334" s="35"/>
      <c r="AO334" s="35"/>
      <c r="AP334" s="35"/>
      <c r="AQ334" s="35"/>
    </row>
    <row r="335" ht="15.75" customHeight="1">
      <c r="A335" s="7"/>
      <c r="B335" s="114" t="s">
        <v>230</v>
      </c>
      <c r="C335" s="114" t="s">
        <v>609</v>
      </c>
      <c r="D335" s="114" t="s">
        <v>649</v>
      </c>
      <c r="E335" s="114" t="s">
        <v>649</v>
      </c>
      <c r="F335" s="116">
        <v>2021.0</v>
      </c>
      <c r="G335" s="114"/>
      <c r="H335" s="116">
        <v>0.0</v>
      </c>
      <c r="I335" s="116">
        <v>26.313</v>
      </c>
      <c r="J335" s="117">
        <v>0.62</v>
      </c>
      <c r="K335" s="116">
        <v>16.26</v>
      </c>
      <c r="L335" s="114"/>
      <c r="M335" s="114"/>
      <c r="N335" s="116">
        <v>13.0</v>
      </c>
      <c r="O335" s="116">
        <v>117.0</v>
      </c>
      <c r="P335" s="114"/>
      <c r="Q335" s="140">
        <v>20799.0</v>
      </c>
      <c r="R335" s="114" t="s">
        <v>234</v>
      </c>
      <c r="S335" s="115">
        <v>2021.0</v>
      </c>
      <c r="T335" s="136">
        <v>0.239000000000002</v>
      </c>
      <c r="U335" s="118">
        <f t="shared" si="92"/>
        <v>4970.961</v>
      </c>
      <c r="V335" s="24">
        <f t="shared" si="59"/>
        <v>188.9165432</v>
      </c>
      <c r="W335" s="3">
        <f t="shared" si="31"/>
        <v>0</v>
      </c>
      <c r="X335" s="3">
        <f t="shared" si="32"/>
        <v>0</v>
      </c>
      <c r="Y335" s="3">
        <f t="shared" si="33"/>
        <v>0</v>
      </c>
      <c r="Z335" s="25">
        <f t="shared" si="34"/>
        <v>0</v>
      </c>
      <c r="AA335" s="26">
        <f>VLOOKUP(S335,CPI!$A$2:$F$71,6,0)</f>
        <v>1.188745987</v>
      </c>
      <c r="AB335" s="27">
        <f t="shared" si="60"/>
        <v>5909.209938</v>
      </c>
      <c r="AC335" s="27">
        <f t="shared" si="61"/>
        <v>224.5737825</v>
      </c>
      <c r="AD335" s="114"/>
      <c r="AE335" s="119" t="s">
        <v>650</v>
      </c>
      <c r="AF335" s="119" t="s">
        <v>651</v>
      </c>
      <c r="AJ335" s="206"/>
      <c r="AK335" s="206"/>
      <c r="AL335" s="206"/>
      <c r="AM335" s="35"/>
      <c r="AN335" s="35"/>
      <c r="AO335" s="35"/>
      <c r="AP335" s="35"/>
      <c r="AQ335" s="35"/>
    </row>
    <row r="336" ht="15.75" customHeight="1">
      <c r="A336" s="163"/>
      <c r="B336" s="114" t="s">
        <v>230</v>
      </c>
      <c r="C336" s="72" t="s">
        <v>609</v>
      </c>
      <c r="D336" s="171" t="s">
        <v>624</v>
      </c>
      <c r="E336" s="115" t="s">
        <v>652</v>
      </c>
      <c r="F336" s="116">
        <v>2022.0</v>
      </c>
      <c r="G336" s="114"/>
      <c r="H336" s="116">
        <v>0.0</v>
      </c>
      <c r="I336" s="116">
        <v>13.28</v>
      </c>
      <c r="J336" s="114"/>
      <c r="K336" s="114"/>
      <c r="L336" s="114"/>
      <c r="M336" s="114"/>
      <c r="N336" s="116">
        <v>6.0</v>
      </c>
      <c r="O336" s="116">
        <v>92.0</v>
      </c>
      <c r="P336" s="114"/>
      <c r="Q336" s="140">
        <v>4420.0</v>
      </c>
      <c r="R336" s="114" t="s">
        <v>234</v>
      </c>
      <c r="S336" s="115">
        <v>2021.0</v>
      </c>
      <c r="T336" s="136">
        <v>0.239000000000001</v>
      </c>
      <c r="U336" s="118">
        <f t="shared" si="92"/>
        <v>1056.38</v>
      </c>
      <c r="V336" s="24">
        <f t="shared" si="59"/>
        <v>79.54668675</v>
      </c>
      <c r="W336" s="3">
        <f t="shared" si="31"/>
        <v>0</v>
      </c>
      <c r="X336" s="3">
        <f t="shared" si="32"/>
        <v>0</v>
      </c>
      <c r="Y336" s="3">
        <f t="shared" si="33"/>
        <v>0</v>
      </c>
      <c r="Z336" s="25">
        <f t="shared" si="34"/>
        <v>0</v>
      </c>
      <c r="AA336" s="26">
        <f>VLOOKUP(S336,CPI!$A$2:$F$71,6,0)</f>
        <v>1.188745987</v>
      </c>
      <c r="AB336" s="27">
        <f t="shared" si="60"/>
        <v>1255.767485</v>
      </c>
      <c r="AC336" s="27">
        <f t="shared" si="61"/>
        <v>94.56080462</v>
      </c>
      <c r="AD336" s="114"/>
      <c r="AE336" s="119" t="s">
        <v>653</v>
      </c>
      <c r="AF336" s="119" t="s">
        <v>627</v>
      </c>
      <c r="AJ336" s="206"/>
      <c r="AK336" s="206"/>
      <c r="AL336" s="206"/>
      <c r="AM336" s="35"/>
      <c r="AN336" s="35"/>
      <c r="AO336" s="35"/>
      <c r="AP336" s="35"/>
      <c r="AQ336" s="35"/>
    </row>
    <row r="337" ht="15.75" customHeight="1">
      <c r="A337" s="163"/>
      <c r="B337" s="114" t="s">
        <v>230</v>
      </c>
      <c r="C337" s="72" t="s">
        <v>609</v>
      </c>
      <c r="D337" s="115" t="s">
        <v>611</v>
      </c>
      <c r="E337" s="115" t="s">
        <v>612</v>
      </c>
      <c r="F337" s="116">
        <v>2022.0</v>
      </c>
      <c r="G337" s="114"/>
      <c r="H337" s="116">
        <v>0.0</v>
      </c>
      <c r="I337" s="116">
        <v>24.0</v>
      </c>
      <c r="J337" s="114"/>
      <c r="K337" s="114"/>
      <c r="L337" s="114"/>
      <c r="M337" s="114"/>
      <c r="N337" s="116">
        <v>8.0</v>
      </c>
      <c r="O337" s="116">
        <v>78.0</v>
      </c>
      <c r="P337" s="114"/>
      <c r="Q337" s="140">
        <v>6830.0</v>
      </c>
      <c r="R337" s="114" t="s">
        <v>234</v>
      </c>
      <c r="S337" s="115">
        <v>2021.0</v>
      </c>
      <c r="T337" s="136">
        <v>0.239000000000001</v>
      </c>
      <c r="U337" s="118">
        <f t="shared" si="92"/>
        <v>1632.37</v>
      </c>
      <c r="V337" s="24">
        <f t="shared" si="59"/>
        <v>68.01541667</v>
      </c>
      <c r="W337" s="3">
        <f t="shared" si="31"/>
        <v>0</v>
      </c>
      <c r="X337" s="3">
        <f t="shared" si="32"/>
        <v>0</v>
      </c>
      <c r="Y337" s="3">
        <f t="shared" si="33"/>
        <v>0</v>
      </c>
      <c r="Z337" s="25">
        <f t="shared" si="34"/>
        <v>0</v>
      </c>
      <c r="AA337" s="26">
        <f>VLOOKUP(S337,CPI!$A$2:$F$71,6,0)</f>
        <v>1.188745987</v>
      </c>
      <c r="AB337" s="27">
        <f t="shared" si="60"/>
        <v>1940.473286</v>
      </c>
      <c r="AC337" s="27">
        <f t="shared" si="61"/>
        <v>80.85305359</v>
      </c>
      <c r="AD337" s="114"/>
      <c r="AE337" s="119" t="s">
        <v>654</v>
      </c>
      <c r="AF337" s="114"/>
      <c r="AG337" s="114"/>
      <c r="AH337" s="114"/>
      <c r="AI337" s="114"/>
      <c r="AJ337" s="206"/>
      <c r="AK337" s="206"/>
      <c r="AL337" s="206"/>
      <c r="AM337" s="35"/>
      <c r="AN337" s="35"/>
      <c r="AO337" s="35"/>
      <c r="AP337" s="35"/>
      <c r="AQ337" s="35"/>
    </row>
    <row r="338" ht="15.75" customHeight="1">
      <c r="A338" s="7"/>
      <c r="B338" s="114" t="s">
        <v>230</v>
      </c>
      <c r="C338" s="114" t="s">
        <v>655</v>
      </c>
      <c r="D338" s="16" t="s">
        <v>57</v>
      </c>
      <c r="E338" s="115" t="s">
        <v>232</v>
      </c>
      <c r="F338" s="116">
        <v>2011.0</v>
      </c>
      <c r="G338" s="116">
        <v>2016.0</v>
      </c>
      <c r="H338" s="116">
        <v>0.0</v>
      </c>
      <c r="I338" s="116">
        <v>32.1</v>
      </c>
      <c r="J338" s="117">
        <v>1.0</v>
      </c>
      <c r="K338" s="116">
        <v>32.1</v>
      </c>
      <c r="L338" s="114"/>
      <c r="M338" s="114"/>
      <c r="N338" s="116">
        <v>25.0</v>
      </c>
      <c r="O338" s="116">
        <v>117.0</v>
      </c>
      <c r="P338" s="114"/>
      <c r="Q338" s="140">
        <v>19800.0</v>
      </c>
      <c r="R338" s="114" t="s">
        <v>234</v>
      </c>
      <c r="S338" s="115">
        <v>2014.0</v>
      </c>
      <c r="T338" s="85">
        <v>0.266</v>
      </c>
      <c r="U338" s="118">
        <f t="shared" si="92"/>
        <v>5266.8</v>
      </c>
      <c r="V338" s="24">
        <f t="shared" si="59"/>
        <v>164.0747664</v>
      </c>
      <c r="W338" s="3">
        <f t="shared" si="31"/>
        <v>0</v>
      </c>
      <c r="X338" s="3">
        <f t="shared" si="32"/>
        <v>0</v>
      </c>
      <c r="Y338" s="3">
        <f t="shared" si="33"/>
        <v>0</v>
      </c>
      <c r="Z338" s="25">
        <f t="shared" si="34"/>
        <v>0</v>
      </c>
      <c r="AA338" s="26">
        <f>VLOOKUP(S338,CPI!$A$2:$F$71,6,0)</f>
        <v>1.360648571</v>
      </c>
      <c r="AB338" s="27">
        <f t="shared" si="60"/>
        <v>7166.263891</v>
      </c>
      <c r="AC338" s="27">
        <f t="shared" si="61"/>
        <v>223.2480963</v>
      </c>
      <c r="AD338" s="114"/>
      <c r="AE338" s="119" t="s">
        <v>656</v>
      </c>
      <c r="AF338" s="114"/>
      <c r="AG338" s="114"/>
      <c r="AH338" s="114"/>
      <c r="AI338" s="114"/>
      <c r="AJ338" s="206"/>
      <c r="AK338" s="206"/>
      <c r="AL338" s="206"/>
      <c r="AM338" s="35"/>
      <c r="AN338" s="35"/>
      <c r="AO338" s="35"/>
      <c r="AP338" s="35"/>
      <c r="AQ338" s="35"/>
    </row>
    <row r="339" ht="15.75" customHeight="1">
      <c r="A339" s="7"/>
      <c r="B339" s="114" t="s">
        <v>230</v>
      </c>
      <c r="C339" s="114" t="s">
        <v>655</v>
      </c>
      <c r="D339" s="115" t="s">
        <v>54</v>
      </c>
      <c r="E339" s="115" t="s">
        <v>348</v>
      </c>
      <c r="F339" s="116">
        <v>2014.0</v>
      </c>
      <c r="G339" s="116">
        <v>2017.0</v>
      </c>
      <c r="H339" s="116">
        <v>0.0</v>
      </c>
      <c r="I339" s="116">
        <v>21.2</v>
      </c>
      <c r="J339" s="117">
        <v>1.0</v>
      </c>
      <c r="K339" s="116">
        <v>21.2</v>
      </c>
      <c r="L339" s="114"/>
      <c r="M339" s="114"/>
      <c r="N339" s="116">
        <v>18.0</v>
      </c>
      <c r="O339" s="116">
        <v>117.0</v>
      </c>
      <c r="P339" s="114"/>
      <c r="Q339" s="140">
        <v>15540.0</v>
      </c>
      <c r="R339" s="114" t="s">
        <v>234</v>
      </c>
      <c r="S339" s="115">
        <v>2016.0</v>
      </c>
      <c r="T339" s="85">
        <v>0.251</v>
      </c>
      <c r="U339" s="118">
        <f t="shared" si="92"/>
        <v>3900.54</v>
      </c>
      <c r="V339" s="24">
        <f t="shared" si="59"/>
        <v>183.9877358</v>
      </c>
      <c r="W339" s="3">
        <f t="shared" si="31"/>
        <v>0</v>
      </c>
      <c r="X339" s="3">
        <f t="shared" si="32"/>
        <v>0</v>
      </c>
      <c r="Y339" s="3">
        <f t="shared" si="33"/>
        <v>0</v>
      </c>
      <c r="Z339" s="25">
        <f t="shared" si="34"/>
        <v>0</v>
      </c>
      <c r="AA339" s="26">
        <f>VLOOKUP(S339,CPI!$A$2:$F$71,6,0)</f>
        <v>1.342104605</v>
      </c>
      <c r="AB339" s="27">
        <f t="shared" si="60"/>
        <v>5234.932697</v>
      </c>
      <c r="AC339" s="27">
        <f t="shared" si="61"/>
        <v>246.9307876</v>
      </c>
      <c r="AD339" s="114"/>
      <c r="AE339" s="161" t="s">
        <v>657</v>
      </c>
      <c r="AF339" s="114"/>
      <c r="AG339" s="114"/>
      <c r="AH339" s="114"/>
      <c r="AI339" s="114"/>
      <c r="AJ339" s="206"/>
      <c r="AK339" s="206"/>
      <c r="AL339" s="206"/>
      <c r="AM339" s="207"/>
      <c r="AN339" s="207"/>
      <c r="AO339" s="207"/>
      <c r="AP339" s="207"/>
      <c r="AQ339" s="207"/>
    </row>
    <row r="340" ht="15.75" customHeight="1">
      <c r="A340" s="170">
        <v>7930.0</v>
      </c>
      <c r="B340" s="123" t="s">
        <v>230</v>
      </c>
      <c r="C340" s="123" t="s">
        <v>655</v>
      </c>
      <c r="D340" s="16" t="s">
        <v>87</v>
      </c>
      <c r="E340" s="123" t="s">
        <v>658</v>
      </c>
      <c r="F340" s="75">
        <v>2015.0</v>
      </c>
      <c r="G340" s="75">
        <v>2019.0</v>
      </c>
      <c r="H340" s="75">
        <v>0.0</v>
      </c>
      <c r="I340" s="75">
        <v>27.7</v>
      </c>
      <c r="J340" s="124">
        <v>1.0</v>
      </c>
      <c r="K340" s="75">
        <v>27.7</v>
      </c>
      <c r="L340" s="125">
        <v>0.0</v>
      </c>
      <c r="M340" s="125">
        <v>0.0</v>
      </c>
      <c r="N340" s="75">
        <v>23.0</v>
      </c>
      <c r="O340" s="152">
        <v>117.0</v>
      </c>
      <c r="P340" s="123" t="s">
        <v>60</v>
      </c>
      <c r="Q340" s="126">
        <v>19343.0</v>
      </c>
      <c r="R340" s="123" t="s">
        <v>234</v>
      </c>
      <c r="S340" s="75">
        <v>2015.0</v>
      </c>
      <c r="T340" s="136">
        <v>0.258</v>
      </c>
      <c r="U340" s="128">
        <f t="shared" si="92"/>
        <v>4990.494</v>
      </c>
      <c r="V340" s="24">
        <f t="shared" si="59"/>
        <v>180.1622383</v>
      </c>
      <c r="W340" s="3">
        <f t="shared" si="31"/>
        <v>0</v>
      </c>
      <c r="X340" s="3">
        <f t="shared" si="32"/>
        <v>0</v>
      </c>
      <c r="Y340" s="3">
        <f t="shared" si="33"/>
        <v>0</v>
      </c>
      <c r="Z340" s="25">
        <f t="shared" si="34"/>
        <v>0</v>
      </c>
      <c r="AA340" s="26">
        <f>VLOOKUP(S340,CPI!$A$2:$F$71,6,0)</f>
        <v>1.359035428</v>
      </c>
      <c r="AB340" s="27">
        <f t="shared" si="60"/>
        <v>6782.258148</v>
      </c>
      <c r="AC340" s="27">
        <f t="shared" si="61"/>
        <v>244.8468646</v>
      </c>
      <c r="AD340" s="123" t="s">
        <v>42</v>
      </c>
      <c r="AE340" s="129" t="s">
        <v>659</v>
      </c>
      <c r="AF340" s="34"/>
      <c r="AG340" s="34"/>
      <c r="AH340" s="34"/>
      <c r="AI340" s="34"/>
      <c r="AJ340" s="35"/>
      <c r="AK340" s="35"/>
      <c r="AL340" s="35"/>
      <c r="AM340" s="35"/>
      <c r="AN340" s="35"/>
      <c r="AO340" s="35"/>
      <c r="AP340" s="35"/>
      <c r="AQ340" s="35"/>
    </row>
    <row r="341" ht="15.75" customHeight="1">
      <c r="A341" s="170">
        <v>7929.0</v>
      </c>
      <c r="B341" s="72" t="s">
        <v>230</v>
      </c>
      <c r="C341" s="72" t="s">
        <v>655</v>
      </c>
      <c r="D341" s="16" t="s">
        <v>110</v>
      </c>
      <c r="E341" s="115" t="s">
        <v>332</v>
      </c>
      <c r="F341" s="72"/>
      <c r="G341" s="69">
        <v>2020.0</v>
      </c>
      <c r="H341" s="69">
        <v>0.0</v>
      </c>
      <c r="I341" s="69">
        <v>24.98</v>
      </c>
      <c r="J341" s="117">
        <v>1.0</v>
      </c>
      <c r="K341" s="69">
        <v>24.98</v>
      </c>
      <c r="L341" s="72"/>
      <c r="M341" s="72"/>
      <c r="N341" s="69">
        <v>19.0</v>
      </c>
      <c r="O341" s="69">
        <v>117.0</v>
      </c>
      <c r="P341" s="72"/>
      <c r="Q341" s="140">
        <v>17330.0</v>
      </c>
      <c r="R341" s="72" t="s">
        <v>234</v>
      </c>
      <c r="S341" s="115">
        <v>2020.0</v>
      </c>
      <c r="T341" s="136">
        <v>0.239</v>
      </c>
      <c r="U341" s="118">
        <f t="shared" si="92"/>
        <v>4141.87</v>
      </c>
      <c r="V341" s="24">
        <f t="shared" si="59"/>
        <v>165.807446</v>
      </c>
      <c r="W341" s="3">
        <f t="shared" si="31"/>
        <v>0</v>
      </c>
      <c r="X341" s="3">
        <f t="shared" si="32"/>
        <v>0</v>
      </c>
      <c r="Y341" s="3">
        <f t="shared" si="33"/>
        <v>0</v>
      </c>
      <c r="Z341" s="25">
        <f t="shared" si="34"/>
        <v>0</v>
      </c>
      <c r="AA341" s="26">
        <f>VLOOKUP(S341,CPI!$A$2:$F$71,6,0)</f>
        <v>1.244593545</v>
      </c>
      <c r="AB341" s="27">
        <f t="shared" si="60"/>
        <v>5154.944667</v>
      </c>
      <c r="AC341" s="27">
        <f t="shared" si="61"/>
        <v>206.362877</v>
      </c>
      <c r="AD341" s="72" t="s">
        <v>36</v>
      </c>
      <c r="AE341" s="79" t="s">
        <v>660</v>
      </c>
      <c r="AF341" s="72"/>
      <c r="AG341" s="72"/>
      <c r="AH341" s="72"/>
      <c r="AI341" s="72"/>
      <c r="AJ341" s="54"/>
      <c r="AK341" s="54"/>
      <c r="AL341" s="54"/>
      <c r="AM341" s="35"/>
      <c r="AN341" s="35"/>
      <c r="AO341" s="35"/>
      <c r="AP341" s="35"/>
      <c r="AQ341" s="35"/>
    </row>
    <row r="342" ht="15.75" customHeight="1">
      <c r="A342" s="170">
        <v>7896.0</v>
      </c>
      <c r="B342" s="123" t="s">
        <v>230</v>
      </c>
      <c r="C342" s="123" t="s">
        <v>655</v>
      </c>
      <c r="D342" s="36" t="s">
        <v>54</v>
      </c>
      <c r="E342" s="123" t="s">
        <v>315</v>
      </c>
      <c r="F342" s="75">
        <v>2017.0</v>
      </c>
      <c r="G342" s="75">
        <v>2021.0</v>
      </c>
      <c r="H342" s="75">
        <v>0.0</v>
      </c>
      <c r="I342" s="75">
        <v>6.5</v>
      </c>
      <c r="J342" s="124">
        <v>1.0</v>
      </c>
      <c r="K342" s="75">
        <v>6.5</v>
      </c>
      <c r="L342" s="125">
        <v>0.0</v>
      </c>
      <c r="M342" s="125">
        <v>0.0</v>
      </c>
      <c r="N342" s="75">
        <v>4.0</v>
      </c>
      <c r="O342" s="152">
        <v>117.0</v>
      </c>
      <c r="P342" s="123" t="s">
        <v>42</v>
      </c>
      <c r="Q342" s="126">
        <v>4898.0</v>
      </c>
      <c r="R342" s="123" t="s">
        <v>234</v>
      </c>
      <c r="S342" s="75">
        <v>2017.0</v>
      </c>
      <c r="T342" s="136">
        <v>0.239</v>
      </c>
      <c r="U342" s="128">
        <f t="shared" si="92"/>
        <v>1170.622</v>
      </c>
      <c r="V342" s="24">
        <f t="shared" si="59"/>
        <v>180.0956923</v>
      </c>
      <c r="W342" s="3">
        <f t="shared" si="31"/>
        <v>0</v>
      </c>
      <c r="X342" s="3">
        <f t="shared" si="32"/>
        <v>0</v>
      </c>
      <c r="Y342" s="3">
        <f t="shared" si="33"/>
        <v>0</v>
      </c>
      <c r="Z342" s="25">
        <f t="shared" si="34"/>
        <v>0</v>
      </c>
      <c r="AA342" s="26">
        <f>VLOOKUP(S342,CPI!$A$2:$F$71,6,0)</f>
        <v>1.314109416</v>
      </c>
      <c r="AB342" s="27">
        <f t="shared" si="60"/>
        <v>1538.325393</v>
      </c>
      <c r="AC342" s="27">
        <f t="shared" si="61"/>
        <v>236.665445</v>
      </c>
      <c r="AD342" s="123" t="s">
        <v>42</v>
      </c>
      <c r="AE342" s="129" t="s">
        <v>661</v>
      </c>
      <c r="AF342" s="34"/>
      <c r="AG342" s="34"/>
      <c r="AH342" s="34"/>
      <c r="AI342" s="34"/>
      <c r="AJ342" s="35"/>
      <c r="AK342" s="35"/>
      <c r="AL342" s="35"/>
      <c r="AM342" s="35"/>
      <c r="AN342" s="35"/>
      <c r="AO342" s="35"/>
      <c r="AP342" s="35"/>
      <c r="AQ342" s="35"/>
    </row>
    <row r="343" ht="15.75" customHeight="1">
      <c r="A343" s="170">
        <v>7857.0</v>
      </c>
      <c r="B343" s="72" t="s">
        <v>230</v>
      </c>
      <c r="C343" s="72" t="s">
        <v>655</v>
      </c>
      <c r="D343" s="115" t="s">
        <v>84</v>
      </c>
      <c r="E343" s="115" t="s">
        <v>319</v>
      </c>
      <c r="F343" s="72"/>
      <c r="G343" s="69">
        <v>2021.0</v>
      </c>
      <c r="H343" s="69">
        <v>0.0</v>
      </c>
      <c r="I343" s="69">
        <v>20.22</v>
      </c>
      <c r="J343" s="117">
        <v>1.0</v>
      </c>
      <c r="K343" s="69">
        <v>20.22</v>
      </c>
      <c r="L343" s="72"/>
      <c r="M343" s="72"/>
      <c r="N343" s="69">
        <v>17.0</v>
      </c>
      <c r="O343" s="69">
        <v>117.0</v>
      </c>
      <c r="P343" s="72"/>
      <c r="Q343" s="140">
        <v>16400.0</v>
      </c>
      <c r="R343" s="72" t="s">
        <v>234</v>
      </c>
      <c r="S343" s="115">
        <v>2021.0</v>
      </c>
      <c r="T343" s="136">
        <v>0.239</v>
      </c>
      <c r="U343" s="118">
        <f t="shared" si="92"/>
        <v>3919.6</v>
      </c>
      <c r="V343" s="24">
        <f t="shared" si="59"/>
        <v>193.8476756</v>
      </c>
      <c r="W343" s="3">
        <f t="shared" si="31"/>
        <v>0</v>
      </c>
      <c r="X343" s="3">
        <f t="shared" si="32"/>
        <v>0</v>
      </c>
      <c r="Y343" s="3">
        <f t="shared" si="33"/>
        <v>0</v>
      </c>
      <c r="Z343" s="25">
        <f t="shared" si="34"/>
        <v>0</v>
      </c>
      <c r="AA343" s="26">
        <f>VLOOKUP(S343,CPI!$A$2:$F$71,6,0)</f>
        <v>1.188745987</v>
      </c>
      <c r="AB343" s="27">
        <f t="shared" si="60"/>
        <v>4659.408769</v>
      </c>
      <c r="AC343" s="27">
        <f t="shared" si="61"/>
        <v>230.4356464</v>
      </c>
      <c r="AD343" s="72" t="s">
        <v>36</v>
      </c>
      <c r="AE343" s="79" t="s">
        <v>662</v>
      </c>
      <c r="AF343" s="72"/>
      <c r="AG343" s="72"/>
      <c r="AH343" s="72"/>
      <c r="AI343" s="72"/>
      <c r="AJ343" s="54"/>
      <c r="AK343" s="54"/>
      <c r="AL343" s="54"/>
      <c r="AM343" s="35"/>
      <c r="AN343" s="35"/>
      <c r="AO343" s="35"/>
      <c r="AP343" s="35"/>
      <c r="AQ343" s="35"/>
    </row>
    <row r="344" ht="15.75" customHeight="1">
      <c r="A344" s="163"/>
      <c r="B344" s="66" t="s">
        <v>230</v>
      </c>
      <c r="C344" s="114" t="s">
        <v>655</v>
      </c>
      <c r="D344" s="114" t="s">
        <v>663</v>
      </c>
      <c r="E344" s="114" t="s">
        <v>663</v>
      </c>
      <c r="F344" s="116">
        <v>2021.0</v>
      </c>
      <c r="G344" s="114"/>
      <c r="H344" s="116">
        <v>0.0</v>
      </c>
      <c r="I344" s="116">
        <v>22.8</v>
      </c>
      <c r="J344" s="114"/>
      <c r="K344" s="114"/>
      <c r="L344" s="114"/>
      <c r="M344" s="114"/>
      <c r="N344" s="116">
        <v>5.0</v>
      </c>
      <c r="O344" s="116"/>
      <c r="P344" s="114"/>
      <c r="Q344" s="140">
        <v>8450.0</v>
      </c>
      <c r="R344" s="114" t="s">
        <v>234</v>
      </c>
      <c r="S344" s="115">
        <v>2021.0</v>
      </c>
      <c r="T344" s="136">
        <v>0.239000000000001</v>
      </c>
      <c r="U344" s="118">
        <f t="shared" si="92"/>
        <v>2019.55</v>
      </c>
      <c r="V344" s="24">
        <f t="shared" si="59"/>
        <v>88.57675439</v>
      </c>
      <c r="W344" s="3">
        <f t="shared" si="31"/>
        <v>0</v>
      </c>
      <c r="X344" s="3">
        <f t="shared" si="32"/>
        <v>0</v>
      </c>
      <c r="Y344" s="3">
        <f t="shared" si="33"/>
        <v>0</v>
      </c>
      <c r="Z344" s="25">
        <f t="shared" si="34"/>
        <v>0</v>
      </c>
      <c r="AA344" s="26">
        <f>VLOOKUP(S344,CPI!$A$2:$F$71,6,0)</f>
        <v>1.188745987</v>
      </c>
      <c r="AB344" s="27">
        <f t="shared" si="60"/>
        <v>2400.731957</v>
      </c>
      <c r="AC344" s="27">
        <f t="shared" si="61"/>
        <v>105.2952613</v>
      </c>
      <c r="AD344" s="114"/>
      <c r="AE344" s="119" t="s">
        <v>664</v>
      </c>
      <c r="AF344" s="114"/>
      <c r="AG344" s="114"/>
      <c r="AH344" s="114"/>
      <c r="AI344" s="114"/>
      <c r="AJ344" s="206"/>
      <c r="AK344" s="206"/>
      <c r="AL344" s="206"/>
      <c r="AM344" s="35"/>
      <c r="AN344" s="35"/>
      <c r="AO344" s="35"/>
      <c r="AP344" s="35"/>
      <c r="AQ344" s="35"/>
    </row>
    <row r="345" ht="15.75" customHeight="1">
      <c r="A345" s="163"/>
      <c r="B345" s="66" t="s">
        <v>230</v>
      </c>
      <c r="C345" s="114" t="s">
        <v>655</v>
      </c>
      <c r="D345" s="114" t="s">
        <v>665</v>
      </c>
      <c r="E345" s="114" t="s">
        <v>665</v>
      </c>
      <c r="F345" s="116">
        <v>2021.0</v>
      </c>
      <c r="G345" s="114"/>
      <c r="H345" s="116">
        <v>0.0</v>
      </c>
      <c r="I345" s="116">
        <v>53.2</v>
      </c>
      <c r="J345" s="117">
        <v>0.2</v>
      </c>
      <c r="K345" s="116">
        <v>10.6</v>
      </c>
      <c r="L345" s="114"/>
      <c r="M345" s="114"/>
      <c r="N345" s="116">
        <v>13.0</v>
      </c>
      <c r="O345" s="116">
        <v>117.0</v>
      </c>
      <c r="P345" s="114"/>
      <c r="Q345" s="140">
        <v>16500.0</v>
      </c>
      <c r="R345" s="114" t="s">
        <v>234</v>
      </c>
      <c r="S345" s="115">
        <v>2021.0</v>
      </c>
      <c r="T345" s="136">
        <v>0.239000000000001</v>
      </c>
      <c r="U345" s="118">
        <f t="shared" si="92"/>
        <v>3943.5</v>
      </c>
      <c r="V345" s="24">
        <f t="shared" si="59"/>
        <v>74.12593985</v>
      </c>
      <c r="W345" s="3">
        <f t="shared" si="31"/>
        <v>0</v>
      </c>
      <c r="X345" s="3">
        <f t="shared" si="32"/>
        <v>0</v>
      </c>
      <c r="Y345" s="3">
        <f t="shared" si="33"/>
        <v>0</v>
      </c>
      <c r="Z345" s="25">
        <f t="shared" si="34"/>
        <v>0</v>
      </c>
      <c r="AA345" s="26">
        <f>VLOOKUP(S345,CPI!$A$2:$F$71,6,0)</f>
        <v>1.188745987</v>
      </c>
      <c r="AB345" s="27">
        <f t="shared" si="60"/>
        <v>4687.819798</v>
      </c>
      <c r="AC345" s="27">
        <f t="shared" si="61"/>
        <v>88.1169135</v>
      </c>
      <c r="AD345" s="114"/>
      <c r="AE345" s="119" t="s">
        <v>666</v>
      </c>
      <c r="AF345" s="114"/>
      <c r="AG345" s="114"/>
      <c r="AH345" s="114"/>
      <c r="AI345" s="114"/>
      <c r="AJ345" s="206"/>
      <c r="AK345" s="206"/>
      <c r="AL345" s="206"/>
      <c r="AM345" s="35"/>
      <c r="AN345" s="35"/>
      <c r="AO345" s="35"/>
      <c r="AP345" s="35"/>
      <c r="AQ345" s="35"/>
    </row>
    <row r="346" ht="15.75" customHeight="1">
      <c r="A346" s="163"/>
      <c r="B346" s="66" t="s">
        <v>230</v>
      </c>
      <c r="C346" s="114" t="s">
        <v>667</v>
      </c>
      <c r="D346" s="114" t="s">
        <v>57</v>
      </c>
      <c r="E346" s="114" t="s">
        <v>57</v>
      </c>
      <c r="F346" s="116">
        <v>2019.0</v>
      </c>
      <c r="G346" s="114"/>
      <c r="H346" s="116">
        <v>0.0</v>
      </c>
      <c r="I346" s="116">
        <v>39.4</v>
      </c>
      <c r="J346" s="117">
        <v>1.0</v>
      </c>
      <c r="K346" s="116">
        <v>39.4</v>
      </c>
      <c r="L346" s="114"/>
      <c r="M346" s="114"/>
      <c r="N346" s="116">
        <v>28.0</v>
      </c>
      <c r="O346" s="116">
        <v>117.0</v>
      </c>
      <c r="P346" s="114"/>
      <c r="Q346" s="140">
        <v>26902.0</v>
      </c>
      <c r="R346" s="114" t="s">
        <v>234</v>
      </c>
      <c r="S346" s="115">
        <v>2019.0</v>
      </c>
      <c r="T346" s="136">
        <v>0.238</v>
      </c>
      <c r="U346" s="118">
        <f t="shared" si="92"/>
        <v>6402.676</v>
      </c>
      <c r="V346" s="24">
        <f t="shared" si="59"/>
        <v>162.504467</v>
      </c>
      <c r="W346" s="3">
        <f t="shared" si="31"/>
        <v>0</v>
      </c>
      <c r="X346" s="3">
        <f t="shared" si="32"/>
        <v>0</v>
      </c>
      <c r="Y346" s="3">
        <f t="shared" si="33"/>
        <v>0</v>
      </c>
      <c r="Z346" s="25">
        <f t="shared" si="34"/>
        <v>0</v>
      </c>
      <c r="AA346" s="26">
        <f>VLOOKUP(S346,CPI!$A$2:$F$71,6,0)</f>
        <v>1.259947899</v>
      </c>
      <c r="AB346" s="27">
        <f t="shared" si="60"/>
        <v>8067.038174</v>
      </c>
      <c r="AC346" s="27">
        <f t="shared" si="61"/>
        <v>204.7471618</v>
      </c>
      <c r="AD346" s="114"/>
      <c r="AE346" s="119" t="s">
        <v>668</v>
      </c>
      <c r="AF346" s="208"/>
      <c r="AG346" s="208"/>
      <c r="AH346" s="208"/>
      <c r="AI346" s="208"/>
      <c r="AJ346" s="206"/>
      <c r="AK346" s="206"/>
      <c r="AL346" s="206"/>
      <c r="AM346" s="35"/>
      <c r="AN346" s="35"/>
      <c r="AO346" s="35"/>
      <c r="AP346" s="35"/>
      <c r="AQ346" s="35"/>
    </row>
    <row r="347" ht="15.75" customHeight="1">
      <c r="A347" s="7"/>
      <c r="B347" s="114" t="s">
        <v>230</v>
      </c>
      <c r="C347" s="114" t="s">
        <v>667</v>
      </c>
      <c r="D347" s="114" t="s">
        <v>54</v>
      </c>
      <c r="E347" s="114" t="s">
        <v>54</v>
      </c>
      <c r="F347" s="116">
        <v>2020.0</v>
      </c>
      <c r="G347" s="114"/>
      <c r="H347" s="116">
        <v>0.0</v>
      </c>
      <c r="I347" s="116">
        <v>20.85</v>
      </c>
      <c r="J347" s="117">
        <v>1.0</v>
      </c>
      <c r="K347" s="116">
        <v>20.85</v>
      </c>
      <c r="L347" s="114"/>
      <c r="M347" s="114"/>
      <c r="N347" s="116">
        <v>17.0</v>
      </c>
      <c r="O347" s="116">
        <v>117.0</v>
      </c>
      <c r="P347" s="114"/>
      <c r="Q347" s="140">
        <v>15119.64</v>
      </c>
      <c r="R347" s="114" t="s">
        <v>234</v>
      </c>
      <c r="S347" s="115">
        <v>2020.0</v>
      </c>
      <c r="T347" s="136">
        <v>0.239</v>
      </c>
      <c r="U347" s="118">
        <f t="shared" si="92"/>
        <v>3613.59396</v>
      </c>
      <c r="V347" s="24">
        <f t="shared" si="59"/>
        <v>173.313859</v>
      </c>
      <c r="W347" s="3">
        <f t="shared" si="31"/>
        <v>0</v>
      </c>
      <c r="X347" s="3">
        <f t="shared" si="32"/>
        <v>0</v>
      </c>
      <c r="Y347" s="3">
        <f t="shared" si="33"/>
        <v>0</v>
      </c>
      <c r="Z347" s="25">
        <f t="shared" si="34"/>
        <v>0</v>
      </c>
      <c r="AA347" s="26">
        <f>VLOOKUP(S347,CPI!$A$2:$F$71,6,0)</f>
        <v>1.244593545</v>
      </c>
      <c r="AB347" s="27">
        <f t="shared" si="60"/>
        <v>4497.455717</v>
      </c>
      <c r="AC347" s="27">
        <f t="shared" si="61"/>
        <v>215.7053102</v>
      </c>
      <c r="AD347" s="114"/>
      <c r="AE347" s="119" t="s">
        <v>669</v>
      </c>
      <c r="AF347" s="114"/>
      <c r="AG347" s="114"/>
      <c r="AH347" s="114"/>
      <c r="AI347" s="114"/>
      <c r="AJ347" s="206"/>
      <c r="AK347" s="206"/>
      <c r="AL347" s="206"/>
      <c r="AM347" s="35"/>
      <c r="AN347" s="35"/>
      <c r="AO347" s="35"/>
      <c r="AP347" s="35"/>
      <c r="AQ347" s="35"/>
    </row>
    <row r="348" ht="15.75" customHeight="1">
      <c r="A348" s="163"/>
      <c r="B348" s="114" t="s">
        <v>230</v>
      </c>
      <c r="C348" s="114" t="s">
        <v>670</v>
      </c>
      <c r="D348" s="115" t="s">
        <v>87</v>
      </c>
      <c r="E348" s="115" t="s">
        <v>331</v>
      </c>
      <c r="F348" s="114"/>
      <c r="G348" s="116">
        <v>2019.0</v>
      </c>
      <c r="H348" s="116">
        <v>0.0</v>
      </c>
      <c r="I348" s="116">
        <v>16.73</v>
      </c>
      <c r="J348" s="117">
        <v>1.0</v>
      </c>
      <c r="K348" s="116">
        <v>16.73</v>
      </c>
      <c r="L348" s="114"/>
      <c r="M348" s="114"/>
      <c r="N348" s="116">
        <v>15.0</v>
      </c>
      <c r="O348" s="116">
        <v>117.0</v>
      </c>
      <c r="P348" s="114"/>
      <c r="Q348" s="140">
        <v>14870.0</v>
      </c>
      <c r="R348" s="114" t="s">
        <v>234</v>
      </c>
      <c r="S348" s="115">
        <v>2019.0</v>
      </c>
      <c r="T348" s="136">
        <v>0.238</v>
      </c>
      <c r="U348" s="118">
        <f t="shared" si="92"/>
        <v>3539.06</v>
      </c>
      <c r="V348" s="24">
        <f t="shared" si="59"/>
        <v>211.539749</v>
      </c>
      <c r="W348" s="3">
        <f t="shared" si="31"/>
        <v>0</v>
      </c>
      <c r="X348" s="3">
        <f t="shared" si="32"/>
        <v>0</v>
      </c>
      <c r="Y348" s="3">
        <f t="shared" si="33"/>
        <v>0</v>
      </c>
      <c r="Z348" s="25">
        <f t="shared" si="34"/>
        <v>0</v>
      </c>
      <c r="AA348" s="26">
        <f>VLOOKUP(S348,CPI!$A$2:$F$71,6,0)</f>
        <v>1.259947899</v>
      </c>
      <c r="AB348" s="27">
        <f t="shared" si="60"/>
        <v>4459.031211</v>
      </c>
      <c r="AC348" s="27">
        <f t="shared" si="61"/>
        <v>266.5290622</v>
      </c>
      <c r="AD348" s="114"/>
      <c r="AE348" s="119" t="s">
        <v>671</v>
      </c>
      <c r="AF348" s="119" t="s">
        <v>672</v>
      </c>
      <c r="AJ348" s="206"/>
      <c r="AK348" s="206"/>
      <c r="AL348" s="206"/>
      <c r="AM348" s="35"/>
      <c r="AN348" s="35"/>
      <c r="AO348" s="35"/>
      <c r="AP348" s="35"/>
      <c r="AQ348" s="35"/>
    </row>
    <row r="349" ht="15.75" customHeight="1">
      <c r="A349" s="163"/>
      <c r="B349" s="114" t="s">
        <v>230</v>
      </c>
      <c r="C349" s="114" t="s">
        <v>670</v>
      </c>
      <c r="D349" s="209" t="s">
        <v>673</v>
      </c>
      <c r="E349" s="209" t="s">
        <v>673</v>
      </c>
      <c r="F349" s="114"/>
      <c r="G349" s="116">
        <v>2019.0</v>
      </c>
      <c r="H349" s="116">
        <v>0.0</v>
      </c>
      <c r="I349" s="116">
        <v>21.59</v>
      </c>
      <c r="J349" s="117">
        <v>0.04</v>
      </c>
      <c r="K349" s="116">
        <v>0.84</v>
      </c>
      <c r="L349" s="114"/>
      <c r="M349" s="114"/>
      <c r="N349" s="116">
        <v>9.0</v>
      </c>
      <c r="O349" s="116">
        <v>117.0</v>
      </c>
      <c r="P349" s="114"/>
      <c r="Q349" s="140">
        <v>7386.0</v>
      </c>
      <c r="R349" s="114" t="s">
        <v>234</v>
      </c>
      <c r="S349" s="115">
        <v>2019.0</v>
      </c>
      <c r="T349" s="136">
        <v>0.238</v>
      </c>
      <c r="U349" s="118">
        <f t="shared" si="92"/>
        <v>1757.868</v>
      </c>
      <c r="V349" s="24">
        <f t="shared" si="59"/>
        <v>81.42047244</v>
      </c>
      <c r="W349" s="3">
        <f t="shared" si="31"/>
        <v>0</v>
      </c>
      <c r="X349" s="3">
        <f t="shared" si="32"/>
        <v>0</v>
      </c>
      <c r="Y349" s="3">
        <f t="shared" si="33"/>
        <v>0</v>
      </c>
      <c r="Z349" s="25">
        <f t="shared" si="34"/>
        <v>0</v>
      </c>
      <c r="AA349" s="26">
        <f>VLOOKUP(S349,CPI!$A$2:$F$71,6,0)</f>
        <v>1.259947899</v>
      </c>
      <c r="AB349" s="27">
        <f t="shared" si="60"/>
        <v>2214.822093</v>
      </c>
      <c r="AC349" s="27">
        <f t="shared" si="61"/>
        <v>102.5855532</v>
      </c>
      <c r="AD349" s="114"/>
      <c r="AE349" s="119" t="s">
        <v>674</v>
      </c>
      <c r="AF349" s="114"/>
      <c r="AG349" s="114"/>
      <c r="AH349" s="114"/>
      <c r="AI349" s="114"/>
      <c r="AJ349" s="206"/>
      <c r="AK349" s="206"/>
      <c r="AL349" s="206"/>
      <c r="AM349" s="35"/>
      <c r="AN349" s="35"/>
      <c r="AO349" s="35"/>
      <c r="AP349" s="35"/>
      <c r="AQ349" s="35"/>
    </row>
    <row r="350" ht="15.75" customHeight="1">
      <c r="A350" s="163"/>
      <c r="B350" s="114" t="s">
        <v>230</v>
      </c>
      <c r="C350" s="114" t="s">
        <v>670</v>
      </c>
      <c r="D350" s="114" t="s">
        <v>675</v>
      </c>
      <c r="E350" s="114" t="s">
        <v>675</v>
      </c>
      <c r="F350" s="116">
        <v>2013.0</v>
      </c>
      <c r="G350" s="116">
        <v>2020.0</v>
      </c>
      <c r="H350" s="116">
        <v>0.0</v>
      </c>
      <c r="I350" s="116">
        <v>100.1</v>
      </c>
      <c r="J350" s="114"/>
      <c r="K350" s="114"/>
      <c r="L350" s="114"/>
      <c r="M350" s="114"/>
      <c r="N350" s="114"/>
      <c r="O350" s="116">
        <v>117.0</v>
      </c>
      <c r="P350" s="114"/>
      <c r="Q350" s="140">
        <v>64040.0</v>
      </c>
      <c r="R350" s="114" t="s">
        <v>234</v>
      </c>
      <c r="S350" s="115">
        <v>2017.0</v>
      </c>
      <c r="T350" s="85">
        <v>0.239</v>
      </c>
      <c r="U350" s="118">
        <f t="shared" si="92"/>
        <v>15305.56</v>
      </c>
      <c r="V350" s="24">
        <f t="shared" si="59"/>
        <v>152.9026973</v>
      </c>
      <c r="W350" s="3">
        <f t="shared" si="31"/>
        <v>0</v>
      </c>
      <c r="X350" s="3">
        <f t="shared" si="32"/>
        <v>0</v>
      </c>
      <c r="Y350" s="3">
        <f t="shared" si="33"/>
        <v>0</v>
      </c>
      <c r="Z350" s="25">
        <f t="shared" si="34"/>
        <v>0</v>
      </c>
      <c r="AA350" s="26">
        <f>VLOOKUP(S350,CPI!$A$2:$F$71,6,0)</f>
        <v>1.314109416</v>
      </c>
      <c r="AB350" s="27">
        <f t="shared" si="60"/>
        <v>20113.18051</v>
      </c>
      <c r="AC350" s="27">
        <f t="shared" si="61"/>
        <v>200.9308742</v>
      </c>
      <c r="AD350" s="114"/>
      <c r="AE350" s="161" t="s">
        <v>676</v>
      </c>
      <c r="AF350" s="114"/>
      <c r="AG350" s="114"/>
      <c r="AH350" s="114"/>
      <c r="AI350" s="114"/>
      <c r="AJ350" s="206"/>
      <c r="AK350" s="206"/>
      <c r="AL350" s="206"/>
      <c r="AM350" s="35"/>
      <c r="AN350" s="35"/>
      <c r="AO350" s="35"/>
      <c r="AP350" s="35"/>
      <c r="AQ350" s="35"/>
    </row>
    <row r="351" ht="15.75" customHeight="1">
      <c r="A351" s="163"/>
      <c r="B351" s="114" t="s">
        <v>230</v>
      </c>
      <c r="C351" s="114" t="s">
        <v>670</v>
      </c>
      <c r="D351" s="114" t="s">
        <v>110</v>
      </c>
      <c r="E351" s="114" t="s">
        <v>110</v>
      </c>
      <c r="F351" s="114"/>
      <c r="G351" s="116">
        <v>2021.0</v>
      </c>
      <c r="H351" s="116">
        <v>0.0</v>
      </c>
      <c r="I351" s="116">
        <v>35.95</v>
      </c>
      <c r="J351" s="117">
        <v>0.68</v>
      </c>
      <c r="K351" s="116">
        <v>24.45</v>
      </c>
      <c r="L351" s="114"/>
      <c r="M351" s="114"/>
      <c r="N351" s="116">
        <v>25.0</v>
      </c>
      <c r="O351" s="116">
        <v>117.0</v>
      </c>
      <c r="P351" s="114"/>
      <c r="Q351" s="140">
        <v>20560.0</v>
      </c>
      <c r="R351" s="114" t="s">
        <v>234</v>
      </c>
      <c r="S351" s="115">
        <v>2021.0</v>
      </c>
      <c r="T351" s="136">
        <v>0.239</v>
      </c>
      <c r="U351" s="118">
        <f t="shared" si="92"/>
        <v>4913.84</v>
      </c>
      <c r="V351" s="24">
        <f t="shared" si="59"/>
        <v>136.6853964</v>
      </c>
      <c r="W351" s="3">
        <f t="shared" si="31"/>
        <v>0</v>
      </c>
      <c r="X351" s="3">
        <f t="shared" si="32"/>
        <v>0</v>
      </c>
      <c r="Y351" s="3">
        <f t="shared" si="33"/>
        <v>0</v>
      </c>
      <c r="Z351" s="25">
        <f t="shared" si="34"/>
        <v>0</v>
      </c>
      <c r="AA351" s="26">
        <f>VLOOKUP(S351,CPI!$A$2:$F$71,6,0)</f>
        <v>1.188745987</v>
      </c>
      <c r="AB351" s="27">
        <f t="shared" si="60"/>
        <v>5841.307579</v>
      </c>
      <c r="AC351" s="27">
        <f t="shared" si="61"/>
        <v>162.4842164</v>
      </c>
      <c r="AD351" s="114"/>
      <c r="AE351" s="119" t="s">
        <v>677</v>
      </c>
      <c r="AF351" s="114"/>
      <c r="AG351" s="114"/>
      <c r="AH351" s="114"/>
      <c r="AI351" s="114"/>
      <c r="AJ351" s="206"/>
      <c r="AK351" s="206"/>
      <c r="AL351" s="206"/>
      <c r="AM351" s="35"/>
      <c r="AN351" s="35"/>
      <c r="AO351" s="35"/>
      <c r="AP351" s="35"/>
      <c r="AQ351" s="35"/>
    </row>
    <row r="352" ht="15.75" customHeight="1">
      <c r="A352" s="163"/>
      <c r="B352" s="114" t="s">
        <v>230</v>
      </c>
      <c r="C352" s="114" t="s">
        <v>670</v>
      </c>
      <c r="D352" s="115" t="s">
        <v>87</v>
      </c>
      <c r="E352" s="114" t="s">
        <v>321</v>
      </c>
      <c r="F352" s="116">
        <v>2020.0</v>
      </c>
      <c r="G352" s="114"/>
      <c r="H352" s="116">
        <v>0.0</v>
      </c>
      <c r="I352" s="116">
        <v>12.7</v>
      </c>
      <c r="J352" s="117">
        <v>0.17</v>
      </c>
      <c r="K352" s="116">
        <v>2.2</v>
      </c>
      <c r="L352" s="114"/>
      <c r="M352" s="114"/>
      <c r="N352" s="116">
        <v>6.0</v>
      </c>
      <c r="O352" s="116">
        <v>117.0</v>
      </c>
      <c r="P352" s="114"/>
      <c r="Q352" s="140">
        <v>5200.0</v>
      </c>
      <c r="R352" s="114" t="s">
        <v>234</v>
      </c>
      <c r="S352" s="115">
        <v>2020.0</v>
      </c>
      <c r="T352" s="136">
        <v>0.239</v>
      </c>
      <c r="U352" s="118">
        <f t="shared" si="92"/>
        <v>1242.8</v>
      </c>
      <c r="V352" s="24">
        <f t="shared" si="59"/>
        <v>97.85826772</v>
      </c>
      <c r="W352" s="3">
        <f t="shared" si="31"/>
        <v>0</v>
      </c>
      <c r="X352" s="3">
        <f t="shared" si="32"/>
        <v>0</v>
      </c>
      <c r="Y352" s="3">
        <f t="shared" si="33"/>
        <v>0</v>
      </c>
      <c r="Z352" s="25">
        <f t="shared" si="34"/>
        <v>0</v>
      </c>
      <c r="AA352" s="26">
        <f>VLOOKUP(S352,CPI!$A$2:$F$71,6,0)</f>
        <v>1.244593545</v>
      </c>
      <c r="AB352" s="27">
        <f t="shared" si="60"/>
        <v>1546.780858</v>
      </c>
      <c r="AC352" s="27">
        <f t="shared" si="61"/>
        <v>121.7937683</v>
      </c>
      <c r="AD352" s="114"/>
      <c r="AE352" s="119" t="s">
        <v>678</v>
      </c>
      <c r="AF352" s="114"/>
      <c r="AG352" s="114"/>
      <c r="AH352" s="114"/>
      <c r="AI352" s="114"/>
      <c r="AJ352" s="206"/>
      <c r="AK352" s="206"/>
      <c r="AL352" s="206"/>
      <c r="AM352" s="35"/>
      <c r="AN352" s="35"/>
      <c r="AO352" s="35"/>
      <c r="AP352" s="35"/>
      <c r="AQ352" s="35"/>
    </row>
    <row r="353" ht="15.75" customHeight="1">
      <c r="A353" s="163"/>
      <c r="B353" s="114" t="s">
        <v>230</v>
      </c>
      <c r="C353" s="114" t="s">
        <v>670</v>
      </c>
      <c r="D353" s="115" t="s">
        <v>87</v>
      </c>
      <c r="E353" s="115" t="s">
        <v>357</v>
      </c>
      <c r="F353" s="116">
        <v>2021.0</v>
      </c>
      <c r="G353" s="114"/>
      <c r="H353" s="116">
        <v>0.0</v>
      </c>
      <c r="I353" s="116">
        <v>9.05</v>
      </c>
      <c r="J353" s="117">
        <v>1.0</v>
      </c>
      <c r="K353" s="116">
        <v>9.05</v>
      </c>
      <c r="L353" s="114"/>
      <c r="M353" s="114"/>
      <c r="N353" s="116">
        <v>5.0</v>
      </c>
      <c r="O353" s="116">
        <v>117.0</v>
      </c>
      <c r="P353" s="114"/>
      <c r="Q353" s="140">
        <v>7485.0</v>
      </c>
      <c r="R353" s="114" t="s">
        <v>234</v>
      </c>
      <c r="S353" s="115">
        <v>2021.0</v>
      </c>
      <c r="T353" s="136">
        <v>0.239000000000001</v>
      </c>
      <c r="U353" s="118">
        <f t="shared" si="92"/>
        <v>1788.915</v>
      </c>
      <c r="V353" s="24">
        <f t="shared" si="59"/>
        <v>197.6701657</v>
      </c>
      <c r="W353" s="3">
        <f t="shared" si="31"/>
        <v>0</v>
      </c>
      <c r="X353" s="3">
        <f t="shared" si="32"/>
        <v>0</v>
      </c>
      <c r="Y353" s="3">
        <f t="shared" si="33"/>
        <v>0</v>
      </c>
      <c r="Z353" s="25">
        <f t="shared" si="34"/>
        <v>0</v>
      </c>
      <c r="AA353" s="26">
        <f>VLOOKUP(S353,CPI!$A$2:$F$71,6,0)</f>
        <v>1.188745987</v>
      </c>
      <c r="AB353" s="27">
        <f t="shared" si="60"/>
        <v>2126.565527</v>
      </c>
      <c r="AC353" s="27">
        <f t="shared" si="61"/>
        <v>234.9796162</v>
      </c>
      <c r="AD353" s="114"/>
      <c r="AE353" s="119" t="s">
        <v>679</v>
      </c>
      <c r="AF353" s="114"/>
      <c r="AG353" s="114"/>
      <c r="AH353" s="114"/>
      <c r="AI353" s="114"/>
      <c r="AJ353" s="206"/>
      <c r="AK353" s="206"/>
      <c r="AL353" s="206"/>
      <c r="AM353" s="35"/>
      <c r="AN353" s="35"/>
      <c r="AO353" s="35"/>
      <c r="AP353" s="35"/>
      <c r="AQ353" s="35"/>
    </row>
    <row r="354" ht="15.75" customHeight="1">
      <c r="A354" s="163"/>
      <c r="B354" s="114" t="s">
        <v>230</v>
      </c>
      <c r="C354" s="114" t="s">
        <v>670</v>
      </c>
      <c r="D354" s="115" t="s">
        <v>84</v>
      </c>
      <c r="E354" s="115" t="s">
        <v>319</v>
      </c>
      <c r="F354" s="116">
        <v>2021.0</v>
      </c>
      <c r="G354" s="114"/>
      <c r="H354" s="116">
        <v>0.0</v>
      </c>
      <c r="I354" s="116">
        <v>27.91</v>
      </c>
      <c r="J354" s="117">
        <v>1.0</v>
      </c>
      <c r="K354" s="116">
        <v>27.91</v>
      </c>
      <c r="L354" s="114"/>
      <c r="M354" s="114"/>
      <c r="N354" s="116">
        <v>22.0</v>
      </c>
      <c r="O354" s="116">
        <v>117.0</v>
      </c>
      <c r="P354" s="114"/>
      <c r="Q354" s="140">
        <v>19900.0</v>
      </c>
      <c r="R354" s="114" t="s">
        <v>234</v>
      </c>
      <c r="S354" s="115">
        <v>2021.0</v>
      </c>
      <c r="T354" s="136">
        <v>0.239000000000001</v>
      </c>
      <c r="U354" s="118">
        <f t="shared" si="92"/>
        <v>4756.1</v>
      </c>
      <c r="V354" s="24">
        <f t="shared" si="59"/>
        <v>170.4084558</v>
      </c>
      <c r="W354" s="3">
        <f t="shared" si="31"/>
        <v>0</v>
      </c>
      <c r="X354" s="3">
        <f t="shared" si="32"/>
        <v>0</v>
      </c>
      <c r="Y354" s="3">
        <f t="shared" si="33"/>
        <v>0</v>
      </c>
      <c r="Z354" s="25">
        <f t="shared" si="34"/>
        <v>0</v>
      </c>
      <c r="AA354" s="26">
        <f>VLOOKUP(S354,CPI!$A$2:$F$71,6,0)</f>
        <v>1.188745987</v>
      </c>
      <c r="AB354" s="27">
        <f t="shared" si="60"/>
        <v>5653.794787</v>
      </c>
      <c r="AC354" s="27">
        <f t="shared" si="61"/>
        <v>202.5723679</v>
      </c>
      <c r="AD354" s="114"/>
      <c r="AE354" s="119" t="s">
        <v>680</v>
      </c>
      <c r="AF354" s="114"/>
      <c r="AG354" s="114"/>
      <c r="AH354" s="114"/>
      <c r="AI354" s="114"/>
      <c r="AJ354" s="206"/>
      <c r="AK354" s="206"/>
      <c r="AL354" s="206"/>
      <c r="AM354" s="35"/>
      <c r="AN354" s="35"/>
      <c r="AO354" s="35"/>
      <c r="AP354" s="35"/>
      <c r="AQ354" s="35"/>
    </row>
    <row r="355" ht="15.75" customHeight="1">
      <c r="A355" s="163"/>
      <c r="B355" s="66" t="s">
        <v>230</v>
      </c>
      <c r="C355" s="210" t="s">
        <v>681</v>
      </c>
      <c r="D355" s="210" t="s">
        <v>682</v>
      </c>
      <c r="E355" s="210" t="s">
        <v>682</v>
      </c>
      <c r="F355" s="116">
        <v>2020.0</v>
      </c>
      <c r="G355" s="114"/>
      <c r="H355" s="116">
        <v>1.0</v>
      </c>
      <c r="I355" s="116">
        <v>23.8</v>
      </c>
      <c r="J355" s="117">
        <v>0.63</v>
      </c>
      <c r="K355" s="116">
        <v>14.9</v>
      </c>
      <c r="L355" s="114"/>
      <c r="M355" s="114"/>
      <c r="N355" s="114"/>
      <c r="O355" s="116"/>
      <c r="P355" s="114"/>
      <c r="Q355" s="140">
        <v>13530.0</v>
      </c>
      <c r="R355" s="114" t="s">
        <v>234</v>
      </c>
      <c r="S355" s="115">
        <v>2020.0</v>
      </c>
      <c r="T355" s="136">
        <v>0.239</v>
      </c>
      <c r="U355" s="118">
        <f t="shared" si="92"/>
        <v>3233.67</v>
      </c>
      <c r="V355" s="24">
        <f t="shared" si="59"/>
        <v>135.8684874</v>
      </c>
      <c r="W355" s="3">
        <f t="shared" si="31"/>
        <v>0</v>
      </c>
      <c r="X355" s="3">
        <f t="shared" si="32"/>
        <v>0</v>
      </c>
      <c r="Y355" s="3">
        <f t="shared" si="33"/>
        <v>0</v>
      </c>
      <c r="Z355" s="25">
        <f t="shared" si="34"/>
        <v>0</v>
      </c>
      <c r="AA355" s="26">
        <f>VLOOKUP(S355,CPI!$A$2:$F$71,6,0)</f>
        <v>1.244593545</v>
      </c>
      <c r="AB355" s="27">
        <f t="shared" si="60"/>
        <v>4024.604809</v>
      </c>
      <c r="AC355" s="27">
        <f t="shared" si="61"/>
        <v>169.1010424</v>
      </c>
      <c r="AD355" s="72" t="s">
        <v>36</v>
      </c>
      <c r="AE355" s="119" t="s">
        <v>683</v>
      </c>
      <c r="AF355" s="7"/>
      <c r="AG355" s="7"/>
      <c r="AH355" s="7"/>
      <c r="AI355" s="7"/>
      <c r="AM355" s="35"/>
      <c r="AN355" s="35"/>
      <c r="AO355" s="35"/>
      <c r="AP355" s="35"/>
      <c r="AQ355" s="35"/>
    </row>
    <row r="356" ht="15.75" customHeight="1">
      <c r="A356" s="163"/>
      <c r="B356" s="114" t="s">
        <v>230</v>
      </c>
      <c r="C356" s="114" t="s">
        <v>684</v>
      </c>
      <c r="D356" s="114" t="s">
        <v>292</v>
      </c>
      <c r="E356" s="114" t="s">
        <v>292</v>
      </c>
      <c r="F356" s="114"/>
      <c r="G356" s="116">
        <v>2018.0</v>
      </c>
      <c r="H356" s="116">
        <v>0.0</v>
      </c>
      <c r="I356" s="116">
        <v>58.35</v>
      </c>
      <c r="J356" s="117">
        <v>0.1</v>
      </c>
      <c r="K356" s="116">
        <v>5.81</v>
      </c>
      <c r="L356" s="114"/>
      <c r="M356" s="114"/>
      <c r="N356" s="116">
        <v>22.0</v>
      </c>
      <c r="O356" s="116">
        <v>117.0</v>
      </c>
      <c r="P356" s="114"/>
      <c r="Q356" s="140">
        <v>19500.0</v>
      </c>
      <c r="R356" s="114" t="s">
        <v>234</v>
      </c>
      <c r="S356" s="115">
        <v>2018.0</v>
      </c>
      <c r="T356" s="85">
        <v>0.237</v>
      </c>
      <c r="U356" s="118">
        <f t="shared" si="92"/>
        <v>4621.5</v>
      </c>
      <c r="V356" s="24">
        <f t="shared" si="59"/>
        <v>79.20308483</v>
      </c>
      <c r="W356" s="3">
        <f t="shared" si="31"/>
        <v>0</v>
      </c>
      <c r="X356" s="3">
        <f t="shared" si="32"/>
        <v>0</v>
      </c>
      <c r="Y356" s="3">
        <f t="shared" si="33"/>
        <v>0</v>
      </c>
      <c r="Z356" s="25">
        <f t="shared" si="34"/>
        <v>0</v>
      </c>
      <c r="AA356" s="26">
        <f>VLOOKUP(S356,CPI!$A$2:$F$71,6,0)</f>
        <v>1.28277786</v>
      </c>
      <c r="AB356" s="27">
        <f t="shared" si="60"/>
        <v>5928.357878</v>
      </c>
      <c r="AC356" s="27">
        <f t="shared" si="61"/>
        <v>101.5999636</v>
      </c>
      <c r="AD356" s="114"/>
      <c r="AE356" s="119" t="s">
        <v>685</v>
      </c>
      <c r="AF356" s="119" t="s">
        <v>686</v>
      </c>
      <c r="AJ356" s="206"/>
      <c r="AK356" s="206"/>
      <c r="AL356" s="206"/>
      <c r="AM356" s="35"/>
      <c r="AN356" s="35"/>
      <c r="AO356" s="35"/>
      <c r="AP356" s="35"/>
      <c r="AQ356" s="35"/>
    </row>
    <row r="357" ht="15.75" customHeight="1">
      <c r="A357" s="163"/>
      <c r="B357" s="114" t="s">
        <v>230</v>
      </c>
      <c r="C357" s="114" t="s">
        <v>684</v>
      </c>
      <c r="D357" s="209" t="s">
        <v>687</v>
      </c>
      <c r="E357" s="209" t="s">
        <v>687</v>
      </c>
      <c r="F357" s="114"/>
      <c r="G357" s="116">
        <v>2020.0</v>
      </c>
      <c r="H357" s="116">
        <v>0.0</v>
      </c>
      <c r="I357" s="116">
        <v>60.0</v>
      </c>
      <c r="J357" s="117">
        <v>0.2</v>
      </c>
      <c r="K357" s="116">
        <v>12.0</v>
      </c>
      <c r="L357" s="114"/>
      <c r="M357" s="114"/>
      <c r="N357" s="116">
        <v>10.0</v>
      </c>
      <c r="O357" s="116">
        <v>117.0</v>
      </c>
      <c r="P357" s="114"/>
      <c r="Q357" s="140">
        <v>20763.0</v>
      </c>
      <c r="R357" s="114" t="s">
        <v>234</v>
      </c>
      <c r="S357" s="115">
        <v>2020.0</v>
      </c>
      <c r="T357" s="85">
        <v>0.239</v>
      </c>
      <c r="U357" s="118">
        <f t="shared" si="92"/>
        <v>4962.357</v>
      </c>
      <c r="V357" s="24">
        <f t="shared" si="59"/>
        <v>82.70595</v>
      </c>
      <c r="W357" s="3">
        <f t="shared" si="31"/>
        <v>0</v>
      </c>
      <c r="X357" s="3">
        <f t="shared" si="32"/>
        <v>0</v>
      </c>
      <c r="Y357" s="3">
        <f t="shared" si="33"/>
        <v>0</v>
      </c>
      <c r="Z357" s="25">
        <f t="shared" si="34"/>
        <v>0</v>
      </c>
      <c r="AA357" s="26">
        <f>VLOOKUP(S357,CPI!$A$2:$F$71,6,0)</f>
        <v>1.244593545</v>
      </c>
      <c r="AB357" s="27">
        <f t="shared" si="60"/>
        <v>6176.117491</v>
      </c>
      <c r="AC357" s="27">
        <f t="shared" si="61"/>
        <v>102.9352915</v>
      </c>
      <c r="AD357" s="114"/>
      <c r="AE357" s="119" t="s">
        <v>688</v>
      </c>
      <c r="AF357" s="114"/>
      <c r="AG357" s="114"/>
      <c r="AH357" s="114"/>
      <c r="AI357" s="114"/>
      <c r="AJ357" s="206"/>
      <c r="AK357" s="206"/>
      <c r="AL357" s="206"/>
      <c r="AM357" s="35"/>
      <c r="AN357" s="35"/>
      <c r="AO357" s="35"/>
      <c r="AP357" s="35"/>
      <c r="AQ357" s="35"/>
    </row>
    <row r="358" ht="15.75" customHeight="1">
      <c r="A358" s="163"/>
      <c r="B358" s="66" t="s">
        <v>230</v>
      </c>
      <c r="C358" s="114" t="s">
        <v>684</v>
      </c>
      <c r="D358" s="115" t="s">
        <v>689</v>
      </c>
      <c r="E358" s="115" t="s">
        <v>690</v>
      </c>
      <c r="F358" s="114"/>
      <c r="G358" s="116">
        <v>2021.0</v>
      </c>
      <c r="H358" s="116">
        <v>0.0</v>
      </c>
      <c r="I358" s="116">
        <v>59.97</v>
      </c>
      <c r="J358" s="117">
        <v>1.0</v>
      </c>
      <c r="K358" s="116">
        <v>59.97</v>
      </c>
      <c r="L358" s="114"/>
      <c r="M358" s="114"/>
      <c r="N358" s="116">
        <v>40.0</v>
      </c>
      <c r="O358" s="116">
        <v>117.0</v>
      </c>
      <c r="P358" s="114"/>
      <c r="Q358" s="140">
        <v>39990.0</v>
      </c>
      <c r="R358" s="114" t="s">
        <v>234</v>
      </c>
      <c r="S358" s="115">
        <v>2021.0</v>
      </c>
      <c r="T358" s="136">
        <v>0.239000000000001</v>
      </c>
      <c r="U358" s="118">
        <f t="shared" si="92"/>
        <v>9557.61</v>
      </c>
      <c r="V358" s="24">
        <f t="shared" si="59"/>
        <v>159.3731866</v>
      </c>
      <c r="W358" s="3">
        <f t="shared" si="31"/>
        <v>0</v>
      </c>
      <c r="X358" s="3">
        <f t="shared" si="32"/>
        <v>0</v>
      </c>
      <c r="Y358" s="3">
        <f t="shared" si="33"/>
        <v>0</v>
      </c>
      <c r="Z358" s="25">
        <f t="shared" si="34"/>
        <v>0</v>
      </c>
      <c r="AA358" s="26">
        <f>VLOOKUP(S358,CPI!$A$2:$F$71,6,0)</f>
        <v>1.188745987</v>
      </c>
      <c r="AB358" s="27">
        <f t="shared" si="60"/>
        <v>11361.57053</v>
      </c>
      <c r="AC358" s="27">
        <f t="shared" si="61"/>
        <v>189.4542359</v>
      </c>
      <c r="AD358" s="72"/>
      <c r="AE358" s="119" t="s">
        <v>691</v>
      </c>
      <c r="AF358" s="114"/>
      <c r="AG358" s="114"/>
      <c r="AH358" s="114"/>
      <c r="AI358" s="114"/>
      <c r="AJ358" s="206"/>
      <c r="AK358" s="206"/>
      <c r="AL358" s="206"/>
      <c r="AM358" s="35"/>
      <c r="AN358" s="35"/>
      <c r="AO358" s="35"/>
      <c r="AP358" s="35"/>
      <c r="AQ358" s="35"/>
    </row>
    <row r="359" ht="15.75" customHeight="1">
      <c r="A359" s="163"/>
      <c r="B359" s="66" t="s">
        <v>230</v>
      </c>
      <c r="C359" s="114" t="s">
        <v>684</v>
      </c>
      <c r="D359" s="114" t="s">
        <v>243</v>
      </c>
      <c r="E359" s="114" t="s">
        <v>243</v>
      </c>
      <c r="F359" s="114"/>
      <c r="G359" s="116">
        <v>2021.0</v>
      </c>
      <c r="H359" s="116">
        <v>0.0</v>
      </c>
      <c r="I359" s="116">
        <v>61.4</v>
      </c>
      <c r="J359" s="192"/>
      <c r="K359" s="114"/>
      <c r="L359" s="114"/>
      <c r="M359" s="114"/>
      <c r="N359" s="116">
        <v>16.0</v>
      </c>
      <c r="O359" s="116">
        <v>117.0</v>
      </c>
      <c r="P359" s="114"/>
      <c r="Q359" s="140">
        <v>32100.0</v>
      </c>
      <c r="R359" s="114" t="s">
        <v>234</v>
      </c>
      <c r="S359" s="115">
        <v>2021.0</v>
      </c>
      <c r="T359" s="136">
        <v>0.239000000000001</v>
      </c>
      <c r="U359" s="118">
        <f t="shared" si="92"/>
        <v>7671.9</v>
      </c>
      <c r="V359" s="24">
        <f t="shared" si="59"/>
        <v>124.9495114</v>
      </c>
      <c r="W359" s="3">
        <f t="shared" si="31"/>
        <v>0</v>
      </c>
      <c r="X359" s="3">
        <f t="shared" si="32"/>
        <v>0</v>
      </c>
      <c r="Y359" s="3">
        <f t="shared" si="33"/>
        <v>0</v>
      </c>
      <c r="Z359" s="25">
        <f t="shared" si="34"/>
        <v>0</v>
      </c>
      <c r="AA359" s="26">
        <f>VLOOKUP(S359,CPI!$A$2:$F$71,6,0)</f>
        <v>1.188745987</v>
      </c>
      <c r="AB359" s="27">
        <f t="shared" si="60"/>
        <v>9119.940335</v>
      </c>
      <c r="AC359" s="27">
        <f t="shared" si="61"/>
        <v>148.5332302</v>
      </c>
      <c r="AD359" s="114"/>
      <c r="AE359" s="119" t="s">
        <v>692</v>
      </c>
      <c r="AF359" s="114"/>
      <c r="AG359" s="114"/>
      <c r="AH359" s="114"/>
      <c r="AI359" s="114"/>
      <c r="AJ359" s="206"/>
      <c r="AK359" s="206"/>
      <c r="AL359" s="206"/>
      <c r="AM359" s="35"/>
      <c r="AN359" s="35"/>
      <c r="AO359" s="35"/>
      <c r="AP359" s="35"/>
      <c r="AQ359" s="35"/>
    </row>
    <row r="360" ht="15.75" customHeight="1">
      <c r="A360" s="163"/>
      <c r="B360" s="66" t="s">
        <v>230</v>
      </c>
      <c r="C360" s="114" t="s">
        <v>684</v>
      </c>
      <c r="D360" s="114" t="s">
        <v>260</v>
      </c>
      <c r="E360" s="114" t="s">
        <v>260</v>
      </c>
      <c r="F360" s="116">
        <v>2021.0</v>
      </c>
      <c r="G360" s="116">
        <v>2026.0</v>
      </c>
      <c r="H360" s="116">
        <v>0.0</v>
      </c>
      <c r="I360" s="116">
        <v>30.8</v>
      </c>
      <c r="J360" s="117">
        <v>1.0</v>
      </c>
      <c r="K360" s="116">
        <v>30.8</v>
      </c>
      <c r="L360" s="114"/>
      <c r="M360" s="114"/>
      <c r="N360" s="116">
        <v>17.0</v>
      </c>
      <c r="O360" s="116">
        <v>117.0</v>
      </c>
      <c r="P360" s="114"/>
      <c r="Q360" s="140">
        <v>19478.0</v>
      </c>
      <c r="R360" s="114" t="s">
        <v>234</v>
      </c>
      <c r="S360" s="115">
        <v>2021.0</v>
      </c>
      <c r="T360" s="136">
        <v>0.239000000000001</v>
      </c>
      <c r="U360" s="118">
        <f t="shared" si="92"/>
        <v>4655.242</v>
      </c>
      <c r="V360" s="24">
        <f t="shared" si="59"/>
        <v>151.1442208</v>
      </c>
      <c r="W360" s="3">
        <f t="shared" si="31"/>
        <v>0</v>
      </c>
      <c r="X360" s="3">
        <f t="shared" si="32"/>
        <v>0</v>
      </c>
      <c r="Y360" s="3">
        <f t="shared" si="33"/>
        <v>0</v>
      </c>
      <c r="Z360" s="25">
        <f t="shared" si="34"/>
        <v>0</v>
      </c>
      <c r="AA360" s="26">
        <f>VLOOKUP(S360,CPI!$A$2:$F$71,6,0)</f>
        <v>1.188745987</v>
      </c>
      <c r="AB360" s="27">
        <f t="shared" si="60"/>
        <v>5533.900244</v>
      </c>
      <c r="AC360" s="27">
        <f t="shared" si="61"/>
        <v>179.6720859</v>
      </c>
      <c r="AD360" s="114"/>
      <c r="AE360" s="119" t="s">
        <v>693</v>
      </c>
      <c r="AF360" s="161" t="s">
        <v>694</v>
      </c>
      <c r="AG360" s="114"/>
      <c r="AH360" s="114"/>
      <c r="AI360" s="114"/>
      <c r="AJ360" s="206"/>
      <c r="AK360" s="206"/>
      <c r="AL360" s="206"/>
      <c r="AM360" s="54"/>
      <c r="AN360" s="54"/>
      <c r="AO360" s="54"/>
      <c r="AP360" s="54"/>
      <c r="AQ360" s="54"/>
    </row>
    <row r="361" ht="15.75" customHeight="1">
      <c r="A361" s="163"/>
      <c r="B361" s="66" t="s">
        <v>230</v>
      </c>
      <c r="C361" s="114" t="s">
        <v>684</v>
      </c>
      <c r="D361" s="114" t="s">
        <v>84</v>
      </c>
      <c r="E361" s="114" t="s">
        <v>84</v>
      </c>
      <c r="F361" s="116">
        <v>2021.0</v>
      </c>
      <c r="G361" s="116">
        <v>2026.0</v>
      </c>
      <c r="H361" s="116">
        <v>0.0</v>
      </c>
      <c r="I361" s="116">
        <v>32.7</v>
      </c>
      <c r="J361" s="117">
        <v>1.0</v>
      </c>
      <c r="K361" s="116">
        <v>32.7</v>
      </c>
      <c r="L361" s="114"/>
      <c r="M361" s="114"/>
      <c r="N361" s="116">
        <v>29.0</v>
      </c>
      <c r="O361" s="116">
        <v>117.0</v>
      </c>
      <c r="P361" s="114"/>
      <c r="Q361" s="140">
        <v>26030.0</v>
      </c>
      <c r="R361" s="114" t="s">
        <v>234</v>
      </c>
      <c r="S361" s="115">
        <v>2021.0</v>
      </c>
      <c r="T361" s="136">
        <v>0.239000000000001</v>
      </c>
      <c r="U361" s="118">
        <f t="shared" si="92"/>
        <v>6221.17</v>
      </c>
      <c r="V361" s="24">
        <f t="shared" si="59"/>
        <v>190.2498471</v>
      </c>
      <c r="W361" s="3">
        <f t="shared" si="31"/>
        <v>0</v>
      </c>
      <c r="X361" s="3">
        <f t="shared" si="32"/>
        <v>0</v>
      </c>
      <c r="Y361" s="3">
        <f t="shared" si="33"/>
        <v>0</v>
      </c>
      <c r="Z361" s="25">
        <f t="shared" si="34"/>
        <v>0</v>
      </c>
      <c r="AA361" s="26">
        <f>VLOOKUP(S361,CPI!$A$2:$F$71,6,0)</f>
        <v>1.188745987</v>
      </c>
      <c r="AB361" s="27">
        <f t="shared" si="60"/>
        <v>7395.39087</v>
      </c>
      <c r="AC361" s="27">
        <f t="shared" si="61"/>
        <v>226.1587422</v>
      </c>
      <c r="AD361" s="72"/>
      <c r="AE361" s="119" t="s">
        <v>695</v>
      </c>
      <c r="AF361" s="161" t="s">
        <v>694</v>
      </c>
      <c r="AG361" s="114"/>
      <c r="AH361" s="114"/>
      <c r="AI361" s="114"/>
      <c r="AJ361" s="206"/>
      <c r="AK361" s="206"/>
      <c r="AL361" s="206"/>
      <c r="AM361" s="35"/>
      <c r="AN361" s="35"/>
      <c r="AO361" s="35"/>
      <c r="AP361" s="35"/>
      <c r="AQ361" s="35"/>
    </row>
    <row r="362" ht="15.75" customHeight="1">
      <c r="A362" s="163"/>
      <c r="B362" s="66" t="s">
        <v>230</v>
      </c>
      <c r="C362" s="114" t="s">
        <v>684</v>
      </c>
      <c r="D362" s="115" t="s">
        <v>80</v>
      </c>
      <c r="E362" s="115" t="s">
        <v>696</v>
      </c>
      <c r="F362" s="116">
        <v>2021.0</v>
      </c>
      <c r="G362" s="116">
        <v>2026.0</v>
      </c>
      <c r="H362" s="116">
        <v>0.0</v>
      </c>
      <c r="I362" s="116">
        <v>13.85</v>
      </c>
      <c r="J362" s="117">
        <v>1.0</v>
      </c>
      <c r="K362" s="116">
        <v>13.85</v>
      </c>
      <c r="L362" s="114"/>
      <c r="M362" s="114"/>
      <c r="N362" s="116">
        <v>10.0</v>
      </c>
      <c r="O362" s="116">
        <v>117.0</v>
      </c>
      <c r="P362" s="114"/>
      <c r="Q362" s="140">
        <v>8302.0</v>
      </c>
      <c r="R362" s="114" t="s">
        <v>234</v>
      </c>
      <c r="S362" s="115">
        <v>2021.0</v>
      </c>
      <c r="T362" s="136">
        <v>0.239000000000001</v>
      </c>
      <c r="U362" s="118">
        <f t="shared" si="92"/>
        <v>1984.178</v>
      </c>
      <c r="V362" s="24">
        <f t="shared" si="59"/>
        <v>143.2619495</v>
      </c>
      <c r="W362" s="3">
        <f t="shared" si="31"/>
        <v>0</v>
      </c>
      <c r="X362" s="3">
        <f t="shared" si="32"/>
        <v>0</v>
      </c>
      <c r="Y362" s="3">
        <f t="shared" si="33"/>
        <v>0</v>
      </c>
      <c r="Z362" s="25">
        <f t="shared" si="34"/>
        <v>0</v>
      </c>
      <c r="AA362" s="26">
        <f>VLOOKUP(S362,CPI!$A$2:$F$71,6,0)</f>
        <v>1.188745987</v>
      </c>
      <c r="AB362" s="27">
        <f t="shared" si="60"/>
        <v>2358.683634</v>
      </c>
      <c r="AC362" s="27">
        <f t="shared" si="61"/>
        <v>170.3020675</v>
      </c>
      <c r="AD362" s="114"/>
      <c r="AE362" s="119" t="s">
        <v>697</v>
      </c>
      <c r="AF362" s="161" t="s">
        <v>694</v>
      </c>
      <c r="AG362" s="114"/>
      <c r="AH362" s="114"/>
      <c r="AI362" s="114"/>
      <c r="AJ362" s="206"/>
      <c r="AK362" s="206"/>
      <c r="AL362" s="206"/>
      <c r="AM362" s="35"/>
      <c r="AN362" s="35"/>
      <c r="AO362" s="35"/>
      <c r="AP362" s="35"/>
      <c r="AQ362" s="35"/>
    </row>
    <row r="363" ht="15.75" customHeight="1">
      <c r="A363" s="163"/>
      <c r="B363" s="114" t="s">
        <v>230</v>
      </c>
      <c r="C363" s="114" t="s">
        <v>684</v>
      </c>
      <c r="D363" s="114" t="s">
        <v>243</v>
      </c>
      <c r="E363" s="114" t="s">
        <v>698</v>
      </c>
      <c r="F363" s="116">
        <v>2021.0</v>
      </c>
      <c r="G363" s="116">
        <v>2026.0</v>
      </c>
      <c r="H363" s="116">
        <v>0.0</v>
      </c>
      <c r="I363" s="116">
        <v>18.8</v>
      </c>
      <c r="J363" s="117">
        <v>1.0</v>
      </c>
      <c r="K363" s="116">
        <v>18.8</v>
      </c>
      <c r="L363" s="114"/>
      <c r="M363" s="114"/>
      <c r="N363" s="116">
        <v>9.0</v>
      </c>
      <c r="O363" s="116">
        <v>117.0</v>
      </c>
      <c r="P363" s="114"/>
      <c r="Q363" s="140">
        <v>11492.0</v>
      </c>
      <c r="R363" s="114" t="s">
        <v>234</v>
      </c>
      <c r="S363" s="115">
        <v>2021.0</v>
      </c>
      <c r="T363" s="136">
        <v>0.239000000000001</v>
      </c>
      <c r="U363" s="118">
        <f t="shared" si="92"/>
        <v>2746.588</v>
      </c>
      <c r="V363" s="24">
        <f t="shared" si="59"/>
        <v>146.0951064</v>
      </c>
      <c r="W363" s="3">
        <f t="shared" si="31"/>
        <v>0</v>
      </c>
      <c r="X363" s="3">
        <f t="shared" si="32"/>
        <v>0</v>
      </c>
      <c r="Y363" s="3">
        <f t="shared" si="33"/>
        <v>0</v>
      </c>
      <c r="Z363" s="25">
        <f t="shared" si="34"/>
        <v>0</v>
      </c>
      <c r="AA363" s="26">
        <f>VLOOKUP(S363,CPI!$A$2:$F$71,6,0)</f>
        <v>1.188745987</v>
      </c>
      <c r="AB363" s="27">
        <f t="shared" si="60"/>
        <v>3264.995462</v>
      </c>
      <c r="AC363" s="27">
        <f t="shared" si="61"/>
        <v>173.6699714</v>
      </c>
      <c r="AD363" s="114"/>
      <c r="AE363" s="119" t="s">
        <v>694</v>
      </c>
      <c r="AF363" s="114"/>
      <c r="AG363" s="114"/>
      <c r="AH363" s="114"/>
      <c r="AI363" s="114"/>
      <c r="AJ363" s="206"/>
      <c r="AK363" s="206"/>
      <c r="AL363" s="206"/>
      <c r="AM363" s="33"/>
      <c r="AN363" s="33"/>
      <c r="AO363" s="33"/>
      <c r="AP363" s="33"/>
      <c r="AQ363" s="33"/>
    </row>
    <row r="364" ht="15.75" customHeight="1">
      <c r="A364" s="163"/>
      <c r="B364" s="66" t="s">
        <v>230</v>
      </c>
      <c r="C364" s="114" t="s">
        <v>684</v>
      </c>
      <c r="D364" s="114" t="s">
        <v>253</v>
      </c>
      <c r="E364" s="114" t="s">
        <v>253</v>
      </c>
      <c r="F364" s="116">
        <v>2021.0</v>
      </c>
      <c r="G364" s="116">
        <v>2026.0</v>
      </c>
      <c r="H364" s="116">
        <v>0.0</v>
      </c>
      <c r="I364" s="116">
        <v>16.63</v>
      </c>
      <c r="J364" s="117">
        <v>1.0</v>
      </c>
      <c r="K364" s="116">
        <v>16.63</v>
      </c>
      <c r="L364" s="114"/>
      <c r="M364" s="114"/>
      <c r="N364" s="116">
        <v>13.0</v>
      </c>
      <c r="O364" s="116">
        <v>117.0</v>
      </c>
      <c r="P364" s="114"/>
      <c r="Q364" s="140">
        <v>12590.0</v>
      </c>
      <c r="R364" s="114" t="s">
        <v>234</v>
      </c>
      <c r="S364" s="115">
        <v>2021.0</v>
      </c>
      <c r="T364" s="136">
        <v>0.239000000000001</v>
      </c>
      <c r="U364" s="118">
        <f t="shared" si="92"/>
        <v>3009.01</v>
      </c>
      <c r="V364" s="24">
        <f t="shared" si="59"/>
        <v>180.9386651</v>
      </c>
      <c r="W364" s="3">
        <f t="shared" si="31"/>
        <v>0</v>
      </c>
      <c r="X364" s="3">
        <f t="shared" si="32"/>
        <v>0</v>
      </c>
      <c r="Y364" s="3">
        <f t="shared" si="33"/>
        <v>0</v>
      </c>
      <c r="Z364" s="25">
        <f t="shared" si="34"/>
        <v>0</v>
      </c>
      <c r="AA364" s="26">
        <f>VLOOKUP(S364,CPI!$A$2:$F$71,6,0)</f>
        <v>1.188745987</v>
      </c>
      <c r="AB364" s="27">
        <f t="shared" si="60"/>
        <v>3576.948561</v>
      </c>
      <c r="AC364" s="27">
        <f t="shared" si="61"/>
        <v>215.0901119</v>
      </c>
      <c r="AD364" s="72"/>
      <c r="AE364" s="119" t="s">
        <v>699</v>
      </c>
      <c r="AF364" s="161" t="s">
        <v>694</v>
      </c>
      <c r="AG364" s="114"/>
      <c r="AH364" s="114"/>
      <c r="AI364" s="114"/>
      <c r="AJ364" s="206"/>
      <c r="AK364" s="206"/>
      <c r="AL364" s="206"/>
      <c r="AM364" s="33"/>
      <c r="AN364" s="33"/>
      <c r="AO364" s="33"/>
      <c r="AP364" s="33"/>
      <c r="AQ364" s="33"/>
    </row>
    <row r="365" ht="15.75" customHeight="1">
      <c r="A365" s="163"/>
      <c r="B365" s="66" t="s">
        <v>230</v>
      </c>
      <c r="C365" s="114" t="s">
        <v>684</v>
      </c>
      <c r="D365" s="114" t="s">
        <v>87</v>
      </c>
      <c r="E365" s="114" t="s">
        <v>87</v>
      </c>
      <c r="F365" s="116">
        <v>2010.0</v>
      </c>
      <c r="G365" s="114"/>
      <c r="H365" s="116">
        <v>0.0</v>
      </c>
      <c r="I365" s="116">
        <v>25.0</v>
      </c>
      <c r="J365" s="117">
        <v>1.0</v>
      </c>
      <c r="K365" s="116">
        <v>25.0</v>
      </c>
      <c r="L365" s="114"/>
      <c r="M365" s="114"/>
      <c r="N365" s="116">
        <v>22.0</v>
      </c>
      <c r="O365" s="116">
        <v>117.0</v>
      </c>
      <c r="P365" s="114"/>
      <c r="Q365" s="140">
        <v>17500.0</v>
      </c>
      <c r="R365" s="114" t="s">
        <v>234</v>
      </c>
      <c r="S365" s="115">
        <v>2010.0</v>
      </c>
      <c r="T365" s="85">
        <v>0.3</v>
      </c>
      <c r="U365" s="118">
        <f t="shared" si="92"/>
        <v>5250</v>
      </c>
      <c r="V365" s="24">
        <f t="shared" si="59"/>
        <v>210</v>
      </c>
      <c r="W365" s="3">
        <f t="shared" si="31"/>
        <v>0</v>
      </c>
      <c r="X365" s="3">
        <f t="shared" si="32"/>
        <v>0</v>
      </c>
      <c r="Y365" s="3">
        <f t="shared" si="33"/>
        <v>0</v>
      </c>
      <c r="Z365" s="25">
        <f t="shared" si="34"/>
        <v>0</v>
      </c>
      <c r="AA365" s="26">
        <f>VLOOKUP(S365,CPI!$A$2:$F$71,6,0)</f>
        <v>1.477209983</v>
      </c>
      <c r="AB365" s="27">
        <f t="shared" si="60"/>
        <v>7755.352409</v>
      </c>
      <c r="AC365" s="27">
        <f t="shared" si="61"/>
        <v>310.2140964</v>
      </c>
      <c r="AD365" s="72"/>
      <c r="AE365" s="119" t="s">
        <v>700</v>
      </c>
      <c r="AF365" s="114"/>
      <c r="AG365" s="114"/>
      <c r="AH365" s="114"/>
      <c r="AI365" s="114"/>
      <c r="AJ365" s="206"/>
      <c r="AK365" s="206"/>
      <c r="AL365" s="206"/>
      <c r="AM365" s="33"/>
      <c r="AN365" s="33"/>
      <c r="AO365" s="33"/>
      <c r="AP365" s="33"/>
      <c r="AQ365" s="33"/>
    </row>
    <row r="366" ht="15.75" customHeight="1">
      <c r="A366" s="7"/>
      <c r="B366" s="114" t="s">
        <v>230</v>
      </c>
      <c r="C366" s="114" t="s">
        <v>684</v>
      </c>
      <c r="D366" s="115" t="s">
        <v>54</v>
      </c>
      <c r="E366" s="114" t="s">
        <v>54</v>
      </c>
      <c r="F366" s="116">
        <v>2019.0</v>
      </c>
      <c r="G366" s="114"/>
      <c r="H366" s="116">
        <v>0.0</v>
      </c>
      <c r="I366" s="116">
        <v>25.0</v>
      </c>
      <c r="J366" s="117">
        <v>1.0</v>
      </c>
      <c r="K366" s="116">
        <v>25.0</v>
      </c>
      <c r="L366" s="114"/>
      <c r="M366" s="114"/>
      <c r="N366" s="116">
        <v>22.0</v>
      </c>
      <c r="O366" s="116">
        <v>117.0</v>
      </c>
      <c r="P366" s="114"/>
      <c r="Q366" s="140">
        <v>29376.8</v>
      </c>
      <c r="R366" s="114" t="s">
        <v>234</v>
      </c>
      <c r="S366" s="115">
        <v>2019.0</v>
      </c>
      <c r="T366" s="136">
        <v>0.238</v>
      </c>
      <c r="U366" s="118">
        <f t="shared" si="92"/>
        <v>6991.6784</v>
      </c>
      <c r="V366" s="24">
        <f t="shared" si="59"/>
        <v>279.667136</v>
      </c>
      <c r="W366" s="3">
        <f t="shared" si="31"/>
        <v>0</v>
      </c>
      <c r="X366" s="3">
        <f t="shared" si="32"/>
        <v>0</v>
      </c>
      <c r="Y366" s="3">
        <f t="shared" si="33"/>
        <v>0</v>
      </c>
      <c r="Z366" s="25">
        <f t="shared" si="34"/>
        <v>0</v>
      </c>
      <c r="AA366" s="26">
        <f>VLOOKUP(S366,CPI!$A$2:$F$71,6,0)</f>
        <v>1.259947899</v>
      </c>
      <c r="AB366" s="27">
        <f t="shared" si="60"/>
        <v>8809.15051</v>
      </c>
      <c r="AC366" s="27">
        <f t="shared" si="61"/>
        <v>352.3660204</v>
      </c>
      <c r="AD366" s="114"/>
      <c r="AE366" s="119" t="s">
        <v>701</v>
      </c>
      <c r="AF366" s="208"/>
      <c r="AG366" s="208"/>
      <c r="AH366" s="208"/>
      <c r="AI366" s="208"/>
      <c r="AJ366" s="206"/>
      <c r="AK366" s="206"/>
      <c r="AL366" s="206"/>
      <c r="AM366" s="54"/>
      <c r="AN366" s="54"/>
      <c r="AO366" s="54"/>
      <c r="AP366" s="54"/>
      <c r="AQ366" s="54"/>
    </row>
    <row r="367" ht="15.75" customHeight="1">
      <c r="A367" s="163"/>
      <c r="B367" s="66" t="s">
        <v>230</v>
      </c>
      <c r="C367" s="114" t="s">
        <v>684</v>
      </c>
      <c r="D367" s="115" t="s">
        <v>54</v>
      </c>
      <c r="E367" s="115" t="s">
        <v>702</v>
      </c>
      <c r="F367" s="116">
        <v>2021.0</v>
      </c>
      <c r="G367" s="114"/>
      <c r="H367" s="116">
        <v>0.0</v>
      </c>
      <c r="I367" s="116">
        <v>8.89</v>
      </c>
      <c r="J367" s="117">
        <v>1.0</v>
      </c>
      <c r="K367" s="116">
        <v>8.89</v>
      </c>
      <c r="L367" s="114"/>
      <c r="M367" s="114"/>
      <c r="N367" s="116">
        <v>8.0</v>
      </c>
      <c r="O367" s="116">
        <v>117.0</v>
      </c>
      <c r="P367" s="114"/>
      <c r="Q367" s="140">
        <v>6770.0</v>
      </c>
      <c r="R367" s="114" t="s">
        <v>234</v>
      </c>
      <c r="S367" s="115">
        <v>2021.0</v>
      </c>
      <c r="T367" s="136">
        <v>0.239000000000001</v>
      </c>
      <c r="U367" s="118">
        <f t="shared" si="92"/>
        <v>1618.03</v>
      </c>
      <c r="V367" s="24">
        <f t="shared" si="59"/>
        <v>182.0056243</v>
      </c>
      <c r="W367" s="3">
        <f t="shared" si="31"/>
        <v>0</v>
      </c>
      <c r="X367" s="3">
        <f t="shared" si="32"/>
        <v>0</v>
      </c>
      <c r="Y367" s="3">
        <f t="shared" si="33"/>
        <v>0</v>
      </c>
      <c r="Z367" s="25">
        <f t="shared" si="34"/>
        <v>0</v>
      </c>
      <c r="AA367" s="26">
        <f>VLOOKUP(S367,CPI!$A$2:$F$71,6,0)</f>
        <v>1.188745987</v>
      </c>
      <c r="AB367" s="27">
        <f t="shared" si="60"/>
        <v>1923.426669</v>
      </c>
      <c r="AC367" s="27">
        <f t="shared" si="61"/>
        <v>216.3584554</v>
      </c>
      <c r="AD367" s="72"/>
      <c r="AE367" s="119" t="s">
        <v>703</v>
      </c>
      <c r="AF367" s="161" t="s">
        <v>694</v>
      </c>
      <c r="AG367" s="114"/>
      <c r="AH367" s="114"/>
      <c r="AI367" s="114"/>
      <c r="AJ367" s="206"/>
      <c r="AK367" s="206"/>
      <c r="AL367" s="206"/>
      <c r="AM367" s="33"/>
      <c r="AN367" s="33"/>
      <c r="AO367" s="33"/>
      <c r="AP367" s="33"/>
      <c r="AQ367" s="33"/>
    </row>
    <row r="368" ht="15.75" customHeight="1">
      <c r="A368" s="38">
        <v>7656.0</v>
      </c>
      <c r="B368" s="123" t="s">
        <v>230</v>
      </c>
      <c r="C368" s="123" t="s">
        <v>704</v>
      </c>
      <c r="D368" s="36" t="s">
        <v>57</v>
      </c>
      <c r="E368" s="123" t="s">
        <v>705</v>
      </c>
      <c r="F368" s="75">
        <v>1990.0</v>
      </c>
      <c r="G368" s="75">
        <v>1995.0</v>
      </c>
      <c r="H368" s="75">
        <v>0.0</v>
      </c>
      <c r="I368" s="75">
        <v>16.1</v>
      </c>
      <c r="J368" s="155"/>
      <c r="K368" s="123"/>
      <c r="L368" s="125" t="e">
        <v>#N/A</v>
      </c>
      <c r="M368" s="125" t="e">
        <v>#N/A</v>
      </c>
      <c r="N368" s="75">
        <v>13.0</v>
      </c>
      <c r="O368" s="75"/>
      <c r="P368" s="123" t="s">
        <v>74</v>
      </c>
      <c r="Q368" s="126">
        <f>5.39*10^3</f>
        <v>5390</v>
      </c>
      <c r="R368" s="123" t="s">
        <v>234</v>
      </c>
      <c r="S368" s="75">
        <v>1995.0</v>
      </c>
      <c r="T368" s="136">
        <v>0.365</v>
      </c>
      <c r="U368" s="118">
        <f t="shared" si="92"/>
        <v>1967.35</v>
      </c>
      <c r="V368" s="24">
        <f t="shared" si="59"/>
        <v>122.1956522</v>
      </c>
      <c r="W368" s="3">
        <f t="shared" si="31"/>
        <v>0</v>
      </c>
      <c r="X368" s="3">
        <f t="shared" si="32"/>
        <v>0</v>
      </c>
      <c r="Y368" s="3">
        <f t="shared" si="33"/>
        <v>0</v>
      </c>
      <c r="Z368" s="25">
        <f t="shared" si="34"/>
        <v>0</v>
      </c>
      <c r="AA368" s="26">
        <f>VLOOKUP(S368,CPI!$A$2:$F$71,6,0)</f>
        <v>2.113612205</v>
      </c>
      <c r="AB368" s="27">
        <f t="shared" si="60"/>
        <v>4158.214971</v>
      </c>
      <c r="AC368" s="27">
        <f t="shared" si="61"/>
        <v>258.2742218</v>
      </c>
      <c r="AD368" s="123" t="s">
        <v>42</v>
      </c>
      <c r="AE368" s="129" t="s">
        <v>706</v>
      </c>
      <c r="AF368" s="34"/>
      <c r="AG368" s="34"/>
      <c r="AH368" s="34"/>
      <c r="AI368" s="34"/>
      <c r="AJ368" s="35"/>
      <c r="AK368" s="35"/>
      <c r="AL368" s="35"/>
      <c r="AM368" s="54"/>
      <c r="AN368" s="54"/>
      <c r="AO368" s="54"/>
      <c r="AP368" s="54"/>
      <c r="AQ368" s="54"/>
    </row>
    <row r="369" ht="15.75" customHeight="1">
      <c r="A369" s="38">
        <v>7657.0</v>
      </c>
      <c r="B369" s="123" t="s">
        <v>230</v>
      </c>
      <c r="C369" s="123" t="s">
        <v>704</v>
      </c>
      <c r="D369" s="36" t="s">
        <v>54</v>
      </c>
      <c r="E369" s="123" t="s">
        <v>348</v>
      </c>
      <c r="F369" s="75">
        <v>1995.0</v>
      </c>
      <c r="G369" s="75">
        <v>1999.0</v>
      </c>
      <c r="H369" s="75">
        <v>0.0</v>
      </c>
      <c r="I369" s="75">
        <v>16.3</v>
      </c>
      <c r="J369" s="124">
        <v>1.0</v>
      </c>
      <c r="K369" s="75">
        <v>16.3</v>
      </c>
      <c r="L369" s="125">
        <v>0.0</v>
      </c>
      <c r="M369" s="125">
        <v>0.0</v>
      </c>
      <c r="N369" s="75">
        <v>12.0</v>
      </c>
      <c r="O369" s="75"/>
      <c r="P369" s="123" t="s">
        <v>74</v>
      </c>
      <c r="Q369" s="126">
        <f>12.4*10^3</f>
        <v>12400</v>
      </c>
      <c r="R369" s="123" t="s">
        <v>234</v>
      </c>
      <c r="S369" s="75">
        <v>1995.0</v>
      </c>
      <c r="T369" s="136">
        <v>0.365</v>
      </c>
      <c r="U369" s="118">
        <f t="shared" si="92"/>
        <v>4526</v>
      </c>
      <c r="V369" s="24">
        <f t="shared" si="59"/>
        <v>277.6687117</v>
      </c>
      <c r="W369" s="3">
        <f t="shared" si="31"/>
        <v>0</v>
      </c>
      <c r="X369" s="3">
        <f t="shared" si="32"/>
        <v>0</v>
      </c>
      <c r="Y369" s="3">
        <f t="shared" si="33"/>
        <v>0</v>
      </c>
      <c r="Z369" s="25">
        <f t="shared" si="34"/>
        <v>0</v>
      </c>
      <c r="AA369" s="26">
        <f>VLOOKUP(S369,CPI!$A$2:$F$71,6,0)</f>
        <v>2.113612205</v>
      </c>
      <c r="AB369" s="27">
        <f t="shared" si="60"/>
        <v>9566.208839</v>
      </c>
      <c r="AC369" s="27">
        <f t="shared" si="61"/>
        <v>586.8839778</v>
      </c>
      <c r="AD369" s="123" t="s">
        <v>60</v>
      </c>
      <c r="AE369" s="129" t="s">
        <v>707</v>
      </c>
      <c r="AF369" s="34"/>
      <c r="AG369" s="34"/>
      <c r="AH369" s="34"/>
      <c r="AI369" s="34"/>
      <c r="AJ369" s="35"/>
      <c r="AK369" s="35"/>
      <c r="AL369" s="35"/>
    </row>
    <row r="370" ht="15.75" customHeight="1">
      <c r="A370" s="38">
        <v>7666.0</v>
      </c>
      <c r="B370" s="130" t="s">
        <v>230</v>
      </c>
      <c r="C370" s="130" t="s">
        <v>704</v>
      </c>
      <c r="D370" s="36" t="s">
        <v>87</v>
      </c>
      <c r="E370" s="130" t="s">
        <v>87</v>
      </c>
      <c r="F370" s="130">
        <v>1997.0</v>
      </c>
      <c r="G370" s="130">
        <v>2000.0</v>
      </c>
      <c r="H370" s="130">
        <v>0.0</v>
      </c>
      <c r="I370" s="130">
        <v>24.975</v>
      </c>
      <c r="J370" s="131">
        <v>0.0</v>
      </c>
      <c r="K370" s="130">
        <v>0.0</v>
      </c>
      <c r="L370" s="132">
        <v>21.605</v>
      </c>
      <c r="M370" s="132">
        <v>3.375</v>
      </c>
      <c r="N370" s="130"/>
      <c r="O370" s="138"/>
      <c r="P370" s="130" t="s">
        <v>74</v>
      </c>
      <c r="Q370" s="135">
        <f>9.378*10^3</f>
        <v>9378</v>
      </c>
      <c r="R370" s="130" t="s">
        <v>234</v>
      </c>
      <c r="S370" s="130">
        <v>1998.0</v>
      </c>
      <c r="T370" s="136">
        <v>0.357</v>
      </c>
      <c r="U370" s="128">
        <f t="shared" si="92"/>
        <v>3347.946</v>
      </c>
      <c r="V370" s="24">
        <f t="shared" si="59"/>
        <v>134.0518919</v>
      </c>
      <c r="W370" s="3">
        <f t="shared" si="31"/>
        <v>0</v>
      </c>
      <c r="X370" s="3">
        <f t="shared" si="32"/>
        <v>0</v>
      </c>
      <c r="Y370" s="3">
        <f t="shared" si="33"/>
        <v>0</v>
      </c>
      <c r="Z370" s="25">
        <f t="shared" si="34"/>
        <v>0</v>
      </c>
      <c r="AA370" s="26">
        <f>VLOOKUP(S370,CPI!$A$2:$F$71,6,0)</f>
        <v>1.976162577</v>
      </c>
      <c r="AB370" s="27">
        <f t="shared" si="60"/>
        <v>6616.085594</v>
      </c>
      <c r="AC370" s="27">
        <f t="shared" si="61"/>
        <v>264.9083321</v>
      </c>
      <c r="AD370" s="130" t="s">
        <v>60</v>
      </c>
      <c r="AE370" s="137" t="s">
        <v>708</v>
      </c>
      <c r="AF370" s="34"/>
      <c r="AG370" s="34"/>
      <c r="AH370" s="34"/>
      <c r="AI370" s="34"/>
      <c r="AJ370" s="35"/>
      <c r="AK370" s="35"/>
      <c r="AL370" s="35"/>
      <c r="AM370" s="35"/>
      <c r="AN370" s="35"/>
      <c r="AO370" s="35"/>
      <c r="AP370" s="35"/>
      <c r="AQ370" s="35"/>
    </row>
    <row r="371" ht="15.75" customHeight="1">
      <c r="A371" s="38">
        <v>7658.0</v>
      </c>
      <c r="B371" s="130" t="s">
        <v>230</v>
      </c>
      <c r="C371" s="130" t="s">
        <v>704</v>
      </c>
      <c r="D371" s="36" t="s">
        <v>54</v>
      </c>
      <c r="E371" s="130" t="s">
        <v>709</v>
      </c>
      <c r="F371" s="130">
        <v>1999.0</v>
      </c>
      <c r="G371" s="130">
        <v>2000.0</v>
      </c>
      <c r="H371" s="130">
        <v>0.0</v>
      </c>
      <c r="I371" s="130">
        <v>2.72</v>
      </c>
      <c r="J371" s="131">
        <v>0.3198529412</v>
      </c>
      <c r="K371" s="130">
        <v>0.87</v>
      </c>
      <c r="L371" s="132">
        <v>0.305</v>
      </c>
      <c r="M371" s="132">
        <v>1.5718</v>
      </c>
      <c r="N371" s="130">
        <v>1.0</v>
      </c>
      <c r="O371" s="138"/>
      <c r="P371" s="130" t="s">
        <v>74</v>
      </c>
      <c r="Q371" s="135">
        <f>0.31477*10^3</f>
        <v>314.77</v>
      </c>
      <c r="R371" s="130" t="s">
        <v>234</v>
      </c>
      <c r="S371" s="130">
        <v>1999.0</v>
      </c>
      <c r="T371" s="136">
        <v>0.367</v>
      </c>
      <c r="U371" s="128">
        <f t="shared" si="92"/>
        <v>115.52059</v>
      </c>
      <c r="V371" s="24">
        <f t="shared" si="59"/>
        <v>42.47080515</v>
      </c>
      <c r="W371" s="3">
        <f t="shared" si="31"/>
        <v>0</v>
      </c>
      <c r="X371" s="3">
        <f t="shared" si="32"/>
        <v>0</v>
      </c>
      <c r="Y371" s="3">
        <f t="shared" si="33"/>
        <v>0</v>
      </c>
      <c r="Z371" s="25">
        <f t="shared" si="34"/>
        <v>0</v>
      </c>
      <c r="AA371" s="26">
        <f>VLOOKUP(S371,CPI!$A$2:$F$71,6,0)</f>
        <v>1.933460384</v>
      </c>
      <c r="AB371" s="27">
        <f t="shared" si="60"/>
        <v>223.3544843</v>
      </c>
      <c r="AC371" s="27">
        <f t="shared" si="61"/>
        <v>82.11561923</v>
      </c>
      <c r="AD371" s="130" t="s">
        <v>60</v>
      </c>
      <c r="AE371" s="137" t="s">
        <v>707</v>
      </c>
      <c r="AF371" s="34"/>
      <c r="AG371" s="34"/>
      <c r="AH371" s="34"/>
      <c r="AI371" s="34"/>
      <c r="AJ371" s="35"/>
      <c r="AK371" s="35"/>
      <c r="AL371" s="35"/>
      <c r="AM371" s="35"/>
      <c r="AN371" s="35"/>
      <c r="AO371" s="35"/>
      <c r="AP371" s="35"/>
      <c r="AQ371" s="35"/>
    </row>
    <row r="372" ht="15.75" customHeight="1">
      <c r="A372" s="38">
        <v>7673.0</v>
      </c>
      <c r="B372" s="130" t="s">
        <v>230</v>
      </c>
      <c r="C372" s="130" t="s">
        <v>704</v>
      </c>
      <c r="D372" s="36" t="s">
        <v>84</v>
      </c>
      <c r="E372" s="130" t="s">
        <v>319</v>
      </c>
      <c r="F372" s="130">
        <v>2000.0</v>
      </c>
      <c r="G372" s="130">
        <v>2002.0</v>
      </c>
      <c r="H372" s="130">
        <v>0.0</v>
      </c>
      <c r="I372" s="130">
        <v>17.206</v>
      </c>
      <c r="J372" s="131">
        <v>0.0</v>
      </c>
      <c r="K372" s="130">
        <v>0.0</v>
      </c>
      <c r="L372" s="132">
        <v>16.7</v>
      </c>
      <c r="M372" s="132">
        <v>0.51</v>
      </c>
      <c r="N372" s="130">
        <v>11.0</v>
      </c>
      <c r="O372" s="138"/>
      <c r="P372" s="130" t="s">
        <v>74</v>
      </c>
      <c r="Q372" s="135">
        <f>3.437*10^3</f>
        <v>3437</v>
      </c>
      <c r="R372" s="130" t="s">
        <v>234</v>
      </c>
      <c r="S372" s="130">
        <v>2001.0</v>
      </c>
      <c r="T372" s="136">
        <v>0.368</v>
      </c>
      <c r="U372" s="128">
        <f t="shared" si="92"/>
        <v>1264.816</v>
      </c>
      <c r="V372" s="24">
        <f t="shared" si="59"/>
        <v>73.51017087</v>
      </c>
      <c r="W372" s="3">
        <f t="shared" si="31"/>
        <v>0</v>
      </c>
      <c r="X372" s="3">
        <f t="shared" si="32"/>
        <v>0</v>
      </c>
      <c r="Y372" s="3">
        <f t="shared" si="33"/>
        <v>0</v>
      </c>
      <c r="Z372" s="25">
        <f t="shared" si="34"/>
        <v>0</v>
      </c>
      <c r="AA372" s="26">
        <f>VLOOKUP(S372,CPI!$A$2:$F$71,6,0)</f>
        <v>1.818828346</v>
      </c>
      <c r="AB372" s="27">
        <f t="shared" si="60"/>
        <v>2300.483193</v>
      </c>
      <c r="AC372" s="27">
        <f t="shared" si="61"/>
        <v>133.7023825</v>
      </c>
      <c r="AD372" s="130" t="s">
        <v>60</v>
      </c>
      <c r="AE372" s="211" t="s">
        <v>710</v>
      </c>
      <c r="AF372" s="212"/>
      <c r="AG372" s="34"/>
      <c r="AH372" s="34"/>
      <c r="AI372" s="34"/>
      <c r="AJ372" s="35"/>
      <c r="AK372" s="35"/>
      <c r="AL372" s="35"/>
      <c r="AM372" s="54"/>
      <c r="AN372" s="54"/>
      <c r="AO372" s="54"/>
      <c r="AP372" s="54"/>
      <c r="AQ372" s="54"/>
    </row>
    <row r="373" ht="15.75" customHeight="1">
      <c r="A373" s="170">
        <v>7672.0</v>
      </c>
      <c r="B373" s="123" t="s">
        <v>230</v>
      </c>
      <c r="C373" s="123" t="s">
        <v>704</v>
      </c>
      <c r="D373" s="36" t="s">
        <v>110</v>
      </c>
      <c r="E373" s="123" t="s">
        <v>332</v>
      </c>
      <c r="F373" s="123"/>
      <c r="G373" s="75">
        <v>2005.0</v>
      </c>
      <c r="H373" s="75">
        <v>0.0</v>
      </c>
      <c r="I373" s="75">
        <v>22.032</v>
      </c>
      <c r="J373" s="124">
        <v>0.9432643428</v>
      </c>
      <c r="K373" s="75">
        <v>20.782</v>
      </c>
      <c r="L373" s="125">
        <v>1.285</v>
      </c>
      <c r="M373" s="125">
        <v>0.0368</v>
      </c>
      <c r="N373" s="75">
        <v>9.0</v>
      </c>
      <c r="O373" s="75"/>
      <c r="P373" s="123" t="s">
        <v>74</v>
      </c>
      <c r="Q373" s="126">
        <f>12.6*10^3</f>
        <v>12600</v>
      </c>
      <c r="R373" s="123" t="s">
        <v>234</v>
      </c>
      <c r="S373" s="142">
        <v>2005.0</v>
      </c>
      <c r="T373" s="136">
        <v>0.3519</v>
      </c>
      <c r="U373" s="128">
        <f t="shared" si="92"/>
        <v>4433.94</v>
      </c>
      <c r="V373" s="24">
        <f t="shared" si="59"/>
        <v>201.25</v>
      </c>
      <c r="W373" s="3">
        <f t="shared" si="31"/>
        <v>0</v>
      </c>
      <c r="X373" s="3">
        <f t="shared" si="32"/>
        <v>0</v>
      </c>
      <c r="Y373" s="3">
        <f t="shared" si="33"/>
        <v>0</v>
      </c>
      <c r="Z373" s="25">
        <f t="shared" si="34"/>
        <v>0</v>
      </c>
      <c r="AA373" s="26">
        <f>VLOOKUP(S373,CPI!$A$2:$F$71,6,0)</f>
        <v>1.649331797</v>
      </c>
      <c r="AB373" s="27">
        <f t="shared" si="60"/>
        <v>7313.038229</v>
      </c>
      <c r="AC373" s="27">
        <f t="shared" si="61"/>
        <v>331.9280242</v>
      </c>
      <c r="AD373" s="123" t="s">
        <v>60</v>
      </c>
      <c r="AE373" s="129" t="s">
        <v>711</v>
      </c>
      <c r="AF373" s="34"/>
      <c r="AG373" s="34"/>
      <c r="AH373" s="34"/>
      <c r="AI373" s="34"/>
      <c r="AJ373" s="35"/>
      <c r="AK373" s="35"/>
      <c r="AL373" s="35"/>
      <c r="AM373" s="54"/>
      <c r="AN373" s="54"/>
      <c r="AO373" s="54"/>
      <c r="AP373" s="54"/>
      <c r="AQ373" s="54"/>
    </row>
    <row r="374" ht="15.75" customHeight="1">
      <c r="A374" s="38">
        <v>7659.0</v>
      </c>
      <c r="B374" s="130" t="s">
        <v>230</v>
      </c>
      <c r="C374" s="130" t="s">
        <v>704</v>
      </c>
      <c r="D374" s="36" t="s">
        <v>54</v>
      </c>
      <c r="E374" s="130" t="s">
        <v>712</v>
      </c>
      <c r="F374" s="130">
        <v>2001.0</v>
      </c>
      <c r="G374" s="130">
        <v>2006.0</v>
      </c>
      <c r="H374" s="130">
        <v>0.0</v>
      </c>
      <c r="I374" s="130">
        <v>6.155</v>
      </c>
      <c r="J374" s="131">
        <v>1.0</v>
      </c>
      <c r="K374" s="130">
        <v>6.155</v>
      </c>
      <c r="L374" s="132">
        <v>0.0</v>
      </c>
      <c r="M374" s="132">
        <v>0.0</v>
      </c>
      <c r="N374" s="130">
        <v>4.0</v>
      </c>
      <c r="O374" s="138"/>
      <c r="P374" s="130" t="s">
        <v>74</v>
      </c>
      <c r="Q374" s="135">
        <f>3.48842*10^3</f>
        <v>3488.42</v>
      </c>
      <c r="R374" s="130" t="s">
        <v>234</v>
      </c>
      <c r="S374" s="130">
        <v>2004.0</v>
      </c>
      <c r="T374" s="136">
        <v>0.355</v>
      </c>
      <c r="U374" s="128">
        <f t="shared" si="92"/>
        <v>1238.3891</v>
      </c>
      <c r="V374" s="24">
        <f t="shared" si="59"/>
        <v>201.2005037</v>
      </c>
      <c r="W374" s="3">
        <f t="shared" si="31"/>
        <v>0</v>
      </c>
      <c r="X374" s="3">
        <f t="shared" si="32"/>
        <v>0</v>
      </c>
      <c r="Y374" s="3">
        <f t="shared" si="33"/>
        <v>0</v>
      </c>
      <c r="Z374" s="25">
        <f t="shared" si="34"/>
        <v>0</v>
      </c>
      <c r="AA374" s="26">
        <f>VLOOKUP(S374,CPI!$A$2:$F$71,6,0)</f>
        <v>1.705211752</v>
      </c>
      <c r="AB374" s="27">
        <f t="shared" si="60"/>
        <v>2111.715647</v>
      </c>
      <c r="AC374" s="27">
        <f t="shared" si="61"/>
        <v>343.0894634</v>
      </c>
      <c r="AD374" s="130" t="s">
        <v>60</v>
      </c>
      <c r="AE374" s="137" t="s">
        <v>707</v>
      </c>
      <c r="AF374" s="29"/>
      <c r="AG374" s="30"/>
      <c r="AH374" s="30"/>
      <c r="AI374" s="30"/>
      <c r="AJ374" s="31"/>
      <c r="AK374" s="31"/>
      <c r="AL374" s="31"/>
      <c r="AM374" s="31"/>
      <c r="AN374" s="31"/>
      <c r="AO374" s="31"/>
      <c r="AP374" s="31"/>
      <c r="AQ374" s="35"/>
    </row>
    <row r="375" ht="15.75" customHeight="1">
      <c r="A375" s="38">
        <v>7667.0</v>
      </c>
      <c r="B375" s="123" t="s">
        <v>230</v>
      </c>
      <c r="C375" s="123" t="s">
        <v>704</v>
      </c>
      <c r="D375" s="36" t="s">
        <v>87</v>
      </c>
      <c r="E375" s="123" t="s">
        <v>713</v>
      </c>
      <c r="F375" s="123"/>
      <c r="G375" s="75">
        <v>2006.0</v>
      </c>
      <c r="H375" s="75">
        <v>0.0</v>
      </c>
      <c r="I375" s="75">
        <v>15.365</v>
      </c>
      <c r="J375" s="124">
        <v>0.128799219</v>
      </c>
      <c r="K375" s="75">
        <v>1.979</v>
      </c>
      <c r="L375" s="125">
        <v>13.395</v>
      </c>
      <c r="M375" s="125">
        <v>0.1306</v>
      </c>
      <c r="N375" s="75">
        <v>10.0</v>
      </c>
      <c r="O375" s="75"/>
      <c r="P375" s="123" t="s">
        <v>74</v>
      </c>
      <c r="Q375" s="126">
        <f>3.5*10^3</f>
        <v>3500</v>
      </c>
      <c r="R375" s="123" t="s">
        <v>234</v>
      </c>
      <c r="S375" s="142">
        <v>2006.0</v>
      </c>
      <c r="T375" s="136">
        <v>0.349</v>
      </c>
      <c r="U375" s="118">
        <f t="shared" si="92"/>
        <v>1221.5</v>
      </c>
      <c r="V375" s="24">
        <f t="shared" si="59"/>
        <v>79.49886105</v>
      </c>
      <c r="W375" s="3">
        <f t="shared" si="31"/>
        <v>0</v>
      </c>
      <c r="X375" s="3">
        <f t="shared" si="32"/>
        <v>0</v>
      </c>
      <c r="Y375" s="3">
        <f t="shared" si="33"/>
        <v>0</v>
      </c>
      <c r="Z375" s="25">
        <f t="shared" si="34"/>
        <v>0</v>
      </c>
      <c r="AA375" s="26">
        <f>VLOOKUP(S375,CPI!$A$2:$F$71,6,0)</f>
        <v>1.597790179</v>
      </c>
      <c r="AB375" s="27">
        <f t="shared" si="60"/>
        <v>1951.700703</v>
      </c>
      <c r="AC375" s="27">
        <f t="shared" si="61"/>
        <v>127.0224994</v>
      </c>
      <c r="AD375" s="123" t="s">
        <v>60</v>
      </c>
      <c r="AE375" s="129" t="s">
        <v>708</v>
      </c>
      <c r="AF375" s="29"/>
      <c r="AG375" s="30"/>
      <c r="AH375" s="30"/>
      <c r="AI375" s="30"/>
      <c r="AJ375" s="31"/>
      <c r="AK375" s="31"/>
      <c r="AL375" s="31"/>
      <c r="AM375" s="31"/>
      <c r="AN375" s="31"/>
      <c r="AO375" s="31"/>
      <c r="AP375" s="31"/>
      <c r="AQ375" s="35"/>
    </row>
    <row r="376" ht="15.75" customHeight="1">
      <c r="A376" s="170">
        <v>7682.0</v>
      </c>
      <c r="B376" s="123" t="s">
        <v>230</v>
      </c>
      <c r="C376" s="123" t="s">
        <v>704</v>
      </c>
      <c r="D376" s="36" t="s">
        <v>253</v>
      </c>
      <c r="E376" s="123" t="s">
        <v>362</v>
      </c>
      <c r="F376" s="123"/>
      <c r="G376" s="75">
        <v>2008.0</v>
      </c>
      <c r="H376" s="75">
        <v>0.0</v>
      </c>
      <c r="I376" s="75">
        <v>30.687</v>
      </c>
      <c r="J376" s="124">
        <v>0.4817023495</v>
      </c>
      <c r="K376" s="75">
        <v>14.782</v>
      </c>
      <c r="L376" s="125">
        <v>15.9588</v>
      </c>
      <c r="M376" s="125">
        <v>0.0</v>
      </c>
      <c r="N376" s="75">
        <v>13.0</v>
      </c>
      <c r="O376" s="75"/>
      <c r="P376" s="123" t="s">
        <v>74</v>
      </c>
      <c r="Q376" s="126">
        <f>19*10^3</f>
        <v>19000</v>
      </c>
      <c r="R376" s="123" t="s">
        <v>234</v>
      </c>
      <c r="S376" s="130">
        <v>2008.0</v>
      </c>
      <c r="T376" s="136">
        <v>0.315</v>
      </c>
      <c r="U376" s="128">
        <f t="shared" si="92"/>
        <v>5985</v>
      </c>
      <c r="V376" s="24">
        <f t="shared" si="59"/>
        <v>195.0337276</v>
      </c>
      <c r="W376" s="3">
        <f t="shared" si="31"/>
        <v>0</v>
      </c>
      <c r="X376" s="3">
        <f t="shared" si="32"/>
        <v>0</v>
      </c>
      <c r="Y376" s="3">
        <f t="shared" si="33"/>
        <v>0</v>
      </c>
      <c r="Z376" s="25">
        <f t="shared" si="34"/>
        <v>0</v>
      </c>
      <c r="AA376" s="26">
        <f>VLOOKUP(S376,CPI!$A$2:$F$71,6,0)</f>
        <v>1.496098522</v>
      </c>
      <c r="AB376" s="27">
        <f t="shared" si="60"/>
        <v>8954.149652</v>
      </c>
      <c r="AC376" s="27">
        <f t="shared" si="61"/>
        <v>291.7896716</v>
      </c>
      <c r="AD376" s="130" t="s">
        <v>60</v>
      </c>
      <c r="AE376" s="129" t="s">
        <v>714</v>
      </c>
      <c r="AF376" s="29"/>
      <c r="AG376" s="30"/>
      <c r="AH376" s="30"/>
      <c r="AI376" s="30"/>
      <c r="AJ376" s="31"/>
      <c r="AK376" s="31"/>
      <c r="AL376" s="31"/>
      <c r="AM376" s="31"/>
      <c r="AN376" s="31"/>
      <c r="AO376" s="31"/>
      <c r="AP376" s="31"/>
      <c r="AQ376" s="35"/>
    </row>
    <row r="377" ht="15.75" customHeight="1">
      <c r="A377" s="38">
        <v>7675.0</v>
      </c>
      <c r="B377" s="130" t="s">
        <v>230</v>
      </c>
      <c r="C377" s="130" t="s">
        <v>704</v>
      </c>
      <c r="D377" s="36" t="s">
        <v>228</v>
      </c>
      <c r="E377" s="130" t="s">
        <v>263</v>
      </c>
      <c r="F377" s="130">
        <v>2005.0</v>
      </c>
      <c r="G377" s="130">
        <v>2009.0</v>
      </c>
      <c r="H377" s="130">
        <v>0.0</v>
      </c>
      <c r="I377" s="130">
        <v>34.388</v>
      </c>
      <c r="J377" s="131">
        <v>1.0</v>
      </c>
      <c r="K377" s="130">
        <v>34.388</v>
      </c>
      <c r="L377" s="132">
        <v>0.0</v>
      </c>
      <c r="M377" s="132">
        <v>0.0</v>
      </c>
      <c r="N377" s="130">
        <v>28.0</v>
      </c>
      <c r="O377" s="138"/>
      <c r="P377" s="130" t="s">
        <v>74</v>
      </c>
      <c r="Q377" s="135">
        <f>18.7*10^3</f>
        <v>18700</v>
      </c>
      <c r="R377" s="130" t="s">
        <v>234</v>
      </c>
      <c r="S377" s="130">
        <v>2007.0</v>
      </c>
      <c r="T377" s="136">
        <v>0.333</v>
      </c>
      <c r="U377" s="128">
        <f t="shared" si="92"/>
        <v>6227.1</v>
      </c>
      <c r="V377" s="24">
        <f t="shared" si="59"/>
        <v>181.0835175</v>
      </c>
      <c r="W377" s="3">
        <f t="shared" si="31"/>
        <v>0</v>
      </c>
      <c r="X377" s="3">
        <f t="shared" si="32"/>
        <v>0</v>
      </c>
      <c r="Y377" s="3">
        <f t="shared" si="33"/>
        <v>0</v>
      </c>
      <c r="Z377" s="25">
        <f t="shared" si="34"/>
        <v>0</v>
      </c>
      <c r="AA377" s="26">
        <f>VLOOKUP(S377,CPI!$A$2:$F$71,6,0)</f>
        <v>1.553541974</v>
      </c>
      <c r="AB377" s="27">
        <f t="shared" si="60"/>
        <v>9674.061227</v>
      </c>
      <c r="AC377" s="27">
        <f t="shared" si="61"/>
        <v>281.3208453</v>
      </c>
      <c r="AD377" s="130" t="s">
        <v>60</v>
      </c>
      <c r="AE377" s="137" t="s">
        <v>715</v>
      </c>
      <c r="AF377" s="29"/>
      <c r="AG377" s="30"/>
      <c r="AH377" s="30"/>
      <c r="AI377" s="30"/>
      <c r="AJ377" s="31"/>
      <c r="AK377" s="31"/>
      <c r="AL377" s="31"/>
      <c r="AM377" s="31"/>
      <c r="AN377" s="31"/>
      <c r="AO377" s="31"/>
      <c r="AP377" s="31"/>
      <c r="AQ377" s="35"/>
    </row>
    <row r="378" ht="15.75" customHeight="1">
      <c r="A378" s="38">
        <v>7683.0</v>
      </c>
      <c r="B378" s="130" t="s">
        <v>230</v>
      </c>
      <c r="C378" s="130" t="s">
        <v>704</v>
      </c>
      <c r="D378" s="36" t="s">
        <v>253</v>
      </c>
      <c r="E378" s="130" t="s">
        <v>393</v>
      </c>
      <c r="F378" s="130">
        <v>2005.0</v>
      </c>
      <c r="G378" s="130">
        <v>2009.0</v>
      </c>
      <c r="H378" s="130">
        <v>0.0</v>
      </c>
      <c r="I378" s="130">
        <v>14.5</v>
      </c>
      <c r="J378" s="131">
        <v>1.0</v>
      </c>
      <c r="K378" s="130">
        <v>14.5</v>
      </c>
      <c r="L378" s="132">
        <v>0.0</v>
      </c>
      <c r="M378" s="132">
        <v>0.0</v>
      </c>
      <c r="N378" s="130">
        <v>10.0</v>
      </c>
      <c r="O378" s="138"/>
      <c r="P378" s="130" t="s">
        <v>74</v>
      </c>
      <c r="Q378" s="135">
        <f>8.94*10^3</f>
        <v>8940</v>
      </c>
      <c r="R378" s="130" t="s">
        <v>234</v>
      </c>
      <c r="S378" s="130">
        <v>2007.0</v>
      </c>
      <c r="T378" s="136">
        <v>0.333</v>
      </c>
      <c r="U378" s="128">
        <f t="shared" si="92"/>
        <v>2977.02</v>
      </c>
      <c r="V378" s="24">
        <f t="shared" si="59"/>
        <v>205.3117241</v>
      </c>
      <c r="W378" s="3">
        <f t="shared" si="31"/>
        <v>0</v>
      </c>
      <c r="X378" s="3">
        <f t="shared" si="32"/>
        <v>0</v>
      </c>
      <c r="Y378" s="3">
        <f t="shared" si="33"/>
        <v>0</v>
      </c>
      <c r="Z378" s="25">
        <f t="shared" si="34"/>
        <v>0</v>
      </c>
      <c r="AA378" s="26">
        <f>VLOOKUP(S378,CPI!$A$2:$F$71,6,0)</f>
        <v>1.553541974</v>
      </c>
      <c r="AB378" s="27">
        <f t="shared" si="60"/>
        <v>4624.925528</v>
      </c>
      <c r="AC378" s="27">
        <f t="shared" si="61"/>
        <v>318.9603812</v>
      </c>
      <c r="AD378" s="130" t="s">
        <v>60</v>
      </c>
      <c r="AE378" s="137" t="s">
        <v>714</v>
      </c>
      <c r="AF378" s="29"/>
      <c r="AG378" s="30"/>
      <c r="AH378" s="30"/>
      <c r="AI378" s="30"/>
      <c r="AJ378" s="31"/>
      <c r="AK378" s="31"/>
      <c r="AL378" s="31"/>
      <c r="AM378" s="31"/>
      <c r="AN378" s="31"/>
      <c r="AO378" s="31"/>
      <c r="AP378" s="31"/>
      <c r="AQ378" s="35"/>
    </row>
    <row r="379" ht="15.0" customHeight="1">
      <c r="A379" s="38">
        <v>7691.0</v>
      </c>
      <c r="B379" s="130" t="s">
        <v>230</v>
      </c>
      <c r="C379" s="130" t="s">
        <v>704</v>
      </c>
      <c r="D379" s="36" t="s">
        <v>292</v>
      </c>
      <c r="E379" s="130" t="s">
        <v>622</v>
      </c>
      <c r="F379" s="130">
        <v>2007.0</v>
      </c>
      <c r="G379" s="130">
        <v>2009.0</v>
      </c>
      <c r="H379" s="130">
        <v>0.0</v>
      </c>
      <c r="I379" s="130">
        <v>46.008</v>
      </c>
      <c r="J379" s="131">
        <v>0.4711354547</v>
      </c>
      <c r="K379" s="130">
        <v>21.676</v>
      </c>
      <c r="L379" s="132">
        <v>24.3853</v>
      </c>
      <c r="M379" s="132">
        <v>0.0</v>
      </c>
      <c r="N379" s="130">
        <v>21.0</v>
      </c>
      <c r="O379" s="138"/>
      <c r="P379" s="130" t="s">
        <v>74</v>
      </c>
      <c r="Q379" s="135">
        <f>18.95*10^3</f>
        <v>18950</v>
      </c>
      <c r="R379" s="130" t="s">
        <v>234</v>
      </c>
      <c r="S379" s="130">
        <v>2008.0</v>
      </c>
      <c r="T379" s="136">
        <v>0.315</v>
      </c>
      <c r="U379" s="128">
        <f t="shared" si="92"/>
        <v>5969.25</v>
      </c>
      <c r="V379" s="24">
        <f t="shared" si="59"/>
        <v>129.7437402</v>
      </c>
      <c r="W379" s="3">
        <f t="shared" si="31"/>
        <v>0</v>
      </c>
      <c r="X379" s="3">
        <f t="shared" si="32"/>
        <v>0</v>
      </c>
      <c r="Y379" s="3">
        <f t="shared" si="33"/>
        <v>0</v>
      </c>
      <c r="Z379" s="25">
        <f t="shared" si="34"/>
        <v>0</v>
      </c>
      <c r="AA379" s="26">
        <f>VLOOKUP(S379,CPI!$A$2:$F$71,6,0)</f>
        <v>1.496098522</v>
      </c>
      <c r="AB379" s="27">
        <f t="shared" si="60"/>
        <v>8930.5861</v>
      </c>
      <c r="AC379" s="27">
        <f t="shared" si="61"/>
        <v>194.1094179</v>
      </c>
      <c r="AD379" s="130" t="s">
        <v>60</v>
      </c>
      <c r="AE379" s="137" t="s">
        <v>716</v>
      </c>
      <c r="AF379" s="34"/>
      <c r="AG379" s="34"/>
      <c r="AH379" s="34"/>
      <c r="AI379" s="34"/>
      <c r="AJ379" s="35"/>
      <c r="AK379" s="35"/>
      <c r="AL379" s="35"/>
      <c r="AM379" s="54"/>
      <c r="AN379" s="54"/>
      <c r="AO379" s="54"/>
      <c r="AP379" s="54"/>
      <c r="AQ379" s="54"/>
    </row>
    <row r="380" ht="15.75" customHeight="1">
      <c r="A380" s="170">
        <v>7681.0</v>
      </c>
      <c r="B380" s="123" t="s">
        <v>230</v>
      </c>
      <c r="C380" s="123" t="s">
        <v>704</v>
      </c>
      <c r="D380" s="36" t="s">
        <v>243</v>
      </c>
      <c r="E380" s="123" t="s">
        <v>373</v>
      </c>
      <c r="F380" s="123"/>
      <c r="G380" s="75">
        <v>2009.0</v>
      </c>
      <c r="H380" s="75">
        <v>0.0</v>
      </c>
      <c r="I380" s="75">
        <v>14.44</v>
      </c>
      <c r="J380" s="124">
        <f t="shared" ref="J380:J381" si="93">K380/I380</f>
        <v>0.5706371191</v>
      </c>
      <c r="K380" s="75">
        <v>8.24</v>
      </c>
      <c r="L380" s="125">
        <v>6.2092</v>
      </c>
      <c r="M380" s="125">
        <v>0.0</v>
      </c>
      <c r="N380" s="75">
        <v>8.0</v>
      </c>
      <c r="O380" s="75"/>
      <c r="P380" s="123" t="s">
        <v>74</v>
      </c>
      <c r="Q380" s="126">
        <f>5.332*10^3</f>
        <v>5332</v>
      </c>
      <c r="R380" s="123" t="s">
        <v>234</v>
      </c>
      <c r="S380" s="130">
        <v>2009.0</v>
      </c>
      <c r="T380" s="136">
        <v>0.317</v>
      </c>
      <c r="U380" s="118">
        <f t="shared" si="92"/>
        <v>1690.244</v>
      </c>
      <c r="V380" s="24">
        <f t="shared" si="59"/>
        <v>117.0529086</v>
      </c>
      <c r="W380" s="3">
        <f t="shared" si="31"/>
        <v>0</v>
      </c>
      <c r="X380" s="3">
        <f t="shared" si="32"/>
        <v>0</v>
      </c>
      <c r="Y380" s="3">
        <f t="shared" si="33"/>
        <v>0</v>
      </c>
      <c r="Z380" s="25">
        <f t="shared" si="34"/>
        <v>0</v>
      </c>
      <c r="AA380" s="26">
        <f>VLOOKUP(S380,CPI!$A$2:$F$71,6,0)</f>
        <v>1.501440311</v>
      </c>
      <c r="AB380" s="27">
        <f t="shared" si="60"/>
        <v>2537.800477</v>
      </c>
      <c r="AC380" s="27">
        <f t="shared" si="61"/>
        <v>175.7479555</v>
      </c>
      <c r="AD380" s="130" t="s">
        <v>60</v>
      </c>
      <c r="AE380" s="129" t="s">
        <v>717</v>
      </c>
      <c r="AF380" s="29"/>
      <c r="AG380" s="30"/>
      <c r="AH380" s="30"/>
      <c r="AI380" s="30"/>
      <c r="AJ380" s="31"/>
      <c r="AK380" s="31"/>
      <c r="AL380" s="31"/>
      <c r="AM380" s="175"/>
      <c r="AN380" s="175"/>
      <c r="AO380" s="175"/>
      <c r="AP380" s="175"/>
    </row>
    <row r="381" ht="15.75" customHeight="1">
      <c r="A381" s="170">
        <v>7858.0</v>
      </c>
      <c r="B381" s="123" t="s">
        <v>230</v>
      </c>
      <c r="C381" s="123" t="s">
        <v>704</v>
      </c>
      <c r="D381" s="36" t="s">
        <v>243</v>
      </c>
      <c r="E381" s="123" t="s">
        <v>379</v>
      </c>
      <c r="F381" s="123"/>
      <c r="G381" s="75">
        <v>2009.0</v>
      </c>
      <c r="H381" s="75">
        <v>0.0</v>
      </c>
      <c r="I381" s="75">
        <v>23.22</v>
      </c>
      <c r="J381" s="124">
        <f t="shared" si="93"/>
        <v>1</v>
      </c>
      <c r="K381" s="75">
        <v>23.22</v>
      </c>
      <c r="L381" s="125">
        <v>0.0</v>
      </c>
      <c r="M381" s="125">
        <v>0.0</v>
      </c>
      <c r="N381" s="75">
        <v>22.0</v>
      </c>
      <c r="O381" s="75"/>
      <c r="P381" s="123" t="s">
        <v>42</v>
      </c>
      <c r="Q381" s="126">
        <v>14493.0</v>
      </c>
      <c r="R381" s="123" t="s">
        <v>234</v>
      </c>
      <c r="S381" s="75">
        <v>2001.0</v>
      </c>
      <c r="T381" s="136">
        <v>0.368</v>
      </c>
      <c r="U381" s="128">
        <f t="shared" si="92"/>
        <v>5333.424</v>
      </c>
      <c r="V381" s="24">
        <f t="shared" si="59"/>
        <v>229.6909561</v>
      </c>
      <c r="W381" s="3">
        <f t="shared" si="31"/>
        <v>0</v>
      </c>
      <c r="X381" s="3">
        <f t="shared" si="32"/>
        <v>0</v>
      </c>
      <c r="Y381" s="3">
        <f t="shared" si="33"/>
        <v>0</v>
      </c>
      <c r="Z381" s="25">
        <f t="shared" si="34"/>
        <v>0</v>
      </c>
      <c r="AA381" s="26">
        <f>VLOOKUP(S381,CPI!$A$2:$F$71,6,0)</f>
        <v>1.818828346</v>
      </c>
      <c r="AB381" s="27">
        <f t="shared" si="60"/>
        <v>9700.58275</v>
      </c>
      <c r="AC381" s="27">
        <f t="shared" si="61"/>
        <v>417.7684216</v>
      </c>
      <c r="AD381" s="123" t="s">
        <v>42</v>
      </c>
      <c r="AE381" s="129" t="s">
        <v>717</v>
      </c>
      <c r="AF381" s="29"/>
      <c r="AG381" s="30"/>
      <c r="AH381" s="30"/>
      <c r="AI381" s="30"/>
      <c r="AJ381" s="31"/>
      <c r="AK381" s="31"/>
      <c r="AL381" s="31"/>
      <c r="AM381" s="31"/>
      <c r="AN381" s="31"/>
      <c r="AO381" s="31"/>
      <c r="AP381" s="31"/>
      <c r="AQ381" s="35"/>
    </row>
    <row r="382" ht="15.75" customHeight="1">
      <c r="A382" s="38">
        <v>7690.0</v>
      </c>
      <c r="B382" s="130" t="s">
        <v>230</v>
      </c>
      <c r="C382" s="130" t="s">
        <v>704</v>
      </c>
      <c r="D382" s="36" t="s">
        <v>239</v>
      </c>
      <c r="E382" s="130" t="s">
        <v>356</v>
      </c>
      <c r="F382" s="130">
        <v>2005.0</v>
      </c>
      <c r="G382" s="130">
        <v>2010.0</v>
      </c>
      <c r="H382" s="130">
        <v>0.0</v>
      </c>
      <c r="I382" s="130">
        <v>36.221</v>
      </c>
      <c r="J382" s="131">
        <v>1.0</v>
      </c>
      <c r="K382" s="130">
        <v>36.221</v>
      </c>
      <c r="L382" s="132">
        <v>0.0</v>
      </c>
      <c r="M382" s="132">
        <v>0.0</v>
      </c>
      <c r="N382" s="130">
        <v>31.0</v>
      </c>
      <c r="O382" s="133">
        <v>138.0</v>
      </c>
      <c r="P382" s="130" t="s">
        <v>74</v>
      </c>
      <c r="Q382" s="135">
        <f>23.784*10^3</f>
        <v>23784</v>
      </c>
      <c r="R382" s="130" t="s">
        <v>234</v>
      </c>
      <c r="S382" s="130">
        <v>2007.0</v>
      </c>
      <c r="T382" s="136">
        <v>0.333</v>
      </c>
      <c r="U382" s="128">
        <f t="shared" si="92"/>
        <v>7920.072</v>
      </c>
      <c r="V382" s="24">
        <f t="shared" si="59"/>
        <v>218.6596726</v>
      </c>
      <c r="W382" s="3">
        <f t="shared" si="31"/>
        <v>0</v>
      </c>
      <c r="X382" s="3">
        <f t="shared" si="32"/>
        <v>0</v>
      </c>
      <c r="Y382" s="3">
        <f t="shared" si="33"/>
        <v>0</v>
      </c>
      <c r="Z382" s="25">
        <f t="shared" si="34"/>
        <v>0</v>
      </c>
      <c r="AA382" s="26">
        <f>VLOOKUP(S382,CPI!$A$2:$F$71,6,0)</f>
        <v>1.553541974</v>
      </c>
      <c r="AB382" s="27">
        <f t="shared" si="60"/>
        <v>12304.16429</v>
      </c>
      <c r="AC382" s="27">
        <f t="shared" si="61"/>
        <v>339.6969794</v>
      </c>
      <c r="AD382" s="130" t="s">
        <v>60</v>
      </c>
      <c r="AE382" s="137" t="s">
        <v>718</v>
      </c>
      <c r="AF382" s="29"/>
      <c r="AG382" s="30"/>
      <c r="AH382" s="30"/>
      <c r="AI382" s="30"/>
      <c r="AJ382" s="31"/>
      <c r="AK382" s="31"/>
      <c r="AL382" s="31"/>
      <c r="AM382" s="32"/>
      <c r="AN382" s="32"/>
      <c r="AO382" s="32"/>
      <c r="AP382" s="32"/>
      <c r="AQ382" s="33"/>
    </row>
    <row r="383" ht="15.75" customHeight="1">
      <c r="A383" s="38">
        <v>7664.0</v>
      </c>
      <c r="B383" s="130" t="s">
        <v>230</v>
      </c>
      <c r="C383" s="130" t="s">
        <v>704</v>
      </c>
      <c r="D383" s="36" t="s">
        <v>54</v>
      </c>
      <c r="E383" s="130" t="s">
        <v>719</v>
      </c>
      <c r="F383" s="130">
        <v>2006.0</v>
      </c>
      <c r="G383" s="130">
        <v>2010.0</v>
      </c>
      <c r="H383" s="130">
        <v>0.0</v>
      </c>
      <c r="I383" s="130">
        <v>30.8</v>
      </c>
      <c r="J383" s="131">
        <f>215/308</f>
        <v>0.6980519481</v>
      </c>
      <c r="K383" s="130">
        <v>21.5</v>
      </c>
      <c r="L383" s="132">
        <v>8.565</v>
      </c>
      <c r="M383" s="132">
        <v>0.983</v>
      </c>
      <c r="N383" s="130">
        <v>10.0</v>
      </c>
      <c r="O383" s="138"/>
      <c r="P383" s="130" t="s">
        <v>59</v>
      </c>
      <c r="Q383" s="135">
        <f>11.032*10^3</f>
        <v>11032</v>
      </c>
      <c r="R383" s="130" t="s">
        <v>234</v>
      </c>
      <c r="S383" s="130">
        <v>2008.0</v>
      </c>
      <c r="T383" s="136">
        <v>0.315</v>
      </c>
      <c r="U383" s="128">
        <f t="shared" si="92"/>
        <v>3475.08</v>
      </c>
      <c r="V383" s="24">
        <f t="shared" si="59"/>
        <v>112.8272727</v>
      </c>
      <c r="W383" s="3">
        <f t="shared" si="31"/>
        <v>0</v>
      </c>
      <c r="X383" s="3">
        <f t="shared" si="32"/>
        <v>0</v>
      </c>
      <c r="Y383" s="3">
        <f t="shared" si="33"/>
        <v>0</v>
      </c>
      <c r="Z383" s="25">
        <f t="shared" si="34"/>
        <v>0</v>
      </c>
      <c r="AA383" s="26">
        <f>VLOOKUP(S383,CPI!$A$2:$F$71,6,0)</f>
        <v>1.496098522</v>
      </c>
      <c r="AB383" s="27">
        <f t="shared" si="60"/>
        <v>5199.062051</v>
      </c>
      <c r="AC383" s="27">
        <f t="shared" si="61"/>
        <v>168.8007159</v>
      </c>
      <c r="AD383" s="130" t="s">
        <v>60</v>
      </c>
      <c r="AE383" s="137" t="s">
        <v>707</v>
      </c>
      <c r="AF383" s="29"/>
      <c r="AG383" s="30"/>
      <c r="AH383" s="30"/>
      <c r="AI383" s="30"/>
      <c r="AJ383" s="31"/>
      <c r="AK383" s="31"/>
      <c r="AL383" s="31"/>
      <c r="AM383" s="32"/>
      <c r="AN383" s="32"/>
      <c r="AO383" s="32"/>
      <c r="AP383" s="32"/>
      <c r="AQ383" s="33"/>
    </row>
    <row r="384" ht="15.75" customHeight="1">
      <c r="A384" s="38">
        <v>7665.0</v>
      </c>
      <c r="B384" s="123" t="s">
        <v>230</v>
      </c>
      <c r="C384" s="123" t="s">
        <v>704</v>
      </c>
      <c r="D384" s="36" t="s">
        <v>54</v>
      </c>
      <c r="E384" s="123" t="s">
        <v>720</v>
      </c>
      <c r="F384" s="123"/>
      <c r="G384" s="75">
        <v>2010.0</v>
      </c>
      <c r="H384" s="75">
        <v>0.0</v>
      </c>
      <c r="I384" s="75">
        <v>8.53</v>
      </c>
      <c r="J384" s="155"/>
      <c r="K384" s="123"/>
      <c r="L384" s="125" t="e">
        <v>#N/A</v>
      </c>
      <c r="M384" s="125" t="e">
        <v>#N/A</v>
      </c>
      <c r="N384" s="75">
        <v>3.0</v>
      </c>
      <c r="O384" s="75"/>
      <c r="P384" s="123" t="s">
        <v>74</v>
      </c>
      <c r="Q384" s="126">
        <f>2.5*10^3</f>
        <v>2500</v>
      </c>
      <c r="R384" s="123" t="s">
        <v>234</v>
      </c>
      <c r="S384" s="142">
        <v>2010.0</v>
      </c>
      <c r="T384" s="136">
        <v>0.3</v>
      </c>
      <c r="U384" s="128">
        <f t="shared" si="92"/>
        <v>750</v>
      </c>
      <c r="V384" s="24">
        <f t="shared" si="59"/>
        <v>87.92497069</v>
      </c>
      <c r="W384" s="3">
        <f t="shared" si="31"/>
        <v>0</v>
      </c>
      <c r="X384" s="3">
        <f t="shared" si="32"/>
        <v>0</v>
      </c>
      <c r="Y384" s="3">
        <f t="shared" si="33"/>
        <v>0</v>
      </c>
      <c r="Z384" s="25">
        <f t="shared" si="34"/>
        <v>0</v>
      </c>
      <c r="AA384" s="26">
        <f>VLOOKUP(S384,CPI!$A$2:$F$71,6,0)</f>
        <v>1.477209983</v>
      </c>
      <c r="AB384" s="27">
        <f t="shared" si="60"/>
        <v>1107.907487</v>
      </c>
      <c r="AC384" s="27">
        <f t="shared" si="61"/>
        <v>129.8836444</v>
      </c>
      <c r="AD384" s="123" t="s">
        <v>60</v>
      </c>
      <c r="AE384" s="129" t="s">
        <v>707</v>
      </c>
      <c r="AF384" s="29"/>
      <c r="AG384" s="30"/>
      <c r="AH384" s="30"/>
      <c r="AI384" s="30"/>
      <c r="AJ384" s="31"/>
      <c r="AK384" s="31"/>
      <c r="AL384" s="31"/>
      <c r="AM384" s="32"/>
      <c r="AN384" s="32"/>
      <c r="AO384" s="32"/>
      <c r="AP384" s="32"/>
      <c r="AQ384" s="33"/>
    </row>
    <row r="385" ht="15.75" customHeight="1">
      <c r="A385" s="38">
        <v>8113.0</v>
      </c>
      <c r="B385" s="130" t="s">
        <v>230</v>
      </c>
      <c r="C385" s="130" t="s">
        <v>704</v>
      </c>
      <c r="D385" s="130" t="s">
        <v>80</v>
      </c>
      <c r="E385" s="130" t="s">
        <v>80</v>
      </c>
      <c r="F385" s="130">
        <v>2002.0</v>
      </c>
      <c r="G385" s="130">
        <v>2011.0</v>
      </c>
      <c r="H385" s="130">
        <v>0.0</v>
      </c>
      <c r="I385" s="130">
        <v>33.09</v>
      </c>
      <c r="J385" s="131">
        <v>0.6361438501</v>
      </c>
      <c r="K385" s="130">
        <v>21.05</v>
      </c>
      <c r="L385" s="132">
        <v>11.845</v>
      </c>
      <c r="M385" s="132">
        <v>0.3983</v>
      </c>
      <c r="N385" s="130">
        <v>28.0</v>
      </c>
      <c r="O385" s="138"/>
      <c r="P385" s="130" t="s">
        <v>60</v>
      </c>
      <c r="Q385" s="135">
        <v>12000.0</v>
      </c>
      <c r="R385" s="130" t="s">
        <v>234</v>
      </c>
      <c r="S385" s="130">
        <v>2002.0</v>
      </c>
      <c r="T385" s="136">
        <v>0.372</v>
      </c>
      <c r="U385" s="128">
        <f>T385*Q385</f>
        <v>4464</v>
      </c>
      <c r="V385" s="24">
        <f t="shared" si="59"/>
        <v>134.9048051</v>
      </c>
      <c r="W385" s="3">
        <f t="shared" si="31"/>
        <v>0</v>
      </c>
      <c r="X385" s="3">
        <f t="shared" si="32"/>
        <v>0</v>
      </c>
      <c r="Y385" s="3">
        <f t="shared" si="33"/>
        <v>0</v>
      </c>
      <c r="Z385" s="25">
        <f t="shared" si="34"/>
        <v>0</v>
      </c>
      <c r="AA385" s="26">
        <f>VLOOKUP(S385,CPI!$A$2:$F$71,6,0)</f>
        <v>1.790519733</v>
      </c>
      <c r="AB385" s="27">
        <f t="shared" si="60"/>
        <v>7992.880089</v>
      </c>
      <c r="AC385" s="27">
        <f t="shared" si="61"/>
        <v>241.5497156</v>
      </c>
      <c r="AD385" s="130" t="s">
        <v>42</v>
      </c>
      <c r="AE385" s="137" t="s">
        <v>721</v>
      </c>
      <c r="AF385" s="29"/>
      <c r="AG385" s="30"/>
      <c r="AH385" s="30"/>
      <c r="AI385" s="30"/>
      <c r="AJ385" s="31"/>
      <c r="AK385" s="31"/>
      <c r="AL385" s="31"/>
      <c r="AM385" s="31"/>
      <c r="AN385" s="31"/>
      <c r="AO385" s="31"/>
      <c r="AP385" s="31"/>
      <c r="AQ385" s="35"/>
    </row>
    <row r="386" ht="15.75" customHeight="1">
      <c r="A386" s="38">
        <v>7680.0</v>
      </c>
      <c r="B386" s="130" t="s">
        <v>230</v>
      </c>
      <c r="C386" s="130" t="s">
        <v>704</v>
      </c>
      <c r="D386" s="36" t="s">
        <v>228</v>
      </c>
      <c r="E386" s="130" t="s">
        <v>722</v>
      </c>
      <c r="F386" s="130">
        <v>2009.0</v>
      </c>
      <c r="G386" s="130">
        <v>2011.0</v>
      </c>
      <c r="H386" s="130">
        <v>0.0</v>
      </c>
      <c r="I386" s="130">
        <v>9.978</v>
      </c>
      <c r="J386" s="131">
        <v>0.7025456003</v>
      </c>
      <c r="K386" s="130">
        <v>7.01</v>
      </c>
      <c r="L386" s="132">
        <v>2.515</v>
      </c>
      <c r="M386" s="132">
        <v>0.479</v>
      </c>
      <c r="N386" s="130">
        <v>5.0</v>
      </c>
      <c r="O386" s="138"/>
      <c r="P386" s="130" t="s">
        <v>74</v>
      </c>
      <c r="Q386" s="135">
        <f>3.157*10^3</f>
        <v>3157</v>
      </c>
      <c r="R386" s="130" t="s">
        <v>234</v>
      </c>
      <c r="S386" s="130">
        <v>2010.0</v>
      </c>
      <c r="T386" s="136">
        <v>0.3</v>
      </c>
      <c r="U386" s="128">
        <f t="shared" ref="U386:U389" si="94">Q386*T386</f>
        <v>947.1</v>
      </c>
      <c r="V386" s="24">
        <f t="shared" si="59"/>
        <v>94.91882141</v>
      </c>
      <c r="W386" s="3">
        <f t="shared" si="31"/>
        <v>0</v>
      </c>
      <c r="X386" s="3">
        <f t="shared" si="32"/>
        <v>0</v>
      </c>
      <c r="Y386" s="3">
        <f t="shared" si="33"/>
        <v>0</v>
      </c>
      <c r="Z386" s="25">
        <f t="shared" si="34"/>
        <v>0</v>
      </c>
      <c r="AA386" s="26">
        <f>VLOOKUP(S386,CPI!$A$2:$F$71,6,0)</f>
        <v>1.477209983</v>
      </c>
      <c r="AB386" s="27">
        <f t="shared" si="60"/>
        <v>1399.065575</v>
      </c>
      <c r="AC386" s="27">
        <f t="shared" si="61"/>
        <v>140.2150305</v>
      </c>
      <c r="AD386" s="130" t="s">
        <v>60</v>
      </c>
      <c r="AE386" s="137" t="s">
        <v>715</v>
      </c>
      <c r="AF386" s="34"/>
      <c r="AG386" s="34"/>
      <c r="AH386" s="34"/>
      <c r="AI386" s="34"/>
      <c r="AJ386" s="35"/>
      <c r="AK386" s="35"/>
      <c r="AL386" s="35"/>
      <c r="AM386" s="54"/>
      <c r="AN386" s="54"/>
      <c r="AO386" s="54"/>
      <c r="AP386" s="54"/>
      <c r="AQ386" s="54"/>
    </row>
    <row r="387" ht="15.75" customHeight="1">
      <c r="A387" s="38">
        <v>7688.0</v>
      </c>
      <c r="B387" s="130" t="s">
        <v>230</v>
      </c>
      <c r="C387" s="130" t="s">
        <v>704</v>
      </c>
      <c r="D387" s="36" t="s">
        <v>253</v>
      </c>
      <c r="E387" s="130" t="s">
        <v>723</v>
      </c>
      <c r="F387" s="130">
        <v>2009.0</v>
      </c>
      <c r="G387" s="130">
        <v>2012.0</v>
      </c>
      <c r="H387" s="130">
        <v>0.0</v>
      </c>
      <c r="I387" s="130">
        <v>5.372</v>
      </c>
      <c r="J387" s="131">
        <v>1.0</v>
      </c>
      <c r="K387" s="130">
        <v>5.372</v>
      </c>
      <c r="L387" s="132">
        <v>0.0</v>
      </c>
      <c r="M387" s="132">
        <v>0.0</v>
      </c>
      <c r="N387" s="130"/>
      <c r="O387" s="138"/>
      <c r="P387" s="130" t="s">
        <v>74</v>
      </c>
      <c r="Q387" s="135">
        <f>2.8*10^3</f>
        <v>2800</v>
      </c>
      <c r="R387" s="130" t="s">
        <v>234</v>
      </c>
      <c r="S387" s="130">
        <v>2010.0</v>
      </c>
      <c r="T387" s="136">
        <v>0.3</v>
      </c>
      <c r="U387" s="128">
        <f t="shared" si="94"/>
        <v>840</v>
      </c>
      <c r="V387" s="24">
        <f t="shared" si="59"/>
        <v>156.366344</v>
      </c>
      <c r="W387" s="3">
        <f t="shared" si="31"/>
        <v>0</v>
      </c>
      <c r="X387" s="3">
        <f t="shared" si="32"/>
        <v>0</v>
      </c>
      <c r="Y387" s="3">
        <f t="shared" si="33"/>
        <v>0</v>
      </c>
      <c r="Z387" s="25">
        <f t="shared" si="34"/>
        <v>0</v>
      </c>
      <c r="AA387" s="26">
        <f>VLOOKUP(S387,CPI!$A$2:$F$71,6,0)</f>
        <v>1.477209983</v>
      </c>
      <c r="AB387" s="27">
        <f t="shared" si="60"/>
        <v>1240.856386</v>
      </c>
      <c r="AC387" s="27">
        <f t="shared" si="61"/>
        <v>230.9859243</v>
      </c>
      <c r="AD387" s="130" t="s">
        <v>60</v>
      </c>
      <c r="AE387" s="137" t="s">
        <v>714</v>
      </c>
      <c r="AF387" s="34"/>
      <c r="AG387" s="34"/>
      <c r="AH387" s="34"/>
      <c r="AI387" s="34"/>
      <c r="AJ387" s="35"/>
      <c r="AK387" s="35"/>
      <c r="AL387" s="35"/>
      <c r="AM387" s="54"/>
      <c r="AN387" s="54"/>
      <c r="AO387" s="54"/>
      <c r="AP387" s="54"/>
      <c r="AQ387" s="54"/>
    </row>
    <row r="388" ht="15.75" customHeight="1">
      <c r="A388" s="38">
        <v>7696.0</v>
      </c>
      <c r="B388" s="123" t="s">
        <v>230</v>
      </c>
      <c r="C388" s="123" t="s">
        <v>704</v>
      </c>
      <c r="D388" s="36" t="s">
        <v>292</v>
      </c>
      <c r="E388" s="123" t="s">
        <v>724</v>
      </c>
      <c r="F388" s="123"/>
      <c r="G388" s="75">
        <v>2013.0</v>
      </c>
      <c r="H388" s="75">
        <v>0.0</v>
      </c>
      <c r="I388" s="75">
        <v>22.886</v>
      </c>
      <c r="J388" s="155"/>
      <c r="K388" s="123"/>
      <c r="L388" s="125" t="e">
        <v>#N/A</v>
      </c>
      <c r="M388" s="125" t="e">
        <v>#N/A</v>
      </c>
      <c r="N388" s="75">
        <v>13.0</v>
      </c>
      <c r="O388" s="75"/>
      <c r="P388" s="123" t="s">
        <v>74</v>
      </c>
      <c r="Q388" s="126">
        <f>12.965*10^3</f>
        <v>12965</v>
      </c>
      <c r="R388" s="123" t="s">
        <v>234</v>
      </c>
      <c r="S388" s="130">
        <v>2013.0</v>
      </c>
      <c r="T388" s="136">
        <v>0.273</v>
      </c>
      <c r="U388" s="128">
        <f t="shared" si="94"/>
        <v>3539.445</v>
      </c>
      <c r="V388" s="24">
        <f t="shared" si="59"/>
        <v>154.6554662</v>
      </c>
      <c r="W388" s="3">
        <f t="shared" si="31"/>
        <v>0</v>
      </c>
      <c r="X388" s="3">
        <f t="shared" si="32"/>
        <v>0</v>
      </c>
      <c r="Y388" s="3">
        <f t="shared" si="33"/>
        <v>0</v>
      </c>
      <c r="Z388" s="25">
        <f t="shared" si="34"/>
        <v>0</v>
      </c>
      <c r="AA388" s="26">
        <f>VLOOKUP(S388,CPI!$A$2:$F$71,6,0)</f>
        <v>1.382720845</v>
      </c>
      <c r="AB388" s="27">
        <f t="shared" si="60"/>
        <v>4894.064383</v>
      </c>
      <c r="AC388" s="27">
        <f t="shared" si="61"/>
        <v>213.845337</v>
      </c>
      <c r="AD388" s="130" t="s">
        <v>60</v>
      </c>
      <c r="AE388" s="137" t="s">
        <v>716</v>
      </c>
      <c r="AF388" s="130"/>
      <c r="AG388" s="130"/>
      <c r="AH388" s="130"/>
      <c r="AI388" s="130"/>
      <c r="AJ388" s="33"/>
      <c r="AK388" s="33"/>
      <c r="AL388" s="33"/>
      <c r="AM388" s="54"/>
      <c r="AN388" s="54"/>
      <c r="AO388" s="54"/>
      <c r="AP388" s="54"/>
      <c r="AQ388" s="54"/>
    </row>
    <row r="389" ht="15.75" customHeight="1">
      <c r="A389" s="38">
        <v>7697.0</v>
      </c>
      <c r="B389" s="123" t="s">
        <v>230</v>
      </c>
      <c r="C389" s="123" t="s">
        <v>704</v>
      </c>
      <c r="D389" s="36" t="s">
        <v>292</v>
      </c>
      <c r="E389" s="123" t="s">
        <v>725</v>
      </c>
      <c r="F389" s="123"/>
      <c r="G389" s="75">
        <v>2013.0</v>
      </c>
      <c r="H389" s="75">
        <v>0.0</v>
      </c>
      <c r="I389" s="75">
        <v>6.0</v>
      </c>
      <c r="J389" s="124">
        <v>0.0</v>
      </c>
      <c r="K389" s="75">
        <v>0.0</v>
      </c>
      <c r="L389" s="125">
        <v>6.0</v>
      </c>
      <c r="M389" s="125">
        <v>0.0</v>
      </c>
      <c r="N389" s="75">
        <v>3.0</v>
      </c>
      <c r="O389" s="75"/>
      <c r="P389" s="123" t="s">
        <v>74</v>
      </c>
      <c r="Q389" s="126">
        <f>1.849*10^3</f>
        <v>1849</v>
      </c>
      <c r="R389" s="123" t="s">
        <v>234</v>
      </c>
      <c r="S389" s="130">
        <v>2013.0</v>
      </c>
      <c r="T389" s="136">
        <v>0.273</v>
      </c>
      <c r="U389" s="128">
        <f t="shared" si="94"/>
        <v>504.777</v>
      </c>
      <c r="V389" s="24">
        <f t="shared" si="59"/>
        <v>84.1295</v>
      </c>
      <c r="W389" s="3">
        <f t="shared" si="31"/>
        <v>0</v>
      </c>
      <c r="X389" s="3">
        <f t="shared" si="32"/>
        <v>0</v>
      </c>
      <c r="Y389" s="3">
        <f t="shared" si="33"/>
        <v>0</v>
      </c>
      <c r="Z389" s="25">
        <f t="shared" si="34"/>
        <v>0</v>
      </c>
      <c r="AA389" s="26">
        <f>VLOOKUP(S389,CPI!$A$2:$F$71,6,0)</f>
        <v>1.382720845</v>
      </c>
      <c r="AB389" s="27">
        <f t="shared" si="60"/>
        <v>697.9656802</v>
      </c>
      <c r="AC389" s="27">
        <f t="shared" si="61"/>
        <v>116.3276134</v>
      </c>
      <c r="AD389" s="130" t="s">
        <v>60</v>
      </c>
      <c r="AE389" s="137" t="s">
        <v>716</v>
      </c>
      <c r="AF389" s="130"/>
      <c r="AG389" s="130"/>
      <c r="AH389" s="130"/>
      <c r="AI389" s="130"/>
      <c r="AJ389" s="33"/>
      <c r="AK389" s="33"/>
      <c r="AL389" s="33"/>
      <c r="AM389" s="54"/>
      <c r="AN389" s="54"/>
      <c r="AO389" s="54"/>
      <c r="AP389" s="54"/>
      <c r="AQ389" s="54"/>
    </row>
    <row r="390" ht="15.0" customHeight="1">
      <c r="A390" s="14">
        <v>9467.0</v>
      </c>
      <c r="B390" s="22" t="s">
        <v>230</v>
      </c>
      <c r="C390" s="22" t="s">
        <v>704</v>
      </c>
      <c r="D390" s="22" t="s">
        <v>283</v>
      </c>
      <c r="E390" s="22" t="s">
        <v>283</v>
      </c>
      <c r="F390" s="17">
        <v>2010.0</v>
      </c>
      <c r="G390" s="17">
        <v>2014.0</v>
      </c>
      <c r="H390" s="17">
        <v>0.0</v>
      </c>
      <c r="I390" s="17">
        <v>58.96</v>
      </c>
      <c r="J390" s="19">
        <f>K390/I390</f>
        <v>0.2321913161</v>
      </c>
      <c r="K390" s="17">
        <v>13.69</v>
      </c>
      <c r="L390" s="213">
        <v>45.3992</v>
      </c>
      <c r="M390" s="213">
        <v>0.0</v>
      </c>
      <c r="N390" s="22"/>
      <c r="O390" s="17"/>
      <c r="P390" s="22" t="s">
        <v>42</v>
      </c>
      <c r="Q390" s="23">
        <v>18160.0</v>
      </c>
      <c r="R390" s="22" t="s">
        <v>234</v>
      </c>
      <c r="S390" s="17">
        <v>2010.0</v>
      </c>
      <c r="T390" s="136">
        <v>0.3</v>
      </c>
      <c r="U390" s="3">
        <f t="shared" ref="U390:U391" si="95">T390*Q390</f>
        <v>5448</v>
      </c>
      <c r="V390" s="24">
        <f t="shared" si="59"/>
        <v>92.40162822</v>
      </c>
      <c r="W390" s="3">
        <f t="shared" si="31"/>
        <v>0</v>
      </c>
      <c r="X390" s="3">
        <f t="shared" si="32"/>
        <v>0</v>
      </c>
      <c r="Y390" s="3">
        <f t="shared" si="33"/>
        <v>0</v>
      </c>
      <c r="Z390" s="25">
        <f t="shared" si="34"/>
        <v>0</v>
      </c>
      <c r="AA390" s="26">
        <f>VLOOKUP(S390,CPI!$A$2:$F$71,6,0)</f>
        <v>1.477209983</v>
      </c>
      <c r="AB390" s="27">
        <f t="shared" si="60"/>
        <v>8047.839986</v>
      </c>
      <c r="AC390" s="27">
        <f t="shared" si="61"/>
        <v>136.4966076</v>
      </c>
      <c r="AD390" s="26" t="s">
        <v>42</v>
      </c>
      <c r="AE390" s="154" t="s">
        <v>726</v>
      </c>
      <c r="AF390" s="178"/>
      <c r="AG390" s="172"/>
      <c r="AH390" s="172"/>
      <c r="AI390" s="172"/>
      <c r="AJ390" s="32"/>
      <c r="AK390" s="32"/>
      <c r="AL390" s="32"/>
      <c r="AM390" s="31"/>
      <c r="AN390" s="31"/>
      <c r="AO390" s="31"/>
      <c r="AP390" s="31"/>
      <c r="AQ390" s="35"/>
    </row>
    <row r="391" ht="15.75" customHeight="1">
      <c r="A391" s="38">
        <v>8105.0</v>
      </c>
      <c r="B391" s="130" t="s">
        <v>230</v>
      </c>
      <c r="C391" s="130" t="s">
        <v>704</v>
      </c>
      <c r="D391" s="36" t="s">
        <v>292</v>
      </c>
      <c r="E391" s="130" t="s">
        <v>727</v>
      </c>
      <c r="F391" s="130"/>
      <c r="G391" s="130">
        <v>2016.0</v>
      </c>
      <c r="H391" s="130">
        <v>0.0</v>
      </c>
      <c r="I391" s="130">
        <v>9.15</v>
      </c>
      <c r="J391" s="131">
        <v>0.1595628415</v>
      </c>
      <c r="K391" s="130">
        <v>1.46</v>
      </c>
      <c r="L391" s="132">
        <v>7.73</v>
      </c>
      <c r="M391" s="132">
        <v>0.0475</v>
      </c>
      <c r="N391" s="130">
        <v>3.0</v>
      </c>
      <c r="O391" s="138"/>
      <c r="P391" s="130" t="s">
        <v>42</v>
      </c>
      <c r="Q391" s="135">
        <v>4371.0</v>
      </c>
      <c r="R391" s="130" t="s">
        <v>234</v>
      </c>
      <c r="S391" s="130">
        <v>2012.0</v>
      </c>
      <c r="T391" s="136">
        <v>0.2808</v>
      </c>
      <c r="U391" s="128">
        <f t="shared" si="95"/>
        <v>1227.3768</v>
      </c>
      <c r="V391" s="24">
        <f t="shared" si="59"/>
        <v>134.139541</v>
      </c>
      <c r="W391" s="3">
        <f t="shared" si="31"/>
        <v>0</v>
      </c>
      <c r="X391" s="3">
        <f t="shared" si="32"/>
        <v>0</v>
      </c>
      <c r="Y391" s="3">
        <f t="shared" si="33"/>
        <v>0</v>
      </c>
      <c r="Z391" s="25">
        <f t="shared" si="34"/>
        <v>0</v>
      </c>
      <c r="AA391" s="26">
        <f>VLOOKUP(S391,CPI!$A$2:$F$71,6,0)</f>
        <v>1.402974381</v>
      </c>
      <c r="AB391" s="27">
        <f t="shared" si="60"/>
        <v>1721.978206</v>
      </c>
      <c r="AC391" s="27">
        <f t="shared" si="61"/>
        <v>188.1943395</v>
      </c>
      <c r="AD391" s="130" t="s">
        <v>42</v>
      </c>
      <c r="AE391" s="137" t="s">
        <v>716</v>
      </c>
      <c r="AF391" s="29"/>
      <c r="AG391" s="30"/>
      <c r="AH391" s="30"/>
      <c r="AI391" s="30"/>
      <c r="AJ391" s="31"/>
      <c r="AK391" s="31"/>
      <c r="AL391" s="31"/>
      <c r="AM391" s="31"/>
      <c r="AN391" s="31"/>
      <c r="AO391" s="31"/>
      <c r="AP391" s="31"/>
      <c r="AQ391" s="35"/>
    </row>
    <row r="392" ht="15.75" customHeight="1">
      <c r="A392" s="38">
        <v>7689.0</v>
      </c>
      <c r="B392" s="72" t="s">
        <v>230</v>
      </c>
      <c r="C392" s="72" t="s">
        <v>704</v>
      </c>
      <c r="D392" s="115" t="s">
        <v>253</v>
      </c>
      <c r="E392" s="115" t="s">
        <v>728</v>
      </c>
      <c r="F392" s="69">
        <v>2013.0</v>
      </c>
      <c r="G392" s="69">
        <v>2017.0</v>
      </c>
      <c r="H392" s="69">
        <v>0.0</v>
      </c>
      <c r="I392" s="69">
        <v>13.828</v>
      </c>
      <c r="J392" s="117">
        <v>1.0</v>
      </c>
      <c r="K392" s="69">
        <v>13.828</v>
      </c>
      <c r="L392" s="72"/>
      <c r="M392" s="72"/>
      <c r="N392" s="69">
        <v>9.0</v>
      </c>
      <c r="O392" s="70">
        <v>138.0</v>
      </c>
      <c r="P392" s="72"/>
      <c r="Q392" s="140">
        <v>12713.0</v>
      </c>
      <c r="R392" s="72" t="s">
        <v>234</v>
      </c>
      <c r="S392" s="115">
        <v>2015.0</v>
      </c>
      <c r="T392" s="136">
        <v>0.258</v>
      </c>
      <c r="U392" s="118">
        <f t="shared" ref="U392:U393" si="96">Q392*T392</f>
        <v>3279.954</v>
      </c>
      <c r="V392" s="24">
        <f t="shared" si="59"/>
        <v>237.1965577</v>
      </c>
      <c r="W392" s="3">
        <f t="shared" si="31"/>
        <v>0</v>
      </c>
      <c r="X392" s="3">
        <f t="shared" si="32"/>
        <v>0</v>
      </c>
      <c r="Y392" s="3">
        <f t="shared" si="33"/>
        <v>0</v>
      </c>
      <c r="Z392" s="25">
        <f t="shared" si="34"/>
        <v>0</v>
      </c>
      <c r="AA392" s="26">
        <f>VLOOKUP(S392,CPI!$A$2:$F$71,6,0)</f>
        <v>1.359035428</v>
      </c>
      <c r="AB392" s="27">
        <f t="shared" si="60"/>
        <v>4457.573688</v>
      </c>
      <c r="AC392" s="27">
        <f t="shared" si="61"/>
        <v>322.3585253</v>
      </c>
      <c r="AD392" s="130" t="s">
        <v>60</v>
      </c>
      <c r="AE392" s="79" t="s">
        <v>729</v>
      </c>
      <c r="AF392" s="205" t="s">
        <v>730</v>
      </c>
      <c r="AG392" s="168"/>
      <c r="AH392" s="168"/>
      <c r="AI392" s="169"/>
      <c r="AJ392" s="81"/>
      <c r="AK392" s="81"/>
      <c r="AL392" s="81"/>
      <c r="AM392" s="31"/>
      <c r="AN392" s="31"/>
      <c r="AO392" s="31"/>
      <c r="AP392" s="31"/>
      <c r="AQ392" s="35"/>
    </row>
    <row r="393" ht="15.75" customHeight="1">
      <c r="A393" s="38">
        <v>7674.0</v>
      </c>
      <c r="B393" s="130" t="s">
        <v>230</v>
      </c>
      <c r="C393" s="130" t="s">
        <v>704</v>
      </c>
      <c r="D393" s="36" t="s">
        <v>84</v>
      </c>
      <c r="E393" s="130" t="s">
        <v>731</v>
      </c>
      <c r="F393" s="130">
        <v>2014.0</v>
      </c>
      <c r="G393" s="130">
        <v>2018.0</v>
      </c>
      <c r="H393" s="130">
        <v>0.0</v>
      </c>
      <c r="I393" s="130">
        <v>19.628</v>
      </c>
      <c r="J393" s="131">
        <v>0.3946912574</v>
      </c>
      <c r="K393" s="130">
        <v>7.747</v>
      </c>
      <c r="L393" s="132">
        <v>11.9743</v>
      </c>
      <c r="M393" s="132">
        <v>0.0</v>
      </c>
      <c r="N393" s="130">
        <v>9.0</v>
      </c>
      <c r="O393" s="138"/>
      <c r="P393" s="130" t="s">
        <v>74</v>
      </c>
      <c r="Q393" s="135">
        <f>10.619*10^3</f>
        <v>10619</v>
      </c>
      <c r="R393" s="130" t="s">
        <v>234</v>
      </c>
      <c r="S393" s="130">
        <v>2016.0</v>
      </c>
      <c r="T393" s="136">
        <v>0.251</v>
      </c>
      <c r="U393" s="128">
        <f t="shared" si="96"/>
        <v>2665.369</v>
      </c>
      <c r="V393" s="24">
        <f t="shared" si="59"/>
        <v>135.7942225</v>
      </c>
      <c r="W393" s="3">
        <f t="shared" si="31"/>
        <v>0</v>
      </c>
      <c r="X393" s="3">
        <f t="shared" si="32"/>
        <v>0</v>
      </c>
      <c r="Y393" s="3">
        <f t="shared" si="33"/>
        <v>0</v>
      </c>
      <c r="Z393" s="25">
        <f t="shared" si="34"/>
        <v>0</v>
      </c>
      <c r="AA393" s="26">
        <f>VLOOKUP(S393,CPI!$A$2:$F$71,6,0)</f>
        <v>1.342104605</v>
      </c>
      <c r="AB393" s="27">
        <f t="shared" si="60"/>
        <v>3577.20401</v>
      </c>
      <c r="AC393" s="27">
        <f t="shared" si="61"/>
        <v>182.2500514</v>
      </c>
      <c r="AD393" s="130" t="s">
        <v>60</v>
      </c>
      <c r="AE393" s="137" t="s">
        <v>710</v>
      </c>
      <c r="AF393" s="29"/>
      <c r="AG393" s="30"/>
      <c r="AH393" s="30"/>
      <c r="AI393" s="30"/>
      <c r="AJ393" s="31"/>
      <c r="AK393" s="31"/>
      <c r="AL393" s="31"/>
      <c r="AM393" s="31"/>
      <c r="AN393" s="31"/>
      <c r="AO393" s="31"/>
      <c r="AP393" s="31"/>
      <c r="AQ393" s="35"/>
    </row>
    <row r="394" ht="15.75" customHeight="1">
      <c r="A394" s="38">
        <v>8136.0</v>
      </c>
      <c r="B394" s="130" t="s">
        <v>230</v>
      </c>
      <c r="C394" s="130" t="s">
        <v>704</v>
      </c>
      <c r="D394" s="36" t="s">
        <v>243</v>
      </c>
      <c r="E394" s="130" t="s">
        <v>732</v>
      </c>
      <c r="F394" s="130">
        <v>2016.0</v>
      </c>
      <c r="G394" s="130">
        <v>2018.0</v>
      </c>
      <c r="H394" s="130">
        <v>0.0</v>
      </c>
      <c r="I394" s="130">
        <v>6.689</v>
      </c>
      <c r="J394" s="131">
        <v>0.0</v>
      </c>
      <c r="K394" s="130">
        <v>0.0</v>
      </c>
      <c r="L394" s="132">
        <v>6.65</v>
      </c>
      <c r="M394" s="132">
        <v>0.04</v>
      </c>
      <c r="N394" s="130">
        <v>6.0</v>
      </c>
      <c r="O394" s="138"/>
      <c r="P394" s="130" t="s">
        <v>42</v>
      </c>
      <c r="Q394" s="135">
        <v>3177.0</v>
      </c>
      <c r="R394" s="130" t="s">
        <v>234</v>
      </c>
      <c r="S394" s="130">
        <v>2015.0</v>
      </c>
      <c r="T394" s="136">
        <v>0.258</v>
      </c>
      <c r="U394" s="128">
        <f>T394*Q394</f>
        <v>819.666</v>
      </c>
      <c r="V394" s="24">
        <f t="shared" si="59"/>
        <v>122.539393</v>
      </c>
      <c r="W394" s="3">
        <f t="shared" si="31"/>
        <v>0</v>
      </c>
      <c r="X394" s="3">
        <f t="shared" si="32"/>
        <v>0</v>
      </c>
      <c r="Y394" s="3">
        <f t="shared" si="33"/>
        <v>0</v>
      </c>
      <c r="Z394" s="25">
        <f t="shared" si="34"/>
        <v>0</v>
      </c>
      <c r="AA394" s="26">
        <f>VLOOKUP(S394,CPI!$A$2:$F$71,6,0)</f>
        <v>1.359035428</v>
      </c>
      <c r="AB394" s="27">
        <f t="shared" si="60"/>
        <v>1113.955133</v>
      </c>
      <c r="AC394" s="27">
        <f t="shared" si="61"/>
        <v>166.5353764</v>
      </c>
      <c r="AD394" s="130" t="s">
        <v>42</v>
      </c>
      <c r="AE394" s="137" t="s">
        <v>733</v>
      </c>
      <c r="AF394" s="29"/>
      <c r="AG394" s="30"/>
      <c r="AH394" s="30"/>
      <c r="AI394" s="30"/>
      <c r="AJ394" s="31"/>
      <c r="AK394" s="31"/>
      <c r="AL394" s="31"/>
      <c r="AM394" s="31"/>
      <c r="AN394" s="31"/>
      <c r="AO394" s="31"/>
      <c r="AP394" s="31"/>
      <c r="AQ394" s="35"/>
    </row>
    <row r="395" ht="15.75" customHeight="1">
      <c r="A395" s="170">
        <v>8042.0</v>
      </c>
      <c r="B395" s="123" t="s">
        <v>230</v>
      </c>
      <c r="C395" s="123" t="s">
        <v>704</v>
      </c>
      <c r="D395" s="36" t="s">
        <v>239</v>
      </c>
      <c r="E395" s="123" t="s">
        <v>360</v>
      </c>
      <c r="F395" s="75">
        <v>2015.0</v>
      </c>
      <c r="G395" s="75">
        <v>2020.0</v>
      </c>
      <c r="H395" s="75">
        <v>0.0</v>
      </c>
      <c r="I395" s="75">
        <f>6.32+0.6+3.17</f>
        <v>10.09</v>
      </c>
      <c r="J395" s="124">
        <f>K395/I395</f>
        <v>0.314172448</v>
      </c>
      <c r="K395" s="75">
        <v>3.17</v>
      </c>
      <c r="L395" s="125">
        <v>6.53</v>
      </c>
      <c r="M395" s="125">
        <v>0.4321</v>
      </c>
      <c r="N395" s="75">
        <v>6.0</v>
      </c>
      <c r="O395" s="75"/>
      <c r="P395" s="123" t="s">
        <v>42</v>
      </c>
      <c r="Q395" s="141"/>
      <c r="R395" s="123" t="s">
        <v>234</v>
      </c>
      <c r="S395" s="75">
        <v>2012.0</v>
      </c>
      <c r="T395" s="136">
        <v>0.2808</v>
      </c>
      <c r="U395" s="118"/>
      <c r="V395" s="24"/>
      <c r="W395" s="3">
        <f t="shared" si="31"/>
        <v>0</v>
      </c>
      <c r="X395" s="3">
        <f t="shared" si="32"/>
        <v>0</v>
      </c>
      <c r="Y395" s="3">
        <f t="shared" si="33"/>
        <v>0</v>
      </c>
      <c r="Z395" s="25">
        <f t="shared" si="34"/>
        <v>0</v>
      </c>
      <c r="AA395" s="26">
        <f>VLOOKUP(S395,CPI!$A$2:$F$71,6,0)</f>
        <v>1.402974381</v>
      </c>
      <c r="AB395" s="27"/>
      <c r="AC395" s="27"/>
      <c r="AD395" s="123" t="s">
        <v>42</v>
      </c>
      <c r="AE395" s="129" t="s">
        <v>734</v>
      </c>
      <c r="AF395" s="29"/>
      <c r="AG395" s="30"/>
      <c r="AH395" s="30"/>
      <c r="AI395" s="30"/>
      <c r="AJ395" s="31"/>
      <c r="AK395" s="31"/>
      <c r="AL395" s="31"/>
      <c r="AM395" s="31"/>
      <c r="AN395" s="31"/>
      <c r="AO395" s="31"/>
      <c r="AP395" s="31"/>
      <c r="AQ395" s="35"/>
    </row>
    <row r="396" ht="15.75" customHeight="1">
      <c r="A396" s="14">
        <v>9462.0</v>
      </c>
      <c r="B396" s="72" t="s">
        <v>230</v>
      </c>
      <c r="C396" s="72" t="s">
        <v>704</v>
      </c>
      <c r="D396" s="72" t="s">
        <v>267</v>
      </c>
      <c r="E396" s="72" t="s">
        <v>267</v>
      </c>
      <c r="F396" s="69">
        <v>2014.0</v>
      </c>
      <c r="G396" s="69">
        <v>2021.0</v>
      </c>
      <c r="H396" s="69">
        <v>0.0</v>
      </c>
      <c r="I396" s="69">
        <v>38.15</v>
      </c>
      <c r="J396" s="117">
        <v>1.0</v>
      </c>
      <c r="K396" s="69">
        <v>38.15</v>
      </c>
      <c r="L396" s="72"/>
      <c r="M396" s="72"/>
      <c r="N396" s="69">
        <v>31.0</v>
      </c>
      <c r="O396" s="69">
        <v>184.0</v>
      </c>
      <c r="P396" s="72"/>
      <c r="Q396" s="140">
        <v>58073.0</v>
      </c>
      <c r="R396" s="72" t="s">
        <v>234</v>
      </c>
      <c r="S396" s="115">
        <v>2021.0</v>
      </c>
      <c r="T396" s="136">
        <v>0.239</v>
      </c>
      <c r="U396" s="118">
        <f t="shared" ref="U396:U401" si="97">Q396*T396</f>
        <v>13879.447</v>
      </c>
      <c r="V396" s="24">
        <f t="shared" ref="V396:V420" si="98">U396/I396</f>
        <v>363.8125033</v>
      </c>
      <c r="W396" s="3">
        <f t="shared" si="31"/>
        <v>0</v>
      </c>
      <c r="X396" s="3">
        <f t="shared" si="32"/>
        <v>0</v>
      </c>
      <c r="Y396" s="3">
        <f t="shared" si="33"/>
        <v>0</v>
      </c>
      <c r="Z396" s="25">
        <f t="shared" si="34"/>
        <v>0</v>
      </c>
      <c r="AA396" s="26">
        <f>VLOOKUP(S396,CPI!$A$2:$F$71,6,0)</f>
        <v>1.188745987</v>
      </c>
      <c r="AB396" s="27">
        <f t="shared" ref="AB396:AB420" si="99">U396*AA396</f>
        <v>16499.13692</v>
      </c>
      <c r="AC396" s="27">
        <f t="shared" ref="AC396:AC420" si="100">V396*AA396</f>
        <v>432.4806532</v>
      </c>
      <c r="AD396" s="72" t="s">
        <v>36</v>
      </c>
      <c r="AE396" s="79" t="s">
        <v>735</v>
      </c>
      <c r="AF396" s="186"/>
      <c r="AG396" s="187"/>
      <c r="AH396" s="187"/>
      <c r="AI396" s="187"/>
      <c r="AJ396" s="81"/>
      <c r="AK396" s="81"/>
      <c r="AL396" s="81"/>
      <c r="AM396" s="60"/>
      <c r="AN396" s="60"/>
      <c r="AO396" s="60"/>
      <c r="AP396" s="60"/>
      <c r="AQ396" s="6"/>
    </row>
    <row r="397" ht="15.75" customHeight="1">
      <c r="A397" s="14">
        <v>9461.0</v>
      </c>
      <c r="B397" s="74" t="s">
        <v>230</v>
      </c>
      <c r="C397" s="72" t="s">
        <v>704</v>
      </c>
      <c r="D397" s="72" t="s">
        <v>260</v>
      </c>
      <c r="E397" s="72" t="s">
        <v>260</v>
      </c>
      <c r="F397" s="69">
        <v>2016.0</v>
      </c>
      <c r="G397" s="69">
        <v>2021.0</v>
      </c>
      <c r="H397" s="69">
        <v>0.0</v>
      </c>
      <c r="I397" s="69">
        <v>42.3</v>
      </c>
      <c r="J397" s="117">
        <v>1.0</v>
      </c>
      <c r="K397" s="69">
        <v>42.3</v>
      </c>
      <c r="L397" s="72"/>
      <c r="M397" s="72"/>
      <c r="N397" s="69">
        <v>30.0</v>
      </c>
      <c r="O397" s="69">
        <v>138.0</v>
      </c>
      <c r="P397" s="72"/>
      <c r="Q397" s="140">
        <v>47683.0</v>
      </c>
      <c r="R397" s="72" t="s">
        <v>234</v>
      </c>
      <c r="S397" s="115">
        <v>2019.0</v>
      </c>
      <c r="T397" s="136">
        <v>0.238</v>
      </c>
      <c r="U397" s="118">
        <f t="shared" si="97"/>
        <v>11348.554</v>
      </c>
      <c r="V397" s="24">
        <f t="shared" si="98"/>
        <v>268.2873286</v>
      </c>
      <c r="W397" s="3">
        <f t="shared" si="31"/>
        <v>0</v>
      </c>
      <c r="X397" s="3">
        <f t="shared" si="32"/>
        <v>0</v>
      </c>
      <c r="Y397" s="3">
        <f t="shared" si="33"/>
        <v>0</v>
      </c>
      <c r="Z397" s="25">
        <f t="shared" si="34"/>
        <v>0</v>
      </c>
      <c r="AA397" s="26">
        <f>VLOOKUP(S397,CPI!$A$2:$F$71,6,0)</f>
        <v>1.259947899</v>
      </c>
      <c r="AB397" s="27">
        <f t="shared" si="99"/>
        <v>14298.58677</v>
      </c>
      <c r="AC397" s="27">
        <f t="shared" si="100"/>
        <v>338.028056</v>
      </c>
      <c r="AD397" s="72" t="s">
        <v>36</v>
      </c>
      <c r="AE397" s="79" t="s">
        <v>736</v>
      </c>
      <c r="AF397" s="186"/>
      <c r="AG397" s="187"/>
      <c r="AH397" s="187"/>
      <c r="AI397" s="187"/>
      <c r="AJ397" s="81"/>
      <c r="AK397" s="81"/>
      <c r="AL397" s="81"/>
      <c r="AM397" s="31"/>
      <c r="AN397" s="31"/>
      <c r="AO397" s="31"/>
      <c r="AP397" s="31"/>
      <c r="AQ397" s="35"/>
    </row>
    <row r="398" ht="15.75" customHeight="1">
      <c r="A398" s="7"/>
      <c r="B398" s="114" t="s">
        <v>230</v>
      </c>
      <c r="C398" s="114" t="s">
        <v>704</v>
      </c>
      <c r="D398" s="114" t="s">
        <v>351</v>
      </c>
      <c r="E398" s="114" t="s">
        <v>351</v>
      </c>
      <c r="F398" s="116">
        <v>2016.0</v>
      </c>
      <c r="G398" s="116">
        <v>2021.0</v>
      </c>
      <c r="H398" s="116">
        <v>0.0</v>
      </c>
      <c r="I398" s="116">
        <v>36.85</v>
      </c>
      <c r="J398" s="117">
        <v>1.0</v>
      </c>
      <c r="K398" s="116">
        <v>36.85</v>
      </c>
      <c r="L398" s="114"/>
      <c r="M398" s="114"/>
      <c r="N398" s="116">
        <v>26.0</v>
      </c>
      <c r="O398" s="116">
        <v>138.0</v>
      </c>
      <c r="P398" s="114"/>
      <c r="Q398" s="140">
        <v>45937.0</v>
      </c>
      <c r="R398" s="114" t="s">
        <v>234</v>
      </c>
      <c r="S398" s="115">
        <v>2019.0</v>
      </c>
      <c r="T398" s="136">
        <v>0.238</v>
      </c>
      <c r="U398" s="118">
        <f t="shared" si="97"/>
        <v>10933.006</v>
      </c>
      <c r="V398" s="24">
        <f t="shared" si="98"/>
        <v>296.6894437</v>
      </c>
      <c r="W398" s="3">
        <f t="shared" si="31"/>
        <v>0</v>
      </c>
      <c r="X398" s="3">
        <f t="shared" si="32"/>
        <v>0</v>
      </c>
      <c r="Y398" s="3">
        <f t="shared" si="33"/>
        <v>0</v>
      </c>
      <c r="Z398" s="25">
        <f t="shared" si="34"/>
        <v>0</v>
      </c>
      <c r="AA398" s="26">
        <f>VLOOKUP(S398,CPI!$A$2:$F$71,6,0)</f>
        <v>1.259947899</v>
      </c>
      <c r="AB398" s="27">
        <f t="shared" si="99"/>
        <v>13775.01794</v>
      </c>
      <c r="AC398" s="27">
        <f t="shared" si="100"/>
        <v>373.8132412</v>
      </c>
      <c r="AD398" s="114"/>
      <c r="AE398" s="119" t="s">
        <v>737</v>
      </c>
      <c r="AF398" s="164"/>
      <c r="AG398" s="165"/>
      <c r="AH398" s="165"/>
      <c r="AI398" s="165"/>
      <c r="AJ398" s="166"/>
      <c r="AK398" s="166"/>
      <c r="AL398" s="166"/>
      <c r="AM398" s="31"/>
      <c r="AN398" s="31"/>
      <c r="AO398" s="31"/>
      <c r="AP398" s="31"/>
      <c r="AQ398" s="35"/>
    </row>
    <row r="399" ht="15.75" customHeight="1">
      <c r="A399" s="170">
        <v>7954.0</v>
      </c>
      <c r="B399" s="123" t="s">
        <v>230</v>
      </c>
      <c r="C399" s="123" t="s">
        <v>704</v>
      </c>
      <c r="D399" s="123" t="s">
        <v>738</v>
      </c>
      <c r="E399" s="123" t="s">
        <v>738</v>
      </c>
      <c r="F399" s="75">
        <v>2019.0</v>
      </c>
      <c r="G399" s="75">
        <v>2025.0</v>
      </c>
      <c r="H399" s="75">
        <v>0.0</v>
      </c>
      <c r="I399" s="75">
        <v>68.6</v>
      </c>
      <c r="J399" s="124">
        <v>0.83</v>
      </c>
      <c r="K399" s="75">
        <v>56.7</v>
      </c>
      <c r="L399" s="125">
        <v>0.0</v>
      </c>
      <c r="M399" s="125">
        <v>0.0</v>
      </c>
      <c r="N399" s="75">
        <v>9.0</v>
      </c>
      <c r="O399" s="75"/>
      <c r="P399" s="123" t="s">
        <v>60</v>
      </c>
      <c r="Q399" s="126">
        <v>48054.0</v>
      </c>
      <c r="R399" s="123" t="s">
        <v>234</v>
      </c>
      <c r="S399" s="75">
        <v>2018.0</v>
      </c>
      <c r="T399" s="136">
        <v>0.237</v>
      </c>
      <c r="U399" s="128">
        <f t="shared" si="97"/>
        <v>11388.798</v>
      </c>
      <c r="V399" s="24">
        <f t="shared" si="98"/>
        <v>166.0174636</v>
      </c>
      <c r="W399" s="3">
        <f t="shared" si="31"/>
        <v>0</v>
      </c>
      <c r="X399" s="3">
        <f t="shared" si="32"/>
        <v>0</v>
      </c>
      <c r="Y399" s="3">
        <f t="shared" si="33"/>
        <v>0</v>
      </c>
      <c r="Z399" s="25">
        <f t="shared" si="34"/>
        <v>0</v>
      </c>
      <c r="AA399" s="26">
        <f>VLOOKUP(S399,CPI!$A$2:$F$71,6,0)</f>
        <v>1.28277786</v>
      </c>
      <c r="AB399" s="27">
        <f t="shared" si="99"/>
        <v>14609.29792</v>
      </c>
      <c r="AC399" s="27">
        <f t="shared" si="100"/>
        <v>212.9635266</v>
      </c>
      <c r="AD399" s="123" t="s">
        <v>60</v>
      </c>
      <c r="AE399" s="129" t="s">
        <v>739</v>
      </c>
      <c r="AF399" s="29"/>
      <c r="AG399" s="30"/>
      <c r="AH399" s="30"/>
      <c r="AI399" s="30"/>
      <c r="AJ399" s="31"/>
      <c r="AK399" s="31"/>
      <c r="AL399" s="31"/>
      <c r="AM399" s="31"/>
      <c r="AN399" s="31"/>
      <c r="AO399" s="31"/>
      <c r="AP399" s="31"/>
      <c r="AQ399" s="35"/>
    </row>
    <row r="400" ht="15.75" customHeight="1">
      <c r="A400" s="170">
        <v>7819.0</v>
      </c>
      <c r="B400" s="72" t="s">
        <v>230</v>
      </c>
      <c r="C400" s="72" t="s">
        <v>704</v>
      </c>
      <c r="D400" s="72" t="s">
        <v>740</v>
      </c>
      <c r="E400" s="72" t="s">
        <v>740</v>
      </c>
      <c r="F400" s="69">
        <v>2021.0</v>
      </c>
      <c r="G400" s="69">
        <v>2027.0</v>
      </c>
      <c r="H400" s="69">
        <v>1.0</v>
      </c>
      <c r="I400" s="69">
        <v>41.36</v>
      </c>
      <c r="J400" s="117">
        <v>0.94</v>
      </c>
      <c r="K400" s="69">
        <v>38.68</v>
      </c>
      <c r="L400" s="72"/>
      <c r="M400" s="72"/>
      <c r="N400" s="69">
        <v>17.0</v>
      </c>
      <c r="O400" s="69">
        <v>184.0</v>
      </c>
      <c r="P400" s="72"/>
      <c r="Q400" s="140">
        <v>39900.0</v>
      </c>
      <c r="R400" s="72" t="s">
        <v>234</v>
      </c>
      <c r="S400" s="115">
        <v>2021.0</v>
      </c>
      <c r="T400" s="136">
        <v>0.239</v>
      </c>
      <c r="U400" s="118">
        <f t="shared" si="97"/>
        <v>9536.1</v>
      </c>
      <c r="V400" s="24">
        <f t="shared" si="98"/>
        <v>230.5633462</v>
      </c>
      <c r="W400" s="3">
        <f t="shared" si="31"/>
        <v>0</v>
      </c>
      <c r="X400" s="3">
        <f t="shared" si="32"/>
        <v>0</v>
      </c>
      <c r="Y400" s="3">
        <f t="shared" si="33"/>
        <v>0</v>
      </c>
      <c r="Z400" s="25">
        <f t="shared" si="34"/>
        <v>0</v>
      </c>
      <c r="AA400" s="26">
        <f>VLOOKUP(S400,CPI!$A$2:$F$71,6,0)</f>
        <v>1.188745987</v>
      </c>
      <c r="AB400" s="27">
        <f t="shared" si="99"/>
        <v>11336.0006</v>
      </c>
      <c r="AC400" s="27">
        <f t="shared" si="100"/>
        <v>274.0812525</v>
      </c>
      <c r="AD400" s="72" t="s">
        <v>36</v>
      </c>
      <c r="AE400" s="79" t="s">
        <v>741</v>
      </c>
      <c r="AF400" s="205" t="s">
        <v>742</v>
      </c>
      <c r="AG400" s="168"/>
      <c r="AH400" s="168"/>
      <c r="AI400" s="169"/>
      <c r="AJ400" s="81"/>
      <c r="AK400" s="81"/>
      <c r="AL400" s="81"/>
      <c r="AM400" s="81"/>
      <c r="AN400" s="81"/>
      <c r="AO400" s="81"/>
      <c r="AP400" s="81"/>
      <c r="AQ400" s="54"/>
    </row>
    <row r="401" ht="15.75" customHeight="1">
      <c r="A401" s="7"/>
      <c r="B401" s="114" t="s">
        <v>230</v>
      </c>
      <c r="C401" s="114" t="s">
        <v>704</v>
      </c>
      <c r="D401" s="16" t="s">
        <v>287</v>
      </c>
      <c r="E401" s="114" t="s">
        <v>743</v>
      </c>
      <c r="F401" s="116">
        <v>2022.0</v>
      </c>
      <c r="G401" s="116"/>
      <c r="H401" s="116">
        <v>0.0</v>
      </c>
      <c r="I401" s="116">
        <v>17.3</v>
      </c>
      <c r="J401" s="117">
        <v>1.0</v>
      </c>
      <c r="K401" s="116">
        <v>17.3</v>
      </c>
      <c r="L401" s="114"/>
      <c r="M401" s="114"/>
      <c r="N401" s="116">
        <v>6.0</v>
      </c>
      <c r="O401" s="116">
        <v>184.0</v>
      </c>
      <c r="P401" s="114"/>
      <c r="Q401" s="140">
        <v>17630.0</v>
      </c>
      <c r="R401" s="114" t="s">
        <v>234</v>
      </c>
      <c r="S401" s="115">
        <v>2021.0</v>
      </c>
      <c r="T401" s="136">
        <v>0.239000000000002</v>
      </c>
      <c r="U401" s="118">
        <f t="shared" si="97"/>
        <v>4213.57</v>
      </c>
      <c r="V401" s="24">
        <f t="shared" si="98"/>
        <v>243.5589595</v>
      </c>
      <c r="W401" s="3">
        <f t="shared" si="31"/>
        <v>0</v>
      </c>
      <c r="X401" s="3">
        <f t="shared" si="32"/>
        <v>0</v>
      </c>
      <c r="Y401" s="3">
        <f t="shared" si="33"/>
        <v>0</v>
      </c>
      <c r="Z401" s="25">
        <f t="shared" si="34"/>
        <v>0</v>
      </c>
      <c r="AA401" s="26">
        <f>VLOOKUP(S401,CPI!$A$2:$F$71,6,0)</f>
        <v>1.188745987</v>
      </c>
      <c r="AB401" s="27">
        <f t="shared" si="99"/>
        <v>5008.864427</v>
      </c>
      <c r="AC401" s="27">
        <f t="shared" si="100"/>
        <v>289.5297357</v>
      </c>
      <c r="AD401" s="114"/>
      <c r="AE401" s="119" t="s">
        <v>744</v>
      </c>
      <c r="AF401" s="164"/>
      <c r="AG401" s="165"/>
      <c r="AH401" s="165"/>
      <c r="AI401" s="165"/>
      <c r="AJ401" s="166"/>
      <c r="AK401" s="166"/>
      <c r="AL401" s="166"/>
      <c r="AM401" s="31"/>
      <c r="AN401" s="31"/>
      <c r="AO401" s="31"/>
      <c r="AP401" s="31"/>
      <c r="AQ401" s="35"/>
    </row>
    <row r="402" ht="15.75" customHeight="1">
      <c r="A402" s="38">
        <v>8043.0</v>
      </c>
      <c r="B402" s="130" t="s">
        <v>230</v>
      </c>
      <c r="C402" s="130" t="s">
        <v>704</v>
      </c>
      <c r="D402" s="130" t="s">
        <v>745</v>
      </c>
      <c r="E402" s="130" t="s">
        <v>745</v>
      </c>
      <c r="F402" s="130"/>
      <c r="G402" s="130"/>
      <c r="H402" s="130">
        <v>0.0</v>
      </c>
      <c r="I402" s="130">
        <v>44.6</v>
      </c>
      <c r="J402" s="131">
        <v>0.59</v>
      </c>
      <c r="K402" s="130">
        <v>26.1</v>
      </c>
      <c r="L402" s="132">
        <v>0.0</v>
      </c>
      <c r="M402" s="132">
        <v>0.0</v>
      </c>
      <c r="N402" s="130">
        <v>8.0</v>
      </c>
      <c r="O402" s="138"/>
      <c r="P402" s="130" t="s">
        <v>60</v>
      </c>
      <c r="Q402" s="135">
        <v>26426.0</v>
      </c>
      <c r="R402" s="130" t="s">
        <v>234</v>
      </c>
      <c r="S402" s="130">
        <v>2018.0</v>
      </c>
      <c r="T402" s="136">
        <v>0.237</v>
      </c>
      <c r="U402" s="128">
        <f>T402*Q402</f>
        <v>6262.962</v>
      </c>
      <c r="V402" s="24">
        <f t="shared" si="98"/>
        <v>140.425157</v>
      </c>
      <c r="W402" s="3">
        <f t="shared" si="31"/>
        <v>0</v>
      </c>
      <c r="X402" s="3">
        <f t="shared" si="32"/>
        <v>0</v>
      </c>
      <c r="Y402" s="3">
        <f t="shared" si="33"/>
        <v>0</v>
      </c>
      <c r="Z402" s="25">
        <f t="shared" si="34"/>
        <v>0</v>
      </c>
      <c r="AA402" s="26">
        <f>VLOOKUP(S402,CPI!$A$2:$F$71,6,0)</f>
        <v>1.28277786</v>
      </c>
      <c r="AB402" s="27">
        <f t="shared" si="99"/>
        <v>8033.988989</v>
      </c>
      <c r="AC402" s="27">
        <f t="shared" si="100"/>
        <v>180.1342823</v>
      </c>
      <c r="AD402" s="130" t="s">
        <v>60</v>
      </c>
      <c r="AE402" s="137" t="s">
        <v>739</v>
      </c>
      <c r="AF402" s="34"/>
      <c r="AG402" s="34"/>
      <c r="AH402" s="34"/>
      <c r="AI402" s="34"/>
      <c r="AJ402" s="35"/>
      <c r="AK402" s="35"/>
      <c r="AL402" s="35"/>
      <c r="AM402" s="54"/>
      <c r="AN402" s="54"/>
      <c r="AO402" s="54"/>
      <c r="AP402" s="54"/>
      <c r="AQ402" s="54"/>
    </row>
    <row r="403" ht="15.75" customHeight="1">
      <c r="A403" s="170">
        <v>7754.0</v>
      </c>
      <c r="B403" s="123" t="s">
        <v>230</v>
      </c>
      <c r="C403" s="123" t="s">
        <v>704</v>
      </c>
      <c r="D403" s="36" t="s">
        <v>57</v>
      </c>
      <c r="E403" s="123" t="s">
        <v>746</v>
      </c>
      <c r="F403" s="123"/>
      <c r="G403" s="123"/>
      <c r="H403" s="75">
        <v>0.0</v>
      </c>
      <c r="I403" s="75">
        <v>1.2</v>
      </c>
      <c r="J403" s="124">
        <v>0.0</v>
      </c>
      <c r="K403" s="75">
        <v>0.0</v>
      </c>
      <c r="L403" s="125">
        <v>0.0</v>
      </c>
      <c r="M403" s="125">
        <v>0.0</v>
      </c>
      <c r="N403" s="75">
        <v>1.0</v>
      </c>
      <c r="O403" s="75"/>
      <c r="P403" s="123" t="s">
        <v>60</v>
      </c>
      <c r="Q403" s="126">
        <f>3.575*10^3</f>
        <v>3575</v>
      </c>
      <c r="R403" s="123" t="s">
        <v>234</v>
      </c>
      <c r="S403" s="75">
        <v>2018.0</v>
      </c>
      <c r="T403" s="136">
        <v>0.237</v>
      </c>
      <c r="U403" s="128">
        <f t="shared" ref="U403:U414" si="101">Q403*T403</f>
        <v>847.275</v>
      </c>
      <c r="V403" s="24">
        <f t="shared" si="98"/>
        <v>706.0625</v>
      </c>
      <c r="W403" s="3">
        <f t="shared" si="31"/>
        <v>0</v>
      </c>
      <c r="X403" s="3">
        <f t="shared" si="32"/>
        <v>0</v>
      </c>
      <c r="Y403" s="3">
        <f t="shared" si="33"/>
        <v>0</v>
      </c>
      <c r="Z403" s="25">
        <f t="shared" si="34"/>
        <v>0</v>
      </c>
      <c r="AA403" s="26">
        <f>VLOOKUP(S403,CPI!$A$2:$F$71,6,0)</f>
        <v>1.28277786</v>
      </c>
      <c r="AB403" s="27">
        <f t="shared" si="99"/>
        <v>1086.865611</v>
      </c>
      <c r="AC403" s="27">
        <f t="shared" si="100"/>
        <v>905.7213425</v>
      </c>
      <c r="AD403" s="123" t="s">
        <v>60</v>
      </c>
      <c r="AE403" s="129" t="s">
        <v>739</v>
      </c>
      <c r="AF403" s="34"/>
      <c r="AG403" s="34"/>
      <c r="AH403" s="34"/>
      <c r="AI403" s="34"/>
      <c r="AJ403" s="35"/>
      <c r="AK403" s="35"/>
      <c r="AL403" s="35"/>
      <c r="AM403" s="35"/>
      <c r="AN403" s="35"/>
      <c r="AO403" s="35"/>
      <c r="AP403" s="35"/>
      <c r="AQ403" s="35"/>
    </row>
    <row r="404" ht="15.75" customHeight="1">
      <c r="A404" s="170">
        <v>7768.0</v>
      </c>
      <c r="B404" s="123" t="s">
        <v>230</v>
      </c>
      <c r="C404" s="123" t="s">
        <v>704</v>
      </c>
      <c r="D404" s="36" t="s">
        <v>236</v>
      </c>
      <c r="E404" s="123" t="s">
        <v>747</v>
      </c>
      <c r="F404" s="123"/>
      <c r="G404" s="123"/>
      <c r="H404" s="75">
        <v>0.0</v>
      </c>
      <c r="I404" s="75">
        <v>9.8</v>
      </c>
      <c r="J404" s="124">
        <v>1.0</v>
      </c>
      <c r="K404" s="75">
        <v>9.8</v>
      </c>
      <c r="L404" s="125">
        <v>0.0</v>
      </c>
      <c r="M404" s="125">
        <v>0.0</v>
      </c>
      <c r="N404" s="75">
        <v>5.0</v>
      </c>
      <c r="O404" s="75"/>
      <c r="P404" s="123" t="s">
        <v>60</v>
      </c>
      <c r="Q404" s="126">
        <f>12.629*1000</f>
        <v>12629</v>
      </c>
      <c r="R404" s="123" t="s">
        <v>234</v>
      </c>
      <c r="S404" s="75">
        <v>2018.0</v>
      </c>
      <c r="T404" s="136">
        <v>0.237</v>
      </c>
      <c r="U404" s="128">
        <f t="shared" si="101"/>
        <v>2993.073</v>
      </c>
      <c r="V404" s="24">
        <f t="shared" si="98"/>
        <v>305.4156122</v>
      </c>
      <c r="W404" s="3">
        <f t="shared" si="31"/>
        <v>0</v>
      </c>
      <c r="X404" s="3">
        <f t="shared" si="32"/>
        <v>0</v>
      </c>
      <c r="Y404" s="3">
        <f t="shared" si="33"/>
        <v>0</v>
      </c>
      <c r="Z404" s="25">
        <f t="shared" si="34"/>
        <v>0</v>
      </c>
      <c r="AA404" s="26">
        <f>VLOOKUP(S404,CPI!$A$2:$F$71,6,0)</f>
        <v>1.28277786</v>
      </c>
      <c r="AB404" s="27">
        <f t="shared" si="99"/>
        <v>3839.447777</v>
      </c>
      <c r="AC404" s="27">
        <f t="shared" si="100"/>
        <v>391.7803854</v>
      </c>
      <c r="AD404" s="123" t="s">
        <v>60</v>
      </c>
      <c r="AE404" s="129" t="s">
        <v>739</v>
      </c>
      <c r="AF404" s="29"/>
      <c r="AG404" s="30"/>
      <c r="AH404" s="30"/>
      <c r="AI404" s="30"/>
      <c r="AJ404" s="31"/>
      <c r="AK404" s="31"/>
      <c r="AL404" s="31"/>
      <c r="AM404" s="31"/>
      <c r="AN404" s="31"/>
      <c r="AO404" s="31"/>
      <c r="AP404" s="31"/>
      <c r="AQ404" s="35"/>
    </row>
    <row r="405" ht="15.75" customHeight="1">
      <c r="A405" s="170">
        <v>7762.0</v>
      </c>
      <c r="B405" s="123" t="s">
        <v>230</v>
      </c>
      <c r="C405" s="123" t="s">
        <v>704</v>
      </c>
      <c r="D405" s="123" t="s">
        <v>288</v>
      </c>
      <c r="E405" s="123" t="s">
        <v>288</v>
      </c>
      <c r="F405" s="123"/>
      <c r="G405" s="123"/>
      <c r="H405" s="75">
        <v>0.0</v>
      </c>
      <c r="I405" s="75">
        <v>44.5</v>
      </c>
      <c r="J405" s="124">
        <v>1.0</v>
      </c>
      <c r="K405" s="75">
        <v>44.5</v>
      </c>
      <c r="L405" s="125">
        <v>0.0</v>
      </c>
      <c r="M405" s="125">
        <v>0.0</v>
      </c>
      <c r="N405" s="75">
        <v>32.0</v>
      </c>
      <c r="O405" s="75"/>
      <c r="P405" s="123" t="s">
        <v>60</v>
      </c>
      <c r="Q405" s="126">
        <f>60.524*1000</f>
        <v>60524</v>
      </c>
      <c r="R405" s="123" t="s">
        <v>234</v>
      </c>
      <c r="S405" s="75">
        <v>2018.0</v>
      </c>
      <c r="T405" s="136">
        <v>0.237</v>
      </c>
      <c r="U405" s="128">
        <f t="shared" si="101"/>
        <v>14344.188</v>
      </c>
      <c r="V405" s="24">
        <f t="shared" si="98"/>
        <v>322.3413034</v>
      </c>
      <c r="W405" s="3">
        <f t="shared" si="31"/>
        <v>0</v>
      </c>
      <c r="X405" s="3">
        <f t="shared" si="32"/>
        <v>0</v>
      </c>
      <c r="Y405" s="3">
        <f t="shared" si="33"/>
        <v>0</v>
      </c>
      <c r="Z405" s="25">
        <f t="shared" si="34"/>
        <v>0</v>
      </c>
      <c r="AA405" s="26">
        <f>VLOOKUP(S405,CPI!$A$2:$F$71,6,0)</f>
        <v>1.28277786</v>
      </c>
      <c r="AB405" s="27">
        <f t="shared" si="99"/>
        <v>18400.40678</v>
      </c>
      <c r="AC405" s="27">
        <f t="shared" si="100"/>
        <v>413.4922872</v>
      </c>
      <c r="AD405" s="123" t="s">
        <v>60</v>
      </c>
      <c r="AE405" s="154" t="s">
        <v>748</v>
      </c>
      <c r="AF405" s="29"/>
      <c r="AG405" s="30"/>
      <c r="AH405" s="30"/>
      <c r="AI405" s="30"/>
      <c r="AJ405" s="31"/>
      <c r="AK405" s="31"/>
      <c r="AL405" s="31"/>
      <c r="AM405" s="31"/>
      <c r="AN405" s="31"/>
      <c r="AO405" s="31"/>
      <c r="AP405" s="31"/>
      <c r="AQ405" s="35"/>
    </row>
    <row r="406" ht="15.75" customHeight="1">
      <c r="A406" s="170">
        <v>7755.0</v>
      </c>
      <c r="B406" s="123" t="s">
        <v>230</v>
      </c>
      <c r="C406" s="123" t="s">
        <v>704</v>
      </c>
      <c r="D406" s="36" t="s">
        <v>749</v>
      </c>
      <c r="E406" s="123" t="s">
        <v>750</v>
      </c>
      <c r="F406" s="123"/>
      <c r="G406" s="123"/>
      <c r="H406" s="75">
        <v>0.0</v>
      </c>
      <c r="I406" s="75">
        <v>19.8</v>
      </c>
      <c r="J406" s="124">
        <v>1.0</v>
      </c>
      <c r="K406" s="75">
        <v>19.8</v>
      </c>
      <c r="L406" s="125">
        <v>0.0</v>
      </c>
      <c r="M406" s="125">
        <v>0.0</v>
      </c>
      <c r="N406" s="75">
        <v>16.0</v>
      </c>
      <c r="O406" s="75"/>
      <c r="P406" s="123" t="s">
        <v>60</v>
      </c>
      <c r="Q406" s="126">
        <f>39.354*10^3</f>
        <v>39354</v>
      </c>
      <c r="R406" s="123" t="s">
        <v>234</v>
      </c>
      <c r="S406" s="75">
        <v>2018.0</v>
      </c>
      <c r="T406" s="136">
        <v>0.237</v>
      </c>
      <c r="U406" s="128">
        <f t="shared" si="101"/>
        <v>9326.898</v>
      </c>
      <c r="V406" s="24">
        <f t="shared" si="98"/>
        <v>471.0554545</v>
      </c>
      <c r="W406" s="3">
        <f t="shared" si="31"/>
        <v>0</v>
      </c>
      <c r="X406" s="3">
        <f t="shared" si="32"/>
        <v>0</v>
      </c>
      <c r="Y406" s="3">
        <f t="shared" si="33"/>
        <v>0</v>
      </c>
      <c r="Z406" s="25">
        <f t="shared" si="34"/>
        <v>0</v>
      </c>
      <c r="AA406" s="26">
        <f>VLOOKUP(S406,CPI!$A$2:$F$71,6,0)</f>
        <v>1.28277786</v>
      </c>
      <c r="AB406" s="27">
        <f t="shared" si="99"/>
        <v>11964.33825</v>
      </c>
      <c r="AC406" s="27">
        <f t="shared" si="100"/>
        <v>604.2595078</v>
      </c>
      <c r="AD406" s="123" t="s">
        <v>60</v>
      </c>
      <c r="AE406" s="129" t="s">
        <v>739</v>
      </c>
      <c r="AF406" s="34"/>
      <c r="AG406" s="34"/>
      <c r="AH406" s="34"/>
      <c r="AI406" s="34"/>
      <c r="AJ406" s="35"/>
      <c r="AK406" s="35"/>
      <c r="AL406" s="35"/>
      <c r="AM406" s="54"/>
      <c r="AN406" s="54"/>
      <c r="AO406" s="54"/>
      <c r="AP406" s="54"/>
      <c r="AQ406" s="54"/>
    </row>
    <row r="407" ht="15.75" customHeight="1">
      <c r="A407" s="170">
        <v>7763.0</v>
      </c>
      <c r="B407" s="123" t="s">
        <v>230</v>
      </c>
      <c r="C407" s="123" t="s">
        <v>704</v>
      </c>
      <c r="D407" s="36" t="s">
        <v>468</v>
      </c>
      <c r="E407" s="123" t="s">
        <v>751</v>
      </c>
      <c r="F407" s="123"/>
      <c r="G407" s="123"/>
      <c r="H407" s="75">
        <v>0.0</v>
      </c>
      <c r="I407" s="75">
        <v>28.0</v>
      </c>
      <c r="J407" s="124">
        <v>1.0</v>
      </c>
      <c r="K407" s="75">
        <v>28.0</v>
      </c>
      <c r="L407" s="125">
        <v>0.0</v>
      </c>
      <c r="M407" s="125">
        <v>0.0</v>
      </c>
      <c r="N407" s="75">
        <v>16.0</v>
      </c>
      <c r="O407" s="75"/>
      <c r="P407" s="123" t="s">
        <v>60</v>
      </c>
      <c r="Q407" s="157">
        <f>36.956*1000</f>
        <v>36956</v>
      </c>
      <c r="R407" s="123" t="s">
        <v>234</v>
      </c>
      <c r="S407" s="75">
        <v>2018.0</v>
      </c>
      <c r="T407" s="136">
        <v>0.237</v>
      </c>
      <c r="U407" s="128">
        <f t="shared" si="101"/>
        <v>8758.572</v>
      </c>
      <c r="V407" s="24">
        <f t="shared" si="98"/>
        <v>312.8061429</v>
      </c>
      <c r="W407" s="3">
        <f t="shared" si="31"/>
        <v>0</v>
      </c>
      <c r="X407" s="3">
        <f t="shared" si="32"/>
        <v>0</v>
      </c>
      <c r="Y407" s="3">
        <f t="shared" si="33"/>
        <v>0</v>
      </c>
      <c r="Z407" s="25">
        <f t="shared" si="34"/>
        <v>0</v>
      </c>
      <c r="AA407" s="26">
        <f>VLOOKUP(S407,CPI!$A$2:$F$71,6,0)</f>
        <v>1.28277786</v>
      </c>
      <c r="AB407" s="27">
        <f t="shared" si="99"/>
        <v>11235.30224</v>
      </c>
      <c r="AC407" s="27">
        <f t="shared" si="100"/>
        <v>401.2607944</v>
      </c>
      <c r="AD407" s="123" t="s">
        <v>60</v>
      </c>
      <c r="AE407" s="154" t="s">
        <v>752</v>
      </c>
      <c r="AF407" s="29"/>
      <c r="AG407" s="30"/>
      <c r="AH407" s="30"/>
      <c r="AI407" s="30"/>
      <c r="AJ407" s="31"/>
      <c r="AK407" s="31"/>
      <c r="AL407" s="31"/>
      <c r="AM407" s="31"/>
      <c r="AN407" s="31"/>
      <c r="AO407" s="31"/>
      <c r="AP407" s="31"/>
      <c r="AQ407" s="35"/>
    </row>
    <row r="408" ht="15.75" customHeight="1">
      <c r="A408" s="170">
        <v>7770.0</v>
      </c>
      <c r="B408" s="123" t="s">
        <v>230</v>
      </c>
      <c r="C408" s="123" t="s">
        <v>704</v>
      </c>
      <c r="D408" s="36" t="s">
        <v>753</v>
      </c>
      <c r="E408" s="123" t="s">
        <v>754</v>
      </c>
      <c r="F408" s="123"/>
      <c r="G408" s="123"/>
      <c r="H408" s="75">
        <v>0.0</v>
      </c>
      <c r="I408" s="75">
        <v>28.0</v>
      </c>
      <c r="J408" s="124">
        <v>1.0</v>
      </c>
      <c r="K408" s="75">
        <v>28.0</v>
      </c>
      <c r="L408" s="125">
        <v>0.0</v>
      </c>
      <c r="M408" s="125">
        <v>0.0</v>
      </c>
      <c r="N408" s="75">
        <v>22.0</v>
      </c>
      <c r="O408" s="75"/>
      <c r="P408" s="123" t="s">
        <v>60</v>
      </c>
      <c r="Q408" s="126">
        <f>33.729*1000</f>
        <v>33729</v>
      </c>
      <c r="R408" s="123" t="s">
        <v>234</v>
      </c>
      <c r="S408" s="75">
        <v>2018.0</v>
      </c>
      <c r="T408" s="136">
        <v>0.237</v>
      </c>
      <c r="U408" s="128">
        <f t="shared" si="101"/>
        <v>7993.773</v>
      </c>
      <c r="V408" s="24">
        <f t="shared" si="98"/>
        <v>285.4918929</v>
      </c>
      <c r="W408" s="3">
        <f t="shared" si="31"/>
        <v>0</v>
      </c>
      <c r="X408" s="3">
        <f t="shared" si="32"/>
        <v>0</v>
      </c>
      <c r="Y408" s="3">
        <f t="shared" si="33"/>
        <v>0</v>
      </c>
      <c r="Z408" s="25">
        <f t="shared" si="34"/>
        <v>0</v>
      </c>
      <c r="AA408" s="26">
        <f>VLOOKUP(S408,CPI!$A$2:$F$71,6,0)</f>
        <v>1.28277786</v>
      </c>
      <c r="AB408" s="27">
        <f t="shared" si="99"/>
        <v>10254.23502</v>
      </c>
      <c r="AC408" s="27">
        <f t="shared" si="100"/>
        <v>366.2226793</v>
      </c>
      <c r="AD408" s="123" t="s">
        <v>60</v>
      </c>
      <c r="AE408" s="129" t="s">
        <v>739</v>
      </c>
      <c r="AF408" s="29"/>
      <c r="AG408" s="30"/>
      <c r="AH408" s="30"/>
      <c r="AI408" s="30"/>
      <c r="AJ408" s="31"/>
      <c r="AK408" s="31"/>
      <c r="AL408" s="31"/>
      <c r="AM408" s="31"/>
      <c r="AN408" s="31"/>
      <c r="AO408" s="31"/>
      <c r="AP408" s="31"/>
      <c r="AQ408" s="35"/>
    </row>
    <row r="409" ht="15.75" customHeight="1">
      <c r="A409" s="163"/>
      <c r="B409" s="66" t="s">
        <v>230</v>
      </c>
      <c r="C409" s="114" t="s">
        <v>755</v>
      </c>
      <c r="D409" s="114" t="s">
        <v>756</v>
      </c>
      <c r="E409" s="114" t="s">
        <v>756</v>
      </c>
      <c r="F409" s="116">
        <v>2016.0</v>
      </c>
      <c r="G409" s="116">
        <v>2021.0</v>
      </c>
      <c r="H409" s="116">
        <v>0.0</v>
      </c>
      <c r="I409" s="116">
        <v>20.3</v>
      </c>
      <c r="J409" s="117">
        <v>0.49</v>
      </c>
      <c r="K409" s="116">
        <v>9.87</v>
      </c>
      <c r="L409" s="114"/>
      <c r="M409" s="114"/>
      <c r="N409" s="116">
        <v>10.0</v>
      </c>
      <c r="O409" s="116">
        <v>117.0</v>
      </c>
      <c r="P409" s="114"/>
      <c r="Q409" s="140">
        <v>12790.0</v>
      </c>
      <c r="R409" s="114" t="s">
        <v>234</v>
      </c>
      <c r="S409" s="115">
        <v>2019.0</v>
      </c>
      <c r="T409" s="136">
        <v>0.238</v>
      </c>
      <c r="U409" s="118">
        <f t="shared" si="101"/>
        <v>3044.02</v>
      </c>
      <c r="V409" s="24">
        <f t="shared" si="98"/>
        <v>149.9517241</v>
      </c>
      <c r="W409" s="3">
        <f t="shared" si="31"/>
        <v>0</v>
      </c>
      <c r="X409" s="3">
        <f t="shared" si="32"/>
        <v>0</v>
      </c>
      <c r="Y409" s="3">
        <f t="shared" si="33"/>
        <v>0</v>
      </c>
      <c r="Z409" s="25">
        <f t="shared" si="34"/>
        <v>0</v>
      </c>
      <c r="AA409" s="26">
        <f>VLOOKUP(S409,CPI!$A$2:$F$71,6,0)</f>
        <v>1.259947899</v>
      </c>
      <c r="AB409" s="27">
        <f t="shared" si="99"/>
        <v>3835.306603</v>
      </c>
      <c r="AC409" s="27">
        <f t="shared" si="100"/>
        <v>188.9313598</v>
      </c>
      <c r="AD409" s="72" t="s">
        <v>36</v>
      </c>
      <c r="AE409" s="119" t="s">
        <v>757</v>
      </c>
      <c r="AF409" s="167" t="s">
        <v>758</v>
      </c>
      <c r="AG409" s="168"/>
      <c r="AH409" s="168"/>
      <c r="AI409" s="169"/>
      <c r="AJ409" s="175"/>
      <c r="AK409" s="175"/>
      <c r="AL409" s="175"/>
      <c r="AM409" s="31"/>
      <c r="AN409" s="31"/>
      <c r="AO409" s="31"/>
      <c r="AP409" s="31"/>
      <c r="AQ409" s="35"/>
    </row>
    <row r="410" ht="15.75" customHeight="1">
      <c r="A410" s="163"/>
      <c r="B410" s="114" t="s">
        <v>230</v>
      </c>
      <c r="C410" s="114" t="s">
        <v>755</v>
      </c>
      <c r="D410" s="114" t="s">
        <v>57</v>
      </c>
      <c r="E410" s="114" t="s">
        <v>57</v>
      </c>
      <c r="F410" s="116">
        <v>2016.0</v>
      </c>
      <c r="G410" s="116">
        <v>2021.0</v>
      </c>
      <c r="H410" s="116">
        <v>0.0</v>
      </c>
      <c r="I410" s="116">
        <v>31.3</v>
      </c>
      <c r="J410" s="117">
        <v>1.0</v>
      </c>
      <c r="K410" s="116">
        <v>31.3</v>
      </c>
      <c r="L410" s="114"/>
      <c r="M410" s="114"/>
      <c r="N410" s="116">
        <v>23.0</v>
      </c>
      <c r="O410" s="116">
        <v>117.0</v>
      </c>
      <c r="P410" s="114"/>
      <c r="Q410" s="140">
        <v>23873.0</v>
      </c>
      <c r="R410" s="114" t="s">
        <v>234</v>
      </c>
      <c r="S410" s="115">
        <v>2019.0</v>
      </c>
      <c r="T410" s="136">
        <v>0.238</v>
      </c>
      <c r="U410" s="118">
        <f t="shared" si="101"/>
        <v>5681.774</v>
      </c>
      <c r="V410" s="24">
        <f t="shared" si="98"/>
        <v>181.5263259</v>
      </c>
      <c r="W410" s="3">
        <f t="shared" si="31"/>
        <v>0</v>
      </c>
      <c r="X410" s="3">
        <f t="shared" si="32"/>
        <v>0</v>
      </c>
      <c r="Y410" s="3">
        <f t="shared" si="33"/>
        <v>0</v>
      </c>
      <c r="Z410" s="25">
        <f t="shared" si="34"/>
        <v>0</v>
      </c>
      <c r="AA410" s="26">
        <f>VLOOKUP(S410,CPI!$A$2:$F$71,6,0)</f>
        <v>1.259947899</v>
      </c>
      <c r="AB410" s="27">
        <f t="shared" si="99"/>
        <v>7158.739214</v>
      </c>
      <c r="AC410" s="27">
        <f t="shared" si="100"/>
        <v>228.7137129</v>
      </c>
      <c r="AD410" s="114"/>
      <c r="AE410" s="119" t="s">
        <v>759</v>
      </c>
      <c r="AF410" s="164"/>
      <c r="AG410" s="165"/>
      <c r="AH410" s="165"/>
      <c r="AI410" s="165"/>
      <c r="AJ410" s="166"/>
      <c r="AK410" s="166"/>
      <c r="AL410" s="166"/>
      <c r="AM410" s="31"/>
      <c r="AN410" s="31"/>
      <c r="AO410" s="31"/>
      <c r="AP410" s="31"/>
      <c r="AQ410" s="35"/>
    </row>
    <row r="411" ht="15.75" customHeight="1">
      <c r="A411" s="163"/>
      <c r="B411" s="114" t="s">
        <v>230</v>
      </c>
      <c r="C411" s="114" t="s">
        <v>755</v>
      </c>
      <c r="D411" s="114" t="s">
        <v>54</v>
      </c>
      <c r="E411" s="114" t="s">
        <v>54</v>
      </c>
      <c r="F411" s="116">
        <v>2022.0</v>
      </c>
      <c r="G411" s="114"/>
      <c r="H411" s="116">
        <v>0.0</v>
      </c>
      <c r="I411" s="116">
        <v>10.8</v>
      </c>
      <c r="J411" s="117">
        <v>1.0</v>
      </c>
      <c r="K411" s="116">
        <v>10.8</v>
      </c>
      <c r="L411" s="114"/>
      <c r="M411" s="114"/>
      <c r="N411" s="116">
        <v>9.0</v>
      </c>
      <c r="O411" s="116">
        <v>117.0</v>
      </c>
      <c r="P411" s="114"/>
      <c r="Q411" s="140">
        <v>10130.0</v>
      </c>
      <c r="R411" s="114" t="s">
        <v>234</v>
      </c>
      <c r="S411" s="115">
        <v>2021.0</v>
      </c>
      <c r="T411" s="136">
        <v>0.239000000000001</v>
      </c>
      <c r="U411" s="118">
        <f t="shared" si="101"/>
        <v>2421.07</v>
      </c>
      <c r="V411" s="24">
        <f t="shared" si="98"/>
        <v>224.1731481</v>
      </c>
      <c r="W411" s="3">
        <f t="shared" si="31"/>
        <v>0</v>
      </c>
      <c r="X411" s="3">
        <f t="shared" si="32"/>
        <v>0</v>
      </c>
      <c r="Y411" s="3">
        <f t="shared" si="33"/>
        <v>0</v>
      </c>
      <c r="Z411" s="25">
        <f t="shared" si="34"/>
        <v>0</v>
      </c>
      <c r="AA411" s="26">
        <f>VLOOKUP(S411,CPI!$A$2:$F$71,6,0)</f>
        <v>1.188745987</v>
      </c>
      <c r="AB411" s="27">
        <f t="shared" si="99"/>
        <v>2878.037246</v>
      </c>
      <c r="AC411" s="27">
        <f t="shared" si="100"/>
        <v>266.4849302</v>
      </c>
      <c r="AD411" s="114"/>
      <c r="AE411" s="119" t="s">
        <v>760</v>
      </c>
      <c r="AF411" s="114"/>
      <c r="AG411" s="114"/>
      <c r="AH411" s="114"/>
      <c r="AI411" s="114"/>
      <c r="AJ411" s="166"/>
      <c r="AK411" s="166"/>
      <c r="AL411" s="166"/>
      <c r="AM411" s="31"/>
      <c r="AN411" s="31"/>
      <c r="AO411" s="31"/>
      <c r="AP411" s="31"/>
      <c r="AQ411" s="35"/>
    </row>
    <row r="412" ht="15.75" customHeight="1">
      <c r="A412" s="7"/>
      <c r="B412" s="114" t="s">
        <v>230</v>
      </c>
      <c r="C412" s="114" t="s">
        <v>761</v>
      </c>
      <c r="D412" s="16" t="s">
        <v>239</v>
      </c>
      <c r="E412" s="115" t="s">
        <v>356</v>
      </c>
      <c r="F412" s="116">
        <v>2012.0</v>
      </c>
      <c r="G412" s="116">
        <v>2020.0</v>
      </c>
      <c r="H412" s="116">
        <v>0.0</v>
      </c>
      <c r="I412" s="116">
        <v>49.9</v>
      </c>
      <c r="J412" s="117">
        <v>1.0</v>
      </c>
      <c r="K412" s="116">
        <v>49.9</v>
      </c>
      <c r="L412" s="114"/>
      <c r="M412" s="114"/>
      <c r="N412" s="116">
        <v>37.0</v>
      </c>
      <c r="O412" s="116">
        <v>117.0</v>
      </c>
      <c r="P412" s="114"/>
      <c r="Q412" s="140">
        <v>29710.0</v>
      </c>
      <c r="R412" s="114" t="s">
        <v>234</v>
      </c>
      <c r="S412" s="115">
        <v>2016.0</v>
      </c>
      <c r="T412" s="85">
        <v>0.251</v>
      </c>
      <c r="U412" s="118">
        <f t="shared" si="101"/>
        <v>7457.21</v>
      </c>
      <c r="V412" s="24">
        <f t="shared" si="98"/>
        <v>149.4430862</v>
      </c>
      <c r="W412" s="3">
        <f t="shared" si="31"/>
        <v>0</v>
      </c>
      <c r="X412" s="3">
        <f t="shared" si="32"/>
        <v>0</v>
      </c>
      <c r="Y412" s="3">
        <f t="shared" si="33"/>
        <v>0</v>
      </c>
      <c r="Z412" s="25">
        <f t="shared" si="34"/>
        <v>0</v>
      </c>
      <c r="AA412" s="26">
        <f>VLOOKUP(S412,CPI!$A$2:$F$71,6,0)</f>
        <v>1.342104605</v>
      </c>
      <c r="AB412" s="27">
        <f t="shared" si="99"/>
        <v>10008.35588</v>
      </c>
      <c r="AC412" s="27">
        <f t="shared" si="100"/>
        <v>200.5682542</v>
      </c>
      <c r="AD412" s="114"/>
      <c r="AE412" s="119" t="s">
        <v>762</v>
      </c>
      <c r="AF412" s="164"/>
      <c r="AG412" s="165"/>
      <c r="AH412" s="165"/>
      <c r="AI412" s="165"/>
      <c r="AJ412" s="166"/>
      <c r="AK412" s="166"/>
      <c r="AL412" s="166"/>
      <c r="AM412" s="81"/>
      <c r="AN412" s="81"/>
      <c r="AO412" s="81"/>
      <c r="AP412" s="81"/>
      <c r="AQ412" s="54"/>
    </row>
    <row r="413" ht="15.75" customHeight="1">
      <c r="A413" s="7"/>
      <c r="B413" s="114" t="s">
        <v>230</v>
      </c>
      <c r="C413" s="114" t="s">
        <v>761</v>
      </c>
      <c r="D413" s="16" t="s">
        <v>253</v>
      </c>
      <c r="E413" s="115" t="s">
        <v>362</v>
      </c>
      <c r="F413" s="116">
        <v>2012.0</v>
      </c>
      <c r="G413" s="116">
        <v>2020.0</v>
      </c>
      <c r="H413" s="116">
        <v>0.0</v>
      </c>
      <c r="I413" s="116">
        <v>29.2</v>
      </c>
      <c r="J413" s="117">
        <v>1.0</v>
      </c>
      <c r="K413" s="116">
        <v>29.2</v>
      </c>
      <c r="L413" s="114"/>
      <c r="M413" s="114"/>
      <c r="N413" s="116">
        <v>23.0</v>
      </c>
      <c r="O413" s="116">
        <v>117.0</v>
      </c>
      <c r="P413" s="114"/>
      <c r="Q413" s="140">
        <v>17971.0</v>
      </c>
      <c r="R413" s="114" t="s">
        <v>234</v>
      </c>
      <c r="S413" s="115">
        <v>2016.0</v>
      </c>
      <c r="T413" s="85">
        <v>0.251</v>
      </c>
      <c r="U413" s="118">
        <f t="shared" si="101"/>
        <v>4510.721</v>
      </c>
      <c r="V413" s="24">
        <f t="shared" si="98"/>
        <v>154.4767466</v>
      </c>
      <c r="W413" s="3">
        <f t="shared" si="31"/>
        <v>0</v>
      </c>
      <c r="X413" s="3">
        <f t="shared" si="32"/>
        <v>0</v>
      </c>
      <c r="Y413" s="3">
        <f t="shared" si="33"/>
        <v>0</v>
      </c>
      <c r="Z413" s="25">
        <f t="shared" si="34"/>
        <v>0</v>
      </c>
      <c r="AA413" s="26">
        <f>VLOOKUP(S413,CPI!$A$2:$F$71,6,0)</f>
        <v>1.342104605</v>
      </c>
      <c r="AB413" s="27">
        <f t="shared" si="99"/>
        <v>6053.859427</v>
      </c>
      <c r="AC413" s="27">
        <f t="shared" si="100"/>
        <v>207.323953</v>
      </c>
      <c r="AD413" s="114"/>
      <c r="AE413" s="119" t="s">
        <v>762</v>
      </c>
      <c r="AF413" s="164"/>
      <c r="AG413" s="165"/>
      <c r="AH413" s="165"/>
      <c r="AI413" s="165"/>
      <c r="AJ413" s="166"/>
      <c r="AK413" s="166"/>
      <c r="AL413" s="166"/>
      <c r="AM413" s="31"/>
      <c r="AN413" s="31"/>
      <c r="AO413" s="31"/>
      <c r="AP413" s="31"/>
      <c r="AQ413" s="35"/>
    </row>
    <row r="414" ht="15.75" customHeight="1">
      <c r="A414" s="163"/>
      <c r="B414" s="114" t="s">
        <v>230</v>
      </c>
      <c r="C414" s="114" t="s">
        <v>761</v>
      </c>
      <c r="D414" s="115" t="s">
        <v>110</v>
      </c>
      <c r="E414" s="115" t="s">
        <v>332</v>
      </c>
      <c r="F414" s="114"/>
      <c r="G414" s="116">
        <v>2022.0</v>
      </c>
      <c r="H414" s="116">
        <v>0.0</v>
      </c>
      <c r="I414" s="116">
        <v>34.2</v>
      </c>
      <c r="J414" s="117">
        <v>1.0</v>
      </c>
      <c r="K414" s="116">
        <v>34.2</v>
      </c>
      <c r="L414" s="114"/>
      <c r="M414" s="114"/>
      <c r="N414" s="116">
        <v>23.0</v>
      </c>
      <c r="O414" s="116">
        <v>117.0</v>
      </c>
      <c r="P414" s="114"/>
      <c r="Q414" s="140">
        <v>16632.0</v>
      </c>
      <c r="R414" s="114" t="s">
        <v>234</v>
      </c>
      <c r="S414" s="115">
        <v>2021.0</v>
      </c>
      <c r="T414" s="136">
        <v>0.239000000000001</v>
      </c>
      <c r="U414" s="118">
        <f t="shared" si="101"/>
        <v>3975.048</v>
      </c>
      <c r="V414" s="24">
        <f t="shared" si="98"/>
        <v>116.2294737</v>
      </c>
      <c r="W414" s="3">
        <f t="shared" si="31"/>
        <v>0</v>
      </c>
      <c r="X414" s="3">
        <f t="shared" si="32"/>
        <v>0</v>
      </c>
      <c r="Y414" s="3">
        <f t="shared" si="33"/>
        <v>0</v>
      </c>
      <c r="Z414" s="25">
        <f t="shared" si="34"/>
        <v>0</v>
      </c>
      <c r="AA414" s="26">
        <f>VLOOKUP(S414,CPI!$A$2:$F$71,6,0)</f>
        <v>1.188745987</v>
      </c>
      <c r="AB414" s="27">
        <f t="shared" si="99"/>
        <v>4725.322357</v>
      </c>
      <c r="AC414" s="27">
        <f t="shared" si="100"/>
        <v>138.1673204</v>
      </c>
      <c r="AD414" s="114"/>
      <c r="AE414" s="119" t="s">
        <v>763</v>
      </c>
      <c r="AF414" s="167" t="s">
        <v>764</v>
      </c>
      <c r="AG414" s="168"/>
      <c r="AH414" s="168"/>
      <c r="AI414" s="169"/>
      <c r="AJ414" s="166"/>
      <c r="AK414" s="166"/>
      <c r="AL414" s="166"/>
      <c r="AM414" s="31"/>
      <c r="AN414" s="31"/>
      <c r="AO414" s="31"/>
      <c r="AP414" s="31"/>
      <c r="AQ414" s="35"/>
    </row>
    <row r="415" ht="15.75" customHeight="1">
      <c r="A415" s="16" t="s">
        <v>87</v>
      </c>
      <c r="B415" s="130" t="s">
        <v>230</v>
      </c>
      <c r="C415" s="130" t="s">
        <v>761</v>
      </c>
      <c r="D415" s="16" t="s">
        <v>87</v>
      </c>
      <c r="E415" s="130" t="s">
        <v>331</v>
      </c>
      <c r="F415" s="130">
        <v>2019.0</v>
      </c>
      <c r="G415" s="130">
        <v>2025.0</v>
      </c>
      <c r="H415" s="130">
        <v>0.0</v>
      </c>
      <c r="I415" s="130">
        <v>38.4</v>
      </c>
      <c r="J415" s="131"/>
      <c r="K415" s="130"/>
      <c r="L415" s="132" t="e">
        <v>#N/A</v>
      </c>
      <c r="M415" s="132" t="e">
        <v>#N/A</v>
      </c>
      <c r="N415" s="130">
        <v>28.0</v>
      </c>
      <c r="O415" s="138"/>
      <c r="P415" s="130" t="s">
        <v>60</v>
      </c>
      <c r="Q415" s="135">
        <v>23130.0</v>
      </c>
      <c r="R415" s="130" t="s">
        <v>234</v>
      </c>
      <c r="S415" s="130">
        <v>2019.0</v>
      </c>
      <c r="T415" s="136">
        <v>0.238</v>
      </c>
      <c r="U415" s="128">
        <f>T415*Q415</f>
        <v>5504.94</v>
      </c>
      <c r="V415" s="24">
        <f t="shared" si="98"/>
        <v>143.3578125</v>
      </c>
      <c r="W415" s="3">
        <f t="shared" si="31"/>
        <v>0</v>
      </c>
      <c r="X415" s="3">
        <f t="shared" si="32"/>
        <v>0</v>
      </c>
      <c r="Y415" s="3">
        <f t="shared" si="33"/>
        <v>0</v>
      </c>
      <c r="Z415" s="25">
        <f t="shared" si="34"/>
        <v>0</v>
      </c>
      <c r="AA415" s="26">
        <f>VLOOKUP(S415,CPI!$A$2:$F$71,6,0)</f>
        <v>1.259947899</v>
      </c>
      <c r="AB415" s="27">
        <f t="shared" si="99"/>
        <v>6935.937587</v>
      </c>
      <c r="AC415" s="27">
        <f t="shared" si="100"/>
        <v>180.6233747</v>
      </c>
      <c r="AD415" s="130" t="s">
        <v>42</v>
      </c>
      <c r="AE415" s="137" t="s">
        <v>765</v>
      </c>
      <c r="AF415" s="6"/>
      <c r="AG415" s="7"/>
      <c r="AH415" s="7"/>
      <c r="AI415" s="7"/>
      <c r="AM415" s="54"/>
      <c r="AN415" s="54"/>
      <c r="AO415" s="54"/>
      <c r="AP415" s="54"/>
      <c r="AQ415" s="54"/>
    </row>
    <row r="416" ht="15.75" customHeight="1">
      <c r="A416" s="170">
        <v>7968.0</v>
      </c>
      <c r="B416" s="123" t="s">
        <v>230</v>
      </c>
      <c r="C416" s="123" t="s">
        <v>761</v>
      </c>
      <c r="D416" s="16" t="s">
        <v>57</v>
      </c>
      <c r="E416" s="123" t="s">
        <v>605</v>
      </c>
      <c r="F416" s="75">
        <v>2020.0</v>
      </c>
      <c r="G416" s="75">
        <v>2025.0</v>
      </c>
      <c r="H416" s="75">
        <v>0.0</v>
      </c>
      <c r="I416" s="75">
        <v>15.0</v>
      </c>
      <c r="J416" s="124">
        <f>K416/I416</f>
        <v>1</v>
      </c>
      <c r="K416" s="75">
        <v>15.0</v>
      </c>
      <c r="L416" s="125">
        <v>0.0</v>
      </c>
      <c r="M416" s="125">
        <v>0.0</v>
      </c>
      <c r="N416" s="75">
        <v>9.0</v>
      </c>
      <c r="O416" s="152">
        <v>117.0</v>
      </c>
      <c r="P416" s="123" t="s">
        <v>60</v>
      </c>
      <c r="Q416" s="126">
        <v>10350.0</v>
      </c>
      <c r="R416" s="123" t="s">
        <v>234</v>
      </c>
      <c r="S416" s="75">
        <v>2019.0</v>
      </c>
      <c r="T416" s="136">
        <v>0.238</v>
      </c>
      <c r="U416" s="128">
        <f t="shared" ref="U416:U420" si="102">Q416*T416</f>
        <v>2463.3</v>
      </c>
      <c r="V416" s="24">
        <f t="shared" si="98"/>
        <v>164.22</v>
      </c>
      <c r="W416" s="3">
        <f t="shared" si="31"/>
        <v>0</v>
      </c>
      <c r="X416" s="3">
        <f t="shared" si="32"/>
        <v>0</v>
      </c>
      <c r="Y416" s="3">
        <f t="shared" si="33"/>
        <v>0</v>
      </c>
      <c r="Z416" s="25">
        <f t="shared" si="34"/>
        <v>0</v>
      </c>
      <c r="AA416" s="26">
        <f>VLOOKUP(S416,CPI!$A$2:$F$71,6,0)</f>
        <v>1.259947899</v>
      </c>
      <c r="AB416" s="27">
        <f t="shared" si="99"/>
        <v>3103.629659</v>
      </c>
      <c r="AC416" s="27">
        <f t="shared" si="100"/>
        <v>206.908644</v>
      </c>
      <c r="AD416" s="123" t="s">
        <v>42</v>
      </c>
      <c r="AE416" s="154" t="s">
        <v>766</v>
      </c>
      <c r="AF416" s="15"/>
      <c r="AG416" s="15"/>
      <c r="AH416" s="15"/>
      <c r="AI416" s="15"/>
      <c r="AJ416" s="204"/>
      <c r="AK416" s="204"/>
      <c r="AL416" s="204"/>
      <c r="AM416" s="206"/>
      <c r="AN416" s="206"/>
      <c r="AO416" s="206"/>
      <c r="AP416" s="206"/>
      <c r="AQ416" s="206"/>
    </row>
    <row r="417" ht="15.75" customHeight="1">
      <c r="A417" s="170">
        <v>7923.0</v>
      </c>
      <c r="B417" s="123" t="s">
        <v>230</v>
      </c>
      <c r="C417" s="123" t="s">
        <v>761</v>
      </c>
      <c r="D417" s="16" t="s">
        <v>80</v>
      </c>
      <c r="E417" s="123" t="s">
        <v>255</v>
      </c>
      <c r="F417" s="75">
        <v>2020.0</v>
      </c>
      <c r="G417" s="75">
        <v>2026.0</v>
      </c>
      <c r="H417" s="75">
        <v>0.0</v>
      </c>
      <c r="I417" s="75">
        <v>36.0</v>
      </c>
      <c r="J417" s="155"/>
      <c r="K417" s="123"/>
      <c r="L417" s="125" t="e">
        <v>#N/A</v>
      </c>
      <c r="M417" s="125" t="e">
        <v>#N/A</v>
      </c>
      <c r="N417" s="75">
        <v>32.0</v>
      </c>
      <c r="O417" s="75"/>
      <c r="P417" s="123" t="s">
        <v>60</v>
      </c>
      <c r="Q417" s="126">
        <v>26350.0</v>
      </c>
      <c r="R417" s="123" t="s">
        <v>234</v>
      </c>
      <c r="S417" s="75">
        <v>2019.0</v>
      </c>
      <c r="T417" s="136">
        <v>0.238</v>
      </c>
      <c r="U417" s="128">
        <f t="shared" si="102"/>
        <v>6271.3</v>
      </c>
      <c r="V417" s="24">
        <f t="shared" si="98"/>
        <v>174.2027778</v>
      </c>
      <c r="W417" s="3">
        <f t="shared" si="31"/>
        <v>0</v>
      </c>
      <c r="X417" s="3">
        <f t="shared" si="32"/>
        <v>0</v>
      </c>
      <c r="Y417" s="3">
        <f t="shared" si="33"/>
        <v>0</v>
      </c>
      <c r="Z417" s="25">
        <f t="shared" si="34"/>
        <v>0</v>
      </c>
      <c r="AA417" s="26">
        <f>VLOOKUP(S417,CPI!$A$2:$F$71,6,0)</f>
        <v>1.259947899</v>
      </c>
      <c r="AB417" s="27">
        <f t="shared" si="99"/>
        <v>7901.511259</v>
      </c>
      <c r="AC417" s="27">
        <f t="shared" si="100"/>
        <v>219.4864239</v>
      </c>
      <c r="AD417" s="123" t="s">
        <v>42</v>
      </c>
      <c r="AE417" s="129" t="s">
        <v>767</v>
      </c>
      <c r="AF417" s="29"/>
      <c r="AG417" s="30"/>
      <c r="AH417" s="30"/>
      <c r="AI417" s="30"/>
      <c r="AJ417" s="31"/>
      <c r="AK417" s="31"/>
      <c r="AL417" s="31"/>
      <c r="AM417" s="60"/>
      <c r="AN417" s="60"/>
      <c r="AO417" s="60"/>
      <c r="AP417" s="60"/>
      <c r="AQ417" s="6"/>
    </row>
    <row r="418" ht="15.75" customHeight="1">
      <c r="A418" s="7"/>
      <c r="B418" s="114" t="s">
        <v>230</v>
      </c>
      <c r="C418" s="114" t="s">
        <v>761</v>
      </c>
      <c r="D418" s="16" t="s">
        <v>768</v>
      </c>
      <c r="E418" s="115" t="s">
        <v>769</v>
      </c>
      <c r="F418" s="116">
        <v>2005.0</v>
      </c>
      <c r="G418" s="114"/>
      <c r="H418" s="116">
        <v>0.0</v>
      </c>
      <c r="I418" s="116">
        <v>55.07</v>
      </c>
      <c r="J418" s="117">
        <v>1.0</v>
      </c>
      <c r="K418" s="116">
        <v>55.07</v>
      </c>
      <c r="L418" s="114"/>
      <c r="M418" s="114"/>
      <c r="N418" s="116">
        <v>43.0</v>
      </c>
      <c r="O418" s="116">
        <v>117.0</v>
      </c>
      <c r="P418" s="114"/>
      <c r="Q418" s="140">
        <v>24685.0</v>
      </c>
      <c r="R418" s="114" t="s">
        <v>234</v>
      </c>
      <c r="S418" s="115">
        <v>2005.0</v>
      </c>
      <c r="T418" s="85">
        <v>0.352</v>
      </c>
      <c r="U418" s="118">
        <f t="shared" si="102"/>
        <v>8689.12</v>
      </c>
      <c r="V418" s="24">
        <f t="shared" si="98"/>
        <v>157.783185</v>
      </c>
      <c r="W418" s="3">
        <f t="shared" si="31"/>
        <v>0</v>
      </c>
      <c r="X418" s="3">
        <f t="shared" si="32"/>
        <v>0</v>
      </c>
      <c r="Y418" s="3">
        <f t="shared" si="33"/>
        <v>0</v>
      </c>
      <c r="Z418" s="25">
        <f t="shared" si="34"/>
        <v>0</v>
      </c>
      <c r="AA418" s="26">
        <f>VLOOKUP(S418,CPI!$A$2:$F$71,6,0)</f>
        <v>1.649331797</v>
      </c>
      <c r="AB418" s="27">
        <f t="shared" si="99"/>
        <v>14331.24191</v>
      </c>
      <c r="AC418" s="27">
        <f t="shared" si="100"/>
        <v>260.2368242</v>
      </c>
      <c r="AD418" s="114"/>
      <c r="AE418" s="119" t="s">
        <v>762</v>
      </c>
      <c r="AF418" s="114"/>
      <c r="AG418" s="114"/>
      <c r="AH418" s="114"/>
      <c r="AI418" s="114"/>
      <c r="AJ418" s="206"/>
      <c r="AK418" s="206"/>
      <c r="AL418" s="206"/>
      <c r="AM418" s="54"/>
      <c r="AN418" s="54"/>
      <c r="AO418" s="54"/>
      <c r="AP418" s="54"/>
      <c r="AQ418" s="54"/>
    </row>
    <row r="419" ht="15.75" customHeight="1">
      <c r="A419" s="170">
        <v>7938.0</v>
      </c>
      <c r="B419" s="123" t="s">
        <v>230</v>
      </c>
      <c r="C419" s="123" t="s">
        <v>761</v>
      </c>
      <c r="D419" s="16" t="s">
        <v>54</v>
      </c>
      <c r="E419" s="123" t="s">
        <v>770</v>
      </c>
      <c r="F419" s="123"/>
      <c r="G419" s="123"/>
      <c r="H419" s="75">
        <v>0.0</v>
      </c>
      <c r="I419" s="75">
        <v>14.3</v>
      </c>
      <c r="J419" s="155"/>
      <c r="K419" s="123"/>
      <c r="L419" s="125" t="e">
        <v>#N/A</v>
      </c>
      <c r="M419" s="125" t="e">
        <v>#N/A</v>
      </c>
      <c r="N419" s="75">
        <v>8.0</v>
      </c>
      <c r="O419" s="75"/>
      <c r="P419" s="123" t="s">
        <v>60</v>
      </c>
      <c r="Q419" s="126">
        <v>10170.0</v>
      </c>
      <c r="R419" s="123" t="s">
        <v>234</v>
      </c>
      <c r="S419" s="75">
        <v>2019.0</v>
      </c>
      <c r="T419" s="136">
        <v>0.238</v>
      </c>
      <c r="U419" s="128">
        <f t="shared" si="102"/>
        <v>2420.46</v>
      </c>
      <c r="V419" s="24">
        <f t="shared" si="98"/>
        <v>169.2629371</v>
      </c>
      <c r="W419" s="3">
        <f t="shared" si="31"/>
        <v>0</v>
      </c>
      <c r="X419" s="3">
        <f t="shared" si="32"/>
        <v>0</v>
      </c>
      <c r="Y419" s="3">
        <f t="shared" si="33"/>
        <v>0</v>
      </c>
      <c r="Z419" s="25">
        <f t="shared" si="34"/>
        <v>0</v>
      </c>
      <c r="AA419" s="26">
        <f>VLOOKUP(S419,CPI!$A$2:$F$71,6,0)</f>
        <v>1.259947899</v>
      </c>
      <c r="AB419" s="27">
        <f t="shared" si="99"/>
        <v>3049.653491</v>
      </c>
      <c r="AC419" s="27">
        <f t="shared" si="100"/>
        <v>213.2624819</v>
      </c>
      <c r="AD419" s="123" t="s">
        <v>42</v>
      </c>
      <c r="AE419" s="129" t="s">
        <v>767</v>
      </c>
      <c r="AF419" s="29"/>
      <c r="AG419" s="30"/>
      <c r="AH419" s="30"/>
      <c r="AI419" s="30"/>
      <c r="AJ419" s="31"/>
      <c r="AK419" s="31"/>
      <c r="AL419" s="31"/>
      <c r="AM419" s="31"/>
      <c r="AN419" s="31"/>
      <c r="AO419" s="31"/>
      <c r="AP419" s="31"/>
      <c r="AQ419" s="35"/>
    </row>
    <row r="420" ht="15.75" customHeight="1">
      <c r="A420" s="7"/>
      <c r="B420" s="114" t="s">
        <v>230</v>
      </c>
      <c r="C420" s="114" t="s">
        <v>771</v>
      </c>
      <c r="D420" s="16" t="s">
        <v>34</v>
      </c>
      <c r="E420" s="114" t="s">
        <v>772</v>
      </c>
      <c r="F420" s="116">
        <v>1998.0</v>
      </c>
      <c r="G420" s="116">
        <v>2004.0</v>
      </c>
      <c r="H420" s="116">
        <v>0.0</v>
      </c>
      <c r="I420" s="116">
        <v>21.446</v>
      </c>
      <c r="J420" s="117">
        <v>1.0</v>
      </c>
      <c r="K420" s="116">
        <v>21.446</v>
      </c>
      <c r="L420" s="114"/>
      <c r="M420" s="114"/>
      <c r="N420" s="116">
        <v>19.0</v>
      </c>
      <c r="O420" s="116">
        <v>138.0</v>
      </c>
      <c r="P420" s="114"/>
      <c r="Q420" s="140">
        <v>11500.0</v>
      </c>
      <c r="R420" s="114" t="s">
        <v>234</v>
      </c>
      <c r="S420" s="115">
        <v>2001.0</v>
      </c>
      <c r="T420" s="85">
        <v>0.368</v>
      </c>
      <c r="U420" s="118">
        <f t="shared" si="102"/>
        <v>4232</v>
      </c>
      <c r="V420" s="24">
        <f t="shared" si="98"/>
        <v>197.332836</v>
      </c>
      <c r="W420" s="3">
        <f t="shared" si="31"/>
        <v>0</v>
      </c>
      <c r="X420" s="3">
        <f t="shared" si="32"/>
        <v>0</v>
      </c>
      <c r="Y420" s="3">
        <f t="shared" si="33"/>
        <v>0</v>
      </c>
      <c r="Z420" s="25">
        <f t="shared" si="34"/>
        <v>0</v>
      </c>
      <c r="AA420" s="26">
        <f>VLOOKUP(S420,CPI!$A$2:$F$71,6,0)</f>
        <v>1.818828346</v>
      </c>
      <c r="AB420" s="27">
        <f t="shared" si="99"/>
        <v>7697.281558</v>
      </c>
      <c r="AC420" s="27">
        <f t="shared" si="100"/>
        <v>358.9145556</v>
      </c>
      <c r="AD420" s="114"/>
      <c r="AE420" s="161" t="s">
        <v>773</v>
      </c>
      <c r="AF420" s="114"/>
      <c r="AG420" s="114"/>
      <c r="AH420" s="114"/>
      <c r="AI420" s="114"/>
      <c r="AJ420" s="206"/>
      <c r="AK420" s="206"/>
      <c r="AL420" s="206"/>
      <c r="AM420" s="206"/>
      <c r="AN420" s="206"/>
      <c r="AO420" s="206"/>
      <c r="AP420" s="206"/>
      <c r="AQ420" s="206"/>
    </row>
    <row r="421" ht="15.75" customHeight="1">
      <c r="A421" s="14">
        <v>9483.0</v>
      </c>
      <c r="B421" s="22" t="s">
        <v>230</v>
      </c>
      <c r="C421" s="22" t="s">
        <v>771</v>
      </c>
      <c r="D421" s="36" t="s">
        <v>292</v>
      </c>
      <c r="E421" s="22" t="s">
        <v>622</v>
      </c>
      <c r="F421" s="22"/>
      <c r="G421" s="17">
        <v>2016.0</v>
      </c>
      <c r="H421" s="17">
        <v>0.0</v>
      </c>
      <c r="I421" s="17">
        <v>49.7</v>
      </c>
      <c r="J421" s="19">
        <f t="shared" ref="J421:J422" si="103">K421/I421</f>
        <v>0.676056338</v>
      </c>
      <c r="K421" s="17">
        <v>33.6</v>
      </c>
      <c r="L421" s="177">
        <v>11.635</v>
      </c>
      <c r="M421" s="177">
        <v>4.766</v>
      </c>
      <c r="N421" s="17">
        <v>11.0</v>
      </c>
      <c r="O421" s="176"/>
      <c r="P421" s="68" t="s">
        <v>60</v>
      </c>
      <c r="Q421" s="214"/>
      <c r="R421" s="22" t="s">
        <v>234</v>
      </c>
      <c r="S421" s="17">
        <v>2013.0</v>
      </c>
      <c r="T421" s="136">
        <v>0.273</v>
      </c>
      <c r="U421" s="118"/>
      <c r="V421" s="24"/>
      <c r="W421" s="3">
        <f t="shared" si="31"/>
        <v>0</v>
      </c>
      <c r="X421" s="3">
        <f t="shared" si="32"/>
        <v>0</v>
      </c>
      <c r="Y421" s="3">
        <f t="shared" si="33"/>
        <v>0</v>
      </c>
      <c r="Z421" s="25">
        <f t="shared" si="34"/>
        <v>0</v>
      </c>
      <c r="AA421" s="26">
        <f>VLOOKUP(S421,CPI!$A$2:$F$71,6,0)</f>
        <v>1.382720845</v>
      </c>
      <c r="AB421" s="27"/>
      <c r="AC421" s="27"/>
      <c r="AD421" s="26" t="s">
        <v>60</v>
      </c>
      <c r="AE421" s="129" t="s">
        <v>774</v>
      </c>
      <c r="AF421" s="178"/>
      <c r="AG421" s="172"/>
      <c r="AH421" s="172"/>
      <c r="AI421" s="172"/>
      <c r="AJ421" s="32"/>
      <c r="AK421" s="32"/>
      <c r="AL421" s="32"/>
      <c r="AM421" s="31"/>
      <c r="AN421" s="31"/>
      <c r="AO421" s="31"/>
      <c r="AP421" s="31"/>
      <c r="AQ421" s="35"/>
    </row>
    <row r="422" ht="15.75" customHeight="1">
      <c r="A422" s="14">
        <v>9477.0</v>
      </c>
      <c r="B422" s="22" t="s">
        <v>230</v>
      </c>
      <c r="C422" s="22" t="s">
        <v>771</v>
      </c>
      <c r="D422" s="36" t="s">
        <v>228</v>
      </c>
      <c r="E422" s="22" t="s">
        <v>228</v>
      </c>
      <c r="F422" s="22"/>
      <c r="G422" s="17">
        <v>2016.0</v>
      </c>
      <c r="H422" s="17">
        <v>0.0</v>
      </c>
      <c r="I422" s="17">
        <v>30.2</v>
      </c>
      <c r="J422" s="19">
        <f t="shared" si="103"/>
        <v>1</v>
      </c>
      <c r="K422" s="17">
        <v>30.2</v>
      </c>
      <c r="L422" s="177">
        <v>0.0</v>
      </c>
      <c r="M422" s="177">
        <v>0.0</v>
      </c>
      <c r="N422" s="17">
        <v>28.0</v>
      </c>
      <c r="O422" s="176"/>
      <c r="P422" s="68" t="s">
        <v>60</v>
      </c>
      <c r="Q422" s="23">
        <v>26876.0</v>
      </c>
      <c r="R422" s="22" t="s">
        <v>234</v>
      </c>
      <c r="S422" s="17">
        <v>2013.0</v>
      </c>
      <c r="T422" s="136">
        <v>0.273</v>
      </c>
      <c r="U422" s="118">
        <f t="shared" ref="U422:U425" si="104">Q422*T422</f>
        <v>7337.148</v>
      </c>
      <c r="V422" s="24">
        <f t="shared" ref="V422:V425" si="105">U422/I422</f>
        <v>242.9519205</v>
      </c>
      <c r="W422" s="3">
        <f t="shared" si="31"/>
        <v>0</v>
      </c>
      <c r="X422" s="3">
        <f t="shared" si="32"/>
        <v>0</v>
      </c>
      <c r="Y422" s="3">
        <f t="shared" si="33"/>
        <v>0</v>
      </c>
      <c r="Z422" s="25">
        <f t="shared" si="34"/>
        <v>0</v>
      </c>
      <c r="AA422" s="26">
        <f>VLOOKUP(S422,CPI!$A$2:$F$71,6,0)</f>
        <v>1.382720845</v>
      </c>
      <c r="AB422" s="27">
        <f t="shared" ref="AB422:AB425" si="106">U422*AA422</f>
        <v>10145.22749</v>
      </c>
      <c r="AC422" s="27">
        <f t="shared" ref="AC422:AC425" si="107">V422*AA422</f>
        <v>335.934685</v>
      </c>
      <c r="AD422" s="26" t="s">
        <v>60</v>
      </c>
      <c r="AE422" s="129" t="s">
        <v>774</v>
      </c>
      <c r="AF422" s="130"/>
      <c r="AG422" s="130"/>
      <c r="AH422" s="130"/>
      <c r="AI422" s="130"/>
      <c r="AJ422" s="33"/>
      <c r="AK422" s="33"/>
      <c r="AL422" s="33"/>
      <c r="AM422" s="54"/>
      <c r="AN422" s="54"/>
      <c r="AO422" s="54"/>
      <c r="AP422" s="54"/>
      <c r="AQ422" s="54"/>
    </row>
    <row r="423" ht="15.75" customHeight="1">
      <c r="A423" s="7"/>
      <c r="B423" s="114" t="s">
        <v>230</v>
      </c>
      <c r="C423" s="114" t="s">
        <v>771</v>
      </c>
      <c r="D423" s="115" t="s">
        <v>87</v>
      </c>
      <c r="E423" s="115" t="s">
        <v>775</v>
      </c>
      <c r="F423" s="116">
        <v>2011.0</v>
      </c>
      <c r="G423" s="116">
        <v>2020.0</v>
      </c>
      <c r="H423" s="116">
        <v>0.0</v>
      </c>
      <c r="I423" s="116">
        <v>9.4</v>
      </c>
      <c r="J423" s="117">
        <v>0.0</v>
      </c>
      <c r="K423" s="116">
        <v>0.0</v>
      </c>
      <c r="L423" s="114"/>
      <c r="M423" s="114"/>
      <c r="N423" s="116">
        <v>7.0</v>
      </c>
      <c r="O423" s="116">
        <v>117.0</v>
      </c>
      <c r="P423" s="114"/>
      <c r="Q423" s="140">
        <v>6800.0</v>
      </c>
      <c r="R423" s="114" t="s">
        <v>234</v>
      </c>
      <c r="S423" s="115">
        <v>2016.0</v>
      </c>
      <c r="T423" s="85">
        <v>0.251</v>
      </c>
      <c r="U423" s="118">
        <f t="shared" si="104"/>
        <v>1706.8</v>
      </c>
      <c r="V423" s="24">
        <f t="shared" si="105"/>
        <v>181.5744681</v>
      </c>
      <c r="W423" s="3">
        <f t="shared" si="31"/>
        <v>0</v>
      </c>
      <c r="X423" s="3">
        <f t="shared" si="32"/>
        <v>0</v>
      </c>
      <c r="Y423" s="3">
        <f t="shared" si="33"/>
        <v>0</v>
      </c>
      <c r="Z423" s="25">
        <f t="shared" si="34"/>
        <v>0</v>
      </c>
      <c r="AA423" s="26">
        <f>VLOOKUP(S423,CPI!$A$2:$F$71,6,0)</f>
        <v>1.342104605</v>
      </c>
      <c r="AB423" s="27">
        <f t="shared" si="106"/>
        <v>2290.70414</v>
      </c>
      <c r="AC423" s="27">
        <f t="shared" si="107"/>
        <v>243.6919298</v>
      </c>
      <c r="AD423" s="114"/>
      <c r="AE423" s="161" t="s">
        <v>776</v>
      </c>
      <c r="AF423" s="164"/>
      <c r="AG423" s="165"/>
      <c r="AH423" s="165"/>
      <c r="AI423" s="165"/>
      <c r="AJ423" s="166"/>
      <c r="AK423" s="166"/>
      <c r="AL423" s="166"/>
      <c r="AM423" s="31"/>
      <c r="AN423" s="31"/>
      <c r="AO423" s="31"/>
      <c r="AP423" s="31"/>
      <c r="AQ423" s="35"/>
    </row>
    <row r="424" ht="15.75" customHeight="1">
      <c r="A424" s="7"/>
      <c r="B424" s="114" t="s">
        <v>230</v>
      </c>
      <c r="C424" s="114" t="s">
        <v>771</v>
      </c>
      <c r="D424" s="114" t="s">
        <v>239</v>
      </c>
      <c r="E424" s="114" t="s">
        <v>239</v>
      </c>
      <c r="F424" s="116">
        <v>2015.0</v>
      </c>
      <c r="G424" s="116">
        <v>2020.0</v>
      </c>
      <c r="H424" s="116">
        <v>0.0</v>
      </c>
      <c r="I424" s="116">
        <v>29.54</v>
      </c>
      <c r="J424" s="117">
        <v>1.0</v>
      </c>
      <c r="K424" s="116">
        <v>29.54</v>
      </c>
      <c r="L424" s="114"/>
      <c r="M424" s="114"/>
      <c r="N424" s="116">
        <v>24.0</v>
      </c>
      <c r="O424" s="116">
        <v>184.0</v>
      </c>
      <c r="P424" s="114"/>
      <c r="Q424" s="140">
        <v>28799.0</v>
      </c>
      <c r="R424" s="114" t="s">
        <v>234</v>
      </c>
      <c r="S424" s="115">
        <v>2018.0</v>
      </c>
      <c r="T424" s="85">
        <v>0.237</v>
      </c>
      <c r="U424" s="118">
        <f t="shared" si="104"/>
        <v>6825.363</v>
      </c>
      <c r="V424" s="24">
        <f t="shared" si="105"/>
        <v>231.0549425</v>
      </c>
      <c r="W424" s="3">
        <f t="shared" si="31"/>
        <v>0</v>
      </c>
      <c r="X424" s="3">
        <f t="shared" si="32"/>
        <v>0</v>
      </c>
      <c r="Y424" s="3">
        <f t="shared" si="33"/>
        <v>0</v>
      </c>
      <c r="Z424" s="25">
        <f t="shared" si="34"/>
        <v>0</v>
      </c>
      <c r="AA424" s="26">
        <f>VLOOKUP(S424,CPI!$A$2:$F$71,6,0)</f>
        <v>1.28277786</v>
      </c>
      <c r="AB424" s="27">
        <f t="shared" si="106"/>
        <v>8755.42454</v>
      </c>
      <c r="AC424" s="27">
        <f t="shared" si="107"/>
        <v>296.3921645</v>
      </c>
      <c r="AD424" s="114"/>
      <c r="AE424" s="119" t="s">
        <v>777</v>
      </c>
      <c r="AF424" s="164"/>
      <c r="AG424" s="165"/>
      <c r="AH424" s="165"/>
      <c r="AI424" s="165"/>
      <c r="AJ424" s="166"/>
      <c r="AK424" s="166"/>
      <c r="AL424" s="166"/>
      <c r="AM424" s="60"/>
      <c r="AN424" s="60"/>
      <c r="AO424" s="60"/>
      <c r="AP424" s="60"/>
      <c r="AQ424" s="6"/>
    </row>
    <row r="425" ht="15.75" customHeight="1">
      <c r="A425" s="38">
        <v>7706.0</v>
      </c>
      <c r="B425" s="130" t="s">
        <v>230</v>
      </c>
      <c r="C425" s="130" t="s">
        <v>771</v>
      </c>
      <c r="D425" s="36" t="s">
        <v>80</v>
      </c>
      <c r="E425" s="130" t="s">
        <v>255</v>
      </c>
      <c r="F425" s="130">
        <v>2015.0</v>
      </c>
      <c r="G425" s="130">
        <v>2020.0</v>
      </c>
      <c r="H425" s="130">
        <v>0.0</v>
      </c>
      <c r="I425" s="130">
        <v>37.626</v>
      </c>
      <c r="J425" s="131">
        <v>0.345771541</v>
      </c>
      <c r="K425" s="130">
        <v>13.01</v>
      </c>
      <c r="L425" s="132">
        <v>24.8358</v>
      </c>
      <c r="M425" s="132">
        <v>0.0</v>
      </c>
      <c r="N425" s="130">
        <v>20.0</v>
      </c>
      <c r="O425" s="133">
        <v>138.0</v>
      </c>
      <c r="P425" s="130" t="s">
        <v>60</v>
      </c>
      <c r="Q425" s="135">
        <f>16.8*10^3</f>
        <v>16800</v>
      </c>
      <c r="R425" s="130" t="s">
        <v>234</v>
      </c>
      <c r="S425" s="130">
        <v>2017.0</v>
      </c>
      <c r="T425" s="136">
        <v>0.239</v>
      </c>
      <c r="U425" s="128">
        <f t="shared" si="104"/>
        <v>4015.2</v>
      </c>
      <c r="V425" s="24">
        <f t="shared" si="105"/>
        <v>106.7134428</v>
      </c>
      <c r="W425" s="3">
        <f t="shared" si="31"/>
        <v>0</v>
      </c>
      <c r="X425" s="3">
        <f t="shared" si="32"/>
        <v>0</v>
      </c>
      <c r="Y425" s="3">
        <f t="shared" si="33"/>
        <v>0</v>
      </c>
      <c r="Z425" s="25">
        <f t="shared" si="34"/>
        <v>0</v>
      </c>
      <c r="AA425" s="26">
        <f>VLOOKUP(S425,CPI!$A$2:$F$71,6,0)</f>
        <v>1.314109416</v>
      </c>
      <c r="AB425" s="27">
        <f t="shared" si="106"/>
        <v>5276.412126</v>
      </c>
      <c r="AC425" s="27">
        <f t="shared" si="107"/>
        <v>140.23314</v>
      </c>
      <c r="AD425" s="130" t="s">
        <v>60</v>
      </c>
      <c r="AE425" s="137" t="s">
        <v>778</v>
      </c>
      <c r="AF425" s="179"/>
      <c r="AG425" s="174"/>
      <c r="AH425" s="174"/>
      <c r="AI425" s="174"/>
      <c r="AJ425" s="175"/>
      <c r="AK425" s="175"/>
      <c r="AL425" s="175"/>
      <c r="AM425" s="31"/>
      <c r="AN425" s="31"/>
      <c r="AO425" s="31"/>
      <c r="AP425" s="31"/>
      <c r="AQ425" s="35"/>
    </row>
    <row r="426" ht="15.75" customHeight="1">
      <c r="A426" s="14">
        <v>9484.0</v>
      </c>
      <c r="B426" s="22" t="s">
        <v>230</v>
      </c>
      <c r="C426" s="22" t="s">
        <v>771</v>
      </c>
      <c r="D426" s="36" t="s">
        <v>243</v>
      </c>
      <c r="E426" s="22" t="s">
        <v>379</v>
      </c>
      <c r="F426" s="17">
        <v>2015.0</v>
      </c>
      <c r="G426" s="17">
        <v>2020.0</v>
      </c>
      <c r="H426" s="17">
        <v>0.0</v>
      </c>
      <c r="I426" s="17">
        <v>12.341</v>
      </c>
      <c r="J426" s="19">
        <f>K426/I426</f>
        <v>1</v>
      </c>
      <c r="K426" s="17">
        <f>I426</f>
        <v>12.341</v>
      </c>
      <c r="L426" s="177">
        <v>0.0</v>
      </c>
      <c r="M426" s="177">
        <v>0.0</v>
      </c>
      <c r="N426" s="17">
        <v>6.0</v>
      </c>
      <c r="O426" s="176"/>
      <c r="P426" s="68" t="s">
        <v>60</v>
      </c>
      <c r="Q426" s="214"/>
      <c r="R426" s="22" t="s">
        <v>234</v>
      </c>
      <c r="S426" s="130">
        <v>2019.0</v>
      </c>
      <c r="T426" s="136">
        <v>0.238</v>
      </c>
      <c r="U426" s="118"/>
      <c r="V426" s="24"/>
      <c r="W426" s="3">
        <f t="shared" si="31"/>
        <v>0</v>
      </c>
      <c r="X426" s="3">
        <f t="shared" si="32"/>
        <v>0</v>
      </c>
      <c r="Y426" s="3">
        <f t="shared" si="33"/>
        <v>0</v>
      </c>
      <c r="Z426" s="25">
        <f t="shared" si="34"/>
        <v>0</v>
      </c>
      <c r="AA426" s="26">
        <f>VLOOKUP(S426,CPI!$A$2:$F$71,6,0)</f>
        <v>1.259947899</v>
      </c>
      <c r="AB426" s="27"/>
      <c r="AC426" s="27"/>
      <c r="AD426" s="26" t="s">
        <v>60</v>
      </c>
      <c r="AE426" s="129" t="s">
        <v>774</v>
      </c>
      <c r="AF426" s="130"/>
      <c r="AG426" s="130"/>
      <c r="AH426" s="130"/>
      <c r="AI426" s="130"/>
      <c r="AJ426" s="33"/>
      <c r="AK426" s="33"/>
      <c r="AL426" s="33"/>
      <c r="AM426" s="54"/>
      <c r="AN426" s="54"/>
      <c r="AO426" s="54"/>
      <c r="AP426" s="54"/>
      <c r="AQ426" s="54"/>
    </row>
    <row r="427" ht="15.75" customHeight="1">
      <c r="A427" s="170">
        <v>7784.0</v>
      </c>
      <c r="B427" s="123" t="s">
        <v>230</v>
      </c>
      <c r="C427" s="123" t="s">
        <v>771</v>
      </c>
      <c r="D427" s="36" t="s">
        <v>287</v>
      </c>
      <c r="E427" s="123" t="s">
        <v>287</v>
      </c>
      <c r="F427" s="75">
        <v>2017.0</v>
      </c>
      <c r="G427" s="75">
        <v>2022.0</v>
      </c>
      <c r="H427" s="75">
        <v>0.0</v>
      </c>
      <c r="I427" s="75">
        <v>40.0</v>
      </c>
      <c r="J427" s="124">
        <v>1.0</v>
      </c>
      <c r="K427" s="75">
        <v>40.0</v>
      </c>
      <c r="L427" s="125">
        <v>0.0</v>
      </c>
      <c r="M427" s="125">
        <v>0.0</v>
      </c>
      <c r="N427" s="75">
        <v>33.0</v>
      </c>
      <c r="O427" s="75"/>
      <c r="P427" s="123" t="s">
        <v>60</v>
      </c>
      <c r="Q427" s="126">
        <v>38140.0</v>
      </c>
      <c r="R427" s="123" t="s">
        <v>234</v>
      </c>
      <c r="S427" s="75">
        <v>2017.0</v>
      </c>
      <c r="T427" s="136">
        <v>0.239</v>
      </c>
      <c r="U427" s="128">
        <f t="shared" ref="U427:U461" si="108">Q427*T427</f>
        <v>9115.46</v>
      </c>
      <c r="V427" s="24">
        <f t="shared" ref="V427:V483" si="109">U427/I427</f>
        <v>227.8865</v>
      </c>
      <c r="W427" s="3">
        <f t="shared" si="31"/>
        <v>0</v>
      </c>
      <c r="X427" s="3">
        <f t="shared" si="32"/>
        <v>0</v>
      </c>
      <c r="Y427" s="3">
        <f t="shared" si="33"/>
        <v>0</v>
      </c>
      <c r="Z427" s="25">
        <f t="shared" si="34"/>
        <v>0</v>
      </c>
      <c r="AA427" s="26">
        <f>VLOOKUP(S427,CPI!$A$2:$F$71,6,0)</f>
        <v>1.314109416</v>
      </c>
      <c r="AB427" s="27">
        <f t="shared" ref="AB427:AB483" si="110">U427*AA427</f>
        <v>11978.71182</v>
      </c>
      <c r="AC427" s="27">
        <f t="shared" ref="AC427:AC483" si="111">V427*AA427</f>
        <v>299.4677954</v>
      </c>
      <c r="AD427" s="123" t="s">
        <v>60</v>
      </c>
      <c r="AE427" s="129" t="s">
        <v>778</v>
      </c>
      <c r="AF427" s="29"/>
      <c r="AG427" s="30"/>
      <c r="AH427" s="30"/>
      <c r="AI427" s="30"/>
      <c r="AJ427" s="31"/>
      <c r="AK427" s="31"/>
      <c r="AL427" s="31"/>
      <c r="AM427" s="31"/>
      <c r="AN427" s="31"/>
      <c r="AO427" s="31"/>
      <c r="AP427" s="31"/>
      <c r="AQ427" s="35"/>
    </row>
    <row r="428" ht="15.75" customHeight="1">
      <c r="A428" s="38">
        <v>7707.0</v>
      </c>
      <c r="B428" s="123" t="s">
        <v>230</v>
      </c>
      <c r="C428" s="123" t="s">
        <v>771</v>
      </c>
      <c r="D428" s="36" t="s">
        <v>80</v>
      </c>
      <c r="E428" s="123" t="s">
        <v>779</v>
      </c>
      <c r="F428" s="75">
        <v>2018.0</v>
      </c>
      <c r="G428" s="75">
        <v>2022.0</v>
      </c>
      <c r="H428" s="75">
        <v>0.0</v>
      </c>
      <c r="I428" s="75">
        <v>6.13</v>
      </c>
      <c r="J428" s="124">
        <f>K428/I428</f>
        <v>0.8654159869</v>
      </c>
      <c r="K428" s="75">
        <v>5.305</v>
      </c>
      <c r="L428" s="125">
        <v>0.0</v>
      </c>
      <c r="M428" s="125">
        <v>0.0</v>
      </c>
      <c r="N428" s="75">
        <v>4.0</v>
      </c>
      <c r="O428" s="75"/>
      <c r="P428" s="123" t="s">
        <v>42</v>
      </c>
      <c r="Q428" s="126">
        <v>3795.0</v>
      </c>
      <c r="R428" s="123" t="s">
        <v>234</v>
      </c>
      <c r="S428" s="75">
        <v>2018.0</v>
      </c>
      <c r="T428" s="136">
        <v>0.237</v>
      </c>
      <c r="U428" s="215">
        <f t="shared" si="108"/>
        <v>899.415</v>
      </c>
      <c r="V428" s="24">
        <f t="shared" si="109"/>
        <v>146.723491</v>
      </c>
      <c r="W428" s="3">
        <f t="shared" si="31"/>
        <v>0</v>
      </c>
      <c r="X428" s="3">
        <f t="shared" si="32"/>
        <v>0</v>
      </c>
      <c r="Y428" s="3">
        <f t="shared" si="33"/>
        <v>0</v>
      </c>
      <c r="Z428" s="25">
        <f t="shared" si="34"/>
        <v>0</v>
      </c>
      <c r="AA428" s="26">
        <f>VLOOKUP(S428,CPI!$A$2:$F$71,6,0)</f>
        <v>1.28277786</v>
      </c>
      <c r="AB428" s="27">
        <f t="shared" si="110"/>
        <v>1153.749649</v>
      </c>
      <c r="AC428" s="27">
        <f t="shared" si="111"/>
        <v>188.2136458</v>
      </c>
      <c r="AD428" s="130" t="s">
        <v>60</v>
      </c>
      <c r="AE428" s="216" t="s">
        <v>780</v>
      </c>
      <c r="AF428" s="34"/>
      <c r="AG428" s="34"/>
      <c r="AH428" s="34"/>
      <c r="AI428" s="34"/>
      <c r="AJ428" s="35"/>
      <c r="AK428" s="35"/>
      <c r="AL428" s="35"/>
      <c r="AM428" s="54"/>
      <c r="AN428" s="54"/>
      <c r="AO428" s="54"/>
      <c r="AP428" s="54"/>
      <c r="AQ428" s="54"/>
    </row>
    <row r="429" ht="15.75" customHeight="1">
      <c r="A429" s="38">
        <v>7713.0</v>
      </c>
      <c r="B429" s="72" t="s">
        <v>230</v>
      </c>
      <c r="C429" s="72" t="s">
        <v>771</v>
      </c>
      <c r="D429" s="115" t="s">
        <v>287</v>
      </c>
      <c r="E429" s="115" t="s">
        <v>781</v>
      </c>
      <c r="F429" s="70">
        <v>2020.0</v>
      </c>
      <c r="G429" s="69">
        <v>2022.0</v>
      </c>
      <c r="H429" s="69">
        <v>0.0</v>
      </c>
      <c r="I429" s="69">
        <v>8.05</v>
      </c>
      <c r="J429" s="117">
        <v>1.0</v>
      </c>
      <c r="K429" s="69">
        <v>8.05</v>
      </c>
      <c r="L429" s="72"/>
      <c r="M429" s="72"/>
      <c r="N429" s="69">
        <v>6.0</v>
      </c>
      <c r="O429" s="69">
        <v>138.0</v>
      </c>
      <c r="P429" s="72"/>
      <c r="Q429" s="140">
        <v>9094.0</v>
      </c>
      <c r="R429" s="72" t="s">
        <v>234</v>
      </c>
      <c r="S429" s="115">
        <v>2021.0</v>
      </c>
      <c r="T429" s="136">
        <v>0.239</v>
      </c>
      <c r="U429" s="118">
        <f t="shared" si="108"/>
        <v>2173.466</v>
      </c>
      <c r="V429" s="24">
        <f t="shared" si="109"/>
        <v>269.9957764</v>
      </c>
      <c r="W429" s="3">
        <f t="shared" si="31"/>
        <v>0</v>
      </c>
      <c r="X429" s="3">
        <f t="shared" si="32"/>
        <v>0</v>
      </c>
      <c r="Y429" s="3">
        <f t="shared" si="33"/>
        <v>0</v>
      </c>
      <c r="Z429" s="25">
        <f t="shared" si="34"/>
        <v>0</v>
      </c>
      <c r="AA429" s="26">
        <f>VLOOKUP(S429,CPI!$A$2:$F$71,6,0)</f>
        <v>1.188745987</v>
      </c>
      <c r="AB429" s="27">
        <f t="shared" si="110"/>
        <v>2583.698985</v>
      </c>
      <c r="AC429" s="27">
        <f t="shared" si="111"/>
        <v>320.9563956</v>
      </c>
      <c r="AD429" s="72"/>
      <c r="AE429" s="217" t="s">
        <v>782</v>
      </c>
      <c r="AF429" s="72"/>
      <c r="AG429" s="72"/>
      <c r="AH429" s="123"/>
      <c r="AI429" s="72"/>
      <c r="AJ429" s="54"/>
      <c r="AK429" s="54"/>
      <c r="AL429" s="54"/>
      <c r="AM429" s="206"/>
      <c r="AN429" s="206"/>
      <c r="AO429" s="206"/>
      <c r="AP429" s="206"/>
      <c r="AQ429" s="206"/>
    </row>
    <row r="430" ht="15.75" customHeight="1">
      <c r="A430" s="7"/>
      <c r="B430" s="114" t="s">
        <v>230</v>
      </c>
      <c r="C430" s="114" t="s">
        <v>771</v>
      </c>
      <c r="D430" s="115" t="s">
        <v>87</v>
      </c>
      <c r="E430" s="115" t="s">
        <v>783</v>
      </c>
      <c r="F430" s="116">
        <v>2020.0</v>
      </c>
      <c r="G430" s="116">
        <v>2022.0</v>
      </c>
      <c r="H430" s="116">
        <v>0.0</v>
      </c>
      <c r="I430" s="116">
        <v>9.35</v>
      </c>
      <c r="J430" s="117">
        <v>0.79</v>
      </c>
      <c r="K430" s="116">
        <v>7.42</v>
      </c>
      <c r="L430" s="114"/>
      <c r="M430" s="114"/>
      <c r="N430" s="116">
        <v>7.0</v>
      </c>
      <c r="O430" s="116">
        <v>117.0</v>
      </c>
      <c r="P430" s="114"/>
      <c r="Q430" s="140">
        <v>10785.0</v>
      </c>
      <c r="R430" s="114" t="s">
        <v>234</v>
      </c>
      <c r="S430" s="115">
        <v>2020.0</v>
      </c>
      <c r="T430" s="136">
        <v>0.239</v>
      </c>
      <c r="U430" s="118">
        <f t="shared" si="108"/>
        <v>2577.615</v>
      </c>
      <c r="V430" s="24">
        <f t="shared" si="109"/>
        <v>275.6807487</v>
      </c>
      <c r="W430" s="3">
        <f t="shared" si="31"/>
        <v>0</v>
      </c>
      <c r="X430" s="3">
        <f t="shared" si="32"/>
        <v>0</v>
      </c>
      <c r="Y430" s="3">
        <f t="shared" si="33"/>
        <v>0</v>
      </c>
      <c r="Z430" s="25">
        <f t="shared" si="34"/>
        <v>0</v>
      </c>
      <c r="AA430" s="26">
        <f>VLOOKUP(S430,CPI!$A$2:$F$71,6,0)</f>
        <v>1.244593545</v>
      </c>
      <c r="AB430" s="27">
        <f t="shared" si="110"/>
        <v>3208.082991</v>
      </c>
      <c r="AC430" s="27">
        <f t="shared" si="111"/>
        <v>343.1104803</v>
      </c>
      <c r="AD430" s="114"/>
      <c r="AE430" s="119" t="s">
        <v>784</v>
      </c>
      <c r="AF430" s="114"/>
      <c r="AG430" s="114"/>
      <c r="AH430" s="114"/>
      <c r="AI430" s="114"/>
      <c r="AJ430" s="206"/>
      <c r="AK430" s="206"/>
      <c r="AL430" s="206"/>
      <c r="AM430" s="54"/>
      <c r="AN430" s="54"/>
      <c r="AO430" s="54"/>
      <c r="AP430" s="54"/>
      <c r="AQ430" s="54"/>
    </row>
    <row r="431" ht="15.75" customHeight="1">
      <c r="A431" s="38">
        <v>7712.0</v>
      </c>
      <c r="B431" s="123" t="s">
        <v>230</v>
      </c>
      <c r="C431" s="123" t="s">
        <v>771</v>
      </c>
      <c r="D431" s="36" t="s">
        <v>87</v>
      </c>
      <c r="E431" s="123" t="s">
        <v>785</v>
      </c>
      <c r="F431" s="218"/>
      <c r="G431" s="75">
        <v>2022.0</v>
      </c>
      <c r="H431" s="75">
        <v>0.0</v>
      </c>
      <c r="I431" s="75">
        <v>9.35</v>
      </c>
      <c r="J431" s="124">
        <v>0.7935828877</v>
      </c>
      <c r="K431" s="75">
        <v>7.42</v>
      </c>
      <c r="L431" s="125">
        <v>0.0</v>
      </c>
      <c r="M431" s="125">
        <v>0.0</v>
      </c>
      <c r="N431" s="75">
        <v>7.0</v>
      </c>
      <c r="O431" s="75"/>
      <c r="P431" s="123" t="s">
        <v>60</v>
      </c>
      <c r="Q431" s="126">
        <f>10.785*10^3</f>
        <v>10785</v>
      </c>
      <c r="R431" s="123" t="s">
        <v>234</v>
      </c>
      <c r="S431" s="75">
        <v>2020.0</v>
      </c>
      <c r="T431" s="136">
        <v>0.239</v>
      </c>
      <c r="U431" s="215">
        <f t="shared" si="108"/>
        <v>2577.615</v>
      </c>
      <c r="V431" s="24">
        <f t="shared" si="109"/>
        <v>275.6807487</v>
      </c>
      <c r="W431" s="3">
        <f t="shared" si="31"/>
        <v>0</v>
      </c>
      <c r="X431" s="3">
        <f t="shared" si="32"/>
        <v>0</v>
      </c>
      <c r="Y431" s="3">
        <f t="shared" si="33"/>
        <v>0</v>
      </c>
      <c r="Z431" s="25">
        <f t="shared" si="34"/>
        <v>0</v>
      </c>
      <c r="AA431" s="26">
        <f>VLOOKUP(S431,CPI!$A$2:$F$71,6,0)</f>
        <v>1.244593545</v>
      </c>
      <c r="AB431" s="27">
        <f t="shared" si="110"/>
        <v>3208.082991</v>
      </c>
      <c r="AC431" s="27">
        <f t="shared" si="111"/>
        <v>343.1104803</v>
      </c>
      <c r="AD431" s="123" t="s">
        <v>60</v>
      </c>
      <c r="AE431" s="129" t="s">
        <v>778</v>
      </c>
      <c r="AF431" s="29"/>
      <c r="AG431" s="30"/>
      <c r="AH431" s="30"/>
      <c r="AI431" s="30"/>
      <c r="AJ431" s="31"/>
      <c r="AK431" s="31"/>
      <c r="AL431" s="31"/>
      <c r="AM431" s="181"/>
      <c r="AN431" s="181"/>
      <c r="AO431" s="181"/>
      <c r="AP431" s="181"/>
      <c r="AQ431" s="207"/>
    </row>
    <row r="432" ht="15.75" customHeight="1">
      <c r="A432" s="203">
        <v>7810.0</v>
      </c>
      <c r="B432" s="123" t="s">
        <v>230</v>
      </c>
      <c r="C432" s="123" t="s">
        <v>771</v>
      </c>
      <c r="D432" s="36" t="s">
        <v>283</v>
      </c>
      <c r="E432" s="123" t="s">
        <v>283</v>
      </c>
      <c r="F432" s="75">
        <v>2018.0</v>
      </c>
      <c r="G432" s="75">
        <v>2023.0</v>
      </c>
      <c r="H432" s="75">
        <v>0.0</v>
      </c>
      <c r="I432" s="75">
        <v>27.6</v>
      </c>
      <c r="J432" s="124">
        <v>1.0</v>
      </c>
      <c r="K432" s="75">
        <v>27.6</v>
      </c>
      <c r="L432" s="125">
        <v>0.0</v>
      </c>
      <c r="M432" s="125">
        <v>0.0</v>
      </c>
      <c r="N432" s="75">
        <v>24.0</v>
      </c>
      <c r="O432" s="75"/>
      <c r="P432" s="123" t="s">
        <v>42</v>
      </c>
      <c r="Q432" s="126">
        <v>27530.0</v>
      </c>
      <c r="R432" s="123" t="s">
        <v>234</v>
      </c>
      <c r="S432" s="75">
        <v>2017.0</v>
      </c>
      <c r="T432" s="136">
        <v>0.239</v>
      </c>
      <c r="U432" s="128">
        <f t="shared" si="108"/>
        <v>6579.67</v>
      </c>
      <c r="V432" s="24">
        <f t="shared" si="109"/>
        <v>238.3938406</v>
      </c>
      <c r="W432" s="3">
        <f t="shared" si="31"/>
        <v>0</v>
      </c>
      <c r="X432" s="3">
        <f t="shared" si="32"/>
        <v>0</v>
      </c>
      <c r="Y432" s="3">
        <f t="shared" si="33"/>
        <v>0</v>
      </c>
      <c r="Z432" s="25">
        <f t="shared" si="34"/>
        <v>0</v>
      </c>
      <c r="AA432" s="26">
        <f>VLOOKUP(S432,CPI!$A$2:$F$71,6,0)</f>
        <v>1.314109416</v>
      </c>
      <c r="AB432" s="27">
        <f t="shared" si="110"/>
        <v>8646.4063</v>
      </c>
      <c r="AC432" s="27">
        <f t="shared" si="111"/>
        <v>313.2755906</v>
      </c>
      <c r="AD432" s="123" t="s">
        <v>60</v>
      </c>
      <c r="AE432" s="129" t="s">
        <v>778</v>
      </c>
      <c r="AF432" s="29"/>
      <c r="AG432" s="30"/>
      <c r="AH432" s="30"/>
      <c r="AI432" s="30"/>
      <c r="AJ432" s="31"/>
      <c r="AK432" s="31"/>
      <c r="AL432" s="31"/>
      <c r="AM432" s="31"/>
      <c r="AN432" s="31"/>
      <c r="AO432" s="31"/>
      <c r="AP432" s="31"/>
      <c r="AQ432" s="35"/>
    </row>
    <row r="433" ht="15.75" customHeight="1">
      <c r="A433" s="14">
        <v>9485.0</v>
      </c>
      <c r="B433" s="72" t="s">
        <v>230</v>
      </c>
      <c r="C433" s="72" t="s">
        <v>771</v>
      </c>
      <c r="D433" s="115" t="s">
        <v>243</v>
      </c>
      <c r="E433" s="115" t="s">
        <v>373</v>
      </c>
      <c r="F433" s="69">
        <v>2019.0</v>
      </c>
      <c r="G433" s="69">
        <v>2024.0</v>
      </c>
      <c r="H433" s="69">
        <v>0.0</v>
      </c>
      <c r="I433" s="69">
        <v>8.023</v>
      </c>
      <c r="J433" s="117">
        <v>1.0</v>
      </c>
      <c r="K433" s="69">
        <v>8.023</v>
      </c>
      <c r="L433" s="72"/>
      <c r="M433" s="72"/>
      <c r="N433" s="69">
        <v>4.0</v>
      </c>
      <c r="O433" s="70">
        <v>138.0</v>
      </c>
      <c r="P433" s="74"/>
      <c r="Q433" s="140">
        <v>6316.0</v>
      </c>
      <c r="R433" s="72" t="s">
        <v>234</v>
      </c>
      <c r="S433" s="115">
        <v>2021.0</v>
      </c>
      <c r="T433" s="136">
        <v>0.239</v>
      </c>
      <c r="U433" s="118">
        <f t="shared" si="108"/>
        <v>1509.524</v>
      </c>
      <c r="V433" s="24">
        <f t="shared" si="109"/>
        <v>188.14957</v>
      </c>
      <c r="W433" s="3">
        <f t="shared" si="31"/>
        <v>0</v>
      </c>
      <c r="X433" s="3">
        <f t="shared" si="32"/>
        <v>0</v>
      </c>
      <c r="Y433" s="3">
        <f t="shared" si="33"/>
        <v>0</v>
      </c>
      <c r="Z433" s="25">
        <f t="shared" si="34"/>
        <v>0</v>
      </c>
      <c r="AA433" s="26">
        <f>VLOOKUP(S433,CPI!$A$2:$F$71,6,0)</f>
        <v>1.188745987</v>
      </c>
      <c r="AB433" s="27">
        <f t="shared" si="110"/>
        <v>1794.440597</v>
      </c>
      <c r="AC433" s="27">
        <f t="shared" si="111"/>
        <v>223.6620462</v>
      </c>
      <c r="AD433" s="72" t="s">
        <v>36</v>
      </c>
      <c r="AE433" s="79" t="s">
        <v>786</v>
      </c>
      <c r="AF433" s="72"/>
      <c r="AG433" s="72"/>
      <c r="AH433" s="72"/>
      <c r="AI433" s="72"/>
      <c r="AJ433" s="54"/>
      <c r="AK433" s="54"/>
      <c r="AL433" s="54"/>
      <c r="AM433" s="54"/>
      <c r="AN433" s="54"/>
      <c r="AO433" s="54"/>
      <c r="AP433" s="54"/>
      <c r="AQ433" s="54"/>
    </row>
    <row r="434" ht="15.75" customHeight="1">
      <c r="A434" s="38">
        <v>7715.0</v>
      </c>
      <c r="B434" s="123" t="s">
        <v>230</v>
      </c>
      <c r="C434" s="123" t="s">
        <v>771</v>
      </c>
      <c r="D434" s="36" t="s">
        <v>236</v>
      </c>
      <c r="E434" s="123" t="s">
        <v>787</v>
      </c>
      <c r="F434" s="219">
        <v>2020.0</v>
      </c>
      <c r="G434" s="75">
        <v>2025.0</v>
      </c>
      <c r="H434" s="75">
        <v>0.0</v>
      </c>
      <c r="I434" s="75">
        <v>4.47</v>
      </c>
      <c r="J434" s="124">
        <v>1.0</v>
      </c>
      <c r="K434" s="75">
        <v>4.47</v>
      </c>
      <c r="L434" s="125">
        <v>0.0</v>
      </c>
      <c r="M434" s="125">
        <v>0.0</v>
      </c>
      <c r="N434" s="75">
        <v>3.0</v>
      </c>
      <c r="O434" s="75"/>
      <c r="P434" s="123" t="s">
        <v>60</v>
      </c>
      <c r="Q434" s="126">
        <f>4.962*10^3</f>
        <v>4962</v>
      </c>
      <c r="R434" s="123" t="s">
        <v>234</v>
      </c>
      <c r="S434" s="75">
        <v>2020.0</v>
      </c>
      <c r="T434" s="136">
        <v>0.239</v>
      </c>
      <c r="U434" s="128">
        <f t="shared" si="108"/>
        <v>1185.918</v>
      </c>
      <c r="V434" s="24">
        <f t="shared" si="109"/>
        <v>265.3060403</v>
      </c>
      <c r="W434" s="3">
        <f t="shared" si="31"/>
        <v>0</v>
      </c>
      <c r="X434" s="3">
        <f t="shared" si="32"/>
        <v>0</v>
      </c>
      <c r="Y434" s="3">
        <f t="shared" si="33"/>
        <v>0</v>
      </c>
      <c r="Z434" s="25">
        <f t="shared" si="34"/>
        <v>0</v>
      </c>
      <c r="AA434" s="26">
        <f>VLOOKUP(S434,CPI!$A$2:$F$71,6,0)</f>
        <v>1.244593545</v>
      </c>
      <c r="AB434" s="27">
        <f t="shared" si="110"/>
        <v>1475.985888</v>
      </c>
      <c r="AC434" s="27">
        <f t="shared" si="111"/>
        <v>330.1981852</v>
      </c>
      <c r="AD434" s="130" t="s">
        <v>60</v>
      </c>
      <c r="AE434" s="137" t="s">
        <v>778</v>
      </c>
      <c r="AF434" s="34"/>
      <c r="AG434" s="34"/>
      <c r="AH434" s="34"/>
      <c r="AI434" s="34"/>
      <c r="AJ434" s="35"/>
      <c r="AK434" s="35"/>
      <c r="AL434" s="35"/>
      <c r="AM434" s="72"/>
      <c r="AN434" s="72"/>
      <c r="AO434" s="72"/>
      <c r="AP434" s="72"/>
      <c r="AQ434" s="72"/>
    </row>
    <row r="435" ht="15.75" customHeight="1">
      <c r="A435" s="170">
        <v>7722.0</v>
      </c>
      <c r="B435" s="123" t="s">
        <v>230</v>
      </c>
      <c r="C435" s="123" t="s">
        <v>771</v>
      </c>
      <c r="D435" s="36" t="s">
        <v>243</v>
      </c>
      <c r="E435" s="123" t="s">
        <v>788</v>
      </c>
      <c r="F435" s="218"/>
      <c r="G435" s="75">
        <v>2025.0</v>
      </c>
      <c r="H435" s="75">
        <v>0.0</v>
      </c>
      <c r="I435" s="75">
        <v>4.26</v>
      </c>
      <c r="J435" s="124">
        <v>1.0</v>
      </c>
      <c r="K435" s="75">
        <v>4.26</v>
      </c>
      <c r="L435" s="220">
        <v>0.0</v>
      </c>
      <c r="M435" s="220">
        <v>0.0</v>
      </c>
      <c r="N435" s="123"/>
      <c r="O435" s="75"/>
      <c r="P435" s="123" t="s">
        <v>60</v>
      </c>
      <c r="Q435" s="126">
        <f>8.318*10^3</f>
        <v>8318</v>
      </c>
      <c r="R435" s="123" t="s">
        <v>234</v>
      </c>
      <c r="S435" s="75">
        <v>2020.0</v>
      </c>
      <c r="T435" s="136">
        <v>0.239</v>
      </c>
      <c r="U435" s="128">
        <f t="shared" si="108"/>
        <v>1988.002</v>
      </c>
      <c r="V435" s="24">
        <f t="shared" si="109"/>
        <v>466.6671362</v>
      </c>
      <c r="W435" s="3">
        <f t="shared" si="31"/>
        <v>0</v>
      </c>
      <c r="X435" s="3">
        <f t="shared" si="32"/>
        <v>0</v>
      </c>
      <c r="Y435" s="3">
        <f t="shared" si="33"/>
        <v>0</v>
      </c>
      <c r="Z435" s="25">
        <f t="shared" si="34"/>
        <v>0</v>
      </c>
      <c r="AA435" s="26">
        <f>VLOOKUP(S435,CPI!$A$2:$F$71,6,0)</f>
        <v>1.244593545</v>
      </c>
      <c r="AB435" s="27">
        <f t="shared" si="110"/>
        <v>2474.254457</v>
      </c>
      <c r="AC435" s="27">
        <f t="shared" si="111"/>
        <v>580.8109054</v>
      </c>
      <c r="AD435" s="123" t="s">
        <v>60</v>
      </c>
      <c r="AE435" s="129" t="s">
        <v>778</v>
      </c>
      <c r="AF435" s="34"/>
      <c r="AG435" s="34"/>
      <c r="AH435" s="34"/>
      <c r="AI435" s="34"/>
      <c r="AJ435" s="35"/>
      <c r="AK435" s="35"/>
      <c r="AL435" s="35"/>
      <c r="AM435" s="54"/>
      <c r="AN435" s="54"/>
      <c r="AO435" s="54"/>
      <c r="AP435" s="54"/>
      <c r="AQ435" s="54"/>
    </row>
    <row r="436" ht="15.75" customHeight="1">
      <c r="A436" s="7"/>
      <c r="B436" s="114" t="s">
        <v>230</v>
      </c>
      <c r="C436" s="114" t="s">
        <v>771</v>
      </c>
      <c r="D436" s="115" t="s">
        <v>84</v>
      </c>
      <c r="E436" s="114" t="s">
        <v>789</v>
      </c>
      <c r="F436" s="116">
        <v>2019.0</v>
      </c>
      <c r="G436" s="114"/>
      <c r="H436" s="116">
        <v>0.0</v>
      </c>
      <c r="I436" s="116">
        <v>2.88</v>
      </c>
      <c r="J436" s="117">
        <v>1.0</v>
      </c>
      <c r="K436" s="116">
        <v>2.88</v>
      </c>
      <c r="L436" s="114"/>
      <c r="M436" s="114"/>
      <c r="N436" s="116">
        <v>3.0</v>
      </c>
      <c r="O436" s="116">
        <v>138.0</v>
      </c>
      <c r="P436" s="114"/>
      <c r="Q436" s="140">
        <v>4050.0</v>
      </c>
      <c r="R436" s="114" t="s">
        <v>234</v>
      </c>
      <c r="S436" s="115">
        <v>2019.0</v>
      </c>
      <c r="T436" s="136">
        <v>0.238</v>
      </c>
      <c r="U436" s="118">
        <f t="shared" si="108"/>
        <v>963.9</v>
      </c>
      <c r="V436" s="24">
        <f t="shared" si="109"/>
        <v>334.6875</v>
      </c>
      <c r="W436" s="3">
        <f t="shared" si="31"/>
        <v>0</v>
      </c>
      <c r="X436" s="3">
        <f t="shared" si="32"/>
        <v>0</v>
      </c>
      <c r="Y436" s="3">
        <f t="shared" si="33"/>
        <v>0</v>
      </c>
      <c r="Z436" s="25">
        <f t="shared" si="34"/>
        <v>0</v>
      </c>
      <c r="AA436" s="26">
        <f>VLOOKUP(S436,CPI!$A$2:$F$71,6,0)</f>
        <v>1.259947899</v>
      </c>
      <c r="AB436" s="27">
        <f t="shared" si="110"/>
        <v>1214.46378</v>
      </c>
      <c r="AC436" s="27">
        <f t="shared" si="111"/>
        <v>421.6888124</v>
      </c>
      <c r="AD436" s="114"/>
      <c r="AE436" s="119" t="s">
        <v>790</v>
      </c>
      <c r="AF436" s="164"/>
      <c r="AG436" s="165"/>
      <c r="AH436" s="165"/>
      <c r="AI436" s="165"/>
      <c r="AJ436" s="166"/>
      <c r="AK436" s="166"/>
      <c r="AL436" s="166"/>
      <c r="AM436" s="31"/>
      <c r="AN436" s="31"/>
      <c r="AO436" s="31"/>
      <c r="AP436" s="31"/>
      <c r="AQ436" s="35"/>
    </row>
    <row r="437" ht="15.75" customHeight="1">
      <c r="A437" s="170">
        <v>7827.0</v>
      </c>
      <c r="B437" s="72" t="s">
        <v>230</v>
      </c>
      <c r="C437" s="72" t="s">
        <v>771</v>
      </c>
      <c r="D437" s="115" t="s">
        <v>267</v>
      </c>
      <c r="E437" s="72" t="s">
        <v>267</v>
      </c>
      <c r="F437" s="69">
        <v>2020.0</v>
      </c>
      <c r="G437" s="72"/>
      <c r="H437" s="69">
        <v>0.0</v>
      </c>
      <c r="I437" s="69">
        <v>50.34</v>
      </c>
      <c r="J437" s="117">
        <v>1.0</v>
      </c>
      <c r="K437" s="69">
        <v>50.34</v>
      </c>
      <c r="L437" s="72"/>
      <c r="M437" s="72"/>
      <c r="N437" s="69">
        <v>17.0</v>
      </c>
      <c r="O437" s="69">
        <v>184.0</v>
      </c>
      <c r="P437" s="72"/>
      <c r="Q437" s="140">
        <v>41005.0</v>
      </c>
      <c r="R437" s="72" t="s">
        <v>234</v>
      </c>
      <c r="S437" s="115">
        <v>2020.0</v>
      </c>
      <c r="T437" s="136">
        <v>0.239</v>
      </c>
      <c r="U437" s="118">
        <f t="shared" si="108"/>
        <v>9800.195</v>
      </c>
      <c r="V437" s="24">
        <f t="shared" si="109"/>
        <v>194.6800755</v>
      </c>
      <c r="W437" s="3">
        <f t="shared" si="31"/>
        <v>0</v>
      </c>
      <c r="X437" s="3">
        <f t="shared" si="32"/>
        <v>0</v>
      </c>
      <c r="Y437" s="3">
        <f t="shared" si="33"/>
        <v>0</v>
      </c>
      <c r="Z437" s="25">
        <f t="shared" si="34"/>
        <v>0</v>
      </c>
      <c r="AA437" s="26">
        <f>VLOOKUP(S437,CPI!$A$2:$F$71,6,0)</f>
        <v>1.244593545</v>
      </c>
      <c r="AB437" s="27">
        <f t="shared" si="110"/>
        <v>12197.25944</v>
      </c>
      <c r="AC437" s="27">
        <f t="shared" si="111"/>
        <v>242.2975653</v>
      </c>
      <c r="AD437" s="72" t="s">
        <v>36</v>
      </c>
      <c r="AE437" s="79" t="s">
        <v>791</v>
      </c>
      <c r="AF437" s="72"/>
      <c r="AG437" s="72"/>
      <c r="AH437" s="72"/>
      <c r="AI437" s="72"/>
      <c r="AJ437" s="54"/>
      <c r="AK437" s="54"/>
      <c r="AL437" s="54"/>
      <c r="AM437" s="54"/>
      <c r="AN437" s="54"/>
      <c r="AO437" s="54"/>
      <c r="AP437" s="54"/>
      <c r="AQ437" s="54"/>
    </row>
    <row r="438" ht="15.75" customHeight="1">
      <c r="A438" s="7"/>
      <c r="B438" s="114" t="s">
        <v>230</v>
      </c>
      <c r="C438" s="114" t="s">
        <v>771</v>
      </c>
      <c r="D438" s="115" t="s">
        <v>792</v>
      </c>
      <c r="E438" s="114" t="s">
        <v>793</v>
      </c>
      <c r="F438" s="116">
        <v>2021.0</v>
      </c>
      <c r="G438" s="114"/>
      <c r="H438" s="116">
        <v>1.0</v>
      </c>
      <c r="I438" s="116">
        <v>15.15</v>
      </c>
      <c r="J438" s="117">
        <v>1.0</v>
      </c>
      <c r="K438" s="116">
        <v>15.15</v>
      </c>
      <c r="L438" s="114"/>
      <c r="M438" s="114"/>
      <c r="N438" s="116">
        <v>3.0</v>
      </c>
      <c r="O438" s="116">
        <v>184.0</v>
      </c>
      <c r="P438" s="114"/>
      <c r="Q438" s="140">
        <v>11900.0</v>
      </c>
      <c r="R438" s="114" t="s">
        <v>234</v>
      </c>
      <c r="S438" s="115">
        <v>2021.0</v>
      </c>
      <c r="T438" s="136">
        <v>0.239000000000002</v>
      </c>
      <c r="U438" s="118">
        <f t="shared" si="108"/>
        <v>2844.1</v>
      </c>
      <c r="V438" s="24">
        <f t="shared" si="109"/>
        <v>187.7293729</v>
      </c>
      <c r="W438" s="3">
        <f t="shared" si="31"/>
        <v>0</v>
      </c>
      <c r="X438" s="3">
        <f t="shared" si="32"/>
        <v>0</v>
      </c>
      <c r="Y438" s="3">
        <f t="shared" si="33"/>
        <v>0</v>
      </c>
      <c r="Z438" s="25">
        <f t="shared" si="34"/>
        <v>0</v>
      </c>
      <c r="AA438" s="26">
        <f>VLOOKUP(S438,CPI!$A$2:$F$71,6,0)</f>
        <v>1.188745987</v>
      </c>
      <c r="AB438" s="27">
        <f t="shared" si="110"/>
        <v>3380.912461</v>
      </c>
      <c r="AC438" s="27">
        <f t="shared" si="111"/>
        <v>223.1625387</v>
      </c>
      <c r="AD438" s="114"/>
      <c r="AE438" s="119" t="s">
        <v>794</v>
      </c>
      <c r="AF438" s="164"/>
      <c r="AG438" s="165"/>
      <c r="AH438" s="165"/>
      <c r="AI438" s="165"/>
      <c r="AJ438" s="166"/>
      <c r="AK438" s="166"/>
      <c r="AL438" s="166"/>
      <c r="AM438" s="32"/>
      <c r="AN438" s="32"/>
      <c r="AO438" s="32"/>
      <c r="AP438" s="32"/>
      <c r="AQ438" s="33"/>
    </row>
    <row r="439" ht="15.75" customHeight="1">
      <c r="A439" s="38">
        <v>7714.0</v>
      </c>
      <c r="B439" s="72" t="s">
        <v>230</v>
      </c>
      <c r="C439" s="72" t="s">
        <v>771</v>
      </c>
      <c r="D439" s="36" t="s">
        <v>236</v>
      </c>
      <c r="E439" s="72" t="s">
        <v>795</v>
      </c>
      <c r="F439" s="70">
        <v>2021.0</v>
      </c>
      <c r="G439" s="74"/>
      <c r="H439" s="69">
        <v>0.0</v>
      </c>
      <c r="I439" s="69">
        <v>19.296</v>
      </c>
      <c r="J439" s="117">
        <v>1.0</v>
      </c>
      <c r="K439" s="69">
        <v>19.296</v>
      </c>
      <c r="L439" s="72"/>
      <c r="M439" s="72"/>
      <c r="N439" s="69">
        <v>11.0</v>
      </c>
      <c r="O439" s="70">
        <v>184.0</v>
      </c>
      <c r="P439" s="72"/>
      <c r="Q439" s="140">
        <v>27880.0</v>
      </c>
      <c r="R439" s="72" t="s">
        <v>234</v>
      </c>
      <c r="S439" s="115">
        <v>2021.0</v>
      </c>
      <c r="T439" s="136">
        <v>0.239</v>
      </c>
      <c r="U439" s="118">
        <f t="shared" si="108"/>
        <v>6663.32</v>
      </c>
      <c r="V439" s="24">
        <f t="shared" si="109"/>
        <v>345.3213101</v>
      </c>
      <c r="W439" s="3">
        <f t="shared" si="31"/>
        <v>0</v>
      </c>
      <c r="X439" s="3">
        <f t="shared" si="32"/>
        <v>0</v>
      </c>
      <c r="Y439" s="3">
        <f t="shared" si="33"/>
        <v>0</v>
      </c>
      <c r="Z439" s="25">
        <f t="shared" si="34"/>
        <v>0</v>
      </c>
      <c r="AA439" s="26">
        <f>VLOOKUP(S439,CPI!$A$2:$F$71,6,0)</f>
        <v>1.188745987</v>
      </c>
      <c r="AB439" s="27">
        <f t="shared" si="110"/>
        <v>7920.994908</v>
      </c>
      <c r="AC439" s="27">
        <f t="shared" si="111"/>
        <v>410.4993215</v>
      </c>
      <c r="AD439" s="115" t="s">
        <v>36</v>
      </c>
      <c r="AE439" s="79" t="s">
        <v>796</v>
      </c>
      <c r="AF439" s="72"/>
      <c r="AG439" s="72"/>
      <c r="AH439" s="221"/>
      <c r="AI439" s="72"/>
      <c r="AJ439" s="54"/>
      <c r="AK439" s="54"/>
      <c r="AL439" s="54"/>
      <c r="AM439" s="54"/>
      <c r="AN439" s="54"/>
      <c r="AO439" s="54"/>
      <c r="AP439" s="54"/>
      <c r="AQ439" s="54"/>
    </row>
    <row r="440" ht="15.75" customHeight="1">
      <c r="A440" s="170">
        <v>7771.0</v>
      </c>
      <c r="B440" s="72" t="s">
        <v>230</v>
      </c>
      <c r="C440" s="72" t="s">
        <v>771</v>
      </c>
      <c r="D440" s="72" t="s">
        <v>236</v>
      </c>
      <c r="E440" s="72" t="s">
        <v>236</v>
      </c>
      <c r="F440" s="69">
        <v>2021.0</v>
      </c>
      <c r="G440" s="72"/>
      <c r="H440" s="69">
        <v>0.0</v>
      </c>
      <c r="I440" s="69">
        <v>22.436</v>
      </c>
      <c r="J440" s="117">
        <v>1.0</v>
      </c>
      <c r="K440" s="69">
        <v>22.436</v>
      </c>
      <c r="L440" s="72"/>
      <c r="M440" s="72"/>
      <c r="N440" s="69">
        <v>16.0</v>
      </c>
      <c r="O440" s="70">
        <v>184.0</v>
      </c>
      <c r="P440" s="72"/>
      <c r="Q440" s="140">
        <v>23371.0</v>
      </c>
      <c r="R440" s="72" t="s">
        <v>234</v>
      </c>
      <c r="S440" s="115">
        <v>2021.0</v>
      </c>
      <c r="T440" s="136">
        <v>0.239</v>
      </c>
      <c r="U440" s="118">
        <f t="shared" si="108"/>
        <v>5585.669</v>
      </c>
      <c r="V440" s="24">
        <f t="shared" si="109"/>
        <v>248.9601088</v>
      </c>
      <c r="W440" s="3">
        <f t="shared" si="31"/>
        <v>0</v>
      </c>
      <c r="X440" s="3">
        <f t="shared" si="32"/>
        <v>0</v>
      </c>
      <c r="Y440" s="3">
        <f t="shared" si="33"/>
        <v>0</v>
      </c>
      <c r="Z440" s="25">
        <f t="shared" si="34"/>
        <v>0</v>
      </c>
      <c r="AA440" s="26">
        <f>VLOOKUP(S440,CPI!$A$2:$F$71,6,0)</f>
        <v>1.188745987</v>
      </c>
      <c r="AB440" s="27">
        <f t="shared" si="110"/>
        <v>6639.941606</v>
      </c>
      <c r="AC440" s="27">
        <f t="shared" si="111"/>
        <v>295.9503301</v>
      </c>
      <c r="AD440" s="72" t="s">
        <v>36</v>
      </c>
      <c r="AE440" s="79" t="s">
        <v>797</v>
      </c>
      <c r="AF440" s="186"/>
      <c r="AG440" s="187"/>
      <c r="AH440" s="187"/>
      <c r="AI440" s="187"/>
      <c r="AJ440" s="81"/>
      <c r="AK440" s="81"/>
      <c r="AL440" s="81"/>
      <c r="AM440" s="32"/>
      <c r="AN440" s="32"/>
      <c r="AO440" s="32"/>
      <c r="AP440" s="32"/>
      <c r="AQ440" s="33"/>
    </row>
    <row r="441" ht="15.75" customHeight="1">
      <c r="A441" s="7"/>
      <c r="B441" s="114" t="s">
        <v>230</v>
      </c>
      <c r="C441" s="114" t="s">
        <v>771</v>
      </c>
      <c r="D441" s="115" t="s">
        <v>798</v>
      </c>
      <c r="E441" s="114" t="s">
        <v>799</v>
      </c>
      <c r="F441" s="116">
        <v>2021.0</v>
      </c>
      <c r="G441" s="114"/>
      <c r="H441" s="116">
        <v>1.0</v>
      </c>
      <c r="I441" s="116">
        <v>39.4</v>
      </c>
      <c r="J441" s="117">
        <v>1.0</v>
      </c>
      <c r="K441" s="116">
        <v>39.4</v>
      </c>
      <c r="L441" s="114"/>
      <c r="M441" s="114"/>
      <c r="N441" s="116">
        <v>6.0</v>
      </c>
      <c r="O441" s="116">
        <v>184.0</v>
      </c>
      <c r="P441" s="114"/>
      <c r="Q441" s="140">
        <v>23620.0</v>
      </c>
      <c r="R441" s="114" t="s">
        <v>234</v>
      </c>
      <c r="S441" s="115">
        <v>2021.0</v>
      </c>
      <c r="T441" s="136">
        <v>0.239000000000002</v>
      </c>
      <c r="U441" s="118">
        <f t="shared" si="108"/>
        <v>5645.18</v>
      </c>
      <c r="V441" s="24">
        <f t="shared" si="109"/>
        <v>143.2786802</v>
      </c>
      <c r="W441" s="3">
        <f t="shared" si="31"/>
        <v>0</v>
      </c>
      <c r="X441" s="3">
        <f t="shared" si="32"/>
        <v>0</v>
      </c>
      <c r="Y441" s="3">
        <f t="shared" si="33"/>
        <v>0</v>
      </c>
      <c r="Z441" s="25">
        <f t="shared" si="34"/>
        <v>0</v>
      </c>
      <c r="AA441" s="26">
        <f>VLOOKUP(S441,CPI!$A$2:$F$71,6,0)</f>
        <v>1.188745987</v>
      </c>
      <c r="AB441" s="27">
        <f t="shared" si="110"/>
        <v>6710.685069</v>
      </c>
      <c r="AC441" s="27">
        <f t="shared" si="111"/>
        <v>170.3219561</v>
      </c>
      <c r="AD441" s="114"/>
      <c r="AE441" s="119" t="s">
        <v>800</v>
      </c>
      <c r="AF441" s="114"/>
      <c r="AG441" s="114"/>
      <c r="AH441" s="114"/>
      <c r="AI441" s="114"/>
      <c r="AJ441" s="206"/>
      <c r="AK441" s="206"/>
      <c r="AL441" s="206"/>
      <c r="AM441" s="54"/>
      <c r="AN441" s="54"/>
      <c r="AO441" s="54"/>
      <c r="AP441" s="54"/>
      <c r="AQ441" s="54"/>
    </row>
    <row r="442" ht="15.75" customHeight="1">
      <c r="A442" s="7"/>
      <c r="B442" s="114" t="s">
        <v>230</v>
      </c>
      <c r="C442" s="114" t="s">
        <v>771</v>
      </c>
      <c r="D442" s="115" t="s">
        <v>798</v>
      </c>
      <c r="E442" s="114" t="s">
        <v>801</v>
      </c>
      <c r="F442" s="116">
        <v>2021.0</v>
      </c>
      <c r="G442" s="114"/>
      <c r="H442" s="116">
        <v>1.0</v>
      </c>
      <c r="I442" s="116">
        <v>58.738</v>
      </c>
      <c r="J442" s="117">
        <v>1.0</v>
      </c>
      <c r="K442" s="116">
        <v>58.738</v>
      </c>
      <c r="L442" s="114"/>
      <c r="M442" s="114"/>
      <c r="N442" s="116">
        <v>11.0</v>
      </c>
      <c r="O442" s="116">
        <v>184.0</v>
      </c>
      <c r="P442" s="114"/>
      <c r="Q442" s="140">
        <v>51750.0</v>
      </c>
      <c r="R442" s="114" t="s">
        <v>234</v>
      </c>
      <c r="S442" s="115">
        <v>2021.0</v>
      </c>
      <c r="T442" s="136">
        <v>0.239000000000002</v>
      </c>
      <c r="U442" s="118">
        <f t="shared" si="108"/>
        <v>12368.25</v>
      </c>
      <c r="V442" s="24">
        <f t="shared" si="109"/>
        <v>210.5664136</v>
      </c>
      <c r="W442" s="3">
        <f t="shared" si="31"/>
        <v>0</v>
      </c>
      <c r="X442" s="3">
        <f t="shared" si="32"/>
        <v>0</v>
      </c>
      <c r="Y442" s="3">
        <f t="shared" si="33"/>
        <v>0</v>
      </c>
      <c r="Z442" s="25">
        <f t="shared" si="34"/>
        <v>0</v>
      </c>
      <c r="AA442" s="26">
        <f>VLOOKUP(S442,CPI!$A$2:$F$71,6,0)</f>
        <v>1.188745987</v>
      </c>
      <c r="AB442" s="27">
        <f t="shared" si="110"/>
        <v>14702.70755</v>
      </c>
      <c r="AC442" s="27">
        <f t="shared" si="111"/>
        <v>250.309979</v>
      </c>
      <c r="AD442" s="114"/>
      <c r="AE442" s="119" t="s">
        <v>802</v>
      </c>
      <c r="AF442" s="164"/>
      <c r="AG442" s="165"/>
      <c r="AH442" s="165"/>
      <c r="AI442" s="165"/>
      <c r="AJ442" s="166"/>
      <c r="AK442" s="166"/>
      <c r="AL442" s="166"/>
      <c r="AM442" s="31"/>
      <c r="AN442" s="31"/>
      <c r="AO442" s="31"/>
      <c r="AP442" s="31"/>
      <c r="AQ442" s="35"/>
    </row>
    <row r="443" ht="15.75" customHeight="1">
      <c r="A443" s="170">
        <v>7728.0</v>
      </c>
      <c r="B443" s="72" t="s">
        <v>230</v>
      </c>
      <c r="C443" s="72" t="s">
        <v>771</v>
      </c>
      <c r="D443" s="115" t="s">
        <v>749</v>
      </c>
      <c r="E443" s="115" t="s">
        <v>750</v>
      </c>
      <c r="F443" s="70">
        <v>2022.0</v>
      </c>
      <c r="G443" s="72"/>
      <c r="H443" s="69">
        <v>0.0</v>
      </c>
      <c r="I443" s="69">
        <v>8.43</v>
      </c>
      <c r="J443" s="117">
        <v>1.0</v>
      </c>
      <c r="K443" s="69">
        <v>8.43</v>
      </c>
      <c r="L443" s="72"/>
      <c r="M443" s="72"/>
      <c r="N443" s="69">
        <v>5.0</v>
      </c>
      <c r="O443" s="69">
        <v>184.0</v>
      </c>
      <c r="P443" s="72"/>
      <c r="Q443" s="140">
        <v>11206.0</v>
      </c>
      <c r="R443" s="72" t="s">
        <v>234</v>
      </c>
      <c r="S443" s="115">
        <v>2021.0</v>
      </c>
      <c r="T443" s="136">
        <v>0.239</v>
      </c>
      <c r="U443" s="118">
        <f t="shared" si="108"/>
        <v>2678.234</v>
      </c>
      <c r="V443" s="24">
        <f t="shared" si="109"/>
        <v>317.7027284</v>
      </c>
      <c r="W443" s="3">
        <f t="shared" si="31"/>
        <v>0</v>
      </c>
      <c r="X443" s="3">
        <f t="shared" si="32"/>
        <v>0</v>
      </c>
      <c r="Y443" s="3">
        <f t="shared" si="33"/>
        <v>0</v>
      </c>
      <c r="Z443" s="25">
        <f t="shared" si="34"/>
        <v>0</v>
      </c>
      <c r="AA443" s="26">
        <f>VLOOKUP(S443,CPI!$A$2:$F$71,6,0)</f>
        <v>1.188745987</v>
      </c>
      <c r="AB443" s="27">
        <f t="shared" si="110"/>
        <v>3183.739919</v>
      </c>
      <c r="AC443" s="27">
        <f t="shared" si="111"/>
        <v>377.6678433</v>
      </c>
      <c r="AD443" s="72"/>
      <c r="AE443" s="79" t="s">
        <v>803</v>
      </c>
      <c r="AF443" s="205" t="s">
        <v>804</v>
      </c>
      <c r="AG443" s="168"/>
      <c r="AH443" s="168"/>
      <c r="AI443" s="169"/>
      <c r="AJ443" s="81"/>
      <c r="AK443" s="81"/>
      <c r="AL443" s="81"/>
      <c r="AM443" s="175"/>
      <c r="AN443" s="175"/>
      <c r="AO443" s="175"/>
      <c r="AP443" s="175"/>
    </row>
    <row r="444" ht="15.75" customHeight="1">
      <c r="A444" s="170">
        <v>7723.0</v>
      </c>
      <c r="B444" s="123" t="s">
        <v>230</v>
      </c>
      <c r="C444" s="123" t="s">
        <v>771</v>
      </c>
      <c r="D444" s="36" t="s">
        <v>292</v>
      </c>
      <c r="E444" s="123" t="s">
        <v>724</v>
      </c>
      <c r="F444" s="142" t="s">
        <v>571</v>
      </c>
      <c r="G444" s="123"/>
      <c r="H444" s="75">
        <v>0.0</v>
      </c>
      <c r="I444" s="75">
        <v>5.58</v>
      </c>
      <c r="J444" s="124">
        <v>1.0</v>
      </c>
      <c r="K444" s="75">
        <v>5.58</v>
      </c>
      <c r="L444" s="125">
        <v>0.0</v>
      </c>
      <c r="M444" s="125">
        <v>0.0</v>
      </c>
      <c r="N444" s="75">
        <v>3.0</v>
      </c>
      <c r="O444" s="75"/>
      <c r="P444" s="123" t="s">
        <v>60</v>
      </c>
      <c r="Q444" s="126">
        <f>6.634*10^3</f>
        <v>6634</v>
      </c>
      <c r="R444" s="123" t="s">
        <v>234</v>
      </c>
      <c r="S444" s="75">
        <v>2020.0</v>
      </c>
      <c r="T444" s="136">
        <v>0.239</v>
      </c>
      <c r="U444" s="128">
        <f t="shared" si="108"/>
        <v>1585.526</v>
      </c>
      <c r="V444" s="24">
        <f t="shared" si="109"/>
        <v>284.1444444</v>
      </c>
      <c r="W444" s="3">
        <f t="shared" si="31"/>
        <v>0</v>
      </c>
      <c r="X444" s="3">
        <f t="shared" si="32"/>
        <v>0</v>
      </c>
      <c r="Y444" s="3">
        <f t="shared" si="33"/>
        <v>0</v>
      </c>
      <c r="Z444" s="25">
        <f t="shared" si="34"/>
        <v>0</v>
      </c>
      <c r="AA444" s="26">
        <f>VLOOKUP(S444,CPI!$A$2:$F$71,6,0)</f>
        <v>1.244593545</v>
      </c>
      <c r="AB444" s="27">
        <f t="shared" si="110"/>
        <v>1973.335425</v>
      </c>
      <c r="AC444" s="27">
        <f t="shared" si="111"/>
        <v>353.6443414</v>
      </c>
      <c r="AD444" s="123" t="s">
        <v>60</v>
      </c>
      <c r="AE444" s="129" t="s">
        <v>778</v>
      </c>
      <c r="AF444" s="34"/>
      <c r="AG444" s="34"/>
      <c r="AH444" s="34"/>
      <c r="AI444" s="34"/>
      <c r="AJ444" s="35"/>
      <c r="AK444" s="35"/>
      <c r="AL444" s="35"/>
      <c r="AM444" s="54"/>
      <c r="AN444" s="54"/>
      <c r="AO444" s="54"/>
      <c r="AP444" s="54"/>
      <c r="AQ444" s="54"/>
    </row>
    <row r="445" ht="15.75" customHeight="1">
      <c r="A445" s="203">
        <v>7720.0</v>
      </c>
      <c r="B445" s="123" t="s">
        <v>230</v>
      </c>
      <c r="C445" s="123" t="s">
        <v>771</v>
      </c>
      <c r="D445" s="36" t="s">
        <v>283</v>
      </c>
      <c r="E445" s="123" t="s">
        <v>805</v>
      </c>
      <c r="F445" s="142" t="s">
        <v>571</v>
      </c>
      <c r="G445" s="123"/>
      <c r="H445" s="75">
        <v>0.0</v>
      </c>
      <c r="I445" s="75">
        <v>9.53</v>
      </c>
      <c r="J445" s="124">
        <v>1.0</v>
      </c>
      <c r="K445" s="75">
        <v>9.53</v>
      </c>
      <c r="L445" s="125">
        <v>0.0</v>
      </c>
      <c r="M445" s="125">
        <v>0.0</v>
      </c>
      <c r="N445" s="75">
        <v>7.0</v>
      </c>
      <c r="O445" s="152">
        <v>138.0</v>
      </c>
      <c r="P445" s="123" t="s">
        <v>60</v>
      </c>
      <c r="Q445" s="126">
        <f>10.995*10^3</f>
        <v>10995</v>
      </c>
      <c r="R445" s="123" t="s">
        <v>234</v>
      </c>
      <c r="S445" s="75">
        <v>2020.0</v>
      </c>
      <c r="T445" s="136">
        <v>0.239</v>
      </c>
      <c r="U445" s="128">
        <f t="shared" si="108"/>
        <v>2627.805</v>
      </c>
      <c r="V445" s="24">
        <f t="shared" si="109"/>
        <v>275.7402938</v>
      </c>
      <c r="W445" s="3">
        <f t="shared" si="31"/>
        <v>0</v>
      </c>
      <c r="X445" s="3">
        <f t="shared" si="32"/>
        <v>0</v>
      </c>
      <c r="Y445" s="3">
        <f t="shared" si="33"/>
        <v>0</v>
      </c>
      <c r="Z445" s="25">
        <f t="shared" si="34"/>
        <v>0</v>
      </c>
      <c r="AA445" s="26">
        <f>VLOOKUP(S445,CPI!$A$2:$F$71,6,0)</f>
        <v>1.244593545</v>
      </c>
      <c r="AB445" s="27">
        <f t="shared" si="110"/>
        <v>3270.549141</v>
      </c>
      <c r="AC445" s="27">
        <f t="shared" si="111"/>
        <v>343.1845898</v>
      </c>
      <c r="AD445" s="222" t="s">
        <v>60</v>
      </c>
      <c r="AE445" s="223" t="s">
        <v>778</v>
      </c>
      <c r="AF445" s="29"/>
      <c r="AG445" s="30"/>
      <c r="AH445" s="30"/>
      <c r="AI445" s="30"/>
      <c r="AJ445" s="31"/>
      <c r="AK445" s="31"/>
      <c r="AL445" s="31"/>
      <c r="AM445" s="31"/>
      <c r="AN445" s="31"/>
      <c r="AO445" s="31"/>
      <c r="AP445" s="31"/>
      <c r="AQ445" s="35"/>
    </row>
    <row r="446" ht="15.75" customHeight="1">
      <c r="A446" s="170">
        <v>7721.0</v>
      </c>
      <c r="B446" s="123" t="s">
        <v>230</v>
      </c>
      <c r="C446" s="123" t="s">
        <v>771</v>
      </c>
      <c r="D446" s="36" t="s">
        <v>228</v>
      </c>
      <c r="E446" s="123" t="s">
        <v>477</v>
      </c>
      <c r="F446" s="142" t="s">
        <v>571</v>
      </c>
      <c r="G446" s="123"/>
      <c r="H446" s="75">
        <v>0.0</v>
      </c>
      <c r="I446" s="75">
        <v>2.45</v>
      </c>
      <c r="J446" s="124">
        <v>1.0</v>
      </c>
      <c r="K446" s="75">
        <v>2.45</v>
      </c>
      <c r="L446" s="125">
        <v>0.0</v>
      </c>
      <c r="M446" s="125">
        <v>0.0</v>
      </c>
      <c r="N446" s="75">
        <v>2.0</v>
      </c>
      <c r="O446" s="75"/>
      <c r="P446" s="123" t="s">
        <v>60</v>
      </c>
      <c r="Q446" s="126">
        <f>2.806*10^3</f>
        <v>2806</v>
      </c>
      <c r="R446" s="123" t="s">
        <v>234</v>
      </c>
      <c r="S446" s="75">
        <v>2020.0</v>
      </c>
      <c r="T446" s="136">
        <v>0.239</v>
      </c>
      <c r="U446" s="128">
        <f t="shared" si="108"/>
        <v>670.634</v>
      </c>
      <c r="V446" s="24">
        <f t="shared" si="109"/>
        <v>273.7281633</v>
      </c>
      <c r="W446" s="3">
        <f t="shared" si="31"/>
        <v>0</v>
      </c>
      <c r="X446" s="3">
        <f t="shared" si="32"/>
        <v>0</v>
      </c>
      <c r="Y446" s="3">
        <f t="shared" si="33"/>
        <v>0</v>
      </c>
      <c r="Z446" s="25">
        <f t="shared" si="34"/>
        <v>0</v>
      </c>
      <c r="AA446" s="26">
        <f>VLOOKUP(S446,CPI!$A$2:$F$71,6,0)</f>
        <v>1.244593545</v>
      </c>
      <c r="AB446" s="27">
        <f t="shared" si="110"/>
        <v>834.6667475</v>
      </c>
      <c r="AC446" s="27">
        <f t="shared" si="111"/>
        <v>340.6803051</v>
      </c>
      <c r="AD446" s="222" t="s">
        <v>60</v>
      </c>
      <c r="AE446" s="223" t="s">
        <v>778</v>
      </c>
      <c r="AF446" s="34"/>
      <c r="AG446" s="34"/>
      <c r="AH446" s="34"/>
      <c r="AI446" s="34"/>
      <c r="AJ446" s="35"/>
      <c r="AK446" s="35"/>
      <c r="AL446" s="35"/>
      <c r="AM446" s="54"/>
      <c r="AN446" s="54"/>
      <c r="AO446" s="54"/>
      <c r="AP446" s="54"/>
      <c r="AQ446" s="54"/>
    </row>
    <row r="447" ht="15.75" customHeight="1">
      <c r="A447" s="14">
        <v>9468.0</v>
      </c>
      <c r="B447" s="22" t="s">
        <v>230</v>
      </c>
      <c r="C447" s="22" t="s">
        <v>771</v>
      </c>
      <c r="D447" s="16" t="s">
        <v>57</v>
      </c>
      <c r="E447" s="22" t="s">
        <v>410</v>
      </c>
      <c r="F447" s="22"/>
      <c r="G447" s="22"/>
      <c r="H447" s="17">
        <v>0.0</v>
      </c>
      <c r="I447" s="17">
        <v>23.5</v>
      </c>
      <c r="J447" s="19">
        <f t="shared" ref="J447:J452" si="112">K447/I447</f>
        <v>0.7787234043</v>
      </c>
      <c r="K447" s="17">
        <v>18.3</v>
      </c>
      <c r="L447" s="177">
        <v>3.43</v>
      </c>
      <c r="M447" s="177">
        <v>1.975</v>
      </c>
      <c r="N447" s="17">
        <v>15.0</v>
      </c>
      <c r="O447" s="176"/>
      <c r="P447" s="68" t="s">
        <v>60</v>
      </c>
      <c r="Q447" s="23">
        <v>12126.0</v>
      </c>
      <c r="R447" s="22" t="s">
        <v>234</v>
      </c>
      <c r="S447" s="130">
        <v>2019.0</v>
      </c>
      <c r="T447" s="136">
        <v>0.238</v>
      </c>
      <c r="U447" s="118">
        <f t="shared" si="108"/>
        <v>2885.988</v>
      </c>
      <c r="V447" s="24">
        <f t="shared" si="109"/>
        <v>122.808</v>
      </c>
      <c r="W447" s="3">
        <f t="shared" si="31"/>
        <v>0</v>
      </c>
      <c r="X447" s="3">
        <f t="shared" si="32"/>
        <v>0</v>
      </c>
      <c r="Y447" s="3">
        <f t="shared" si="33"/>
        <v>0</v>
      </c>
      <c r="Z447" s="25">
        <f t="shared" si="34"/>
        <v>0</v>
      </c>
      <c r="AA447" s="26">
        <f>VLOOKUP(S447,CPI!$A$2:$F$71,6,0)</f>
        <v>1.259947899</v>
      </c>
      <c r="AB447" s="27">
        <f t="shared" si="110"/>
        <v>3636.194517</v>
      </c>
      <c r="AC447" s="27">
        <f t="shared" si="111"/>
        <v>154.7316816</v>
      </c>
      <c r="AD447" s="26" t="s">
        <v>60</v>
      </c>
      <c r="AE447" s="129" t="s">
        <v>774</v>
      </c>
      <c r="AF447" s="178"/>
      <c r="AG447" s="172"/>
      <c r="AH447" s="172"/>
      <c r="AI447" s="172"/>
      <c r="AJ447" s="32"/>
      <c r="AK447" s="32"/>
      <c r="AL447" s="32"/>
      <c r="AM447" s="31"/>
      <c r="AN447" s="31"/>
      <c r="AO447" s="31"/>
      <c r="AP447" s="31"/>
      <c r="AQ447" s="35"/>
    </row>
    <row r="448" ht="15.75" customHeight="1">
      <c r="A448" s="14">
        <v>9469.0</v>
      </c>
      <c r="B448" s="22" t="s">
        <v>230</v>
      </c>
      <c r="C448" s="22" t="s">
        <v>771</v>
      </c>
      <c r="D448" s="22" t="s">
        <v>54</v>
      </c>
      <c r="E448" s="22" t="s">
        <v>54</v>
      </c>
      <c r="F448" s="22"/>
      <c r="G448" s="22"/>
      <c r="H448" s="17">
        <v>0.0</v>
      </c>
      <c r="I448" s="17">
        <v>35.8</v>
      </c>
      <c r="J448" s="19">
        <f t="shared" si="112"/>
        <v>1</v>
      </c>
      <c r="K448" s="17">
        <f>I448</f>
        <v>35.8</v>
      </c>
      <c r="L448" s="177">
        <v>0.0</v>
      </c>
      <c r="M448" s="177">
        <v>0.0</v>
      </c>
      <c r="N448" s="17">
        <v>29.0</v>
      </c>
      <c r="O448" s="176"/>
      <c r="P448" s="68" t="s">
        <v>60</v>
      </c>
      <c r="Q448" s="23">
        <v>17787.0</v>
      </c>
      <c r="R448" s="22" t="s">
        <v>234</v>
      </c>
      <c r="S448" s="130">
        <v>2019.0</v>
      </c>
      <c r="T448" s="136">
        <v>0.238</v>
      </c>
      <c r="U448" s="118">
        <f t="shared" si="108"/>
        <v>4233.306</v>
      </c>
      <c r="V448" s="24">
        <f t="shared" si="109"/>
        <v>118.2487709</v>
      </c>
      <c r="W448" s="3">
        <f t="shared" si="31"/>
        <v>0</v>
      </c>
      <c r="X448" s="3">
        <f t="shared" si="32"/>
        <v>0</v>
      </c>
      <c r="Y448" s="3">
        <f t="shared" si="33"/>
        <v>0</v>
      </c>
      <c r="Z448" s="25">
        <f t="shared" si="34"/>
        <v>0</v>
      </c>
      <c r="AA448" s="26">
        <f>VLOOKUP(S448,CPI!$A$2:$F$71,6,0)</f>
        <v>1.259947899</v>
      </c>
      <c r="AB448" s="27">
        <f t="shared" si="110"/>
        <v>5333.745</v>
      </c>
      <c r="AC448" s="27">
        <f t="shared" si="111"/>
        <v>148.9872905</v>
      </c>
      <c r="AD448" s="26" t="s">
        <v>60</v>
      </c>
      <c r="AE448" s="129" t="s">
        <v>774</v>
      </c>
      <c r="AF448" s="178"/>
      <c r="AG448" s="172"/>
      <c r="AH448" s="172"/>
      <c r="AI448" s="172"/>
      <c r="AJ448" s="32"/>
      <c r="AK448" s="32"/>
      <c r="AL448" s="32"/>
      <c r="AM448" s="31"/>
      <c r="AN448" s="31"/>
      <c r="AO448" s="31"/>
      <c r="AP448" s="31"/>
      <c r="AQ448" s="35"/>
    </row>
    <row r="449" ht="15.75" customHeight="1">
      <c r="A449" s="14">
        <v>9470.0</v>
      </c>
      <c r="B449" s="22" t="s">
        <v>230</v>
      </c>
      <c r="C449" s="22" t="s">
        <v>771</v>
      </c>
      <c r="D449" s="36" t="s">
        <v>87</v>
      </c>
      <c r="E449" s="22" t="s">
        <v>87</v>
      </c>
      <c r="F449" s="22"/>
      <c r="G449" s="22"/>
      <c r="H449" s="17">
        <v>0.0</v>
      </c>
      <c r="I449" s="17">
        <v>41.5</v>
      </c>
      <c r="J449" s="19">
        <f t="shared" si="112"/>
        <v>0.4462650602</v>
      </c>
      <c r="K449" s="17">
        <v>18.52</v>
      </c>
      <c r="L449" s="177">
        <v>23.24</v>
      </c>
      <c r="M449" s="177">
        <v>0.0</v>
      </c>
      <c r="N449" s="17">
        <v>30.0</v>
      </c>
      <c r="O449" s="176"/>
      <c r="P449" s="68" t="s">
        <v>60</v>
      </c>
      <c r="Q449" s="23">
        <v>16858.0</v>
      </c>
      <c r="R449" s="22" t="s">
        <v>234</v>
      </c>
      <c r="S449" s="130">
        <v>2019.0</v>
      </c>
      <c r="T449" s="136">
        <v>0.238</v>
      </c>
      <c r="U449" s="118">
        <f t="shared" si="108"/>
        <v>4012.204</v>
      </c>
      <c r="V449" s="24">
        <f t="shared" si="109"/>
        <v>96.67961446</v>
      </c>
      <c r="W449" s="3">
        <f t="shared" si="31"/>
        <v>0</v>
      </c>
      <c r="X449" s="3">
        <f t="shared" si="32"/>
        <v>0</v>
      </c>
      <c r="Y449" s="3">
        <f t="shared" si="33"/>
        <v>0</v>
      </c>
      <c r="Z449" s="25">
        <f t="shared" si="34"/>
        <v>0</v>
      </c>
      <c r="AA449" s="26">
        <f>VLOOKUP(S449,CPI!$A$2:$F$71,6,0)</f>
        <v>1.259947899</v>
      </c>
      <c r="AB449" s="27">
        <f t="shared" si="110"/>
        <v>5055.168</v>
      </c>
      <c r="AC449" s="27">
        <f t="shared" si="111"/>
        <v>121.8112771</v>
      </c>
      <c r="AD449" s="26" t="s">
        <v>60</v>
      </c>
      <c r="AE449" s="129" t="s">
        <v>774</v>
      </c>
      <c r="AF449" s="130"/>
      <c r="AG449" s="130"/>
      <c r="AH449" s="130"/>
      <c r="AI449" s="130"/>
      <c r="AJ449" s="33"/>
      <c r="AK449" s="33"/>
      <c r="AL449" s="33"/>
      <c r="AM449" s="54"/>
      <c r="AN449" s="54"/>
      <c r="AO449" s="54"/>
      <c r="AP449" s="54"/>
      <c r="AQ449" s="54"/>
    </row>
    <row r="450" ht="15.75" customHeight="1">
      <c r="A450" s="14">
        <v>9475.0</v>
      </c>
      <c r="B450" s="22" t="s">
        <v>230</v>
      </c>
      <c r="C450" s="22" t="s">
        <v>771</v>
      </c>
      <c r="D450" s="16" t="s">
        <v>110</v>
      </c>
      <c r="E450" s="22" t="s">
        <v>358</v>
      </c>
      <c r="F450" s="22"/>
      <c r="G450" s="22"/>
      <c r="H450" s="17">
        <v>0.0</v>
      </c>
      <c r="I450" s="17">
        <v>15.94</v>
      </c>
      <c r="J450" s="19">
        <f t="shared" si="112"/>
        <v>0.3193224592</v>
      </c>
      <c r="K450" s="17">
        <v>5.09</v>
      </c>
      <c r="L450" s="177">
        <v>10.9986</v>
      </c>
      <c r="M450" s="177">
        <v>0.0</v>
      </c>
      <c r="N450" s="17">
        <v>10.0</v>
      </c>
      <c r="O450" s="176"/>
      <c r="P450" s="68" t="s">
        <v>60</v>
      </c>
      <c r="Q450" s="23">
        <v>5799.0</v>
      </c>
      <c r="R450" s="22" t="s">
        <v>234</v>
      </c>
      <c r="S450" s="130">
        <v>2019.0</v>
      </c>
      <c r="T450" s="136">
        <v>0.238</v>
      </c>
      <c r="U450" s="118">
        <f t="shared" si="108"/>
        <v>1380.162</v>
      </c>
      <c r="V450" s="24">
        <f t="shared" si="109"/>
        <v>86.58481807</v>
      </c>
      <c r="W450" s="3">
        <f t="shared" si="31"/>
        <v>0</v>
      </c>
      <c r="X450" s="3">
        <f t="shared" si="32"/>
        <v>0</v>
      </c>
      <c r="Y450" s="3">
        <f t="shared" si="33"/>
        <v>0</v>
      </c>
      <c r="Z450" s="25">
        <f t="shared" si="34"/>
        <v>0</v>
      </c>
      <c r="AA450" s="26">
        <f>VLOOKUP(S450,CPI!$A$2:$F$71,6,0)</f>
        <v>1.259947899</v>
      </c>
      <c r="AB450" s="27">
        <f t="shared" si="110"/>
        <v>1738.932212</v>
      </c>
      <c r="AC450" s="27">
        <f t="shared" si="111"/>
        <v>109.0923596</v>
      </c>
      <c r="AD450" s="26" t="s">
        <v>60</v>
      </c>
      <c r="AE450" s="129" t="s">
        <v>774</v>
      </c>
      <c r="AF450" s="178"/>
      <c r="AG450" s="172"/>
      <c r="AH450" s="172"/>
      <c r="AI450" s="172"/>
      <c r="AJ450" s="32"/>
      <c r="AK450" s="32"/>
      <c r="AL450" s="32"/>
      <c r="AM450" s="32"/>
      <c r="AN450" s="32"/>
      <c r="AO450" s="32"/>
      <c r="AP450" s="32"/>
      <c r="AQ450" s="33"/>
    </row>
    <row r="451" ht="15.75" customHeight="1">
      <c r="A451" s="14">
        <v>9476.0</v>
      </c>
      <c r="B451" s="22" t="s">
        <v>230</v>
      </c>
      <c r="C451" s="22" t="s">
        <v>771</v>
      </c>
      <c r="D451" s="36" t="s">
        <v>84</v>
      </c>
      <c r="E451" s="22" t="s">
        <v>84</v>
      </c>
      <c r="F451" s="22"/>
      <c r="G451" s="22"/>
      <c r="H451" s="17">
        <v>0.0</v>
      </c>
      <c r="I451" s="17">
        <v>40.1</v>
      </c>
      <c r="J451" s="19">
        <f t="shared" si="112"/>
        <v>0.8927680798</v>
      </c>
      <c r="K451" s="17">
        <v>35.8</v>
      </c>
      <c r="L451" s="177">
        <v>4.411</v>
      </c>
      <c r="M451" s="177">
        <v>0.0</v>
      </c>
      <c r="N451" s="17">
        <v>27.0</v>
      </c>
      <c r="O451" s="176"/>
      <c r="P451" s="68" t="s">
        <v>60</v>
      </c>
      <c r="Q451" s="23">
        <v>20558.0</v>
      </c>
      <c r="R451" s="22" t="s">
        <v>234</v>
      </c>
      <c r="S451" s="130">
        <v>2019.0</v>
      </c>
      <c r="T451" s="136">
        <v>0.238</v>
      </c>
      <c r="U451" s="118">
        <f t="shared" si="108"/>
        <v>4892.804</v>
      </c>
      <c r="V451" s="24">
        <f t="shared" si="109"/>
        <v>122.0150623</v>
      </c>
      <c r="W451" s="3">
        <f t="shared" si="31"/>
        <v>0</v>
      </c>
      <c r="X451" s="3">
        <f t="shared" si="32"/>
        <v>0</v>
      </c>
      <c r="Y451" s="3">
        <f t="shared" si="33"/>
        <v>0</v>
      </c>
      <c r="Z451" s="25">
        <f t="shared" si="34"/>
        <v>0</v>
      </c>
      <c r="AA451" s="26">
        <f>VLOOKUP(S451,CPI!$A$2:$F$71,6,0)</f>
        <v>1.259947899</v>
      </c>
      <c r="AB451" s="27">
        <f t="shared" si="110"/>
        <v>6164.67812</v>
      </c>
      <c r="AC451" s="27">
        <f t="shared" si="111"/>
        <v>153.7326214</v>
      </c>
      <c r="AD451" s="26" t="s">
        <v>60</v>
      </c>
      <c r="AE451" s="129" t="s">
        <v>774</v>
      </c>
      <c r="AF451" s="178"/>
      <c r="AG451" s="172"/>
      <c r="AH451" s="172"/>
      <c r="AI451" s="172"/>
      <c r="AJ451" s="32"/>
      <c r="AK451" s="32"/>
      <c r="AL451" s="32"/>
      <c r="AM451" s="32"/>
      <c r="AN451" s="32"/>
      <c r="AO451" s="32"/>
      <c r="AP451" s="32"/>
      <c r="AQ451" s="33"/>
    </row>
    <row r="452" ht="15.75" customHeight="1">
      <c r="A452" s="14">
        <v>9478.0</v>
      </c>
      <c r="B452" s="22" t="s">
        <v>230</v>
      </c>
      <c r="C452" s="22" t="s">
        <v>771</v>
      </c>
      <c r="D452" s="22" t="s">
        <v>253</v>
      </c>
      <c r="E452" s="22" t="s">
        <v>253</v>
      </c>
      <c r="F452" s="22"/>
      <c r="G452" s="22"/>
      <c r="H452" s="17">
        <v>0.0</v>
      </c>
      <c r="I452" s="17">
        <v>25.33</v>
      </c>
      <c r="J452" s="19">
        <f t="shared" si="112"/>
        <v>1</v>
      </c>
      <c r="K452" s="17">
        <f>I452</f>
        <v>25.33</v>
      </c>
      <c r="L452" s="177">
        <v>0.0</v>
      </c>
      <c r="M452" s="177">
        <v>0.0</v>
      </c>
      <c r="N452" s="17">
        <v>22.0</v>
      </c>
      <c r="O452" s="176"/>
      <c r="P452" s="68" t="s">
        <v>60</v>
      </c>
      <c r="Q452" s="23">
        <v>22371.0</v>
      </c>
      <c r="R452" s="22" t="s">
        <v>234</v>
      </c>
      <c r="S452" s="130">
        <v>2019.0</v>
      </c>
      <c r="T452" s="136">
        <v>0.238</v>
      </c>
      <c r="U452" s="118">
        <f t="shared" si="108"/>
        <v>5324.298</v>
      </c>
      <c r="V452" s="24">
        <f t="shared" si="109"/>
        <v>210.1973154</v>
      </c>
      <c r="W452" s="3">
        <f t="shared" si="31"/>
        <v>0</v>
      </c>
      <c r="X452" s="3">
        <f t="shared" si="32"/>
        <v>0</v>
      </c>
      <c r="Y452" s="3">
        <f t="shared" si="33"/>
        <v>0</v>
      </c>
      <c r="Z452" s="25">
        <f t="shared" si="34"/>
        <v>0</v>
      </c>
      <c r="AA452" s="26">
        <f>VLOOKUP(S452,CPI!$A$2:$F$71,6,0)</f>
        <v>1.259947899</v>
      </c>
      <c r="AB452" s="27">
        <f t="shared" si="110"/>
        <v>6708.338078</v>
      </c>
      <c r="AC452" s="27">
        <f t="shared" si="111"/>
        <v>264.8376659</v>
      </c>
      <c r="AD452" s="26" t="s">
        <v>60</v>
      </c>
      <c r="AE452" s="129" t="s">
        <v>774</v>
      </c>
      <c r="AF452" s="178"/>
      <c r="AG452" s="172"/>
      <c r="AH452" s="172"/>
      <c r="AI452" s="172"/>
      <c r="AJ452" s="32"/>
      <c r="AK452" s="32"/>
      <c r="AL452" s="32"/>
      <c r="AM452" s="32"/>
      <c r="AN452" s="32"/>
      <c r="AO452" s="32"/>
      <c r="AP452" s="32"/>
      <c r="AQ452" s="33"/>
    </row>
    <row r="453" ht="15.75" customHeight="1">
      <c r="A453" s="163"/>
      <c r="B453" s="114" t="s">
        <v>230</v>
      </c>
      <c r="C453" s="114" t="s">
        <v>806</v>
      </c>
      <c r="D453" s="114" t="s">
        <v>324</v>
      </c>
      <c r="E453" s="114" t="s">
        <v>324</v>
      </c>
      <c r="F453" s="116">
        <v>2012.0</v>
      </c>
      <c r="G453" s="116">
        <v>2020.0</v>
      </c>
      <c r="H453" s="116">
        <v>0.0</v>
      </c>
      <c r="I453" s="116">
        <v>59.6</v>
      </c>
      <c r="J453" s="117">
        <v>1.0</v>
      </c>
      <c r="K453" s="116">
        <v>59.6</v>
      </c>
      <c r="L453" s="114"/>
      <c r="M453" s="114"/>
      <c r="N453" s="116">
        <v>52.0</v>
      </c>
      <c r="O453" s="116">
        <v>138.0</v>
      </c>
      <c r="P453" s="114"/>
      <c r="Q453" s="140">
        <v>42190.0</v>
      </c>
      <c r="R453" s="114" t="s">
        <v>234</v>
      </c>
      <c r="S453" s="115">
        <v>2016.0</v>
      </c>
      <c r="T453" s="85">
        <v>0.251</v>
      </c>
      <c r="U453" s="118">
        <f t="shared" si="108"/>
        <v>10589.69</v>
      </c>
      <c r="V453" s="24">
        <f t="shared" si="109"/>
        <v>177.6793624</v>
      </c>
      <c r="W453" s="3">
        <f t="shared" si="31"/>
        <v>0</v>
      </c>
      <c r="X453" s="3">
        <f t="shared" si="32"/>
        <v>0</v>
      </c>
      <c r="Y453" s="3">
        <f t="shared" si="33"/>
        <v>0</v>
      </c>
      <c r="Z453" s="25">
        <f t="shared" si="34"/>
        <v>0</v>
      </c>
      <c r="AA453" s="26">
        <f>VLOOKUP(S453,CPI!$A$2:$F$71,6,0)</f>
        <v>1.342104605</v>
      </c>
      <c r="AB453" s="27">
        <f t="shared" si="110"/>
        <v>14212.47172</v>
      </c>
      <c r="AC453" s="27">
        <f t="shared" si="111"/>
        <v>238.4642906</v>
      </c>
      <c r="AD453" s="114"/>
      <c r="AE453" s="119" t="s">
        <v>807</v>
      </c>
      <c r="AF453" s="114"/>
      <c r="AG453" s="114"/>
      <c r="AH453" s="114"/>
      <c r="AI453" s="114"/>
      <c r="AJ453" s="206"/>
      <c r="AK453" s="206"/>
      <c r="AL453" s="206"/>
      <c r="AM453" s="54"/>
      <c r="AN453" s="54"/>
      <c r="AO453" s="54"/>
      <c r="AP453" s="54"/>
      <c r="AQ453" s="54"/>
    </row>
    <row r="454" ht="15.75" customHeight="1">
      <c r="A454" s="163"/>
      <c r="B454" s="114" t="s">
        <v>230</v>
      </c>
      <c r="C454" s="114" t="s">
        <v>806</v>
      </c>
      <c r="D454" s="115" t="s">
        <v>57</v>
      </c>
      <c r="E454" s="115" t="s">
        <v>410</v>
      </c>
      <c r="F454" s="116">
        <v>2012.0</v>
      </c>
      <c r="G454" s="116">
        <v>2021.0</v>
      </c>
      <c r="H454" s="116">
        <v>0.0</v>
      </c>
      <c r="I454" s="116">
        <v>12.7</v>
      </c>
      <c r="J454" s="117">
        <v>1.0</v>
      </c>
      <c r="K454" s="116">
        <v>12.7</v>
      </c>
      <c r="L454" s="114"/>
      <c r="M454" s="114"/>
      <c r="N454" s="116">
        <v>7.0</v>
      </c>
      <c r="O454" s="116">
        <v>138.0</v>
      </c>
      <c r="P454" s="114"/>
      <c r="Q454" s="140">
        <v>7731.0</v>
      </c>
      <c r="R454" s="114" t="s">
        <v>234</v>
      </c>
      <c r="S454" s="115">
        <v>2016.0</v>
      </c>
      <c r="T454" s="85">
        <v>0.251</v>
      </c>
      <c r="U454" s="118">
        <f t="shared" si="108"/>
        <v>1940.481</v>
      </c>
      <c r="V454" s="24">
        <f t="shared" si="109"/>
        <v>152.7937795</v>
      </c>
      <c r="W454" s="3">
        <f t="shared" si="31"/>
        <v>0</v>
      </c>
      <c r="X454" s="3">
        <f t="shared" si="32"/>
        <v>0</v>
      </c>
      <c r="Y454" s="3">
        <f t="shared" si="33"/>
        <v>0</v>
      </c>
      <c r="Z454" s="25">
        <f t="shared" si="34"/>
        <v>0</v>
      </c>
      <c r="AA454" s="26">
        <f>VLOOKUP(S454,CPI!$A$2:$F$71,6,0)</f>
        <v>1.342104605</v>
      </c>
      <c r="AB454" s="27">
        <f t="shared" si="110"/>
        <v>2604.328487</v>
      </c>
      <c r="AC454" s="27">
        <f t="shared" si="111"/>
        <v>205.0652352</v>
      </c>
      <c r="AD454" s="114"/>
      <c r="AE454" s="119" t="s">
        <v>808</v>
      </c>
      <c r="AF454" s="119" t="s">
        <v>809</v>
      </c>
      <c r="AJ454" s="206"/>
      <c r="AK454" s="206"/>
      <c r="AL454" s="206"/>
      <c r="AM454" s="54"/>
      <c r="AN454" s="54"/>
      <c r="AO454" s="54"/>
      <c r="AP454" s="54"/>
      <c r="AQ454" s="54"/>
    </row>
    <row r="455" ht="15.75" customHeight="1">
      <c r="A455" s="163"/>
      <c r="B455" s="114" t="s">
        <v>230</v>
      </c>
      <c r="C455" s="114" t="s">
        <v>806</v>
      </c>
      <c r="D455" s="115" t="s">
        <v>87</v>
      </c>
      <c r="E455" s="115" t="s">
        <v>357</v>
      </c>
      <c r="F455" s="116">
        <v>2012.0</v>
      </c>
      <c r="G455" s="116">
        <v>2021.0</v>
      </c>
      <c r="H455" s="116">
        <v>0.0</v>
      </c>
      <c r="I455" s="116">
        <v>8.1</v>
      </c>
      <c r="J455" s="117">
        <v>1.0</v>
      </c>
      <c r="K455" s="116">
        <v>8.1</v>
      </c>
      <c r="L455" s="114"/>
      <c r="M455" s="114"/>
      <c r="N455" s="116">
        <v>5.0</v>
      </c>
      <c r="O455" s="116">
        <v>138.0</v>
      </c>
      <c r="P455" s="114"/>
      <c r="Q455" s="140">
        <v>5465.0</v>
      </c>
      <c r="R455" s="114" t="s">
        <v>234</v>
      </c>
      <c r="S455" s="115">
        <v>2016.0</v>
      </c>
      <c r="T455" s="85">
        <v>0.251</v>
      </c>
      <c r="U455" s="118">
        <f t="shared" si="108"/>
        <v>1371.715</v>
      </c>
      <c r="V455" s="24">
        <f t="shared" si="109"/>
        <v>169.3475309</v>
      </c>
      <c r="W455" s="3">
        <f t="shared" si="31"/>
        <v>0</v>
      </c>
      <c r="X455" s="3">
        <f t="shared" si="32"/>
        <v>0</v>
      </c>
      <c r="Y455" s="3">
        <f t="shared" si="33"/>
        <v>0</v>
      </c>
      <c r="Z455" s="25">
        <f t="shared" si="34"/>
        <v>0</v>
      </c>
      <c r="AA455" s="26">
        <f>VLOOKUP(S455,CPI!$A$2:$F$71,6,0)</f>
        <v>1.342104605</v>
      </c>
      <c r="AB455" s="27">
        <f t="shared" si="110"/>
        <v>1840.985019</v>
      </c>
      <c r="AC455" s="27">
        <f t="shared" si="111"/>
        <v>227.2821011</v>
      </c>
      <c r="AD455" s="114"/>
      <c r="AE455" s="119" t="s">
        <v>810</v>
      </c>
      <c r="AF455" s="167" t="s">
        <v>809</v>
      </c>
      <c r="AG455" s="168"/>
      <c r="AH455" s="168"/>
      <c r="AI455" s="169"/>
      <c r="AJ455" s="166"/>
      <c r="AK455" s="166"/>
      <c r="AL455" s="166"/>
      <c r="AM455" s="31"/>
      <c r="AN455" s="31"/>
      <c r="AO455" s="31"/>
      <c r="AP455" s="31"/>
      <c r="AQ455" s="35"/>
    </row>
    <row r="456" ht="15.75" customHeight="1">
      <c r="A456" s="163"/>
      <c r="B456" s="114" t="s">
        <v>230</v>
      </c>
      <c r="C456" s="114" t="s">
        <v>806</v>
      </c>
      <c r="D456" s="114" t="s">
        <v>110</v>
      </c>
      <c r="E456" s="114" t="s">
        <v>110</v>
      </c>
      <c r="F456" s="116">
        <v>2020.0</v>
      </c>
      <c r="G456" s="114"/>
      <c r="H456" s="116">
        <v>0.0</v>
      </c>
      <c r="I456" s="116">
        <v>24.4</v>
      </c>
      <c r="J456" s="117">
        <v>1.0</v>
      </c>
      <c r="K456" s="116">
        <v>24.4</v>
      </c>
      <c r="L456" s="114"/>
      <c r="M456" s="114"/>
      <c r="N456" s="116">
        <v>21.0</v>
      </c>
      <c r="O456" s="116"/>
      <c r="P456" s="114"/>
      <c r="Q456" s="140">
        <v>17201.0</v>
      </c>
      <c r="R456" s="114" t="s">
        <v>234</v>
      </c>
      <c r="S456" s="115">
        <v>2020.0</v>
      </c>
      <c r="T456" s="136">
        <v>0.239</v>
      </c>
      <c r="U456" s="118">
        <f t="shared" si="108"/>
        <v>4111.039</v>
      </c>
      <c r="V456" s="24">
        <f t="shared" si="109"/>
        <v>168.4852049</v>
      </c>
      <c r="W456" s="3">
        <f t="shared" si="31"/>
        <v>0</v>
      </c>
      <c r="X456" s="3">
        <f t="shared" si="32"/>
        <v>0</v>
      </c>
      <c r="Y456" s="3">
        <f t="shared" si="33"/>
        <v>0</v>
      </c>
      <c r="Z456" s="25">
        <f t="shared" si="34"/>
        <v>0</v>
      </c>
      <c r="AA456" s="26">
        <f>VLOOKUP(S456,CPI!$A$2:$F$71,6,0)</f>
        <v>1.244593545</v>
      </c>
      <c r="AB456" s="27">
        <f t="shared" si="110"/>
        <v>5116.572603</v>
      </c>
      <c r="AC456" s="27">
        <f t="shared" si="111"/>
        <v>209.6955985</v>
      </c>
      <c r="AD456" s="72" t="s">
        <v>36</v>
      </c>
      <c r="AE456" s="119" t="s">
        <v>811</v>
      </c>
      <c r="AF456" s="7"/>
      <c r="AG456" s="7"/>
      <c r="AH456" s="7"/>
      <c r="AI456" s="7"/>
      <c r="AM456" s="54"/>
      <c r="AN456" s="54"/>
      <c r="AO456" s="54"/>
      <c r="AP456" s="54"/>
      <c r="AQ456" s="54"/>
    </row>
    <row r="457" ht="15.75" customHeight="1">
      <c r="A457" s="163"/>
      <c r="B457" s="114" t="s">
        <v>230</v>
      </c>
      <c r="C457" s="114" t="s">
        <v>806</v>
      </c>
      <c r="D457" s="16" t="s">
        <v>80</v>
      </c>
      <c r="E457" s="115" t="s">
        <v>255</v>
      </c>
      <c r="F457" s="116">
        <v>2020.0</v>
      </c>
      <c r="G457" s="114"/>
      <c r="H457" s="116">
        <v>0.0</v>
      </c>
      <c r="I457" s="116">
        <v>15.76</v>
      </c>
      <c r="J457" s="117">
        <v>1.0</v>
      </c>
      <c r="K457" s="116">
        <v>15.76</v>
      </c>
      <c r="L457" s="114"/>
      <c r="M457" s="114"/>
      <c r="N457" s="116">
        <v>11.0</v>
      </c>
      <c r="O457" s="116"/>
      <c r="P457" s="114"/>
      <c r="Q457" s="140">
        <v>10063.0</v>
      </c>
      <c r="R457" s="114" t="s">
        <v>234</v>
      </c>
      <c r="S457" s="115">
        <v>2020.0</v>
      </c>
      <c r="T457" s="136">
        <v>0.239</v>
      </c>
      <c r="U457" s="118">
        <f t="shared" si="108"/>
        <v>2405.057</v>
      </c>
      <c r="V457" s="24">
        <f t="shared" si="109"/>
        <v>152.6051396</v>
      </c>
      <c r="W457" s="3">
        <f t="shared" si="31"/>
        <v>0</v>
      </c>
      <c r="X457" s="3">
        <f t="shared" si="32"/>
        <v>0</v>
      </c>
      <c r="Y457" s="3">
        <f t="shared" si="33"/>
        <v>0</v>
      </c>
      <c r="Z457" s="25">
        <f t="shared" si="34"/>
        <v>0</v>
      </c>
      <c r="AA457" s="26">
        <f>VLOOKUP(S457,CPI!$A$2:$F$71,6,0)</f>
        <v>1.244593545</v>
      </c>
      <c r="AB457" s="27">
        <f t="shared" si="110"/>
        <v>2993.318418</v>
      </c>
      <c r="AC457" s="27">
        <f t="shared" si="111"/>
        <v>189.9313717</v>
      </c>
      <c r="AD457" s="72" t="s">
        <v>36</v>
      </c>
      <c r="AE457" s="119" t="s">
        <v>812</v>
      </c>
      <c r="AF457" s="173"/>
      <c r="AG457" s="174"/>
      <c r="AH457" s="174"/>
      <c r="AI457" s="174"/>
      <c r="AJ457" s="175"/>
      <c r="AK457" s="175"/>
      <c r="AL457" s="175"/>
      <c r="AM457" s="31"/>
      <c r="AN457" s="31"/>
      <c r="AO457" s="31"/>
      <c r="AP457" s="31"/>
      <c r="AQ457" s="35"/>
    </row>
    <row r="458" ht="15.75" customHeight="1">
      <c r="A458" s="7"/>
      <c r="B458" s="114" t="s">
        <v>230</v>
      </c>
      <c r="C458" s="114" t="s">
        <v>813</v>
      </c>
      <c r="D458" s="114" t="s">
        <v>54</v>
      </c>
      <c r="E458" s="114" t="s">
        <v>54</v>
      </c>
      <c r="F458" s="116">
        <v>2009.0</v>
      </c>
      <c r="G458" s="116">
        <v>2014.0</v>
      </c>
      <c r="H458" s="116">
        <v>0.0</v>
      </c>
      <c r="I458" s="116">
        <v>26.557</v>
      </c>
      <c r="J458" s="117">
        <v>0.7</v>
      </c>
      <c r="K458" s="116">
        <v>18.709</v>
      </c>
      <c r="L458" s="114"/>
      <c r="M458" s="114"/>
      <c r="N458" s="116">
        <v>22.0</v>
      </c>
      <c r="O458" s="116">
        <v>117.0</v>
      </c>
      <c r="P458" s="114"/>
      <c r="Q458" s="140">
        <v>15600.0</v>
      </c>
      <c r="R458" s="114" t="s">
        <v>234</v>
      </c>
      <c r="S458" s="115">
        <v>2012.0</v>
      </c>
      <c r="T458" s="85">
        <v>0.281</v>
      </c>
      <c r="U458" s="118">
        <f t="shared" si="108"/>
        <v>4383.6</v>
      </c>
      <c r="V458" s="24">
        <f t="shared" si="109"/>
        <v>165.063825</v>
      </c>
      <c r="W458" s="3">
        <f t="shared" si="31"/>
        <v>0</v>
      </c>
      <c r="X458" s="3">
        <f t="shared" si="32"/>
        <v>0</v>
      </c>
      <c r="Y458" s="3">
        <f t="shared" si="33"/>
        <v>0</v>
      </c>
      <c r="Z458" s="25">
        <f t="shared" si="34"/>
        <v>0</v>
      </c>
      <c r="AA458" s="26">
        <f>VLOOKUP(S458,CPI!$A$2:$F$71,6,0)</f>
        <v>1.402974381</v>
      </c>
      <c r="AB458" s="27">
        <f t="shared" si="110"/>
        <v>6150.078496</v>
      </c>
      <c r="AC458" s="27">
        <f t="shared" si="111"/>
        <v>231.5803177</v>
      </c>
      <c r="AD458" s="114"/>
      <c r="AE458" s="119" t="s">
        <v>814</v>
      </c>
      <c r="AF458" s="164"/>
      <c r="AG458" s="165"/>
      <c r="AH458" s="165"/>
      <c r="AI458" s="165"/>
      <c r="AJ458" s="166"/>
      <c r="AK458" s="166"/>
      <c r="AL458" s="166"/>
      <c r="AM458" s="31"/>
      <c r="AN458" s="31"/>
      <c r="AO458" s="31"/>
      <c r="AP458" s="31"/>
      <c r="AQ458" s="35"/>
    </row>
    <row r="459" ht="15.75" customHeight="1">
      <c r="A459" s="7"/>
      <c r="B459" s="114" t="s">
        <v>230</v>
      </c>
      <c r="C459" s="114" t="s">
        <v>813</v>
      </c>
      <c r="D459" s="114" t="s">
        <v>84</v>
      </c>
      <c r="E459" s="114" t="s">
        <v>84</v>
      </c>
      <c r="F459" s="116">
        <v>2020.0</v>
      </c>
      <c r="G459" s="114"/>
      <c r="H459" s="116">
        <v>0.0</v>
      </c>
      <c r="I459" s="116">
        <v>44.1</v>
      </c>
      <c r="J459" s="117">
        <v>0.99</v>
      </c>
      <c r="K459" s="116">
        <v>43.6</v>
      </c>
      <c r="L459" s="114"/>
      <c r="M459" s="114"/>
      <c r="N459" s="116">
        <v>34.0</v>
      </c>
      <c r="O459" s="116">
        <v>117.0</v>
      </c>
      <c r="P459" s="114"/>
      <c r="Q459" s="140">
        <v>28308.0</v>
      </c>
      <c r="R459" s="114" t="s">
        <v>234</v>
      </c>
      <c r="S459" s="115">
        <v>2020.0</v>
      </c>
      <c r="T459" s="136">
        <v>0.239</v>
      </c>
      <c r="U459" s="118">
        <f t="shared" si="108"/>
        <v>6765.612</v>
      </c>
      <c r="V459" s="24">
        <f t="shared" si="109"/>
        <v>153.4152381</v>
      </c>
      <c r="W459" s="3">
        <f t="shared" si="31"/>
        <v>0</v>
      </c>
      <c r="X459" s="3">
        <f t="shared" si="32"/>
        <v>0</v>
      </c>
      <c r="Y459" s="3">
        <f t="shared" si="33"/>
        <v>0</v>
      </c>
      <c r="Z459" s="25">
        <f t="shared" si="34"/>
        <v>0</v>
      </c>
      <c r="AA459" s="26">
        <f>VLOOKUP(S459,CPI!$A$2:$F$71,6,0)</f>
        <v>1.244593545</v>
      </c>
      <c r="AB459" s="27">
        <f t="shared" si="110"/>
        <v>8420.437024</v>
      </c>
      <c r="AC459" s="27">
        <f t="shared" si="111"/>
        <v>190.9396151</v>
      </c>
      <c r="AD459" s="114"/>
      <c r="AE459" s="119" t="s">
        <v>815</v>
      </c>
      <c r="AF459" s="164"/>
      <c r="AG459" s="165"/>
      <c r="AH459" s="165"/>
      <c r="AI459" s="165"/>
      <c r="AJ459" s="166"/>
      <c r="AK459" s="166"/>
      <c r="AL459" s="166"/>
      <c r="AM459" s="32"/>
      <c r="AN459" s="32"/>
      <c r="AO459" s="32"/>
      <c r="AP459" s="32"/>
      <c r="AQ459" s="33"/>
    </row>
    <row r="460" ht="15.75" customHeight="1">
      <c r="A460" s="38">
        <v>8009.0</v>
      </c>
      <c r="B460" s="72" t="s">
        <v>230</v>
      </c>
      <c r="C460" s="72" t="s">
        <v>813</v>
      </c>
      <c r="D460" s="72" t="s">
        <v>80</v>
      </c>
      <c r="E460" s="72" t="s">
        <v>80</v>
      </c>
      <c r="F460" s="69">
        <v>2020.0</v>
      </c>
      <c r="G460" s="72"/>
      <c r="H460" s="69">
        <v>0.0</v>
      </c>
      <c r="I460" s="69">
        <v>36.2</v>
      </c>
      <c r="J460" s="117">
        <v>1.0</v>
      </c>
      <c r="K460" s="69">
        <v>36.2</v>
      </c>
      <c r="L460" s="72"/>
      <c r="M460" s="72"/>
      <c r="N460" s="69">
        <v>31.0</v>
      </c>
      <c r="O460" s="69">
        <v>117.0</v>
      </c>
      <c r="P460" s="72"/>
      <c r="Q460" s="140">
        <v>23960.0</v>
      </c>
      <c r="R460" s="72" t="s">
        <v>234</v>
      </c>
      <c r="S460" s="115">
        <v>2020.0</v>
      </c>
      <c r="T460" s="136">
        <v>0.239</v>
      </c>
      <c r="U460" s="118">
        <f t="shared" si="108"/>
        <v>5726.44</v>
      </c>
      <c r="V460" s="24">
        <f t="shared" si="109"/>
        <v>158.1889503</v>
      </c>
      <c r="W460" s="3">
        <f t="shared" si="31"/>
        <v>0</v>
      </c>
      <c r="X460" s="3">
        <f t="shared" si="32"/>
        <v>0</v>
      </c>
      <c r="Y460" s="3">
        <f t="shared" si="33"/>
        <v>0</v>
      </c>
      <c r="Z460" s="25">
        <f t="shared" si="34"/>
        <v>0</v>
      </c>
      <c r="AA460" s="26">
        <f>VLOOKUP(S460,CPI!$A$2:$F$71,6,0)</f>
        <v>1.244593545</v>
      </c>
      <c r="AB460" s="27">
        <f t="shared" si="110"/>
        <v>7127.09026</v>
      </c>
      <c r="AC460" s="27">
        <f t="shared" si="111"/>
        <v>196.8809464</v>
      </c>
      <c r="AD460" s="72" t="s">
        <v>36</v>
      </c>
      <c r="AE460" s="79" t="s">
        <v>816</v>
      </c>
      <c r="AF460" s="186"/>
      <c r="AG460" s="187"/>
      <c r="AH460" s="187"/>
      <c r="AI460" s="187"/>
      <c r="AJ460" s="81"/>
      <c r="AK460" s="81"/>
      <c r="AL460" s="81"/>
      <c r="AM460" s="181"/>
      <c r="AN460" s="181"/>
      <c r="AO460" s="181"/>
      <c r="AP460" s="181"/>
      <c r="AQ460" s="207"/>
    </row>
    <row r="461" ht="15.75" customHeight="1">
      <c r="A461" s="170">
        <v>7920.0</v>
      </c>
      <c r="B461" s="72" t="s">
        <v>230</v>
      </c>
      <c r="C461" s="72" t="s">
        <v>813</v>
      </c>
      <c r="D461" s="72" t="s">
        <v>228</v>
      </c>
      <c r="E461" s="72" t="s">
        <v>228</v>
      </c>
      <c r="F461" s="69">
        <v>2021.0</v>
      </c>
      <c r="G461" s="72"/>
      <c r="H461" s="69">
        <v>0.0</v>
      </c>
      <c r="I461" s="69">
        <v>29.6</v>
      </c>
      <c r="J461" s="117">
        <v>1.0</v>
      </c>
      <c r="K461" s="69">
        <v>29.6</v>
      </c>
      <c r="L461" s="72"/>
      <c r="M461" s="72"/>
      <c r="N461" s="69">
        <v>25.0</v>
      </c>
      <c r="O461" s="69">
        <v>117.0</v>
      </c>
      <c r="P461" s="72"/>
      <c r="Q461" s="140">
        <v>21993.0</v>
      </c>
      <c r="R461" s="72" t="s">
        <v>234</v>
      </c>
      <c r="S461" s="115">
        <v>2021.0</v>
      </c>
      <c r="T461" s="136">
        <v>0.239</v>
      </c>
      <c r="U461" s="118">
        <f t="shared" si="108"/>
        <v>5256.327</v>
      </c>
      <c r="V461" s="24">
        <f t="shared" si="109"/>
        <v>177.5786149</v>
      </c>
      <c r="W461" s="3">
        <f t="shared" si="31"/>
        <v>0</v>
      </c>
      <c r="X461" s="3">
        <f t="shared" si="32"/>
        <v>0</v>
      </c>
      <c r="Y461" s="3">
        <f t="shared" si="33"/>
        <v>0</v>
      </c>
      <c r="Z461" s="25">
        <f t="shared" si="34"/>
        <v>0</v>
      </c>
      <c r="AA461" s="26">
        <f>VLOOKUP(S461,CPI!$A$2:$F$71,6,0)</f>
        <v>1.188745987</v>
      </c>
      <c r="AB461" s="27">
        <f t="shared" si="110"/>
        <v>6248.437626</v>
      </c>
      <c r="AC461" s="27">
        <f t="shared" si="111"/>
        <v>211.0958657</v>
      </c>
      <c r="AD461" s="72" t="s">
        <v>36</v>
      </c>
      <c r="AE461" s="79" t="s">
        <v>817</v>
      </c>
      <c r="AF461" s="186"/>
      <c r="AG461" s="187"/>
      <c r="AH461" s="187"/>
      <c r="AI461" s="187"/>
      <c r="AJ461" s="81"/>
      <c r="AK461" s="81"/>
      <c r="AL461" s="81"/>
      <c r="AM461" s="32"/>
      <c r="AN461" s="32"/>
      <c r="AO461" s="32"/>
      <c r="AP461" s="32"/>
      <c r="AQ461" s="33"/>
    </row>
    <row r="462" ht="15.75" customHeight="1">
      <c r="A462" s="38">
        <v>7995.0</v>
      </c>
      <c r="B462" s="130" t="s">
        <v>230</v>
      </c>
      <c r="C462" s="130" t="s">
        <v>813</v>
      </c>
      <c r="D462" s="130" t="s">
        <v>243</v>
      </c>
      <c r="E462" s="130" t="s">
        <v>243</v>
      </c>
      <c r="F462" s="130"/>
      <c r="G462" s="130"/>
      <c r="H462" s="130">
        <v>0.0</v>
      </c>
      <c r="I462" s="130">
        <v>35.2</v>
      </c>
      <c r="J462" s="131">
        <v>1.0</v>
      </c>
      <c r="K462" s="130">
        <v>35.2</v>
      </c>
      <c r="L462" s="132">
        <v>0.0</v>
      </c>
      <c r="M462" s="132">
        <v>0.0</v>
      </c>
      <c r="N462" s="130">
        <v>26.0</v>
      </c>
      <c r="O462" s="138"/>
      <c r="P462" s="130" t="s">
        <v>60</v>
      </c>
      <c r="Q462" s="135">
        <v>23660.0</v>
      </c>
      <c r="R462" s="130" t="s">
        <v>234</v>
      </c>
      <c r="S462" s="130">
        <v>2018.0</v>
      </c>
      <c r="T462" s="136">
        <v>0.237</v>
      </c>
      <c r="U462" s="128">
        <f t="shared" ref="U462:U464" si="113">T462*Q462</f>
        <v>5607.42</v>
      </c>
      <c r="V462" s="24">
        <f t="shared" si="109"/>
        <v>159.3017045</v>
      </c>
      <c r="W462" s="3">
        <f t="shared" si="31"/>
        <v>0</v>
      </c>
      <c r="X462" s="3">
        <f t="shared" si="32"/>
        <v>0</v>
      </c>
      <c r="Y462" s="3">
        <f t="shared" si="33"/>
        <v>0</v>
      </c>
      <c r="Z462" s="25">
        <f t="shared" si="34"/>
        <v>0</v>
      </c>
      <c r="AA462" s="26">
        <f>VLOOKUP(S462,CPI!$A$2:$F$71,6,0)</f>
        <v>1.28277786</v>
      </c>
      <c r="AB462" s="27">
        <f t="shared" si="110"/>
        <v>7193.074226</v>
      </c>
      <c r="AC462" s="27">
        <f t="shared" si="111"/>
        <v>204.3486996</v>
      </c>
      <c r="AD462" s="130" t="s">
        <v>60</v>
      </c>
      <c r="AE462" s="137" t="s">
        <v>818</v>
      </c>
      <c r="AF462" s="29"/>
      <c r="AG462" s="30"/>
      <c r="AH462" s="30"/>
      <c r="AI462" s="30"/>
      <c r="AJ462" s="31"/>
      <c r="AK462" s="31"/>
      <c r="AL462" s="31"/>
      <c r="AM462" s="31"/>
      <c r="AN462" s="31"/>
      <c r="AO462" s="31"/>
      <c r="AP462" s="31"/>
      <c r="AQ462" s="35"/>
    </row>
    <row r="463" ht="15.75" customHeight="1">
      <c r="A463" s="38">
        <v>8000.0</v>
      </c>
      <c r="B463" s="130" t="s">
        <v>230</v>
      </c>
      <c r="C463" s="130" t="s">
        <v>813</v>
      </c>
      <c r="D463" s="130" t="s">
        <v>819</v>
      </c>
      <c r="E463" s="130" t="s">
        <v>819</v>
      </c>
      <c r="F463" s="130"/>
      <c r="G463" s="130"/>
      <c r="H463" s="130">
        <v>0.0</v>
      </c>
      <c r="I463" s="130">
        <v>41.0</v>
      </c>
      <c r="J463" s="131"/>
      <c r="K463" s="130"/>
      <c r="L463" s="132" t="e">
        <v>#N/A</v>
      </c>
      <c r="M463" s="132" t="e">
        <v>#N/A</v>
      </c>
      <c r="N463" s="130">
        <v>27.0</v>
      </c>
      <c r="O463" s="138"/>
      <c r="P463" s="130" t="s">
        <v>60</v>
      </c>
      <c r="Q463" s="135">
        <v>27370.0</v>
      </c>
      <c r="R463" s="130" t="s">
        <v>234</v>
      </c>
      <c r="S463" s="130">
        <v>2018.0</v>
      </c>
      <c r="T463" s="136">
        <v>0.237</v>
      </c>
      <c r="U463" s="128">
        <f t="shared" si="113"/>
        <v>6486.69</v>
      </c>
      <c r="V463" s="24">
        <f t="shared" si="109"/>
        <v>158.2119512</v>
      </c>
      <c r="W463" s="3">
        <f t="shared" si="31"/>
        <v>0</v>
      </c>
      <c r="X463" s="3">
        <f t="shared" si="32"/>
        <v>0</v>
      </c>
      <c r="Y463" s="3">
        <f t="shared" si="33"/>
        <v>0</v>
      </c>
      <c r="Z463" s="25">
        <f t="shared" si="34"/>
        <v>0</v>
      </c>
      <c r="AA463" s="26">
        <f>VLOOKUP(S463,CPI!$A$2:$F$71,6,0)</f>
        <v>1.28277786</v>
      </c>
      <c r="AB463" s="27">
        <f t="shared" si="110"/>
        <v>8320.982314</v>
      </c>
      <c r="AC463" s="27">
        <f t="shared" si="111"/>
        <v>202.9507882</v>
      </c>
      <c r="AD463" s="130" t="s">
        <v>60</v>
      </c>
      <c r="AE463" s="137" t="s">
        <v>818</v>
      </c>
      <c r="AF463" s="29"/>
      <c r="AG463" s="30"/>
      <c r="AH463" s="30"/>
      <c r="AI463" s="30"/>
      <c r="AJ463" s="31"/>
      <c r="AK463" s="31"/>
      <c r="AL463" s="31"/>
      <c r="AM463" s="31"/>
      <c r="AN463" s="31"/>
      <c r="AO463" s="31"/>
      <c r="AP463" s="31"/>
      <c r="AQ463" s="35"/>
    </row>
    <row r="464" ht="15.75" customHeight="1">
      <c r="A464" s="38">
        <v>8033.0</v>
      </c>
      <c r="B464" s="130" t="s">
        <v>230</v>
      </c>
      <c r="C464" s="130" t="s">
        <v>820</v>
      </c>
      <c r="D464" s="16" t="s">
        <v>54</v>
      </c>
      <c r="E464" s="130" t="s">
        <v>348</v>
      </c>
      <c r="F464" s="130">
        <v>2012.0</v>
      </c>
      <c r="G464" s="130">
        <v>2016.0</v>
      </c>
      <c r="H464" s="130">
        <v>0.0</v>
      </c>
      <c r="I464" s="130">
        <v>25.1</v>
      </c>
      <c r="J464" s="131"/>
      <c r="K464" s="130"/>
      <c r="L464" s="132" t="e">
        <v>#N/A</v>
      </c>
      <c r="M464" s="132" t="e">
        <v>#N/A</v>
      </c>
      <c r="N464" s="130">
        <v>22.0</v>
      </c>
      <c r="O464" s="138"/>
      <c r="P464" s="130" t="s">
        <v>60</v>
      </c>
      <c r="Q464" s="135">
        <v>15139.0</v>
      </c>
      <c r="R464" s="130" t="s">
        <v>234</v>
      </c>
      <c r="S464" s="130">
        <v>2012.0</v>
      </c>
      <c r="T464" s="136">
        <v>0.2808</v>
      </c>
      <c r="U464" s="128">
        <f t="shared" si="113"/>
        <v>4251.0312</v>
      </c>
      <c r="V464" s="24">
        <f t="shared" si="109"/>
        <v>169.3637928</v>
      </c>
      <c r="W464" s="3">
        <f t="shared" si="31"/>
        <v>0</v>
      </c>
      <c r="X464" s="3">
        <f t="shared" si="32"/>
        <v>0</v>
      </c>
      <c r="Y464" s="3">
        <f t="shared" si="33"/>
        <v>0</v>
      </c>
      <c r="Z464" s="25">
        <f t="shared" si="34"/>
        <v>0</v>
      </c>
      <c r="AA464" s="26">
        <f>VLOOKUP(S464,CPI!$A$2:$F$71,6,0)</f>
        <v>1.402974381</v>
      </c>
      <c r="AB464" s="27">
        <f t="shared" si="110"/>
        <v>5964.087866</v>
      </c>
      <c r="AC464" s="27">
        <f t="shared" si="111"/>
        <v>237.6130624</v>
      </c>
      <c r="AD464" s="130" t="s">
        <v>42</v>
      </c>
      <c r="AE464" s="137" t="s">
        <v>821</v>
      </c>
      <c r="AF464" s="34"/>
      <c r="AG464" s="34"/>
      <c r="AH464" s="34"/>
      <c r="AI464" s="34"/>
      <c r="AJ464" s="35"/>
      <c r="AK464" s="35"/>
      <c r="AL464" s="35"/>
      <c r="AM464" s="54"/>
      <c r="AN464" s="54"/>
      <c r="AO464" s="54"/>
      <c r="AP464" s="54"/>
      <c r="AQ464" s="54"/>
    </row>
    <row r="465" ht="15.75" customHeight="1">
      <c r="A465" s="7"/>
      <c r="B465" s="114" t="s">
        <v>230</v>
      </c>
      <c r="C465" s="114" t="s">
        <v>820</v>
      </c>
      <c r="D465" s="114" t="s">
        <v>87</v>
      </c>
      <c r="E465" s="114" t="s">
        <v>87</v>
      </c>
      <c r="F465" s="116">
        <v>2018.0</v>
      </c>
      <c r="G465" s="114"/>
      <c r="H465" s="116">
        <v>0.0</v>
      </c>
      <c r="I465" s="116">
        <v>30.523</v>
      </c>
      <c r="J465" s="117">
        <v>1.0</v>
      </c>
      <c r="K465" s="116">
        <v>30.523</v>
      </c>
      <c r="L465" s="114"/>
      <c r="M465" s="114"/>
      <c r="N465" s="116">
        <v>25.0</v>
      </c>
      <c r="O465" s="116">
        <v>138.0</v>
      </c>
      <c r="P465" s="114"/>
      <c r="Q465" s="140">
        <v>24300.0</v>
      </c>
      <c r="R465" s="114" t="s">
        <v>234</v>
      </c>
      <c r="S465" s="115">
        <v>2018.0</v>
      </c>
      <c r="T465" s="85">
        <v>0.237</v>
      </c>
      <c r="U465" s="118">
        <f t="shared" ref="U465:U471" si="114">Q465*T465</f>
        <v>5759.1</v>
      </c>
      <c r="V465" s="24">
        <f t="shared" si="109"/>
        <v>188.680667</v>
      </c>
      <c r="W465" s="3">
        <f t="shared" si="31"/>
        <v>0</v>
      </c>
      <c r="X465" s="3">
        <f t="shared" si="32"/>
        <v>0</v>
      </c>
      <c r="Y465" s="3">
        <f t="shared" si="33"/>
        <v>0</v>
      </c>
      <c r="Z465" s="25">
        <f t="shared" si="34"/>
        <v>0</v>
      </c>
      <c r="AA465" s="26">
        <f>VLOOKUP(S465,CPI!$A$2:$F$71,6,0)</f>
        <v>1.28277786</v>
      </c>
      <c r="AB465" s="27">
        <f t="shared" si="110"/>
        <v>7387.645971</v>
      </c>
      <c r="AC465" s="27">
        <f t="shared" si="111"/>
        <v>242.0353822</v>
      </c>
      <c r="AD465" s="114"/>
      <c r="AE465" s="119" t="s">
        <v>822</v>
      </c>
      <c r="AF465" s="164"/>
      <c r="AG465" s="165"/>
      <c r="AH465" s="165"/>
      <c r="AI465" s="165"/>
      <c r="AJ465" s="166"/>
      <c r="AK465" s="166"/>
      <c r="AL465" s="166"/>
      <c r="AM465" s="31"/>
      <c r="AN465" s="31"/>
      <c r="AO465" s="31"/>
      <c r="AP465" s="31"/>
      <c r="AQ465" s="35"/>
    </row>
    <row r="466" ht="15.75" customHeight="1">
      <c r="A466" s="7"/>
      <c r="B466" s="114" t="s">
        <v>230</v>
      </c>
      <c r="C466" s="114" t="s">
        <v>820</v>
      </c>
      <c r="D466" s="114" t="s">
        <v>823</v>
      </c>
      <c r="E466" s="114" t="s">
        <v>823</v>
      </c>
      <c r="F466" s="116">
        <v>2019.0</v>
      </c>
      <c r="G466" s="114"/>
      <c r="H466" s="116">
        <v>0.0</v>
      </c>
      <c r="I466" s="116">
        <v>19.86</v>
      </c>
      <c r="J466" s="117">
        <v>0.05</v>
      </c>
      <c r="K466" s="116">
        <v>0.991</v>
      </c>
      <c r="L466" s="114"/>
      <c r="M466" s="114"/>
      <c r="N466" s="116">
        <v>12.0</v>
      </c>
      <c r="O466" s="116">
        <v>78.0</v>
      </c>
      <c r="P466" s="114"/>
      <c r="Q466" s="140">
        <v>8703.0</v>
      </c>
      <c r="R466" s="114" t="s">
        <v>234</v>
      </c>
      <c r="S466" s="115">
        <v>2019.0</v>
      </c>
      <c r="T466" s="136">
        <v>0.238</v>
      </c>
      <c r="U466" s="118">
        <f t="shared" si="114"/>
        <v>2071.314</v>
      </c>
      <c r="V466" s="24">
        <f t="shared" si="109"/>
        <v>104.2957704</v>
      </c>
      <c r="W466" s="3">
        <f t="shared" si="31"/>
        <v>0</v>
      </c>
      <c r="X466" s="3">
        <f t="shared" si="32"/>
        <v>0</v>
      </c>
      <c r="Y466" s="3">
        <f t="shared" si="33"/>
        <v>0</v>
      </c>
      <c r="Z466" s="25">
        <f t="shared" si="34"/>
        <v>0</v>
      </c>
      <c r="AA466" s="26">
        <f>VLOOKUP(S466,CPI!$A$2:$F$71,6,0)</f>
        <v>1.259947899</v>
      </c>
      <c r="AB466" s="27">
        <f t="shared" si="110"/>
        <v>2609.747722</v>
      </c>
      <c r="AC466" s="27">
        <f t="shared" si="111"/>
        <v>131.4072368</v>
      </c>
      <c r="AD466" s="114"/>
      <c r="AE466" s="119" t="s">
        <v>824</v>
      </c>
      <c r="AF466" s="164"/>
      <c r="AG466" s="165"/>
      <c r="AH466" s="165"/>
      <c r="AI466" s="165"/>
      <c r="AJ466" s="166"/>
      <c r="AK466" s="166"/>
      <c r="AL466" s="166"/>
      <c r="AM466" s="175"/>
      <c r="AN466" s="175"/>
      <c r="AO466" s="175"/>
      <c r="AP466" s="175"/>
    </row>
    <row r="467" ht="15.75" customHeight="1">
      <c r="A467" s="38">
        <v>8002.0</v>
      </c>
      <c r="B467" s="72" t="s">
        <v>230</v>
      </c>
      <c r="C467" s="72" t="s">
        <v>820</v>
      </c>
      <c r="D467" s="115" t="s">
        <v>57</v>
      </c>
      <c r="E467" s="115" t="s">
        <v>232</v>
      </c>
      <c r="F467" s="69">
        <v>2021.0</v>
      </c>
      <c r="G467" s="72"/>
      <c r="H467" s="69">
        <v>0.0</v>
      </c>
      <c r="I467" s="69">
        <v>28.737</v>
      </c>
      <c r="J467" s="117">
        <v>1.0</v>
      </c>
      <c r="K467" s="69">
        <v>28.737</v>
      </c>
      <c r="L467" s="72"/>
      <c r="M467" s="72"/>
      <c r="N467" s="69">
        <v>24.0</v>
      </c>
      <c r="O467" s="69">
        <v>138.0</v>
      </c>
      <c r="P467" s="72"/>
      <c r="Q467" s="140">
        <v>22458.7</v>
      </c>
      <c r="R467" s="72" t="s">
        <v>234</v>
      </c>
      <c r="S467" s="115">
        <v>2021.0</v>
      </c>
      <c r="T467" s="136">
        <v>0.239</v>
      </c>
      <c r="U467" s="118">
        <f t="shared" si="114"/>
        <v>5367.6293</v>
      </c>
      <c r="V467" s="24">
        <f t="shared" si="109"/>
        <v>186.7846087</v>
      </c>
      <c r="W467" s="3">
        <f t="shared" si="31"/>
        <v>0</v>
      </c>
      <c r="X467" s="3">
        <f t="shared" si="32"/>
        <v>0</v>
      </c>
      <c r="Y467" s="3">
        <f t="shared" si="33"/>
        <v>0</v>
      </c>
      <c r="Z467" s="25">
        <f t="shared" si="34"/>
        <v>0</v>
      </c>
      <c r="AA467" s="26">
        <f>VLOOKUP(S467,CPI!$A$2:$F$71,6,0)</f>
        <v>1.188745987</v>
      </c>
      <c r="AB467" s="27">
        <f t="shared" si="110"/>
        <v>6380.747788</v>
      </c>
      <c r="AC467" s="27">
        <f t="shared" si="111"/>
        <v>222.0394539</v>
      </c>
      <c r="AD467" s="72" t="s">
        <v>36</v>
      </c>
      <c r="AE467" s="79" t="s">
        <v>825</v>
      </c>
      <c r="AF467" s="186"/>
      <c r="AG467" s="187"/>
      <c r="AH467" s="187"/>
      <c r="AI467" s="187"/>
      <c r="AJ467" s="81"/>
      <c r="AK467" s="81"/>
      <c r="AL467" s="81"/>
      <c r="AM467" s="31"/>
      <c r="AN467" s="31"/>
      <c r="AO467" s="31"/>
      <c r="AP467" s="31"/>
      <c r="AQ467" s="35"/>
    </row>
    <row r="468" ht="15.75" customHeight="1">
      <c r="A468" s="7"/>
      <c r="B468" s="114" t="s">
        <v>230</v>
      </c>
      <c r="C468" s="114" t="s">
        <v>826</v>
      </c>
      <c r="D468" s="36" t="s">
        <v>827</v>
      </c>
      <c r="E468" s="114" t="s">
        <v>828</v>
      </c>
      <c r="F468" s="116">
        <v>2021.0</v>
      </c>
      <c r="G468" s="114"/>
      <c r="H468" s="116">
        <v>0.0</v>
      </c>
      <c r="I468" s="116">
        <v>6.0</v>
      </c>
      <c r="J468" s="117">
        <v>0.0</v>
      </c>
      <c r="K468" s="116">
        <v>0.0</v>
      </c>
      <c r="L468" s="114"/>
      <c r="M468" s="114"/>
      <c r="N468" s="116">
        <v>1.0</v>
      </c>
      <c r="O468" s="116">
        <v>92.0</v>
      </c>
      <c r="P468" s="114"/>
      <c r="Q468" s="140">
        <v>1879.0</v>
      </c>
      <c r="R468" s="114" t="s">
        <v>234</v>
      </c>
      <c r="S468" s="115">
        <v>2021.0</v>
      </c>
      <c r="T468" s="136">
        <v>0.239000000000001</v>
      </c>
      <c r="U468" s="118">
        <f t="shared" si="114"/>
        <v>449.081</v>
      </c>
      <c r="V468" s="24">
        <f t="shared" si="109"/>
        <v>74.84683333</v>
      </c>
      <c r="W468" s="3">
        <f t="shared" si="31"/>
        <v>0</v>
      </c>
      <c r="X468" s="3">
        <f t="shared" si="32"/>
        <v>0</v>
      </c>
      <c r="Y468" s="3">
        <f t="shared" si="33"/>
        <v>0</v>
      </c>
      <c r="Z468" s="25">
        <f t="shared" si="34"/>
        <v>0</v>
      </c>
      <c r="AA468" s="26">
        <f>VLOOKUP(S468,CPI!$A$2:$F$71,6,0)</f>
        <v>1.188745987</v>
      </c>
      <c r="AB468" s="27">
        <f t="shared" si="110"/>
        <v>533.8432364</v>
      </c>
      <c r="AC468" s="27">
        <f t="shared" si="111"/>
        <v>88.97387274</v>
      </c>
      <c r="AD468" s="114"/>
      <c r="AE468" s="119" t="s">
        <v>829</v>
      </c>
      <c r="AF468" s="164"/>
      <c r="AG468" s="165"/>
      <c r="AH468" s="165"/>
      <c r="AI468" s="165"/>
      <c r="AJ468" s="166"/>
      <c r="AK468" s="166"/>
      <c r="AL468" s="166"/>
      <c r="AM468" s="31"/>
      <c r="AN468" s="31"/>
      <c r="AO468" s="31"/>
      <c r="AP468" s="31"/>
      <c r="AQ468" s="35"/>
    </row>
    <row r="469" ht="15.75" customHeight="1">
      <c r="A469" s="7"/>
      <c r="B469" s="114" t="s">
        <v>230</v>
      </c>
      <c r="C469" s="114" t="s">
        <v>826</v>
      </c>
      <c r="D469" s="36" t="s">
        <v>827</v>
      </c>
      <c r="E469" s="114" t="s">
        <v>830</v>
      </c>
      <c r="F469" s="116">
        <v>2021.0</v>
      </c>
      <c r="G469" s="114"/>
      <c r="H469" s="116">
        <v>0.0</v>
      </c>
      <c r="I469" s="116">
        <v>11.75</v>
      </c>
      <c r="J469" s="117">
        <v>0.0</v>
      </c>
      <c r="K469" s="116">
        <v>0.0</v>
      </c>
      <c r="L469" s="114"/>
      <c r="M469" s="114"/>
      <c r="N469" s="116">
        <v>3.0</v>
      </c>
      <c r="O469" s="116">
        <v>92.0</v>
      </c>
      <c r="P469" s="114"/>
      <c r="Q469" s="140">
        <v>3996.0</v>
      </c>
      <c r="R469" s="114" t="s">
        <v>234</v>
      </c>
      <c r="S469" s="115">
        <v>2021.0</v>
      </c>
      <c r="T469" s="136">
        <v>0.239000000000001</v>
      </c>
      <c r="U469" s="118">
        <f t="shared" si="114"/>
        <v>955.044</v>
      </c>
      <c r="V469" s="24">
        <f t="shared" si="109"/>
        <v>81.28034043</v>
      </c>
      <c r="W469" s="3">
        <f t="shared" si="31"/>
        <v>0</v>
      </c>
      <c r="X469" s="3">
        <f t="shared" si="32"/>
        <v>0</v>
      </c>
      <c r="Y469" s="3">
        <f t="shared" si="33"/>
        <v>0</v>
      </c>
      <c r="Z469" s="25">
        <f t="shared" si="34"/>
        <v>0</v>
      </c>
      <c r="AA469" s="26">
        <f>VLOOKUP(S469,CPI!$A$2:$F$71,6,0)</f>
        <v>1.188745987</v>
      </c>
      <c r="AB469" s="27">
        <f t="shared" si="110"/>
        <v>1135.304722</v>
      </c>
      <c r="AC469" s="27">
        <f t="shared" si="111"/>
        <v>96.62167847</v>
      </c>
      <c r="AD469" s="114"/>
      <c r="AE469" s="119" t="s">
        <v>829</v>
      </c>
      <c r="AF469" s="164"/>
      <c r="AG469" s="165"/>
      <c r="AH469" s="165"/>
      <c r="AI469" s="165"/>
      <c r="AJ469" s="166"/>
      <c r="AK469" s="166"/>
      <c r="AL469" s="166"/>
      <c r="AM469" s="32"/>
      <c r="AN469" s="32"/>
      <c r="AO469" s="32"/>
      <c r="AP469" s="32"/>
      <c r="AQ469" s="33"/>
    </row>
    <row r="470" ht="15.75" customHeight="1">
      <c r="A470" s="7"/>
      <c r="B470" s="114" t="s">
        <v>230</v>
      </c>
      <c r="C470" s="114" t="s">
        <v>826</v>
      </c>
      <c r="D470" s="36" t="s">
        <v>827</v>
      </c>
      <c r="E470" s="114" t="s">
        <v>827</v>
      </c>
      <c r="F470" s="116">
        <v>2021.0</v>
      </c>
      <c r="G470" s="114"/>
      <c r="H470" s="116">
        <v>0.0</v>
      </c>
      <c r="I470" s="116">
        <v>66.3</v>
      </c>
      <c r="J470" s="117">
        <v>0.28</v>
      </c>
      <c r="K470" s="116">
        <v>18.65</v>
      </c>
      <c r="L470" s="114"/>
      <c r="M470" s="114"/>
      <c r="N470" s="116">
        <v>22.0</v>
      </c>
      <c r="O470" s="116">
        <v>92.0</v>
      </c>
      <c r="P470" s="114"/>
      <c r="Q470" s="140">
        <v>30800.0</v>
      </c>
      <c r="R470" s="114" t="s">
        <v>234</v>
      </c>
      <c r="S470" s="115">
        <v>2021.0</v>
      </c>
      <c r="T470" s="136">
        <v>0.239000000000001</v>
      </c>
      <c r="U470" s="118">
        <f t="shared" si="114"/>
        <v>7361.2</v>
      </c>
      <c r="V470" s="24">
        <f t="shared" si="109"/>
        <v>111.0286576</v>
      </c>
      <c r="W470" s="3">
        <f t="shared" si="31"/>
        <v>0</v>
      </c>
      <c r="X470" s="3">
        <f t="shared" si="32"/>
        <v>0</v>
      </c>
      <c r="Y470" s="3">
        <f t="shared" si="33"/>
        <v>0</v>
      </c>
      <c r="Z470" s="25">
        <f t="shared" si="34"/>
        <v>0</v>
      </c>
      <c r="AA470" s="26">
        <f>VLOOKUP(S470,CPI!$A$2:$F$71,6,0)</f>
        <v>1.188745987</v>
      </c>
      <c r="AB470" s="27">
        <f t="shared" si="110"/>
        <v>8750.596957</v>
      </c>
      <c r="AC470" s="27">
        <f t="shared" si="111"/>
        <v>131.9848711</v>
      </c>
      <c r="AD470" s="114"/>
      <c r="AE470" s="119" t="s">
        <v>831</v>
      </c>
      <c r="AG470" s="114"/>
      <c r="AH470" s="114"/>
      <c r="AI470" s="114"/>
      <c r="AJ470" s="206"/>
      <c r="AK470" s="206"/>
      <c r="AL470" s="206"/>
      <c r="AM470" s="54"/>
      <c r="AN470" s="54"/>
      <c r="AO470" s="54"/>
      <c r="AP470" s="54"/>
      <c r="AQ470" s="54"/>
    </row>
    <row r="471" ht="15.75" customHeight="1">
      <c r="A471" s="7"/>
      <c r="B471" s="114" t="s">
        <v>230</v>
      </c>
      <c r="C471" s="114" t="s">
        <v>826</v>
      </c>
      <c r="D471" s="114" t="s">
        <v>819</v>
      </c>
      <c r="E471" s="114" t="s">
        <v>819</v>
      </c>
      <c r="F471" s="116">
        <v>2022.0</v>
      </c>
      <c r="G471" s="114"/>
      <c r="H471" s="116">
        <v>1.0</v>
      </c>
      <c r="I471" s="116">
        <v>52.4</v>
      </c>
      <c r="J471" s="117">
        <v>0.34</v>
      </c>
      <c r="K471" s="116">
        <v>17.8</v>
      </c>
      <c r="L471" s="114"/>
      <c r="M471" s="114"/>
      <c r="N471" s="116">
        <v>15.0</v>
      </c>
      <c r="O471" s="116">
        <v>92.0</v>
      </c>
      <c r="P471" s="114"/>
      <c r="Q471" s="140">
        <v>21237.0</v>
      </c>
      <c r="R471" s="114" t="s">
        <v>234</v>
      </c>
      <c r="S471" s="115">
        <v>2021.0</v>
      </c>
      <c r="T471" s="136">
        <v>0.239000000000001</v>
      </c>
      <c r="U471" s="118">
        <f t="shared" si="114"/>
        <v>5075.643</v>
      </c>
      <c r="V471" s="24">
        <f t="shared" si="109"/>
        <v>96.86341603</v>
      </c>
      <c r="W471" s="3">
        <f t="shared" si="31"/>
        <v>0</v>
      </c>
      <c r="X471" s="3">
        <f t="shared" si="32"/>
        <v>0</v>
      </c>
      <c r="Y471" s="3">
        <f t="shared" si="33"/>
        <v>0</v>
      </c>
      <c r="Z471" s="25">
        <f t="shared" si="34"/>
        <v>0</v>
      </c>
      <c r="AA471" s="26">
        <f>VLOOKUP(S471,CPI!$A$2:$F$71,6,0)</f>
        <v>1.188745987</v>
      </c>
      <c r="AB471" s="27">
        <f t="shared" si="110"/>
        <v>6033.650246</v>
      </c>
      <c r="AC471" s="27">
        <f t="shared" si="111"/>
        <v>115.1459971</v>
      </c>
      <c r="AD471" s="114"/>
      <c r="AE471" s="224" t="s">
        <v>832</v>
      </c>
      <c r="AF471" s="225" t="s">
        <v>833</v>
      </c>
      <c r="AG471" s="114"/>
      <c r="AH471" s="114"/>
      <c r="AI471" s="114"/>
      <c r="AJ471" s="206"/>
      <c r="AK471" s="206"/>
      <c r="AL471" s="206"/>
      <c r="AM471" s="54"/>
      <c r="AN471" s="54"/>
      <c r="AO471" s="54"/>
      <c r="AP471" s="54"/>
      <c r="AQ471" s="54"/>
    </row>
    <row r="472" ht="15.75" customHeight="1">
      <c r="A472" s="38">
        <v>7984.0</v>
      </c>
      <c r="B472" s="130" t="s">
        <v>230</v>
      </c>
      <c r="C472" s="130" t="s">
        <v>834</v>
      </c>
      <c r="D472" s="16" t="s">
        <v>835</v>
      </c>
      <c r="E472" s="130" t="s">
        <v>836</v>
      </c>
      <c r="F472" s="130">
        <v>2015.0</v>
      </c>
      <c r="G472" s="130">
        <v>2020.0</v>
      </c>
      <c r="H472" s="130">
        <v>0.0</v>
      </c>
      <c r="I472" s="130">
        <v>43.7</v>
      </c>
      <c r="J472" s="131">
        <v>0.3455377574</v>
      </c>
      <c r="K472" s="130">
        <v>15.1</v>
      </c>
      <c r="L472" s="132">
        <v>0.0</v>
      </c>
      <c r="M472" s="132">
        <v>0.0</v>
      </c>
      <c r="N472" s="130">
        <v>20.0</v>
      </c>
      <c r="O472" s="138"/>
      <c r="P472" s="130" t="s">
        <v>60</v>
      </c>
      <c r="Q472" s="135">
        <v>28699.0</v>
      </c>
      <c r="R472" s="130" t="s">
        <v>234</v>
      </c>
      <c r="S472" s="130">
        <v>2015.0</v>
      </c>
      <c r="T472" s="136">
        <v>0.258</v>
      </c>
      <c r="U472" s="128">
        <f>T472*Q472</f>
        <v>7404.342</v>
      </c>
      <c r="V472" s="24">
        <f t="shared" si="109"/>
        <v>169.4357437</v>
      </c>
      <c r="W472" s="3">
        <f t="shared" si="31"/>
        <v>0</v>
      </c>
      <c r="X472" s="3">
        <f t="shared" si="32"/>
        <v>0</v>
      </c>
      <c r="Y472" s="3">
        <f t="shared" si="33"/>
        <v>0</v>
      </c>
      <c r="Z472" s="25">
        <f t="shared" si="34"/>
        <v>0</v>
      </c>
      <c r="AA472" s="26">
        <f>VLOOKUP(S472,CPI!$A$2:$F$71,6,0)</f>
        <v>1.359035428</v>
      </c>
      <c r="AB472" s="27">
        <f t="shared" si="110"/>
        <v>10062.7631</v>
      </c>
      <c r="AC472" s="27">
        <f t="shared" si="111"/>
        <v>230.2691784</v>
      </c>
      <c r="AD472" s="130" t="s">
        <v>42</v>
      </c>
      <c r="AE472" s="137" t="s">
        <v>837</v>
      </c>
      <c r="AF472" s="173"/>
      <c r="AG472" s="174"/>
      <c r="AH472" s="174"/>
      <c r="AI472" s="174"/>
      <c r="AJ472" s="175"/>
      <c r="AK472" s="175"/>
      <c r="AL472" s="175"/>
      <c r="AM472" s="31"/>
      <c r="AN472" s="31"/>
      <c r="AO472" s="31"/>
      <c r="AP472" s="31"/>
      <c r="AQ472" s="35"/>
    </row>
    <row r="473" ht="15.75" customHeight="1">
      <c r="A473" s="170">
        <v>7787.0</v>
      </c>
      <c r="B473" s="123" t="s">
        <v>230</v>
      </c>
      <c r="C473" s="123" t="s">
        <v>834</v>
      </c>
      <c r="D473" s="36" t="s">
        <v>838</v>
      </c>
      <c r="E473" s="123" t="s">
        <v>839</v>
      </c>
      <c r="F473" s="75">
        <v>2017.0</v>
      </c>
      <c r="G473" s="75">
        <v>2020.0</v>
      </c>
      <c r="H473" s="75">
        <v>0.0</v>
      </c>
      <c r="I473" s="75">
        <v>20.0</v>
      </c>
      <c r="J473" s="124">
        <v>1.0</v>
      </c>
      <c r="K473" s="75">
        <v>20.0</v>
      </c>
      <c r="L473" s="125">
        <v>0.0</v>
      </c>
      <c r="M473" s="125">
        <v>0.0</v>
      </c>
      <c r="N473" s="75">
        <v>18.0</v>
      </c>
      <c r="O473" s="75"/>
      <c r="P473" s="123" t="s">
        <v>60</v>
      </c>
      <c r="Q473" s="126">
        <v>20053.0</v>
      </c>
      <c r="R473" s="123" t="s">
        <v>234</v>
      </c>
      <c r="S473" s="75">
        <v>2015.0</v>
      </c>
      <c r="T473" s="136">
        <v>0.258</v>
      </c>
      <c r="U473" s="128">
        <f>Q473*T473</f>
        <v>5173.674</v>
      </c>
      <c r="V473" s="24">
        <f t="shared" si="109"/>
        <v>258.6837</v>
      </c>
      <c r="W473" s="3">
        <f t="shared" si="31"/>
        <v>0</v>
      </c>
      <c r="X473" s="3">
        <f t="shared" si="32"/>
        <v>0</v>
      </c>
      <c r="Y473" s="3">
        <f t="shared" si="33"/>
        <v>0</v>
      </c>
      <c r="Z473" s="25">
        <f t="shared" si="34"/>
        <v>0</v>
      </c>
      <c r="AA473" s="26">
        <f>VLOOKUP(S473,CPI!$A$2:$F$71,6,0)</f>
        <v>1.359035428</v>
      </c>
      <c r="AB473" s="27">
        <f t="shared" si="110"/>
        <v>7031.206258</v>
      </c>
      <c r="AC473" s="27">
        <f t="shared" si="111"/>
        <v>351.5603129</v>
      </c>
      <c r="AD473" s="123" t="s">
        <v>42</v>
      </c>
      <c r="AE473" s="129" t="s">
        <v>840</v>
      </c>
      <c r="AF473" s="34"/>
      <c r="AG473" s="34"/>
      <c r="AH473" s="34"/>
      <c r="AI473" s="34"/>
      <c r="AJ473" s="35"/>
      <c r="AK473" s="35"/>
      <c r="AL473" s="35"/>
      <c r="AM473" s="54"/>
      <c r="AN473" s="54"/>
      <c r="AO473" s="54"/>
      <c r="AP473" s="54"/>
      <c r="AQ473" s="54"/>
    </row>
    <row r="474" ht="15.75" customHeight="1">
      <c r="A474" s="38">
        <v>8050.0</v>
      </c>
      <c r="B474" s="130" t="s">
        <v>230</v>
      </c>
      <c r="C474" s="130" t="s">
        <v>834</v>
      </c>
      <c r="D474" s="16" t="s">
        <v>841</v>
      </c>
      <c r="E474" s="130" t="s">
        <v>842</v>
      </c>
      <c r="F474" s="130">
        <v>2017.0</v>
      </c>
      <c r="G474" s="130">
        <v>2020.0</v>
      </c>
      <c r="H474" s="130">
        <v>0.0</v>
      </c>
      <c r="I474" s="130">
        <v>52.8</v>
      </c>
      <c r="J474" s="131">
        <v>0.3390151515</v>
      </c>
      <c r="K474" s="130">
        <v>17.9</v>
      </c>
      <c r="L474" s="132">
        <v>0.0</v>
      </c>
      <c r="M474" s="132">
        <v>0.0</v>
      </c>
      <c r="N474" s="130">
        <v>5.0</v>
      </c>
      <c r="O474" s="138"/>
      <c r="P474" s="130" t="s">
        <v>60</v>
      </c>
      <c r="Q474" s="135">
        <v>29975.0</v>
      </c>
      <c r="R474" s="130" t="s">
        <v>234</v>
      </c>
      <c r="S474" s="130">
        <v>2015.0</v>
      </c>
      <c r="T474" s="136">
        <v>0.258</v>
      </c>
      <c r="U474" s="128">
        <f>T474*Q474</f>
        <v>7733.55</v>
      </c>
      <c r="V474" s="24">
        <f t="shared" si="109"/>
        <v>146.46875</v>
      </c>
      <c r="W474" s="3">
        <f t="shared" si="31"/>
        <v>0</v>
      </c>
      <c r="X474" s="3">
        <f t="shared" si="32"/>
        <v>0</v>
      </c>
      <c r="Y474" s="3">
        <f t="shared" si="33"/>
        <v>0</v>
      </c>
      <c r="Z474" s="25">
        <f t="shared" si="34"/>
        <v>0</v>
      </c>
      <c r="AA474" s="26">
        <f>VLOOKUP(S474,CPI!$A$2:$F$71,6,0)</f>
        <v>1.359035428</v>
      </c>
      <c r="AB474" s="27">
        <f t="shared" si="110"/>
        <v>10510.16843</v>
      </c>
      <c r="AC474" s="27">
        <f t="shared" si="111"/>
        <v>199.0562203</v>
      </c>
      <c r="AD474" s="130" t="s">
        <v>42</v>
      </c>
      <c r="AE474" s="137" t="s">
        <v>840</v>
      </c>
      <c r="AF474" s="173"/>
      <c r="AG474" s="174"/>
      <c r="AH474" s="174"/>
      <c r="AI474" s="174"/>
      <c r="AJ474" s="175"/>
      <c r="AK474" s="175"/>
      <c r="AL474" s="175"/>
      <c r="AM474" s="31"/>
      <c r="AN474" s="31"/>
      <c r="AO474" s="31"/>
      <c r="AP474" s="31"/>
      <c r="AQ474" s="35"/>
    </row>
    <row r="475" ht="15.75" customHeight="1">
      <c r="A475" s="170">
        <v>7800.0</v>
      </c>
      <c r="B475" s="72" t="s">
        <v>230</v>
      </c>
      <c r="C475" s="72" t="s">
        <v>834</v>
      </c>
      <c r="D475" s="115" t="s">
        <v>843</v>
      </c>
      <c r="E475" s="115" t="s">
        <v>844</v>
      </c>
      <c r="F475" s="69">
        <v>2018.0</v>
      </c>
      <c r="G475" s="69">
        <v>2022.0</v>
      </c>
      <c r="H475" s="69">
        <v>0.0</v>
      </c>
      <c r="I475" s="69">
        <v>21.22</v>
      </c>
      <c r="J475" s="117">
        <v>1.0</v>
      </c>
      <c r="K475" s="69">
        <v>21.22</v>
      </c>
      <c r="L475" s="72"/>
      <c r="M475" s="72"/>
      <c r="N475" s="69">
        <v>21.0</v>
      </c>
      <c r="O475" s="69">
        <v>117.0</v>
      </c>
      <c r="P475" s="72"/>
      <c r="Q475" s="140">
        <v>22069.0</v>
      </c>
      <c r="R475" s="72" t="s">
        <v>234</v>
      </c>
      <c r="S475" s="115">
        <v>2020.0</v>
      </c>
      <c r="T475" s="136">
        <v>0.239</v>
      </c>
      <c r="U475" s="118">
        <f t="shared" ref="U475:U479" si="115">Q475*T475</f>
        <v>5274.491</v>
      </c>
      <c r="V475" s="24">
        <f t="shared" si="109"/>
        <v>248.5622526</v>
      </c>
      <c r="W475" s="3">
        <f t="shared" si="31"/>
        <v>0</v>
      </c>
      <c r="X475" s="3">
        <f t="shared" si="32"/>
        <v>0</v>
      </c>
      <c r="Y475" s="3">
        <f t="shared" si="33"/>
        <v>0</v>
      </c>
      <c r="Z475" s="25">
        <f t="shared" si="34"/>
        <v>0</v>
      </c>
      <c r="AA475" s="26">
        <f>VLOOKUP(S475,CPI!$A$2:$F$71,6,0)</f>
        <v>1.244593545</v>
      </c>
      <c r="AB475" s="27">
        <f t="shared" si="110"/>
        <v>6564.597452</v>
      </c>
      <c r="AC475" s="27">
        <f t="shared" si="111"/>
        <v>309.3589751</v>
      </c>
      <c r="AD475" s="72" t="s">
        <v>36</v>
      </c>
      <c r="AE475" s="79" t="s">
        <v>845</v>
      </c>
      <c r="AF475" s="72"/>
      <c r="AG475" s="72"/>
      <c r="AH475" s="72"/>
      <c r="AI475" s="72"/>
      <c r="AJ475" s="54"/>
      <c r="AK475" s="54"/>
      <c r="AL475" s="54"/>
      <c r="AM475" s="54"/>
      <c r="AN475" s="54"/>
      <c r="AO475" s="54"/>
      <c r="AP475" s="54"/>
      <c r="AQ475" s="54"/>
    </row>
    <row r="476" ht="15.75" customHeight="1">
      <c r="A476" s="170">
        <v>7809.0</v>
      </c>
      <c r="B476" s="72" t="s">
        <v>230</v>
      </c>
      <c r="C476" s="72" t="s">
        <v>834</v>
      </c>
      <c r="D476" s="115" t="s">
        <v>846</v>
      </c>
      <c r="E476" s="115" t="s">
        <v>847</v>
      </c>
      <c r="F476" s="69">
        <v>2019.0</v>
      </c>
      <c r="G476" s="72"/>
      <c r="H476" s="69">
        <v>0.0</v>
      </c>
      <c r="I476" s="69">
        <v>22.6</v>
      </c>
      <c r="J476" s="117">
        <v>1.0</v>
      </c>
      <c r="K476" s="69">
        <v>22.6</v>
      </c>
      <c r="L476" s="72"/>
      <c r="M476" s="72"/>
      <c r="N476" s="69">
        <v>21.0</v>
      </c>
      <c r="O476" s="69">
        <v>117.0</v>
      </c>
      <c r="P476" s="72"/>
      <c r="Q476" s="140">
        <v>23789.0</v>
      </c>
      <c r="R476" s="72" t="s">
        <v>234</v>
      </c>
      <c r="S476" s="75">
        <v>2019.0</v>
      </c>
      <c r="T476" s="136">
        <v>0.238</v>
      </c>
      <c r="U476" s="118">
        <f t="shared" si="115"/>
        <v>5661.782</v>
      </c>
      <c r="V476" s="24">
        <f t="shared" si="109"/>
        <v>250.5213274</v>
      </c>
      <c r="W476" s="3">
        <f t="shared" si="31"/>
        <v>0</v>
      </c>
      <c r="X476" s="3">
        <f t="shared" si="32"/>
        <v>0</v>
      </c>
      <c r="Y476" s="3">
        <f t="shared" si="33"/>
        <v>0</v>
      </c>
      <c r="Z476" s="25">
        <f t="shared" si="34"/>
        <v>0</v>
      </c>
      <c r="AA476" s="26">
        <f>VLOOKUP(S476,CPI!$A$2:$F$71,6,0)</f>
        <v>1.259947899</v>
      </c>
      <c r="AB476" s="27">
        <f t="shared" si="110"/>
        <v>7133.550335</v>
      </c>
      <c r="AC476" s="27">
        <f t="shared" si="111"/>
        <v>315.6438201</v>
      </c>
      <c r="AD476" s="72" t="s">
        <v>36</v>
      </c>
      <c r="AE476" s="79" t="s">
        <v>848</v>
      </c>
      <c r="AF476" s="114"/>
      <c r="AG476" s="114"/>
      <c r="AH476" s="114"/>
      <c r="AI476" s="114"/>
      <c r="AJ476" s="206"/>
      <c r="AK476" s="206"/>
      <c r="AL476" s="206"/>
      <c r="AM476" s="206"/>
      <c r="AN476" s="206"/>
      <c r="AO476" s="206"/>
      <c r="AP476" s="206"/>
      <c r="AQ476" s="206"/>
    </row>
    <row r="477" ht="15.75" customHeight="1">
      <c r="A477" s="170">
        <v>7801.0</v>
      </c>
      <c r="B477" s="72" t="s">
        <v>230</v>
      </c>
      <c r="C477" s="72" t="s">
        <v>834</v>
      </c>
      <c r="D477" s="115" t="s">
        <v>849</v>
      </c>
      <c r="E477" s="115" t="s">
        <v>850</v>
      </c>
      <c r="F477" s="69">
        <v>2019.0</v>
      </c>
      <c r="G477" s="72"/>
      <c r="H477" s="69">
        <v>0.0</v>
      </c>
      <c r="I477" s="69">
        <v>26.53</v>
      </c>
      <c r="J477" s="117">
        <v>1.0</v>
      </c>
      <c r="K477" s="69">
        <v>26.53</v>
      </c>
      <c r="L477" s="72"/>
      <c r="M477" s="72"/>
      <c r="N477" s="69">
        <v>21.0</v>
      </c>
      <c r="O477" s="69">
        <v>138.0</v>
      </c>
      <c r="P477" s="72"/>
      <c r="Q477" s="140">
        <v>26890.0</v>
      </c>
      <c r="R477" s="72" t="s">
        <v>234</v>
      </c>
      <c r="S477" s="75">
        <v>2019.0</v>
      </c>
      <c r="T477" s="136">
        <v>0.238</v>
      </c>
      <c r="U477" s="118">
        <f t="shared" si="115"/>
        <v>6399.82</v>
      </c>
      <c r="V477" s="24">
        <f t="shared" si="109"/>
        <v>241.2295515</v>
      </c>
      <c r="W477" s="3">
        <f t="shared" si="31"/>
        <v>0</v>
      </c>
      <c r="X477" s="3">
        <f t="shared" si="32"/>
        <v>0</v>
      </c>
      <c r="Y477" s="3">
        <f t="shared" si="33"/>
        <v>0</v>
      </c>
      <c r="Z477" s="25">
        <f t="shared" si="34"/>
        <v>0</v>
      </c>
      <c r="AA477" s="26">
        <f>VLOOKUP(S477,CPI!$A$2:$F$71,6,0)</f>
        <v>1.259947899</v>
      </c>
      <c r="AB477" s="27">
        <f t="shared" si="110"/>
        <v>8063.439763</v>
      </c>
      <c r="AC477" s="27">
        <f t="shared" si="111"/>
        <v>303.9366665</v>
      </c>
      <c r="AD477" s="72" t="s">
        <v>36</v>
      </c>
      <c r="AE477" s="79" t="s">
        <v>851</v>
      </c>
      <c r="AF477" s="164"/>
      <c r="AG477" s="165"/>
      <c r="AH477" s="165"/>
      <c r="AI477" s="165"/>
      <c r="AJ477" s="166"/>
      <c r="AK477" s="166"/>
      <c r="AL477" s="166"/>
      <c r="AM477" s="31"/>
      <c r="AN477" s="31"/>
      <c r="AO477" s="31"/>
      <c r="AP477" s="31"/>
      <c r="AQ477" s="35"/>
    </row>
    <row r="478" ht="15.75" customHeight="1">
      <c r="A478" s="7"/>
      <c r="B478" s="114" t="s">
        <v>230</v>
      </c>
      <c r="C478" s="114" t="s">
        <v>834</v>
      </c>
      <c r="D478" s="115" t="s">
        <v>236</v>
      </c>
      <c r="E478" s="115" t="s">
        <v>364</v>
      </c>
      <c r="F478" s="116">
        <v>2020.0</v>
      </c>
      <c r="G478" s="114"/>
      <c r="H478" s="116">
        <v>0.0</v>
      </c>
      <c r="I478" s="116">
        <v>21.2</v>
      </c>
      <c r="J478" s="117">
        <v>1.0</v>
      </c>
      <c r="K478" s="116">
        <v>21.2</v>
      </c>
      <c r="L478" s="114"/>
      <c r="M478" s="114"/>
      <c r="N478" s="116">
        <v>17.0</v>
      </c>
      <c r="O478" s="116"/>
      <c r="P478" s="114"/>
      <c r="Q478" s="140">
        <v>23800.11</v>
      </c>
      <c r="R478" s="114" t="s">
        <v>234</v>
      </c>
      <c r="S478" s="115">
        <v>2020.0</v>
      </c>
      <c r="T478" s="136">
        <v>0.239</v>
      </c>
      <c r="U478" s="118">
        <f t="shared" si="115"/>
        <v>5688.22629</v>
      </c>
      <c r="V478" s="24">
        <f t="shared" si="109"/>
        <v>268.3125608</v>
      </c>
      <c r="W478" s="3">
        <f t="shared" si="31"/>
        <v>0</v>
      </c>
      <c r="X478" s="3">
        <f t="shared" si="32"/>
        <v>0</v>
      </c>
      <c r="Y478" s="3">
        <f t="shared" si="33"/>
        <v>0</v>
      </c>
      <c r="Z478" s="25">
        <f t="shared" si="34"/>
        <v>0</v>
      </c>
      <c r="AA478" s="26">
        <f>VLOOKUP(S478,CPI!$A$2:$F$71,6,0)</f>
        <v>1.244593545</v>
      </c>
      <c r="AB478" s="27">
        <f t="shared" si="110"/>
        <v>7079.529724</v>
      </c>
      <c r="AC478" s="27">
        <f t="shared" si="111"/>
        <v>333.9400813</v>
      </c>
      <c r="AD478" s="114"/>
      <c r="AE478" s="119" t="s">
        <v>852</v>
      </c>
      <c r="AF478" s="164"/>
      <c r="AG478" s="165"/>
      <c r="AH478" s="165"/>
      <c r="AI478" s="165"/>
      <c r="AJ478" s="166"/>
      <c r="AK478" s="166"/>
      <c r="AL478" s="166"/>
      <c r="AM478" s="31"/>
      <c r="AN478" s="31"/>
      <c r="AO478" s="31"/>
      <c r="AP478" s="31"/>
      <c r="AQ478" s="35"/>
    </row>
    <row r="479" ht="15.0" customHeight="1">
      <c r="A479" s="170">
        <v>7826.0</v>
      </c>
      <c r="B479" s="72" t="s">
        <v>230</v>
      </c>
      <c r="C479" s="72" t="s">
        <v>834</v>
      </c>
      <c r="D479" s="115" t="s">
        <v>853</v>
      </c>
      <c r="E479" s="115" t="s">
        <v>854</v>
      </c>
      <c r="F479" s="69">
        <v>2021.0</v>
      </c>
      <c r="G479" s="72"/>
      <c r="H479" s="69">
        <v>0.0</v>
      </c>
      <c r="I479" s="69">
        <v>31.6</v>
      </c>
      <c r="J479" s="192"/>
      <c r="K479" s="72"/>
      <c r="L479" s="72"/>
      <c r="M479" s="72"/>
      <c r="N479" s="69">
        <v>22.0</v>
      </c>
      <c r="O479" s="69">
        <v>117.0</v>
      </c>
      <c r="P479" s="72"/>
      <c r="Q479" s="140">
        <v>29560.0</v>
      </c>
      <c r="R479" s="72" t="s">
        <v>234</v>
      </c>
      <c r="S479" s="115">
        <v>2021.0</v>
      </c>
      <c r="T479" s="136">
        <v>0.239</v>
      </c>
      <c r="U479" s="118">
        <f t="shared" si="115"/>
        <v>7064.84</v>
      </c>
      <c r="V479" s="24">
        <f t="shared" si="109"/>
        <v>223.5708861</v>
      </c>
      <c r="W479" s="3">
        <f t="shared" si="31"/>
        <v>0</v>
      </c>
      <c r="X479" s="3">
        <f t="shared" si="32"/>
        <v>0</v>
      </c>
      <c r="Y479" s="3">
        <f t="shared" si="33"/>
        <v>0</v>
      </c>
      <c r="Z479" s="25">
        <f t="shared" si="34"/>
        <v>0</v>
      </c>
      <c r="AA479" s="26">
        <f>VLOOKUP(S479,CPI!$A$2:$F$71,6,0)</f>
        <v>1.188745987</v>
      </c>
      <c r="AB479" s="27">
        <f t="shared" si="110"/>
        <v>8398.300196</v>
      </c>
      <c r="AC479" s="27">
        <f t="shared" si="111"/>
        <v>265.7689936</v>
      </c>
      <c r="AD479" s="115" t="s">
        <v>42</v>
      </c>
      <c r="AE479" s="182" t="s">
        <v>855</v>
      </c>
      <c r="AF479" s="114"/>
      <c r="AG479" s="114"/>
      <c r="AH479" s="114"/>
      <c r="AI479" s="114"/>
      <c r="AJ479" s="206"/>
      <c r="AK479" s="206"/>
      <c r="AL479" s="206"/>
      <c r="AM479" s="54"/>
      <c r="AN479" s="54"/>
      <c r="AO479" s="54"/>
      <c r="AP479" s="54"/>
      <c r="AQ479" s="54"/>
    </row>
    <row r="480" ht="15.75" customHeight="1">
      <c r="A480" s="38">
        <v>8120.0</v>
      </c>
      <c r="B480" s="130" t="s">
        <v>230</v>
      </c>
      <c r="C480" s="130" t="s">
        <v>834</v>
      </c>
      <c r="D480" s="36" t="s">
        <v>856</v>
      </c>
      <c r="E480" s="130" t="s">
        <v>857</v>
      </c>
      <c r="F480" s="130"/>
      <c r="G480" s="130"/>
      <c r="H480" s="130">
        <v>0.0</v>
      </c>
      <c r="I480" s="130">
        <v>3.9</v>
      </c>
      <c r="J480" s="131">
        <v>0.0</v>
      </c>
      <c r="K480" s="130">
        <v>0.0</v>
      </c>
      <c r="L480" s="132">
        <v>3.75</v>
      </c>
      <c r="M480" s="132">
        <v>0.15</v>
      </c>
      <c r="N480" s="130">
        <v>3.0</v>
      </c>
      <c r="O480" s="138"/>
      <c r="P480" s="130" t="s">
        <v>60</v>
      </c>
      <c r="Q480" s="135">
        <v>1704.0</v>
      </c>
      <c r="R480" s="130" t="s">
        <v>234</v>
      </c>
      <c r="S480" s="130">
        <v>2015.0</v>
      </c>
      <c r="T480" s="136">
        <v>0.258</v>
      </c>
      <c r="U480" s="128">
        <f>T480*Q480</f>
        <v>439.632</v>
      </c>
      <c r="V480" s="24">
        <f t="shared" si="109"/>
        <v>112.7261538</v>
      </c>
      <c r="W480" s="3">
        <f t="shared" si="31"/>
        <v>0</v>
      </c>
      <c r="X480" s="3">
        <f t="shared" si="32"/>
        <v>0</v>
      </c>
      <c r="Y480" s="3">
        <f t="shared" si="33"/>
        <v>0</v>
      </c>
      <c r="Z480" s="25">
        <f t="shared" si="34"/>
        <v>0</v>
      </c>
      <c r="AA480" s="26">
        <f>VLOOKUP(S480,CPI!$A$2:$F$71,6,0)</f>
        <v>1.359035428</v>
      </c>
      <c r="AB480" s="27">
        <f t="shared" si="110"/>
        <v>597.4754632</v>
      </c>
      <c r="AC480" s="27">
        <f t="shared" si="111"/>
        <v>153.1988367</v>
      </c>
      <c r="AD480" s="130" t="s">
        <v>42</v>
      </c>
      <c r="AE480" s="137" t="s">
        <v>840</v>
      </c>
      <c r="AF480" s="173"/>
      <c r="AG480" s="174"/>
      <c r="AH480" s="174"/>
      <c r="AI480" s="174"/>
      <c r="AJ480" s="175"/>
      <c r="AK480" s="175"/>
      <c r="AL480" s="175"/>
      <c r="AM480" s="31"/>
      <c r="AN480" s="31"/>
      <c r="AO480" s="31"/>
      <c r="AP480" s="31"/>
      <c r="AQ480" s="35"/>
    </row>
    <row r="481" ht="15.75" customHeight="1">
      <c r="A481" s="163"/>
      <c r="B481" s="66" t="s">
        <v>230</v>
      </c>
      <c r="C481" s="114" t="s">
        <v>858</v>
      </c>
      <c r="D481" s="114" t="s">
        <v>57</v>
      </c>
      <c r="E481" s="114" t="s">
        <v>57</v>
      </c>
      <c r="F481" s="116">
        <v>2014.0</v>
      </c>
      <c r="G481" s="116">
        <v>2019.0</v>
      </c>
      <c r="H481" s="116">
        <v>0.0</v>
      </c>
      <c r="I481" s="116">
        <v>27.615</v>
      </c>
      <c r="J481" s="117">
        <v>1.0</v>
      </c>
      <c r="K481" s="116">
        <v>27.615</v>
      </c>
      <c r="L481" s="114"/>
      <c r="M481" s="114"/>
      <c r="N481" s="116">
        <v>21.0</v>
      </c>
      <c r="O481" s="116">
        <v>138.0</v>
      </c>
      <c r="P481" s="114"/>
      <c r="Q481" s="140">
        <v>21694.0</v>
      </c>
      <c r="R481" s="114" t="s">
        <v>234</v>
      </c>
      <c r="S481" s="115">
        <v>2017.0</v>
      </c>
      <c r="T481" s="85">
        <v>0.239</v>
      </c>
      <c r="U481" s="118">
        <f t="shared" ref="U481:U483" si="116">Q481*T481</f>
        <v>5184.866</v>
      </c>
      <c r="V481" s="24">
        <f t="shared" si="109"/>
        <v>187.7554228</v>
      </c>
      <c r="W481" s="3">
        <f t="shared" si="31"/>
        <v>0</v>
      </c>
      <c r="X481" s="3">
        <f t="shared" si="32"/>
        <v>0</v>
      </c>
      <c r="Y481" s="3">
        <f t="shared" si="33"/>
        <v>0</v>
      </c>
      <c r="Z481" s="25">
        <f t="shared" si="34"/>
        <v>0</v>
      </c>
      <c r="AA481" s="26">
        <f>VLOOKUP(S481,CPI!$A$2:$F$71,6,0)</f>
        <v>1.314109416</v>
      </c>
      <c r="AB481" s="27">
        <f t="shared" si="110"/>
        <v>6813.48123</v>
      </c>
      <c r="AC481" s="27">
        <f t="shared" si="111"/>
        <v>246.7311689</v>
      </c>
      <c r="AD481" s="114"/>
      <c r="AE481" s="119" t="s">
        <v>859</v>
      </c>
      <c r="AF481" s="167" t="s">
        <v>860</v>
      </c>
      <c r="AG481" s="168"/>
      <c r="AH481" s="168"/>
      <c r="AI481" s="169"/>
      <c r="AJ481" s="166"/>
      <c r="AK481" s="166"/>
      <c r="AL481" s="166"/>
      <c r="AM481" s="31"/>
      <c r="AN481" s="31"/>
      <c r="AO481" s="31"/>
      <c r="AP481" s="31"/>
      <c r="AQ481" s="35"/>
    </row>
    <row r="482" ht="15.75" customHeight="1">
      <c r="A482" s="163"/>
      <c r="B482" s="66" t="s">
        <v>230</v>
      </c>
      <c r="C482" s="114" t="s">
        <v>858</v>
      </c>
      <c r="D482" s="114" t="s">
        <v>54</v>
      </c>
      <c r="E482" s="114" t="s">
        <v>54</v>
      </c>
      <c r="F482" s="114"/>
      <c r="G482" s="116">
        <v>2021.0</v>
      </c>
      <c r="H482" s="116">
        <v>0.0</v>
      </c>
      <c r="I482" s="116">
        <v>19.35</v>
      </c>
      <c r="J482" s="192"/>
      <c r="K482" s="114"/>
      <c r="L482" s="114"/>
      <c r="M482" s="114"/>
      <c r="N482" s="116">
        <v>16.0</v>
      </c>
      <c r="O482" s="116">
        <v>138.0</v>
      </c>
      <c r="P482" s="114"/>
      <c r="Q482" s="73">
        <v>16260.0</v>
      </c>
      <c r="R482" s="114" t="s">
        <v>234</v>
      </c>
      <c r="S482" s="115">
        <v>2021.0</v>
      </c>
      <c r="T482" s="136">
        <v>0.239000000000001</v>
      </c>
      <c r="U482" s="118">
        <f t="shared" si="116"/>
        <v>3886.14</v>
      </c>
      <c r="V482" s="24">
        <f t="shared" si="109"/>
        <v>200.8341085</v>
      </c>
      <c r="W482" s="3">
        <f t="shared" si="31"/>
        <v>0</v>
      </c>
      <c r="X482" s="3">
        <f t="shared" si="32"/>
        <v>0</v>
      </c>
      <c r="Y482" s="3">
        <f t="shared" si="33"/>
        <v>0</v>
      </c>
      <c r="Z482" s="25">
        <f t="shared" si="34"/>
        <v>0</v>
      </c>
      <c r="AA482" s="26">
        <f>VLOOKUP(S482,CPI!$A$2:$F$71,6,0)</f>
        <v>1.188745987</v>
      </c>
      <c r="AB482" s="27">
        <f t="shared" si="110"/>
        <v>4619.633329</v>
      </c>
      <c r="AC482" s="27">
        <f t="shared" si="111"/>
        <v>238.7407405</v>
      </c>
      <c r="AD482" s="114"/>
      <c r="AE482" s="119" t="s">
        <v>861</v>
      </c>
      <c r="AF482" s="114"/>
      <c r="AG482" s="114"/>
      <c r="AH482" s="114"/>
      <c r="AI482" s="114"/>
      <c r="AJ482" s="114"/>
      <c r="AK482" s="114"/>
      <c r="AL482" s="114"/>
      <c r="AM482" s="54"/>
      <c r="AN482" s="54"/>
      <c r="AO482" s="54"/>
      <c r="AP482" s="54"/>
      <c r="AQ482" s="54"/>
    </row>
    <row r="483" ht="15.75" customHeight="1">
      <c r="A483" s="163"/>
      <c r="B483" s="66" t="s">
        <v>230</v>
      </c>
      <c r="C483" s="114" t="s">
        <v>858</v>
      </c>
      <c r="D483" s="16" t="s">
        <v>110</v>
      </c>
      <c r="E483" s="115" t="s">
        <v>332</v>
      </c>
      <c r="F483" s="116">
        <v>2018.0</v>
      </c>
      <c r="G483" s="114"/>
      <c r="H483" s="116">
        <v>0.0</v>
      </c>
      <c r="I483" s="116">
        <v>20.556</v>
      </c>
      <c r="J483" s="116">
        <v>1.0</v>
      </c>
      <c r="K483" s="116">
        <v>20.556</v>
      </c>
      <c r="L483" s="114"/>
      <c r="M483" s="114"/>
      <c r="N483" s="116">
        <v>16.0</v>
      </c>
      <c r="O483" s="116">
        <v>138.0</v>
      </c>
      <c r="P483" s="114"/>
      <c r="Q483" s="73">
        <v>16787.0</v>
      </c>
      <c r="R483" s="114" t="s">
        <v>234</v>
      </c>
      <c r="S483" s="115">
        <v>2018.0</v>
      </c>
      <c r="T483" s="85">
        <v>0.237</v>
      </c>
      <c r="U483" s="118">
        <f t="shared" si="116"/>
        <v>3978.519</v>
      </c>
      <c r="V483" s="24">
        <f t="shared" si="109"/>
        <v>193.5453882</v>
      </c>
      <c r="W483" s="3">
        <f t="shared" si="31"/>
        <v>0</v>
      </c>
      <c r="X483" s="3">
        <f t="shared" si="32"/>
        <v>0</v>
      </c>
      <c r="Y483" s="3">
        <f t="shared" si="33"/>
        <v>0</v>
      </c>
      <c r="Z483" s="25">
        <f t="shared" si="34"/>
        <v>0</v>
      </c>
      <c r="AA483" s="26">
        <f>VLOOKUP(S483,CPI!$A$2:$F$71,6,0)</f>
        <v>1.28277786</v>
      </c>
      <c r="AB483" s="27">
        <f t="shared" si="110"/>
        <v>5103.556087</v>
      </c>
      <c r="AC483" s="27">
        <f t="shared" si="111"/>
        <v>248.2757388</v>
      </c>
      <c r="AD483" s="72"/>
      <c r="AE483" s="119" t="s">
        <v>862</v>
      </c>
      <c r="AF483" s="114"/>
      <c r="AG483" s="114"/>
      <c r="AH483" s="114"/>
      <c r="AI483" s="114"/>
      <c r="AJ483" s="114"/>
      <c r="AK483" s="114"/>
      <c r="AL483" s="114"/>
      <c r="AM483" s="54"/>
      <c r="AN483" s="54"/>
      <c r="AO483" s="54"/>
      <c r="AP483" s="54"/>
      <c r="AQ483" s="54"/>
    </row>
    <row r="484" ht="15.75" customHeight="1">
      <c r="A484" s="38">
        <v>8153.0</v>
      </c>
      <c r="B484" s="123" t="s">
        <v>230</v>
      </c>
      <c r="C484" s="123" t="s">
        <v>863</v>
      </c>
      <c r="D484" s="6"/>
      <c r="E484" s="123" t="s">
        <v>864</v>
      </c>
      <c r="F484" s="75">
        <v>2020.0</v>
      </c>
      <c r="G484" s="123"/>
      <c r="H484" s="75">
        <v>0.0</v>
      </c>
      <c r="I484" s="75">
        <v>27.9</v>
      </c>
      <c r="J484" s="124">
        <f>K484/I484</f>
        <v>1</v>
      </c>
      <c r="K484" s="143">
        <v>27.9</v>
      </c>
      <c r="L484" s="125">
        <v>0.0</v>
      </c>
      <c r="M484" s="125">
        <v>0.0</v>
      </c>
      <c r="N484" s="75">
        <v>23.0</v>
      </c>
      <c r="O484" s="75"/>
      <c r="P484" s="123" t="s">
        <v>60</v>
      </c>
      <c r="Q484" s="141"/>
      <c r="R484" s="123" t="s">
        <v>234</v>
      </c>
      <c r="S484" s="75">
        <v>2020.0</v>
      </c>
      <c r="T484" s="136">
        <v>0.239</v>
      </c>
      <c r="U484" s="118"/>
      <c r="V484" s="24"/>
      <c r="W484" s="3">
        <f t="shared" si="31"/>
        <v>0</v>
      </c>
      <c r="X484" s="3">
        <f t="shared" si="32"/>
        <v>0</v>
      </c>
      <c r="Y484" s="3">
        <f t="shared" si="33"/>
        <v>0</v>
      </c>
      <c r="Z484" s="25">
        <f t="shared" si="34"/>
        <v>0</v>
      </c>
      <c r="AA484" s="26">
        <f>VLOOKUP(S484,CPI!$A$2:$F$71,6,0)</f>
        <v>1.244593545</v>
      </c>
      <c r="AB484" s="27"/>
      <c r="AC484" s="27"/>
      <c r="AD484" s="123" t="s">
        <v>60</v>
      </c>
      <c r="AE484" s="196" t="s">
        <v>865</v>
      </c>
      <c r="AF484" s="29"/>
      <c r="AG484" s="30"/>
      <c r="AH484" s="30"/>
      <c r="AI484" s="30"/>
      <c r="AJ484" s="31"/>
      <c r="AK484" s="31"/>
      <c r="AL484" s="31"/>
      <c r="AM484" s="31"/>
      <c r="AN484" s="31"/>
      <c r="AO484" s="31"/>
      <c r="AP484" s="31"/>
      <c r="AQ484" s="35"/>
    </row>
    <row r="485" ht="15.75" customHeight="1">
      <c r="A485" s="38">
        <v>8152.0</v>
      </c>
      <c r="B485" s="72" t="s">
        <v>230</v>
      </c>
      <c r="C485" s="72" t="s">
        <v>863</v>
      </c>
      <c r="D485" s="115" t="s">
        <v>866</v>
      </c>
      <c r="E485" s="115" t="s">
        <v>866</v>
      </c>
      <c r="F485" s="69">
        <v>2022.0</v>
      </c>
      <c r="G485" s="72"/>
      <c r="H485" s="69">
        <v>0.0</v>
      </c>
      <c r="I485" s="69">
        <v>32.5</v>
      </c>
      <c r="J485" s="117">
        <v>1.0</v>
      </c>
      <c r="K485" s="193">
        <v>32.5</v>
      </c>
      <c r="L485" s="72"/>
      <c r="M485" s="72"/>
      <c r="N485" s="69">
        <v>23.0</v>
      </c>
      <c r="O485" s="69">
        <v>117.0</v>
      </c>
      <c r="P485" s="72"/>
      <c r="Q485" s="140">
        <v>26000.0</v>
      </c>
      <c r="R485" s="72" t="s">
        <v>234</v>
      </c>
      <c r="S485" s="115">
        <v>2021.0</v>
      </c>
      <c r="T485" s="136">
        <v>0.239</v>
      </c>
      <c r="U485" s="118">
        <f t="shared" ref="U485:U486" si="117">Q485*T485</f>
        <v>6214</v>
      </c>
      <c r="V485" s="24">
        <f t="shared" ref="V485:V490" si="118">U485/I485</f>
        <v>191.2</v>
      </c>
      <c r="W485" s="3">
        <f t="shared" si="31"/>
        <v>0</v>
      </c>
      <c r="X485" s="3">
        <f t="shared" si="32"/>
        <v>0</v>
      </c>
      <c r="Y485" s="3">
        <f t="shared" si="33"/>
        <v>0</v>
      </c>
      <c r="Z485" s="25">
        <f t="shared" si="34"/>
        <v>0</v>
      </c>
      <c r="AA485" s="26">
        <f>VLOOKUP(S485,CPI!$A$2:$F$71,6,0)</f>
        <v>1.188745987</v>
      </c>
      <c r="AB485" s="27">
        <f t="shared" ref="AB485:AB490" si="119">U485*AA485</f>
        <v>7386.867561</v>
      </c>
      <c r="AC485" s="27">
        <f t="shared" ref="AC485:AC490" si="120">V485*AA485</f>
        <v>227.2882326</v>
      </c>
      <c r="AD485" s="72"/>
      <c r="AE485" s="182" t="s">
        <v>867</v>
      </c>
      <c r="AF485" s="72"/>
      <c r="AG485" s="72"/>
      <c r="AH485" s="72"/>
      <c r="AI485" s="72"/>
      <c r="AJ485" s="54"/>
      <c r="AK485" s="54"/>
      <c r="AL485" s="54"/>
      <c r="AM485" s="54"/>
      <c r="AN485" s="54"/>
      <c r="AO485" s="54"/>
      <c r="AP485" s="54"/>
      <c r="AQ485" s="54"/>
    </row>
    <row r="486" ht="15.75" customHeight="1">
      <c r="A486" s="163"/>
      <c r="B486" s="114" t="s">
        <v>230</v>
      </c>
      <c r="C486" s="114" t="s">
        <v>863</v>
      </c>
      <c r="D486" s="115" t="s">
        <v>868</v>
      </c>
      <c r="E486" s="115" t="s">
        <v>869</v>
      </c>
      <c r="F486" s="116">
        <v>2022.0</v>
      </c>
      <c r="G486" s="114"/>
      <c r="H486" s="116">
        <v>0.0</v>
      </c>
      <c r="I486" s="116">
        <v>31.17</v>
      </c>
      <c r="J486" s="117">
        <v>0.09</v>
      </c>
      <c r="K486" s="116">
        <v>2.8</v>
      </c>
      <c r="L486" s="114"/>
      <c r="M486" s="114"/>
      <c r="N486" s="116">
        <v>12.0</v>
      </c>
      <c r="O486" s="116">
        <v>138.0</v>
      </c>
      <c r="P486" s="114"/>
      <c r="Q486" s="140">
        <v>12240.0</v>
      </c>
      <c r="R486" s="114" t="s">
        <v>234</v>
      </c>
      <c r="S486" s="115">
        <v>2021.0</v>
      </c>
      <c r="T486" s="136">
        <v>0.239</v>
      </c>
      <c r="U486" s="118">
        <f t="shared" si="117"/>
        <v>2925.36</v>
      </c>
      <c r="V486" s="24">
        <f t="shared" si="118"/>
        <v>93.85178056</v>
      </c>
      <c r="W486" s="3">
        <f t="shared" si="31"/>
        <v>0</v>
      </c>
      <c r="X486" s="3">
        <f t="shared" si="32"/>
        <v>0</v>
      </c>
      <c r="Y486" s="3">
        <f t="shared" si="33"/>
        <v>0</v>
      </c>
      <c r="Z486" s="25">
        <f t="shared" si="34"/>
        <v>0</v>
      </c>
      <c r="AA486" s="26">
        <f>VLOOKUP(S486,CPI!$A$2:$F$71,6,0)</f>
        <v>1.188745987</v>
      </c>
      <c r="AB486" s="27">
        <f t="shared" si="119"/>
        <v>3477.509959</v>
      </c>
      <c r="AC486" s="27">
        <f t="shared" si="120"/>
        <v>111.5659275</v>
      </c>
      <c r="AD486" s="114"/>
      <c r="AE486" s="119" t="s">
        <v>867</v>
      </c>
      <c r="AF486" s="173"/>
      <c r="AG486" s="174"/>
      <c r="AH486" s="174"/>
      <c r="AI486" s="174"/>
      <c r="AJ486" s="175"/>
      <c r="AK486" s="175"/>
      <c r="AL486" s="175"/>
      <c r="AM486" s="31"/>
      <c r="AN486" s="31"/>
      <c r="AO486" s="31"/>
      <c r="AP486" s="31"/>
      <c r="AQ486" s="35"/>
    </row>
    <row r="487" ht="15.75" customHeight="1">
      <c r="A487" s="38">
        <v>8146.0</v>
      </c>
      <c r="B487" s="130" t="s">
        <v>230</v>
      </c>
      <c r="C487" s="130" t="s">
        <v>863</v>
      </c>
      <c r="D487" s="36" t="s">
        <v>506</v>
      </c>
      <c r="E487" s="130" t="s">
        <v>507</v>
      </c>
      <c r="F487" s="138"/>
      <c r="G487" s="138"/>
      <c r="H487" s="138">
        <v>0.0</v>
      </c>
      <c r="I487" s="138">
        <v>53.5</v>
      </c>
      <c r="J487" s="197"/>
      <c r="K487" s="198"/>
      <c r="L487" s="199" t="e">
        <v>#N/A</v>
      </c>
      <c r="M487" s="199" t="e">
        <v>#N/A</v>
      </c>
      <c r="N487" s="138"/>
      <c r="O487" s="138"/>
      <c r="P487" s="130" t="s">
        <v>42</v>
      </c>
      <c r="Q487" s="226">
        <v>18606.83</v>
      </c>
      <c r="R487" s="130" t="s">
        <v>234</v>
      </c>
      <c r="S487" s="138">
        <v>2014.0</v>
      </c>
      <c r="T487" s="136">
        <v>0.266</v>
      </c>
      <c r="U487" s="194">
        <f t="shared" ref="U487:U488" si="121">T487*Q487</f>
        <v>4949.41678</v>
      </c>
      <c r="V487" s="24">
        <f t="shared" si="118"/>
        <v>92.51246318</v>
      </c>
      <c r="W487" s="3">
        <f t="shared" si="31"/>
        <v>0</v>
      </c>
      <c r="X487" s="3">
        <f t="shared" si="32"/>
        <v>0</v>
      </c>
      <c r="Y487" s="3">
        <f t="shared" si="33"/>
        <v>0</v>
      </c>
      <c r="Z487" s="25">
        <f t="shared" si="34"/>
        <v>0</v>
      </c>
      <c r="AA487" s="26">
        <f>VLOOKUP(S487,CPI!$A$2:$F$71,6,0)</f>
        <v>1.360648571</v>
      </c>
      <c r="AB487" s="27">
        <f t="shared" si="119"/>
        <v>6734.416867</v>
      </c>
      <c r="AC487" s="27">
        <f t="shared" si="120"/>
        <v>125.8769508</v>
      </c>
      <c r="AD487" s="130" t="s">
        <v>42</v>
      </c>
      <c r="AE487" s="196" t="s">
        <v>870</v>
      </c>
      <c r="AF487" s="7"/>
      <c r="AG487" s="6"/>
      <c r="AH487" s="6"/>
      <c r="AI487" s="6"/>
      <c r="AJ487" s="6"/>
      <c r="AK487" s="6"/>
      <c r="AL487" s="6"/>
      <c r="AM487" s="54"/>
      <c r="AN487" s="54"/>
      <c r="AO487" s="54"/>
      <c r="AP487" s="54"/>
      <c r="AQ487" s="54"/>
    </row>
    <row r="488" ht="15.75" customHeight="1">
      <c r="A488" s="38">
        <v>8147.0</v>
      </c>
      <c r="B488" s="130" t="s">
        <v>230</v>
      </c>
      <c r="C488" s="130" t="s">
        <v>863</v>
      </c>
      <c r="D488" s="36" t="s">
        <v>511</v>
      </c>
      <c r="E488" s="130" t="s">
        <v>871</v>
      </c>
      <c r="F488" s="138"/>
      <c r="G488" s="138"/>
      <c r="H488" s="138">
        <v>0.0</v>
      </c>
      <c r="I488" s="138">
        <v>70.299</v>
      </c>
      <c r="J488" s="197"/>
      <c r="K488" s="198"/>
      <c r="L488" s="199" t="e">
        <v>#N/A</v>
      </c>
      <c r="M488" s="199" t="e">
        <v>#N/A</v>
      </c>
      <c r="N488" s="138"/>
      <c r="O488" s="138"/>
      <c r="P488" s="130" t="s">
        <v>42</v>
      </c>
      <c r="Q488" s="226">
        <v>26200.0</v>
      </c>
      <c r="R488" s="130" t="s">
        <v>234</v>
      </c>
      <c r="S488" s="138">
        <v>2014.0</v>
      </c>
      <c r="T488" s="136">
        <v>0.266</v>
      </c>
      <c r="U488" s="194">
        <f t="shared" si="121"/>
        <v>6969.2</v>
      </c>
      <c r="V488" s="24">
        <f t="shared" si="118"/>
        <v>99.13654533</v>
      </c>
      <c r="W488" s="3">
        <f t="shared" si="31"/>
        <v>0</v>
      </c>
      <c r="X488" s="3">
        <f t="shared" si="32"/>
        <v>0</v>
      </c>
      <c r="Y488" s="3">
        <f t="shared" si="33"/>
        <v>0</v>
      </c>
      <c r="Z488" s="25">
        <f t="shared" si="34"/>
        <v>0</v>
      </c>
      <c r="AA488" s="26">
        <f>VLOOKUP(S488,CPI!$A$2:$F$71,6,0)</f>
        <v>1.360648571</v>
      </c>
      <c r="AB488" s="27">
        <f t="shared" si="119"/>
        <v>9482.632018</v>
      </c>
      <c r="AC488" s="27">
        <f t="shared" si="120"/>
        <v>134.8899987</v>
      </c>
      <c r="AD488" s="130" t="s">
        <v>42</v>
      </c>
      <c r="AE488" s="196" t="s">
        <v>870</v>
      </c>
      <c r="AF488" s="7"/>
      <c r="AG488" s="7"/>
      <c r="AH488" s="7"/>
      <c r="AI488" s="7"/>
      <c r="AM488" s="54"/>
      <c r="AN488" s="54"/>
      <c r="AO488" s="54"/>
      <c r="AP488" s="54"/>
      <c r="AQ488" s="54"/>
    </row>
    <row r="489" ht="15.75" customHeight="1">
      <c r="A489" s="170">
        <v>7731.0</v>
      </c>
      <c r="B489" s="123" t="s">
        <v>230</v>
      </c>
      <c r="C489" s="123" t="s">
        <v>872</v>
      </c>
      <c r="D489" s="36" t="s">
        <v>57</v>
      </c>
      <c r="E489" s="123" t="s">
        <v>232</v>
      </c>
      <c r="F489" s="75">
        <v>2000.0</v>
      </c>
      <c r="G489" s="75">
        <v>2003.0</v>
      </c>
      <c r="H489" s="75">
        <v>0.0</v>
      </c>
      <c r="I489" s="75">
        <v>10.234</v>
      </c>
      <c r="J489" s="124">
        <v>0.0</v>
      </c>
      <c r="K489" s="75">
        <v>0.0</v>
      </c>
      <c r="L489" s="125">
        <v>10.23</v>
      </c>
      <c r="M489" s="125">
        <v>0.0</v>
      </c>
      <c r="N489" s="75">
        <v>10.0</v>
      </c>
      <c r="O489" s="152">
        <v>78.0</v>
      </c>
      <c r="P489" s="123" t="s">
        <v>74</v>
      </c>
      <c r="Q489" s="126">
        <f>2.199*10^3</f>
        <v>2199</v>
      </c>
      <c r="R489" s="123" t="s">
        <v>234</v>
      </c>
      <c r="S489" s="75">
        <v>2000.0</v>
      </c>
      <c r="T489" s="136">
        <v>0.367</v>
      </c>
      <c r="U489" s="128">
        <f t="shared" ref="U489:U490" si="122">Q489*T489</f>
        <v>807.033</v>
      </c>
      <c r="V489" s="24">
        <f t="shared" si="118"/>
        <v>78.85802228</v>
      </c>
      <c r="W489" s="3">
        <f t="shared" si="31"/>
        <v>0</v>
      </c>
      <c r="X489" s="3">
        <f t="shared" si="32"/>
        <v>0</v>
      </c>
      <c r="Y489" s="3">
        <f t="shared" si="33"/>
        <v>0</v>
      </c>
      <c r="Z489" s="25">
        <f t="shared" si="34"/>
        <v>0</v>
      </c>
      <c r="AA489" s="26">
        <f>VLOOKUP(S489,CPI!$A$2:$F$71,6,0)</f>
        <v>1.870583624</v>
      </c>
      <c r="AB489" s="27">
        <f t="shared" si="119"/>
        <v>1509.622714</v>
      </c>
      <c r="AC489" s="27">
        <f t="shared" si="120"/>
        <v>147.5105251</v>
      </c>
      <c r="AD489" s="123" t="s">
        <v>42</v>
      </c>
      <c r="AE489" s="154" t="s">
        <v>873</v>
      </c>
      <c r="AF489" s="178"/>
      <c r="AG489" s="172"/>
      <c r="AH489" s="172"/>
      <c r="AI489" s="172"/>
      <c r="AJ489" s="32"/>
      <c r="AK489" s="32"/>
      <c r="AL489" s="32"/>
      <c r="AM489" s="31"/>
      <c r="AN489" s="31"/>
      <c r="AO489" s="31"/>
      <c r="AP489" s="31"/>
      <c r="AQ489" s="35"/>
    </row>
    <row r="490" ht="15.75" customHeight="1">
      <c r="A490" s="170">
        <v>7736.0</v>
      </c>
      <c r="B490" s="123" t="s">
        <v>230</v>
      </c>
      <c r="C490" s="123" t="s">
        <v>872</v>
      </c>
      <c r="D490" s="36" t="s">
        <v>57</v>
      </c>
      <c r="E490" s="123" t="s">
        <v>410</v>
      </c>
      <c r="F490" s="75">
        <v>2005.0</v>
      </c>
      <c r="G490" s="75">
        <v>2010.0</v>
      </c>
      <c r="H490" s="75">
        <v>0.0</v>
      </c>
      <c r="I490" s="75">
        <v>18.25</v>
      </c>
      <c r="J490" s="124">
        <v>0.0</v>
      </c>
      <c r="K490" s="75">
        <v>0.0</v>
      </c>
      <c r="L490" s="125">
        <v>18.25</v>
      </c>
      <c r="M490" s="125">
        <v>0.0</v>
      </c>
      <c r="N490" s="75">
        <v>16.0</v>
      </c>
      <c r="O490" s="75"/>
      <c r="P490" s="123" t="s">
        <v>42</v>
      </c>
      <c r="Q490" s="126">
        <f>4.6498*10^3</f>
        <v>4649.8</v>
      </c>
      <c r="R490" s="123" t="s">
        <v>234</v>
      </c>
      <c r="S490" s="75">
        <v>2005.0</v>
      </c>
      <c r="T490" s="136">
        <v>0.3519</v>
      </c>
      <c r="U490" s="128">
        <f t="shared" si="122"/>
        <v>1636.26462</v>
      </c>
      <c r="V490" s="24">
        <f t="shared" si="118"/>
        <v>89.65833534</v>
      </c>
      <c r="W490" s="3">
        <f t="shared" si="31"/>
        <v>0</v>
      </c>
      <c r="X490" s="3">
        <f t="shared" si="32"/>
        <v>0</v>
      </c>
      <c r="Y490" s="3">
        <f t="shared" si="33"/>
        <v>0</v>
      </c>
      <c r="Z490" s="25">
        <f t="shared" si="34"/>
        <v>0</v>
      </c>
      <c r="AA490" s="26">
        <f>VLOOKUP(S490,CPI!$A$2:$F$71,6,0)</f>
        <v>1.649331797</v>
      </c>
      <c r="AB490" s="27">
        <f t="shared" si="119"/>
        <v>2698.743266</v>
      </c>
      <c r="AC490" s="27">
        <f t="shared" si="120"/>
        <v>147.8763434</v>
      </c>
      <c r="AD490" s="123" t="s">
        <v>42</v>
      </c>
      <c r="AE490" s="154" t="s">
        <v>873</v>
      </c>
      <c r="AF490" s="178"/>
      <c r="AG490" s="172"/>
      <c r="AH490" s="172"/>
      <c r="AI490" s="172"/>
      <c r="AJ490" s="32"/>
      <c r="AK490" s="32"/>
      <c r="AL490" s="32"/>
      <c r="AM490" s="31"/>
      <c r="AN490" s="31"/>
      <c r="AO490" s="31"/>
      <c r="AP490" s="31"/>
      <c r="AQ490" s="35"/>
    </row>
    <row r="491" ht="15.75" customHeight="1">
      <c r="A491" s="170">
        <v>7738.0</v>
      </c>
      <c r="B491" s="123" t="s">
        <v>230</v>
      </c>
      <c r="C491" s="123" t="s">
        <v>872</v>
      </c>
      <c r="D491" s="36" t="s">
        <v>54</v>
      </c>
      <c r="E491" s="123" t="s">
        <v>348</v>
      </c>
      <c r="F491" s="75">
        <v>2006.0</v>
      </c>
      <c r="G491" s="75">
        <v>2012.0</v>
      </c>
      <c r="H491" s="75">
        <v>0.0</v>
      </c>
      <c r="I491" s="75">
        <v>27.985</v>
      </c>
      <c r="J491" s="124">
        <v>1.0</v>
      </c>
      <c r="K491" s="75">
        <v>27.985</v>
      </c>
      <c r="L491" s="125">
        <v>0.0</v>
      </c>
      <c r="M491" s="125">
        <v>0.0</v>
      </c>
      <c r="N491" s="75">
        <v>21.0</v>
      </c>
      <c r="O491" s="75"/>
      <c r="P491" s="123" t="s">
        <v>42</v>
      </c>
      <c r="Q491" s="141"/>
      <c r="R491" s="123" t="s">
        <v>234</v>
      </c>
      <c r="S491" s="75">
        <v>2009.0</v>
      </c>
      <c r="T491" s="136">
        <v>0.317</v>
      </c>
      <c r="U491" s="118"/>
      <c r="V491" s="24"/>
      <c r="W491" s="3">
        <f t="shared" si="31"/>
        <v>0</v>
      </c>
      <c r="X491" s="3">
        <f t="shared" si="32"/>
        <v>0</v>
      </c>
      <c r="Y491" s="3">
        <f t="shared" si="33"/>
        <v>0</v>
      </c>
      <c r="Z491" s="25">
        <f t="shared" si="34"/>
        <v>0</v>
      </c>
      <c r="AA491" s="26">
        <f>VLOOKUP(S491,CPI!$A$2:$F$71,6,0)</f>
        <v>1.501440311</v>
      </c>
      <c r="AB491" s="27"/>
      <c r="AC491" s="27"/>
      <c r="AD491" s="123" t="s">
        <v>42</v>
      </c>
      <c r="AE491" s="129" t="s">
        <v>874</v>
      </c>
      <c r="AF491" s="29"/>
      <c r="AG491" s="30"/>
      <c r="AH491" s="30"/>
      <c r="AI491" s="30"/>
      <c r="AJ491" s="31"/>
      <c r="AK491" s="31"/>
      <c r="AL491" s="31"/>
      <c r="AM491" s="31"/>
      <c r="AN491" s="31"/>
      <c r="AO491" s="31"/>
      <c r="AP491" s="31"/>
      <c r="AQ491" s="35"/>
    </row>
    <row r="492" ht="15.75" customHeight="1">
      <c r="A492" s="170">
        <v>7737.0</v>
      </c>
      <c r="B492" s="123" t="s">
        <v>230</v>
      </c>
      <c r="C492" s="123" t="s">
        <v>872</v>
      </c>
      <c r="D492" s="36" t="s">
        <v>57</v>
      </c>
      <c r="E492" s="123" t="s">
        <v>875</v>
      </c>
      <c r="F492" s="75">
        <v>2011.0</v>
      </c>
      <c r="G492" s="75">
        <v>2013.0</v>
      </c>
      <c r="H492" s="75">
        <v>0.0</v>
      </c>
      <c r="I492" s="75">
        <v>5.7</v>
      </c>
      <c r="J492" s="124">
        <v>0.0</v>
      </c>
      <c r="K492" s="75">
        <v>0.0</v>
      </c>
      <c r="L492" s="125">
        <v>5.7</v>
      </c>
      <c r="M492" s="125">
        <v>0.0</v>
      </c>
      <c r="N492" s="75">
        <v>3.0</v>
      </c>
      <c r="O492" s="75"/>
      <c r="P492" s="123" t="s">
        <v>42</v>
      </c>
      <c r="Q492" s="126">
        <f>2.361*10^3</f>
        <v>2361</v>
      </c>
      <c r="R492" s="123" t="s">
        <v>234</v>
      </c>
      <c r="S492" s="75">
        <v>2011.0</v>
      </c>
      <c r="T492" s="136">
        <v>0.284</v>
      </c>
      <c r="U492" s="128">
        <f t="shared" ref="U492:U493" si="123">Q492*T492</f>
        <v>670.524</v>
      </c>
      <c r="V492" s="24">
        <f t="shared" ref="V492:V606" si="124">U492/I492</f>
        <v>117.6357895</v>
      </c>
      <c r="W492" s="3">
        <f t="shared" si="31"/>
        <v>0</v>
      </c>
      <c r="X492" s="3">
        <f t="shared" si="32"/>
        <v>0</v>
      </c>
      <c r="Y492" s="3">
        <f t="shared" si="33"/>
        <v>0</v>
      </c>
      <c r="Z492" s="25">
        <f t="shared" si="34"/>
        <v>0</v>
      </c>
      <c r="AA492" s="26">
        <f>VLOOKUP(S492,CPI!$A$2:$F$71,6,0)</f>
        <v>1.432008233</v>
      </c>
      <c r="AB492" s="27">
        <f t="shared" ref="AB492:AB606" si="125">U492*AA492</f>
        <v>960.1958887</v>
      </c>
      <c r="AC492" s="27">
        <f t="shared" ref="AC492:AC606" si="126">V492*AA492</f>
        <v>168.4554191</v>
      </c>
      <c r="AD492" s="123" t="s">
        <v>42</v>
      </c>
      <c r="AE492" s="154" t="s">
        <v>876</v>
      </c>
      <c r="AF492" s="178"/>
      <c r="AG492" s="172"/>
      <c r="AH492" s="172"/>
      <c r="AI492" s="172"/>
      <c r="AJ492" s="32"/>
      <c r="AK492" s="32"/>
      <c r="AL492" s="32"/>
      <c r="AM492" s="31"/>
      <c r="AN492" s="31"/>
      <c r="AO492" s="31"/>
      <c r="AP492" s="31"/>
      <c r="AQ492" s="35"/>
    </row>
    <row r="493" ht="15.75" customHeight="1">
      <c r="A493" s="7"/>
      <c r="B493" s="114" t="s">
        <v>230</v>
      </c>
      <c r="C493" s="114" t="s">
        <v>872</v>
      </c>
      <c r="D493" s="16" t="s">
        <v>87</v>
      </c>
      <c r="E493" s="115" t="s">
        <v>331</v>
      </c>
      <c r="F493" s="116">
        <v>2012.0</v>
      </c>
      <c r="G493" s="116">
        <v>2015.0</v>
      </c>
      <c r="H493" s="116">
        <v>0.0</v>
      </c>
      <c r="I493" s="116">
        <v>27.9</v>
      </c>
      <c r="J493" s="117">
        <v>1.0</v>
      </c>
      <c r="K493" s="116">
        <v>27.9</v>
      </c>
      <c r="L493" s="114"/>
      <c r="M493" s="114"/>
      <c r="N493" s="116">
        <v>23.0</v>
      </c>
      <c r="O493" s="116">
        <v>117.0</v>
      </c>
      <c r="P493" s="114"/>
      <c r="Q493" s="140">
        <v>21423.0</v>
      </c>
      <c r="R493" s="114" t="s">
        <v>234</v>
      </c>
      <c r="S493" s="115">
        <v>2014.0</v>
      </c>
      <c r="T493" s="115">
        <v>0.266</v>
      </c>
      <c r="U493" s="118">
        <f t="shared" si="123"/>
        <v>5698.518</v>
      </c>
      <c r="V493" s="24">
        <f t="shared" si="124"/>
        <v>204.247957</v>
      </c>
      <c r="W493" s="3">
        <f t="shared" si="31"/>
        <v>0</v>
      </c>
      <c r="X493" s="3">
        <f t="shared" si="32"/>
        <v>0</v>
      </c>
      <c r="Y493" s="3">
        <f t="shared" si="33"/>
        <v>0</v>
      </c>
      <c r="Z493" s="25">
        <f t="shared" si="34"/>
        <v>0</v>
      </c>
      <c r="AA493" s="26">
        <f>VLOOKUP(S493,CPI!$A$2:$F$71,6,0)</f>
        <v>1.360648571</v>
      </c>
      <c r="AB493" s="27">
        <f t="shared" si="125"/>
        <v>7753.680371</v>
      </c>
      <c r="AC493" s="27">
        <f t="shared" si="126"/>
        <v>277.9096907</v>
      </c>
      <c r="AD493" s="114"/>
      <c r="AE493" s="119" t="s">
        <v>877</v>
      </c>
      <c r="AF493" s="114"/>
      <c r="AG493" s="114"/>
      <c r="AH493" s="114"/>
      <c r="AI493" s="114"/>
      <c r="AJ493" s="206"/>
      <c r="AK493" s="206"/>
      <c r="AL493" s="206"/>
      <c r="AM493" s="54"/>
      <c r="AN493" s="54"/>
      <c r="AO493" s="54"/>
      <c r="AP493" s="54"/>
      <c r="AQ493" s="54"/>
    </row>
    <row r="494" ht="15.75" customHeight="1">
      <c r="A494" s="38">
        <v>8114.0</v>
      </c>
      <c r="B494" s="130" t="s">
        <v>230</v>
      </c>
      <c r="C494" s="130" t="s">
        <v>872</v>
      </c>
      <c r="D494" s="36" t="s">
        <v>57</v>
      </c>
      <c r="E494" s="130" t="s">
        <v>878</v>
      </c>
      <c r="F494" s="130">
        <v>2015.0</v>
      </c>
      <c r="G494" s="130">
        <v>2017.0</v>
      </c>
      <c r="H494" s="130">
        <v>0.0</v>
      </c>
      <c r="I494" s="130">
        <v>3.97</v>
      </c>
      <c r="J494" s="131">
        <v>0.0</v>
      </c>
      <c r="K494" s="130">
        <v>0.0</v>
      </c>
      <c r="L494" s="132">
        <v>3.97</v>
      </c>
      <c r="M494" s="132">
        <v>0.0</v>
      </c>
      <c r="N494" s="130">
        <v>2.0</v>
      </c>
      <c r="O494" s="138"/>
      <c r="P494" s="130" t="s">
        <v>59</v>
      </c>
      <c r="Q494" s="135">
        <v>1740.0</v>
      </c>
      <c r="R494" s="130" t="s">
        <v>234</v>
      </c>
      <c r="S494" s="130">
        <v>2015.0</v>
      </c>
      <c r="T494" s="136">
        <v>0.258</v>
      </c>
      <c r="U494" s="128">
        <f>T494*Q494</f>
        <v>448.92</v>
      </c>
      <c r="V494" s="24">
        <f t="shared" si="124"/>
        <v>113.0780856</v>
      </c>
      <c r="W494" s="3">
        <f t="shared" si="31"/>
        <v>0</v>
      </c>
      <c r="X494" s="3">
        <f t="shared" si="32"/>
        <v>0</v>
      </c>
      <c r="Y494" s="3">
        <f t="shared" si="33"/>
        <v>0</v>
      </c>
      <c r="Z494" s="25">
        <f t="shared" si="34"/>
        <v>0</v>
      </c>
      <c r="AA494" s="26">
        <f>VLOOKUP(S494,CPI!$A$2:$F$71,6,0)</f>
        <v>1.359035428</v>
      </c>
      <c r="AB494" s="27">
        <f t="shared" si="125"/>
        <v>610.0981843</v>
      </c>
      <c r="AC494" s="27">
        <f t="shared" si="126"/>
        <v>153.6771245</v>
      </c>
      <c r="AD494" s="134" t="s">
        <v>42</v>
      </c>
      <c r="AE494" s="137" t="s">
        <v>879</v>
      </c>
      <c r="AF494" s="178"/>
      <c r="AG494" s="172"/>
      <c r="AH494" s="172"/>
      <c r="AI494" s="172"/>
      <c r="AJ494" s="32"/>
      <c r="AK494" s="32"/>
      <c r="AL494" s="32"/>
      <c r="AM494" s="31"/>
      <c r="AN494" s="31"/>
      <c r="AO494" s="31"/>
      <c r="AP494" s="31"/>
      <c r="AQ494" s="35"/>
    </row>
    <row r="495" ht="15.75" customHeight="1">
      <c r="A495" s="170">
        <v>7979.0</v>
      </c>
      <c r="B495" s="221" t="s">
        <v>230</v>
      </c>
      <c r="C495" s="221" t="s">
        <v>872</v>
      </c>
      <c r="D495" s="36" t="s">
        <v>110</v>
      </c>
      <c r="E495" s="221" t="s">
        <v>880</v>
      </c>
      <c r="F495" s="227">
        <v>2016.0</v>
      </c>
      <c r="G495" s="227">
        <v>2018.0</v>
      </c>
      <c r="H495" s="227">
        <v>0.0</v>
      </c>
      <c r="I495" s="227">
        <v>4.0</v>
      </c>
      <c r="J495" s="228">
        <v>0.85</v>
      </c>
      <c r="K495" s="227">
        <v>3.4</v>
      </c>
      <c r="L495" s="229">
        <v>0.0</v>
      </c>
      <c r="M495" s="229">
        <v>0.0</v>
      </c>
      <c r="N495" s="227">
        <v>2.0</v>
      </c>
      <c r="O495" s="227"/>
      <c r="P495" s="221" t="s">
        <v>60</v>
      </c>
      <c r="Q495" s="230">
        <v>2634.0</v>
      </c>
      <c r="R495" s="221" t="s">
        <v>234</v>
      </c>
      <c r="S495" s="227">
        <v>2015.0</v>
      </c>
      <c r="T495" s="136">
        <v>0.258</v>
      </c>
      <c r="U495" s="128">
        <f t="shared" ref="U495:U508" si="127">Q495*T495</f>
        <v>679.572</v>
      </c>
      <c r="V495" s="24">
        <f t="shared" si="124"/>
        <v>169.893</v>
      </c>
      <c r="W495" s="3">
        <f t="shared" si="31"/>
        <v>0</v>
      </c>
      <c r="X495" s="3">
        <f t="shared" si="32"/>
        <v>0</v>
      </c>
      <c r="Y495" s="3">
        <f t="shared" si="33"/>
        <v>0</v>
      </c>
      <c r="Z495" s="25">
        <f t="shared" si="34"/>
        <v>0</v>
      </c>
      <c r="AA495" s="26">
        <f>VLOOKUP(S495,CPI!$A$2:$F$71,6,0)</f>
        <v>1.359035428</v>
      </c>
      <c r="AB495" s="27">
        <f t="shared" si="125"/>
        <v>923.5624238</v>
      </c>
      <c r="AC495" s="27">
        <f t="shared" si="126"/>
        <v>230.8906059</v>
      </c>
      <c r="AD495" s="123" t="s">
        <v>60</v>
      </c>
      <c r="AE495" s="223" t="s">
        <v>881</v>
      </c>
      <c r="AF495" s="178"/>
      <c r="AG495" s="172"/>
      <c r="AH495" s="172"/>
      <c r="AI495" s="172"/>
      <c r="AJ495" s="32"/>
      <c r="AK495" s="32"/>
      <c r="AL495" s="32"/>
      <c r="AM495" s="31"/>
      <c r="AN495" s="31"/>
      <c r="AO495" s="31"/>
      <c r="AP495" s="31"/>
      <c r="AQ495" s="35"/>
    </row>
    <row r="496" ht="15.75" customHeight="1">
      <c r="A496" s="170">
        <v>7962.0</v>
      </c>
      <c r="B496" s="123" t="s">
        <v>230</v>
      </c>
      <c r="C496" s="123" t="s">
        <v>872</v>
      </c>
      <c r="D496" s="36" t="s">
        <v>228</v>
      </c>
      <c r="E496" s="123" t="s">
        <v>882</v>
      </c>
      <c r="F496" s="75">
        <v>2016.0</v>
      </c>
      <c r="G496" s="75">
        <v>2020.0</v>
      </c>
      <c r="H496" s="75">
        <v>0.0</v>
      </c>
      <c r="I496" s="75">
        <v>14.2</v>
      </c>
      <c r="J496" s="124">
        <v>1.0</v>
      </c>
      <c r="K496" s="75">
        <v>14.2</v>
      </c>
      <c r="L496" s="125">
        <v>0.0</v>
      </c>
      <c r="M496" s="125">
        <v>0.0</v>
      </c>
      <c r="N496" s="75">
        <v>7.0</v>
      </c>
      <c r="O496" s="75"/>
      <c r="P496" s="123" t="s">
        <v>60</v>
      </c>
      <c r="Q496" s="126">
        <v>9600.0</v>
      </c>
      <c r="R496" s="123" t="s">
        <v>234</v>
      </c>
      <c r="S496" s="75">
        <v>2015.0</v>
      </c>
      <c r="T496" s="136">
        <v>0.258</v>
      </c>
      <c r="U496" s="128">
        <f t="shared" si="127"/>
        <v>2476.8</v>
      </c>
      <c r="V496" s="24">
        <f t="shared" si="124"/>
        <v>174.4225352</v>
      </c>
      <c r="W496" s="3">
        <f t="shared" si="31"/>
        <v>0</v>
      </c>
      <c r="X496" s="3">
        <f t="shared" si="32"/>
        <v>0</v>
      </c>
      <c r="Y496" s="3">
        <f t="shared" si="33"/>
        <v>0</v>
      </c>
      <c r="Z496" s="25">
        <f t="shared" si="34"/>
        <v>0</v>
      </c>
      <c r="AA496" s="26">
        <f>VLOOKUP(S496,CPI!$A$2:$F$71,6,0)</f>
        <v>1.359035428</v>
      </c>
      <c r="AB496" s="27">
        <f t="shared" si="125"/>
        <v>3366.058948</v>
      </c>
      <c r="AC496" s="27">
        <f t="shared" si="126"/>
        <v>237.0464048</v>
      </c>
      <c r="AD496" s="123" t="s">
        <v>60</v>
      </c>
      <c r="AE496" s="129" t="s">
        <v>881</v>
      </c>
      <c r="AF496" s="178"/>
      <c r="AG496" s="172"/>
      <c r="AH496" s="172"/>
      <c r="AI496" s="172"/>
      <c r="AJ496" s="32"/>
      <c r="AK496" s="32"/>
      <c r="AL496" s="32"/>
      <c r="AM496" s="32"/>
      <c r="AN496" s="32"/>
      <c r="AO496" s="32"/>
      <c r="AP496" s="32"/>
      <c r="AQ496" s="33"/>
    </row>
    <row r="497" ht="15.75" customHeight="1">
      <c r="A497" s="170">
        <v>7840.0</v>
      </c>
      <c r="B497" s="72" t="s">
        <v>230</v>
      </c>
      <c r="C497" s="72" t="s">
        <v>872</v>
      </c>
      <c r="D497" s="115" t="s">
        <v>243</v>
      </c>
      <c r="E497" s="115" t="s">
        <v>373</v>
      </c>
      <c r="F497" s="69">
        <v>2016.0</v>
      </c>
      <c r="G497" s="69">
        <v>2021.0</v>
      </c>
      <c r="H497" s="69">
        <v>0.0</v>
      </c>
      <c r="I497" s="69">
        <v>17.6</v>
      </c>
      <c r="J497" s="117">
        <v>1.0</v>
      </c>
      <c r="K497" s="69">
        <v>17.6</v>
      </c>
      <c r="L497" s="72"/>
      <c r="M497" s="72"/>
      <c r="N497" s="69">
        <v>12.0</v>
      </c>
      <c r="O497" s="70">
        <v>184.0</v>
      </c>
      <c r="P497" s="72"/>
      <c r="Q497" s="140">
        <v>14670.0</v>
      </c>
      <c r="R497" s="72" t="s">
        <v>234</v>
      </c>
      <c r="S497" s="75">
        <v>2018.0</v>
      </c>
      <c r="T497" s="136">
        <v>0.237</v>
      </c>
      <c r="U497" s="118">
        <f t="shared" si="127"/>
        <v>3476.79</v>
      </c>
      <c r="V497" s="24">
        <f t="shared" si="124"/>
        <v>197.5448864</v>
      </c>
      <c r="W497" s="3">
        <f t="shared" si="31"/>
        <v>0</v>
      </c>
      <c r="X497" s="3">
        <f t="shared" si="32"/>
        <v>0</v>
      </c>
      <c r="Y497" s="3">
        <f t="shared" si="33"/>
        <v>0</v>
      </c>
      <c r="Z497" s="25">
        <f t="shared" si="34"/>
        <v>0</v>
      </c>
      <c r="AA497" s="26">
        <f>VLOOKUP(S497,CPI!$A$2:$F$71,6,0)</f>
        <v>1.28277786</v>
      </c>
      <c r="AB497" s="27">
        <f t="shared" si="125"/>
        <v>4459.949235</v>
      </c>
      <c r="AC497" s="27">
        <f t="shared" si="126"/>
        <v>253.4062065</v>
      </c>
      <c r="AD497" s="72" t="s">
        <v>36</v>
      </c>
      <c r="AE497" s="79" t="s">
        <v>883</v>
      </c>
      <c r="AF497" s="164"/>
      <c r="AG497" s="187"/>
      <c r="AH497" s="187"/>
      <c r="AI497" s="187"/>
      <c r="AJ497" s="81"/>
      <c r="AK497" s="81"/>
      <c r="AL497" s="81"/>
      <c r="AM497" s="31"/>
      <c r="AN497" s="31"/>
      <c r="AO497" s="31"/>
      <c r="AP497" s="31"/>
      <c r="AQ497" s="35"/>
    </row>
    <row r="498" ht="15.75" customHeight="1">
      <c r="A498" s="170">
        <v>7890.0</v>
      </c>
      <c r="B498" s="123" t="s">
        <v>230</v>
      </c>
      <c r="C498" s="123" t="s">
        <v>872</v>
      </c>
      <c r="D498" s="36" t="s">
        <v>292</v>
      </c>
      <c r="E498" s="123" t="s">
        <v>884</v>
      </c>
      <c r="F498" s="75">
        <v>2017.0</v>
      </c>
      <c r="G498" s="75">
        <v>2021.0</v>
      </c>
      <c r="H498" s="75">
        <v>0.0</v>
      </c>
      <c r="I498" s="75">
        <v>32.1</v>
      </c>
      <c r="J498" s="124">
        <v>1.0</v>
      </c>
      <c r="K498" s="75">
        <v>32.1</v>
      </c>
      <c r="L498" s="125">
        <v>0.0</v>
      </c>
      <c r="M498" s="125">
        <v>0.0</v>
      </c>
      <c r="N498" s="75">
        <v>20.0</v>
      </c>
      <c r="O498" s="75"/>
      <c r="P498" s="123" t="s">
        <v>60</v>
      </c>
      <c r="Q498" s="126">
        <v>24620.0</v>
      </c>
      <c r="R498" s="123" t="s">
        <v>234</v>
      </c>
      <c r="S498" s="75">
        <v>2015.0</v>
      </c>
      <c r="T498" s="136">
        <v>0.258</v>
      </c>
      <c r="U498" s="128">
        <f t="shared" si="127"/>
        <v>6351.96</v>
      </c>
      <c r="V498" s="24">
        <f t="shared" si="124"/>
        <v>197.8803738</v>
      </c>
      <c r="W498" s="3">
        <f t="shared" si="31"/>
        <v>0</v>
      </c>
      <c r="X498" s="3">
        <f t="shared" si="32"/>
        <v>0</v>
      </c>
      <c r="Y498" s="3">
        <f t="shared" si="33"/>
        <v>0</v>
      </c>
      <c r="Z498" s="25">
        <f t="shared" si="34"/>
        <v>0</v>
      </c>
      <c r="AA498" s="26">
        <f>VLOOKUP(S498,CPI!$A$2:$F$71,6,0)</f>
        <v>1.359035428</v>
      </c>
      <c r="AB498" s="27">
        <f t="shared" si="125"/>
        <v>8632.538676</v>
      </c>
      <c r="AC498" s="27">
        <f t="shared" si="126"/>
        <v>268.9264385</v>
      </c>
      <c r="AD498" s="123" t="s">
        <v>60</v>
      </c>
      <c r="AE498" s="129" t="s">
        <v>881</v>
      </c>
      <c r="AF498" s="178"/>
      <c r="AG498" s="172"/>
      <c r="AH498" s="172"/>
      <c r="AI498" s="172"/>
      <c r="AJ498" s="32"/>
      <c r="AK498" s="32"/>
      <c r="AL498" s="32"/>
      <c r="AM498" s="91"/>
      <c r="AN498" s="91"/>
      <c r="AO498" s="91"/>
      <c r="AP498" s="91"/>
      <c r="AQ498" s="204"/>
    </row>
    <row r="499" ht="15.75" customHeight="1">
      <c r="A499" s="170">
        <v>7881.0</v>
      </c>
      <c r="B499" s="72" t="s">
        <v>230</v>
      </c>
      <c r="C499" s="72" t="s">
        <v>872</v>
      </c>
      <c r="D499" s="72" t="s">
        <v>84</v>
      </c>
      <c r="E499" s="72" t="s">
        <v>84</v>
      </c>
      <c r="F499" s="69">
        <v>2017.0</v>
      </c>
      <c r="G499" s="69">
        <v>2021.0</v>
      </c>
      <c r="H499" s="69">
        <v>0.0</v>
      </c>
      <c r="I499" s="69">
        <v>33.59</v>
      </c>
      <c r="J499" s="117">
        <v>0.75</v>
      </c>
      <c r="K499" s="69">
        <v>25.33</v>
      </c>
      <c r="L499" s="72"/>
      <c r="M499" s="72"/>
      <c r="N499" s="69">
        <v>26.0</v>
      </c>
      <c r="O499" s="69">
        <v>138.0</v>
      </c>
      <c r="P499" s="72"/>
      <c r="Q499" s="140">
        <v>23266.0</v>
      </c>
      <c r="R499" s="72" t="s">
        <v>234</v>
      </c>
      <c r="S499" s="75">
        <v>2019.0</v>
      </c>
      <c r="T499" s="136">
        <v>0.238</v>
      </c>
      <c r="U499" s="118">
        <f t="shared" si="127"/>
        <v>5537.308</v>
      </c>
      <c r="V499" s="24">
        <f t="shared" si="124"/>
        <v>164.8498958</v>
      </c>
      <c r="W499" s="3">
        <f t="shared" si="31"/>
        <v>0</v>
      </c>
      <c r="X499" s="3">
        <f t="shared" si="32"/>
        <v>0</v>
      </c>
      <c r="Y499" s="3">
        <f t="shared" si="33"/>
        <v>0</v>
      </c>
      <c r="Z499" s="25">
        <f t="shared" si="34"/>
        <v>0</v>
      </c>
      <c r="AA499" s="26">
        <f>VLOOKUP(S499,CPI!$A$2:$F$71,6,0)</f>
        <v>1.259947899</v>
      </c>
      <c r="AB499" s="27">
        <f t="shared" si="125"/>
        <v>6976.71958</v>
      </c>
      <c r="AC499" s="27">
        <f t="shared" si="126"/>
        <v>207.7022799</v>
      </c>
      <c r="AD499" s="72" t="s">
        <v>36</v>
      </c>
      <c r="AE499" s="79" t="s">
        <v>885</v>
      </c>
      <c r="AF499" s="114"/>
      <c r="AG499" s="72"/>
      <c r="AH499" s="72"/>
      <c r="AI499" s="72"/>
      <c r="AJ499" s="54"/>
      <c r="AK499" s="54"/>
      <c r="AL499" s="54"/>
      <c r="AM499" s="54"/>
      <c r="AN499" s="54"/>
      <c r="AO499" s="54"/>
      <c r="AP499" s="54"/>
      <c r="AQ499" s="54"/>
    </row>
    <row r="500" ht="15.75" customHeight="1">
      <c r="A500" s="7"/>
      <c r="B500" s="114" t="s">
        <v>230</v>
      </c>
      <c r="C500" s="114" t="s">
        <v>872</v>
      </c>
      <c r="D500" s="115" t="s">
        <v>292</v>
      </c>
      <c r="E500" s="115" t="s">
        <v>886</v>
      </c>
      <c r="F500" s="116">
        <v>2019.0</v>
      </c>
      <c r="G500" s="116">
        <v>2024.0</v>
      </c>
      <c r="H500" s="116">
        <v>0.0</v>
      </c>
      <c r="I500" s="116">
        <v>4.0</v>
      </c>
      <c r="J500" s="117">
        <v>1.0</v>
      </c>
      <c r="K500" s="116">
        <v>4.0</v>
      </c>
      <c r="L500" s="114"/>
      <c r="M500" s="114"/>
      <c r="N500" s="116">
        <v>2.0</v>
      </c>
      <c r="O500" s="116">
        <v>184.0</v>
      </c>
      <c r="P500" s="114"/>
      <c r="Q500" s="140">
        <v>7989.0</v>
      </c>
      <c r="R500" s="114" t="s">
        <v>234</v>
      </c>
      <c r="S500" s="115">
        <v>2021.0</v>
      </c>
      <c r="T500" s="136">
        <v>0.239000000000002</v>
      </c>
      <c r="U500" s="118">
        <f t="shared" si="127"/>
        <v>1909.371</v>
      </c>
      <c r="V500" s="24">
        <f t="shared" si="124"/>
        <v>477.34275</v>
      </c>
      <c r="W500" s="3">
        <f t="shared" si="31"/>
        <v>0</v>
      </c>
      <c r="X500" s="3">
        <f t="shared" si="32"/>
        <v>0</v>
      </c>
      <c r="Y500" s="3">
        <f t="shared" si="33"/>
        <v>0</v>
      </c>
      <c r="Z500" s="25">
        <f t="shared" si="34"/>
        <v>0</v>
      </c>
      <c r="AA500" s="26">
        <f>VLOOKUP(S500,CPI!$A$2:$F$71,6,0)</f>
        <v>1.188745987</v>
      </c>
      <c r="AB500" s="27">
        <f t="shared" si="125"/>
        <v>2269.757113</v>
      </c>
      <c r="AC500" s="27">
        <f t="shared" si="126"/>
        <v>567.4392783</v>
      </c>
      <c r="AD500" s="114"/>
      <c r="AE500" s="161" t="s">
        <v>887</v>
      </c>
      <c r="AF500" s="164"/>
      <c r="AG500" s="165"/>
      <c r="AH500" s="165"/>
      <c r="AI500" s="165"/>
      <c r="AJ500" s="166"/>
      <c r="AK500" s="166"/>
      <c r="AL500" s="166"/>
      <c r="AM500" s="32"/>
      <c r="AN500" s="32"/>
      <c r="AO500" s="32"/>
      <c r="AP500" s="32"/>
      <c r="AQ500" s="33"/>
    </row>
    <row r="501" ht="15.75" customHeight="1">
      <c r="A501" s="170">
        <v>7802.0</v>
      </c>
      <c r="B501" s="123" t="s">
        <v>230</v>
      </c>
      <c r="C501" s="123" t="s">
        <v>872</v>
      </c>
      <c r="D501" s="36" t="s">
        <v>287</v>
      </c>
      <c r="E501" s="123" t="s">
        <v>888</v>
      </c>
      <c r="F501" s="75">
        <v>2020.0</v>
      </c>
      <c r="G501" s="75">
        <v>2024.0</v>
      </c>
      <c r="H501" s="75">
        <v>0.0</v>
      </c>
      <c r="I501" s="75">
        <v>59.9</v>
      </c>
      <c r="J501" s="124">
        <v>1.0</v>
      </c>
      <c r="K501" s="75">
        <v>59.9</v>
      </c>
      <c r="L501" s="125">
        <v>0.0</v>
      </c>
      <c r="M501" s="125">
        <v>0.0</v>
      </c>
      <c r="N501" s="75">
        <v>37.0</v>
      </c>
      <c r="O501" s="75"/>
      <c r="P501" s="123" t="s">
        <v>60</v>
      </c>
      <c r="Q501" s="126">
        <v>58387.0</v>
      </c>
      <c r="R501" s="123" t="s">
        <v>234</v>
      </c>
      <c r="S501" s="75">
        <v>2018.0</v>
      </c>
      <c r="T501" s="136">
        <v>0.237</v>
      </c>
      <c r="U501" s="128">
        <f t="shared" si="127"/>
        <v>13837.719</v>
      </c>
      <c r="V501" s="24">
        <f t="shared" si="124"/>
        <v>231.0136728</v>
      </c>
      <c r="W501" s="3">
        <f t="shared" si="31"/>
        <v>0</v>
      </c>
      <c r="X501" s="3">
        <f t="shared" si="32"/>
        <v>0</v>
      </c>
      <c r="Y501" s="3">
        <f t="shared" si="33"/>
        <v>0</v>
      </c>
      <c r="Z501" s="25">
        <f t="shared" si="34"/>
        <v>0</v>
      </c>
      <c r="AA501" s="26">
        <f>VLOOKUP(S501,CPI!$A$2:$F$71,6,0)</f>
        <v>1.28277786</v>
      </c>
      <c r="AB501" s="27">
        <f t="shared" si="125"/>
        <v>17750.71956</v>
      </c>
      <c r="AC501" s="27">
        <f t="shared" si="126"/>
        <v>296.3392247</v>
      </c>
      <c r="AD501" s="123" t="s">
        <v>60</v>
      </c>
      <c r="AE501" s="129" t="s">
        <v>887</v>
      </c>
      <c r="AF501" s="173"/>
      <c r="AG501" s="60"/>
      <c r="AH501" s="60"/>
      <c r="AI501" s="60"/>
      <c r="AJ501" s="60"/>
      <c r="AK501" s="60"/>
      <c r="AL501" s="60"/>
      <c r="AM501" s="31"/>
      <c r="AN501" s="31"/>
      <c r="AO501" s="31"/>
      <c r="AP501" s="31"/>
      <c r="AQ501" s="35"/>
    </row>
    <row r="502" ht="15.75" customHeight="1">
      <c r="A502" s="7"/>
      <c r="B502" s="114" t="s">
        <v>230</v>
      </c>
      <c r="C502" s="114" t="s">
        <v>872</v>
      </c>
      <c r="D502" s="115" t="s">
        <v>292</v>
      </c>
      <c r="E502" s="115" t="s">
        <v>889</v>
      </c>
      <c r="F502" s="116">
        <v>2019.0</v>
      </c>
      <c r="G502" s="116">
        <v>2025.0</v>
      </c>
      <c r="H502" s="116">
        <v>0.0</v>
      </c>
      <c r="I502" s="116">
        <v>2.2</v>
      </c>
      <c r="J502" s="117">
        <v>1.0</v>
      </c>
      <c r="K502" s="116">
        <v>2.2</v>
      </c>
      <c r="L502" s="114"/>
      <c r="M502" s="114"/>
      <c r="N502" s="116">
        <v>2.0</v>
      </c>
      <c r="O502" s="116">
        <v>184.0</v>
      </c>
      <c r="P502" s="114"/>
      <c r="Q502" s="140">
        <v>3901.0</v>
      </c>
      <c r="R502" s="114" t="s">
        <v>234</v>
      </c>
      <c r="S502" s="115">
        <v>2021.0</v>
      </c>
      <c r="T502" s="136">
        <v>0.239000000000002</v>
      </c>
      <c r="U502" s="118">
        <f t="shared" si="127"/>
        <v>932.339</v>
      </c>
      <c r="V502" s="24">
        <f t="shared" si="124"/>
        <v>423.7904545</v>
      </c>
      <c r="W502" s="3">
        <f t="shared" si="31"/>
        <v>0</v>
      </c>
      <c r="X502" s="3">
        <f t="shared" si="32"/>
        <v>0</v>
      </c>
      <c r="Y502" s="3">
        <f t="shared" si="33"/>
        <v>0</v>
      </c>
      <c r="Z502" s="25">
        <f t="shared" si="34"/>
        <v>0</v>
      </c>
      <c r="AA502" s="26">
        <f>VLOOKUP(S502,CPI!$A$2:$F$71,6,0)</f>
        <v>1.188745987</v>
      </c>
      <c r="AB502" s="27">
        <f t="shared" si="125"/>
        <v>1108.314244</v>
      </c>
      <c r="AC502" s="27">
        <f t="shared" si="126"/>
        <v>503.779202</v>
      </c>
      <c r="AD502" s="114"/>
      <c r="AE502" s="161" t="s">
        <v>887</v>
      </c>
      <c r="AF502" s="164"/>
      <c r="AG502" s="165"/>
      <c r="AH502" s="165"/>
      <c r="AI502" s="165"/>
      <c r="AJ502" s="166"/>
      <c r="AK502" s="166"/>
      <c r="AL502" s="166"/>
      <c r="AM502" s="31"/>
      <c r="AN502" s="31"/>
      <c r="AO502" s="31"/>
      <c r="AP502" s="31"/>
      <c r="AQ502" s="35"/>
    </row>
    <row r="503" ht="15.75" customHeight="1">
      <c r="A503" s="14">
        <v>9492.0</v>
      </c>
      <c r="B503" s="22" t="s">
        <v>230</v>
      </c>
      <c r="C503" s="22" t="s">
        <v>872</v>
      </c>
      <c r="D503" s="36" t="s">
        <v>110</v>
      </c>
      <c r="E503" s="22" t="s">
        <v>332</v>
      </c>
      <c r="F503" s="17">
        <v>2009.0</v>
      </c>
      <c r="G503" s="17"/>
      <c r="H503" s="17">
        <v>0.0</v>
      </c>
      <c r="I503" s="17">
        <v>15.4</v>
      </c>
      <c r="J503" s="19">
        <f>K503/I503</f>
        <v>1</v>
      </c>
      <c r="K503" s="17">
        <v>15.4</v>
      </c>
      <c r="L503" s="177">
        <v>0.0</v>
      </c>
      <c r="M503" s="177">
        <v>0.0</v>
      </c>
      <c r="N503" s="17">
        <v>15.0</v>
      </c>
      <c r="O503" s="17"/>
      <c r="P503" s="22" t="s">
        <v>42</v>
      </c>
      <c r="Q503" s="23">
        <v>9400.0</v>
      </c>
      <c r="R503" s="22" t="s">
        <v>234</v>
      </c>
      <c r="S503" s="17">
        <v>2009.0</v>
      </c>
      <c r="T503" s="136">
        <v>0.317</v>
      </c>
      <c r="U503" s="3">
        <f t="shared" si="127"/>
        <v>2979.8</v>
      </c>
      <c r="V503" s="24">
        <f t="shared" si="124"/>
        <v>193.4935065</v>
      </c>
      <c r="W503" s="3">
        <f t="shared" si="31"/>
        <v>0</v>
      </c>
      <c r="X503" s="3">
        <f t="shared" si="32"/>
        <v>0</v>
      </c>
      <c r="Y503" s="3">
        <f t="shared" si="33"/>
        <v>0</v>
      </c>
      <c r="Z503" s="25">
        <f t="shared" si="34"/>
        <v>0</v>
      </c>
      <c r="AA503" s="26">
        <f>VLOOKUP(S503,CPI!$A$2:$F$71,6,0)</f>
        <v>1.501440311</v>
      </c>
      <c r="AB503" s="27">
        <f t="shared" si="125"/>
        <v>4473.991839</v>
      </c>
      <c r="AC503" s="27">
        <f t="shared" si="126"/>
        <v>290.5189506</v>
      </c>
      <c r="AD503" s="26" t="s">
        <v>60</v>
      </c>
      <c r="AE503" s="129" t="s">
        <v>890</v>
      </c>
      <c r="AF503" s="178"/>
      <c r="AG503" s="172"/>
      <c r="AH503" s="172"/>
      <c r="AI503" s="172"/>
      <c r="AJ503" s="32"/>
      <c r="AK503" s="32"/>
      <c r="AL503" s="32"/>
      <c r="AM503" s="31"/>
      <c r="AN503" s="31"/>
      <c r="AO503" s="31"/>
      <c r="AP503" s="31"/>
      <c r="AQ503" s="35"/>
    </row>
    <row r="504" ht="15.75" customHeight="1">
      <c r="A504" s="38">
        <v>8088.0</v>
      </c>
      <c r="B504" s="72" t="s">
        <v>230</v>
      </c>
      <c r="C504" s="72" t="s">
        <v>872</v>
      </c>
      <c r="D504" s="115" t="s">
        <v>54</v>
      </c>
      <c r="E504" s="72" t="s">
        <v>891</v>
      </c>
      <c r="F504" s="69">
        <v>2016.0</v>
      </c>
      <c r="G504" s="7"/>
      <c r="H504" s="69">
        <v>0.0</v>
      </c>
      <c r="I504" s="69">
        <v>19.8</v>
      </c>
      <c r="J504" s="117">
        <v>0.69</v>
      </c>
      <c r="K504" s="69">
        <v>13.7</v>
      </c>
      <c r="L504" s="72"/>
      <c r="M504" s="72"/>
      <c r="N504" s="69">
        <v>7.0</v>
      </c>
      <c r="O504" s="69">
        <v>156.0</v>
      </c>
      <c r="P504" s="72"/>
      <c r="Q504" s="140">
        <v>9437.0</v>
      </c>
      <c r="R504" s="72" t="s">
        <v>234</v>
      </c>
      <c r="S504" s="115">
        <v>2016.0</v>
      </c>
      <c r="T504" s="136">
        <v>0.251</v>
      </c>
      <c r="U504" s="118">
        <f t="shared" si="127"/>
        <v>2368.687</v>
      </c>
      <c r="V504" s="24">
        <f t="shared" si="124"/>
        <v>119.6306566</v>
      </c>
      <c r="W504" s="3">
        <f t="shared" si="31"/>
        <v>0</v>
      </c>
      <c r="X504" s="3">
        <f t="shared" si="32"/>
        <v>0</v>
      </c>
      <c r="Y504" s="3">
        <f t="shared" si="33"/>
        <v>0</v>
      </c>
      <c r="Z504" s="25">
        <f t="shared" si="34"/>
        <v>0</v>
      </c>
      <c r="AA504" s="26">
        <f>VLOOKUP(S504,CPI!$A$2:$F$71,6,0)</f>
        <v>1.342104605</v>
      </c>
      <c r="AB504" s="27">
        <f t="shared" si="125"/>
        <v>3179.025731</v>
      </c>
      <c r="AC504" s="27">
        <f t="shared" si="126"/>
        <v>160.5568551</v>
      </c>
      <c r="AD504" s="72"/>
      <c r="AE504" s="79" t="s">
        <v>892</v>
      </c>
      <c r="AF504" s="186"/>
      <c r="AG504" s="187"/>
      <c r="AH504" s="231"/>
      <c r="AI504" s="187"/>
      <c r="AJ504" s="81"/>
      <c r="AK504" s="81"/>
      <c r="AL504" s="81"/>
      <c r="AM504" s="31"/>
      <c r="AN504" s="31"/>
      <c r="AO504" s="31"/>
      <c r="AP504" s="31"/>
      <c r="AQ504" s="35"/>
    </row>
    <row r="505" ht="15.75" customHeight="1">
      <c r="A505" s="38">
        <v>8106.0</v>
      </c>
      <c r="B505" s="72" t="s">
        <v>230</v>
      </c>
      <c r="C505" s="72" t="s">
        <v>872</v>
      </c>
      <c r="D505" s="72" t="s">
        <v>283</v>
      </c>
      <c r="E505" s="72" t="s">
        <v>283</v>
      </c>
      <c r="F505" s="69">
        <v>2020.0</v>
      </c>
      <c r="G505" s="72"/>
      <c r="H505" s="69">
        <v>0.0</v>
      </c>
      <c r="I505" s="69">
        <v>33.0</v>
      </c>
      <c r="J505" s="117">
        <v>0.38</v>
      </c>
      <c r="K505" s="69">
        <v>12.7</v>
      </c>
      <c r="L505" s="72"/>
      <c r="M505" s="72"/>
      <c r="N505" s="69">
        <v>12.0</v>
      </c>
      <c r="O505" s="69">
        <v>138.0</v>
      </c>
      <c r="P505" s="72"/>
      <c r="Q505" s="140">
        <v>16974.0</v>
      </c>
      <c r="R505" s="72" t="s">
        <v>234</v>
      </c>
      <c r="S505" s="115">
        <v>2020.0</v>
      </c>
      <c r="T505" s="136">
        <v>0.239</v>
      </c>
      <c r="U505" s="118">
        <f t="shared" si="127"/>
        <v>4056.786</v>
      </c>
      <c r="V505" s="24">
        <f t="shared" si="124"/>
        <v>122.9329091</v>
      </c>
      <c r="W505" s="3">
        <f t="shared" si="31"/>
        <v>0</v>
      </c>
      <c r="X505" s="3">
        <f t="shared" si="32"/>
        <v>0</v>
      </c>
      <c r="Y505" s="3">
        <f t="shared" si="33"/>
        <v>0</v>
      </c>
      <c r="Z505" s="25">
        <f t="shared" si="34"/>
        <v>0</v>
      </c>
      <c r="AA505" s="26">
        <f>VLOOKUP(S505,CPI!$A$2:$F$71,6,0)</f>
        <v>1.244593545</v>
      </c>
      <c r="AB505" s="27">
        <f t="shared" si="125"/>
        <v>5049.049669</v>
      </c>
      <c r="AC505" s="27">
        <f t="shared" si="126"/>
        <v>153.0015051</v>
      </c>
      <c r="AD505" s="72" t="s">
        <v>36</v>
      </c>
      <c r="AE505" s="79" t="s">
        <v>893</v>
      </c>
      <c r="AF505" s="185" t="s">
        <v>887</v>
      </c>
      <c r="AG505" s="187"/>
      <c r="AH505" s="187"/>
      <c r="AI505" s="187"/>
      <c r="AJ505" s="81"/>
      <c r="AK505" s="81"/>
      <c r="AL505" s="81"/>
      <c r="AM505" s="32"/>
      <c r="AN505" s="32"/>
      <c r="AO505" s="32"/>
      <c r="AP505" s="32"/>
      <c r="AQ505" s="33"/>
    </row>
    <row r="506" ht="15.75" customHeight="1">
      <c r="A506" s="170">
        <v>7761.0</v>
      </c>
      <c r="B506" s="123" t="s">
        <v>230</v>
      </c>
      <c r="C506" s="123" t="s">
        <v>872</v>
      </c>
      <c r="D506" s="36" t="s">
        <v>292</v>
      </c>
      <c r="E506" s="123" t="s">
        <v>894</v>
      </c>
      <c r="F506" s="123"/>
      <c r="G506" s="123"/>
      <c r="H506" s="75">
        <v>0.0</v>
      </c>
      <c r="I506" s="75">
        <v>9.9</v>
      </c>
      <c r="J506" s="124">
        <v>1.0</v>
      </c>
      <c r="K506" s="75">
        <v>9.9</v>
      </c>
      <c r="L506" s="125">
        <v>0.0</v>
      </c>
      <c r="M506" s="125">
        <v>0.0</v>
      </c>
      <c r="N506" s="75">
        <v>6.0</v>
      </c>
      <c r="O506" s="75"/>
      <c r="P506" s="123" t="s">
        <v>60</v>
      </c>
      <c r="Q506" s="126">
        <f>(79.89+39.01+16.25)*100</f>
        <v>13515</v>
      </c>
      <c r="R506" s="123" t="s">
        <v>234</v>
      </c>
      <c r="S506" s="75">
        <v>2019.0</v>
      </c>
      <c r="T506" s="136">
        <v>0.238</v>
      </c>
      <c r="U506" s="128">
        <f t="shared" si="127"/>
        <v>3216.57</v>
      </c>
      <c r="V506" s="24">
        <f t="shared" si="124"/>
        <v>324.9060606</v>
      </c>
      <c r="W506" s="3">
        <f t="shared" si="31"/>
        <v>0</v>
      </c>
      <c r="X506" s="3">
        <f t="shared" si="32"/>
        <v>0</v>
      </c>
      <c r="Y506" s="3">
        <f t="shared" si="33"/>
        <v>0</v>
      </c>
      <c r="Z506" s="25">
        <f t="shared" si="34"/>
        <v>0</v>
      </c>
      <c r="AA506" s="26">
        <f>VLOOKUP(S506,CPI!$A$2:$F$71,6,0)</f>
        <v>1.259947899</v>
      </c>
      <c r="AB506" s="27">
        <f t="shared" si="125"/>
        <v>4052.710613</v>
      </c>
      <c r="AC506" s="27">
        <f t="shared" si="126"/>
        <v>409.3647084</v>
      </c>
      <c r="AD506" s="123" t="s">
        <v>60</v>
      </c>
      <c r="AE506" s="129" t="s">
        <v>887</v>
      </c>
      <c r="AF506" s="173"/>
      <c r="AG506" s="60"/>
      <c r="AH506" s="60"/>
      <c r="AI506" s="60"/>
      <c r="AJ506" s="60"/>
      <c r="AK506" s="60"/>
      <c r="AL506" s="60"/>
      <c r="AM506" s="175"/>
      <c r="AN506" s="175"/>
      <c r="AO506" s="175"/>
      <c r="AP506" s="175"/>
    </row>
    <row r="507" ht="15.75" customHeight="1">
      <c r="A507" s="170">
        <v>7849.0</v>
      </c>
      <c r="B507" s="123" t="s">
        <v>230</v>
      </c>
      <c r="C507" s="123" t="s">
        <v>872</v>
      </c>
      <c r="D507" s="123" t="s">
        <v>288</v>
      </c>
      <c r="E507" s="123" t="s">
        <v>288</v>
      </c>
      <c r="F507" s="123"/>
      <c r="G507" s="123"/>
      <c r="H507" s="75">
        <v>0.0</v>
      </c>
      <c r="I507" s="75">
        <v>20.6</v>
      </c>
      <c r="J507" s="124">
        <v>1.0</v>
      </c>
      <c r="K507" s="75">
        <v>20.6</v>
      </c>
      <c r="L507" s="125">
        <v>0.0</v>
      </c>
      <c r="M507" s="125">
        <v>0.0</v>
      </c>
      <c r="N507" s="75">
        <v>6.0</v>
      </c>
      <c r="O507" s="75"/>
      <c r="P507" s="123" t="s">
        <v>60</v>
      </c>
      <c r="Q507" s="126">
        <v>17190.0</v>
      </c>
      <c r="R507" s="123" t="s">
        <v>234</v>
      </c>
      <c r="S507" s="75">
        <v>2018.0</v>
      </c>
      <c r="T507" s="136">
        <v>0.237</v>
      </c>
      <c r="U507" s="128">
        <f t="shared" si="127"/>
        <v>4074.03</v>
      </c>
      <c r="V507" s="24">
        <f t="shared" si="124"/>
        <v>197.7684466</v>
      </c>
      <c r="W507" s="3">
        <f t="shared" si="31"/>
        <v>0</v>
      </c>
      <c r="X507" s="3">
        <f t="shared" si="32"/>
        <v>0</v>
      </c>
      <c r="Y507" s="3">
        <f t="shared" si="33"/>
        <v>0</v>
      </c>
      <c r="Z507" s="25">
        <f t="shared" si="34"/>
        <v>0</v>
      </c>
      <c r="AA507" s="26">
        <f>VLOOKUP(S507,CPI!$A$2:$F$71,6,0)</f>
        <v>1.28277786</v>
      </c>
      <c r="AB507" s="27">
        <f t="shared" si="125"/>
        <v>5226.075483</v>
      </c>
      <c r="AC507" s="27">
        <f t="shared" si="126"/>
        <v>253.6929846</v>
      </c>
      <c r="AD507" s="123" t="s">
        <v>60</v>
      </c>
      <c r="AE507" s="129" t="s">
        <v>887</v>
      </c>
      <c r="AF507" s="178"/>
      <c r="AG507" s="172"/>
      <c r="AH507" s="172"/>
      <c r="AI507" s="172"/>
      <c r="AJ507" s="32"/>
      <c r="AK507" s="32"/>
      <c r="AL507" s="32"/>
      <c r="AM507" s="31"/>
      <c r="AN507" s="31"/>
      <c r="AO507" s="31"/>
      <c r="AP507" s="31"/>
      <c r="AQ507" s="35"/>
    </row>
    <row r="508" ht="15.75" customHeight="1">
      <c r="A508" s="170">
        <v>7817.0</v>
      </c>
      <c r="B508" s="123" t="s">
        <v>230</v>
      </c>
      <c r="C508" s="123" t="s">
        <v>872</v>
      </c>
      <c r="D508" s="36" t="s">
        <v>54</v>
      </c>
      <c r="E508" s="123" t="s">
        <v>770</v>
      </c>
      <c r="F508" s="123"/>
      <c r="G508" s="123"/>
      <c r="H508" s="75">
        <v>0.0</v>
      </c>
      <c r="I508" s="75">
        <v>13.35</v>
      </c>
      <c r="J508" s="124">
        <v>1.0</v>
      </c>
      <c r="K508" s="75">
        <v>13.35</v>
      </c>
      <c r="L508" s="125">
        <v>0.0</v>
      </c>
      <c r="M508" s="125">
        <v>0.0</v>
      </c>
      <c r="N508" s="75">
        <v>10.0</v>
      </c>
      <c r="O508" s="75"/>
      <c r="P508" s="123" t="s">
        <v>42</v>
      </c>
      <c r="Q508" s="126">
        <v>16017.0</v>
      </c>
      <c r="R508" s="123" t="s">
        <v>234</v>
      </c>
      <c r="S508" s="75">
        <v>2014.0</v>
      </c>
      <c r="T508" s="136">
        <v>0.266</v>
      </c>
      <c r="U508" s="128">
        <f t="shared" si="127"/>
        <v>4260.522</v>
      </c>
      <c r="V508" s="24">
        <f t="shared" si="124"/>
        <v>319.1402247</v>
      </c>
      <c r="W508" s="3">
        <f t="shared" si="31"/>
        <v>0</v>
      </c>
      <c r="X508" s="3">
        <f t="shared" si="32"/>
        <v>0</v>
      </c>
      <c r="Y508" s="3">
        <f t="shared" si="33"/>
        <v>0</v>
      </c>
      <c r="Z508" s="25">
        <f t="shared" si="34"/>
        <v>0</v>
      </c>
      <c r="AA508" s="26">
        <f>VLOOKUP(S508,CPI!$A$2:$F$71,6,0)</f>
        <v>1.360648571</v>
      </c>
      <c r="AB508" s="27">
        <f t="shared" si="125"/>
        <v>5797.073169</v>
      </c>
      <c r="AC508" s="27">
        <f t="shared" si="126"/>
        <v>434.2376906</v>
      </c>
      <c r="AD508" s="123" t="s">
        <v>42</v>
      </c>
      <c r="AE508" s="129" t="s">
        <v>895</v>
      </c>
      <c r="AF508" s="173"/>
      <c r="AG508" s="60"/>
      <c r="AH508" s="60"/>
      <c r="AI508" s="60"/>
      <c r="AJ508" s="60"/>
      <c r="AK508" s="60"/>
      <c r="AL508" s="60"/>
      <c r="AM508" s="31"/>
      <c r="AN508" s="31"/>
      <c r="AO508" s="31"/>
      <c r="AP508" s="31"/>
      <c r="AQ508" s="35"/>
    </row>
    <row r="509" ht="15.75" customHeight="1">
      <c r="A509" s="38">
        <v>8099.0</v>
      </c>
      <c r="B509" s="130" t="s">
        <v>230</v>
      </c>
      <c r="C509" s="130" t="s">
        <v>872</v>
      </c>
      <c r="D509" s="130" t="s">
        <v>468</v>
      </c>
      <c r="E509" s="130" t="s">
        <v>468</v>
      </c>
      <c r="F509" s="130"/>
      <c r="G509" s="130"/>
      <c r="H509" s="130">
        <v>0.0</v>
      </c>
      <c r="I509" s="130">
        <v>33.7</v>
      </c>
      <c r="J509" s="131">
        <v>0.7181008902</v>
      </c>
      <c r="K509" s="130">
        <v>24.2</v>
      </c>
      <c r="L509" s="132">
        <v>9.773</v>
      </c>
      <c r="M509" s="132">
        <v>0.0</v>
      </c>
      <c r="N509" s="130">
        <v>15.0</v>
      </c>
      <c r="O509" s="138"/>
      <c r="P509" s="130" t="s">
        <v>60</v>
      </c>
      <c r="Q509" s="135">
        <v>16107.0</v>
      </c>
      <c r="R509" s="130" t="s">
        <v>234</v>
      </c>
      <c r="S509" s="130">
        <v>2015.0</v>
      </c>
      <c r="T509" s="136">
        <v>0.258</v>
      </c>
      <c r="U509" s="128">
        <f t="shared" ref="U509:U513" si="128">T509*Q509</f>
        <v>4155.606</v>
      </c>
      <c r="V509" s="24">
        <f t="shared" si="124"/>
        <v>123.3117507</v>
      </c>
      <c r="W509" s="3">
        <f t="shared" si="31"/>
        <v>0</v>
      </c>
      <c r="X509" s="3">
        <f t="shared" si="32"/>
        <v>0</v>
      </c>
      <c r="Y509" s="3">
        <f t="shared" si="33"/>
        <v>0</v>
      </c>
      <c r="Z509" s="25">
        <f t="shared" si="34"/>
        <v>0</v>
      </c>
      <c r="AA509" s="26">
        <f>VLOOKUP(S509,CPI!$A$2:$F$71,6,0)</f>
        <v>1.359035428</v>
      </c>
      <c r="AB509" s="27">
        <f t="shared" si="125"/>
        <v>5647.615778</v>
      </c>
      <c r="AC509" s="27">
        <f t="shared" si="126"/>
        <v>167.5850379</v>
      </c>
      <c r="AD509" s="130" t="s">
        <v>60</v>
      </c>
      <c r="AE509" s="137" t="s">
        <v>881</v>
      </c>
      <c r="AF509" s="178"/>
      <c r="AG509" s="172"/>
      <c r="AH509" s="172"/>
      <c r="AI509" s="172"/>
      <c r="AJ509" s="32"/>
      <c r="AK509" s="32"/>
      <c r="AL509" s="32"/>
      <c r="AM509" s="31"/>
      <c r="AN509" s="31"/>
      <c r="AO509" s="31"/>
      <c r="AP509" s="31"/>
      <c r="AQ509" s="35"/>
    </row>
    <row r="510" ht="15.75" customHeight="1">
      <c r="A510" s="38">
        <v>8016.0</v>
      </c>
      <c r="B510" s="130" t="s">
        <v>230</v>
      </c>
      <c r="C510" s="130" t="s">
        <v>872</v>
      </c>
      <c r="D510" s="16" t="s">
        <v>80</v>
      </c>
      <c r="E510" s="130" t="s">
        <v>265</v>
      </c>
      <c r="F510" s="130"/>
      <c r="G510" s="130"/>
      <c r="H510" s="130">
        <v>0.0</v>
      </c>
      <c r="I510" s="130">
        <v>7.0</v>
      </c>
      <c r="J510" s="131">
        <v>1.0</v>
      </c>
      <c r="K510" s="130">
        <v>7.0</v>
      </c>
      <c r="L510" s="132">
        <v>0.0</v>
      </c>
      <c r="M510" s="132">
        <v>0.0</v>
      </c>
      <c r="N510" s="130">
        <v>5.0</v>
      </c>
      <c r="O510" s="138"/>
      <c r="P510" s="130" t="s">
        <v>60</v>
      </c>
      <c r="Q510" s="135">
        <v>4558.0</v>
      </c>
      <c r="R510" s="130" t="s">
        <v>234</v>
      </c>
      <c r="S510" s="130">
        <v>2018.0</v>
      </c>
      <c r="T510" s="136">
        <v>0.237</v>
      </c>
      <c r="U510" s="128">
        <f t="shared" si="128"/>
        <v>1080.246</v>
      </c>
      <c r="V510" s="24">
        <f t="shared" si="124"/>
        <v>154.3208571</v>
      </c>
      <c r="W510" s="3">
        <f t="shared" si="31"/>
        <v>0</v>
      </c>
      <c r="X510" s="3">
        <f t="shared" si="32"/>
        <v>0</v>
      </c>
      <c r="Y510" s="3">
        <f t="shared" si="33"/>
        <v>0</v>
      </c>
      <c r="Z510" s="25">
        <f t="shared" si="34"/>
        <v>0</v>
      </c>
      <c r="AA510" s="26">
        <f>VLOOKUP(S510,CPI!$A$2:$F$71,6,0)</f>
        <v>1.28277786</v>
      </c>
      <c r="AB510" s="27">
        <f t="shared" si="125"/>
        <v>1385.715652</v>
      </c>
      <c r="AC510" s="27">
        <f t="shared" si="126"/>
        <v>197.9593788</v>
      </c>
      <c r="AD510" s="130" t="s">
        <v>60</v>
      </c>
      <c r="AE510" s="137" t="s">
        <v>887</v>
      </c>
      <c r="AF510" s="130"/>
      <c r="AG510" s="130"/>
      <c r="AH510" s="130"/>
      <c r="AI510" s="130"/>
      <c r="AJ510" s="33"/>
      <c r="AK510" s="33"/>
      <c r="AL510" s="33"/>
      <c r="AM510" s="54"/>
      <c r="AN510" s="54"/>
      <c r="AO510" s="54"/>
      <c r="AP510" s="54"/>
      <c r="AQ510" s="54"/>
    </row>
    <row r="511" ht="15.75" customHeight="1">
      <c r="A511" s="38">
        <v>8083.0</v>
      </c>
      <c r="B511" s="130" t="s">
        <v>230</v>
      </c>
      <c r="C511" s="130" t="s">
        <v>872</v>
      </c>
      <c r="D511" s="36" t="s">
        <v>228</v>
      </c>
      <c r="E511" s="130" t="s">
        <v>722</v>
      </c>
      <c r="F511" s="130"/>
      <c r="G511" s="130"/>
      <c r="H511" s="130">
        <v>0.0</v>
      </c>
      <c r="I511" s="130">
        <v>33.6</v>
      </c>
      <c r="J511" s="131">
        <v>0.4047619048</v>
      </c>
      <c r="K511" s="130">
        <v>13.6</v>
      </c>
      <c r="L511" s="132">
        <v>0.0</v>
      </c>
      <c r="M511" s="132">
        <v>0.0</v>
      </c>
      <c r="N511" s="130">
        <v>9.0</v>
      </c>
      <c r="O511" s="138"/>
      <c r="P511" s="130" t="s">
        <v>60</v>
      </c>
      <c r="Q511" s="135">
        <v>17559.0</v>
      </c>
      <c r="R511" s="130" t="s">
        <v>234</v>
      </c>
      <c r="S511" s="130">
        <v>2018.0</v>
      </c>
      <c r="T511" s="136">
        <v>0.237</v>
      </c>
      <c r="U511" s="128">
        <f t="shared" si="128"/>
        <v>4161.483</v>
      </c>
      <c r="V511" s="24">
        <f t="shared" si="124"/>
        <v>123.8536607</v>
      </c>
      <c r="W511" s="3">
        <f t="shared" si="31"/>
        <v>0</v>
      </c>
      <c r="X511" s="3">
        <f t="shared" si="32"/>
        <v>0</v>
      </c>
      <c r="Y511" s="3">
        <f t="shared" si="33"/>
        <v>0</v>
      </c>
      <c r="Z511" s="25">
        <f t="shared" si="34"/>
        <v>0</v>
      </c>
      <c r="AA511" s="26">
        <f>VLOOKUP(S511,CPI!$A$2:$F$71,6,0)</f>
        <v>1.28277786</v>
      </c>
      <c r="AB511" s="27">
        <f t="shared" si="125"/>
        <v>5338.258256</v>
      </c>
      <c r="AC511" s="27">
        <f t="shared" si="126"/>
        <v>158.8767338</v>
      </c>
      <c r="AD511" s="130" t="s">
        <v>60</v>
      </c>
      <c r="AE511" s="137" t="s">
        <v>887</v>
      </c>
      <c r="AF511" s="178"/>
      <c r="AG511" s="172"/>
      <c r="AH511" s="172"/>
      <c r="AI511" s="172"/>
      <c r="AJ511" s="32"/>
      <c r="AK511" s="32"/>
      <c r="AL511" s="32"/>
      <c r="AM511" s="31"/>
      <c r="AN511" s="31"/>
      <c r="AO511" s="31"/>
      <c r="AP511" s="31"/>
      <c r="AQ511" s="35"/>
    </row>
    <row r="512" ht="15.75" customHeight="1">
      <c r="A512" s="38">
        <v>8075.0</v>
      </c>
      <c r="B512" s="130" t="s">
        <v>230</v>
      </c>
      <c r="C512" s="130" t="s">
        <v>872</v>
      </c>
      <c r="D512" s="36" t="s">
        <v>243</v>
      </c>
      <c r="E512" s="130" t="s">
        <v>788</v>
      </c>
      <c r="F512" s="130"/>
      <c r="G512" s="130"/>
      <c r="H512" s="130">
        <v>0.0</v>
      </c>
      <c r="I512" s="130">
        <v>4.9</v>
      </c>
      <c r="J512" s="131">
        <v>1.0</v>
      </c>
      <c r="K512" s="130">
        <v>4.9</v>
      </c>
      <c r="L512" s="132">
        <v>0.0</v>
      </c>
      <c r="M512" s="132">
        <v>0.0</v>
      </c>
      <c r="N512" s="130">
        <v>2.0</v>
      </c>
      <c r="O512" s="138"/>
      <c r="P512" s="130" t="s">
        <v>60</v>
      </c>
      <c r="Q512" s="232">
        <v>2597.0</v>
      </c>
      <c r="R512" s="130" t="s">
        <v>234</v>
      </c>
      <c r="S512" s="130">
        <v>2018.0</v>
      </c>
      <c r="T512" s="136">
        <v>0.237</v>
      </c>
      <c r="U512" s="128">
        <f t="shared" si="128"/>
        <v>615.489</v>
      </c>
      <c r="V512" s="24">
        <f t="shared" si="124"/>
        <v>125.61</v>
      </c>
      <c r="W512" s="3">
        <f t="shared" si="31"/>
        <v>0</v>
      </c>
      <c r="X512" s="3">
        <f t="shared" si="32"/>
        <v>0</v>
      </c>
      <c r="Y512" s="3">
        <f t="shared" si="33"/>
        <v>0</v>
      </c>
      <c r="Z512" s="25">
        <f t="shared" si="34"/>
        <v>0</v>
      </c>
      <c r="AA512" s="26">
        <f>VLOOKUP(S512,CPI!$A$2:$F$71,6,0)</f>
        <v>1.28277786</v>
      </c>
      <c r="AB512" s="27">
        <f t="shared" si="125"/>
        <v>789.5356621</v>
      </c>
      <c r="AC512" s="27">
        <f t="shared" si="126"/>
        <v>161.1297269</v>
      </c>
      <c r="AD512" s="130" t="s">
        <v>60</v>
      </c>
      <c r="AE512" s="137" t="s">
        <v>887</v>
      </c>
      <c r="AF512" s="178"/>
      <c r="AG512" s="172"/>
      <c r="AH512" s="172"/>
      <c r="AI512" s="172"/>
      <c r="AJ512" s="32"/>
      <c r="AK512" s="32"/>
      <c r="AL512" s="32"/>
      <c r="AM512" s="181"/>
      <c r="AN512" s="181"/>
      <c r="AO512" s="181"/>
      <c r="AP512" s="181"/>
      <c r="AQ512" s="207"/>
    </row>
    <row r="513" ht="15.75" customHeight="1">
      <c r="A513" s="38">
        <v>8049.0</v>
      </c>
      <c r="B513" s="130" t="s">
        <v>230</v>
      </c>
      <c r="C513" s="130" t="s">
        <v>872</v>
      </c>
      <c r="D513" s="130" t="s">
        <v>896</v>
      </c>
      <c r="E513" s="130" t="s">
        <v>896</v>
      </c>
      <c r="F513" s="130"/>
      <c r="G513" s="130"/>
      <c r="H513" s="130">
        <v>0.0</v>
      </c>
      <c r="I513" s="130">
        <v>30.2</v>
      </c>
      <c r="J513" s="131">
        <v>0.8410596026</v>
      </c>
      <c r="K513" s="130">
        <v>25.4</v>
      </c>
      <c r="L513" s="132">
        <v>0.0</v>
      </c>
      <c r="M513" s="132">
        <v>0.0</v>
      </c>
      <c r="N513" s="130">
        <v>11.0</v>
      </c>
      <c r="O513" s="138"/>
      <c r="P513" s="130" t="s">
        <v>60</v>
      </c>
      <c r="Q513" s="135">
        <v>17681.0</v>
      </c>
      <c r="R513" s="130" t="s">
        <v>234</v>
      </c>
      <c r="S513" s="130">
        <v>2018.0</v>
      </c>
      <c r="T513" s="136">
        <v>0.237</v>
      </c>
      <c r="U513" s="128">
        <f t="shared" si="128"/>
        <v>4190.397</v>
      </c>
      <c r="V513" s="24">
        <f t="shared" si="124"/>
        <v>138.7548675</v>
      </c>
      <c r="W513" s="3">
        <f t="shared" si="31"/>
        <v>0</v>
      </c>
      <c r="X513" s="3">
        <f t="shared" si="32"/>
        <v>0</v>
      </c>
      <c r="Y513" s="3">
        <f t="shared" si="33"/>
        <v>0</v>
      </c>
      <c r="Z513" s="25">
        <f t="shared" si="34"/>
        <v>0</v>
      </c>
      <c r="AA513" s="26">
        <f>VLOOKUP(S513,CPI!$A$2:$F$71,6,0)</f>
        <v>1.28277786</v>
      </c>
      <c r="AB513" s="27">
        <f t="shared" si="125"/>
        <v>5375.348495</v>
      </c>
      <c r="AC513" s="27">
        <f t="shared" si="126"/>
        <v>177.991672</v>
      </c>
      <c r="AD513" s="130" t="s">
        <v>60</v>
      </c>
      <c r="AE513" s="137" t="s">
        <v>887</v>
      </c>
      <c r="AF513" s="178"/>
      <c r="AG513" s="172"/>
      <c r="AH513" s="172"/>
      <c r="AI513" s="172"/>
      <c r="AJ513" s="32"/>
      <c r="AK513" s="32"/>
      <c r="AL513" s="32"/>
      <c r="AM513" s="31"/>
      <c r="AN513" s="31"/>
      <c r="AO513" s="31"/>
      <c r="AP513" s="31"/>
      <c r="AQ513" s="35"/>
    </row>
    <row r="514" ht="15.75" customHeight="1">
      <c r="A514" s="7"/>
      <c r="B514" s="114" t="s">
        <v>230</v>
      </c>
      <c r="C514" s="114" t="s">
        <v>897</v>
      </c>
      <c r="D514" s="114" t="s">
        <v>57</v>
      </c>
      <c r="E514" s="114" t="s">
        <v>57</v>
      </c>
      <c r="F514" s="114"/>
      <c r="G514" s="116">
        <v>2021.0</v>
      </c>
      <c r="H514" s="116">
        <v>0.0</v>
      </c>
      <c r="I514" s="116">
        <v>30.517</v>
      </c>
      <c r="J514" s="117">
        <v>0.0</v>
      </c>
      <c r="K514" s="116">
        <v>0.1</v>
      </c>
      <c r="L514" s="114"/>
      <c r="M514" s="114"/>
      <c r="N514" s="116">
        <v>25.0</v>
      </c>
      <c r="O514" s="116">
        <v>90.0</v>
      </c>
      <c r="P514" s="114"/>
      <c r="Q514" s="140">
        <v>9100.0</v>
      </c>
      <c r="R514" s="114" t="s">
        <v>234</v>
      </c>
      <c r="S514" s="115">
        <v>2021.0</v>
      </c>
      <c r="T514" s="136">
        <v>0.239000000000002</v>
      </c>
      <c r="U514" s="118">
        <f t="shared" ref="U514:U533" si="129">Q514*T514</f>
        <v>2174.9</v>
      </c>
      <c r="V514" s="24">
        <f t="shared" si="124"/>
        <v>71.26847331</v>
      </c>
      <c r="W514" s="3">
        <f t="shared" si="31"/>
        <v>0</v>
      </c>
      <c r="X514" s="3">
        <f t="shared" si="32"/>
        <v>0</v>
      </c>
      <c r="Y514" s="3">
        <f t="shared" si="33"/>
        <v>0</v>
      </c>
      <c r="Z514" s="25">
        <f t="shared" si="34"/>
        <v>0</v>
      </c>
      <c r="AA514" s="26">
        <f>VLOOKUP(S514,CPI!$A$2:$F$71,6,0)</f>
        <v>1.188745987</v>
      </c>
      <c r="AB514" s="27">
        <f t="shared" si="125"/>
        <v>2585.403646</v>
      </c>
      <c r="AC514" s="27">
        <f t="shared" si="126"/>
        <v>84.72011162</v>
      </c>
      <c r="AD514" s="114"/>
      <c r="AE514" s="119" t="s">
        <v>898</v>
      </c>
      <c r="AF514" s="164"/>
      <c r="AG514" s="165"/>
      <c r="AH514" s="165"/>
      <c r="AI514" s="165"/>
      <c r="AJ514" s="166"/>
      <c r="AK514" s="166"/>
      <c r="AL514" s="166"/>
      <c r="AM514" s="31"/>
      <c r="AN514" s="31"/>
      <c r="AO514" s="31"/>
      <c r="AP514" s="31"/>
      <c r="AQ514" s="35"/>
    </row>
    <row r="515" ht="15.75" customHeight="1">
      <c r="A515" s="7"/>
      <c r="B515" s="114" t="s">
        <v>230</v>
      </c>
      <c r="C515" s="114" t="s">
        <v>897</v>
      </c>
      <c r="D515" s="114" t="s">
        <v>54</v>
      </c>
      <c r="E515" s="114" t="s">
        <v>54</v>
      </c>
      <c r="F515" s="114"/>
      <c r="G515" s="116">
        <v>2021.0</v>
      </c>
      <c r="H515" s="116">
        <v>0.0</v>
      </c>
      <c r="I515" s="116">
        <v>14.94</v>
      </c>
      <c r="J515" s="117">
        <v>0.09</v>
      </c>
      <c r="K515" s="116">
        <v>1.3</v>
      </c>
      <c r="L515" s="114"/>
      <c r="M515" s="114"/>
      <c r="N515" s="116">
        <v>11.0</v>
      </c>
      <c r="O515" s="116">
        <v>90.0</v>
      </c>
      <c r="P515" s="114"/>
      <c r="Q515" s="140">
        <v>5533.0</v>
      </c>
      <c r="R515" s="114" t="s">
        <v>234</v>
      </c>
      <c r="S515" s="115">
        <v>2021.0</v>
      </c>
      <c r="T515" s="136">
        <v>0.239000000000002</v>
      </c>
      <c r="U515" s="118">
        <f t="shared" si="129"/>
        <v>1322.387</v>
      </c>
      <c r="V515" s="24">
        <f t="shared" si="124"/>
        <v>88.51318608</v>
      </c>
      <c r="W515" s="3">
        <f t="shared" si="31"/>
        <v>0</v>
      </c>
      <c r="X515" s="3">
        <f t="shared" si="32"/>
        <v>0</v>
      </c>
      <c r="Y515" s="3">
        <f t="shared" si="33"/>
        <v>0</v>
      </c>
      <c r="Z515" s="25">
        <f t="shared" si="34"/>
        <v>0</v>
      </c>
      <c r="AA515" s="26">
        <f>VLOOKUP(S515,CPI!$A$2:$F$71,6,0)</f>
        <v>1.188745987</v>
      </c>
      <c r="AB515" s="27">
        <f t="shared" si="125"/>
        <v>1571.982239</v>
      </c>
      <c r="AC515" s="27">
        <f t="shared" si="126"/>
        <v>105.2196947</v>
      </c>
      <c r="AD515" s="114"/>
      <c r="AE515" s="119" t="s">
        <v>899</v>
      </c>
      <c r="AF515" s="164"/>
      <c r="AG515" s="165"/>
      <c r="AH515" s="165"/>
      <c r="AI515" s="165"/>
      <c r="AJ515" s="166"/>
      <c r="AK515" s="166"/>
      <c r="AL515" s="166"/>
      <c r="AM515" s="31"/>
      <c r="AN515" s="31"/>
      <c r="AO515" s="31"/>
      <c r="AP515" s="31"/>
      <c r="AQ515" s="35"/>
    </row>
    <row r="516" ht="15.75" customHeight="1">
      <c r="A516" s="163"/>
      <c r="B516" s="114" t="s">
        <v>230</v>
      </c>
      <c r="C516" s="114" t="s">
        <v>900</v>
      </c>
      <c r="D516" s="16" t="s">
        <v>54</v>
      </c>
      <c r="E516" s="115" t="s">
        <v>348</v>
      </c>
      <c r="F516" s="116">
        <v>2010.0</v>
      </c>
      <c r="G516" s="116">
        <v>2014.0</v>
      </c>
      <c r="H516" s="116">
        <v>0.0</v>
      </c>
      <c r="I516" s="116">
        <v>26.3</v>
      </c>
      <c r="J516" s="117">
        <v>0.75</v>
      </c>
      <c r="K516" s="116">
        <v>19.6</v>
      </c>
      <c r="L516" s="114"/>
      <c r="M516" s="114"/>
      <c r="N516" s="116">
        <v>20.0</v>
      </c>
      <c r="O516" s="116">
        <v>117.0</v>
      </c>
      <c r="P516" s="114"/>
      <c r="Q516" s="140">
        <v>17487.0</v>
      </c>
      <c r="R516" s="114" t="s">
        <v>234</v>
      </c>
      <c r="S516" s="115">
        <v>2012.0</v>
      </c>
      <c r="T516" s="136">
        <v>0.281</v>
      </c>
      <c r="U516" s="118">
        <f t="shared" si="129"/>
        <v>4913.847</v>
      </c>
      <c r="V516" s="24">
        <f t="shared" si="124"/>
        <v>186.838289</v>
      </c>
      <c r="W516" s="3">
        <f t="shared" si="31"/>
        <v>0</v>
      </c>
      <c r="X516" s="3">
        <f t="shared" si="32"/>
        <v>0</v>
      </c>
      <c r="Y516" s="3">
        <f t="shared" si="33"/>
        <v>0</v>
      </c>
      <c r="Z516" s="25">
        <f t="shared" si="34"/>
        <v>0</v>
      </c>
      <c r="AA516" s="26">
        <f>VLOOKUP(S516,CPI!$A$2:$F$71,6,0)</f>
        <v>1.402974381</v>
      </c>
      <c r="AB516" s="27">
        <f t="shared" si="125"/>
        <v>6894.001452</v>
      </c>
      <c r="AC516" s="27">
        <f t="shared" si="126"/>
        <v>262.1293328</v>
      </c>
      <c r="AD516" s="114"/>
      <c r="AE516" s="119" t="s">
        <v>901</v>
      </c>
      <c r="AF516" s="119" t="s">
        <v>902</v>
      </c>
      <c r="AJ516" s="206"/>
      <c r="AK516" s="206"/>
      <c r="AL516" s="206"/>
      <c r="AM516" s="54"/>
      <c r="AN516" s="54"/>
      <c r="AO516" s="54"/>
      <c r="AP516" s="54"/>
      <c r="AQ516" s="54"/>
    </row>
    <row r="517" ht="15.75" customHeight="1">
      <c r="A517" s="163"/>
      <c r="B517" s="114" t="s">
        <v>230</v>
      </c>
      <c r="C517" s="114" t="s">
        <v>900</v>
      </c>
      <c r="D517" s="115" t="s">
        <v>57</v>
      </c>
      <c r="E517" s="114" t="s">
        <v>564</v>
      </c>
      <c r="F517" s="114"/>
      <c r="G517" s="116">
        <v>2019.0</v>
      </c>
      <c r="H517" s="116">
        <v>0.0</v>
      </c>
      <c r="I517" s="116">
        <v>5.187</v>
      </c>
      <c r="J517" s="117">
        <v>1.0</v>
      </c>
      <c r="K517" s="116">
        <v>5.187</v>
      </c>
      <c r="L517" s="114"/>
      <c r="M517" s="114"/>
      <c r="N517" s="116">
        <v>3.0</v>
      </c>
      <c r="O517" s="116">
        <v>117.0</v>
      </c>
      <c r="P517" s="114"/>
      <c r="Q517" s="140">
        <v>2598.0</v>
      </c>
      <c r="R517" s="114" t="s">
        <v>234</v>
      </c>
      <c r="S517" s="115">
        <v>2019.0</v>
      </c>
      <c r="T517" s="136">
        <v>0.238</v>
      </c>
      <c r="U517" s="118">
        <f t="shared" si="129"/>
        <v>618.324</v>
      </c>
      <c r="V517" s="24">
        <f t="shared" si="124"/>
        <v>119.2064777</v>
      </c>
      <c r="W517" s="3">
        <f t="shared" si="31"/>
        <v>0</v>
      </c>
      <c r="X517" s="3">
        <f t="shared" si="32"/>
        <v>0</v>
      </c>
      <c r="Y517" s="3">
        <f t="shared" si="33"/>
        <v>0</v>
      </c>
      <c r="Z517" s="25">
        <f t="shared" si="34"/>
        <v>0</v>
      </c>
      <c r="AA517" s="26">
        <f>VLOOKUP(S517,CPI!$A$2:$F$71,6,0)</f>
        <v>1.259947899</v>
      </c>
      <c r="AB517" s="27">
        <f t="shared" si="125"/>
        <v>779.0560247</v>
      </c>
      <c r="AC517" s="27">
        <f t="shared" si="126"/>
        <v>150.1939512</v>
      </c>
      <c r="AD517" s="114"/>
      <c r="AE517" s="119" t="s">
        <v>903</v>
      </c>
      <c r="AF517" s="164"/>
      <c r="AG517" s="165"/>
      <c r="AH517" s="165"/>
      <c r="AI517" s="165"/>
      <c r="AJ517" s="166"/>
      <c r="AK517" s="166"/>
      <c r="AL517" s="166"/>
      <c r="AM517" s="31"/>
      <c r="AN517" s="31"/>
      <c r="AO517" s="31"/>
      <c r="AP517" s="31"/>
      <c r="AQ517" s="35"/>
    </row>
    <row r="518" ht="15.75" customHeight="1">
      <c r="A518" s="163"/>
      <c r="B518" s="114" t="s">
        <v>230</v>
      </c>
      <c r="C518" s="114" t="s">
        <v>900</v>
      </c>
      <c r="D518" s="114" t="s">
        <v>819</v>
      </c>
      <c r="E518" s="114" t="s">
        <v>819</v>
      </c>
      <c r="F518" s="116">
        <v>2019.0</v>
      </c>
      <c r="G518" s="116">
        <v>2023.0</v>
      </c>
      <c r="H518" s="116">
        <v>0.0</v>
      </c>
      <c r="I518" s="116">
        <v>30.4</v>
      </c>
      <c r="J518" s="117">
        <v>0.35</v>
      </c>
      <c r="K518" s="116">
        <v>10.5</v>
      </c>
      <c r="L518" s="114"/>
      <c r="M518" s="114"/>
      <c r="N518" s="116">
        <v>9.0</v>
      </c>
      <c r="O518" s="116">
        <v>117.0</v>
      </c>
      <c r="P518" s="114"/>
      <c r="Q518" s="140">
        <v>14403.0</v>
      </c>
      <c r="R518" s="114" t="s">
        <v>234</v>
      </c>
      <c r="S518" s="115">
        <v>2021.0</v>
      </c>
      <c r="T518" s="136">
        <v>0.239</v>
      </c>
      <c r="U518" s="118">
        <f t="shared" si="129"/>
        <v>3442.317</v>
      </c>
      <c r="V518" s="24">
        <f t="shared" si="124"/>
        <v>113.2341118</v>
      </c>
      <c r="W518" s="3">
        <f t="shared" si="31"/>
        <v>0</v>
      </c>
      <c r="X518" s="3">
        <f t="shared" si="32"/>
        <v>0</v>
      </c>
      <c r="Y518" s="3">
        <f t="shared" si="33"/>
        <v>0</v>
      </c>
      <c r="Z518" s="25">
        <f t="shared" si="34"/>
        <v>0</v>
      </c>
      <c r="AA518" s="26">
        <f>VLOOKUP(S518,CPI!$A$2:$F$71,6,0)</f>
        <v>1.188745987</v>
      </c>
      <c r="AB518" s="27">
        <f t="shared" si="125"/>
        <v>4092.040518</v>
      </c>
      <c r="AC518" s="27">
        <f t="shared" si="126"/>
        <v>134.606596</v>
      </c>
      <c r="AD518" s="114"/>
      <c r="AE518" s="119" t="s">
        <v>904</v>
      </c>
      <c r="AF518" s="173"/>
      <c r="AG518" s="174"/>
      <c r="AH518" s="174"/>
      <c r="AI518" s="174"/>
      <c r="AJ518" s="175"/>
      <c r="AK518" s="175"/>
      <c r="AL518" s="175"/>
      <c r="AM518" s="31"/>
      <c r="AN518" s="31"/>
      <c r="AO518" s="31"/>
      <c r="AP518" s="31"/>
      <c r="AQ518" s="35"/>
    </row>
    <row r="519" ht="15.75" customHeight="1">
      <c r="A519" s="163"/>
      <c r="B519" s="114" t="s">
        <v>230</v>
      </c>
      <c r="C519" s="114" t="s">
        <v>900</v>
      </c>
      <c r="D519" s="115" t="s">
        <v>57</v>
      </c>
      <c r="E519" s="115" t="s">
        <v>232</v>
      </c>
      <c r="F519" s="116">
        <v>2014.0</v>
      </c>
      <c r="G519" s="114"/>
      <c r="H519" s="116">
        <v>0.0</v>
      </c>
      <c r="I519" s="116">
        <v>29.4</v>
      </c>
      <c r="J519" s="117">
        <v>0.83</v>
      </c>
      <c r="K519" s="116">
        <v>24.4</v>
      </c>
      <c r="L519" s="114"/>
      <c r="M519" s="114"/>
      <c r="N519" s="116">
        <v>24.0</v>
      </c>
      <c r="O519" s="116">
        <v>117.0</v>
      </c>
      <c r="P519" s="114"/>
      <c r="Q519" s="140">
        <v>18500.0</v>
      </c>
      <c r="R519" s="114" t="s">
        <v>234</v>
      </c>
      <c r="S519" s="115">
        <v>2014.0</v>
      </c>
      <c r="T519" s="85">
        <v>0.266</v>
      </c>
      <c r="U519" s="118">
        <f t="shared" si="129"/>
        <v>4921</v>
      </c>
      <c r="V519" s="24">
        <f t="shared" si="124"/>
        <v>167.3809524</v>
      </c>
      <c r="W519" s="3">
        <f t="shared" si="31"/>
        <v>0</v>
      </c>
      <c r="X519" s="3">
        <f t="shared" si="32"/>
        <v>0</v>
      </c>
      <c r="Y519" s="3">
        <f t="shared" si="33"/>
        <v>0</v>
      </c>
      <c r="Z519" s="25">
        <f t="shared" si="34"/>
        <v>0</v>
      </c>
      <c r="AA519" s="26">
        <f>VLOOKUP(S519,CPI!$A$2:$F$71,6,0)</f>
        <v>1.360648571</v>
      </c>
      <c r="AB519" s="27">
        <f t="shared" si="125"/>
        <v>6695.751616</v>
      </c>
      <c r="AC519" s="27">
        <f t="shared" si="126"/>
        <v>227.7466536</v>
      </c>
      <c r="AD519" s="114"/>
      <c r="AE519" s="119" t="s">
        <v>905</v>
      </c>
      <c r="AF519" s="114"/>
      <c r="AG519" s="114"/>
      <c r="AH519" s="114"/>
      <c r="AI519" s="114"/>
      <c r="AJ519" s="206"/>
      <c r="AK519" s="206"/>
      <c r="AL519" s="206"/>
      <c r="AM519" s="54"/>
      <c r="AN519" s="54"/>
      <c r="AO519" s="54"/>
      <c r="AP519" s="54"/>
      <c r="AQ519" s="54"/>
    </row>
    <row r="520" ht="15.75" customHeight="1">
      <c r="A520" s="163"/>
      <c r="B520" s="114" t="s">
        <v>230</v>
      </c>
      <c r="C520" s="114" t="s">
        <v>900</v>
      </c>
      <c r="D520" s="16" t="s">
        <v>87</v>
      </c>
      <c r="E520" s="115" t="s">
        <v>331</v>
      </c>
      <c r="F520" s="116">
        <v>2020.0</v>
      </c>
      <c r="G520" s="114"/>
      <c r="H520" s="116">
        <v>0.0</v>
      </c>
      <c r="I520" s="116">
        <v>28.5</v>
      </c>
      <c r="J520" s="117">
        <v>1.0</v>
      </c>
      <c r="K520" s="116">
        <v>28.5</v>
      </c>
      <c r="L520" s="114"/>
      <c r="M520" s="114"/>
      <c r="N520" s="116">
        <v>21.0</v>
      </c>
      <c r="O520" s="116">
        <v>117.0</v>
      </c>
      <c r="P520" s="114"/>
      <c r="Q520" s="140">
        <v>20538.0</v>
      </c>
      <c r="R520" s="114" t="s">
        <v>234</v>
      </c>
      <c r="S520" s="115">
        <v>2020.0</v>
      </c>
      <c r="T520" s="136">
        <v>0.239</v>
      </c>
      <c r="U520" s="118">
        <f t="shared" si="129"/>
        <v>4908.582</v>
      </c>
      <c r="V520" s="24">
        <f t="shared" si="124"/>
        <v>172.2309474</v>
      </c>
      <c r="W520" s="3">
        <f t="shared" si="31"/>
        <v>0</v>
      </c>
      <c r="X520" s="3">
        <f t="shared" si="32"/>
        <v>0</v>
      </c>
      <c r="Y520" s="3">
        <f t="shared" si="33"/>
        <v>0</v>
      </c>
      <c r="Z520" s="25">
        <f t="shared" si="34"/>
        <v>0</v>
      </c>
      <c r="AA520" s="26">
        <f>VLOOKUP(S520,CPI!$A$2:$F$71,6,0)</f>
        <v>1.244593545</v>
      </c>
      <c r="AB520" s="27">
        <f t="shared" si="125"/>
        <v>6109.189473</v>
      </c>
      <c r="AC520" s="27">
        <f t="shared" si="126"/>
        <v>214.3575254</v>
      </c>
      <c r="AD520" s="114"/>
      <c r="AE520" s="119" t="s">
        <v>906</v>
      </c>
      <c r="AF520" s="164"/>
      <c r="AG520" s="165"/>
      <c r="AH520" s="165"/>
      <c r="AI520" s="165"/>
      <c r="AJ520" s="166"/>
      <c r="AK520" s="166"/>
      <c r="AL520" s="166"/>
      <c r="AM520" s="32"/>
      <c r="AN520" s="32"/>
      <c r="AO520" s="32"/>
      <c r="AP520" s="32"/>
      <c r="AQ520" s="33"/>
    </row>
    <row r="521" ht="15.75" customHeight="1">
      <c r="A521" s="163"/>
      <c r="B521" s="114" t="s">
        <v>230</v>
      </c>
      <c r="C521" s="114" t="s">
        <v>900</v>
      </c>
      <c r="D521" s="16" t="s">
        <v>110</v>
      </c>
      <c r="E521" s="115" t="s">
        <v>332</v>
      </c>
      <c r="F521" s="116">
        <v>2021.0</v>
      </c>
      <c r="G521" s="114"/>
      <c r="H521" s="116">
        <v>0.0</v>
      </c>
      <c r="I521" s="116">
        <v>24.4</v>
      </c>
      <c r="J521" s="117">
        <v>1.0</v>
      </c>
      <c r="K521" s="116">
        <v>24.4</v>
      </c>
      <c r="L521" s="114"/>
      <c r="M521" s="114"/>
      <c r="N521" s="116">
        <v>18.0</v>
      </c>
      <c r="O521" s="116">
        <v>117.0</v>
      </c>
      <c r="P521" s="114"/>
      <c r="Q521" s="140">
        <v>18318.0</v>
      </c>
      <c r="R521" s="114" t="s">
        <v>234</v>
      </c>
      <c r="S521" s="115">
        <v>2021.0</v>
      </c>
      <c r="T521" s="136">
        <v>0.239</v>
      </c>
      <c r="U521" s="118">
        <f t="shared" si="129"/>
        <v>4378.002</v>
      </c>
      <c r="V521" s="24">
        <f t="shared" si="124"/>
        <v>179.4263115</v>
      </c>
      <c r="W521" s="3">
        <f t="shared" si="31"/>
        <v>0</v>
      </c>
      <c r="X521" s="3">
        <f t="shared" si="32"/>
        <v>0</v>
      </c>
      <c r="Y521" s="3">
        <f t="shared" si="33"/>
        <v>0</v>
      </c>
      <c r="Z521" s="25">
        <f t="shared" si="34"/>
        <v>0</v>
      </c>
      <c r="AA521" s="26">
        <f>VLOOKUP(S521,CPI!$A$2:$F$71,6,0)</f>
        <v>1.188745987</v>
      </c>
      <c r="AB521" s="27">
        <f t="shared" si="125"/>
        <v>5204.332307</v>
      </c>
      <c r="AC521" s="27">
        <f t="shared" si="126"/>
        <v>213.2923077</v>
      </c>
      <c r="AD521" s="114"/>
      <c r="AE521" s="119" t="s">
        <v>907</v>
      </c>
      <c r="AF521" s="114"/>
      <c r="AG521" s="114"/>
      <c r="AH521" s="114"/>
      <c r="AI521" s="114"/>
      <c r="AJ521" s="206"/>
      <c r="AK521" s="206"/>
      <c r="AL521" s="206"/>
      <c r="AM521" s="54"/>
      <c r="AN521" s="54"/>
      <c r="AO521" s="54"/>
      <c r="AP521" s="54"/>
      <c r="AQ521" s="54"/>
    </row>
    <row r="522" ht="15.75" customHeight="1">
      <c r="A522" s="7"/>
      <c r="B522" s="114" t="s">
        <v>230</v>
      </c>
      <c r="C522" s="114" t="s">
        <v>900</v>
      </c>
      <c r="D522" s="115" t="s">
        <v>84</v>
      </c>
      <c r="E522" s="115" t="s">
        <v>319</v>
      </c>
      <c r="F522" s="116">
        <v>2022.0</v>
      </c>
      <c r="G522" s="114"/>
      <c r="H522" s="116">
        <v>0.0</v>
      </c>
      <c r="I522" s="116">
        <v>25.4</v>
      </c>
      <c r="J522" s="117">
        <v>1.0</v>
      </c>
      <c r="K522" s="116">
        <v>25.4</v>
      </c>
      <c r="L522" s="114"/>
      <c r="M522" s="114"/>
      <c r="N522" s="116">
        <v>22.0</v>
      </c>
      <c r="O522" s="116">
        <v>117.0</v>
      </c>
      <c r="P522" s="114"/>
      <c r="Q522" s="140">
        <v>24369.0</v>
      </c>
      <c r="R522" s="114" t="s">
        <v>234</v>
      </c>
      <c r="S522" s="115">
        <v>2021.0</v>
      </c>
      <c r="T522" s="136">
        <v>0.239000000000002</v>
      </c>
      <c r="U522" s="118">
        <f t="shared" si="129"/>
        <v>5824.191</v>
      </c>
      <c r="V522" s="24">
        <f t="shared" si="124"/>
        <v>229.2988583</v>
      </c>
      <c r="W522" s="3">
        <f t="shared" si="31"/>
        <v>0</v>
      </c>
      <c r="X522" s="3">
        <f t="shared" si="32"/>
        <v>0</v>
      </c>
      <c r="Y522" s="3">
        <f t="shared" si="33"/>
        <v>0</v>
      </c>
      <c r="Z522" s="25">
        <f t="shared" si="34"/>
        <v>0</v>
      </c>
      <c r="AA522" s="26">
        <f>VLOOKUP(S522,CPI!$A$2:$F$71,6,0)</f>
        <v>1.188745987</v>
      </c>
      <c r="AB522" s="27">
        <f t="shared" si="125"/>
        <v>6923.483677</v>
      </c>
      <c r="AC522" s="27">
        <f t="shared" si="126"/>
        <v>272.5780975</v>
      </c>
      <c r="AD522" s="114"/>
      <c r="AE522" s="119" t="s">
        <v>908</v>
      </c>
      <c r="AG522" s="165"/>
      <c r="AH522" s="165"/>
      <c r="AI522" s="165"/>
      <c r="AJ522" s="166"/>
      <c r="AK522" s="166"/>
      <c r="AL522" s="166"/>
      <c r="AM522" s="32"/>
      <c r="AN522" s="32"/>
      <c r="AO522" s="32"/>
      <c r="AP522" s="32"/>
      <c r="AQ522" s="33"/>
    </row>
    <row r="523" ht="15.75" customHeight="1">
      <c r="A523" s="163"/>
      <c r="B523" s="114" t="s">
        <v>230</v>
      </c>
      <c r="C523" s="114" t="s">
        <v>900</v>
      </c>
      <c r="D523" s="114" t="s">
        <v>909</v>
      </c>
      <c r="E523" s="114" t="s">
        <v>909</v>
      </c>
      <c r="F523" s="116">
        <v>2022.0</v>
      </c>
      <c r="G523" s="114"/>
      <c r="H523" s="116">
        <v>0.0</v>
      </c>
      <c r="I523" s="116">
        <v>30.0</v>
      </c>
      <c r="J523" s="114"/>
      <c r="K523" s="114"/>
      <c r="L523" s="114"/>
      <c r="M523" s="114"/>
      <c r="N523" s="116">
        <v>6.0</v>
      </c>
      <c r="O523" s="116">
        <v>92.0</v>
      </c>
      <c r="P523" s="114"/>
      <c r="Q523" s="140">
        <v>15716.0</v>
      </c>
      <c r="R523" s="114" t="s">
        <v>234</v>
      </c>
      <c r="S523" s="115">
        <v>2021.0</v>
      </c>
      <c r="T523" s="136">
        <v>0.239</v>
      </c>
      <c r="U523" s="118">
        <f t="shared" si="129"/>
        <v>3756.124</v>
      </c>
      <c r="V523" s="24">
        <f t="shared" si="124"/>
        <v>125.2041333</v>
      </c>
      <c r="W523" s="3">
        <f t="shared" si="31"/>
        <v>0</v>
      </c>
      <c r="X523" s="3">
        <f t="shared" si="32"/>
        <v>0</v>
      </c>
      <c r="Y523" s="3">
        <f t="shared" si="33"/>
        <v>0</v>
      </c>
      <c r="Z523" s="25">
        <f t="shared" si="34"/>
        <v>0</v>
      </c>
      <c r="AA523" s="26">
        <f>VLOOKUP(S523,CPI!$A$2:$F$71,6,0)</f>
        <v>1.188745987</v>
      </c>
      <c r="AB523" s="27">
        <f t="shared" si="125"/>
        <v>4465.07733</v>
      </c>
      <c r="AC523" s="27">
        <f t="shared" si="126"/>
        <v>148.835911</v>
      </c>
      <c r="AD523" s="114"/>
      <c r="AE523" s="119" t="s">
        <v>910</v>
      </c>
      <c r="AF523" s="114"/>
      <c r="AG523" s="114"/>
      <c r="AH523" s="114"/>
      <c r="AI523" s="114"/>
      <c r="AJ523" s="206"/>
      <c r="AK523" s="206"/>
      <c r="AL523" s="206"/>
      <c r="AM523" s="54"/>
      <c r="AN523" s="54"/>
      <c r="AO523" s="54"/>
      <c r="AP523" s="54"/>
      <c r="AQ523" s="54"/>
    </row>
    <row r="524" ht="15.75" customHeight="1">
      <c r="A524" s="7"/>
      <c r="B524" s="114" t="s">
        <v>230</v>
      </c>
      <c r="C524" s="114" t="s">
        <v>911</v>
      </c>
      <c r="D524" s="115" t="s">
        <v>54</v>
      </c>
      <c r="E524" s="115" t="s">
        <v>348</v>
      </c>
      <c r="F524" s="116">
        <v>2006.0</v>
      </c>
      <c r="G524" s="116">
        <v>2011.0</v>
      </c>
      <c r="H524" s="116">
        <v>0.0</v>
      </c>
      <c r="I524" s="116">
        <v>26.76</v>
      </c>
      <c r="J524" s="117">
        <v>1.0</v>
      </c>
      <c r="K524" s="116">
        <v>26.76</v>
      </c>
      <c r="L524" s="114"/>
      <c r="M524" s="114"/>
      <c r="N524" s="116">
        <v>21.0</v>
      </c>
      <c r="O524" s="116">
        <v>117.0</v>
      </c>
      <c r="P524" s="114"/>
      <c r="Q524" s="140">
        <v>12963.0</v>
      </c>
      <c r="R524" s="114" t="s">
        <v>234</v>
      </c>
      <c r="S524" s="115">
        <v>2009.0</v>
      </c>
      <c r="T524" s="85">
        <v>0.317</v>
      </c>
      <c r="U524" s="118">
        <f t="shared" si="129"/>
        <v>4109.271</v>
      </c>
      <c r="V524" s="24">
        <f t="shared" si="124"/>
        <v>153.5602018</v>
      </c>
      <c r="W524" s="3">
        <f t="shared" si="31"/>
        <v>0</v>
      </c>
      <c r="X524" s="3">
        <f t="shared" si="32"/>
        <v>0</v>
      </c>
      <c r="Y524" s="3">
        <f t="shared" si="33"/>
        <v>0</v>
      </c>
      <c r="Z524" s="25">
        <f t="shared" si="34"/>
        <v>0</v>
      </c>
      <c r="AA524" s="26">
        <f>VLOOKUP(S524,CPI!$A$2:$F$71,6,0)</f>
        <v>1.501440311</v>
      </c>
      <c r="AB524" s="27">
        <f t="shared" si="125"/>
        <v>6169.825128</v>
      </c>
      <c r="AC524" s="27">
        <f t="shared" si="126"/>
        <v>230.5614771</v>
      </c>
      <c r="AD524" s="114"/>
      <c r="AE524" s="119" t="s">
        <v>912</v>
      </c>
      <c r="AF524" s="164"/>
      <c r="AG524" s="165"/>
      <c r="AH524" s="165"/>
      <c r="AI524" s="165"/>
      <c r="AJ524" s="166"/>
      <c r="AK524" s="166"/>
      <c r="AL524" s="166"/>
      <c r="AM524" s="31"/>
      <c r="AN524" s="31"/>
      <c r="AO524" s="31"/>
      <c r="AP524" s="31"/>
      <c r="AQ524" s="35"/>
    </row>
    <row r="525" ht="15.75" customHeight="1">
      <c r="A525" s="7"/>
      <c r="B525" s="114" t="s">
        <v>230</v>
      </c>
      <c r="C525" s="114" t="s">
        <v>911</v>
      </c>
      <c r="D525" s="115" t="s">
        <v>57</v>
      </c>
      <c r="E525" s="115" t="s">
        <v>232</v>
      </c>
      <c r="F525" s="114"/>
      <c r="G525" s="116">
        <v>2013.0</v>
      </c>
      <c r="H525" s="116">
        <v>0.0</v>
      </c>
      <c r="I525" s="116">
        <v>25.36</v>
      </c>
      <c r="J525" s="117">
        <v>1.0</v>
      </c>
      <c r="K525" s="116">
        <v>25.36</v>
      </c>
      <c r="L525" s="114"/>
      <c r="M525" s="114"/>
      <c r="N525" s="116">
        <v>19.0</v>
      </c>
      <c r="O525" s="116">
        <v>117.0</v>
      </c>
      <c r="P525" s="114"/>
      <c r="Q525" s="140">
        <v>13490.0</v>
      </c>
      <c r="R525" s="114" t="s">
        <v>234</v>
      </c>
      <c r="S525" s="115">
        <v>2013.0</v>
      </c>
      <c r="T525" s="85">
        <v>0.273</v>
      </c>
      <c r="U525" s="118">
        <f t="shared" si="129"/>
        <v>3682.77</v>
      </c>
      <c r="V525" s="24">
        <f t="shared" si="124"/>
        <v>145.2196372</v>
      </c>
      <c r="W525" s="3">
        <f t="shared" si="31"/>
        <v>0</v>
      </c>
      <c r="X525" s="3">
        <f t="shared" si="32"/>
        <v>0</v>
      </c>
      <c r="Y525" s="3">
        <f t="shared" si="33"/>
        <v>0</v>
      </c>
      <c r="Z525" s="25">
        <f t="shared" si="34"/>
        <v>0</v>
      </c>
      <c r="AA525" s="26">
        <f>VLOOKUP(S525,CPI!$A$2:$F$71,6,0)</f>
        <v>1.382720845</v>
      </c>
      <c r="AB525" s="27">
        <f t="shared" si="125"/>
        <v>5092.242848</v>
      </c>
      <c r="AC525" s="27">
        <f t="shared" si="126"/>
        <v>200.7982196</v>
      </c>
      <c r="AD525" s="114"/>
      <c r="AE525" s="119" t="s">
        <v>913</v>
      </c>
      <c r="AF525" s="167" t="s">
        <v>912</v>
      </c>
      <c r="AG525" s="168"/>
      <c r="AH525" s="168"/>
      <c r="AI525" s="169"/>
      <c r="AJ525" s="166"/>
      <c r="AK525" s="166"/>
      <c r="AL525" s="166"/>
      <c r="AM525" s="31"/>
      <c r="AN525" s="31"/>
      <c r="AO525" s="31"/>
      <c r="AP525" s="31"/>
      <c r="AQ525" s="35"/>
    </row>
    <row r="526" ht="15.75" customHeight="1">
      <c r="A526" s="7"/>
      <c r="B526" s="114" t="s">
        <v>230</v>
      </c>
      <c r="C526" s="114" t="s">
        <v>911</v>
      </c>
      <c r="D526" s="114" t="s">
        <v>87</v>
      </c>
      <c r="E526" s="114" t="s">
        <v>87</v>
      </c>
      <c r="F526" s="116">
        <v>2012.0</v>
      </c>
      <c r="G526" s="116">
        <v>2016.0</v>
      </c>
      <c r="H526" s="116">
        <v>0.0</v>
      </c>
      <c r="I526" s="116">
        <v>38.4</v>
      </c>
      <c r="J526" s="117">
        <v>0.71</v>
      </c>
      <c r="K526" s="116">
        <v>27.13</v>
      </c>
      <c r="L526" s="114"/>
      <c r="M526" s="114"/>
      <c r="N526" s="116">
        <v>24.0</v>
      </c>
      <c r="O526" s="116">
        <v>117.0</v>
      </c>
      <c r="P526" s="114" t="s">
        <v>42</v>
      </c>
      <c r="Q526" s="140">
        <v>18030.0</v>
      </c>
      <c r="R526" s="114" t="s">
        <v>234</v>
      </c>
      <c r="S526" s="115">
        <v>2014.0</v>
      </c>
      <c r="T526" s="115">
        <v>0.266</v>
      </c>
      <c r="U526" s="118">
        <f t="shared" si="129"/>
        <v>4795.98</v>
      </c>
      <c r="V526" s="24">
        <f t="shared" si="124"/>
        <v>124.8953125</v>
      </c>
      <c r="W526" s="3">
        <f t="shared" si="31"/>
        <v>0</v>
      </c>
      <c r="X526" s="3">
        <f t="shared" si="32"/>
        <v>0</v>
      </c>
      <c r="Y526" s="3">
        <f t="shared" si="33"/>
        <v>0</v>
      </c>
      <c r="Z526" s="25">
        <f t="shared" si="34"/>
        <v>0</v>
      </c>
      <c r="AA526" s="26">
        <f>VLOOKUP(S526,CPI!$A$2:$F$71,6,0)</f>
        <v>1.360648571</v>
      </c>
      <c r="AB526" s="27">
        <f t="shared" si="125"/>
        <v>6525.643331</v>
      </c>
      <c r="AC526" s="27">
        <f t="shared" si="126"/>
        <v>169.9386284</v>
      </c>
      <c r="AD526" s="114" t="s">
        <v>42</v>
      </c>
      <c r="AE526" s="119" t="s">
        <v>914</v>
      </c>
      <c r="AF526" s="167" t="s">
        <v>915</v>
      </c>
      <c r="AG526" s="168"/>
      <c r="AH526" s="168"/>
      <c r="AI526" s="169"/>
      <c r="AJ526" s="166"/>
      <c r="AK526" s="166"/>
      <c r="AL526" s="166"/>
      <c r="AM526" s="31"/>
      <c r="AN526" s="31"/>
      <c r="AO526" s="31"/>
      <c r="AP526" s="31"/>
      <c r="AQ526" s="35"/>
    </row>
    <row r="527" ht="15.75" customHeight="1">
      <c r="A527" s="7"/>
      <c r="B527" s="114" t="s">
        <v>230</v>
      </c>
      <c r="C527" s="114" t="s">
        <v>911</v>
      </c>
      <c r="D527" s="114" t="s">
        <v>110</v>
      </c>
      <c r="E527" s="114" t="s">
        <v>110</v>
      </c>
      <c r="F527" s="116">
        <v>2013.0</v>
      </c>
      <c r="G527" s="116">
        <v>2018.0</v>
      </c>
      <c r="H527" s="116">
        <v>0.0</v>
      </c>
      <c r="I527" s="116">
        <v>33.3</v>
      </c>
      <c r="J527" s="117">
        <v>1.0</v>
      </c>
      <c r="K527" s="116">
        <v>33.3</v>
      </c>
      <c r="L527" s="114"/>
      <c r="M527" s="114"/>
      <c r="N527" s="116">
        <v>28.0</v>
      </c>
      <c r="O527" s="116">
        <v>117.0</v>
      </c>
      <c r="P527" s="114"/>
      <c r="Q527" s="140">
        <v>20327.0</v>
      </c>
      <c r="R527" s="114" t="s">
        <v>234</v>
      </c>
      <c r="S527" s="115">
        <v>2016.0</v>
      </c>
      <c r="T527" s="85">
        <v>0.251</v>
      </c>
      <c r="U527" s="118">
        <f t="shared" si="129"/>
        <v>5102.077</v>
      </c>
      <c r="V527" s="24">
        <f t="shared" si="124"/>
        <v>153.2155255</v>
      </c>
      <c r="W527" s="3">
        <f t="shared" si="31"/>
        <v>0</v>
      </c>
      <c r="X527" s="3">
        <f t="shared" si="32"/>
        <v>0</v>
      </c>
      <c r="Y527" s="3">
        <f t="shared" si="33"/>
        <v>0</v>
      </c>
      <c r="Z527" s="25">
        <f t="shared" si="34"/>
        <v>0</v>
      </c>
      <c r="AA527" s="26">
        <f>VLOOKUP(S527,CPI!$A$2:$F$71,6,0)</f>
        <v>1.342104605</v>
      </c>
      <c r="AB527" s="27">
        <f t="shared" si="125"/>
        <v>6847.521038</v>
      </c>
      <c r="AC527" s="27">
        <f t="shared" si="126"/>
        <v>205.6312624</v>
      </c>
      <c r="AD527" s="114"/>
      <c r="AE527" s="161" t="s">
        <v>916</v>
      </c>
      <c r="AF527" s="114"/>
      <c r="AG527" s="114"/>
      <c r="AH527" s="114"/>
      <c r="AI527" s="114"/>
      <c r="AJ527" s="206"/>
      <c r="AK527" s="206"/>
      <c r="AL527" s="206"/>
      <c r="AM527" s="54"/>
      <c r="AN527" s="54"/>
      <c r="AO527" s="54"/>
      <c r="AP527" s="54"/>
      <c r="AQ527" s="54"/>
    </row>
    <row r="528" ht="15.75" customHeight="1">
      <c r="A528" s="7"/>
      <c r="B528" s="114" t="s">
        <v>230</v>
      </c>
      <c r="C528" s="114" t="s">
        <v>911</v>
      </c>
      <c r="D528" s="115" t="s">
        <v>84</v>
      </c>
      <c r="E528" s="115" t="s">
        <v>319</v>
      </c>
      <c r="F528" s="116">
        <v>2014.0</v>
      </c>
      <c r="G528" s="116">
        <v>2020.0</v>
      </c>
      <c r="H528" s="116">
        <v>0.0</v>
      </c>
      <c r="I528" s="116">
        <v>25.7</v>
      </c>
      <c r="J528" s="117">
        <v>0.95</v>
      </c>
      <c r="K528" s="116">
        <v>24.3</v>
      </c>
      <c r="L528" s="114"/>
      <c r="M528" s="114"/>
      <c r="N528" s="116">
        <v>20.0</v>
      </c>
      <c r="O528" s="116">
        <v>117.0</v>
      </c>
      <c r="P528" s="114"/>
      <c r="Q528" s="140">
        <v>17801.0</v>
      </c>
      <c r="R528" s="114" t="s">
        <v>234</v>
      </c>
      <c r="S528" s="115">
        <v>2017.0</v>
      </c>
      <c r="T528" s="85">
        <v>0.239</v>
      </c>
      <c r="U528" s="118">
        <f t="shared" si="129"/>
        <v>4254.439</v>
      </c>
      <c r="V528" s="24">
        <f t="shared" si="124"/>
        <v>165.5423735</v>
      </c>
      <c r="W528" s="3">
        <f t="shared" si="31"/>
        <v>0</v>
      </c>
      <c r="X528" s="3">
        <f t="shared" si="32"/>
        <v>0</v>
      </c>
      <c r="Y528" s="3">
        <f t="shared" si="33"/>
        <v>0</v>
      </c>
      <c r="Z528" s="25">
        <f t="shared" si="34"/>
        <v>0</v>
      </c>
      <c r="AA528" s="26">
        <f>VLOOKUP(S528,CPI!$A$2:$F$71,6,0)</f>
        <v>1.314109416</v>
      </c>
      <c r="AB528" s="27">
        <f t="shared" si="125"/>
        <v>5590.798349</v>
      </c>
      <c r="AC528" s="27">
        <f t="shared" si="126"/>
        <v>217.5407918</v>
      </c>
      <c r="AD528" s="114"/>
      <c r="AE528" s="119" t="s">
        <v>917</v>
      </c>
      <c r="AF528" s="164"/>
      <c r="AG528" s="165"/>
      <c r="AH528" s="165"/>
      <c r="AI528" s="165"/>
      <c r="AJ528" s="166"/>
      <c r="AK528" s="166"/>
      <c r="AL528" s="166"/>
      <c r="AM528" s="181"/>
      <c r="AN528" s="181"/>
      <c r="AO528" s="181"/>
      <c r="AP528" s="181"/>
      <c r="AQ528" s="207"/>
    </row>
    <row r="529" ht="15.75" customHeight="1">
      <c r="A529" s="7"/>
      <c r="B529" s="114" t="s">
        <v>230</v>
      </c>
      <c r="C529" s="114" t="s">
        <v>911</v>
      </c>
      <c r="D529" s="114" t="s">
        <v>253</v>
      </c>
      <c r="E529" s="114" t="s">
        <v>253</v>
      </c>
      <c r="F529" s="116">
        <v>2016.0</v>
      </c>
      <c r="G529" s="116">
        <v>2020.0</v>
      </c>
      <c r="H529" s="116">
        <v>0.0</v>
      </c>
      <c r="I529" s="116">
        <v>25.296</v>
      </c>
      <c r="J529" s="117">
        <v>1.0</v>
      </c>
      <c r="K529" s="116">
        <v>25.296</v>
      </c>
      <c r="L529" s="114"/>
      <c r="M529" s="114"/>
      <c r="N529" s="116">
        <v>15.0</v>
      </c>
      <c r="O529" s="116">
        <v>117.0</v>
      </c>
      <c r="P529" s="114" t="s">
        <v>36</v>
      </c>
      <c r="Q529" s="140">
        <v>13888.0</v>
      </c>
      <c r="R529" s="114" t="s">
        <v>234</v>
      </c>
      <c r="S529" s="115">
        <v>2018.0</v>
      </c>
      <c r="T529" s="85">
        <v>0.237</v>
      </c>
      <c r="U529" s="118">
        <f t="shared" si="129"/>
        <v>3291.456</v>
      </c>
      <c r="V529" s="24">
        <f t="shared" si="124"/>
        <v>130.1176471</v>
      </c>
      <c r="W529" s="3">
        <f t="shared" si="31"/>
        <v>0</v>
      </c>
      <c r="X529" s="3">
        <f t="shared" si="32"/>
        <v>0</v>
      </c>
      <c r="Y529" s="3">
        <f t="shared" si="33"/>
        <v>0</v>
      </c>
      <c r="Z529" s="25">
        <f t="shared" si="34"/>
        <v>0</v>
      </c>
      <c r="AA529" s="26">
        <f>VLOOKUP(S529,CPI!$A$2:$F$71,6,0)</f>
        <v>1.28277786</v>
      </c>
      <c r="AB529" s="27">
        <f t="shared" si="125"/>
        <v>4222.206883</v>
      </c>
      <c r="AC529" s="27">
        <f t="shared" si="126"/>
        <v>166.9120368</v>
      </c>
      <c r="AD529" s="114" t="s">
        <v>36</v>
      </c>
      <c r="AE529" s="119" t="s">
        <v>918</v>
      </c>
      <c r="AF529" s="114"/>
      <c r="AG529" s="114"/>
      <c r="AH529" s="114"/>
      <c r="AI529" s="114"/>
      <c r="AJ529" s="206"/>
      <c r="AK529" s="206"/>
      <c r="AL529" s="206"/>
      <c r="AM529" s="54"/>
      <c r="AN529" s="54"/>
      <c r="AO529" s="54"/>
      <c r="AP529" s="54"/>
      <c r="AQ529" s="54"/>
    </row>
    <row r="530" ht="15.75" customHeight="1">
      <c r="A530" s="7"/>
      <c r="B530" s="114" t="s">
        <v>230</v>
      </c>
      <c r="C530" s="114" t="s">
        <v>911</v>
      </c>
      <c r="D530" s="115" t="s">
        <v>84</v>
      </c>
      <c r="E530" s="115" t="s">
        <v>522</v>
      </c>
      <c r="F530" s="116">
        <v>2016.0</v>
      </c>
      <c r="G530" s="116">
        <v>2021.0</v>
      </c>
      <c r="H530" s="116">
        <v>0.0</v>
      </c>
      <c r="I530" s="116">
        <v>19.87</v>
      </c>
      <c r="J530" s="117">
        <v>0.16</v>
      </c>
      <c r="K530" s="116">
        <v>3.2</v>
      </c>
      <c r="L530" s="114"/>
      <c r="M530" s="114"/>
      <c r="N530" s="116">
        <v>13.0</v>
      </c>
      <c r="O530" s="116">
        <v>117.0</v>
      </c>
      <c r="P530" s="114" t="s">
        <v>60</v>
      </c>
      <c r="Q530" s="140">
        <v>9511.0</v>
      </c>
      <c r="R530" s="114" t="s">
        <v>234</v>
      </c>
      <c r="S530" s="115">
        <v>2019.0</v>
      </c>
      <c r="T530" s="136">
        <v>0.238</v>
      </c>
      <c r="U530" s="118">
        <f t="shared" si="129"/>
        <v>2263.618</v>
      </c>
      <c r="V530" s="24">
        <f t="shared" si="124"/>
        <v>113.921389</v>
      </c>
      <c r="W530" s="3">
        <f t="shared" si="31"/>
        <v>0</v>
      </c>
      <c r="X530" s="3">
        <f t="shared" si="32"/>
        <v>0</v>
      </c>
      <c r="Y530" s="3">
        <f t="shared" si="33"/>
        <v>0</v>
      </c>
      <c r="Z530" s="25">
        <f t="shared" si="34"/>
        <v>0</v>
      </c>
      <c r="AA530" s="26">
        <f>VLOOKUP(S530,CPI!$A$2:$F$71,6,0)</f>
        <v>1.259947899</v>
      </c>
      <c r="AB530" s="27">
        <f t="shared" si="125"/>
        <v>2852.040743</v>
      </c>
      <c r="AC530" s="27">
        <f t="shared" si="126"/>
        <v>143.5350148</v>
      </c>
      <c r="AD530" s="114" t="s">
        <v>36</v>
      </c>
      <c r="AE530" s="119" t="s">
        <v>919</v>
      </c>
      <c r="AF530" s="167" t="s">
        <v>920</v>
      </c>
      <c r="AG530" s="168"/>
      <c r="AH530" s="168"/>
      <c r="AI530" s="169"/>
      <c r="AJ530" s="166"/>
      <c r="AK530" s="166"/>
      <c r="AL530" s="166"/>
      <c r="AM530" s="32"/>
      <c r="AN530" s="32"/>
      <c r="AO530" s="32"/>
      <c r="AP530" s="32"/>
      <c r="AQ530" s="33"/>
    </row>
    <row r="531" ht="15.75" customHeight="1">
      <c r="A531" s="7"/>
      <c r="B531" s="114" t="s">
        <v>230</v>
      </c>
      <c r="C531" s="114" t="s">
        <v>911</v>
      </c>
      <c r="D531" s="115" t="s">
        <v>80</v>
      </c>
      <c r="E531" s="115" t="s">
        <v>921</v>
      </c>
      <c r="F531" s="116">
        <v>2016.0</v>
      </c>
      <c r="G531" s="116">
        <v>2022.0</v>
      </c>
      <c r="H531" s="116">
        <v>0.0</v>
      </c>
      <c r="I531" s="116">
        <v>39.8</v>
      </c>
      <c r="J531" s="117">
        <v>1.0</v>
      </c>
      <c r="K531" s="116">
        <v>39.8</v>
      </c>
      <c r="L531" s="114"/>
      <c r="M531" s="114"/>
      <c r="N531" s="116">
        <v>32.0</v>
      </c>
      <c r="O531" s="116">
        <v>117.0</v>
      </c>
      <c r="P531" s="114"/>
      <c r="Q531" s="140">
        <v>28900.0</v>
      </c>
      <c r="R531" s="114" t="s">
        <v>234</v>
      </c>
      <c r="S531" s="115">
        <v>2019.0</v>
      </c>
      <c r="T531" s="136">
        <v>0.238</v>
      </c>
      <c r="U531" s="118">
        <f t="shared" si="129"/>
        <v>6878.2</v>
      </c>
      <c r="V531" s="24">
        <f t="shared" si="124"/>
        <v>172.8190955</v>
      </c>
      <c r="W531" s="3">
        <f t="shared" si="31"/>
        <v>0</v>
      </c>
      <c r="X531" s="3">
        <f t="shared" si="32"/>
        <v>0</v>
      </c>
      <c r="Y531" s="3">
        <f t="shared" si="33"/>
        <v>0</v>
      </c>
      <c r="Z531" s="25">
        <f t="shared" si="34"/>
        <v>0</v>
      </c>
      <c r="AA531" s="26">
        <f>VLOOKUP(S531,CPI!$A$2:$F$71,6,0)</f>
        <v>1.259947899</v>
      </c>
      <c r="AB531" s="27">
        <f t="shared" si="125"/>
        <v>8666.173639</v>
      </c>
      <c r="AC531" s="27">
        <f t="shared" si="126"/>
        <v>217.7430562</v>
      </c>
      <c r="AD531" s="114"/>
      <c r="AE531" s="119" t="s">
        <v>922</v>
      </c>
      <c r="AF531" s="164"/>
      <c r="AG531" s="165"/>
      <c r="AH531" s="165"/>
      <c r="AI531" s="165"/>
      <c r="AJ531" s="166"/>
      <c r="AK531" s="166"/>
      <c r="AL531" s="166"/>
      <c r="AM531" s="31"/>
      <c r="AN531" s="31"/>
      <c r="AO531" s="31"/>
      <c r="AP531" s="31"/>
      <c r="AQ531" s="35"/>
    </row>
    <row r="532" ht="15.75" customHeight="1">
      <c r="A532" s="38">
        <v>7992.0</v>
      </c>
      <c r="B532" s="72" t="s">
        <v>230</v>
      </c>
      <c r="C532" s="72" t="s">
        <v>911</v>
      </c>
      <c r="D532" s="115" t="s">
        <v>57</v>
      </c>
      <c r="E532" s="115" t="s">
        <v>354</v>
      </c>
      <c r="F532" s="69">
        <v>2019.0</v>
      </c>
      <c r="G532" s="69">
        <v>2023.0</v>
      </c>
      <c r="H532" s="69">
        <v>0.0</v>
      </c>
      <c r="I532" s="69">
        <v>10.6</v>
      </c>
      <c r="J532" s="117">
        <v>1.0</v>
      </c>
      <c r="K532" s="69">
        <v>10.6</v>
      </c>
      <c r="L532" s="72"/>
      <c r="M532" s="72"/>
      <c r="N532" s="69">
        <v>7.0</v>
      </c>
      <c r="O532" s="69">
        <v>117.0</v>
      </c>
      <c r="P532" s="72"/>
      <c r="Q532" s="140">
        <v>8903.0</v>
      </c>
      <c r="R532" s="72" t="s">
        <v>234</v>
      </c>
      <c r="S532" s="115">
        <v>2021.0</v>
      </c>
      <c r="T532" s="136">
        <v>0.239</v>
      </c>
      <c r="U532" s="118">
        <f t="shared" si="129"/>
        <v>2127.817</v>
      </c>
      <c r="V532" s="24">
        <f t="shared" si="124"/>
        <v>200.7374528</v>
      </c>
      <c r="W532" s="3">
        <f t="shared" si="31"/>
        <v>0</v>
      </c>
      <c r="X532" s="3">
        <f t="shared" si="32"/>
        <v>0</v>
      </c>
      <c r="Y532" s="3">
        <f t="shared" si="33"/>
        <v>0</v>
      </c>
      <c r="Z532" s="25">
        <f t="shared" si="34"/>
        <v>0</v>
      </c>
      <c r="AA532" s="26">
        <f>VLOOKUP(S532,CPI!$A$2:$F$71,6,0)</f>
        <v>1.188745987</v>
      </c>
      <c r="AB532" s="27">
        <f t="shared" si="125"/>
        <v>2529.433919</v>
      </c>
      <c r="AC532" s="27">
        <f t="shared" si="126"/>
        <v>238.6258414</v>
      </c>
      <c r="AD532" s="72" t="s">
        <v>36</v>
      </c>
      <c r="AE532" s="79" t="s">
        <v>923</v>
      </c>
      <c r="AF532" s="186"/>
      <c r="AG532" s="187"/>
      <c r="AH532" s="187"/>
      <c r="AI532" s="187"/>
      <c r="AJ532" s="81"/>
      <c r="AK532" s="81"/>
      <c r="AL532" s="81"/>
      <c r="AM532" s="32"/>
      <c r="AN532" s="32"/>
      <c r="AO532" s="32"/>
      <c r="AP532" s="32"/>
      <c r="AQ532" s="33"/>
    </row>
    <row r="533" ht="15.75" customHeight="1">
      <c r="A533" s="38">
        <v>8048.0</v>
      </c>
      <c r="B533" s="72" t="s">
        <v>230</v>
      </c>
      <c r="C533" s="72" t="s">
        <v>911</v>
      </c>
      <c r="D533" s="16" t="s">
        <v>283</v>
      </c>
      <c r="E533" s="115" t="s">
        <v>924</v>
      </c>
      <c r="F533" s="69">
        <v>2019.0</v>
      </c>
      <c r="G533" s="69">
        <v>2024.0</v>
      </c>
      <c r="H533" s="69">
        <v>0.0</v>
      </c>
      <c r="I533" s="69">
        <v>15.03</v>
      </c>
      <c r="J533" s="117">
        <v>1.0</v>
      </c>
      <c r="K533" s="69">
        <v>15.03</v>
      </c>
      <c r="L533" s="72"/>
      <c r="M533" s="72"/>
      <c r="N533" s="69">
        <v>9.0</v>
      </c>
      <c r="O533" s="69">
        <v>117.0</v>
      </c>
      <c r="P533" s="72"/>
      <c r="Q533" s="140">
        <v>10631.0</v>
      </c>
      <c r="R533" s="72" t="s">
        <v>234</v>
      </c>
      <c r="S533" s="115">
        <v>2021.0</v>
      </c>
      <c r="T533" s="136">
        <v>0.239</v>
      </c>
      <c r="U533" s="118">
        <f t="shared" si="129"/>
        <v>2540.809</v>
      </c>
      <c r="V533" s="24">
        <f t="shared" si="124"/>
        <v>169.0491683</v>
      </c>
      <c r="W533" s="3">
        <f t="shared" si="31"/>
        <v>0</v>
      </c>
      <c r="X533" s="3">
        <f t="shared" si="32"/>
        <v>0</v>
      </c>
      <c r="Y533" s="3">
        <f t="shared" si="33"/>
        <v>0</v>
      </c>
      <c r="Z533" s="25">
        <f t="shared" si="34"/>
        <v>0</v>
      </c>
      <c r="AA533" s="26">
        <f>VLOOKUP(S533,CPI!$A$2:$F$71,6,0)</f>
        <v>1.188745987</v>
      </c>
      <c r="AB533" s="27">
        <f t="shared" si="125"/>
        <v>3020.376502</v>
      </c>
      <c r="AC533" s="27">
        <f t="shared" si="126"/>
        <v>200.9565204</v>
      </c>
      <c r="AD533" s="72" t="s">
        <v>36</v>
      </c>
      <c r="AE533" s="79" t="s">
        <v>925</v>
      </c>
      <c r="AF533" s="186"/>
      <c r="AG533" s="187"/>
      <c r="AH533" s="187"/>
      <c r="AI533" s="187"/>
      <c r="AJ533" s="81"/>
      <c r="AK533" s="81"/>
      <c r="AL533" s="81"/>
      <c r="AM533" s="175"/>
      <c r="AN533" s="175"/>
      <c r="AO533" s="175"/>
      <c r="AP533" s="175"/>
    </row>
    <row r="534" ht="15.75" customHeight="1">
      <c r="A534" s="38">
        <v>8010.0</v>
      </c>
      <c r="B534" s="130" t="s">
        <v>230</v>
      </c>
      <c r="C534" s="130" t="s">
        <v>911</v>
      </c>
      <c r="D534" s="134" t="s">
        <v>260</v>
      </c>
      <c r="E534" s="130" t="s">
        <v>261</v>
      </c>
      <c r="F534" s="130">
        <v>2020.0</v>
      </c>
      <c r="G534" s="130">
        <v>2025.0</v>
      </c>
      <c r="H534" s="130">
        <v>0.0</v>
      </c>
      <c r="I534" s="130">
        <v>19.0</v>
      </c>
      <c r="J534" s="131">
        <v>1.0</v>
      </c>
      <c r="K534" s="130">
        <v>19.0</v>
      </c>
      <c r="L534" s="132">
        <v>0.0</v>
      </c>
      <c r="M534" s="132">
        <v>0.0</v>
      </c>
      <c r="N534" s="130">
        <v>11.0</v>
      </c>
      <c r="O534" s="138"/>
      <c r="P534" s="130" t="s">
        <v>60</v>
      </c>
      <c r="Q534" s="135">
        <v>12436.0</v>
      </c>
      <c r="R534" s="130" t="s">
        <v>234</v>
      </c>
      <c r="S534" s="130">
        <v>2019.0</v>
      </c>
      <c r="T534" s="136">
        <v>0.238</v>
      </c>
      <c r="U534" s="128">
        <f>T534*Q534</f>
        <v>2959.768</v>
      </c>
      <c r="V534" s="24">
        <f t="shared" si="124"/>
        <v>155.7772632</v>
      </c>
      <c r="W534" s="3">
        <f t="shared" si="31"/>
        <v>0</v>
      </c>
      <c r="X534" s="3">
        <f t="shared" si="32"/>
        <v>0</v>
      </c>
      <c r="Y534" s="3">
        <f t="shared" si="33"/>
        <v>0</v>
      </c>
      <c r="Z534" s="25">
        <f t="shared" si="34"/>
        <v>0</v>
      </c>
      <c r="AA534" s="26">
        <f>VLOOKUP(S534,CPI!$A$2:$F$71,6,0)</f>
        <v>1.259947899</v>
      </c>
      <c r="AB534" s="27">
        <f t="shared" si="125"/>
        <v>3729.153473</v>
      </c>
      <c r="AC534" s="27">
        <f t="shared" si="126"/>
        <v>196.2712354</v>
      </c>
      <c r="AD534" s="130" t="s">
        <v>60</v>
      </c>
      <c r="AE534" s="137" t="s">
        <v>926</v>
      </c>
      <c r="AF534" s="178"/>
      <c r="AG534" s="172"/>
      <c r="AH534" s="172"/>
      <c r="AI534" s="172"/>
      <c r="AJ534" s="32"/>
      <c r="AK534" s="32"/>
      <c r="AL534" s="32"/>
      <c r="AM534" s="31"/>
      <c r="AN534" s="31"/>
      <c r="AO534" s="31"/>
      <c r="AP534" s="31"/>
      <c r="AQ534" s="35"/>
    </row>
    <row r="535" ht="15.75" customHeight="1">
      <c r="A535" s="38">
        <v>8089.0</v>
      </c>
      <c r="B535" s="72" t="s">
        <v>230</v>
      </c>
      <c r="C535" s="72" t="s">
        <v>911</v>
      </c>
      <c r="D535" s="16" t="s">
        <v>239</v>
      </c>
      <c r="E535" s="115" t="s">
        <v>356</v>
      </c>
      <c r="F535" s="69">
        <v>2020.0</v>
      </c>
      <c r="G535" s="69">
        <v>2026.0</v>
      </c>
      <c r="H535" s="69">
        <v>0.0</v>
      </c>
      <c r="I535" s="69">
        <v>34.11</v>
      </c>
      <c r="J535" s="233"/>
      <c r="K535" s="69"/>
      <c r="L535" s="72"/>
      <c r="M535" s="72"/>
      <c r="N535" s="69">
        <v>16.0</v>
      </c>
      <c r="O535" s="69">
        <v>117.0</v>
      </c>
      <c r="P535" s="72" t="s">
        <v>36</v>
      </c>
      <c r="Q535" s="140">
        <v>21903.0</v>
      </c>
      <c r="R535" s="72" t="s">
        <v>234</v>
      </c>
      <c r="S535" s="115">
        <v>2021.0</v>
      </c>
      <c r="T535" s="136">
        <v>0.239</v>
      </c>
      <c r="U535" s="118">
        <f t="shared" ref="U535:U537" si="130">Q535*T535</f>
        <v>5234.817</v>
      </c>
      <c r="V535" s="24">
        <f t="shared" si="124"/>
        <v>153.4686895</v>
      </c>
      <c r="W535" s="3">
        <f t="shared" si="31"/>
        <v>0</v>
      </c>
      <c r="X535" s="3">
        <f t="shared" si="32"/>
        <v>0</v>
      </c>
      <c r="Y535" s="3">
        <f t="shared" si="33"/>
        <v>0</v>
      </c>
      <c r="Z535" s="25">
        <f t="shared" si="34"/>
        <v>0</v>
      </c>
      <c r="AA535" s="26">
        <f>VLOOKUP(S535,CPI!$A$2:$F$71,6,0)</f>
        <v>1.188745987</v>
      </c>
      <c r="AB535" s="27">
        <f t="shared" si="125"/>
        <v>6222.8677</v>
      </c>
      <c r="AC535" s="27">
        <f t="shared" si="126"/>
        <v>182.4352888</v>
      </c>
      <c r="AD535" s="72" t="s">
        <v>36</v>
      </c>
      <c r="AE535" s="79" t="s">
        <v>927</v>
      </c>
      <c r="AF535" s="186"/>
      <c r="AG535" s="187"/>
      <c r="AH535" s="187"/>
      <c r="AI535" s="187"/>
      <c r="AJ535" s="81"/>
      <c r="AK535" s="81"/>
      <c r="AL535" s="81"/>
      <c r="AM535" s="31"/>
      <c r="AN535" s="31"/>
      <c r="AO535" s="31"/>
      <c r="AP535" s="31"/>
      <c r="AQ535" s="35"/>
    </row>
    <row r="536" ht="15.75" customHeight="1">
      <c r="A536" s="7"/>
      <c r="B536" s="114" t="s">
        <v>230</v>
      </c>
      <c r="C536" s="114" t="s">
        <v>911</v>
      </c>
      <c r="D536" s="115" t="s">
        <v>57</v>
      </c>
      <c r="E536" s="115" t="s">
        <v>410</v>
      </c>
      <c r="F536" s="116">
        <v>2016.0</v>
      </c>
      <c r="G536" s="114"/>
      <c r="H536" s="116">
        <v>0.0</v>
      </c>
      <c r="I536" s="116">
        <v>6.1</v>
      </c>
      <c r="J536" s="117">
        <v>1.0</v>
      </c>
      <c r="K536" s="116">
        <v>6.1</v>
      </c>
      <c r="L536" s="114"/>
      <c r="M536" s="114"/>
      <c r="N536" s="116">
        <v>4.0</v>
      </c>
      <c r="O536" s="116">
        <v>117.0</v>
      </c>
      <c r="P536" s="114"/>
      <c r="Q536" s="140">
        <v>3700.0</v>
      </c>
      <c r="R536" s="114" t="s">
        <v>234</v>
      </c>
      <c r="S536" s="115">
        <v>2016.0</v>
      </c>
      <c r="T536" s="85">
        <v>0.251</v>
      </c>
      <c r="U536" s="118">
        <f t="shared" si="130"/>
        <v>928.7</v>
      </c>
      <c r="V536" s="24">
        <f t="shared" si="124"/>
        <v>152.2459016</v>
      </c>
      <c r="W536" s="3">
        <f t="shared" si="31"/>
        <v>0</v>
      </c>
      <c r="X536" s="3">
        <f t="shared" si="32"/>
        <v>0</v>
      </c>
      <c r="Y536" s="3">
        <f t="shared" si="33"/>
        <v>0</v>
      </c>
      <c r="Z536" s="25">
        <f t="shared" si="34"/>
        <v>0</v>
      </c>
      <c r="AA536" s="26">
        <f>VLOOKUP(S536,CPI!$A$2:$F$71,6,0)</f>
        <v>1.342104605</v>
      </c>
      <c r="AB536" s="27">
        <f t="shared" si="125"/>
        <v>1246.412547</v>
      </c>
      <c r="AC536" s="27">
        <f t="shared" si="126"/>
        <v>204.3299257</v>
      </c>
      <c r="AD536" s="114"/>
      <c r="AE536" s="119" t="s">
        <v>928</v>
      </c>
      <c r="AF536" s="164"/>
      <c r="AG536" s="165"/>
      <c r="AH536" s="165"/>
      <c r="AI536" s="165"/>
      <c r="AJ536" s="166"/>
      <c r="AK536" s="166"/>
      <c r="AL536" s="166"/>
      <c r="AM536" s="31"/>
      <c r="AN536" s="31"/>
      <c r="AO536" s="31"/>
      <c r="AP536" s="31"/>
      <c r="AQ536" s="35"/>
    </row>
    <row r="537" ht="15.75" customHeight="1">
      <c r="A537" s="7"/>
      <c r="B537" s="114" t="s">
        <v>230</v>
      </c>
      <c r="C537" s="114" t="s">
        <v>911</v>
      </c>
      <c r="D537" s="114" t="s">
        <v>663</v>
      </c>
      <c r="E537" s="114" t="s">
        <v>663</v>
      </c>
      <c r="F537" s="116">
        <v>2019.0</v>
      </c>
      <c r="G537" s="114"/>
      <c r="H537" s="116">
        <v>0.0</v>
      </c>
      <c r="I537" s="116">
        <v>29.28</v>
      </c>
      <c r="J537" s="117">
        <v>0.28</v>
      </c>
      <c r="K537" s="116">
        <v>8.14</v>
      </c>
      <c r="L537" s="114"/>
      <c r="M537" s="114"/>
      <c r="N537" s="116">
        <v>10.0</v>
      </c>
      <c r="O537" s="116">
        <v>117.0</v>
      </c>
      <c r="P537" s="114" t="s">
        <v>36</v>
      </c>
      <c r="Q537" s="140">
        <v>12694.0</v>
      </c>
      <c r="R537" s="114" t="s">
        <v>234</v>
      </c>
      <c r="S537" s="115">
        <v>2019.0</v>
      </c>
      <c r="T537" s="136">
        <v>0.238</v>
      </c>
      <c r="U537" s="118">
        <f t="shared" si="130"/>
        <v>3021.172</v>
      </c>
      <c r="V537" s="24">
        <f t="shared" si="124"/>
        <v>103.1821038</v>
      </c>
      <c r="W537" s="3">
        <f t="shared" si="31"/>
        <v>0</v>
      </c>
      <c r="X537" s="3">
        <f t="shared" si="32"/>
        <v>0</v>
      </c>
      <c r="Y537" s="3">
        <f t="shared" si="33"/>
        <v>0</v>
      </c>
      <c r="Z537" s="25">
        <f t="shared" si="34"/>
        <v>0</v>
      </c>
      <c r="AA537" s="26">
        <f>VLOOKUP(S537,CPI!$A$2:$F$71,6,0)</f>
        <v>1.259947899</v>
      </c>
      <c r="AB537" s="27">
        <f t="shared" si="125"/>
        <v>3806.519314</v>
      </c>
      <c r="AC537" s="27">
        <f t="shared" si="126"/>
        <v>130.0040749</v>
      </c>
      <c r="AD537" s="114" t="s">
        <v>36</v>
      </c>
      <c r="AE537" s="119" t="s">
        <v>929</v>
      </c>
      <c r="AF537" s="164"/>
      <c r="AG537" s="165"/>
      <c r="AH537" s="165"/>
      <c r="AI537" s="165"/>
      <c r="AJ537" s="166"/>
      <c r="AK537" s="166"/>
      <c r="AL537" s="166"/>
      <c r="AM537" s="31"/>
      <c r="AN537" s="31"/>
      <c r="AO537" s="31"/>
      <c r="AP537" s="31"/>
      <c r="AQ537" s="35"/>
    </row>
    <row r="538" ht="15.75" customHeight="1">
      <c r="A538" s="38">
        <v>8034.0</v>
      </c>
      <c r="B538" s="130" t="s">
        <v>230</v>
      </c>
      <c r="C538" s="130" t="s">
        <v>911</v>
      </c>
      <c r="D538" s="130" t="s">
        <v>267</v>
      </c>
      <c r="E538" s="130" t="s">
        <v>267</v>
      </c>
      <c r="F538" s="130"/>
      <c r="G538" s="130"/>
      <c r="H538" s="130">
        <v>0.0</v>
      </c>
      <c r="I538" s="130">
        <v>13.8</v>
      </c>
      <c r="J538" s="131">
        <v>1.0</v>
      </c>
      <c r="K538" s="130">
        <v>13.8</v>
      </c>
      <c r="L538" s="132">
        <v>0.0</v>
      </c>
      <c r="M538" s="132">
        <v>0.0</v>
      </c>
      <c r="N538" s="130">
        <v>8.0</v>
      </c>
      <c r="O538" s="138"/>
      <c r="P538" s="130" t="s">
        <v>60</v>
      </c>
      <c r="Q538" s="135">
        <v>8315.0</v>
      </c>
      <c r="R538" s="130" t="s">
        <v>234</v>
      </c>
      <c r="S538" s="130">
        <v>2019.0</v>
      </c>
      <c r="T538" s="136">
        <v>0.238</v>
      </c>
      <c r="U538" s="128">
        <f t="shared" ref="U538:U539" si="131">T538*Q538</f>
        <v>1978.97</v>
      </c>
      <c r="V538" s="24">
        <f t="shared" si="124"/>
        <v>143.4036232</v>
      </c>
      <c r="W538" s="3">
        <f t="shared" si="31"/>
        <v>0</v>
      </c>
      <c r="X538" s="3">
        <f t="shared" si="32"/>
        <v>0</v>
      </c>
      <c r="Y538" s="3">
        <f t="shared" si="33"/>
        <v>0</v>
      </c>
      <c r="Z538" s="25">
        <f t="shared" si="34"/>
        <v>0</v>
      </c>
      <c r="AA538" s="26">
        <f>VLOOKUP(S538,CPI!$A$2:$F$71,6,0)</f>
        <v>1.259947899</v>
      </c>
      <c r="AB538" s="27">
        <f t="shared" si="125"/>
        <v>2493.399094</v>
      </c>
      <c r="AC538" s="27">
        <f t="shared" si="126"/>
        <v>180.6810937</v>
      </c>
      <c r="AD538" s="130" t="s">
        <v>60</v>
      </c>
      <c r="AE538" s="137" t="s">
        <v>926</v>
      </c>
      <c r="AF538" s="130"/>
      <c r="AG538" s="130"/>
      <c r="AH538" s="130"/>
      <c r="AI538" s="130"/>
      <c r="AJ538" s="33"/>
      <c r="AK538" s="33"/>
      <c r="AL538" s="33"/>
      <c r="AM538" s="54"/>
      <c r="AN538" s="54"/>
      <c r="AO538" s="54"/>
      <c r="AP538" s="54"/>
      <c r="AQ538" s="54"/>
    </row>
    <row r="539" ht="15.75" customHeight="1">
      <c r="A539" s="38">
        <v>8032.0</v>
      </c>
      <c r="B539" s="130" t="s">
        <v>230</v>
      </c>
      <c r="C539" s="130" t="s">
        <v>911</v>
      </c>
      <c r="D539" s="36" t="s">
        <v>54</v>
      </c>
      <c r="E539" s="130" t="s">
        <v>326</v>
      </c>
      <c r="F539" s="130"/>
      <c r="G539" s="130"/>
      <c r="H539" s="130">
        <v>0.0</v>
      </c>
      <c r="I539" s="130">
        <v>7.0</v>
      </c>
      <c r="J539" s="131">
        <v>1.0</v>
      </c>
      <c r="K539" s="130">
        <v>7.0</v>
      </c>
      <c r="L539" s="132">
        <v>0.0</v>
      </c>
      <c r="M539" s="132">
        <v>0.0</v>
      </c>
      <c r="N539" s="130">
        <v>4.0</v>
      </c>
      <c r="O539" s="138"/>
      <c r="P539" s="130" t="s">
        <v>60</v>
      </c>
      <c r="Q539" s="135">
        <v>4289.0</v>
      </c>
      <c r="R539" s="130" t="s">
        <v>234</v>
      </c>
      <c r="S539" s="130">
        <v>2019.0</v>
      </c>
      <c r="T539" s="136">
        <v>0.238</v>
      </c>
      <c r="U539" s="128">
        <f t="shared" si="131"/>
        <v>1020.782</v>
      </c>
      <c r="V539" s="24">
        <f t="shared" si="124"/>
        <v>145.826</v>
      </c>
      <c r="W539" s="3">
        <f t="shared" si="31"/>
        <v>0</v>
      </c>
      <c r="X539" s="3">
        <f t="shared" si="32"/>
        <v>0</v>
      </c>
      <c r="Y539" s="3">
        <f t="shared" si="33"/>
        <v>0</v>
      </c>
      <c r="Z539" s="25">
        <f t="shared" si="34"/>
        <v>0</v>
      </c>
      <c r="AA539" s="26">
        <f>VLOOKUP(S539,CPI!$A$2:$F$71,6,0)</f>
        <v>1.259947899</v>
      </c>
      <c r="AB539" s="27">
        <f t="shared" si="125"/>
        <v>1286.132136</v>
      </c>
      <c r="AC539" s="27">
        <f t="shared" si="126"/>
        <v>183.7331623</v>
      </c>
      <c r="AD539" s="130" t="s">
        <v>60</v>
      </c>
      <c r="AE539" s="137" t="s">
        <v>926</v>
      </c>
      <c r="AF539" s="178"/>
      <c r="AG539" s="172"/>
      <c r="AH539" s="172"/>
      <c r="AI539" s="172"/>
      <c r="AJ539" s="32"/>
      <c r="AK539" s="32"/>
      <c r="AL539" s="32"/>
      <c r="AM539" s="32"/>
      <c r="AN539" s="32"/>
      <c r="AO539" s="32"/>
      <c r="AP539" s="32"/>
      <c r="AQ539" s="33"/>
    </row>
    <row r="540" ht="15.75" customHeight="1">
      <c r="A540" s="170">
        <v>7906.0</v>
      </c>
      <c r="B540" s="123" t="s">
        <v>230</v>
      </c>
      <c r="C540" s="123" t="s">
        <v>911</v>
      </c>
      <c r="D540" s="16" t="s">
        <v>243</v>
      </c>
      <c r="E540" s="123" t="s">
        <v>243</v>
      </c>
      <c r="F540" s="123"/>
      <c r="G540" s="123"/>
      <c r="H540" s="75">
        <v>0.0</v>
      </c>
      <c r="I540" s="75">
        <v>50.0</v>
      </c>
      <c r="J540" s="124">
        <v>1.0</v>
      </c>
      <c r="K540" s="75">
        <v>50.0</v>
      </c>
      <c r="L540" s="125">
        <v>0.0</v>
      </c>
      <c r="M540" s="125">
        <v>0.0</v>
      </c>
      <c r="N540" s="75">
        <v>35.0</v>
      </c>
      <c r="O540" s="75"/>
      <c r="P540" s="123" t="s">
        <v>60</v>
      </c>
      <c r="Q540" s="126">
        <v>38286.0</v>
      </c>
      <c r="R540" s="123" t="s">
        <v>234</v>
      </c>
      <c r="S540" s="75">
        <v>2019.0</v>
      </c>
      <c r="T540" s="136">
        <v>0.238</v>
      </c>
      <c r="U540" s="128">
        <f t="shared" ref="U540:U545" si="132">Q540*T540</f>
        <v>9112.068</v>
      </c>
      <c r="V540" s="24">
        <f t="shared" si="124"/>
        <v>182.24136</v>
      </c>
      <c r="W540" s="3">
        <f t="shared" si="31"/>
        <v>0</v>
      </c>
      <c r="X540" s="3">
        <f t="shared" si="32"/>
        <v>0</v>
      </c>
      <c r="Y540" s="3">
        <f t="shared" si="33"/>
        <v>0</v>
      </c>
      <c r="Z540" s="25">
        <f t="shared" si="34"/>
        <v>0</v>
      </c>
      <c r="AA540" s="26">
        <f>VLOOKUP(S540,CPI!$A$2:$F$71,6,0)</f>
        <v>1.259947899</v>
      </c>
      <c r="AB540" s="27">
        <f t="shared" si="125"/>
        <v>11480.73093</v>
      </c>
      <c r="AC540" s="27">
        <f t="shared" si="126"/>
        <v>229.6146186</v>
      </c>
      <c r="AD540" s="123" t="s">
        <v>60</v>
      </c>
      <c r="AE540" s="129" t="s">
        <v>926</v>
      </c>
      <c r="AF540" s="178"/>
      <c r="AG540" s="172"/>
      <c r="AH540" s="172"/>
      <c r="AI540" s="172"/>
      <c r="AJ540" s="32"/>
      <c r="AK540" s="32"/>
      <c r="AL540" s="32"/>
      <c r="AM540" s="175"/>
      <c r="AN540" s="175"/>
      <c r="AO540" s="175"/>
      <c r="AP540" s="175"/>
    </row>
    <row r="541" ht="15.75" customHeight="1">
      <c r="A541" s="7"/>
      <c r="B541" s="114" t="s">
        <v>230</v>
      </c>
      <c r="C541" s="114" t="s">
        <v>930</v>
      </c>
      <c r="D541" s="115" t="s">
        <v>54</v>
      </c>
      <c r="E541" s="115" t="s">
        <v>348</v>
      </c>
      <c r="F541" s="116">
        <v>2015.0</v>
      </c>
      <c r="G541" s="116">
        <v>2019.0</v>
      </c>
      <c r="H541" s="116">
        <v>0.0</v>
      </c>
      <c r="I541" s="116">
        <v>25.2</v>
      </c>
      <c r="J541" s="117">
        <v>1.0</v>
      </c>
      <c r="K541" s="116">
        <v>25.2</v>
      </c>
      <c r="L541" s="114"/>
      <c r="M541" s="114"/>
      <c r="N541" s="116">
        <v>19.0</v>
      </c>
      <c r="O541" s="116">
        <v>117.0</v>
      </c>
      <c r="P541" s="114"/>
      <c r="Q541" s="140">
        <v>17620.0</v>
      </c>
      <c r="R541" s="114" t="s">
        <v>234</v>
      </c>
      <c r="S541" s="115">
        <v>2017.0</v>
      </c>
      <c r="T541" s="85">
        <v>0.239</v>
      </c>
      <c r="U541" s="118">
        <f t="shared" si="132"/>
        <v>4211.18</v>
      </c>
      <c r="V541" s="24">
        <f t="shared" si="124"/>
        <v>167.1103175</v>
      </c>
      <c r="W541" s="3">
        <f t="shared" si="31"/>
        <v>0</v>
      </c>
      <c r="X541" s="3">
        <f t="shared" si="32"/>
        <v>0</v>
      </c>
      <c r="Y541" s="3">
        <f t="shared" si="33"/>
        <v>0</v>
      </c>
      <c r="Z541" s="25">
        <f t="shared" si="34"/>
        <v>0</v>
      </c>
      <c r="AA541" s="26">
        <f>VLOOKUP(S541,CPI!$A$2:$F$71,6,0)</f>
        <v>1.314109416</v>
      </c>
      <c r="AB541" s="27">
        <f t="shared" si="125"/>
        <v>5533.95129</v>
      </c>
      <c r="AC541" s="27">
        <f t="shared" si="126"/>
        <v>219.6012417</v>
      </c>
      <c r="AD541" s="114"/>
      <c r="AE541" s="161" t="s">
        <v>931</v>
      </c>
      <c r="AF541" s="114"/>
      <c r="AG541" s="114"/>
      <c r="AH541" s="114"/>
      <c r="AI541" s="114"/>
      <c r="AJ541" s="206"/>
      <c r="AK541" s="206"/>
      <c r="AL541" s="206"/>
      <c r="AM541" s="54"/>
      <c r="AN541" s="54"/>
      <c r="AO541" s="54"/>
      <c r="AP541" s="54"/>
      <c r="AQ541" s="54"/>
    </row>
    <row r="542" ht="15.75" customHeight="1">
      <c r="A542" s="7"/>
      <c r="B542" s="114" t="s">
        <v>230</v>
      </c>
      <c r="C542" s="114" t="s">
        <v>930</v>
      </c>
      <c r="D542" s="16" t="s">
        <v>57</v>
      </c>
      <c r="E542" s="115" t="s">
        <v>232</v>
      </c>
      <c r="F542" s="116">
        <v>2011.0</v>
      </c>
      <c r="G542" s="116">
        <v>2020.0</v>
      </c>
      <c r="H542" s="116">
        <v>0.0</v>
      </c>
      <c r="I542" s="116">
        <v>31.5</v>
      </c>
      <c r="J542" s="117">
        <v>0.84</v>
      </c>
      <c r="K542" s="116">
        <v>26.36</v>
      </c>
      <c r="L542" s="114"/>
      <c r="M542" s="114"/>
      <c r="N542" s="116">
        <v>23.0</v>
      </c>
      <c r="O542" s="116">
        <v>117.0</v>
      </c>
      <c r="P542" s="114"/>
      <c r="Q542" s="140">
        <v>20390.0</v>
      </c>
      <c r="R542" s="114" t="s">
        <v>234</v>
      </c>
      <c r="S542" s="115">
        <v>2016.0</v>
      </c>
      <c r="T542" s="85">
        <v>0.251</v>
      </c>
      <c r="U542" s="118">
        <f t="shared" si="132"/>
        <v>5117.89</v>
      </c>
      <c r="V542" s="24">
        <f t="shared" si="124"/>
        <v>162.4726984</v>
      </c>
      <c r="W542" s="3">
        <f t="shared" si="31"/>
        <v>0</v>
      </c>
      <c r="X542" s="3">
        <f t="shared" si="32"/>
        <v>0</v>
      </c>
      <c r="Y542" s="3">
        <f t="shared" si="33"/>
        <v>0</v>
      </c>
      <c r="Z542" s="25">
        <f t="shared" si="34"/>
        <v>0</v>
      </c>
      <c r="AA542" s="26">
        <f>VLOOKUP(S542,CPI!$A$2:$F$71,6,0)</f>
        <v>1.342104605</v>
      </c>
      <c r="AB542" s="27">
        <f t="shared" si="125"/>
        <v>6868.743738</v>
      </c>
      <c r="AC542" s="27">
        <f t="shared" si="126"/>
        <v>218.0553568</v>
      </c>
      <c r="AD542" s="114"/>
      <c r="AE542" s="119" t="s">
        <v>931</v>
      </c>
      <c r="AF542" s="167" t="s">
        <v>932</v>
      </c>
      <c r="AG542" s="168"/>
      <c r="AH542" s="168"/>
      <c r="AI542" s="169"/>
      <c r="AJ542" s="166"/>
      <c r="AK542" s="166"/>
      <c r="AL542" s="166"/>
      <c r="AM542" s="31"/>
      <c r="AN542" s="31"/>
      <c r="AO542" s="31"/>
      <c r="AP542" s="31"/>
      <c r="AQ542" s="35"/>
    </row>
    <row r="543" ht="15.75" customHeight="1">
      <c r="A543" s="7"/>
      <c r="B543" s="114" t="s">
        <v>230</v>
      </c>
      <c r="C543" s="114" t="s">
        <v>930</v>
      </c>
      <c r="D543" s="115" t="s">
        <v>87</v>
      </c>
      <c r="E543" s="115" t="s">
        <v>331</v>
      </c>
      <c r="F543" s="116">
        <v>2011.0</v>
      </c>
      <c r="G543" s="116">
        <v>2020.0</v>
      </c>
      <c r="H543" s="116">
        <v>0.0</v>
      </c>
      <c r="I543" s="116">
        <v>18.6</v>
      </c>
      <c r="J543" s="114"/>
      <c r="K543" s="114"/>
      <c r="L543" s="114"/>
      <c r="M543" s="114"/>
      <c r="N543" s="116">
        <v>16.0</v>
      </c>
      <c r="O543" s="116">
        <v>117.0</v>
      </c>
      <c r="P543" s="114"/>
      <c r="Q543" s="140">
        <v>12360.0</v>
      </c>
      <c r="R543" s="114" t="s">
        <v>234</v>
      </c>
      <c r="S543" s="115">
        <v>2016.0</v>
      </c>
      <c r="T543" s="85">
        <v>0.251</v>
      </c>
      <c r="U543" s="118">
        <f t="shared" si="132"/>
        <v>3102.36</v>
      </c>
      <c r="V543" s="24">
        <f t="shared" si="124"/>
        <v>166.7935484</v>
      </c>
      <c r="W543" s="3">
        <f t="shared" si="31"/>
        <v>0</v>
      </c>
      <c r="X543" s="3">
        <f t="shared" si="32"/>
        <v>0</v>
      </c>
      <c r="Y543" s="3">
        <f t="shared" si="33"/>
        <v>0</v>
      </c>
      <c r="Z543" s="25">
        <f t="shared" si="34"/>
        <v>0</v>
      </c>
      <c r="AA543" s="26">
        <f>VLOOKUP(S543,CPI!$A$2:$F$71,6,0)</f>
        <v>1.342104605</v>
      </c>
      <c r="AB543" s="27">
        <f t="shared" si="125"/>
        <v>4163.691643</v>
      </c>
      <c r="AC543" s="27">
        <f t="shared" si="126"/>
        <v>223.8543894</v>
      </c>
      <c r="AD543" s="114"/>
      <c r="AE543" s="161" t="s">
        <v>931</v>
      </c>
      <c r="AF543" s="164"/>
      <c r="AG543" s="165"/>
      <c r="AH543" s="165"/>
      <c r="AI543" s="165"/>
      <c r="AJ543" s="166"/>
      <c r="AK543" s="166"/>
      <c r="AL543" s="166"/>
      <c r="AM543" s="31"/>
      <c r="AN543" s="31"/>
      <c r="AO543" s="31"/>
      <c r="AP543" s="31"/>
      <c r="AQ543" s="35"/>
    </row>
    <row r="544" ht="15.75" customHeight="1">
      <c r="A544" s="170">
        <v>7867.0</v>
      </c>
      <c r="B544" s="123" t="s">
        <v>230</v>
      </c>
      <c r="C544" s="123" t="s">
        <v>930</v>
      </c>
      <c r="D544" s="36" t="s">
        <v>54</v>
      </c>
      <c r="E544" s="123" t="s">
        <v>326</v>
      </c>
      <c r="F544" s="75">
        <v>2016.0</v>
      </c>
      <c r="G544" s="75">
        <v>2020.0</v>
      </c>
      <c r="H544" s="75">
        <v>0.0</v>
      </c>
      <c r="I544" s="75">
        <v>15.5</v>
      </c>
      <c r="J544" s="124">
        <v>1.0</v>
      </c>
      <c r="K544" s="75">
        <v>15.5</v>
      </c>
      <c r="L544" s="125">
        <v>0.0</v>
      </c>
      <c r="M544" s="125">
        <v>0.0</v>
      </c>
      <c r="N544" s="75">
        <v>9.0</v>
      </c>
      <c r="O544" s="75"/>
      <c r="P544" s="123" t="s">
        <v>60</v>
      </c>
      <c r="Q544" s="126">
        <v>12218.0</v>
      </c>
      <c r="R544" s="123" t="s">
        <v>234</v>
      </c>
      <c r="S544" s="75">
        <v>2016.0</v>
      </c>
      <c r="T544" s="136">
        <v>0.251</v>
      </c>
      <c r="U544" s="128">
        <f t="shared" si="132"/>
        <v>3066.718</v>
      </c>
      <c r="V544" s="24">
        <f t="shared" si="124"/>
        <v>197.8527742</v>
      </c>
      <c r="W544" s="3">
        <f t="shared" si="31"/>
        <v>0</v>
      </c>
      <c r="X544" s="3">
        <f t="shared" si="32"/>
        <v>0</v>
      </c>
      <c r="Y544" s="3">
        <f t="shared" si="33"/>
        <v>0</v>
      </c>
      <c r="Z544" s="25">
        <f t="shared" si="34"/>
        <v>0</v>
      </c>
      <c r="AA544" s="26">
        <f>VLOOKUP(S544,CPI!$A$2:$F$71,6,0)</f>
        <v>1.342104605</v>
      </c>
      <c r="AB544" s="27">
        <f t="shared" si="125"/>
        <v>4115.856351</v>
      </c>
      <c r="AC544" s="27">
        <f t="shared" si="126"/>
        <v>265.5391194</v>
      </c>
      <c r="AD544" s="123" t="s">
        <v>60</v>
      </c>
      <c r="AE544" s="129" t="s">
        <v>933</v>
      </c>
      <c r="AF544" s="178"/>
      <c r="AG544" s="172"/>
      <c r="AH544" s="172"/>
      <c r="AI544" s="172"/>
      <c r="AJ544" s="32"/>
      <c r="AK544" s="32"/>
      <c r="AL544" s="32"/>
      <c r="AM544" s="31"/>
      <c r="AN544" s="31"/>
      <c r="AO544" s="31"/>
      <c r="AP544" s="31"/>
      <c r="AQ544" s="35"/>
    </row>
    <row r="545" ht="15.75" customHeight="1">
      <c r="A545" s="170">
        <v>7970.0</v>
      </c>
      <c r="B545" s="123" t="s">
        <v>230</v>
      </c>
      <c r="C545" s="123" t="s">
        <v>930</v>
      </c>
      <c r="D545" s="36" t="s">
        <v>87</v>
      </c>
      <c r="E545" s="123" t="s">
        <v>357</v>
      </c>
      <c r="F545" s="75">
        <v>2016.0</v>
      </c>
      <c r="G545" s="75">
        <v>2020.0</v>
      </c>
      <c r="H545" s="75">
        <v>0.0</v>
      </c>
      <c r="I545" s="75">
        <v>22.6</v>
      </c>
      <c r="J545" s="124">
        <v>0.7433628319</v>
      </c>
      <c r="K545" s="75">
        <v>16.8</v>
      </c>
      <c r="L545" s="125">
        <v>0.0</v>
      </c>
      <c r="M545" s="125">
        <v>0.0</v>
      </c>
      <c r="N545" s="75">
        <v>13.0</v>
      </c>
      <c r="O545" s="75"/>
      <c r="P545" s="123" t="s">
        <v>60</v>
      </c>
      <c r="Q545" s="126">
        <v>15154.0</v>
      </c>
      <c r="R545" s="123" t="s">
        <v>234</v>
      </c>
      <c r="S545" s="75">
        <v>2016.0</v>
      </c>
      <c r="T545" s="136">
        <v>0.251</v>
      </c>
      <c r="U545" s="128">
        <f t="shared" si="132"/>
        <v>3803.654</v>
      </c>
      <c r="V545" s="24">
        <f t="shared" si="124"/>
        <v>168.3032743</v>
      </c>
      <c r="W545" s="3">
        <f t="shared" si="31"/>
        <v>0</v>
      </c>
      <c r="X545" s="3">
        <f t="shared" si="32"/>
        <v>0</v>
      </c>
      <c r="Y545" s="3">
        <f t="shared" si="33"/>
        <v>0</v>
      </c>
      <c r="Z545" s="25">
        <f t="shared" si="34"/>
        <v>0</v>
      </c>
      <c r="AA545" s="26">
        <f>VLOOKUP(S545,CPI!$A$2:$F$71,6,0)</f>
        <v>1.342104605</v>
      </c>
      <c r="AB545" s="27">
        <f t="shared" si="125"/>
        <v>5104.90155</v>
      </c>
      <c r="AC545" s="27">
        <f t="shared" si="126"/>
        <v>225.8805996</v>
      </c>
      <c r="AD545" s="123" t="s">
        <v>60</v>
      </c>
      <c r="AE545" s="129" t="s">
        <v>933</v>
      </c>
      <c r="AF545" s="178"/>
      <c r="AG545" s="172"/>
      <c r="AH545" s="172"/>
      <c r="AI545" s="172"/>
      <c r="AJ545" s="32"/>
      <c r="AK545" s="32"/>
      <c r="AL545" s="32"/>
      <c r="AM545" s="31"/>
      <c r="AN545" s="31"/>
      <c r="AO545" s="31"/>
      <c r="AP545" s="31"/>
      <c r="AQ545" s="35"/>
    </row>
    <row r="546" ht="15.75" customHeight="1">
      <c r="A546" s="38">
        <v>8073.0</v>
      </c>
      <c r="B546" s="130" t="s">
        <v>230</v>
      </c>
      <c r="C546" s="130" t="s">
        <v>930</v>
      </c>
      <c r="D546" s="36" t="s">
        <v>110</v>
      </c>
      <c r="E546" s="130" t="s">
        <v>110</v>
      </c>
      <c r="F546" s="130">
        <v>2017.0</v>
      </c>
      <c r="G546" s="130">
        <v>2022.0</v>
      </c>
      <c r="H546" s="130">
        <v>0.0</v>
      </c>
      <c r="I546" s="130">
        <v>69.6</v>
      </c>
      <c r="J546" s="131">
        <v>0.4482758621</v>
      </c>
      <c r="K546" s="130">
        <v>31.2</v>
      </c>
      <c r="L546" s="132">
        <v>0.0</v>
      </c>
      <c r="M546" s="132">
        <v>0.0</v>
      </c>
      <c r="N546" s="130">
        <v>18.0</v>
      </c>
      <c r="O546" s="138"/>
      <c r="P546" s="130" t="s">
        <v>60</v>
      </c>
      <c r="Q546" s="135">
        <v>36256.0</v>
      </c>
      <c r="R546" s="130" t="s">
        <v>234</v>
      </c>
      <c r="S546" s="130">
        <v>2016.0</v>
      </c>
      <c r="T546" s="136">
        <v>0.251</v>
      </c>
      <c r="U546" s="128">
        <f>T546*Q546</f>
        <v>9100.256</v>
      </c>
      <c r="V546" s="24">
        <f t="shared" si="124"/>
        <v>130.7508046</v>
      </c>
      <c r="W546" s="3">
        <f t="shared" si="31"/>
        <v>0</v>
      </c>
      <c r="X546" s="3">
        <f t="shared" si="32"/>
        <v>0</v>
      </c>
      <c r="Y546" s="3">
        <f t="shared" si="33"/>
        <v>0</v>
      </c>
      <c r="Z546" s="25">
        <f t="shared" si="34"/>
        <v>0</v>
      </c>
      <c r="AA546" s="26">
        <f>VLOOKUP(S546,CPI!$A$2:$F$71,6,0)</f>
        <v>1.342104605</v>
      </c>
      <c r="AB546" s="27">
        <f t="shared" si="125"/>
        <v>12213.49549</v>
      </c>
      <c r="AC546" s="27">
        <f t="shared" si="126"/>
        <v>175.481257</v>
      </c>
      <c r="AD546" s="130" t="s">
        <v>60</v>
      </c>
      <c r="AE546" s="137" t="s">
        <v>933</v>
      </c>
      <c r="AF546" s="178"/>
      <c r="AG546" s="172"/>
      <c r="AH546" s="172"/>
      <c r="AI546" s="172"/>
      <c r="AJ546" s="32"/>
      <c r="AK546" s="32"/>
      <c r="AL546" s="32"/>
      <c r="AM546" s="31"/>
      <c r="AN546" s="31"/>
      <c r="AO546" s="31"/>
      <c r="AP546" s="31"/>
      <c r="AQ546" s="35"/>
    </row>
    <row r="547" ht="15.75" customHeight="1">
      <c r="A547" s="170">
        <v>7843.0</v>
      </c>
      <c r="B547" s="123" t="s">
        <v>230</v>
      </c>
      <c r="C547" s="123" t="s">
        <v>930</v>
      </c>
      <c r="D547" s="123" t="s">
        <v>80</v>
      </c>
      <c r="E547" s="123" t="s">
        <v>80</v>
      </c>
      <c r="F547" s="75">
        <v>2017.0</v>
      </c>
      <c r="G547" s="75">
        <v>2022.0</v>
      </c>
      <c r="H547" s="75">
        <v>0.0</v>
      </c>
      <c r="I547" s="75">
        <v>44.5</v>
      </c>
      <c r="J547" s="124">
        <v>1.0</v>
      </c>
      <c r="K547" s="75">
        <v>44.5</v>
      </c>
      <c r="L547" s="125">
        <v>0.0</v>
      </c>
      <c r="M547" s="125">
        <v>0.0</v>
      </c>
      <c r="N547" s="75">
        <v>27.0</v>
      </c>
      <c r="O547" s="75"/>
      <c r="P547" s="123" t="s">
        <v>60</v>
      </c>
      <c r="Q547" s="126">
        <v>36464.0</v>
      </c>
      <c r="R547" s="123" t="s">
        <v>234</v>
      </c>
      <c r="S547" s="75">
        <v>2016.0</v>
      </c>
      <c r="T547" s="136">
        <v>0.251</v>
      </c>
      <c r="U547" s="128">
        <f t="shared" ref="U547:U606" si="133">Q547*T547</f>
        <v>9152.464</v>
      </c>
      <c r="V547" s="24">
        <f t="shared" si="124"/>
        <v>205.6733483</v>
      </c>
      <c r="W547" s="3">
        <f t="shared" si="31"/>
        <v>0</v>
      </c>
      <c r="X547" s="3">
        <f t="shared" si="32"/>
        <v>0</v>
      </c>
      <c r="Y547" s="3">
        <f t="shared" si="33"/>
        <v>0</v>
      </c>
      <c r="Z547" s="25">
        <f t="shared" si="34"/>
        <v>0</v>
      </c>
      <c r="AA547" s="26">
        <f>VLOOKUP(S547,CPI!$A$2:$F$71,6,0)</f>
        <v>1.342104605</v>
      </c>
      <c r="AB547" s="27">
        <f t="shared" si="125"/>
        <v>12283.56408</v>
      </c>
      <c r="AC547" s="27">
        <f t="shared" si="126"/>
        <v>276.035148</v>
      </c>
      <c r="AD547" s="123" t="s">
        <v>60</v>
      </c>
      <c r="AE547" s="129" t="s">
        <v>933</v>
      </c>
      <c r="AF547" s="178"/>
      <c r="AG547" s="172"/>
      <c r="AH547" s="172"/>
      <c r="AI547" s="172"/>
      <c r="AJ547" s="32"/>
      <c r="AK547" s="32"/>
      <c r="AL547" s="32"/>
      <c r="AM547" s="31"/>
      <c r="AN547" s="31"/>
      <c r="AO547" s="31"/>
      <c r="AP547" s="31"/>
      <c r="AQ547" s="35"/>
    </row>
    <row r="548" ht="15.75" customHeight="1">
      <c r="A548" s="7"/>
      <c r="B548" s="114" t="s">
        <v>230</v>
      </c>
      <c r="C548" s="114" t="s">
        <v>930</v>
      </c>
      <c r="D548" s="36" t="s">
        <v>934</v>
      </c>
      <c r="E548" s="114" t="s">
        <v>935</v>
      </c>
      <c r="F548" s="116">
        <v>2020.0</v>
      </c>
      <c r="G548" s="114"/>
      <c r="H548" s="116">
        <v>0.0</v>
      </c>
      <c r="I548" s="116">
        <v>45.8</v>
      </c>
      <c r="J548" s="114"/>
      <c r="K548" s="114"/>
      <c r="L548" s="114"/>
      <c r="M548" s="114"/>
      <c r="N548" s="116">
        <v>9.0</v>
      </c>
      <c r="O548" s="116"/>
      <c r="P548" s="114" t="s">
        <v>36</v>
      </c>
      <c r="Q548" s="140">
        <v>21890.0</v>
      </c>
      <c r="R548" s="114" t="s">
        <v>234</v>
      </c>
      <c r="S548" s="115">
        <v>2020.0</v>
      </c>
      <c r="T548" s="136">
        <v>0.239</v>
      </c>
      <c r="U548" s="118">
        <f t="shared" si="133"/>
        <v>5231.71</v>
      </c>
      <c r="V548" s="24">
        <f t="shared" si="124"/>
        <v>114.229476</v>
      </c>
      <c r="W548" s="3">
        <f t="shared" si="31"/>
        <v>0</v>
      </c>
      <c r="X548" s="3">
        <f t="shared" si="32"/>
        <v>0</v>
      </c>
      <c r="Y548" s="3">
        <f t="shared" si="33"/>
        <v>0</v>
      </c>
      <c r="Z548" s="25">
        <f t="shared" si="34"/>
        <v>0</v>
      </c>
      <c r="AA548" s="26">
        <f>VLOOKUP(S548,CPI!$A$2:$F$71,6,0)</f>
        <v>1.244593545</v>
      </c>
      <c r="AB548" s="27">
        <f t="shared" si="125"/>
        <v>6511.352496</v>
      </c>
      <c r="AC548" s="27">
        <f t="shared" si="126"/>
        <v>142.1692685</v>
      </c>
      <c r="AD548" s="114" t="s">
        <v>36</v>
      </c>
      <c r="AE548" s="224" t="s">
        <v>936</v>
      </c>
      <c r="AF548" s="114"/>
      <c r="AG548" s="114"/>
      <c r="AH548" s="114"/>
      <c r="AI548" s="114"/>
      <c r="AJ548" s="206"/>
      <c r="AK548" s="206"/>
      <c r="AL548" s="206"/>
      <c r="AM548" s="54"/>
      <c r="AN548" s="54"/>
      <c r="AO548" s="54"/>
      <c r="AP548" s="54"/>
      <c r="AQ548" s="54"/>
    </row>
    <row r="549" ht="15.75" customHeight="1">
      <c r="A549" s="7"/>
      <c r="B549" s="114" t="s">
        <v>230</v>
      </c>
      <c r="C549" s="114" t="s">
        <v>930</v>
      </c>
      <c r="D549" s="114" t="s">
        <v>253</v>
      </c>
      <c r="E549" s="114" t="s">
        <v>253</v>
      </c>
      <c r="F549" s="116">
        <v>2021.0</v>
      </c>
      <c r="G549" s="114"/>
      <c r="H549" s="116">
        <v>0.0</v>
      </c>
      <c r="I549" s="116">
        <v>44.2</v>
      </c>
      <c r="J549" s="117">
        <v>1.0</v>
      </c>
      <c r="K549" s="116">
        <v>44.2</v>
      </c>
      <c r="L549" s="114"/>
      <c r="M549" s="114"/>
      <c r="N549" s="116">
        <v>24.0</v>
      </c>
      <c r="O549" s="116">
        <v>117.0</v>
      </c>
      <c r="P549" s="114"/>
      <c r="Q549" s="140">
        <v>40537.22</v>
      </c>
      <c r="R549" s="114" t="s">
        <v>234</v>
      </c>
      <c r="S549" s="115">
        <v>2021.0</v>
      </c>
      <c r="T549" s="136">
        <v>0.239000000000002</v>
      </c>
      <c r="U549" s="118">
        <f t="shared" si="133"/>
        <v>9688.39558</v>
      </c>
      <c r="V549" s="24">
        <f t="shared" si="124"/>
        <v>219.1944701</v>
      </c>
      <c r="W549" s="3">
        <f t="shared" si="31"/>
        <v>0</v>
      </c>
      <c r="X549" s="3">
        <f t="shared" si="32"/>
        <v>0</v>
      </c>
      <c r="Y549" s="3">
        <f t="shared" si="33"/>
        <v>0</v>
      </c>
      <c r="Z549" s="25">
        <f t="shared" si="34"/>
        <v>0</v>
      </c>
      <c r="AA549" s="26">
        <f>VLOOKUP(S549,CPI!$A$2:$F$71,6,0)</f>
        <v>1.188745987</v>
      </c>
      <c r="AB549" s="27">
        <f t="shared" si="125"/>
        <v>11517.04136</v>
      </c>
      <c r="AC549" s="27">
        <f t="shared" si="126"/>
        <v>260.5665467</v>
      </c>
      <c r="AD549" s="114"/>
      <c r="AE549" s="119" t="s">
        <v>937</v>
      </c>
      <c r="AF549" s="164"/>
      <c r="AG549" s="165"/>
      <c r="AH549" s="165"/>
      <c r="AI549" s="165"/>
      <c r="AJ549" s="166"/>
      <c r="AK549" s="166"/>
      <c r="AL549" s="166"/>
      <c r="AM549" s="31"/>
      <c r="AN549" s="31"/>
      <c r="AO549" s="31"/>
      <c r="AP549" s="31"/>
      <c r="AQ549" s="35"/>
    </row>
    <row r="550" ht="15.75" customHeight="1">
      <c r="A550" s="7"/>
      <c r="B550" s="114" t="s">
        <v>230</v>
      </c>
      <c r="C550" s="114" t="s">
        <v>930</v>
      </c>
      <c r="D550" s="36" t="s">
        <v>934</v>
      </c>
      <c r="E550" s="114" t="s">
        <v>938</v>
      </c>
      <c r="F550" s="116">
        <v>2021.0</v>
      </c>
      <c r="G550" s="114"/>
      <c r="H550" s="116">
        <v>1.0</v>
      </c>
      <c r="I550" s="116">
        <v>51.2</v>
      </c>
      <c r="J550" s="114"/>
      <c r="K550" s="114"/>
      <c r="L550" s="114"/>
      <c r="M550" s="114"/>
      <c r="N550" s="116">
        <v>4.0</v>
      </c>
      <c r="O550" s="116"/>
      <c r="P550" s="114"/>
      <c r="Q550" s="140">
        <v>30320.0</v>
      </c>
      <c r="R550" s="114" t="s">
        <v>234</v>
      </c>
      <c r="S550" s="115">
        <v>2021.0</v>
      </c>
      <c r="T550" s="136">
        <v>0.239000000000002</v>
      </c>
      <c r="U550" s="118">
        <f t="shared" si="133"/>
        <v>7246.48</v>
      </c>
      <c r="V550" s="24">
        <f t="shared" si="124"/>
        <v>141.5328125</v>
      </c>
      <c r="W550" s="3">
        <f t="shared" si="31"/>
        <v>0</v>
      </c>
      <c r="X550" s="3">
        <f t="shared" si="32"/>
        <v>0</v>
      </c>
      <c r="Y550" s="3">
        <f t="shared" si="33"/>
        <v>0</v>
      </c>
      <c r="Z550" s="25">
        <f t="shared" si="34"/>
        <v>0</v>
      </c>
      <c r="AA550" s="26">
        <f>VLOOKUP(S550,CPI!$A$2:$F$71,6,0)</f>
        <v>1.188745987</v>
      </c>
      <c r="AB550" s="27">
        <f t="shared" si="125"/>
        <v>8614.224017</v>
      </c>
      <c r="AC550" s="27">
        <f t="shared" si="126"/>
        <v>168.2465628</v>
      </c>
      <c r="AD550" s="114"/>
      <c r="AE550" s="119" t="s">
        <v>936</v>
      </c>
      <c r="AF550" s="114"/>
      <c r="AG550" s="114"/>
      <c r="AH550" s="114"/>
      <c r="AI550" s="114"/>
      <c r="AJ550" s="206"/>
      <c r="AK550" s="206"/>
      <c r="AL550" s="206"/>
      <c r="AM550" s="54"/>
      <c r="AN550" s="54"/>
      <c r="AO550" s="54"/>
      <c r="AP550" s="54"/>
      <c r="AQ550" s="54"/>
    </row>
    <row r="551" ht="15.75" customHeight="1">
      <c r="A551" s="7"/>
      <c r="B551" s="114" t="s">
        <v>230</v>
      </c>
      <c r="C551" s="114" t="s">
        <v>930</v>
      </c>
      <c r="D551" s="36" t="s">
        <v>934</v>
      </c>
      <c r="E551" s="114" t="s">
        <v>939</v>
      </c>
      <c r="F551" s="116">
        <v>2021.0</v>
      </c>
      <c r="G551" s="114"/>
      <c r="H551" s="116">
        <v>1.0</v>
      </c>
      <c r="I551" s="116">
        <v>70.2</v>
      </c>
      <c r="J551" s="114"/>
      <c r="K551" s="114"/>
      <c r="L551" s="114"/>
      <c r="M551" s="114"/>
      <c r="N551" s="116">
        <v>11.0</v>
      </c>
      <c r="O551" s="116"/>
      <c r="P551" s="114"/>
      <c r="Q551" s="140">
        <v>28600.0</v>
      </c>
      <c r="R551" s="114" t="s">
        <v>234</v>
      </c>
      <c r="S551" s="115">
        <v>2021.0</v>
      </c>
      <c r="T551" s="136">
        <v>0.239000000000002</v>
      </c>
      <c r="U551" s="118">
        <f t="shared" si="133"/>
        <v>6835.4</v>
      </c>
      <c r="V551" s="24">
        <f t="shared" si="124"/>
        <v>97.37037037</v>
      </c>
      <c r="W551" s="3">
        <f t="shared" si="31"/>
        <v>0</v>
      </c>
      <c r="X551" s="3">
        <f t="shared" si="32"/>
        <v>0</v>
      </c>
      <c r="Y551" s="3">
        <f t="shared" si="33"/>
        <v>0</v>
      </c>
      <c r="Z551" s="25">
        <f t="shared" si="34"/>
        <v>0</v>
      </c>
      <c r="AA551" s="26">
        <f>VLOOKUP(S551,CPI!$A$2:$F$71,6,0)</f>
        <v>1.188745987</v>
      </c>
      <c r="AB551" s="27">
        <f t="shared" si="125"/>
        <v>8125.554317</v>
      </c>
      <c r="AC551" s="27">
        <f t="shared" si="126"/>
        <v>115.748637</v>
      </c>
      <c r="AD551" s="114"/>
      <c r="AE551" s="119" t="s">
        <v>936</v>
      </c>
      <c r="AF551" s="164"/>
      <c r="AG551" s="165"/>
      <c r="AH551" s="165"/>
      <c r="AI551" s="165"/>
      <c r="AJ551" s="166"/>
      <c r="AK551" s="166"/>
      <c r="AL551" s="166"/>
      <c r="AM551" s="32"/>
      <c r="AN551" s="32"/>
      <c r="AO551" s="32"/>
      <c r="AP551" s="32"/>
      <c r="AQ551" s="33"/>
    </row>
    <row r="552" ht="15.75" customHeight="1">
      <c r="A552" s="7"/>
      <c r="B552" s="114" t="s">
        <v>230</v>
      </c>
      <c r="C552" s="114" t="s">
        <v>930</v>
      </c>
      <c r="D552" s="115" t="s">
        <v>110</v>
      </c>
      <c r="E552" s="114" t="s">
        <v>940</v>
      </c>
      <c r="F552" s="116">
        <v>2022.0</v>
      </c>
      <c r="G552" s="114"/>
      <c r="H552" s="116">
        <v>0.0</v>
      </c>
      <c r="I552" s="116">
        <v>44.78</v>
      </c>
      <c r="J552" s="117">
        <v>0.5</v>
      </c>
      <c r="K552" s="116">
        <v>22.48</v>
      </c>
      <c r="L552" s="114"/>
      <c r="M552" s="114"/>
      <c r="N552" s="116">
        <v>10.0</v>
      </c>
      <c r="O552" s="116">
        <v>117.0</v>
      </c>
      <c r="P552" s="114"/>
      <c r="Q552" s="140">
        <v>22978.0</v>
      </c>
      <c r="R552" s="114" t="s">
        <v>234</v>
      </c>
      <c r="S552" s="115">
        <v>2021.0</v>
      </c>
      <c r="T552" s="136">
        <v>0.239000000000002</v>
      </c>
      <c r="U552" s="118">
        <f t="shared" si="133"/>
        <v>5491.742</v>
      </c>
      <c r="V552" s="24">
        <f t="shared" si="124"/>
        <v>122.638276</v>
      </c>
      <c r="W552" s="3">
        <f t="shared" si="31"/>
        <v>0</v>
      </c>
      <c r="X552" s="3">
        <f t="shared" si="32"/>
        <v>0</v>
      </c>
      <c r="Y552" s="3">
        <f t="shared" si="33"/>
        <v>0</v>
      </c>
      <c r="Z552" s="25">
        <f t="shared" si="34"/>
        <v>0</v>
      </c>
      <c r="AA552" s="26">
        <f>VLOOKUP(S552,CPI!$A$2:$F$71,6,0)</f>
        <v>1.188745987</v>
      </c>
      <c r="AB552" s="27">
        <f t="shared" si="125"/>
        <v>6528.286262</v>
      </c>
      <c r="AC552" s="27">
        <f t="shared" si="126"/>
        <v>145.7857584</v>
      </c>
      <c r="AD552" s="114"/>
      <c r="AE552" s="119" t="s">
        <v>941</v>
      </c>
      <c r="AF552" s="164"/>
      <c r="AG552" s="165"/>
      <c r="AH552" s="165"/>
      <c r="AI552" s="165"/>
      <c r="AJ552" s="166"/>
      <c r="AK552" s="166"/>
      <c r="AL552" s="166"/>
      <c r="AM552" s="31"/>
      <c r="AN552" s="31"/>
      <c r="AO552" s="31"/>
      <c r="AP552" s="31"/>
      <c r="AQ552" s="35"/>
    </row>
    <row r="553" ht="15.75" customHeight="1">
      <c r="A553" s="7"/>
      <c r="B553" s="114" t="s">
        <v>230</v>
      </c>
      <c r="C553" s="114" t="s">
        <v>942</v>
      </c>
      <c r="D553" s="114" t="s">
        <v>57</v>
      </c>
      <c r="E553" s="114" t="s">
        <v>57</v>
      </c>
      <c r="F553" s="116">
        <v>2014.0</v>
      </c>
      <c r="G553" s="116">
        <v>2019.0</v>
      </c>
      <c r="H553" s="116">
        <v>0.0</v>
      </c>
      <c r="I553" s="116">
        <v>21.967</v>
      </c>
      <c r="J553" s="117">
        <v>0.96</v>
      </c>
      <c r="K553" s="116">
        <v>20.996</v>
      </c>
      <c r="L553" s="114"/>
      <c r="M553" s="114"/>
      <c r="N553" s="116">
        <v>18.0</v>
      </c>
      <c r="O553" s="116">
        <v>117.0</v>
      </c>
      <c r="P553" s="114" t="s">
        <v>42</v>
      </c>
      <c r="Q553" s="140">
        <v>16278.0</v>
      </c>
      <c r="R553" s="114" t="s">
        <v>234</v>
      </c>
      <c r="S553" s="115">
        <v>2017.0</v>
      </c>
      <c r="T553" s="85">
        <v>0.239</v>
      </c>
      <c r="U553" s="118">
        <f t="shared" si="133"/>
        <v>3890.442</v>
      </c>
      <c r="V553" s="24">
        <f t="shared" si="124"/>
        <v>177.1039286</v>
      </c>
      <c r="W553" s="3">
        <f t="shared" si="31"/>
        <v>0</v>
      </c>
      <c r="X553" s="3">
        <f t="shared" si="32"/>
        <v>0</v>
      </c>
      <c r="Y553" s="3">
        <f t="shared" si="33"/>
        <v>0</v>
      </c>
      <c r="Z553" s="25">
        <f t="shared" si="34"/>
        <v>0</v>
      </c>
      <c r="AA553" s="26">
        <f>VLOOKUP(S553,CPI!$A$2:$F$71,6,0)</f>
        <v>1.314109416</v>
      </c>
      <c r="AB553" s="27">
        <f t="shared" si="125"/>
        <v>5112.466464</v>
      </c>
      <c r="AC553" s="27">
        <f t="shared" si="126"/>
        <v>232.7339402</v>
      </c>
      <c r="AD553" s="114" t="s">
        <v>36</v>
      </c>
      <c r="AE553" s="119" t="s">
        <v>943</v>
      </c>
      <c r="AF553" s="167" t="s">
        <v>944</v>
      </c>
      <c r="AG553" s="168"/>
      <c r="AH553" s="168"/>
      <c r="AI553" s="169"/>
      <c r="AJ553" s="166"/>
      <c r="AK553" s="166"/>
      <c r="AL553" s="166"/>
      <c r="AM553" s="32"/>
      <c r="AN553" s="32"/>
      <c r="AO553" s="32"/>
      <c r="AP553" s="32"/>
      <c r="AQ553" s="33"/>
    </row>
    <row r="554" ht="15.75" customHeight="1">
      <c r="A554" s="7"/>
      <c r="B554" s="114" t="s">
        <v>230</v>
      </c>
      <c r="C554" s="114" t="s">
        <v>942</v>
      </c>
      <c r="D554" s="114" t="s">
        <v>945</v>
      </c>
      <c r="E554" s="114" t="s">
        <v>945</v>
      </c>
      <c r="F554" s="116">
        <v>2013.0</v>
      </c>
      <c r="G554" s="116">
        <v>2020.0</v>
      </c>
      <c r="H554" s="116">
        <v>0.0</v>
      </c>
      <c r="I554" s="116">
        <v>67.0</v>
      </c>
      <c r="J554" s="117">
        <v>0.9</v>
      </c>
      <c r="K554" s="116">
        <v>60.6</v>
      </c>
      <c r="L554" s="114"/>
      <c r="M554" s="114"/>
      <c r="N554" s="114"/>
      <c r="O554" s="116">
        <v>117.0</v>
      </c>
      <c r="P554" s="114" t="s">
        <v>42</v>
      </c>
      <c r="Q554" s="140">
        <v>44328.0</v>
      </c>
      <c r="R554" s="114" t="s">
        <v>234</v>
      </c>
      <c r="S554" s="115">
        <v>2017.0</v>
      </c>
      <c r="T554" s="85">
        <v>0.239</v>
      </c>
      <c r="U554" s="118">
        <f t="shared" si="133"/>
        <v>10594.392</v>
      </c>
      <c r="V554" s="24">
        <f t="shared" si="124"/>
        <v>158.1252537</v>
      </c>
      <c r="W554" s="3">
        <f t="shared" si="31"/>
        <v>0</v>
      </c>
      <c r="X554" s="3">
        <f t="shared" si="32"/>
        <v>0</v>
      </c>
      <c r="Y554" s="3">
        <f t="shared" si="33"/>
        <v>0</v>
      </c>
      <c r="Z554" s="25">
        <f t="shared" si="34"/>
        <v>0</v>
      </c>
      <c r="AA554" s="26">
        <f>VLOOKUP(S554,CPI!$A$2:$F$71,6,0)</f>
        <v>1.314109416</v>
      </c>
      <c r="AB554" s="27">
        <f t="shared" si="125"/>
        <v>13922.19028</v>
      </c>
      <c r="AC554" s="27">
        <f t="shared" si="126"/>
        <v>207.7938848</v>
      </c>
      <c r="AD554" s="114" t="s">
        <v>42</v>
      </c>
      <c r="AE554" s="119" t="s">
        <v>946</v>
      </c>
      <c r="AF554" s="167" t="s">
        <v>947</v>
      </c>
      <c r="AG554" s="168"/>
      <c r="AH554" s="168"/>
      <c r="AI554" s="169"/>
      <c r="AJ554" s="166"/>
      <c r="AK554" s="166"/>
      <c r="AL554" s="166"/>
      <c r="AM554" s="31"/>
      <c r="AN554" s="31"/>
      <c r="AO554" s="31"/>
      <c r="AP554" s="31"/>
      <c r="AQ554" s="35"/>
    </row>
    <row r="555" ht="15.75" customHeight="1">
      <c r="A555" s="7"/>
      <c r="B555" s="114" t="s">
        <v>230</v>
      </c>
      <c r="C555" s="114" t="s">
        <v>942</v>
      </c>
      <c r="D555" s="114" t="s">
        <v>54</v>
      </c>
      <c r="E555" s="114" t="s">
        <v>54</v>
      </c>
      <c r="F555" s="116">
        <v>2020.0</v>
      </c>
      <c r="G555" s="114"/>
      <c r="H555" s="116">
        <v>0.0</v>
      </c>
      <c r="I555" s="116">
        <v>24.15</v>
      </c>
      <c r="J555" s="117">
        <v>1.0</v>
      </c>
      <c r="K555" s="116">
        <v>24.15</v>
      </c>
      <c r="L555" s="114"/>
      <c r="M555" s="114"/>
      <c r="N555" s="116">
        <v>20.0</v>
      </c>
      <c r="O555" s="116">
        <v>117.0</v>
      </c>
      <c r="P555" s="114" t="s">
        <v>36</v>
      </c>
      <c r="Q555" s="140">
        <v>16957.0</v>
      </c>
      <c r="R555" s="114" t="s">
        <v>234</v>
      </c>
      <c r="S555" s="115">
        <v>2020.0</v>
      </c>
      <c r="T555" s="136">
        <v>0.239</v>
      </c>
      <c r="U555" s="118">
        <f t="shared" si="133"/>
        <v>4052.723</v>
      </c>
      <c r="V555" s="24">
        <f t="shared" si="124"/>
        <v>167.814617</v>
      </c>
      <c r="W555" s="3">
        <f t="shared" si="31"/>
        <v>0</v>
      </c>
      <c r="X555" s="3">
        <f t="shared" si="32"/>
        <v>0</v>
      </c>
      <c r="Y555" s="3">
        <f t="shared" si="33"/>
        <v>0</v>
      </c>
      <c r="Z555" s="25">
        <f t="shared" si="34"/>
        <v>0</v>
      </c>
      <c r="AA555" s="26">
        <f>VLOOKUP(S555,CPI!$A$2:$F$71,6,0)</f>
        <v>1.244593545</v>
      </c>
      <c r="AB555" s="27">
        <f t="shared" si="125"/>
        <v>5043.992886</v>
      </c>
      <c r="AC555" s="27">
        <f t="shared" si="126"/>
        <v>208.8609891</v>
      </c>
      <c r="AD555" s="114" t="s">
        <v>36</v>
      </c>
      <c r="AE555" s="119" t="s">
        <v>948</v>
      </c>
      <c r="AF555" s="164"/>
      <c r="AG555" s="165"/>
      <c r="AH555" s="165"/>
      <c r="AI555" s="165"/>
      <c r="AJ555" s="166"/>
      <c r="AK555" s="166"/>
      <c r="AL555" s="166"/>
      <c r="AM555" s="31"/>
      <c r="AN555" s="31"/>
      <c r="AO555" s="31"/>
      <c r="AP555" s="31"/>
      <c r="AQ555" s="35"/>
    </row>
    <row r="556" ht="15.75" customHeight="1">
      <c r="A556" s="7"/>
      <c r="B556" s="114" t="s">
        <v>230</v>
      </c>
      <c r="C556" s="114" t="s">
        <v>942</v>
      </c>
      <c r="D556" s="114" t="s">
        <v>87</v>
      </c>
      <c r="E556" s="114" t="s">
        <v>87</v>
      </c>
      <c r="F556" s="116">
        <v>2021.0</v>
      </c>
      <c r="G556" s="114"/>
      <c r="H556" s="116">
        <v>0.0</v>
      </c>
      <c r="I556" s="116">
        <v>18.3</v>
      </c>
      <c r="J556" s="117">
        <v>1.0</v>
      </c>
      <c r="K556" s="116">
        <v>18.3</v>
      </c>
      <c r="L556" s="114"/>
      <c r="M556" s="114"/>
      <c r="N556" s="116">
        <v>16.0</v>
      </c>
      <c r="O556" s="116">
        <v>117.0</v>
      </c>
      <c r="P556" s="114" t="s">
        <v>36</v>
      </c>
      <c r="Q556" s="140">
        <v>13526.0</v>
      </c>
      <c r="R556" s="114" t="s">
        <v>234</v>
      </c>
      <c r="S556" s="115">
        <v>2021.0</v>
      </c>
      <c r="T556" s="136">
        <v>0.239000000000001</v>
      </c>
      <c r="U556" s="118">
        <f t="shared" si="133"/>
        <v>3232.714</v>
      </c>
      <c r="V556" s="24">
        <f t="shared" si="124"/>
        <v>176.6510383</v>
      </c>
      <c r="W556" s="3">
        <f t="shared" si="31"/>
        <v>0</v>
      </c>
      <c r="X556" s="3">
        <f t="shared" si="32"/>
        <v>0</v>
      </c>
      <c r="Y556" s="3">
        <f t="shared" si="33"/>
        <v>0</v>
      </c>
      <c r="Z556" s="25">
        <f t="shared" si="34"/>
        <v>0</v>
      </c>
      <c r="AA556" s="26">
        <f>VLOOKUP(S556,CPI!$A$2:$F$71,6,0)</f>
        <v>1.188745987</v>
      </c>
      <c r="AB556" s="27">
        <f t="shared" si="125"/>
        <v>3842.875793</v>
      </c>
      <c r="AC556" s="27">
        <f t="shared" si="126"/>
        <v>209.9932128</v>
      </c>
      <c r="AD556" s="114" t="s">
        <v>36</v>
      </c>
      <c r="AE556" s="119" t="s">
        <v>949</v>
      </c>
      <c r="AF556" s="114"/>
      <c r="AG556" s="114"/>
      <c r="AH556" s="114"/>
      <c r="AI556" s="114"/>
      <c r="AJ556" s="206"/>
      <c r="AK556" s="206"/>
      <c r="AL556" s="206"/>
      <c r="AM556" s="54"/>
      <c r="AN556" s="54"/>
      <c r="AO556" s="54"/>
      <c r="AP556" s="54"/>
      <c r="AQ556" s="54"/>
    </row>
    <row r="557" ht="15.75" customHeight="1">
      <c r="A557" s="38">
        <v>7699.0</v>
      </c>
      <c r="B557" s="72" t="s">
        <v>230</v>
      </c>
      <c r="C557" s="72" t="s">
        <v>942</v>
      </c>
      <c r="D557" s="115" t="s">
        <v>110</v>
      </c>
      <c r="E557" s="115" t="s">
        <v>332</v>
      </c>
      <c r="F557" s="69">
        <v>2021.0</v>
      </c>
      <c r="G557" s="72"/>
      <c r="H557" s="69">
        <v>0.0</v>
      </c>
      <c r="I557" s="69">
        <v>26.2</v>
      </c>
      <c r="J557" s="117">
        <v>1.0</v>
      </c>
      <c r="K557" s="69">
        <v>26.2</v>
      </c>
      <c r="L557" s="72"/>
      <c r="M557" s="72"/>
      <c r="N557" s="69">
        <v>19.0</v>
      </c>
      <c r="O557" s="69">
        <v>117.0</v>
      </c>
      <c r="P557" s="72"/>
      <c r="Q557" s="140">
        <v>18470.0</v>
      </c>
      <c r="R557" s="72" t="s">
        <v>234</v>
      </c>
      <c r="S557" s="115">
        <v>2021.0</v>
      </c>
      <c r="T557" s="136">
        <v>0.239</v>
      </c>
      <c r="U557" s="118">
        <f t="shared" si="133"/>
        <v>4414.33</v>
      </c>
      <c r="V557" s="24">
        <f t="shared" si="124"/>
        <v>168.4858779</v>
      </c>
      <c r="W557" s="3">
        <f t="shared" si="31"/>
        <v>0</v>
      </c>
      <c r="X557" s="3">
        <f t="shared" si="32"/>
        <v>0</v>
      </c>
      <c r="Y557" s="3">
        <f t="shared" si="33"/>
        <v>0</v>
      </c>
      <c r="Z557" s="25">
        <f t="shared" si="34"/>
        <v>0</v>
      </c>
      <c r="AA557" s="26">
        <f>VLOOKUP(S557,CPI!$A$2:$F$71,6,0)</f>
        <v>1.188745987</v>
      </c>
      <c r="AB557" s="27">
        <f t="shared" si="125"/>
        <v>5247.517071</v>
      </c>
      <c r="AC557" s="27">
        <f t="shared" si="126"/>
        <v>200.2869111</v>
      </c>
      <c r="AD557" s="72" t="s">
        <v>36</v>
      </c>
      <c r="AE557" s="79" t="s">
        <v>950</v>
      </c>
      <c r="AF557" s="186"/>
      <c r="AG557" s="187"/>
      <c r="AH557" s="231"/>
      <c r="AI557" s="187"/>
      <c r="AJ557" s="81"/>
      <c r="AK557" s="81"/>
      <c r="AL557" s="81"/>
      <c r="AM557" s="32"/>
      <c r="AN557" s="32"/>
      <c r="AO557" s="32"/>
      <c r="AP557" s="32"/>
      <c r="AQ557" s="33"/>
    </row>
    <row r="558" ht="15.75" customHeight="1">
      <c r="A558" s="38">
        <v>7705.0</v>
      </c>
      <c r="B558" s="72" t="s">
        <v>230</v>
      </c>
      <c r="C558" s="72" t="s">
        <v>942</v>
      </c>
      <c r="D558" s="115" t="s">
        <v>80</v>
      </c>
      <c r="E558" s="115" t="s">
        <v>255</v>
      </c>
      <c r="F558" s="69">
        <v>2021.0</v>
      </c>
      <c r="G558" s="72"/>
      <c r="H558" s="69">
        <v>0.0</v>
      </c>
      <c r="I558" s="69">
        <v>22.912</v>
      </c>
      <c r="J558" s="117">
        <v>1.0</v>
      </c>
      <c r="K558" s="69">
        <v>22.912</v>
      </c>
      <c r="L558" s="72"/>
      <c r="M558" s="72"/>
      <c r="N558" s="69">
        <v>16.0</v>
      </c>
      <c r="O558" s="69">
        <v>117.0</v>
      </c>
      <c r="P558" s="72" t="s">
        <v>36</v>
      </c>
      <c r="Q558" s="140">
        <v>19157.0</v>
      </c>
      <c r="R558" s="72" t="s">
        <v>234</v>
      </c>
      <c r="S558" s="115">
        <v>2021.0</v>
      </c>
      <c r="T558" s="136">
        <v>0.239</v>
      </c>
      <c r="U558" s="118">
        <f t="shared" si="133"/>
        <v>4578.523</v>
      </c>
      <c r="V558" s="24">
        <f t="shared" si="124"/>
        <v>199.8307874</v>
      </c>
      <c r="W558" s="3">
        <f t="shared" si="31"/>
        <v>0</v>
      </c>
      <c r="X558" s="3">
        <f t="shared" si="32"/>
        <v>0</v>
      </c>
      <c r="Y558" s="3">
        <f t="shared" si="33"/>
        <v>0</v>
      </c>
      <c r="Z558" s="25">
        <f t="shared" si="34"/>
        <v>0</v>
      </c>
      <c r="AA558" s="26">
        <f>VLOOKUP(S558,CPI!$A$2:$F$71,6,0)</f>
        <v>1.188745987</v>
      </c>
      <c r="AB558" s="27">
        <f t="shared" si="125"/>
        <v>5442.700841</v>
      </c>
      <c r="AC558" s="27">
        <f t="shared" si="126"/>
        <v>237.5480465</v>
      </c>
      <c r="AD558" s="72" t="s">
        <v>36</v>
      </c>
      <c r="AE558" s="79" t="s">
        <v>951</v>
      </c>
      <c r="AF558" s="72"/>
      <c r="AG558" s="72"/>
      <c r="AH558" s="72"/>
      <c r="AI558" s="72"/>
      <c r="AJ558" s="54"/>
      <c r="AK558" s="54"/>
      <c r="AL558" s="54"/>
      <c r="AM558" s="54"/>
      <c r="AN558" s="54"/>
      <c r="AO558" s="54"/>
      <c r="AP558" s="54"/>
      <c r="AQ558" s="54"/>
    </row>
    <row r="559" ht="15.75" customHeight="1">
      <c r="A559" s="38">
        <v>7698.0</v>
      </c>
      <c r="B559" s="130" t="s">
        <v>230</v>
      </c>
      <c r="C559" s="130" t="s">
        <v>942</v>
      </c>
      <c r="D559" s="114" t="s">
        <v>87</v>
      </c>
      <c r="E559" s="130" t="s">
        <v>357</v>
      </c>
      <c r="F559" s="130" t="s">
        <v>952</v>
      </c>
      <c r="G559" s="130"/>
      <c r="H559" s="130">
        <v>0.0</v>
      </c>
      <c r="I559" s="130">
        <v>6.5</v>
      </c>
      <c r="J559" s="131">
        <v>1.0</v>
      </c>
      <c r="K559" s="130">
        <v>6.5</v>
      </c>
      <c r="L559" s="132">
        <v>0.0</v>
      </c>
      <c r="M559" s="132">
        <v>0.0</v>
      </c>
      <c r="N559" s="130">
        <v>5.0</v>
      </c>
      <c r="O559" s="138"/>
      <c r="P559" s="130" t="s">
        <v>60</v>
      </c>
      <c r="Q559" s="135">
        <f>5.0154*10^3</f>
        <v>5015.4</v>
      </c>
      <c r="R559" s="130" t="s">
        <v>234</v>
      </c>
      <c r="S559" s="130">
        <v>2020.0</v>
      </c>
      <c r="T559" s="136">
        <v>0.239</v>
      </c>
      <c r="U559" s="128">
        <f t="shared" si="133"/>
        <v>1198.6806</v>
      </c>
      <c r="V559" s="24">
        <f t="shared" si="124"/>
        <v>184.4124</v>
      </c>
      <c r="W559" s="3">
        <f t="shared" si="31"/>
        <v>0</v>
      </c>
      <c r="X559" s="3">
        <f t="shared" si="32"/>
        <v>0</v>
      </c>
      <c r="Y559" s="3">
        <f t="shared" si="33"/>
        <v>0</v>
      </c>
      <c r="Z559" s="25">
        <f t="shared" si="34"/>
        <v>0</v>
      </c>
      <c r="AA559" s="26">
        <f>VLOOKUP(S559,CPI!$A$2:$F$71,6,0)</f>
        <v>1.244593545</v>
      </c>
      <c r="AB559" s="27">
        <f t="shared" si="125"/>
        <v>1491.870137</v>
      </c>
      <c r="AC559" s="27">
        <f t="shared" si="126"/>
        <v>229.5184827</v>
      </c>
      <c r="AD559" s="130" t="s">
        <v>60</v>
      </c>
      <c r="AE559" s="137" t="s">
        <v>953</v>
      </c>
      <c r="AF559" s="130"/>
      <c r="AG559" s="130"/>
      <c r="AH559" s="130"/>
      <c r="AI559" s="130"/>
      <c r="AJ559" s="33"/>
      <c r="AK559" s="33"/>
      <c r="AL559" s="33"/>
      <c r="AM559" s="54"/>
      <c r="AN559" s="54"/>
      <c r="AO559" s="54"/>
      <c r="AP559" s="54"/>
      <c r="AQ559" s="54"/>
    </row>
    <row r="560" ht="15.75" customHeight="1">
      <c r="A560" s="38">
        <v>7704.0</v>
      </c>
      <c r="B560" s="130" t="s">
        <v>230</v>
      </c>
      <c r="C560" s="130" t="s">
        <v>942</v>
      </c>
      <c r="D560" s="36" t="s">
        <v>84</v>
      </c>
      <c r="E560" s="130" t="s">
        <v>319</v>
      </c>
      <c r="F560" s="130" t="s">
        <v>954</v>
      </c>
      <c r="G560" s="130"/>
      <c r="H560" s="130">
        <v>0.0</v>
      </c>
      <c r="I560" s="130">
        <v>24.6</v>
      </c>
      <c r="J560" s="131">
        <v>1.0</v>
      </c>
      <c r="K560" s="130">
        <v>24.6</v>
      </c>
      <c r="L560" s="132">
        <v>0.0</v>
      </c>
      <c r="M560" s="132">
        <v>0.0</v>
      </c>
      <c r="N560" s="130">
        <v>20.0</v>
      </c>
      <c r="O560" s="138"/>
      <c r="P560" s="130" t="s">
        <v>60</v>
      </c>
      <c r="Q560" s="135">
        <f>16.83*10^3</f>
        <v>16830</v>
      </c>
      <c r="R560" s="130" t="s">
        <v>234</v>
      </c>
      <c r="S560" s="130">
        <v>2020.0</v>
      </c>
      <c r="T560" s="136">
        <v>0.239</v>
      </c>
      <c r="U560" s="128">
        <f t="shared" si="133"/>
        <v>4022.37</v>
      </c>
      <c r="V560" s="24">
        <f t="shared" si="124"/>
        <v>163.5109756</v>
      </c>
      <c r="W560" s="3">
        <f t="shared" si="31"/>
        <v>0</v>
      </c>
      <c r="X560" s="3">
        <f t="shared" si="32"/>
        <v>0</v>
      </c>
      <c r="Y560" s="3">
        <f t="shared" si="33"/>
        <v>0</v>
      </c>
      <c r="Z560" s="25">
        <f t="shared" si="34"/>
        <v>0</v>
      </c>
      <c r="AA560" s="26">
        <f>VLOOKUP(S560,CPI!$A$2:$F$71,6,0)</f>
        <v>1.244593545</v>
      </c>
      <c r="AB560" s="27">
        <f t="shared" si="125"/>
        <v>5006.215738</v>
      </c>
      <c r="AC560" s="27">
        <f t="shared" si="126"/>
        <v>203.5047048</v>
      </c>
      <c r="AD560" s="130" t="s">
        <v>60</v>
      </c>
      <c r="AE560" s="137" t="s">
        <v>953</v>
      </c>
      <c r="AF560" s="178"/>
      <c r="AG560" s="172"/>
      <c r="AH560" s="172"/>
      <c r="AI560" s="172"/>
      <c r="AJ560" s="32"/>
      <c r="AK560" s="32"/>
      <c r="AL560" s="32"/>
      <c r="AM560" s="31"/>
      <c r="AN560" s="31"/>
      <c r="AO560" s="31"/>
      <c r="AP560" s="31"/>
      <c r="AQ560" s="35"/>
    </row>
    <row r="561" ht="15.75" customHeight="1">
      <c r="A561" s="114"/>
      <c r="B561" s="114" t="s">
        <v>230</v>
      </c>
      <c r="C561" s="114" t="s">
        <v>955</v>
      </c>
      <c r="D561" s="16" t="s">
        <v>34</v>
      </c>
      <c r="E561" s="114" t="s">
        <v>956</v>
      </c>
      <c r="F561" s="116">
        <v>2020.0</v>
      </c>
      <c r="G561" s="114"/>
      <c r="H561" s="116">
        <v>0.0</v>
      </c>
      <c r="I561" s="116">
        <v>107.17</v>
      </c>
      <c r="J561" s="114"/>
      <c r="K561" s="114"/>
      <c r="L561" s="114"/>
      <c r="M561" s="114"/>
      <c r="N561" s="116">
        <v>31.0</v>
      </c>
      <c r="O561" s="116">
        <v>117.0</v>
      </c>
      <c r="P561" s="114" t="s">
        <v>36</v>
      </c>
      <c r="Q561" s="140">
        <v>34683.0</v>
      </c>
      <c r="R561" s="114" t="s">
        <v>234</v>
      </c>
      <c r="S561" s="115">
        <v>2020.0</v>
      </c>
      <c r="T561" s="136">
        <v>0.239</v>
      </c>
      <c r="U561" s="118">
        <f t="shared" si="133"/>
        <v>8289.237</v>
      </c>
      <c r="V561" s="24">
        <f t="shared" si="124"/>
        <v>77.34661752</v>
      </c>
      <c r="W561" s="3">
        <f t="shared" si="31"/>
        <v>0</v>
      </c>
      <c r="X561" s="3">
        <f t="shared" si="32"/>
        <v>0</v>
      </c>
      <c r="Y561" s="3">
        <f t="shared" si="33"/>
        <v>0</v>
      </c>
      <c r="Z561" s="25">
        <f t="shared" si="34"/>
        <v>0</v>
      </c>
      <c r="AA561" s="26">
        <f>VLOOKUP(S561,CPI!$A$2:$F$71,6,0)</f>
        <v>1.244593545</v>
      </c>
      <c r="AB561" s="27">
        <f t="shared" si="125"/>
        <v>10316.73086</v>
      </c>
      <c r="AC561" s="27">
        <f t="shared" si="126"/>
        <v>96.2651009</v>
      </c>
      <c r="AD561" s="114" t="s">
        <v>36</v>
      </c>
      <c r="AE561" s="119" t="s">
        <v>957</v>
      </c>
      <c r="AF561" s="173"/>
      <c r="AG561" s="174"/>
      <c r="AH561" s="174"/>
      <c r="AI561" s="174"/>
      <c r="AJ561" s="175"/>
      <c r="AK561" s="175"/>
      <c r="AL561" s="175"/>
      <c r="AM561" s="31"/>
      <c r="AN561" s="31"/>
      <c r="AO561" s="31"/>
      <c r="AP561" s="31"/>
      <c r="AQ561" s="35"/>
    </row>
    <row r="562" ht="15.75" customHeight="1">
      <c r="A562" s="7"/>
      <c r="B562" s="114" t="s">
        <v>230</v>
      </c>
      <c r="C562" s="114" t="s">
        <v>958</v>
      </c>
      <c r="D562" s="114" t="s">
        <v>57</v>
      </c>
      <c r="E562" s="115" t="s">
        <v>232</v>
      </c>
      <c r="F562" s="116">
        <v>2009.0</v>
      </c>
      <c r="G562" s="116">
        <v>2013.0</v>
      </c>
      <c r="H562" s="116">
        <v>0.0</v>
      </c>
      <c r="I562" s="116">
        <v>25.2</v>
      </c>
      <c r="J562" s="117">
        <v>1.0</v>
      </c>
      <c r="K562" s="116">
        <v>25.2</v>
      </c>
      <c r="L562" s="114"/>
      <c r="M562" s="114"/>
      <c r="N562" s="116">
        <v>20.0</v>
      </c>
      <c r="O562" s="116">
        <v>117.0</v>
      </c>
      <c r="P562" s="114" t="s">
        <v>42</v>
      </c>
      <c r="Q562" s="140">
        <v>14335.5</v>
      </c>
      <c r="R562" s="114" t="s">
        <v>234</v>
      </c>
      <c r="S562" s="115">
        <v>2011.0</v>
      </c>
      <c r="T562" s="85">
        <v>0.284</v>
      </c>
      <c r="U562" s="118">
        <f t="shared" si="133"/>
        <v>4071.282</v>
      </c>
      <c r="V562" s="24">
        <f t="shared" si="124"/>
        <v>161.5588095</v>
      </c>
      <c r="W562" s="3">
        <f t="shared" si="31"/>
        <v>0</v>
      </c>
      <c r="X562" s="3">
        <f t="shared" si="32"/>
        <v>0</v>
      </c>
      <c r="Y562" s="3">
        <f t="shared" si="33"/>
        <v>0</v>
      </c>
      <c r="Z562" s="25">
        <f t="shared" si="34"/>
        <v>0</v>
      </c>
      <c r="AA562" s="26">
        <f>VLOOKUP(S562,CPI!$A$2:$F$71,6,0)</f>
        <v>1.432008233</v>
      </c>
      <c r="AB562" s="27">
        <f t="shared" si="125"/>
        <v>5830.109344</v>
      </c>
      <c r="AC562" s="27">
        <f t="shared" si="126"/>
        <v>231.3535454</v>
      </c>
      <c r="AD562" s="114" t="s">
        <v>42</v>
      </c>
      <c r="AE562" s="119" t="s">
        <v>959</v>
      </c>
      <c r="AF562" s="164"/>
      <c r="AG562" s="165"/>
      <c r="AH562" s="165"/>
      <c r="AI562" s="165"/>
      <c r="AJ562" s="166"/>
      <c r="AK562" s="166"/>
      <c r="AL562" s="166"/>
      <c r="AM562" s="31"/>
      <c r="AN562" s="31"/>
      <c r="AO562" s="31"/>
      <c r="AP562" s="31"/>
      <c r="AQ562" s="35"/>
    </row>
    <row r="563" ht="15.75" customHeight="1">
      <c r="A563" s="7"/>
      <c r="B563" s="114" t="s">
        <v>230</v>
      </c>
      <c r="C563" s="114" t="s">
        <v>958</v>
      </c>
      <c r="D563" s="114" t="s">
        <v>54</v>
      </c>
      <c r="E563" s="115" t="s">
        <v>348</v>
      </c>
      <c r="F563" s="116">
        <v>2010.0</v>
      </c>
      <c r="G563" s="116">
        <v>2016.0</v>
      </c>
      <c r="H563" s="116">
        <v>0.0</v>
      </c>
      <c r="I563" s="116">
        <v>18.27</v>
      </c>
      <c r="J563" s="117">
        <v>1.0</v>
      </c>
      <c r="K563" s="116">
        <v>18.27</v>
      </c>
      <c r="L563" s="114"/>
      <c r="M563" s="114"/>
      <c r="N563" s="116">
        <v>16.0</v>
      </c>
      <c r="O563" s="116">
        <v>117.0</v>
      </c>
      <c r="P563" s="114" t="s">
        <v>42</v>
      </c>
      <c r="Q563" s="140">
        <v>10408.0</v>
      </c>
      <c r="R563" s="114" t="s">
        <v>234</v>
      </c>
      <c r="S563" s="115">
        <v>2013.0</v>
      </c>
      <c r="T563" s="85">
        <v>0.273</v>
      </c>
      <c r="U563" s="118">
        <f t="shared" si="133"/>
        <v>2841.384</v>
      </c>
      <c r="V563" s="24">
        <f t="shared" si="124"/>
        <v>155.5218391</v>
      </c>
      <c r="W563" s="3">
        <f t="shared" si="31"/>
        <v>0</v>
      </c>
      <c r="X563" s="3">
        <f t="shared" si="32"/>
        <v>0</v>
      </c>
      <c r="Y563" s="3">
        <f t="shared" si="33"/>
        <v>0</v>
      </c>
      <c r="Z563" s="25">
        <f t="shared" si="34"/>
        <v>0</v>
      </c>
      <c r="AA563" s="26">
        <f>VLOOKUP(S563,CPI!$A$2:$F$71,6,0)</f>
        <v>1.382720845</v>
      </c>
      <c r="AB563" s="27">
        <f t="shared" si="125"/>
        <v>3928.840887</v>
      </c>
      <c r="AC563" s="27">
        <f t="shared" si="126"/>
        <v>215.0432888</v>
      </c>
      <c r="AD563" s="114" t="s">
        <v>42</v>
      </c>
      <c r="AE563" s="161" t="s">
        <v>960</v>
      </c>
      <c r="AF563" s="164"/>
      <c r="AG563" s="165"/>
      <c r="AH563" s="165"/>
      <c r="AI563" s="165"/>
      <c r="AJ563" s="166"/>
      <c r="AK563" s="166"/>
      <c r="AL563" s="166"/>
      <c r="AM563" s="31"/>
      <c r="AN563" s="31"/>
      <c r="AO563" s="31"/>
      <c r="AP563" s="31"/>
      <c r="AQ563" s="35"/>
    </row>
    <row r="564" ht="15.75" customHeight="1">
      <c r="A564" s="7"/>
      <c r="B564" s="114" t="s">
        <v>230</v>
      </c>
      <c r="C564" s="114" t="s">
        <v>958</v>
      </c>
      <c r="D564" s="114" t="s">
        <v>110</v>
      </c>
      <c r="E564" s="114" t="s">
        <v>110</v>
      </c>
      <c r="F564" s="116">
        <v>2014.0</v>
      </c>
      <c r="G564" s="116">
        <v>2020.0</v>
      </c>
      <c r="H564" s="116">
        <v>0.0</v>
      </c>
      <c r="I564" s="116">
        <v>30.1</v>
      </c>
      <c r="J564" s="117">
        <v>1.0</v>
      </c>
      <c r="K564" s="116">
        <v>30.1</v>
      </c>
      <c r="L564" s="114"/>
      <c r="M564" s="114"/>
      <c r="N564" s="116">
        <v>24.0</v>
      </c>
      <c r="O564" s="116">
        <v>117.0</v>
      </c>
      <c r="P564" s="114" t="s">
        <v>60</v>
      </c>
      <c r="Q564" s="140">
        <v>19034.0</v>
      </c>
      <c r="R564" s="114" t="s">
        <v>234</v>
      </c>
      <c r="S564" s="115">
        <v>2017.0</v>
      </c>
      <c r="T564" s="85">
        <v>0.239</v>
      </c>
      <c r="U564" s="118">
        <f t="shared" si="133"/>
        <v>4549.126</v>
      </c>
      <c r="V564" s="24">
        <f t="shared" si="124"/>
        <v>151.1337542</v>
      </c>
      <c r="W564" s="3">
        <f t="shared" si="31"/>
        <v>0</v>
      </c>
      <c r="X564" s="3">
        <f t="shared" si="32"/>
        <v>0</v>
      </c>
      <c r="Y564" s="3">
        <f t="shared" si="33"/>
        <v>0</v>
      </c>
      <c r="Z564" s="25">
        <f t="shared" si="34"/>
        <v>0</v>
      </c>
      <c r="AA564" s="26">
        <f>VLOOKUP(S564,CPI!$A$2:$F$71,6,0)</f>
        <v>1.314109416</v>
      </c>
      <c r="AB564" s="27">
        <f t="shared" si="125"/>
        <v>5978.04931</v>
      </c>
      <c r="AC564" s="27">
        <f t="shared" si="126"/>
        <v>198.6062894</v>
      </c>
      <c r="AD564" s="114" t="s">
        <v>60</v>
      </c>
      <c r="AE564" s="161" t="s">
        <v>961</v>
      </c>
      <c r="AF564" s="114"/>
      <c r="AG564" s="114"/>
      <c r="AH564" s="114"/>
      <c r="AI564" s="114"/>
      <c r="AJ564" s="206"/>
      <c r="AK564" s="206"/>
      <c r="AL564" s="206"/>
      <c r="AM564" s="54"/>
      <c r="AN564" s="54"/>
      <c r="AO564" s="54"/>
      <c r="AP564" s="54"/>
      <c r="AQ564" s="54"/>
    </row>
    <row r="565" ht="15.75" customHeight="1">
      <c r="A565" s="163"/>
      <c r="B565" s="66" t="s">
        <v>230</v>
      </c>
      <c r="C565" s="114" t="s">
        <v>958</v>
      </c>
      <c r="D565" s="115" t="s">
        <v>87</v>
      </c>
      <c r="E565" s="115" t="s">
        <v>331</v>
      </c>
      <c r="F565" s="116">
        <v>2017.0</v>
      </c>
      <c r="G565" s="116">
        <v>2020.0</v>
      </c>
      <c r="H565" s="116">
        <v>0.0</v>
      </c>
      <c r="I565" s="116">
        <v>25.487</v>
      </c>
      <c r="J565" s="117">
        <v>1.0</v>
      </c>
      <c r="K565" s="116">
        <v>25.487</v>
      </c>
      <c r="L565" s="114"/>
      <c r="M565" s="114"/>
      <c r="N565" s="116">
        <v>21.0</v>
      </c>
      <c r="O565" s="116">
        <v>138.0</v>
      </c>
      <c r="P565" s="114" t="s">
        <v>36</v>
      </c>
      <c r="Q565" s="140">
        <v>20608.0</v>
      </c>
      <c r="R565" s="114" t="s">
        <v>234</v>
      </c>
      <c r="S565" s="115">
        <v>2019.0</v>
      </c>
      <c r="T565" s="136">
        <v>0.238</v>
      </c>
      <c r="U565" s="118">
        <f t="shared" si="133"/>
        <v>4904.704</v>
      </c>
      <c r="V565" s="24">
        <f t="shared" si="124"/>
        <v>192.4394397</v>
      </c>
      <c r="W565" s="3">
        <f t="shared" si="31"/>
        <v>0</v>
      </c>
      <c r="X565" s="3">
        <f t="shared" si="32"/>
        <v>0</v>
      </c>
      <c r="Y565" s="3">
        <f t="shared" si="33"/>
        <v>0</v>
      </c>
      <c r="Z565" s="25">
        <f t="shared" si="34"/>
        <v>0</v>
      </c>
      <c r="AA565" s="26">
        <f>VLOOKUP(S565,CPI!$A$2:$F$71,6,0)</f>
        <v>1.259947899</v>
      </c>
      <c r="AB565" s="27">
        <f t="shared" si="125"/>
        <v>6179.6715</v>
      </c>
      <c r="AC565" s="27">
        <f t="shared" si="126"/>
        <v>242.4636677</v>
      </c>
      <c r="AD565" s="114" t="s">
        <v>36</v>
      </c>
      <c r="AE565" s="119" t="s">
        <v>962</v>
      </c>
      <c r="AF565" s="164"/>
      <c r="AG565" s="165"/>
      <c r="AH565" s="165"/>
      <c r="AI565" s="165"/>
      <c r="AJ565" s="166"/>
      <c r="AK565" s="166"/>
      <c r="AL565" s="166"/>
      <c r="AM565" s="32"/>
      <c r="AN565" s="32"/>
      <c r="AO565" s="32"/>
      <c r="AP565" s="32"/>
      <c r="AQ565" s="33"/>
    </row>
    <row r="566" ht="15.75" customHeight="1">
      <c r="A566" s="7"/>
      <c r="B566" s="114" t="s">
        <v>230</v>
      </c>
      <c r="C566" s="114" t="s">
        <v>958</v>
      </c>
      <c r="D566" s="171" t="s">
        <v>963</v>
      </c>
      <c r="E566" s="209" t="s">
        <v>964</v>
      </c>
      <c r="F566" s="114"/>
      <c r="G566" s="116">
        <v>2022.0</v>
      </c>
      <c r="H566" s="82">
        <v>1.0</v>
      </c>
      <c r="I566" s="116">
        <v>33.78</v>
      </c>
      <c r="J566" s="117">
        <v>0.12</v>
      </c>
      <c r="K566" s="116">
        <v>4.016</v>
      </c>
      <c r="L566" s="114"/>
      <c r="M566" s="114"/>
      <c r="N566" s="116">
        <v>11.0</v>
      </c>
      <c r="O566" s="116">
        <v>117.0</v>
      </c>
      <c r="P566" s="114" t="s">
        <v>36</v>
      </c>
      <c r="Q566" s="140">
        <v>9879.0</v>
      </c>
      <c r="R566" s="114" t="s">
        <v>234</v>
      </c>
      <c r="S566" s="115">
        <v>2021.0</v>
      </c>
      <c r="T566" s="136">
        <v>0.239000000000001</v>
      </c>
      <c r="U566" s="118">
        <f t="shared" si="133"/>
        <v>2361.081</v>
      </c>
      <c r="V566" s="24">
        <f t="shared" si="124"/>
        <v>69.89582593</v>
      </c>
      <c r="W566" s="3">
        <f t="shared" si="31"/>
        <v>0</v>
      </c>
      <c r="X566" s="3">
        <f t="shared" si="32"/>
        <v>0</v>
      </c>
      <c r="Y566" s="3">
        <f t="shared" si="33"/>
        <v>0</v>
      </c>
      <c r="Z566" s="25">
        <f t="shared" si="34"/>
        <v>0</v>
      </c>
      <c r="AA566" s="26">
        <f>VLOOKUP(S566,CPI!$A$2:$F$71,6,0)</f>
        <v>1.188745987</v>
      </c>
      <c r="AB566" s="27">
        <f t="shared" si="125"/>
        <v>2806.725563</v>
      </c>
      <c r="AC566" s="27">
        <f t="shared" si="126"/>
        <v>83.08838256</v>
      </c>
      <c r="AD566" s="114" t="s">
        <v>36</v>
      </c>
      <c r="AE566" s="119" t="s">
        <v>965</v>
      </c>
      <c r="AF566" s="164"/>
      <c r="AG566" s="165"/>
      <c r="AH566" s="165"/>
      <c r="AI566" s="165"/>
      <c r="AJ566" s="166"/>
      <c r="AK566" s="166"/>
      <c r="AL566" s="166"/>
      <c r="AM566" s="31"/>
      <c r="AN566" s="31"/>
      <c r="AO566" s="31"/>
      <c r="AP566" s="31"/>
      <c r="AQ566" s="35"/>
    </row>
    <row r="567" ht="15.75" customHeight="1">
      <c r="A567" s="38">
        <v>8017.0</v>
      </c>
      <c r="B567" s="72" t="s">
        <v>230</v>
      </c>
      <c r="C567" s="72" t="s">
        <v>958</v>
      </c>
      <c r="D567" s="16" t="s">
        <v>239</v>
      </c>
      <c r="E567" s="115" t="s">
        <v>356</v>
      </c>
      <c r="F567" s="69">
        <v>2019.0</v>
      </c>
      <c r="G567" s="69">
        <v>2024.0</v>
      </c>
      <c r="H567" s="69">
        <v>0.0</v>
      </c>
      <c r="I567" s="69">
        <v>21.3</v>
      </c>
      <c r="J567" s="117">
        <v>1.0</v>
      </c>
      <c r="K567" s="69">
        <v>21.3</v>
      </c>
      <c r="L567" s="72"/>
      <c r="M567" s="72"/>
      <c r="N567" s="69">
        <v>12.0</v>
      </c>
      <c r="O567" s="69">
        <v>138.0</v>
      </c>
      <c r="P567" s="72"/>
      <c r="Q567" s="140">
        <v>13823.0</v>
      </c>
      <c r="R567" s="72" t="s">
        <v>234</v>
      </c>
      <c r="S567" s="115">
        <v>2021.0</v>
      </c>
      <c r="T567" s="136">
        <v>0.239</v>
      </c>
      <c r="U567" s="118">
        <f t="shared" si="133"/>
        <v>3303.697</v>
      </c>
      <c r="V567" s="24">
        <f t="shared" si="124"/>
        <v>155.1031455</v>
      </c>
      <c r="W567" s="3">
        <f t="shared" si="31"/>
        <v>0</v>
      </c>
      <c r="X567" s="3">
        <f t="shared" si="32"/>
        <v>0</v>
      </c>
      <c r="Y567" s="3">
        <f t="shared" si="33"/>
        <v>0</v>
      </c>
      <c r="Z567" s="25">
        <f t="shared" si="34"/>
        <v>0</v>
      </c>
      <c r="AA567" s="26">
        <f>VLOOKUP(S567,CPI!$A$2:$F$71,6,0)</f>
        <v>1.188745987</v>
      </c>
      <c r="AB567" s="27">
        <f t="shared" si="125"/>
        <v>3927.25655</v>
      </c>
      <c r="AC567" s="27">
        <f t="shared" si="126"/>
        <v>184.3782418</v>
      </c>
      <c r="AD567" s="72" t="s">
        <v>36</v>
      </c>
      <c r="AE567" s="79" t="s">
        <v>966</v>
      </c>
      <c r="AF567" s="186"/>
      <c r="AG567" s="187"/>
      <c r="AH567" s="234"/>
      <c r="AI567" s="187"/>
      <c r="AJ567" s="81"/>
      <c r="AK567" s="81"/>
      <c r="AL567" s="81"/>
      <c r="AM567" s="31"/>
      <c r="AN567" s="31"/>
      <c r="AO567" s="31"/>
      <c r="AP567" s="31"/>
      <c r="AQ567" s="35"/>
    </row>
    <row r="568" ht="15.75" customHeight="1">
      <c r="A568" s="170">
        <v>7955.0</v>
      </c>
      <c r="B568" s="72" t="s">
        <v>230</v>
      </c>
      <c r="C568" s="72" t="s">
        <v>958</v>
      </c>
      <c r="D568" s="16" t="s">
        <v>287</v>
      </c>
      <c r="E568" s="115" t="s">
        <v>967</v>
      </c>
      <c r="F568" s="69">
        <v>2019.0</v>
      </c>
      <c r="G568" s="69">
        <v>2024.0</v>
      </c>
      <c r="H568" s="69">
        <v>0.0</v>
      </c>
      <c r="I568" s="69">
        <v>17.034</v>
      </c>
      <c r="J568" s="117">
        <v>1.0</v>
      </c>
      <c r="K568" s="69">
        <v>17.034</v>
      </c>
      <c r="L568" s="72"/>
      <c r="M568" s="72"/>
      <c r="N568" s="69">
        <v>12.0</v>
      </c>
      <c r="O568" s="69">
        <v>117.0</v>
      </c>
      <c r="P568" s="72"/>
      <c r="Q568" s="140">
        <v>11985.0</v>
      </c>
      <c r="R568" s="72" t="s">
        <v>234</v>
      </c>
      <c r="S568" s="115">
        <v>2021.0</v>
      </c>
      <c r="T568" s="136">
        <v>0.239</v>
      </c>
      <c r="U568" s="118">
        <f t="shared" si="133"/>
        <v>2864.415</v>
      </c>
      <c r="V568" s="24">
        <f t="shared" si="124"/>
        <v>168.1586826</v>
      </c>
      <c r="W568" s="3">
        <f t="shared" si="31"/>
        <v>0</v>
      </c>
      <c r="X568" s="3">
        <f t="shared" si="32"/>
        <v>0</v>
      </c>
      <c r="Y568" s="3">
        <f t="shared" si="33"/>
        <v>0</v>
      </c>
      <c r="Z568" s="25">
        <f t="shared" si="34"/>
        <v>0</v>
      </c>
      <c r="AA568" s="26">
        <f>VLOOKUP(S568,CPI!$A$2:$F$71,6,0)</f>
        <v>1.188745987</v>
      </c>
      <c r="AB568" s="27">
        <f t="shared" si="125"/>
        <v>3405.061835</v>
      </c>
      <c r="AC568" s="27">
        <f t="shared" si="126"/>
        <v>199.8979591</v>
      </c>
      <c r="AD568" s="72" t="s">
        <v>36</v>
      </c>
      <c r="AE568" s="79" t="s">
        <v>968</v>
      </c>
      <c r="AF568" s="235"/>
      <c r="AG568" s="235"/>
      <c r="AH568" s="235"/>
      <c r="AI568" s="235"/>
      <c r="AJ568" s="236"/>
      <c r="AK568" s="54"/>
      <c r="AL568" s="54"/>
      <c r="AM568" s="54"/>
      <c r="AN568" s="54"/>
      <c r="AO568" s="54"/>
      <c r="AP568" s="54"/>
      <c r="AQ568" s="54"/>
    </row>
    <row r="569" ht="15.75" customHeight="1">
      <c r="A569" s="38">
        <v>8025.0</v>
      </c>
      <c r="B569" s="72" t="s">
        <v>230</v>
      </c>
      <c r="C569" s="72" t="s">
        <v>958</v>
      </c>
      <c r="D569" s="16" t="s">
        <v>243</v>
      </c>
      <c r="E569" s="115" t="s">
        <v>379</v>
      </c>
      <c r="F569" s="69">
        <v>2019.0</v>
      </c>
      <c r="G569" s="69">
        <v>2024.0</v>
      </c>
      <c r="H569" s="69">
        <v>0.0</v>
      </c>
      <c r="I569" s="69">
        <v>50.63</v>
      </c>
      <c r="J569" s="117">
        <v>1.0</v>
      </c>
      <c r="K569" s="69">
        <v>50.63</v>
      </c>
      <c r="L569" s="72"/>
      <c r="M569" s="72"/>
      <c r="N569" s="69">
        <v>27.0</v>
      </c>
      <c r="O569" s="69">
        <v>138.0</v>
      </c>
      <c r="P569" s="72"/>
      <c r="Q569" s="140">
        <v>31019.49</v>
      </c>
      <c r="R569" s="72" t="s">
        <v>234</v>
      </c>
      <c r="S569" s="115">
        <v>2021.0</v>
      </c>
      <c r="T569" s="136">
        <v>0.239</v>
      </c>
      <c r="U569" s="118">
        <f t="shared" si="133"/>
        <v>7413.65811</v>
      </c>
      <c r="V569" s="24">
        <f t="shared" si="124"/>
        <v>146.4281673</v>
      </c>
      <c r="W569" s="3">
        <f t="shared" si="31"/>
        <v>0</v>
      </c>
      <c r="X569" s="3">
        <f t="shared" si="32"/>
        <v>0</v>
      </c>
      <c r="Y569" s="3">
        <f t="shared" si="33"/>
        <v>0</v>
      </c>
      <c r="Z569" s="25">
        <f t="shared" si="34"/>
        <v>0</v>
      </c>
      <c r="AA569" s="26">
        <f>VLOOKUP(S569,CPI!$A$2:$F$71,6,0)</f>
        <v>1.188745987</v>
      </c>
      <c r="AB569" s="27">
        <f t="shared" si="125"/>
        <v>8812.956325</v>
      </c>
      <c r="AC569" s="27">
        <f t="shared" si="126"/>
        <v>174.0658962</v>
      </c>
      <c r="AD569" s="115" t="s">
        <v>42</v>
      </c>
      <c r="AE569" s="79" t="s">
        <v>969</v>
      </c>
      <c r="AF569" s="186"/>
      <c r="AG569" s="187"/>
      <c r="AH569" s="231"/>
      <c r="AI569" s="187"/>
      <c r="AJ569" s="81"/>
      <c r="AK569" s="81"/>
      <c r="AL569" s="81"/>
      <c r="AM569" s="31"/>
      <c r="AN569" s="31"/>
      <c r="AO569" s="31"/>
      <c r="AP569" s="31"/>
      <c r="AQ569" s="35"/>
    </row>
    <row r="570" ht="15.75" customHeight="1">
      <c r="A570" s="163"/>
      <c r="B570" s="114" t="s">
        <v>230</v>
      </c>
      <c r="C570" s="114" t="s">
        <v>958</v>
      </c>
      <c r="D570" s="171" t="s">
        <v>963</v>
      </c>
      <c r="E570" s="114" t="s">
        <v>970</v>
      </c>
      <c r="F570" s="116">
        <v>2020.0</v>
      </c>
      <c r="G570" s="114"/>
      <c r="H570" s="82">
        <v>1.0</v>
      </c>
      <c r="I570" s="116">
        <v>31.27</v>
      </c>
      <c r="J570" s="117">
        <v>0.9</v>
      </c>
      <c r="K570" s="116">
        <v>28.18</v>
      </c>
      <c r="L570" s="114"/>
      <c r="M570" s="114"/>
      <c r="N570" s="116">
        <v>15.0</v>
      </c>
      <c r="O570" s="116">
        <v>117.0</v>
      </c>
      <c r="P570" s="114" t="s">
        <v>42</v>
      </c>
      <c r="Q570" s="140">
        <v>17867.0</v>
      </c>
      <c r="R570" s="114" t="s">
        <v>234</v>
      </c>
      <c r="S570" s="115">
        <v>2020.0</v>
      </c>
      <c r="T570" s="136">
        <v>0.239</v>
      </c>
      <c r="U570" s="118">
        <f t="shared" si="133"/>
        <v>4270.213</v>
      </c>
      <c r="V570" s="24">
        <f t="shared" si="124"/>
        <v>136.559418</v>
      </c>
      <c r="W570" s="3">
        <f t="shared" si="31"/>
        <v>0</v>
      </c>
      <c r="X570" s="3">
        <f t="shared" si="32"/>
        <v>0</v>
      </c>
      <c r="Y570" s="3">
        <f t="shared" si="33"/>
        <v>0</v>
      </c>
      <c r="Z570" s="25">
        <f t="shared" si="34"/>
        <v>0</v>
      </c>
      <c r="AA570" s="26">
        <f>VLOOKUP(S570,CPI!$A$2:$F$71,6,0)</f>
        <v>1.244593545</v>
      </c>
      <c r="AB570" s="27">
        <f t="shared" si="125"/>
        <v>5314.679536</v>
      </c>
      <c r="AC570" s="27">
        <f t="shared" si="126"/>
        <v>169.9609701</v>
      </c>
      <c r="AD570" s="114" t="s">
        <v>36</v>
      </c>
      <c r="AE570" s="119" t="s">
        <v>971</v>
      </c>
      <c r="AF570" s="167" t="s">
        <v>972</v>
      </c>
      <c r="AG570" s="168"/>
      <c r="AH570" s="168"/>
      <c r="AI570" s="169"/>
      <c r="AJ570" s="166"/>
      <c r="AK570" s="166"/>
      <c r="AL570" s="166"/>
      <c r="AM570" s="31"/>
      <c r="AN570" s="31"/>
      <c r="AO570" s="31"/>
      <c r="AP570" s="31"/>
      <c r="AQ570" s="35"/>
    </row>
    <row r="571" ht="15.75" customHeight="1">
      <c r="A571" s="38">
        <v>8027.0</v>
      </c>
      <c r="B571" s="72" t="s">
        <v>230</v>
      </c>
      <c r="C571" s="72" t="s">
        <v>958</v>
      </c>
      <c r="D571" s="115" t="s">
        <v>87</v>
      </c>
      <c r="E571" s="115" t="s">
        <v>357</v>
      </c>
      <c r="F571" s="69">
        <v>2021.0</v>
      </c>
      <c r="G571" s="72"/>
      <c r="H571" s="69">
        <v>0.0</v>
      </c>
      <c r="I571" s="69">
        <v>6.305</v>
      </c>
      <c r="J571" s="117">
        <v>1.0</v>
      </c>
      <c r="K571" s="69">
        <v>6.305</v>
      </c>
      <c r="L571" s="72"/>
      <c r="M571" s="72"/>
      <c r="N571" s="69">
        <v>4.0</v>
      </c>
      <c r="O571" s="69">
        <v>138.0</v>
      </c>
      <c r="P571" s="72" t="s">
        <v>36</v>
      </c>
      <c r="Q571" s="140">
        <v>3573.0</v>
      </c>
      <c r="R571" s="72" t="s">
        <v>234</v>
      </c>
      <c r="S571" s="115">
        <v>2021.0</v>
      </c>
      <c r="T571" s="136">
        <v>0.239</v>
      </c>
      <c r="U571" s="118">
        <f t="shared" si="133"/>
        <v>853.947</v>
      </c>
      <c r="V571" s="24">
        <f t="shared" si="124"/>
        <v>135.4396511</v>
      </c>
      <c r="W571" s="3">
        <f t="shared" si="31"/>
        <v>0</v>
      </c>
      <c r="X571" s="3">
        <f t="shared" si="32"/>
        <v>0</v>
      </c>
      <c r="Y571" s="3">
        <f t="shared" si="33"/>
        <v>0</v>
      </c>
      <c r="Z571" s="25">
        <f t="shared" si="34"/>
        <v>0</v>
      </c>
      <c r="AA571" s="26">
        <f>VLOOKUP(S571,CPI!$A$2:$F$71,6,0)</f>
        <v>1.188745987</v>
      </c>
      <c r="AB571" s="27">
        <f t="shared" si="125"/>
        <v>1015.126069</v>
      </c>
      <c r="AC571" s="27">
        <f t="shared" si="126"/>
        <v>161.0033416</v>
      </c>
      <c r="AD571" s="72" t="s">
        <v>36</v>
      </c>
      <c r="AE571" s="79" t="s">
        <v>973</v>
      </c>
      <c r="AF571" s="186"/>
      <c r="AG571" s="187"/>
      <c r="AH571" s="187"/>
      <c r="AI571" s="187"/>
      <c r="AJ571" s="81"/>
      <c r="AK571" s="81"/>
      <c r="AL571" s="81"/>
      <c r="AM571" s="31"/>
      <c r="AN571" s="31"/>
      <c r="AO571" s="31"/>
      <c r="AP571" s="31"/>
      <c r="AQ571" s="35"/>
    </row>
    <row r="572" ht="15.75" customHeight="1">
      <c r="A572" s="170">
        <v>7872.0</v>
      </c>
      <c r="B572" s="123" t="s">
        <v>230</v>
      </c>
      <c r="C572" s="123" t="s">
        <v>958</v>
      </c>
      <c r="D572" s="16" t="s">
        <v>267</v>
      </c>
      <c r="E572" s="123" t="s">
        <v>463</v>
      </c>
      <c r="F572" s="123"/>
      <c r="G572" s="123"/>
      <c r="H572" s="75">
        <v>0.0</v>
      </c>
      <c r="I572" s="75">
        <v>8.3</v>
      </c>
      <c r="J572" s="124">
        <v>1.0</v>
      </c>
      <c r="K572" s="75">
        <v>8.3</v>
      </c>
      <c r="L572" s="125">
        <v>0.0</v>
      </c>
      <c r="M572" s="125">
        <v>0.0</v>
      </c>
      <c r="N572" s="75">
        <v>6.0</v>
      </c>
      <c r="O572" s="75"/>
      <c r="P572" s="123" t="s">
        <v>60</v>
      </c>
      <c r="Q572" s="126">
        <v>6684.0</v>
      </c>
      <c r="R572" s="123" t="s">
        <v>234</v>
      </c>
      <c r="S572" s="75">
        <v>2019.0</v>
      </c>
      <c r="T572" s="136">
        <v>0.238</v>
      </c>
      <c r="U572" s="128">
        <f t="shared" si="133"/>
        <v>1590.792</v>
      </c>
      <c r="V572" s="24">
        <f t="shared" si="124"/>
        <v>191.6616867</v>
      </c>
      <c r="W572" s="3">
        <f t="shared" si="31"/>
        <v>0</v>
      </c>
      <c r="X572" s="3">
        <f t="shared" si="32"/>
        <v>0</v>
      </c>
      <c r="Y572" s="3">
        <f t="shared" si="33"/>
        <v>0</v>
      </c>
      <c r="Z572" s="25">
        <f t="shared" si="34"/>
        <v>0</v>
      </c>
      <c r="AA572" s="26">
        <f>VLOOKUP(S572,CPI!$A$2:$F$71,6,0)</f>
        <v>1.259947899</v>
      </c>
      <c r="AB572" s="27">
        <f t="shared" si="125"/>
        <v>2004.315038</v>
      </c>
      <c r="AC572" s="27">
        <f t="shared" si="126"/>
        <v>241.4837395</v>
      </c>
      <c r="AD572" s="123" t="s">
        <v>60</v>
      </c>
      <c r="AE572" s="129" t="s">
        <v>974</v>
      </c>
      <c r="AF572" s="178"/>
      <c r="AG572" s="172"/>
      <c r="AH572" s="172"/>
      <c r="AI572" s="172"/>
      <c r="AJ572" s="32"/>
      <c r="AK572" s="32"/>
      <c r="AL572" s="32"/>
      <c r="AM572" s="32"/>
      <c r="AN572" s="32"/>
      <c r="AO572" s="32"/>
      <c r="AP572" s="32"/>
      <c r="AQ572" s="33"/>
    </row>
    <row r="573" ht="15.75" customHeight="1">
      <c r="A573" s="170">
        <v>7873.0</v>
      </c>
      <c r="B573" s="123" t="s">
        <v>230</v>
      </c>
      <c r="C573" s="123" t="s">
        <v>958</v>
      </c>
      <c r="D573" s="16" t="s">
        <v>80</v>
      </c>
      <c r="E573" s="123" t="s">
        <v>255</v>
      </c>
      <c r="F573" s="123"/>
      <c r="G573" s="123"/>
      <c r="H573" s="75">
        <v>0.0</v>
      </c>
      <c r="I573" s="75">
        <v>36.5</v>
      </c>
      <c r="J573" s="124">
        <v>0.9232876712</v>
      </c>
      <c r="K573" s="75">
        <v>33.7</v>
      </c>
      <c r="L573" s="125">
        <v>2.51</v>
      </c>
      <c r="M573" s="125">
        <v>0.41</v>
      </c>
      <c r="N573" s="75">
        <v>24.0</v>
      </c>
      <c r="O573" s="75"/>
      <c r="P573" s="123" t="s">
        <v>60</v>
      </c>
      <c r="Q573" s="126">
        <v>29304.0</v>
      </c>
      <c r="R573" s="123" t="s">
        <v>234</v>
      </c>
      <c r="S573" s="75">
        <v>2019.0</v>
      </c>
      <c r="T573" s="136">
        <v>0.238</v>
      </c>
      <c r="U573" s="128">
        <f t="shared" si="133"/>
        <v>6974.352</v>
      </c>
      <c r="V573" s="24">
        <f t="shared" si="124"/>
        <v>191.078137</v>
      </c>
      <c r="W573" s="3">
        <f t="shared" si="31"/>
        <v>0</v>
      </c>
      <c r="X573" s="3">
        <f t="shared" si="32"/>
        <v>0</v>
      </c>
      <c r="Y573" s="3">
        <f t="shared" si="33"/>
        <v>0</v>
      </c>
      <c r="Z573" s="25">
        <f t="shared" si="34"/>
        <v>0</v>
      </c>
      <c r="AA573" s="26">
        <f>VLOOKUP(S573,CPI!$A$2:$F$71,6,0)</f>
        <v>1.259947899</v>
      </c>
      <c r="AB573" s="27">
        <f t="shared" si="125"/>
        <v>8787.320149</v>
      </c>
      <c r="AC573" s="27">
        <f t="shared" si="126"/>
        <v>240.7484972</v>
      </c>
      <c r="AD573" s="123" t="s">
        <v>60</v>
      </c>
      <c r="AE573" s="129" t="s">
        <v>974</v>
      </c>
      <c r="AF573" s="178"/>
      <c r="AG573" s="172"/>
      <c r="AH573" s="172"/>
      <c r="AI573" s="172"/>
      <c r="AJ573" s="32"/>
      <c r="AK573" s="32"/>
      <c r="AL573" s="32"/>
      <c r="AM573" s="31"/>
      <c r="AN573" s="31"/>
      <c r="AO573" s="31"/>
      <c r="AP573" s="31"/>
      <c r="AQ573" s="35"/>
    </row>
    <row r="574" ht="15.75" customHeight="1">
      <c r="A574" s="170">
        <v>7888.0</v>
      </c>
      <c r="B574" s="123" t="s">
        <v>230</v>
      </c>
      <c r="C574" s="123" t="s">
        <v>958</v>
      </c>
      <c r="D574" s="16" t="s">
        <v>228</v>
      </c>
      <c r="E574" s="123" t="s">
        <v>263</v>
      </c>
      <c r="F574" s="123"/>
      <c r="G574" s="123"/>
      <c r="H574" s="75">
        <v>0.0</v>
      </c>
      <c r="I574" s="75">
        <v>26.9</v>
      </c>
      <c r="J574" s="124">
        <v>1.0</v>
      </c>
      <c r="K574" s="75">
        <v>26.9</v>
      </c>
      <c r="L574" s="125">
        <v>0.0</v>
      </c>
      <c r="M574" s="125">
        <v>0.0</v>
      </c>
      <c r="N574" s="75">
        <v>20.0</v>
      </c>
      <c r="O574" s="75"/>
      <c r="P574" s="123" t="s">
        <v>60</v>
      </c>
      <c r="Q574" s="126">
        <v>21158.0</v>
      </c>
      <c r="R574" s="123" t="s">
        <v>234</v>
      </c>
      <c r="S574" s="75">
        <v>2019.0</v>
      </c>
      <c r="T574" s="136">
        <v>0.238</v>
      </c>
      <c r="U574" s="128">
        <f t="shared" si="133"/>
        <v>5035.604</v>
      </c>
      <c r="V574" s="24">
        <f t="shared" si="124"/>
        <v>187.1971747</v>
      </c>
      <c r="W574" s="3">
        <f t="shared" si="31"/>
        <v>0</v>
      </c>
      <c r="X574" s="3">
        <f t="shared" si="32"/>
        <v>0</v>
      </c>
      <c r="Y574" s="3">
        <f t="shared" si="33"/>
        <v>0</v>
      </c>
      <c r="Z574" s="25">
        <f t="shared" si="34"/>
        <v>0</v>
      </c>
      <c r="AA574" s="26">
        <f>VLOOKUP(S574,CPI!$A$2:$F$71,6,0)</f>
        <v>1.259947899</v>
      </c>
      <c r="AB574" s="27">
        <f t="shared" si="125"/>
        <v>6344.59868</v>
      </c>
      <c r="AC574" s="27">
        <f t="shared" si="126"/>
        <v>235.858687</v>
      </c>
      <c r="AD574" s="123" t="s">
        <v>60</v>
      </c>
      <c r="AE574" s="129" t="s">
        <v>974</v>
      </c>
      <c r="AF574" s="178"/>
      <c r="AG574" s="172"/>
      <c r="AH574" s="172"/>
      <c r="AI574" s="172"/>
      <c r="AJ574" s="32"/>
      <c r="AK574" s="32"/>
      <c r="AL574" s="32"/>
      <c r="AM574" s="175"/>
      <c r="AN574" s="175"/>
      <c r="AO574" s="175"/>
      <c r="AP574" s="175"/>
    </row>
    <row r="575" ht="15.75" customHeight="1">
      <c r="A575" s="163"/>
      <c r="B575" s="114" t="s">
        <v>230</v>
      </c>
      <c r="C575" s="114" t="s">
        <v>975</v>
      </c>
      <c r="D575" s="16" t="s">
        <v>57</v>
      </c>
      <c r="E575" s="114" t="s">
        <v>57</v>
      </c>
      <c r="F575" s="116">
        <v>2020.0</v>
      </c>
      <c r="G575" s="114"/>
      <c r="H575" s="116">
        <v>0.0</v>
      </c>
      <c r="I575" s="116">
        <v>20.82</v>
      </c>
      <c r="J575" s="117">
        <v>0.62</v>
      </c>
      <c r="K575" s="116">
        <v>12.86</v>
      </c>
      <c r="L575" s="114"/>
      <c r="M575" s="114"/>
      <c r="N575" s="116">
        <v>15.0</v>
      </c>
      <c r="O575" s="116"/>
      <c r="P575" s="114" t="s">
        <v>36</v>
      </c>
      <c r="Q575" s="140">
        <v>13451.89</v>
      </c>
      <c r="R575" s="114" t="s">
        <v>234</v>
      </c>
      <c r="S575" s="115">
        <v>2020.0</v>
      </c>
      <c r="T575" s="136">
        <v>0.239</v>
      </c>
      <c r="U575" s="118">
        <f t="shared" si="133"/>
        <v>3215.00171</v>
      </c>
      <c r="V575" s="24">
        <f t="shared" si="124"/>
        <v>154.4189102</v>
      </c>
      <c r="W575" s="3">
        <f t="shared" si="31"/>
        <v>0</v>
      </c>
      <c r="X575" s="3">
        <f t="shared" si="32"/>
        <v>0</v>
      </c>
      <c r="Y575" s="3">
        <f t="shared" si="33"/>
        <v>0</v>
      </c>
      <c r="Z575" s="25">
        <f t="shared" si="34"/>
        <v>0</v>
      </c>
      <c r="AA575" s="26">
        <f>VLOOKUP(S575,CPI!$A$2:$F$71,6,0)</f>
        <v>1.244593545</v>
      </c>
      <c r="AB575" s="27">
        <f t="shared" si="125"/>
        <v>4001.370376</v>
      </c>
      <c r="AC575" s="27">
        <f t="shared" si="126"/>
        <v>192.1887789</v>
      </c>
      <c r="AD575" s="114" t="s">
        <v>36</v>
      </c>
      <c r="AE575" s="119" t="s">
        <v>976</v>
      </c>
      <c r="AF575" s="173"/>
      <c r="AG575" s="174"/>
      <c r="AH575" s="174"/>
      <c r="AI575" s="174"/>
      <c r="AJ575" s="175"/>
      <c r="AK575" s="175"/>
      <c r="AL575" s="175"/>
      <c r="AM575" s="31"/>
      <c r="AN575" s="31"/>
      <c r="AO575" s="31"/>
      <c r="AP575" s="31"/>
      <c r="AQ575" s="35"/>
    </row>
    <row r="576" ht="15.75" customHeight="1">
      <c r="A576" s="7"/>
      <c r="B576" s="237" t="s">
        <v>977</v>
      </c>
      <c r="C576" s="237" t="s">
        <v>978</v>
      </c>
      <c r="D576" s="237" t="s">
        <v>57</v>
      </c>
      <c r="E576" s="237" t="s">
        <v>57</v>
      </c>
      <c r="F576" s="237">
        <v>2020.0</v>
      </c>
      <c r="G576" s="237">
        <v>2028.0</v>
      </c>
      <c r="H576" s="237">
        <v>0.0</v>
      </c>
      <c r="I576" s="237">
        <v>24.0</v>
      </c>
      <c r="J576" s="238">
        <v>0.0</v>
      </c>
      <c r="K576" s="237">
        <v>0.0</v>
      </c>
      <c r="L576" s="237">
        <v>24.0</v>
      </c>
      <c r="M576" s="237">
        <v>0.0</v>
      </c>
      <c r="N576" s="237">
        <v>27.0</v>
      </c>
      <c r="O576" s="239">
        <v>134.0</v>
      </c>
      <c r="P576" s="237" t="s">
        <v>74</v>
      </c>
      <c r="Q576" s="237">
        <v>1.294527E7</v>
      </c>
      <c r="R576" s="237" t="s">
        <v>979</v>
      </c>
      <c r="S576" s="237">
        <v>2017.0</v>
      </c>
      <c r="T576" s="237">
        <v>6.25E-4</v>
      </c>
      <c r="U576" s="118">
        <f t="shared" si="133"/>
        <v>8090.79375</v>
      </c>
      <c r="V576" s="24">
        <f t="shared" si="124"/>
        <v>337.1164063</v>
      </c>
      <c r="W576" s="3">
        <f t="shared" si="31"/>
        <v>0</v>
      </c>
      <c r="X576" s="3">
        <f t="shared" si="32"/>
        <v>0</v>
      </c>
      <c r="Y576" s="3">
        <f t="shared" si="33"/>
        <v>0</v>
      </c>
      <c r="Z576" s="25">
        <f t="shared" si="34"/>
        <v>0</v>
      </c>
      <c r="AA576" s="26">
        <f>VLOOKUP(S576,CPI!$A$2:$F$71,6,0)</f>
        <v>1.314109416</v>
      </c>
      <c r="AB576" s="27">
        <f t="shared" si="125"/>
        <v>10632.18825</v>
      </c>
      <c r="AC576" s="27">
        <f t="shared" si="126"/>
        <v>443.0078437</v>
      </c>
      <c r="AD576" s="237" t="s">
        <v>60</v>
      </c>
      <c r="AE576" s="240" t="s">
        <v>980</v>
      </c>
      <c r="AF576" s="241"/>
      <c r="AG576" s="242"/>
      <c r="AH576" s="166"/>
      <c r="AI576" s="166"/>
      <c r="AJ576" s="166"/>
      <c r="AK576" s="166"/>
      <c r="AL576" s="166"/>
      <c r="AM576" s="31"/>
      <c r="AN576" s="31"/>
      <c r="AO576" s="31"/>
      <c r="AP576" s="31"/>
      <c r="AQ576" s="35"/>
    </row>
    <row r="577" ht="15.75" customHeight="1">
      <c r="A577" s="243">
        <v>11263.0</v>
      </c>
      <c r="B577" s="142" t="s">
        <v>981</v>
      </c>
      <c r="C577" s="142" t="s">
        <v>982</v>
      </c>
      <c r="D577" s="16" t="s">
        <v>983</v>
      </c>
      <c r="E577" s="142" t="s">
        <v>984</v>
      </c>
      <c r="F577" s="152">
        <v>2004.0</v>
      </c>
      <c r="G577" s="152">
        <v>2008.0</v>
      </c>
      <c r="H577" s="152">
        <v>0.0</v>
      </c>
      <c r="I577" s="152">
        <v>4.6</v>
      </c>
      <c r="J577" s="244">
        <v>1.0</v>
      </c>
      <c r="K577" s="152">
        <v>4.6</v>
      </c>
      <c r="L577" s="152">
        <v>0.0</v>
      </c>
      <c r="M577" s="152">
        <v>0.0</v>
      </c>
      <c r="N577" s="152">
        <v>3.0</v>
      </c>
      <c r="O577" s="152">
        <v>97.0</v>
      </c>
      <c r="P577" s="142" t="s">
        <v>74</v>
      </c>
      <c r="Q577" s="245">
        <v>15000.0</v>
      </c>
      <c r="R577" s="142" t="s">
        <v>985</v>
      </c>
      <c r="S577" s="152">
        <v>2006.0</v>
      </c>
      <c r="T577" s="152">
        <v>0.069</v>
      </c>
      <c r="U577" s="75">
        <f t="shared" si="133"/>
        <v>1035</v>
      </c>
      <c r="V577" s="24">
        <f t="shared" si="124"/>
        <v>225</v>
      </c>
      <c r="W577" s="3">
        <f t="shared" si="31"/>
        <v>0</v>
      </c>
      <c r="X577" s="3">
        <f t="shared" si="32"/>
        <v>0</v>
      </c>
      <c r="Y577" s="3">
        <f t="shared" si="33"/>
        <v>0</v>
      </c>
      <c r="Z577" s="25">
        <f t="shared" si="34"/>
        <v>0</v>
      </c>
      <c r="AA577" s="26">
        <f>VLOOKUP(S577,CPI!$A$2:$F$71,6,0)</f>
        <v>1.597790179</v>
      </c>
      <c r="AB577" s="27">
        <f t="shared" si="125"/>
        <v>1653.712835</v>
      </c>
      <c r="AC577" s="27">
        <f t="shared" si="126"/>
        <v>359.5027902</v>
      </c>
      <c r="AD577" s="63" t="s">
        <v>42</v>
      </c>
      <c r="AE577" s="246" t="s">
        <v>986</v>
      </c>
      <c r="AF577" s="173"/>
      <c r="AG577" s="174"/>
      <c r="AH577" s="174"/>
      <c r="AI577" s="174"/>
      <c r="AJ577" s="175"/>
      <c r="AK577" s="175"/>
      <c r="AL577" s="175"/>
      <c r="AM577" s="31"/>
      <c r="AN577" s="31"/>
      <c r="AO577" s="31"/>
      <c r="AP577" s="31"/>
      <c r="AQ577" s="35"/>
    </row>
    <row r="578" ht="15.75" customHeight="1">
      <c r="A578" s="38">
        <v>7201.0</v>
      </c>
      <c r="B578" s="26" t="s">
        <v>981</v>
      </c>
      <c r="C578" s="26" t="s">
        <v>982</v>
      </c>
      <c r="D578" s="16" t="s">
        <v>987</v>
      </c>
      <c r="E578" s="26" t="s">
        <v>988</v>
      </c>
      <c r="F578" s="25">
        <v>2010.0</v>
      </c>
      <c r="G578" s="25">
        <v>2015.0</v>
      </c>
      <c r="H578" s="25">
        <v>0.0</v>
      </c>
      <c r="I578" s="25">
        <v>6.1</v>
      </c>
      <c r="J578" s="59">
        <v>0.97</v>
      </c>
      <c r="K578" s="58">
        <v>5.9</v>
      </c>
      <c r="L578" s="51">
        <v>0.0</v>
      </c>
      <c r="M578" s="58">
        <v>0.2</v>
      </c>
      <c r="N578" s="25">
        <v>4.0</v>
      </c>
      <c r="O578" s="25"/>
      <c r="P578" s="26" t="s">
        <v>74</v>
      </c>
      <c r="Q578" s="52">
        <v>20200.0</v>
      </c>
      <c r="R578" s="26" t="s">
        <v>985</v>
      </c>
      <c r="S578" s="25">
        <v>2012.0</v>
      </c>
      <c r="T578" s="25">
        <v>0.0752</v>
      </c>
      <c r="U578" s="25">
        <f t="shared" si="133"/>
        <v>1519.04</v>
      </c>
      <c r="V578" s="24">
        <f t="shared" si="124"/>
        <v>249.0229508</v>
      </c>
      <c r="W578" s="3">
        <f t="shared" si="31"/>
        <v>0</v>
      </c>
      <c r="X578" s="3">
        <f t="shared" si="32"/>
        <v>0</v>
      </c>
      <c r="Y578" s="3">
        <f t="shared" si="33"/>
        <v>0</v>
      </c>
      <c r="Z578" s="25">
        <f t="shared" si="34"/>
        <v>0</v>
      </c>
      <c r="AA578" s="26">
        <f>VLOOKUP(S578,CPI!$A$2:$F$71,6,0)</f>
        <v>1.402974381</v>
      </c>
      <c r="AB578" s="27">
        <f t="shared" si="125"/>
        <v>2131.174204</v>
      </c>
      <c r="AC578" s="27">
        <f t="shared" si="126"/>
        <v>349.3728202</v>
      </c>
      <c r="AD578" s="26" t="s">
        <v>36</v>
      </c>
      <c r="AE578" s="53" t="s">
        <v>989</v>
      </c>
      <c r="AF578" s="130"/>
      <c r="AG578" s="130"/>
      <c r="AH578" s="130"/>
      <c r="AI578" s="130"/>
      <c r="AJ578" s="33"/>
      <c r="AK578" s="33"/>
      <c r="AL578" s="33"/>
      <c r="AM578" s="54"/>
      <c r="AN578" s="54"/>
      <c r="AO578" s="54"/>
      <c r="AP578" s="54"/>
      <c r="AQ578" s="54"/>
    </row>
    <row r="579" ht="15.75" customHeight="1">
      <c r="A579" s="243">
        <v>11264.0</v>
      </c>
      <c r="B579" s="142" t="s">
        <v>981</v>
      </c>
      <c r="C579" s="142" t="s">
        <v>982</v>
      </c>
      <c r="D579" s="142" t="s">
        <v>990</v>
      </c>
      <c r="E579" s="142" t="s">
        <v>990</v>
      </c>
      <c r="F579" s="152">
        <v>2021.0</v>
      </c>
      <c r="G579" s="152">
        <v>2029.0</v>
      </c>
      <c r="H579" s="152">
        <v>0.0</v>
      </c>
      <c r="I579" s="152">
        <v>10.5</v>
      </c>
      <c r="J579" s="244">
        <v>0.9</v>
      </c>
      <c r="K579" s="152">
        <v>9.5</v>
      </c>
      <c r="L579" s="152">
        <v>1.0</v>
      </c>
      <c r="M579" s="152">
        <v>0.0</v>
      </c>
      <c r="N579" s="152">
        <v>10.0</v>
      </c>
      <c r="O579" s="152">
        <v>97.0</v>
      </c>
      <c r="P579" s="142" t="s">
        <v>74</v>
      </c>
      <c r="Q579" s="245">
        <v>73000.0</v>
      </c>
      <c r="R579" s="142" t="s">
        <v>985</v>
      </c>
      <c r="S579" s="152">
        <v>2025.0</v>
      </c>
      <c r="T579" s="152">
        <v>0.0776</v>
      </c>
      <c r="U579" s="75">
        <f t="shared" si="133"/>
        <v>5664.8</v>
      </c>
      <c r="V579" s="24">
        <f t="shared" si="124"/>
        <v>539.5047619</v>
      </c>
      <c r="W579" s="3">
        <f t="shared" si="31"/>
        <v>0</v>
      </c>
      <c r="X579" s="3">
        <f t="shared" si="32"/>
        <v>0</v>
      </c>
      <c r="Y579" s="3">
        <f t="shared" si="33"/>
        <v>0</v>
      </c>
      <c r="Z579" s="25">
        <f t="shared" si="34"/>
        <v>0</v>
      </c>
      <c r="AA579" s="26">
        <f>VLOOKUP(S579,CPI!$A$2:$F$71,6,0)</f>
        <v>1</v>
      </c>
      <c r="AB579" s="27">
        <f t="shared" si="125"/>
        <v>5664.8</v>
      </c>
      <c r="AC579" s="27">
        <f t="shared" si="126"/>
        <v>539.5047619</v>
      </c>
      <c r="AD579" s="63" t="s">
        <v>42</v>
      </c>
      <c r="AE579" s="246" t="s">
        <v>991</v>
      </c>
      <c r="AF579" s="173"/>
      <c r="AG579" s="174"/>
      <c r="AH579" s="174"/>
      <c r="AI579" s="174"/>
      <c r="AJ579" s="175"/>
      <c r="AK579" s="175"/>
      <c r="AL579" s="175"/>
      <c r="AM579" s="31"/>
      <c r="AN579" s="31"/>
      <c r="AO579" s="31"/>
      <c r="AP579" s="31"/>
      <c r="AQ579" s="35"/>
    </row>
    <row r="580" ht="15.75" customHeight="1">
      <c r="A580" s="7"/>
      <c r="B580" s="115" t="s">
        <v>992</v>
      </c>
      <c r="C580" s="115" t="s">
        <v>993</v>
      </c>
      <c r="D580" s="115" t="s">
        <v>994</v>
      </c>
      <c r="E580" s="115" t="s">
        <v>995</v>
      </c>
      <c r="F580" s="82">
        <v>1968.0</v>
      </c>
      <c r="G580" s="115">
        <v>1974.0</v>
      </c>
      <c r="H580" s="82">
        <v>0.0</v>
      </c>
      <c r="I580" s="82">
        <v>1.5</v>
      </c>
      <c r="J580" s="247">
        <v>1.0</v>
      </c>
      <c r="K580" s="82">
        <v>1.5</v>
      </c>
      <c r="L580" s="114"/>
      <c r="M580" s="114"/>
      <c r="N580" s="82">
        <v>2.0</v>
      </c>
      <c r="O580" s="82">
        <v>100.0</v>
      </c>
      <c r="P580" s="115" t="s">
        <v>42</v>
      </c>
      <c r="Q580" s="248">
        <v>120.0</v>
      </c>
      <c r="R580" s="115" t="s">
        <v>996</v>
      </c>
      <c r="S580" s="115">
        <v>1971.0</v>
      </c>
      <c r="T580" s="115">
        <v>0.3836</v>
      </c>
      <c r="U580" s="118">
        <f t="shared" si="133"/>
        <v>46.032</v>
      </c>
      <c r="V580" s="24">
        <f t="shared" si="124"/>
        <v>30.688</v>
      </c>
      <c r="W580" s="3">
        <f t="shared" si="31"/>
        <v>0</v>
      </c>
      <c r="X580" s="3">
        <f t="shared" si="32"/>
        <v>0</v>
      </c>
      <c r="Y580" s="3">
        <f t="shared" si="33"/>
        <v>0</v>
      </c>
      <c r="Z580" s="25">
        <f t="shared" si="34"/>
        <v>0</v>
      </c>
      <c r="AA580" s="26">
        <f>VLOOKUP(S580,CPI!$A$2:$F$71,6,0)</f>
        <v>7.953444444</v>
      </c>
      <c r="AB580" s="27">
        <f t="shared" si="125"/>
        <v>366.1129547</v>
      </c>
      <c r="AC580" s="27">
        <f t="shared" si="126"/>
        <v>244.0753031</v>
      </c>
      <c r="AD580" s="115" t="s">
        <v>42</v>
      </c>
      <c r="AE580" s="249" t="s">
        <v>997</v>
      </c>
      <c r="AF580" s="250"/>
      <c r="AG580" s="165"/>
      <c r="AH580" s="165"/>
      <c r="AI580" s="165"/>
      <c r="AJ580" s="166"/>
      <c r="AK580" s="166"/>
      <c r="AL580" s="166"/>
      <c r="AM580" s="31"/>
      <c r="AN580" s="31"/>
      <c r="AO580" s="31"/>
      <c r="AP580" s="31"/>
      <c r="AQ580" s="35"/>
    </row>
    <row r="581" ht="15.75" customHeight="1">
      <c r="A581" s="7"/>
      <c r="B581" s="115" t="s">
        <v>992</v>
      </c>
      <c r="C581" s="115" t="s">
        <v>993</v>
      </c>
      <c r="D581" s="115" t="s">
        <v>998</v>
      </c>
      <c r="E581" s="115" t="s">
        <v>999</v>
      </c>
      <c r="F581" s="82">
        <v>1978.0</v>
      </c>
      <c r="G581" s="115">
        <v>1984.0</v>
      </c>
      <c r="H581" s="82">
        <v>0.0</v>
      </c>
      <c r="I581" s="82">
        <v>4.9</v>
      </c>
      <c r="J581" s="247">
        <v>1.0</v>
      </c>
      <c r="K581" s="82">
        <v>4.9</v>
      </c>
      <c r="L581" s="114"/>
      <c r="M581" s="114"/>
      <c r="N581" s="82">
        <v>5.0</v>
      </c>
      <c r="O581" s="82">
        <v>100.0</v>
      </c>
      <c r="P581" s="115" t="s">
        <v>42</v>
      </c>
      <c r="Q581" s="248">
        <v>680.0</v>
      </c>
      <c r="R581" s="115" t="s">
        <v>996</v>
      </c>
      <c r="S581" s="115">
        <v>1981.0</v>
      </c>
      <c r="T581" s="115">
        <v>0.5251</v>
      </c>
      <c r="U581" s="118">
        <f t="shared" si="133"/>
        <v>357.068</v>
      </c>
      <c r="V581" s="24">
        <f t="shared" si="124"/>
        <v>72.87102041</v>
      </c>
      <c r="W581" s="3">
        <f t="shared" si="31"/>
        <v>0</v>
      </c>
      <c r="X581" s="3">
        <f t="shared" si="32"/>
        <v>0</v>
      </c>
      <c r="Y581" s="3">
        <f t="shared" si="33"/>
        <v>0</v>
      </c>
      <c r="Z581" s="25">
        <f t="shared" si="34"/>
        <v>0</v>
      </c>
      <c r="AA581" s="26">
        <f>VLOOKUP(S581,CPI!$A$2:$F$71,6,0)</f>
        <v>3.543613861</v>
      </c>
      <c r="AB581" s="27">
        <f t="shared" si="125"/>
        <v>1265.311114</v>
      </c>
      <c r="AC581" s="27">
        <f t="shared" si="126"/>
        <v>258.226758</v>
      </c>
      <c r="AD581" s="115" t="s">
        <v>42</v>
      </c>
      <c r="AE581" s="249" t="s">
        <v>1000</v>
      </c>
      <c r="AF581" s="250"/>
      <c r="AG581" s="165"/>
      <c r="AH581" s="165"/>
      <c r="AI581" s="165"/>
      <c r="AJ581" s="166"/>
      <c r="AK581" s="166"/>
      <c r="AL581" s="166"/>
      <c r="AM581" s="31"/>
      <c r="AN581" s="31"/>
      <c r="AO581" s="31"/>
      <c r="AP581" s="31"/>
      <c r="AQ581" s="35"/>
    </row>
    <row r="582" ht="15.75" customHeight="1">
      <c r="A582" s="38">
        <v>7600.0</v>
      </c>
      <c r="B582" s="26" t="s">
        <v>992</v>
      </c>
      <c r="C582" s="26" t="s">
        <v>993</v>
      </c>
      <c r="D582" s="1" t="s">
        <v>1001</v>
      </c>
      <c r="E582" s="26" t="s">
        <v>1002</v>
      </c>
      <c r="F582" s="25">
        <v>1985.0</v>
      </c>
      <c r="G582" s="25">
        <v>1994.0</v>
      </c>
      <c r="H582" s="25">
        <v>0.0</v>
      </c>
      <c r="I582" s="25">
        <v>3.6</v>
      </c>
      <c r="J582" s="50">
        <v>1.0</v>
      </c>
      <c r="K582" s="25">
        <v>3.6</v>
      </c>
      <c r="L582" s="51">
        <v>0.0</v>
      </c>
      <c r="M582" s="51">
        <v>0.0</v>
      </c>
      <c r="N582" s="25">
        <v>4.0</v>
      </c>
      <c r="O582" s="58">
        <v>100.0</v>
      </c>
      <c r="P582" s="26" t="s">
        <v>74</v>
      </c>
      <c r="Q582" s="52">
        <v>520.0</v>
      </c>
      <c r="R582" s="26" t="s">
        <v>52</v>
      </c>
      <c r="S582" s="25">
        <v>2020.0</v>
      </c>
      <c r="T582" s="25">
        <v>1.3</v>
      </c>
      <c r="U582" s="25">
        <f t="shared" si="133"/>
        <v>676</v>
      </c>
      <c r="V582" s="24">
        <f t="shared" si="124"/>
        <v>187.7777778</v>
      </c>
      <c r="W582" s="3">
        <f t="shared" si="31"/>
        <v>0</v>
      </c>
      <c r="X582" s="3">
        <f t="shared" si="32"/>
        <v>0</v>
      </c>
      <c r="Y582" s="3">
        <f t="shared" si="33"/>
        <v>0</v>
      </c>
      <c r="Z582" s="25">
        <f t="shared" si="34"/>
        <v>0</v>
      </c>
      <c r="AA582" s="26">
        <f>VLOOKUP(S582,CPI!$A$2:$F$71,6,0)</f>
        <v>1.244593545</v>
      </c>
      <c r="AB582" s="27">
        <f t="shared" si="125"/>
        <v>841.3452365</v>
      </c>
      <c r="AC582" s="27">
        <f t="shared" si="126"/>
        <v>233.7070101</v>
      </c>
      <c r="AD582" s="26" t="s">
        <v>36</v>
      </c>
      <c r="AE582" s="53" t="s">
        <v>1003</v>
      </c>
      <c r="AF582" s="178"/>
      <c r="AG582" s="172"/>
      <c r="AH582" s="172"/>
      <c r="AI582" s="172"/>
      <c r="AJ582" s="32"/>
      <c r="AK582" s="32"/>
      <c r="AL582" s="32"/>
      <c r="AM582" s="31"/>
      <c r="AN582" s="31"/>
      <c r="AO582" s="31"/>
      <c r="AP582" s="31"/>
      <c r="AQ582" s="35"/>
    </row>
    <row r="583" ht="15.75" customHeight="1">
      <c r="A583" s="38">
        <v>7601.0</v>
      </c>
      <c r="B583" s="26" t="s">
        <v>992</v>
      </c>
      <c r="C583" s="26" t="s">
        <v>993</v>
      </c>
      <c r="D583" s="1" t="s">
        <v>1004</v>
      </c>
      <c r="E583" s="26" t="s">
        <v>1005</v>
      </c>
      <c r="F583" s="25">
        <v>1997.0</v>
      </c>
      <c r="G583" s="25">
        <v>2000.0</v>
      </c>
      <c r="H583" s="25">
        <v>0.0</v>
      </c>
      <c r="I583" s="25">
        <v>0.8</v>
      </c>
      <c r="J583" s="50">
        <v>1.0</v>
      </c>
      <c r="K583" s="25">
        <v>0.8</v>
      </c>
      <c r="L583" s="51">
        <v>0.0</v>
      </c>
      <c r="M583" s="51">
        <v>0.0</v>
      </c>
      <c r="N583" s="25">
        <v>1.0</v>
      </c>
      <c r="O583" s="58">
        <v>100.0</v>
      </c>
      <c r="P583" s="26" t="s">
        <v>42</v>
      </c>
      <c r="Q583" s="52">
        <v>54.0</v>
      </c>
      <c r="R583" s="26" t="s">
        <v>52</v>
      </c>
      <c r="S583" s="25">
        <v>1998.0</v>
      </c>
      <c r="T583" s="25">
        <v>1.3</v>
      </c>
      <c r="U583" s="25">
        <f t="shared" si="133"/>
        <v>70.2</v>
      </c>
      <c r="V583" s="24">
        <f t="shared" si="124"/>
        <v>87.75</v>
      </c>
      <c r="W583" s="3">
        <f t="shared" si="31"/>
        <v>0</v>
      </c>
      <c r="X583" s="3">
        <f t="shared" si="32"/>
        <v>0</v>
      </c>
      <c r="Y583" s="3">
        <f t="shared" si="33"/>
        <v>0</v>
      </c>
      <c r="Z583" s="25">
        <f t="shared" si="34"/>
        <v>0</v>
      </c>
      <c r="AA583" s="26">
        <f>VLOOKUP(S583,CPI!$A$2:$F$71,6,0)</f>
        <v>1.976162577</v>
      </c>
      <c r="AB583" s="27">
        <f t="shared" si="125"/>
        <v>138.7266129</v>
      </c>
      <c r="AC583" s="27">
        <f t="shared" si="126"/>
        <v>173.4082661</v>
      </c>
      <c r="AD583" s="26" t="s">
        <v>42</v>
      </c>
      <c r="AE583" s="53" t="s">
        <v>1006</v>
      </c>
      <c r="AF583" s="178"/>
      <c r="AG583" s="172"/>
      <c r="AH583" s="172"/>
      <c r="AI583" s="172"/>
      <c r="AJ583" s="32"/>
      <c r="AK583" s="32"/>
      <c r="AL583" s="32"/>
      <c r="AM583" s="31"/>
      <c r="AN583" s="31"/>
      <c r="AO583" s="31"/>
      <c r="AP583" s="31"/>
      <c r="AQ583" s="35"/>
    </row>
    <row r="584" ht="15.75" customHeight="1">
      <c r="A584" s="38">
        <v>7264.0</v>
      </c>
      <c r="B584" s="26" t="s">
        <v>992</v>
      </c>
      <c r="C584" s="26" t="s">
        <v>993</v>
      </c>
      <c r="D584" s="26" t="s">
        <v>1007</v>
      </c>
      <c r="E584" s="26" t="s">
        <v>1007</v>
      </c>
      <c r="F584" s="25">
        <v>2004.0</v>
      </c>
      <c r="G584" s="25">
        <v>2009.0</v>
      </c>
      <c r="H584" s="25">
        <v>0.0</v>
      </c>
      <c r="I584" s="25">
        <v>1.8</v>
      </c>
      <c r="J584" s="50">
        <v>1.0</v>
      </c>
      <c r="K584" s="25">
        <v>1.8</v>
      </c>
      <c r="L584" s="51">
        <v>0.0</v>
      </c>
      <c r="M584" s="51">
        <v>0.0</v>
      </c>
      <c r="N584" s="25">
        <v>3.0</v>
      </c>
      <c r="O584" s="58">
        <v>100.0</v>
      </c>
      <c r="P584" s="26" t="s">
        <v>60</v>
      </c>
      <c r="Q584" s="52">
        <v>320.0</v>
      </c>
      <c r="R584" s="26" t="s">
        <v>52</v>
      </c>
      <c r="S584" s="25">
        <v>2006.0</v>
      </c>
      <c r="T584" s="25">
        <v>1.3</v>
      </c>
      <c r="U584" s="25">
        <f t="shared" si="133"/>
        <v>416</v>
      </c>
      <c r="V584" s="24">
        <f t="shared" si="124"/>
        <v>231.1111111</v>
      </c>
      <c r="W584" s="3">
        <f t="shared" si="31"/>
        <v>0</v>
      </c>
      <c r="X584" s="3">
        <f t="shared" si="32"/>
        <v>0</v>
      </c>
      <c r="Y584" s="3">
        <f t="shared" si="33"/>
        <v>0</v>
      </c>
      <c r="Z584" s="25">
        <f t="shared" si="34"/>
        <v>0</v>
      </c>
      <c r="AA584" s="26">
        <f>VLOOKUP(S584,CPI!$A$2:$F$71,6,0)</f>
        <v>1.597790179</v>
      </c>
      <c r="AB584" s="27">
        <f t="shared" si="125"/>
        <v>664.6807143</v>
      </c>
      <c r="AC584" s="27">
        <f t="shared" si="126"/>
        <v>369.2670635</v>
      </c>
      <c r="AD584" s="26" t="s">
        <v>60</v>
      </c>
      <c r="AE584" s="53" t="s">
        <v>1008</v>
      </c>
      <c r="AF584" s="178"/>
      <c r="AG584" s="172"/>
      <c r="AH584" s="172"/>
      <c r="AI584" s="172"/>
      <c r="AJ584" s="32"/>
      <c r="AK584" s="32"/>
      <c r="AL584" s="32"/>
      <c r="AM584" s="31"/>
      <c r="AN584" s="31"/>
      <c r="AO584" s="31"/>
      <c r="AP584" s="31"/>
      <c r="AQ584" s="35"/>
    </row>
    <row r="585" ht="15.75" customHeight="1">
      <c r="A585" s="38">
        <v>7265.0</v>
      </c>
      <c r="B585" s="26" t="s">
        <v>992</v>
      </c>
      <c r="C585" s="26" t="s">
        <v>993</v>
      </c>
      <c r="D585" s="26" t="s">
        <v>1009</v>
      </c>
      <c r="E585" s="26" t="s">
        <v>1009</v>
      </c>
      <c r="F585" s="25">
        <v>2010.0</v>
      </c>
      <c r="G585" s="25">
        <v>2020.0</v>
      </c>
      <c r="H585" s="25">
        <v>0.0</v>
      </c>
      <c r="I585" s="25">
        <v>2.2</v>
      </c>
      <c r="J585" s="50">
        <v>1.0</v>
      </c>
      <c r="K585" s="25">
        <v>2.2</v>
      </c>
      <c r="L585" s="51">
        <v>0.0</v>
      </c>
      <c r="M585" s="51">
        <v>0.0</v>
      </c>
      <c r="N585" s="25">
        <v>3.0</v>
      </c>
      <c r="O585" s="58">
        <v>100.0</v>
      </c>
      <c r="P585" s="26" t="s">
        <v>60</v>
      </c>
      <c r="Q585" s="52">
        <v>525.0</v>
      </c>
      <c r="R585" s="26" t="s">
        <v>52</v>
      </c>
      <c r="S585" s="25">
        <v>2015.0</v>
      </c>
      <c r="T585" s="25">
        <v>1.3</v>
      </c>
      <c r="U585" s="25">
        <f t="shared" si="133"/>
        <v>682.5</v>
      </c>
      <c r="V585" s="24">
        <f t="shared" si="124"/>
        <v>310.2272727</v>
      </c>
      <c r="W585" s="3">
        <f t="shared" si="31"/>
        <v>0</v>
      </c>
      <c r="X585" s="3">
        <f t="shared" si="32"/>
        <v>0</v>
      </c>
      <c r="Y585" s="3">
        <f t="shared" si="33"/>
        <v>0</v>
      </c>
      <c r="Z585" s="25">
        <f t="shared" si="34"/>
        <v>0</v>
      </c>
      <c r="AA585" s="26">
        <f>VLOOKUP(S585,CPI!$A$2:$F$71,6,0)</f>
        <v>1.359035428</v>
      </c>
      <c r="AB585" s="27">
        <f t="shared" si="125"/>
        <v>927.5416795</v>
      </c>
      <c r="AC585" s="27">
        <f t="shared" si="126"/>
        <v>421.6098543</v>
      </c>
      <c r="AD585" s="26" t="s">
        <v>60</v>
      </c>
      <c r="AE585" s="53" t="s">
        <v>1010</v>
      </c>
      <c r="AF585" s="178"/>
      <c r="AG585" s="172"/>
      <c r="AH585" s="172"/>
      <c r="AI585" s="172"/>
      <c r="AJ585" s="32"/>
      <c r="AK585" s="32"/>
      <c r="AL585" s="32"/>
      <c r="AM585" s="31"/>
      <c r="AN585" s="31"/>
      <c r="AO585" s="31"/>
      <c r="AP585" s="31"/>
      <c r="AQ585" s="35"/>
    </row>
    <row r="586" ht="15.75" customHeight="1">
      <c r="A586" s="38">
        <v>7595.0</v>
      </c>
      <c r="B586" s="26" t="s">
        <v>992</v>
      </c>
      <c r="C586" s="26" t="s">
        <v>1011</v>
      </c>
      <c r="D586" s="26" t="s">
        <v>1012</v>
      </c>
      <c r="E586" s="26" t="s">
        <v>1012</v>
      </c>
      <c r="F586" s="25">
        <v>2003.0</v>
      </c>
      <c r="G586" s="25">
        <v>2015.0</v>
      </c>
      <c r="H586" s="25">
        <v>0.0</v>
      </c>
      <c r="I586" s="25">
        <v>4.0</v>
      </c>
      <c r="J586" s="50">
        <v>1.0</v>
      </c>
      <c r="K586" s="25">
        <v>4.0</v>
      </c>
      <c r="L586" s="51">
        <v>0.0</v>
      </c>
      <c r="M586" s="51">
        <v>0.0</v>
      </c>
      <c r="N586" s="25">
        <v>6.0</v>
      </c>
      <c r="O586" s="25"/>
      <c r="P586" s="26" t="s">
        <v>74</v>
      </c>
      <c r="Q586" s="52">
        <v>1040.0</v>
      </c>
      <c r="R586" s="26" t="s">
        <v>52</v>
      </c>
      <c r="S586" s="25">
        <v>2009.0</v>
      </c>
      <c r="T586" s="25">
        <v>1.3</v>
      </c>
      <c r="U586" s="25">
        <f t="shared" si="133"/>
        <v>1352</v>
      </c>
      <c r="V586" s="24">
        <f t="shared" si="124"/>
        <v>338</v>
      </c>
      <c r="W586" s="3">
        <f t="shared" si="31"/>
        <v>0</v>
      </c>
      <c r="X586" s="3">
        <f t="shared" si="32"/>
        <v>0</v>
      </c>
      <c r="Y586" s="3">
        <f t="shared" si="33"/>
        <v>0</v>
      </c>
      <c r="Z586" s="25">
        <f t="shared" si="34"/>
        <v>0</v>
      </c>
      <c r="AA586" s="26">
        <f>VLOOKUP(S586,CPI!$A$2:$F$71,6,0)</f>
        <v>1.501440311</v>
      </c>
      <c r="AB586" s="27">
        <f t="shared" si="125"/>
        <v>2029.9473</v>
      </c>
      <c r="AC586" s="27">
        <f t="shared" si="126"/>
        <v>507.4868251</v>
      </c>
      <c r="AD586" s="26" t="s">
        <v>60</v>
      </c>
      <c r="AE586" s="53" t="s">
        <v>1013</v>
      </c>
      <c r="AF586" s="178"/>
      <c r="AG586" s="172"/>
      <c r="AH586" s="172"/>
      <c r="AI586" s="172"/>
      <c r="AJ586" s="32"/>
      <c r="AK586" s="32"/>
      <c r="AL586" s="32"/>
      <c r="AM586" s="60"/>
      <c r="AN586" s="60"/>
      <c r="AO586" s="60"/>
      <c r="AP586" s="60"/>
      <c r="AQ586" s="6"/>
    </row>
    <row r="587" ht="15.75" customHeight="1">
      <c r="A587" s="38">
        <v>7403.0</v>
      </c>
      <c r="B587" s="26" t="s">
        <v>992</v>
      </c>
      <c r="C587" s="26" t="s">
        <v>1014</v>
      </c>
      <c r="D587" s="26" t="s">
        <v>1015</v>
      </c>
      <c r="E587" s="26" t="s">
        <v>1015</v>
      </c>
      <c r="F587" s="25">
        <v>2007.0</v>
      </c>
      <c r="G587" s="25">
        <v>2016.0</v>
      </c>
      <c r="H587" s="25">
        <v>0.0</v>
      </c>
      <c r="I587" s="25">
        <v>3.4</v>
      </c>
      <c r="J587" s="50">
        <v>1.0</v>
      </c>
      <c r="K587" s="25">
        <v>3.4</v>
      </c>
      <c r="L587" s="51">
        <v>0.0</v>
      </c>
      <c r="M587" s="51">
        <v>0.0</v>
      </c>
      <c r="N587" s="25">
        <v>6.0</v>
      </c>
      <c r="O587" s="25"/>
      <c r="P587" s="26" t="s">
        <v>74</v>
      </c>
      <c r="Q587" s="52">
        <v>929.0</v>
      </c>
      <c r="R587" s="26" t="s">
        <v>52</v>
      </c>
      <c r="S587" s="25">
        <v>2012.0</v>
      </c>
      <c r="T587" s="25">
        <v>1.3</v>
      </c>
      <c r="U587" s="25">
        <f t="shared" si="133"/>
        <v>1207.7</v>
      </c>
      <c r="V587" s="24">
        <f t="shared" si="124"/>
        <v>355.2058824</v>
      </c>
      <c r="W587" s="3">
        <f t="shared" si="31"/>
        <v>0</v>
      </c>
      <c r="X587" s="3">
        <f t="shared" si="32"/>
        <v>0</v>
      </c>
      <c r="Y587" s="3">
        <f t="shared" si="33"/>
        <v>0</v>
      </c>
      <c r="Z587" s="25">
        <f t="shared" si="34"/>
        <v>0</v>
      </c>
      <c r="AA587" s="26">
        <f>VLOOKUP(S587,CPI!$A$2:$F$71,6,0)</f>
        <v>1.402974381</v>
      </c>
      <c r="AB587" s="27">
        <f t="shared" si="125"/>
        <v>1694.37216</v>
      </c>
      <c r="AC587" s="27">
        <f t="shared" si="126"/>
        <v>498.3447529</v>
      </c>
      <c r="AD587" s="26" t="s">
        <v>42</v>
      </c>
      <c r="AE587" s="57" t="s">
        <v>1016</v>
      </c>
      <c r="AF587" s="178"/>
      <c r="AG587" s="172"/>
      <c r="AH587" s="172"/>
      <c r="AI587" s="172"/>
      <c r="AJ587" s="32"/>
      <c r="AK587" s="32"/>
      <c r="AL587" s="32"/>
      <c r="AM587" s="60"/>
      <c r="AN587" s="60"/>
      <c r="AO587" s="60"/>
      <c r="AP587" s="60"/>
      <c r="AQ587" s="6"/>
    </row>
    <row r="588" ht="15.75" customHeight="1">
      <c r="A588" s="7"/>
      <c r="B588" s="115" t="s">
        <v>992</v>
      </c>
      <c r="C588" s="115" t="s">
        <v>1017</v>
      </c>
      <c r="D588" s="115" t="s">
        <v>1018</v>
      </c>
      <c r="E588" s="115" t="s">
        <v>1019</v>
      </c>
      <c r="F588" s="82">
        <v>1963.0</v>
      </c>
      <c r="G588" s="115">
        <v>1968.0</v>
      </c>
      <c r="H588" s="82">
        <v>0.0</v>
      </c>
      <c r="I588" s="82">
        <v>9.0</v>
      </c>
      <c r="J588" s="247">
        <v>0.5</v>
      </c>
      <c r="K588" s="82">
        <v>4.5</v>
      </c>
      <c r="L588" s="115">
        <v>0.0</v>
      </c>
      <c r="M588" s="115">
        <v>4.5</v>
      </c>
      <c r="N588" s="82">
        <v>14.0</v>
      </c>
      <c r="O588" s="82"/>
      <c r="P588" s="115" t="s">
        <v>59</v>
      </c>
      <c r="Q588" s="248">
        <v>830.73</v>
      </c>
      <c r="R588" s="115" t="s">
        <v>52</v>
      </c>
      <c r="S588" s="115">
        <v>2023.0</v>
      </c>
      <c r="T588" s="115">
        <v>1.45</v>
      </c>
      <c r="U588" s="118">
        <f t="shared" si="133"/>
        <v>1204.5585</v>
      </c>
      <c r="V588" s="24">
        <f t="shared" si="124"/>
        <v>133.8398333</v>
      </c>
      <c r="W588" s="3">
        <f t="shared" si="31"/>
        <v>0</v>
      </c>
      <c r="X588" s="3">
        <f t="shared" si="32"/>
        <v>0</v>
      </c>
      <c r="Y588" s="3">
        <f t="shared" si="33"/>
        <v>0</v>
      </c>
      <c r="Z588" s="25">
        <f t="shared" si="34"/>
        <v>0</v>
      </c>
      <c r="AA588" s="26">
        <f>VLOOKUP(S588,CPI!$A$2:$F$71,6,0)</f>
        <v>1.057145998</v>
      </c>
      <c r="AB588" s="27">
        <f t="shared" si="125"/>
        <v>1273.394198</v>
      </c>
      <c r="AC588" s="27">
        <f t="shared" si="126"/>
        <v>141.4882442</v>
      </c>
      <c r="AD588" s="115" t="s">
        <v>42</v>
      </c>
      <c r="AE588" s="249" t="s">
        <v>1020</v>
      </c>
      <c r="AF588" s="241"/>
      <c r="AG588" s="242"/>
      <c r="AH588" s="166"/>
      <c r="AI588" s="166"/>
      <c r="AJ588" s="166"/>
      <c r="AK588" s="166"/>
      <c r="AL588" s="166"/>
      <c r="AM588" s="60"/>
      <c r="AN588" s="60"/>
      <c r="AO588" s="60"/>
      <c r="AP588" s="60"/>
      <c r="AQ588" s="6"/>
    </row>
    <row r="589" ht="15.75" customHeight="1">
      <c r="A589" s="38">
        <v>7602.0</v>
      </c>
      <c r="B589" s="26" t="s">
        <v>992</v>
      </c>
      <c r="C589" s="26" t="s">
        <v>1017</v>
      </c>
      <c r="D589" s="26" t="s">
        <v>1021</v>
      </c>
      <c r="E589" s="26" t="s">
        <v>1021</v>
      </c>
      <c r="F589" s="25">
        <v>2019.0</v>
      </c>
      <c r="G589" s="25">
        <v>2025.0</v>
      </c>
      <c r="H589" s="25">
        <v>0.0</v>
      </c>
      <c r="I589" s="25">
        <v>2.7</v>
      </c>
      <c r="J589" s="50">
        <v>0.52</v>
      </c>
      <c r="K589" s="25">
        <v>1.4</v>
      </c>
      <c r="L589" s="51">
        <v>0.0</v>
      </c>
      <c r="M589" s="51">
        <v>0.0</v>
      </c>
      <c r="N589" s="25">
        <v>4.0</v>
      </c>
      <c r="O589" s="25"/>
      <c r="P589" s="26" t="s">
        <v>59</v>
      </c>
      <c r="Q589" s="52">
        <v>373.5</v>
      </c>
      <c r="R589" s="26" t="s">
        <v>52</v>
      </c>
      <c r="S589" s="25">
        <v>2022.0</v>
      </c>
      <c r="T589" s="25">
        <v>1.3</v>
      </c>
      <c r="U589" s="25">
        <f t="shared" si="133"/>
        <v>485.55</v>
      </c>
      <c r="V589" s="24">
        <f t="shared" si="124"/>
        <v>179.8333333</v>
      </c>
      <c r="W589" s="3">
        <f t="shared" si="31"/>
        <v>0</v>
      </c>
      <c r="X589" s="3">
        <f t="shared" si="32"/>
        <v>0</v>
      </c>
      <c r="Y589" s="3">
        <f t="shared" si="33"/>
        <v>0</v>
      </c>
      <c r="Z589" s="25">
        <f t="shared" si="34"/>
        <v>0</v>
      </c>
      <c r="AA589" s="26">
        <f>VLOOKUP(S589,CPI!$A$2:$F$71,6,0)</f>
        <v>1.100662897</v>
      </c>
      <c r="AB589" s="27">
        <f t="shared" si="125"/>
        <v>534.4268694</v>
      </c>
      <c r="AC589" s="27">
        <f t="shared" si="126"/>
        <v>197.9358776</v>
      </c>
      <c r="AD589" s="26" t="s">
        <v>42</v>
      </c>
      <c r="AE589" s="53" t="s">
        <v>1022</v>
      </c>
      <c r="AF589" s="178"/>
      <c r="AG589" s="172"/>
      <c r="AH589" s="172"/>
      <c r="AI589" s="172"/>
      <c r="AJ589" s="32"/>
      <c r="AK589" s="32"/>
      <c r="AL589" s="32"/>
      <c r="AM589" s="175"/>
      <c r="AN589" s="175"/>
      <c r="AO589" s="175"/>
      <c r="AP589" s="175"/>
    </row>
    <row r="590" ht="15.75" customHeight="1">
      <c r="A590" s="38"/>
      <c r="B590" s="26" t="s">
        <v>992</v>
      </c>
      <c r="C590" s="26" t="s">
        <v>1017</v>
      </c>
      <c r="D590" s="1" t="s">
        <v>1004</v>
      </c>
      <c r="E590" s="63" t="s">
        <v>1023</v>
      </c>
      <c r="F590" s="58">
        <v>2026.0</v>
      </c>
      <c r="G590" s="58">
        <v>2029.0</v>
      </c>
      <c r="H590" s="58">
        <v>0.0</v>
      </c>
      <c r="I590" s="58">
        <v>1.6</v>
      </c>
      <c r="J590" s="59">
        <v>0.22</v>
      </c>
      <c r="K590" s="58">
        <v>0.4</v>
      </c>
      <c r="L590" s="58">
        <v>0.0</v>
      </c>
      <c r="M590" s="58">
        <v>1.2</v>
      </c>
      <c r="N590" s="58">
        <v>1.0</v>
      </c>
      <c r="O590" s="25"/>
      <c r="P590" s="63" t="s">
        <v>42</v>
      </c>
      <c r="Q590" s="55">
        <v>200.0</v>
      </c>
      <c r="R590" s="63" t="s">
        <v>52</v>
      </c>
      <c r="S590" s="58">
        <v>2027.0</v>
      </c>
      <c r="T590" s="58">
        <v>1.45</v>
      </c>
      <c r="U590" s="25">
        <f t="shared" si="133"/>
        <v>290</v>
      </c>
      <c r="V590" s="24">
        <f t="shared" si="124"/>
        <v>181.25</v>
      </c>
      <c r="W590" s="3">
        <f t="shared" si="31"/>
        <v>0</v>
      </c>
      <c r="X590" s="3">
        <f t="shared" si="32"/>
        <v>0</v>
      </c>
      <c r="Y590" s="3">
        <f t="shared" si="33"/>
        <v>0</v>
      </c>
      <c r="Z590" s="25">
        <f t="shared" si="34"/>
        <v>0</v>
      </c>
      <c r="AA590" s="26">
        <f>VLOOKUP(S590,CPI!$A$2:$F$71,6,0)</f>
        <v>1</v>
      </c>
      <c r="AB590" s="27">
        <f t="shared" si="125"/>
        <v>290</v>
      </c>
      <c r="AC590" s="27">
        <f t="shared" si="126"/>
        <v>181.25</v>
      </c>
      <c r="AD590" s="63" t="s">
        <v>42</v>
      </c>
      <c r="AE590" s="56" t="s">
        <v>1024</v>
      </c>
      <c r="AF590" s="130"/>
      <c r="AG590" s="130"/>
      <c r="AH590" s="130"/>
      <c r="AI590" s="130"/>
      <c r="AJ590" s="33"/>
      <c r="AK590" s="33"/>
      <c r="AL590" s="33"/>
      <c r="AM590" s="54"/>
      <c r="AN590" s="54"/>
      <c r="AO590" s="54"/>
      <c r="AP590" s="54"/>
      <c r="AQ590" s="54"/>
    </row>
    <row r="591" ht="15.75" customHeight="1">
      <c r="A591" s="38">
        <v>7440.0</v>
      </c>
      <c r="B591" s="26" t="s">
        <v>992</v>
      </c>
      <c r="C591" s="26" t="s">
        <v>1025</v>
      </c>
      <c r="D591" s="1" t="s">
        <v>1026</v>
      </c>
      <c r="E591" s="26" t="s">
        <v>1027</v>
      </c>
      <c r="F591" s="25">
        <v>2007.0</v>
      </c>
      <c r="G591" s="25">
        <v>2012.0</v>
      </c>
      <c r="H591" s="25">
        <v>0.0</v>
      </c>
      <c r="I591" s="25">
        <v>3.9</v>
      </c>
      <c r="J591" s="50">
        <v>1.0</v>
      </c>
      <c r="K591" s="25">
        <v>3.9</v>
      </c>
      <c r="L591" s="51">
        <v>0.0</v>
      </c>
      <c r="M591" s="51">
        <v>0.0</v>
      </c>
      <c r="N591" s="25">
        <v>2.0</v>
      </c>
      <c r="O591" s="25"/>
      <c r="P591" s="26" t="s">
        <v>42</v>
      </c>
      <c r="Q591" s="52">
        <v>326.3</v>
      </c>
      <c r="R591" s="26" t="s">
        <v>52</v>
      </c>
      <c r="S591" s="25">
        <v>2009.0</v>
      </c>
      <c r="T591" s="25">
        <v>1.3</v>
      </c>
      <c r="U591" s="25">
        <f t="shared" si="133"/>
        <v>424.19</v>
      </c>
      <c r="V591" s="24">
        <f t="shared" si="124"/>
        <v>108.7666667</v>
      </c>
      <c r="W591" s="3">
        <f t="shared" si="31"/>
        <v>0</v>
      </c>
      <c r="X591" s="3">
        <f t="shared" si="32"/>
        <v>0</v>
      </c>
      <c r="Y591" s="3">
        <f t="shared" si="33"/>
        <v>0</v>
      </c>
      <c r="Z591" s="25">
        <f t="shared" si="34"/>
        <v>0</v>
      </c>
      <c r="AA591" s="26">
        <f>VLOOKUP(S591,CPI!$A$2:$F$71,6,0)</f>
        <v>1.501440311</v>
      </c>
      <c r="AB591" s="27">
        <f t="shared" si="125"/>
        <v>636.8959655</v>
      </c>
      <c r="AC591" s="27">
        <f t="shared" si="126"/>
        <v>163.3066578</v>
      </c>
      <c r="AD591" s="26" t="s">
        <v>42</v>
      </c>
      <c r="AE591" s="251" t="s">
        <v>1028</v>
      </c>
      <c r="AF591" s="130"/>
      <c r="AG591" s="130"/>
      <c r="AH591" s="130"/>
      <c r="AI591" s="130"/>
      <c r="AJ591" s="33"/>
      <c r="AK591" s="33"/>
      <c r="AL591" s="33"/>
      <c r="AM591" s="54"/>
      <c r="AN591" s="54"/>
      <c r="AO591" s="54"/>
      <c r="AP591" s="54"/>
      <c r="AQ591" s="54"/>
    </row>
    <row r="592" ht="15.75" customHeight="1">
      <c r="A592" s="38">
        <v>7441.0</v>
      </c>
      <c r="B592" s="26" t="s">
        <v>992</v>
      </c>
      <c r="C592" s="26" t="s">
        <v>1025</v>
      </c>
      <c r="D592" s="1" t="s">
        <v>1026</v>
      </c>
      <c r="E592" s="26" t="s">
        <v>1029</v>
      </c>
      <c r="F592" s="25">
        <v>2014.0</v>
      </c>
      <c r="G592" s="25">
        <v>2018.0</v>
      </c>
      <c r="H592" s="25">
        <v>0.0</v>
      </c>
      <c r="I592" s="25">
        <v>1.3</v>
      </c>
      <c r="J592" s="50">
        <v>1.0</v>
      </c>
      <c r="K592" s="25">
        <v>1.3</v>
      </c>
      <c r="L592" s="51">
        <v>0.0</v>
      </c>
      <c r="M592" s="51">
        <v>0.0</v>
      </c>
      <c r="N592" s="25">
        <v>1.0</v>
      </c>
      <c r="O592" s="25"/>
      <c r="P592" s="26" t="s">
        <v>42</v>
      </c>
      <c r="Q592" s="52">
        <v>178.0</v>
      </c>
      <c r="R592" s="26" t="s">
        <v>52</v>
      </c>
      <c r="S592" s="25">
        <v>2016.0</v>
      </c>
      <c r="T592" s="25">
        <v>1.3</v>
      </c>
      <c r="U592" s="25">
        <f t="shared" si="133"/>
        <v>231.4</v>
      </c>
      <c r="V592" s="24">
        <f t="shared" si="124"/>
        <v>178</v>
      </c>
      <c r="W592" s="3">
        <f t="shared" si="31"/>
        <v>0</v>
      </c>
      <c r="X592" s="3">
        <f t="shared" si="32"/>
        <v>0</v>
      </c>
      <c r="Y592" s="3">
        <f t="shared" si="33"/>
        <v>0</v>
      </c>
      <c r="Z592" s="25">
        <f t="shared" si="34"/>
        <v>0</v>
      </c>
      <c r="AA592" s="26">
        <f>VLOOKUP(S592,CPI!$A$2:$F$71,6,0)</f>
        <v>1.342104605</v>
      </c>
      <c r="AB592" s="27">
        <f t="shared" si="125"/>
        <v>310.5630057</v>
      </c>
      <c r="AC592" s="27">
        <f t="shared" si="126"/>
        <v>238.8946197</v>
      </c>
      <c r="AD592" s="26" t="s">
        <v>42</v>
      </c>
      <c r="AE592" s="53" t="s">
        <v>1028</v>
      </c>
      <c r="AF592" s="178"/>
      <c r="AG592" s="172"/>
      <c r="AH592" s="172"/>
      <c r="AI592" s="172"/>
      <c r="AJ592" s="32"/>
      <c r="AK592" s="32"/>
      <c r="AL592" s="32"/>
      <c r="AM592" s="31"/>
      <c r="AN592" s="31"/>
      <c r="AO592" s="31"/>
      <c r="AP592" s="31"/>
      <c r="AQ592" s="35"/>
    </row>
    <row r="593" ht="15.75" customHeight="1">
      <c r="A593" s="38">
        <v>7442.0</v>
      </c>
      <c r="B593" s="26" t="s">
        <v>992</v>
      </c>
      <c r="C593" s="26" t="s">
        <v>1025</v>
      </c>
      <c r="D593" s="1" t="s">
        <v>1026</v>
      </c>
      <c r="E593" s="63" t="s">
        <v>1030</v>
      </c>
      <c r="F593" s="58">
        <v>2021.0</v>
      </c>
      <c r="G593" s="58">
        <v>2027.0</v>
      </c>
      <c r="H593" s="25">
        <v>0.0</v>
      </c>
      <c r="I593" s="58">
        <v>2.6</v>
      </c>
      <c r="J593" s="50">
        <v>1.0</v>
      </c>
      <c r="K593" s="58">
        <v>2.6</v>
      </c>
      <c r="L593" s="51">
        <v>0.0</v>
      </c>
      <c r="M593" s="51">
        <v>0.0</v>
      </c>
      <c r="N593" s="58">
        <v>2.0</v>
      </c>
      <c r="O593" s="25"/>
      <c r="P593" s="63" t="s">
        <v>74</v>
      </c>
      <c r="Q593" s="55">
        <v>561.0</v>
      </c>
      <c r="R593" s="26" t="s">
        <v>52</v>
      </c>
      <c r="S593" s="58">
        <v>2024.0</v>
      </c>
      <c r="T593" s="58">
        <v>1.4</v>
      </c>
      <c r="U593" s="25">
        <f t="shared" si="133"/>
        <v>785.4</v>
      </c>
      <c r="V593" s="24">
        <f t="shared" si="124"/>
        <v>302.0769231</v>
      </c>
      <c r="W593" s="3">
        <f t="shared" si="31"/>
        <v>0</v>
      </c>
      <c r="X593" s="3">
        <f t="shared" si="32"/>
        <v>0</v>
      </c>
      <c r="Y593" s="3">
        <f t="shared" si="33"/>
        <v>0</v>
      </c>
      <c r="Z593" s="25">
        <f t="shared" si="34"/>
        <v>0</v>
      </c>
      <c r="AA593" s="26">
        <f>VLOOKUP(S593,CPI!$A$2:$F$71,6,0)</f>
        <v>1</v>
      </c>
      <c r="AB593" s="27">
        <f t="shared" si="125"/>
        <v>785.4</v>
      </c>
      <c r="AC593" s="27">
        <f t="shared" si="126"/>
        <v>302.0769231</v>
      </c>
      <c r="AD593" s="63" t="s">
        <v>60</v>
      </c>
      <c r="AE593" s="56" t="s">
        <v>1031</v>
      </c>
      <c r="AF593" s="130"/>
      <c r="AG593" s="130"/>
      <c r="AH593" s="130"/>
      <c r="AI593" s="130"/>
      <c r="AJ593" s="33"/>
      <c r="AK593" s="33"/>
      <c r="AL593" s="33"/>
      <c r="AM593" s="54"/>
      <c r="AN593" s="54"/>
      <c r="AO593" s="54"/>
      <c r="AP593" s="54"/>
      <c r="AQ593" s="54"/>
    </row>
    <row r="594" ht="15.75" customHeight="1">
      <c r="A594" s="61">
        <v>9769.0</v>
      </c>
      <c r="B594" s="26" t="s">
        <v>992</v>
      </c>
      <c r="C594" s="26" t="s">
        <v>1025</v>
      </c>
      <c r="D594" s="1" t="s">
        <v>1032</v>
      </c>
      <c r="E594" s="26" t="s">
        <v>1033</v>
      </c>
      <c r="F594" s="25">
        <v>2021.0</v>
      </c>
      <c r="G594" s="25">
        <v>2030.0</v>
      </c>
      <c r="H594" s="25">
        <v>0.0</v>
      </c>
      <c r="I594" s="25">
        <v>5.8</v>
      </c>
      <c r="J594" s="50">
        <v>0.93</v>
      </c>
      <c r="K594" s="25">
        <v>5.4</v>
      </c>
      <c r="L594" s="51">
        <v>0.0</v>
      </c>
      <c r="M594" s="51">
        <v>0.0</v>
      </c>
      <c r="N594" s="25">
        <v>5.0</v>
      </c>
      <c r="O594" s="25"/>
      <c r="P594" s="26" t="s">
        <v>42</v>
      </c>
      <c r="Q594" s="55">
        <v>2860.0</v>
      </c>
      <c r="R594" s="26" t="s">
        <v>52</v>
      </c>
      <c r="S594" s="25">
        <v>2025.0</v>
      </c>
      <c r="T594" s="25">
        <v>1.3</v>
      </c>
      <c r="U594" s="25">
        <f t="shared" si="133"/>
        <v>3718</v>
      </c>
      <c r="V594" s="24">
        <f t="shared" si="124"/>
        <v>641.0344828</v>
      </c>
      <c r="W594" s="3">
        <f t="shared" si="31"/>
        <v>0</v>
      </c>
      <c r="X594" s="3">
        <f t="shared" si="32"/>
        <v>0</v>
      </c>
      <c r="Y594" s="3">
        <f t="shared" si="33"/>
        <v>0</v>
      </c>
      <c r="Z594" s="25">
        <f t="shared" si="34"/>
        <v>0</v>
      </c>
      <c r="AA594" s="26">
        <f>VLOOKUP(S594,CPI!$A$2:$F$71,6,0)</f>
        <v>1</v>
      </c>
      <c r="AB594" s="27">
        <f t="shared" si="125"/>
        <v>3718</v>
      </c>
      <c r="AC594" s="27">
        <f t="shared" si="126"/>
        <v>641.0344828</v>
      </c>
      <c r="AD594" s="26" t="s">
        <v>42</v>
      </c>
      <c r="AE594" s="56" t="s">
        <v>1034</v>
      </c>
      <c r="AF594" s="130"/>
      <c r="AG594" s="130"/>
      <c r="AH594" s="130"/>
      <c r="AI594" s="130"/>
      <c r="AJ594" s="33"/>
      <c r="AK594" s="33"/>
      <c r="AL594" s="33"/>
      <c r="AM594" s="54"/>
      <c r="AN594" s="54"/>
      <c r="AO594" s="54"/>
      <c r="AP594" s="54"/>
      <c r="AQ594" s="54"/>
    </row>
    <row r="595" ht="15.75" customHeight="1">
      <c r="A595" s="38">
        <v>7402.0</v>
      </c>
      <c r="B595" s="26" t="s">
        <v>992</v>
      </c>
      <c r="C595" s="26" t="s">
        <v>1035</v>
      </c>
      <c r="D595" s="26" t="s">
        <v>1036</v>
      </c>
      <c r="E595" s="26" t="s">
        <v>1036</v>
      </c>
      <c r="F595" s="25">
        <v>2010.0</v>
      </c>
      <c r="G595" s="25">
        <v>2021.0</v>
      </c>
      <c r="H595" s="25">
        <v>1.0</v>
      </c>
      <c r="I595" s="25">
        <v>4.8</v>
      </c>
      <c r="J595" s="50">
        <v>1.0</v>
      </c>
      <c r="K595" s="25">
        <v>4.8</v>
      </c>
      <c r="L595" s="51">
        <v>0.0</v>
      </c>
      <c r="M595" s="51">
        <v>0.0</v>
      </c>
      <c r="N595" s="25">
        <v>6.0</v>
      </c>
      <c r="O595" s="25"/>
      <c r="P595" s="26" t="s">
        <v>60</v>
      </c>
      <c r="Q595" s="52">
        <v>1457.3</v>
      </c>
      <c r="R595" s="26" t="s">
        <v>52</v>
      </c>
      <c r="S595" s="25">
        <v>2016.0</v>
      </c>
      <c r="T595" s="25">
        <v>1.3</v>
      </c>
      <c r="U595" s="25">
        <f t="shared" si="133"/>
        <v>1894.49</v>
      </c>
      <c r="V595" s="24">
        <f t="shared" si="124"/>
        <v>394.6854167</v>
      </c>
      <c r="W595" s="3">
        <f t="shared" si="31"/>
        <v>0</v>
      </c>
      <c r="X595" s="3">
        <f t="shared" si="32"/>
        <v>0</v>
      </c>
      <c r="Y595" s="3">
        <f t="shared" si="33"/>
        <v>0</v>
      </c>
      <c r="Z595" s="25">
        <f t="shared" si="34"/>
        <v>0</v>
      </c>
      <c r="AA595" s="26">
        <f>VLOOKUP(S595,CPI!$A$2:$F$71,6,0)</f>
        <v>1.342104605</v>
      </c>
      <c r="AB595" s="27">
        <f t="shared" si="125"/>
        <v>2542.603754</v>
      </c>
      <c r="AC595" s="27">
        <f t="shared" si="126"/>
        <v>529.7091153</v>
      </c>
      <c r="AD595" s="26" t="s">
        <v>60</v>
      </c>
      <c r="AE595" s="53" t="s">
        <v>1037</v>
      </c>
      <c r="AF595" s="178"/>
      <c r="AG595" s="172"/>
      <c r="AH595" s="172"/>
      <c r="AI595" s="172"/>
      <c r="AJ595" s="32"/>
      <c r="AK595" s="32"/>
      <c r="AL595" s="32"/>
      <c r="AM595" s="31"/>
      <c r="AN595" s="31"/>
      <c r="AO595" s="31"/>
      <c r="AP595" s="31"/>
      <c r="AQ595" s="35"/>
    </row>
    <row r="596" ht="15.75" customHeight="1">
      <c r="A596" s="38">
        <v>7251.0</v>
      </c>
      <c r="B596" s="26" t="s">
        <v>992</v>
      </c>
      <c r="C596" s="26" t="s">
        <v>1038</v>
      </c>
      <c r="D596" s="26" t="s">
        <v>1039</v>
      </c>
      <c r="E596" s="26" t="s">
        <v>1039</v>
      </c>
      <c r="F596" s="25">
        <v>2003.0</v>
      </c>
      <c r="G596" s="25">
        <v>2013.0</v>
      </c>
      <c r="H596" s="25">
        <v>1.0</v>
      </c>
      <c r="I596" s="25">
        <v>3.6</v>
      </c>
      <c r="J596" s="50">
        <v>1.0</v>
      </c>
      <c r="K596" s="25">
        <v>3.6</v>
      </c>
      <c r="L596" s="51">
        <v>0.0</v>
      </c>
      <c r="M596" s="51">
        <v>0.0</v>
      </c>
      <c r="N596" s="25">
        <v>4.0</v>
      </c>
      <c r="O596" s="25"/>
      <c r="P596" s="26" t="s">
        <v>74</v>
      </c>
      <c r="Q596" s="52">
        <v>960.0</v>
      </c>
      <c r="R596" s="26" t="s">
        <v>52</v>
      </c>
      <c r="S596" s="25">
        <v>2008.0</v>
      </c>
      <c r="T596" s="25">
        <v>1.3</v>
      </c>
      <c r="U596" s="25">
        <f t="shared" si="133"/>
        <v>1248</v>
      </c>
      <c r="V596" s="24">
        <f t="shared" si="124"/>
        <v>346.6666667</v>
      </c>
      <c r="W596" s="3">
        <f t="shared" si="31"/>
        <v>0</v>
      </c>
      <c r="X596" s="3">
        <f t="shared" si="32"/>
        <v>0</v>
      </c>
      <c r="Y596" s="3">
        <f t="shared" si="33"/>
        <v>0</v>
      </c>
      <c r="Z596" s="25">
        <f t="shared" si="34"/>
        <v>0</v>
      </c>
      <c r="AA596" s="26">
        <f>VLOOKUP(S596,CPI!$A$2:$F$71,6,0)</f>
        <v>1.496098522</v>
      </c>
      <c r="AB596" s="27">
        <f t="shared" si="125"/>
        <v>1867.130955</v>
      </c>
      <c r="AC596" s="27">
        <f t="shared" si="126"/>
        <v>518.6474875</v>
      </c>
      <c r="AD596" s="26" t="s">
        <v>60</v>
      </c>
      <c r="AE596" s="57" t="s">
        <v>1040</v>
      </c>
      <c r="AF596" s="178"/>
      <c r="AG596" s="172"/>
      <c r="AH596" s="172"/>
      <c r="AI596" s="172"/>
      <c r="AJ596" s="32"/>
      <c r="AK596" s="32"/>
      <c r="AL596" s="32"/>
      <c r="AM596" s="31"/>
      <c r="AN596" s="31"/>
      <c r="AO596" s="31"/>
      <c r="AP596" s="31"/>
      <c r="AQ596" s="35"/>
    </row>
    <row r="597" ht="15.75" customHeight="1">
      <c r="A597" s="7"/>
      <c r="B597" s="115" t="s">
        <v>992</v>
      </c>
      <c r="C597" s="115" t="s">
        <v>1041</v>
      </c>
      <c r="D597" s="115" t="s">
        <v>1042</v>
      </c>
      <c r="E597" s="115" t="s">
        <v>1042</v>
      </c>
      <c r="F597" s="82">
        <v>1965.0</v>
      </c>
      <c r="G597" s="115">
        <v>1971.0</v>
      </c>
      <c r="H597" s="82">
        <v>1.0</v>
      </c>
      <c r="I597" s="82">
        <v>11.4</v>
      </c>
      <c r="J597" s="247">
        <v>0.36</v>
      </c>
      <c r="K597" s="82">
        <v>4.1</v>
      </c>
      <c r="L597" s="114"/>
      <c r="M597" s="114"/>
      <c r="N597" s="82">
        <v>5.0</v>
      </c>
      <c r="O597" s="82">
        <v>200.0</v>
      </c>
      <c r="P597" s="115" t="s">
        <v>59</v>
      </c>
      <c r="Q597" s="248">
        <v>900.0</v>
      </c>
      <c r="R597" s="115" t="s">
        <v>996</v>
      </c>
      <c r="S597" s="115">
        <v>1968.0</v>
      </c>
      <c r="T597" s="115">
        <v>0.3532</v>
      </c>
      <c r="U597" s="118">
        <f t="shared" si="133"/>
        <v>317.88</v>
      </c>
      <c r="V597" s="24">
        <f t="shared" si="124"/>
        <v>27.88421053</v>
      </c>
      <c r="W597" s="3">
        <f t="shared" si="31"/>
        <v>0</v>
      </c>
      <c r="X597" s="3">
        <f t="shared" si="32"/>
        <v>0</v>
      </c>
      <c r="Y597" s="3">
        <f t="shared" si="33"/>
        <v>0</v>
      </c>
      <c r="Z597" s="25">
        <f t="shared" si="34"/>
        <v>0</v>
      </c>
      <c r="AA597" s="26">
        <f>VLOOKUP(S597,CPI!$A$2:$F$71,6,0)</f>
        <v>9.256163793</v>
      </c>
      <c r="AB597" s="27">
        <f t="shared" si="125"/>
        <v>2942.349347</v>
      </c>
      <c r="AC597" s="27">
        <f t="shared" si="126"/>
        <v>258.1008199</v>
      </c>
      <c r="AD597" s="115" t="s">
        <v>42</v>
      </c>
      <c r="AE597" s="249" t="s">
        <v>1043</v>
      </c>
      <c r="AF597" s="250"/>
      <c r="AG597" s="165"/>
      <c r="AH597" s="165"/>
      <c r="AI597" s="165"/>
      <c r="AJ597" s="166"/>
      <c r="AK597" s="166"/>
      <c r="AL597" s="166"/>
      <c r="AM597" s="31"/>
      <c r="AN597" s="31"/>
      <c r="AO597" s="31"/>
      <c r="AP597" s="31"/>
      <c r="AQ597" s="35"/>
    </row>
    <row r="598" ht="15.75" customHeight="1">
      <c r="A598" s="243">
        <v>11265.0</v>
      </c>
      <c r="B598" s="142" t="s">
        <v>992</v>
      </c>
      <c r="C598" s="142" t="s">
        <v>1041</v>
      </c>
      <c r="D598" s="16" t="s">
        <v>1044</v>
      </c>
      <c r="E598" s="142" t="s">
        <v>1045</v>
      </c>
      <c r="F598" s="152">
        <v>2004.0</v>
      </c>
      <c r="G598" s="152">
        <v>2010.0</v>
      </c>
      <c r="H598" s="152">
        <v>0.0</v>
      </c>
      <c r="I598" s="152">
        <v>1.7</v>
      </c>
      <c r="J598" s="244">
        <v>1.0</v>
      </c>
      <c r="K598" s="152">
        <v>1.7</v>
      </c>
      <c r="L598" s="152">
        <v>0.0</v>
      </c>
      <c r="M598" s="152">
        <v>0.0</v>
      </c>
      <c r="N598" s="152">
        <v>2.0</v>
      </c>
      <c r="O598" s="152">
        <v>120.0</v>
      </c>
      <c r="P598" s="142" t="s">
        <v>36</v>
      </c>
      <c r="Q598" s="245">
        <v>180.0</v>
      </c>
      <c r="R598" s="142" t="s">
        <v>52</v>
      </c>
      <c r="S598" s="152">
        <v>2007.0</v>
      </c>
      <c r="T598" s="152">
        <v>1.25</v>
      </c>
      <c r="U598" s="75">
        <f t="shared" si="133"/>
        <v>225</v>
      </c>
      <c r="V598" s="24">
        <f t="shared" si="124"/>
        <v>132.3529412</v>
      </c>
      <c r="W598" s="3">
        <f t="shared" si="31"/>
        <v>0</v>
      </c>
      <c r="X598" s="3">
        <f t="shared" si="32"/>
        <v>0</v>
      </c>
      <c r="Y598" s="3">
        <f t="shared" si="33"/>
        <v>0</v>
      </c>
      <c r="Z598" s="25">
        <f t="shared" si="34"/>
        <v>0</v>
      </c>
      <c r="AA598" s="26">
        <f>VLOOKUP(S598,CPI!$A$2:$F$71,6,0)</f>
        <v>1.553541974</v>
      </c>
      <c r="AB598" s="27">
        <f t="shared" si="125"/>
        <v>349.5469442</v>
      </c>
      <c r="AC598" s="27">
        <f t="shared" si="126"/>
        <v>205.6158495</v>
      </c>
      <c r="AD598" s="63" t="s">
        <v>36</v>
      </c>
      <c r="AE598" s="246" t="s">
        <v>1046</v>
      </c>
      <c r="AF598" s="173"/>
      <c r="AG598" s="174"/>
      <c r="AH598" s="174"/>
      <c r="AI598" s="174"/>
      <c r="AJ598" s="175"/>
      <c r="AK598" s="175"/>
      <c r="AL598" s="175"/>
      <c r="AM598" s="31"/>
      <c r="AN598" s="31"/>
      <c r="AO598" s="31"/>
      <c r="AP598" s="31"/>
      <c r="AQ598" s="35"/>
    </row>
    <row r="599" ht="15.75" customHeight="1">
      <c r="A599" s="243">
        <v>11249.0</v>
      </c>
      <c r="B599" s="142" t="s">
        <v>992</v>
      </c>
      <c r="C599" s="142" t="s">
        <v>1041</v>
      </c>
      <c r="D599" s="123" t="s">
        <v>1047</v>
      </c>
      <c r="E599" s="123" t="s">
        <v>1047</v>
      </c>
      <c r="F599" s="152">
        <v>2016.0</v>
      </c>
      <c r="G599" s="152">
        <v>2028.0</v>
      </c>
      <c r="H599" s="152">
        <v>1.0</v>
      </c>
      <c r="I599" s="75">
        <v>7.2</v>
      </c>
      <c r="J599" s="124">
        <f>K599/I599</f>
        <v>1</v>
      </c>
      <c r="K599" s="152">
        <v>7.2</v>
      </c>
      <c r="L599" s="152">
        <v>0.0</v>
      </c>
      <c r="M599" s="152">
        <v>0.0</v>
      </c>
      <c r="N599" s="152">
        <v>3.0</v>
      </c>
      <c r="O599" s="152">
        <v>210.0</v>
      </c>
      <c r="P599" s="142" t="s">
        <v>60</v>
      </c>
      <c r="Q599" s="157">
        <v>3849.0</v>
      </c>
      <c r="R599" s="123" t="s">
        <v>52</v>
      </c>
      <c r="S599" s="152">
        <v>2020.0</v>
      </c>
      <c r="T599" s="152">
        <v>1.35</v>
      </c>
      <c r="U599" s="75">
        <f t="shared" si="133"/>
        <v>5196.15</v>
      </c>
      <c r="V599" s="24">
        <f t="shared" si="124"/>
        <v>721.6875</v>
      </c>
      <c r="W599" s="3">
        <f t="shared" si="31"/>
        <v>0</v>
      </c>
      <c r="X599" s="3">
        <f t="shared" si="32"/>
        <v>0</v>
      </c>
      <c r="Y599" s="3">
        <f t="shared" si="33"/>
        <v>0</v>
      </c>
      <c r="Z599" s="25">
        <f t="shared" si="34"/>
        <v>0</v>
      </c>
      <c r="AA599" s="26">
        <f>VLOOKUP(S599,CPI!$A$2:$F$71,6,0)</f>
        <v>1.244593545</v>
      </c>
      <c r="AB599" s="27">
        <f t="shared" si="125"/>
        <v>6467.094749</v>
      </c>
      <c r="AC599" s="27">
        <f t="shared" si="126"/>
        <v>898.2076041</v>
      </c>
      <c r="AD599" s="63" t="s">
        <v>60</v>
      </c>
      <c r="AE599" s="252" t="s">
        <v>1048</v>
      </c>
      <c r="AF599" s="178"/>
      <c r="AG599" s="172"/>
      <c r="AH599" s="172"/>
      <c r="AI599" s="172"/>
      <c r="AJ599" s="32"/>
      <c r="AK599" s="32"/>
      <c r="AL599" s="32"/>
      <c r="AM599" s="31"/>
      <c r="AN599" s="31"/>
      <c r="AO599" s="31"/>
      <c r="AP599" s="31"/>
      <c r="AQ599" s="35"/>
    </row>
    <row r="600" ht="15.75" customHeight="1">
      <c r="A600" s="243">
        <v>11270.0</v>
      </c>
      <c r="B600" s="142" t="s">
        <v>992</v>
      </c>
      <c r="C600" s="142" t="s">
        <v>1041</v>
      </c>
      <c r="D600" s="16" t="s">
        <v>1032</v>
      </c>
      <c r="E600" s="142" t="s">
        <v>1049</v>
      </c>
      <c r="F600" s="152">
        <v>2022.0</v>
      </c>
      <c r="G600" s="152">
        <v>2029.0</v>
      </c>
      <c r="H600" s="152">
        <v>0.0</v>
      </c>
      <c r="I600" s="152">
        <v>3.8</v>
      </c>
      <c r="J600" s="244">
        <v>1.0</v>
      </c>
      <c r="K600" s="152">
        <v>3.8</v>
      </c>
      <c r="L600" s="152">
        <v>0.0</v>
      </c>
      <c r="M600" s="152">
        <v>0.0</v>
      </c>
      <c r="N600" s="152">
        <v>3.0</v>
      </c>
      <c r="O600" s="152">
        <v>120.0</v>
      </c>
      <c r="P600" s="142" t="s">
        <v>60</v>
      </c>
      <c r="Q600" s="245">
        <v>988.0</v>
      </c>
      <c r="R600" s="142" t="s">
        <v>52</v>
      </c>
      <c r="S600" s="152">
        <v>2025.0</v>
      </c>
      <c r="T600" s="152">
        <v>1.35</v>
      </c>
      <c r="U600" s="75">
        <f t="shared" si="133"/>
        <v>1333.8</v>
      </c>
      <c r="V600" s="24">
        <f t="shared" si="124"/>
        <v>351</v>
      </c>
      <c r="W600" s="3">
        <f t="shared" si="31"/>
        <v>0</v>
      </c>
      <c r="X600" s="3">
        <f t="shared" si="32"/>
        <v>0</v>
      </c>
      <c r="Y600" s="3">
        <f t="shared" si="33"/>
        <v>0</v>
      </c>
      <c r="Z600" s="25">
        <f t="shared" si="34"/>
        <v>0</v>
      </c>
      <c r="AA600" s="26">
        <f>VLOOKUP(S600,CPI!$A$2:$F$71,6,0)</f>
        <v>1</v>
      </c>
      <c r="AB600" s="27">
        <f t="shared" si="125"/>
        <v>1333.8</v>
      </c>
      <c r="AC600" s="27">
        <f t="shared" si="126"/>
        <v>351</v>
      </c>
      <c r="AD600" s="63" t="s">
        <v>42</v>
      </c>
      <c r="AE600" s="246" t="s">
        <v>1050</v>
      </c>
      <c r="AF600" s="173"/>
      <c r="AG600" s="174"/>
      <c r="AH600" s="174"/>
      <c r="AI600" s="174"/>
      <c r="AJ600" s="175"/>
      <c r="AK600" s="175"/>
      <c r="AL600" s="175"/>
      <c r="AM600" s="31"/>
      <c r="AN600" s="31"/>
      <c r="AO600" s="31"/>
      <c r="AP600" s="31"/>
      <c r="AQ600" s="35"/>
    </row>
    <row r="601" ht="15.75" customHeight="1">
      <c r="A601" s="38">
        <v>7594.0</v>
      </c>
      <c r="B601" s="26" t="s">
        <v>992</v>
      </c>
      <c r="C601" s="26" t="s">
        <v>1051</v>
      </c>
      <c r="D601" s="1" t="s">
        <v>1044</v>
      </c>
      <c r="E601" s="63" t="s">
        <v>1052</v>
      </c>
      <c r="F601" s="58">
        <v>2014.0</v>
      </c>
      <c r="G601" s="58">
        <v>2020.0</v>
      </c>
      <c r="H601" s="25">
        <v>0.0</v>
      </c>
      <c r="I601" s="58">
        <v>1.1</v>
      </c>
      <c r="J601" s="50">
        <v>1.0</v>
      </c>
      <c r="K601" s="58">
        <v>1.1</v>
      </c>
      <c r="L601" s="51">
        <v>0.0</v>
      </c>
      <c r="M601" s="51">
        <v>0.0</v>
      </c>
      <c r="N601" s="25">
        <v>1.0</v>
      </c>
      <c r="O601" s="58">
        <v>90.0</v>
      </c>
      <c r="P601" s="63" t="s">
        <v>60</v>
      </c>
      <c r="Q601" s="55">
        <v>69.0</v>
      </c>
      <c r="R601" s="26" t="s">
        <v>52</v>
      </c>
      <c r="S601" s="58">
        <v>2017.0</v>
      </c>
      <c r="T601" s="25">
        <v>1.3</v>
      </c>
      <c r="U601" s="25">
        <f t="shared" si="133"/>
        <v>89.7</v>
      </c>
      <c r="V601" s="24">
        <f t="shared" si="124"/>
        <v>81.54545455</v>
      </c>
      <c r="W601" s="3">
        <f t="shared" si="31"/>
        <v>0</v>
      </c>
      <c r="X601" s="3">
        <f t="shared" si="32"/>
        <v>0</v>
      </c>
      <c r="Y601" s="3">
        <f t="shared" si="33"/>
        <v>0</v>
      </c>
      <c r="Z601" s="25">
        <f t="shared" si="34"/>
        <v>0</v>
      </c>
      <c r="AA601" s="26">
        <f>VLOOKUP(S601,CPI!$A$2:$F$71,6,0)</f>
        <v>1.314109416</v>
      </c>
      <c r="AB601" s="27">
        <f t="shared" si="125"/>
        <v>117.8756146</v>
      </c>
      <c r="AC601" s="27">
        <f t="shared" si="126"/>
        <v>107.1596496</v>
      </c>
      <c r="AD601" s="26" t="s">
        <v>42</v>
      </c>
      <c r="AE601" s="88" t="s">
        <v>1053</v>
      </c>
      <c r="AF601" s="178"/>
      <c r="AG601" s="172"/>
      <c r="AH601" s="172"/>
      <c r="AI601" s="172"/>
      <c r="AJ601" s="32"/>
      <c r="AK601" s="32"/>
      <c r="AL601" s="32"/>
      <c r="AM601" s="31"/>
      <c r="AN601" s="31"/>
      <c r="AO601" s="31"/>
      <c r="AP601" s="31"/>
      <c r="AQ601" s="35"/>
    </row>
    <row r="602" ht="15.75" customHeight="1">
      <c r="A602" s="7"/>
      <c r="B602" s="115" t="s">
        <v>992</v>
      </c>
      <c r="C602" s="115" t="s">
        <v>1051</v>
      </c>
      <c r="D602" s="115" t="s">
        <v>1044</v>
      </c>
      <c r="E602" s="115" t="s">
        <v>1054</v>
      </c>
      <c r="F602" s="82">
        <v>2020.0</v>
      </c>
      <c r="G602" s="115">
        <v>2026.0</v>
      </c>
      <c r="H602" s="82">
        <v>0.0</v>
      </c>
      <c r="I602" s="82">
        <v>2.1</v>
      </c>
      <c r="J602" s="247">
        <v>1.0</v>
      </c>
      <c r="K602" s="82">
        <v>2.1</v>
      </c>
      <c r="L602" s="114"/>
      <c r="M602" s="114"/>
      <c r="N602" s="82">
        <v>2.0</v>
      </c>
      <c r="O602" s="82">
        <v>90.0</v>
      </c>
      <c r="P602" s="115" t="s">
        <v>59</v>
      </c>
      <c r="Q602" s="248">
        <v>148.0</v>
      </c>
      <c r="R602" s="115" t="s">
        <v>52</v>
      </c>
      <c r="S602" s="115">
        <v>2021.0</v>
      </c>
      <c r="T602" s="115">
        <v>1.3</v>
      </c>
      <c r="U602" s="118">
        <f t="shared" si="133"/>
        <v>192.4</v>
      </c>
      <c r="V602" s="24">
        <f t="shared" si="124"/>
        <v>91.61904762</v>
      </c>
      <c r="W602" s="3">
        <f t="shared" si="31"/>
        <v>0</v>
      </c>
      <c r="X602" s="3">
        <f t="shared" si="32"/>
        <v>0</v>
      </c>
      <c r="Y602" s="3">
        <f t="shared" si="33"/>
        <v>0</v>
      </c>
      <c r="Z602" s="25">
        <f t="shared" si="34"/>
        <v>0</v>
      </c>
      <c r="AA602" s="26">
        <f>VLOOKUP(S602,CPI!$A$2:$F$71,6,0)</f>
        <v>1.188745987</v>
      </c>
      <c r="AB602" s="27">
        <f t="shared" si="125"/>
        <v>228.7147278</v>
      </c>
      <c r="AC602" s="27">
        <f t="shared" si="126"/>
        <v>108.9117752</v>
      </c>
      <c r="AD602" s="115" t="s">
        <v>60</v>
      </c>
      <c r="AE602" s="249" t="s">
        <v>1055</v>
      </c>
      <c r="AF602" s="250"/>
      <c r="AG602" s="165"/>
      <c r="AH602" s="165"/>
      <c r="AI602" s="165"/>
      <c r="AJ602" s="166"/>
      <c r="AK602" s="166"/>
      <c r="AL602" s="166"/>
      <c r="AM602" s="32"/>
      <c r="AN602" s="32"/>
      <c r="AO602" s="32"/>
      <c r="AP602" s="32"/>
      <c r="AQ602" s="33"/>
    </row>
    <row r="603" ht="15.75" customHeight="1">
      <c r="A603" s="38">
        <v>7267.0</v>
      </c>
      <c r="B603" s="26" t="s">
        <v>1056</v>
      </c>
      <c r="C603" s="26" t="s">
        <v>1057</v>
      </c>
      <c r="D603" s="26" t="s">
        <v>1058</v>
      </c>
      <c r="E603" s="26" t="s">
        <v>1058</v>
      </c>
      <c r="F603" s="25">
        <v>2009.0</v>
      </c>
      <c r="G603" s="25">
        <v>2019.0</v>
      </c>
      <c r="H603" s="25">
        <v>0.0</v>
      </c>
      <c r="I603" s="25">
        <v>15.5</v>
      </c>
      <c r="J603" s="50">
        <v>1.0</v>
      </c>
      <c r="K603" s="25">
        <v>15.5</v>
      </c>
      <c r="L603" s="51">
        <v>0.0</v>
      </c>
      <c r="M603" s="51">
        <v>0.0</v>
      </c>
      <c r="N603" s="25">
        <v>17.0</v>
      </c>
      <c r="O603" s="25"/>
      <c r="P603" s="26" t="s">
        <v>42</v>
      </c>
      <c r="Q603" s="52">
        <v>25300.0</v>
      </c>
      <c r="R603" s="26" t="s">
        <v>1059</v>
      </c>
      <c r="S603" s="25">
        <v>2014.0</v>
      </c>
      <c r="T603" s="25">
        <v>0.138</v>
      </c>
      <c r="U603" s="25">
        <f t="shared" si="133"/>
        <v>3491.4</v>
      </c>
      <c r="V603" s="24">
        <f t="shared" si="124"/>
        <v>225.2516129</v>
      </c>
      <c r="W603" s="3">
        <f t="shared" si="31"/>
        <v>1</v>
      </c>
      <c r="X603" s="3">
        <f t="shared" si="32"/>
        <v>15.5</v>
      </c>
      <c r="Y603" s="3">
        <f t="shared" si="33"/>
        <v>15.5</v>
      </c>
      <c r="Z603" s="25">
        <f t="shared" si="34"/>
        <v>0</v>
      </c>
      <c r="AA603" s="26">
        <f>VLOOKUP(S603,CPI!$A$2:$F$71,6,0)</f>
        <v>1.360648571</v>
      </c>
      <c r="AB603" s="27">
        <f t="shared" si="125"/>
        <v>4750.568419</v>
      </c>
      <c r="AC603" s="27">
        <f t="shared" si="126"/>
        <v>306.4882851</v>
      </c>
      <c r="AD603" s="26" t="s">
        <v>42</v>
      </c>
      <c r="AE603" s="53" t="s">
        <v>1060</v>
      </c>
      <c r="AF603" s="178"/>
      <c r="AG603" s="172"/>
      <c r="AH603" s="172"/>
      <c r="AI603" s="172"/>
      <c r="AJ603" s="32"/>
      <c r="AK603" s="32"/>
      <c r="AL603" s="32"/>
      <c r="AM603" s="32"/>
      <c r="AN603" s="32"/>
      <c r="AO603" s="32"/>
      <c r="AP603" s="32"/>
      <c r="AQ603" s="33"/>
    </row>
    <row r="604" ht="15.75" customHeight="1">
      <c r="A604" s="7"/>
      <c r="B604" s="115" t="s">
        <v>1061</v>
      </c>
      <c r="C604" s="115" t="s">
        <v>1062</v>
      </c>
      <c r="D604" s="115" t="s">
        <v>57</v>
      </c>
      <c r="E604" s="115" t="s">
        <v>57</v>
      </c>
      <c r="F604" s="82">
        <v>2005.0</v>
      </c>
      <c r="G604" s="115">
        <v>2008.0</v>
      </c>
      <c r="H604" s="82">
        <v>0.0</v>
      </c>
      <c r="I604" s="82">
        <v>14.5</v>
      </c>
      <c r="J604" s="247">
        <v>0.66</v>
      </c>
      <c r="K604" s="82">
        <v>9.5</v>
      </c>
      <c r="L604" s="114"/>
      <c r="M604" s="114"/>
      <c r="N604" s="82">
        <v>16.0</v>
      </c>
      <c r="O604" s="82">
        <v>120.0</v>
      </c>
      <c r="P604" s="115" t="s">
        <v>59</v>
      </c>
      <c r="Q604" s="248">
        <v>25164.728</v>
      </c>
      <c r="R604" s="115" t="s">
        <v>1063</v>
      </c>
      <c r="S604" s="115">
        <v>2006.0</v>
      </c>
      <c r="T604" s="115">
        <v>0.0615</v>
      </c>
      <c r="U604" s="118">
        <f t="shared" si="133"/>
        <v>1547.630772</v>
      </c>
      <c r="V604" s="24">
        <f t="shared" si="124"/>
        <v>106.7331567</v>
      </c>
      <c r="W604" s="3">
        <f t="shared" si="31"/>
        <v>0</v>
      </c>
      <c r="X604" s="3">
        <f t="shared" si="32"/>
        <v>0</v>
      </c>
      <c r="Y604" s="3">
        <f t="shared" si="33"/>
        <v>0</v>
      </c>
      <c r="Z604" s="25">
        <f t="shared" si="34"/>
        <v>0</v>
      </c>
      <c r="AA604" s="26">
        <f>VLOOKUP(S604,CPI!$A$2:$F$71,6,0)</f>
        <v>1.597790179</v>
      </c>
      <c r="AB604" s="27">
        <f t="shared" si="125"/>
        <v>2472.789248</v>
      </c>
      <c r="AC604" s="27">
        <f t="shared" si="126"/>
        <v>170.5371895</v>
      </c>
      <c r="AD604" s="115" t="s">
        <v>36</v>
      </c>
      <c r="AE604" s="252" t="s">
        <v>1064</v>
      </c>
      <c r="AF604" s="250"/>
      <c r="AG604" s="165"/>
      <c r="AH604" s="165"/>
      <c r="AI604" s="165"/>
      <c r="AJ604" s="166"/>
      <c r="AK604" s="166"/>
      <c r="AL604" s="166"/>
      <c r="AM604" s="32"/>
      <c r="AN604" s="32"/>
      <c r="AO604" s="32"/>
      <c r="AP604" s="32"/>
      <c r="AQ604" s="33"/>
    </row>
    <row r="605" ht="15.75" customHeight="1">
      <c r="A605" s="7"/>
      <c r="B605" s="115" t="s">
        <v>1061</v>
      </c>
      <c r="C605" s="115" t="s">
        <v>1062</v>
      </c>
      <c r="D605" s="115" t="s">
        <v>1065</v>
      </c>
      <c r="E605" s="115" t="s">
        <v>1065</v>
      </c>
      <c r="F605" s="82">
        <v>2009.0</v>
      </c>
      <c r="G605" s="115">
        <v>2018.0</v>
      </c>
      <c r="H605" s="82">
        <v>0.0</v>
      </c>
      <c r="I605" s="82">
        <v>16.5</v>
      </c>
      <c r="J605" s="247">
        <v>1.0</v>
      </c>
      <c r="K605" s="82">
        <v>16.5</v>
      </c>
      <c r="L605" s="114"/>
      <c r="M605" s="114"/>
      <c r="N605" s="82">
        <v>18.0</v>
      </c>
      <c r="O605" s="82">
        <v>120.0</v>
      </c>
      <c r="P605" s="115" t="s">
        <v>59</v>
      </c>
      <c r="Q605" s="248">
        <v>1096.235</v>
      </c>
      <c r="R605" s="115" t="s">
        <v>37</v>
      </c>
      <c r="S605" s="115">
        <v>2012.0</v>
      </c>
      <c r="T605" s="115">
        <v>2.2</v>
      </c>
      <c r="U605" s="118">
        <f t="shared" si="133"/>
        <v>2411.717</v>
      </c>
      <c r="V605" s="24">
        <f t="shared" si="124"/>
        <v>146.1646667</v>
      </c>
      <c r="W605" s="3">
        <f t="shared" si="31"/>
        <v>0</v>
      </c>
      <c r="X605" s="3">
        <f t="shared" si="32"/>
        <v>0</v>
      </c>
      <c r="Y605" s="3">
        <f t="shared" si="33"/>
        <v>0</v>
      </c>
      <c r="Z605" s="25">
        <f t="shared" si="34"/>
        <v>0</v>
      </c>
      <c r="AA605" s="26">
        <f>VLOOKUP(S605,CPI!$A$2:$F$71,6,0)</f>
        <v>1.402974381</v>
      </c>
      <c r="AB605" s="27">
        <f t="shared" si="125"/>
        <v>3383.577165</v>
      </c>
      <c r="AC605" s="27">
        <f t="shared" si="126"/>
        <v>205.0652827</v>
      </c>
      <c r="AD605" s="115" t="s">
        <v>42</v>
      </c>
      <c r="AE605" s="252" t="s">
        <v>1066</v>
      </c>
      <c r="AF605" s="250"/>
      <c r="AG605" s="165"/>
      <c r="AH605" s="165"/>
      <c r="AI605" s="165"/>
      <c r="AJ605" s="166"/>
      <c r="AK605" s="166"/>
      <c r="AL605" s="166"/>
      <c r="AM605" s="32"/>
      <c r="AN605" s="32"/>
      <c r="AO605" s="32"/>
      <c r="AP605" s="32"/>
      <c r="AQ605" s="33"/>
    </row>
    <row r="606" ht="15.75" customHeight="1">
      <c r="A606" s="38">
        <v>7393.0</v>
      </c>
      <c r="B606" s="26" t="s">
        <v>1067</v>
      </c>
      <c r="C606" s="26" t="s">
        <v>1068</v>
      </c>
      <c r="D606" s="1" t="s">
        <v>1069</v>
      </c>
      <c r="E606" s="26" t="s">
        <v>1069</v>
      </c>
      <c r="F606" s="25">
        <v>2012.0</v>
      </c>
      <c r="G606" s="25">
        <v>2019.0</v>
      </c>
      <c r="H606" s="25">
        <v>0.0</v>
      </c>
      <c r="I606" s="25">
        <v>22.9</v>
      </c>
      <c r="J606" s="50">
        <v>1.0</v>
      </c>
      <c r="K606" s="25">
        <v>22.9</v>
      </c>
      <c r="L606" s="51">
        <v>0.0</v>
      </c>
      <c r="M606" s="51">
        <v>0.0</v>
      </c>
      <c r="N606" s="25">
        <v>15.0</v>
      </c>
      <c r="O606" s="25"/>
      <c r="P606" s="26" t="s">
        <v>74</v>
      </c>
      <c r="Q606" s="52">
        <v>2010.0</v>
      </c>
      <c r="R606" s="26" t="s">
        <v>37</v>
      </c>
      <c r="S606" s="25">
        <v>2016.0</v>
      </c>
      <c r="T606" s="25">
        <v>1.9</v>
      </c>
      <c r="U606" s="25">
        <f t="shared" si="133"/>
        <v>3819</v>
      </c>
      <c r="V606" s="24">
        <f t="shared" si="124"/>
        <v>166.768559</v>
      </c>
      <c r="W606" s="3">
        <f t="shared" si="31"/>
        <v>0</v>
      </c>
      <c r="X606" s="3">
        <f t="shared" si="32"/>
        <v>0</v>
      </c>
      <c r="Y606" s="3">
        <f t="shared" si="33"/>
        <v>0</v>
      </c>
      <c r="Z606" s="25">
        <f t="shared" si="34"/>
        <v>0</v>
      </c>
      <c r="AA606" s="26">
        <f>VLOOKUP(S606,CPI!$A$2:$F$71,6,0)</f>
        <v>1.342104605</v>
      </c>
      <c r="AB606" s="27">
        <f t="shared" si="125"/>
        <v>5125.497488</v>
      </c>
      <c r="AC606" s="27">
        <f t="shared" si="126"/>
        <v>223.820851</v>
      </c>
      <c r="AD606" s="26" t="s">
        <v>60</v>
      </c>
      <c r="AE606" s="57" t="s">
        <v>1070</v>
      </c>
      <c r="AF606" s="178"/>
      <c r="AG606" s="172"/>
      <c r="AH606" s="172"/>
      <c r="AI606" s="172"/>
      <c r="AJ606" s="32"/>
      <c r="AK606" s="32"/>
      <c r="AL606" s="32"/>
      <c r="AM606" s="32"/>
      <c r="AN606" s="32"/>
      <c r="AO606" s="32"/>
      <c r="AP606" s="32"/>
      <c r="AQ606" s="33"/>
    </row>
    <row r="607" ht="15.75" customHeight="1">
      <c r="A607" s="7"/>
      <c r="B607" s="74" t="s">
        <v>1071</v>
      </c>
      <c r="C607" s="74" t="s">
        <v>1072</v>
      </c>
      <c r="D607" s="74" t="s">
        <v>1073</v>
      </c>
      <c r="E607" s="74" t="s">
        <v>1073</v>
      </c>
      <c r="F607" s="70" t="s">
        <v>1074</v>
      </c>
      <c r="G607" s="70" t="s">
        <v>1075</v>
      </c>
      <c r="H607" s="70">
        <v>1.0</v>
      </c>
      <c r="I607" s="70">
        <v>280.0</v>
      </c>
      <c r="J607" s="71">
        <v>0.0</v>
      </c>
      <c r="K607" s="70">
        <v>0.0</v>
      </c>
      <c r="L607" s="70">
        <v>0.0</v>
      </c>
      <c r="M607" s="70">
        <v>280.0</v>
      </c>
      <c r="N607" s="70">
        <v>16.0</v>
      </c>
      <c r="O607" s="253"/>
      <c r="P607" s="254" t="s">
        <v>60</v>
      </c>
      <c r="Q607" s="73" t="s">
        <v>1076</v>
      </c>
      <c r="R607" s="74"/>
      <c r="S607" s="74"/>
      <c r="T607" s="255"/>
      <c r="U607" s="256"/>
      <c r="V607" s="24"/>
      <c r="W607" s="69"/>
      <c r="X607" s="54"/>
      <c r="Y607" s="54"/>
      <c r="Z607" s="255"/>
      <c r="AA607" s="26" t="str">
        <f>VLOOKUP(S607,CPI!$A$2:$F$71,6,0)</f>
        <v>#N/A</v>
      </c>
      <c r="AD607" s="72"/>
      <c r="AE607" s="208" t="s">
        <v>1077</v>
      </c>
      <c r="AF607" s="241"/>
      <c r="AG607" s="242"/>
      <c r="AH607" s="166"/>
      <c r="AI607" s="166"/>
      <c r="AJ607" s="166"/>
      <c r="AK607" s="166"/>
      <c r="AL607" s="166"/>
      <c r="AM607" s="32"/>
      <c r="AN607" s="32"/>
      <c r="AO607" s="32"/>
      <c r="AP607" s="32"/>
      <c r="AQ607" s="33"/>
    </row>
    <row r="608" ht="15.75" customHeight="1">
      <c r="A608" s="14">
        <v>8203.0</v>
      </c>
      <c r="B608" s="15" t="s">
        <v>1071</v>
      </c>
      <c r="C608" s="15" t="s">
        <v>1078</v>
      </c>
      <c r="D608" s="15" t="s">
        <v>57</v>
      </c>
      <c r="E608" s="15" t="s">
        <v>57</v>
      </c>
      <c r="F608" s="17">
        <v>1982.0</v>
      </c>
      <c r="G608" s="17">
        <v>1987.0</v>
      </c>
      <c r="H608" s="17">
        <v>1.0</v>
      </c>
      <c r="I608" s="18">
        <v>44.0</v>
      </c>
      <c r="J608" s="19">
        <f>K608/I608</f>
        <v>0.1431818182</v>
      </c>
      <c r="K608" s="20">
        <f>4.8+1.5</f>
        <v>6.3</v>
      </c>
      <c r="L608" s="21">
        <v>0.0</v>
      </c>
      <c r="M608" s="21">
        <v>0.0</v>
      </c>
      <c r="N608" s="18">
        <v>35.0</v>
      </c>
      <c r="O608" s="17"/>
      <c r="P608" s="22" t="s">
        <v>36</v>
      </c>
      <c r="Q608" s="23">
        <v>973.0</v>
      </c>
      <c r="R608" s="15" t="s">
        <v>1079</v>
      </c>
      <c r="S608" s="18">
        <v>1987.0</v>
      </c>
      <c r="T608" s="18">
        <f>1/0.4</f>
        <v>2.5</v>
      </c>
      <c r="U608" s="18">
        <f>Q608*T608</f>
        <v>2432.5</v>
      </c>
      <c r="V608" s="24">
        <f>U608/I608</f>
        <v>55.28409091</v>
      </c>
      <c r="W608" s="3">
        <f>IF(OR(B608 = "BG",B608 = "GR",B608 = "IT",B608 = "ES",B608 = "PT",B608 = "TR", B608 = "KR",B608 = "SE",B608 = "CH",B608 = "NO",B608 = "DK",B608 = "FI"), 1, 0)</f>
        <v>0</v>
      </c>
      <c r="X608" s="3">
        <f>W608*I608</f>
        <v>0</v>
      </c>
      <c r="Y608" s="3">
        <f>W608*K608</f>
        <v>0</v>
      </c>
      <c r="Z608" s="25">
        <f>IF(OR(B608 = "US",B608 = "CA",B608 = "UK",B608 = "NZ",B608 = "AU",B608 = "SG"), 1, 0)</f>
        <v>0</v>
      </c>
      <c r="AA608" s="26">
        <f>VLOOKUP(S608,CPI!$A$2:$F$71,6,0)</f>
        <v>2.835514965</v>
      </c>
      <c r="AB608" s="27">
        <f>U608*AA608</f>
        <v>6897.390152</v>
      </c>
      <c r="AC608" s="27">
        <f>V608*AA608</f>
        <v>156.7588671</v>
      </c>
      <c r="AD608" s="6" t="s">
        <v>42</v>
      </c>
      <c r="AE608" s="6"/>
      <c r="AF608" s="178"/>
      <c r="AG608" s="172"/>
      <c r="AH608" s="172"/>
      <c r="AI608" s="172"/>
      <c r="AJ608" s="32"/>
      <c r="AK608" s="32"/>
      <c r="AL608" s="32"/>
      <c r="AM608" s="32"/>
      <c r="AN608" s="32"/>
      <c r="AO608" s="32"/>
      <c r="AP608" s="32"/>
      <c r="AQ608" s="33"/>
    </row>
    <row r="609" ht="15.75" customHeight="1">
      <c r="A609" s="7"/>
      <c r="B609" s="74" t="s">
        <v>1071</v>
      </c>
      <c r="C609" s="74" t="s">
        <v>1078</v>
      </c>
      <c r="D609" s="74" t="s">
        <v>57</v>
      </c>
      <c r="E609" s="74" t="s">
        <v>232</v>
      </c>
      <c r="F609" s="70">
        <v>1982.0</v>
      </c>
      <c r="G609" s="70">
        <v>1987.0</v>
      </c>
      <c r="H609" s="70">
        <v>0.0</v>
      </c>
      <c r="I609" s="70">
        <v>28.0</v>
      </c>
      <c r="J609" s="71"/>
      <c r="K609" s="70"/>
      <c r="L609" s="70"/>
      <c r="M609" s="70"/>
      <c r="N609" s="70">
        <v>22.0</v>
      </c>
      <c r="O609" s="253"/>
      <c r="P609" s="254" t="s">
        <v>60</v>
      </c>
      <c r="Q609" s="73"/>
      <c r="R609" s="74"/>
      <c r="S609" s="74"/>
      <c r="T609" s="255"/>
      <c r="U609" s="256"/>
      <c r="V609" s="24"/>
      <c r="W609" s="69"/>
      <c r="X609" s="54"/>
      <c r="Y609" s="54"/>
      <c r="Z609" s="255"/>
      <c r="AA609" s="26" t="str">
        <f>VLOOKUP(S609,CPI!$A$2:$F$71,6,0)</f>
        <v>#N/A</v>
      </c>
      <c r="AD609" s="72"/>
      <c r="AE609" s="208" t="s">
        <v>1080</v>
      </c>
      <c r="AF609" s="241"/>
      <c r="AG609" s="242"/>
      <c r="AH609" s="166"/>
      <c r="AI609" s="166"/>
      <c r="AJ609" s="166"/>
      <c r="AK609" s="166"/>
      <c r="AL609" s="166"/>
      <c r="AM609" s="32"/>
      <c r="AN609" s="32"/>
      <c r="AO609" s="32"/>
      <c r="AP609" s="32"/>
      <c r="AQ609" s="33"/>
    </row>
    <row r="610" ht="15.75" customHeight="1">
      <c r="A610" s="7"/>
      <c r="B610" s="74" t="s">
        <v>1071</v>
      </c>
      <c r="C610" s="74" t="s">
        <v>1078</v>
      </c>
      <c r="D610" s="74" t="s">
        <v>57</v>
      </c>
      <c r="E610" s="74" t="s">
        <v>410</v>
      </c>
      <c r="F610" s="70">
        <v>1982.0</v>
      </c>
      <c r="G610" s="70">
        <v>1989.0</v>
      </c>
      <c r="H610" s="70">
        <v>0.0</v>
      </c>
      <c r="I610" s="70">
        <v>13.5</v>
      </c>
      <c r="J610" s="71"/>
      <c r="K610" s="70"/>
      <c r="L610" s="70"/>
      <c r="M610" s="70"/>
      <c r="N610" s="70">
        <v>12.0</v>
      </c>
      <c r="O610" s="253"/>
      <c r="P610" s="254" t="s">
        <v>60</v>
      </c>
      <c r="Q610" s="73"/>
      <c r="R610" s="74"/>
      <c r="S610" s="74"/>
      <c r="T610" s="255"/>
      <c r="U610" s="256"/>
      <c r="V610" s="24"/>
      <c r="W610" s="69"/>
      <c r="X610" s="54"/>
      <c r="Y610" s="54"/>
      <c r="Z610" s="255"/>
      <c r="AA610" s="26" t="str">
        <f>VLOOKUP(S610,CPI!$A$2:$F$71,6,0)</f>
        <v>#N/A</v>
      </c>
      <c r="AD610" s="72"/>
      <c r="AE610" s="208" t="s">
        <v>1080</v>
      </c>
      <c r="AF610" s="241"/>
      <c r="AG610" s="242"/>
      <c r="AH610" s="166"/>
      <c r="AI610" s="166"/>
      <c r="AJ610" s="166"/>
      <c r="AK610" s="166"/>
      <c r="AL610" s="166"/>
      <c r="AM610" s="32"/>
      <c r="AN610" s="32"/>
      <c r="AO610" s="32"/>
      <c r="AP610" s="32"/>
      <c r="AQ610" s="33"/>
    </row>
    <row r="611" ht="15.75" customHeight="1">
      <c r="A611" s="7"/>
      <c r="B611" s="74" t="s">
        <v>1071</v>
      </c>
      <c r="C611" s="74" t="s">
        <v>1078</v>
      </c>
      <c r="D611" s="74" t="s">
        <v>54</v>
      </c>
      <c r="E611" s="74" t="s">
        <v>348</v>
      </c>
      <c r="F611" s="70">
        <v>1987.0</v>
      </c>
      <c r="G611" s="70">
        <v>1996.0</v>
      </c>
      <c r="H611" s="70">
        <v>0.0</v>
      </c>
      <c r="I611" s="70">
        <v>8.0</v>
      </c>
      <c r="J611" s="71">
        <v>1.0</v>
      </c>
      <c r="K611" s="70">
        <v>8.0</v>
      </c>
      <c r="L611" s="70">
        <v>0.0</v>
      </c>
      <c r="M611" s="70">
        <v>0.0</v>
      </c>
      <c r="N611" s="70">
        <v>8.0</v>
      </c>
      <c r="O611" s="253"/>
      <c r="P611" s="254" t="s">
        <v>60</v>
      </c>
      <c r="Q611" s="73"/>
      <c r="R611" s="74"/>
      <c r="S611" s="74"/>
      <c r="T611" s="255"/>
      <c r="U611" s="256"/>
      <c r="V611" s="24"/>
      <c r="W611" s="69"/>
      <c r="X611" s="54"/>
      <c r="Y611" s="54"/>
      <c r="Z611" s="255"/>
      <c r="AA611" s="26" t="str">
        <f>VLOOKUP(S611,CPI!$A$2:$F$71,6,0)</f>
        <v>#N/A</v>
      </c>
      <c r="AD611" s="72"/>
      <c r="AE611" s="208" t="s">
        <v>1081</v>
      </c>
      <c r="AF611" s="241"/>
      <c r="AG611" s="242"/>
      <c r="AH611" s="166"/>
      <c r="AI611" s="166"/>
      <c r="AJ611" s="166"/>
      <c r="AK611" s="166"/>
      <c r="AL611" s="166"/>
      <c r="AM611" s="32"/>
      <c r="AN611" s="32"/>
      <c r="AO611" s="32"/>
      <c r="AP611" s="32"/>
      <c r="AQ611" s="33"/>
    </row>
    <row r="612" ht="15.75" customHeight="1">
      <c r="A612" s="7"/>
      <c r="B612" s="74" t="s">
        <v>1071</v>
      </c>
      <c r="C612" s="74" t="s">
        <v>1078</v>
      </c>
      <c r="D612" s="74" t="s">
        <v>54</v>
      </c>
      <c r="E612" s="74" t="s">
        <v>326</v>
      </c>
      <c r="F612" s="70">
        <v>1987.0</v>
      </c>
      <c r="G612" s="70">
        <v>1997.0</v>
      </c>
      <c r="H612" s="70">
        <v>0.0</v>
      </c>
      <c r="I612" s="70">
        <v>3.0</v>
      </c>
      <c r="J612" s="71">
        <v>1.0</v>
      </c>
      <c r="K612" s="70">
        <v>3.0</v>
      </c>
      <c r="L612" s="70">
        <v>0.0</v>
      </c>
      <c r="M612" s="70">
        <v>0.0</v>
      </c>
      <c r="N612" s="70">
        <v>3.0</v>
      </c>
      <c r="O612" s="253"/>
      <c r="P612" s="254" t="s">
        <v>60</v>
      </c>
      <c r="Q612" s="73"/>
      <c r="R612" s="74"/>
      <c r="S612" s="74"/>
      <c r="T612" s="255"/>
      <c r="U612" s="256"/>
      <c r="V612" s="24"/>
      <c r="W612" s="69"/>
      <c r="X612" s="54"/>
      <c r="Y612" s="54"/>
      <c r="Z612" s="255"/>
      <c r="AA612" s="26" t="str">
        <f>VLOOKUP(S612,CPI!$A$2:$F$71,6,0)</f>
        <v>#N/A</v>
      </c>
      <c r="AD612" s="72"/>
      <c r="AE612" s="208" t="s">
        <v>1081</v>
      </c>
      <c r="AF612" s="241"/>
      <c r="AG612" s="242"/>
      <c r="AH612" s="166"/>
      <c r="AI612" s="166"/>
      <c r="AJ612" s="166"/>
      <c r="AK612" s="166"/>
      <c r="AL612" s="166"/>
      <c r="AM612" s="31"/>
      <c r="AN612" s="31"/>
      <c r="AO612" s="31"/>
      <c r="AP612" s="31"/>
      <c r="AQ612" s="35"/>
    </row>
    <row r="613" ht="15.75" customHeight="1">
      <c r="A613" s="7"/>
      <c r="B613" s="74" t="s">
        <v>1071</v>
      </c>
      <c r="C613" s="74" t="s">
        <v>1078</v>
      </c>
      <c r="D613" s="74" t="s">
        <v>57</v>
      </c>
      <c r="E613" s="74" t="s">
        <v>354</v>
      </c>
      <c r="F613" s="70">
        <v>1982.0</v>
      </c>
      <c r="G613" s="70">
        <v>1999.0</v>
      </c>
      <c r="H613" s="70">
        <v>0.0</v>
      </c>
      <c r="I613" s="70">
        <v>1.36</v>
      </c>
      <c r="J613" s="71">
        <v>0.0</v>
      </c>
      <c r="K613" s="70"/>
      <c r="L613" s="70"/>
      <c r="M613" s="70"/>
      <c r="N613" s="70">
        <v>1.0</v>
      </c>
      <c r="O613" s="253"/>
      <c r="P613" s="254" t="s">
        <v>60</v>
      </c>
      <c r="Q613" s="73"/>
      <c r="R613" s="74"/>
      <c r="S613" s="74"/>
      <c r="T613" s="255"/>
      <c r="U613" s="256"/>
      <c r="V613" s="24"/>
      <c r="W613" s="69"/>
      <c r="X613" s="54"/>
      <c r="Y613" s="54"/>
      <c r="Z613" s="255"/>
      <c r="AA613" s="26" t="str">
        <f>VLOOKUP(S613,CPI!$A$2:$F$71,6,0)</f>
        <v>#N/A</v>
      </c>
      <c r="AD613" s="72"/>
      <c r="AE613" s="208" t="s">
        <v>1080</v>
      </c>
      <c r="AF613" s="241"/>
      <c r="AG613" s="242"/>
      <c r="AH613" s="166"/>
      <c r="AI613" s="166"/>
      <c r="AJ613" s="166"/>
      <c r="AK613" s="166"/>
      <c r="AL613" s="166"/>
      <c r="AM613" s="31"/>
      <c r="AN613" s="31"/>
      <c r="AO613" s="31"/>
      <c r="AP613" s="31"/>
      <c r="AQ613" s="35"/>
    </row>
    <row r="614" ht="15.75" customHeight="1">
      <c r="A614" s="7"/>
      <c r="B614" s="257" t="s">
        <v>1071</v>
      </c>
      <c r="C614" s="257" t="s">
        <v>1078</v>
      </c>
      <c r="D614" s="257" t="s">
        <v>57</v>
      </c>
      <c r="E614" s="257" t="s">
        <v>1082</v>
      </c>
      <c r="F614" s="258">
        <v>1982.0</v>
      </c>
      <c r="G614" s="258">
        <v>1999.0</v>
      </c>
      <c r="H614" s="258">
        <v>0.0</v>
      </c>
      <c r="I614" s="258">
        <v>42.86</v>
      </c>
      <c r="J614" s="259">
        <v>0.1097</v>
      </c>
      <c r="K614" s="258">
        <v>4.7</v>
      </c>
      <c r="L614" s="258">
        <v>0.0</v>
      </c>
      <c r="M614" s="258">
        <v>38.16</v>
      </c>
      <c r="N614" s="258">
        <v>35.0</v>
      </c>
      <c r="O614" s="253"/>
      <c r="P614" s="260" t="s">
        <v>60</v>
      </c>
      <c r="Q614" s="261"/>
      <c r="R614" s="257"/>
      <c r="S614" s="257"/>
      <c r="T614" s="255"/>
      <c r="U614" s="256"/>
      <c r="V614" s="24"/>
      <c r="W614" s="262"/>
      <c r="X614" s="54"/>
      <c r="Y614" s="54"/>
      <c r="Z614" s="255"/>
      <c r="AA614" s="26" t="str">
        <f>VLOOKUP(S614,CPI!$A$2:$F$71,6,0)</f>
        <v>#N/A</v>
      </c>
      <c r="AD614" s="263"/>
      <c r="AE614" s="208" t="s">
        <v>1080</v>
      </c>
      <c r="AF614" s="241"/>
      <c r="AG614" s="242"/>
      <c r="AH614" s="166"/>
      <c r="AI614" s="166"/>
      <c r="AJ614" s="166"/>
      <c r="AK614" s="166"/>
      <c r="AL614" s="166"/>
      <c r="AM614" s="31"/>
      <c r="AN614" s="31"/>
      <c r="AO614" s="31"/>
      <c r="AP614" s="31"/>
      <c r="AQ614" s="35"/>
    </row>
    <row r="615" ht="15.75" customHeight="1">
      <c r="A615" s="7"/>
      <c r="B615" s="74" t="s">
        <v>1071</v>
      </c>
      <c r="C615" s="74" t="s">
        <v>1078</v>
      </c>
      <c r="D615" s="74" t="s">
        <v>54</v>
      </c>
      <c r="E615" s="74" t="s">
        <v>437</v>
      </c>
      <c r="F615" s="70">
        <v>1987.0</v>
      </c>
      <c r="G615" s="70">
        <v>1999.0</v>
      </c>
      <c r="H615" s="70">
        <v>0.0</v>
      </c>
      <c r="I615" s="70">
        <v>5.5</v>
      </c>
      <c r="J615" s="71">
        <v>0.75</v>
      </c>
      <c r="K615" s="70">
        <v>4.1</v>
      </c>
      <c r="L615" s="71" t="s">
        <v>1083</v>
      </c>
      <c r="M615" s="71" t="s">
        <v>1083</v>
      </c>
      <c r="N615" s="70">
        <v>4.0</v>
      </c>
      <c r="O615" s="253"/>
      <c r="P615" s="254" t="s">
        <v>60</v>
      </c>
      <c r="Q615" s="73"/>
      <c r="R615" s="74"/>
      <c r="S615" s="74"/>
      <c r="T615" s="255"/>
      <c r="U615" s="256"/>
      <c r="V615" s="24"/>
      <c r="W615" s="69"/>
      <c r="X615" s="54"/>
      <c r="Y615" s="54"/>
      <c r="Z615" s="255"/>
      <c r="AA615" s="26" t="str">
        <f>VLOOKUP(S615,CPI!$A$2:$F$71,6,0)</f>
        <v>#N/A</v>
      </c>
      <c r="AD615" s="72"/>
      <c r="AE615" s="208" t="s">
        <v>1081</v>
      </c>
      <c r="AF615" s="241"/>
      <c r="AG615" s="242"/>
      <c r="AH615" s="166"/>
      <c r="AI615" s="166"/>
      <c r="AJ615" s="166"/>
      <c r="AK615" s="166"/>
      <c r="AL615" s="166"/>
      <c r="AM615" s="31"/>
      <c r="AN615" s="31"/>
      <c r="AO615" s="31"/>
      <c r="AP615" s="31"/>
      <c r="AQ615" s="35"/>
    </row>
    <row r="616" ht="15.75" customHeight="1">
      <c r="A616" s="7"/>
      <c r="B616" s="74" t="s">
        <v>1071</v>
      </c>
      <c r="C616" s="74" t="s">
        <v>1078</v>
      </c>
      <c r="D616" s="74" t="s">
        <v>54</v>
      </c>
      <c r="E616" s="74" t="s">
        <v>1084</v>
      </c>
      <c r="F616" s="70">
        <v>1987.0</v>
      </c>
      <c r="G616" s="70">
        <v>2000.0</v>
      </c>
      <c r="H616" s="70">
        <v>0.0</v>
      </c>
      <c r="I616" s="70">
        <v>2.7</v>
      </c>
      <c r="J616" s="71">
        <v>0.0</v>
      </c>
      <c r="K616" s="70">
        <v>0.0</v>
      </c>
      <c r="L616" s="71" t="s">
        <v>1083</v>
      </c>
      <c r="M616" s="71" t="s">
        <v>1083</v>
      </c>
      <c r="N616" s="70">
        <v>3.0</v>
      </c>
      <c r="O616" s="253"/>
      <c r="P616" s="254" t="s">
        <v>60</v>
      </c>
      <c r="Q616" s="73"/>
      <c r="R616" s="74"/>
      <c r="S616" s="74"/>
      <c r="T616" s="255"/>
      <c r="U616" s="256"/>
      <c r="V616" s="24"/>
      <c r="W616" s="69"/>
      <c r="X616" s="54"/>
      <c r="Y616" s="54"/>
      <c r="Z616" s="255"/>
      <c r="AA616" s="26" t="str">
        <f>VLOOKUP(S616,CPI!$A$2:$F$71,6,0)</f>
        <v>#N/A</v>
      </c>
      <c r="AD616" s="72"/>
      <c r="AE616" s="208" t="s">
        <v>1081</v>
      </c>
      <c r="AF616" s="241"/>
      <c r="AG616" s="242"/>
      <c r="AH616" s="166"/>
      <c r="AI616" s="166"/>
      <c r="AJ616" s="166"/>
      <c r="AK616" s="166"/>
      <c r="AL616" s="166"/>
      <c r="AM616" s="31"/>
      <c r="AN616" s="31"/>
      <c r="AO616" s="31"/>
      <c r="AP616" s="31"/>
      <c r="AQ616" s="35"/>
    </row>
    <row r="617" ht="15.75" customHeight="1">
      <c r="A617" s="7"/>
      <c r="B617" s="74" t="s">
        <v>1071</v>
      </c>
      <c r="C617" s="74" t="s">
        <v>1078</v>
      </c>
      <c r="D617" s="74" t="s">
        <v>54</v>
      </c>
      <c r="E617" s="74" t="s">
        <v>1085</v>
      </c>
      <c r="F617" s="70">
        <v>1987.0</v>
      </c>
      <c r="G617" s="70">
        <v>2005.0</v>
      </c>
      <c r="H617" s="70">
        <v>0.0</v>
      </c>
      <c r="I617" s="70">
        <v>2.6</v>
      </c>
      <c r="J617" s="71">
        <v>0.0</v>
      </c>
      <c r="K617" s="70">
        <v>0.0</v>
      </c>
      <c r="L617" s="71" t="s">
        <v>1083</v>
      </c>
      <c r="M617" s="71" t="s">
        <v>1083</v>
      </c>
      <c r="N617" s="70">
        <v>2.0</v>
      </c>
      <c r="O617" s="253"/>
      <c r="P617" s="254" t="s">
        <v>60</v>
      </c>
      <c r="Q617" s="73"/>
      <c r="R617" s="74"/>
      <c r="S617" s="74"/>
      <c r="T617" s="255"/>
      <c r="U617" s="256"/>
      <c r="V617" s="24"/>
      <c r="W617" s="69"/>
      <c r="X617" s="54"/>
      <c r="Y617" s="54"/>
      <c r="Z617" s="255"/>
      <c r="AA617" s="26" t="str">
        <f>VLOOKUP(S617,CPI!$A$2:$F$71,6,0)</f>
        <v>#N/A</v>
      </c>
      <c r="AD617" s="72"/>
      <c r="AE617" s="208" t="s">
        <v>1081</v>
      </c>
      <c r="AF617" s="241"/>
      <c r="AG617" s="242"/>
      <c r="AH617" s="166"/>
      <c r="AI617" s="166"/>
      <c r="AJ617" s="166"/>
      <c r="AK617" s="166"/>
      <c r="AL617" s="166"/>
      <c r="AM617" s="32"/>
      <c r="AN617" s="32"/>
      <c r="AO617" s="32"/>
      <c r="AP617" s="32"/>
      <c r="AQ617" s="33"/>
    </row>
    <row r="618" ht="15.75" customHeight="1">
      <c r="A618" s="7"/>
      <c r="B618" s="257" t="s">
        <v>1071</v>
      </c>
      <c r="C618" s="257" t="s">
        <v>1078</v>
      </c>
      <c r="D618" s="257" t="s">
        <v>54</v>
      </c>
      <c r="E618" s="257" t="s">
        <v>1086</v>
      </c>
      <c r="F618" s="258">
        <v>1987.0</v>
      </c>
      <c r="G618" s="258">
        <v>2005.0</v>
      </c>
      <c r="H618" s="258">
        <v>0.0</v>
      </c>
      <c r="I618" s="258">
        <v>21.8</v>
      </c>
      <c r="J618" s="259" t="s">
        <v>1083</v>
      </c>
      <c r="K618" s="258">
        <v>19.8</v>
      </c>
      <c r="L618" s="259" t="s">
        <v>1083</v>
      </c>
      <c r="M618" s="259" t="s">
        <v>1083</v>
      </c>
      <c r="N618" s="258">
        <v>20.0</v>
      </c>
      <c r="O618" s="253"/>
      <c r="P618" s="260" t="s">
        <v>60</v>
      </c>
      <c r="Q618" s="261"/>
      <c r="R618" s="257"/>
      <c r="S618" s="257"/>
      <c r="T618" s="255"/>
      <c r="U618" s="256"/>
      <c r="V618" s="24"/>
      <c r="W618" s="262"/>
      <c r="X618" s="54"/>
      <c r="Y618" s="54"/>
      <c r="Z618" s="255"/>
      <c r="AA618" s="26" t="str">
        <f>VLOOKUP(S618,CPI!$A$2:$F$71,6,0)</f>
        <v>#N/A</v>
      </c>
      <c r="AD618" s="263"/>
      <c r="AE618" s="208" t="s">
        <v>1081</v>
      </c>
      <c r="AF618" s="241"/>
      <c r="AG618" s="242"/>
      <c r="AH618" s="166"/>
      <c r="AI618" s="166"/>
      <c r="AJ618" s="166"/>
      <c r="AK618" s="166"/>
      <c r="AL618" s="166"/>
      <c r="AM618" s="32"/>
      <c r="AN618" s="32"/>
      <c r="AO618" s="32"/>
      <c r="AP618" s="32"/>
      <c r="AQ618" s="33"/>
    </row>
    <row r="619" ht="15.75" customHeight="1">
      <c r="A619" s="14">
        <v>8208.0</v>
      </c>
      <c r="B619" s="15" t="s">
        <v>1071</v>
      </c>
      <c r="C619" s="15" t="s">
        <v>1078</v>
      </c>
      <c r="D619" s="36" t="s">
        <v>54</v>
      </c>
      <c r="E619" s="15" t="s">
        <v>54</v>
      </c>
      <c r="F619" s="17">
        <v>1993.0</v>
      </c>
      <c r="G619" s="17">
        <v>2005.0</v>
      </c>
      <c r="H619" s="17">
        <v>0.0</v>
      </c>
      <c r="I619" s="18">
        <v>22.0</v>
      </c>
      <c r="J619" s="19">
        <f t="shared" ref="J619:J620" si="134">K619/I619</f>
        <v>0.4318181818</v>
      </c>
      <c r="K619" s="20">
        <v>9.5</v>
      </c>
      <c r="L619" s="21">
        <v>0.0</v>
      </c>
      <c r="M619" s="21">
        <v>0.0</v>
      </c>
      <c r="N619" s="18">
        <v>20.0</v>
      </c>
      <c r="O619" s="17"/>
      <c r="P619" s="22" t="s">
        <v>36</v>
      </c>
      <c r="Q619" s="23">
        <v>9700.0</v>
      </c>
      <c r="R619" s="15" t="s">
        <v>1079</v>
      </c>
      <c r="S619" s="18">
        <v>2005.0</v>
      </c>
      <c r="T619" s="18">
        <f>1/1</f>
        <v>1</v>
      </c>
      <c r="U619" s="18">
        <f t="shared" ref="U619:U620" si="135">Q619*T619</f>
        <v>9700</v>
      </c>
      <c r="V619" s="24">
        <f t="shared" ref="V619:V620" si="136">U619/I619</f>
        <v>440.9090909</v>
      </c>
      <c r="W619" s="3">
        <f t="shared" ref="W619:W620" si="137">IF(OR(B619 = "BG",B619 = "GR",B619 = "IT",B619 = "ES",B619 = "PT",B619 = "TR", B619 = "KR",B619 = "SE",B619 = "CH",B619 = "NO",B619 = "DK",B619 = "FI"), 1, 0)</f>
        <v>0</v>
      </c>
      <c r="X619" s="3">
        <f t="shared" ref="X619:X620" si="138">W619*I619</f>
        <v>0</v>
      </c>
      <c r="Y619" s="3">
        <f t="shared" ref="Y619:Y620" si="139">W619*K619</f>
        <v>0</v>
      </c>
      <c r="Z619" s="25">
        <f t="shared" ref="Z619:Z620" si="140">IF(OR(B619 = "US",B619 = "CA",B619 = "UK",B619 = "NZ",B619 = "AU",B619 = "SG"), 1, 0)</f>
        <v>0</v>
      </c>
      <c r="AA619" s="26">
        <f>VLOOKUP(S619,CPI!$A$2:$F$71,6,0)</f>
        <v>1.649331797</v>
      </c>
      <c r="AB619" s="27">
        <f t="shared" ref="AB619:AB620" si="141">U619*AA619</f>
        <v>15998.51843</v>
      </c>
      <c r="AC619" s="27">
        <f t="shared" ref="AC619:AC620" si="142">V619*AA619</f>
        <v>727.2053833</v>
      </c>
      <c r="AD619" s="6" t="s">
        <v>42</v>
      </c>
      <c r="AE619" s="6"/>
      <c r="AF619" s="178"/>
      <c r="AG619" s="172"/>
      <c r="AH619" s="172"/>
      <c r="AI619" s="172"/>
      <c r="AJ619" s="32"/>
      <c r="AK619" s="32"/>
      <c r="AL619" s="32"/>
      <c r="AM619" s="32"/>
      <c r="AN619" s="32"/>
      <c r="AO619" s="32"/>
      <c r="AP619" s="32"/>
      <c r="AQ619" s="33"/>
    </row>
    <row r="620" ht="15.75" customHeight="1">
      <c r="A620" s="14">
        <v>8210.0</v>
      </c>
      <c r="B620" s="15" t="s">
        <v>1071</v>
      </c>
      <c r="C620" s="15" t="s">
        <v>1078</v>
      </c>
      <c r="D620" s="36" t="s">
        <v>87</v>
      </c>
      <c r="E620" s="15" t="s">
        <v>331</v>
      </c>
      <c r="F620" s="17">
        <v>2006.0</v>
      </c>
      <c r="G620" s="17">
        <v>2012.0</v>
      </c>
      <c r="H620" s="17">
        <v>0.0</v>
      </c>
      <c r="I620" s="18">
        <v>4.3</v>
      </c>
      <c r="J620" s="19">
        <f t="shared" si="134"/>
        <v>1</v>
      </c>
      <c r="K620" s="20">
        <v>4.3</v>
      </c>
      <c r="L620" s="21">
        <v>0.0</v>
      </c>
      <c r="M620" s="21">
        <v>0.0</v>
      </c>
      <c r="N620" s="18">
        <v>5.0</v>
      </c>
      <c r="O620" s="17"/>
      <c r="P620" s="22" t="s">
        <v>36</v>
      </c>
      <c r="Q620" s="23">
        <v>4200.0</v>
      </c>
      <c r="R620" s="15" t="s">
        <v>1079</v>
      </c>
      <c r="S620" s="18">
        <v>2009.0</v>
      </c>
      <c r="T620" s="18">
        <f>1/1.4</f>
        <v>0.7142857143</v>
      </c>
      <c r="U620" s="18">
        <f t="shared" si="135"/>
        <v>3000</v>
      </c>
      <c r="V620" s="24">
        <f t="shared" si="136"/>
        <v>697.6744186</v>
      </c>
      <c r="W620" s="3">
        <f t="shared" si="137"/>
        <v>0</v>
      </c>
      <c r="X620" s="3">
        <f t="shared" si="138"/>
        <v>0</v>
      </c>
      <c r="Y620" s="3">
        <f t="shared" si="139"/>
        <v>0</v>
      </c>
      <c r="Z620" s="25">
        <f t="shared" si="140"/>
        <v>0</v>
      </c>
      <c r="AA620" s="26">
        <f>VLOOKUP(S620,CPI!$A$2:$F$71,6,0)</f>
        <v>1.501440311</v>
      </c>
      <c r="AB620" s="27">
        <f t="shared" si="141"/>
        <v>4504.320933</v>
      </c>
      <c r="AC620" s="27">
        <f t="shared" si="142"/>
        <v>1047.516496</v>
      </c>
      <c r="AD620" s="6" t="s">
        <v>42</v>
      </c>
      <c r="AE620" s="37" t="s">
        <v>1087</v>
      </c>
      <c r="AF620" s="178"/>
      <c r="AG620" s="172"/>
      <c r="AH620" s="172"/>
      <c r="AI620" s="172"/>
      <c r="AJ620" s="32"/>
      <c r="AK620" s="32"/>
      <c r="AL620" s="32"/>
      <c r="AM620" s="32"/>
      <c r="AN620" s="32"/>
      <c r="AO620" s="32"/>
      <c r="AP620" s="32"/>
      <c r="AQ620" s="33"/>
    </row>
    <row r="621" ht="15.75" customHeight="1">
      <c r="A621" s="7"/>
      <c r="B621" s="74" t="s">
        <v>1071</v>
      </c>
      <c r="C621" s="74" t="s">
        <v>1078</v>
      </c>
      <c r="D621" s="74" t="s">
        <v>87</v>
      </c>
      <c r="E621" s="74" t="s">
        <v>331</v>
      </c>
      <c r="F621" s="70">
        <v>2007.0</v>
      </c>
      <c r="G621" s="70">
        <v>2012.0</v>
      </c>
      <c r="H621" s="70">
        <v>0.0</v>
      </c>
      <c r="I621" s="70">
        <v>4.4</v>
      </c>
      <c r="J621" s="71">
        <v>1.0</v>
      </c>
      <c r="K621" s="70">
        <v>4.4</v>
      </c>
      <c r="L621" s="70">
        <v>0.0</v>
      </c>
      <c r="M621" s="70">
        <v>0.0</v>
      </c>
      <c r="N621" s="70">
        <v>5.0</v>
      </c>
      <c r="O621" s="253"/>
      <c r="P621" s="254" t="s">
        <v>60</v>
      </c>
      <c r="Q621" s="73"/>
      <c r="R621" s="74"/>
      <c r="S621" s="74"/>
      <c r="T621" s="255"/>
      <c r="U621" s="256"/>
      <c r="V621" s="24"/>
      <c r="W621" s="69"/>
      <c r="X621" s="54"/>
      <c r="Y621" s="54"/>
      <c r="Z621" s="255"/>
      <c r="AA621" s="26" t="str">
        <f>VLOOKUP(S621,CPI!$A$2:$F$71,6,0)</f>
        <v>#N/A</v>
      </c>
      <c r="AD621" s="72"/>
      <c r="AE621" s="208" t="s">
        <v>1088</v>
      </c>
      <c r="AF621" s="241"/>
      <c r="AG621" s="242"/>
      <c r="AH621" s="166"/>
      <c r="AI621" s="166"/>
      <c r="AJ621" s="166"/>
      <c r="AK621" s="166"/>
      <c r="AL621" s="166"/>
      <c r="AM621" s="32"/>
      <c r="AN621" s="32"/>
      <c r="AO621" s="32"/>
      <c r="AP621" s="32"/>
      <c r="AQ621" s="33"/>
    </row>
    <row r="622" ht="15.75" customHeight="1">
      <c r="A622" s="14">
        <v>8211.0</v>
      </c>
      <c r="B622" s="22" t="s">
        <v>1071</v>
      </c>
      <c r="C622" s="22" t="s">
        <v>1078</v>
      </c>
      <c r="D622" s="36" t="s">
        <v>87</v>
      </c>
      <c r="E622" s="22" t="s">
        <v>357</v>
      </c>
      <c r="F622" s="17">
        <v>2009.0</v>
      </c>
      <c r="G622" s="17">
        <v>2014.0</v>
      </c>
      <c r="H622" s="17">
        <v>0.0</v>
      </c>
      <c r="I622" s="18">
        <v>7.2</v>
      </c>
      <c r="J622" s="19">
        <f>K622/I622</f>
        <v>1</v>
      </c>
      <c r="K622" s="20">
        <v>7.2</v>
      </c>
      <c r="L622" s="21">
        <v>0.0</v>
      </c>
      <c r="M622" s="21">
        <v>0.0</v>
      </c>
      <c r="N622" s="18">
        <v>4.0</v>
      </c>
      <c r="O622" s="17"/>
      <c r="P622" s="22" t="s">
        <v>36</v>
      </c>
      <c r="Q622" s="23">
        <v>498.0</v>
      </c>
      <c r="R622" s="15" t="s">
        <v>1089</v>
      </c>
      <c r="S622" s="17">
        <v>2009.0</v>
      </c>
      <c r="T622" s="22"/>
      <c r="U622" s="118"/>
      <c r="V622" s="24"/>
      <c r="W622" s="3">
        <f>IF(OR(B622 = "BG",B622 = "GR",B622 = "IT",B622 = "ES",B622 = "PT",B622 = "TR", B622 = "KR",B622 = "SE",B622 = "CH",B622 = "NO",B622 = "DK",B622 = "FI"), 1, 0)</f>
        <v>0</v>
      </c>
      <c r="X622" s="3">
        <f>W622*I622</f>
        <v>0</v>
      </c>
      <c r="Y622" s="3">
        <f>W622*K622</f>
        <v>0</v>
      </c>
      <c r="Z622" s="25">
        <f>IF(OR(B622 = "US",B622 = "CA",B622 = "UK",B622 = "NZ",B622 = "AU",B622 = "SG"), 1, 0)</f>
        <v>0</v>
      </c>
      <c r="AA622" s="26">
        <f>VLOOKUP(S622,CPI!$A$2:$F$71,6,0)</f>
        <v>1.501440311</v>
      </c>
      <c r="AB622" s="27"/>
      <c r="AC622" s="27"/>
      <c r="AD622" s="6"/>
      <c r="AE622" s="6"/>
      <c r="AF622" s="178"/>
      <c r="AG622" s="172"/>
      <c r="AH622" s="172"/>
      <c r="AI622" s="172"/>
      <c r="AJ622" s="32"/>
      <c r="AK622" s="32"/>
      <c r="AL622" s="32"/>
      <c r="AM622" s="32"/>
      <c r="AN622" s="32"/>
      <c r="AO622" s="32"/>
      <c r="AP622" s="32"/>
      <c r="AQ622" s="33"/>
    </row>
    <row r="623" ht="15.75" customHeight="1">
      <c r="A623" s="7"/>
      <c r="B623" s="74" t="s">
        <v>1071</v>
      </c>
      <c r="C623" s="74" t="s">
        <v>1078</v>
      </c>
      <c r="D623" s="74" t="s">
        <v>87</v>
      </c>
      <c r="E623" s="74" t="s">
        <v>357</v>
      </c>
      <c r="F623" s="70">
        <v>2009.0</v>
      </c>
      <c r="G623" s="70">
        <v>2014.0</v>
      </c>
      <c r="H623" s="70">
        <v>0.0</v>
      </c>
      <c r="I623" s="70">
        <v>7.7</v>
      </c>
      <c r="J623" s="71">
        <v>1.0</v>
      </c>
      <c r="K623" s="70">
        <v>7.7</v>
      </c>
      <c r="L623" s="70">
        <v>0.0</v>
      </c>
      <c r="M623" s="70">
        <v>0.0</v>
      </c>
      <c r="N623" s="70">
        <v>4.0</v>
      </c>
      <c r="O623" s="253"/>
      <c r="P623" s="254" t="s">
        <v>60</v>
      </c>
      <c r="Q623" s="73"/>
      <c r="R623" s="74"/>
      <c r="S623" s="74"/>
      <c r="T623" s="255"/>
      <c r="U623" s="256"/>
      <c r="V623" s="24"/>
      <c r="W623" s="69"/>
      <c r="X623" s="54"/>
      <c r="Y623" s="54"/>
      <c r="Z623" s="255"/>
      <c r="AA623" s="26" t="str">
        <f>VLOOKUP(S623,CPI!$A$2:$F$71,6,0)</f>
        <v>#N/A</v>
      </c>
      <c r="AD623" s="72"/>
      <c r="AE623" s="208" t="s">
        <v>1088</v>
      </c>
      <c r="AF623" s="241"/>
      <c r="AG623" s="242"/>
      <c r="AH623" s="166"/>
      <c r="AI623" s="166"/>
      <c r="AJ623" s="166"/>
      <c r="AK623" s="166"/>
      <c r="AL623" s="166"/>
      <c r="AM623" s="32"/>
      <c r="AN623" s="32"/>
      <c r="AO623" s="32"/>
      <c r="AP623" s="32"/>
      <c r="AQ623" s="33"/>
    </row>
    <row r="624" ht="15.75" customHeight="1">
      <c r="A624" s="7"/>
      <c r="B624" s="74" t="s">
        <v>1071</v>
      </c>
      <c r="C624" s="74" t="s">
        <v>1078</v>
      </c>
      <c r="D624" s="74" t="s">
        <v>87</v>
      </c>
      <c r="E624" s="74" t="s">
        <v>1090</v>
      </c>
      <c r="F624" s="70">
        <v>2013.0</v>
      </c>
      <c r="G624" s="70">
        <v>2019.0</v>
      </c>
      <c r="H624" s="70">
        <v>0.0</v>
      </c>
      <c r="I624" s="70">
        <v>3.7</v>
      </c>
      <c r="J624" s="71">
        <v>1.0</v>
      </c>
      <c r="K624" s="70">
        <v>3.7</v>
      </c>
      <c r="L624" s="70">
        <v>0.0</v>
      </c>
      <c r="M624" s="70">
        <v>0.0</v>
      </c>
      <c r="N624" s="70">
        <v>4.0</v>
      </c>
      <c r="O624" s="253"/>
      <c r="P624" s="254" t="s">
        <v>60</v>
      </c>
      <c r="Q624" s="73"/>
      <c r="R624" s="74"/>
      <c r="S624" s="74"/>
      <c r="T624" s="255"/>
      <c r="U624" s="256"/>
      <c r="V624" s="24"/>
      <c r="W624" s="69"/>
      <c r="X624" s="54"/>
      <c r="Y624" s="54"/>
      <c r="Z624" s="255"/>
      <c r="AA624" s="26" t="str">
        <f>VLOOKUP(S624,CPI!$A$2:$F$71,6,0)</f>
        <v>#N/A</v>
      </c>
      <c r="AD624" s="72"/>
      <c r="AE624" s="208" t="s">
        <v>1088</v>
      </c>
      <c r="AF624" s="241"/>
      <c r="AG624" s="242"/>
      <c r="AH624" s="166"/>
      <c r="AI624" s="166"/>
      <c r="AJ624" s="166"/>
      <c r="AK624" s="166"/>
      <c r="AL624" s="166"/>
      <c r="AM624" s="32"/>
      <c r="AN624" s="32"/>
      <c r="AO624" s="32"/>
      <c r="AP624" s="32"/>
      <c r="AQ624" s="33"/>
    </row>
    <row r="625" ht="15.75" customHeight="1">
      <c r="A625" s="7"/>
      <c r="B625" s="74" t="s">
        <v>1071</v>
      </c>
      <c r="C625" s="74" t="s">
        <v>1078</v>
      </c>
      <c r="D625" s="74" t="s">
        <v>87</v>
      </c>
      <c r="E625" s="74" t="s">
        <v>1091</v>
      </c>
      <c r="F625" s="70">
        <v>2013.0</v>
      </c>
      <c r="G625" s="70">
        <v>2021.0</v>
      </c>
      <c r="H625" s="70">
        <v>0.0</v>
      </c>
      <c r="I625" s="70">
        <v>7.8</v>
      </c>
      <c r="J625" s="71">
        <v>0.0</v>
      </c>
      <c r="K625" s="70">
        <v>0.0</v>
      </c>
      <c r="L625" s="70">
        <v>7.8</v>
      </c>
      <c r="M625" s="70">
        <v>0.0</v>
      </c>
      <c r="N625" s="70">
        <v>6.0</v>
      </c>
      <c r="O625" s="253"/>
      <c r="P625" s="254" t="s">
        <v>60</v>
      </c>
      <c r="Q625" s="73"/>
      <c r="R625" s="74"/>
      <c r="S625" s="74"/>
      <c r="T625" s="255"/>
      <c r="U625" s="256"/>
      <c r="V625" s="24"/>
      <c r="W625" s="69"/>
      <c r="X625" s="54"/>
      <c r="Y625" s="54"/>
      <c r="Z625" s="255"/>
      <c r="AA625" s="26" t="str">
        <f>VLOOKUP(S625,CPI!$A$2:$F$71,6,0)</f>
        <v>#N/A</v>
      </c>
      <c r="AD625" s="72"/>
      <c r="AE625" s="208" t="s">
        <v>1088</v>
      </c>
      <c r="AF625" s="241"/>
      <c r="AG625" s="242"/>
      <c r="AH625" s="166"/>
      <c r="AI625" s="166"/>
      <c r="AJ625" s="166"/>
      <c r="AK625" s="166"/>
      <c r="AL625" s="166"/>
      <c r="AM625" s="32"/>
      <c r="AN625" s="32"/>
      <c r="AO625" s="32"/>
      <c r="AP625" s="32"/>
      <c r="AQ625" s="33"/>
    </row>
    <row r="626" ht="15.75" customHeight="1">
      <c r="A626" s="7"/>
      <c r="B626" s="74" t="s">
        <v>1071</v>
      </c>
      <c r="C626" s="74" t="s">
        <v>1078</v>
      </c>
      <c r="D626" s="74" t="s">
        <v>87</v>
      </c>
      <c r="E626" s="74" t="s">
        <v>1092</v>
      </c>
      <c r="F626" s="70">
        <v>2013.0</v>
      </c>
      <c r="G626" s="70">
        <v>2022.0</v>
      </c>
      <c r="H626" s="70">
        <v>0.0</v>
      </c>
      <c r="I626" s="70">
        <v>4.0</v>
      </c>
      <c r="J626" s="71">
        <v>1.0</v>
      </c>
      <c r="K626" s="70">
        <v>4.0</v>
      </c>
      <c r="L626" s="70">
        <v>0.0</v>
      </c>
      <c r="M626" s="70">
        <v>0.0</v>
      </c>
      <c r="N626" s="70">
        <v>4.0</v>
      </c>
      <c r="O626" s="253"/>
      <c r="P626" s="254" t="s">
        <v>60</v>
      </c>
      <c r="Q626" s="73"/>
      <c r="R626" s="74"/>
      <c r="S626" s="74"/>
      <c r="T626" s="255"/>
      <c r="U626" s="256"/>
      <c r="V626" s="24"/>
      <c r="W626" s="69"/>
      <c r="X626" s="54"/>
      <c r="Y626" s="54"/>
      <c r="Z626" s="255"/>
      <c r="AA626" s="26" t="str">
        <f>VLOOKUP(S626,CPI!$A$2:$F$71,6,0)</f>
        <v>#N/A</v>
      </c>
      <c r="AD626" s="72"/>
      <c r="AE626" s="208" t="s">
        <v>1088</v>
      </c>
      <c r="AF626" s="241"/>
      <c r="AG626" s="242"/>
      <c r="AH626" s="166"/>
      <c r="AI626" s="166"/>
      <c r="AJ626" s="166"/>
      <c r="AK626" s="166"/>
      <c r="AL626" s="166"/>
      <c r="AM626" s="32"/>
      <c r="AN626" s="32"/>
      <c r="AO626" s="32"/>
      <c r="AP626" s="32"/>
      <c r="AQ626" s="33"/>
    </row>
    <row r="627" ht="15.75" customHeight="1">
      <c r="A627" s="14">
        <v>8217.0</v>
      </c>
      <c r="B627" s="22" t="s">
        <v>1071</v>
      </c>
      <c r="C627" s="22" t="s">
        <v>1078</v>
      </c>
      <c r="D627" s="36" t="s">
        <v>87</v>
      </c>
      <c r="E627" s="22" t="s">
        <v>785</v>
      </c>
      <c r="F627" s="17">
        <v>2015.0</v>
      </c>
      <c r="G627" s="17">
        <v>2022.0</v>
      </c>
      <c r="H627" s="17">
        <v>0.0</v>
      </c>
      <c r="I627" s="18">
        <v>12.1</v>
      </c>
      <c r="J627" s="19">
        <f t="shared" ref="J627:J628" si="143">K627/I627</f>
        <v>0.7933884298</v>
      </c>
      <c r="K627" s="20">
        <v>9.6</v>
      </c>
      <c r="L627" s="21">
        <v>0.0</v>
      </c>
      <c r="M627" s="21">
        <v>0.0</v>
      </c>
      <c r="N627" s="18">
        <v>8.0</v>
      </c>
      <c r="O627" s="17"/>
      <c r="P627" s="22" t="s">
        <v>36</v>
      </c>
      <c r="Q627" s="23"/>
      <c r="R627" s="22"/>
      <c r="S627" s="22"/>
      <c r="T627" s="22"/>
      <c r="U627" s="118"/>
      <c r="V627" s="24"/>
      <c r="W627" s="3">
        <f t="shared" ref="W627:W628" si="144">IF(OR(B627 = "BG",B627 = "GR",B627 = "IT",B627 = "ES",B627 = "PT",B627 = "TR", B627 = "KR",B627 = "SE",B627 = "CH",B627 = "NO",B627 = "DK",B627 = "FI"), 1, 0)</f>
        <v>0</v>
      </c>
      <c r="X627" s="3">
        <f t="shared" ref="X627:X628" si="145">W627*I627</f>
        <v>0</v>
      </c>
      <c r="Y627" s="3">
        <f t="shared" ref="Y627:Y628" si="146">W627*K627</f>
        <v>0</v>
      </c>
      <c r="Z627" s="25">
        <f t="shared" ref="Z627:Z628" si="147">IF(OR(B627 = "US",B627 = "CA",B627 = "UK",B627 = "NZ",B627 = "AU",B627 = "SG"), 1, 0)</f>
        <v>0</v>
      </c>
      <c r="AA627" s="26" t="str">
        <f>VLOOKUP(S627,CPI!$A$2:$F$71,6,0)</f>
        <v>#N/A</v>
      </c>
      <c r="AB627" s="27"/>
      <c r="AC627" s="27"/>
      <c r="AD627" s="6"/>
      <c r="AE627" s="6"/>
      <c r="AF627" s="178"/>
      <c r="AG627" s="172"/>
      <c r="AH627" s="172"/>
      <c r="AI627" s="172"/>
      <c r="AJ627" s="32"/>
      <c r="AK627" s="32"/>
      <c r="AL627" s="32"/>
      <c r="AM627" s="32"/>
      <c r="AN627" s="32"/>
      <c r="AO627" s="32"/>
      <c r="AP627" s="32"/>
      <c r="AQ627" s="33"/>
    </row>
    <row r="628" ht="15.75" customHeight="1">
      <c r="A628" s="14">
        <v>8216.0</v>
      </c>
      <c r="B628" s="22" t="s">
        <v>1071</v>
      </c>
      <c r="C628" s="22" t="s">
        <v>1078</v>
      </c>
      <c r="D628" s="36" t="s">
        <v>87</v>
      </c>
      <c r="E628" s="22" t="s">
        <v>616</v>
      </c>
      <c r="F628" s="17">
        <v>2017.0</v>
      </c>
      <c r="G628" s="17">
        <v>2022.0</v>
      </c>
      <c r="H628" s="17">
        <v>0.0</v>
      </c>
      <c r="I628" s="18">
        <v>11.6</v>
      </c>
      <c r="J628" s="19">
        <f t="shared" si="143"/>
        <v>1</v>
      </c>
      <c r="K628" s="20">
        <v>11.6</v>
      </c>
      <c r="L628" s="21">
        <v>0.0</v>
      </c>
      <c r="M628" s="21">
        <v>0.0</v>
      </c>
      <c r="N628" s="18">
        <v>12.0</v>
      </c>
      <c r="O628" s="17"/>
      <c r="P628" s="22" t="s">
        <v>36</v>
      </c>
      <c r="Q628" s="23">
        <v>0.27</v>
      </c>
      <c r="R628" s="15" t="s">
        <v>1089</v>
      </c>
      <c r="S628" s="17">
        <v>2016.0</v>
      </c>
      <c r="T628" s="22"/>
      <c r="U628" s="118"/>
      <c r="V628" s="24"/>
      <c r="W628" s="3">
        <f t="shared" si="144"/>
        <v>0</v>
      </c>
      <c r="X628" s="3">
        <f t="shared" si="145"/>
        <v>0</v>
      </c>
      <c r="Y628" s="3">
        <f t="shared" si="146"/>
        <v>0</v>
      </c>
      <c r="Z628" s="25">
        <f t="shared" si="147"/>
        <v>0</v>
      </c>
      <c r="AA628" s="26">
        <f>VLOOKUP(S628,CPI!$A$2:$F$71,6,0)</f>
        <v>1.342104605</v>
      </c>
      <c r="AB628" s="27"/>
      <c r="AC628" s="27"/>
      <c r="AD628" s="6"/>
      <c r="AE628" s="6"/>
      <c r="AF628" s="130"/>
      <c r="AG628" s="130"/>
      <c r="AH628" s="130"/>
      <c r="AI628" s="130"/>
      <c r="AJ628" s="33"/>
      <c r="AK628" s="33"/>
      <c r="AL628" s="33"/>
      <c r="AM628" s="54"/>
      <c r="AN628" s="54"/>
      <c r="AO628" s="54"/>
      <c r="AP628" s="54"/>
      <c r="AQ628" s="54"/>
    </row>
    <row r="629" ht="15.75" customHeight="1">
      <c r="A629" s="7"/>
      <c r="B629" s="257" t="s">
        <v>1071</v>
      </c>
      <c r="C629" s="257" t="s">
        <v>1078</v>
      </c>
      <c r="D629" s="257" t="s">
        <v>87</v>
      </c>
      <c r="E629" s="257" t="s">
        <v>1093</v>
      </c>
      <c r="F629" s="258">
        <v>2007.0</v>
      </c>
      <c r="G629" s="258">
        <v>2023.0</v>
      </c>
      <c r="H629" s="258">
        <v>0.0</v>
      </c>
      <c r="I629" s="258">
        <v>41.3</v>
      </c>
      <c r="J629" s="259" t="s">
        <v>1083</v>
      </c>
      <c r="K629" s="259" t="s">
        <v>1083</v>
      </c>
      <c r="L629" s="259" t="s">
        <v>1083</v>
      </c>
      <c r="M629" s="259" t="s">
        <v>1083</v>
      </c>
      <c r="N629" s="258">
        <v>34.0</v>
      </c>
      <c r="O629" s="253"/>
      <c r="P629" s="260" t="s">
        <v>60</v>
      </c>
      <c r="Q629" s="261"/>
      <c r="R629" s="257"/>
      <c r="S629" s="257"/>
      <c r="T629" s="255"/>
      <c r="U629" s="256"/>
      <c r="V629" s="24"/>
      <c r="W629" s="262"/>
      <c r="X629" s="54"/>
      <c r="Y629" s="54"/>
      <c r="Z629" s="255"/>
      <c r="AA629" s="26" t="str">
        <f>VLOOKUP(S629,CPI!$A$2:$F$71,6,0)</f>
        <v>#N/A</v>
      </c>
      <c r="AD629" s="263"/>
      <c r="AE629" s="208" t="s">
        <v>1088</v>
      </c>
      <c r="AF629" s="208"/>
      <c r="AG629" s="255"/>
      <c r="AH629" s="206"/>
      <c r="AI629" s="206"/>
      <c r="AJ629" s="206"/>
      <c r="AK629" s="206"/>
      <c r="AL629" s="206"/>
      <c r="AM629" s="54"/>
      <c r="AN629" s="54"/>
      <c r="AO629" s="54"/>
      <c r="AP629" s="54"/>
      <c r="AQ629" s="54"/>
    </row>
    <row r="630" ht="15.75" customHeight="1">
      <c r="A630" s="7"/>
      <c r="B630" s="74" t="s">
        <v>1071</v>
      </c>
      <c r="C630" s="74" t="s">
        <v>1078</v>
      </c>
      <c r="D630" s="74" t="s">
        <v>87</v>
      </c>
      <c r="E630" s="74" t="s">
        <v>1094</v>
      </c>
      <c r="F630" s="70">
        <v>2013.0</v>
      </c>
      <c r="G630" s="70">
        <v>2023.0</v>
      </c>
      <c r="H630" s="70">
        <v>0.0</v>
      </c>
      <c r="I630" s="70">
        <v>6.6</v>
      </c>
      <c r="J630" s="71" t="s">
        <v>1083</v>
      </c>
      <c r="K630" s="71" t="s">
        <v>1083</v>
      </c>
      <c r="L630" s="71" t="s">
        <v>1083</v>
      </c>
      <c r="M630" s="71" t="s">
        <v>1083</v>
      </c>
      <c r="N630" s="70">
        <v>6.0</v>
      </c>
      <c r="O630" s="253"/>
      <c r="P630" s="254" t="s">
        <v>60</v>
      </c>
      <c r="Q630" s="73"/>
      <c r="R630" s="74"/>
      <c r="S630" s="74"/>
      <c r="T630" s="255"/>
      <c r="U630" s="256"/>
      <c r="V630" s="24"/>
      <c r="W630" s="69"/>
      <c r="X630" s="54"/>
      <c r="Y630" s="54"/>
      <c r="Z630" s="255"/>
      <c r="AA630" s="26" t="str">
        <f>VLOOKUP(S630,CPI!$A$2:$F$71,6,0)</f>
        <v>#N/A</v>
      </c>
      <c r="AD630" s="72"/>
      <c r="AE630" s="208" t="s">
        <v>1095</v>
      </c>
      <c r="AF630" s="241"/>
      <c r="AG630" s="242"/>
      <c r="AH630" s="166"/>
      <c r="AI630" s="166"/>
      <c r="AJ630" s="166"/>
      <c r="AK630" s="166"/>
      <c r="AL630" s="166"/>
      <c r="AM630" s="32"/>
      <c r="AN630" s="32"/>
      <c r="AO630" s="32"/>
      <c r="AP630" s="32"/>
      <c r="AQ630" s="33"/>
    </row>
    <row r="631" ht="15.75" customHeight="1">
      <c r="A631" s="7"/>
      <c r="B631" s="74" t="s">
        <v>1071</v>
      </c>
      <c r="C631" s="74" t="s">
        <v>1078</v>
      </c>
      <c r="D631" s="74" t="s">
        <v>87</v>
      </c>
      <c r="E631" s="74" t="s">
        <v>1096</v>
      </c>
      <c r="F631" s="70">
        <v>2013.0</v>
      </c>
      <c r="G631" s="70">
        <v>2023.0</v>
      </c>
      <c r="H631" s="70">
        <v>0.0</v>
      </c>
      <c r="I631" s="70">
        <v>7.1</v>
      </c>
      <c r="J631" s="71" t="s">
        <v>1083</v>
      </c>
      <c r="K631" s="71" t="s">
        <v>1083</v>
      </c>
      <c r="L631" s="71" t="s">
        <v>1083</v>
      </c>
      <c r="M631" s="71" t="s">
        <v>1083</v>
      </c>
      <c r="N631" s="70">
        <v>5.0</v>
      </c>
      <c r="O631" s="253"/>
      <c r="P631" s="254" t="s">
        <v>60</v>
      </c>
      <c r="Q631" s="73"/>
      <c r="R631" s="74"/>
      <c r="S631" s="74"/>
      <c r="T631" s="255"/>
      <c r="U631" s="256"/>
      <c r="V631" s="24"/>
      <c r="W631" s="69"/>
      <c r="X631" s="54"/>
      <c r="Y631" s="54"/>
      <c r="Z631" s="255"/>
      <c r="AA631" s="26" t="str">
        <f>VLOOKUP(S631,CPI!$A$2:$F$71,6,0)</f>
        <v>#N/A</v>
      </c>
      <c r="AD631" s="72"/>
      <c r="AE631" s="208" t="s">
        <v>1095</v>
      </c>
      <c r="AF631" s="241"/>
      <c r="AG631" s="242"/>
      <c r="AH631" s="166"/>
      <c r="AI631" s="166"/>
      <c r="AJ631" s="166"/>
      <c r="AK631" s="166"/>
      <c r="AL631" s="166"/>
      <c r="AM631" s="32"/>
      <c r="AN631" s="32"/>
      <c r="AO631" s="32"/>
      <c r="AP631" s="32"/>
      <c r="AQ631" s="33"/>
    </row>
    <row r="632" ht="15.75" customHeight="1">
      <c r="A632" s="7"/>
      <c r="B632" s="74" t="s">
        <v>1071</v>
      </c>
      <c r="C632" s="74" t="s">
        <v>1078</v>
      </c>
      <c r="D632" s="74" t="s">
        <v>1097</v>
      </c>
      <c r="E632" s="74" t="s">
        <v>1098</v>
      </c>
      <c r="F632" s="70">
        <v>2019.0</v>
      </c>
      <c r="G632" s="70">
        <v>2023.0</v>
      </c>
      <c r="H632" s="70">
        <v>0.0</v>
      </c>
      <c r="I632" s="70">
        <v>56.5</v>
      </c>
      <c r="J632" s="71">
        <v>0.0</v>
      </c>
      <c r="K632" s="70">
        <v>0.0</v>
      </c>
      <c r="L632" s="70">
        <v>56.5</v>
      </c>
      <c r="M632" s="70">
        <v>0.0</v>
      </c>
      <c r="N632" s="70">
        <v>22.0</v>
      </c>
      <c r="O632" s="253"/>
      <c r="P632" s="254" t="s">
        <v>60</v>
      </c>
      <c r="Q632" s="73" t="s">
        <v>1099</v>
      </c>
      <c r="R632" s="74"/>
      <c r="S632" s="74"/>
      <c r="T632" s="255"/>
      <c r="U632" s="256"/>
      <c r="V632" s="24"/>
      <c r="W632" s="69"/>
      <c r="X632" s="54"/>
      <c r="Y632" s="54"/>
      <c r="Z632" s="255"/>
      <c r="AA632" s="26" t="str">
        <f>VLOOKUP(S632,CPI!$A$2:$F$71,6,0)</f>
        <v>#N/A</v>
      </c>
      <c r="AD632" s="72"/>
      <c r="AE632" s="208" t="s">
        <v>1100</v>
      </c>
      <c r="AF632" s="241"/>
      <c r="AG632" s="242"/>
      <c r="AH632" s="166"/>
      <c r="AI632" s="166"/>
      <c r="AJ632" s="166"/>
      <c r="AK632" s="166"/>
      <c r="AL632" s="166"/>
      <c r="AM632" s="32"/>
      <c r="AN632" s="32"/>
      <c r="AO632" s="32"/>
      <c r="AP632" s="32"/>
      <c r="AQ632" s="33"/>
    </row>
    <row r="633" ht="15.75" customHeight="1">
      <c r="A633" s="7"/>
      <c r="B633" s="74" t="s">
        <v>1071</v>
      </c>
      <c r="C633" s="74" t="s">
        <v>1078</v>
      </c>
      <c r="D633" s="74" t="s">
        <v>1097</v>
      </c>
      <c r="E633" s="74" t="s">
        <v>1101</v>
      </c>
      <c r="F633" s="70">
        <v>2019.0</v>
      </c>
      <c r="G633" s="70">
        <v>2023.0</v>
      </c>
      <c r="H633" s="70">
        <v>0.0</v>
      </c>
      <c r="I633" s="70">
        <v>42.0</v>
      </c>
      <c r="J633" s="71">
        <v>0.0</v>
      </c>
      <c r="K633" s="70">
        <v>0.0</v>
      </c>
      <c r="L633" s="70">
        <v>42.0</v>
      </c>
      <c r="M633" s="70">
        <v>0.0</v>
      </c>
      <c r="N633" s="70">
        <v>13.0</v>
      </c>
      <c r="O633" s="253"/>
      <c r="P633" s="254" t="s">
        <v>60</v>
      </c>
      <c r="Q633" s="73" t="s">
        <v>1099</v>
      </c>
      <c r="R633" s="74"/>
      <c r="S633" s="74"/>
      <c r="T633" s="255"/>
      <c r="U633" s="256"/>
      <c r="V633" s="24"/>
      <c r="W633" s="69"/>
      <c r="X633" s="54"/>
      <c r="Y633" s="54"/>
      <c r="Z633" s="255"/>
      <c r="AA633" s="26" t="str">
        <f>VLOOKUP(S633,CPI!$A$2:$F$71,6,0)</f>
        <v>#N/A</v>
      </c>
      <c r="AD633" s="72"/>
      <c r="AE633" s="208" t="s">
        <v>1102</v>
      </c>
      <c r="AF633" s="241"/>
      <c r="AG633" s="242"/>
      <c r="AH633" s="166"/>
      <c r="AI633" s="166"/>
      <c r="AJ633" s="166"/>
      <c r="AK633" s="166"/>
      <c r="AL633" s="166"/>
      <c r="AM633" s="32"/>
      <c r="AN633" s="32"/>
      <c r="AO633" s="32"/>
      <c r="AP633" s="32"/>
      <c r="AQ633" s="33"/>
    </row>
    <row r="634" ht="15.75" customHeight="1">
      <c r="A634" s="7"/>
      <c r="B634" s="257" t="s">
        <v>1071</v>
      </c>
      <c r="C634" s="257" t="s">
        <v>1078</v>
      </c>
      <c r="D634" s="257" t="s">
        <v>1097</v>
      </c>
      <c r="E634" s="257" t="s">
        <v>1103</v>
      </c>
      <c r="F634" s="258">
        <v>2019.0</v>
      </c>
      <c r="G634" s="258">
        <v>2023.0</v>
      </c>
      <c r="H634" s="258">
        <v>0.0</v>
      </c>
      <c r="I634" s="258">
        <v>98.5</v>
      </c>
      <c r="J634" s="259">
        <v>0.0</v>
      </c>
      <c r="K634" s="258">
        <v>0.0</v>
      </c>
      <c r="L634" s="258">
        <v>98.5</v>
      </c>
      <c r="M634" s="258">
        <v>0.0</v>
      </c>
      <c r="N634" s="258">
        <v>35.0</v>
      </c>
      <c r="O634" s="253"/>
      <c r="P634" s="260" t="s">
        <v>60</v>
      </c>
      <c r="Q634" s="261">
        <v>4500.0</v>
      </c>
      <c r="R634" s="257" t="s">
        <v>37</v>
      </c>
      <c r="S634" s="258">
        <v>2022.0</v>
      </c>
      <c r="T634" s="255"/>
      <c r="U634" s="256"/>
      <c r="V634" s="24"/>
      <c r="W634" s="262"/>
      <c r="X634" s="54"/>
      <c r="Y634" s="54"/>
      <c r="Z634" s="255"/>
      <c r="AA634" s="26">
        <f>VLOOKUP(S634,CPI!$A$2:$F$71,6,0)</f>
        <v>1.100662897</v>
      </c>
      <c r="AD634" s="263" t="s">
        <v>36</v>
      </c>
      <c r="AE634" s="208" t="s">
        <v>1100</v>
      </c>
      <c r="AF634" s="241" t="s">
        <v>1102</v>
      </c>
      <c r="AG634" s="264" t="s">
        <v>1104</v>
      </c>
      <c r="AH634" s="166"/>
      <c r="AI634" s="166"/>
      <c r="AJ634" s="166"/>
      <c r="AK634" s="166"/>
      <c r="AL634" s="166"/>
      <c r="AM634" s="32"/>
      <c r="AN634" s="32"/>
      <c r="AO634" s="32"/>
      <c r="AP634" s="32"/>
      <c r="AQ634" s="33"/>
    </row>
    <row r="635" ht="15.75" customHeight="1">
      <c r="A635" s="7"/>
      <c r="B635" s="74" t="s">
        <v>1071</v>
      </c>
      <c r="C635" s="74" t="s">
        <v>1078</v>
      </c>
      <c r="D635" s="74" t="s">
        <v>110</v>
      </c>
      <c r="E635" s="74" t="s">
        <v>332</v>
      </c>
      <c r="F635" s="70">
        <v>2020.0</v>
      </c>
      <c r="G635" s="70">
        <v>2024.0</v>
      </c>
      <c r="H635" s="70">
        <v>0.0</v>
      </c>
      <c r="I635" s="70" t="s">
        <v>1105</v>
      </c>
      <c r="J635" s="71">
        <v>0.9</v>
      </c>
      <c r="K635" s="71" t="s">
        <v>1083</v>
      </c>
      <c r="L635" s="71" t="s">
        <v>1083</v>
      </c>
      <c r="M635" s="71" t="s">
        <v>1083</v>
      </c>
      <c r="N635" s="70">
        <v>17.0</v>
      </c>
      <c r="O635" s="253"/>
      <c r="P635" s="254" t="s">
        <v>60</v>
      </c>
      <c r="Q635" s="73">
        <v>800.0</v>
      </c>
      <c r="R635" s="74" t="s">
        <v>37</v>
      </c>
      <c r="S635" s="70">
        <v>2020.0</v>
      </c>
      <c r="T635" s="255"/>
      <c r="U635" s="256"/>
      <c r="V635" s="24"/>
      <c r="W635" s="69"/>
      <c r="X635" s="54"/>
      <c r="Y635" s="54"/>
      <c r="Z635" s="255"/>
      <c r="AA635" s="26">
        <f>VLOOKUP(S635,CPI!$A$2:$F$71,6,0)</f>
        <v>1.244593545</v>
      </c>
      <c r="AD635" s="72"/>
      <c r="AE635" s="208" t="s">
        <v>1106</v>
      </c>
      <c r="AF635" s="241" t="s">
        <v>1107</v>
      </c>
      <c r="AG635" s="242"/>
      <c r="AH635" s="166"/>
      <c r="AI635" s="166"/>
      <c r="AJ635" s="166"/>
      <c r="AK635" s="166"/>
      <c r="AL635" s="166"/>
      <c r="AM635" s="32"/>
      <c r="AN635" s="32"/>
      <c r="AO635" s="32"/>
      <c r="AP635" s="32"/>
      <c r="AQ635" s="33"/>
    </row>
    <row r="636" ht="15.75" customHeight="1">
      <c r="A636" s="7"/>
      <c r="B636" s="74" t="s">
        <v>1071</v>
      </c>
      <c r="C636" s="74" t="s">
        <v>1078</v>
      </c>
      <c r="D636" s="74" t="s">
        <v>110</v>
      </c>
      <c r="E636" s="74" t="s">
        <v>358</v>
      </c>
      <c r="F636" s="70">
        <v>2020.0</v>
      </c>
      <c r="G636" s="70">
        <v>2026.0</v>
      </c>
      <c r="H636" s="70">
        <v>0.0</v>
      </c>
      <c r="I636" s="70">
        <v>23.0</v>
      </c>
      <c r="J636" s="71" t="s">
        <v>1083</v>
      </c>
      <c r="K636" s="71" t="s">
        <v>1083</v>
      </c>
      <c r="L636" s="71" t="s">
        <v>1083</v>
      </c>
      <c r="M636" s="71" t="s">
        <v>1083</v>
      </c>
      <c r="N636" s="70">
        <v>21.0</v>
      </c>
      <c r="O636" s="253"/>
      <c r="P636" s="254" t="s">
        <v>60</v>
      </c>
      <c r="Q636" s="73" t="s">
        <v>1076</v>
      </c>
      <c r="R636" s="74"/>
      <c r="S636" s="74"/>
      <c r="T636" s="255"/>
      <c r="U636" s="256"/>
      <c r="V636" s="24"/>
      <c r="W636" s="69"/>
      <c r="X636" s="54"/>
      <c r="Y636" s="54"/>
      <c r="Z636" s="255"/>
      <c r="AA636" s="26" t="str">
        <f>VLOOKUP(S636,CPI!$A$2:$F$71,6,0)</f>
        <v>#N/A</v>
      </c>
      <c r="AD636" s="72" t="s">
        <v>36</v>
      </c>
      <c r="AE636" s="208" t="s">
        <v>1106</v>
      </c>
      <c r="AF636" s="241"/>
      <c r="AG636" s="242"/>
      <c r="AH636" s="166"/>
      <c r="AI636" s="166"/>
      <c r="AJ636" s="166"/>
      <c r="AK636" s="166"/>
      <c r="AL636" s="166"/>
      <c r="AM636" s="32"/>
      <c r="AN636" s="32"/>
      <c r="AO636" s="32"/>
      <c r="AP636" s="32"/>
      <c r="AQ636" s="33"/>
    </row>
    <row r="637">
      <c r="A637" s="7"/>
      <c r="B637" s="257" t="s">
        <v>1071</v>
      </c>
      <c r="C637" s="257" t="s">
        <v>1078</v>
      </c>
      <c r="D637" s="257" t="s">
        <v>110</v>
      </c>
      <c r="E637" s="257" t="s">
        <v>1108</v>
      </c>
      <c r="F637" s="258">
        <v>2020.0</v>
      </c>
      <c r="G637" s="258">
        <v>2026.0</v>
      </c>
      <c r="H637" s="258">
        <v>0.0</v>
      </c>
      <c r="I637" s="258">
        <v>42.0</v>
      </c>
      <c r="J637" s="71" t="s">
        <v>1083</v>
      </c>
      <c r="K637" s="71" t="s">
        <v>1083</v>
      </c>
      <c r="L637" s="71" t="s">
        <v>1083</v>
      </c>
      <c r="M637" s="71" t="s">
        <v>1083</v>
      </c>
      <c r="N637" s="258">
        <v>38.0</v>
      </c>
      <c r="O637" s="253"/>
      <c r="P637" s="260" t="s">
        <v>60</v>
      </c>
      <c r="Q637" s="261"/>
      <c r="R637" s="257"/>
      <c r="S637" s="257"/>
      <c r="T637" s="255"/>
      <c r="U637" s="256"/>
      <c r="V637" s="24"/>
      <c r="W637" s="262"/>
      <c r="X637" s="54"/>
      <c r="Y637" s="54"/>
      <c r="Z637" s="255"/>
      <c r="AA637" s="26" t="str">
        <f>VLOOKUP(S637,CPI!$A$2:$F$71,6,0)</f>
        <v>#N/A</v>
      </c>
      <c r="AD637" s="263"/>
      <c r="AE637" s="208" t="s">
        <v>1106</v>
      </c>
      <c r="AF637" s="241"/>
      <c r="AG637" s="242"/>
      <c r="AH637" s="166"/>
      <c r="AI637" s="166"/>
      <c r="AJ637" s="166"/>
      <c r="AK637" s="166"/>
      <c r="AL637" s="166"/>
      <c r="AM637" s="32"/>
      <c r="AN637" s="32"/>
      <c r="AO637" s="32"/>
      <c r="AP637" s="32"/>
      <c r="AQ637" s="33"/>
    </row>
    <row r="638" ht="15.75" customHeight="1">
      <c r="A638" s="14">
        <v>8224.0</v>
      </c>
      <c r="B638" s="6" t="s">
        <v>1071</v>
      </c>
      <c r="C638" s="6" t="s">
        <v>1078</v>
      </c>
      <c r="D638" s="6" t="s">
        <v>80</v>
      </c>
      <c r="E638" s="6" t="s">
        <v>80</v>
      </c>
      <c r="F638" s="17">
        <v>2017.0</v>
      </c>
      <c r="G638" s="17" t="s">
        <v>106</v>
      </c>
      <c r="H638" s="17">
        <v>0.0</v>
      </c>
      <c r="I638" s="18">
        <v>21.0</v>
      </c>
      <c r="J638" s="19">
        <f t="shared" ref="J638:J639" si="148">K638/I638</f>
        <v>0.6523809524</v>
      </c>
      <c r="K638" s="20">
        <v>13.7</v>
      </c>
      <c r="L638" s="21">
        <v>0.0</v>
      </c>
      <c r="M638" s="21">
        <v>0.0</v>
      </c>
      <c r="N638" s="18">
        <v>24.0</v>
      </c>
      <c r="O638" s="17"/>
      <c r="P638" s="22" t="s">
        <v>36</v>
      </c>
      <c r="Q638" s="23">
        <v>4000.0</v>
      </c>
      <c r="R638" s="6" t="s">
        <v>37</v>
      </c>
      <c r="S638" s="3">
        <v>2017.0</v>
      </c>
      <c r="T638" s="3">
        <v>3.1</v>
      </c>
      <c r="U638" s="3">
        <f>Q638*T638</f>
        <v>12400</v>
      </c>
      <c r="V638" s="24">
        <f>U638/I638</f>
        <v>590.4761905</v>
      </c>
      <c r="W638" s="3">
        <f t="shared" ref="W638:W641" si="149">IF(OR(B638 = "BG",B638 = "GR",B638 = "IT",B638 = "ES",B638 = "PT",B638 = "TR", B638 = "KR",B638 = "SE",B638 = "CH",B638 = "NO",B638 = "DK",B638 = "FI"), 1, 0)</f>
        <v>0</v>
      </c>
      <c r="X638" s="3">
        <f t="shared" ref="X638:X641" si="150">W638*I638</f>
        <v>0</v>
      </c>
      <c r="Y638" s="3">
        <f t="shared" ref="Y638:Y641" si="151">W638*K638</f>
        <v>0</v>
      </c>
      <c r="Z638" s="25">
        <f t="shared" ref="Z638:Z641" si="152">IF(OR(B638 = "US",B638 = "CA",B638 = "UK",B638 = "NZ",B638 = "AU",B638 = "SG"), 1, 0)</f>
        <v>0</v>
      </c>
      <c r="AA638" s="26">
        <f>VLOOKUP(S638,CPI!$A$2:$F$71,6,0)</f>
        <v>1.314109416</v>
      </c>
      <c r="AB638" s="27">
        <f>U638*AA638</f>
        <v>16294.95676</v>
      </c>
      <c r="AC638" s="27">
        <f>V638*AA638</f>
        <v>775.9503217</v>
      </c>
      <c r="AD638" s="6" t="s">
        <v>42</v>
      </c>
      <c r="AE638" s="37" t="s">
        <v>1109</v>
      </c>
      <c r="AF638" s="178"/>
      <c r="AG638" s="172"/>
      <c r="AH638" s="172"/>
      <c r="AI638" s="172"/>
      <c r="AJ638" s="32"/>
      <c r="AK638" s="32"/>
      <c r="AL638" s="32"/>
      <c r="AM638" s="32"/>
      <c r="AN638" s="32"/>
      <c r="AO638" s="32"/>
      <c r="AP638" s="32"/>
      <c r="AQ638" s="33"/>
    </row>
    <row r="639" ht="15.75" customHeight="1">
      <c r="A639" s="14">
        <v>8209.0</v>
      </c>
      <c r="B639" s="22" t="s">
        <v>1071</v>
      </c>
      <c r="C639" s="22" t="s">
        <v>1078</v>
      </c>
      <c r="D639" s="36" t="s">
        <v>54</v>
      </c>
      <c r="E639" s="22" t="s">
        <v>1110</v>
      </c>
      <c r="F639" s="17">
        <v>2018.0</v>
      </c>
      <c r="G639" s="17" t="s">
        <v>106</v>
      </c>
      <c r="H639" s="17">
        <v>1.0</v>
      </c>
      <c r="I639" s="18">
        <v>7.0</v>
      </c>
      <c r="J639" s="19">
        <f t="shared" si="148"/>
        <v>0</v>
      </c>
      <c r="K639" s="20">
        <v>0.0</v>
      </c>
      <c r="L639" s="21">
        <v>0.0</v>
      </c>
      <c r="M639" s="21">
        <v>0.0</v>
      </c>
      <c r="N639" s="18">
        <v>5.0</v>
      </c>
      <c r="O639" s="17"/>
      <c r="P639" s="22"/>
      <c r="Q639" s="23"/>
      <c r="R639" s="22"/>
      <c r="S639" s="22"/>
      <c r="T639" s="22"/>
      <c r="U639" s="118"/>
      <c r="V639" s="24"/>
      <c r="W639" s="3">
        <f t="shared" si="149"/>
        <v>0</v>
      </c>
      <c r="X639" s="3">
        <f t="shared" si="150"/>
        <v>0</v>
      </c>
      <c r="Y639" s="3">
        <f t="shared" si="151"/>
        <v>0</v>
      </c>
      <c r="Z639" s="25">
        <f t="shared" si="152"/>
        <v>0</v>
      </c>
      <c r="AA639" s="26" t="str">
        <f>VLOOKUP(S639,CPI!$A$2:$F$71,6,0)</f>
        <v>#N/A</v>
      </c>
      <c r="AB639" s="27"/>
      <c r="AC639" s="27"/>
      <c r="AD639" s="6"/>
      <c r="AE639" s="28"/>
      <c r="AF639" s="178"/>
      <c r="AG639" s="172"/>
      <c r="AH639" s="172"/>
      <c r="AI639" s="172"/>
      <c r="AJ639" s="32"/>
      <c r="AK639" s="32"/>
      <c r="AL639" s="32"/>
      <c r="AM639" s="32"/>
      <c r="AN639" s="32"/>
      <c r="AO639" s="32"/>
      <c r="AP639" s="32"/>
      <c r="AQ639" s="33"/>
    </row>
    <row r="640" ht="15.75" customHeight="1">
      <c r="A640" s="14">
        <v>8218.0</v>
      </c>
      <c r="B640" s="15" t="s">
        <v>1071</v>
      </c>
      <c r="C640" s="15" t="s">
        <v>1078</v>
      </c>
      <c r="D640" s="16" t="s">
        <v>110</v>
      </c>
      <c r="E640" s="15" t="s">
        <v>1111</v>
      </c>
      <c r="F640" s="17">
        <v>2019.0</v>
      </c>
      <c r="G640" s="17" t="s">
        <v>106</v>
      </c>
      <c r="H640" s="17">
        <v>0.0</v>
      </c>
      <c r="I640" s="18">
        <v>19.0</v>
      </c>
      <c r="J640" s="19"/>
      <c r="K640" s="20"/>
      <c r="L640" s="21" t="e">
        <v>#N/A</v>
      </c>
      <c r="M640" s="21" t="e">
        <v>#N/A</v>
      </c>
      <c r="N640" s="18">
        <v>17.0</v>
      </c>
      <c r="O640" s="17"/>
      <c r="P640" s="22"/>
      <c r="Q640" s="23">
        <v>3600.0</v>
      </c>
      <c r="R640" s="15" t="s">
        <v>37</v>
      </c>
      <c r="S640" s="18">
        <v>2019.0</v>
      </c>
      <c r="T640" s="18">
        <v>3.6</v>
      </c>
      <c r="U640" s="18">
        <f>Q640*T640</f>
        <v>12960</v>
      </c>
      <c r="V640" s="24">
        <f>U640/I640</f>
        <v>682.1052632</v>
      </c>
      <c r="W640" s="3">
        <f t="shared" si="149"/>
        <v>0</v>
      </c>
      <c r="X640" s="3">
        <f t="shared" si="150"/>
        <v>0</v>
      </c>
      <c r="Y640" s="3">
        <f t="shared" si="151"/>
        <v>0</v>
      </c>
      <c r="Z640" s="25">
        <f t="shared" si="152"/>
        <v>0</v>
      </c>
      <c r="AA640" s="26">
        <f>VLOOKUP(S640,CPI!$A$2:$F$71,6,0)</f>
        <v>1.259947899</v>
      </c>
      <c r="AB640" s="27">
        <f>U640*AA640</f>
        <v>16328.92477</v>
      </c>
      <c r="AC640" s="27">
        <f>V640*AA640</f>
        <v>859.4170932</v>
      </c>
      <c r="AD640" s="6"/>
      <c r="AE640" s="6"/>
      <c r="AF640" s="130"/>
      <c r="AG640" s="130"/>
      <c r="AH640" s="130"/>
      <c r="AI640" s="130"/>
      <c r="AJ640" s="33"/>
      <c r="AK640" s="33"/>
      <c r="AL640" s="33"/>
      <c r="AM640" s="54"/>
      <c r="AN640" s="54"/>
      <c r="AO640" s="54"/>
      <c r="AP640" s="54"/>
      <c r="AQ640" s="54"/>
    </row>
    <row r="641" ht="15.75" customHeight="1">
      <c r="A641" s="14">
        <v>8219.0</v>
      </c>
      <c r="B641" s="22" t="s">
        <v>1071</v>
      </c>
      <c r="C641" s="22" t="s">
        <v>1078</v>
      </c>
      <c r="D641" s="6"/>
      <c r="E641" s="22" t="s">
        <v>84</v>
      </c>
      <c r="F641" s="17" t="s">
        <v>106</v>
      </c>
      <c r="G641" s="17" t="s">
        <v>106</v>
      </c>
      <c r="H641" s="17">
        <v>0.0</v>
      </c>
      <c r="I641" s="18">
        <v>19.0</v>
      </c>
      <c r="J641" s="19"/>
      <c r="K641" s="20"/>
      <c r="L641" s="21" t="e">
        <v>#N/A</v>
      </c>
      <c r="M641" s="21" t="e">
        <v>#N/A</v>
      </c>
      <c r="N641" s="18"/>
      <c r="O641" s="17"/>
      <c r="P641" s="22"/>
      <c r="Q641" s="23"/>
      <c r="R641" s="22"/>
      <c r="S641" s="22"/>
      <c r="T641" s="22"/>
      <c r="U641" s="118"/>
      <c r="V641" s="24"/>
      <c r="W641" s="3">
        <f t="shared" si="149"/>
        <v>0</v>
      </c>
      <c r="X641" s="3">
        <f t="shared" si="150"/>
        <v>0</v>
      </c>
      <c r="Y641" s="3">
        <f t="shared" si="151"/>
        <v>0</v>
      </c>
      <c r="Z641" s="25">
        <f t="shared" si="152"/>
        <v>0</v>
      </c>
      <c r="AA641" s="26" t="str">
        <f>VLOOKUP(S641,CPI!$A$2:$F$71,6,0)</f>
        <v>#N/A</v>
      </c>
      <c r="AB641" s="27"/>
      <c r="AC641" s="27"/>
      <c r="AD641" s="6"/>
      <c r="AE641" s="28"/>
      <c r="AF641" s="178"/>
      <c r="AG641" s="172"/>
      <c r="AH641" s="172"/>
      <c r="AI641" s="172"/>
      <c r="AJ641" s="32"/>
      <c r="AK641" s="32"/>
      <c r="AL641" s="32"/>
      <c r="AM641" s="32"/>
      <c r="AN641" s="32"/>
      <c r="AO641" s="32"/>
      <c r="AP641" s="32"/>
      <c r="AQ641" s="33"/>
    </row>
    <row r="642" ht="15.75" customHeight="1">
      <c r="A642" s="7"/>
      <c r="B642" s="74" t="s">
        <v>1071</v>
      </c>
      <c r="C642" s="74" t="s">
        <v>1078</v>
      </c>
      <c r="D642" s="74" t="s">
        <v>80</v>
      </c>
      <c r="E642" s="74" t="s">
        <v>1108</v>
      </c>
      <c r="F642" s="70"/>
      <c r="G642" s="70"/>
      <c r="H642" s="70">
        <v>0.0</v>
      </c>
      <c r="I642" s="70"/>
      <c r="J642" s="71"/>
      <c r="K642" s="70"/>
      <c r="L642" s="70"/>
      <c r="M642" s="70"/>
      <c r="N642" s="70"/>
      <c r="O642" s="253"/>
      <c r="P642" s="254" t="s">
        <v>60</v>
      </c>
      <c r="Q642" s="73"/>
      <c r="R642" s="74"/>
      <c r="S642" s="74"/>
      <c r="T642" s="255"/>
      <c r="U642" s="256"/>
      <c r="V642" s="24"/>
      <c r="W642" s="69"/>
      <c r="X642" s="54"/>
      <c r="Y642" s="54"/>
      <c r="Z642" s="255"/>
      <c r="AA642" s="26" t="str">
        <f>VLOOKUP(S642,CPI!$A$2:$F$71,6,0)</f>
        <v>#N/A</v>
      </c>
      <c r="AD642" s="72"/>
      <c r="AE642" s="208" t="s">
        <v>1112</v>
      </c>
      <c r="AF642" s="241"/>
      <c r="AG642" s="242"/>
      <c r="AH642" s="166"/>
      <c r="AI642" s="166"/>
      <c r="AJ642" s="166"/>
      <c r="AK642" s="166"/>
      <c r="AL642" s="166"/>
      <c r="AM642" s="32"/>
      <c r="AN642" s="32"/>
      <c r="AO642" s="32"/>
      <c r="AP642" s="32"/>
      <c r="AQ642" s="33"/>
    </row>
    <row r="643" ht="15.75" customHeight="1">
      <c r="A643" s="7"/>
      <c r="B643" s="74" t="s">
        <v>1071</v>
      </c>
      <c r="C643" s="74" t="s">
        <v>1113</v>
      </c>
      <c r="D643" s="74" t="s">
        <v>1114</v>
      </c>
      <c r="E643" s="74" t="s">
        <v>1115</v>
      </c>
      <c r="F643" s="70">
        <v>2018.0</v>
      </c>
      <c r="G643" s="70">
        <v>2022.0</v>
      </c>
      <c r="H643" s="70">
        <v>1.0</v>
      </c>
      <c r="I643" s="70">
        <v>68.81</v>
      </c>
      <c r="J643" s="71">
        <v>0.0</v>
      </c>
      <c r="K643" s="70">
        <v>0.0</v>
      </c>
      <c r="L643" s="70" t="s">
        <v>1099</v>
      </c>
      <c r="M643" s="70" t="s">
        <v>1099</v>
      </c>
      <c r="N643" s="70">
        <v>11.0</v>
      </c>
      <c r="O643" s="253"/>
      <c r="P643" s="254" t="s">
        <v>60</v>
      </c>
      <c r="Q643" s="73" t="s">
        <v>1099</v>
      </c>
      <c r="R643" s="74"/>
      <c r="S643" s="74"/>
      <c r="T643" s="255"/>
      <c r="U643" s="256"/>
      <c r="V643" s="24"/>
      <c r="W643" s="69"/>
      <c r="X643" s="54"/>
      <c r="Y643" s="54"/>
      <c r="Z643" s="255"/>
      <c r="AA643" s="26" t="str">
        <f>VLOOKUP(S643,CPI!$A$2:$F$71,6,0)</f>
        <v>#N/A</v>
      </c>
      <c r="AD643" s="72"/>
      <c r="AE643" s="208" t="s">
        <v>1116</v>
      </c>
      <c r="AF643" s="241"/>
      <c r="AG643" s="242"/>
      <c r="AH643" s="166"/>
      <c r="AI643" s="166"/>
      <c r="AJ643" s="166"/>
      <c r="AK643" s="166"/>
      <c r="AL643" s="166"/>
      <c r="AM643" s="32"/>
      <c r="AN643" s="32"/>
      <c r="AO643" s="32"/>
      <c r="AP643" s="32"/>
      <c r="AQ643" s="33"/>
    </row>
    <row r="644" ht="15.75" customHeight="1">
      <c r="A644" s="7"/>
      <c r="B644" s="74" t="s">
        <v>1071</v>
      </c>
      <c r="C644" s="74" t="s">
        <v>1113</v>
      </c>
      <c r="D644" s="74" t="s">
        <v>1114</v>
      </c>
      <c r="E644" s="74" t="s">
        <v>1117</v>
      </c>
      <c r="F644" s="70">
        <v>2018.0</v>
      </c>
      <c r="G644" s="70">
        <v>2023.0</v>
      </c>
      <c r="H644" s="70">
        <v>1.0</v>
      </c>
      <c r="I644" s="70">
        <v>18.5</v>
      </c>
      <c r="J644" s="71">
        <v>0.0</v>
      </c>
      <c r="K644" s="70">
        <v>0.0</v>
      </c>
      <c r="L644" s="70" t="s">
        <v>1099</v>
      </c>
      <c r="M644" s="70" t="s">
        <v>1099</v>
      </c>
      <c r="N644" s="70">
        <v>4.0</v>
      </c>
      <c r="O644" s="253"/>
      <c r="P644" s="254" t="s">
        <v>60</v>
      </c>
      <c r="Q644" s="73" t="s">
        <v>1099</v>
      </c>
      <c r="R644" s="74"/>
      <c r="S644" s="74"/>
      <c r="T644" s="255"/>
      <c r="U644" s="256"/>
      <c r="V644" s="24"/>
      <c r="W644" s="69"/>
      <c r="X644" s="54"/>
      <c r="Y644" s="54"/>
      <c r="Z644" s="255"/>
      <c r="AA644" s="26" t="str">
        <f>VLOOKUP(S644,CPI!$A$2:$F$71,6,0)</f>
        <v>#N/A</v>
      </c>
      <c r="AD644" s="72"/>
      <c r="AE644" s="208" t="s">
        <v>1118</v>
      </c>
      <c r="AF644" s="241"/>
      <c r="AG644" s="242"/>
      <c r="AH644" s="166"/>
      <c r="AI644" s="166"/>
      <c r="AJ644" s="166"/>
      <c r="AK644" s="166"/>
      <c r="AL644" s="166"/>
      <c r="AM644" s="181"/>
      <c r="AN644" s="181"/>
      <c r="AO644" s="181"/>
      <c r="AP644" s="181"/>
      <c r="AQ644" s="207"/>
    </row>
    <row r="645" ht="15.75" customHeight="1">
      <c r="A645" s="7"/>
      <c r="B645" s="74" t="s">
        <v>1071</v>
      </c>
      <c r="C645" s="74" t="s">
        <v>1113</v>
      </c>
      <c r="D645" s="74" t="s">
        <v>1114</v>
      </c>
      <c r="E645" s="74" t="s">
        <v>1119</v>
      </c>
      <c r="F645" s="70">
        <v>2018.0</v>
      </c>
      <c r="G645" s="70">
        <v>2023.0</v>
      </c>
      <c r="H645" s="70">
        <v>1.0</v>
      </c>
      <c r="I645" s="70">
        <v>16.0</v>
      </c>
      <c r="J645" s="71">
        <v>0.0</v>
      </c>
      <c r="K645" s="70">
        <v>0.0</v>
      </c>
      <c r="L645" s="70">
        <v>7.5</v>
      </c>
      <c r="M645" s="70">
        <v>8.5</v>
      </c>
      <c r="N645" s="70">
        <v>3.0</v>
      </c>
      <c r="O645" s="253"/>
      <c r="P645" s="254" t="s">
        <v>60</v>
      </c>
      <c r="Q645" s="73" t="s">
        <v>1099</v>
      </c>
      <c r="R645" s="74"/>
      <c r="S645" s="74"/>
      <c r="T645" s="255"/>
      <c r="U645" s="256"/>
      <c r="V645" s="24"/>
      <c r="W645" s="69"/>
      <c r="X645" s="54"/>
      <c r="Y645" s="54"/>
      <c r="Z645" s="255"/>
      <c r="AA645" s="26" t="str">
        <f>VLOOKUP(S645,CPI!$A$2:$F$71,6,0)</f>
        <v>#N/A</v>
      </c>
      <c r="AD645" s="72"/>
      <c r="AE645" s="208" t="s">
        <v>1118</v>
      </c>
      <c r="AF645" s="265"/>
      <c r="AG645" s="242"/>
      <c r="AH645" s="166"/>
      <c r="AI645" s="166"/>
      <c r="AJ645" s="166"/>
      <c r="AK645" s="166"/>
      <c r="AL645" s="166"/>
      <c r="AM645" s="32"/>
      <c r="AN645" s="32"/>
      <c r="AO645" s="32"/>
      <c r="AP645" s="32"/>
      <c r="AQ645" s="33"/>
    </row>
    <row r="646" ht="15.75" customHeight="1">
      <c r="A646" s="7"/>
      <c r="B646" s="257" t="s">
        <v>1071</v>
      </c>
      <c r="C646" s="257" t="s">
        <v>1113</v>
      </c>
      <c r="D646" s="257" t="s">
        <v>1114</v>
      </c>
      <c r="E646" s="257" t="s">
        <v>1120</v>
      </c>
      <c r="F646" s="258">
        <v>2018.0</v>
      </c>
      <c r="G646" s="258">
        <v>2023.0</v>
      </c>
      <c r="H646" s="258">
        <v>1.0</v>
      </c>
      <c r="I646" s="258">
        <v>103.31</v>
      </c>
      <c r="J646" s="259">
        <v>0.0</v>
      </c>
      <c r="K646" s="258">
        <v>0.0</v>
      </c>
      <c r="L646" s="258" t="s">
        <v>1099</v>
      </c>
      <c r="M646" s="258" t="s">
        <v>1099</v>
      </c>
      <c r="N646" s="258">
        <v>18.0</v>
      </c>
      <c r="O646" s="253"/>
      <c r="P646" s="260" t="s">
        <v>60</v>
      </c>
      <c r="Q646" s="261">
        <v>1240.0</v>
      </c>
      <c r="R646" s="257" t="s">
        <v>37</v>
      </c>
      <c r="S646" s="258">
        <v>2022.0</v>
      </c>
      <c r="T646" s="255"/>
      <c r="U646" s="256"/>
      <c r="V646" s="24"/>
      <c r="W646" s="262"/>
      <c r="X646" s="54"/>
      <c r="Y646" s="54"/>
      <c r="Z646" s="255"/>
      <c r="AA646" s="26">
        <f>VLOOKUP(S646,CPI!$A$2:$F$71,6,0)</f>
        <v>1.100662897</v>
      </c>
      <c r="AD646" s="263" t="s">
        <v>36</v>
      </c>
      <c r="AE646" s="208" t="s">
        <v>1116</v>
      </c>
      <c r="AF646" s="241" t="s">
        <v>1118</v>
      </c>
      <c r="AG646" s="264" t="s">
        <v>1121</v>
      </c>
      <c r="AH646" s="166"/>
      <c r="AI646" s="166"/>
      <c r="AJ646" s="166"/>
      <c r="AK646" s="166"/>
      <c r="AL646" s="166"/>
      <c r="AM646" s="32"/>
      <c r="AN646" s="32"/>
      <c r="AO646" s="32"/>
      <c r="AP646" s="32"/>
      <c r="AQ646" s="33"/>
    </row>
    <row r="647" ht="15.75" customHeight="1">
      <c r="A647" s="38">
        <v>7443.0</v>
      </c>
      <c r="B647" s="26" t="s">
        <v>1122</v>
      </c>
      <c r="C647" s="26" t="s">
        <v>1123</v>
      </c>
      <c r="D647" s="1" t="s">
        <v>1124</v>
      </c>
      <c r="E647" s="26" t="s">
        <v>1125</v>
      </c>
      <c r="F647" s="25">
        <v>2001.0</v>
      </c>
      <c r="G647" s="25">
        <v>2008.0</v>
      </c>
      <c r="H647" s="25">
        <v>0.0</v>
      </c>
      <c r="I647" s="25">
        <v>1.9</v>
      </c>
      <c r="J647" s="50">
        <v>1.0</v>
      </c>
      <c r="K647" s="25">
        <v>1.9</v>
      </c>
      <c r="L647" s="51">
        <v>0.0</v>
      </c>
      <c r="M647" s="51">
        <v>0.0</v>
      </c>
      <c r="N647" s="25">
        <v>2.0</v>
      </c>
      <c r="O647" s="25"/>
      <c r="P647" s="26" t="s">
        <v>60</v>
      </c>
      <c r="Q647" s="52">
        <v>151.0</v>
      </c>
      <c r="R647" s="26" t="s">
        <v>52</v>
      </c>
      <c r="S647" s="25">
        <v>2004.0</v>
      </c>
      <c r="T647" s="25">
        <v>1.25</v>
      </c>
      <c r="U647" s="25">
        <f t="shared" ref="U647:U694" si="153">Q647*T647</f>
        <v>188.75</v>
      </c>
      <c r="V647" s="24">
        <f t="shared" ref="V647:V694" si="154">U647/I647</f>
        <v>99.34210526</v>
      </c>
      <c r="W647" s="3">
        <f t="shared" ref="W647:W933" si="155">IF(OR(B647 = "BG",B647 = "GR",B647 = "IT",B647 = "ES",B647 = "PT",B647 = "TR", B647 = "KR",B647 = "SE",B647 = "CH",B647 = "NO",B647 = "DK",B647 = "FI"), 1, 0)</f>
        <v>1</v>
      </c>
      <c r="X647" s="3">
        <f t="shared" ref="X647:X933" si="156">W647*I647</f>
        <v>1.9</v>
      </c>
      <c r="Y647" s="3">
        <f t="shared" ref="Y647:Y933" si="157">W647*K647</f>
        <v>1.9</v>
      </c>
      <c r="Z647" s="25">
        <f t="shared" ref="Z647:Z850" si="158">IF(OR(B647 = "US",B647 = "CA",B647 = "UK",B647 = "NZ",B647 = "AU",B647 = "SG"), 1, 0)</f>
        <v>0</v>
      </c>
      <c r="AA647" s="26">
        <f>VLOOKUP(S647,CPI!$A$2:$F$71,6,0)</f>
        <v>1.705211752</v>
      </c>
      <c r="AB647" s="27">
        <f t="shared" ref="AB647:AB694" si="159">U647*AA647</f>
        <v>321.8587182</v>
      </c>
      <c r="AC647" s="27">
        <f t="shared" ref="AC647:AC694" si="160">V647*AA647</f>
        <v>169.3993254</v>
      </c>
      <c r="AD647" s="26" t="s">
        <v>60</v>
      </c>
      <c r="AE647" s="53" t="s">
        <v>1126</v>
      </c>
      <c r="AF647" s="178"/>
      <c r="AG647" s="172"/>
      <c r="AH647" s="172"/>
      <c r="AI647" s="172"/>
      <c r="AJ647" s="32"/>
      <c r="AK647" s="32"/>
      <c r="AL647" s="32"/>
      <c r="AM647" s="32"/>
      <c r="AN647" s="32"/>
      <c r="AO647" s="32"/>
      <c r="AP647" s="32"/>
      <c r="AQ647" s="33"/>
    </row>
    <row r="648" ht="15.75" customHeight="1">
      <c r="A648" s="38">
        <v>7450.0</v>
      </c>
      <c r="B648" s="26" t="s">
        <v>1122</v>
      </c>
      <c r="C648" s="26" t="s">
        <v>1123</v>
      </c>
      <c r="D648" s="1" t="s">
        <v>1127</v>
      </c>
      <c r="E648" s="26" t="s">
        <v>1128</v>
      </c>
      <c r="F648" s="25">
        <v>2006.0</v>
      </c>
      <c r="G648" s="25">
        <v>2010.0</v>
      </c>
      <c r="H648" s="25">
        <v>0.0</v>
      </c>
      <c r="I648" s="25">
        <v>0.7</v>
      </c>
      <c r="J648" s="50">
        <v>1.0</v>
      </c>
      <c r="K648" s="25">
        <v>0.7</v>
      </c>
      <c r="L648" s="51">
        <v>0.0</v>
      </c>
      <c r="M648" s="51">
        <v>0.0</v>
      </c>
      <c r="N648" s="25">
        <v>1.0</v>
      </c>
      <c r="O648" s="25"/>
      <c r="P648" s="26" t="s">
        <v>60</v>
      </c>
      <c r="Q648" s="52">
        <v>70.0</v>
      </c>
      <c r="R648" s="26" t="s">
        <v>52</v>
      </c>
      <c r="S648" s="25">
        <v>2008.0</v>
      </c>
      <c r="T648" s="25">
        <v>1.25</v>
      </c>
      <c r="U648" s="25">
        <f t="shared" si="153"/>
        <v>87.5</v>
      </c>
      <c r="V648" s="24">
        <f t="shared" si="154"/>
        <v>125</v>
      </c>
      <c r="W648" s="3">
        <f t="shared" si="155"/>
        <v>1</v>
      </c>
      <c r="X648" s="3">
        <f t="shared" si="156"/>
        <v>0.7</v>
      </c>
      <c r="Y648" s="3">
        <f t="shared" si="157"/>
        <v>0.7</v>
      </c>
      <c r="Z648" s="25">
        <f t="shared" si="158"/>
        <v>0</v>
      </c>
      <c r="AA648" s="26">
        <f>VLOOKUP(S648,CPI!$A$2:$F$71,6,0)</f>
        <v>1.496098522</v>
      </c>
      <c r="AB648" s="27">
        <f t="shared" si="159"/>
        <v>130.9086206</v>
      </c>
      <c r="AC648" s="27">
        <f t="shared" si="160"/>
        <v>187.0123152</v>
      </c>
      <c r="AD648" s="26" t="s">
        <v>60</v>
      </c>
      <c r="AE648" s="57" t="s">
        <v>1129</v>
      </c>
      <c r="AF648" s="178"/>
      <c r="AG648" s="172"/>
      <c r="AH648" s="172"/>
      <c r="AI648" s="172"/>
      <c r="AJ648" s="32"/>
      <c r="AK648" s="32"/>
      <c r="AL648" s="32"/>
      <c r="AM648" s="32"/>
      <c r="AN648" s="32"/>
      <c r="AO648" s="32"/>
      <c r="AP648" s="32"/>
      <c r="AQ648" s="33"/>
    </row>
    <row r="649" ht="15.75" customHeight="1">
      <c r="A649" s="38">
        <v>7451.0</v>
      </c>
      <c r="B649" s="26" t="s">
        <v>1122</v>
      </c>
      <c r="C649" s="26" t="s">
        <v>1123</v>
      </c>
      <c r="D649" s="1" t="s">
        <v>1130</v>
      </c>
      <c r="E649" s="26" t="s">
        <v>1131</v>
      </c>
      <c r="F649" s="25">
        <v>2007.0</v>
      </c>
      <c r="G649" s="25">
        <v>2010.0</v>
      </c>
      <c r="H649" s="25">
        <v>0.0</v>
      </c>
      <c r="I649" s="25">
        <v>2.5</v>
      </c>
      <c r="J649" s="50">
        <v>1.0</v>
      </c>
      <c r="K649" s="25">
        <v>2.5</v>
      </c>
      <c r="L649" s="51">
        <v>0.0</v>
      </c>
      <c r="M649" s="51">
        <v>0.0</v>
      </c>
      <c r="N649" s="25">
        <v>3.0</v>
      </c>
      <c r="O649" s="25"/>
      <c r="P649" s="26" t="s">
        <v>42</v>
      </c>
      <c r="Q649" s="52">
        <v>320.0</v>
      </c>
      <c r="R649" s="26" t="s">
        <v>52</v>
      </c>
      <c r="S649" s="25">
        <v>2008.0</v>
      </c>
      <c r="T649" s="25">
        <v>1.25</v>
      </c>
      <c r="U649" s="25">
        <f t="shared" si="153"/>
        <v>400</v>
      </c>
      <c r="V649" s="24">
        <f t="shared" si="154"/>
        <v>160</v>
      </c>
      <c r="W649" s="3">
        <f t="shared" si="155"/>
        <v>1</v>
      </c>
      <c r="X649" s="3">
        <f t="shared" si="156"/>
        <v>2.5</v>
      </c>
      <c r="Y649" s="3">
        <f t="shared" si="157"/>
        <v>2.5</v>
      </c>
      <c r="Z649" s="25">
        <f t="shared" si="158"/>
        <v>0</v>
      </c>
      <c r="AA649" s="26">
        <f>VLOOKUP(S649,CPI!$A$2:$F$71,6,0)</f>
        <v>1.496098522</v>
      </c>
      <c r="AB649" s="27">
        <f t="shared" si="159"/>
        <v>598.4394086</v>
      </c>
      <c r="AC649" s="27">
        <f t="shared" si="160"/>
        <v>239.3757635</v>
      </c>
      <c r="AD649" s="26" t="s">
        <v>42</v>
      </c>
      <c r="AE649" s="53" t="s">
        <v>1132</v>
      </c>
      <c r="AF649" s="178"/>
      <c r="AG649" s="172"/>
      <c r="AH649" s="172"/>
      <c r="AI649" s="172"/>
      <c r="AJ649" s="32"/>
      <c r="AK649" s="32"/>
      <c r="AL649" s="32"/>
      <c r="AM649" s="32"/>
      <c r="AN649" s="32"/>
      <c r="AO649" s="32"/>
      <c r="AP649" s="32"/>
      <c r="AQ649" s="33"/>
    </row>
    <row r="650" ht="15.75" customHeight="1">
      <c r="A650" s="38">
        <v>7448.0</v>
      </c>
      <c r="B650" s="26" t="s">
        <v>1122</v>
      </c>
      <c r="C650" s="26" t="s">
        <v>1123</v>
      </c>
      <c r="D650" s="26" t="s">
        <v>1133</v>
      </c>
      <c r="E650" s="26" t="s">
        <v>1133</v>
      </c>
      <c r="F650" s="25">
        <v>2008.0</v>
      </c>
      <c r="G650" s="25">
        <v>2015.0</v>
      </c>
      <c r="H650" s="25">
        <v>0.0</v>
      </c>
      <c r="I650" s="25">
        <v>4.5</v>
      </c>
      <c r="J650" s="50">
        <v>1.0</v>
      </c>
      <c r="K650" s="25">
        <v>4.5</v>
      </c>
      <c r="L650" s="51">
        <v>0.0</v>
      </c>
      <c r="M650" s="51">
        <v>0.0</v>
      </c>
      <c r="N650" s="25">
        <v>3.0</v>
      </c>
      <c r="O650" s="25"/>
      <c r="P650" s="26" t="s">
        <v>60</v>
      </c>
      <c r="Q650" s="52">
        <v>401.0</v>
      </c>
      <c r="R650" s="26" t="s">
        <v>52</v>
      </c>
      <c r="S650" s="25">
        <v>2011.0</v>
      </c>
      <c r="T650" s="25">
        <v>1.3</v>
      </c>
      <c r="U650" s="25">
        <f t="shared" si="153"/>
        <v>521.3</v>
      </c>
      <c r="V650" s="24">
        <f t="shared" si="154"/>
        <v>115.8444444</v>
      </c>
      <c r="W650" s="3">
        <f t="shared" si="155"/>
        <v>1</v>
      </c>
      <c r="X650" s="3">
        <f t="shared" si="156"/>
        <v>4.5</v>
      </c>
      <c r="Y650" s="3">
        <f t="shared" si="157"/>
        <v>4.5</v>
      </c>
      <c r="Z650" s="25">
        <f t="shared" si="158"/>
        <v>0</v>
      </c>
      <c r="AA650" s="26">
        <f>VLOOKUP(S650,CPI!$A$2:$F$71,6,0)</f>
        <v>1.432008233</v>
      </c>
      <c r="AB650" s="27">
        <f t="shared" si="159"/>
        <v>746.505892</v>
      </c>
      <c r="AC650" s="27">
        <f t="shared" si="160"/>
        <v>165.8901982</v>
      </c>
      <c r="AD650" s="26" t="s">
        <v>60</v>
      </c>
      <c r="AE650" s="53" t="s">
        <v>1134</v>
      </c>
      <c r="AF650" s="178"/>
      <c r="AG650" s="172"/>
      <c r="AH650" s="172"/>
      <c r="AI650" s="172"/>
      <c r="AJ650" s="32"/>
      <c r="AK650" s="32"/>
      <c r="AL650" s="32"/>
      <c r="AM650" s="32"/>
      <c r="AN650" s="32"/>
      <c r="AO650" s="32"/>
      <c r="AP650" s="32"/>
      <c r="AQ650" s="33"/>
    </row>
    <row r="651" ht="15.75" customHeight="1">
      <c r="A651" s="38">
        <v>7449.0</v>
      </c>
      <c r="B651" s="26" t="s">
        <v>1122</v>
      </c>
      <c r="C651" s="26" t="s">
        <v>1123</v>
      </c>
      <c r="D651" s="26" t="s">
        <v>1135</v>
      </c>
      <c r="E651" s="26" t="s">
        <v>1135</v>
      </c>
      <c r="F651" s="25">
        <v>2006.0</v>
      </c>
      <c r="G651" s="25">
        <v>2017.0</v>
      </c>
      <c r="H651" s="25">
        <v>0.0</v>
      </c>
      <c r="I651" s="25">
        <v>4.4</v>
      </c>
      <c r="J651" s="50">
        <v>1.0</v>
      </c>
      <c r="K651" s="25">
        <v>4.4</v>
      </c>
      <c r="L651" s="51">
        <v>0.0</v>
      </c>
      <c r="M651" s="51">
        <v>0.0</v>
      </c>
      <c r="N651" s="25">
        <v>4.0</v>
      </c>
      <c r="O651" s="25"/>
      <c r="P651" s="26" t="s">
        <v>60</v>
      </c>
      <c r="Q651" s="52">
        <v>430.0</v>
      </c>
      <c r="R651" s="26" t="s">
        <v>52</v>
      </c>
      <c r="S651" s="25">
        <v>2011.0</v>
      </c>
      <c r="T651" s="25">
        <v>1.3</v>
      </c>
      <c r="U651" s="25">
        <f t="shared" si="153"/>
        <v>559</v>
      </c>
      <c r="V651" s="24">
        <f t="shared" si="154"/>
        <v>127.0454545</v>
      </c>
      <c r="W651" s="3">
        <f t="shared" si="155"/>
        <v>1</v>
      </c>
      <c r="X651" s="3">
        <f t="shared" si="156"/>
        <v>4.4</v>
      </c>
      <c r="Y651" s="3">
        <f t="shared" si="157"/>
        <v>4.4</v>
      </c>
      <c r="Z651" s="25">
        <f t="shared" si="158"/>
        <v>0</v>
      </c>
      <c r="AA651" s="26">
        <f>VLOOKUP(S651,CPI!$A$2:$F$71,6,0)</f>
        <v>1.432008233</v>
      </c>
      <c r="AB651" s="27">
        <f t="shared" si="159"/>
        <v>800.4926024</v>
      </c>
      <c r="AC651" s="27">
        <f t="shared" si="160"/>
        <v>181.9301369</v>
      </c>
      <c r="AD651" s="26" t="s">
        <v>60</v>
      </c>
      <c r="AE651" s="53" t="s">
        <v>1134</v>
      </c>
      <c r="AF651" s="178"/>
      <c r="AG651" s="172"/>
      <c r="AH651" s="172"/>
      <c r="AI651" s="172"/>
      <c r="AJ651" s="32"/>
      <c r="AK651" s="32"/>
      <c r="AL651" s="32"/>
      <c r="AM651" s="32"/>
      <c r="AN651" s="32"/>
      <c r="AO651" s="32"/>
      <c r="AP651" s="32"/>
      <c r="AQ651" s="33"/>
    </row>
    <row r="652" ht="15.75" customHeight="1">
      <c r="A652" s="38">
        <v>7456.0</v>
      </c>
      <c r="B652" s="26" t="s">
        <v>1122</v>
      </c>
      <c r="C652" s="26" t="s">
        <v>1123</v>
      </c>
      <c r="D652" s="1" t="s">
        <v>1136</v>
      </c>
      <c r="E652" s="26" t="s">
        <v>1136</v>
      </c>
      <c r="F652" s="25">
        <v>2003.0</v>
      </c>
      <c r="G652" s="25">
        <v>2026.0</v>
      </c>
      <c r="H652" s="25">
        <v>0.0</v>
      </c>
      <c r="I652" s="25">
        <v>47.8</v>
      </c>
      <c r="J652" s="50">
        <v>0.91</v>
      </c>
      <c r="K652" s="25">
        <v>43.7</v>
      </c>
      <c r="L652" s="51">
        <v>0.0</v>
      </c>
      <c r="M652" s="51">
        <v>0.0</v>
      </c>
      <c r="N652" s="25">
        <v>52.0</v>
      </c>
      <c r="O652" s="25"/>
      <c r="P652" s="26" t="s">
        <v>60</v>
      </c>
      <c r="Q652" s="52">
        <v>5954.0</v>
      </c>
      <c r="R652" s="26" t="s">
        <v>52</v>
      </c>
      <c r="S652" s="25">
        <v>2014.0</v>
      </c>
      <c r="T652" s="25">
        <v>1.3</v>
      </c>
      <c r="U652" s="25">
        <f t="shared" si="153"/>
        <v>7740.2</v>
      </c>
      <c r="V652" s="24">
        <f t="shared" si="154"/>
        <v>161.9288703</v>
      </c>
      <c r="W652" s="3">
        <f t="shared" si="155"/>
        <v>1</v>
      </c>
      <c r="X652" s="3">
        <f t="shared" si="156"/>
        <v>47.8</v>
      </c>
      <c r="Y652" s="3">
        <f t="shared" si="157"/>
        <v>43.7</v>
      </c>
      <c r="Z652" s="25">
        <f t="shared" si="158"/>
        <v>0</v>
      </c>
      <c r="AA652" s="26">
        <f>VLOOKUP(S652,CPI!$A$2:$F$71,6,0)</f>
        <v>1.360648571</v>
      </c>
      <c r="AB652" s="27">
        <f t="shared" si="159"/>
        <v>10531.69207</v>
      </c>
      <c r="AC652" s="27">
        <f t="shared" si="160"/>
        <v>220.3282859</v>
      </c>
      <c r="AD652" s="26" t="s">
        <v>60</v>
      </c>
      <c r="AE652" s="57" t="s">
        <v>1137</v>
      </c>
      <c r="AF652" s="178"/>
      <c r="AG652" s="172"/>
      <c r="AH652" s="172"/>
      <c r="AI652" s="172"/>
      <c r="AJ652" s="32"/>
      <c r="AK652" s="32"/>
      <c r="AL652" s="32"/>
      <c r="AM652" s="32"/>
      <c r="AN652" s="32"/>
      <c r="AO652" s="32"/>
      <c r="AP652" s="32"/>
      <c r="AQ652" s="33"/>
    </row>
    <row r="653" ht="15.75" customHeight="1">
      <c r="A653" s="38">
        <v>7457.0</v>
      </c>
      <c r="B653" s="26" t="s">
        <v>1122</v>
      </c>
      <c r="C653" s="26" t="s">
        <v>1138</v>
      </c>
      <c r="D653" s="26" t="s">
        <v>87</v>
      </c>
      <c r="E653" s="26" t="s">
        <v>87</v>
      </c>
      <c r="F653" s="25">
        <v>2007.0</v>
      </c>
      <c r="G653" s="25">
        <v>2016.0</v>
      </c>
      <c r="H653" s="25">
        <v>0.0</v>
      </c>
      <c r="I653" s="25">
        <v>5.9</v>
      </c>
      <c r="J653" s="50">
        <v>0.95</v>
      </c>
      <c r="K653" s="25">
        <v>5.6</v>
      </c>
      <c r="L653" s="51">
        <v>0.0</v>
      </c>
      <c r="M653" s="51">
        <v>0.0</v>
      </c>
      <c r="N653" s="25">
        <v>7.0</v>
      </c>
      <c r="O653" s="25"/>
      <c r="P653" s="26" t="s">
        <v>59</v>
      </c>
      <c r="Q653" s="52">
        <v>279.0</v>
      </c>
      <c r="R653" s="26" t="s">
        <v>52</v>
      </c>
      <c r="S653" s="25">
        <v>2011.0</v>
      </c>
      <c r="T653" s="25">
        <v>1.3</v>
      </c>
      <c r="U653" s="25">
        <f t="shared" si="153"/>
        <v>362.7</v>
      </c>
      <c r="V653" s="24">
        <f t="shared" si="154"/>
        <v>61.47457627</v>
      </c>
      <c r="W653" s="3">
        <f t="shared" si="155"/>
        <v>1</v>
      </c>
      <c r="X653" s="3">
        <f t="shared" si="156"/>
        <v>5.9</v>
      </c>
      <c r="Y653" s="3">
        <f t="shared" si="157"/>
        <v>5.6</v>
      </c>
      <c r="Z653" s="25">
        <f t="shared" si="158"/>
        <v>0</v>
      </c>
      <c r="AA653" s="26">
        <f>VLOOKUP(S653,CPI!$A$2:$F$71,6,0)</f>
        <v>1.432008233</v>
      </c>
      <c r="AB653" s="27">
        <f t="shared" si="159"/>
        <v>519.3893862</v>
      </c>
      <c r="AC653" s="27">
        <f t="shared" si="160"/>
        <v>88.03209936</v>
      </c>
      <c r="AD653" s="26" t="s">
        <v>42</v>
      </c>
      <c r="AE653" s="53" t="s">
        <v>1139</v>
      </c>
      <c r="AF653" s="178"/>
      <c r="AG653" s="172"/>
      <c r="AH653" s="172"/>
      <c r="AI653" s="172"/>
      <c r="AJ653" s="32"/>
      <c r="AK653" s="32"/>
      <c r="AL653" s="32"/>
      <c r="AM653" s="60"/>
      <c r="AN653" s="60"/>
      <c r="AO653" s="60"/>
      <c r="AP653" s="60"/>
      <c r="AQ653" s="6"/>
    </row>
    <row r="654" ht="15.75" customHeight="1">
      <c r="A654" s="38">
        <v>7378.0</v>
      </c>
      <c r="B654" s="26" t="s">
        <v>1122</v>
      </c>
      <c r="C654" s="26" t="s">
        <v>1140</v>
      </c>
      <c r="D654" s="26" t="s">
        <v>1141</v>
      </c>
      <c r="E654" s="26" t="s">
        <v>1141</v>
      </c>
      <c r="F654" s="25">
        <v>1995.0</v>
      </c>
      <c r="G654" s="25">
        <v>1998.0</v>
      </c>
      <c r="H654" s="25">
        <v>0.0</v>
      </c>
      <c r="I654" s="25">
        <v>56.0</v>
      </c>
      <c r="J654" s="50">
        <v>0.68</v>
      </c>
      <c r="K654" s="25">
        <v>38.0</v>
      </c>
      <c r="L654" s="51">
        <v>0.0</v>
      </c>
      <c r="M654" s="51">
        <v>0.0</v>
      </c>
      <c r="N654" s="25">
        <v>37.0</v>
      </c>
      <c r="O654" s="25"/>
      <c r="P654" s="26" t="s">
        <v>36</v>
      </c>
      <c r="Q654" s="52">
        <v>1579.0</v>
      </c>
      <c r="R654" s="26" t="s">
        <v>52</v>
      </c>
      <c r="S654" s="25">
        <v>1997.0</v>
      </c>
      <c r="T654" s="25">
        <v>1.25</v>
      </c>
      <c r="U654" s="25">
        <f t="shared" si="153"/>
        <v>1973.75</v>
      </c>
      <c r="V654" s="24">
        <f t="shared" si="154"/>
        <v>35.24553571</v>
      </c>
      <c r="W654" s="3">
        <f t="shared" si="155"/>
        <v>1</v>
      </c>
      <c r="X654" s="3">
        <f t="shared" si="156"/>
        <v>56</v>
      </c>
      <c r="Y654" s="3">
        <f t="shared" si="157"/>
        <v>38</v>
      </c>
      <c r="Z654" s="25">
        <f t="shared" si="158"/>
        <v>0</v>
      </c>
      <c r="AA654" s="26">
        <f>VLOOKUP(S654,CPI!$A$2:$F$71,6,0)</f>
        <v>2.006943925</v>
      </c>
      <c r="AB654" s="27">
        <f t="shared" si="159"/>
        <v>3961.205572</v>
      </c>
      <c r="AC654" s="27">
        <f t="shared" si="160"/>
        <v>70.73581379</v>
      </c>
      <c r="AD654" s="26" t="s">
        <v>36</v>
      </c>
      <c r="AE654" s="57" t="s">
        <v>1142</v>
      </c>
      <c r="AF654" s="178"/>
      <c r="AG654" s="172"/>
      <c r="AH654" s="172"/>
      <c r="AI654" s="172"/>
      <c r="AJ654" s="32"/>
      <c r="AK654" s="32"/>
      <c r="AL654" s="32"/>
      <c r="AM654" s="60"/>
      <c r="AN654" s="60"/>
      <c r="AO654" s="60"/>
      <c r="AP654" s="60"/>
      <c r="AQ654" s="6"/>
    </row>
    <row r="655" ht="15.75" customHeight="1">
      <c r="A655" s="38">
        <v>7379.0</v>
      </c>
      <c r="B655" s="26" t="s">
        <v>1122</v>
      </c>
      <c r="C655" s="26" t="s">
        <v>1140</v>
      </c>
      <c r="D655" s="26" t="s">
        <v>1143</v>
      </c>
      <c r="E655" s="26" t="s">
        <v>1143</v>
      </c>
      <c r="F655" s="25">
        <v>1999.0</v>
      </c>
      <c r="G655" s="25">
        <v>2003.0</v>
      </c>
      <c r="H655" s="25">
        <v>0.0</v>
      </c>
      <c r="I655" s="25">
        <v>75.0</v>
      </c>
      <c r="J655" s="50">
        <v>0.77</v>
      </c>
      <c r="K655" s="25">
        <v>58.0</v>
      </c>
      <c r="L655" s="51">
        <v>0.0</v>
      </c>
      <c r="M655" s="51">
        <v>0.0</v>
      </c>
      <c r="N655" s="25">
        <v>39.0</v>
      </c>
      <c r="O655" s="25"/>
      <c r="P655" s="26" t="s">
        <v>36</v>
      </c>
      <c r="Q655" s="52">
        <v>3157.0</v>
      </c>
      <c r="R655" s="26" t="s">
        <v>52</v>
      </c>
      <c r="S655" s="25">
        <v>2001.0</v>
      </c>
      <c r="T655" s="25">
        <v>1.25</v>
      </c>
      <c r="U655" s="25">
        <f t="shared" si="153"/>
        <v>3946.25</v>
      </c>
      <c r="V655" s="24">
        <f t="shared" si="154"/>
        <v>52.61666667</v>
      </c>
      <c r="W655" s="3">
        <f t="shared" si="155"/>
        <v>1</v>
      </c>
      <c r="X655" s="3">
        <f t="shared" si="156"/>
        <v>75</v>
      </c>
      <c r="Y655" s="3">
        <f t="shared" si="157"/>
        <v>58</v>
      </c>
      <c r="Z655" s="25">
        <f t="shared" si="158"/>
        <v>0</v>
      </c>
      <c r="AA655" s="26">
        <f>VLOOKUP(S655,CPI!$A$2:$F$71,6,0)</f>
        <v>1.818828346</v>
      </c>
      <c r="AB655" s="27">
        <f t="shared" si="159"/>
        <v>7177.551359</v>
      </c>
      <c r="AC655" s="27">
        <f t="shared" si="160"/>
        <v>95.70068478</v>
      </c>
      <c r="AD655" s="26" t="s">
        <v>36</v>
      </c>
      <c r="AE655" s="57" t="s">
        <v>1142</v>
      </c>
      <c r="AF655" s="178"/>
      <c r="AG655" s="172"/>
      <c r="AH655" s="172"/>
      <c r="AI655" s="172"/>
      <c r="AJ655" s="32"/>
      <c r="AK655" s="32"/>
      <c r="AL655" s="32"/>
      <c r="AM655" s="31"/>
      <c r="AN655" s="31"/>
      <c r="AO655" s="31"/>
      <c r="AP655" s="31"/>
      <c r="AQ655" s="35"/>
    </row>
    <row r="656" ht="15.75" customHeight="1">
      <c r="A656" s="38">
        <v>7394.0</v>
      </c>
      <c r="B656" s="26" t="s">
        <v>1122</v>
      </c>
      <c r="C656" s="26" t="s">
        <v>1140</v>
      </c>
      <c r="D656" s="26" t="s">
        <v>1144</v>
      </c>
      <c r="E656" s="26" t="s">
        <v>1144</v>
      </c>
      <c r="F656" s="25">
        <v>2003.0</v>
      </c>
      <c r="G656" s="25">
        <v>2008.0</v>
      </c>
      <c r="H656" s="25">
        <v>1.0</v>
      </c>
      <c r="I656" s="25">
        <v>7.5</v>
      </c>
      <c r="J656" s="50">
        <v>1.0</v>
      </c>
      <c r="K656" s="25">
        <v>7.5</v>
      </c>
      <c r="L656" s="51">
        <v>0.0</v>
      </c>
      <c r="M656" s="51">
        <v>0.0</v>
      </c>
      <c r="N656" s="25">
        <v>3.0</v>
      </c>
      <c r="O656" s="25"/>
      <c r="P656" s="26" t="s">
        <v>74</v>
      </c>
      <c r="Q656" s="52">
        <v>550.0</v>
      </c>
      <c r="R656" s="26" t="s">
        <v>52</v>
      </c>
      <c r="S656" s="25">
        <v>2006.0</v>
      </c>
      <c r="T656" s="25">
        <v>1.25</v>
      </c>
      <c r="U656" s="25">
        <f t="shared" si="153"/>
        <v>687.5</v>
      </c>
      <c r="V656" s="24">
        <f t="shared" si="154"/>
        <v>91.66666667</v>
      </c>
      <c r="W656" s="3">
        <f t="shared" si="155"/>
        <v>1</v>
      </c>
      <c r="X656" s="3">
        <f t="shared" si="156"/>
        <v>7.5</v>
      </c>
      <c r="Y656" s="3">
        <f t="shared" si="157"/>
        <v>7.5</v>
      </c>
      <c r="Z656" s="25">
        <f t="shared" si="158"/>
        <v>0</v>
      </c>
      <c r="AA656" s="26">
        <f>VLOOKUP(S656,CPI!$A$2:$F$71,6,0)</f>
        <v>1.597790179</v>
      </c>
      <c r="AB656" s="27">
        <f t="shared" si="159"/>
        <v>1098.480748</v>
      </c>
      <c r="AC656" s="27">
        <f t="shared" si="160"/>
        <v>146.4640997</v>
      </c>
      <c r="AD656" s="26" t="s">
        <v>42</v>
      </c>
      <c r="AE656" s="53" t="s">
        <v>1145</v>
      </c>
      <c r="AF656" s="178"/>
      <c r="AG656" s="172"/>
      <c r="AH656" s="172"/>
      <c r="AI656" s="172"/>
      <c r="AJ656" s="32"/>
      <c r="AK656" s="32"/>
      <c r="AL656" s="32"/>
      <c r="AM656" s="31"/>
      <c r="AN656" s="31"/>
      <c r="AO656" s="31"/>
      <c r="AP656" s="31"/>
      <c r="AQ656" s="35"/>
    </row>
    <row r="657" ht="15.75" customHeight="1">
      <c r="A657" s="38">
        <v>7387.0</v>
      </c>
      <c r="B657" s="26" t="s">
        <v>1122</v>
      </c>
      <c r="C657" s="26" t="s">
        <v>1140</v>
      </c>
      <c r="D657" s="1" t="s">
        <v>54</v>
      </c>
      <c r="E657" s="26" t="s">
        <v>55</v>
      </c>
      <c r="F657" s="25">
        <v>2008.0</v>
      </c>
      <c r="G657" s="25">
        <v>2011.0</v>
      </c>
      <c r="H657" s="25">
        <v>0.0</v>
      </c>
      <c r="I657" s="25">
        <v>4.6</v>
      </c>
      <c r="J657" s="50">
        <v>1.0</v>
      </c>
      <c r="K657" s="25">
        <v>4.6</v>
      </c>
      <c r="L657" s="51">
        <v>0.0</v>
      </c>
      <c r="M657" s="51">
        <v>0.0</v>
      </c>
      <c r="N657" s="25">
        <v>4.0</v>
      </c>
      <c r="O657" s="25"/>
      <c r="P657" s="26" t="s">
        <v>36</v>
      </c>
      <c r="Q657" s="52">
        <v>315.0</v>
      </c>
      <c r="R657" s="26" t="s">
        <v>52</v>
      </c>
      <c r="S657" s="25">
        <v>2010.0</v>
      </c>
      <c r="T657" s="25">
        <v>1.3</v>
      </c>
      <c r="U657" s="25">
        <f t="shared" si="153"/>
        <v>409.5</v>
      </c>
      <c r="V657" s="24">
        <f t="shared" si="154"/>
        <v>89.02173913</v>
      </c>
      <c r="W657" s="3">
        <f t="shared" si="155"/>
        <v>1</v>
      </c>
      <c r="X657" s="3">
        <f t="shared" si="156"/>
        <v>4.6</v>
      </c>
      <c r="Y657" s="3">
        <f t="shared" si="157"/>
        <v>4.6</v>
      </c>
      <c r="Z657" s="25">
        <f t="shared" si="158"/>
        <v>0</v>
      </c>
      <c r="AA657" s="26">
        <f>VLOOKUP(S657,CPI!$A$2:$F$71,6,0)</f>
        <v>1.477209983</v>
      </c>
      <c r="AB657" s="27">
        <f t="shared" si="159"/>
        <v>604.9174879</v>
      </c>
      <c r="AC657" s="27">
        <f t="shared" si="160"/>
        <v>131.5038017</v>
      </c>
      <c r="AD657" s="26" t="s">
        <v>36</v>
      </c>
      <c r="AE657" s="57" t="s">
        <v>1146</v>
      </c>
      <c r="AF657" s="178"/>
      <c r="AG657" s="172"/>
      <c r="AH657" s="172"/>
      <c r="AI657" s="172"/>
      <c r="AJ657" s="32"/>
      <c r="AK657" s="32"/>
      <c r="AL657" s="32"/>
      <c r="AM657" s="31"/>
      <c r="AN657" s="31"/>
      <c r="AO657" s="31"/>
      <c r="AP657" s="31"/>
      <c r="AQ657" s="35"/>
    </row>
    <row r="658" ht="15.75" customHeight="1">
      <c r="A658" s="38">
        <v>7392.0</v>
      </c>
      <c r="B658" s="26" t="s">
        <v>1122</v>
      </c>
      <c r="C658" s="26" t="s">
        <v>1140</v>
      </c>
      <c r="D658" s="1" t="s">
        <v>253</v>
      </c>
      <c r="E658" s="26" t="s">
        <v>1147</v>
      </c>
      <c r="F658" s="25">
        <v>2009.0</v>
      </c>
      <c r="G658" s="25">
        <v>2015.0</v>
      </c>
      <c r="H658" s="25">
        <v>0.0</v>
      </c>
      <c r="I658" s="25">
        <v>3.0</v>
      </c>
      <c r="J658" s="50">
        <v>1.0</v>
      </c>
      <c r="K658" s="25">
        <v>3.0</v>
      </c>
      <c r="L658" s="51">
        <v>0.0</v>
      </c>
      <c r="M658" s="51">
        <v>0.0</v>
      </c>
      <c r="N658" s="25">
        <v>2.0</v>
      </c>
      <c r="O658" s="25"/>
      <c r="P658" s="26" t="s">
        <v>60</v>
      </c>
      <c r="Q658" s="52">
        <v>191.0</v>
      </c>
      <c r="R658" s="26" t="s">
        <v>52</v>
      </c>
      <c r="S658" s="25">
        <v>2012.0</v>
      </c>
      <c r="T658" s="25">
        <v>1.3</v>
      </c>
      <c r="U658" s="25">
        <f t="shared" si="153"/>
        <v>248.3</v>
      </c>
      <c r="V658" s="24">
        <f t="shared" si="154"/>
        <v>82.76666667</v>
      </c>
      <c r="W658" s="3">
        <f t="shared" si="155"/>
        <v>1</v>
      </c>
      <c r="X658" s="3">
        <f t="shared" si="156"/>
        <v>3</v>
      </c>
      <c r="Y658" s="3">
        <f t="shared" si="157"/>
        <v>3</v>
      </c>
      <c r="Z658" s="25">
        <f t="shared" si="158"/>
        <v>0</v>
      </c>
      <c r="AA658" s="26">
        <f>VLOOKUP(S658,CPI!$A$2:$F$71,6,0)</f>
        <v>1.402974381</v>
      </c>
      <c r="AB658" s="27">
        <f t="shared" si="159"/>
        <v>348.3585388</v>
      </c>
      <c r="AC658" s="27">
        <f t="shared" si="160"/>
        <v>116.1195129</v>
      </c>
      <c r="AD658" s="26" t="s">
        <v>60</v>
      </c>
      <c r="AE658" s="53" t="s">
        <v>1148</v>
      </c>
      <c r="AF658" s="178"/>
      <c r="AG658" s="172"/>
      <c r="AH658" s="172"/>
      <c r="AI658" s="172"/>
      <c r="AJ658" s="32"/>
      <c r="AK658" s="32"/>
      <c r="AL658" s="32"/>
      <c r="AM658" s="31"/>
      <c r="AN658" s="31"/>
      <c r="AO658" s="31"/>
      <c r="AP658" s="31"/>
      <c r="AQ658" s="35"/>
    </row>
    <row r="659" ht="15.75" customHeight="1">
      <c r="A659" s="7"/>
      <c r="B659" s="115" t="s">
        <v>1122</v>
      </c>
      <c r="C659" s="115" t="s">
        <v>1140</v>
      </c>
      <c r="D659" s="115" t="s">
        <v>292</v>
      </c>
      <c r="E659" s="115" t="s">
        <v>1149</v>
      </c>
      <c r="F659" s="82">
        <v>2022.0</v>
      </c>
      <c r="G659" s="115">
        <v>2026.0</v>
      </c>
      <c r="H659" s="82">
        <v>0.0</v>
      </c>
      <c r="I659" s="82">
        <v>7.0</v>
      </c>
      <c r="J659" s="247">
        <v>1.0</v>
      </c>
      <c r="K659" s="82">
        <v>7.0</v>
      </c>
      <c r="L659" s="115">
        <v>0.0</v>
      </c>
      <c r="M659" s="115">
        <v>0.0</v>
      </c>
      <c r="N659" s="82">
        <v>5.0</v>
      </c>
      <c r="O659" s="82"/>
      <c r="P659" s="115" t="s">
        <v>60</v>
      </c>
      <c r="Q659" s="248">
        <v>500.0</v>
      </c>
      <c r="R659" s="115" t="s">
        <v>52</v>
      </c>
      <c r="S659" s="115">
        <v>2023.0</v>
      </c>
      <c r="T659" s="115">
        <v>1.45</v>
      </c>
      <c r="U659" s="118">
        <f t="shared" si="153"/>
        <v>725</v>
      </c>
      <c r="V659" s="24">
        <f t="shared" si="154"/>
        <v>103.5714286</v>
      </c>
      <c r="W659" s="3">
        <f t="shared" si="155"/>
        <v>1</v>
      </c>
      <c r="X659" s="3">
        <f t="shared" si="156"/>
        <v>7</v>
      </c>
      <c r="Y659" s="3">
        <f t="shared" si="157"/>
        <v>7</v>
      </c>
      <c r="Z659" s="25">
        <f t="shared" si="158"/>
        <v>0</v>
      </c>
      <c r="AA659" s="26">
        <f>VLOOKUP(S659,CPI!$A$2:$F$71,6,0)</f>
        <v>1.057145998</v>
      </c>
      <c r="AB659" s="27">
        <f t="shared" si="159"/>
        <v>766.4308488</v>
      </c>
      <c r="AC659" s="27">
        <f t="shared" si="160"/>
        <v>109.4901213</v>
      </c>
      <c r="AD659" s="115" t="s">
        <v>42</v>
      </c>
      <c r="AE659" s="249" t="s">
        <v>1150</v>
      </c>
      <c r="AF659" s="241"/>
      <c r="AG659" s="242"/>
      <c r="AH659" s="166"/>
      <c r="AI659" s="166"/>
      <c r="AJ659" s="166"/>
      <c r="AK659" s="166"/>
      <c r="AL659" s="166"/>
      <c r="AM659" s="31"/>
      <c r="AN659" s="31"/>
      <c r="AO659" s="31"/>
      <c r="AP659" s="31"/>
      <c r="AQ659" s="35"/>
    </row>
    <row r="660" ht="15.75" customHeight="1">
      <c r="A660" s="38">
        <v>7386.0</v>
      </c>
      <c r="B660" s="2" t="s">
        <v>1122</v>
      </c>
      <c r="C660" s="2" t="s">
        <v>1140</v>
      </c>
      <c r="D660" s="2" t="s">
        <v>1151</v>
      </c>
      <c r="E660" s="2" t="s">
        <v>1151</v>
      </c>
      <c r="F660" s="3">
        <v>2020.0</v>
      </c>
      <c r="G660" s="3">
        <v>2028.0</v>
      </c>
      <c r="H660" s="3">
        <v>1.0</v>
      </c>
      <c r="I660" s="3">
        <v>10.5</v>
      </c>
      <c r="J660" s="39">
        <v>1.0</v>
      </c>
      <c r="K660" s="3">
        <v>10.5</v>
      </c>
      <c r="L660" s="40">
        <v>0.0</v>
      </c>
      <c r="M660" s="40">
        <v>0.0</v>
      </c>
      <c r="N660" s="3">
        <v>4.0</v>
      </c>
      <c r="O660" s="3"/>
      <c r="P660" s="2" t="s">
        <v>59</v>
      </c>
      <c r="Q660" s="41">
        <v>760.0</v>
      </c>
      <c r="R660" s="2" t="s">
        <v>52</v>
      </c>
      <c r="S660" s="3">
        <v>2024.0</v>
      </c>
      <c r="T660" s="85">
        <v>1.4</v>
      </c>
      <c r="U660" s="3">
        <f t="shared" si="153"/>
        <v>1064</v>
      </c>
      <c r="V660" s="24">
        <f t="shared" si="154"/>
        <v>101.3333333</v>
      </c>
      <c r="W660" s="3">
        <f t="shared" si="155"/>
        <v>1</v>
      </c>
      <c r="X660" s="3">
        <f t="shared" si="156"/>
        <v>10.5</v>
      </c>
      <c r="Y660" s="3">
        <f t="shared" si="157"/>
        <v>10.5</v>
      </c>
      <c r="Z660" s="25">
        <f t="shared" si="158"/>
        <v>0</v>
      </c>
      <c r="AA660" s="26">
        <f>VLOOKUP(S660,CPI!$A$2:$F$71,6,0)</f>
        <v>1</v>
      </c>
      <c r="AB660" s="27">
        <f t="shared" si="159"/>
        <v>1064</v>
      </c>
      <c r="AC660" s="27">
        <f t="shared" si="160"/>
        <v>101.3333333</v>
      </c>
      <c r="AD660" s="2" t="s">
        <v>60</v>
      </c>
      <c r="AE660" s="266" t="s">
        <v>1152</v>
      </c>
      <c r="AF660" s="178"/>
      <c r="AG660" s="172"/>
      <c r="AH660" s="172"/>
      <c r="AI660" s="172"/>
      <c r="AJ660" s="32"/>
      <c r="AK660" s="32"/>
      <c r="AL660" s="32"/>
      <c r="AM660" s="31"/>
      <c r="AN660" s="31"/>
      <c r="AO660" s="31"/>
      <c r="AP660" s="31"/>
      <c r="AQ660" s="35"/>
    </row>
    <row r="661" ht="15.75" customHeight="1">
      <c r="A661" s="38">
        <v>7459.0</v>
      </c>
      <c r="B661" s="26" t="s">
        <v>1122</v>
      </c>
      <c r="C661" s="26" t="s">
        <v>1153</v>
      </c>
      <c r="D661" s="26" t="s">
        <v>114</v>
      </c>
      <c r="E661" s="26" t="s">
        <v>114</v>
      </c>
      <c r="F661" s="25">
        <v>2006.0</v>
      </c>
      <c r="G661" s="25">
        <v>2014.0</v>
      </c>
      <c r="H661" s="25">
        <v>0.0</v>
      </c>
      <c r="I661" s="25">
        <v>11.3</v>
      </c>
      <c r="J661" s="50">
        <v>0.81</v>
      </c>
      <c r="K661" s="25">
        <v>9.2</v>
      </c>
      <c r="L661" s="51">
        <v>0.0</v>
      </c>
      <c r="M661" s="51">
        <v>0.0</v>
      </c>
      <c r="N661" s="25">
        <v>17.0</v>
      </c>
      <c r="O661" s="25"/>
      <c r="P661" s="26" t="s">
        <v>74</v>
      </c>
      <c r="Q661" s="52">
        <v>870.0</v>
      </c>
      <c r="R661" s="26" t="s">
        <v>52</v>
      </c>
      <c r="S661" s="25">
        <v>2010.0</v>
      </c>
      <c r="T661" s="25">
        <v>1.3</v>
      </c>
      <c r="U661" s="25">
        <f t="shared" si="153"/>
        <v>1131</v>
      </c>
      <c r="V661" s="24">
        <f t="shared" si="154"/>
        <v>100.0884956</v>
      </c>
      <c r="W661" s="3">
        <f t="shared" si="155"/>
        <v>1</v>
      </c>
      <c r="X661" s="3">
        <f t="shared" si="156"/>
        <v>11.3</v>
      </c>
      <c r="Y661" s="3">
        <f t="shared" si="157"/>
        <v>9.2</v>
      </c>
      <c r="Z661" s="25">
        <f t="shared" si="158"/>
        <v>0</v>
      </c>
      <c r="AA661" s="26">
        <f>VLOOKUP(S661,CPI!$A$2:$F$71,6,0)</f>
        <v>1.477209983</v>
      </c>
      <c r="AB661" s="27">
        <f t="shared" si="159"/>
        <v>1670.72449</v>
      </c>
      <c r="AC661" s="27">
        <f t="shared" si="160"/>
        <v>147.8517248</v>
      </c>
      <c r="AD661" s="26" t="s">
        <v>42</v>
      </c>
      <c r="AE661" s="53" t="s">
        <v>1154</v>
      </c>
      <c r="AF661" s="178"/>
      <c r="AG661" s="172"/>
      <c r="AH661" s="172"/>
      <c r="AI661" s="172"/>
      <c r="AJ661" s="32"/>
      <c r="AK661" s="32"/>
      <c r="AL661" s="32"/>
      <c r="AM661" s="31"/>
      <c r="AN661" s="31"/>
      <c r="AO661" s="31"/>
      <c r="AP661" s="31"/>
      <c r="AQ661" s="35"/>
    </row>
    <row r="662" ht="15.75" customHeight="1">
      <c r="A662" s="38">
        <v>7458.0</v>
      </c>
      <c r="B662" s="26" t="s">
        <v>1122</v>
      </c>
      <c r="C662" s="26" t="s">
        <v>1155</v>
      </c>
      <c r="D662" s="26" t="s">
        <v>57</v>
      </c>
      <c r="E662" s="26" t="s">
        <v>57</v>
      </c>
      <c r="F662" s="25">
        <v>2003.0</v>
      </c>
      <c r="G662" s="25">
        <v>2009.0</v>
      </c>
      <c r="H662" s="25">
        <v>0.0</v>
      </c>
      <c r="I662" s="25">
        <v>18.2</v>
      </c>
      <c r="J662" s="50">
        <v>0.64</v>
      </c>
      <c r="K662" s="25">
        <v>11.6</v>
      </c>
      <c r="L662" s="51">
        <v>6.552</v>
      </c>
      <c r="M662" s="51">
        <v>0.0</v>
      </c>
      <c r="N662" s="25">
        <v>22.0</v>
      </c>
      <c r="O662" s="25"/>
      <c r="P662" s="26" t="s">
        <v>59</v>
      </c>
      <c r="Q662" s="52">
        <v>892.0</v>
      </c>
      <c r="R662" s="26" t="s">
        <v>52</v>
      </c>
      <c r="S662" s="25">
        <v>2006.0</v>
      </c>
      <c r="T662" s="25">
        <v>1.25</v>
      </c>
      <c r="U662" s="25">
        <f t="shared" si="153"/>
        <v>1115</v>
      </c>
      <c r="V662" s="24">
        <f t="shared" si="154"/>
        <v>61.26373626</v>
      </c>
      <c r="W662" s="3">
        <f t="shared" si="155"/>
        <v>1</v>
      </c>
      <c r="X662" s="3">
        <f t="shared" si="156"/>
        <v>18.2</v>
      </c>
      <c r="Y662" s="3">
        <f t="shared" si="157"/>
        <v>11.6</v>
      </c>
      <c r="Z662" s="25">
        <f t="shared" si="158"/>
        <v>0</v>
      </c>
      <c r="AA662" s="26">
        <f>VLOOKUP(S662,CPI!$A$2:$F$71,6,0)</f>
        <v>1.597790179</v>
      </c>
      <c r="AB662" s="27">
        <f t="shared" si="159"/>
        <v>1781.536049</v>
      </c>
      <c r="AC662" s="27">
        <f t="shared" si="160"/>
        <v>97.8865961</v>
      </c>
      <c r="AD662" s="26" t="s">
        <v>42</v>
      </c>
      <c r="AE662" s="57" t="s">
        <v>1156</v>
      </c>
      <c r="AF662" s="178"/>
      <c r="AG662" s="172"/>
      <c r="AH662" s="172"/>
      <c r="AI662" s="172"/>
      <c r="AJ662" s="32"/>
      <c r="AK662" s="32"/>
      <c r="AL662" s="32"/>
      <c r="AM662" s="31"/>
      <c r="AN662" s="31"/>
      <c r="AO662" s="31"/>
      <c r="AP662" s="31"/>
      <c r="AQ662" s="35"/>
    </row>
    <row r="663" ht="15.75" customHeight="1">
      <c r="A663" s="38">
        <v>7216.0</v>
      </c>
      <c r="B663" s="26" t="s">
        <v>1157</v>
      </c>
      <c r="C663" s="26" t="s">
        <v>1158</v>
      </c>
      <c r="D663" s="26" t="s">
        <v>1159</v>
      </c>
      <c r="E663" s="26" t="s">
        <v>1159</v>
      </c>
      <c r="F663" s="25">
        <v>2009.0</v>
      </c>
      <c r="G663" s="25">
        <v>2015.0</v>
      </c>
      <c r="H663" s="25">
        <v>1.0</v>
      </c>
      <c r="I663" s="25">
        <v>18.0</v>
      </c>
      <c r="J663" s="50">
        <v>0.44</v>
      </c>
      <c r="K663" s="25">
        <v>8.0</v>
      </c>
      <c r="L663" s="51">
        <v>0.0</v>
      </c>
      <c r="M663" s="51">
        <v>0.0</v>
      </c>
      <c r="N663" s="25">
        <v>5.0</v>
      </c>
      <c r="O663" s="25"/>
      <c r="P663" s="26" t="s">
        <v>60</v>
      </c>
      <c r="Q663" s="52">
        <v>773.8</v>
      </c>
      <c r="R663" s="26" t="s">
        <v>52</v>
      </c>
      <c r="S663" s="25">
        <v>2012.0</v>
      </c>
      <c r="T663" s="25">
        <v>1.3</v>
      </c>
      <c r="U663" s="25">
        <f t="shared" si="153"/>
        <v>1005.94</v>
      </c>
      <c r="V663" s="24">
        <f t="shared" si="154"/>
        <v>55.88555556</v>
      </c>
      <c r="W663" s="3">
        <f t="shared" si="155"/>
        <v>1</v>
      </c>
      <c r="X663" s="3">
        <f t="shared" si="156"/>
        <v>18</v>
      </c>
      <c r="Y663" s="3">
        <f t="shared" si="157"/>
        <v>8</v>
      </c>
      <c r="Z663" s="25">
        <f t="shared" si="158"/>
        <v>0</v>
      </c>
      <c r="AA663" s="26">
        <f>VLOOKUP(S663,CPI!$A$2:$F$71,6,0)</f>
        <v>1.402974381</v>
      </c>
      <c r="AB663" s="27">
        <f t="shared" si="159"/>
        <v>1411.308049</v>
      </c>
      <c r="AC663" s="27">
        <f t="shared" si="160"/>
        <v>78.4060027</v>
      </c>
      <c r="AD663" s="26" t="s">
        <v>60</v>
      </c>
      <c r="AE663" s="53" t="s">
        <v>1160</v>
      </c>
      <c r="AF663" s="178"/>
      <c r="AG663" s="172"/>
      <c r="AH663" s="172"/>
      <c r="AI663" s="172"/>
      <c r="AJ663" s="32"/>
      <c r="AK663" s="32"/>
      <c r="AL663" s="32"/>
      <c r="AM663" s="32"/>
      <c r="AN663" s="32"/>
      <c r="AO663" s="32"/>
      <c r="AP663" s="32"/>
      <c r="AQ663" s="33"/>
    </row>
    <row r="664" ht="15.75" customHeight="1">
      <c r="A664" s="38">
        <v>7211.0</v>
      </c>
      <c r="B664" s="26" t="s">
        <v>1157</v>
      </c>
      <c r="C664" s="26" t="s">
        <v>1158</v>
      </c>
      <c r="D664" s="1" t="s">
        <v>1161</v>
      </c>
      <c r="E664" s="63" t="s">
        <v>1162</v>
      </c>
      <c r="F664" s="25">
        <v>2009.0</v>
      </c>
      <c r="G664" s="25">
        <v>2017.0</v>
      </c>
      <c r="H664" s="25">
        <v>0.0</v>
      </c>
      <c r="I664" s="25">
        <v>13.5</v>
      </c>
      <c r="J664" s="50">
        <v>1.0</v>
      </c>
      <c r="K664" s="25">
        <v>13.5</v>
      </c>
      <c r="L664" s="51">
        <v>0.0</v>
      </c>
      <c r="M664" s="51">
        <v>0.0</v>
      </c>
      <c r="N664" s="25">
        <v>8.0</v>
      </c>
      <c r="O664" s="58">
        <v>135.0</v>
      </c>
      <c r="P664" s="26" t="s">
        <v>59</v>
      </c>
      <c r="Q664" s="55">
        <v>1171.0</v>
      </c>
      <c r="R664" s="26" t="s">
        <v>52</v>
      </c>
      <c r="S664" s="25">
        <v>2013.0</v>
      </c>
      <c r="T664" s="25">
        <v>1.3</v>
      </c>
      <c r="U664" s="25">
        <f t="shared" si="153"/>
        <v>1522.3</v>
      </c>
      <c r="V664" s="24">
        <f t="shared" si="154"/>
        <v>112.762963</v>
      </c>
      <c r="W664" s="3">
        <f t="shared" si="155"/>
        <v>1</v>
      </c>
      <c r="X664" s="3">
        <f t="shared" si="156"/>
        <v>13.5</v>
      </c>
      <c r="Y664" s="3">
        <f t="shared" si="157"/>
        <v>13.5</v>
      </c>
      <c r="Z664" s="25">
        <f t="shared" si="158"/>
        <v>0</v>
      </c>
      <c r="AA664" s="26">
        <f>VLOOKUP(S664,CPI!$A$2:$F$71,6,0)</f>
        <v>1.382720845</v>
      </c>
      <c r="AB664" s="27">
        <f t="shared" si="159"/>
        <v>2104.915943</v>
      </c>
      <c r="AC664" s="27">
        <f t="shared" si="160"/>
        <v>155.9196995</v>
      </c>
      <c r="AD664" s="26" t="s">
        <v>60</v>
      </c>
      <c r="AE664" s="56" t="s">
        <v>1163</v>
      </c>
      <c r="AF664" s="178"/>
      <c r="AG664" s="172"/>
      <c r="AH664" s="172"/>
      <c r="AI664" s="172"/>
      <c r="AJ664" s="32"/>
      <c r="AK664" s="32"/>
      <c r="AL664" s="32"/>
      <c r="AM664" s="32"/>
      <c r="AN664" s="32"/>
      <c r="AO664" s="32"/>
      <c r="AP664" s="32"/>
      <c r="AQ664" s="33"/>
    </row>
    <row r="665" ht="15.75" customHeight="1">
      <c r="A665" s="61">
        <v>7212.0</v>
      </c>
      <c r="B665" s="63" t="s">
        <v>1157</v>
      </c>
      <c r="C665" s="63" t="s">
        <v>1158</v>
      </c>
      <c r="D665" s="1" t="s">
        <v>1161</v>
      </c>
      <c r="E665" s="63" t="s">
        <v>1164</v>
      </c>
      <c r="F665" s="58">
        <v>2014.0</v>
      </c>
      <c r="G665" s="58">
        <v>2023.0</v>
      </c>
      <c r="H665" s="58">
        <v>0.0</v>
      </c>
      <c r="I665" s="58">
        <v>7.0</v>
      </c>
      <c r="J665" s="59">
        <v>1.0</v>
      </c>
      <c r="K665" s="58">
        <v>7.0</v>
      </c>
      <c r="L665" s="58">
        <v>0.0</v>
      </c>
      <c r="M665" s="58">
        <v>0.0</v>
      </c>
      <c r="N665" s="58">
        <v>5.0</v>
      </c>
      <c r="O665" s="58">
        <v>90.0</v>
      </c>
      <c r="P665" s="63" t="s">
        <v>60</v>
      </c>
      <c r="Q665" s="55">
        <v>1159.0</v>
      </c>
      <c r="R665" s="63" t="s">
        <v>52</v>
      </c>
      <c r="S665" s="58">
        <v>2018.0</v>
      </c>
      <c r="T665" s="58">
        <v>1.35</v>
      </c>
      <c r="U665" s="25">
        <f t="shared" si="153"/>
        <v>1564.65</v>
      </c>
      <c r="V665" s="24">
        <f t="shared" si="154"/>
        <v>223.5214286</v>
      </c>
      <c r="W665" s="3">
        <f t="shared" si="155"/>
        <v>1</v>
      </c>
      <c r="X665" s="3">
        <f t="shared" si="156"/>
        <v>7</v>
      </c>
      <c r="Y665" s="3">
        <f t="shared" si="157"/>
        <v>7</v>
      </c>
      <c r="Z665" s="25">
        <f t="shared" si="158"/>
        <v>0</v>
      </c>
      <c r="AA665" s="26">
        <f>VLOOKUP(S665,CPI!$A$2:$F$71,6,0)</f>
        <v>1.28277786</v>
      </c>
      <c r="AB665" s="27">
        <f t="shared" si="159"/>
        <v>2007.098378</v>
      </c>
      <c r="AC665" s="27">
        <f t="shared" si="160"/>
        <v>286.7283397</v>
      </c>
      <c r="AD665" s="63" t="s">
        <v>60</v>
      </c>
      <c r="AE665" s="56" t="s">
        <v>1163</v>
      </c>
      <c r="AF665" s="178"/>
      <c r="AG665" s="172"/>
      <c r="AH665" s="172"/>
      <c r="AI665" s="172"/>
      <c r="AJ665" s="32"/>
      <c r="AK665" s="32"/>
      <c r="AL665" s="32"/>
      <c r="AM665" s="267"/>
      <c r="AN665" s="267"/>
      <c r="AO665" s="267"/>
      <c r="AP665" s="267"/>
      <c r="AQ665" s="268"/>
    </row>
    <row r="666" ht="15.75" customHeight="1">
      <c r="A666" s="38">
        <v>7472.0</v>
      </c>
      <c r="B666" s="26" t="s">
        <v>1165</v>
      </c>
      <c r="C666" s="26" t="s">
        <v>1166</v>
      </c>
      <c r="D666" s="1" t="s">
        <v>987</v>
      </c>
      <c r="E666" s="26" t="s">
        <v>1167</v>
      </c>
      <c r="F666" s="25">
        <v>2005.0</v>
      </c>
      <c r="G666" s="25">
        <v>2007.0</v>
      </c>
      <c r="H666" s="25">
        <v>0.0</v>
      </c>
      <c r="I666" s="25">
        <v>1.0</v>
      </c>
      <c r="J666" s="50">
        <v>1.0</v>
      </c>
      <c r="K666" s="25">
        <v>1.0</v>
      </c>
      <c r="L666" s="51">
        <v>0.0</v>
      </c>
      <c r="M666" s="51">
        <v>0.0</v>
      </c>
      <c r="N666" s="25">
        <v>1.0</v>
      </c>
      <c r="O666" s="25"/>
      <c r="P666" s="26" t="s">
        <v>60</v>
      </c>
      <c r="Q666" s="52">
        <v>53.0</v>
      </c>
      <c r="R666" s="26" t="s">
        <v>52</v>
      </c>
      <c r="S666" s="25">
        <v>2006.0</v>
      </c>
      <c r="T666" s="25">
        <v>1.25</v>
      </c>
      <c r="U666" s="25">
        <f t="shared" si="153"/>
        <v>66.25</v>
      </c>
      <c r="V666" s="24">
        <f t="shared" si="154"/>
        <v>66.25</v>
      </c>
      <c r="W666" s="3">
        <f t="shared" si="155"/>
        <v>0</v>
      </c>
      <c r="X666" s="3">
        <f t="shared" si="156"/>
        <v>0</v>
      </c>
      <c r="Y666" s="3">
        <f t="shared" si="157"/>
        <v>0</v>
      </c>
      <c r="Z666" s="25">
        <f t="shared" si="158"/>
        <v>0</v>
      </c>
      <c r="AA666" s="26">
        <f>VLOOKUP(S666,CPI!$A$2:$F$71,6,0)</f>
        <v>1.597790179</v>
      </c>
      <c r="AB666" s="27">
        <f t="shared" si="159"/>
        <v>105.8535993</v>
      </c>
      <c r="AC666" s="27">
        <f t="shared" si="160"/>
        <v>105.8535993</v>
      </c>
      <c r="AD666" s="26" t="s">
        <v>60</v>
      </c>
      <c r="AE666" s="53" t="s">
        <v>1168</v>
      </c>
      <c r="AF666" s="178"/>
      <c r="AG666" s="172"/>
      <c r="AH666" s="172"/>
      <c r="AI666" s="172"/>
      <c r="AJ666" s="32"/>
      <c r="AK666" s="32"/>
      <c r="AL666" s="32"/>
      <c r="AM666" s="267"/>
      <c r="AN666" s="267"/>
      <c r="AO666" s="267"/>
      <c r="AP666" s="267"/>
      <c r="AQ666" s="268"/>
    </row>
    <row r="667" ht="15.75" customHeight="1">
      <c r="A667" s="38">
        <v>7473.0</v>
      </c>
      <c r="B667" s="26" t="s">
        <v>1165</v>
      </c>
      <c r="C667" s="26" t="s">
        <v>1166</v>
      </c>
      <c r="D667" s="1" t="s">
        <v>1169</v>
      </c>
      <c r="E667" s="26" t="s">
        <v>1170</v>
      </c>
      <c r="F667" s="25">
        <v>2009.0</v>
      </c>
      <c r="G667" s="25">
        <v>2013.0</v>
      </c>
      <c r="H667" s="25">
        <v>0.0</v>
      </c>
      <c r="I667" s="25">
        <v>1.8</v>
      </c>
      <c r="J667" s="50">
        <v>1.0</v>
      </c>
      <c r="K667" s="25">
        <v>1.8</v>
      </c>
      <c r="L667" s="51">
        <v>0.0</v>
      </c>
      <c r="M667" s="51">
        <v>0.0</v>
      </c>
      <c r="N667" s="25">
        <v>1.0</v>
      </c>
      <c r="O667" s="25"/>
      <c r="P667" s="26" t="s">
        <v>42</v>
      </c>
      <c r="Q667" s="52">
        <v>222.0</v>
      </c>
      <c r="R667" s="26" t="s">
        <v>52</v>
      </c>
      <c r="S667" s="25">
        <v>2011.0</v>
      </c>
      <c r="T667" s="25">
        <v>1.3</v>
      </c>
      <c r="U667" s="25">
        <f t="shared" si="153"/>
        <v>288.6</v>
      </c>
      <c r="V667" s="24">
        <f t="shared" si="154"/>
        <v>160.3333333</v>
      </c>
      <c r="W667" s="3">
        <f t="shared" si="155"/>
        <v>0</v>
      </c>
      <c r="X667" s="3">
        <f t="shared" si="156"/>
        <v>0</v>
      </c>
      <c r="Y667" s="3">
        <f t="shared" si="157"/>
        <v>0</v>
      </c>
      <c r="Z667" s="25">
        <f t="shared" si="158"/>
        <v>0</v>
      </c>
      <c r="AA667" s="26">
        <f>VLOOKUP(S667,CPI!$A$2:$F$71,6,0)</f>
        <v>1.432008233</v>
      </c>
      <c r="AB667" s="27">
        <f t="shared" si="159"/>
        <v>413.2775761</v>
      </c>
      <c r="AC667" s="27">
        <f t="shared" si="160"/>
        <v>229.5986534</v>
      </c>
      <c r="AD667" s="26" t="s">
        <v>42</v>
      </c>
      <c r="AE667" s="53" t="s">
        <v>1171</v>
      </c>
      <c r="AF667" s="178"/>
      <c r="AG667" s="172"/>
      <c r="AH667" s="172"/>
      <c r="AI667" s="172"/>
      <c r="AJ667" s="32"/>
      <c r="AK667" s="32"/>
      <c r="AL667" s="32"/>
      <c r="AM667" s="269"/>
      <c r="AN667" s="269"/>
      <c r="AO667" s="269"/>
      <c r="AP667" s="269"/>
      <c r="AQ667" s="270"/>
    </row>
    <row r="668" ht="15.75" customHeight="1">
      <c r="A668" s="38">
        <v>7474.0</v>
      </c>
      <c r="B668" s="26" t="s">
        <v>1165</v>
      </c>
      <c r="C668" s="26" t="s">
        <v>1166</v>
      </c>
      <c r="D668" s="1" t="s">
        <v>1169</v>
      </c>
      <c r="E668" s="26" t="s">
        <v>1172</v>
      </c>
      <c r="F668" s="25">
        <v>2017.0</v>
      </c>
      <c r="G668" s="25">
        <v>2023.0</v>
      </c>
      <c r="H668" s="25">
        <v>0.0</v>
      </c>
      <c r="I668" s="25">
        <v>2.5</v>
      </c>
      <c r="J668" s="50">
        <v>1.0</v>
      </c>
      <c r="K668" s="25">
        <v>2.5</v>
      </c>
      <c r="L668" s="51">
        <v>0.0</v>
      </c>
      <c r="M668" s="51">
        <v>0.0</v>
      </c>
      <c r="N668" s="25">
        <v>2.0</v>
      </c>
      <c r="O668" s="25"/>
      <c r="P668" s="26" t="s">
        <v>60</v>
      </c>
      <c r="Q668" s="52">
        <v>394.0</v>
      </c>
      <c r="R668" s="26" t="s">
        <v>52</v>
      </c>
      <c r="S668" s="25">
        <v>2020.0</v>
      </c>
      <c r="T668" s="25">
        <v>1.3</v>
      </c>
      <c r="U668" s="25">
        <f t="shared" si="153"/>
        <v>512.2</v>
      </c>
      <c r="V668" s="24">
        <f t="shared" si="154"/>
        <v>204.88</v>
      </c>
      <c r="W668" s="3">
        <f t="shared" si="155"/>
        <v>0</v>
      </c>
      <c r="X668" s="3">
        <f t="shared" si="156"/>
        <v>0</v>
      </c>
      <c r="Y668" s="3">
        <f t="shared" si="157"/>
        <v>0</v>
      </c>
      <c r="Z668" s="25">
        <f t="shared" si="158"/>
        <v>0</v>
      </c>
      <c r="AA668" s="26">
        <f>VLOOKUP(S668,CPI!$A$2:$F$71,6,0)</f>
        <v>1.244593545</v>
      </c>
      <c r="AB668" s="27">
        <f t="shared" si="159"/>
        <v>637.4808138</v>
      </c>
      <c r="AC668" s="27">
        <f t="shared" si="160"/>
        <v>254.9923255</v>
      </c>
      <c r="AD668" s="26" t="s">
        <v>60</v>
      </c>
      <c r="AE668" s="57" t="s">
        <v>1173</v>
      </c>
      <c r="AF668" s="178"/>
      <c r="AG668" s="172"/>
      <c r="AH668" s="172"/>
      <c r="AI668" s="172"/>
      <c r="AJ668" s="32"/>
      <c r="AK668" s="32"/>
      <c r="AL668" s="32"/>
      <c r="AM668" s="269"/>
      <c r="AN668" s="269"/>
      <c r="AO668" s="269"/>
      <c r="AP668" s="269"/>
      <c r="AQ668" s="270"/>
    </row>
    <row r="669" ht="15.75" customHeight="1">
      <c r="A669" s="243">
        <v>11257.0</v>
      </c>
      <c r="B669" s="142" t="s">
        <v>1165</v>
      </c>
      <c r="C669" s="142" t="s">
        <v>1174</v>
      </c>
      <c r="D669" s="142" t="s">
        <v>1175</v>
      </c>
      <c r="E669" s="142" t="s">
        <v>1176</v>
      </c>
      <c r="F669" s="152">
        <v>1991.0</v>
      </c>
      <c r="G669" s="152">
        <v>1995.0</v>
      </c>
      <c r="H669" s="152">
        <v>1.0</v>
      </c>
      <c r="I669" s="152">
        <v>2.5</v>
      </c>
      <c r="J669" s="244">
        <v>1.0</v>
      </c>
      <c r="K669" s="152">
        <v>2.5</v>
      </c>
      <c r="L669" s="152">
        <v>0.0</v>
      </c>
      <c r="M669" s="152">
        <v>0.0</v>
      </c>
      <c r="N669" s="152">
        <v>0.0</v>
      </c>
      <c r="O669" s="152"/>
      <c r="P669" s="142" t="s">
        <v>60</v>
      </c>
      <c r="Q669" s="245">
        <v>321.0</v>
      </c>
      <c r="R669" s="142" t="s">
        <v>52</v>
      </c>
      <c r="S669" s="152">
        <v>2003.0</v>
      </c>
      <c r="T669" s="152">
        <v>1.25</v>
      </c>
      <c r="U669" s="75">
        <f t="shared" si="153"/>
        <v>401.25</v>
      </c>
      <c r="V669" s="24">
        <f t="shared" si="154"/>
        <v>160.5</v>
      </c>
      <c r="W669" s="3">
        <f t="shared" si="155"/>
        <v>0</v>
      </c>
      <c r="X669" s="3">
        <f t="shared" si="156"/>
        <v>0</v>
      </c>
      <c r="Y669" s="3">
        <f t="shared" si="157"/>
        <v>0</v>
      </c>
      <c r="Z669" s="25">
        <f t="shared" si="158"/>
        <v>0</v>
      </c>
      <c r="AA669" s="26">
        <f>VLOOKUP(S669,CPI!$A$2:$F$71,6,0)</f>
        <v>1.750622283</v>
      </c>
      <c r="AB669" s="27">
        <f t="shared" si="159"/>
        <v>702.4371909</v>
      </c>
      <c r="AC669" s="27">
        <f t="shared" si="160"/>
        <v>280.9748764</v>
      </c>
      <c r="AD669" s="63" t="s">
        <v>60</v>
      </c>
      <c r="AE669" s="246" t="s">
        <v>1177</v>
      </c>
      <c r="AF669" s="173"/>
      <c r="AG669" s="174"/>
      <c r="AH669" s="174"/>
      <c r="AI669" s="174"/>
      <c r="AJ669" s="175"/>
      <c r="AK669" s="175"/>
      <c r="AL669" s="175"/>
      <c r="AM669" s="269"/>
      <c r="AN669" s="269"/>
      <c r="AO669" s="269"/>
      <c r="AP669" s="269"/>
      <c r="AQ669" s="270"/>
    </row>
    <row r="670" ht="15.75" customHeight="1">
      <c r="A670" s="38">
        <v>7395.0</v>
      </c>
      <c r="B670" s="26" t="s">
        <v>1165</v>
      </c>
      <c r="C670" s="26" t="s">
        <v>1174</v>
      </c>
      <c r="D670" s="26" t="s">
        <v>267</v>
      </c>
      <c r="E670" s="26" t="s">
        <v>267</v>
      </c>
      <c r="F670" s="25">
        <v>1993.0</v>
      </c>
      <c r="G670" s="25">
        <v>2007.0</v>
      </c>
      <c r="H670" s="25">
        <v>0.0</v>
      </c>
      <c r="I670" s="25">
        <v>9.2</v>
      </c>
      <c r="J670" s="50">
        <v>1.0</v>
      </c>
      <c r="K670" s="25">
        <v>9.2</v>
      </c>
      <c r="L670" s="51">
        <v>0.0</v>
      </c>
      <c r="M670" s="51">
        <v>0.0</v>
      </c>
      <c r="N670" s="25">
        <v>9.0</v>
      </c>
      <c r="O670" s="25"/>
      <c r="P670" s="26" t="s">
        <v>74</v>
      </c>
      <c r="Q670" s="52">
        <v>1211.2</v>
      </c>
      <c r="R670" s="26" t="s">
        <v>52</v>
      </c>
      <c r="S670" s="25">
        <v>2004.0</v>
      </c>
      <c r="T670" s="25">
        <v>1.25</v>
      </c>
      <c r="U670" s="25">
        <f t="shared" si="153"/>
        <v>1514</v>
      </c>
      <c r="V670" s="24">
        <f t="shared" si="154"/>
        <v>164.5652174</v>
      </c>
      <c r="W670" s="3">
        <f t="shared" si="155"/>
        <v>0</v>
      </c>
      <c r="X670" s="3">
        <f t="shared" si="156"/>
        <v>0</v>
      </c>
      <c r="Y670" s="3">
        <f t="shared" si="157"/>
        <v>0</v>
      </c>
      <c r="Z670" s="25">
        <f t="shared" si="158"/>
        <v>0</v>
      </c>
      <c r="AA670" s="26">
        <f>VLOOKUP(S670,CPI!$A$2:$F$71,6,0)</f>
        <v>1.705211752</v>
      </c>
      <c r="AB670" s="27">
        <f t="shared" si="159"/>
        <v>2581.690593</v>
      </c>
      <c r="AC670" s="27">
        <f t="shared" si="160"/>
        <v>280.6185427</v>
      </c>
      <c r="AD670" s="26" t="s">
        <v>36</v>
      </c>
      <c r="AE670" s="53" t="s">
        <v>1178</v>
      </c>
      <c r="AF670" s="178"/>
      <c r="AG670" s="172"/>
      <c r="AH670" s="172"/>
      <c r="AI670" s="172"/>
      <c r="AJ670" s="32"/>
      <c r="AK670" s="32"/>
      <c r="AL670" s="32"/>
      <c r="AM670" s="269"/>
      <c r="AN670" s="269"/>
      <c r="AO670" s="269"/>
      <c r="AP670" s="269"/>
      <c r="AQ670" s="270"/>
    </row>
    <row r="671" ht="15.75" customHeight="1">
      <c r="A671" s="38">
        <v>7426.0</v>
      </c>
      <c r="B671" s="26" t="s">
        <v>1165</v>
      </c>
      <c r="C671" s="26" t="s">
        <v>1174</v>
      </c>
      <c r="D671" s="1" t="s">
        <v>236</v>
      </c>
      <c r="E671" s="26" t="s">
        <v>1179</v>
      </c>
      <c r="F671" s="25">
        <v>2005.0</v>
      </c>
      <c r="G671" s="25">
        <v>2008.0</v>
      </c>
      <c r="H671" s="25">
        <v>0.0</v>
      </c>
      <c r="I671" s="25">
        <v>1.9</v>
      </c>
      <c r="J671" s="50">
        <v>1.0</v>
      </c>
      <c r="K671" s="25">
        <v>1.9</v>
      </c>
      <c r="L671" s="51">
        <v>0.0</v>
      </c>
      <c r="M671" s="51">
        <v>0.0</v>
      </c>
      <c r="N671" s="25">
        <v>2.0</v>
      </c>
      <c r="O671" s="25"/>
      <c r="P671" s="26" t="s">
        <v>60</v>
      </c>
      <c r="Q671" s="52">
        <v>158.0</v>
      </c>
      <c r="R671" s="26" t="s">
        <v>52</v>
      </c>
      <c r="S671" s="25">
        <v>2006.0</v>
      </c>
      <c r="T671" s="25">
        <v>1.25</v>
      </c>
      <c r="U671" s="25">
        <f t="shared" si="153"/>
        <v>197.5</v>
      </c>
      <c r="V671" s="24">
        <f t="shared" si="154"/>
        <v>103.9473684</v>
      </c>
      <c r="W671" s="3">
        <f t="shared" si="155"/>
        <v>0</v>
      </c>
      <c r="X671" s="3">
        <f t="shared" si="156"/>
        <v>0</v>
      </c>
      <c r="Y671" s="3">
        <f t="shared" si="157"/>
        <v>0</v>
      </c>
      <c r="Z671" s="25">
        <f t="shared" si="158"/>
        <v>0</v>
      </c>
      <c r="AA671" s="26">
        <f>VLOOKUP(S671,CPI!$A$2:$F$71,6,0)</f>
        <v>1.597790179</v>
      </c>
      <c r="AB671" s="27">
        <f t="shared" si="159"/>
        <v>315.5635603</v>
      </c>
      <c r="AC671" s="27">
        <f t="shared" si="160"/>
        <v>166.0860844</v>
      </c>
      <c r="AD671" s="26" t="s">
        <v>60</v>
      </c>
      <c r="AE671" s="53" t="s">
        <v>1180</v>
      </c>
      <c r="AF671" s="178"/>
      <c r="AG671" s="172"/>
      <c r="AH671" s="172"/>
      <c r="AI671" s="172"/>
      <c r="AJ671" s="32"/>
      <c r="AK671" s="32"/>
      <c r="AL671" s="32"/>
      <c r="AM671" s="267"/>
      <c r="AN671" s="267"/>
      <c r="AO671" s="267"/>
      <c r="AP671" s="267"/>
      <c r="AQ671" s="268"/>
    </row>
    <row r="672" ht="15.75" customHeight="1">
      <c r="A672" s="38">
        <v>7425.0</v>
      </c>
      <c r="B672" s="26" t="s">
        <v>1165</v>
      </c>
      <c r="C672" s="26" t="s">
        <v>1174</v>
      </c>
      <c r="D672" s="1" t="s">
        <v>243</v>
      </c>
      <c r="E672" s="26" t="s">
        <v>1181</v>
      </c>
      <c r="F672" s="25">
        <v>2007.0</v>
      </c>
      <c r="G672" s="25">
        <v>2011.0</v>
      </c>
      <c r="H672" s="25">
        <v>0.0</v>
      </c>
      <c r="I672" s="25">
        <v>1.3</v>
      </c>
      <c r="J672" s="50">
        <v>0.0</v>
      </c>
      <c r="K672" s="25">
        <v>0.0</v>
      </c>
      <c r="L672" s="51">
        <v>0.0</v>
      </c>
      <c r="M672" s="51">
        <v>0.0</v>
      </c>
      <c r="N672" s="25">
        <v>1.0</v>
      </c>
      <c r="O672" s="25"/>
      <c r="P672" s="26" t="s">
        <v>74</v>
      </c>
      <c r="Q672" s="52">
        <v>83.0</v>
      </c>
      <c r="R672" s="26" t="s">
        <v>52</v>
      </c>
      <c r="S672" s="25">
        <v>2005.0</v>
      </c>
      <c r="T672" s="25">
        <v>1.25</v>
      </c>
      <c r="U672" s="25">
        <f t="shared" si="153"/>
        <v>103.75</v>
      </c>
      <c r="V672" s="24">
        <f t="shared" si="154"/>
        <v>79.80769231</v>
      </c>
      <c r="W672" s="3">
        <f t="shared" si="155"/>
        <v>0</v>
      </c>
      <c r="X672" s="3">
        <f t="shared" si="156"/>
        <v>0</v>
      </c>
      <c r="Y672" s="3">
        <f t="shared" si="157"/>
        <v>0</v>
      </c>
      <c r="Z672" s="25">
        <f t="shared" si="158"/>
        <v>0</v>
      </c>
      <c r="AA672" s="26">
        <f>VLOOKUP(S672,CPI!$A$2:$F$71,6,0)</f>
        <v>1.649331797</v>
      </c>
      <c r="AB672" s="27">
        <f t="shared" si="159"/>
        <v>171.118174</v>
      </c>
      <c r="AC672" s="27">
        <f t="shared" si="160"/>
        <v>131.6293646</v>
      </c>
      <c r="AD672" s="26" t="s">
        <v>42</v>
      </c>
      <c r="AE672" s="53" t="s">
        <v>1182</v>
      </c>
      <c r="AF672" s="130"/>
      <c r="AG672" s="130"/>
      <c r="AH672" s="130"/>
      <c r="AI672" s="130"/>
      <c r="AJ672" s="33"/>
      <c r="AK672" s="33"/>
      <c r="AL672" s="33"/>
      <c r="AM672" s="268"/>
      <c r="AN672" s="268"/>
      <c r="AO672" s="268"/>
      <c r="AP672" s="268"/>
      <c r="AQ672" s="268"/>
    </row>
    <row r="673" ht="15.75" customHeight="1">
      <c r="A673" s="38">
        <v>7427.0</v>
      </c>
      <c r="B673" s="26" t="s">
        <v>1165</v>
      </c>
      <c r="C673" s="26" t="s">
        <v>1174</v>
      </c>
      <c r="D673" s="1" t="s">
        <v>287</v>
      </c>
      <c r="E673" s="26" t="s">
        <v>1183</v>
      </c>
      <c r="F673" s="25">
        <v>2007.0</v>
      </c>
      <c r="G673" s="25">
        <v>2012.0</v>
      </c>
      <c r="H673" s="25">
        <v>0.0</v>
      </c>
      <c r="I673" s="25">
        <v>1.5</v>
      </c>
      <c r="J673" s="50">
        <v>1.0</v>
      </c>
      <c r="K673" s="25">
        <v>1.5</v>
      </c>
      <c r="L673" s="51">
        <v>0.0</v>
      </c>
      <c r="M673" s="51">
        <v>0.0</v>
      </c>
      <c r="N673" s="25">
        <v>1.0</v>
      </c>
      <c r="O673" s="25"/>
      <c r="P673" s="26" t="s">
        <v>59</v>
      </c>
      <c r="Q673" s="52">
        <v>295.0</v>
      </c>
      <c r="R673" s="26" t="s">
        <v>52</v>
      </c>
      <c r="S673" s="25">
        <v>2009.0</v>
      </c>
      <c r="T673" s="25">
        <v>1.3</v>
      </c>
      <c r="U673" s="25">
        <f t="shared" si="153"/>
        <v>383.5</v>
      </c>
      <c r="V673" s="24">
        <f t="shared" si="154"/>
        <v>255.6666667</v>
      </c>
      <c r="W673" s="3">
        <f t="shared" si="155"/>
        <v>0</v>
      </c>
      <c r="X673" s="3">
        <f t="shared" si="156"/>
        <v>0</v>
      </c>
      <c r="Y673" s="3">
        <f t="shared" si="157"/>
        <v>0</v>
      </c>
      <c r="Z673" s="25">
        <f t="shared" si="158"/>
        <v>0</v>
      </c>
      <c r="AA673" s="26">
        <f>VLOOKUP(S673,CPI!$A$2:$F$71,6,0)</f>
        <v>1.501440311</v>
      </c>
      <c r="AB673" s="27">
        <f t="shared" si="159"/>
        <v>575.8023593</v>
      </c>
      <c r="AC673" s="27">
        <f t="shared" si="160"/>
        <v>383.8682395</v>
      </c>
      <c r="AD673" s="26" t="s">
        <v>60</v>
      </c>
      <c r="AE673" s="53" t="s">
        <v>1184</v>
      </c>
      <c r="AF673" s="130"/>
      <c r="AG673" s="130"/>
      <c r="AH673" s="130"/>
      <c r="AI673" s="130"/>
      <c r="AJ673" s="33"/>
      <c r="AK673" s="33"/>
      <c r="AL673" s="33"/>
      <c r="AM673" s="268"/>
      <c r="AN673" s="268"/>
      <c r="AO673" s="268"/>
      <c r="AP673" s="268"/>
      <c r="AQ673" s="268"/>
    </row>
    <row r="674" ht="15.75" customHeight="1">
      <c r="A674" s="38">
        <v>7424.0</v>
      </c>
      <c r="B674" s="26" t="s">
        <v>1165</v>
      </c>
      <c r="C674" s="26" t="s">
        <v>1174</v>
      </c>
      <c r="D674" s="1" t="s">
        <v>110</v>
      </c>
      <c r="E674" s="26" t="s">
        <v>1185</v>
      </c>
      <c r="F674" s="25">
        <v>2008.0</v>
      </c>
      <c r="G674" s="25">
        <v>2013.0</v>
      </c>
      <c r="H674" s="25">
        <v>0.0</v>
      </c>
      <c r="I674" s="25">
        <v>1.5</v>
      </c>
      <c r="J674" s="50">
        <v>1.0</v>
      </c>
      <c r="K674" s="25">
        <v>1.5</v>
      </c>
      <c r="L674" s="51">
        <v>0.0</v>
      </c>
      <c r="M674" s="51">
        <v>0.0</v>
      </c>
      <c r="N674" s="25">
        <v>1.0</v>
      </c>
      <c r="O674" s="25"/>
      <c r="P674" s="26" t="s">
        <v>42</v>
      </c>
      <c r="Q674" s="52">
        <v>185.3</v>
      </c>
      <c r="R674" s="26" t="s">
        <v>52</v>
      </c>
      <c r="S674" s="25">
        <v>2010.0</v>
      </c>
      <c r="T674" s="25">
        <v>1.3</v>
      </c>
      <c r="U674" s="25">
        <f t="shared" si="153"/>
        <v>240.89</v>
      </c>
      <c r="V674" s="24">
        <f t="shared" si="154"/>
        <v>160.5933333</v>
      </c>
      <c r="W674" s="3">
        <f t="shared" si="155"/>
        <v>0</v>
      </c>
      <c r="X674" s="3">
        <f t="shared" si="156"/>
        <v>0</v>
      </c>
      <c r="Y674" s="3">
        <f t="shared" si="157"/>
        <v>0</v>
      </c>
      <c r="Z674" s="25">
        <f t="shared" si="158"/>
        <v>0</v>
      </c>
      <c r="AA674" s="26">
        <f>VLOOKUP(S674,CPI!$A$2:$F$71,6,0)</f>
        <v>1.477209983</v>
      </c>
      <c r="AB674" s="27">
        <f t="shared" si="159"/>
        <v>355.8451127</v>
      </c>
      <c r="AC674" s="27">
        <f t="shared" si="160"/>
        <v>237.2300752</v>
      </c>
      <c r="AD674" s="26" t="s">
        <v>42</v>
      </c>
      <c r="AE674" s="53" t="s">
        <v>1186</v>
      </c>
      <c r="AF674" s="130"/>
      <c r="AG674" s="130"/>
      <c r="AH674" s="130"/>
      <c r="AI674" s="130"/>
      <c r="AJ674" s="33"/>
      <c r="AK674" s="33"/>
      <c r="AL674" s="33"/>
      <c r="AM674" s="268"/>
      <c r="AN674" s="268"/>
      <c r="AO674" s="268"/>
      <c r="AP674" s="268"/>
      <c r="AQ674" s="268"/>
    </row>
    <row r="675" ht="15.75" customHeight="1">
      <c r="A675" s="38">
        <v>7330.0</v>
      </c>
      <c r="B675" s="26" t="s">
        <v>1165</v>
      </c>
      <c r="C675" s="26" t="s">
        <v>1174</v>
      </c>
      <c r="D675" s="1" t="s">
        <v>287</v>
      </c>
      <c r="E675" s="26" t="s">
        <v>1187</v>
      </c>
      <c r="F675" s="25">
        <v>2012.0</v>
      </c>
      <c r="G675" s="25">
        <v>2021.0</v>
      </c>
      <c r="H675" s="25">
        <v>0.0</v>
      </c>
      <c r="I675" s="25">
        <v>1.7</v>
      </c>
      <c r="J675" s="50">
        <v>1.0</v>
      </c>
      <c r="K675" s="25">
        <v>1.7</v>
      </c>
      <c r="L675" s="51">
        <v>0.0</v>
      </c>
      <c r="M675" s="51">
        <v>0.0</v>
      </c>
      <c r="N675" s="25">
        <v>2.0</v>
      </c>
      <c r="O675" s="25"/>
      <c r="P675" s="26" t="s">
        <v>60</v>
      </c>
      <c r="Q675" s="52">
        <v>175.1</v>
      </c>
      <c r="R675" s="26" t="s">
        <v>52</v>
      </c>
      <c r="S675" s="25">
        <v>2006.0</v>
      </c>
      <c r="T675" s="25">
        <v>1.25</v>
      </c>
      <c r="U675" s="25">
        <f t="shared" si="153"/>
        <v>218.875</v>
      </c>
      <c r="V675" s="24">
        <f t="shared" si="154"/>
        <v>128.75</v>
      </c>
      <c r="W675" s="3">
        <f t="shared" si="155"/>
        <v>0</v>
      </c>
      <c r="X675" s="3">
        <f t="shared" si="156"/>
        <v>0</v>
      </c>
      <c r="Y675" s="3">
        <f t="shared" si="157"/>
        <v>0</v>
      </c>
      <c r="Z675" s="25">
        <f t="shared" si="158"/>
        <v>0</v>
      </c>
      <c r="AA675" s="26">
        <f>VLOOKUP(S675,CPI!$A$2:$F$71,6,0)</f>
        <v>1.597790179</v>
      </c>
      <c r="AB675" s="27">
        <f t="shared" si="159"/>
        <v>349.7163253</v>
      </c>
      <c r="AC675" s="27">
        <f t="shared" si="160"/>
        <v>205.7154855</v>
      </c>
      <c r="AD675" s="26" t="s">
        <v>60</v>
      </c>
      <c r="AE675" s="57" t="s">
        <v>1188</v>
      </c>
      <c r="AF675" s="130"/>
      <c r="AG675" s="130"/>
      <c r="AH675" s="130"/>
      <c r="AI675" s="130"/>
      <c r="AJ675" s="33"/>
      <c r="AK675" s="33"/>
      <c r="AL675" s="33"/>
      <c r="AM675" s="268"/>
      <c r="AN675" s="268"/>
      <c r="AO675" s="268"/>
      <c r="AP675" s="268"/>
      <c r="AQ675" s="268"/>
    </row>
    <row r="676" ht="15.75" customHeight="1">
      <c r="A676" s="38">
        <v>7418.0</v>
      </c>
      <c r="B676" s="26" t="s">
        <v>1165</v>
      </c>
      <c r="C676" s="26" t="s">
        <v>1174</v>
      </c>
      <c r="D676" s="1" t="s">
        <v>110</v>
      </c>
      <c r="E676" s="26" t="s">
        <v>1189</v>
      </c>
      <c r="F676" s="25">
        <v>2014.0</v>
      </c>
      <c r="G676" s="25">
        <v>2021.0</v>
      </c>
      <c r="H676" s="25">
        <v>0.0</v>
      </c>
      <c r="I676" s="25">
        <v>1.8</v>
      </c>
      <c r="J676" s="50">
        <v>1.0</v>
      </c>
      <c r="K676" s="25">
        <v>1.8</v>
      </c>
      <c r="L676" s="51">
        <v>0.0</v>
      </c>
      <c r="M676" s="51">
        <v>0.0</v>
      </c>
      <c r="N676" s="25">
        <v>2.0</v>
      </c>
      <c r="O676" s="25"/>
      <c r="P676" s="26" t="s">
        <v>60</v>
      </c>
      <c r="Q676" s="52">
        <v>380.0</v>
      </c>
      <c r="R676" s="26" t="s">
        <v>52</v>
      </c>
      <c r="S676" s="25">
        <v>2011.0</v>
      </c>
      <c r="T676" s="25">
        <v>1.3</v>
      </c>
      <c r="U676" s="25">
        <f t="shared" si="153"/>
        <v>494</v>
      </c>
      <c r="V676" s="24">
        <f t="shared" si="154"/>
        <v>274.4444444</v>
      </c>
      <c r="W676" s="3">
        <f t="shared" si="155"/>
        <v>0</v>
      </c>
      <c r="X676" s="3">
        <f t="shared" si="156"/>
        <v>0</v>
      </c>
      <c r="Y676" s="3">
        <f t="shared" si="157"/>
        <v>0</v>
      </c>
      <c r="Z676" s="25">
        <f t="shared" si="158"/>
        <v>0</v>
      </c>
      <c r="AA676" s="26">
        <f>VLOOKUP(S676,CPI!$A$2:$F$71,6,0)</f>
        <v>1.432008233</v>
      </c>
      <c r="AB676" s="27">
        <f t="shared" si="159"/>
        <v>707.4120673</v>
      </c>
      <c r="AC676" s="27">
        <f t="shared" si="160"/>
        <v>393.006704</v>
      </c>
      <c r="AD676" s="26" t="s">
        <v>60</v>
      </c>
      <c r="AE676" s="53" t="s">
        <v>1190</v>
      </c>
      <c r="AF676" s="130"/>
      <c r="AG676" s="130"/>
      <c r="AH676" s="130"/>
      <c r="AI676" s="130"/>
      <c r="AJ676" s="33"/>
      <c r="AK676" s="33"/>
      <c r="AL676" s="33"/>
      <c r="AM676" s="268"/>
      <c r="AN676" s="268"/>
      <c r="AO676" s="268"/>
      <c r="AP676" s="268"/>
      <c r="AQ676" s="268"/>
    </row>
    <row r="677" ht="15.75" customHeight="1">
      <c r="A677" s="38">
        <v>7419.0</v>
      </c>
      <c r="B677" s="26" t="s">
        <v>1165</v>
      </c>
      <c r="C677" s="26" t="s">
        <v>1174</v>
      </c>
      <c r="D677" s="1" t="s">
        <v>1191</v>
      </c>
      <c r="E677" s="26" t="s">
        <v>1192</v>
      </c>
      <c r="F677" s="25">
        <v>2018.0</v>
      </c>
      <c r="G677" s="25">
        <v>2022.0</v>
      </c>
      <c r="H677" s="25">
        <v>1.0</v>
      </c>
      <c r="I677" s="25">
        <v>8.0</v>
      </c>
      <c r="J677" s="50">
        <v>1.0</v>
      </c>
      <c r="K677" s="25">
        <v>8.0</v>
      </c>
      <c r="L677" s="51">
        <v>0.0</v>
      </c>
      <c r="M677" s="51">
        <v>0.0</v>
      </c>
      <c r="N677" s="25">
        <v>2.0</v>
      </c>
      <c r="O677" s="25"/>
      <c r="P677" s="26" t="s">
        <v>74</v>
      </c>
      <c r="Q677" s="52">
        <v>1800.0</v>
      </c>
      <c r="R677" s="26" t="s">
        <v>52</v>
      </c>
      <c r="S677" s="25">
        <v>2012.0</v>
      </c>
      <c r="T677" s="25">
        <v>1.3</v>
      </c>
      <c r="U677" s="25">
        <f t="shared" si="153"/>
        <v>2340</v>
      </c>
      <c r="V677" s="24">
        <f t="shared" si="154"/>
        <v>292.5</v>
      </c>
      <c r="W677" s="3">
        <f t="shared" si="155"/>
        <v>0</v>
      </c>
      <c r="X677" s="3">
        <f t="shared" si="156"/>
        <v>0</v>
      </c>
      <c r="Y677" s="3">
        <f t="shared" si="157"/>
        <v>0</v>
      </c>
      <c r="Z677" s="25">
        <f t="shared" si="158"/>
        <v>0</v>
      </c>
      <c r="AA677" s="26">
        <f>VLOOKUP(S677,CPI!$A$2:$F$71,6,0)</f>
        <v>1.402974381</v>
      </c>
      <c r="AB677" s="27">
        <f t="shared" si="159"/>
        <v>3282.960051</v>
      </c>
      <c r="AC677" s="27">
        <f t="shared" si="160"/>
        <v>410.3700064</v>
      </c>
      <c r="AD677" s="26" t="s">
        <v>42</v>
      </c>
      <c r="AE677" s="53" t="s">
        <v>1193</v>
      </c>
      <c r="AF677" s="130"/>
      <c r="AG677" s="130"/>
      <c r="AH677" s="130"/>
      <c r="AI677" s="130"/>
      <c r="AJ677" s="33"/>
      <c r="AK677" s="33"/>
      <c r="AL677" s="33"/>
      <c r="AM677" s="268"/>
      <c r="AN677" s="268"/>
      <c r="AO677" s="268"/>
      <c r="AP677" s="268"/>
      <c r="AQ677" s="268"/>
    </row>
    <row r="678" ht="15.75" customHeight="1">
      <c r="A678" s="38">
        <v>7432.0</v>
      </c>
      <c r="B678" s="26" t="s">
        <v>1165</v>
      </c>
      <c r="C678" s="26" t="s">
        <v>1174</v>
      </c>
      <c r="D678" s="1" t="s">
        <v>292</v>
      </c>
      <c r="E678" s="26" t="s">
        <v>292</v>
      </c>
      <c r="F678" s="25">
        <v>2016.0</v>
      </c>
      <c r="G678" s="58">
        <v>2024.0</v>
      </c>
      <c r="H678" s="25">
        <v>0.0</v>
      </c>
      <c r="I678" s="58">
        <v>6.3</v>
      </c>
      <c r="J678" s="50">
        <v>0.9</v>
      </c>
      <c r="K678" s="58">
        <v>5.7</v>
      </c>
      <c r="L678" s="58">
        <v>0.6</v>
      </c>
      <c r="M678" s="51">
        <v>0.0</v>
      </c>
      <c r="N678" s="25">
        <v>6.0</v>
      </c>
      <c r="O678" s="25"/>
      <c r="P678" s="26" t="s">
        <v>59</v>
      </c>
      <c r="Q678" s="52">
        <v>1084.0</v>
      </c>
      <c r="R678" s="26" t="s">
        <v>52</v>
      </c>
      <c r="S678" s="25">
        <v>2014.0</v>
      </c>
      <c r="T678" s="25">
        <v>1.3</v>
      </c>
      <c r="U678" s="25">
        <f t="shared" si="153"/>
        <v>1409.2</v>
      </c>
      <c r="V678" s="24">
        <f t="shared" si="154"/>
        <v>223.6825397</v>
      </c>
      <c r="W678" s="3">
        <f t="shared" si="155"/>
        <v>0</v>
      </c>
      <c r="X678" s="3">
        <f t="shared" si="156"/>
        <v>0</v>
      </c>
      <c r="Y678" s="3">
        <f t="shared" si="157"/>
        <v>0</v>
      </c>
      <c r="Z678" s="25">
        <f t="shared" si="158"/>
        <v>0</v>
      </c>
      <c r="AA678" s="26">
        <f>VLOOKUP(S678,CPI!$A$2:$F$71,6,0)</f>
        <v>1.360648571</v>
      </c>
      <c r="AB678" s="27">
        <f t="shared" si="159"/>
        <v>1917.425966</v>
      </c>
      <c r="AC678" s="27">
        <f t="shared" si="160"/>
        <v>304.3533279</v>
      </c>
      <c r="AD678" s="26" t="s">
        <v>60</v>
      </c>
      <c r="AE678" s="53" t="s">
        <v>1194</v>
      </c>
      <c r="AF678" s="130"/>
      <c r="AG678" s="130"/>
      <c r="AH678" s="130"/>
      <c r="AI678" s="130"/>
      <c r="AJ678" s="33"/>
      <c r="AK678" s="33"/>
      <c r="AL678" s="33"/>
      <c r="AM678" s="268"/>
      <c r="AN678" s="268"/>
      <c r="AO678" s="268"/>
      <c r="AP678" s="268"/>
      <c r="AQ678" s="268"/>
    </row>
    <row r="679" ht="15.75" customHeight="1">
      <c r="A679" s="38">
        <v>7240.0</v>
      </c>
      <c r="B679" s="26" t="s">
        <v>1165</v>
      </c>
      <c r="C679" s="26" t="s">
        <v>1174</v>
      </c>
      <c r="D679" s="26" t="s">
        <v>1195</v>
      </c>
      <c r="E679" s="26" t="s">
        <v>1195</v>
      </c>
      <c r="F679" s="25">
        <v>2017.0</v>
      </c>
      <c r="G679" s="25">
        <v>2030.0</v>
      </c>
      <c r="H679" s="25">
        <v>0.0</v>
      </c>
      <c r="I679" s="25">
        <v>200.0</v>
      </c>
      <c r="J679" s="50">
        <v>0.8</v>
      </c>
      <c r="K679" s="25">
        <v>160.0</v>
      </c>
      <c r="L679" s="51">
        <v>0.0</v>
      </c>
      <c r="M679" s="51">
        <v>0.0</v>
      </c>
      <c r="N679" s="25">
        <v>68.0</v>
      </c>
      <c r="O679" s="25"/>
      <c r="P679" s="26" t="s">
        <v>74</v>
      </c>
      <c r="Q679" s="55">
        <v>36100.0</v>
      </c>
      <c r="R679" s="26" t="s">
        <v>52</v>
      </c>
      <c r="S679" s="25">
        <v>2012.0</v>
      </c>
      <c r="T679" s="25">
        <v>1.3</v>
      </c>
      <c r="U679" s="25">
        <f t="shared" si="153"/>
        <v>46930</v>
      </c>
      <c r="V679" s="24">
        <f t="shared" si="154"/>
        <v>234.65</v>
      </c>
      <c r="W679" s="3">
        <f t="shared" si="155"/>
        <v>0</v>
      </c>
      <c r="X679" s="3">
        <f t="shared" si="156"/>
        <v>0</v>
      </c>
      <c r="Y679" s="3">
        <f t="shared" si="157"/>
        <v>0</v>
      </c>
      <c r="Z679" s="25">
        <f t="shared" si="158"/>
        <v>0</v>
      </c>
      <c r="AA679" s="26">
        <f>VLOOKUP(S679,CPI!$A$2:$F$71,6,0)</f>
        <v>1.402974381</v>
      </c>
      <c r="AB679" s="27">
        <f t="shared" si="159"/>
        <v>65841.58769</v>
      </c>
      <c r="AC679" s="27">
        <f t="shared" si="160"/>
        <v>329.2079385</v>
      </c>
      <c r="AD679" s="26" t="s">
        <v>60</v>
      </c>
      <c r="AE679" s="88" t="s">
        <v>1196</v>
      </c>
      <c r="AF679" s="130"/>
      <c r="AG679" s="130"/>
      <c r="AH679" s="130"/>
      <c r="AI679" s="130"/>
      <c r="AJ679" s="33"/>
      <c r="AK679" s="33"/>
      <c r="AL679" s="33"/>
      <c r="AM679" s="33"/>
      <c r="AN679" s="33"/>
      <c r="AO679" s="33"/>
      <c r="AP679" s="33"/>
      <c r="AQ679" s="33"/>
    </row>
    <row r="680" ht="15.75" customHeight="1">
      <c r="A680" s="38">
        <v>7331.0</v>
      </c>
      <c r="B680" s="26" t="s">
        <v>1165</v>
      </c>
      <c r="C680" s="26" t="s">
        <v>1174</v>
      </c>
      <c r="D680" s="1" t="s">
        <v>57</v>
      </c>
      <c r="E680" s="26" t="s">
        <v>58</v>
      </c>
      <c r="F680" s="25">
        <v>2021.0</v>
      </c>
      <c r="G680" s="25">
        <v>2030.0</v>
      </c>
      <c r="H680" s="25">
        <v>0.0</v>
      </c>
      <c r="I680" s="25">
        <v>4.9</v>
      </c>
      <c r="J680" s="50">
        <v>1.0</v>
      </c>
      <c r="K680" s="25">
        <v>4.9</v>
      </c>
      <c r="L680" s="51">
        <v>0.0</v>
      </c>
      <c r="M680" s="51">
        <v>0.0</v>
      </c>
      <c r="N680" s="25">
        <v>3.0</v>
      </c>
      <c r="O680" s="25"/>
      <c r="P680" s="26" t="s">
        <v>60</v>
      </c>
      <c r="Q680" s="52">
        <v>1385.0</v>
      </c>
      <c r="R680" s="26" t="s">
        <v>52</v>
      </c>
      <c r="S680" s="25">
        <v>2017.0</v>
      </c>
      <c r="T680" s="25">
        <v>1.3</v>
      </c>
      <c r="U680" s="25">
        <f t="shared" si="153"/>
        <v>1800.5</v>
      </c>
      <c r="V680" s="24">
        <f t="shared" si="154"/>
        <v>367.4489796</v>
      </c>
      <c r="W680" s="3">
        <f t="shared" si="155"/>
        <v>0</v>
      </c>
      <c r="X680" s="3">
        <f t="shared" si="156"/>
        <v>0</v>
      </c>
      <c r="Y680" s="3">
        <f t="shared" si="157"/>
        <v>0</v>
      </c>
      <c r="Z680" s="25">
        <f t="shared" si="158"/>
        <v>0</v>
      </c>
      <c r="AA680" s="26">
        <f>VLOOKUP(S680,CPI!$A$2:$F$71,6,0)</f>
        <v>1.314109416</v>
      </c>
      <c r="AB680" s="27">
        <f t="shared" si="159"/>
        <v>2366.054003</v>
      </c>
      <c r="AC680" s="27">
        <f t="shared" si="160"/>
        <v>482.8681639</v>
      </c>
      <c r="AD680" s="26" t="s">
        <v>42</v>
      </c>
      <c r="AE680" s="53" t="s">
        <v>1197</v>
      </c>
      <c r="AF680" s="130"/>
      <c r="AG680" s="130"/>
      <c r="AH680" s="130"/>
      <c r="AI680" s="130"/>
      <c r="AJ680" s="33"/>
      <c r="AK680" s="33"/>
      <c r="AL680" s="33"/>
      <c r="AM680" s="33"/>
      <c r="AN680" s="33"/>
      <c r="AO680" s="33"/>
      <c r="AP680" s="33"/>
      <c r="AQ680" s="33"/>
    </row>
    <row r="681" ht="15.75" customHeight="1">
      <c r="A681" s="61">
        <v>9770.0</v>
      </c>
      <c r="B681" s="26" t="s">
        <v>1165</v>
      </c>
      <c r="C681" s="26" t="s">
        <v>1198</v>
      </c>
      <c r="D681" s="26" t="s">
        <v>1169</v>
      </c>
      <c r="E681" s="26" t="s">
        <v>1169</v>
      </c>
      <c r="F681" s="25">
        <v>2014.0</v>
      </c>
      <c r="G681" s="25">
        <v>2021.0</v>
      </c>
      <c r="H681" s="25">
        <v>0.0</v>
      </c>
      <c r="I681" s="25">
        <v>14.0</v>
      </c>
      <c r="J681" s="50">
        <v>0.79</v>
      </c>
      <c r="K681" s="25">
        <v>11.0</v>
      </c>
      <c r="L681" s="51">
        <v>0.0</v>
      </c>
      <c r="M681" s="51">
        <v>0.0</v>
      </c>
      <c r="N681" s="25">
        <v>15.0</v>
      </c>
      <c r="O681" s="25"/>
      <c r="P681" s="26" t="s">
        <v>36</v>
      </c>
      <c r="Q681" s="52">
        <v>1342.0</v>
      </c>
      <c r="R681" s="26" t="s">
        <v>52</v>
      </c>
      <c r="S681" s="25">
        <v>2020.0</v>
      </c>
      <c r="T681" s="25">
        <v>1.3</v>
      </c>
      <c r="U681" s="25">
        <f t="shared" si="153"/>
        <v>1744.6</v>
      </c>
      <c r="V681" s="24">
        <f t="shared" si="154"/>
        <v>124.6142857</v>
      </c>
      <c r="W681" s="3">
        <f t="shared" si="155"/>
        <v>0</v>
      </c>
      <c r="X681" s="3">
        <f t="shared" si="156"/>
        <v>0</v>
      </c>
      <c r="Y681" s="3">
        <f t="shared" si="157"/>
        <v>0</v>
      </c>
      <c r="Z681" s="25">
        <f t="shared" si="158"/>
        <v>0</v>
      </c>
      <c r="AA681" s="26">
        <f>VLOOKUP(S681,CPI!$A$2:$F$71,6,0)</f>
        <v>1.244593545</v>
      </c>
      <c r="AB681" s="27">
        <f t="shared" si="159"/>
        <v>2171.317899</v>
      </c>
      <c r="AC681" s="27">
        <f t="shared" si="160"/>
        <v>155.0941356</v>
      </c>
      <c r="AD681" s="26" t="s">
        <v>60</v>
      </c>
      <c r="AE681" s="53" t="s">
        <v>1199</v>
      </c>
      <c r="AF681" s="130"/>
      <c r="AG681" s="130"/>
      <c r="AH681" s="130"/>
      <c r="AI681" s="130"/>
      <c r="AJ681" s="33"/>
      <c r="AK681" s="33"/>
      <c r="AL681" s="33"/>
      <c r="AM681" s="33"/>
      <c r="AN681" s="33"/>
      <c r="AO681" s="33"/>
      <c r="AP681" s="33"/>
      <c r="AQ681" s="33"/>
    </row>
    <row r="682" ht="15.75" customHeight="1">
      <c r="A682" s="38">
        <v>7203.0</v>
      </c>
      <c r="B682" s="26" t="s">
        <v>1165</v>
      </c>
      <c r="C682" s="26" t="s">
        <v>1200</v>
      </c>
      <c r="D682" s="16" t="s">
        <v>87</v>
      </c>
      <c r="E682" s="26" t="s">
        <v>87</v>
      </c>
      <c r="F682" s="25">
        <v>2021.0</v>
      </c>
      <c r="G682" s="25">
        <v>2025.0</v>
      </c>
      <c r="H682" s="25">
        <v>0.0</v>
      </c>
      <c r="I682" s="25">
        <v>27.0</v>
      </c>
      <c r="J682" s="50">
        <v>0.6</v>
      </c>
      <c r="K682" s="25">
        <v>16.2</v>
      </c>
      <c r="L682" s="51">
        <v>0.0</v>
      </c>
      <c r="M682" s="51">
        <v>0.0</v>
      </c>
      <c r="N682" s="25">
        <v>21.0</v>
      </c>
      <c r="O682" s="25"/>
      <c r="P682" s="26" t="s">
        <v>60</v>
      </c>
      <c r="Q682" s="52">
        <v>2670.0</v>
      </c>
      <c r="R682" s="26" t="s">
        <v>52</v>
      </c>
      <c r="S682" s="25">
        <v>2016.0</v>
      </c>
      <c r="T682" s="25">
        <v>1.3</v>
      </c>
      <c r="U682" s="25">
        <f t="shared" si="153"/>
        <v>3471</v>
      </c>
      <c r="V682" s="24">
        <f t="shared" si="154"/>
        <v>128.5555556</v>
      </c>
      <c r="W682" s="3">
        <f t="shared" si="155"/>
        <v>0</v>
      </c>
      <c r="X682" s="3">
        <f t="shared" si="156"/>
        <v>0</v>
      </c>
      <c r="Y682" s="3">
        <f t="shared" si="157"/>
        <v>0</v>
      </c>
      <c r="Z682" s="25">
        <f t="shared" si="158"/>
        <v>0</v>
      </c>
      <c r="AA682" s="26">
        <f>VLOOKUP(S682,CPI!$A$2:$F$71,6,0)</f>
        <v>1.342104605</v>
      </c>
      <c r="AB682" s="27">
        <f t="shared" si="159"/>
        <v>4658.445085</v>
      </c>
      <c r="AC682" s="27">
        <f t="shared" si="160"/>
        <v>172.5350031</v>
      </c>
      <c r="AD682" s="26" t="s">
        <v>60</v>
      </c>
      <c r="AE682" s="53" t="s">
        <v>1201</v>
      </c>
      <c r="AF682" s="130"/>
      <c r="AG682" s="130"/>
      <c r="AH682" s="130"/>
      <c r="AI682" s="130"/>
      <c r="AJ682" s="33"/>
      <c r="AK682" s="33"/>
      <c r="AL682" s="33"/>
      <c r="AM682" s="33"/>
      <c r="AN682" s="33"/>
      <c r="AO682" s="33"/>
      <c r="AP682" s="33"/>
      <c r="AQ682" s="33"/>
    </row>
    <row r="683" ht="15.75" customHeight="1">
      <c r="A683" s="38">
        <v>7314.0</v>
      </c>
      <c r="B683" s="26" t="s">
        <v>1202</v>
      </c>
      <c r="C683" s="26" t="s">
        <v>1203</v>
      </c>
      <c r="D683" s="1" t="s">
        <v>87</v>
      </c>
      <c r="E683" s="26" t="s">
        <v>1204</v>
      </c>
      <c r="F683" s="25">
        <v>2012.0</v>
      </c>
      <c r="G683" s="25">
        <v>2021.0</v>
      </c>
      <c r="H683" s="25">
        <v>0.0</v>
      </c>
      <c r="I683" s="25">
        <v>7.6</v>
      </c>
      <c r="J683" s="50">
        <v>1.0</v>
      </c>
      <c r="K683" s="25">
        <v>7.6</v>
      </c>
      <c r="L683" s="51">
        <v>0.0</v>
      </c>
      <c r="M683" s="51">
        <v>0.0</v>
      </c>
      <c r="N683" s="25">
        <v>6.0</v>
      </c>
      <c r="O683" s="25"/>
      <c r="P683" s="26" t="s">
        <v>60</v>
      </c>
      <c r="Q683" s="52">
        <v>742.0</v>
      </c>
      <c r="R683" s="26" t="s">
        <v>52</v>
      </c>
      <c r="S683" s="25">
        <v>2016.0</v>
      </c>
      <c r="T683" s="25">
        <v>1.3</v>
      </c>
      <c r="U683" s="25">
        <f t="shared" si="153"/>
        <v>964.6</v>
      </c>
      <c r="V683" s="24">
        <f t="shared" si="154"/>
        <v>126.9210526</v>
      </c>
      <c r="W683" s="3">
        <f t="shared" si="155"/>
        <v>1</v>
      </c>
      <c r="X683" s="3">
        <f t="shared" si="156"/>
        <v>7.6</v>
      </c>
      <c r="Y683" s="3">
        <f t="shared" si="157"/>
        <v>7.6</v>
      </c>
      <c r="Z683" s="25">
        <f t="shared" si="158"/>
        <v>0</v>
      </c>
      <c r="AA683" s="26">
        <f>VLOOKUP(S683,CPI!$A$2:$F$71,6,0)</f>
        <v>1.342104605</v>
      </c>
      <c r="AB683" s="27">
        <f t="shared" si="159"/>
        <v>1294.594102</v>
      </c>
      <c r="AC683" s="27">
        <f t="shared" si="160"/>
        <v>170.3413292</v>
      </c>
      <c r="AD683" s="26" t="s">
        <v>60</v>
      </c>
      <c r="AE683" s="57" t="s">
        <v>1205</v>
      </c>
      <c r="AF683" s="130"/>
      <c r="AG683" s="130"/>
      <c r="AH683" s="130"/>
      <c r="AI683" s="130"/>
      <c r="AJ683" s="33"/>
      <c r="AK683" s="33"/>
      <c r="AL683" s="33"/>
      <c r="AM683" s="268"/>
      <c r="AN683" s="268"/>
      <c r="AO683" s="268"/>
      <c r="AP683" s="268"/>
      <c r="AQ683" s="268"/>
    </row>
    <row r="684" ht="15.75" customHeight="1">
      <c r="A684" s="38">
        <v>7313.0</v>
      </c>
      <c r="B684" s="26" t="s">
        <v>1202</v>
      </c>
      <c r="C684" s="26" t="s">
        <v>1203</v>
      </c>
      <c r="D684" s="26" t="s">
        <v>110</v>
      </c>
      <c r="E684" s="26" t="s">
        <v>110</v>
      </c>
      <c r="F684" s="25">
        <v>2019.0</v>
      </c>
      <c r="G684" s="25">
        <v>2027.0</v>
      </c>
      <c r="H684" s="25">
        <v>0.0</v>
      </c>
      <c r="I684" s="25">
        <v>12.8</v>
      </c>
      <c r="J684" s="50">
        <v>1.0</v>
      </c>
      <c r="K684" s="25">
        <v>12.8</v>
      </c>
      <c r="L684" s="51">
        <v>0.0</v>
      </c>
      <c r="M684" s="51">
        <v>0.0</v>
      </c>
      <c r="N684" s="25">
        <v>15.0</v>
      </c>
      <c r="O684" s="25"/>
      <c r="P684" s="26" t="s">
        <v>60</v>
      </c>
      <c r="Q684" s="52">
        <v>1328.0</v>
      </c>
      <c r="R684" s="26" t="s">
        <v>52</v>
      </c>
      <c r="S684" s="25">
        <v>2023.0</v>
      </c>
      <c r="T684" s="25">
        <v>1.3</v>
      </c>
      <c r="U684" s="25">
        <f t="shared" si="153"/>
        <v>1726.4</v>
      </c>
      <c r="V684" s="24">
        <f t="shared" si="154"/>
        <v>134.875</v>
      </c>
      <c r="W684" s="3">
        <f t="shared" si="155"/>
        <v>1</v>
      </c>
      <c r="X684" s="3">
        <f t="shared" si="156"/>
        <v>12.8</v>
      </c>
      <c r="Y684" s="3">
        <f t="shared" si="157"/>
        <v>12.8</v>
      </c>
      <c r="Z684" s="25">
        <f t="shared" si="158"/>
        <v>0</v>
      </c>
      <c r="AA684" s="26">
        <f>VLOOKUP(S684,CPI!$A$2:$F$71,6,0)</f>
        <v>1.057145998</v>
      </c>
      <c r="AB684" s="27">
        <f t="shared" si="159"/>
        <v>1825.056852</v>
      </c>
      <c r="AC684" s="27">
        <f t="shared" si="160"/>
        <v>142.5825665</v>
      </c>
      <c r="AD684" s="26" t="s">
        <v>60</v>
      </c>
      <c r="AE684" s="53" t="s">
        <v>1206</v>
      </c>
      <c r="AF684" s="130"/>
      <c r="AG684" s="130"/>
      <c r="AH684" s="130"/>
      <c r="AI684" s="130"/>
      <c r="AJ684" s="33"/>
      <c r="AK684" s="33"/>
      <c r="AL684" s="33"/>
      <c r="AM684" s="268"/>
      <c r="AN684" s="268"/>
      <c r="AO684" s="268"/>
      <c r="AP684" s="268"/>
      <c r="AQ684" s="268"/>
    </row>
    <row r="685" ht="15.75" customHeight="1">
      <c r="A685" s="38">
        <v>7315.0</v>
      </c>
      <c r="B685" s="2" t="s">
        <v>1202</v>
      </c>
      <c r="C685" s="2" t="s">
        <v>1207</v>
      </c>
      <c r="D685" s="2" t="s">
        <v>1208</v>
      </c>
      <c r="E685" s="2" t="s">
        <v>1208</v>
      </c>
      <c r="F685" s="3">
        <v>2006.0</v>
      </c>
      <c r="G685" s="3">
        <v>2020.0</v>
      </c>
      <c r="H685" s="3">
        <v>0.0</v>
      </c>
      <c r="I685" s="3">
        <v>9.5</v>
      </c>
      <c r="J685" s="39">
        <v>1.0</v>
      </c>
      <c r="K685" s="3">
        <v>9.5</v>
      </c>
      <c r="L685" s="40">
        <v>0.0</v>
      </c>
      <c r="M685" s="40">
        <v>0.0</v>
      </c>
      <c r="N685" s="3">
        <v>13.0</v>
      </c>
      <c r="O685" s="85">
        <v>51.0</v>
      </c>
      <c r="P685" s="2" t="s">
        <v>60</v>
      </c>
      <c r="Q685" s="41">
        <v>1112.0</v>
      </c>
      <c r="R685" s="2" t="s">
        <v>52</v>
      </c>
      <c r="S685" s="3">
        <v>2014.0</v>
      </c>
      <c r="T685" s="3">
        <v>1.3</v>
      </c>
      <c r="U685" s="3">
        <f t="shared" si="153"/>
        <v>1445.6</v>
      </c>
      <c r="V685" s="24">
        <f t="shared" si="154"/>
        <v>152.1684211</v>
      </c>
      <c r="W685" s="3">
        <f t="shared" si="155"/>
        <v>1</v>
      </c>
      <c r="X685" s="3">
        <f t="shared" si="156"/>
        <v>9.5</v>
      </c>
      <c r="Y685" s="3">
        <f t="shared" si="157"/>
        <v>9.5</v>
      </c>
      <c r="Z685" s="25">
        <f t="shared" si="158"/>
        <v>0</v>
      </c>
      <c r="AA685" s="26">
        <f>VLOOKUP(S685,CPI!$A$2:$F$71,6,0)</f>
        <v>1.360648571</v>
      </c>
      <c r="AB685" s="27">
        <f t="shared" si="159"/>
        <v>1966.953574</v>
      </c>
      <c r="AC685" s="27">
        <f t="shared" si="160"/>
        <v>207.0477446</v>
      </c>
      <c r="AD685" s="2" t="s">
        <v>60</v>
      </c>
      <c r="AE685" s="42" t="s">
        <v>1209</v>
      </c>
      <c r="AF685" s="130"/>
      <c r="AG685" s="130"/>
      <c r="AH685" s="130"/>
      <c r="AI685" s="130"/>
      <c r="AJ685" s="33"/>
      <c r="AK685" s="33"/>
      <c r="AL685" s="33"/>
      <c r="AM685" s="268"/>
      <c r="AN685" s="268"/>
      <c r="AO685" s="268"/>
      <c r="AP685" s="268"/>
      <c r="AQ685" s="268"/>
    </row>
    <row r="686" ht="15.75" customHeight="1">
      <c r="A686" s="38">
        <v>7320.0</v>
      </c>
      <c r="B686" s="2" t="s">
        <v>1202</v>
      </c>
      <c r="C686" s="2" t="s">
        <v>1207</v>
      </c>
      <c r="D686" s="2" t="s">
        <v>1210</v>
      </c>
      <c r="E686" s="2" t="s">
        <v>1210</v>
      </c>
      <c r="F686" s="3">
        <v>2013.0</v>
      </c>
      <c r="G686" s="3">
        <v>2021.0</v>
      </c>
      <c r="H686" s="3">
        <v>0.0</v>
      </c>
      <c r="I686" s="3">
        <v>4.8</v>
      </c>
      <c r="J686" s="39">
        <v>1.0</v>
      </c>
      <c r="K686" s="3">
        <v>4.8</v>
      </c>
      <c r="L686" s="40">
        <v>0.0</v>
      </c>
      <c r="M686" s="40">
        <v>0.0</v>
      </c>
      <c r="N686" s="3">
        <v>5.0</v>
      </c>
      <c r="O686" s="85">
        <v>51.0</v>
      </c>
      <c r="P686" s="2" t="s">
        <v>60</v>
      </c>
      <c r="Q686" s="41">
        <v>567.0</v>
      </c>
      <c r="R686" s="2" t="s">
        <v>52</v>
      </c>
      <c r="S686" s="3">
        <v>2017.0</v>
      </c>
      <c r="T686" s="3">
        <v>1.3</v>
      </c>
      <c r="U686" s="3">
        <f t="shared" si="153"/>
        <v>737.1</v>
      </c>
      <c r="V686" s="24">
        <f t="shared" si="154"/>
        <v>153.5625</v>
      </c>
      <c r="W686" s="3">
        <f t="shared" si="155"/>
        <v>1</v>
      </c>
      <c r="X686" s="3">
        <f t="shared" si="156"/>
        <v>4.8</v>
      </c>
      <c r="Y686" s="3">
        <f t="shared" si="157"/>
        <v>4.8</v>
      </c>
      <c r="Z686" s="25">
        <f t="shared" si="158"/>
        <v>0</v>
      </c>
      <c r="AA686" s="26">
        <f>VLOOKUP(S686,CPI!$A$2:$F$71,6,0)</f>
        <v>1.314109416</v>
      </c>
      <c r="AB686" s="27">
        <f t="shared" si="159"/>
        <v>968.6300504</v>
      </c>
      <c r="AC686" s="27">
        <f t="shared" si="160"/>
        <v>201.7979272</v>
      </c>
      <c r="AD686" s="2" t="s">
        <v>60</v>
      </c>
      <c r="AE686" s="42" t="s">
        <v>1205</v>
      </c>
      <c r="AF686" s="130"/>
      <c r="AG686" s="130"/>
      <c r="AH686" s="130"/>
      <c r="AI686" s="130"/>
      <c r="AJ686" s="33"/>
      <c r="AK686" s="33"/>
      <c r="AL686" s="33"/>
      <c r="AM686" s="33"/>
      <c r="AN686" s="33"/>
      <c r="AO686" s="33"/>
      <c r="AP686" s="33"/>
      <c r="AQ686" s="33"/>
    </row>
    <row r="687" ht="15.75" customHeight="1">
      <c r="A687" s="61">
        <v>9781.0</v>
      </c>
      <c r="B687" s="44" t="s">
        <v>1211</v>
      </c>
      <c r="C687" s="44" t="s">
        <v>1212</v>
      </c>
      <c r="D687" s="44" t="s">
        <v>1213</v>
      </c>
      <c r="E687" s="44" t="s">
        <v>1213</v>
      </c>
      <c r="F687" s="271">
        <v>1975.0</v>
      </c>
      <c r="G687" s="271">
        <v>1980.0</v>
      </c>
      <c r="H687" s="271">
        <v>0.0</v>
      </c>
      <c r="I687" s="271">
        <v>15.6</v>
      </c>
      <c r="J687" s="272">
        <v>0.821</v>
      </c>
      <c r="K687" s="271">
        <v>12.8</v>
      </c>
      <c r="L687" s="271">
        <v>2.8</v>
      </c>
      <c r="M687" s="271">
        <v>0.0</v>
      </c>
      <c r="N687" s="271">
        <v>15.0</v>
      </c>
      <c r="O687" s="271">
        <v>200.0</v>
      </c>
      <c r="P687" s="44" t="s">
        <v>60</v>
      </c>
      <c r="Q687" s="273">
        <v>5637.0</v>
      </c>
      <c r="R687" s="44" t="s">
        <v>1214</v>
      </c>
      <c r="S687" s="271">
        <v>1977.0</v>
      </c>
      <c r="T687" s="271">
        <v>0.9157</v>
      </c>
      <c r="U687" s="45">
        <f t="shared" si="153"/>
        <v>5161.8009</v>
      </c>
      <c r="V687" s="24">
        <f t="shared" si="154"/>
        <v>330.8846731</v>
      </c>
      <c r="W687" s="3">
        <f t="shared" si="155"/>
        <v>0</v>
      </c>
      <c r="X687" s="3">
        <f t="shared" si="156"/>
        <v>0</v>
      </c>
      <c r="Y687" s="3">
        <f t="shared" si="157"/>
        <v>0</v>
      </c>
      <c r="Z687" s="25">
        <f t="shared" si="158"/>
        <v>0</v>
      </c>
      <c r="AA687" s="26">
        <f>VLOOKUP(S687,CPI!$A$2:$F$71,6,0)</f>
        <v>5.315420792</v>
      </c>
      <c r="AB687" s="27">
        <f t="shared" si="159"/>
        <v>27437.14383</v>
      </c>
      <c r="AC687" s="27">
        <f t="shared" si="160"/>
        <v>1758.791271</v>
      </c>
      <c r="AD687" s="44" t="s">
        <v>60</v>
      </c>
      <c r="AE687" s="274" t="s">
        <v>1215</v>
      </c>
      <c r="AF687" s="275"/>
      <c r="AG687" s="275"/>
      <c r="AH687" s="275"/>
      <c r="AI687" s="275"/>
      <c r="AJ687" s="268"/>
      <c r="AK687" s="268"/>
      <c r="AL687" s="268"/>
      <c r="AM687" s="33"/>
      <c r="AN687" s="33"/>
      <c r="AO687" s="33"/>
      <c r="AP687" s="33"/>
      <c r="AQ687" s="33"/>
    </row>
    <row r="688" ht="15.75" customHeight="1">
      <c r="A688" s="61">
        <v>9782.0</v>
      </c>
      <c r="B688" s="44" t="s">
        <v>1211</v>
      </c>
      <c r="C688" s="44" t="s">
        <v>1212</v>
      </c>
      <c r="D688" s="44" t="s">
        <v>1216</v>
      </c>
      <c r="E688" s="44" t="s">
        <v>1217</v>
      </c>
      <c r="F688" s="271">
        <v>1978.0</v>
      </c>
      <c r="G688" s="271">
        <v>1982.0</v>
      </c>
      <c r="H688" s="271">
        <v>0.0</v>
      </c>
      <c r="I688" s="271">
        <v>10.5</v>
      </c>
      <c r="J688" s="272">
        <v>0.8</v>
      </c>
      <c r="K688" s="271">
        <v>8.4</v>
      </c>
      <c r="L688" s="271">
        <v>2.0</v>
      </c>
      <c r="M688" s="271">
        <v>0.1</v>
      </c>
      <c r="N688" s="271">
        <v>10.0</v>
      </c>
      <c r="O688" s="271">
        <v>200.0</v>
      </c>
      <c r="P688" s="44" t="s">
        <v>60</v>
      </c>
      <c r="Q688" s="273">
        <v>3900.0</v>
      </c>
      <c r="R688" s="44" t="s">
        <v>1214</v>
      </c>
      <c r="S688" s="271">
        <v>1980.0</v>
      </c>
      <c r="T688" s="271">
        <v>0.6209</v>
      </c>
      <c r="U688" s="45">
        <f t="shared" si="153"/>
        <v>2421.51</v>
      </c>
      <c r="V688" s="24">
        <f t="shared" si="154"/>
        <v>230.62</v>
      </c>
      <c r="W688" s="3">
        <f t="shared" si="155"/>
        <v>0</v>
      </c>
      <c r="X688" s="3">
        <f t="shared" si="156"/>
        <v>0</v>
      </c>
      <c r="Y688" s="3">
        <f t="shared" si="157"/>
        <v>0</v>
      </c>
      <c r="Z688" s="25">
        <f t="shared" si="158"/>
        <v>0</v>
      </c>
      <c r="AA688" s="26">
        <f>VLOOKUP(S688,CPI!$A$2:$F$71,6,0)</f>
        <v>3.909156553</v>
      </c>
      <c r="AB688" s="27">
        <f t="shared" si="159"/>
        <v>9466.061686</v>
      </c>
      <c r="AC688" s="27">
        <f t="shared" si="160"/>
        <v>901.5296843</v>
      </c>
      <c r="AD688" s="44" t="s">
        <v>60</v>
      </c>
      <c r="AE688" s="274" t="s">
        <v>1218</v>
      </c>
      <c r="AF688" s="275"/>
      <c r="AG688" s="275"/>
      <c r="AH688" s="275"/>
      <c r="AI688" s="275"/>
      <c r="AJ688" s="268"/>
      <c r="AK688" s="268"/>
      <c r="AL688" s="268"/>
      <c r="AM688" s="33"/>
      <c r="AN688" s="33"/>
      <c r="AO688" s="33"/>
      <c r="AP688" s="33"/>
      <c r="AQ688" s="33"/>
    </row>
    <row r="689" ht="15.75" customHeight="1">
      <c r="A689" s="61">
        <v>9783.0</v>
      </c>
      <c r="B689" s="44" t="s">
        <v>1211</v>
      </c>
      <c r="C689" s="44" t="s">
        <v>1212</v>
      </c>
      <c r="D689" s="44" t="s">
        <v>1219</v>
      </c>
      <c r="E689" s="44" t="s">
        <v>1219</v>
      </c>
      <c r="F689" s="271">
        <v>1981.0</v>
      </c>
      <c r="G689" s="271">
        <v>1986.0</v>
      </c>
      <c r="H689" s="271">
        <v>0.0</v>
      </c>
      <c r="I689" s="271">
        <v>12.5</v>
      </c>
      <c r="J689" s="272">
        <v>0.84</v>
      </c>
      <c r="K689" s="271">
        <v>10.5</v>
      </c>
      <c r="L689" s="271">
        <v>2.0</v>
      </c>
      <c r="M689" s="271">
        <v>0.0</v>
      </c>
      <c r="N689" s="271">
        <v>14.0</v>
      </c>
      <c r="O689" s="271">
        <v>200.0</v>
      </c>
      <c r="P689" s="44" t="s">
        <v>60</v>
      </c>
      <c r="Q689" s="273">
        <v>8748.0</v>
      </c>
      <c r="R689" s="44" t="s">
        <v>1214</v>
      </c>
      <c r="S689" s="271">
        <v>1983.0</v>
      </c>
      <c r="T689" s="271">
        <v>0.4907</v>
      </c>
      <c r="U689" s="45">
        <f t="shared" si="153"/>
        <v>4292.6436</v>
      </c>
      <c r="V689" s="24">
        <f t="shared" si="154"/>
        <v>343.411488</v>
      </c>
      <c r="W689" s="3">
        <f t="shared" si="155"/>
        <v>0</v>
      </c>
      <c r="X689" s="3">
        <f t="shared" si="156"/>
        <v>0</v>
      </c>
      <c r="Y689" s="3">
        <f t="shared" si="157"/>
        <v>0</v>
      </c>
      <c r="Z689" s="25">
        <f t="shared" si="158"/>
        <v>0</v>
      </c>
      <c r="AA689" s="26">
        <f>VLOOKUP(S689,CPI!$A$2:$F$71,6,0)</f>
        <v>3.234081325</v>
      </c>
      <c r="AB689" s="27">
        <f t="shared" si="159"/>
        <v>13882.7585</v>
      </c>
      <c r="AC689" s="27">
        <f t="shared" si="160"/>
        <v>1110.62068</v>
      </c>
      <c r="AD689" s="44" t="s">
        <v>60</v>
      </c>
      <c r="AE689" s="274" t="s">
        <v>1220</v>
      </c>
      <c r="AF689" s="275"/>
      <c r="AG689" s="275"/>
      <c r="AH689" s="275"/>
      <c r="AI689" s="275"/>
      <c r="AJ689" s="268"/>
      <c r="AK689" s="268"/>
      <c r="AL689" s="268"/>
      <c r="AM689" s="33"/>
      <c r="AN689" s="33"/>
      <c r="AO689" s="33"/>
      <c r="AP689" s="33"/>
      <c r="AQ689" s="33"/>
    </row>
    <row r="690" ht="15.75" customHeight="1">
      <c r="A690" s="61">
        <v>9784.0</v>
      </c>
      <c r="B690" s="44" t="s">
        <v>1211</v>
      </c>
      <c r="C690" s="44" t="s">
        <v>1212</v>
      </c>
      <c r="D690" s="44" t="s">
        <v>1221</v>
      </c>
      <c r="E690" s="44" t="s">
        <v>1221</v>
      </c>
      <c r="F690" s="271">
        <v>1986.0</v>
      </c>
      <c r="G690" s="271">
        <v>1989.0</v>
      </c>
      <c r="H690" s="271">
        <v>0.0</v>
      </c>
      <c r="I690" s="271">
        <v>4.6</v>
      </c>
      <c r="J690" s="272">
        <v>1.0</v>
      </c>
      <c r="K690" s="271">
        <v>4.6</v>
      </c>
      <c r="L690" s="271">
        <v>0.0</v>
      </c>
      <c r="M690" s="271">
        <v>0.0</v>
      </c>
      <c r="N690" s="271">
        <v>1.0</v>
      </c>
      <c r="O690" s="271">
        <v>200.0</v>
      </c>
      <c r="P690" s="44" t="s">
        <v>60</v>
      </c>
      <c r="Q690" s="273">
        <v>1254.0</v>
      </c>
      <c r="R690" s="44" t="s">
        <v>1214</v>
      </c>
      <c r="S690" s="271">
        <v>1987.0</v>
      </c>
      <c r="T690" s="271">
        <v>0.3768</v>
      </c>
      <c r="U690" s="45">
        <f t="shared" si="153"/>
        <v>472.5072</v>
      </c>
      <c r="V690" s="24">
        <f t="shared" si="154"/>
        <v>102.7189565</v>
      </c>
      <c r="W690" s="3">
        <f t="shared" si="155"/>
        <v>0</v>
      </c>
      <c r="X690" s="3">
        <f t="shared" si="156"/>
        <v>0</v>
      </c>
      <c r="Y690" s="3">
        <f t="shared" si="157"/>
        <v>0</v>
      </c>
      <c r="Z690" s="25">
        <f t="shared" si="158"/>
        <v>0</v>
      </c>
      <c r="AA690" s="26">
        <f>VLOOKUP(S690,CPI!$A$2:$F$71,6,0)</f>
        <v>2.835514965</v>
      </c>
      <c r="AB690" s="27">
        <f t="shared" si="159"/>
        <v>1339.801237</v>
      </c>
      <c r="AC690" s="27">
        <f t="shared" si="160"/>
        <v>291.2611384</v>
      </c>
      <c r="AD690" s="44" t="s">
        <v>60</v>
      </c>
      <c r="AE690" s="276" t="s">
        <v>1222</v>
      </c>
      <c r="AF690" s="275"/>
      <c r="AG690" s="275"/>
      <c r="AH690" s="275"/>
      <c r="AI690" s="275"/>
      <c r="AJ690" s="268"/>
      <c r="AK690" s="268"/>
      <c r="AL690" s="268"/>
      <c r="AM690" s="33"/>
      <c r="AN690" s="33"/>
      <c r="AO690" s="33"/>
      <c r="AP690" s="33"/>
      <c r="AQ690" s="33"/>
    </row>
    <row r="691" ht="15.75" customHeight="1">
      <c r="A691" s="277">
        <v>9773.0</v>
      </c>
      <c r="B691" s="278" t="s">
        <v>1211</v>
      </c>
      <c r="C691" s="278" t="s">
        <v>1212</v>
      </c>
      <c r="D691" s="278" t="s">
        <v>1223</v>
      </c>
      <c r="E691" s="278" t="s">
        <v>1223</v>
      </c>
      <c r="F691" s="279">
        <v>1994.0</v>
      </c>
      <c r="G691" s="279">
        <v>1998.0</v>
      </c>
      <c r="H691" s="279">
        <v>0.0</v>
      </c>
      <c r="I691" s="279">
        <v>34.0</v>
      </c>
      <c r="J691" s="280">
        <v>0.2353</v>
      </c>
      <c r="K691" s="279">
        <v>8.0</v>
      </c>
      <c r="L691" s="279">
        <v>6.0</v>
      </c>
      <c r="M691" s="279">
        <v>20.0</v>
      </c>
      <c r="N691" s="279">
        <v>9.0</v>
      </c>
      <c r="O691" s="279">
        <v>200.0</v>
      </c>
      <c r="P691" s="278" t="s">
        <v>60</v>
      </c>
      <c r="Q691" s="281">
        <v>34000.0</v>
      </c>
      <c r="R691" s="278" t="s">
        <v>1214</v>
      </c>
      <c r="S691" s="279">
        <v>1996.0</v>
      </c>
      <c r="T691" s="279">
        <v>0.1871</v>
      </c>
      <c r="U691" s="282">
        <f t="shared" si="153"/>
        <v>6361.4</v>
      </c>
      <c r="V691" s="24">
        <f t="shared" si="154"/>
        <v>187.1</v>
      </c>
      <c r="W691" s="3">
        <f t="shared" si="155"/>
        <v>0</v>
      </c>
      <c r="X691" s="3">
        <f t="shared" si="156"/>
        <v>0</v>
      </c>
      <c r="Y691" s="3">
        <f t="shared" si="157"/>
        <v>0</v>
      </c>
      <c r="Z691" s="25">
        <f t="shared" si="158"/>
        <v>0</v>
      </c>
      <c r="AA691" s="26">
        <f>VLOOKUP(S691,CPI!$A$2:$F$71,6,0)</f>
        <v>2.052992352</v>
      </c>
      <c r="AB691" s="27">
        <f t="shared" si="159"/>
        <v>13059.90555</v>
      </c>
      <c r="AC691" s="27">
        <f t="shared" si="160"/>
        <v>384.114869</v>
      </c>
      <c r="AD691" s="278" t="s">
        <v>60</v>
      </c>
      <c r="AE691" s="283" t="s">
        <v>1224</v>
      </c>
      <c r="AF691" s="284"/>
      <c r="AG691" s="285"/>
      <c r="AH691" s="285"/>
      <c r="AI691" s="285"/>
      <c r="AJ691" s="269"/>
      <c r="AK691" s="269"/>
      <c r="AL691" s="269"/>
      <c r="AM691" s="33"/>
      <c r="AN691" s="33"/>
      <c r="AO691" s="33"/>
      <c r="AP691" s="33"/>
      <c r="AQ691" s="33"/>
    </row>
    <row r="692" ht="15.75" customHeight="1">
      <c r="A692" s="277">
        <v>9774.0</v>
      </c>
      <c r="B692" s="278" t="s">
        <v>1211</v>
      </c>
      <c r="C692" s="278" t="s">
        <v>1212</v>
      </c>
      <c r="D692" s="16" t="s">
        <v>1225</v>
      </c>
      <c r="E692" s="278" t="s">
        <v>1226</v>
      </c>
      <c r="F692" s="279">
        <v>1997.0</v>
      </c>
      <c r="G692" s="279">
        <v>2001.0</v>
      </c>
      <c r="H692" s="279">
        <v>0.0</v>
      </c>
      <c r="I692" s="279">
        <v>2.1</v>
      </c>
      <c r="J692" s="280">
        <v>1.0</v>
      </c>
      <c r="K692" s="279">
        <v>2.1</v>
      </c>
      <c r="L692" s="279">
        <v>0.0</v>
      </c>
      <c r="M692" s="279">
        <v>0.0</v>
      </c>
      <c r="N692" s="279">
        <v>0.0</v>
      </c>
      <c r="O692" s="279" t="s">
        <v>1227</v>
      </c>
      <c r="P692" s="278" t="s">
        <v>60</v>
      </c>
      <c r="Q692" s="281">
        <v>3100.0</v>
      </c>
      <c r="R692" s="278" t="s">
        <v>1214</v>
      </c>
      <c r="S692" s="279">
        <v>1999.0</v>
      </c>
      <c r="T692" s="279">
        <v>0.1823</v>
      </c>
      <c r="U692" s="282">
        <f t="shared" si="153"/>
        <v>565.13</v>
      </c>
      <c r="V692" s="24">
        <f t="shared" si="154"/>
        <v>269.1095238</v>
      </c>
      <c r="W692" s="3">
        <f t="shared" si="155"/>
        <v>0</v>
      </c>
      <c r="X692" s="3">
        <f t="shared" si="156"/>
        <v>0</v>
      </c>
      <c r="Y692" s="3">
        <f t="shared" si="157"/>
        <v>0</v>
      </c>
      <c r="Z692" s="25">
        <f t="shared" si="158"/>
        <v>0</v>
      </c>
      <c r="AA692" s="26">
        <f>VLOOKUP(S692,CPI!$A$2:$F$71,6,0)</f>
        <v>1.933460384</v>
      </c>
      <c r="AB692" s="27">
        <f t="shared" si="159"/>
        <v>1092.656467</v>
      </c>
      <c r="AC692" s="27">
        <f t="shared" si="160"/>
        <v>520.3126033</v>
      </c>
      <c r="AD692" s="278" t="s">
        <v>60</v>
      </c>
      <c r="AE692" s="286"/>
      <c r="AF692" s="284"/>
      <c r="AG692" s="285"/>
      <c r="AH692" s="285"/>
      <c r="AI692" s="285"/>
      <c r="AJ692" s="269"/>
      <c r="AK692" s="269"/>
      <c r="AL692" s="269"/>
      <c r="AM692" s="33"/>
      <c r="AN692" s="33"/>
      <c r="AO692" s="33"/>
      <c r="AP692" s="33"/>
      <c r="AQ692" s="33"/>
    </row>
    <row r="693" ht="15.75" customHeight="1">
      <c r="A693" s="277">
        <v>9775.0</v>
      </c>
      <c r="B693" s="278" t="s">
        <v>1211</v>
      </c>
      <c r="C693" s="278" t="s">
        <v>1212</v>
      </c>
      <c r="D693" s="16" t="s">
        <v>1228</v>
      </c>
      <c r="E693" s="278" t="s">
        <v>1229</v>
      </c>
      <c r="F693" s="279">
        <v>1999.0</v>
      </c>
      <c r="G693" s="279">
        <v>2002.0</v>
      </c>
      <c r="H693" s="279">
        <v>0.0</v>
      </c>
      <c r="I693" s="279">
        <v>4.0</v>
      </c>
      <c r="J693" s="280">
        <v>1.0</v>
      </c>
      <c r="K693" s="279">
        <v>4.0</v>
      </c>
      <c r="L693" s="279">
        <v>0.0</v>
      </c>
      <c r="M693" s="279">
        <v>0.0</v>
      </c>
      <c r="N693" s="279">
        <v>5.0</v>
      </c>
      <c r="O693" s="279">
        <v>200.0</v>
      </c>
      <c r="P693" s="278" t="s">
        <v>60</v>
      </c>
      <c r="Q693" s="281">
        <v>16000.0</v>
      </c>
      <c r="R693" s="278" t="s">
        <v>1214</v>
      </c>
      <c r="S693" s="279">
        <v>2000.0</v>
      </c>
      <c r="T693" s="279">
        <v>0.1886</v>
      </c>
      <c r="U693" s="282">
        <f t="shared" si="153"/>
        <v>3017.6</v>
      </c>
      <c r="V693" s="24">
        <f t="shared" si="154"/>
        <v>754.4</v>
      </c>
      <c r="W693" s="3">
        <f t="shared" si="155"/>
        <v>0</v>
      </c>
      <c r="X693" s="3">
        <f t="shared" si="156"/>
        <v>0</v>
      </c>
      <c r="Y693" s="3">
        <f t="shared" si="157"/>
        <v>0</v>
      </c>
      <c r="Z693" s="25">
        <f t="shared" si="158"/>
        <v>0</v>
      </c>
      <c r="AA693" s="26">
        <f>VLOOKUP(S693,CPI!$A$2:$F$71,6,0)</f>
        <v>1.870583624</v>
      </c>
      <c r="AB693" s="27">
        <f t="shared" si="159"/>
        <v>5644.673143</v>
      </c>
      <c r="AC693" s="27">
        <f t="shared" si="160"/>
        <v>1411.168286</v>
      </c>
      <c r="AD693" s="278"/>
      <c r="AE693" s="286"/>
      <c r="AF693" s="284"/>
      <c r="AG693" s="285"/>
      <c r="AH693" s="285"/>
      <c r="AI693" s="285"/>
      <c r="AJ693" s="269"/>
      <c r="AK693" s="269"/>
      <c r="AL693" s="269"/>
      <c r="AM693" s="33"/>
      <c r="AN693" s="33"/>
      <c r="AO693" s="33"/>
      <c r="AP693" s="33"/>
      <c r="AQ693" s="33"/>
    </row>
    <row r="694" ht="15.75" customHeight="1">
      <c r="A694" s="277">
        <v>9776.0</v>
      </c>
      <c r="B694" s="278" t="s">
        <v>1211</v>
      </c>
      <c r="C694" s="278" t="s">
        <v>1212</v>
      </c>
      <c r="D694" s="16" t="s">
        <v>1230</v>
      </c>
      <c r="E694" s="278" t="s">
        <v>1231</v>
      </c>
      <c r="F694" s="279">
        <v>2001.0</v>
      </c>
      <c r="G694" s="279">
        <v>2005.0</v>
      </c>
      <c r="H694" s="279">
        <v>0.0</v>
      </c>
      <c r="I694" s="279">
        <v>3.5</v>
      </c>
      <c r="J694" s="280">
        <v>0.25</v>
      </c>
      <c r="K694" s="279">
        <v>0.875</v>
      </c>
      <c r="L694" s="279">
        <v>0.0</v>
      </c>
      <c r="M694" s="279">
        <v>2.625</v>
      </c>
      <c r="N694" s="279">
        <v>2.0</v>
      </c>
      <c r="O694" s="282"/>
      <c r="P694" s="278" t="s">
        <v>59</v>
      </c>
      <c r="Q694" s="281">
        <v>2000.0</v>
      </c>
      <c r="R694" s="278" t="s">
        <v>1214</v>
      </c>
      <c r="S694" s="279">
        <v>2003.0</v>
      </c>
      <c r="T694" s="279">
        <v>0.2115</v>
      </c>
      <c r="U694" s="282">
        <f t="shared" si="153"/>
        <v>423</v>
      </c>
      <c r="V694" s="24">
        <f t="shared" si="154"/>
        <v>120.8571429</v>
      </c>
      <c r="W694" s="3">
        <f t="shared" si="155"/>
        <v>0</v>
      </c>
      <c r="X694" s="3">
        <f t="shared" si="156"/>
        <v>0</v>
      </c>
      <c r="Y694" s="3">
        <f t="shared" si="157"/>
        <v>0</v>
      </c>
      <c r="Z694" s="25">
        <f t="shared" si="158"/>
        <v>0</v>
      </c>
      <c r="AA694" s="26">
        <f>VLOOKUP(S694,CPI!$A$2:$F$71,6,0)</f>
        <v>1.750622283</v>
      </c>
      <c r="AB694" s="27">
        <f t="shared" si="159"/>
        <v>740.5132255</v>
      </c>
      <c r="AC694" s="27">
        <f t="shared" si="160"/>
        <v>211.5752073</v>
      </c>
      <c r="AD694" s="278"/>
      <c r="AE694" s="286"/>
      <c r="AF694" s="284"/>
      <c r="AG694" s="285"/>
      <c r="AH694" s="285"/>
      <c r="AI694" s="285"/>
      <c r="AJ694" s="269"/>
      <c r="AK694" s="269"/>
      <c r="AL694" s="269"/>
      <c r="AM694" s="33"/>
      <c r="AN694" s="33"/>
      <c r="AO694" s="33"/>
      <c r="AP694" s="33"/>
      <c r="AQ694" s="33"/>
    </row>
    <row r="695" ht="15.75" customHeight="1">
      <c r="A695" s="61">
        <v>9789.0</v>
      </c>
      <c r="B695" s="44" t="s">
        <v>1211</v>
      </c>
      <c r="C695" s="44" t="s">
        <v>1212</v>
      </c>
      <c r="D695" s="2"/>
      <c r="E695" s="44" t="s">
        <v>1232</v>
      </c>
      <c r="F695" s="271"/>
      <c r="G695" s="271">
        <v>2005.0</v>
      </c>
      <c r="H695" s="271">
        <v>0.0</v>
      </c>
      <c r="I695" s="271">
        <v>1.3</v>
      </c>
      <c r="J695" s="272">
        <v>0.0</v>
      </c>
      <c r="K695" s="271">
        <v>0.0</v>
      </c>
      <c r="L695" s="271">
        <v>1.3</v>
      </c>
      <c r="M695" s="271">
        <v>0.0</v>
      </c>
      <c r="N695" s="271">
        <v>1.0</v>
      </c>
      <c r="O695" s="271">
        <v>200.0</v>
      </c>
      <c r="P695" s="44" t="s">
        <v>59</v>
      </c>
      <c r="Q695" s="273"/>
      <c r="R695" s="44" t="s">
        <v>1214</v>
      </c>
      <c r="S695" s="271">
        <v>2005.0</v>
      </c>
      <c r="T695" s="85">
        <v>0.184</v>
      </c>
      <c r="U695" s="118"/>
      <c r="V695" s="24"/>
      <c r="W695" s="3">
        <f t="shared" si="155"/>
        <v>0</v>
      </c>
      <c r="X695" s="3">
        <f t="shared" si="156"/>
        <v>0</v>
      </c>
      <c r="Y695" s="3">
        <f t="shared" si="157"/>
        <v>0</v>
      </c>
      <c r="Z695" s="25">
        <f t="shared" si="158"/>
        <v>0</v>
      </c>
      <c r="AA695" s="26">
        <f>VLOOKUP(S695,CPI!$A$2:$F$71,6,0)</f>
        <v>1.649331797</v>
      </c>
      <c r="AB695" s="27"/>
      <c r="AC695" s="27"/>
      <c r="AD695" s="44"/>
      <c r="AE695" s="287"/>
      <c r="AF695" s="288"/>
      <c r="AG695" s="289"/>
      <c r="AH695" s="289"/>
      <c r="AI695" s="289"/>
      <c r="AJ695" s="267"/>
      <c r="AK695" s="267"/>
      <c r="AL695" s="267"/>
      <c r="AM695" s="33"/>
      <c r="AN695" s="33"/>
      <c r="AO695" s="33"/>
      <c r="AP695" s="33"/>
      <c r="AQ695" s="33"/>
    </row>
    <row r="696" ht="15.75" customHeight="1">
      <c r="A696" s="61">
        <v>9790.0</v>
      </c>
      <c r="B696" s="44" t="s">
        <v>1211</v>
      </c>
      <c r="C696" s="44" t="s">
        <v>1212</v>
      </c>
      <c r="D696" s="2"/>
      <c r="E696" s="44" t="s">
        <v>1233</v>
      </c>
      <c r="F696" s="271"/>
      <c r="G696" s="271">
        <v>2009.0</v>
      </c>
      <c r="H696" s="271">
        <v>0.0</v>
      </c>
      <c r="I696" s="271">
        <v>1.8</v>
      </c>
      <c r="J696" s="272"/>
      <c r="K696" s="271"/>
      <c r="L696" s="271"/>
      <c r="M696" s="271"/>
      <c r="N696" s="271"/>
      <c r="O696" s="45"/>
      <c r="P696" s="44"/>
      <c r="Q696" s="273"/>
      <c r="R696" s="44"/>
      <c r="S696" s="271">
        <v>2009.0</v>
      </c>
      <c r="T696" s="85">
        <v>0.193</v>
      </c>
      <c r="U696" s="118"/>
      <c r="V696" s="24"/>
      <c r="W696" s="3">
        <f t="shared" si="155"/>
        <v>0</v>
      </c>
      <c r="X696" s="3">
        <f t="shared" si="156"/>
        <v>0</v>
      </c>
      <c r="Y696" s="3">
        <f t="shared" si="157"/>
        <v>0</v>
      </c>
      <c r="Z696" s="25">
        <f t="shared" si="158"/>
        <v>0</v>
      </c>
      <c r="AA696" s="26">
        <f>VLOOKUP(S696,CPI!$A$2:$F$71,6,0)</f>
        <v>1.501440311</v>
      </c>
      <c r="AB696" s="27"/>
      <c r="AC696" s="27"/>
      <c r="AD696" s="44"/>
      <c r="AE696" s="287"/>
      <c r="AF696" s="275"/>
      <c r="AG696" s="275"/>
      <c r="AH696" s="275"/>
      <c r="AI696" s="275"/>
      <c r="AJ696" s="268"/>
      <c r="AK696" s="268"/>
      <c r="AL696" s="268"/>
      <c r="AM696" s="33"/>
      <c r="AN696" s="33"/>
      <c r="AO696" s="33"/>
      <c r="AP696" s="33"/>
      <c r="AQ696" s="33"/>
    </row>
    <row r="697" ht="15.75" customHeight="1">
      <c r="A697" s="61">
        <v>9791.0</v>
      </c>
      <c r="B697" s="44" t="s">
        <v>1211</v>
      </c>
      <c r="C697" s="44" t="s">
        <v>1212</v>
      </c>
      <c r="D697" s="2"/>
      <c r="E697" s="44" t="s">
        <v>1234</v>
      </c>
      <c r="F697" s="271"/>
      <c r="G697" s="271">
        <v>2009.0</v>
      </c>
      <c r="H697" s="271">
        <v>1.0</v>
      </c>
      <c r="I697" s="271"/>
      <c r="J697" s="272"/>
      <c r="K697" s="271"/>
      <c r="L697" s="271"/>
      <c r="M697" s="271"/>
      <c r="N697" s="271"/>
      <c r="O697" s="45"/>
      <c r="P697" s="44"/>
      <c r="Q697" s="273"/>
      <c r="R697" s="44"/>
      <c r="S697" s="271"/>
      <c r="T697" s="271"/>
      <c r="U697" s="118"/>
      <c r="V697" s="24"/>
      <c r="W697" s="3">
        <f t="shared" si="155"/>
        <v>0</v>
      </c>
      <c r="X697" s="3">
        <f t="shared" si="156"/>
        <v>0</v>
      </c>
      <c r="Y697" s="3">
        <f t="shared" si="157"/>
        <v>0</v>
      </c>
      <c r="Z697" s="25">
        <f t="shared" si="158"/>
        <v>0</v>
      </c>
      <c r="AA697" s="26" t="str">
        <f>VLOOKUP(S697,CPI!$A$2:$F$71,6,0)</f>
        <v>#N/A</v>
      </c>
      <c r="AB697" s="27"/>
      <c r="AC697" s="27"/>
      <c r="AD697" s="44"/>
      <c r="AE697" s="287"/>
      <c r="AF697" s="275"/>
      <c r="AG697" s="275"/>
      <c r="AH697" s="275"/>
      <c r="AI697" s="275"/>
      <c r="AJ697" s="268"/>
      <c r="AK697" s="268"/>
      <c r="AL697" s="268"/>
      <c r="AM697" s="33"/>
      <c r="AN697" s="33"/>
      <c r="AO697" s="33"/>
      <c r="AP697" s="33"/>
      <c r="AQ697" s="33"/>
    </row>
    <row r="698" ht="15.75" customHeight="1">
      <c r="A698" s="61">
        <v>9772.0</v>
      </c>
      <c r="B698" s="43" t="s">
        <v>1211</v>
      </c>
      <c r="C698" s="43" t="s">
        <v>1212</v>
      </c>
      <c r="D698" s="43" t="s">
        <v>1235</v>
      </c>
      <c r="E698" s="43" t="s">
        <v>1235</v>
      </c>
      <c r="F698" s="45">
        <v>2009.0</v>
      </c>
      <c r="G698" s="45">
        <v>2016.0</v>
      </c>
      <c r="H698" s="45">
        <v>0.0</v>
      </c>
      <c r="I698" s="45">
        <v>3.0</v>
      </c>
      <c r="J698" s="46">
        <v>1.0</v>
      </c>
      <c r="K698" s="45">
        <v>3.0</v>
      </c>
      <c r="L698" s="47">
        <v>0.0</v>
      </c>
      <c r="M698" s="47">
        <v>0.0</v>
      </c>
      <c r="N698" s="45">
        <v>3.0</v>
      </c>
      <c r="O698" s="45"/>
      <c r="P698" s="43" t="s">
        <v>60</v>
      </c>
      <c r="Q698" s="48">
        <v>18500.0</v>
      </c>
      <c r="R698" s="43" t="s">
        <v>1214</v>
      </c>
      <c r="S698" s="45">
        <v>2012.0</v>
      </c>
      <c r="T698" s="45">
        <v>0.1834</v>
      </c>
      <c r="U698" s="45">
        <f t="shared" ref="U698:U801" si="161">Q698*T698</f>
        <v>3392.9</v>
      </c>
      <c r="V698" s="24">
        <f t="shared" ref="V698:V801" si="162">U698/I698</f>
        <v>1130.966667</v>
      </c>
      <c r="W698" s="3">
        <f t="shared" si="155"/>
        <v>0</v>
      </c>
      <c r="X698" s="3">
        <f t="shared" si="156"/>
        <v>0</v>
      </c>
      <c r="Y698" s="3">
        <f t="shared" si="157"/>
        <v>0</v>
      </c>
      <c r="Z698" s="25">
        <f t="shared" si="158"/>
        <v>0</v>
      </c>
      <c r="AA698" s="26">
        <f>VLOOKUP(S698,CPI!$A$2:$F$71,6,0)</f>
        <v>1.402974381</v>
      </c>
      <c r="AB698" s="27">
        <f t="shared" ref="AB698:AB801" si="163">U698*AA698</f>
        <v>4760.151777</v>
      </c>
      <c r="AC698" s="27">
        <f t="shared" ref="AC698:AC801" si="164">V698*AA698</f>
        <v>1586.717259</v>
      </c>
      <c r="AD698" s="43" t="s">
        <v>60</v>
      </c>
      <c r="AE698" s="49" t="s">
        <v>1236</v>
      </c>
      <c r="AF698" s="275"/>
      <c r="AG698" s="275"/>
      <c r="AH698" s="275"/>
      <c r="AI698" s="275"/>
      <c r="AJ698" s="268"/>
      <c r="AK698" s="268"/>
      <c r="AL698" s="268"/>
      <c r="AM698" s="6"/>
      <c r="AN698" s="6"/>
      <c r="AO698" s="6"/>
      <c r="AP698" s="6"/>
      <c r="AQ698" s="6"/>
    </row>
    <row r="699" ht="15.75" customHeight="1">
      <c r="A699" s="61">
        <v>9778.0</v>
      </c>
      <c r="B699" s="43" t="s">
        <v>1211</v>
      </c>
      <c r="C699" s="43" t="s">
        <v>1212</v>
      </c>
      <c r="D699" s="16" t="s">
        <v>1225</v>
      </c>
      <c r="E699" s="43" t="s">
        <v>1237</v>
      </c>
      <c r="F699" s="45">
        <v>2011.0</v>
      </c>
      <c r="G699" s="45">
        <v>2016.0</v>
      </c>
      <c r="H699" s="45">
        <v>0.0</v>
      </c>
      <c r="I699" s="45">
        <v>2.6</v>
      </c>
      <c r="J699" s="46">
        <v>1.0</v>
      </c>
      <c r="K699" s="45">
        <v>2.6</v>
      </c>
      <c r="L699" s="47">
        <v>0.0</v>
      </c>
      <c r="M699" s="47">
        <v>0.0</v>
      </c>
      <c r="N699" s="45">
        <v>2.0</v>
      </c>
      <c r="O699" s="45"/>
      <c r="P699" s="43" t="s">
        <v>60</v>
      </c>
      <c r="Q699" s="48">
        <v>7200.0</v>
      </c>
      <c r="R699" s="43" t="s">
        <v>1214</v>
      </c>
      <c r="S699" s="45">
        <v>2013.0</v>
      </c>
      <c r="T699" s="45">
        <v>0.1803</v>
      </c>
      <c r="U699" s="45">
        <f t="shared" si="161"/>
        <v>1298.16</v>
      </c>
      <c r="V699" s="24">
        <f t="shared" si="162"/>
        <v>499.2923077</v>
      </c>
      <c r="W699" s="3">
        <f t="shared" si="155"/>
        <v>0</v>
      </c>
      <c r="X699" s="3">
        <f t="shared" si="156"/>
        <v>0</v>
      </c>
      <c r="Y699" s="3">
        <f t="shared" si="157"/>
        <v>0</v>
      </c>
      <c r="Z699" s="25">
        <f t="shared" si="158"/>
        <v>0</v>
      </c>
      <c r="AA699" s="26">
        <f>VLOOKUP(S699,CPI!$A$2:$F$71,6,0)</f>
        <v>1.382720845</v>
      </c>
      <c r="AB699" s="27">
        <f t="shared" si="163"/>
        <v>1794.992893</v>
      </c>
      <c r="AC699" s="27">
        <f t="shared" si="164"/>
        <v>690.3818818</v>
      </c>
      <c r="AD699" s="43" t="s">
        <v>60</v>
      </c>
      <c r="AE699" s="49" t="s">
        <v>1236</v>
      </c>
      <c r="AF699" s="275"/>
      <c r="AG699" s="275"/>
      <c r="AH699" s="275"/>
      <c r="AI699" s="275"/>
      <c r="AJ699" s="268"/>
      <c r="AK699" s="268"/>
      <c r="AL699" s="268"/>
      <c r="AM699" s="6"/>
      <c r="AN699" s="6"/>
      <c r="AO699" s="6"/>
      <c r="AP699" s="6"/>
      <c r="AQ699" s="6"/>
    </row>
    <row r="700" ht="15.75" customHeight="1">
      <c r="A700" s="61">
        <v>9777.0</v>
      </c>
      <c r="B700" s="43" t="s">
        <v>1211</v>
      </c>
      <c r="C700" s="43" t="s">
        <v>1212</v>
      </c>
      <c r="D700" s="16" t="s">
        <v>1238</v>
      </c>
      <c r="E700" s="43" t="s">
        <v>1239</v>
      </c>
      <c r="F700" s="45">
        <v>2011.0</v>
      </c>
      <c r="G700" s="45">
        <v>2016.0</v>
      </c>
      <c r="H700" s="45">
        <v>0.0</v>
      </c>
      <c r="I700" s="45">
        <v>7.0</v>
      </c>
      <c r="J700" s="46">
        <v>0.71</v>
      </c>
      <c r="K700" s="45">
        <v>5.0</v>
      </c>
      <c r="L700" s="271">
        <v>2.0</v>
      </c>
      <c r="M700" s="47">
        <v>0.0</v>
      </c>
      <c r="N700" s="45">
        <v>5.0</v>
      </c>
      <c r="O700" s="45"/>
      <c r="P700" s="43" t="s">
        <v>60</v>
      </c>
      <c r="Q700" s="48">
        <v>16900.0</v>
      </c>
      <c r="R700" s="43" t="s">
        <v>1214</v>
      </c>
      <c r="S700" s="45">
        <v>2013.0</v>
      </c>
      <c r="T700" s="45">
        <v>0.1803</v>
      </c>
      <c r="U700" s="45">
        <f t="shared" si="161"/>
        <v>3047.07</v>
      </c>
      <c r="V700" s="24">
        <f t="shared" si="162"/>
        <v>435.2957143</v>
      </c>
      <c r="W700" s="3">
        <f t="shared" si="155"/>
        <v>0</v>
      </c>
      <c r="X700" s="3">
        <f t="shared" si="156"/>
        <v>0</v>
      </c>
      <c r="Y700" s="3">
        <f t="shared" si="157"/>
        <v>0</v>
      </c>
      <c r="Z700" s="25">
        <f t="shared" si="158"/>
        <v>0</v>
      </c>
      <c r="AA700" s="26">
        <f>VLOOKUP(S700,CPI!$A$2:$F$71,6,0)</f>
        <v>1.382720845</v>
      </c>
      <c r="AB700" s="27">
        <f t="shared" si="163"/>
        <v>4213.247207</v>
      </c>
      <c r="AC700" s="27">
        <f t="shared" si="164"/>
        <v>601.8924581</v>
      </c>
      <c r="AD700" s="43" t="s">
        <v>60</v>
      </c>
      <c r="AE700" s="49" t="s">
        <v>1236</v>
      </c>
      <c r="AF700" s="275"/>
      <c r="AG700" s="275"/>
      <c r="AH700" s="275"/>
      <c r="AI700" s="275"/>
      <c r="AJ700" s="268"/>
      <c r="AK700" s="268"/>
      <c r="AL700" s="268"/>
      <c r="AM700" s="6"/>
      <c r="AN700" s="6"/>
      <c r="AO700" s="6"/>
      <c r="AP700" s="6"/>
      <c r="AQ700" s="6"/>
    </row>
    <row r="701" ht="15.75" customHeight="1">
      <c r="A701" s="61">
        <v>9780.0</v>
      </c>
      <c r="B701" s="43" t="s">
        <v>1211</v>
      </c>
      <c r="C701" s="43" t="s">
        <v>1212</v>
      </c>
      <c r="D701" s="43" t="s">
        <v>1240</v>
      </c>
      <c r="E701" s="43" t="s">
        <v>1240</v>
      </c>
      <c r="F701" s="45">
        <v>2012.0</v>
      </c>
      <c r="G701" s="45">
        <v>2022.0</v>
      </c>
      <c r="H701" s="45">
        <v>1.0</v>
      </c>
      <c r="I701" s="45">
        <v>17.0</v>
      </c>
      <c r="J701" s="46">
        <v>0.88</v>
      </c>
      <c r="K701" s="45">
        <v>15.0</v>
      </c>
      <c r="L701" s="47">
        <v>0.0</v>
      </c>
      <c r="M701" s="47">
        <v>0.0</v>
      </c>
      <c r="N701" s="45">
        <v>9.0</v>
      </c>
      <c r="O701" s="45"/>
      <c r="P701" s="43" t="s">
        <v>59</v>
      </c>
      <c r="Q701" s="48">
        <v>87300.0</v>
      </c>
      <c r="R701" s="43" t="s">
        <v>1214</v>
      </c>
      <c r="S701" s="45">
        <v>2017.0</v>
      </c>
      <c r="T701" s="45">
        <v>0.1664</v>
      </c>
      <c r="U701" s="45">
        <f t="shared" si="161"/>
        <v>14526.72</v>
      </c>
      <c r="V701" s="24">
        <f t="shared" si="162"/>
        <v>854.5129412</v>
      </c>
      <c r="W701" s="3">
        <f t="shared" si="155"/>
        <v>0</v>
      </c>
      <c r="X701" s="3">
        <f t="shared" si="156"/>
        <v>0</v>
      </c>
      <c r="Y701" s="3">
        <f t="shared" si="157"/>
        <v>0</v>
      </c>
      <c r="Z701" s="25">
        <f t="shared" si="158"/>
        <v>0</v>
      </c>
      <c r="AA701" s="26">
        <f>VLOOKUP(S701,CPI!$A$2:$F$71,6,0)</f>
        <v>1.314109416</v>
      </c>
      <c r="AB701" s="27">
        <f t="shared" si="163"/>
        <v>19089.69953</v>
      </c>
      <c r="AC701" s="27">
        <f t="shared" si="164"/>
        <v>1122.923502</v>
      </c>
      <c r="AD701" s="43" t="s">
        <v>36</v>
      </c>
      <c r="AE701" s="49" t="s">
        <v>1241</v>
      </c>
      <c r="AF701" s="275"/>
      <c r="AG701" s="275"/>
      <c r="AH701" s="275"/>
      <c r="AI701" s="275"/>
      <c r="AJ701" s="268"/>
      <c r="AK701" s="268"/>
      <c r="AL701" s="268"/>
      <c r="AM701" s="6"/>
      <c r="AN701" s="6"/>
      <c r="AO701" s="6"/>
      <c r="AP701" s="6"/>
      <c r="AQ701" s="6"/>
    </row>
    <row r="702" ht="15.75" customHeight="1">
      <c r="A702" s="61">
        <v>9771.0</v>
      </c>
      <c r="B702" s="43" t="s">
        <v>1211</v>
      </c>
      <c r="C702" s="43" t="s">
        <v>1212</v>
      </c>
      <c r="D702" s="16" t="s">
        <v>1242</v>
      </c>
      <c r="E702" s="43" t="s">
        <v>1243</v>
      </c>
      <c r="F702" s="45">
        <v>2023.0</v>
      </c>
      <c r="G702" s="45">
        <v>2029.0</v>
      </c>
      <c r="H702" s="45">
        <v>0.0</v>
      </c>
      <c r="I702" s="45">
        <v>1.8</v>
      </c>
      <c r="J702" s="46">
        <v>1.0</v>
      </c>
      <c r="K702" s="45">
        <v>1.8</v>
      </c>
      <c r="L702" s="47">
        <v>0.0</v>
      </c>
      <c r="M702" s="47">
        <v>0.0</v>
      </c>
      <c r="N702" s="45">
        <v>1.0</v>
      </c>
      <c r="O702" s="45"/>
      <c r="P702" s="43" t="s">
        <v>42</v>
      </c>
      <c r="Q702" s="48">
        <v>18700.0</v>
      </c>
      <c r="R702" s="43" t="s">
        <v>1214</v>
      </c>
      <c r="S702" s="45">
        <v>2016.0</v>
      </c>
      <c r="T702" s="45">
        <v>0.1686</v>
      </c>
      <c r="U702" s="45">
        <f t="shared" si="161"/>
        <v>3152.82</v>
      </c>
      <c r="V702" s="24">
        <f t="shared" si="162"/>
        <v>1751.566667</v>
      </c>
      <c r="W702" s="3">
        <f t="shared" si="155"/>
        <v>0</v>
      </c>
      <c r="X702" s="3">
        <f t="shared" si="156"/>
        <v>0</v>
      </c>
      <c r="Y702" s="3">
        <f t="shared" si="157"/>
        <v>0</v>
      </c>
      <c r="Z702" s="25">
        <f t="shared" si="158"/>
        <v>0</v>
      </c>
      <c r="AA702" s="26">
        <f>VLOOKUP(S702,CPI!$A$2:$F$71,6,0)</f>
        <v>1.342104605</v>
      </c>
      <c r="AB702" s="27">
        <f t="shared" si="163"/>
        <v>4231.414242</v>
      </c>
      <c r="AC702" s="27">
        <f t="shared" si="164"/>
        <v>2350.78569</v>
      </c>
      <c r="AD702" s="43" t="s">
        <v>42</v>
      </c>
      <c r="AE702" s="49" t="s">
        <v>1244</v>
      </c>
      <c r="AF702" s="275"/>
      <c r="AG702" s="275"/>
      <c r="AH702" s="275"/>
      <c r="AI702" s="275"/>
      <c r="AJ702" s="268"/>
      <c r="AK702" s="268"/>
      <c r="AL702" s="268"/>
      <c r="AM702" s="6"/>
      <c r="AN702" s="6"/>
      <c r="AO702" s="6"/>
      <c r="AP702" s="6"/>
      <c r="AQ702" s="6"/>
    </row>
    <row r="703" ht="15.75" customHeight="1">
      <c r="A703" s="61">
        <v>9779.0</v>
      </c>
      <c r="B703" s="43" t="s">
        <v>1211</v>
      </c>
      <c r="C703" s="43" t="s">
        <v>1212</v>
      </c>
      <c r="D703" s="44" t="s">
        <v>1245</v>
      </c>
      <c r="E703" s="43" t="s">
        <v>1246</v>
      </c>
      <c r="F703" s="45">
        <v>2023.0</v>
      </c>
      <c r="G703" s="45">
        <v>2030.0</v>
      </c>
      <c r="H703" s="45">
        <v>0.0</v>
      </c>
      <c r="I703" s="45">
        <v>2.4</v>
      </c>
      <c r="J703" s="46">
        <v>0.0</v>
      </c>
      <c r="K703" s="45">
        <v>0.0</v>
      </c>
      <c r="L703" s="47">
        <v>0.0</v>
      </c>
      <c r="M703" s="47">
        <v>0.0</v>
      </c>
      <c r="N703" s="45">
        <v>2.0</v>
      </c>
      <c r="O703" s="45"/>
      <c r="P703" s="43" t="s">
        <v>60</v>
      </c>
      <c r="Q703" s="48">
        <v>11400.0</v>
      </c>
      <c r="R703" s="43" t="s">
        <v>1214</v>
      </c>
      <c r="S703" s="45">
        <v>2015.0</v>
      </c>
      <c r="T703" s="45">
        <v>0.1715</v>
      </c>
      <c r="U703" s="45">
        <f t="shared" si="161"/>
        <v>1955.1</v>
      </c>
      <c r="V703" s="24">
        <f t="shared" si="162"/>
        <v>814.625</v>
      </c>
      <c r="W703" s="3">
        <f t="shared" si="155"/>
        <v>0</v>
      </c>
      <c r="X703" s="3">
        <f t="shared" si="156"/>
        <v>0</v>
      </c>
      <c r="Y703" s="3">
        <f t="shared" si="157"/>
        <v>0</v>
      </c>
      <c r="Z703" s="25">
        <f t="shared" si="158"/>
        <v>0</v>
      </c>
      <c r="AA703" s="26">
        <f>VLOOKUP(S703,CPI!$A$2:$F$71,6,0)</f>
        <v>1.359035428</v>
      </c>
      <c r="AB703" s="27">
        <f t="shared" si="163"/>
        <v>2657.050165</v>
      </c>
      <c r="AC703" s="27">
        <f t="shared" si="164"/>
        <v>1107.104235</v>
      </c>
      <c r="AD703" s="43" t="s">
        <v>60</v>
      </c>
      <c r="AE703" s="49" t="s">
        <v>1247</v>
      </c>
      <c r="AF703" s="275"/>
      <c r="AG703" s="275"/>
      <c r="AH703" s="275"/>
      <c r="AI703" s="275"/>
      <c r="AJ703" s="268"/>
      <c r="AK703" s="268"/>
      <c r="AL703" s="268"/>
      <c r="AM703" s="6"/>
      <c r="AN703" s="6"/>
      <c r="AO703" s="6"/>
      <c r="AP703" s="6"/>
      <c r="AQ703" s="6"/>
    </row>
    <row r="704" ht="15.75" customHeight="1">
      <c r="A704" s="38">
        <v>7202.0</v>
      </c>
      <c r="B704" s="26" t="s">
        <v>1248</v>
      </c>
      <c r="C704" s="26" t="s">
        <v>1249</v>
      </c>
      <c r="D704" s="16" t="s">
        <v>110</v>
      </c>
      <c r="E704" s="26" t="s">
        <v>110</v>
      </c>
      <c r="F704" s="25">
        <v>2006.0</v>
      </c>
      <c r="G704" s="25">
        <v>2014.0</v>
      </c>
      <c r="H704" s="25">
        <v>0.0</v>
      </c>
      <c r="I704" s="25">
        <v>7.4</v>
      </c>
      <c r="J704" s="50">
        <v>1.0</v>
      </c>
      <c r="K704" s="25">
        <v>7.4</v>
      </c>
      <c r="L704" s="51">
        <v>0.0</v>
      </c>
      <c r="M704" s="51">
        <v>0.0</v>
      </c>
      <c r="N704" s="25">
        <v>10.0</v>
      </c>
      <c r="O704" s="25"/>
      <c r="P704" s="26" t="s">
        <v>36</v>
      </c>
      <c r="Q704" s="52">
        <v>452000.0</v>
      </c>
      <c r="R704" s="26" t="s">
        <v>1250</v>
      </c>
      <c r="S704" s="25">
        <v>2010.0</v>
      </c>
      <c r="T704" s="25">
        <v>0.00792</v>
      </c>
      <c r="U704" s="25">
        <f t="shared" si="161"/>
        <v>3579.84</v>
      </c>
      <c r="V704" s="24">
        <f t="shared" si="162"/>
        <v>483.7621622</v>
      </c>
      <c r="W704" s="3">
        <f t="shared" si="155"/>
        <v>0</v>
      </c>
      <c r="X704" s="3">
        <f t="shared" si="156"/>
        <v>0</v>
      </c>
      <c r="Y704" s="3">
        <f t="shared" si="157"/>
        <v>0</v>
      </c>
      <c r="Z704" s="25">
        <f t="shared" si="158"/>
        <v>0</v>
      </c>
      <c r="AA704" s="26">
        <f>VLOOKUP(S704,CPI!$A$2:$F$71,6,0)</f>
        <v>1.477209983</v>
      </c>
      <c r="AB704" s="27">
        <f t="shared" si="163"/>
        <v>5288.175385</v>
      </c>
      <c r="AC704" s="27">
        <f t="shared" si="164"/>
        <v>714.6182952</v>
      </c>
      <c r="AD704" s="26" t="s">
        <v>60</v>
      </c>
      <c r="AE704" s="53" t="s">
        <v>1251</v>
      </c>
      <c r="AF704" s="130"/>
      <c r="AG704" s="130"/>
      <c r="AH704" s="130"/>
      <c r="AI704" s="130"/>
      <c r="AJ704" s="33"/>
      <c r="AK704" s="33"/>
      <c r="AL704" s="33"/>
      <c r="AM704" s="33"/>
      <c r="AN704" s="33"/>
      <c r="AO704" s="33"/>
      <c r="AP704" s="33"/>
      <c r="AQ704" s="33"/>
    </row>
    <row r="705" ht="15.75" customHeight="1">
      <c r="A705" s="38">
        <v>7467.0</v>
      </c>
      <c r="B705" s="26" t="s">
        <v>1252</v>
      </c>
      <c r="C705" s="26" t="s">
        <v>1253</v>
      </c>
      <c r="D705" s="26" t="s">
        <v>1254</v>
      </c>
      <c r="E705" s="26" t="s">
        <v>1254</v>
      </c>
      <c r="F705" s="25">
        <v>2013.0</v>
      </c>
      <c r="G705" s="25">
        <v>2019.0</v>
      </c>
      <c r="H705" s="25">
        <v>0.0</v>
      </c>
      <c r="I705" s="25">
        <v>15.7</v>
      </c>
      <c r="J705" s="50">
        <v>0.38</v>
      </c>
      <c r="K705" s="25">
        <v>5.9</v>
      </c>
      <c r="L705" s="51">
        <v>0.0</v>
      </c>
      <c r="M705" s="51">
        <v>0.0</v>
      </c>
      <c r="N705" s="25">
        <v>13.0</v>
      </c>
      <c r="O705" s="25"/>
      <c r="P705" s="26" t="s">
        <v>42</v>
      </c>
      <c r="Q705" s="52">
        <v>1.377607E7</v>
      </c>
      <c r="R705" s="26" t="s">
        <v>1255</v>
      </c>
      <c r="S705" s="25">
        <v>2016.0</v>
      </c>
      <c r="T705" s="25">
        <v>2.13E-4</v>
      </c>
      <c r="U705" s="25">
        <f t="shared" si="161"/>
        <v>2934.30291</v>
      </c>
      <c r="V705" s="24">
        <f t="shared" si="162"/>
        <v>186.8982745</v>
      </c>
      <c r="W705" s="3">
        <f t="shared" si="155"/>
        <v>0</v>
      </c>
      <c r="X705" s="3">
        <f t="shared" si="156"/>
        <v>0</v>
      </c>
      <c r="Y705" s="3">
        <f t="shared" si="157"/>
        <v>0</v>
      </c>
      <c r="Z705" s="25">
        <f t="shared" si="158"/>
        <v>0</v>
      </c>
      <c r="AA705" s="26">
        <f>VLOOKUP(S705,CPI!$A$2:$F$71,6,0)</f>
        <v>1.342104605</v>
      </c>
      <c r="AB705" s="27">
        <f t="shared" si="163"/>
        <v>3938.141449</v>
      </c>
      <c r="AC705" s="27">
        <f t="shared" si="164"/>
        <v>250.837035</v>
      </c>
      <c r="AD705" s="26" t="s">
        <v>42</v>
      </c>
      <c r="AE705" s="53" t="s">
        <v>1256</v>
      </c>
      <c r="AF705" s="130"/>
      <c r="AG705" s="130"/>
      <c r="AH705" s="130"/>
      <c r="AI705" s="130"/>
      <c r="AJ705" s="33"/>
      <c r="AK705" s="33"/>
      <c r="AL705" s="33"/>
      <c r="AM705" s="33"/>
      <c r="AN705" s="33"/>
      <c r="AO705" s="33"/>
      <c r="AP705" s="33"/>
      <c r="AQ705" s="33"/>
    </row>
    <row r="706" ht="15.75" customHeight="1">
      <c r="A706" s="38">
        <v>7433.0</v>
      </c>
      <c r="B706" s="26" t="s">
        <v>1257</v>
      </c>
      <c r="C706" s="26" t="s">
        <v>1258</v>
      </c>
      <c r="D706" s="26" t="s">
        <v>40</v>
      </c>
      <c r="E706" s="26" t="s">
        <v>40</v>
      </c>
      <c r="F706" s="25">
        <v>2015.0</v>
      </c>
      <c r="G706" s="25">
        <v>2022.0</v>
      </c>
      <c r="H706" s="25">
        <v>0.0</v>
      </c>
      <c r="I706" s="25">
        <v>24.0</v>
      </c>
      <c r="J706" s="50">
        <v>0.5</v>
      </c>
      <c r="K706" s="25">
        <v>12.0</v>
      </c>
      <c r="L706" s="51">
        <v>0.0</v>
      </c>
      <c r="M706" s="51">
        <v>0.0</v>
      </c>
      <c r="N706" s="25">
        <v>34.0</v>
      </c>
      <c r="O706" s="25"/>
      <c r="P706" s="26" t="s">
        <v>74</v>
      </c>
      <c r="Q706" s="52">
        <v>17600.0</v>
      </c>
      <c r="R706" s="26" t="s">
        <v>1259</v>
      </c>
      <c r="S706" s="25">
        <v>2018.0</v>
      </c>
      <c r="T706" s="25">
        <v>0.268</v>
      </c>
      <c r="U706" s="25">
        <f t="shared" si="161"/>
        <v>4716.8</v>
      </c>
      <c r="V706" s="24">
        <f t="shared" si="162"/>
        <v>196.5333333</v>
      </c>
      <c r="W706" s="3">
        <f t="shared" si="155"/>
        <v>0</v>
      </c>
      <c r="X706" s="3">
        <f t="shared" si="156"/>
        <v>0</v>
      </c>
      <c r="Y706" s="3">
        <f t="shared" si="157"/>
        <v>0</v>
      </c>
      <c r="Z706" s="25">
        <f t="shared" si="158"/>
        <v>0</v>
      </c>
      <c r="AA706" s="26">
        <f>VLOOKUP(S706,CPI!$A$2:$F$71,6,0)</f>
        <v>1.28277786</v>
      </c>
      <c r="AB706" s="27">
        <f t="shared" si="163"/>
        <v>6050.606608</v>
      </c>
      <c r="AC706" s="27">
        <f t="shared" si="164"/>
        <v>252.1086087</v>
      </c>
      <c r="AD706" s="26" t="s">
        <v>42</v>
      </c>
      <c r="AE706" s="53" t="s">
        <v>1260</v>
      </c>
      <c r="AF706" s="130"/>
      <c r="AG706" s="130"/>
      <c r="AH706" s="130"/>
      <c r="AI706" s="130"/>
      <c r="AJ706" s="33"/>
      <c r="AK706" s="33"/>
      <c r="AL706" s="33"/>
      <c r="AM706" s="33"/>
      <c r="AN706" s="33"/>
      <c r="AO706" s="33"/>
      <c r="AP706" s="33"/>
      <c r="AQ706" s="33"/>
    </row>
    <row r="707" ht="15.75" customHeight="1">
      <c r="A707" s="38">
        <v>7434.0</v>
      </c>
      <c r="B707" s="26" t="s">
        <v>1257</v>
      </c>
      <c r="C707" s="26" t="s">
        <v>1258</v>
      </c>
      <c r="D707" s="26" t="s">
        <v>127</v>
      </c>
      <c r="E707" s="26" t="s">
        <v>127</v>
      </c>
      <c r="F707" s="25">
        <v>2018.0</v>
      </c>
      <c r="G707" s="25">
        <v>2024.0</v>
      </c>
      <c r="H707" s="25">
        <v>0.0</v>
      </c>
      <c r="I707" s="25">
        <v>38.6</v>
      </c>
      <c r="J707" s="50">
        <v>0.12</v>
      </c>
      <c r="K707" s="25">
        <v>4.6</v>
      </c>
      <c r="L707" s="51">
        <v>0.0</v>
      </c>
      <c r="M707" s="51">
        <v>0.0</v>
      </c>
      <c r="N707" s="25">
        <v>62.0</v>
      </c>
      <c r="O707" s="25"/>
      <c r="P707" s="26" t="s">
        <v>74</v>
      </c>
      <c r="Q707" s="52">
        <v>20000.0</v>
      </c>
      <c r="R707" s="26" t="s">
        <v>1259</v>
      </c>
      <c r="S707" s="25">
        <v>2020.0</v>
      </c>
      <c r="T707" s="25">
        <v>0.268</v>
      </c>
      <c r="U707" s="25">
        <f t="shared" si="161"/>
        <v>5360</v>
      </c>
      <c r="V707" s="24">
        <f t="shared" si="162"/>
        <v>138.8601036</v>
      </c>
      <c r="W707" s="3">
        <f t="shared" si="155"/>
        <v>0</v>
      </c>
      <c r="X707" s="3">
        <f t="shared" si="156"/>
        <v>0</v>
      </c>
      <c r="Y707" s="3">
        <f t="shared" si="157"/>
        <v>0</v>
      </c>
      <c r="Z707" s="25">
        <f t="shared" si="158"/>
        <v>0</v>
      </c>
      <c r="AA707" s="26">
        <f>VLOOKUP(S707,CPI!$A$2:$F$71,6,0)</f>
        <v>1.244593545</v>
      </c>
      <c r="AB707" s="27">
        <f t="shared" si="163"/>
        <v>6671.021402</v>
      </c>
      <c r="AC707" s="27">
        <f t="shared" si="164"/>
        <v>172.8243886</v>
      </c>
      <c r="AD707" s="26" t="s">
        <v>42</v>
      </c>
      <c r="AE707" s="53" t="s">
        <v>1261</v>
      </c>
      <c r="AF707" s="130"/>
      <c r="AG707" s="130"/>
      <c r="AH707" s="130"/>
      <c r="AI707" s="130"/>
      <c r="AJ707" s="33"/>
      <c r="AK707" s="33"/>
      <c r="AL707" s="33"/>
      <c r="AM707" s="33"/>
      <c r="AN707" s="33"/>
      <c r="AO707" s="33"/>
      <c r="AP707" s="33"/>
      <c r="AQ707" s="33"/>
    </row>
    <row r="708" ht="15.75" customHeight="1">
      <c r="A708" s="290"/>
      <c r="B708" s="66" t="s">
        <v>1262</v>
      </c>
      <c r="C708" s="74" t="s">
        <v>1263</v>
      </c>
      <c r="D708" s="115" t="s">
        <v>1264</v>
      </c>
      <c r="E708" s="74" t="s">
        <v>1264</v>
      </c>
      <c r="F708" s="115">
        <v>2019.0</v>
      </c>
      <c r="G708" s="115">
        <v>2026.0</v>
      </c>
      <c r="H708" s="116">
        <v>0.0</v>
      </c>
      <c r="I708" s="69">
        <v>29.65</v>
      </c>
      <c r="J708" s="71">
        <v>0.2591</v>
      </c>
      <c r="K708" s="69">
        <v>7.681</v>
      </c>
      <c r="L708" s="116">
        <v>21.969</v>
      </c>
      <c r="M708" s="114"/>
      <c r="N708" s="116">
        <v>27.0</v>
      </c>
      <c r="O708" s="116"/>
      <c r="P708" s="237" t="s">
        <v>74</v>
      </c>
      <c r="Q708" s="73">
        <v>83796.0</v>
      </c>
      <c r="R708" s="114" t="s">
        <v>1265</v>
      </c>
      <c r="S708" s="115">
        <v>2022.0</v>
      </c>
      <c r="T708" s="115">
        <v>0.0483</v>
      </c>
      <c r="U708" s="75">
        <f t="shared" si="161"/>
        <v>4047.3468</v>
      </c>
      <c r="V708" s="24">
        <f t="shared" si="162"/>
        <v>136.5041079</v>
      </c>
      <c r="W708" s="3">
        <f t="shared" si="155"/>
        <v>0</v>
      </c>
      <c r="X708" s="3">
        <f t="shared" si="156"/>
        <v>0</v>
      </c>
      <c r="Y708" s="3">
        <f t="shared" si="157"/>
        <v>0</v>
      </c>
      <c r="Z708" s="25">
        <f t="shared" si="158"/>
        <v>0</v>
      </c>
      <c r="AA708" s="26">
        <f>VLOOKUP(S708,CPI!$A$2:$F$71,6,0)</f>
        <v>1.100662897</v>
      </c>
      <c r="AB708" s="27">
        <f t="shared" si="163"/>
        <v>4454.764452</v>
      </c>
      <c r="AC708" s="27">
        <f t="shared" si="164"/>
        <v>150.2450068</v>
      </c>
      <c r="AD708" s="115" t="s">
        <v>42</v>
      </c>
      <c r="AE708" s="161" t="s">
        <v>1266</v>
      </c>
      <c r="AF708" s="7"/>
      <c r="AG708" s="7"/>
      <c r="AH708" s="7"/>
      <c r="AI708" s="7"/>
      <c r="AM708" s="33"/>
      <c r="AN708" s="33"/>
      <c r="AO708" s="33"/>
      <c r="AP708" s="33"/>
      <c r="AQ708" s="33"/>
    </row>
    <row r="709" ht="15.75" customHeight="1">
      <c r="A709" s="38">
        <v>7546.0</v>
      </c>
      <c r="B709" s="26" t="s">
        <v>1262</v>
      </c>
      <c r="C709" s="63" t="s">
        <v>1267</v>
      </c>
      <c r="D709" s="1" t="s">
        <v>4</v>
      </c>
      <c r="E709" s="26" t="s">
        <v>34</v>
      </c>
      <c r="F709" s="25">
        <v>2015.0</v>
      </c>
      <c r="G709" s="25">
        <v>2023.0</v>
      </c>
      <c r="H709" s="25">
        <v>0.0</v>
      </c>
      <c r="I709" s="25">
        <v>40.0</v>
      </c>
      <c r="J709" s="50">
        <v>0.16</v>
      </c>
      <c r="K709" s="25">
        <v>6.4</v>
      </c>
      <c r="L709" s="51">
        <v>0.0</v>
      </c>
      <c r="M709" s="51">
        <v>0.0</v>
      </c>
      <c r="N709" s="25">
        <v>33.0</v>
      </c>
      <c r="O709" s="25"/>
      <c r="P709" s="26" t="s">
        <v>74</v>
      </c>
      <c r="Q709" s="52">
        <v>127000.0</v>
      </c>
      <c r="R709" s="26" t="s">
        <v>1265</v>
      </c>
      <c r="S709" s="25">
        <v>2019.0</v>
      </c>
      <c r="T709" s="25">
        <v>0.047</v>
      </c>
      <c r="U709" s="25">
        <f t="shared" si="161"/>
        <v>5969</v>
      </c>
      <c r="V709" s="24">
        <f t="shared" si="162"/>
        <v>149.225</v>
      </c>
      <c r="W709" s="3">
        <f t="shared" si="155"/>
        <v>0</v>
      </c>
      <c r="X709" s="3">
        <f t="shared" si="156"/>
        <v>0</v>
      </c>
      <c r="Y709" s="3">
        <f t="shared" si="157"/>
        <v>0</v>
      </c>
      <c r="Z709" s="25">
        <f t="shared" si="158"/>
        <v>0</v>
      </c>
      <c r="AA709" s="26">
        <f>VLOOKUP(S709,CPI!$A$2:$F$71,6,0)</f>
        <v>1.259947899</v>
      </c>
      <c r="AB709" s="27">
        <f t="shared" si="163"/>
        <v>7520.629009</v>
      </c>
      <c r="AC709" s="27">
        <f t="shared" si="164"/>
        <v>188.0157252</v>
      </c>
      <c r="AD709" s="26" t="s">
        <v>42</v>
      </c>
      <c r="AE709" s="53" t="s">
        <v>1268</v>
      </c>
      <c r="AF709" s="178"/>
      <c r="AG709" s="172"/>
      <c r="AH709" s="172"/>
      <c r="AI709" s="172"/>
      <c r="AJ709" s="32"/>
      <c r="AK709" s="32"/>
      <c r="AL709" s="32"/>
      <c r="AM709" s="32"/>
      <c r="AN709" s="32"/>
      <c r="AO709" s="32"/>
      <c r="AP709" s="32"/>
      <c r="AQ709" s="33"/>
    </row>
    <row r="710" ht="15.75" customHeight="1">
      <c r="A710" s="38">
        <v>7537.0</v>
      </c>
      <c r="B710" s="26" t="s">
        <v>1262</v>
      </c>
      <c r="C710" s="26" t="s">
        <v>1269</v>
      </c>
      <c r="D710" s="1" t="s">
        <v>1270</v>
      </c>
      <c r="E710" s="26" t="s">
        <v>34</v>
      </c>
      <c r="F710" s="25">
        <v>2006.0</v>
      </c>
      <c r="G710" s="25">
        <v>2017.0</v>
      </c>
      <c r="H710" s="25">
        <v>0.0</v>
      </c>
      <c r="I710" s="25">
        <v>42.3</v>
      </c>
      <c r="J710" s="50">
        <v>0.2</v>
      </c>
      <c r="K710" s="25">
        <v>8.5</v>
      </c>
      <c r="L710" s="51">
        <v>0.0</v>
      </c>
      <c r="M710" s="51">
        <v>0.0</v>
      </c>
      <c r="N710" s="25">
        <v>41.0</v>
      </c>
      <c r="O710" s="25"/>
      <c r="P710" s="26" t="s">
        <v>74</v>
      </c>
      <c r="Q710" s="52">
        <v>144050.0</v>
      </c>
      <c r="R710" s="26" t="s">
        <v>1265</v>
      </c>
      <c r="S710" s="25">
        <v>2011.0</v>
      </c>
      <c r="T710" s="58">
        <v>0.064</v>
      </c>
      <c r="U710" s="25">
        <f t="shared" si="161"/>
        <v>9219.2</v>
      </c>
      <c r="V710" s="24">
        <f t="shared" si="162"/>
        <v>217.9479905</v>
      </c>
      <c r="W710" s="3">
        <f t="shared" si="155"/>
        <v>0</v>
      </c>
      <c r="X710" s="3">
        <f t="shared" si="156"/>
        <v>0</v>
      </c>
      <c r="Y710" s="3">
        <f t="shared" si="157"/>
        <v>0</v>
      </c>
      <c r="Z710" s="25">
        <f t="shared" si="158"/>
        <v>0</v>
      </c>
      <c r="AA710" s="26">
        <f>VLOOKUP(S710,CPI!$A$2:$F$71,6,0)</f>
        <v>1.432008233</v>
      </c>
      <c r="AB710" s="27">
        <f t="shared" si="163"/>
        <v>13201.9703</v>
      </c>
      <c r="AC710" s="27">
        <f t="shared" si="164"/>
        <v>312.1033169</v>
      </c>
      <c r="AD710" s="26" t="s">
        <v>42</v>
      </c>
      <c r="AE710" s="57" t="s">
        <v>1271</v>
      </c>
      <c r="AF710" s="178"/>
      <c r="AG710" s="172"/>
      <c r="AH710" s="172"/>
      <c r="AI710" s="172"/>
      <c r="AJ710" s="32"/>
      <c r="AK710" s="32"/>
      <c r="AL710" s="32"/>
      <c r="AM710" s="32"/>
      <c r="AN710" s="32"/>
      <c r="AO710" s="32"/>
      <c r="AP710" s="32"/>
      <c r="AQ710" s="33"/>
    </row>
    <row r="711" ht="15.75" customHeight="1">
      <c r="A711" s="38">
        <v>7536.0</v>
      </c>
      <c r="B711" s="26" t="s">
        <v>1262</v>
      </c>
      <c r="C711" s="26" t="s">
        <v>1269</v>
      </c>
      <c r="D711" s="1" t="s">
        <v>1270</v>
      </c>
      <c r="E711" s="26" t="s">
        <v>38</v>
      </c>
      <c r="F711" s="25">
        <v>2017.0</v>
      </c>
      <c r="G711" s="25">
        <v>2024.0</v>
      </c>
      <c r="H711" s="25">
        <v>0.0</v>
      </c>
      <c r="I711" s="25">
        <v>73.9</v>
      </c>
      <c r="J711" s="59">
        <v>0.1867</v>
      </c>
      <c r="K711" s="58">
        <v>13.8</v>
      </c>
      <c r="L711" s="51">
        <v>0.0</v>
      </c>
      <c r="M711" s="51">
        <v>0.0</v>
      </c>
      <c r="N711" s="25">
        <v>62.0</v>
      </c>
      <c r="O711" s="25"/>
      <c r="P711" s="26" t="s">
        <v>36</v>
      </c>
      <c r="Q711" s="52">
        <v>306950.0</v>
      </c>
      <c r="R711" s="26" t="s">
        <v>1265</v>
      </c>
      <c r="S711" s="25">
        <v>2020.0</v>
      </c>
      <c r="T711" s="25">
        <v>0.047</v>
      </c>
      <c r="U711" s="25">
        <f t="shared" si="161"/>
        <v>14426.65</v>
      </c>
      <c r="V711" s="24">
        <f t="shared" si="162"/>
        <v>195.2185386</v>
      </c>
      <c r="W711" s="3">
        <f t="shared" si="155"/>
        <v>0</v>
      </c>
      <c r="X711" s="3">
        <f t="shared" si="156"/>
        <v>0</v>
      </c>
      <c r="Y711" s="3">
        <f t="shared" si="157"/>
        <v>0</v>
      </c>
      <c r="Z711" s="25">
        <f t="shared" si="158"/>
        <v>0</v>
      </c>
      <c r="AA711" s="26">
        <f>VLOOKUP(S711,CPI!$A$2:$F$71,6,0)</f>
        <v>1.244593545</v>
      </c>
      <c r="AB711" s="27">
        <f t="shared" si="163"/>
        <v>17955.31547</v>
      </c>
      <c r="AC711" s="27">
        <f t="shared" si="164"/>
        <v>242.967733</v>
      </c>
      <c r="AD711" s="26" t="s">
        <v>42</v>
      </c>
      <c r="AE711" s="53" t="s">
        <v>1272</v>
      </c>
      <c r="AF711" s="178"/>
      <c r="AG711" s="172"/>
      <c r="AH711" s="172"/>
      <c r="AI711" s="172"/>
      <c r="AJ711" s="32"/>
      <c r="AK711" s="32"/>
      <c r="AL711" s="32"/>
      <c r="AM711" s="175"/>
      <c r="AN711" s="175"/>
      <c r="AO711" s="175"/>
      <c r="AP711" s="175"/>
    </row>
    <row r="712" ht="15.75" customHeight="1">
      <c r="A712" s="38">
        <v>7553.0</v>
      </c>
      <c r="B712" s="26" t="s">
        <v>1262</v>
      </c>
      <c r="C712" s="26" t="s">
        <v>1273</v>
      </c>
      <c r="D712" s="1" t="s">
        <v>34</v>
      </c>
      <c r="E712" s="26" t="s">
        <v>34</v>
      </c>
      <c r="F712" s="25">
        <v>2009.0</v>
      </c>
      <c r="G712" s="25">
        <v>2019.0</v>
      </c>
      <c r="H712" s="25">
        <v>0.0</v>
      </c>
      <c r="I712" s="25">
        <v>45.1</v>
      </c>
      <c r="J712" s="50">
        <v>0.53</v>
      </c>
      <c r="K712" s="25">
        <v>24.0</v>
      </c>
      <c r="L712" s="51">
        <v>0.0</v>
      </c>
      <c r="M712" s="51">
        <v>0.0</v>
      </c>
      <c r="N712" s="25">
        <v>34.0</v>
      </c>
      <c r="O712" s="25"/>
      <c r="P712" s="26" t="s">
        <v>36</v>
      </c>
      <c r="Q712" s="52">
        <v>200000.0</v>
      </c>
      <c r="R712" s="26" t="s">
        <v>1265</v>
      </c>
      <c r="S712" s="25">
        <v>2014.0</v>
      </c>
      <c r="T712" s="25">
        <v>0.054</v>
      </c>
      <c r="U712" s="25">
        <f t="shared" si="161"/>
        <v>10800</v>
      </c>
      <c r="V712" s="24">
        <f t="shared" si="162"/>
        <v>239.4678492</v>
      </c>
      <c r="W712" s="3">
        <f t="shared" si="155"/>
        <v>0</v>
      </c>
      <c r="X712" s="3">
        <f t="shared" si="156"/>
        <v>0</v>
      </c>
      <c r="Y712" s="3">
        <f t="shared" si="157"/>
        <v>0</v>
      </c>
      <c r="Z712" s="25">
        <f t="shared" si="158"/>
        <v>0</v>
      </c>
      <c r="AA712" s="26">
        <f>VLOOKUP(S712,CPI!$A$2:$F$71,6,0)</f>
        <v>1.360648571</v>
      </c>
      <c r="AB712" s="27">
        <f t="shared" si="163"/>
        <v>14695.00456</v>
      </c>
      <c r="AC712" s="27">
        <f t="shared" si="164"/>
        <v>325.8315867</v>
      </c>
      <c r="AD712" s="26" t="s">
        <v>42</v>
      </c>
      <c r="AE712" s="53" t="s">
        <v>1274</v>
      </c>
      <c r="AF712" s="130"/>
      <c r="AG712" s="130"/>
      <c r="AH712" s="130"/>
      <c r="AI712" s="130"/>
      <c r="AJ712" s="33"/>
      <c r="AK712" s="33"/>
      <c r="AL712" s="33"/>
    </row>
    <row r="713" ht="15.75" customHeight="1">
      <c r="A713" s="38">
        <v>7554.0</v>
      </c>
      <c r="B713" s="26" t="s">
        <v>1262</v>
      </c>
      <c r="C713" s="26" t="s">
        <v>1273</v>
      </c>
      <c r="D713" s="1" t="s">
        <v>34</v>
      </c>
      <c r="E713" s="26" t="s">
        <v>1275</v>
      </c>
      <c r="F713" s="25">
        <v>2016.0</v>
      </c>
      <c r="G713" s="25">
        <v>2020.0</v>
      </c>
      <c r="H713" s="25">
        <v>0.0</v>
      </c>
      <c r="I713" s="25">
        <v>9.1</v>
      </c>
      <c r="J713" s="50">
        <v>0.26</v>
      </c>
      <c r="K713" s="25">
        <v>2.4</v>
      </c>
      <c r="L713" s="51">
        <v>0.0</v>
      </c>
      <c r="M713" s="51">
        <v>0.0</v>
      </c>
      <c r="N713" s="25">
        <v>9.0</v>
      </c>
      <c r="O713" s="25"/>
      <c r="P713" s="26" t="s">
        <v>36</v>
      </c>
      <c r="Q713" s="52">
        <v>37700.0</v>
      </c>
      <c r="R713" s="26" t="s">
        <v>1265</v>
      </c>
      <c r="S713" s="25">
        <v>2018.0</v>
      </c>
      <c r="T713" s="25">
        <v>0.048</v>
      </c>
      <c r="U713" s="25">
        <f t="shared" si="161"/>
        <v>1809.6</v>
      </c>
      <c r="V713" s="24">
        <f t="shared" si="162"/>
        <v>198.8571429</v>
      </c>
      <c r="W713" s="3">
        <f t="shared" si="155"/>
        <v>0</v>
      </c>
      <c r="X713" s="3">
        <f t="shared" si="156"/>
        <v>0</v>
      </c>
      <c r="Y713" s="3">
        <f t="shared" si="157"/>
        <v>0</v>
      </c>
      <c r="Z713" s="25">
        <f t="shared" si="158"/>
        <v>0</v>
      </c>
      <c r="AA713" s="26">
        <f>VLOOKUP(S713,CPI!$A$2:$F$71,6,0)</f>
        <v>1.28277786</v>
      </c>
      <c r="AB713" s="27">
        <f t="shared" si="163"/>
        <v>2321.314815</v>
      </c>
      <c r="AC713" s="27">
        <f t="shared" si="164"/>
        <v>255.0895401</v>
      </c>
      <c r="AD713" s="26" t="s">
        <v>36</v>
      </c>
      <c r="AE713" s="53" t="s">
        <v>1276</v>
      </c>
      <c r="AF713" s="130"/>
      <c r="AG713" s="130"/>
      <c r="AH713" s="130"/>
      <c r="AI713" s="130"/>
      <c r="AJ713" s="33"/>
      <c r="AK713" s="33"/>
      <c r="AL713" s="33"/>
    </row>
    <row r="714" ht="15.75" customHeight="1">
      <c r="A714" s="38">
        <v>7555.0</v>
      </c>
      <c r="B714" s="26" t="s">
        <v>1262</v>
      </c>
      <c r="C714" s="26" t="s">
        <v>1273</v>
      </c>
      <c r="D714" s="1" t="s">
        <v>38</v>
      </c>
      <c r="E714" s="26" t="s">
        <v>38</v>
      </c>
      <c r="F714" s="25">
        <v>2020.0</v>
      </c>
      <c r="G714" s="25">
        <v>2026.0</v>
      </c>
      <c r="H714" s="25">
        <v>0.0</v>
      </c>
      <c r="I714" s="25">
        <v>118.9</v>
      </c>
      <c r="J714" s="50">
        <v>0.36</v>
      </c>
      <c r="K714" s="25">
        <v>42.8</v>
      </c>
      <c r="L714" s="51">
        <v>0.0</v>
      </c>
      <c r="M714" s="51">
        <v>0.0</v>
      </c>
      <c r="N714" s="25">
        <v>128.0</v>
      </c>
      <c r="O714" s="25"/>
      <c r="P714" s="26" t="s">
        <v>42</v>
      </c>
      <c r="Q714" s="52">
        <v>691800.0</v>
      </c>
      <c r="R714" s="26" t="s">
        <v>1265</v>
      </c>
      <c r="S714" s="25">
        <v>2023.0</v>
      </c>
      <c r="T714" s="25">
        <v>0.047</v>
      </c>
      <c r="U714" s="25">
        <f t="shared" si="161"/>
        <v>32514.6</v>
      </c>
      <c r="V714" s="24">
        <f t="shared" si="162"/>
        <v>273.4617325</v>
      </c>
      <c r="W714" s="3">
        <f t="shared" si="155"/>
        <v>0</v>
      </c>
      <c r="X714" s="3">
        <f t="shared" si="156"/>
        <v>0</v>
      </c>
      <c r="Y714" s="3">
        <f t="shared" si="157"/>
        <v>0</v>
      </c>
      <c r="Z714" s="25">
        <f t="shared" si="158"/>
        <v>0</v>
      </c>
      <c r="AA714" s="26">
        <f>VLOOKUP(S714,CPI!$A$2:$F$71,6,0)</f>
        <v>1.057145998</v>
      </c>
      <c r="AB714" s="27">
        <f t="shared" si="163"/>
        <v>34372.67928</v>
      </c>
      <c r="AC714" s="27">
        <f t="shared" si="164"/>
        <v>289.0889763</v>
      </c>
      <c r="AD714" s="26" t="s">
        <v>42</v>
      </c>
      <c r="AE714" s="53" t="s">
        <v>1277</v>
      </c>
      <c r="AF714" s="130"/>
      <c r="AG714" s="130"/>
      <c r="AH714" s="130"/>
      <c r="AI714" s="130"/>
      <c r="AJ714" s="33"/>
      <c r="AK714" s="33"/>
      <c r="AL714" s="33"/>
    </row>
    <row r="715" ht="15.75" customHeight="1">
      <c r="A715" s="61">
        <v>9785.0</v>
      </c>
      <c r="B715" s="26" t="s">
        <v>1262</v>
      </c>
      <c r="C715" s="26" t="s">
        <v>1278</v>
      </c>
      <c r="D715" s="26" t="s">
        <v>1279</v>
      </c>
      <c r="E715" s="26" t="s">
        <v>1279</v>
      </c>
      <c r="F715" s="25">
        <v>2015.0</v>
      </c>
      <c r="G715" s="25">
        <v>2019.0</v>
      </c>
      <c r="H715" s="25">
        <v>0.0</v>
      </c>
      <c r="I715" s="25">
        <v>29.7</v>
      </c>
      <c r="J715" s="50">
        <v>0.0</v>
      </c>
      <c r="K715" s="25">
        <v>0.0</v>
      </c>
      <c r="L715" s="51">
        <v>0.0</v>
      </c>
      <c r="M715" s="51">
        <v>0.0</v>
      </c>
      <c r="N715" s="25">
        <v>21.0</v>
      </c>
      <c r="O715" s="25"/>
      <c r="P715" s="26" t="s">
        <v>36</v>
      </c>
      <c r="Q715" s="52">
        <v>42610.0</v>
      </c>
      <c r="R715" s="26" t="s">
        <v>1265</v>
      </c>
      <c r="S715" s="25">
        <v>2017.0</v>
      </c>
      <c r="T715" s="25">
        <v>0.048</v>
      </c>
      <c r="U715" s="25">
        <f t="shared" si="161"/>
        <v>2045.28</v>
      </c>
      <c r="V715" s="24">
        <f t="shared" si="162"/>
        <v>68.86464646</v>
      </c>
      <c r="W715" s="3">
        <f t="shared" si="155"/>
        <v>0</v>
      </c>
      <c r="X715" s="3">
        <f t="shared" si="156"/>
        <v>0</v>
      </c>
      <c r="Y715" s="3">
        <f t="shared" si="157"/>
        <v>0</v>
      </c>
      <c r="Z715" s="25">
        <f t="shared" si="158"/>
        <v>0</v>
      </c>
      <c r="AA715" s="26">
        <f>VLOOKUP(S715,CPI!$A$2:$F$71,6,0)</f>
        <v>1.314109416</v>
      </c>
      <c r="AB715" s="27">
        <f t="shared" si="163"/>
        <v>2687.721706</v>
      </c>
      <c r="AC715" s="27">
        <f t="shared" si="164"/>
        <v>90.49568033</v>
      </c>
      <c r="AD715" s="26" t="s">
        <v>42</v>
      </c>
      <c r="AE715" s="53" t="s">
        <v>1280</v>
      </c>
      <c r="AF715" s="130"/>
      <c r="AG715" s="130"/>
      <c r="AH715" s="130"/>
      <c r="AI715" s="130"/>
      <c r="AJ715" s="33"/>
      <c r="AK715" s="33"/>
      <c r="AL715" s="33"/>
    </row>
    <row r="716" ht="15.75" customHeight="1">
      <c r="A716" s="38">
        <v>7368.0</v>
      </c>
      <c r="B716" s="26" t="s">
        <v>1262</v>
      </c>
      <c r="C716" s="26" t="s">
        <v>1278</v>
      </c>
      <c r="D716" s="26" t="s">
        <v>1281</v>
      </c>
      <c r="E716" s="26" t="s">
        <v>1281</v>
      </c>
      <c r="F716" s="25">
        <v>2012.0</v>
      </c>
      <c r="G716" s="25">
        <v>2020.0</v>
      </c>
      <c r="H716" s="25">
        <v>0.0</v>
      </c>
      <c r="I716" s="25">
        <v>160.6</v>
      </c>
      <c r="J716" s="50">
        <v>0.33</v>
      </c>
      <c r="K716" s="25">
        <v>53.0</v>
      </c>
      <c r="L716" s="51">
        <v>0.0</v>
      </c>
      <c r="M716" s="51">
        <v>0.0</v>
      </c>
      <c r="N716" s="25">
        <v>109.0</v>
      </c>
      <c r="O716" s="25"/>
      <c r="P716" s="26" t="s">
        <v>74</v>
      </c>
      <c r="Q716" s="52">
        <v>410790.0</v>
      </c>
      <c r="R716" s="26" t="s">
        <v>1265</v>
      </c>
      <c r="S716" s="25">
        <v>2016.0</v>
      </c>
      <c r="T716" s="25">
        <v>0.05</v>
      </c>
      <c r="U716" s="25">
        <f t="shared" si="161"/>
        <v>20539.5</v>
      </c>
      <c r="V716" s="24">
        <f t="shared" si="162"/>
        <v>127.892279</v>
      </c>
      <c r="W716" s="3">
        <f t="shared" si="155"/>
        <v>0</v>
      </c>
      <c r="X716" s="3">
        <f t="shared" si="156"/>
        <v>0</v>
      </c>
      <c r="Y716" s="3">
        <f t="shared" si="157"/>
        <v>0</v>
      </c>
      <c r="Z716" s="25">
        <f t="shared" si="158"/>
        <v>0</v>
      </c>
      <c r="AA716" s="26">
        <f>VLOOKUP(S716,CPI!$A$2:$F$71,6,0)</f>
        <v>1.342104605</v>
      </c>
      <c r="AB716" s="27">
        <f t="shared" si="163"/>
        <v>27566.15754</v>
      </c>
      <c r="AC716" s="27">
        <f t="shared" si="164"/>
        <v>171.6448166</v>
      </c>
      <c r="AD716" s="26" t="s">
        <v>60</v>
      </c>
      <c r="AE716" s="57" t="s">
        <v>1282</v>
      </c>
      <c r="AF716" s="130"/>
      <c r="AG716" s="130"/>
      <c r="AH716" s="130"/>
      <c r="AI716" s="130"/>
      <c r="AJ716" s="33"/>
      <c r="AK716" s="33"/>
      <c r="AL716" s="33"/>
    </row>
    <row r="717" ht="15.75" customHeight="1">
      <c r="A717" s="38">
        <v>7369.0</v>
      </c>
      <c r="B717" s="26" t="s">
        <v>1262</v>
      </c>
      <c r="C717" s="26" t="s">
        <v>1278</v>
      </c>
      <c r="D717" s="1" t="s">
        <v>1283</v>
      </c>
      <c r="E717" s="26" t="s">
        <v>1284</v>
      </c>
      <c r="F717" s="25">
        <v>2019.0</v>
      </c>
      <c r="G717" s="25">
        <v>2025.0</v>
      </c>
      <c r="H717" s="25">
        <v>0.0</v>
      </c>
      <c r="I717" s="25">
        <v>61.7</v>
      </c>
      <c r="J717" s="50">
        <v>0.36</v>
      </c>
      <c r="K717" s="25">
        <v>22.3</v>
      </c>
      <c r="L717" s="51">
        <v>0.0</v>
      </c>
      <c r="M717" s="51">
        <v>0.0</v>
      </c>
      <c r="N717" s="25">
        <v>46.0</v>
      </c>
      <c r="O717" s="25"/>
      <c r="P717" s="26" t="s">
        <v>42</v>
      </c>
      <c r="Q717" s="52">
        <v>249486.5</v>
      </c>
      <c r="R717" s="26" t="s">
        <v>1265</v>
      </c>
      <c r="S717" s="25">
        <v>2022.0</v>
      </c>
      <c r="T717" s="25">
        <v>0.047</v>
      </c>
      <c r="U717" s="25">
        <f t="shared" si="161"/>
        <v>11725.8655</v>
      </c>
      <c r="V717" s="24">
        <f t="shared" si="162"/>
        <v>190.0464425</v>
      </c>
      <c r="W717" s="3">
        <f t="shared" si="155"/>
        <v>0</v>
      </c>
      <c r="X717" s="3">
        <f t="shared" si="156"/>
        <v>0</v>
      </c>
      <c r="Y717" s="3">
        <f t="shared" si="157"/>
        <v>0</v>
      </c>
      <c r="Z717" s="25">
        <f t="shared" si="158"/>
        <v>0</v>
      </c>
      <c r="AA717" s="26">
        <f>VLOOKUP(S717,CPI!$A$2:$F$71,6,0)</f>
        <v>1.100662897</v>
      </c>
      <c r="AB717" s="27">
        <f t="shared" si="163"/>
        <v>12906.22509</v>
      </c>
      <c r="AC717" s="27">
        <f t="shared" si="164"/>
        <v>209.1770678</v>
      </c>
      <c r="AD717" s="26" t="s">
        <v>42</v>
      </c>
      <c r="AE717" s="53" t="s">
        <v>1285</v>
      </c>
      <c r="AF717" s="130"/>
      <c r="AG717" s="130"/>
      <c r="AH717" s="130"/>
      <c r="AI717" s="130"/>
      <c r="AJ717" s="33"/>
      <c r="AK717" s="33"/>
      <c r="AL717" s="33"/>
    </row>
    <row r="718" ht="15.75" customHeight="1">
      <c r="A718" s="38">
        <v>7370.0</v>
      </c>
      <c r="B718" s="26" t="s">
        <v>1262</v>
      </c>
      <c r="C718" s="26" t="s">
        <v>1278</v>
      </c>
      <c r="D718" s="1" t="s">
        <v>1283</v>
      </c>
      <c r="E718" s="26" t="s">
        <v>1286</v>
      </c>
      <c r="F718" s="25">
        <v>2019.0</v>
      </c>
      <c r="G718" s="25">
        <v>2025.0</v>
      </c>
      <c r="H718" s="25">
        <v>0.0</v>
      </c>
      <c r="I718" s="25">
        <v>42.3</v>
      </c>
      <c r="J718" s="50">
        <v>0.35</v>
      </c>
      <c r="K718" s="25">
        <v>14.7</v>
      </c>
      <c r="L718" s="51">
        <v>0.0</v>
      </c>
      <c r="M718" s="51">
        <v>0.0</v>
      </c>
      <c r="N718" s="25">
        <v>43.0</v>
      </c>
      <c r="O718" s="25"/>
      <c r="P718" s="26" t="s">
        <v>42</v>
      </c>
      <c r="Q718" s="52">
        <v>215363.5</v>
      </c>
      <c r="R718" s="26" t="s">
        <v>1265</v>
      </c>
      <c r="S718" s="25">
        <v>2022.0</v>
      </c>
      <c r="T718" s="25">
        <v>0.047</v>
      </c>
      <c r="U718" s="25">
        <f t="shared" si="161"/>
        <v>10122.0845</v>
      </c>
      <c r="V718" s="24">
        <f t="shared" si="162"/>
        <v>239.2927778</v>
      </c>
      <c r="W718" s="3">
        <f t="shared" si="155"/>
        <v>0</v>
      </c>
      <c r="X718" s="3">
        <f t="shared" si="156"/>
        <v>0</v>
      </c>
      <c r="Y718" s="3">
        <f t="shared" si="157"/>
        <v>0</v>
      </c>
      <c r="Z718" s="25">
        <f t="shared" si="158"/>
        <v>0</v>
      </c>
      <c r="AA718" s="26">
        <f>VLOOKUP(S718,CPI!$A$2:$F$71,6,0)</f>
        <v>1.100662897</v>
      </c>
      <c r="AB718" s="27">
        <f t="shared" si="163"/>
        <v>11141.00285</v>
      </c>
      <c r="AC718" s="27">
        <f t="shared" si="164"/>
        <v>263.3806819</v>
      </c>
      <c r="AD718" s="26" t="s">
        <v>42</v>
      </c>
      <c r="AE718" s="53" t="s">
        <v>1287</v>
      </c>
      <c r="AF718" s="130"/>
      <c r="AG718" s="130"/>
      <c r="AH718" s="130"/>
      <c r="AI718" s="130"/>
      <c r="AJ718" s="33"/>
      <c r="AK718" s="33"/>
      <c r="AL718" s="33"/>
    </row>
    <row r="719" ht="15.75" customHeight="1">
      <c r="A719" s="38">
        <v>7538.0</v>
      </c>
      <c r="B719" s="26" t="s">
        <v>1262</v>
      </c>
      <c r="C719" s="26" t="s">
        <v>1288</v>
      </c>
      <c r="D719" s="1" t="s">
        <v>1288</v>
      </c>
      <c r="E719" s="26" t="s">
        <v>34</v>
      </c>
      <c r="F719" s="25">
        <v>2009.0</v>
      </c>
      <c r="G719" s="25">
        <v>2013.0</v>
      </c>
      <c r="H719" s="25">
        <v>0.0</v>
      </c>
      <c r="I719" s="25">
        <v>5.5</v>
      </c>
      <c r="J719" s="50">
        <v>0.0</v>
      </c>
      <c r="K719" s="25">
        <v>0.0</v>
      </c>
      <c r="L719" s="51">
        <v>0.0</v>
      </c>
      <c r="M719" s="51">
        <v>0.0</v>
      </c>
      <c r="N719" s="25">
        <v>6.0</v>
      </c>
      <c r="O719" s="25"/>
      <c r="P719" s="26" t="s">
        <v>74</v>
      </c>
      <c r="Q719" s="52">
        <v>10880.0</v>
      </c>
      <c r="R719" s="26" t="s">
        <v>1265</v>
      </c>
      <c r="S719" s="25">
        <v>2011.0</v>
      </c>
      <c r="T719" s="25">
        <v>0.064</v>
      </c>
      <c r="U719" s="25">
        <f t="shared" si="161"/>
        <v>696.32</v>
      </c>
      <c r="V719" s="24">
        <f t="shared" si="162"/>
        <v>126.6036364</v>
      </c>
      <c r="W719" s="3">
        <f t="shared" si="155"/>
        <v>0</v>
      </c>
      <c r="X719" s="3">
        <f t="shared" si="156"/>
        <v>0</v>
      </c>
      <c r="Y719" s="3">
        <f t="shared" si="157"/>
        <v>0</v>
      </c>
      <c r="Z719" s="25">
        <f t="shared" si="158"/>
        <v>0</v>
      </c>
      <c r="AA719" s="26">
        <f>VLOOKUP(S719,CPI!$A$2:$F$71,6,0)</f>
        <v>1.432008233</v>
      </c>
      <c r="AB719" s="27">
        <f t="shared" si="163"/>
        <v>997.135973</v>
      </c>
      <c r="AC719" s="27">
        <f t="shared" si="164"/>
        <v>181.2974496</v>
      </c>
      <c r="AD719" s="26" t="s">
        <v>42</v>
      </c>
      <c r="AE719" s="53" t="s">
        <v>1289</v>
      </c>
      <c r="AF719" s="130"/>
      <c r="AG719" s="130"/>
      <c r="AH719" s="130"/>
      <c r="AI719" s="130"/>
      <c r="AJ719" s="33"/>
      <c r="AK719" s="33"/>
      <c r="AL719" s="33"/>
    </row>
    <row r="720" ht="15.75" customHeight="1">
      <c r="A720" s="38">
        <v>7539.0</v>
      </c>
      <c r="B720" s="26" t="s">
        <v>1262</v>
      </c>
      <c r="C720" s="26" t="s">
        <v>1288</v>
      </c>
      <c r="D720" s="1" t="s">
        <v>1288</v>
      </c>
      <c r="E720" s="26" t="s">
        <v>38</v>
      </c>
      <c r="F720" s="25">
        <v>2013.0</v>
      </c>
      <c r="G720" s="25">
        <v>2017.0</v>
      </c>
      <c r="H720" s="25">
        <v>0.0</v>
      </c>
      <c r="I720" s="25">
        <v>6.3</v>
      </c>
      <c r="J720" s="50">
        <v>0.0</v>
      </c>
      <c r="K720" s="25">
        <v>0.0</v>
      </c>
      <c r="L720" s="51">
        <v>0.0</v>
      </c>
      <c r="M720" s="51">
        <v>0.0</v>
      </c>
      <c r="N720" s="25">
        <v>5.0</v>
      </c>
      <c r="O720" s="25"/>
      <c r="P720" s="26" t="s">
        <v>74</v>
      </c>
      <c r="Q720" s="52">
        <v>24230.0</v>
      </c>
      <c r="R720" s="26" t="s">
        <v>1265</v>
      </c>
      <c r="S720" s="25">
        <v>2015.0</v>
      </c>
      <c r="T720" s="25">
        <v>0.052</v>
      </c>
      <c r="U720" s="25">
        <f t="shared" si="161"/>
        <v>1259.96</v>
      </c>
      <c r="V720" s="24">
        <f t="shared" si="162"/>
        <v>199.9936508</v>
      </c>
      <c r="W720" s="3">
        <f t="shared" si="155"/>
        <v>0</v>
      </c>
      <c r="X720" s="3">
        <f t="shared" si="156"/>
        <v>0</v>
      </c>
      <c r="Y720" s="3">
        <f t="shared" si="157"/>
        <v>0</v>
      </c>
      <c r="Z720" s="25">
        <f t="shared" si="158"/>
        <v>0</v>
      </c>
      <c r="AA720" s="26">
        <f>VLOOKUP(S720,CPI!$A$2:$F$71,6,0)</f>
        <v>1.359035428</v>
      </c>
      <c r="AB720" s="27">
        <f t="shared" si="163"/>
        <v>1712.330278</v>
      </c>
      <c r="AC720" s="27">
        <f t="shared" si="164"/>
        <v>271.7984568</v>
      </c>
      <c r="AD720" s="26" t="s">
        <v>42</v>
      </c>
      <c r="AE720" s="53" t="s">
        <v>1290</v>
      </c>
      <c r="AF720" s="130"/>
      <c r="AG720" s="130"/>
      <c r="AH720" s="130"/>
      <c r="AI720" s="130"/>
      <c r="AJ720" s="33"/>
      <c r="AK720" s="33"/>
      <c r="AL720" s="33"/>
    </row>
    <row r="721" ht="15.75" customHeight="1">
      <c r="A721" s="38">
        <v>7547.0</v>
      </c>
      <c r="B721" s="26" t="s">
        <v>1262</v>
      </c>
      <c r="C721" s="26" t="s">
        <v>1291</v>
      </c>
      <c r="D721" s="1" t="s">
        <v>1069</v>
      </c>
      <c r="E721" s="26" t="s">
        <v>34</v>
      </c>
      <c r="F721" s="25">
        <v>2012.0</v>
      </c>
      <c r="G721" s="25">
        <v>2020.0</v>
      </c>
      <c r="H721" s="25">
        <v>0.0</v>
      </c>
      <c r="I721" s="25">
        <v>72.0</v>
      </c>
      <c r="J721" s="50">
        <v>0.0</v>
      </c>
      <c r="K721" s="25">
        <v>0.0</v>
      </c>
      <c r="L721" s="51">
        <v>0.0</v>
      </c>
      <c r="M721" s="51">
        <v>0.0</v>
      </c>
      <c r="N721" s="25">
        <v>66.0</v>
      </c>
      <c r="O721" s="25"/>
      <c r="P721" s="26" t="s">
        <v>42</v>
      </c>
      <c r="Q721" s="52">
        <v>188000.0</v>
      </c>
      <c r="R721" s="26" t="s">
        <v>1265</v>
      </c>
      <c r="S721" s="25">
        <v>2016.0</v>
      </c>
      <c r="T721" s="25">
        <v>0.05</v>
      </c>
      <c r="U721" s="25">
        <f t="shared" si="161"/>
        <v>9400</v>
      </c>
      <c r="V721" s="24">
        <f t="shared" si="162"/>
        <v>130.5555556</v>
      </c>
      <c r="W721" s="3">
        <f t="shared" si="155"/>
        <v>0</v>
      </c>
      <c r="X721" s="3">
        <f t="shared" si="156"/>
        <v>0</v>
      </c>
      <c r="Y721" s="3">
        <f t="shared" si="157"/>
        <v>0</v>
      </c>
      <c r="Z721" s="25">
        <f t="shared" si="158"/>
        <v>0</v>
      </c>
      <c r="AA721" s="26">
        <f>VLOOKUP(S721,CPI!$A$2:$F$71,6,0)</f>
        <v>1.342104605</v>
      </c>
      <c r="AB721" s="27">
        <f t="shared" si="163"/>
        <v>12615.78329</v>
      </c>
      <c r="AC721" s="27">
        <f t="shared" si="164"/>
        <v>175.2192124</v>
      </c>
      <c r="AD721" s="26" t="s">
        <v>42</v>
      </c>
      <c r="AE721" s="53" t="s">
        <v>1292</v>
      </c>
      <c r="AF721" s="130"/>
      <c r="AG721" s="130"/>
      <c r="AH721" s="130"/>
      <c r="AI721" s="130"/>
      <c r="AJ721" s="33"/>
      <c r="AK721" s="33"/>
      <c r="AL721" s="33"/>
    </row>
    <row r="722" ht="15.75" customHeight="1">
      <c r="A722" s="38">
        <v>7552.0</v>
      </c>
      <c r="B722" s="26" t="s">
        <v>1262</v>
      </c>
      <c r="C722" s="26" t="s">
        <v>1291</v>
      </c>
      <c r="D722" s="26" t="s">
        <v>1293</v>
      </c>
      <c r="E722" s="26" t="s">
        <v>1293</v>
      </c>
      <c r="F722" s="25">
        <v>2020.0</v>
      </c>
      <c r="G722" s="26"/>
      <c r="H722" s="25">
        <v>0.0</v>
      </c>
      <c r="I722" s="25">
        <v>31.0</v>
      </c>
      <c r="J722" s="50">
        <v>0.08</v>
      </c>
      <c r="K722" s="25">
        <v>2.5</v>
      </c>
      <c r="L722" s="51">
        <v>0.0</v>
      </c>
      <c r="M722" s="51">
        <v>0.0</v>
      </c>
      <c r="N722" s="25">
        <v>10.0</v>
      </c>
      <c r="O722" s="25"/>
      <c r="P722" s="26" t="s">
        <v>42</v>
      </c>
      <c r="Q722" s="52">
        <v>46500.0</v>
      </c>
      <c r="R722" s="26" t="s">
        <v>1265</v>
      </c>
      <c r="S722" s="25">
        <v>2020.0</v>
      </c>
      <c r="T722" s="25">
        <v>0.047</v>
      </c>
      <c r="U722" s="25">
        <f t="shared" si="161"/>
        <v>2185.5</v>
      </c>
      <c r="V722" s="24">
        <f t="shared" si="162"/>
        <v>70.5</v>
      </c>
      <c r="W722" s="3">
        <f t="shared" si="155"/>
        <v>0</v>
      </c>
      <c r="X722" s="3">
        <f t="shared" si="156"/>
        <v>0</v>
      </c>
      <c r="Y722" s="3">
        <f t="shared" si="157"/>
        <v>0</v>
      </c>
      <c r="Z722" s="25">
        <f t="shared" si="158"/>
        <v>0</v>
      </c>
      <c r="AA722" s="26">
        <f>VLOOKUP(S722,CPI!$A$2:$F$71,6,0)</f>
        <v>1.244593545</v>
      </c>
      <c r="AB722" s="27">
        <f t="shared" si="163"/>
        <v>2720.059193</v>
      </c>
      <c r="AC722" s="27">
        <f t="shared" si="164"/>
        <v>87.74384493</v>
      </c>
      <c r="AD722" s="26" t="s">
        <v>42</v>
      </c>
      <c r="AE722" s="53" t="s">
        <v>1294</v>
      </c>
      <c r="AF722" s="130"/>
      <c r="AG722" s="130"/>
      <c r="AH722" s="130"/>
      <c r="AI722" s="130"/>
      <c r="AJ722" s="33"/>
      <c r="AK722" s="33"/>
      <c r="AL722" s="33"/>
    </row>
    <row r="723" ht="15.75" customHeight="1">
      <c r="A723" s="61">
        <v>9786.0</v>
      </c>
      <c r="B723" s="26" t="s">
        <v>1262</v>
      </c>
      <c r="C723" s="26" t="s">
        <v>1295</v>
      </c>
      <c r="D723" s="1" t="s">
        <v>1069</v>
      </c>
      <c r="E723" s="26" t="s">
        <v>34</v>
      </c>
      <c r="F723" s="25">
        <v>2011.0</v>
      </c>
      <c r="G723" s="25">
        <v>2020.0</v>
      </c>
      <c r="H723" s="25">
        <v>0.0</v>
      </c>
      <c r="I723" s="25">
        <v>12.1</v>
      </c>
      <c r="J723" s="50">
        <v>0.23</v>
      </c>
      <c r="K723" s="25">
        <v>2.8</v>
      </c>
      <c r="L723" s="51">
        <v>0.0</v>
      </c>
      <c r="M723" s="51">
        <v>0.0</v>
      </c>
      <c r="N723" s="25">
        <v>11.0</v>
      </c>
      <c r="O723" s="25"/>
      <c r="P723" s="26" t="s">
        <v>60</v>
      </c>
      <c r="Q723" s="52">
        <v>31490.0</v>
      </c>
      <c r="R723" s="26" t="s">
        <v>1265</v>
      </c>
      <c r="S723" s="25">
        <v>2011.0</v>
      </c>
      <c r="T723" s="25">
        <v>0.064</v>
      </c>
      <c r="U723" s="25">
        <f t="shared" si="161"/>
        <v>2015.36</v>
      </c>
      <c r="V723" s="24">
        <f t="shared" si="162"/>
        <v>166.5586777</v>
      </c>
      <c r="W723" s="3">
        <f t="shared" si="155"/>
        <v>0</v>
      </c>
      <c r="X723" s="3">
        <f t="shared" si="156"/>
        <v>0</v>
      </c>
      <c r="Y723" s="3">
        <f t="shared" si="157"/>
        <v>0</v>
      </c>
      <c r="Z723" s="25">
        <f t="shared" si="158"/>
        <v>0</v>
      </c>
      <c r="AA723" s="26">
        <f>VLOOKUP(S723,CPI!$A$2:$F$71,6,0)</f>
        <v>1.432008233</v>
      </c>
      <c r="AB723" s="27">
        <f t="shared" si="163"/>
        <v>2886.012113</v>
      </c>
      <c r="AC723" s="27">
        <f t="shared" si="164"/>
        <v>238.5133978</v>
      </c>
      <c r="AD723" s="26" t="s">
        <v>60</v>
      </c>
      <c r="AE723" s="53" t="s">
        <v>1296</v>
      </c>
      <c r="AF723" s="130"/>
      <c r="AG723" s="130"/>
      <c r="AH723" s="130"/>
      <c r="AI723" s="130"/>
      <c r="AJ723" s="33"/>
      <c r="AK723" s="33"/>
      <c r="AL723" s="33"/>
    </row>
    <row r="724" ht="15.75" customHeight="1">
      <c r="A724" s="7"/>
      <c r="B724" s="114" t="s">
        <v>1262</v>
      </c>
      <c r="C724" s="114" t="s">
        <v>1297</v>
      </c>
      <c r="D724" s="114" t="s">
        <v>57</v>
      </c>
      <c r="E724" s="114" t="s">
        <v>768</v>
      </c>
      <c r="F724" s="116">
        <v>2019.0</v>
      </c>
      <c r="G724" s="116">
        <v>2022.0</v>
      </c>
      <c r="H724" s="116">
        <v>0.0</v>
      </c>
      <c r="I724" s="116">
        <v>32.385</v>
      </c>
      <c r="J724" s="71">
        <v>0.399</v>
      </c>
      <c r="K724" s="116">
        <v>12.921</v>
      </c>
      <c r="L724" s="116">
        <v>19.464</v>
      </c>
      <c r="M724" s="114"/>
      <c r="N724" s="116">
        <v>31.0</v>
      </c>
      <c r="O724" s="116"/>
      <c r="P724" s="114"/>
      <c r="Q724" s="73">
        <v>110765.0</v>
      </c>
      <c r="R724" s="114" t="s">
        <v>1265</v>
      </c>
      <c r="S724" s="115">
        <v>2021.0</v>
      </c>
      <c r="T724" s="85">
        <v>0.0432</v>
      </c>
      <c r="U724" s="118">
        <f t="shared" si="161"/>
        <v>4785.048</v>
      </c>
      <c r="V724" s="24">
        <f t="shared" si="162"/>
        <v>147.7550718</v>
      </c>
      <c r="W724" s="3">
        <f t="shared" si="155"/>
        <v>0</v>
      </c>
      <c r="X724" s="3">
        <f t="shared" si="156"/>
        <v>0</v>
      </c>
      <c r="Y724" s="3">
        <f t="shared" si="157"/>
        <v>0</v>
      </c>
      <c r="Z724" s="25">
        <f t="shared" si="158"/>
        <v>0</v>
      </c>
      <c r="AA724" s="26">
        <f>VLOOKUP(S724,CPI!$A$2:$F$71,6,0)</f>
        <v>1.188745987</v>
      </c>
      <c r="AB724" s="27">
        <f t="shared" si="163"/>
        <v>5688.206606</v>
      </c>
      <c r="AC724" s="27">
        <f t="shared" si="164"/>
        <v>175.6432486</v>
      </c>
      <c r="AD724" s="115" t="s">
        <v>42</v>
      </c>
      <c r="AE724" s="161" t="s">
        <v>1298</v>
      </c>
      <c r="AF724" s="7"/>
      <c r="AG724" s="7"/>
      <c r="AH724" s="7"/>
      <c r="AI724" s="7"/>
    </row>
    <row r="725" ht="15.75" customHeight="1">
      <c r="A725" s="38">
        <v>7363.0</v>
      </c>
      <c r="B725" s="26" t="s">
        <v>1262</v>
      </c>
      <c r="C725" s="26" t="s">
        <v>1299</v>
      </c>
      <c r="D725" s="26" t="s">
        <v>1069</v>
      </c>
      <c r="E725" s="26" t="s">
        <v>1069</v>
      </c>
      <c r="F725" s="25">
        <v>2013.0</v>
      </c>
      <c r="G725" s="25">
        <v>2017.0</v>
      </c>
      <c r="H725" s="25">
        <v>0.0</v>
      </c>
      <c r="I725" s="25">
        <v>13.0</v>
      </c>
      <c r="J725" s="50">
        <v>0.0</v>
      </c>
      <c r="K725" s="25">
        <v>0.0</v>
      </c>
      <c r="L725" s="51">
        <v>0.0</v>
      </c>
      <c r="M725" s="51">
        <v>0.0</v>
      </c>
      <c r="N725" s="25">
        <v>11.0</v>
      </c>
      <c r="O725" s="25"/>
      <c r="P725" s="26" t="s">
        <v>60</v>
      </c>
      <c r="Q725" s="52">
        <v>51810.0</v>
      </c>
      <c r="R725" s="26" t="s">
        <v>1265</v>
      </c>
      <c r="S725" s="25">
        <v>2015.0</v>
      </c>
      <c r="T725" s="25">
        <v>0.052</v>
      </c>
      <c r="U725" s="25">
        <f t="shared" si="161"/>
        <v>2694.12</v>
      </c>
      <c r="V725" s="24">
        <f t="shared" si="162"/>
        <v>207.24</v>
      </c>
      <c r="W725" s="3">
        <f t="shared" si="155"/>
        <v>0</v>
      </c>
      <c r="X725" s="3">
        <f t="shared" si="156"/>
        <v>0</v>
      </c>
      <c r="Y725" s="3">
        <f t="shared" si="157"/>
        <v>0</v>
      </c>
      <c r="Z725" s="25">
        <f t="shared" si="158"/>
        <v>0</v>
      </c>
      <c r="AA725" s="26">
        <f>VLOOKUP(S725,CPI!$A$2:$F$71,6,0)</f>
        <v>1.359035428</v>
      </c>
      <c r="AB725" s="27">
        <f t="shared" si="163"/>
        <v>3661.404527</v>
      </c>
      <c r="AC725" s="27">
        <f t="shared" si="164"/>
        <v>281.6465021</v>
      </c>
      <c r="AD725" s="26" t="s">
        <v>60</v>
      </c>
      <c r="AE725" s="57" t="s">
        <v>1300</v>
      </c>
      <c r="AF725" s="130"/>
      <c r="AG725" s="130"/>
      <c r="AH725" s="130"/>
      <c r="AI725" s="130"/>
      <c r="AJ725" s="33"/>
      <c r="AK725" s="33"/>
      <c r="AL725" s="33"/>
    </row>
    <row r="726" ht="15.75" customHeight="1">
      <c r="A726" s="61">
        <v>9787.0</v>
      </c>
      <c r="B726" s="26" t="s">
        <v>1262</v>
      </c>
      <c r="C726" s="26" t="s">
        <v>1301</v>
      </c>
      <c r="D726" s="26" t="s">
        <v>57</v>
      </c>
      <c r="E726" s="26" t="s">
        <v>57</v>
      </c>
      <c r="F726" s="25">
        <v>2014.0</v>
      </c>
      <c r="G726" s="25">
        <v>2019.0</v>
      </c>
      <c r="H726" s="25">
        <v>0.0</v>
      </c>
      <c r="I726" s="25">
        <v>22.9</v>
      </c>
      <c r="J726" s="50">
        <v>0.15</v>
      </c>
      <c r="K726" s="25">
        <v>3.4</v>
      </c>
      <c r="L726" s="51">
        <v>0.0</v>
      </c>
      <c r="M726" s="51">
        <v>0.0</v>
      </c>
      <c r="N726" s="25">
        <v>22.0</v>
      </c>
      <c r="O726" s="25"/>
      <c r="P726" s="26" t="s">
        <v>60</v>
      </c>
      <c r="Q726" s="52">
        <v>69280.0</v>
      </c>
      <c r="R726" s="26" t="s">
        <v>1265</v>
      </c>
      <c r="S726" s="25">
        <v>2016.0</v>
      </c>
      <c r="T726" s="25">
        <v>0.05</v>
      </c>
      <c r="U726" s="25">
        <f t="shared" si="161"/>
        <v>3464</v>
      </c>
      <c r="V726" s="24">
        <f t="shared" si="162"/>
        <v>151.2663755</v>
      </c>
      <c r="W726" s="3">
        <f t="shared" si="155"/>
        <v>0</v>
      </c>
      <c r="X726" s="3">
        <f t="shared" si="156"/>
        <v>0</v>
      </c>
      <c r="Y726" s="3">
        <f t="shared" si="157"/>
        <v>0</v>
      </c>
      <c r="Z726" s="25">
        <f t="shared" si="158"/>
        <v>0</v>
      </c>
      <c r="AA726" s="26">
        <f>VLOOKUP(S726,CPI!$A$2:$F$71,6,0)</f>
        <v>1.342104605</v>
      </c>
      <c r="AB726" s="27">
        <f t="shared" si="163"/>
        <v>4649.050353</v>
      </c>
      <c r="AC726" s="27">
        <f t="shared" si="164"/>
        <v>203.0152992</v>
      </c>
      <c r="AD726" s="26" t="s">
        <v>60</v>
      </c>
      <c r="AE726" s="57" t="s">
        <v>1302</v>
      </c>
      <c r="AF726" s="130"/>
      <c r="AG726" s="130"/>
      <c r="AH726" s="130"/>
      <c r="AI726" s="130"/>
      <c r="AJ726" s="33"/>
      <c r="AK726" s="33"/>
      <c r="AL726" s="33"/>
    </row>
    <row r="727" ht="15.75" customHeight="1">
      <c r="A727" s="38">
        <v>7288.0</v>
      </c>
      <c r="B727" s="26" t="s">
        <v>1262</v>
      </c>
      <c r="C727" s="26" t="s">
        <v>1303</v>
      </c>
      <c r="D727" s="26" t="s">
        <v>1097</v>
      </c>
      <c r="E727" s="26" t="s">
        <v>1097</v>
      </c>
      <c r="F727" s="25">
        <v>2009.0</v>
      </c>
      <c r="G727" s="25">
        <v>2019.0</v>
      </c>
      <c r="H727" s="25">
        <v>0.0</v>
      </c>
      <c r="I727" s="25">
        <v>20.2</v>
      </c>
      <c r="J727" s="50">
        <v>0.0</v>
      </c>
      <c r="K727" s="25">
        <v>0.0</v>
      </c>
      <c r="L727" s="51">
        <v>0.0</v>
      </c>
      <c r="M727" s="51">
        <v>0.0</v>
      </c>
      <c r="N727" s="25">
        <v>17.0</v>
      </c>
      <c r="O727" s="25"/>
      <c r="P727" s="26" t="s">
        <v>60</v>
      </c>
      <c r="Q727" s="52">
        <v>30000.0</v>
      </c>
      <c r="R727" s="26" t="s">
        <v>1265</v>
      </c>
      <c r="S727" s="25">
        <v>2014.0</v>
      </c>
      <c r="T727" s="25">
        <v>0.054</v>
      </c>
      <c r="U727" s="25">
        <f t="shared" si="161"/>
        <v>1620</v>
      </c>
      <c r="V727" s="24">
        <f t="shared" si="162"/>
        <v>80.1980198</v>
      </c>
      <c r="W727" s="3">
        <f t="shared" si="155"/>
        <v>0</v>
      </c>
      <c r="X727" s="3">
        <f t="shared" si="156"/>
        <v>0</v>
      </c>
      <c r="Y727" s="3">
        <f t="shared" si="157"/>
        <v>0</v>
      </c>
      <c r="Z727" s="25">
        <f t="shared" si="158"/>
        <v>0</v>
      </c>
      <c r="AA727" s="26">
        <f>VLOOKUP(S727,CPI!$A$2:$F$71,6,0)</f>
        <v>1.360648571</v>
      </c>
      <c r="AB727" s="27">
        <f t="shared" si="163"/>
        <v>2204.250684</v>
      </c>
      <c r="AC727" s="27">
        <f t="shared" si="164"/>
        <v>109.121321</v>
      </c>
      <c r="AD727" s="26" t="s">
        <v>42</v>
      </c>
      <c r="AE727" s="53" t="s">
        <v>1304</v>
      </c>
      <c r="AF727" s="130"/>
      <c r="AG727" s="130"/>
      <c r="AH727" s="130"/>
      <c r="AI727" s="130"/>
      <c r="AJ727" s="33"/>
      <c r="AK727" s="33"/>
      <c r="AL727" s="33"/>
    </row>
    <row r="728" ht="15.75" customHeight="1">
      <c r="A728" s="38">
        <v>7290.0</v>
      </c>
      <c r="B728" s="26" t="s">
        <v>1262</v>
      </c>
      <c r="C728" s="26" t="s">
        <v>1303</v>
      </c>
      <c r="D728" s="1" t="s">
        <v>54</v>
      </c>
      <c r="E728" s="26" t="s">
        <v>1305</v>
      </c>
      <c r="F728" s="25">
        <v>2016.0</v>
      </c>
      <c r="G728" s="25">
        <v>2021.0</v>
      </c>
      <c r="H728" s="25">
        <v>0.0</v>
      </c>
      <c r="I728" s="25">
        <v>18.6</v>
      </c>
      <c r="J728" s="50">
        <v>0.0</v>
      </c>
      <c r="K728" s="25">
        <v>0.0</v>
      </c>
      <c r="L728" s="51">
        <v>17.48</v>
      </c>
      <c r="M728" s="51">
        <v>1.12</v>
      </c>
      <c r="N728" s="25">
        <v>17.0</v>
      </c>
      <c r="O728" s="25"/>
      <c r="P728" s="26" t="s">
        <v>42</v>
      </c>
      <c r="Q728" s="52">
        <v>64100.0</v>
      </c>
      <c r="R728" s="26" t="s">
        <v>1265</v>
      </c>
      <c r="S728" s="25">
        <v>2018.0</v>
      </c>
      <c r="T728" s="25">
        <v>0.048</v>
      </c>
      <c r="U728" s="25">
        <f t="shared" si="161"/>
        <v>3076.8</v>
      </c>
      <c r="V728" s="24">
        <f t="shared" si="162"/>
        <v>165.4193548</v>
      </c>
      <c r="W728" s="3">
        <f t="shared" si="155"/>
        <v>0</v>
      </c>
      <c r="X728" s="3">
        <f t="shared" si="156"/>
        <v>0</v>
      </c>
      <c r="Y728" s="3">
        <f t="shared" si="157"/>
        <v>0</v>
      </c>
      <c r="Z728" s="25">
        <f t="shared" si="158"/>
        <v>0</v>
      </c>
      <c r="AA728" s="26">
        <f>VLOOKUP(S728,CPI!$A$2:$F$71,6,0)</f>
        <v>1.28277786</v>
      </c>
      <c r="AB728" s="27">
        <f t="shared" si="163"/>
        <v>3946.850919</v>
      </c>
      <c r="AC728" s="27">
        <f t="shared" si="164"/>
        <v>212.1962859</v>
      </c>
      <c r="AD728" s="26" t="s">
        <v>42</v>
      </c>
      <c r="AE728" s="53" t="s">
        <v>1306</v>
      </c>
      <c r="AF728" s="130"/>
      <c r="AG728" s="130"/>
      <c r="AH728" s="130"/>
      <c r="AI728" s="130"/>
      <c r="AJ728" s="33"/>
      <c r="AK728" s="33"/>
      <c r="AL728" s="33"/>
    </row>
    <row r="729" ht="15.75" customHeight="1">
      <c r="A729" s="38">
        <v>7304.0</v>
      </c>
      <c r="B729" s="26" t="s">
        <v>1262</v>
      </c>
      <c r="C729" s="26" t="s">
        <v>1303</v>
      </c>
      <c r="D729" s="26" t="s">
        <v>228</v>
      </c>
      <c r="E729" s="26" t="s">
        <v>228</v>
      </c>
      <c r="F729" s="25">
        <v>2016.0</v>
      </c>
      <c r="G729" s="25">
        <v>2021.0</v>
      </c>
      <c r="H729" s="25">
        <v>0.0</v>
      </c>
      <c r="I729" s="25">
        <v>16.5</v>
      </c>
      <c r="J729" s="50">
        <v>0.0</v>
      </c>
      <c r="K729" s="25">
        <v>0.0</v>
      </c>
      <c r="L729" s="51">
        <v>15.505</v>
      </c>
      <c r="M729" s="51">
        <v>0.995</v>
      </c>
      <c r="N729" s="25">
        <v>14.0</v>
      </c>
      <c r="O729" s="25"/>
      <c r="P729" s="26" t="s">
        <v>74</v>
      </c>
      <c r="Q729" s="52">
        <v>62080.0</v>
      </c>
      <c r="R729" s="26" t="s">
        <v>1265</v>
      </c>
      <c r="S729" s="25">
        <v>2018.0</v>
      </c>
      <c r="T729" s="25">
        <v>0.048</v>
      </c>
      <c r="U729" s="25">
        <f t="shared" si="161"/>
        <v>2979.84</v>
      </c>
      <c r="V729" s="24">
        <f t="shared" si="162"/>
        <v>180.5963636</v>
      </c>
      <c r="W729" s="3">
        <f t="shared" si="155"/>
        <v>0</v>
      </c>
      <c r="X729" s="3">
        <f t="shared" si="156"/>
        <v>0</v>
      </c>
      <c r="Y729" s="3">
        <f t="shared" si="157"/>
        <v>0</v>
      </c>
      <c r="Z729" s="25">
        <f t="shared" si="158"/>
        <v>0</v>
      </c>
      <c r="AA729" s="26">
        <f>VLOOKUP(S729,CPI!$A$2:$F$71,6,0)</f>
        <v>1.28277786</v>
      </c>
      <c r="AB729" s="27">
        <f t="shared" si="163"/>
        <v>3822.472777</v>
      </c>
      <c r="AC729" s="27">
        <f t="shared" si="164"/>
        <v>231.6650168</v>
      </c>
      <c r="AD729" s="26" t="s">
        <v>42</v>
      </c>
      <c r="AE729" s="57" t="s">
        <v>1307</v>
      </c>
      <c r="AF729" s="130"/>
      <c r="AG729" s="130"/>
      <c r="AH729" s="130"/>
      <c r="AI729" s="130"/>
      <c r="AJ729" s="33"/>
      <c r="AK729" s="33"/>
      <c r="AL729" s="33"/>
    </row>
    <row r="730" ht="15.75" customHeight="1">
      <c r="A730" s="38">
        <v>7289.0</v>
      </c>
      <c r="B730" s="26" t="s">
        <v>1262</v>
      </c>
      <c r="C730" s="26" t="s">
        <v>1303</v>
      </c>
      <c r="D730" s="26" t="s">
        <v>87</v>
      </c>
      <c r="E730" s="26" t="s">
        <v>87</v>
      </c>
      <c r="F730" s="25">
        <v>2016.0</v>
      </c>
      <c r="G730" s="25">
        <v>2022.0</v>
      </c>
      <c r="H730" s="25">
        <v>0.0</v>
      </c>
      <c r="I730" s="25">
        <v>33.5</v>
      </c>
      <c r="J730" s="50">
        <v>1.0</v>
      </c>
      <c r="K730" s="25">
        <v>33.5</v>
      </c>
      <c r="L730" s="51">
        <v>0.0</v>
      </c>
      <c r="M730" s="51">
        <v>0.0</v>
      </c>
      <c r="N730" s="25">
        <v>27.0</v>
      </c>
      <c r="O730" s="25"/>
      <c r="P730" s="26" t="s">
        <v>42</v>
      </c>
      <c r="Q730" s="52">
        <v>320000.0</v>
      </c>
      <c r="R730" s="26" t="s">
        <v>1265</v>
      </c>
      <c r="S730" s="25">
        <v>2019.0</v>
      </c>
      <c r="T730" s="25">
        <v>0.047</v>
      </c>
      <c r="U730" s="25">
        <f t="shared" si="161"/>
        <v>15040</v>
      </c>
      <c r="V730" s="24">
        <f t="shared" si="162"/>
        <v>448.9552239</v>
      </c>
      <c r="W730" s="3">
        <f t="shared" si="155"/>
        <v>0</v>
      </c>
      <c r="X730" s="3">
        <f t="shared" si="156"/>
        <v>0</v>
      </c>
      <c r="Y730" s="3">
        <f t="shared" si="157"/>
        <v>0</v>
      </c>
      <c r="Z730" s="25">
        <f t="shared" si="158"/>
        <v>0</v>
      </c>
      <c r="AA730" s="26">
        <f>VLOOKUP(S730,CPI!$A$2:$F$71,6,0)</f>
        <v>1.259947899</v>
      </c>
      <c r="AB730" s="27">
        <f t="shared" si="163"/>
        <v>18949.6164</v>
      </c>
      <c r="AC730" s="27">
        <f t="shared" si="164"/>
        <v>565.660191</v>
      </c>
      <c r="AD730" s="26" t="s">
        <v>36</v>
      </c>
      <c r="AE730" s="53" t="s">
        <v>1308</v>
      </c>
      <c r="AF730" s="130"/>
      <c r="AG730" s="130"/>
      <c r="AH730" s="130"/>
      <c r="AI730" s="130"/>
      <c r="AJ730" s="33"/>
      <c r="AK730" s="33"/>
      <c r="AL730" s="33"/>
    </row>
    <row r="731" ht="15.75" customHeight="1">
      <c r="A731" s="38">
        <v>7299.0</v>
      </c>
      <c r="B731" s="26" t="s">
        <v>1262</v>
      </c>
      <c r="C731" s="26" t="s">
        <v>1303</v>
      </c>
      <c r="D731" s="26" t="s">
        <v>80</v>
      </c>
      <c r="E731" s="26" t="s">
        <v>80</v>
      </c>
      <c r="F731" s="25">
        <v>2017.0</v>
      </c>
      <c r="G731" s="25">
        <v>2022.0</v>
      </c>
      <c r="H731" s="25">
        <v>0.0</v>
      </c>
      <c r="I731" s="25">
        <v>14.5</v>
      </c>
      <c r="J731" s="50">
        <v>0.0</v>
      </c>
      <c r="K731" s="25">
        <v>0.0</v>
      </c>
      <c r="L731" s="51">
        <v>14.5</v>
      </c>
      <c r="M731" s="51">
        <v>0.0</v>
      </c>
      <c r="N731" s="25">
        <v>13.0</v>
      </c>
      <c r="O731" s="25"/>
      <c r="P731" s="26" t="s">
        <v>74</v>
      </c>
      <c r="Q731" s="52">
        <v>55670.0</v>
      </c>
      <c r="R731" s="26" t="s">
        <v>1265</v>
      </c>
      <c r="S731" s="25">
        <v>2016.0</v>
      </c>
      <c r="T731" s="25">
        <v>0.05</v>
      </c>
      <c r="U731" s="25">
        <f t="shared" si="161"/>
        <v>2783.5</v>
      </c>
      <c r="V731" s="24">
        <f t="shared" si="162"/>
        <v>191.9655172</v>
      </c>
      <c r="W731" s="3">
        <f t="shared" si="155"/>
        <v>0</v>
      </c>
      <c r="X731" s="3">
        <f t="shared" si="156"/>
        <v>0</v>
      </c>
      <c r="Y731" s="3">
        <f t="shared" si="157"/>
        <v>0</v>
      </c>
      <c r="Z731" s="25">
        <f t="shared" si="158"/>
        <v>0</v>
      </c>
      <c r="AA731" s="26">
        <f>VLOOKUP(S731,CPI!$A$2:$F$71,6,0)</f>
        <v>1.342104605</v>
      </c>
      <c r="AB731" s="27">
        <f t="shared" si="163"/>
        <v>3735.748169</v>
      </c>
      <c r="AC731" s="27">
        <f t="shared" si="164"/>
        <v>257.6378047</v>
      </c>
      <c r="AD731" s="26" t="s">
        <v>42</v>
      </c>
      <c r="AE731" s="57" t="s">
        <v>1309</v>
      </c>
      <c r="AF731" s="130"/>
      <c r="AG731" s="130"/>
      <c r="AH731" s="130"/>
      <c r="AI731" s="130"/>
      <c r="AJ731" s="33"/>
      <c r="AK731" s="33"/>
      <c r="AL731" s="33"/>
    </row>
    <row r="732" ht="15.75" customHeight="1">
      <c r="A732" s="38">
        <v>7296.0</v>
      </c>
      <c r="B732" s="26" t="s">
        <v>1262</v>
      </c>
      <c r="C732" s="26" t="s">
        <v>1303</v>
      </c>
      <c r="D732" s="1" t="s">
        <v>110</v>
      </c>
      <c r="E732" s="26" t="s">
        <v>110</v>
      </c>
      <c r="F732" s="25">
        <v>2018.0</v>
      </c>
      <c r="G732" s="25">
        <v>2022.0</v>
      </c>
      <c r="H732" s="25">
        <v>0.0</v>
      </c>
      <c r="I732" s="25">
        <v>32.3</v>
      </c>
      <c r="J732" s="50">
        <v>0.0</v>
      </c>
      <c r="K732" s="25">
        <v>0.0</v>
      </c>
      <c r="L732" s="51">
        <v>31.71</v>
      </c>
      <c r="M732" s="51">
        <v>0.59</v>
      </c>
      <c r="N732" s="25">
        <v>32.0</v>
      </c>
      <c r="O732" s="25"/>
      <c r="P732" s="26" t="s">
        <v>60</v>
      </c>
      <c r="Q732" s="52">
        <v>145490.0</v>
      </c>
      <c r="R732" s="26" t="s">
        <v>1265</v>
      </c>
      <c r="S732" s="25">
        <v>2020.0</v>
      </c>
      <c r="T732" s="25">
        <v>0.047</v>
      </c>
      <c r="U732" s="25">
        <f t="shared" si="161"/>
        <v>6838.03</v>
      </c>
      <c r="V732" s="24">
        <f t="shared" si="162"/>
        <v>211.7037152</v>
      </c>
      <c r="W732" s="3">
        <f t="shared" si="155"/>
        <v>0</v>
      </c>
      <c r="X732" s="3">
        <f t="shared" si="156"/>
        <v>0</v>
      </c>
      <c r="Y732" s="3">
        <f t="shared" si="157"/>
        <v>0</v>
      </c>
      <c r="Z732" s="25">
        <f t="shared" si="158"/>
        <v>0</v>
      </c>
      <c r="AA732" s="26">
        <f>VLOOKUP(S732,CPI!$A$2:$F$71,6,0)</f>
        <v>1.244593545</v>
      </c>
      <c r="AB732" s="27">
        <f t="shared" si="163"/>
        <v>8510.567999</v>
      </c>
      <c r="AC732" s="27">
        <f t="shared" si="164"/>
        <v>263.4850774</v>
      </c>
      <c r="AD732" s="26" t="s">
        <v>60</v>
      </c>
      <c r="AE732" s="57" t="s">
        <v>1310</v>
      </c>
      <c r="AF732" s="130"/>
      <c r="AG732" s="130"/>
      <c r="AH732" s="130"/>
      <c r="AI732" s="130"/>
      <c r="AJ732" s="33"/>
      <c r="AK732" s="33"/>
      <c r="AL732" s="33"/>
    </row>
    <row r="733" ht="15.75" customHeight="1">
      <c r="A733" s="38">
        <v>7297.0</v>
      </c>
      <c r="B733" s="26" t="s">
        <v>1262</v>
      </c>
      <c r="C733" s="26" t="s">
        <v>1303</v>
      </c>
      <c r="D733" s="1" t="s">
        <v>110</v>
      </c>
      <c r="E733" s="26" t="s">
        <v>1311</v>
      </c>
      <c r="F733" s="25">
        <v>2019.0</v>
      </c>
      <c r="G733" s="25">
        <v>2022.0</v>
      </c>
      <c r="H733" s="25">
        <v>0.0</v>
      </c>
      <c r="I733" s="25">
        <v>2.7</v>
      </c>
      <c r="J733" s="50">
        <v>0.0</v>
      </c>
      <c r="K733" s="25">
        <v>0.0</v>
      </c>
      <c r="L733" s="51">
        <v>0.0</v>
      </c>
      <c r="M733" s="51">
        <v>0.0</v>
      </c>
      <c r="N733" s="25">
        <v>2.0</v>
      </c>
      <c r="O733" s="25"/>
      <c r="P733" s="26" t="s">
        <v>60</v>
      </c>
      <c r="Q733" s="52">
        <v>7860.0</v>
      </c>
      <c r="R733" s="26" t="s">
        <v>1265</v>
      </c>
      <c r="S733" s="25">
        <v>2017.0</v>
      </c>
      <c r="T733" s="25">
        <v>0.048</v>
      </c>
      <c r="U733" s="25">
        <f t="shared" si="161"/>
        <v>377.28</v>
      </c>
      <c r="V733" s="24">
        <f t="shared" si="162"/>
        <v>139.7333333</v>
      </c>
      <c r="W733" s="3">
        <f t="shared" si="155"/>
        <v>0</v>
      </c>
      <c r="X733" s="3">
        <f t="shared" si="156"/>
        <v>0</v>
      </c>
      <c r="Y733" s="3">
        <f t="shared" si="157"/>
        <v>0</v>
      </c>
      <c r="Z733" s="25">
        <f t="shared" si="158"/>
        <v>0</v>
      </c>
      <c r="AA733" s="26">
        <f>VLOOKUP(S733,CPI!$A$2:$F$71,6,0)</f>
        <v>1.314109416</v>
      </c>
      <c r="AB733" s="27">
        <f t="shared" si="163"/>
        <v>495.7872004</v>
      </c>
      <c r="AC733" s="27">
        <f t="shared" si="164"/>
        <v>183.624889</v>
      </c>
      <c r="AD733" s="26" t="s">
        <v>60</v>
      </c>
      <c r="AE733" s="57" t="s">
        <v>1312</v>
      </c>
      <c r="AF733" s="130"/>
      <c r="AG733" s="130"/>
      <c r="AH733" s="130"/>
      <c r="AI733" s="130"/>
      <c r="AJ733" s="33"/>
      <c r="AK733" s="33"/>
      <c r="AL733" s="33"/>
    </row>
    <row r="734" ht="15.75" customHeight="1">
      <c r="A734" s="38">
        <v>7305.0</v>
      </c>
      <c r="B734" s="26" t="s">
        <v>1262</v>
      </c>
      <c r="C734" s="26" t="s">
        <v>1303</v>
      </c>
      <c r="D734" s="26" t="s">
        <v>1313</v>
      </c>
      <c r="E734" s="26" t="s">
        <v>1313</v>
      </c>
      <c r="F734" s="25">
        <v>2019.0</v>
      </c>
      <c r="G734" s="25">
        <v>2022.0</v>
      </c>
      <c r="H734" s="25">
        <v>0.0</v>
      </c>
      <c r="I734" s="25">
        <v>13.5</v>
      </c>
      <c r="J734" s="50">
        <v>0.16</v>
      </c>
      <c r="K734" s="25">
        <v>2.2</v>
      </c>
      <c r="L734" s="51">
        <v>0.0</v>
      </c>
      <c r="M734" s="51">
        <v>0.0</v>
      </c>
      <c r="N734" s="25">
        <v>11.0</v>
      </c>
      <c r="O734" s="25"/>
      <c r="P734" s="26" t="s">
        <v>60</v>
      </c>
      <c r="Q734" s="52">
        <v>65180.0</v>
      </c>
      <c r="R734" s="26" t="s">
        <v>1265</v>
      </c>
      <c r="S734" s="25">
        <v>2020.0</v>
      </c>
      <c r="T734" s="25">
        <v>0.047</v>
      </c>
      <c r="U734" s="25">
        <f t="shared" si="161"/>
        <v>3063.46</v>
      </c>
      <c r="V734" s="24">
        <f t="shared" si="162"/>
        <v>226.922963</v>
      </c>
      <c r="W734" s="3">
        <f t="shared" si="155"/>
        <v>0</v>
      </c>
      <c r="X734" s="3">
        <f t="shared" si="156"/>
        <v>0</v>
      </c>
      <c r="Y734" s="3">
        <f t="shared" si="157"/>
        <v>0</v>
      </c>
      <c r="Z734" s="25">
        <f t="shared" si="158"/>
        <v>0</v>
      </c>
      <c r="AA734" s="26">
        <f>VLOOKUP(S734,CPI!$A$2:$F$71,6,0)</f>
        <v>1.244593545</v>
      </c>
      <c r="AB734" s="27">
        <f t="shared" si="163"/>
        <v>3812.762542</v>
      </c>
      <c r="AC734" s="27">
        <f t="shared" si="164"/>
        <v>282.4268549</v>
      </c>
      <c r="AD734" s="26" t="s">
        <v>60</v>
      </c>
      <c r="AE734" s="57" t="s">
        <v>1314</v>
      </c>
      <c r="AF734" s="130"/>
      <c r="AG734" s="130"/>
      <c r="AH734" s="130"/>
      <c r="AI734" s="130"/>
      <c r="AJ734" s="33"/>
      <c r="AK734" s="33"/>
      <c r="AL734" s="33"/>
    </row>
    <row r="735" ht="15.75" customHeight="1">
      <c r="A735" s="38">
        <v>7291.0</v>
      </c>
      <c r="B735" s="26" t="s">
        <v>1262</v>
      </c>
      <c r="C735" s="26" t="s">
        <v>1303</v>
      </c>
      <c r="D735" s="1" t="s">
        <v>54</v>
      </c>
      <c r="E735" s="26" t="s">
        <v>1315</v>
      </c>
      <c r="F735" s="25">
        <v>2018.0</v>
      </c>
      <c r="G735" s="25">
        <v>2023.0</v>
      </c>
      <c r="H735" s="25">
        <v>0.0</v>
      </c>
      <c r="I735" s="25">
        <v>23.5</v>
      </c>
      <c r="J735" s="50">
        <v>0.0</v>
      </c>
      <c r="K735" s="25">
        <v>0.0</v>
      </c>
      <c r="L735" s="51">
        <v>23.5</v>
      </c>
      <c r="M735" s="51">
        <v>0.0</v>
      </c>
      <c r="N735" s="25">
        <v>22.0</v>
      </c>
      <c r="O735" s="25"/>
      <c r="P735" s="26" t="s">
        <v>60</v>
      </c>
      <c r="Q735" s="52">
        <v>109860.0</v>
      </c>
      <c r="R735" s="26" t="s">
        <v>1265</v>
      </c>
      <c r="S735" s="25">
        <v>2020.0</v>
      </c>
      <c r="T735" s="25">
        <v>0.047</v>
      </c>
      <c r="U735" s="25">
        <f t="shared" si="161"/>
        <v>5163.42</v>
      </c>
      <c r="V735" s="24">
        <f t="shared" si="162"/>
        <v>219.72</v>
      </c>
      <c r="W735" s="3">
        <f t="shared" si="155"/>
        <v>0</v>
      </c>
      <c r="X735" s="3">
        <f t="shared" si="156"/>
        <v>0</v>
      </c>
      <c r="Y735" s="3">
        <f t="shared" si="157"/>
        <v>0</v>
      </c>
      <c r="Z735" s="25">
        <f t="shared" si="158"/>
        <v>0</v>
      </c>
      <c r="AA735" s="26">
        <f>VLOOKUP(S735,CPI!$A$2:$F$71,6,0)</f>
        <v>1.244593545</v>
      </c>
      <c r="AB735" s="27">
        <f t="shared" si="163"/>
        <v>6426.359203</v>
      </c>
      <c r="AC735" s="27">
        <f t="shared" si="164"/>
        <v>273.4620937</v>
      </c>
      <c r="AD735" s="26" t="s">
        <v>60</v>
      </c>
      <c r="AE735" s="53" t="s">
        <v>1316</v>
      </c>
      <c r="AF735" s="130"/>
      <c r="AG735" s="130"/>
      <c r="AH735" s="130"/>
      <c r="AI735" s="130"/>
      <c r="AJ735" s="33"/>
      <c r="AK735" s="33"/>
      <c r="AL735" s="33"/>
    </row>
    <row r="736" ht="15.75" customHeight="1">
      <c r="A736" s="38">
        <v>7298.0</v>
      </c>
      <c r="B736" s="26" t="s">
        <v>1262</v>
      </c>
      <c r="C736" s="26" t="s">
        <v>1303</v>
      </c>
      <c r="D736" s="26" t="s">
        <v>84</v>
      </c>
      <c r="E736" s="26" t="s">
        <v>84</v>
      </c>
      <c r="F736" s="25">
        <v>2017.0</v>
      </c>
      <c r="G736" s="25">
        <v>2024.0</v>
      </c>
      <c r="H736" s="25">
        <v>0.0</v>
      </c>
      <c r="I736" s="25">
        <v>24.9</v>
      </c>
      <c r="J736" s="50">
        <v>0.0</v>
      </c>
      <c r="K736" s="25">
        <v>0.0</v>
      </c>
      <c r="L736" s="51">
        <v>0.0</v>
      </c>
      <c r="M736" s="51">
        <v>0.0</v>
      </c>
      <c r="N736" s="25">
        <v>16.0</v>
      </c>
      <c r="O736" s="25"/>
      <c r="P736" s="26" t="s">
        <v>60</v>
      </c>
      <c r="Q736" s="52">
        <v>84165.0</v>
      </c>
      <c r="R736" s="26" t="s">
        <v>1265</v>
      </c>
      <c r="S736" s="25">
        <v>2020.0</v>
      </c>
      <c r="T736" s="25">
        <v>0.047</v>
      </c>
      <c r="U736" s="25">
        <f t="shared" si="161"/>
        <v>3955.755</v>
      </c>
      <c r="V736" s="24">
        <f t="shared" si="162"/>
        <v>158.8656627</v>
      </c>
      <c r="W736" s="3">
        <f t="shared" si="155"/>
        <v>0</v>
      </c>
      <c r="X736" s="3">
        <f t="shared" si="156"/>
        <v>0</v>
      </c>
      <c r="Y736" s="3">
        <f t="shared" si="157"/>
        <v>0</v>
      </c>
      <c r="Z736" s="25">
        <f t="shared" si="158"/>
        <v>0</v>
      </c>
      <c r="AA736" s="26">
        <f>VLOOKUP(S736,CPI!$A$2:$F$71,6,0)</f>
        <v>1.244593545</v>
      </c>
      <c r="AB736" s="27">
        <f t="shared" si="163"/>
        <v>4923.307139</v>
      </c>
      <c r="AC736" s="27">
        <f t="shared" si="164"/>
        <v>197.7231783</v>
      </c>
      <c r="AD736" s="26" t="s">
        <v>60</v>
      </c>
      <c r="AE736" s="53" t="s">
        <v>1317</v>
      </c>
      <c r="AF736" s="130"/>
      <c r="AG736" s="130"/>
      <c r="AH736" s="130"/>
      <c r="AI736" s="130"/>
      <c r="AJ736" s="33"/>
      <c r="AK736" s="33"/>
      <c r="AL736" s="33"/>
    </row>
    <row r="737" ht="15.75" customHeight="1">
      <c r="A737" s="38">
        <v>7306.0</v>
      </c>
      <c r="B737" s="26" t="s">
        <v>1262</v>
      </c>
      <c r="C737" s="26" t="s">
        <v>1303</v>
      </c>
      <c r="D737" s="26" t="s">
        <v>239</v>
      </c>
      <c r="E737" s="26" t="s">
        <v>239</v>
      </c>
      <c r="F737" s="25">
        <v>2020.0</v>
      </c>
      <c r="G737" s="25">
        <v>2024.0</v>
      </c>
      <c r="H737" s="25">
        <v>0.0</v>
      </c>
      <c r="I737" s="25">
        <v>9.2</v>
      </c>
      <c r="J737" s="50">
        <v>0.08</v>
      </c>
      <c r="K737" s="25">
        <v>0.7</v>
      </c>
      <c r="L737" s="51">
        <v>0.0</v>
      </c>
      <c r="M737" s="51">
        <v>0.0</v>
      </c>
      <c r="N737" s="25">
        <v>4.0</v>
      </c>
      <c r="O737" s="25"/>
      <c r="P737" s="26" t="s">
        <v>60</v>
      </c>
      <c r="Q737" s="52">
        <v>38210.0</v>
      </c>
      <c r="R737" s="26" t="s">
        <v>1265</v>
      </c>
      <c r="S737" s="25">
        <v>2018.0</v>
      </c>
      <c r="T737" s="25">
        <v>0.048</v>
      </c>
      <c r="U737" s="25">
        <f t="shared" si="161"/>
        <v>1834.08</v>
      </c>
      <c r="V737" s="24">
        <f t="shared" si="162"/>
        <v>199.3565217</v>
      </c>
      <c r="W737" s="3">
        <f t="shared" si="155"/>
        <v>0</v>
      </c>
      <c r="X737" s="3">
        <f t="shared" si="156"/>
        <v>0</v>
      </c>
      <c r="Y737" s="3">
        <f t="shared" si="157"/>
        <v>0</v>
      </c>
      <c r="Z737" s="25">
        <f t="shared" si="158"/>
        <v>0</v>
      </c>
      <c r="AA737" s="26">
        <f>VLOOKUP(S737,CPI!$A$2:$F$71,6,0)</f>
        <v>1.28277786</v>
      </c>
      <c r="AB737" s="27">
        <f t="shared" si="163"/>
        <v>2352.717217</v>
      </c>
      <c r="AC737" s="27">
        <f t="shared" si="164"/>
        <v>255.7301323</v>
      </c>
      <c r="AD737" s="26" t="s">
        <v>60</v>
      </c>
      <c r="AE737" s="53" t="s">
        <v>1318</v>
      </c>
      <c r="AF737" s="130"/>
      <c r="AG737" s="130"/>
      <c r="AH737" s="130"/>
      <c r="AI737" s="130"/>
      <c r="AJ737" s="33"/>
      <c r="AK737" s="33"/>
      <c r="AL737" s="33"/>
    </row>
    <row r="738" ht="15.75" customHeight="1">
      <c r="A738" s="291">
        <v>7307.0</v>
      </c>
      <c r="B738" s="292" t="s">
        <v>1262</v>
      </c>
      <c r="C738" s="292" t="s">
        <v>1303</v>
      </c>
      <c r="D738" s="292" t="s">
        <v>292</v>
      </c>
      <c r="E738" s="292" t="s">
        <v>292</v>
      </c>
      <c r="F738" s="293">
        <v>2020.0</v>
      </c>
      <c r="G738" s="293">
        <v>2026.0</v>
      </c>
      <c r="H738" s="293">
        <v>0.0</v>
      </c>
      <c r="I738" s="293">
        <v>12.8</v>
      </c>
      <c r="J738" s="294">
        <v>0.69</v>
      </c>
      <c r="K738" s="293">
        <v>8.8</v>
      </c>
      <c r="L738" s="295">
        <v>0.0</v>
      </c>
      <c r="M738" s="295">
        <v>0.0</v>
      </c>
      <c r="N738" s="293">
        <v>10.0</v>
      </c>
      <c r="O738" s="293"/>
      <c r="P738" s="26" t="s">
        <v>60</v>
      </c>
      <c r="Q738" s="296">
        <v>70850.0</v>
      </c>
      <c r="R738" s="292" t="s">
        <v>1265</v>
      </c>
      <c r="S738" s="293">
        <v>2018.0</v>
      </c>
      <c r="T738" s="25">
        <v>0.048</v>
      </c>
      <c r="U738" s="25">
        <f t="shared" si="161"/>
        <v>3400.8</v>
      </c>
      <c r="V738" s="24">
        <f t="shared" si="162"/>
        <v>265.6875</v>
      </c>
      <c r="W738" s="3">
        <f t="shared" si="155"/>
        <v>0</v>
      </c>
      <c r="X738" s="3">
        <f t="shared" si="156"/>
        <v>0</v>
      </c>
      <c r="Y738" s="3">
        <f t="shared" si="157"/>
        <v>0</v>
      </c>
      <c r="Z738" s="25">
        <f t="shared" si="158"/>
        <v>0</v>
      </c>
      <c r="AA738" s="26">
        <f>VLOOKUP(S738,CPI!$A$2:$F$71,6,0)</f>
        <v>1.28277786</v>
      </c>
      <c r="AB738" s="27">
        <f t="shared" si="163"/>
        <v>4362.470945</v>
      </c>
      <c r="AC738" s="27">
        <f t="shared" si="164"/>
        <v>340.8180426</v>
      </c>
      <c r="AD738" s="292" t="s">
        <v>60</v>
      </c>
      <c r="AE738" s="297" t="s">
        <v>1319</v>
      </c>
      <c r="AF738" s="298"/>
      <c r="AG738" s="298"/>
      <c r="AH738" s="298"/>
      <c r="AI738" s="298"/>
      <c r="AJ738" s="299"/>
      <c r="AK738" s="299"/>
      <c r="AL738" s="299"/>
      <c r="AM738" s="300"/>
      <c r="AN738" s="300"/>
      <c r="AO738" s="300"/>
      <c r="AP738" s="300"/>
    </row>
    <row r="739">
      <c r="A739" s="38">
        <v>7312.0</v>
      </c>
      <c r="B739" s="26" t="s">
        <v>1262</v>
      </c>
      <c r="C739" s="26" t="s">
        <v>1303</v>
      </c>
      <c r="D739" s="26" t="s">
        <v>287</v>
      </c>
      <c r="E739" s="26" t="s">
        <v>287</v>
      </c>
      <c r="F739" s="25">
        <v>2020.0</v>
      </c>
      <c r="G739" s="25">
        <v>2026.0</v>
      </c>
      <c r="H739" s="25">
        <v>0.0</v>
      </c>
      <c r="I739" s="25">
        <v>20.8</v>
      </c>
      <c r="J739" s="50">
        <v>0.0</v>
      </c>
      <c r="K739" s="25">
        <v>0.0</v>
      </c>
      <c r="L739" s="51">
        <v>0.0</v>
      </c>
      <c r="M739" s="51">
        <v>0.0</v>
      </c>
      <c r="N739" s="25">
        <v>17.0</v>
      </c>
      <c r="O739" s="25"/>
      <c r="P739" s="26" t="s">
        <v>60</v>
      </c>
      <c r="Q739" s="52">
        <v>47380.0</v>
      </c>
      <c r="R739" s="26" t="s">
        <v>1265</v>
      </c>
      <c r="S739" s="25">
        <v>2018.0</v>
      </c>
      <c r="T739" s="25">
        <v>0.048</v>
      </c>
      <c r="U739" s="25">
        <f t="shared" si="161"/>
        <v>2274.24</v>
      </c>
      <c r="V739" s="24">
        <f t="shared" si="162"/>
        <v>109.3384615</v>
      </c>
      <c r="W739" s="3">
        <f t="shared" si="155"/>
        <v>0</v>
      </c>
      <c r="X739" s="3">
        <f t="shared" si="156"/>
        <v>0</v>
      </c>
      <c r="Y739" s="3">
        <f t="shared" si="157"/>
        <v>0</v>
      </c>
      <c r="Z739" s="25">
        <f t="shared" si="158"/>
        <v>0</v>
      </c>
      <c r="AA739" s="26">
        <f>VLOOKUP(S739,CPI!$A$2:$F$71,6,0)</f>
        <v>1.28277786</v>
      </c>
      <c r="AB739" s="27">
        <f t="shared" si="163"/>
        <v>2917.34472</v>
      </c>
      <c r="AC739" s="27">
        <f t="shared" si="164"/>
        <v>140.2569577</v>
      </c>
      <c r="AD739" s="26" t="s">
        <v>60</v>
      </c>
      <c r="AE739" s="53" t="s">
        <v>1320</v>
      </c>
      <c r="AF739" s="130"/>
      <c r="AG739" s="130"/>
      <c r="AH739" s="130"/>
      <c r="AI739" s="130"/>
      <c r="AJ739" s="33"/>
      <c r="AK739" s="33"/>
      <c r="AL739" s="33"/>
    </row>
    <row r="740">
      <c r="A740" s="38">
        <v>7544.0</v>
      </c>
      <c r="B740" s="26" t="s">
        <v>1262</v>
      </c>
      <c r="C740" s="26" t="s">
        <v>1321</v>
      </c>
      <c r="D740" s="1" t="s">
        <v>1321</v>
      </c>
      <c r="E740" s="26" t="s">
        <v>34</v>
      </c>
      <c r="F740" s="25">
        <v>2014.0</v>
      </c>
      <c r="G740" s="25">
        <v>2020.0</v>
      </c>
      <c r="H740" s="25">
        <v>0.0</v>
      </c>
      <c r="I740" s="25">
        <v>38.2</v>
      </c>
      <c r="J740" s="50">
        <v>0.0</v>
      </c>
      <c r="K740" s="25">
        <v>0.0</v>
      </c>
      <c r="L740" s="51">
        <v>0.0</v>
      </c>
      <c r="M740" s="51">
        <v>0.0</v>
      </c>
      <c r="N740" s="25">
        <v>40.0</v>
      </c>
      <c r="O740" s="25"/>
      <c r="P740" s="26" t="s">
        <v>42</v>
      </c>
      <c r="Q740" s="52">
        <v>86800.0</v>
      </c>
      <c r="R740" s="26" t="s">
        <v>1265</v>
      </c>
      <c r="S740" s="25">
        <v>2014.0</v>
      </c>
      <c r="T740" s="25">
        <v>0.054</v>
      </c>
      <c r="U740" s="25">
        <f t="shared" si="161"/>
        <v>4687.2</v>
      </c>
      <c r="V740" s="24">
        <f t="shared" si="162"/>
        <v>122.7015707</v>
      </c>
      <c r="W740" s="3">
        <f t="shared" si="155"/>
        <v>0</v>
      </c>
      <c r="X740" s="3">
        <f t="shared" si="156"/>
        <v>0</v>
      </c>
      <c r="Y740" s="3">
        <f t="shared" si="157"/>
        <v>0</v>
      </c>
      <c r="Z740" s="25">
        <f t="shared" si="158"/>
        <v>0</v>
      </c>
      <c r="AA740" s="26">
        <f>VLOOKUP(S740,CPI!$A$2:$F$71,6,0)</f>
        <v>1.360648571</v>
      </c>
      <c r="AB740" s="27">
        <f t="shared" si="163"/>
        <v>6377.63198</v>
      </c>
      <c r="AC740" s="27">
        <f t="shared" si="164"/>
        <v>166.9537168</v>
      </c>
      <c r="AD740" s="26" t="s">
        <v>60</v>
      </c>
      <c r="AE740" s="57" t="s">
        <v>1322</v>
      </c>
      <c r="AF740" s="130"/>
      <c r="AG740" s="130"/>
      <c r="AH740" s="130"/>
      <c r="AI740" s="130"/>
      <c r="AJ740" s="33"/>
      <c r="AK740" s="33"/>
      <c r="AL740" s="33"/>
    </row>
    <row r="741">
      <c r="A741" s="38">
        <v>7545.0</v>
      </c>
      <c r="B741" s="26" t="s">
        <v>1262</v>
      </c>
      <c r="C741" s="26" t="s">
        <v>1321</v>
      </c>
      <c r="D741" s="1" t="s">
        <v>1321</v>
      </c>
      <c r="E741" s="26" t="s">
        <v>38</v>
      </c>
      <c r="F741" s="25"/>
      <c r="G741" s="25"/>
      <c r="H741" s="25">
        <v>0.0</v>
      </c>
      <c r="I741" s="25">
        <v>43.8</v>
      </c>
      <c r="J741" s="50">
        <v>0.0</v>
      </c>
      <c r="K741" s="25">
        <v>0.0</v>
      </c>
      <c r="L741" s="51">
        <v>0.0</v>
      </c>
      <c r="M741" s="51">
        <v>0.0</v>
      </c>
      <c r="N741" s="25">
        <v>32.0</v>
      </c>
      <c r="O741" s="25"/>
      <c r="P741" s="26" t="s">
        <v>60</v>
      </c>
      <c r="Q741" s="52">
        <v>112160.0</v>
      </c>
      <c r="R741" s="26" t="s">
        <v>1265</v>
      </c>
      <c r="S741" s="25">
        <v>2018.0</v>
      </c>
      <c r="T741" s="25">
        <v>0.048</v>
      </c>
      <c r="U741" s="25">
        <f t="shared" si="161"/>
        <v>5383.68</v>
      </c>
      <c r="V741" s="24">
        <f t="shared" si="162"/>
        <v>122.9150685</v>
      </c>
      <c r="W741" s="3">
        <f t="shared" si="155"/>
        <v>0</v>
      </c>
      <c r="X741" s="3">
        <f t="shared" si="156"/>
        <v>0</v>
      </c>
      <c r="Y741" s="3">
        <f t="shared" si="157"/>
        <v>0</v>
      </c>
      <c r="Z741" s="25">
        <f t="shared" si="158"/>
        <v>0</v>
      </c>
      <c r="AA741" s="26">
        <f>VLOOKUP(S741,CPI!$A$2:$F$71,6,0)</f>
        <v>1.28277786</v>
      </c>
      <c r="AB741" s="27">
        <f t="shared" si="163"/>
        <v>6906.065507</v>
      </c>
      <c r="AC741" s="27">
        <f t="shared" si="164"/>
        <v>157.6727285</v>
      </c>
      <c r="AD741" s="26" t="s">
        <v>42</v>
      </c>
      <c r="AE741" s="251" t="s">
        <v>1323</v>
      </c>
      <c r="AF741" s="130"/>
      <c r="AG741" s="130"/>
      <c r="AH741" s="130"/>
      <c r="AI741" s="130"/>
      <c r="AJ741" s="33"/>
      <c r="AK741" s="33"/>
      <c r="AL741" s="33"/>
    </row>
    <row r="742">
      <c r="A742" s="7"/>
      <c r="B742" s="114" t="s">
        <v>1262</v>
      </c>
      <c r="C742" s="114" t="s">
        <v>1324</v>
      </c>
      <c r="D742" s="114"/>
      <c r="E742" s="114" t="s">
        <v>1264</v>
      </c>
      <c r="F742" s="115">
        <v>2019.0</v>
      </c>
      <c r="G742" s="115">
        <v>2025.0</v>
      </c>
      <c r="H742" s="116">
        <v>0.0</v>
      </c>
      <c r="I742" s="116">
        <v>39.6</v>
      </c>
      <c r="J742" s="71">
        <v>0.4116</v>
      </c>
      <c r="K742" s="116">
        <v>16.3</v>
      </c>
      <c r="L742" s="116">
        <v>23.3</v>
      </c>
      <c r="M742" s="114"/>
      <c r="N742" s="116">
        <v>25.0</v>
      </c>
      <c r="O742" s="116"/>
      <c r="P742" s="114"/>
      <c r="Q742" s="73">
        <v>133658.0</v>
      </c>
      <c r="R742" s="114" t="s">
        <v>1265</v>
      </c>
      <c r="S742" s="115">
        <v>2022.0</v>
      </c>
      <c r="T742" s="115">
        <v>0.0483</v>
      </c>
      <c r="U742" s="118">
        <f t="shared" si="161"/>
        <v>6455.6814</v>
      </c>
      <c r="V742" s="24">
        <f t="shared" si="162"/>
        <v>163.0222576</v>
      </c>
      <c r="W742" s="3">
        <f t="shared" si="155"/>
        <v>0</v>
      </c>
      <c r="X742" s="3">
        <f t="shared" si="156"/>
        <v>0</v>
      </c>
      <c r="Y742" s="3">
        <f t="shared" si="157"/>
        <v>0</v>
      </c>
      <c r="Z742" s="25">
        <f t="shared" si="158"/>
        <v>0</v>
      </c>
      <c r="AA742" s="26">
        <f>VLOOKUP(S742,CPI!$A$2:$F$71,6,0)</f>
        <v>1.100662897</v>
      </c>
      <c r="AB742" s="27">
        <f t="shared" si="163"/>
        <v>7105.528989</v>
      </c>
      <c r="AC742" s="27">
        <f t="shared" si="164"/>
        <v>179.4325502</v>
      </c>
      <c r="AD742" s="115" t="s">
        <v>42</v>
      </c>
      <c r="AE742" s="161" t="s">
        <v>1325</v>
      </c>
      <c r="AF742" s="7"/>
      <c r="AG742" s="7"/>
      <c r="AH742" s="7"/>
      <c r="AI742" s="7"/>
    </row>
    <row r="743">
      <c r="A743" s="163"/>
      <c r="B743" s="66" t="s">
        <v>1262</v>
      </c>
      <c r="C743" s="210" t="s">
        <v>1326</v>
      </c>
      <c r="D743" s="210"/>
      <c r="E743" s="210" t="s">
        <v>1264</v>
      </c>
      <c r="F743" s="115">
        <v>2017.0</v>
      </c>
      <c r="G743" s="115">
        <v>2024.0</v>
      </c>
      <c r="H743" s="116">
        <v>0.0</v>
      </c>
      <c r="I743" s="116">
        <v>33.1</v>
      </c>
      <c r="J743" s="71">
        <v>0.1538</v>
      </c>
      <c r="K743" s="116">
        <v>5.09</v>
      </c>
      <c r="L743" s="116">
        <v>28.01</v>
      </c>
      <c r="M743" s="114"/>
      <c r="N743" s="116">
        <v>29.0</v>
      </c>
      <c r="O743" s="116"/>
      <c r="P743" s="114"/>
      <c r="Q743" s="73">
        <v>114200.0</v>
      </c>
      <c r="R743" s="114" t="s">
        <v>1265</v>
      </c>
      <c r="S743" s="115">
        <v>2020.0</v>
      </c>
      <c r="T743" s="115">
        <v>0.0492</v>
      </c>
      <c r="U743" s="118">
        <f t="shared" si="161"/>
        <v>5618.64</v>
      </c>
      <c r="V743" s="24">
        <f t="shared" si="162"/>
        <v>169.747432</v>
      </c>
      <c r="W743" s="3">
        <f t="shared" si="155"/>
        <v>0</v>
      </c>
      <c r="X743" s="3">
        <f t="shared" si="156"/>
        <v>0</v>
      </c>
      <c r="Y743" s="3">
        <f t="shared" si="157"/>
        <v>0</v>
      </c>
      <c r="Z743" s="25">
        <f t="shared" si="158"/>
        <v>0</v>
      </c>
      <c r="AA743" s="26">
        <f>VLOOKUP(S743,CPI!$A$2:$F$71,6,0)</f>
        <v>1.244593545</v>
      </c>
      <c r="AB743" s="27">
        <f t="shared" si="163"/>
        <v>6992.923076</v>
      </c>
      <c r="AC743" s="27">
        <f t="shared" si="164"/>
        <v>211.2665582</v>
      </c>
      <c r="AD743" s="115" t="s">
        <v>42</v>
      </c>
      <c r="AE743" s="161" t="s">
        <v>1327</v>
      </c>
      <c r="AF743" s="7"/>
      <c r="AG743" s="7"/>
      <c r="AH743" s="7"/>
      <c r="AI743" s="7"/>
    </row>
    <row r="744">
      <c r="A744" s="7"/>
      <c r="B744" s="114" t="s">
        <v>1262</v>
      </c>
      <c r="C744" s="114" t="s">
        <v>1326</v>
      </c>
      <c r="D744" s="114"/>
      <c r="E744" s="114" t="s">
        <v>87</v>
      </c>
      <c r="F744" s="115">
        <v>2020.0</v>
      </c>
      <c r="G744" s="82">
        <v>2026.0</v>
      </c>
      <c r="H744" s="115">
        <v>0.0</v>
      </c>
      <c r="I744" s="116">
        <v>23.3</v>
      </c>
      <c r="J744" s="71">
        <v>0.0</v>
      </c>
      <c r="K744" s="116">
        <v>0.0</v>
      </c>
      <c r="L744" s="116">
        <v>23.3</v>
      </c>
      <c r="M744" s="114"/>
      <c r="N744" s="116">
        <v>23.0</v>
      </c>
      <c r="O744" s="116"/>
      <c r="P744" s="114"/>
      <c r="Q744" s="73">
        <v>83140.0</v>
      </c>
      <c r="R744" s="114" t="s">
        <v>1265</v>
      </c>
      <c r="S744" s="115">
        <v>2023.0</v>
      </c>
      <c r="T744" s="115">
        <v>0.0495</v>
      </c>
      <c r="U744" s="118">
        <f t="shared" si="161"/>
        <v>4115.43</v>
      </c>
      <c r="V744" s="24">
        <f t="shared" si="162"/>
        <v>176.627897</v>
      </c>
      <c r="W744" s="3">
        <f t="shared" si="155"/>
        <v>0</v>
      </c>
      <c r="X744" s="3">
        <f t="shared" si="156"/>
        <v>0</v>
      </c>
      <c r="Y744" s="3">
        <f t="shared" si="157"/>
        <v>0</v>
      </c>
      <c r="Z744" s="25">
        <f t="shared" si="158"/>
        <v>0</v>
      </c>
      <c r="AA744" s="26">
        <f>VLOOKUP(S744,CPI!$A$2:$F$71,6,0)</f>
        <v>1.057145998</v>
      </c>
      <c r="AB744" s="27">
        <f t="shared" si="163"/>
        <v>4350.610356</v>
      </c>
      <c r="AC744" s="27">
        <f t="shared" si="164"/>
        <v>186.7214745</v>
      </c>
      <c r="AD744" s="115" t="s">
        <v>42</v>
      </c>
      <c r="AE744" s="225" t="s">
        <v>1328</v>
      </c>
      <c r="AF744" s="7"/>
      <c r="AG744" s="7"/>
      <c r="AH744" s="7"/>
      <c r="AI744" s="7"/>
    </row>
    <row r="745">
      <c r="A745" s="163"/>
      <c r="B745" s="114" t="s">
        <v>1262</v>
      </c>
      <c r="C745" s="114" t="s">
        <v>1329</v>
      </c>
      <c r="D745" s="114" t="s">
        <v>768</v>
      </c>
      <c r="E745" s="114" t="s">
        <v>768</v>
      </c>
      <c r="F745" s="116">
        <v>2021.0</v>
      </c>
      <c r="G745" s="116">
        <v>2023.0</v>
      </c>
      <c r="H745" s="116">
        <v>0.0</v>
      </c>
      <c r="I745" s="116">
        <v>40.35</v>
      </c>
      <c r="J745" s="71">
        <v>0.1603</v>
      </c>
      <c r="K745" s="116">
        <v>6.47</v>
      </c>
      <c r="L745" s="116">
        <v>33.88</v>
      </c>
      <c r="M745" s="114"/>
      <c r="N745" s="116">
        <v>38.0</v>
      </c>
      <c r="O745" s="116"/>
      <c r="P745" s="114"/>
      <c r="Q745" s="73">
        <v>120203.0</v>
      </c>
      <c r="R745" s="114" t="s">
        <v>1265</v>
      </c>
      <c r="S745" s="115">
        <v>2021.0</v>
      </c>
      <c r="T745" s="85">
        <v>0.0432</v>
      </c>
      <c r="U745" s="118">
        <f t="shared" si="161"/>
        <v>5192.7696</v>
      </c>
      <c r="V745" s="24">
        <f t="shared" si="162"/>
        <v>128.6931747</v>
      </c>
      <c r="W745" s="3">
        <f t="shared" si="155"/>
        <v>0</v>
      </c>
      <c r="X745" s="3">
        <f t="shared" si="156"/>
        <v>0</v>
      </c>
      <c r="Y745" s="3">
        <f t="shared" si="157"/>
        <v>0</v>
      </c>
      <c r="Z745" s="25">
        <f t="shared" si="158"/>
        <v>0</v>
      </c>
      <c r="AA745" s="26">
        <f>VLOOKUP(S745,CPI!$A$2:$F$71,6,0)</f>
        <v>1.188745987</v>
      </c>
      <c r="AB745" s="27">
        <f t="shared" si="163"/>
        <v>6172.884022</v>
      </c>
      <c r="AC745" s="27">
        <f t="shared" si="164"/>
        <v>152.983495</v>
      </c>
      <c r="AD745" s="115" t="s">
        <v>42</v>
      </c>
      <c r="AE745" s="225" t="s">
        <v>1330</v>
      </c>
      <c r="AF745" s="7"/>
      <c r="AG745" s="7"/>
      <c r="AH745" s="7"/>
      <c r="AI745" s="7"/>
    </row>
    <row r="746">
      <c r="A746" s="38">
        <v>7371.0</v>
      </c>
      <c r="B746" s="26" t="s">
        <v>1331</v>
      </c>
      <c r="C746" s="26" t="s">
        <v>1332</v>
      </c>
      <c r="D746" s="1" t="s">
        <v>87</v>
      </c>
      <c r="E746" s="26" t="s">
        <v>1333</v>
      </c>
      <c r="F746" s="25">
        <v>2012.0</v>
      </c>
      <c r="G746" s="25">
        <v>2014.0</v>
      </c>
      <c r="H746" s="25">
        <v>0.0</v>
      </c>
      <c r="I746" s="25">
        <v>12.0</v>
      </c>
      <c r="J746" s="50">
        <v>1.0</v>
      </c>
      <c r="K746" s="25">
        <v>12.0</v>
      </c>
      <c r="L746" s="51">
        <v>0.0</v>
      </c>
      <c r="M746" s="51">
        <v>0.0</v>
      </c>
      <c r="N746" s="25">
        <v>11.0</v>
      </c>
      <c r="O746" s="25"/>
      <c r="P746" s="26" t="s">
        <v>36</v>
      </c>
      <c r="Q746" s="52">
        <v>2.0E7</v>
      </c>
      <c r="R746" s="26" t="s">
        <v>1334</v>
      </c>
      <c r="S746" s="25">
        <v>2013.0</v>
      </c>
      <c r="T746" s="25">
        <v>1.2E-4</v>
      </c>
      <c r="U746" s="25">
        <f t="shared" si="161"/>
        <v>2400</v>
      </c>
      <c r="V746" s="24">
        <f t="shared" si="162"/>
        <v>200</v>
      </c>
      <c r="W746" s="3">
        <f t="shared" si="155"/>
        <v>0</v>
      </c>
      <c r="X746" s="3">
        <f t="shared" si="156"/>
        <v>0</v>
      </c>
      <c r="Y746" s="3">
        <f t="shared" si="157"/>
        <v>0</v>
      </c>
      <c r="Z746" s="25">
        <f t="shared" si="158"/>
        <v>0</v>
      </c>
      <c r="AA746" s="26">
        <f>VLOOKUP(S746,CPI!$A$2:$F$71,6,0)</f>
        <v>1.382720845</v>
      </c>
      <c r="AB746" s="27">
        <f t="shared" si="163"/>
        <v>3318.530029</v>
      </c>
      <c r="AC746" s="27">
        <f t="shared" si="164"/>
        <v>276.5441691</v>
      </c>
      <c r="AD746" s="26" t="s">
        <v>36</v>
      </c>
      <c r="AE746" s="53" t="s">
        <v>1335</v>
      </c>
      <c r="AF746" s="130"/>
      <c r="AG746" s="130"/>
      <c r="AH746" s="130"/>
      <c r="AI746" s="130"/>
      <c r="AJ746" s="33"/>
      <c r="AK746" s="33"/>
      <c r="AL746" s="33"/>
      <c r="AM746" s="114"/>
      <c r="AN746" s="114"/>
      <c r="AO746" s="114"/>
      <c r="AP746" s="114"/>
      <c r="AQ746" s="114"/>
    </row>
    <row r="747">
      <c r="A747" s="38">
        <v>7377.0</v>
      </c>
      <c r="B747" s="26" t="s">
        <v>1331</v>
      </c>
      <c r="C747" s="26" t="s">
        <v>1332</v>
      </c>
      <c r="D747" s="26" t="s">
        <v>228</v>
      </c>
      <c r="E747" s="26" t="s">
        <v>228</v>
      </c>
      <c r="F747" s="26"/>
      <c r="G747" s="25">
        <v>2019.0</v>
      </c>
      <c r="H747" s="25">
        <v>0.0</v>
      </c>
      <c r="I747" s="25">
        <v>27.0</v>
      </c>
      <c r="J747" s="50">
        <v>1.0</v>
      </c>
      <c r="K747" s="25">
        <v>27.0</v>
      </c>
      <c r="L747" s="51">
        <v>0.0</v>
      </c>
      <c r="M747" s="51">
        <v>0.0</v>
      </c>
      <c r="N747" s="25">
        <v>25.0</v>
      </c>
      <c r="O747" s="25"/>
      <c r="P747" s="26" t="s">
        <v>42</v>
      </c>
      <c r="Q747" s="52">
        <v>9.0E7</v>
      </c>
      <c r="R747" s="26" t="s">
        <v>1334</v>
      </c>
      <c r="S747" s="25">
        <v>2017.0</v>
      </c>
      <c r="T747" s="25">
        <v>6.4E-5</v>
      </c>
      <c r="U747" s="25">
        <f t="shared" si="161"/>
        <v>5760</v>
      </c>
      <c r="V747" s="24">
        <f t="shared" si="162"/>
        <v>213.3333333</v>
      </c>
      <c r="W747" s="3">
        <f t="shared" si="155"/>
        <v>0</v>
      </c>
      <c r="X747" s="3">
        <f t="shared" si="156"/>
        <v>0</v>
      </c>
      <c r="Y747" s="3">
        <f t="shared" si="157"/>
        <v>0</v>
      </c>
      <c r="Z747" s="25">
        <f t="shared" si="158"/>
        <v>0</v>
      </c>
      <c r="AA747" s="26">
        <f>VLOOKUP(S747,CPI!$A$2:$F$71,6,0)</f>
        <v>1.314109416</v>
      </c>
      <c r="AB747" s="27">
        <f t="shared" si="163"/>
        <v>7569.270235</v>
      </c>
      <c r="AC747" s="27">
        <f t="shared" si="164"/>
        <v>280.343342</v>
      </c>
      <c r="AD747" s="26" t="s">
        <v>42</v>
      </c>
      <c r="AE747" s="53" t="s">
        <v>1336</v>
      </c>
      <c r="AF747" s="130"/>
      <c r="AG747" s="130"/>
      <c r="AH747" s="130"/>
      <c r="AI747" s="130"/>
      <c r="AJ747" s="33"/>
      <c r="AK747" s="33"/>
      <c r="AL747" s="33"/>
      <c r="AM747" s="114"/>
      <c r="AN747" s="114"/>
      <c r="AO747" s="114"/>
      <c r="AP747" s="114"/>
      <c r="AQ747" s="114"/>
    </row>
    <row r="748">
      <c r="A748" s="38">
        <v>7376.0</v>
      </c>
      <c r="B748" s="26" t="s">
        <v>1331</v>
      </c>
      <c r="C748" s="26" t="s">
        <v>1332</v>
      </c>
      <c r="D748" s="26" t="s">
        <v>80</v>
      </c>
      <c r="E748" s="26" t="s">
        <v>80</v>
      </c>
      <c r="F748" s="26"/>
      <c r="G748" s="25">
        <v>2020.0</v>
      </c>
      <c r="H748" s="25">
        <v>0.0</v>
      </c>
      <c r="I748" s="25">
        <v>31.0</v>
      </c>
      <c r="J748" s="50">
        <v>1.0</v>
      </c>
      <c r="K748" s="25">
        <v>31.0</v>
      </c>
      <c r="L748" s="51">
        <v>0.0</v>
      </c>
      <c r="M748" s="51">
        <v>0.0</v>
      </c>
      <c r="N748" s="25">
        <v>29.0</v>
      </c>
      <c r="O748" s="25"/>
      <c r="P748" s="26" t="s">
        <v>42</v>
      </c>
      <c r="Q748" s="52">
        <v>9.0E7</v>
      </c>
      <c r="R748" s="26" t="s">
        <v>1334</v>
      </c>
      <c r="S748" s="25">
        <v>2017.0</v>
      </c>
      <c r="T748" s="25">
        <v>6.4E-5</v>
      </c>
      <c r="U748" s="25">
        <f t="shared" si="161"/>
        <v>5760</v>
      </c>
      <c r="V748" s="24">
        <f t="shared" si="162"/>
        <v>185.8064516</v>
      </c>
      <c r="W748" s="3">
        <f t="shared" si="155"/>
        <v>0</v>
      </c>
      <c r="X748" s="3">
        <f t="shared" si="156"/>
        <v>0</v>
      </c>
      <c r="Y748" s="3">
        <f t="shared" si="157"/>
        <v>0</v>
      </c>
      <c r="Z748" s="25">
        <f t="shared" si="158"/>
        <v>0</v>
      </c>
      <c r="AA748" s="26">
        <f>VLOOKUP(S748,CPI!$A$2:$F$71,6,0)</f>
        <v>1.314109416</v>
      </c>
      <c r="AB748" s="27">
        <f t="shared" si="163"/>
        <v>7569.270235</v>
      </c>
      <c r="AC748" s="27">
        <f t="shared" si="164"/>
        <v>244.1700076</v>
      </c>
      <c r="AD748" s="26" t="s">
        <v>42</v>
      </c>
      <c r="AE748" s="251" t="s">
        <v>1336</v>
      </c>
      <c r="AF748" s="301"/>
      <c r="AG748" s="301"/>
      <c r="AH748" s="130"/>
      <c r="AI748" s="130"/>
      <c r="AJ748" s="33"/>
      <c r="AK748" s="33"/>
      <c r="AL748" s="33"/>
      <c r="AM748" s="206"/>
      <c r="AN748" s="206"/>
      <c r="AO748" s="206"/>
      <c r="AP748" s="206"/>
      <c r="AQ748" s="206"/>
    </row>
    <row r="749">
      <c r="A749" s="61">
        <v>9788.0</v>
      </c>
      <c r="B749" s="26" t="s">
        <v>1337</v>
      </c>
      <c r="C749" s="26" t="s">
        <v>1338</v>
      </c>
      <c r="D749" s="26" t="s">
        <v>1069</v>
      </c>
      <c r="E749" s="26" t="s">
        <v>1069</v>
      </c>
      <c r="F749" s="25">
        <v>2003.0</v>
      </c>
      <c r="G749" s="25">
        <v>2013.0</v>
      </c>
      <c r="H749" s="25">
        <v>0.0</v>
      </c>
      <c r="I749" s="25">
        <v>13.7</v>
      </c>
      <c r="J749" s="50">
        <v>0.71</v>
      </c>
      <c r="K749" s="25">
        <v>9.7</v>
      </c>
      <c r="L749" s="51">
        <v>0.0</v>
      </c>
      <c r="M749" s="51">
        <v>0.0</v>
      </c>
      <c r="N749" s="25">
        <v>17.0</v>
      </c>
      <c r="O749" s="302">
        <v>40.0</v>
      </c>
      <c r="P749" s="26" t="s">
        <v>74</v>
      </c>
      <c r="Q749" s="55">
        <v>716.0</v>
      </c>
      <c r="R749" s="26" t="s">
        <v>52</v>
      </c>
      <c r="S749" s="25">
        <v>2008.0</v>
      </c>
      <c r="T749" s="25">
        <v>1.3</v>
      </c>
      <c r="U749" s="25">
        <f t="shared" si="161"/>
        <v>930.8</v>
      </c>
      <c r="V749" s="24">
        <f t="shared" si="162"/>
        <v>67.94160584</v>
      </c>
      <c r="W749" s="3">
        <f t="shared" si="155"/>
        <v>1</v>
      </c>
      <c r="X749" s="3">
        <f t="shared" si="156"/>
        <v>13.7</v>
      </c>
      <c r="Y749" s="3">
        <f t="shared" si="157"/>
        <v>9.7</v>
      </c>
      <c r="Z749" s="25">
        <f t="shared" si="158"/>
        <v>0</v>
      </c>
      <c r="AA749" s="26">
        <f>VLOOKUP(S749,CPI!$A$2:$F$71,6,0)</f>
        <v>1.496098522</v>
      </c>
      <c r="AB749" s="27">
        <f t="shared" si="163"/>
        <v>1392.568504</v>
      </c>
      <c r="AC749" s="27">
        <f t="shared" si="164"/>
        <v>101.6473361</v>
      </c>
      <c r="AD749" s="26" t="s">
        <v>42</v>
      </c>
      <c r="AE749" s="251" t="s">
        <v>1339</v>
      </c>
      <c r="AF749" s="301"/>
      <c r="AG749" s="301"/>
      <c r="AH749" s="130"/>
      <c r="AI749" s="130"/>
      <c r="AJ749" s="33"/>
      <c r="AK749" s="33"/>
      <c r="AL749" s="33"/>
      <c r="AM749" s="206"/>
      <c r="AN749" s="206"/>
      <c r="AO749" s="206"/>
      <c r="AP749" s="206"/>
      <c r="AQ749" s="206"/>
    </row>
    <row r="750">
      <c r="A750" s="290"/>
      <c r="B750" s="290" t="s">
        <v>1337</v>
      </c>
      <c r="C750" s="68" t="s">
        <v>1340</v>
      </c>
      <c r="D750" s="68" t="s">
        <v>1341</v>
      </c>
      <c r="E750" s="68" t="s">
        <v>1341</v>
      </c>
      <c r="F750" s="237">
        <v>2001.0</v>
      </c>
      <c r="G750" s="237">
        <v>2016.0</v>
      </c>
      <c r="H750" s="237">
        <v>0.0</v>
      </c>
      <c r="I750" s="36">
        <v>1.9</v>
      </c>
      <c r="J750" s="303">
        <v>1.0</v>
      </c>
      <c r="K750" s="36">
        <v>1.9</v>
      </c>
      <c r="L750" s="237">
        <v>0.0</v>
      </c>
      <c r="M750" s="237">
        <v>0.0</v>
      </c>
      <c r="N750" s="237">
        <v>2.0</v>
      </c>
      <c r="O750" s="239">
        <v>80.0</v>
      </c>
      <c r="P750" s="237" t="s">
        <v>60</v>
      </c>
      <c r="Q750" s="304">
        <v>85.0</v>
      </c>
      <c r="R750" s="237" t="s">
        <v>52</v>
      </c>
      <c r="S750" s="237">
        <v>2012.0</v>
      </c>
      <c r="T750" s="237">
        <v>1.3</v>
      </c>
      <c r="U750" s="75">
        <f t="shared" si="161"/>
        <v>110.5</v>
      </c>
      <c r="V750" s="24">
        <f t="shared" si="162"/>
        <v>58.15789474</v>
      </c>
      <c r="W750" s="3">
        <f t="shared" si="155"/>
        <v>1</v>
      </c>
      <c r="X750" s="3">
        <f t="shared" si="156"/>
        <v>1.9</v>
      </c>
      <c r="Y750" s="3">
        <f t="shared" si="157"/>
        <v>1.9</v>
      </c>
      <c r="Z750" s="25">
        <f t="shared" si="158"/>
        <v>0</v>
      </c>
      <c r="AA750" s="26">
        <f>VLOOKUP(S750,CPI!$A$2:$F$71,6,0)</f>
        <v>1.402974381</v>
      </c>
      <c r="AB750" s="27">
        <f t="shared" si="163"/>
        <v>155.0286691</v>
      </c>
      <c r="AC750" s="27">
        <f t="shared" si="164"/>
        <v>81.59403636</v>
      </c>
      <c r="AD750" s="36" t="s">
        <v>60</v>
      </c>
      <c r="AE750" s="240" t="s">
        <v>1342</v>
      </c>
      <c r="AF750" s="7"/>
      <c r="AG750" s="7"/>
      <c r="AH750" s="7"/>
      <c r="AI750" s="7"/>
      <c r="AM750" s="206"/>
      <c r="AN750" s="206"/>
      <c r="AO750" s="206"/>
      <c r="AP750" s="206"/>
      <c r="AQ750" s="206"/>
    </row>
    <row r="751">
      <c r="A751" s="290"/>
      <c r="B751" s="290" t="s">
        <v>1337</v>
      </c>
      <c r="C751" s="68" t="s">
        <v>1340</v>
      </c>
      <c r="D751" s="68" t="s">
        <v>1343</v>
      </c>
      <c r="E751" s="68" t="s">
        <v>1343</v>
      </c>
      <c r="F751" s="237">
        <v>2007.0</v>
      </c>
      <c r="G751" s="237">
        <v>2017.0</v>
      </c>
      <c r="H751" s="237">
        <v>0.0</v>
      </c>
      <c r="I751" s="36">
        <v>3.1</v>
      </c>
      <c r="J751" s="303">
        <v>1.0</v>
      </c>
      <c r="K751" s="36">
        <v>3.1</v>
      </c>
      <c r="L751" s="237">
        <v>0.0</v>
      </c>
      <c r="M751" s="237">
        <v>0.0</v>
      </c>
      <c r="N751" s="237">
        <v>4.0</v>
      </c>
      <c r="O751" s="239">
        <v>80.0</v>
      </c>
      <c r="P751" s="237" t="s">
        <v>60</v>
      </c>
      <c r="Q751" s="304">
        <v>104.0</v>
      </c>
      <c r="R751" s="237" t="s">
        <v>52</v>
      </c>
      <c r="S751" s="237">
        <v>2012.0</v>
      </c>
      <c r="T751" s="237">
        <v>1.3</v>
      </c>
      <c r="U751" s="75">
        <f t="shared" si="161"/>
        <v>135.2</v>
      </c>
      <c r="V751" s="24">
        <f t="shared" si="162"/>
        <v>43.61290323</v>
      </c>
      <c r="W751" s="3">
        <f t="shared" si="155"/>
        <v>1</v>
      </c>
      <c r="X751" s="3">
        <f t="shared" si="156"/>
        <v>3.1</v>
      </c>
      <c r="Y751" s="3">
        <f t="shared" si="157"/>
        <v>3.1</v>
      </c>
      <c r="Z751" s="25">
        <f t="shared" si="158"/>
        <v>0</v>
      </c>
      <c r="AA751" s="26">
        <f>VLOOKUP(S751,CPI!$A$2:$F$71,6,0)</f>
        <v>1.402974381</v>
      </c>
      <c r="AB751" s="27">
        <f t="shared" si="163"/>
        <v>189.6821363</v>
      </c>
      <c r="AC751" s="27">
        <f t="shared" si="164"/>
        <v>61.1877859</v>
      </c>
      <c r="AD751" s="36" t="s">
        <v>60</v>
      </c>
      <c r="AE751" s="240" t="s">
        <v>1342</v>
      </c>
      <c r="AF751" s="7"/>
      <c r="AG751" s="7"/>
      <c r="AH751" s="7"/>
      <c r="AI751" s="7"/>
    </row>
    <row r="752">
      <c r="A752" s="290"/>
      <c r="B752" s="290" t="s">
        <v>1337</v>
      </c>
      <c r="C752" s="68" t="s">
        <v>1340</v>
      </c>
      <c r="D752" s="68" t="s">
        <v>1344</v>
      </c>
      <c r="E752" s="68" t="s">
        <v>1344</v>
      </c>
      <c r="F752" s="237">
        <v>2015.0</v>
      </c>
      <c r="G752" s="237">
        <v>2022.0</v>
      </c>
      <c r="H752" s="237">
        <v>0.0</v>
      </c>
      <c r="I752" s="36">
        <v>1.7</v>
      </c>
      <c r="J752" s="303">
        <v>1.0</v>
      </c>
      <c r="K752" s="36">
        <v>1.7</v>
      </c>
      <c r="L752" s="237">
        <v>0.0</v>
      </c>
      <c r="M752" s="237">
        <v>0.0</v>
      </c>
      <c r="N752" s="237">
        <v>2.0</v>
      </c>
      <c r="O752" s="239">
        <v>80.0</v>
      </c>
      <c r="P752" s="237" t="s">
        <v>60</v>
      </c>
      <c r="Q752" s="304">
        <v>93.0</v>
      </c>
      <c r="R752" s="237" t="s">
        <v>52</v>
      </c>
      <c r="S752" s="237">
        <v>2018.0</v>
      </c>
      <c r="T752" s="237">
        <v>1.3</v>
      </c>
      <c r="U752" s="75">
        <f t="shared" si="161"/>
        <v>120.9</v>
      </c>
      <c r="V752" s="24">
        <f t="shared" si="162"/>
        <v>71.11764706</v>
      </c>
      <c r="W752" s="3">
        <f t="shared" si="155"/>
        <v>1</v>
      </c>
      <c r="X752" s="3">
        <f t="shared" si="156"/>
        <v>1.7</v>
      </c>
      <c r="Y752" s="3">
        <f t="shared" si="157"/>
        <v>1.7</v>
      </c>
      <c r="Z752" s="25">
        <f t="shared" si="158"/>
        <v>0</v>
      </c>
      <c r="AA752" s="26">
        <f>VLOOKUP(S752,CPI!$A$2:$F$71,6,0)</f>
        <v>1.28277786</v>
      </c>
      <c r="AB752" s="27">
        <f t="shared" si="163"/>
        <v>155.0878432</v>
      </c>
      <c r="AC752" s="27">
        <f t="shared" si="164"/>
        <v>91.22814308</v>
      </c>
      <c r="AD752" s="36" t="s">
        <v>60</v>
      </c>
      <c r="AE752" s="305" t="s">
        <v>1342</v>
      </c>
      <c r="AF752" s="7"/>
      <c r="AG752" s="7"/>
      <c r="AH752" s="7"/>
      <c r="AI752" s="7"/>
    </row>
    <row r="753">
      <c r="A753" s="290"/>
      <c r="B753" s="290" t="s">
        <v>1337</v>
      </c>
      <c r="C753" s="68" t="s">
        <v>1340</v>
      </c>
      <c r="D753" s="68" t="s">
        <v>1345</v>
      </c>
      <c r="E753" s="68" t="s">
        <v>1345</v>
      </c>
      <c r="F753" s="237">
        <v>2019.0</v>
      </c>
      <c r="G753" s="237">
        <v>2024.0</v>
      </c>
      <c r="H753" s="237">
        <v>0.0</v>
      </c>
      <c r="I753" s="36">
        <v>2.1</v>
      </c>
      <c r="J753" s="303">
        <v>1.0</v>
      </c>
      <c r="K753" s="36">
        <v>2.1</v>
      </c>
      <c r="L753" s="237">
        <v>0.0</v>
      </c>
      <c r="M753" s="237">
        <v>0.0</v>
      </c>
      <c r="N753" s="237">
        <v>2.0</v>
      </c>
      <c r="O753" s="239">
        <v>80.0</v>
      </c>
      <c r="P753" s="237" t="s">
        <v>60</v>
      </c>
      <c r="Q753" s="304">
        <v>124.0</v>
      </c>
      <c r="R753" s="237" t="s">
        <v>52</v>
      </c>
      <c r="S753" s="237">
        <v>2021.0</v>
      </c>
      <c r="T753" s="237">
        <v>1.3</v>
      </c>
      <c r="U753" s="75">
        <f t="shared" si="161"/>
        <v>161.2</v>
      </c>
      <c r="V753" s="24">
        <f t="shared" si="162"/>
        <v>76.76190476</v>
      </c>
      <c r="W753" s="3">
        <f t="shared" si="155"/>
        <v>1</v>
      </c>
      <c r="X753" s="3">
        <f t="shared" si="156"/>
        <v>2.1</v>
      </c>
      <c r="Y753" s="3">
        <f t="shared" si="157"/>
        <v>2.1</v>
      </c>
      <c r="Z753" s="25">
        <f t="shared" si="158"/>
        <v>0</v>
      </c>
      <c r="AA753" s="26">
        <f>VLOOKUP(S753,CPI!$A$2:$F$71,6,0)</f>
        <v>1.188745987</v>
      </c>
      <c r="AB753" s="27">
        <f t="shared" si="163"/>
        <v>191.625853</v>
      </c>
      <c r="AC753" s="27">
        <f t="shared" si="164"/>
        <v>91.25040621</v>
      </c>
      <c r="AD753" s="36" t="s">
        <v>60</v>
      </c>
      <c r="AE753" s="240" t="s">
        <v>1342</v>
      </c>
      <c r="AF753" s="7"/>
      <c r="AG753" s="7"/>
      <c r="AH753" s="7"/>
      <c r="AI753" s="7"/>
    </row>
    <row r="754">
      <c r="A754" s="290"/>
      <c r="B754" s="290" t="s">
        <v>1337</v>
      </c>
      <c r="C754" s="68" t="s">
        <v>1340</v>
      </c>
      <c r="D754" s="68" t="s">
        <v>1346</v>
      </c>
      <c r="E754" s="68" t="s">
        <v>1346</v>
      </c>
      <c r="F754" s="237">
        <v>2017.0</v>
      </c>
      <c r="G754" s="237">
        <v>2025.0</v>
      </c>
      <c r="H754" s="237">
        <v>0.0</v>
      </c>
      <c r="I754" s="36">
        <v>6.4</v>
      </c>
      <c r="J754" s="303">
        <v>1.0</v>
      </c>
      <c r="K754" s="36">
        <v>6.4</v>
      </c>
      <c r="L754" s="237">
        <v>0.0</v>
      </c>
      <c r="M754" s="237">
        <v>0.0</v>
      </c>
      <c r="N754" s="237">
        <v>8.0</v>
      </c>
      <c r="O754" s="239">
        <v>80.0</v>
      </c>
      <c r="P754" s="237" t="s">
        <v>60</v>
      </c>
      <c r="Q754" s="304">
        <v>419.0</v>
      </c>
      <c r="R754" s="237" t="s">
        <v>52</v>
      </c>
      <c r="S754" s="237">
        <v>2020.0</v>
      </c>
      <c r="T754" s="237">
        <v>1.3</v>
      </c>
      <c r="U754" s="75">
        <f t="shared" si="161"/>
        <v>544.7</v>
      </c>
      <c r="V754" s="24">
        <f t="shared" si="162"/>
        <v>85.109375</v>
      </c>
      <c r="W754" s="3">
        <f t="shared" si="155"/>
        <v>1</v>
      </c>
      <c r="X754" s="3">
        <f t="shared" si="156"/>
        <v>6.4</v>
      </c>
      <c r="Y754" s="3">
        <f t="shared" si="157"/>
        <v>6.4</v>
      </c>
      <c r="Z754" s="25">
        <f t="shared" si="158"/>
        <v>0</v>
      </c>
      <c r="AA754" s="26">
        <f>VLOOKUP(S754,CPI!$A$2:$F$71,6,0)</f>
        <v>1.244593545</v>
      </c>
      <c r="AB754" s="27">
        <f t="shared" si="163"/>
        <v>677.930104</v>
      </c>
      <c r="AC754" s="27">
        <f t="shared" si="164"/>
        <v>105.9265788</v>
      </c>
      <c r="AD754" s="36" t="s">
        <v>60</v>
      </c>
      <c r="AE754" s="305" t="s">
        <v>1342</v>
      </c>
      <c r="AF754" s="7"/>
      <c r="AG754" s="7"/>
      <c r="AH754" s="7"/>
      <c r="AI754" s="7"/>
    </row>
    <row r="755">
      <c r="A755" s="290"/>
      <c r="B755" s="290" t="s">
        <v>1337</v>
      </c>
      <c r="C755" s="68" t="s">
        <v>1340</v>
      </c>
      <c r="D755" s="68" t="s">
        <v>1347</v>
      </c>
      <c r="E755" s="68" t="s">
        <v>1347</v>
      </c>
      <c r="F755" s="237">
        <v>2022.0</v>
      </c>
      <c r="G755" s="237">
        <v>2026.0</v>
      </c>
      <c r="H755" s="237">
        <v>0.0</v>
      </c>
      <c r="I755" s="36">
        <v>11.5</v>
      </c>
      <c r="J755" s="303">
        <v>0.52</v>
      </c>
      <c r="K755" s="36">
        <v>6.0</v>
      </c>
      <c r="L755" s="237">
        <v>0.0</v>
      </c>
      <c r="M755" s="237">
        <v>5.5</v>
      </c>
      <c r="N755" s="237">
        <v>5.0</v>
      </c>
      <c r="O755" s="239">
        <v>80.0</v>
      </c>
      <c r="P755" s="237" t="s">
        <v>60</v>
      </c>
      <c r="Q755" s="304">
        <v>432.0</v>
      </c>
      <c r="R755" s="237" t="s">
        <v>52</v>
      </c>
      <c r="S755" s="237">
        <v>2024.0</v>
      </c>
      <c r="T755" s="237">
        <v>1.3</v>
      </c>
      <c r="U755" s="75">
        <f t="shared" si="161"/>
        <v>561.6</v>
      </c>
      <c r="V755" s="24">
        <f t="shared" si="162"/>
        <v>48.83478261</v>
      </c>
      <c r="W755" s="3">
        <f t="shared" si="155"/>
        <v>1</v>
      </c>
      <c r="X755" s="3">
        <f t="shared" si="156"/>
        <v>11.5</v>
      </c>
      <c r="Y755" s="3">
        <f t="shared" si="157"/>
        <v>6</v>
      </c>
      <c r="Z755" s="25">
        <f t="shared" si="158"/>
        <v>0</v>
      </c>
      <c r="AA755" s="26">
        <f>VLOOKUP(S755,CPI!$A$2:$F$71,6,0)</f>
        <v>1</v>
      </c>
      <c r="AB755" s="27">
        <f t="shared" si="163"/>
        <v>561.6</v>
      </c>
      <c r="AC755" s="27">
        <f t="shared" si="164"/>
        <v>48.83478261</v>
      </c>
      <c r="AD755" s="36" t="s">
        <v>60</v>
      </c>
      <c r="AE755" s="305" t="s">
        <v>1342</v>
      </c>
      <c r="AF755" s="7"/>
      <c r="AG755" s="7"/>
      <c r="AH755" s="7"/>
      <c r="AI755" s="7"/>
    </row>
    <row r="756">
      <c r="A756" s="290"/>
      <c r="B756" s="290" t="s">
        <v>1337</v>
      </c>
      <c r="C756" s="68" t="s">
        <v>1348</v>
      </c>
      <c r="D756" s="68" t="s">
        <v>1349</v>
      </c>
      <c r="E756" s="68" t="s">
        <v>1349</v>
      </c>
      <c r="F756" s="237">
        <v>1998.0</v>
      </c>
      <c r="G756" s="237">
        <v>2006.0</v>
      </c>
      <c r="H756" s="237">
        <v>0.0</v>
      </c>
      <c r="I756" s="36">
        <v>2.5</v>
      </c>
      <c r="J756" s="303">
        <v>1.0</v>
      </c>
      <c r="K756" s="36">
        <v>2.5</v>
      </c>
      <c r="L756" s="237">
        <v>0.0</v>
      </c>
      <c r="M756" s="237">
        <v>0.0</v>
      </c>
      <c r="N756" s="237">
        <v>4.0</v>
      </c>
      <c r="O756" s="239">
        <v>80.0</v>
      </c>
      <c r="P756" s="237" t="s">
        <v>74</v>
      </c>
      <c r="Q756" s="304">
        <v>212.0</v>
      </c>
      <c r="R756" s="237" t="s">
        <v>52</v>
      </c>
      <c r="S756" s="237">
        <v>2002.0</v>
      </c>
      <c r="T756" s="237">
        <v>1.3</v>
      </c>
      <c r="U756" s="75">
        <f t="shared" si="161"/>
        <v>275.6</v>
      </c>
      <c r="V756" s="24">
        <f t="shared" si="162"/>
        <v>110.24</v>
      </c>
      <c r="W756" s="3">
        <f t="shared" si="155"/>
        <v>1</v>
      </c>
      <c r="X756" s="3">
        <f t="shared" si="156"/>
        <v>2.5</v>
      </c>
      <c r="Y756" s="3">
        <f t="shared" si="157"/>
        <v>2.5</v>
      </c>
      <c r="Z756" s="25">
        <f t="shared" si="158"/>
        <v>0</v>
      </c>
      <c r="AA756" s="26">
        <f>VLOOKUP(S756,CPI!$A$2:$F$71,6,0)</f>
        <v>1.790519733</v>
      </c>
      <c r="AB756" s="27">
        <f t="shared" si="163"/>
        <v>493.4672385</v>
      </c>
      <c r="AC756" s="27">
        <f t="shared" si="164"/>
        <v>197.3868954</v>
      </c>
      <c r="AD756" s="36" t="s">
        <v>60</v>
      </c>
      <c r="AE756" s="305" t="s">
        <v>1350</v>
      </c>
      <c r="AF756" s="7"/>
      <c r="AG756" s="7"/>
      <c r="AH756" s="7"/>
      <c r="AI756" s="7"/>
    </row>
    <row r="757" ht="15.75" customHeight="1">
      <c r="A757" s="290"/>
      <c r="B757" s="290" t="s">
        <v>1337</v>
      </c>
      <c r="C757" s="68" t="s">
        <v>1348</v>
      </c>
      <c r="D757" s="68" t="s">
        <v>1351</v>
      </c>
      <c r="E757" s="68" t="s">
        <v>1351</v>
      </c>
      <c r="F757" s="237">
        <v>2006.0</v>
      </c>
      <c r="G757" s="237">
        <v>2012.0</v>
      </c>
      <c r="H757" s="237">
        <v>0.0</v>
      </c>
      <c r="I757" s="36">
        <v>1.5</v>
      </c>
      <c r="J757" s="303">
        <v>0.87</v>
      </c>
      <c r="K757" s="36">
        <v>1.3</v>
      </c>
      <c r="L757" s="237">
        <v>0.0</v>
      </c>
      <c r="M757" s="237">
        <v>0.2</v>
      </c>
      <c r="N757" s="237">
        <v>1.0</v>
      </c>
      <c r="O757" s="239">
        <v>80.0</v>
      </c>
      <c r="P757" s="237" t="s">
        <v>74</v>
      </c>
      <c r="Q757" s="304">
        <v>200.0</v>
      </c>
      <c r="R757" s="237" t="s">
        <v>52</v>
      </c>
      <c r="S757" s="237">
        <v>2009.0</v>
      </c>
      <c r="T757" s="237">
        <v>1.3</v>
      </c>
      <c r="U757" s="75">
        <f t="shared" si="161"/>
        <v>260</v>
      </c>
      <c r="V757" s="24">
        <f t="shared" si="162"/>
        <v>173.3333333</v>
      </c>
      <c r="W757" s="3">
        <f t="shared" si="155"/>
        <v>1</v>
      </c>
      <c r="X757" s="3">
        <f t="shared" si="156"/>
        <v>1.5</v>
      </c>
      <c r="Y757" s="3">
        <f t="shared" si="157"/>
        <v>1.3</v>
      </c>
      <c r="Z757" s="25">
        <f t="shared" si="158"/>
        <v>0</v>
      </c>
      <c r="AA757" s="26">
        <f>VLOOKUP(S757,CPI!$A$2:$F$71,6,0)</f>
        <v>1.501440311</v>
      </c>
      <c r="AB757" s="27">
        <f t="shared" si="163"/>
        <v>390.3744809</v>
      </c>
      <c r="AC757" s="27">
        <f t="shared" si="164"/>
        <v>260.2496539</v>
      </c>
      <c r="AD757" s="36" t="s">
        <v>60</v>
      </c>
      <c r="AE757" s="305" t="s">
        <v>1352</v>
      </c>
      <c r="AF757" s="7"/>
      <c r="AG757" s="7"/>
      <c r="AH757" s="7"/>
      <c r="AI757" s="7"/>
    </row>
    <row r="758" ht="15.75" customHeight="1">
      <c r="A758" s="290"/>
      <c r="B758" s="290" t="s">
        <v>1337</v>
      </c>
      <c r="C758" s="68" t="s">
        <v>1348</v>
      </c>
      <c r="D758" s="68" t="s">
        <v>1353</v>
      </c>
      <c r="E758" s="68" t="s">
        <v>1353</v>
      </c>
      <c r="F758" s="237">
        <v>2020.0</v>
      </c>
      <c r="G758" s="237">
        <v>2023.0</v>
      </c>
      <c r="H758" s="237">
        <v>0.0</v>
      </c>
      <c r="I758" s="36">
        <v>1.5</v>
      </c>
      <c r="J758" s="303">
        <v>0.0</v>
      </c>
      <c r="K758" s="36">
        <v>0.0</v>
      </c>
      <c r="L758" s="237">
        <v>0.3</v>
      </c>
      <c r="M758" s="237">
        <v>1.2</v>
      </c>
      <c r="N758" s="237">
        <v>2.0</v>
      </c>
      <c r="O758" s="239">
        <v>80.0</v>
      </c>
      <c r="P758" s="237" t="s">
        <v>74</v>
      </c>
      <c r="Q758" s="304">
        <v>63.0</v>
      </c>
      <c r="R758" s="237" t="s">
        <v>52</v>
      </c>
      <c r="S758" s="237">
        <v>2022.0</v>
      </c>
      <c r="T758" s="237">
        <v>1.3</v>
      </c>
      <c r="U758" s="75">
        <f t="shared" si="161"/>
        <v>81.9</v>
      </c>
      <c r="V758" s="24">
        <f t="shared" si="162"/>
        <v>54.6</v>
      </c>
      <c r="W758" s="3">
        <f t="shared" si="155"/>
        <v>1</v>
      </c>
      <c r="X758" s="3">
        <f t="shared" si="156"/>
        <v>1.5</v>
      </c>
      <c r="Y758" s="3">
        <f t="shared" si="157"/>
        <v>0</v>
      </c>
      <c r="Z758" s="25">
        <f t="shared" si="158"/>
        <v>0</v>
      </c>
      <c r="AA758" s="26">
        <f>VLOOKUP(S758,CPI!$A$2:$F$71,6,0)</f>
        <v>1.100662897</v>
      </c>
      <c r="AB758" s="27">
        <f t="shared" si="163"/>
        <v>90.14429123</v>
      </c>
      <c r="AC758" s="27">
        <f t="shared" si="164"/>
        <v>60.09619415</v>
      </c>
      <c r="AD758" s="36" t="s">
        <v>60</v>
      </c>
      <c r="AE758" s="240" t="s">
        <v>1354</v>
      </c>
      <c r="AF758" s="7"/>
      <c r="AG758" s="7"/>
      <c r="AH758" s="7"/>
      <c r="AI758" s="7"/>
    </row>
    <row r="759" ht="15.75" customHeight="1">
      <c r="A759" s="38">
        <v>7241.0</v>
      </c>
      <c r="B759" s="26" t="s">
        <v>1337</v>
      </c>
      <c r="C759" s="26" t="s">
        <v>1355</v>
      </c>
      <c r="D759" s="16" t="s">
        <v>1356</v>
      </c>
      <c r="E759" s="306" t="s">
        <v>1357</v>
      </c>
      <c r="F759" s="25">
        <v>1984.0</v>
      </c>
      <c r="G759" s="302">
        <v>2004.0</v>
      </c>
      <c r="H759" s="25">
        <v>1.0</v>
      </c>
      <c r="I759" s="302">
        <v>7.8</v>
      </c>
      <c r="J759" s="307">
        <v>0.9</v>
      </c>
      <c r="K759" s="25">
        <v>7.8</v>
      </c>
      <c r="L759" s="51">
        <v>0.02</v>
      </c>
      <c r="M759" s="51">
        <v>5.18</v>
      </c>
      <c r="N759" s="25">
        <v>10.0</v>
      </c>
      <c r="O759" s="58">
        <v>250.0</v>
      </c>
      <c r="P759" s="26" t="s">
        <v>74</v>
      </c>
      <c r="Q759" s="52">
        <v>915.0</v>
      </c>
      <c r="R759" s="26" t="s">
        <v>52</v>
      </c>
      <c r="S759" s="25">
        <v>1996.0</v>
      </c>
      <c r="T759" s="25">
        <v>1.3</v>
      </c>
      <c r="U759" s="25">
        <f t="shared" si="161"/>
        <v>1189.5</v>
      </c>
      <c r="V759" s="24">
        <f t="shared" si="162"/>
        <v>152.5</v>
      </c>
      <c r="W759" s="3">
        <f t="shared" si="155"/>
        <v>1</v>
      </c>
      <c r="X759" s="3">
        <f t="shared" si="156"/>
        <v>7.8</v>
      </c>
      <c r="Y759" s="3">
        <f t="shared" si="157"/>
        <v>7.8</v>
      </c>
      <c r="Z759" s="25">
        <f t="shared" si="158"/>
        <v>0</v>
      </c>
      <c r="AA759" s="26">
        <f>VLOOKUP(S759,CPI!$A$2:$F$71,6,0)</f>
        <v>2.052992352</v>
      </c>
      <c r="AB759" s="27">
        <f t="shared" si="163"/>
        <v>2442.034402</v>
      </c>
      <c r="AC759" s="27">
        <f t="shared" si="164"/>
        <v>313.0813337</v>
      </c>
      <c r="AD759" s="26" t="s">
        <v>42</v>
      </c>
      <c r="AE759" s="53" t="s">
        <v>1358</v>
      </c>
      <c r="AF759" s="130"/>
      <c r="AG759" s="130"/>
      <c r="AH759" s="130"/>
      <c r="AI759" s="130"/>
      <c r="AJ759" s="33"/>
      <c r="AK759" s="33"/>
      <c r="AL759" s="33"/>
    </row>
    <row r="760" ht="15.75" customHeight="1">
      <c r="A760" s="290"/>
      <c r="B760" s="290" t="s">
        <v>1337</v>
      </c>
      <c r="C760" s="68" t="s">
        <v>1355</v>
      </c>
      <c r="D760" s="36" t="s">
        <v>866</v>
      </c>
      <c r="E760" s="68" t="s">
        <v>1359</v>
      </c>
      <c r="F760" s="237">
        <v>2003.0</v>
      </c>
      <c r="G760" s="237">
        <v>2005.0</v>
      </c>
      <c r="H760" s="237">
        <v>0.0</v>
      </c>
      <c r="I760" s="36">
        <v>2.1</v>
      </c>
      <c r="J760" s="303">
        <v>1.0</v>
      </c>
      <c r="K760" s="36">
        <v>2.1</v>
      </c>
      <c r="L760" s="237">
        <v>0.0</v>
      </c>
      <c r="M760" s="237">
        <v>0.0</v>
      </c>
      <c r="N760" s="237">
        <v>2.0</v>
      </c>
      <c r="O760" s="239">
        <v>110.0</v>
      </c>
      <c r="P760" s="237" t="s">
        <v>74</v>
      </c>
      <c r="Q760" s="304">
        <v>95.0</v>
      </c>
      <c r="R760" s="237" t="s">
        <v>52</v>
      </c>
      <c r="S760" s="237">
        <v>2004.0</v>
      </c>
      <c r="T760" s="237">
        <v>1.3</v>
      </c>
      <c r="U760" s="75">
        <f t="shared" si="161"/>
        <v>123.5</v>
      </c>
      <c r="V760" s="24">
        <f t="shared" si="162"/>
        <v>58.80952381</v>
      </c>
      <c r="W760" s="3">
        <f t="shared" si="155"/>
        <v>1</v>
      </c>
      <c r="X760" s="3">
        <f t="shared" si="156"/>
        <v>2.1</v>
      </c>
      <c r="Y760" s="3">
        <f t="shared" si="157"/>
        <v>2.1</v>
      </c>
      <c r="Z760" s="25">
        <f t="shared" si="158"/>
        <v>0</v>
      </c>
      <c r="AA760" s="26">
        <f>VLOOKUP(S760,CPI!$A$2:$F$71,6,0)</f>
        <v>1.705211752</v>
      </c>
      <c r="AB760" s="27">
        <f t="shared" si="163"/>
        <v>210.5936514</v>
      </c>
      <c r="AC760" s="27">
        <f t="shared" si="164"/>
        <v>100.2826911</v>
      </c>
      <c r="AD760" s="36" t="s">
        <v>60</v>
      </c>
      <c r="AE760" s="240" t="s">
        <v>1360</v>
      </c>
      <c r="AF760" s="7"/>
      <c r="AG760" s="7"/>
      <c r="AH760" s="7"/>
      <c r="AI760" s="7"/>
    </row>
    <row r="761" ht="15.75" customHeight="1">
      <c r="A761" s="290"/>
      <c r="B761" s="290" t="s">
        <v>1337</v>
      </c>
      <c r="C761" s="68" t="s">
        <v>1355</v>
      </c>
      <c r="D761" s="36" t="s">
        <v>866</v>
      </c>
      <c r="E761" s="68" t="s">
        <v>1361</v>
      </c>
      <c r="F761" s="237" t="s">
        <v>1362</v>
      </c>
      <c r="G761" s="237">
        <v>2011.0</v>
      </c>
      <c r="H761" s="237">
        <v>0.0</v>
      </c>
      <c r="I761" s="36">
        <v>4.8</v>
      </c>
      <c r="J761" s="303">
        <v>0.0</v>
      </c>
      <c r="K761" s="36">
        <v>0.0</v>
      </c>
      <c r="L761" s="237">
        <v>0.0</v>
      </c>
      <c r="M761" s="237">
        <v>4.8</v>
      </c>
      <c r="N761" s="237">
        <v>2.0</v>
      </c>
      <c r="O761" s="239">
        <v>110.0</v>
      </c>
      <c r="P761" s="237" t="s">
        <v>74</v>
      </c>
      <c r="Q761" s="304">
        <v>70.0</v>
      </c>
      <c r="R761" s="237" t="s">
        <v>52</v>
      </c>
      <c r="S761" s="237">
        <v>2005.0</v>
      </c>
      <c r="T761" s="237">
        <v>1.3</v>
      </c>
      <c r="U761" s="75">
        <f t="shared" si="161"/>
        <v>91</v>
      </c>
      <c r="V761" s="24">
        <f t="shared" si="162"/>
        <v>18.95833333</v>
      </c>
      <c r="W761" s="3">
        <f t="shared" si="155"/>
        <v>1</v>
      </c>
      <c r="X761" s="3">
        <f t="shared" si="156"/>
        <v>4.8</v>
      </c>
      <c r="Y761" s="3">
        <f t="shared" si="157"/>
        <v>0</v>
      </c>
      <c r="Z761" s="25">
        <f t="shared" si="158"/>
        <v>0</v>
      </c>
      <c r="AA761" s="26">
        <f>VLOOKUP(S761,CPI!$A$2:$F$71,6,0)</f>
        <v>1.649331797</v>
      </c>
      <c r="AB761" s="27">
        <f t="shared" si="163"/>
        <v>150.0891935</v>
      </c>
      <c r="AC761" s="27">
        <f t="shared" si="164"/>
        <v>31.26858199</v>
      </c>
      <c r="AD761" s="36" t="s">
        <v>60</v>
      </c>
      <c r="AE761" s="240" t="s">
        <v>1350</v>
      </c>
      <c r="AF761" s="7"/>
      <c r="AG761" s="7"/>
      <c r="AH761" s="7"/>
      <c r="AI761" s="7"/>
    </row>
    <row r="762" ht="15.75" customHeight="1">
      <c r="A762" s="290"/>
      <c r="B762" s="290" t="s">
        <v>1337</v>
      </c>
      <c r="C762" s="68" t="s">
        <v>1355</v>
      </c>
      <c r="D762" s="36" t="s">
        <v>856</v>
      </c>
      <c r="E762" s="68" t="s">
        <v>1363</v>
      </c>
      <c r="F762" s="237" t="s">
        <v>1362</v>
      </c>
      <c r="G762" s="237">
        <v>2011.0</v>
      </c>
      <c r="H762" s="237">
        <v>0.0</v>
      </c>
      <c r="I762" s="36">
        <v>3.9</v>
      </c>
      <c r="J762" s="303">
        <v>1.0</v>
      </c>
      <c r="K762" s="36">
        <v>3.9</v>
      </c>
      <c r="L762" s="237">
        <v>0.0</v>
      </c>
      <c r="M762" s="237">
        <v>0.0</v>
      </c>
      <c r="N762" s="237">
        <v>4.0</v>
      </c>
      <c r="O762" s="239">
        <v>110.0</v>
      </c>
      <c r="P762" s="237" t="s">
        <v>74</v>
      </c>
      <c r="Q762" s="304">
        <v>267.0</v>
      </c>
      <c r="R762" s="237" t="s">
        <v>52</v>
      </c>
      <c r="S762" s="237">
        <v>2005.0</v>
      </c>
      <c r="T762" s="237">
        <v>1.3</v>
      </c>
      <c r="U762" s="75">
        <f t="shared" si="161"/>
        <v>347.1</v>
      </c>
      <c r="V762" s="24">
        <f t="shared" si="162"/>
        <v>89</v>
      </c>
      <c r="W762" s="3">
        <f t="shared" si="155"/>
        <v>1</v>
      </c>
      <c r="X762" s="3">
        <f t="shared" si="156"/>
        <v>3.9</v>
      </c>
      <c r="Y762" s="3">
        <f t="shared" si="157"/>
        <v>3.9</v>
      </c>
      <c r="Z762" s="25">
        <f t="shared" si="158"/>
        <v>0</v>
      </c>
      <c r="AA762" s="26">
        <f>VLOOKUP(S762,CPI!$A$2:$F$71,6,0)</f>
        <v>1.649331797</v>
      </c>
      <c r="AB762" s="27">
        <f t="shared" si="163"/>
        <v>572.4830668</v>
      </c>
      <c r="AC762" s="27">
        <f t="shared" si="164"/>
        <v>146.79053</v>
      </c>
      <c r="AD762" s="36" t="s">
        <v>60</v>
      </c>
      <c r="AE762" s="305" t="s">
        <v>1350</v>
      </c>
      <c r="AF762" s="7"/>
      <c r="AG762" s="7"/>
      <c r="AH762" s="7"/>
      <c r="AI762" s="7"/>
    </row>
    <row r="763" ht="15.75" customHeight="1">
      <c r="A763" s="38">
        <v>7233.0</v>
      </c>
      <c r="B763" s="26" t="s">
        <v>1337</v>
      </c>
      <c r="C763" s="26" t="s">
        <v>1355</v>
      </c>
      <c r="D763" s="1" t="s">
        <v>1364</v>
      </c>
      <c r="E763" s="63" t="s">
        <v>1365</v>
      </c>
      <c r="F763" s="25">
        <v>2007.0</v>
      </c>
      <c r="G763" s="25">
        <v>2013.0</v>
      </c>
      <c r="H763" s="25">
        <v>0.0</v>
      </c>
      <c r="I763" s="25">
        <v>6.1</v>
      </c>
      <c r="J763" s="50">
        <v>1.0</v>
      </c>
      <c r="K763" s="25">
        <v>6.1</v>
      </c>
      <c r="L763" s="51">
        <v>0.0</v>
      </c>
      <c r="M763" s="51">
        <v>0.0</v>
      </c>
      <c r="N763" s="25">
        <v>9.0</v>
      </c>
      <c r="O763" s="302">
        <v>50.0</v>
      </c>
      <c r="P763" s="306" t="s">
        <v>60</v>
      </c>
      <c r="Q763" s="308">
        <v>508.0</v>
      </c>
      <c r="R763" s="26" t="s">
        <v>52</v>
      </c>
      <c r="S763" s="25">
        <v>2010.0</v>
      </c>
      <c r="T763" s="25">
        <v>1.3</v>
      </c>
      <c r="U763" s="25">
        <f t="shared" si="161"/>
        <v>660.4</v>
      </c>
      <c r="V763" s="24">
        <f t="shared" si="162"/>
        <v>108.2622951</v>
      </c>
      <c r="W763" s="3">
        <f t="shared" si="155"/>
        <v>1</v>
      </c>
      <c r="X763" s="3">
        <f t="shared" si="156"/>
        <v>6.1</v>
      </c>
      <c r="Y763" s="3">
        <f t="shared" si="157"/>
        <v>6.1</v>
      </c>
      <c r="Z763" s="25">
        <f t="shared" si="158"/>
        <v>0</v>
      </c>
      <c r="AA763" s="26">
        <f>VLOOKUP(S763,CPI!$A$2:$F$71,6,0)</f>
        <v>1.477209983</v>
      </c>
      <c r="AB763" s="27">
        <f t="shared" si="163"/>
        <v>975.5494726</v>
      </c>
      <c r="AC763" s="27">
        <f t="shared" si="164"/>
        <v>159.9261431</v>
      </c>
      <c r="AD763" s="26" t="s">
        <v>36</v>
      </c>
      <c r="AE763" s="53" t="s">
        <v>1366</v>
      </c>
      <c r="AF763" s="130"/>
      <c r="AG763" s="130"/>
      <c r="AH763" s="130"/>
      <c r="AI763" s="130"/>
      <c r="AJ763" s="33"/>
      <c r="AK763" s="33"/>
      <c r="AL763" s="33"/>
    </row>
    <row r="764" ht="15.75" customHeight="1">
      <c r="A764" s="38">
        <v>7234.0</v>
      </c>
      <c r="B764" s="26" t="s">
        <v>1337</v>
      </c>
      <c r="C764" s="26" t="s">
        <v>1355</v>
      </c>
      <c r="D764" s="1" t="s">
        <v>1364</v>
      </c>
      <c r="E764" s="63" t="s">
        <v>1367</v>
      </c>
      <c r="F764" s="25">
        <v>2010.0</v>
      </c>
      <c r="G764" s="25">
        <v>2015.0</v>
      </c>
      <c r="H764" s="25">
        <v>0.0</v>
      </c>
      <c r="I764" s="25">
        <v>6.5</v>
      </c>
      <c r="J764" s="50">
        <v>1.0</v>
      </c>
      <c r="K764" s="25">
        <v>6.5</v>
      </c>
      <c r="L764" s="51">
        <v>0.0</v>
      </c>
      <c r="M764" s="51">
        <v>0.0</v>
      </c>
      <c r="N764" s="25">
        <v>10.0</v>
      </c>
      <c r="O764" s="302">
        <v>50.0</v>
      </c>
      <c r="P764" s="306" t="s">
        <v>60</v>
      </c>
      <c r="Q764" s="308">
        <v>751.0</v>
      </c>
      <c r="R764" s="26" t="s">
        <v>52</v>
      </c>
      <c r="S764" s="25">
        <v>2012.0</v>
      </c>
      <c r="T764" s="25">
        <v>1.3</v>
      </c>
      <c r="U764" s="25">
        <f t="shared" si="161"/>
        <v>976.3</v>
      </c>
      <c r="V764" s="24">
        <f t="shared" si="162"/>
        <v>150.2</v>
      </c>
      <c r="W764" s="3">
        <f t="shared" si="155"/>
        <v>1</v>
      </c>
      <c r="X764" s="3">
        <f t="shared" si="156"/>
        <v>6.5</v>
      </c>
      <c r="Y764" s="3">
        <f t="shared" si="157"/>
        <v>6.5</v>
      </c>
      <c r="Z764" s="25">
        <f t="shared" si="158"/>
        <v>0</v>
      </c>
      <c r="AA764" s="26">
        <f>VLOOKUP(S764,CPI!$A$2:$F$71,6,0)</f>
        <v>1.402974381</v>
      </c>
      <c r="AB764" s="27">
        <f t="shared" si="163"/>
        <v>1369.723888</v>
      </c>
      <c r="AC764" s="27">
        <f t="shared" si="164"/>
        <v>210.726752</v>
      </c>
      <c r="AD764" s="26" t="s">
        <v>60</v>
      </c>
      <c r="AE764" s="57" t="s">
        <v>1368</v>
      </c>
      <c r="AF764" s="130"/>
      <c r="AG764" s="130"/>
      <c r="AH764" s="130"/>
      <c r="AI764" s="130"/>
      <c r="AJ764" s="33"/>
      <c r="AK764" s="33"/>
      <c r="AL764" s="33"/>
    </row>
    <row r="765" ht="15.75" customHeight="1">
      <c r="A765" s="290"/>
      <c r="B765" s="290" t="s">
        <v>1337</v>
      </c>
      <c r="C765" s="68" t="s">
        <v>1355</v>
      </c>
      <c r="D765" s="36" t="s">
        <v>866</v>
      </c>
      <c r="E765" s="68" t="s">
        <v>1369</v>
      </c>
      <c r="F765" s="237">
        <v>2010.0</v>
      </c>
      <c r="G765" s="237">
        <v>2022.0</v>
      </c>
      <c r="H765" s="237">
        <v>0.0</v>
      </c>
      <c r="I765" s="36">
        <v>1.9</v>
      </c>
      <c r="J765" s="303">
        <v>1.0</v>
      </c>
      <c r="K765" s="36">
        <v>1.9</v>
      </c>
      <c r="L765" s="237">
        <v>0.0</v>
      </c>
      <c r="M765" s="237">
        <v>0.0</v>
      </c>
      <c r="N765" s="237">
        <v>2.0</v>
      </c>
      <c r="O765" s="239">
        <v>110.0</v>
      </c>
      <c r="P765" s="237" t="s">
        <v>74</v>
      </c>
      <c r="Q765" s="304">
        <v>143.0</v>
      </c>
      <c r="R765" s="237" t="s">
        <v>52</v>
      </c>
      <c r="S765" s="237">
        <v>2015.0</v>
      </c>
      <c r="T765" s="237">
        <v>1.3</v>
      </c>
      <c r="U765" s="75">
        <f t="shared" si="161"/>
        <v>185.9</v>
      </c>
      <c r="V765" s="24">
        <f t="shared" si="162"/>
        <v>97.84210526</v>
      </c>
      <c r="W765" s="3">
        <f t="shared" si="155"/>
        <v>1</v>
      </c>
      <c r="X765" s="3">
        <f t="shared" si="156"/>
        <v>1.9</v>
      </c>
      <c r="Y765" s="3">
        <f t="shared" si="157"/>
        <v>1.9</v>
      </c>
      <c r="Z765" s="25">
        <f t="shared" si="158"/>
        <v>0</v>
      </c>
      <c r="AA765" s="26">
        <f>VLOOKUP(S765,CPI!$A$2:$F$71,6,0)</f>
        <v>1.359035428</v>
      </c>
      <c r="AB765" s="27">
        <f t="shared" si="163"/>
        <v>252.644686</v>
      </c>
      <c r="AC765" s="27">
        <f t="shared" si="164"/>
        <v>132.9708874</v>
      </c>
      <c r="AD765" s="36" t="s">
        <v>60</v>
      </c>
      <c r="AE765" s="237" t="s">
        <v>1370</v>
      </c>
      <c r="AF765" s="7"/>
      <c r="AG765" s="7"/>
      <c r="AH765" s="7"/>
      <c r="AI765" s="7"/>
      <c r="AM765" s="206"/>
      <c r="AN765" s="206"/>
      <c r="AO765" s="206"/>
      <c r="AP765" s="206"/>
      <c r="AQ765" s="206"/>
    </row>
    <row r="766" ht="15.75" customHeight="1">
      <c r="A766" s="38">
        <v>7235.0</v>
      </c>
      <c r="B766" s="26" t="s">
        <v>1337</v>
      </c>
      <c r="C766" s="26" t="s">
        <v>1355</v>
      </c>
      <c r="D766" s="26" t="s">
        <v>110</v>
      </c>
      <c r="E766" s="26" t="s">
        <v>110</v>
      </c>
      <c r="F766" s="25">
        <v>2015.0</v>
      </c>
      <c r="G766" s="58">
        <v>2024.0</v>
      </c>
      <c r="H766" s="25">
        <v>0.0</v>
      </c>
      <c r="I766" s="25">
        <v>15.2</v>
      </c>
      <c r="J766" s="50">
        <v>1.0</v>
      </c>
      <c r="K766" s="25">
        <v>15.2</v>
      </c>
      <c r="L766" s="51">
        <v>0.0</v>
      </c>
      <c r="M766" s="51">
        <v>0.0</v>
      </c>
      <c r="N766" s="25">
        <v>21.0</v>
      </c>
      <c r="O766" s="302">
        <v>50.0</v>
      </c>
      <c r="P766" s="26" t="s">
        <v>74</v>
      </c>
      <c r="Q766" s="52">
        <v>1696.7</v>
      </c>
      <c r="R766" s="26" t="s">
        <v>52</v>
      </c>
      <c r="S766" s="25">
        <v>2019.0</v>
      </c>
      <c r="T766" s="25">
        <v>1.3</v>
      </c>
      <c r="U766" s="25">
        <f t="shared" si="161"/>
        <v>2205.71</v>
      </c>
      <c r="V766" s="24">
        <f t="shared" si="162"/>
        <v>145.1125</v>
      </c>
      <c r="W766" s="3">
        <f t="shared" si="155"/>
        <v>1</v>
      </c>
      <c r="X766" s="3">
        <f t="shared" si="156"/>
        <v>15.2</v>
      </c>
      <c r="Y766" s="3">
        <f t="shared" si="157"/>
        <v>15.2</v>
      </c>
      <c r="Z766" s="25">
        <f t="shared" si="158"/>
        <v>0</v>
      </c>
      <c r="AA766" s="26">
        <f>VLOOKUP(S766,CPI!$A$2:$F$71,6,0)</f>
        <v>1.259947899</v>
      </c>
      <c r="AB766" s="27">
        <f t="shared" si="163"/>
        <v>2779.07968</v>
      </c>
      <c r="AC766" s="27">
        <f t="shared" si="164"/>
        <v>182.8341895</v>
      </c>
      <c r="AD766" s="26" t="s">
        <v>60</v>
      </c>
      <c r="AE766" s="57" t="s">
        <v>1371</v>
      </c>
      <c r="AF766" s="130"/>
      <c r="AG766" s="130"/>
      <c r="AH766" s="130"/>
      <c r="AI766" s="130"/>
      <c r="AJ766" s="33"/>
      <c r="AK766" s="33"/>
      <c r="AL766" s="33"/>
      <c r="AM766" s="206"/>
      <c r="AN766" s="206"/>
      <c r="AO766" s="206"/>
      <c r="AP766" s="206"/>
      <c r="AQ766" s="206"/>
    </row>
    <row r="767" ht="15.75" customHeight="1">
      <c r="A767" s="290"/>
      <c r="B767" s="290" t="s">
        <v>1337</v>
      </c>
      <c r="C767" s="68" t="s">
        <v>1355</v>
      </c>
      <c r="D767" s="36" t="s">
        <v>866</v>
      </c>
      <c r="E767" s="68" t="s">
        <v>1372</v>
      </c>
      <c r="F767" s="237">
        <v>2022.0</v>
      </c>
      <c r="G767" s="237">
        <v>2027.0</v>
      </c>
      <c r="H767" s="237">
        <v>0.0</v>
      </c>
      <c r="I767" s="36">
        <v>3.3</v>
      </c>
      <c r="J767" s="303">
        <v>1.0</v>
      </c>
      <c r="K767" s="36">
        <v>3.3</v>
      </c>
      <c r="L767" s="237">
        <v>0.0</v>
      </c>
      <c r="M767" s="237">
        <v>0.0</v>
      </c>
      <c r="N767" s="237">
        <v>3.0</v>
      </c>
      <c r="O767" s="239">
        <v>110.0</v>
      </c>
      <c r="P767" s="237" t="s">
        <v>60</v>
      </c>
      <c r="Q767" s="304">
        <v>396.0</v>
      </c>
      <c r="R767" s="237" t="s">
        <v>52</v>
      </c>
      <c r="S767" s="237">
        <v>2025.0</v>
      </c>
      <c r="T767" s="237">
        <v>1.3</v>
      </c>
      <c r="U767" s="75">
        <f t="shared" si="161"/>
        <v>514.8</v>
      </c>
      <c r="V767" s="24">
        <f t="shared" si="162"/>
        <v>156</v>
      </c>
      <c r="W767" s="3">
        <f t="shared" si="155"/>
        <v>1</v>
      </c>
      <c r="X767" s="3">
        <f t="shared" si="156"/>
        <v>3.3</v>
      </c>
      <c r="Y767" s="3">
        <f t="shared" si="157"/>
        <v>3.3</v>
      </c>
      <c r="Z767" s="25">
        <f t="shared" si="158"/>
        <v>0</v>
      </c>
      <c r="AA767" s="26">
        <f>VLOOKUP(S767,CPI!$A$2:$F$71,6,0)</f>
        <v>1</v>
      </c>
      <c r="AB767" s="27">
        <f t="shared" si="163"/>
        <v>514.8</v>
      </c>
      <c r="AC767" s="27">
        <f t="shared" si="164"/>
        <v>156</v>
      </c>
      <c r="AD767" s="36" t="s">
        <v>60</v>
      </c>
      <c r="AE767" s="240" t="s">
        <v>1373</v>
      </c>
      <c r="AF767" s="7"/>
      <c r="AG767" s="7"/>
      <c r="AH767" s="7"/>
      <c r="AI767" s="7"/>
      <c r="AM767" s="206"/>
      <c r="AN767" s="206"/>
      <c r="AO767" s="206"/>
      <c r="AP767" s="206"/>
      <c r="AQ767" s="206"/>
    </row>
    <row r="768" ht="15.75" customHeight="1">
      <c r="A768" s="290"/>
      <c r="B768" s="290" t="s">
        <v>1337</v>
      </c>
      <c r="C768" s="68" t="s">
        <v>1355</v>
      </c>
      <c r="D768" s="36" t="s">
        <v>1364</v>
      </c>
      <c r="E768" s="68" t="s">
        <v>1374</v>
      </c>
      <c r="F768" s="237">
        <v>2022.0</v>
      </c>
      <c r="G768" s="237">
        <v>2029.0</v>
      </c>
      <c r="H768" s="237">
        <v>0.0</v>
      </c>
      <c r="I768" s="36">
        <v>12.6</v>
      </c>
      <c r="J768" s="303">
        <v>1.0</v>
      </c>
      <c r="K768" s="36">
        <v>12.6</v>
      </c>
      <c r="L768" s="237">
        <v>0.0</v>
      </c>
      <c r="M768" s="237">
        <v>0.0</v>
      </c>
      <c r="N768" s="237">
        <v>12.0</v>
      </c>
      <c r="O768" s="239">
        <v>50.0</v>
      </c>
      <c r="P768" s="237" t="s">
        <v>60</v>
      </c>
      <c r="Q768" s="304">
        <v>1250.0</v>
      </c>
      <c r="R768" s="237" t="s">
        <v>52</v>
      </c>
      <c r="S768" s="237">
        <v>2025.0</v>
      </c>
      <c r="T768" s="237">
        <v>1.3</v>
      </c>
      <c r="U768" s="75">
        <f t="shared" si="161"/>
        <v>1625</v>
      </c>
      <c r="V768" s="24">
        <f t="shared" si="162"/>
        <v>128.968254</v>
      </c>
      <c r="W768" s="3">
        <f t="shared" si="155"/>
        <v>1</v>
      </c>
      <c r="X768" s="3">
        <f t="shared" si="156"/>
        <v>12.6</v>
      </c>
      <c r="Y768" s="3">
        <f t="shared" si="157"/>
        <v>12.6</v>
      </c>
      <c r="Z768" s="25">
        <f t="shared" si="158"/>
        <v>0</v>
      </c>
      <c r="AA768" s="26">
        <f>VLOOKUP(S768,CPI!$A$2:$F$71,6,0)</f>
        <v>1</v>
      </c>
      <c r="AB768" s="27">
        <f t="shared" si="163"/>
        <v>1625</v>
      </c>
      <c r="AC768" s="27">
        <f t="shared" si="164"/>
        <v>128.968254</v>
      </c>
      <c r="AD768" s="36" t="s">
        <v>60</v>
      </c>
      <c r="AE768" s="237" t="s">
        <v>1375</v>
      </c>
      <c r="AF768" s="7"/>
      <c r="AG768" s="7"/>
      <c r="AH768" s="7"/>
      <c r="AI768" s="7"/>
      <c r="AM768" s="206"/>
      <c r="AN768" s="206"/>
      <c r="AO768" s="206"/>
      <c r="AP768" s="206"/>
      <c r="AQ768" s="206"/>
    </row>
    <row r="769" ht="15.75" customHeight="1">
      <c r="A769" s="290"/>
      <c r="B769" s="290" t="s">
        <v>1337</v>
      </c>
      <c r="C769" s="68" t="s">
        <v>1376</v>
      </c>
      <c r="D769" s="36" t="s">
        <v>57</v>
      </c>
      <c r="E769" s="68" t="s">
        <v>1377</v>
      </c>
      <c r="F769" s="237">
        <v>1986.0</v>
      </c>
      <c r="G769" s="237">
        <v>2003.0</v>
      </c>
      <c r="H769" s="237">
        <v>0.0</v>
      </c>
      <c r="I769" s="36">
        <v>13.7</v>
      </c>
      <c r="J769" s="303">
        <v>0.7</v>
      </c>
      <c r="K769" s="36">
        <v>9.6</v>
      </c>
      <c r="L769" s="237">
        <v>4.1</v>
      </c>
      <c r="M769" s="237">
        <v>0.0</v>
      </c>
      <c r="N769" s="237">
        <v>14.0</v>
      </c>
      <c r="O769" s="239">
        <v>110.0</v>
      </c>
      <c r="P769" s="237" t="s">
        <v>60</v>
      </c>
      <c r="Q769" s="304">
        <v>1474.0</v>
      </c>
      <c r="R769" s="237" t="s">
        <v>52</v>
      </c>
      <c r="S769" s="237">
        <v>1990.0</v>
      </c>
      <c r="T769" s="237">
        <v>1.3</v>
      </c>
      <c r="U769" s="75">
        <f t="shared" si="161"/>
        <v>1916.2</v>
      </c>
      <c r="V769" s="24">
        <f t="shared" si="162"/>
        <v>139.8686131</v>
      </c>
      <c r="W769" s="3">
        <f t="shared" si="155"/>
        <v>1</v>
      </c>
      <c r="X769" s="3">
        <f t="shared" si="156"/>
        <v>13.7</v>
      </c>
      <c r="Y769" s="3">
        <f t="shared" si="157"/>
        <v>9.6</v>
      </c>
      <c r="Z769" s="25">
        <f t="shared" si="158"/>
        <v>0</v>
      </c>
      <c r="AA769" s="26">
        <f>VLOOKUP(S769,CPI!$A$2:$F$71,6,0)</f>
        <v>2.464533282</v>
      </c>
      <c r="AB769" s="27">
        <f t="shared" si="163"/>
        <v>4722.538676</v>
      </c>
      <c r="AC769" s="27">
        <f t="shared" si="164"/>
        <v>344.7108522</v>
      </c>
      <c r="AD769" s="36" t="s">
        <v>60</v>
      </c>
      <c r="AE769" s="240" t="s">
        <v>1378</v>
      </c>
      <c r="AF769" s="7"/>
      <c r="AG769" s="7"/>
      <c r="AH769" s="7"/>
      <c r="AI769" s="7"/>
      <c r="AM769" s="206"/>
      <c r="AN769" s="206"/>
      <c r="AO769" s="206"/>
      <c r="AP769" s="206"/>
      <c r="AQ769" s="206"/>
    </row>
    <row r="770" ht="15.75" customHeight="1">
      <c r="A770" s="290"/>
      <c r="B770" s="290" t="s">
        <v>1337</v>
      </c>
      <c r="C770" s="68" t="s">
        <v>1376</v>
      </c>
      <c r="D770" s="16" t="s">
        <v>1379</v>
      </c>
      <c r="E770" s="68" t="s">
        <v>1380</v>
      </c>
      <c r="F770" s="237">
        <v>2001.0</v>
      </c>
      <c r="G770" s="237">
        <v>2009.0</v>
      </c>
      <c r="H770" s="237">
        <v>0.0</v>
      </c>
      <c r="I770" s="36">
        <v>10.6</v>
      </c>
      <c r="J770" s="303">
        <v>1.0</v>
      </c>
      <c r="K770" s="36">
        <v>10.6</v>
      </c>
      <c r="L770" s="237">
        <v>0.0</v>
      </c>
      <c r="M770" s="237">
        <v>0.0</v>
      </c>
      <c r="N770" s="237">
        <v>5.0</v>
      </c>
      <c r="O770" s="239">
        <v>110.0</v>
      </c>
      <c r="P770" s="237" t="s">
        <v>74</v>
      </c>
      <c r="Q770" s="304">
        <v>611.0</v>
      </c>
      <c r="R770" s="237" t="s">
        <v>52</v>
      </c>
      <c r="S770" s="237">
        <v>2005.0</v>
      </c>
      <c r="T770" s="237">
        <v>1.3</v>
      </c>
      <c r="U770" s="75">
        <f t="shared" si="161"/>
        <v>794.3</v>
      </c>
      <c r="V770" s="24">
        <f t="shared" si="162"/>
        <v>74.93396226</v>
      </c>
      <c r="W770" s="3">
        <f t="shared" si="155"/>
        <v>1</v>
      </c>
      <c r="X770" s="3">
        <f t="shared" si="156"/>
        <v>10.6</v>
      </c>
      <c r="Y770" s="3">
        <f t="shared" si="157"/>
        <v>10.6</v>
      </c>
      <c r="Z770" s="25">
        <f t="shared" si="158"/>
        <v>0</v>
      </c>
      <c r="AA770" s="26">
        <f>VLOOKUP(S770,CPI!$A$2:$F$71,6,0)</f>
        <v>1.649331797</v>
      </c>
      <c r="AB770" s="27">
        <f t="shared" si="163"/>
        <v>1310.064247</v>
      </c>
      <c r="AC770" s="27">
        <f t="shared" si="164"/>
        <v>123.5909667</v>
      </c>
      <c r="AD770" s="36" t="s">
        <v>60</v>
      </c>
      <c r="AE770" s="240" t="s">
        <v>1381</v>
      </c>
      <c r="AF770" s="7"/>
      <c r="AG770" s="7"/>
      <c r="AH770" s="7"/>
      <c r="AI770" s="7"/>
      <c r="AM770" s="206"/>
      <c r="AN770" s="206"/>
      <c r="AO770" s="206"/>
      <c r="AP770" s="206"/>
      <c r="AQ770" s="206"/>
    </row>
    <row r="771" ht="15.75" customHeight="1">
      <c r="A771" s="309">
        <v>9793.0</v>
      </c>
      <c r="B771" s="310" t="s">
        <v>1337</v>
      </c>
      <c r="C771" s="310" t="s">
        <v>1376</v>
      </c>
      <c r="D771" s="306" t="s">
        <v>57</v>
      </c>
      <c r="E771" s="306" t="s">
        <v>1382</v>
      </c>
      <c r="F771" s="302">
        <v>1999.0</v>
      </c>
      <c r="G771" s="302">
        <v>2021.0</v>
      </c>
      <c r="H771" s="311">
        <v>0.0</v>
      </c>
      <c r="I771" s="302">
        <v>4.3</v>
      </c>
      <c r="J771" s="307">
        <v>1.0</v>
      </c>
      <c r="K771" s="302">
        <v>4.3</v>
      </c>
      <c r="L771" s="312">
        <v>0.0</v>
      </c>
      <c r="M771" s="312">
        <v>0.0</v>
      </c>
      <c r="N771" s="302">
        <v>5.0</v>
      </c>
      <c r="O771" s="302">
        <v>110.0</v>
      </c>
      <c r="P771" s="306" t="s">
        <v>60</v>
      </c>
      <c r="Q771" s="308">
        <v>1748.0</v>
      </c>
      <c r="R771" s="310" t="s">
        <v>52</v>
      </c>
      <c r="S771" s="311">
        <v>2017.0</v>
      </c>
      <c r="T771" s="311">
        <v>1.3</v>
      </c>
      <c r="U771" s="311">
        <f t="shared" si="161"/>
        <v>2272.4</v>
      </c>
      <c r="V771" s="24">
        <f t="shared" si="162"/>
        <v>528.4651163</v>
      </c>
      <c r="W771" s="3">
        <f t="shared" si="155"/>
        <v>1</v>
      </c>
      <c r="X771" s="3">
        <f t="shared" si="156"/>
        <v>4.3</v>
      </c>
      <c r="Y771" s="3">
        <f t="shared" si="157"/>
        <v>4.3</v>
      </c>
      <c r="Z771" s="25">
        <f t="shared" si="158"/>
        <v>0</v>
      </c>
      <c r="AA771" s="26">
        <f>VLOOKUP(S771,CPI!$A$2:$F$71,6,0)</f>
        <v>1.314109416</v>
      </c>
      <c r="AB771" s="27">
        <f t="shared" si="163"/>
        <v>2986.182236</v>
      </c>
      <c r="AC771" s="27">
        <f t="shared" si="164"/>
        <v>694.4609852</v>
      </c>
      <c r="AD771" s="310" t="s">
        <v>60</v>
      </c>
      <c r="AE771" s="53"/>
      <c r="AF771" s="130"/>
      <c r="AG771" s="130"/>
      <c r="AH771" s="130"/>
      <c r="AI771" s="130"/>
      <c r="AJ771" s="33"/>
      <c r="AK771" s="33"/>
      <c r="AL771" s="33"/>
    </row>
    <row r="772" ht="15.75" customHeight="1">
      <c r="A772" s="61">
        <v>9795.0</v>
      </c>
      <c r="B772" s="26" t="s">
        <v>1337</v>
      </c>
      <c r="C772" s="26" t="s">
        <v>1376</v>
      </c>
      <c r="D772" s="1" t="s">
        <v>57</v>
      </c>
      <c r="E772" s="63" t="s">
        <v>1383</v>
      </c>
      <c r="F772" s="25">
        <v>2002.0</v>
      </c>
      <c r="G772" s="25">
        <v>2021.0</v>
      </c>
      <c r="H772" s="25">
        <v>0.0</v>
      </c>
      <c r="I772" s="302">
        <v>3.3</v>
      </c>
      <c r="J772" s="50">
        <v>1.0</v>
      </c>
      <c r="K772" s="302">
        <v>3.3</v>
      </c>
      <c r="L772" s="51">
        <v>0.0</v>
      </c>
      <c r="M772" s="51">
        <v>0.0</v>
      </c>
      <c r="N772" s="302">
        <v>4.0</v>
      </c>
      <c r="O772" s="302">
        <v>80.0</v>
      </c>
      <c r="P772" s="310" t="s">
        <v>60</v>
      </c>
      <c r="Q772" s="308">
        <v>790.0</v>
      </c>
      <c r="R772" s="26" t="s">
        <v>52</v>
      </c>
      <c r="S772" s="25">
        <v>2011.0</v>
      </c>
      <c r="T772" s="25">
        <v>1.3</v>
      </c>
      <c r="U772" s="25">
        <f t="shared" si="161"/>
        <v>1027</v>
      </c>
      <c r="V772" s="24">
        <f t="shared" si="162"/>
        <v>311.2121212</v>
      </c>
      <c r="W772" s="3">
        <f t="shared" si="155"/>
        <v>1</v>
      </c>
      <c r="X772" s="3">
        <f t="shared" si="156"/>
        <v>3.3</v>
      </c>
      <c r="Y772" s="3">
        <f t="shared" si="157"/>
        <v>3.3</v>
      </c>
      <c r="Z772" s="25">
        <f t="shared" si="158"/>
        <v>0</v>
      </c>
      <c r="AA772" s="26">
        <f>VLOOKUP(S772,CPI!$A$2:$F$71,6,0)</f>
        <v>1.432008233</v>
      </c>
      <c r="AB772" s="27">
        <f t="shared" si="163"/>
        <v>1470.672456</v>
      </c>
      <c r="AC772" s="27">
        <f t="shared" si="164"/>
        <v>445.6583199</v>
      </c>
      <c r="AD772" s="26" t="s">
        <v>60</v>
      </c>
      <c r="AE772" s="53" t="s">
        <v>1384</v>
      </c>
      <c r="AF772" s="130"/>
      <c r="AG772" s="130"/>
      <c r="AH772" s="130"/>
      <c r="AI772" s="130"/>
      <c r="AJ772" s="33"/>
      <c r="AK772" s="33"/>
      <c r="AL772" s="33"/>
    </row>
    <row r="773" ht="15.75" customHeight="1">
      <c r="A773" s="290"/>
      <c r="B773" s="290" t="s">
        <v>1337</v>
      </c>
      <c r="C773" s="68" t="s">
        <v>1376</v>
      </c>
      <c r="D773" s="68" t="s">
        <v>1385</v>
      </c>
      <c r="E773" s="68" t="s">
        <v>1385</v>
      </c>
      <c r="F773" s="237">
        <v>1999.0</v>
      </c>
      <c r="G773" s="237">
        <v>2023.0</v>
      </c>
      <c r="H773" s="237">
        <v>0.0</v>
      </c>
      <c r="I773" s="36">
        <v>3.3</v>
      </c>
      <c r="J773" s="303">
        <v>1.0</v>
      </c>
      <c r="K773" s="36">
        <v>3.3</v>
      </c>
      <c r="L773" s="237">
        <v>0.0</v>
      </c>
      <c r="M773" s="237">
        <v>0.0</v>
      </c>
      <c r="N773" s="237">
        <v>4.0</v>
      </c>
      <c r="O773" s="239">
        <v>110.0</v>
      </c>
      <c r="P773" s="237" t="s">
        <v>74</v>
      </c>
      <c r="Q773" s="304">
        <v>391.0</v>
      </c>
      <c r="R773" s="237" t="s">
        <v>52</v>
      </c>
      <c r="S773" s="237">
        <v>2010.0</v>
      </c>
      <c r="T773" s="237">
        <v>1.3</v>
      </c>
      <c r="U773" s="75">
        <f t="shared" si="161"/>
        <v>508.3</v>
      </c>
      <c r="V773" s="24">
        <f t="shared" si="162"/>
        <v>154.030303</v>
      </c>
      <c r="W773" s="3">
        <f t="shared" si="155"/>
        <v>1</v>
      </c>
      <c r="X773" s="3">
        <f t="shared" si="156"/>
        <v>3.3</v>
      </c>
      <c r="Y773" s="3">
        <f t="shared" si="157"/>
        <v>3.3</v>
      </c>
      <c r="Z773" s="25">
        <f t="shared" si="158"/>
        <v>0</v>
      </c>
      <c r="AA773" s="26">
        <f>VLOOKUP(S773,CPI!$A$2:$F$71,6,0)</f>
        <v>1.477209983</v>
      </c>
      <c r="AB773" s="27">
        <f t="shared" si="163"/>
        <v>750.8658342</v>
      </c>
      <c r="AC773" s="27">
        <f t="shared" si="164"/>
        <v>227.5351013</v>
      </c>
      <c r="AD773" s="36" t="s">
        <v>60</v>
      </c>
      <c r="AE773" s="240" t="s">
        <v>1378</v>
      </c>
      <c r="AF773" s="7"/>
      <c r="AG773" s="7"/>
      <c r="AH773" s="7"/>
      <c r="AI773" s="7"/>
    </row>
    <row r="774">
      <c r="A774" s="61">
        <v>9794.0</v>
      </c>
      <c r="B774" s="26" t="s">
        <v>1337</v>
      </c>
      <c r="C774" s="26" t="s">
        <v>1376</v>
      </c>
      <c r="D774" s="1" t="s">
        <v>57</v>
      </c>
      <c r="E774" s="26" t="s">
        <v>1386</v>
      </c>
      <c r="F774" s="25">
        <v>2014.0</v>
      </c>
      <c r="G774" s="25">
        <v>2024.0</v>
      </c>
      <c r="H774" s="25">
        <v>0.0</v>
      </c>
      <c r="I774" s="25">
        <v>3.5</v>
      </c>
      <c r="J774" s="50">
        <v>1.0</v>
      </c>
      <c r="K774" s="25">
        <v>3.5</v>
      </c>
      <c r="L774" s="51">
        <v>0.0</v>
      </c>
      <c r="M774" s="51">
        <v>0.0</v>
      </c>
      <c r="N774" s="25">
        <v>4.0</v>
      </c>
      <c r="O774" s="302">
        <v>110.0</v>
      </c>
      <c r="P774" s="306" t="s">
        <v>60</v>
      </c>
      <c r="Q774" s="308">
        <v>652.0</v>
      </c>
      <c r="R774" s="26" t="s">
        <v>52</v>
      </c>
      <c r="S774" s="25">
        <v>2019.0</v>
      </c>
      <c r="T774" s="25">
        <v>1.3</v>
      </c>
      <c r="U774" s="25">
        <f t="shared" si="161"/>
        <v>847.6</v>
      </c>
      <c r="V774" s="24">
        <f t="shared" si="162"/>
        <v>242.1714286</v>
      </c>
      <c r="W774" s="3">
        <f t="shared" si="155"/>
        <v>1</v>
      </c>
      <c r="X774" s="3">
        <f t="shared" si="156"/>
        <v>3.5</v>
      </c>
      <c r="Y774" s="3">
        <f t="shared" si="157"/>
        <v>3.5</v>
      </c>
      <c r="Z774" s="25">
        <f t="shared" si="158"/>
        <v>0</v>
      </c>
      <c r="AA774" s="26">
        <f>VLOOKUP(S774,CPI!$A$2:$F$71,6,0)</f>
        <v>1.259947899</v>
      </c>
      <c r="AB774" s="27">
        <f t="shared" si="163"/>
        <v>1067.931839</v>
      </c>
      <c r="AC774" s="27">
        <f t="shared" si="164"/>
        <v>305.1233826</v>
      </c>
      <c r="AD774" s="26" t="s">
        <v>60</v>
      </c>
      <c r="AE774" s="53" t="s">
        <v>1387</v>
      </c>
      <c r="AF774" s="130"/>
      <c r="AG774" s="130"/>
      <c r="AH774" s="130"/>
      <c r="AI774" s="130"/>
      <c r="AJ774" s="33"/>
      <c r="AK774" s="33"/>
      <c r="AL774" s="33"/>
      <c r="AM774" s="206"/>
      <c r="AN774" s="206"/>
      <c r="AO774" s="206"/>
      <c r="AP774" s="206"/>
      <c r="AQ774" s="206"/>
    </row>
    <row r="775">
      <c r="A775" s="38">
        <v>7257.0</v>
      </c>
      <c r="B775" s="26" t="s">
        <v>1337</v>
      </c>
      <c r="C775" s="26" t="s">
        <v>1388</v>
      </c>
      <c r="D775" s="1" t="s">
        <v>983</v>
      </c>
      <c r="E775" s="26" t="s">
        <v>1389</v>
      </c>
      <c r="F775" s="25">
        <v>2007.0</v>
      </c>
      <c r="G775" s="25">
        <v>2013.0</v>
      </c>
      <c r="H775" s="25">
        <v>0.0</v>
      </c>
      <c r="I775" s="25">
        <v>2.8</v>
      </c>
      <c r="J775" s="50">
        <v>1.0</v>
      </c>
      <c r="K775" s="25">
        <v>2.8</v>
      </c>
      <c r="L775" s="51">
        <v>0.0</v>
      </c>
      <c r="M775" s="51">
        <v>0.0</v>
      </c>
      <c r="N775" s="25">
        <v>4.0</v>
      </c>
      <c r="O775" s="25"/>
      <c r="P775" s="26" t="s">
        <v>60</v>
      </c>
      <c r="Q775" s="52">
        <v>399.0</v>
      </c>
      <c r="R775" s="26" t="s">
        <v>52</v>
      </c>
      <c r="S775" s="25">
        <v>2010.0</v>
      </c>
      <c r="T775" s="25">
        <v>1.3</v>
      </c>
      <c r="U775" s="25">
        <f t="shared" si="161"/>
        <v>518.7</v>
      </c>
      <c r="V775" s="24">
        <f t="shared" si="162"/>
        <v>185.25</v>
      </c>
      <c r="W775" s="3">
        <f t="shared" si="155"/>
        <v>1</v>
      </c>
      <c r="X775" s="3">
        <f t="shared" si="156"/>
        <v>2.8</v>
      </c>
      <c r="Y775" s="3">
        <f t="shared" si="157"/>
        <v>2.8</v>
      </c>
      <c r="Z775" s="25">
        <f t="shared" si="158"/>
        <v>0</v>
      </c>
      <c r="AA775" s="26">
        <f>VLOOKUP(S775,CPI!$A$2:$F$71,6,0)</f>
        <v>1.477209983</v>
      </c>
      <c r="AB775" s="27">
        <f t="shared" si="163"/>
        <v>766.2288181</v>
      </c>
      <c r="AC775" s="27">
        <f t="shared" si="164"/>
        <v>273.6531493</v>
      </c>
      <c r="AD775" s="26" t="s">
        <v>60</v>
      </c>
      <c r="AE775" s="182" t="s">
        <v>1390</v>
      </c>
      <c r="AF775" s="130"/>
      <c r="AG775" s="130"/>
      <c r="AH775" s="130"/>
      <c r="AI775" s="130"/>
      <c r="AJ775" s="33"/>
      <c r="AK775" s="33"/>
      <c r="AL775" s="33"/>
      <c r="AM775" s="206"/>
      <c r="AN775" s="206"/>
      <c r="AO775" s="206"/>
      <c r="AP775" s="206"/>
      <c r="AQ775" s="206"/>
    </row>
    <row r="776">
      <c r="A776" s="38">
        <v>7258.0</v>
      </c>
      <c r="B776" s="26" t="s">
        <v>1337</v>
      </c>
      <c r="C776" s="26" t="s">
        <v>1388</v>
      </c>
      <c r="D776" s="1" t="s">
        <v>983</v>
      </c>
      <c r="E776" s="26" t="s">
        <v>1391</v>
      </c>
      <c r="F776" s="25">
        <v>2007.0</v>
      </c>
      <c r="G776" s="25">
        <v>2013.0</v>
      </c>
      <c r="H776" s="25">
        <v>0.0</v>
      </c>
      <c r="I776" s="302">
        <v>7.6</v>
      </c>
      <c r="J776" s="50">
        <v>1.0</v>
      </c>
      <c r="K776" s="302">
        <v>7.6</v>
      </c>
      <c r="L776" s="51">
        <v>0.0</v>
      </c>
      <c r="M776" s="51">
        <v>0.0</v>
      </c>
      <c r="N776" s="25">
        <v>9.0</v>
      </c>
      <c r="O776" s="302">
        <v>110.0</v>
      </c>
      <c r="P776" s="306" t="s">
        <v>60</v>
      </c>
      <c r="Q776" s="308">
        <v>1206.0</v>
      </c>
      <c r="R776" s="26" t="s">
        <v>52</v>
      </c>
      <c r="S776" s="25">
        <v>2010.0</v>
      </c>
      <c r="T776" s="25">
        <v>1.3</v>
      </c>
      <c r="U776" s="25">
        <f t="shared" si="161"/>
        <v>1567.8</v>
      </c>
      <c r="V776" s="24">
        <f t="shared" si="162"/>
        <v>206.2894737</v>
      </c>
      <c r="W776" s="3">
        <f t="shared" si="155"/>
        <v>1</v>
      </c>
      <c r="X776" s="3">
        <f t="shared" si="156"/>
        <v>7.6</v>
      </c>
      <c r="Y776" s="3">
        <f t="shared" si="157"/>
        <v>7.6</v>
      </c>
      <c r="Z776" s="25">
        <f t="shared" si="158"/>
        <v>0</v>
      </c>
      <c r="AA776" s="26">
        <f>VLOOKUP(S776,CPI!$A$2:$F$71,6,0)</f>
        <v>1.477209983</v>
      </c>
      <c r="AB776" s="27">
        <f t="shared" si="163"/>
        <v>2315.969811</v>
      </c>
      <c r="AC776" s="27">
        <f t="shared" si="164"/>
        <v>304.7328699</v>
      </c>
      <c r="AD776" s="26" t="s">
        <v>60</v>
      </c>
      <c r="AE776" s="182" t="s">
        <v>1390</v>
      </c>
      <c r="AF776" s="130"/>
      <c r="AG776" s="130"/>
      <c r="AH776" s="130"/>
      <c r="AI776" s="130"/>
      <c r="AJ776" s="33"/>
      <c r="AK776" s="33"/>
      <c r="AL776" s="33"/>
      <c r="AM776" s="206"/>
      <c r="AN776" s="206"/>
      <c r="AO776" s="206"/>
      <c r="AP776" s="206"/>
      <c r="AQ776" s="206"/>
    </row>
    <row r="777">
      <c r="A777" s="38">
        <v>7256.0</v>
      </c>
      <c r="B777" s="26" t="s">
        <v>1337</v>
      </c>
      <c r="C777" s="26" t="s">
        <v>1388</v>
      </c>
      <c r="D777" s="16" t="s">
        <v>1392</v>
      </c>
      <c r="E777" s="26" t="s">
        <v>1393</v>
      </c>
      <c r="F777" s="302">
        <v>2005.0</v>
      </c>
      <c r="G777" s="311">
        <v>2015.0</v>
      </c>
      <c r="H777" s="25">
        <v>0.0</v>
      </c>
      <c r="I777" s="302">
        <v>4.7</v>
      </c>
      <c r="J777" s="50">
        <v>1.0</v>
      </c>
      <c r="K777" s="302">
        <v>4.7</v>
      </c>
      <c r="L777" s="51">
        <v>0.0</v>
      </c>
      <c r="M777" s="51">
        <v>0.0</v>
      </c>
      <c r="N777" s="25">
        <v>3.0</v>
      </c>
      <c r="O777" s="302">
        <v>150.0</v>
      </c>
      <c r="P777" s="306" t="s">
        <v>60</v>
      </c>
      <c r="Q777" s="308">
        <v>761.0</v>
      </c>
      <c r="R777" s="26" t="s">
        <v>52</v>
      </c>
      <c r="S777" s="25">
        <v>2012.0</v>
      </c>
      <c r="T777" s="25">
        <v>1.3</v>
      </c>
      <c r="U777" s="25">
        <f t="shared" si="161"/>
        <v>989.3</v>
      </c>
      <c r="V777" s="24">
        <f t="shared" si="162"/>
        <v>210.4893617</v>
      </c>
      <c r="W777" s="3">
        <f t="shared" si="155"/>
        <v>1</v>
      </c>
      <c r="X777" s="3">
        <f t="shared" si="156"/>
        <v>4.7</v>
      </c>
      <c r="Y777" s="3">
        <f t="shared" si="157"/>
        <v>4.7</v>
      </c>
      <c r="Z777" s="25">
        <f t="shared" si="158"/>
        <v>0</v>
      </c>
      <c r="AA777" s="26">
        <f>VLOOKUP(S777,CPI!$A$2:$F$71,6,0)</f>
        <v>1.402974381</v>
      </c>
      <c r="AB777" s="27">
        <f t="shared" si="163"/>
        <v>1387.962555</v>
      </c>
      <c r="AC777" s="27">
        <f t="shared" si="164"/>
        <v>295.3111819</v>
      </c>
      <c r="AD777" s="26" t="s">
        <v>60</v>
      </c>
      <c r="AE777" s="53" t="s">
        <v>1394</v>
      </c>
      <c r="AF777" s="130"/>
      <c r="AG777" s="130"/>
      <c r="AH777" s="130"/>
      <c r="AI777" s="130"/>
      <c r="AJ777" s="33"/>
      <c r="AK777" s="33"/>
      <c r="AL777" s="33"/>
    </row>
    <row r="778">
      <c r="A778" s="38">
        <v>7259.0</v>
      </c>
      <c r="B778" s="26" t="s">
        <v>1337</v>
      </c>
      <c r="C778" s="26" t="s">
        <v>1388</v>
      </c>
      <c r="D778" s="1" t="s">
        <v>983</v>
      </c>
      <c r="E778" s="26" t="s">
        <v>1395</v>
      </c>
      <c r="F778" s="25">
        <v>2013.0</v>
      </c>
      <c r="G778" s="25">
        <v>2023.0</v>
      </c>
      <c r="H778" s="25">
        <v>0.0</v>
      </c>
      <c r="I778" s="302">
        <v>2.7</v>
      </c>
      <c r="J778" s="50">
        <v>1.0</v>
      </c>
      <c r="K778" s="302">
        <v>2.7</v>
      </c>
      <c r="L778" s="51">
        <v>0.0</v>
      </c>
      <c r="M778" s="51">
        <v>0.0</v>
      </c>
      <c r="N778" s="25">
        <v>2.0</v>
      </c>
      <c r="O778" s="302">
        <v>110.0</v>
      </c>
      <c r="P778" s="310" t="s">
        <v>60</v>
      </c>
      <c r="Q778" s="308">
        <v>861.0</v>
      </c>
      <c r="R778" s="26" t="s">
        <v>52</v>
      </c>
      <c r="S778" s="25">
        <v>2018.0</v>
      </c>
      <c r="T778" s="25">
        <v>1.3</v>
      </c>
      <c r="U778" s="25">
        <f t="shared" si="161"/>
        <v>1119.3</v>
      </c>
      <c r="V778" s="24">
        <f t="shared" si="162"/>
        <v>414.5555556</v>
      </c>
      <c r="W778" s="3">
        <f t="shared" si="155"/>
        <v>1</v>
      </c>
      <c r="X778" s="3">
        <f t="shared" si="156"/>
        <v>2.7</v>
      </c>
      <c r="Y778" s="3">
        <f t="shared" si="157"/>
        <v>2.7</v>
      </c>
      <c r="Z778" s="25">
        <f t="shared" si="158"/>
        <v>0</v>
      </c>
      <c r="AA778" s="26">
        <f>VLOOKUP(S778,CPI!$A$2:$F$71,6,0)</f>
        <v>1.28277786</v>
      </c>
      <c r="AB778" s="27">
        <f t="shared" si="163"/>
        <v>1435.813258</v>
      </c>
      <c r="AC778" s="27">
        <f t="shared" si="164"/>
        <v>531.7826883</v>
      </c>
      <c r="AD778" s="26" t="s">
        <v>60</v>
      </c>
      <c r="AE778" s="182" t="s">
        <v>1390</v>
      </c>
      <c r="AF778" s="130"/>
      <c r="AG778" s="130"/>
      <c r="AH778" s="130"/>
      <c r="AI778" s="130"/>
      <c r="AJ778" s="33"/>
      <c r="AK778" s="33"/>
      <c r="AL778" s="33"/>
    </row>
    <row r="779">
      <c r="A779" s="38">
        <v>7208.0</v>
      </c>
      <c r="B779" s="26" t="s">
        <v>1337</v>
      </c>
      <c r="C779" s="26" t="s">
        <v>1396</v>
      </c>
      <c r="D779" s="63" t="s">
        <v>57</v>
      </c>
      <c r="E779" s="26" t="s">
        <v>1397</v>
      </c>
      <c r="F779" s="25">
        <v>2000.0</v>
      </c>
      <c r="G779" s="25">
        <v>2011.0</v>
      </c>
      <c r="H779" s="25">
        <v>0.0</v>
      </c>
      <c r="I779" s="25">
        <v>13.2</v>
      </c>
      <c r="J779" s="50">
        <v>1.0</v>
      </c>
      <c r="K779" s="25">
        <v>13.2</v>
      </c>
      <c r="L779" s="51">
        <v>0.0</v>
      </c>
      <c r="M779" s="51">
        <v>0.0</v>
      </c>
      <c r="N779" s="25">
        <v>21.0</v>
      </c>
      <c r="O779" s="302">
        <v>55.0</v>
      </c>
      <c r="P779" s="306" t="s">
        <v>60</v>
      </c>
      <c r="Q779" s="308">
        <v>1138.0</v>
      </c>
      <c r="R779" s="26" t="s">
        <v>52</v>
      </c>
      <c r="S779" s="25">
        <v>2005.0</v>
      </c>
      <c r="T779" s="25">
        <v>1.25</v>
      </c>
      <c r="U779" s="25">
        <f t="shared" si="161"/>
        <v>1422.5</v>
      </c>
      <c r="V779" s="24">
        <f t="shared" si="162"/>
        <v>107.7651515</v>
      </c>
      <c r="W779" s="3">
        <f t="shared" si="155"/>
        <v>1</v>
      </c>
      <c r="X779" s="3">
        <f t="shared" si="156"/>
        <v>13.2</v>
      </c>
      <c r="Y779" s="3">
        <f t="shared" si="157"/>
        <v>13.2</v>
      </c>
      <c r="Z779" s="25">
        <f t="shared" si="158"/>
        <v>0</v>
      </c>
      <c r="AA779" s="26">
        <f>VLOOKUP(S779,CPI!$A$2:$F$71,6,0)</f>
        <v>1.649331797</v>
      </c>
      <c r="AB779" s="27">
        <f t="shared" si="163"/>
        <v>2346.174482</v>
      </c>
      <c r="AC779" s="27">
        <f t="shared" si="164"/>
        <v>177.740491</v>
      </c>
      <c r="AD779" s="26" t="s">
        <v>60</v>
      </c>
      <c r="AE779" s="57" t="s">
        <v>1398</v>
      </c>
      <c r="AF779" s="130"/>
      <c r="AG779" s="130"/>
      <c r="AH779" s="130"/>
      <c r="AI779" s="130"/>
      <c r="AJ779" s="33"/>
      <c r="AK779" s="33"/>
      <c r="AL779" s="33"/>
      <c r="AM779" s="206"/>
      <c r="AN779" s="206"/>
      <c r="AO779" s="206"/>
      <c r="AP779" s="206"/>
      <c r="AQ779" s="206"/>
    </row>
    <row r="780">
      <c r="A780" s="38">
        <v>7209.0</v>
      </c>
      <c r="B780" s="26" t="s">
        <v>1337</v>
      </c>
      <c r="C780" s="26" t="s">
        <v>1396</v>
      </c>
      <c r="D780" s="63" t="s">
        <v>57</v>
      </c>
      <c r="E780" s="26" t="s">
        <v>1399</v>
      </c>
      <c r="F780" s="25">
        <v>2012.0</v>
      </c>
      <c r="G780" s="25">
        <v>2021.0</v>
      </c>
      <c r="H780" s="25">
        <v>0.0</v>
      </c>
      <c r="I780" s="25">
        <v>1.9</v>
      </c>
      <c r="J780" s="50">
        <v>1.0</v>
      </c>
      <c r="K780" s="25">
        <v>1.9</v>
      </c>
      <c r="L780" s="51">
        <v>0.0</v>
      </c>
      <c r="M780" s="51">
        <v>0.0</v>
      </c>
      <c r="N780" s="25">
        <v>2.0</v>
      </c>
      <c r="O780" s="302">
        <v>55.0</v>
      </c>
      <c r="P780" s="306" t="s">
        <v>60</v>
      </c>
      <c r="Q780" s="308">
        <v>189.0</v>
      </c>
      <c r="R780" s="26" t="s">
        <v>52</v>
      </c>
      <c r="S780" s="25">
        <v>2016.0</v>
      </c>
      <c r="T780" s="25">
        <v>1.3</v>
      </c>
      <c r="U780" s="25">
        <f t="shared" si="161"/>
        <v>245.7</v>
      </c>
      <c r="V780" s="24">
        <f t="shared" si="162"/>
        <v>129.3157895</v>
      </c>
      <c r="W780" s="3">
        <f t="shared" si="155"/>
        <v>1</v>
      </c>
      <c r="X780" s="3">
        <f t="shared" si="156"/>
        <v>1.9</v>
      </c>
      <c r="Y780" s="3">
        <f t="shared" si="157"/>
        <v>1.9</v>
      </c>
      <c r="Z780" s="25">
        <f t="shared" si="158"/>
        <v>0</v>
      </c>
      <c r="AA780" s="26">
        <f>VLOOKUP(S780,CPI!$A$2:$F$71,6,0)</f>
        <v>1.342104605</v>
      </c>
      <c r="AB780" s="27">
        <f t="shared" si="163"/>
        <v>329.7551015</v>
      </c>
      <c r="AC780" s="27">
        <f t="shared" si="164"/>
        <v>173.5553166</v>
      </c>
      <c r="AD780" s="26" t="s">
        <v>60</v>
      </c>
      <c r="AE780" s="313" t="s">
        <v>1398</v>
      </c>
      <c r="AF780" s="130"/>
      <c r="AG780" s="130"/>
      <c r="AH780" s="130"/>
      <c r="AI780" s="130"/>
      <c r="AJ780" s="33"/>
      <c r="AK780" s="33"/>
      <c r="AL780" s="33"/>
      <c r="AM780" s="206"/>
      <c r="AN780" s="206"/>
      <c r="AO780" s="206"/>
      <c r="AP780" s="206"/>
      <c r="AQ780" s="206"/>
    </row>
    <row r="781">
      <c r="A781" s="38">
        <v>7210.0</v>
      </c>
      <c r="B781" s="26" t="s">
        <v>1337</v>
      </c>
      <c r="C781" s="26" t="s">
        <v>1396</v>
      </c>
      <c r="D781" s="63" t="s">
        <v>57</v>
      </c>
      <c r="E781" s="26" t="s">
        <v>1400</v>
      </c>
      <c r="F781" s="25">
        <v>2018.0</v>
      </c>
      <c r="G781" s="25">
        <v>2024.0</v>
      </c>
      <c r="H781" s="25">
        <v>0.0</v>
      </c>
      <c r="I781" s="25">
        <v>3.4</v>
      </c>
      <c r="J781" s="50">
        <v>1.0</v>
      </c>
      <c r="K781" s="25">
        <v>3.4</v>
      </c>
      <c r="L781" s="51">
        <v>0.0</v>
      </c>
      <c r="M781" s="51">
        <v>0.0</v>
      </c>
      <c r="N781" s="25">
        <v>4.0</v>
      </c>
      <c r="O781" s="302">
        <v>55.0</v>
      </c>
      <c r="P781" s="306" t="s">
        <v>60</v>
      </c>
      <c r="Q781" s="308">
        <v>340.0</v>
      </c>
      <c r="R781" s="26" t="s">
        <v>52</v>
      </c>
      <c r="S781" s="25">
        <v>2020.0</v>
      </c>
      <c r="T781" s="25">
        <v>1.3</v>
      </c>
      <c r="U781" s="25">
        <f t="shared" si="161"/>
        <v>442</v>
      </c>
      <c r="V781" s="24">
        <f t="shared" si="162"/>
        <v>130</v>
      </c>
      <c r="W781" s="3">
        <f t="shared" si="155"/>
        <v>1</v>
      </c>
      <c r="X781" s="3">
        <f t="shared" si="156"/>
        <v>3.4</v>
      </c>
      <c r="Y781" s="3">
        <f t="shared" si="157"/>
        <v>3.4</v>
      </c>
      <c r="Z781" s="25">
        <f t="shared" si="158"/>
        <v>0</v>
      </c>
      <c r="AA781" s="26">
        <f>VLOOKUP(S781,CPI!$A$2:$F$71,6,0)</f>
        <v>1.244593545</v>
      </c>
      <c r="AB781" s="27">
        <f t="shared" si="163"/>
        <v>550.1103469</v>
      </c>
      <c r="AC781" s="27">
        <f t="shared" si="164"/>
        <v>161.7971609</v>
      </c>
      <c r="AD781" s="26" t="s">
        <v>60</v>
      </c>
      <c r="AE781" s="53" t="s">
        <v>1398</v>
      </c>
      <c r="AF781" s="301"/>
      <c r="AG781" s="130"/>
      <c r="AH781" s="130"/>
      <c r="AI781" s="130"/>
      <c r="AJ781" s="33"/>
      <c r="AK781" s="33"/>
      <c r="AL781" s="33"/>
    </row>
    <row r="782">
      <c r="A782" s="61">
        <v>9796.0</v>
      </c>
      <c r="B782" s="26" t="s">
        <v>1337</v>
      </c>
      <c r="C782" s="26" t="s">
        <v>1396</v>
      </c>
      <c r="D782" s="16" t="s">
        <v>54</v>
      </c>
      <c r="E782" s="63" t="s">
        <v>1401</v>
      </c>
      <c r="F782" s="25">
        <v>2024.0</v>
      </c>
      <c r="G782" s="58">
        <v>2030.0</v>
      </c>
      <c r="H782" s="25">
        <v>0.0</v>
      </c>
      <c r="I782" s="302">
        <v>9.4</v>
      </c>
      <c r="J782" s="50">
        <v>1.0</v>
      </c>
      <c r="K782" s="302">
        <v>9.4</v>
      </c>
      <c r="L782" s="51">
        <v>0.0</v>
      </c>
      <c r="M782" s="51">
        <v>0.0</v>
      </c>
      <c r="N782" s="25">
        <v>13.0</v>
      </c>
      <c r="O782" s="302">
        <v>60.0</v>
      </c>
      <c r="P782" s="306" t="s">
        <v>60</v>
      </c>
      <c r="Q782" s="308">
        <v>1828.0</v>
      </c>
      <c r="R782" s="26" t="s">
        <v>52</v>
      </c>
      <c r="S782" s="25">
        <v>2020.0</v>
      </c>
      <c r="T782" s="25">
        <v>1.3</v>
      </c>
      <c r="U782" s="25">
        <f t="shared" si="161"/>
        <v>2376.4</v>
      </c>
      <c r="V782" s="24">
        <f t="shared" si="162"/>
        <v>252.8085106</v>
      </c>
      <c r="W782" s="3">
        <f t="shared" si="155"/>
        <v>1</v>
      </c>
      <c r="X782" s="3">
        <f t="shared" si="156"/>
        <v>9.4</v>
      </c>
      <c r="Y782" s="3">
        <f t="shared" si="157"/>
        <v>9.4</v>
      </c>
      <c r="Z782" s="25">
        <f t="shared" si="158"/>
        <v>0</v>
      </c>
      <c r="AA782" s="26">
        <f>VLOOKUP(S782,CPI!$A$2:$F$71,6,0)</f>
        <v>1.244593545</v>
      </c>
      <c r="AB782" s="27">
        <f t="shared" si="163"/>
        <v>2957.652101</v>
      </c>
      <c r="AC782" s="27">
        <f t="shared" si="164"/>
        <v>314.6438405</v>
      </c>
      <c r="AD782" s="306" t="s">
        <v>60</v>
      </c>
      <c r="AE782" s="314" t="s">
        <v>1402</v>
      </c>
      <c r="AF782" s="301"/>
      <c r="AG782" s="301"/>
      <c r="AH782" s="301"/>
      <c r="AI782" s="301"/>
      <c r="AJ782" s="315"/>
      <c r="AK782" s="315"/>
      <c r="AL782" s="315"/>
      <c r="AM782" s="316"/>
      <c r="AN782" s="316"/>
      <c r="AO782" s="316"/>
      <c r="AP782" s="206"/>
      <c r="AQ782" s="206"/>
    </row>
    <row r="783">
      <c r="A783" s="38">
        <v>7523.0</v>
      </c>
      <c r="B783" s="26" t="s">
        <v>1403</v>
      </c>
      <c r="C783" s="26" t="s">
        <v>1404</v>
      </c>
      <c r="D783" s="1" t="s">
        <v>1405</v>
      </c>
      <c r="E783" s="26" t="s">
        <v>1406</v>
      </c>
      <c r="F783" s="25">
        <v>2014.0</v>
      </c>
      <c r="G783" s="25">
        <v>2022.0</v>
      </c>
      <c r="H783" s="25">
        <v>0.0</v>
      </c>
      <c r="I783" s="25">
        <v>1.6</v>
      </c>
      <c r="J783" s="50">
        <v>1.0</v>
      </c>
      <c r="K783" s="25">
        <v>1.6</v>
      </c>
      <c r="L783" s="51">
        <v>0.0</v>
      </c>
      <c r="M783" s="51">
        <v>0.0</v>
      </c>
      <c r="N783" s="25">
        <v>2.0</v>
      </c>
      <c r="O783" s="58">
        <v>99.0</v>
      </c>
      <c r="P783" s="26" t="s">
        <v>74</v>
      </c>
      <c r="Q783" s="52">
        <v>58700.0</v>
      </c>
      <c r="R783" s="26" t="s">
        <v>1407</v>
      </c>
      <c r="S783" s="25">
        <v>2018.0</v>
      </c>
      <c r="T783" s="25">
        <v>0.01</v>
      </c>
      <c r="U783" s="25">
        <f t="shared" si="161"/>
        <v>587</v>
      </c>
      <c r="V783" s="24">
        <f t="shared" si="162"/>
        <v>366.875</v>
      </c>
      <c r="W783" s="3">
        <f t="shared" si="155"/>
        <v>0</v>
      </c>
      <c r="X783" s="3">
        <f t="shared" si="156"/>
        <v>0</v>
      </c>
      <c r="Y783" s="3">
        <f t="shared" si="157"/>
        <v>0</v>
      </c>
      <c r="Z783" s="25">
        <f t="shared" si="158"/>
        <v>0</v>
      </c>
      <c r="AA783" s="26">
        <f>VLOOKUP(S783,CPI!$A$2:$F$71,6,0)</f>
        <v>1.28277786</v>
      </c>
      <c r="AB783" s="27">
        <f t="shared" si="163"/>
        <v>752.9906036</v>
      </c>
      <c r="AC783" s="27">
        <f t="shared" si="164"/>
        <v>470.6191273</v>
      </c>
      <c r="AD783" s="26" t="s">
        <v>42</v>
      </c>
      <c r="AE783" s="53" t="s">
        <v>1408</v>
      </c>
      <c r="AF783" s="130"/>
      <c r="AG783" s="130"/>
      <c r="AH783" s="130"/>
      <c r="AI783" s="130"/>
      <c r="AJ783" s="33"/>
      <c r="AK783" s="33"/>
      <c r="AL783" s="33"/>
      <c r="AM783" s="206"/>
      <c r="AN783" s="206"/>
      <c r="AO783" s="206"/>
      <c r="AP783" s="206"/>
      <c r="AQ783" s="206"/>
    </row>
    <row r="784">
      <c r="A784" s="61">
        <v>9801.0</v>
      </c>
      <c r="B784" s="26" t="s">
        <v>1403</v>
      </c>
      <c r="C784" s="26" t="s">
        <v>1409</v>
      </c>
      <c r="D784" s="26" t="s">
        <v>1410</v>
      </c>
      <c r="E784" s="26" t="s">
        <v>1410</v>
      </c>
      <c r="F784" s="25">
        <v>2003.0</v>
      </c>
      <c r="G784" s="25">
        <v>2009.0</v>
      </c>
      <c r="H784" s="25">
        <v>1.0</v>
      </c>
      <c r="I784" s="25">
        <v>3.8</v>
      </c>
      <c r="J784" s="50">
        <v>1.0</v>
      </c>
      <c r="K784" s="25">
        <v>3.8</v>
      </c>
      <c r="L784" s="51">
        <v>0.0</v>
      </c>
      <c r="M784" s="51">
        <v>0.0</v>
      </c>
      <c r="N784" s="25">
        <v>3.0</v>
      </c>
      <c r="O784" s="25"/>
      <c r="P784" s="26" t="s">
        <v>74</v>
      </c>
      <c r="Q784" s="52">
        <v>127500.0</v>
      </c>
      <c r="R784" s="26" t="s">
        <v>1407</v>
      </c>
      <c r="S784" s="25">
        <v>2006.0</v>
      </c>
      <c r="T784" s="25">
        <v>0.008</v>
      </c>
      <c r="U784" s="25">
        <f t="shared" si="161"/>
        <v>1020</v>
      </c>
      <c r="V784" s="24">
        <f t="shared" si="162"/>
        <v>268.4210526</v>
      </c>
      <c r="W784" s="3">
        <f t="shared" si="155"/>
        <v>0</v>
      </c>
      <c r="X784" s="3">
        <f t="shared" si="156"/>
        <v>0</v>
      </c>
      <c r="Y784" s="3">
        <f t="shared" si="157"/>
        <v>0</v>
      </c>
      <c r="Z784" s="25">
        <f t="shared" si="158"/>
        <v>0</v>
      </c>
      <c r="AA784" s="26">
        <f>VLOOKUP(S784,CPI!$A$2:$F$71,6,0)</f>
        <v>1.597790179</v>
      </c>
      <c r="AB784" s="27">
        <f t="shared" si="163"/>
        <v>1629.745982</v>
      </c>
      <c r="AC784" s="27">
        <f t="shared" si="164"/>
        <v>428.8805216</v>
      </c>
      <c r="AD784" s="26" t="s">
        <v>60</v>
      </c>
      <c r="AE784" s="53" t="s">
        <v>1411</v>
      </c>
      <c r="AF784" s="130"/>
      <c r="AG784" s="130"/>
      <c r="AH784" s="130"/>
      <c r="AI784" s="130"/>
      <c r="AJ784" s="33"/>
      <c r="AK784" s="33"/>
      <c r="AL784" s="33"/>
      <c r="AM784" s="206"/>
      <c r="AN784" s="206"/>
      <c r="AO784" s="206"/>
      <c r="AP784" s="206"/>
      <c r="AQ784" s="206"/>
    </row>
    <row r="785">
      <c r="A785" s="38">
        <v>7504.0</v>
      </c>
      <c r="B785" s="26" t="s">
        <v>1403</v>
      </c>
      <c r="C785" s="26" t="s">
        <v>1409</v>
      </c>
      <c r="D785" s="26" t="s">
        <v>1412</v>
      </c>
      <c r="E785" s="26" t="s">
        <v>1412</v>
      </c>
      <c r="F785" s="25">
        <v>1999.0</v>
      </c>
      <c r="G785" s="25">
        <v>2019.0</v>
      </c>
      <c r="H785" s="25">
        <v>1.0</v>
      </c>
      <c r="I785" s="25">
        <v>20.3</v>
      </c>
      <c r="J785" s="50">
        <v>0.0</v>
      </c>
      <c r="K785" s="25">
        <v>0.0</v>
      </c>
      <c r="L785" s="51">
        <v>0.0</v>
      </c>
      <c r="M785" s="51">
        <v>0.0</v>
      </c>
      <c r="N785" s="25">
        <v>0.0</v>
      </c>
      <c r="O785" s="25"/>
      <c r="P785" s="26" t="s">
        <v>60</v>
      </c>
      <c r="Q785" s="52">
        <v>120000.0</v>
      </c>
      <c r="R785" s="26" t="s">
        <v>1407</v>
      </c>
      <c r="S785" s="25">
        <v>2009.0</v>
      </c>
      <c r="T785" s="25">
        <v>0.0087</v>
      </c>
      <c r="U785" s="25">
        <f t="shared" si="161"/>
        <v>1044</v>
      </c>
      <c r="V785" s="24">
        <f t="shared" si="162"/>
        <v>51.42857143</v>
      </c>
      <c r="W785" s="3">
        <f t="shared" si="155"/>
        <v>0</v>
      </c>
      <c r="X785" s="3">
        <f t="shared" si="156"/>
        <v>0</v>
      </c>
      <c r="Y785" s="3">
        <f t="shared" si="157"/>
        <v>0</v>
      </c>
      <c r="Z785" s="25">
        <f t="shared" si="158"/>
        <v>0</v>
      </c>
      <c r="AA785" s="26">
        <f>VLOOKUP(S785,CPI!$A$2:$F$71,6,0)</f>
        <v>1.501440311</v>
      </c>
      <c r="AB785" s="27">
        <f t="shared" si="163"/>
        <v>1567.503685</v>
      </c>
      <c r="AC785" s="27">
        <f t="shared" si="164"/>
        <v>77.21693028</v>
      </c>
      <c r="AD785" s="26" t="s">
        <v>60</v>
      </c>
      <c r="AE785" s="57" t="s">
        <v>1413</v>
      </c>
      <c r="AF785" s="301"/>
      <c r="AG785" s="130"/>
      <c r="AH785" s="130"/>
      <c r="AI785" s="130"/>
      <c r="AJ785" s="33"/>
      <c r="AK785" s="33"/>
      <c r="AL785" s="33"/>
      <c r="AM785" s="114"/>
      <c r="AN785" s="114"/>
      <c r="AO785" s="114"/>
      <c r="AP785" s="114"/>
      <c r="AQ785" s="114"/>
    </row>
    <row r="786" ht="15.75" customHeight="1">
      <c r="A786" s="38">
        <v>7499.0</v>
      </c>
      <c r="B786" s="26" t="s">
        <v>1403</v>
      </c>
      <c r="C786" s="26" t="s">
        <v>1409</v>
      </c>
      <c r="D786" s="1" t="s">
        <v>1414</v>
      </c>
      <c r="E786" s="26" t="s">
        <v>1415</v>
      </c>
      <c r="F786" s="25">
        <v>2015.0</v>
      </c>
      <c r="G786" s="25">
        <v>2023.0</v>
      </c>
      <c r="H786" s="25">
        <v>1.0</v>
      </c>
      <c r="I786" s="25">
        <v>2.4</v>
      </c>
      <c r="J786" s="50">
        <v>1.0</v>
      </c>
      <c r="K786" s="25">
        <v>2.4</v>
      </c>
      <c r="L786" s="51">
        <v>0.0</v>
      </c>
      <c r="M786" s="51">
        <v>0.0</v>
      </c>
      <c r="N786" s="25">
        <v>1.0</v>
      </c>
      <c r="O786" s="25"/>
      <c r="P786" s="26" t="s">
        <v>60</v>
      </c>
      <c r="Q786" s="52">
        <v>69000.0</v>
      </c>
      <c r="R786" s="26" t="s">
        <v>1407</v>
      </c>
      <c r="S786" s="25">
        <v>2019.0</v>
      </c>
      <c r="T786" s="25">
        <v>0.01</v>
      </c>
      <c r="U786" s="25">
        <f t="shared" si="161"/>
        <v>690</v>
      </c>
      <c r="V786" s="24">
        <f t="shared" si="162"/>
        <v>287.5</v>
      </c>
      <c r="W786" s="3">
        <f t="shared" si="155"/>
        <v>0</v>
      </c>
      <c r="X786" s="3">
        <f t="shared" si="156"/>
        <v>0</v>
      </c>
      <c r="Y786" s="3">
        <f t="shared" si="157"/>
        <v>0</v>
      </c>
      <c r="Z786" s="25">
        <f t="shared" si="158"/>
        <v>0</v>
      </c>
      <c r="AA786" s="26">
        <f>VLOOKUP(S786,CPI!$A$2:$F$71,6,0)</f>
        <v>1.259947899</v>
      </c>
      <c r="AB786" s="27">
        <f t="shared" si="163"/>
        <v>869.3640503</v>
      </c>
      <c r="AC786" s="27">
        <f t="shared" si="164"/>
        <v>362.2350209</v>
      </c>
      <c r="AD786" s="26" t="s">
        <v>60</v>
      </c>
      <c r="AE786" s="53" t="s">
        <v>1413</v>
      </c>
      <c r="AF786" s="130"/>
      <c r="AG786" s="130"/>
      <c r="AH786" s="130"/>
      <c r="AI786" s="130"/>
      <c r="AJ786" s="33"/>
      <c r="AK786" s="33"/>
      <c r="AL786" s="33"/>
      <c r="AM786" s="206"/>
      <c r="AN786" s="206"/>
      <c r="AO786" s="206"/>
      <c r="AP786" s="206"/>
      <c r="AQ786" s="206"/>
    </row>
    <row r="787" ht="15.75" customHeight="1">
      <c r="A787" s="38">
        <v>7505.0</v>
      </c>
      <c r="B787" s="26" t="s">
        <v>1403</v>
      </c>
      <c r="C787" s="26" t="s">
        <v>1409</v>
      </c>
      <c r="D787" s="1" t="s">
        <v>1097</v>
      </c>
      <c r="E787" s="26" t="s">
        <v>1416</v>
      </c>
      <c r="F787" s="25">
        <v>2018.0</v>
      </c>
      <c r="G787" s="25">
        <v>2029.0</v>
      </c>
      <c r="H787" s="25">
        <v>0.0</v>
      </c>
      <c r="I787" s="25">
        <v>8.9</v>
      </c>
      <c r="J787" s="50">
        <v>0.0</v>
      </c>
      <c r="K787" s="25">
        <v>0.0</v>
      </c>
      <c r="L787" s="51">
        <v>0.0</v>
      </c>
      <c r="M787" s="51">
        <v>0.0</v>
      </c>
      <c r="N787" s="25">
        <v>4.0</v>
      </c>
      <c r="O787" s="25"/>
      <c r="P787" s="26" t="s">
        <v>60</v>
      </c>
      <c r="Q787" s="52">
        <v>105000.0</v>
      </c>
      <c r="R787" s="26" t="s">
        <v>1407</v>
      </c>
      <c r="S787" s="25">
        <v>2019.0</v>
      </c>
      <c r="T787" s="25">
        <v>0.01</v>
      </c>
      <c r="U787" s="25">
        <f t="shared" si="161"/>
        <v>1050</v>
      </c>
      <c r="V787" s="24">
        <f t="shared" si="162"/>
        <v>117.9775281</v>
      </c>
      <c r="W787" s="3">
        <f t="shared" si="155"/>
        <v>0</v>
      </c>
      <c r="X787" s="3">
        <f t="shared" si="156"/>
        <v>0</v>
      </c>
      <c r="Y787" s="3">
        <f t="shared" si="157"/>
        <v>0</v>
      </c>
      <c r="Z787" s="25">
        <f t="shared" si="158"/>
        <v>0</v>
      </c>
      <c r="AA787" s="26">
        <f>VLOOKUP(S787,CPI!$A$2:$F$71,6,0)</f>
        <v>1.259947899</v>
      </c>
      <c r="AB787" s="27">
        <f t="shared" si="163"/>
        <v>1322.945294</v>
      </c>
      <c r="AC787" s="27">
        <f t="shared" si="164"/>
        <v>148.6455386</v>
      </c>
      <c r="AD787" s="26" t="s">
        <v>60</v>
      </c>
      <c r="AE787" s="57" t="s">
        <v>1417</v>
      </c>
      <c r="AF787" s="130"/>
      <c r="AG787" s="130"/>
      <c r="AH787" s="130"/>
      <c r="AI787" s="130"/>
      <c r="AJ787" s="33"/>
      <c r="AK787" s="33"/>
      <c r="AL787" s="33"/>
    </row>
    <row r="788" ht="15.75" customHeight="1">
      <c r="A788" s="38">
        <v>7592.0</v>
      </c>
      <c r="B788" s="26" t="s">
        <v>1403</v>
      </c>
      <c r="C788" s="26" t="s">
        <v>1418</v>
      </c>
      <c r="D788" s="26" t="s">
        <v>1419</v>
      </c>
      <c r="E788" s="26" t="s">
        <v>1419</v>
      </c>
      <c r="F788" s="25">
        <v>1988.0</v>
      </c>
      <c r="G788" s="25">
        <v>1995.0</v>
      </c>
      <c r="H788" s="25">
        <v>0.0</v>
      </c>
      <c r="I788" s="25">
        <v>12.0</v>
      </c>
      <c r="J788" s="50">
        <v>0.0</v>
      </c>
      <c r="K788" s="25">
        <v>0.0</v>
      </c>
      <c r="L788" s="51">
        <v>0.0</v>
      </c>
      <c r="M788" s="51">
        <v>0.0</v>
      </c>
      <c r="N788" s="25">
        <v>12.0</v>
      </c>
      <c r="O788" s="25"/>
      <c r="P788" s="26" t="s">
        <v>36</v>
      </c>
      <c r="Q788" s="52">
        <v>170200.0</v>
      </c>
      <c r="R788" s="26" t="s">
        <v>1407</v>
      </c>
      <c r="S788" s="25">
        <v>1991.0</v>
      </c>
      <c r="T788" s="25">
        <v>0.0054</v>
      </c>
      <c r="U788" s="25">
        <f t="shared" si="161"/>
        <v>919.08</v>
      </c>
      <c r="V788" s="24">
        <f t="shared" si="162"/>
        <v>76.59</v>
      </c>
      <c r="W788" s="3">
        <f t="shared" si="155"/>
        <v>0</v>
      </c>
      <c r="X788" s="3">
        <f t="shared" si="156"/>
        <v>0</v>
      </c>
      <c r="Y788" s="3">
        <f t="shared" si="157"/>
        <v>0</v>
      </c>
      <c r="Z788" s="25">
        <f t="shared" si="158"/>
        <v>0</v>
      </c>
      <c r="AA788" s="26">
        <f>VLOOKUP(S788,CPI!$A$2:$F$71,6,0)</f>
        <v>2.365011013</v>
      </c>
      <c r="AB788" s="27">
        <f t="shared" si="163"/>
        <v>2173.634322</v>
      </c>
      <c r="AC788" s="27">
        <f t="shared" si="164"/>
        <v>181.1361935</v>
      </c>
      <c r="AD788" s="26" t="s">
        <v>36</v>
      </c>
      <c r="AE788" s="57" t="s">
        <v>1420</v>
      </c>
      <c r="AF788" s="130"/>
      <c r="AG788" s="130"/>
      <c r="AH788" s="130"/>
      <c r="AI788" s="130"/>
      <c r="AJ788" s="33"/>
      <c r="AK788" s="33"/>
      <c r="AL788" s="33"/>
      <c r="AM788" s="206"/>
      <c r="AN788" s="206"/>
      <c r="AO788" s="206"/>
      <c r="AP788" s="206"/>
      <c r="AQ788" s="206"/>
    </row>
    <row r="789" ht="15.75" customHeight="1">
      <c r="A789" s="38">
        <v>7514.0</v>
      </c>
      <c r="B789" s="26" t="s">
        <v>1403</v>
      </c>
      <c r="C789" s="26" t="s">
        <v>1418</v>
      </c>
      <c r="D789" s="317" t="s">
        <v>1421</v>
      </c>
      <c r="E789" s="318" t="s">
        <v>1422</v>
      </c>
      <c r="F789" s="25">
        <v>1991.0</v>
      </c>
      <c r="G789" s="25">
        <v>2000.0</v>
      </c>
      <c r="H789" s="25">
        <v>0.0</v>
      </c>
      <c r="I789" s="25">
        <v>16.0</v>
      </c>
      <c r="J789" s="50">
        <v>0.0</v>
      </c>
      <c r="K789" s="25">
        <v>0.0</v>
      </c>
      <c r="L789" s="51">
        <v>0.0</v>
      </c>
      <c r="M789" s="51">
        <v>0.0</v>
      </c>
      <c r="N789" s="25">
        <v>19.0</v>
      </c>
      <c r="O789" s="25"/>
      <c r="P789" s="26" t="s">
        <v>36</v>
      </c>
      <c r="Q789" s="52">
        <v>242200.0</v>
      </c>
      <c r="R789" s="26" t="s">
        <v>1407</v>
      </c>
      <c r="S789" s="25">
        <v>1995.0</v>
      </c>
      <c r="T789" s="25">
        <v>0.006</v>
      </c>
      <c r="U789" s="25">
        <f t="shared" si="161"/>
        <v>1453.2</v>
      </c>
      <c r="V789" s="24">
        <f t="shared" si="162"/>
        <v>90.825</v>
      </c>
      <c r="W789" s="3">
        <f t="shared" si="155"/>
        <v>0</v>
      </c>
      <c r="X789" s="3">
        <f t="shared" si="156"/>
        <v>0</v>
      </c>
      <c r="Y789" s="3">
        <f t="shared" si="157"/>
        <v>0</v>
      </c>
      <c r="Z789" s="25">
        <f t="shared" si="158"/>
        <v>0</v>
      </c>
      <c r="AA789" s="26">
        <f>VLOOKUP(S789,CPI!$A$2:$F$71,6,0)</f>
        <v>2.113612205</v>
      </c>
      <c r="AB789" s="27">
        <f t="shared" si="163"/>
        <v>3071.501256</v>
      </c>
      <c r="AC789" s="27">
        <f t="shared" si="164"/>
        <v>191.9688285</v>
      </c>
      <c r="AD789" s="26" t="s">
        <v>36</v>
      </c>
      <c r="AE789" s="57" t="s">
        <v>1423</v>
      </c>
      <c r="AF789" s="130"/>
      <c r="AG789" s="130"/>
      <c r="AH789" s="130"/>
      <c r="AI789" s="130"/>
      <c r="AJ789" s="33"/>
      <c r="AK789" s="33"/>
      <c r="AL789" s="33"/>
      <c r="AM789" s="206"/>
      <c r="AN789" s="206"/>
      <c r="AO789" s="206"/>
      <c r="AP789" s="206"/>
      <c r="AQ789" s="206"/>
    </row>
    <row r="790" ht="15.75" customHeight="1">
      <c r="A790" s="38">
        <v>7512.0</v>
      </c>
      <c r="B790" s="26" t="s">
        <v>1403</v>
      </c>
      <c r="C790" s="26" t="s">
        <v>1418</v>
      </c>
      <c r="D790" s="26" t="s">
        <v>1424</v>
      </c>
      <c r="E790" s="26" t="s">
        <v>1424</v>
      </c>
      <c r="F790" s="25">
        <v>1992.0</v>
      </c>
      <c r="G790" s="25">
        <v>2000.0</v>
      </c>
      <c r="H790" s="25">
        <v>0.0</v>
      </c>
      <c r="I790" s="25">
        <v>27.8</v>
      </c>
      <c r="J790" s="50">
        <v>1.0</v>
      </c>
      <c r="K790" s="25">
        <v>27.8</v>
      </c>
      <c r="L790" s="51">
        <v>0.0</v>
      </c>
      <c r="M790" s="51">
        <v>0.0</v>
      </c>
      <c r="N790" s="25">
        <v>27.0</v>
      </c>
      <c r="O790" s="25"/>
      <c r="P790" s="26" t="s">
        <v>60</v>
      </c>
      <c r="Q790" s="52">
        <v>988600.0</v>
      </c>
      <c r="R790" s="26" t="s">
        <v>1407</v>
      </c>
      <c r="S790" s="25">
        <v>1999.0</v>
      </c>
      <c r="T790" s="25">
        <v>0.0064</v>
      </c>
      <c r="U790" s="25">
        <f t="shared" si="161"/>
        <v>6327.04</v>
      </c>
      <c r="V790" s="24">
        <f t="shared" si="162"/>
        <v>227.5913669</v>
      </c>
      <c r="W790" s="3">
        <f t="shared" si="155"/>
        <v>0</v>
      </c>
      <c r="X790" s="3">
        <f t="shared" si="156"/>
        <v>0</v>
      </c>
      <c r="Y790" s="3">
        <f t="shared" si="157"/>
        <v>0</v>
      </c>
      <c r="Z790" s="25">
        <f t="shared" si="158"/>
        <v>0</v>
      </c>
      <c r="AA790" s="26">
        <f>VLOOKUP(S790,CPI!$A$2:$F$71,6,0)</f>
        <v>1.933460384</v>
      </c>
      <c r="AB790" s="27">
        <f t="shared" si="163"/>
        <v>12233.08119</v>
      </c>
      <c r="AC790" s="27">
        <f t="shared" si="164"/>
        <v>440.0388917</v>
      </c>
      <c r="AD790" s="26" t="s">
        <v>60</v>
      </c>
      <c r="AE790" s="53" t="s">
        <v>1425</v>
      </c>
      <c r="AF790" s="130"/>
      <c r="AG790" s="130"/>
      <c r="AH790" s="130"/>
      <c r="AI790" s="130"/>
      <c r="AJ790" s="33"/>
      <c r="AK790" s="33"/>
      <c r="AL790" s="33"/>
      <c r="AM790" s="206"/>
      <c r="AN790" s="206"/>
      <c r="AO790" s="206"/>
      <c r="AP790" s="206"/>
      <c r="AQ790" s="206"/>
    </row>
    <row r="791" ht="15.75" customHeight="1">
      <c r="A791" s="38">
        <v>7507.0</v>
      </c>
      <c r="B791" s="26" t="s">
        <v>1403</v>
      </c>
      <c r="C791" s="26" t="s">
        <v>1418</v>
      </c>
      <c r="D791" s="26" t="s">
        <v>1426</v>
      </c>
      <c r="E791" s="26" t="s">
        <v>1426</v>
      </c>
      <c r="F791" s="25">
        <v>1993.0</v>
      </c>
      <c r="G791" s="25">
        <v>2004.0</v>
      </c>
      <c r="H791" s="25">
        <v>1.0</v>
      </c>
      <c r="I791" s="25">
        <v>4.1</v>
      </c>
      <c r="J791" s="50">
        <v>1.0</v>
      </c>
      <c r="K791" s="25">
        <v>4.1</v>
      </c>
      <c r="L791" s="51">
        <v>0.0</v>
      </c>
      <c r="M791" s="51">
        <v>0.0</v>
      </c>
      <c r="N791" s="25">
        <v>6.0</v>
      </c>
      <c r="O791" s="25"/>
      <c r="P791" s="26" t="s">
        <v>36</v>
      </c>
      <c r="Q791" s="52">
        <v>257000.0</v>
      </c>
      <c r="R791" s="26" t="s">
        <v>1407</v>
      </c>
      <c r="S791" s="25">
        <v>1998.0</v>
      </c>
      <c r="T791" s="25">
        <v>0.0063</v>
      </c>
      <c r="U791" s="25">
        <f t="shared" si="161"/>
        <v>1619.1</v>
      </c>
      <c r="V791" s="24">
        <f t="shared" si="162"/>
        <v>394.902439</v>
      </c>
      <c r="W791" s="3">
        <f t="shared" si="155"/>
        <v>0</v>
      </c>
      <c r="X791" s="3">
        <f t="shared" si="156"/>
        <v>0</v>
      </c>
      <c r="Y791" s="3">
        <f t="shared" si="157"/>
        <v>0</v>
      </c>
      <c r="Z791" s="25">
        <f t="shared" si="158"/>
        <v>0</v>
      </c>
      <c r="AA791" s="26">
        <f>VLOOKUP(S791,CPI!$A$2:$F$71,6,0)</f>
        <v>1.976162577</v>
      </c>
      <c r="AB791" s="27">
        <f t="shared" si="163"/>
        <v>3199.604828</v>
      </c>
      <c r="AC791" s="27">
        <f t="shared" si="164"/>
        <v>780.3914214</v>
      </c>
      <c r="AD791" s="26" t="s">
        <v>42</v>
      </c>
      <c r="AE791" s="53" t="s">
        <v>1427</v>
      </c>
      <c r="AF791" s="130"/>
      <c r="AG791" s="130"/>
      <c r="AH791" s="130"/>
      <c r="AI791" s="130"/>
      <c r="AJ791" s="33"/>
      <c r="AK791" s="33"/>
      <c r="AL791" s="33"/>
      <c r="AM791" s="206"/>
      <c r="AN791" s="206"/>
      <c r="AO791" s="206"/>
      <c r="AP791" s="206"/>
      <c r="AQ791" s="206"/>
    </row>
    <row r="792" ht="15.75" customHeight="1">
      <c r="A792" s="38">
        <v>7531.0</v>
      </c>
      <c r="B792" s="26" t="s">
        <v>1403</v>
      </c>
      <c r="C792" s="26" t="s">
        <v>1418</v>
      </c>
      <c r="D792" s="26" t="s">
        <v>1428</v>
      </c>
      <c r="E792" s="26" t="s">
        <v>1428</v>
      </c>
      <c r="F792" s="25">
        <v>1997.0</v>
      </c>
      <c r="G792" s="25">
        <v>2005.0</v>
      </c>
      <c r="H792" s="25">
        <v>0.0</v>
      </c>
      <c r="I792" s="25">
        <v>58.3</v>
      </c>
      <c r="J792" s="50">
        <v>0.28</v>
      </c>
      <c r="K792" s="25">
        <v>16.3</v>
      </c>
      <c r="L792" s="51">
        <v>0.0</v>
      </c>
      <c r="M792" s="51">
        <v>0.0</v>
      </c>
      <c r="N792" s="25">
        <v>20.0</v>
      </c>
      <c r="O792" s="25"/>
      <c r="P792" s="26" t="s">
        <v>60</v>
      </c>
      <c r="Q792" s="52">
        <v>949400.0</v>
      </c>
      <c r="R792" s="26" t="s">
        <v>1407</v>
      </c>
      <c r="S792" s="25">
        <v>2001.0</v>
      </c>
      <c r="T792" s="25">
        <v>0.0077</v>
      </c>
      <c r="U792" s="25">
        <f t="shared" si="161"/>
        <v>7310.38</v>
      </c>
      <c r="V792" s="24">
        <f t="shared" si="162"/>
        <v>125.3924528</v>
      </c>
      <c r="W792" s="3">
        <f t="shared" si="155"/>
        <v>0</v>
      </c>
      <c r="X792" s="3">
        <f t="shared" si="156"/>
        <v>0</v>
      </c>
      <c r="Y792" s="3">
        <f t="shared" si="157"/>
        <v>0</v>
      </c>
      <c r="Z792" s="25">
        <f t="shared" si="158"/>
        <v>0</v>
      </c>
      <c r="AA792" s="26">
        <f>VLOOKUP(S792,CPI!$A$2:$F$71,6,0)</f>
        <v>1.818828346</v>
      </c>
      <c r="AB792" s="27">
        <f t="shared" si="163"/>
        <v>13296.32636</v>
      </c>
      <c r="AC792" s="27">
        <f t="shared" si="164"/>
        <v>228.0673475</v>
      </c>
      <c r="AD792" s="26" t="s">
        <v>60</v>
      </c>
      <c r="AE792" s="313" t="s">
        <v>1429</v>
      </c>
      <c r="AF792" s="130"/>
      <c r="AG792" s="130"/>
      <c r="AH792" s="130"/>
      <c r="AI792" s="130"/>
      <c r="AJ792" s="33"/>
      <c r="AK792" s="33"/>
      <c r="AL792" s="33"/>
      <c r="AM792" s="206"/>
      <c r="AN792" s="206"/>
      <c r="AO792" s="206"/>
      <c r="AP792" s="206"/>
      <c r="AQ792" s="206"/>
    </row>
    <row r="793" ht="15.75" customHeight="1">
      <c r="A793" s="38">
        <v>7506.0</v>
      </c>
      <c r="B793" s="26" t="s">
        <v>1403</v>
      </c>
      <c r="C793" s="26" t="s">
        <v>1418</v>
      </c>
      <c r="D793" s="26" t="s">
        <v>1430</v>
      </c>
      <c r="E793" s="26" t="s">
        <v>1430</v>
      </c>
      <c r="F793" s="25">
        <v>2001.0</v>
      </c>
      <c r="G793" s="25">
        <v>2008.0</v>
      </c>
      <c r="H793" s="25">
        <v>0.0</v>
      </c>
      <c r="I793" s="25">
        <v>8.9</v>
      </c>
      <c r="J793" s="50">
        <v>1.0</v>
      </c>
      <c r="K793" s="25">
        <v>8.9</v>
      </c>
      <c r="L793" s="51">
        <v>0.0</v>
      </c>
      <c r="M793" s="51">
        <v>0.0</v>
      </c>
      <c r="N793" s="25">
        <v>8.0</v>
      </c>
      <c r="O793" s="25"/>
      <c r="P793" s="26" t="s">
        <v>42</v>
      </c>
      <c r="Q793" s="52">
        <v>250000.0</v>
      </c>
      <c r="R793" s="26" t="s">
        <v>1407</v>
      </c>
      <c r="S793" s="25">
        <v>2004.0</v>
      </c>
      <c r="T793" s="25">
        <v>0.0074</v>
      </c>
      <c r="U793" s="25">
        <f t="shared" si="161"/>
        <v>1850</v>
      </c>
      <c r="V793" s="24">
        <f t="shared" si="162"/>
        <v>207.8651685</v>
      </c>
      <c r="W793" s="3">
        <f t="shared" si="155"/>
        <v>0</v>
      </c>
      <c r="X793" s="3">
        <f t="shared" si="156"/>
        <v>0</v>
      </c>
      <c r="Y793" s="3">
        <f t="shared" si="157"/>
        <v>0</v>
      </c>
      <c r="Z793" s="25">
        <f t="shared" si="158"/>
        <v>0</v>
      </c>
      <c r="AA793" s="26">
        <f>VLOOKUP(S793,CPI!$A$2:$F$71,6,0)</f>
        <v>1.705211752</v>
      </c>
      <c r="AB793" s="27">
        <f t="shared" si="163"/>
        <v>3154.641742</v>
      </c>
      <c r="AC793" s="27">
        <f t="shared" si="164"/>
        <v>354.4541283</v>
      </c>
      <c r="AD793" s="26" t="s">
        <v>42</v>
      </c>
      <c r="AE793" s="53" t="s">
        <v>1431</v>
      </c>
      <c r="AF793" s="130"/>
      <c r="AG793" s="130"/>
      <c r="AH793" s="130"/>
      <c r="AI793" s="130"/>
      <c r="AJ793" s="33"/>
      <c r="AK793" s="33"/>
      <c r="AL793" s="33"/>
      <c r="AM793" s="206"/>
      <c r="AN793" s="206"/>
      <c r="AO793" s="206"/>
      <c r="AP793" s="206"/>
      <c r="AQ793" s="206"/>
    </row>
    <row r="794" ht="15.75" customHeight="1">
      <c r="A794" s="38">
        <v>7520.0</v>
      </c>
      <c r="B794" s="26" t="s">
        <v>1403</v>
      </c>
      <c r="C794" s="26" t="s">
        <v>1418</v>
      </c>
      <c r="D794" s="26" t="s">
        <v>1432</v>
      </c>
      <c r="E794" s="26" t="s">
        <v>1432</v>
      </c>
      <c r="F794" s="25">
        <v>2008.0</v>
      </c>
      <c r="G794" s="25">
        <v>2015.0</v>
      </c>
      <c r="H794" s="25">
        <v>1.0</v>
      </c>
      <c r="I794" s="25">
        <v>3.8</v>
      </c>
      <c r="J794" s="50">
        <v>0.0</v>
      </c>
      <c r="K794" s="25">
        <v>0.0</v>
      </c>
      <c r="L794" s="51">
        <v>0.0</v>
      </c>
      <c r="M794" s="51">
        <v>0.0</v>
      </c>
      <c r="N794" s="25">
        <v>0.0</v>
      </c>
      <c r="O794" s="25"/>
      <c r="P794" s="26" t="s">
        <v>36</v>
      </c>
      <c r="Q794" s="52">
        <v>40000.0</v>
      </c>
      <c r="R794" s="26" t="s">
        <v>1407</v>
      </c>
      <c r="S794" s="25">
        <v>2011.0</v>
      </c>
      <c r="T794" s="25">
        <v>0.009</v>
      </c>
      <c r="U794" s="25">
        <f t="shared" si="161"/>
        <v>360</v>
      </c>
      <c r="V794" s="24">
        <f t="shared" si="162"/>
        <v>94.73684211</v>
      </c>
      <c r="W794" s="3">
        <f t="shared" si="155"/>
        <v>0</v>
      </c>
      <c r="X794" s="3">
        <f t="shared" si="156"/>
        <v>0</v>
      </c>
      <c r="Y794" s="3">
        <f t="shared" si="157"/>
        <v>0</v>
      </c>
      <c r="Z794" s="25">
        <f t="shared" si="158"/>
        <v>0</v>
      </c>
      <c r="AA794" s="26">
        <f>VLOOKUP(S794,CPI!$A$2:$F$71,6,0)</f>
        <v>1.432008233</v>
      </c>
      <c r="AB794" s="27">
        <f t="shared" si="163"/>
        <v>515.522964</v>
      </c>
      <c r="AC794" s="27">
        <f t="shared" si="164"/>
        <v>135.6639379</v>
      </c>
      <c r="AD794" s="26" t="s">
        <v>36</v>
      </c>
      <c r="AE794" s="53" t="s">
        <v>1433</v>
      </c>
      <c r="AF794" s="130"/>
      <c r="AG794" s="130"/>
      <c r="AH794" s="130"/>
      <c r="AI794" s="130"/>
      <c r="AJ794" s="33"/>
      <c r="AK794" s="33"/>
      <c r="AL794" s="33"/>
      <c r="AM794" s="206"/>
      <c r="AN794" s="206"/>
      <c r="AO794" s="206"/>
      <c r="AP794" s="206"/>
      <c r="AQ794" s="206"/>
    </row>
    <row r="795" ht="15.75" customHeight="1">
      <c r="A795" s="38">
        <v>7521.0</v>
      </c>
      <c r="B795" s="26" t="s">
        <v>1403</v>
      </c>
      <c r="C795" s="26" t="s">
        <v>1418</v>
      </c>
      <c r="D795" s="1" t="s">
        <v>1434</v>
      </c>
      <c r="E795" s="26" t="s">
        <v>1435</v>
      </c>
      <c r="F795" s="25">
        <v>2010.0</v>
      </c>
      <c r="G795" s="25">
        <v>2019.0</v>
      </c>
      <c r="H795" s="25">
        <v>1.0</v>
      </c>
      <c r="I795" s="25">
        <v>2.7</v>
      </c>
      <c r="J795" s="50">
        <v>0.78</v>
      </c>
      <c r="K795" s="25">
        <v>2.1</v>
      </c>
      <c r="L795" s="51">
        <v>0.0</v>
      </c>
      <c r="M795" s="51">
        <v>0.0</v>
      </c>
      <c r="N795" s="25">
        <v>1.0</v>
      </c>
      <c r="O795" s="25"/>
      <c r="P795" s="26" t="s">
        <v>59</v>
      </c>
      <c r="Q795" s="52">
        <v>111400.0</v>
      </c>
      <c r="R795" s="26" t="s">
        <v>1407</v>
      </c>
      <c r="S795" s="25">
        <v>2014.0</v>
      </c>
      <c r="T795" s="25">
        <v>0.0097</v>
      </c>
      <c r="U795" s="25">
        <f t="shared" si="161"/>
        <v>1080.58</v>
      </c>
      <c r="V795" s="24">
        <f t="shared" si="162"/>
        <v>400.2148148</v>
      </c>
      <c r="W795" s="3">
        <f t="shared" si="155"/>
        <v>0</v>
      </c>
      <c r="X795" s="3">
        <f t="shared" si="156"/>
        <v>0</v>
      </c>
      <c r="Y795" s="3">
        <f t="shared" si="157"/>
        <v>0</v>
      </c>
      <c r="Z795" s="25">
        <f t="shared" si="158"/>
        <v>0</v>
      </c>
      <c r="AA795" s="26">
        <f>VLOOKUP(S795,CPI!$A$2:$F$71,6,0)</f>
        <v>1.360648571</v>
      </c>
      <c r="AB795" s="27">
        <f t="shared" si="163"/>
        <v>1470.289632</v>
      </c>
      <c r="AC795" s="27">
        <f t="shared" si="164"/>
        <v>544.5517157</v>
      </c>
      <c r="AD795" s="26" t="s">
        <v>42</v>
      </c>
      <c r="AE795" s="53" t="s">
        <v>1436</v>
      </c>
      <c r="AF795" s="130"/>
      <c r="AG795" s="130"/>
      <c r="AH795" s="130"/>
      <c r="AI795" s="130"/>
      <c r="AJ795" s="33"/>
      <c r="AK795" s="33"/>
      <c r="AL795" s="33"/>
      <c r="AM795" s="206"/>
      <c r="AN795" s="206"/>
      <c r="AO795" s="206"/>
      <c r="AP795" s="206"/>
      <c r="AQ795" s="206"/>
    </row>
    <row r="796" ht="15.75" customHeight="1">
      <c r="A796" s="38">
        <v>7522.0</v>
      </c>
      <c r="B796" s="26" t="s">
        <v>1403</v>
      </c>
      <c r="C796" s="26" t="s">
        <v>1418</v>
      </c>
      <c r="D796" s="1" t="s">
        <v>1434</v>
      </c>
      <c r="E796" s="26" t="s">
        <v>1437</v>
      </c>
      <c r="F796" s="25">
        <v>2010.0</v>
      </c>
      <c r="G796" s="25">
        <v>2022.0</v>
      </c>
      <c r="H796" s="25">
        <v>1.0</v>
      </c>
      <c r="I796" s="25">
        <v>10.0</v>
      </c>
      <c r="J796" s="50">
        <v>0.8</v>
      </c>
      <c r="K796" s="25">
        <v>8.0</v>
      </c>
      <c r="L796" s="51">
        <v>0.0</v>
      </c>
      <c r="M796" s="51">
        <v>0.0</v>
      </c>
      <c r="N796" s="25">
        <v>2.0</v>
      </c>
      <c r="O796" s="25"/>
      <c r="P796" s="26" t="s">
        <v>59</v>
      </c>
      <c r="Q796" s="52">
        <v>290800.0</v>
      </c>
      <c r="R796" s="26" t="s">
        <v>1407</v>
      </c>
      <c r="S796" s="25">
        <v>2016.0</v>
      </c>
      <c r="T796" s="25">
        <v>0.0095</v>
      </c>
      <c r="U796" s="25">
        <f t="shared" si="161"/>
        <v>2762.6</v>
      </c>
      <c r="V796" s="24">
        <f t="shared" si="162"/>
        <v>276.26</v>
      </c>
      <c r="W796" s="3">
        <f t="shared" si="155"/>
        <v>0</v>
      </c>
      <c r="X796" s="3">
        <f t="shared" si="156"/>
        <v>0</v>
      </c>
      <c r="Y796" s="3">
        <f t="shared" si="157"/>
        <v>0</v>
      </c>
      <c r="Z796" s="25">
        <f t="shared" si="158"/>
        <v>0</v>
      </c>
      <c r="AA796" s="26">
        <f>VLOOKUP(S796,CPI!$A$2:$F$71,6,0)</f>
        <v>1.342104605</v>
      </c>
      <c r="AB796" s="27">
        <f t="shared" si="163"/>
        <v>3707.698183</v>
      </c>
      <c r="AC796" s="27">
        <f t="shared" si="164"/>
        <v>370.7698183</v>
      </c>
      <c r="AD796" s="26" t="s">
        <v>36</v>
      </c>
      <c r="AE796" s="53" t="s">
        <v>1438</v>
      </c>
      <c r="AF796" s="130"/>
      <c r="AG796" s="130"/>
      <c r="AH796" s="130"/>
      <c r="AI796" s="130"/>
      <c r="AJ796" s="33"/>
      <c r="AK796" s="33"/>
      <c r="AL796" s="33"/>
      <c r="AM796" s="206"/>
      <c r="AN796" s="206"/>
      <c r="AO796" s="206"/>
      <c r="AP796" s="206"/>
      <c r="AQ796" s="206"/>
    </row>
    <row r="797" ht="15.75" customHeight="1">
      <c r="A797" s="38">
        <v>7515.0</v>
      </c>
      <c r="B797" s="26" t="s">
        <v>1403</v>
      </c>
      <c r="C797" s="26" t="s">
        <v>1418</v>
      </c>
      <c r="D797" s="319" t="s">
        <v>1097</v>
      </c>
      <c r="E797" s="318" t="s">
        <v>1439</v>
      </c>
      <c r="F797" s="25">
        <v>2015.0</v>
      </c>
      <c r="G797" s="25">
        <v>2025.0</v>
      </c>
      <c r="H797" s="25">
        <v>1.0</v>
      </c>
      <c r="I797" s="25">
        <v>3.0</v>
      </c>
      <c r="J797" s="50">
        <v>0.0</v>
      </c>
      <c r="K797" s="25">
        <v>0.0</v>
      </c>
      <c r="L797" s="51">
        <v>0.0</v>
      </c>
      <c r="M797" s="51">
        <v>0.0</v>
      </c>
      <c r="N797" s="25"/>
      <c r="O797" s="25"/>
      <c r="P797" s="26" t="s">
        <v>36</v>
      </c>
      <c r="Q797" s="52">
        <v>109500.0</v>
      </c>
      <c r="R797" s="26" t="s">
        <v>1407</v>
      </c>
      <c r="S797" s="25">
        <v>2020.0</v>
      </c>
      <c r="T797" s="25">
        <v>0.01</v>
      </c>
      <c r="U797" s="25">
        <f t="shared" si="161"/>
        <v>1095</v>
      </c>
      <c r="V797" s="24">
        <f t="shared" si="162"/>
        <v>365</v>
      </c>
      <c r="W797" s="3">
        <f t="shared" si="155"/>
        <v>0</v>
      </c>
      <c r="X797" s="3">
        <f t="shared" si="156"/>
        <v>0</v>
      </c>
      <c r="Y797" s="3">
        <f t="shared" si="157"/>
        <v>0</v>
      </c>
      <c r="Z797" s="25">
        <f t="shared" si="158"/>
        <v>0</v>
      </c>
      <c r="AA797" s="26">
        <f>VLOOKUP(S797,CPI!$A$2:$F$71,6,0)</f>
        <v>1.244593545</v>
      </c>
      <c r="AB797" s="27">
        <f t="shared" si="163"/>
        <v>1362.829932</v>
      </c>
      <c r="AC797" s="27">
        <f t="shared" si="164"/>
        <v>454.276644</v>
      </c>
      <c r="AD797" s="26" t="s">
        <v>36</v>
      </c>
      <c r="AE797" s="57" t="s">
        <v>1440</v>
      </c>
      <c r="AF797" s="130"/>
      <c r="AG797" s="130"/>
      <c r="AH797" s="130"/>
      <c r="AI797" s="130"/>
      <c r="AJ797" s="33"/>
      <c r="AK797" s="33"/>
      <c r="AL797" s="33"/>
      <c r="AM797" s="206"/>
      <c r="AN797" s="206"/>
      <c r="AO797" s="206"/>
      <c r="AP797" s="206"/>
      <c r="AQ797" s="206"/>
    </row>
    <row r="798" ht="15.75" customHeight="1">
      <c r="A798" s="38">
        <v>7513.0</v>
      </c>
      <c r="B798" s="26" t="s">
        <v>1403</v>
      </c>
      <c r="C798" s="26" t="s">
        <v>1418</v>
      </c>
      <c r="D798" s="26" t="s">
        <v>1441</v>
      </c>
      <c r="E798" s="26" t="s">
        <v>1441</v>
      </c>
      <c r="F798" s="25">
        <v>2022.0</v>
      </c>
      <c r="G798" s="25">
        <v>2029.0</v>
      </c>
      <c r="H798" s="25">
        <v>1.0</v>
      </c>
      <c r="I798" s="25">
        <v>5.6</v>
      </c>
      <c r="J798" s="50">
        <v>1.0</v>
      </c>
      <c r="K798" s="25">
        <v>5.6</v>
      </c>
      <c r="L798" s="51">
        <v>0.0</v>
      </c>
      <c r="M798" s="51">
        <v>0.0</v>
      </c>
      <c r="N798" s="25">
        <v>2.0</v>
      </c>
      <c r="O798" s="25"/>
      <c r="P798" s="26" t="s">
        <v>59</v>
      </c>
      <c r="Q798" s="52">
        <v>300000.0</v>
      </c>
      <c r="R798" s="26" t="s">
        <v>1407</v>
      </c>
      <c r="S798" s="25">
        <v>2025.0</v>
      </c>
      <c r="T798" s="25">
        <v>0.01</v>
      </c>
      <c r="U798" s="25">
        <f t="shared" si="161"/>
        <v>3000</v>
      </c>
      <c r="V798" s="24">
        <f t="shared" si="162"/>
        <v>535.7142857</v>
      </c>
      <c r="W798" s="3">
        <f t="shared" si="155"/>
        <v>0</v>
      </c>
      <c r="X798" s="3">
        <f t="shared" si="156"/>
        <v>0</v>
      </c>
      <c r="Y798" s="3">
        <f t="shared" si="157"/>
        <v>0</v>
      </c>
      <c r="Z798" s="25">
        <f t="shared" si="158"/>
        <v>0</v>
      </c>
      <c r="AA798" s="26">
        <f>VLOOKUP(S798,CPI!$A$2:$F$71,6,0)</f>
        <v>1</v>
      </c>
      <c r="AB798" s="27">
        <f t="shared" si="163"/>
        <v>3000</v>
      </c>
      <c r="AC798" s="27">
        <f t="shared" si="164"/>
        <v>535.7142857</v>
      </c>
      <c r="AD798" s="26" t="s">
        <v>42</v>
      </c>
      <c r="AE798" s="57" t="s">
        <v>1442</v>
      </c>
      <c r="AF798" s="130"/>
      <c r="AG798" s="130"/>
      <c r="AH798" s="130"/>
      <c r="AI798" s="130"/>
      <c r="AJ798" s="33"/>
      <c r="AK798" s="33"/>
      <c r="AL798" s="33"/>
      <c r="AM798" s="206"/>
      <c r="AN798" s="206"/>
      <c r="AO798" s="206"/>
      <c r="AP798" s="206"/>
      <c r="AQ798" s="206"/>
    </row>
    <row r="799" ht="15.75" customHeight="1">
      <c r="A799" s="38">
        <v>7321.0</v>
      </c>
      <c r="B799" s="26" t="s">
        <v>1443</v>
      </c>
      <c r="C799" s="26" t="s">
        <v>1444</v>
      </c>
      <c r="D799" s="1" t="s">
        <v>57</v>
      </c>
      <c r="E799" s="26" t="s">
        <v>58</v>
      </c>
      <c r="F799" s="25">
        <v>2009.0</v>
      </c>
      <c r="G799" s="25">
        <v>2017.0</v>
      </c>
      <c r="H799" s="25">
        <v>0.0</v>
      </c>
      <c r="I799" s="25">
        <v>8.0</v>
      </c>
      <c r="J799" s="50">
        <v>1.0</v>
      </c>
      <c r="K799" s="25">
        <v>8.0</v>
      </c>
      <c r="L799" s="51">
        <v>0.0</v>
      </c>
      <c r="M799" s="51">
        <v>0.0</v>
      </c>
      <c r="N799" s="25">
        <v>6.0</v>
      </c>
      <c r="O799" s="25"/>
      <c r="P799" s="26" t="s">
        <v>36</v>
      </c>
      <c r="Q799" s="52">
        <v>959000.0</v>
      </c>
      <c r="R799" s="26" t="s">
        <v>1445</v>
      </c>
      <c r="S799" s="25">
        <v>2013.0</v>
      </c>
      <c r="T799" s="25">
        <v>0.00115</v>
      </c>
      <c r="U799" s="25">
        <f t="shared" si="161"/>
        <v>1102.85</v>
      </c>
      <c r="V799" s="24">
        <f t="shared" si="162"/>
        <v>137.85625</v>
      </c>
      <c r="W799" s="3">
        <f t="shared" si="155"/>
        <v>1</v>
      </c>
      <c r="X799" s="3">
        <f t="shared" si="156"/>
        <v>8</v>
      </c>
      <c r="Y799" s="3">
        <f t="shared" si="157"/>
        <v>8</v>
      </c>
      <c r="Z799" s="25">
        <f t="shared" si="158"/>
        <v>0</v>
      </c>
      <c r="AA799" s="26">
        <f>VLOOKUP(S799,CPI!$A$2:$F$71,6,0)</f>
        <v>1.382720845</v>
      </c>
      <c r="AB799" s="27">
        <f t="shared" si="163"/>
        <v>1524.933684</v>
      </c>
      <c r="AC799" s="27">
        <f t="shared" si="164"/>
        <v>190.6167106</v>
      </c>
      <c r="AD799" s="26" t="s">
        <v>36</v>
      </c>
      <c r="AE799" s="53" t="s">
        <v>1446</v>
      </c>
      <c r="AF799" s="130"/>
      <c r="AG799" s="130"/>
      <c r="AH799" s="130"/>
      <c r="AI799" s="130"/>
      <c r="AJ799" s="33"/>
      <c r="AK799" s="33"/>
      <c r="AL799" s="33"/>
      <c r="AM799" s="206"/>
      <c r="AN799" s="206"/>
      <c r="AO799" s="206"/>
      <c r="AP799" s="206"/>
      <c r="AQ799" s="206"/>
    </row>
    <row r="800" ht="15.75" customHeight="1">
      <c r="A800" s="7"/>
      <c r="B800" s="114" t="s">
        <v>1443</v>
      </c>
      <c r="C800" s="114" t="s">
        <v>1447</v>
      </c>
      <c r="D800" s="171" t="s">
        <v>54</v>
      </c>
      <c r="E800" s="114" t="s">
        <v>54</v>
      </c>
      <c r="F800" s="116">
        <v>2009.0</v>
      </c>
      <c r="G800" s="116">
        <v>2016.0</v>
      </c>
      <c r="H800" s="116">
        <v>0.0</v>
      </c>
      <c r="I800" s="116">
        <v>29.1</v>
      </c>
      <c r="J800" s="71">
        <v>0.7835</v>
      </c>
      <c r="K800" s="116">
        <v>22.8</v>
      </c>
      <c r="L800" s="114"/>
      <c r="M800" s="114"/>
      <c r="N800" s="116">
        <v>27.0</v>
      </c>
      <c r="O800" s="116"/>
      <c r="P800" s="114"/>
      <c r="Q800" s="73">
        <v>2459000.0</v>
      </c>
      <c r="R800" s="114" t="s">
        <v>1445</v>
      </c>
      <c r="S800" s="115">
        <v>2012.0</v>
      </c>
      <c r="T800" s="115">
        <v>0.00117</v>
      </c>
      <c r="U800" s="118">
        <f t="shared" si="161"/>
        <v>2877.03</v>
      </c>
      <c r="V800" s="24">
        <f t="shared" si="162"/>
        <v>98.86701031</v>
      </c>
      <c r="W800" s="3">
        <f t="shared" si="155"/>
        <v>1</v>
      </c>
      <c r="X800" s="3">
        <f t="shared" si="156"/>
        <v>29.1</v>
      </c>
      <c r="Y800" s="3">
        <f t="shared" si="157"/>
        <v>22.8</v>
      </c>
      <c r="Z800" s="25">
        <f t="shared" si="158"/>
        <v>0</v>
      </c>
      <c r="AA800" s="26">
        <f>VLOOKUP(S800,CPI!$A$2:$F$71,6,0)</f>
        <v>1.402974381</v>
      </c>
      <c r="AB800" s="27">
        <f t="shared" si="163"/>
        <v>4036.399383</v>
      </c>
      <c r="AC800" s="27">
        <f t="shared" si="164"/>
        <v>138.7078826</v>
      </c>
      <c r="AD800" s="115" t="s">
        <v>42</v>
      </c>
      <c r="AE800" s="161" t="s">
        <v>1448</v>
      </c>
      <c r="AF800" s="320"/>
      <c r="AG800" s="320"/>
      <c r="AH800" s="320"/>
      <c r="AI800" s="7"/>
      <c r="AM800" s="206"/>
      <c r="AN800" s="206"/>
      <c r="AO800" s="206"/>
      <c r="AP800" s="206"/>
      <c r="AQ800" s="206"/>
    </row>
    <row r="801" ht="15.75" customHeight="1">
      <c r="A801" s="7"/>
      <c r="B801" s="114" t="s">
        <v>1443</v>
      </c>
      <c r="C801" s="114" t="s">
        <v>1447</v>
      </c>
      <c r="D801" s="171" t="s">
        <v>54</v>
      </c>
      <c r="E801" s="114" t="s">
        <v>1449</v>
      </c>
      <c r="F801" s="116">
        <v>2020.0</v>
      </c>
      <c r="G801" s="114"/>
      <c r="H801" s="116">
        <v>0.0</v>
      </c>
      <c r="I801" s="116">
        <v>18.5</v>
      </c>
      <c r="J801" s="114"/>
      <c r="K801" s="114"/>
      <c r="L801" s="114"/>
      <c r="M801" s="114"/>
      <c r="N801" s="114"/>
      <c r="O801" s="116"/>
      <c r="P801" s="114"/>
      <c r="Q801" s="73">
        <v>1750200.0</v>
      </c>
      <c r="R801" s="114" t="s">
        <v>1445</v>
      </c>
      <c r="S801" s="115">
        <v>2020.0</v>
      </c>
      <c r="T801" s="115">
        <v>0.00121</v>
      </c>
      <c r="U801" s="118">
        <f t="shared" si="161"/>
        <v>2117.742</v>
      </c>
      <c r="V801" s="24">
        <f t="shared" si="162"/>
        <v>114.4725405</v>
      </c>
      <c r="W801" s="3">
        <f t="shared" si="155"/>
        <v>1</v>
      </c>
      <c r="X801" s="3">
        <f t="shared" si="156"/>
        <v>18.5</v>
      </c>
      <c r="Y801" s="3">
        <f t="shared" si="157"/>
        <v>0</v>
      </c>
      <c r="Z801" s="25">
        <f t="shared" si="158"/>
        <v>0</v>
      </c>
      <c r="AA801" s="26">
        <f>VLOOKUP(S801,CPI!$A$2:$F$71,6,0)</f>
        <v>1.244593545</v>
      </c>
      <c r="AB801" s="27">
        <f t="shared" si="163"/>
        <v>2635.728023</v>
      </c>
      <c r="AC801" s="27">
        <f t="shared" si="164"/>
        <v>142.471785</v>
      </c>
      <c r="AD801" s="115" t="s">
        <v>42</v>
      </c>
      <c r="AE801" s="119" t="s">
        <v>1450</v>
      </c>
      <c r="AF801" s="320"/>
      <c r="AG801" s="320"/>
      <c r="AH801" s="320"/>
      <c r="AI801" s="7"/>
      <c r="AM801" s="206"/>
      <c r="AN801" s="206"/>
      <c r="AO801" s="206"/>
      <c r="AP801" s="206"/>
      <c r="AQ801" s="206"/>
    </row>
    <row r="802" ht="15.75" customHeight="1">
      <c r="A802" s="163"/>
      <c r="B802" s="114" t="s">
        <v>1443</v>
      </c>
      <c r="C802" s="114" t="s">
        <v>1451</v>
      </c>
      <c r="D802" s="115" t="s">
        <v>54</v>
      </c>
      <c r="E802" s="114"/>
      <c r="F802" s="114"/>
      <c r="G802" s="116">
        <v>1980.0</v>
      </c>
      <c r="H802" s="116">
        <v>0.0</v>
      </c>
      <c r="I802" s="116">
        <v>50.2</v>
      </c>
      <c r="J802" s="114"/>
      <c r="K802" s="114"/>
      <c r="L802" s="114"/>
      <c r="M802" s="114"/>
      <c r="N802" s="114"/>
      <c r="O802" s="116">
        <v>200.0</v>
      </c>
      <c r="P802" s="114"/>
      <c r="Q802" s="73">
        <v>8771000.0</v>
      </c>
      <c r="R802" s="114" t="s">
        <v>1445</v>
      </c>
      <c r="S802" s="115">
        <v>1980.0</v>
      </c>
      <c r="T802" s="114"/>
      <c r="U802" s="118"/>
      <c r="V802" s="24"/>
      <c r="W802" s="3">
        <f t="shared" si="155"/>
        <v>1</v>
      </c>
      <c r="X802" s="3">
        <f t="shared" si="156"/>
        <v>50.2</v>
      </c>
      <c r="Y802" s="3">
        <f t="shared" si="157"/>
        <v>0</v>
      </c>
      <c r="Z802" s="25">
        <f t="shared" si="158"/>
        <v>0</v>
      </c>
      <c r="AA802" s="26">
        <f>VLOOKUP(S802,CPI!$A$2:$F$71,6,0)</f>
        <v>3.909156553</v>
      </c>
      <c r="AB802" s="27"/>
      <c r="AC802" s="27"/>
      <c r="AD802" s="114"/>
      <c r="AE802" s="119" t="s">
        <v>1452</v>
      </c>
      <c r="AG802" s="114"/>
      <c r="AH802" s="114"/>
      <c r="AI802" s="114"/>
      <c r="AJ802" s="206"/>
      <c r="AK802" s="206"/>
      <c r="AL802" s="206"/>
      <c r="AM802" s="206"/>
      <c r="AN802" s="206"/>
      <c r="AO802" s="206"/>
      <c r="AP802" s="206"/>
      <c r="AQ802" s="206"/>
    </row>
    <row r="803">
      <c r="A803" s="38">
        <v>7248.0</v>
      </c>
      <c r="B803" s="26" t="s">
        <v>1443</v>
      </c>
      <c r="C803" s="26" t="s">
        <v>1451</v>
      </c>
      <c r="D803" s="1" t="s">
        <v>1453</v>
      </c>
      <c r="E803" s="63" t="s">
        <v>1454</v>
      </c>
      <c r="F803" s="25">
        <v>2005.0</v>
      </c>
      <c r="G803" s="25">
        <v>2011.0</v>
      </c>
      <c r="H803" s="25">
        <v>0.0</v>
      </c>
      <c r="I803" s="25">
        <v>17.3</v>
      </c>
      <c r="J803" s="50">
        <v>1.0</v>
      </c>
      <c r="K803" s="25">
        <v>17.3</v>
      </c>
      <c r="L803" s="51">
        <v>0.0</v>
      </c>
      <c r="M803" s="51">
        <v>0.0</v>
      </c>
      <c r="N803" s="25">
        <v>6.0</v>
      </c>
      <c r="O803" s="58">
        <v>200.0</v>
      </c>
      <c r="P803" s="26" t="s">
        <v>74</v>
      </c>
      <c r="Q803" s="52">
        <v>1169000.0</v>
      </c>
      <c r="R803" s="26" t="s">
        <v>1445</v>
      </c>
      <c r="S803" s="25">
        <v>2002.0</v>
      </c>
      <c r="T803" s="25">
        <v>0.0013</v>
      </c>
      <c r="U803" s="25">
        <f t="shared" ref="U803:U818" si="165">Q803*T803</f>
        <v>1519.7</v>
      </c>
      <c r="V803" s="24">
        <f t="shared" ref="V803:V818" si="166">U803/I803</f>
        <v>87.84393064</v>
      </c>
      <c r="W803" s="3">
        <f t="shared" si="155"/>
        <v>1</v>
      </c>
      <c r="X803" s="3">
        <f t="shared" si="156"/>
        <v>17.3</v>
      </c>
      <c r="Y803" s="3">
        <f t="shared" si="157"/>
        <v>17.3</v>
      </c>
      <c r="Z803" s="25">
        <f t="shared" si="158"/>
        <v>0</v>
      </c>
      <c r="AA803" s="26">
        <f>VLOOKUP(S803,CPI!$A$2:$F$71,6,0)</f>
        <v>1.790519733</v>
      </c>
      <c r="AB803" s="27">
        <f t="shared" ref="AB803:AB818" si="167">U803*AA803</f>
        <v>2721.052839</v>
      </c>
      <c r="AC803" s="27">
        <f t="shared" ref="AC803:AC818" si="168">V803*AA803</f>
        <v>157.2862912</v>
      </c>
      <c r="AD803" s="26" t="s">
        <v>36</v>
      </c>
      <c r="AE803" s="53" t="s">
        <v>1455</v>
      </c>
      <c r="AF803" s="130"/>
      <c r="AG803" s="130"/>
      <c r="AH803" s="130"/>
      <c r="AI803" s="130"/>
      <c r="AJ803" s="33"/>
      <c r="AK803" s="33"/>
      <c r="AL803" s="33"/>
      <c r="AM803" s="206"/>
      <c r="AN803" s="206"/>
      <c r="AO803" s="206"/>
      <c r="AP803" s="206"/>
      <c r="AQ803" s="206"/>
    </row>
    <row r="804" ht="15.75" customHeight="1">
      <c r="A804" s="7"/>
      <c r="B804" s="114" t="s">
        <v>1443</v>
      </c>
      <c r="C804" s="114" t="s">
        <v>1451</v>
      </c>
      <c r="D804" s="114" t="s">
        <v>1456</v>
      </c>
      <c r="E804" s="114" t="s">
        <v>1456</v>
      </c>
      <c r="F804" s="116">
        <v>2009.0</v>
      </c>
      <c r="G804" s="116">
        <v>2017.0</v>
      </c>
      <c r="H804" s="116">
        <v>0.0</v>
      </c>
      <c r="I804" s="116">
        <v>11.4</v>
      </c>
      <c r="J804" s="71">
        <v>1.0</v>
      </c>
      <c r="K804" s="116">
        <v>11.4</v>
      </c>
      <c r="L804" s="114"/>
      <c r="M804" s="114"/>
      <c r="N804" s="116">
        <v>13.0</v>
      </c>
      <c r="O804" s="116"/>
      <c r="P804" s="114"/>
      <c r="Q804" s="73">
        <v>911500.0</v>
      </c>
      <c r="R804" s="114" t="s">
        <v>1445</v>
      </c>
      <c r="S804" s="115">
        <v>2013.0</v>
      </c>
      <c r="T804" s="85">
        <v>0.001</v>
      </c>
      <c r="U804" s="118">
        <f t="shared" si="165"/>
        <v>911.5</v>
      </c>
      <c r="V804" s="24">
        <f t="shared" si="166"/>
        <v>79.95614035</v>
      </c>
      <c r="W804" s="3">
        <f t="shared" si="155"/>
        <v>1</v>
      </c>
      <c r="X804" s="3">
        <f t="shared" si="156"/>
        <v>11.4</v>
      </c>
      <c r="Y804" s="3">
        <f t="shared" si="157"/>
        <v>11.4</v>
      </c>
      <c r="Z804" s="25">
        <f t="shared" si="158"/>
        <v>0</v>
      </c>
      <c r="AA804" s="26">
        <f>VLOOKUP(S804,CPI!$A$2:$F$71,6,0)</f>
        <v>1.382720845</v>
      </c>
      <c r="AB804" s="27">
        <f t="shared" si="167"/>
        <v>1260.350051</v>
      </c>
      <c r="AC804" s="27">
        <f t="shared" si="168"/>
        <v>110.557022</v>
      </c>
      <c r="AD804" s="114"/>
      <c r="AE804" s="119" t="s">
        <v>1457</v>
      </c>
      <c r="AG804" s="321"/>
      <c r="AH804" s="321"/>
      <c r="AI804" s="114"/>
      <c r="AJ804" s="206"/>
      <c r="AK804" s="206"/>
      <c r="AL804" s="206"/>
      <c r="AM804" s="206"/>
      <c r="AN804" s="206"/>
      <c r="AO804" s="206"/>
      <c r="AP804" s="206"/>
      <c r="AQ804" s="206"/>
    </row>
    <row r="805" ht="15.75" customHeight="1">
      <c r="A805" s="38">
        <v>7249.0</v>
      </c>
      <c r="B805" s="26" t="s">
        <v>1443</v>
      </c>
      <c r="C805" s="26" t="s">
        <v>1451</v>
      </c>
      <c r="D805" s="1" t="s">
        <v>1453</v>
      </c>
      <c r="E805" s="63" t="s">
        <v>1458</v>
      </c>
      <c r="F805" s="25">
        <v>2011.0</v>
      </c>
      <c r="G805" s="25">
        <v>2018.0</v>
      </c>
      <c r="H805" s="25">
        <v>0.0</v>
      </c>
      <c r="I805" s="25">
        <v>12.8</v>
      </c>
      <c r="J805" s="50">
        <v>1.0</v>
      </c>
      <c r="K805" s="25">
        <v>12.8</v>
      </c>
      <c r="L805" s="51">
        <v>0.0</v>
      </c>
      <c r="M805" s="51">
        <v>0.0</v>
      </c>
      <c r="N805" s="25">
        <v>7.0</v>
      </c>
      <c r="O805" s="58">
        <v>200.0</v>
      </c>
      <c r="P805" s="26" t="s">
        <v>42</v>
      </c>
      <c r="Q805" s="52">
        <v>1025500.0</v>
      </c>
      <c r="R805" s="26" t="s">
        <v>1445</v>
      </c>
      <c r="S805" s="25">
        <v>2006.0</v>
      </c>
      <c r="T805" s="25">
        <v>0.0013</v>
      </c>
      <c r="U805" s="25">
        <f t="shared" si="165"/>
        <v>1333.15</v>
      </c>
      <c r="V805" s="24">
        <f t="shared" si="166"/>
        <v>104.1523438</v>
      </c>
      <c r="W805" s="3">
        <f t="shared" si="155"/>
        <v>1</v>
      </c>
      <c r="X805" s="3">
        <f t="shared" si="156"/>
        <v>12.8</v>
      </c>
      <c r="Y805" s="3">
        <f t="shared" si="157"/>
        <v>12.8</v>
      </c>
      <c r="Z805" s="25">
        <f t="shared" si="158"/>
        <v>0</v>
      </c>
      <c r="AA805" s="26">
        <f>VLOOKUP(S805,CPI!$A$2:$F$71,6,0)</f>
        <v>1.597790179</v>
      </c>
      <c r="AB805" s="27">
        <f t="shared" si="167"/>
        <v>2130.093977</v>
      </c>
      <c r="AC805" s="27">
        <f t="shared" si="168"/>
        <v>166.4135919</v>
      </c>
      <c r="AD805" s="26" t="s">
        <v>60</v>
      </c>
      <c r="AE805" s="57" t="s">
        <v>1459</v>
      </c>
      <c r="AF805" s="130"/>
      <c r="AG805" s="130"/>
      <c r="AH805" s="130"/>
      <c r="AI805" s="130"/>
      <c r="AJ805" s="33"/>
      <c r="AK805" s="33"/>
      <c r="AL805" s="33"/>
      <c r="AM805" s="206"/>
      <c r="AN805" s="206"/>
      <c r="AO805" s="206"/>
      <c r="AP805" s="206"/>
      <c r="AQ805" s="206"/>
    </row>
    <row r="806" ht="15.75" customHeight="1">
      <c r="A806" s="38">
        <v>7322.0</v>
      </c>
      <c r="B806" s="26" t="s">
        <v>1443</v>
      </c>
      <c r="C806" s="26" t="s">
        <v>1451</v>
      </c>
      <c r="D806" s="26" t="s">
        <v>1460</v>
      </c>
      <c r="E806" s="26" t="s">
        <v>1460</v>
      </c>
      <c r="F806" s="25">
        <v>2014.0</v>
      </c>
      <c r="G806" s="25">
        <v>2019.0</v>
      </c>
      <c r="H806" s="25">
        <v>0.0</v>
      </c>
      <c r="I806" s="25">
        <v>23.7</v>
      </c>
      <c r="J806" s="50">
        <v>1.0</v>
      </c>
      <c r="K806" s="25">
        <v>23.7</v>
      </c>
      <c r="L806" s="51">
        <v>0.0</v>
      </c>
      <c r="M806" s="51">
        <v>0.0</v>
      </c>
      <c r="N806" s="25">
        <v>10.0</v>
      </c>
      <c r="O806" s="25"/>
      <c r="P806" s="26" t="s">
        <v>36</v>
      </c>
      <c r="Q806" s="52">
        <v>1655300.0</v>
      </c>
      <c r="R806" s="26" t="s">
        <v>1445</v>
      </c>
      <c r="S806" s="25">
        <v>2016.0</v>
      </c>
      <c r="T806" s="25">
        <v>0.00116</v>
      </c>
      <c r="U806" s="25">
        <f t="shared" si="165"/>
        <v>1920.148</v>
      </c>
      <c r="V806" s="24">
        <f t="shared" si="166"/>
        <v>81.01890295</v>
      </c>
      <c r="W806" s="3">
        <f t="shared" si="155"/>
        <v>1</v>
      </c>
      <c r="X806" s="3">
        <f t="shared" si="156"/>
        <v>23.7</v>
      </c>
      <c r="Y806" s="3">
        <f t="shared" si="157"/>
        <v>23.7</v>
      </c>
      <c r="Z806" s="25">
        <f t="shared" si="158"/>
        <v>0</v>
      </c>
      <c r="AA806" s="26">
        <f>VLOOKUP(S806,CPI!$A$2:$F$71,6,0)</f>
        <v>1.342104605</v>
      </c>
      <c r="AB806" s="27">
        <f t="shared" si="167"/>
        <v>2577.039474</v>
      </c>
      <c r="AC806" s="27">
        <f t="shared" si="168"/>
        <v>108.7358428</v>
      </c>
      <c r="AD806" s="26" t="s">
        <v>42</v>
      </c>
      <c r="AE806" s="57" t="s">
        <v>1461</v>
      </c>
      <c r="AF806" s="301"/>
      <c r="AG806" s="301"/>
      <c r="AH806" s="301"/>
      <c r="AI806" s="130"/>
      <c r="AJ806" s="33"/>
      <c r="AK806" s="33"/>
      <c r="AL806" s="33"/>
      <c r="AM806" s="206"/>
      <c r="AN806" s="206"/>
      <c r="AO806" s="206"/>
      <c r="AP806" s="206"/>
      <c r="AQ806" s="206"/>
    </row>
    <row r="807" ht="15.75" customHeight="1">
      <c r="A807" s="7"/>
      <c r="B807" s="114" t="s">
        <v>1443</v>
      </c>
      <c r="C807" s="114" t="s">
        <v>1451</v>
      </c>
      <c r="D807" s="114" t="s">
        <v>1462</v>
      </c>
      <c r="E807" s="114" t="s">
        <v>1462</v>
      </c>
      <c r="F807" s="116">
        <v>2014.0</v>
      </c>
      <c r="G807" s="116">
        <v>2020.0</v>
      </c>
      <c r="H807" s="116">
        <v>0.0</v>
      </c>
      <c r="I807" s="116">
        <v>7.7</v>
      </c>
      <c r="J807" s="71">
        <v>1.0</v>
      </c>
      <c r="K807" s="116">
        <v>7.7</v>
      </c>
      <c r="L807" s="114"/>
      <c r="M807" s="114"/>
      <c r="N807" s="116">
        <v>5.0</v>
      </c>
      <c r="O807" s="116">
        <v>160.0</v>
      </c>
      <c r="P807" s="114"/>
      <c r="Q807" s="73">
        <v>981000.0</v>
      </c>
      <c r="R807" s="114" t="s">
        <v>1445</v>
      </c>
      <c r="S807" s="115">
        <v>2017.0</v>
      </c>
      <c r="T807" s="85">
        <v>0.001</v>
      </c>
      <c r="U807" s="118">
        <f t="shared" si="165"/>
        <v>981</v>
      </c>
      <c r="V807" s="24">
        <f t="shared" si="166"/>
        <v>127.4025974</v>
      </c>
      <c r="W807" s="3">
        <f t="shared" si="155"/>
        <v>1</v>
      </c>
      <c r="X807" s="3">
        <f t="shared" si="156"/>
        <v>7.7</v>
      </c>
      <c r="Y807" s="3">
        <f t="shared" si="157"/>
        <v>7.7</v>
      </c>
      <c r="Z807" s="25">
        <f t="shared" si="158"/>
        <v>0</v>
      </c>
      <c r="AA807" s="26">
        <f>VLOOKUP(S807,CPI!$A$2:$F$71,6,0)</f>
        <v>1.314109416</v>
      </c>
      <c r="AB807" s="27">
        <f t="shared" si="167"/>
        <v>1289.141337</v>
      </c>
      <c r="AC807" s="27">
        <f t="shared" si="168"/>
        <v>167.4209528</v>
      </c>
      <c r="AD807" s="114"/>
      <c r="AE807" s="119" t="s">
        <v>1463</v>
      </c>
      <c r="AG807" s="321"/>
      <c r="AH807" s="321"/>
      <c r="AI807" s="114"/>
      <c r="AJ807" s="206"/>
      <c r="AK807" s="206"/>
      <c r="AL807" s="206"/>
      <c r="AM807" s="206"/>
      <c r="AN807" s="206"/>
      <c r="AO807" s="206"/>
      <c r="AP807" s="206"/>
      <c r="AQ807" s="206"/>
    </row>
    <row r="808" ht="15.75" customHeight="1">
      <c r="A808" s="38">
        <v>7323.0</v>
      </c>
      <c r="B808" s="26" t="s">
        <v>1443</v>
      </c>
      <c r="C808" s="26" t="s">
        <v>1451</v>
      </c>
      <c r="D808" s="1" t="s">
        <v>228</v>
      </c>
      <c r="E808" s="26" t="s">
        <v>1464</v>
      </c>
      <c r="F808" s="25">
        <v>2014.0</v>
      </c>
      <c r="G808" s="25">
        <v>2021.0</v>
      </c>
      <c r="H808" s="25">
        <v>0.0</v>
      </c>
      <c r="I808" s="25">
        <v>3.9</v>
      </c>
      <c r="J808" s="50">
        <v>1.0</v>
      </c>
      <c r="K808" s="25">
        <v>3.9</v>
      </c>
      <c r="L808" s="51">
        <v>0.0</v>
      </c>
      <c r="M808" s="51">
        <v>0.0</v>
      </c>
      <c r="N808" s="25">
        <v>2.0</v>
      </c>
      <c r="O808" s="25"/>
      <c r="P808" s="26" t="s">
        <v>74</v>
      </c>
      <c r="Q808" s="52">
        <v>432100.0</v>
      </c>
      <c r="R808" s="26" t="s">
        <v>1445</v>
      </c>
      <c r="S808" s="25">
        <v>2017.0</v>
      </c>
      <c r="T808" s="25">
        <v>0.0011</v>
      </c>
      <c r="U808" s="25">
        <f t="shared" si="165"/>
        <v>475.31</v>
      </c>
      <c r="V808" s="24">
        <f t="shared" si="166"/>
        <v>121.874359</v>
      </c>
      <c r="W808" s="3">
        <f t="shared" si="155"/>
        <v>1</v>
      </c>
      <c r="X808" s="3">
        <f t="shared" si="156"/>
        <v>3.9</v>
      </c>
      <c r="Y808" s="3">
        <f t="shared" si="157"/>
        <v>3.9</v>
      </c>
      <c r="Z808" s="25">
        <f t="shared" si="158"/>
        <v>0</v>
      </c>
      <c r="AA808" s="26">
        <f>VLOOKUP(S808,CPI!$A$2:$F$71,6,0)</f>
        <v>1.314109416</v>
      </c>
      <c r="AB808" s="27">
        <f t="shared" si="167"/>
        <v>624.6093464</v>
      </c>
      <c r="AC808" s="27">
        <f t="shared" si="168"/>
        <v>160.1562427</v>
      </c>
      <c r="AD808" s="26" t="s">
        <v>42</v>
      </c>
      <c r="AE808" s="53" t="s">
        <v>1465</v>
      </c>
      <c r="AF808" s="130"/>
      <c r="AG808" s="130"/>
      <c r="AH808" s="130"/>
      <c r="AI808" s="130"/>
      <c r="AJ808" s="33"/>
      <c r="AK808" s="33"/>
      <c r="AL808" s="33"/>
      <c r="AM808" s="114"/>
      <c r="AN808" s="114"/>
      <c r="AO808" s="114"/>
      <c r="AP808" s="114"/>
      <c r="AQ808" s="114"/>
    </row>
    <row r="809" ht="15.75" customHeight="1">
      <c r="A809" s="7"/>
      <c r="B809" s="114" t="s">
        <v>1443</v>
      </c>
      <c r="C809" s="114" t="s">
        <v>1451</v>
      </c>
      <c r="D809" s="114" t="s">
        <v>1466</v>
      </c>
      <c r="E809" s="114" t="s">
        <v>1466</v>
      </c>
      <c r="F809" s="116">
        <v>2014.0</v>
      </c>
      <c r="G809" s="116">
        <v>2022.0</v>
      </c>
      <c r="H809" s="116">
        <v>0.0</v>
      </c>
      <c r="I809" s="116">
        <v>14.9</v>
      </c>
      <c r="J809" s="71">
        <v>1.0</v>
      </c>
      <c r="K809" s="116">
        <v>14.9</v>
      </c>
      <c r="L809" s="114"/>
      <c r="M809" s="114"/>
      <c r="N809" s="116">
        <v>4.0</v>
      </c>
      <c r="O809" s="116">
        <v>200.0</v>
      </c>
      <c r="P809" s="114"/>
      <c r="Q809" s="73">
        <v>1400000.0</v>
      </c>
      <c r="R809" s="114" t="s">
        <v>1445</v>
      </c>
      <c r="S809" s="115">
        <v>2018.0</v>
      </c>
      <c r="T809" s="85">
        <v>0.001</v>
      </c>
      <c r="U809" s="118">
        <f t="shared" si="165"/>
        <v>1400</v>
      </c>
      <c r="V809" s="24">
        <f t="shared" si="166"/>
        <v>93.95973154</v>
      </c>
      <c r="W809" s="3">
        <f t="shared" si="155"/>
        <v>1</v>
      </c>
      <c r="X809" s="3">
        <f t="shared" si="156"/>
        <v>14.9</v>
      </c>
      <c r="Y809" s="3">
        <f t="shared" si="157"/>
        <v>14.9</v>
      </c>
      <c r="Z809" s="25">
        <f t="shared" si="158"/>
        <v>0</v>
      </c>
      <c r="AA809" s="26">
        <f>VLOOKUP(S809,CPI!$A$2:$F$71,6,0)</f>
        <v>1.28277786</v>
      </c>
      <c r="AB809" s="27">
        <f t="shared" si="167"/>
        <v>1795.889003</v>
      </c>
      <c r="AC809" s="27">
        <f t="shared" si="168"/>
        <v>120.5294633</v>
      </c>
      <c r="AD809" s="114"/>
      <c r="AE809" s="119" t="s">
        <v>1467</v>
      </c>
      <c r="AG809" s="114"/>
      <c r="AH809" s="114"/>
      <c r="AI809" s="114"/>
      <c r="AJ809" s="206"/>
      <c r="AK809" s="206"/>
      <c r="AL809" s="206"/>
      <c r="AM809" s="114"/>
      <c r="AN809" s="114"/>
      <c r="AO809" s="114"/>
      <c r="AP809" s="114"/>
      <c r="AQ809" s="114"/>
    </row>
    <row r="810" ht="15.75" customHeight="1">
      <c r="A810" s="7"/>
      <c r="B810" s="114" t="s">
        <v>1443</v>
      </c>
      <c r="C810" s="114" t="s">
        <v>1451</v>
      </c>
      <c r="D810" s="114" t="s">
        <v>1468</v>
      </c>
      <c r="E810" s="114" t="s">
        <v>1468</v>
      </c>
      <c r="F810" s="116">
        <v>2017.0</v>
      </c>
      <c r="G810" s="116">
        <v>2022.0</v>
      </c>
      <c r="H810" s="116">
        <v>0.0</v>
      </c>
      <c r="I810" s="116">
        <v>7.8</v>
      </c>
      <c r="J810" s="71">
        <v>1.0</v>
      </c>
      <c r="K810" s="116">
        <v>7.8</v>
      </c>
      <c r="L810" s="114"/>
      <c r="M810" s="114"/>
      <c r="N810" s="116">
        <v>11.0</v>
      </c>
      <c r="O810" s="116"/>
      <c r="P810" s="114"/>
      <c r="Q810" s="73">
        <v>826400.0</v>
      </c>
      <c r="R810" s="114" t="s">
        <v>1445</v>
      </c>
      <c r="S810" s="115">
        <v>2020.0</v>
      </c>
      <c r="T810" s="85">
        <v>0.001</v>
      </c>
      <c r="U810" s="118">
        <f t="shared" si="165"/>
        <v>826.4</v>
      </c>
      <c r="V810" s="24">
        <f t="shared" si="166"/>
        <v>105.9487179</v>
      </c>
      <c r="W810" s="3">
        <f t="shared" si="155"/>
        <v>1</v>
      </c>
      <c r="X810" s="3">
        <f t="shared" si="156"/>
        <v>7.8</v>
      </c>
      <c r="Y810" s="3">
        <f t="shared" si="157"/>
        <v>7.8</v>
      </c>
      <c r="Z810" s="25">
        <f t="shared" si="158"/>
        <v>0</v>
      </c>
      <c r="AA810" s="26">
        <f>VLOOKUP(S810,CPI!$A$2:$F$71,6,0)</f>
        <v>1.244593545</v>
      </c>
      <c r="AB810" s="27">
        <f t="shared" si="167"/>
        <v>1028.532106</v>
      </c>
      <c r="AC810" s="27">
        <f t="shared" si="168"/>
        <v>131.8630905</v>
      </c>
      <c r="AD810" s="114"/>
      <c r="AE810" s="119" t="s">
        <v>1469</v>
      </c>
      <c r="AG810" s="114"/>
      <c r="AH810" s="114"/>
      <c r="AI810" s="114"/>
      <c r="AJ810" s="206"/>
      <c r="AK810" s="206"/>
      <c r="AL810" s="206"/>
      <c r="AM810" s="206"/>
      <c r="AN810" s="206"/>
      <c r="AO810" s="206"/>
      <c r="AP810" s="206"/>
      <c r="AQ810" s="206"/>
    </row>
    <row r="811" ht="15.75" customHeight="1">
      <c r="A811" s="7"/>
      <c r="B811" s="114" t="s">
        <v>1443</v>
      </c>
      <c r="C811" s="114" t="s">
        <v>1451</v>
      </c>
      <c r="D811" s="114" t="s">
        <v>1470</v>
      </c>
      <c r="E811" s="114" t="s">
        <v>1470</v>
      </c>
      <c r="F811" s="115">
        <v>2018.0</v>
      </c>
      <c r="G811" s="115">
        <v>2025.0</v>
      </c>
      <c r="H811" s="116">
        <v>1.0</v>
      </c>
      <c r="I811" s="115">
        <v>83.1</v>
      </c>
      <c r="J811" s="114"/>
      <c r="K811" s="114"/>
      <c r="L811" s="114"/>
      <c r="M811" s="114"/>
      <c r="N811" s="114"/>
      <c r="O811" s="116"/>
      <c r="P811" s="114"/>
      <c r="Q811" s="73">
        <v>1940000.0</v>
      </c>
      <c r="R811" s="114" t="s">
        <v>1445</v>
      </c>
      <c r="S811" s="115">
        <v>2021.0</v>
      </c>
      <c r="T811" s="85">
        <v>0.0012</v>
      </c>
      <c r="U811" s="118">
        <f t="shared" si="165"/>
        <v>2328</v>
      </c>
      <c r="V811" s="24">
        <f t="shared" si="166"/>
        <v>28.01444043</v>
      </c>
      <c r="W811" s="3">
        <f t="shared" si="155"/>
        <v>1</v>
      </c>
      <c r="X811" s="3">
        <f t="shared" si="156"/>
        <v>83.1</v>
      </c>
      <c r="Y811" s="3">
        <f t="shared" si="157"/>
        <v>0</v>
      </c>
      <c r="Z811" s="25">
        <f t="shared" si="158"/>
        <v>0</v>
      </c>
      <c r="AA811" s="26">
        <f>VLOOKUP(S811,CPI!$A$2:$F$71,6,0)</f>
        <v>1.188745987</v>
      </c>
      <c r="AB811" s="27">
        <f t="shared" si="167"/>
        <v>2767.400657</v>
      </c>
      <c r="AC811" s="27">
        <f t="shared" si="168"/>
        <v>33.30205363</v>
      </c>
      <c r="AD811" s="114"/>
      <c r="AE811" s="119" t="s">
        <v>1471</v>
      </c>
      <c r="AG811" s="114"/>
      <c r="AH811" s="114"/>
      <c r="AI811" s="114"/>
      <c r="AJ811" s="206"/>
      <c r="AK811" s="206"/>
      <c r="AL811" s="206"/>
      <c r="AM811" s="206"/>
      <c r="AN811" s="206"/>
      <c r="AO811" s="206"/>
      <c r="AP811" s="206"/>
      <c r="AQ811" s="206"/>
    </row>
    <row r="812" ht="15.75" customHeight="1">
      <c r="A812" s="7"/>
      <c r="B812" s="114" t="s">
        <v>1443</v>
      </c>
      <c r="C812" s="114" t="s">
        <v>1451</v>
      </c>
      <c r="D812" s="114" t="s">
        <v>1472</v>
      </c>
      <c r="E812" s="114" t="s">
        <v>1472</v>
      </c>
      <c r="F812" s="116">
        <v>2019.0</v>
      </c>
      <c r="G812" s="116">
        <v>2025.0</v>
      </c>
      <c r="H812" s="116">
        <v>0.0</v>
      </c>
      <c r="I812" s="116">
        <v>44.7</v>
      </c>
      <c r="J812" s="71">
        <v>1.0</v>
      </c>
      <c r="K812" s="116">
        <v>44.7</v>
      </c>
      <c r="L812" s="114"/>
      <c r="M812" s="114"/>
      <c r="N812" s="116">
        <v>15.0</v>
      </c>
      <c r="O812" s="116"/>
      <c r="P812" s="114"/>
      <c r="Q812" s="73">
        <v>3300000.0</v>
      </c>
      <c r="R812" s="114" t="s">
        <v>1445</v>
      </c>
      <c r="S812" s="115">
        <v>2021.0</v>
      </c>
      <c r="T812" s="85">
        <v>0.0012</v>
      </c>
      <c r="U812" s="118">
        <f t="shared" si="165"/>
        <v>3960</v>
      </c>
      <c r="V812" s="24">
        <f t="shared" si="166"/>
        <v>88.59060403</v>
      </c>
      <c r="W812" s="3">
        <f t="shared" si="155"/>
        <v>1</v>
      </c>
      <c r="X812" s="3">
        <f t="shared" si="156"/>
        <v>44.7</v>
      </c>
      <c r="Y812" s="3">
        <f t="shared" si="157"/>
        <v>44.7</v>
      </c>
      <c r="Z812" s="25">
        <f t="shared" si="158"/>
        <v>0</v>
      </c>
      <c r="AA812" s="26">
        <f>VLOOKUP(S812,CPI!$A$2:$F$71,6,0)</f>
        <v>1.188745987</v>
      </c>
      <c r="AB812" s="27">
        <f t="shared" si="167"/>
        <v>4707.434107</v>
      </c>
      <c r="AC812" s="27">
        <f t="shared" si="168"/>
        <v>105.311725</v>
      </c>
      <c r="AD812" s="114"/>
      <c r="AE812" s="322" t="s">
        <v>1473</v>
      </c>
      <c r="AF812" s="323"/>
      <c r="AG812" s="114"/>
      <c r="AH812" s="114"/>
      <c r="AI812" s="114"/>
      <c r="AJ812" s="206"/>
      <c r="AK812" s="206"/>
      <c r="AL812" s="206"/>
      <c r="AM812" s="206"/>
      <c r="AN812" s="206"/>
      <c r="AO812" s="206"/>
      <c r="AP812" s="206"/>
      <c r="AQ812" s="206"/>
    </row>
    <row r="813" ht="15.75" customHeight="1">
      <c r="A813" s="38">
        <v>7328.0</v>
      </c>
      <c r="B813" s="26" t="s">
        <v>1443</v>
      </c>
      <c r="C813" s="26" t="s">
        <v>1451</v>
      </c>
      <c r="D813" s="26" t="s">
        <v>1474</v>
      </c>
      <c r="E813" s="26" t="s">
        <v>1474</v>
      </c>
      <c r="F813" s="25">
        <v>2020.0</v>
      </c>
      <c r="G813" s="25">
        <v>2028.0</v>
      </c>
      <c r="H813" s="25">
        <v>0.0</v>
      </c>
      <c r="I813" s="25">
        <v>71.0</v>
      </c>
      <c r="J813" s="50">
        <v>1.0</v>
      </c>
      <c r="K813" s="25">
        <v>71.0</v>
      </c>
      <c r="L813" s="51">
        <v>0.0</v>
      </c>
      <c r="M813" s="51">
        <v>0.0</v>
      </c>
      <c r="N813" s="25">
        <v>53.0</v>
      </c>
      <c r="O813" s="25"/>
      <c r="P813" s="26" t="s">
        <v>42</v>
      </c>
      <c r="Q813" s="52">
        <v>7230200.0</v>
      </c>
      <c r="R813" s="26" t="s">
        <v>1445</v>
      </c>
      <c r="S813" s="25">
        <v>2024.0</v>
      </c>
      <c r="T813" s="25">
        <v>0.0011</v>
      </c>
      <c r="U813" s="25">
        <f t="shared" si="165"/>
        <v>7953.22</v>
      </c>
      <c r="V813" s="24">
        <f t="shared" si="166"/>
        <v>112.0171831</v>
      </c>
      <c r="W813" s="3">
        <f t="shared" si="155"/>
        <v>1</v>
      </c>
      <c r="X813" s="3">
        <f t="shared" si="156"/>
        <v>71</v>
      </c>
      <c r="Y813" s="3">
        <f t="shared" si="157"/>
        <v>71</v>
      </c>
      <c r="Z813" s="25">
        <f t="shared" si="158"/>
        <v>0</v>
      </c>
      <c r="AA813" s="26">
        <f>VLOOKUP(S813,CPI!$A$2:$F$71,6,0)</f>
        <v>1</v>
      </c>
      <c r="AB813" s="27">
        <f t="shared" si="167"/>
        <v>7953.22</v>
      </c>
      <c r="AC813" s="27">
        <f t="shared" si="168"/>
        <v>112.0171831</v>
      </c>
      <c r="AD813" s="26" t="s">
        <v>42</v>
      </c>
      <c r="AE813" s="57" t="s">
        <v>1475</v>
      </c>
      <c r="AF813" s="130"/>
      <c r="AG813" s="130"/>
      <c r="AH813" s="130"/>
      <c r="AI813" s="130"/>
      <c r="AJ813" s="33"/>
      <c r="AK813" s="33"/>
      <c r="AL813" s="33"/>
      <c r="AM813" s="206"/>
      <c r="AN813" s="206"/>
      <c r="AO813" s="206"/>
      <c r="AP813" s="206"/>
      <c r="AQ813" s="206"/>
    </row>
    <row r="814" ht="15.75" customHeight="1">
      <c r="A814" s="7"/>
      <c r="B814" s="114" t="s">
        <v>1443</v>
      </c>
      <c r="C814" s="114" t="s">
        <v>1451</v>
      </c>
      <c r="D814" s="171" t="s">
        <v>253</v>
      </c>
      <c r="E814" s="114" t="s">
        <v>1476</v>
      </c>
      <c r="F814" s="116">
        <v>2021.0</v>
      </c>
      <c r="G814" s="116">
        <v>2028.0</v>
      </c>
      <c r="H814" s="116">
        <v>0.0</v>
      </c>
      <c r="I814" s="116">
        <v>4.1</v>
      </c>
      <c r="J814" s="71">
        <v>1.0</v>
      </c>
      <c r="K814" s="116">
        <v>4.1</v>
      </c>
      <c r="L814" s="114"/>
      <c r="M814" s="114"/>
      <c r="N814" s="116">
        <v>4.0</v>
      </c>
      <c r="O814" s="116">
        <v>160.0</v>
      </c>
      <c r="P814" s="114"/>
      <c r="Q814" s="73">
        <v>640800.0</v>
      </c>
      <c r="R814" s="114" t="s">
        <v>1445</v>
      </c>
      <c r="S814" s="115">
        <v>2021.0</v>
      </c>
      <c r="T814" s="85">
        <v>0.0012</v>
      </c>
      <c r="U814" s="118">
        <f t="shared" si="165"/>
        <v>768.96</v>
      </c>
      <c r="V814" s="24">
        <f t="shared" si="166"/>
        <v>187.5512195</v>
      </c>
      <c r="W814" s="3">
        <f t="shared" si="155"/>
        <v>1</v>
      </c>
      <c r="X814" s="3">
        <f t="shared" si="156"/>
        <v>4.1</v>
      </c>
      <c r="Y814" s="3">
        <f t="shared" si="157"/>
        <v>4.1</v>
      </c>
      <c r="Z814" s="25">
        <f t="shared" si="158"/>
        <v>0</v>
      </c>
      <c r="AA814" s="26">
        <f>VLOOKUP(S814,CPI!$A$2:$F$71,6,0)</f>
        <v>1.188745987</v>
      </c>
      <c r="AB814" s="27">
        <f t="shared" si="167"/>
        <v>914.0981139</v>
      </c>
      <c r="AC814" s="27">
        <f t="shared" si="168"/>
        <v>222.9507595</v>
      </c>
      <c r="AD814" s="114"/>
      <c r="AE814" s="119" t="s">
        <v>1477</v>
      </c>
      <c r="AG814" s="114"/>
      <c r="AH814" s="114"/>
      <c r="AI814" s="114"/>
      <c r="AJ814" s="206"/>
      <c r="AK814" s="206"/>
      <c r="AL814" s="206"/>
      <c r="AM814" s="206"/>
      <c r="AN814" s="206"/>
      <c r="AO814" s="206"/>
      <c r="AP814" s="206"/>
      <c r="AQ814" s="206"/>
    </row>
    <row r="815" ht="16.5" customHeight="1">
      <c r="A815" s="7"/>
      <c r="B815" s="114" t="s">
        <v>1443</v>
      </c>
      <c r="C815" s="114" t="s">
        <v>1451</v>
      </c>
      <c r="D815" s="171" t="s">
        <v>228</v>
      </c>
      <c r="E815" s="114" t="s">
        <v>1478</v>
      </c>
      <c r="F815" s="116">
        <v>2022.0</v>
      </c>
      <c r="G815" s="114"/>
      <c r="H815" s="116">
        <v>0.0</v>
      </c>
      <c r="I815" s="116">
        <v>10.7</v>
      </c>
      <c r="J815" s="114"/>
      <c r="K815" s="114"/>
      <c r="L815" s="114"/>
      <c r="M815" s="114"/>
      <c r="N815" s="116">
        <v>7.0</v>
      </c>
      <c r="O815" s="116">
        <v>160.0</v>
      </c>
      <c r="P815" s="114"/>
      <c r="Q815" s="73">
        <v>1573900.0</v>
      </c>
      <c r="R815" s="114" t="s">
        <v>1445</v>
      </c>
      <c r="S815" s="115">
        <v>2021.0</v>
      </c>
      <c r="T815" s="85">
        <v>0.0012</v>
      </c>
      <c r="U815" s="118">
        <f t="shared" si="165"/>
        <v>1888.68</v>
      </c>
      <c r="V815" s="24">
        <f t="shared" si="166"/>
        <v>176.5121495</v>
      </c>
      <c r="W815" s="3">
        <f t="shared" si="155"/>
        <v>1</v>
      </c>
      <c r="X815" s="3">
        <f t="shared" si="156"/>
        <v>10.7</v>
      </c>
      <c r="Y815" s="3">
        <f t="shared" si="157"/>
        <v>0</v>
      </c>
      <c r="Z815" s="25">
        <f t="shared" si="158"/>
        <v>0</v>
      </c>
      <c r="AA815" s="26">
        <f>VLOOKUP(S815,CPI!$A$2:$F$71,6,0)</f>
        <v>1.188745987</v>
      </c>
      <c r="AB815" s="27">
        <f t="shared" si="167"/>
        <v>2245.16077</v>
      </c>
      <c r="AC815" s="27">
        <f t="shared" si="168"/>
        <v>209.8281094</v>
      </c>
      <c r="AD815" s="114"/>
      <c r="AE815" s="119" t="s">
        <v>1479</v>
      </c>
      <c r="AG815" s="114"/>
      <c r="AH815" s="114"/>
      <c r="AI815" s="114"/>
      <c r="AJ815" s="206"/>
      <c r="AK815" s="206"/>
      <c r="AL815" s="206"/>
      <c r="AM815" s="206"/>
      <c r="AN815" s="206"/>
      <c r="AO815" s="206"/>
      <c r="AP815" s="206"/>
      <c r="AQ815" s="206"/>
    </row>
    <row r="816">
      <c r="A816" s="7"/>
      <c r="B816" s="114" t="s">
        <v>1443</v>
      </c>
      <c r="C816" s="114" t="s">
        <v>1451</v>
      </c>
      <c r="D816" s="171" t="s">
        <v>1453</v>
      </c>
      <c r="E816" s="115" t="s">
        <v>1480</v>
      </c>
      <c r="F816" s="116">
        <v>2022.0</v>
      </c>
      <c r="G816" s="114"/>
      <c r="H816" s="116">
        <v>0.0</v>
      </c>
      <c r="I816" s="116">
        <v>4.19</v>
      </c>
      <c r="J816" s="71">
        <v>1.0</v>
      </c>
      <c r="K816" s="116">
        <v>4.19</v>
      </c>
      <c r="L816" s="114"/>
      <c r="M816" s="114"/>
      <c r="N816" s="116">
        <v>1.0</v>
      </c>
      <c r="O816" s="116">
        <v>200.0</v>
      </c>
      <c r="P816" s="114"/>
      <c r="Q816" s="73">
        <v>427100.0</v>
      </c>
      <c r="R816" s="114" t="s">
        <v>1445</v>
      </c>
      <c r="S816" s="115">
        <v>2021.0</v>
      </c>
      <c r="T816" s="85">
        <v>0.0012</v>
      </c>
      <c r="U816" s="118">
        <f t="shared" si="165"/>
        <v>512.52</v>
      </c>
      <c r="V816" s="24">
        <f t="shared" si="166"/>
        <v>122.3198091</v>
      </c>
      <c r="W816" s="3">
        <f t="shared" si="155"/>
        <v>1</v>
      </c>
      <c r="X816" s="3">
        <f t="shared" si="156"/>
        <v>4.19</v>
      </c>
      <c r="Y816" s="3">
        <f t="shared" si="157"/>
        <v>4.19</v>
      </c>
      <c r="Z816" s="25">
        <f t="shared" si="158"/>
        <v>0</v>
      </c>
      <c r="AA816" s="26">
        <f>VLOOKUP(S816,CPI!$A$2:$F$71,6,0)</f>
        <v>1.188745987</v>
      </c>
      <c r="AB816" s="27">
        <f t="shared" si="167"/>
        <v>609.2560931</v>
      </c>
      <c r="AC816" s="27">
        <f t="shared" si="168"/>
        <v>145.4071821</v>
      </c>
      <c r="AD816" s="114"/>
      <c r="AE816" s="119" t="s">
        <v>1481</v>
      </c>
      <c r="AF816" s="114"/>
      <c r="AG816" s="114"/>
      <c r="AH816" s="114"/>
      <c r="AI816" s="114"/>
      <c r="AJ816" s="206"/>
      <c r="AK816" s="206"/>
      <c r="AL816" s="206"/>
      <c r="AM816" s="206"/>
      <c r="AN816" s="206"/>
      <c r="AO816" s="206"/>
      <c r="AP816" s="206"/>
      <c r="AQ816" s="206"/>
    </row>
    <row r="817">
      <c r="A817" s="7"/>
      <c r="B817" s="114" t="s">
        <v>1443</v>
      </c>
      <c r="C817" s="114" t="s">
        <v>1451</v>
      </c>
      <c r="D817" s="171" t="s">
        <v>1453</v>
      </c>
      <c r="E817" s="115" t="s">
        <v>1482</v>
      </c>
      <c r="F817" s="116">
        <v>2022.0</v>
      </c>
      <c r="G817" s="114"/>
      <c r="H817" s="116">
        <v>0.0</v>
      </c>
      <c r="I817" s="116">
        <v>3.59</v>
      </c>
      <c r="J817" s="71">
        <v>1.0</v>
      </c>
      <c r="K817" s="116">
        <v>3.59</v>
      </c>
      <c r="L817" s="114"/>
      <c r="M817" s="114"/>
      <c r="N817" s="116">
        <v>2.0</v>
      </c>
      <c r="O817" s="116">
        <v>200.0</v>
      </c>
      <c r="P817" s="114"/>
      <c r="Q817" s="73">
        <v>356100.0</v>
      </c>
      <c r="R817" s="114" t="s">
        <v>1445</v>
      </c>
      <c r="S817" s="115">
        <v>2021.0</v>
      </c>
      <c r="T817" s="85">
        <v>0.0012</v>
      </c>
      <c r="U817" s="118">
        <f t="shared" si="165"/>
        <v>427.32</v>
      </c>
      <c r="V817" s="24">
        <f t="shared" si="166"/>
        <v>119.0306407</v>
      </c>
      <c r="W817" s="3">
        <f t="shared" si="155"/>
        <v>1</v>
      </c>
      <c r="X817" s="3">
        <f t="shared" si="156"/>
        <v>3.59</v>
      </c>
      <c r="Y817" s="3">
        <f t="shared" si="157"/>
        <v>3.59</v>
      </c>
      <c r="Z817" s="25">
        <f t="shared" si="158"/>
        <v>0</v>
      </c>
      <c r="AA817" s="26">
        <f>VLOOKUP(S817,CPI!$A$2:$F$71,6,0)</f>
        <v>1.188745987</v>
      </c>
      <c r="AB817" s="27">
        <f t="shared" si="167"/>
        <v>507.974935</v>
      </c>
      <c r="AC817" s="27">
        <f t="shared" si="168"/>
        <v>141.4971964</v>
      </c>
      <c r="AD817" s="114"/>
      <c r="AE817" s="119" t="s">
        <v>1481</v>
      </c>
      <c r="AF817" s="114"/>
      <c r="AG817" s="114"/>
      <c r="AH817" s="114"/>
      <c r="AI817" s="114"/>
      <c r="AJ817" s="206"/>
      <c r="AK817" s="206"/>
      <c r="AL817" s="206"/>
      <c r="AM817" s="206"/>
      <c r="AN817" s="206"/>
      <c r="AO817" s="206"/>
      <c r="AP817" s="206"/>
      <c r="AQ817" s="206"/>
    </row>
    <row r="818">
      <c r="A818" s="7"/>
      <c r="B818" s="114" t="s">
        <v>1443</v>
      </c>
      <c r="C818" s="114" t="s">
        <v>1451</v>
      </c>
      <c r="D818" s="171" t="s">
        <v>1453</v>
      </c>
      <c r="E818" s="115" t="s">
        <v>1483</v>
      </c>
      <c r="F818" s="116">
        <v>2022.0</v>
      </c>
      <c r="G818" s="114"/>
      <c r="H818" s="116">
        <v>0.0</v>
      </c>
      <c r="I818" s="116">
        <v>2.571</v>
      </c>
      <c r="J818" s="71">
        <v>1.0</v>
      </c>
      <c r="K818" s="116">
        <v>2.571</v>
      </c>
      <c r="L818" s="114"/>
      <c r="M818" s="114"/>
      <c r="N818" s="116">
        <v>1.0</v>
      </c>
      <c r="O818" s="116">
        <v>200.0</v>
      </c>
      <c r="P818" s="114"/>
      <c r="Q818" s="73">
        <v>247400.0</v>
      </c>
      <c r="R818" s="114" t="s">
        <v>1445</v>
      </c>
      <c r="S818" s="115">
        <v>2021.0</v>
      </c>
      <c r="T818" s="85">
        <v>0.0012</v>
      </c>
      <c r="U818" s="118">
        <f t="shared" si="165"/>
        <v>296.88</v>
      </c>
      <c r="V818" s="24">
        <f t="shared" si="166"/>
        <v>115.4725788</v>
      </c>
      <c r="W818" s="3">
        <f t="shared" si="155"/>
        <v>1</v>
      </c>
      <c r="X818" s="3">
        <f t="shared" si="156"/>
        <v>2.571</v>
      </c>
      <c r="Y818" s="3">
        <f t="shared" si="157"/>
        <v>2.571</v>
      </c>
      <c r="Z818" s="25">
        <f t="shared" si="158"/>
        <v>0</v>
      </c>
      <c r="AA818" s="26">
        <f>VLOOKUP(S818,CPI!$A$2:$F$71,6,0)</f>
        <v>1.188745987</v>
      </c>
      <c r="AB818" s="27">
        <f t="shared" si="167"/>
        <v>352.9149085</v>
      </c>
      <c r="AC818" s="27">
        <f t="shared" si="168"/>
        <v>137.2675646</v>
      </c>
      <c r="AD818" s="114"/>
      <c r="AE818" s="119" t="s">
        <v>1481</v>
      </c>
      <c r="AF818" s="114"/>
      <c r="AG818" s="114"/>
      <c r="AH818" s="114"/>
      <c r="AI818" s="114"/>
      <c r="AJ818" s="206"/>
      <c r="AK818" s="206"/>
      <c r="AL818" s="206"/>
      <c r="AM818" s="206"/>
      <c r="AN818" s="206"/>
      <c r="AO818" s="206"/>
      <c r="AP818" s="206"/>
      <c r="AQ818" s="206"/>
    </row>
    <row r="819">
      <c r="A819" s="7"/>
      <c r="B819" s="114" t="s">
        <v>1443</v>
      </c>
      <c r="C819" s="114" t="s">
        <v>1451</v>
      </c>
      <c r="D819" s="171" t="s">
        <v>253</v>
      </c>
      <c r="E819" s="115" t="s">
        <v>362</v>
      </c>
      <c r="F819" s="114"/>
      <c r="G819" s="114"/>
      <c r="H819" s="116">
        <v>0.0</v>
      </c>
      <c r="I819" s="116">
        <v>25.1</v>
      </c>
      <c r="J819" s="71">
        <v>0.9562</v>
      </c>
      <c r="K819" s="116">
        <v>24.0</v>
      </c>
      <c r="L819" s="114"/>
      <c r="M819" s="114"/>
      <c r="N819" s="116">
        <v>25.0</v>
      </c>
      <c r="O819" s="116">
        <v>160.0</v>
      </c>
      <c r="P819" s="114"/>
      <c r="Q819" s="73">
        <v>3464064.0</v>
      </c>
      <c r="R819" s="114" t="s">
        <v>1445</v>
      </c>
      <c r="S819" s="114"/>
      <c r="T819" s="114"/>
      <c r="U819" s="118"/>
      <c r="V819" s="24"/>
      <c r="W819" s="3">
        <f t="shared" si="155"/>
        <v>1</v>
      </c>
      <c r="X819" s="3">
        <f t="shared" si="156"/>
        <v>25.1</v>
      </c>
      <c r="Y819" s="3">
        <f t="shared" si="157"/>
        <v>24</v>
      </c>
      <c r="Z819" s="25">
        <f t="shared" si="158"/>
        <v>0</v>
      </c>
      <c r="AA819" s="26" t="str">
        <f>VLOOKUP(S819,CPI!$A$2:$F$71,6,0)</f>
        <v>#N/A</v>
      </c>
      <c r="AB819" s="27"/>
      <c r="AC819" s="27"/>
      <c r="AD819" s="114"/>
      <c r="AE819" s="119" t="s">
        <v>1484</v>
      </c>
      <c r="AG819" s="114"/>
      <c r="AH819" s="114"/>
      <c r="AI819" s="114"/>
      <c r="AJ819" s="206"/>
      <c r="AK819" s="206"/>
      <c r="AL819" s="206"/>
      <c r="AM819" s="206"/>
      <c r="AN819" s="206"/>
      <c r="AO819" s="206"/>
      <c r="AP819" s="206"/>
      <c r="AQ819" s="206"/>
    </row>
    <row r="820">
      <c r="A820" s="38">
        <v>8225.0</v>
      </c>
      <c r="B820" s="34" t="s">
        <v>1485</v>
      </c>
      <c r="C820" s="34" t="s">
        <v>1486</v>
      </c>
      <c r="D820" s="34" t="s">
        <v>1487</v>
      </c>
      <c r="E820" s="34" t="s">
        <v>1487</v>
      </c>
      <c r="F820" s="25">
        <v>2020.0</v>
      </c>
      <c r="G820" s="25">
        <v>2025.0</v>
      </c>
      <c r="H820" s="25">
        <v>0.0</v>
      </c>
      <c r="I820" s="25">
        <v>160.0</v>
      </c>
      <c r="J820" s="50">
        <v>0.35</v>
      </c>
      <c r="K820" s="324">
        <f>I820*J820</f>
        <v>56</v>
      </c>
      <c r="L820" s="51">
        <v>0.0</v>
      </c>
      <c r="M820" s="51">
        <v>0.0</v>
      </c>
      <c r="N820" s="25">
        <v>68.0</v>
      </c>
      <c r="O820" s="25"/>
      <c r="P820" s="26" t="s">
        <v>36</v>
      </c>
      <c r="Q820" s="52">
        <v>20000.0</v>
      </c>
      <c r="R820" s="34" t="s">
        <v>37</v>
      </c>
      <c r="S820" s="25">
        <v>2020.0</v>
      </c>
      <c r="T820" s="25">
        <v>1.52</v>
      </c>
      <c r="U820" s="25">
        <f t="shared" ref="U820:U933" si="169">Q820*T820</f>
        <v>30400</v>
      </c>
      <c r="V820" s="24">
        <f t="shared" ref="V820:V873" si="170">U820/I820</f>
        <v>190</v>
      </c>
      <c r="W820" s="3">
        <f t="shared" si="155"/>
        <v>0</v>
      </c>
      <c r="X820" s="3">
        <f t="shared" si="156"/>
        <v>0</v>
      </c>
      <c r="Y820" s="3">
        <f t="shared" si="157"/>
        <v>0</v>
      </c>
      <c r="Z820" s="25">
        <f t="shared" si="158"/>
        <v>0</v>
      </c>
      <c r="AA820" s="26">
        <f>VLOOKUP(S820,CPI!$A$2:$F$71,6,0)</f>
        <v>1.244593545</v>
      </c>
      <c r="AB820" s="27">
        <f t="shared" ref="AB820:AB933" si="171">U820*AA820</f>
        <v>37835.64377</v>
      </c>
      <c r="AC820" s="27">
        <f t="shared" ref="AC820:AC873" si="172">V820*AA820</f>
        <v>236.4727736</v>
      </c>
      <c r="AD820" s="26" t="s">
        <v>42</v>
      </c>
      <c r="AE820" s="325" t="s">
        <v>1488</v>
      </c>
      <c r="AF820" s="130"/>
      <c r="AG820" s="130"/>
      <c r="AH820" s="130"/>
      <c r="AI820" s="130"/>
      <c r="AJ820" s="33"/>
      <c r="AK820" s="33"/>
      <c r="AL820" s="33"/>
      <c r="AM820" s="206"/>
      <c r="AN820" s="206"/>
      <c r="AO820" s="206"/>
      <c r="AP820" s="206"/>
      <c r="AQ820" s="206"/>
    </row>
    <row r="821">
      <c r="A821" s="38">
        <v>7250.0</v>
      </c>
      <c r="B821" s="26" t="s">
        <v>1489</v>
      </c>
      <c r="C821" s="26" t="s">
        <v>1490</v>
      </c>
      <c r="D821" s="26" t="s">
        <v>87</v>
      </c>
      <c r="E821" s="26" t="s">
        <v>87</v>
      </c>
      <c r="F821" s="25">
        <v>2014.0</v>
      </c>
      <c r="G821" s="25">
        <v>2020.0</v>
      </c>
      <c r="H821" s="25">
        <v>0.0</v>
      </c>
      <c r="I821" s="25">
        <v>21.5</v>
      </c>
      <c r="J821" s="50">
        <v>0.25</v>
      </c>
      <c r="K821" s="25">
        <v>5.4</v>
      </c>
      <c r="L821" s="51">
        <v>14.595</v>
      </c>
      <c r="M821" s="51">
        <v>1.53</v>
      </c>
      <c r="N821" s="25">
        <v>18.0</v>
      </c>
      <c r="O821" s="25"/>
      <c r="P821" s="26" t="s">
        <v>36</v>
      </c>
      <c r="Q821" s="52">
        <v>31500.0</v>
      </c>
      <c r="R821" s="26" t="s">
        <v>1491</v>
      </c>
      <c r="S821" s="25">
        <v>2017.0</v>
      </c>
      <c r="T821" s="25">
        <v>0.106</v>
      </c>
      <c r="U821" s="25">
        <f t="shared" si="169"/>
        <v>3339</v>
      </c>
      <c r="V821" s="24">
        <f t="shared" si="170"/>
        <v>155.3023256</v>
      </c>
      <c r="W821" s="3">
        <f t="shared" si="155"/>
        <v>0</v>
      </c>
      <c r="X821" s="3">
        <f t="shared" si="156"/>
        <v>0</v>
      </c>
      <c r="Y821" s="3">
        <f t="shared" si="157"/>
        <v>0</v>
      </c>
      <c r="Z821" s="25">
        <f t="shared" si="158"/>
        <v>0</v>
      </c>
      <c r="AA821" s="26">
        <f>VLOOKUP(S821,CPI!$A$2:$F$71,6,0)</f>
        <v>1.314109416</v>
      </c>
      <c r="AB821" s="27">
        <f t="shared" si="171"/>
        <v>4387.811339</v>
      </c>
      <c r="AC821" s="27">
        <f t="shared" si="172"/>
        <v>204.0842483</v>
      </c>
      <c r="AD821" s="26" t="s">
        <v>42</v>
      </c>
      <c r="AE821" s="53" t="s">
        <v>1492</v>
      </c>
      <c r="AF821" s="130"/>
      <c r="AG821" s="130"/>
      <c r="AH821" s="130"/>
      <c r="AI821" s="130"/>
      <c r="AJ821" s="33"/>
      <c r="AK821" s="33"/>
      <c r="AL821" s="33"/>
      <c r="AM821" s="206"/>
      <c r="AN821" s="206"/>
      <c r="AO821" s="206"/>
      <c r="AP821" s="206"/>
      <c r="AQ821" s="206"/>
    </row>
    <row r="822">
      <c r="A822" s="38">
        <v>7227.0</v>
      </c>
      <c r="B822" s="26" t="s">
        <v>1489</v>
      </c>
      <c r="C822" s="26" t="s">
        <v>1493</v>
      </c>
      <c r="D822" s="26" t="s">
        <v>287</v>
      </c>
      <c r="E822" s="26" t="s">
        <v>287</v>
      </c>
      <c r="F822" s="25">
        <v>2008.0</v>
      </c>
      <c r="G822" s="25">
        <v>2012.0</v>
      </c>
      <c r="H822" s="25">
        <v>0.0</v>
      </c>
      <c r="I822" s="25">
        <v>24.5</v>
      </c>
      <c r="J822" s="50">
        <v>0.43</v>
      </c>
      <c r="K822" s="25">
        <v>10.5</v>
      </c>
      <c r="L822" s="51">
        <v>12.57</v>
      </c>
      <c r="M822" s="51">
        <v>1.395</v>
      </c>
      <c r="N822" s="25">
        <v>20.0</v>
      </c>
      <c r="O822" s="25"/>
      <c r="P822" s="26" t="s">
        <v>74</v>
      </c>
      <c r="Q822" s="52">
        <v>47906.0</v>
      </c>
      <c r="R822" s="26" t="s">
        <v>1491</v>
      </c>
      <c r="S822" s="25">
        <v>2010.0</v>
      </c>
      <c r="T822" s="25">
        <v>0.13</v>
      </c>
      <c r="U822" s="25">
        <f t="shared" si="169"/>
        <v>6227.78</v>
      </c>
      <c r="V822" s="24">
        <f t="shared" si="170"/>
        <v>254.195102</v>
      </c>
      <c r="W822" s="3">
        <f t="shared" si="155"/>
        <v>0</v>
      </c>
      <c r="X822" s="3">
        <f t="shared" si="156"/>
        <v>0</v>
      </c>
      <c r="Y822" s="3">
        <f t="shared" si="157"/>
        <v>0</v>
      </c>
      <c r="Z822" s="25">
        <f t="shared" si="158"/>
        <v>0</v>
      </c>
      <c r="AA822" s="26">
        <f>VLOOKUP(S822,CPI!$A$2:$F$71,6,0)</f>
        <v>1.477209983</v>
      </c>
      <c r="AB822" s="27">
        <f t="shared" si="171"/>
        <v>9199.738786</v>
      </c>
      <c r="AC822" s="27">
        <f t="shared" si="172"/>
        <v>375.4995423</v>
      </c>
      <c r="AD822" s="26" t="s">
        <v>42</v>
      </c>
      <c r="AE822" s="53" t="s">
        <v>1494</v>
      </c>
      <c r="AF822" s="130"/>
      <c r="AG822" s="130"/>
      <c r="AH822" s="130"/>
      <c r="AI822" s="130"/>
      <c r="AJ822" s="33"/>
      <c r="AK822" s="33"/>
      <c r="AL822" s="33"/>
      <c r="AM822" s="206"/>
      <c r="AN822" s="206"/>
      <c r="AO822" s="206"/>
      <c r="AP822" s="206"/>
      <c r="AQ822" s="206"/>
    </row>
    <row r="823">
      <c r="A823" s="38">
        <v>7608.0</v>
      </c>
      <c r="B823" s="26" t="s">
        <v>1495</v>
      </c>
      <c r="C823" s="26" t="s">
        <v>1496</v>
      </c>
      <c r="D823" s="26" t="s">
        <v>1497</v>
      </c>
      <c r="E823" s="26" t="s">
        <v>1497</v>
      </c>
      <c r="F823" s="25">
        <v>2012.0</v>
      </c>
      <c r="G823" s="25">
        <v>2017.0</v>
      </c>
      <c r="H823" s="25">
        <v>0.0</v>
      </c>
      <c r="I823" s="25">
        <v>51.0</v>
      </c>
      <c r="J823" s="50">
        <v>0.19</v>
      </c>
      <c r="K823" s="25">
        <v>9.5</v>
      </c>
      <c r="L823" s="51">
        <v>0.0</v>
      </c>
      <c r="M823" s="51">
        <v>0.0</v>
      </c>
      <c r="N823" s="25">
        <v>31.0</v>
      </c>
      <c r="O823" s="25"/>
      <c r="P823" s="26" t="s">
        <v>74</v>
      </c>
      <c r="Q823" s="52">
        <v>21000.0</v>
      </c>
      <c r="R823" s="26" t="s">
        <v>1498</v>
      </c>
      <c r="S823" s="25">
        <v>2014.0</v>
      </c>
      <c r="T823" s="25">
        <v>0.7</v>
      </c>
      <c r="U823" s="25">
        <f t="shared" si="169"/>
        <v>14700</v>
      </c>
      <c r="V823" s="24">
        <f t="shared" si="170"/>
        <v>288.2352941</v>
      </c>
      <c r="W823" s="3">
        <f t="shared" si="155"/>
        <v>0</v>
      </c>
      <c r="X823" s="3">
        <f t="shared" si="156"/>
        <v>0</v>
      </c>
      <c r="Y823" s="3">
        <f t="shared" si="157"/>
        <v>0</v>
      </c>
      <c r="Z823" s="25">
        <f t="shared" si="158"/>
        <v>0</v>
      </c>
      <c r="AA823" s="26">
        <f>VLOOKUP(S823,CPI!$A$2:$F$71,6,0)</f>
        <v>1.360648571</v>
      </c>
      <c r="AB823" s="27">
        <f t="shared" si="171"/>
        <v>20001.53399</v>
      </c>
      <c r="AC823" s="27">
        <f t="shared" si="172"/>
        <v>392.1869409</v>
      </c>
      <c r="AD823" s="26" t="s">
        <v>42</v>
      </c>
      <c r="AE823" s="53" t="s">
        <v>1499</v>
      </c>
      <c r="AF823" s="130"/>
      <c r="AG823" s="130"/>
      <c r="AH823" s="130"/>
      <c r="AI823" s="130"/>
      <c r="AJ823" s="33"/>
      <c r="AK823" s="33"/>
      <c r="AL823" s="33"/>
      <c r="AM823" s="206"/>
      <c r="AN823" s="206"/>
      <c r="AO823" s="206"/>
      <c r="AP823" s="206"/>
      <c r="AQ823" s="206"/>
    </row>
    <row r="824">
      <c r="A824" s="38">
        <v>7609.0</v>
      </c>
      <c r="B824" s="26" t="s">
        <v>1495</v>
      </c>
      <c r="C824" s="26" t="s">
        <v>1496</v>
      </c>
      <c r="D824" s="26" t="s">
        <v>1500</v>
      </c>
      <c r="E824" s="26" t="s">
        <v>1500</v>
      </c>
      <c r="F824" s="25">
        <v>2016.0</v>
      </c>
      <c r="G824" s="25">
        <v>2023.0</v>
      </c>
      <c r="H824" s="25">
        <v>0.0</v>
      </c>
      <c r="I824" s="25">
        <v>52.2</v>
      </c>
      <c r="J824" s="50">
        <v>0.26</v>
      </c>
      <c r="K824" s="25">
        <v>13.5</v>
      </c>
      <c r="L824" s="51">
        <v>0.0</v>
      </c>
      <c r="M824" s="51">
        <v>0.0</v>
      </c>
      <c r="N824" s="25">
        <v>41.0</v>
      </c>
      <c r="O824" s="25"/>
      <c r="P824" s="26" t="s">
        <v>74</v>
      </c>
      <c r="Q824" s="52">
        <v>30530.0</v>
      </c>
      <c r="R824" s="26" t="s">
        <v>1498</v>
      </c>
      <c r="S824" s="25">
        <v>2019.0</v>
      </c>
      <c r="T824" s="25">
        <v>0.7</v>
      </c>
      <c r="U824" s="25">
        <f t="shared" si="169"/>
        <v>21371</v>
      </c>
      <c r="V824" s="24">
        <f t="shared" si="170"/>
        <v>409.4061303</v>
      </c>
      <c r="W824" s="3">
        <f t="shared" si="155"/>
        <v>0</v>
      </c>
      <c r="X824" s="3">
        <f t="shared" si="156"/>
        <v>0</v>
      </c>
      <c r="Y824" s="3">
        <f t="shared" si="157"/>
        <v>0</v>
      </c>
      <c r="Z824" s="25">
        <f t="shared" si="158"/>
        <v>0</v>
      </c>
      <c r="AA824" s="26">
        <f>VLOOKUP(S824,CPI!$A$2:$F$71,6,0)</f>
        <v>1.259947899</v>
      </c>
      <c r="AB824" s="27">
        <f t="shared" si="171"/>
        <v>26926.34655</v>
      </c>
      <c r="AC824" s="27">
        <f t="shared" si="172"/>
        <v>515.8303936</v>
      </c>
      <c r="AD824" s="26" t="s">
        <v>42</v>
      </c>
      <c r="AE824" s="53" t="s">
        <v>1501</v>
      </c>
      <c r="AF824" s="130"/>
      <c r="AG824" s="130"/>
      <c r="AH824" s="130"/>
      <c r="AI824" s="130"/>
      <c r="AJ824" s="33"/>
      <c r="AK824" s="33"/>
      <c r="AL824" s="33"/>
      <c r="AM824" s="206"/>
      <c r="AN824" s="206"/>
      <c r="AO824" s="206"/>
      <c r="AP824" s="206"/>
      <c r="AQ824" s="206"/>
    </row>
    <row r="825">
      <c r="A825" s="38">
        <v>7145.0</v>
      </c>
      <c r="B825" s="26" t="s">
        <v>1502</v>
      </c>
      <c r="C825" s="26" t="s">
        <v>1503</v>
      </c>
      <c r="D825" s="63" t="s">
        <v>1504</v>
      </c>
      <c r="E825" s="63" t="s">
        <v>1504</v>
      </c>
      <c r="F825" s="25">
        <v>2003.0</v>
      </c>
      <c r="G825" s="25">
        <v>2018.0</v>
      </c>
      <c r="H825" s="25">
        <v>0.0</v>
      </c>
      <c r="I825" s="25">
        <v>9.7</v>
      </c>
      <c r="J825" s="50">
        <v>0.73</v>
      </c>
      <c r="K825" s="25">
        <v>7.1</v>
      </c>
      <c r="L825" s="51">
        <v>0.0</v>
      </c>
      <c r="M825" s="51">
        <v>0.0</v>
      </c>
      <c r="N825" s="25">
        <v>8.0</v>
      </c>
      <c r="O825" s="25"/>
      <c r="P825" s="26" t="s">
        <v>74</v>
      </c>
      <c r="Q825" s="52">
        <v>3100.0</v>
      </c>
      <c r="R825" s="26" t="s">
        <v>52</v>
      </c>
      <c r="S825" s="25">
        <v>2009.0</v>
      </c>
      <c r="T825" s="25">
        <v>1.3</v>
      </c>
      <c r="U825" s="25">
        <f t="shared" si="169"/>
        <v>4030</v>
      </c>
      <c r="V825" s="24">
        <f t="shared" si="170"/>
        <v>415.4639175</v>
      </c>
      <c r="W825" s="3">
        <f t="shared" si="155"/>
        <v>0</v>
      </c>
      <c r="X825" s="3">
        <f t="shared" si="156"/>
        <v>0</v>
      </c>
      <c r="Y825" s="3">
        <f t="shared" si="157"/>
        <v>0</v>
      </c>
      <c r="Z825" s="25">
        <f t="shared" si="158"/>
        <v>0</v>
      </c>
      <c r="AA825" s="26">
        <f>VLOOKUP(S825,CPI!$A$2:$F$71,6,0)</f>
        <v>1.501440311</v>
      </c>
      <c r="AB825" s="27">
        <f t="shared" si="171"/>
        <v>6050.804453</v>
      </c>
      <c r="AC825" s="27">
        <f t="shared" si="172"/>
        <v>623.7942735</v>
      </c>
      <c r="AD825" s="26" t="s">
        <v>42</v>
      </c>
      <c r="AE825" s="53" t="s">
        <v>1505</v>
      </c>
      <c r="AF825" s="130"/>
      <c r="AG825" s="130"/>
      <c r="AH825" s="130"/>
      <c r="AI825" s="130"/>
      <c r="AJ825" s="33"/>
      <c r="AK825" s="33"/>
      <c r="AL825" s="33"/>
      <c r="AM825" s="206"/>
      <c r="AN825" s="206"/>
      <c r="AO825" s="206"/>
      <c r="AP825" s="206"/>
      <c r="AQ825" s="206"/>
    </row>
    <row r="826">
      <c r="A826" s="38">
        <v>7272.0</v>
      </c>
      <c r="B826" s="26" t="s">
        <v>1506</v>
      </c>
      <c r="C826" s="26" t="s">
        <v>1507</v>
      </c>
      <c r="D826" s="26" t="s">
        <v>1508</v>
      </c>
      <c r="E826" s="26" t="s">
        <v>1508</v>
      </c>
      <c r="F826" s="25">
        <v>2013.0</v>
      </c>
      <c r="G826" s="25">
        <v>2016.0</v>
      </c>
      <c r="H826" s="25">
        <v>0.0</v>
      </c>
      <c r="I826" s="25">
        <v>1.6</v>
      </c>
      <c r="J826" s="50">
        <v>1.0</v>
      </c>
      <c r="K826" s="25">
        <v>1.6</v>
      </c>
      <c r="L826" s="51">
        <v>0.0</v>
      </c>
      <c r="M826" s="51">
        <v>0.0</v>
      </c>
      <c r="N826" s="25">
        <v>1.0</v>
      </c>
      <c r="O826" s="25"/>
      <c r="P826" s="26" t="s">
        <v>36</v>
      </c>
      <c r="Q826" s="52">
        <v>1330.0</v>
      </c>
      <c r="R826" s="26" t="s">
        <v>1509</v>
      </c>
      <c r="S826" s="25">
        <v>2014.0</v>
      </c>
      <c r="T826" s="25">
        <v>0.107</v>
      </c>
      <c r="U826" s="25">
        <f t="shared" si="169"/>
        <v>142.31</v>
      </c>
      <c r="V826" s="24">
        <f t="shared" si="170"/>
        <v>88.94375</v>
      </c>
      <c r="W826" s="3">
        <f t="shared" si="155"/>
        <v>1</v>
      </c>
      <c r="X826" s="3">
        <f t="shared" si="156"/>
        <v>1.6</v>
      </c>
      <c r="Y826" s="3">
        <f t="shared" si="157"/>
        <v>1.6</v>
      </c>
      <c r="Z826" s="25">
        <f t="shared" si="158"/>
        <v>0</v>
      </c>
      <c r="AA826" s="26">
        <f>VLOOKUP(S826,CPI!$A$2:$F$71,6,0)</f>
        <v>1.360648571</v>
      </c>
      <c r="AB826" s="27">
        <f t="shared" si="171"/>
        <v>193.6338981</v>
      </c>
      <c r="AC826" s="27">
        <f t="shared" si="172"/>
        <v>121.0211863</v>
      </c>
      <c r="AD826" s="26" t="s">
        <v>36</v>
      </c>
      <c r="AE826" s="57" t="s">
        <v>1510</v>
      </c>
      <c r="AF826" s="130"/>
      <c r="AG826" s="130"/>
      <c r="AH826" s="130"/>
      <c r="AI826" s="130"/>
      <c r="AJ826" s="33"/>
      <c r="AK826" s="33"/>
      <c r="AL826" s="33"/>
      <c r="AM826" s="206"/>
      <c r="AN826" s="206"/>
      <c r="AO826" s="206"/>
      <c r="AP826" s="206"/>
      <c r="AQ826" s="206"/>
    </row>
    <row r="827">
      <c r="A827" s="38">
        <v>7273.0</v>
      </c>
      <c r="B827" s="26" t="s">
        <v>1506</v>
      </c>
      <c r="C827" s="26" t="s">
        <v>1507</v>
      </c>
      <c r="D827" s="26" t="s">
        <v>1511</v>
      </c>
      <c r="E827" s="26" t="s">
        <v>1511</v>
      </c>
      <c r="F827" s="25">
        <v>2020.0</v>
      </c>
      <c r="G827" s="58">
        <v>2029.0</v>
      </c>
      <c r="H827" s="25">
        <v>0.0</v>
      </c>
      <c r="I827" s="25">
        <v>8.2</v>
      </c>
      <c r="J827" s="50">
        <v>1.0</v>
      </c>
      <c r="K827" s="25">
        <v>8.2</v>
      </c>
      <c r="L827" s="51">
        <v>0.0</v>
      </c>
      <c r="M827" s="51">
        <v>0.0</v>
      </c>
      <c r="N827" s="25">
        <v>6.0</v>
      </c>
      <c r="O827" s="25"/>
      <c r="P827" s="26" t="s">
        <v>60</v>
      </c>
      <c r="Q827" s="55">
        <v>26400.0</v>
      </c>
      <c r="R827" s="26" t="s">
        <v>1509</v>
      </c>
      <c r="S827" s="58">
        <v>2021.0</v>
      </c>
      <c r="T827" s="58">
        <v>0.103</v>
      </c>
      <c r="U827" s="25">
        <f t="shared" si="169"/>
        <v>2719.2</v>
      </c>
      <c r="V827" s="24">
        <f t="shared" si="170"/>
        <v>331.6097561</v>
      </c>
      <c r="W827" s="3">
        <f t="shared" si="155"/>
        <v>1</v>
      </c>
      <c r="X827" s="3">
        <f t="shared" si="156"/>
        <v>8.2</v>
      </c>
      <c r="Y827" s="3">
        <f t="shared" si="157"/>
        <v>8.2</v>
      </c>
      <c r="Z827" s="25">
        <f t="shared" si="158"/>
        <v>0</v>
      </c>
      <c r="AA827" s="26">
        <f>VLOOKUP(S827,CPI!$A$2:$F$71,6,0)</f>
        <v>1.188745987</v>
      </c>
      <c r="AB827" s="27">
        <f t="shared" si="171"/>
        <v>3232.438087</v>
      </c>
      <c r="AC827" s="27">
        <f t="shared" si="172"/>
        <v>394.1997667</v>
      </c>
      <c r="AD827" s="63" t="s">
        <v>42</v>
      </c>
      <c r="AE827" s="109" t="s">
        <v>1512</v>
      </c>
      <c r="AF827" s="130"/>
      <c r="AG827" s="130"/>
      <c r="AH827" s="130"/>
      <c r="AI827" s="130"/>
      <c r="AJ827" s="33"/>
      <c r="AK827" s="33"/>
      <c r="AL827" s="33"/>
      <c r="AM827" s="206"/>
      <c r="AN827" s="206"/>
      <c r="AO827" s="206"/>
      <c r="AP827" s="206"/>
      <c r="AQ827" s="206"/>
    </row>
    <row r="828">
      <c r="A828" s="38">
        <v>7435.0</v>
      </c>
      <c r="B828" s="26" t="s">
        <v>1513</v>
      </c>
      <c r="C828" s="26" t="s">
        <v>1514</v>
      </c>
      <c r="D828" s="26" t="s">
        <v>1515</v>
      </c>
      <c r="E828" s="26" t="s">
        <v>1515</v>
      </c>
      <c r="F828" s="25">
        <v>2013.0</v>
      </c>
      <c r="G828" s="25">
        <v>2024.0</v>
      </c>
      <c r="H828" s="25">
        <v>1.0</v>
      </c>
      <c r="I828" s="25">
        <v>3.5</v>
      </c>
      <c r="J828" s="50">
        <v>1.0</v>
      </c>
      <c r="K828" s="25">
        <v>3.5</v>
      </c>
      <c r="L828" s="51">
        <v>0.0</v>
      </c>
      <c r="M828" s="51">
        <v>0.0</v>
      </c>
      <c r="N828" s="25">
        <v>4.0</v>
      </c>
      <c r="O828" s="25"/>
      <c r="P828" s="26" t="s">
        <v>74</v>
      </c>
      <c r="Q828" s="52">
        <v>4419.0</v>
      </c>
      <c r="R828" s="26" t="s">
        <v>1516</v>
      </c>
      <c r="S828" s="25">
        <v>2018.0</v>
      </c>
      <c r="T828" s="25">
        <v>0.677</v>
      </c>
      <c r="U828" s="25">
        <f t="shared" si="169"/>
        <v>2991.663</v>
      </c>
      <c r="V828" s="24">
        <f t="shared" si="170"/>
        <v>854.7608571</v>
      </c>
      <c r="W828" s="3">
        <f t="shared" si="155"/>
        <v>0</v>
      </c>
      <c r="X828" s="3">
        <f t="shared" si="156"/>
        <v>0</v>
      </c>
      <c r="Y828" s="3">
        <f t="shared" si="157"/>
        <v>0</v>
      </c>
      <c r="Z828" s="25">
        <f t="shared" si="158"/>
        <v>1</v>
      </c>
      <c r="AA828" s="26">
        <f>VLOOKUP(S828,CPI!$A$2:$F$71,6,0)</f>
        <v>1.28277786</v>
      </c>
      <c r="AB828" s="27">
        <f t="shared" si="171"/>
        <v>3837.63906</v>
      </c>
      <c r="AC828" s="27">
        <f t="shared" si="172"/>
        <v>1096.468303</v>
      </c>
      <c r="AD828" s="26" t="s">
        <v>60</v>
      </c>
      <c r="AE828" s="53" t="s">
        <v>1517</v>
      </c>
      <c r="AF828" s="130"/>
      <c r="AG828" s="130"/>
      <c r="AH828" s="130"/>
      <c r="AI828" s="130"/>
      <c r="AJ828" s="33"/>
      <c r="AK828" s="33"/>
      <c r="AL828" s="33"/>
      <c r="AM828" s="206"/>
      <c r="AN828" s="206"/>
      <c r="AO828" s="206"/>
      <c r="AP828" s="206"/>
      <c r="AQ828" s="206"/>
    </row>
    <row r="829" ht="15.75" customHeight="1">
      <c r="A829" s="38">
        <v>7345.0</v>
      </c>
      <c r="B829" s="26" t="s">
        <v>1518</v>
      </c>
      <c r="C829" s="26" t="s">
        <v>1519</v>
      </c>
      <c r="D829" s="326" t="s">
        <v>57</v>
      </c>
      <c r="E829" s="26" t="s">
        <v>57</v>
      </c>
      <c r="F829" s="25">
        <v>2010.0</v>
      </c>
      <c r="G829" s="25">
        <v>2014.0</v>
      </c>
      <c r="H829" s="25">
        <v>0.0</v>
      </c>
      <c r="I829" s="25">
        <v>13.7</v>
      </c>
      <c r="J829" s="50">
        <v>0.53</v>
      </c>
      <c r="K829" s="25">
        <v>7.3</v>
      </c>
      <c r="L829" s="51">
        <v>4.69</v>
      </c>
      <c r="M829" s="51">
        <v>1.749</v>
      </c>
      <c r="N829" s="25">
        <v>12.0</v>
      </c>
      <c r="O829" s="25"/>
      <c r="P829" s="26" t="s">
        <v>74</v>
      </c>
      <c r="Q829" s="52">
        <v>2009.0</v>
      </c>
      <c r="R829" s="26" t="s">
        <v>37</v>
      </c>
      <c r="S829" s="25">
        <v>2012.0</v>
      </c>
      <c r="T829" s="25">
        <v>1.74</v>
      </c>
      <c r="U829" s="25">
        <f t="shared" si="169"/>
        <v>3495.66</v>
      </c>
      <c r="V829" s="24">
        <f t="shared" si="170"/>
        <v>255.1576642</v>
      </c>
      <c r="W829" s="3">
        <f t="shared" si="155"/>
        <v>0</v>
      </c>
      <c r="X829" s="3">
        <f t="shared" si="156"/>
        <v>0</v>
      </c>
      <c r="Y829" s="3">
        <f t="shared" si="157"/>
        <v>0</v>
      </c>
      <c r="Z829" s="25">
        <f t="shared" si="158"/>
        <v>0</v>
      </c>
      <c r="AA829" s="26">
        <f>VLOOKUP(S829,CPI!$A$2:$F$71,6,0)</f>
        <v>1.402974381</v>
      </c>
      <c r="AB829" s="27">
        <f t="shared" si="171"/>
        <v>4904.321424</v>
      </c>
      <c r="AC829" s="27">
        <f t="shared" si="172"/>
        <v>357.979666</v>
      </c>
      <c r="AD829" s="26" t="s">
        <v>42</v>
      </c>
      <c r="AE829" s="53" t="s">
        <v>1520</v>
      </c>
      <c r="AF829" s="130"/>
      <c r="AG829" s="130"/>
      <c r="AH829" s="130"/>
      <c r="AI829" s="130"/>
      <c r="AJ829" s="33"/>
      <c r="AK829" s="33"/>
      <c r="AL829" s="33"/>
      <c r="AM829" s="206"/>
      <c r="AN829" s="206"/>
      <c r="AO829" s="206"/>
      <c r="AP829" s="206"/>
      <c r="AQ829" s="206"/>
    </row>
    <row r="830" ht="15.75" customHeight="1">
      <c r="A830" s="38">
        <v>7346.0</v>
      </c>
      <c r="B830" s="26" t="s">
        <v>1518</v>
      </c>
      <c r="C830" s="26" t="s">
        <v>1519</v>
      </c>
      <c r="D830" s="26" t="s">
        <v>54</v>
      </c>
      <c r="E830" s="26" t="s">
        <v>54</v>
      </c>
      <c r="F830" s="25">
        <v>2015.0</v>
      </c>
      <c r="G830" s="25">
        <v>2019.0</v>
      </c>
      <c r="H830" s="25">
        <v>0.0</v>
      </c>
      <c r="I830" s="25">
        <v>21.0</v>
      </c>
      <c r="J830" s="50">
        <v>0.0</v>
      </c>
      <c r="K830" s="25">
        <v>0.0</v>
      </c>
      <c r="L830" s="51">
        <v>21.0</v>
      </c>
      <c r="M830" s="51">
        <v>0.0</v>
      </c>
      <c r="N830" s="25">
        <v>16.0</v>
      </c>
      <c r="O830" s="25"/>
      <c r="P830" s="26" t="s">
        <v>36</v>
      </c>
      <c r="Q830" s="52">
        <v>2130.0</v>
      </c>
      <c r="R830" s="26" t="s">
        <v>37</v>
      </c>
      <c r="S830" s="25">
        <v>2017.0</v>
      </c>
      <c r="T830" s="25">
        <v>2.01</v>
      </c>
      <c r="U830" s="25">
        <f t="shared" si="169"/>
        <v>4281.3</v>
      </c>
      <c r="V830" s="24">
        <f t="shared" si="170"/>
        <v>203.8714286</v>
      </c>
      <c r="W830" s="3">
        <f t="shared" si="155"/>
        <v>0</v>
      </c>
      <c r="X830" s="3">
        <f t="shared" si="156"/>
        <v>0</v>
      </c>
      <c r="Y830" s="3">
        <f t="shared" si="157"/>
        <v>0</v>
      </c>
      <c r="Z830" s="25">
        <f t="shared" si="158"/>
        <v>0</v>
      </c>
      <c r="AA830" s="26">
        <f>VLOOKUP(S830,CPI!$A$2:$F$71,6,0)</f>
        <v>1.314109416</v>
      </c>
      <c r="AB830" s="27">
        <f t="shared" si="171"/>
        <v>5626.096642</v>
      </c>
      <c r="AC830" s="27">
        <f t="shared" si="172"/>
        <v>267.9093639</v>
      </c>
      <c r="AD830" s="26" t="s">
        <v>36</v>
      </c>
      <c r="AE830" s="53" t="s">
        <v>1521</v>
      </c>
      <c r="AF830" s="130"/>
      <c r="AG830" s="130"/>
      <c r="AH830" s="130"/>
      <c r="AI830" s="130"/>
      <c r="AJ830" s="33"/>
      <c r="AK830" s="33"/>
      <c r="AL830" s="33"/>
      <c r="AM830" s="206"/>
      <c r="AN830" s="206"/>
      <c r="AO830" s="206"/>
      <c r="AP830" s="206"/>
      <c r="AQ830" s="206"/>
    </row>
    <row r="831" ht="15.75" customHeight="1">
      <c r="A831" s="38">
        <v>7347.0</v>
      </c>
      <c r="B831" s="26" t="s">
        <v>1518</v>
      </c>
      <c r="C831" s="26" t="s">
        <v>1519</v>
      </c>
      <c r="D831" s="26" t="s">
        <v>87</v>
      </c>
      <c r="E831" s="26" t="s">
        <v>87</v>
      </c>
      <c r="F831" s="25">
        <v>2020.0</v>
      </c>
      <c r="G831" s="58">
        <v>2028.0</v>
      </c>
      <c r="H831" s="25">
        <v>0.0</v>
      </c>
      <c r="I831" s="58">
        <v>24.5</v>
      </c>
      <c r="J831" s="59">
        <v>0.27</v>
      </c>
      <c r="K831" s="58">
        <v>6.5</v>
      </c>
      <c r="L831" s="58">
        <v>18.0</v>
      </c>
      <c r="M831" s="51">
        <v>0.0</v>
      </c>
      <c r="N831" s="25">
        <v>14.0</v>
      </c>
      <c r="O831" s="25"/>
      <c r="P831" s="63" t="s">
        <v>74</v>
      </c>
      <c r="Q831" s="55">
        <v>4000.0</v>
      </c>
      <c r="R831" s="63" t="s">
        <v>1522</v>
      </c>
      <c r="S831" s="58">
        <v>2024.0</v>
      </c>
      <c r="T831" s="25">
        <v>2.08</v>
      </c>
      <c r="U831" s="25">
        <f t="shared" si="169"/>
        <v>8320</v>
      </c>
      <c r="V831" s="24">
        <f t="shared" si="170"/>
        <v>339.5918367</v>
      </c>
      <c r="W831" s="3">
        <f t="shared" si="155"/>
        <v>0</v>
      </c>
      <c r="X831" s="3">
        <f t="shared" si="156"/>
        <v>0</v>
      </c>
      <c r="Y831" s="3">
        <f t="shared" si="157"/>
        <v>0</v>
      </c>
      <c r="Z831" s="25">
        <f t="shared" si="158"/>
        <v>0</v>
      </c>
      <c r="AA831" s="26">
        <f>VLOOKUP(S831,CPI!$A$2:$F$71,6,0)</f>
        <v>1</v>
      </c>
      <c r="AB831" s="27">
        <f t="shared" si="171"/>
        <v>8320</v>
      </c>
      <c r="AC831" s="27">
        <f t="shared" si="172"/>
        <v>339.5918367</v>
      </c>
      <c r="AD831" s="26" t="s">
        <v>36</v>
      </c>
      <c r="AE831" s="56" t="s">
        <v>1523</v>
      </c>
      <c r="AF831" s="130"/>
      <c r="AG831" s="130"/>
      <c r="AH831" s="130"/>
      <c r="AI831" s="130"/>
      <c r="AJ831" s="33"/>
      <c r="AK831" s="33"/>
      <c r="AL831" s="33"/>
      <c r="AM831" s="206"/>
      <c r="AN831" s="206"/>
      <c r="AO831" s="206"/>
      <c r="AP831" s="206"/>
      <c r="AQ831" s="206"/>
    </row>
    <row r="832" ht="15.75" customHeight="1">
      <c r="A832" s="38">
        <v>7603.0</v>
      </c>
      <c r="B832" s="26" t="s">
        <v>1524</v>
      </c>
      <c r="C832" s="26" t="s">
        <v>1525</v>
      </c>
      <c r="D832" s="26" t="s">
        <v>54</v>
      </c>
      <c r="E832" s="26" t="s">
        <v>54</v>
      </c>
      <c r="F832" s="25">
        <v>2014.0</v>
      </c>
      <c r="G832" s="25">
        <v>2025.0</v>
      </c>
      <c r="H832" s="25">
        <v>0.0</v>
      </c>
      <c r="I832" s="25">
        <v>35.0</v>
      </c>
      <c r="J832" s="50">
        <v>1.0</v>
      </c>
      <c r="K832" s="25">
        <v>35.0</v>
      </c>
      <c r="L832" s="51">
        <v>0.0</v>
      </c>
      <c r="M832" s="51">
        <v>0.0</v>
      </c>
      <c r="N832" s="25">
        <v>35.0</v>
      </c>
      <c r="O832" s="25"/>
      <c r="P832" s="26" t="s">
        <v>36</v>
      </c>
      <c r="Q832" s="52">
        <v>5836.0</v>
      </c>
      <c r="R832" s="26" t="s">
        <v>37</v>
      </c>
      <c r="S832" s="25">
        <v>2019.0</v>
      </c>
      <c r="T832" s="25">
        <v>1.9</v>
      </c>
      <c r="U832" s="25">
        <f t="shared" si="169"/>
        <v>11088.4</v>
      </c>
      <c r="V832" s="24">
        <f t="shared" si="170"/>
        <v>316.8114286</v>
      </c>
      <c r="W832" s="3">
        <f t="shared" si="155"/>
        <v>0</v>
      </c>
      <c r="X832" s="3">
        <f t="shared" si="156"/>
        <v>0</v>
      </c>
      <c r="Y832" s="3">
        <f t="shared" si="157"/>
        <v>0</v>
      </c>
      <c r="Z832" s="25">
        <f t="shared" si="158"/>
        <v>0</v>
      </c>
      <c r="AA832" s="26">
        <f>VLOOKUP(S832,CPI!$A$2:$F$71,6,0)</f>
        <v>1.259947899</v>
      </c>
      <c r="AB832" s="27">
        <f t="shared" si="171"/>
        <v>13970.80628</v>
      </c>
      <c r="AC832" s="27">
        <f t="shared" si="172"/>
        <v>399.1658938</v>
      </c>
      <c r="AD832" s="26" t="s">
        <v>60</v>
      </c>
      <c r="AE832" s="53" t="s">
        <v>1526</v>
      </c>
      <c r="AF832" s="130"/>
      <c r="AG832" s="130"/>
      <c r="AH832" s="130"/>
      <c r="AI832" s="130"/>
      <c r="AJ832" s="33"/>
      <c r="AK832" s="33"/>
      <c r="AL832" s="33"/>
      <c r="AM832" s="206"/>
      <c r="AN832" s="206"/>
      <c r="AO832" s="206"/>
      <c r="AP832" s="206"/>
      <c r="AQ832" s="206"/>
    </row>
    <row r="833" ht="15.75" customHeight="1">
      <c r="A833" s="38">
        <v>7353.0</v>
      </c>
      <c r="B833" s="26" t="s">
        <v>1527</v>
      </c>
      <c r="C833" s="26" t="s">
        <v>1528</v>
      </c>
      <c r="D833" s="26" t="s">
        <v>228</v>
      </c>
      <c r="E833" s="26" t="s">
        <v>228</v>
      </c>
      <c r="F833" s="25">
        <v>2015.0</v>
      </c>
      <c r="G833" s="25">
        <v>2021.0</v>
      </c>
      <c r="H833" s="25">
        <v>0.0</v>
      </c>
      <c r="I833" s="25">
        <v>22.8</v>
      </c>
      <c r="J833" s="50">
        <v>0.15</v>
      </c>
      <c r="K833" s="25">
        <v>3.4</v>
      </c>
      <c r="L833" s="51">
        <v>0.0</v>
      </c>
      <c r="M833" s="51">
        <v>0.0</v>
      </c>
      <c r="N833" s="25">
        <v>14.0</v>
      </c>
      <c r="O833" s="25"/>
      <c r="P833" s="26" t="s">
        <v>59</v>
      </c>
      <c r="Q833" s="52">
        <v>69300.0</v>
      </c>
      <c r="R833" s="26" t="s">
        <v>1529</v>
      </c>
      <c r="S833" s="25">
        <v>2018.0</v>
      </c>
      <c r="T833" s="25">
        <v>0.055</v>
      </c>
      <c r="U833" s="25">
        <f t="shared" si="169"/>
        <v>3811.5</v>
      </c>
      <c r="V833" s="24">
        <f t="shared" si="170"/>
        <v>167.1710526</v>
      </c>
      <c r="W833" s="3">
        <f t="shared" si="155"/>
        <v>0</v>
      </c>
      <c r="X833" s="3">
        <f t="shared" si="156"/>
        <v>0</v>
      </c>
      <c r="Y833" s="3">
        <f t="shared" si="157"/>
        <v>0</v>
      </c>
      <c r="Z833" s="25">
        <f t="shared" si="158"/>
        <v>0</v>
      </c>
      <c r="AA833" s="26">
        <f>VLOOKUP(S833,CPI!$A$2:$F$71,6,0)</f>
        <v>1.28277786</v>
      </c>
      <c r="AB833" s="27">
        <f t="shared" si="171"/>
        <v>4889.307812</v>
      </c>
      <c r="AC833" s="27">
        <f t="shared" si="172"/>
        <v>214.4433251</v>
      </c>
      <c r="AD833" s="26" t="s">
        <v>36</v>
      </c>
      <c r="AE833" s="57" t="s">
        <v>1530</v>
      </c>
      <c r="AF833" s="130"/>
      <c r="AG833" s="130"/>
      <c r="AH833" s="130"/>
      <c r="AI833" s="130"/>
      <c r="AJ833" s="33"/>
      <c r="AK833" s="33"/>
      <c r="AL833" s="33"/>
      <c r="AM833" s="206"/>
      <c r="AN833" s="206"/>
      <c r="AO833" s="206"/>
      <c r="AP833" s="206"/>
      <c r="AQ833" s="206"/>
    </row>
    <row r="834" ht="15.75" customHeight="1">
      <c r="A834" s="38">
        <v>7354.0</v>
      </c>
      <c r="B834" s="26" t="s">
        <v>1527</v>
      </c>
      <c r="C834" s="26" t="s">
        <v>1528</v>
      </c>
      <c r="D834" s="26" t="s">
        <v>84</v>
      </c>
      <c r="E834" s="26" t="s">
        <v>84</v>
      </c>
      <c r="F834" s="25">
        <v>2019.0</v>
      </c>
      <c r="G834" s="25">
        <v>2025.0</v>
      </c>
      <c r="H834" s="25">
        <v>0.0</v>
      </c>
      <c r="I834" s="25">
        <v>11.0</v>
      </c>
      <c r="J834" s="50">
        <v>1.0</v>
      </c>
      <c r="K834" s="25">
        <v>11.0</v>
      </c>
      <c r="L834" s="51">
        <v>0.0</v>
      </c>
      <c r="M834" s="51">
        <v>0.0</v>
      </c>
      <c r="N834" s="25">
        <v>10.0</v>
      </c>
      <c r="O834" s="25"/>
      <c r="P834" s="26" t="s">
        <v>42</v>
      </c>
      <c r="Q834" s="52">
        <v>2500.0</v>
      </c>
      <c r="R834" s="26" t="s">
        <v>37</v>
      </c>
      <c r="S834" s="25">
        <v>2022.0</v>
      </c>
      <c r="T834" s="25">
        <v>2.66</v>
      </c>
      <c r="U834" s="25">
        <f t="shared" si="169"/>
        <v>6650</v>
      </c>
      <c r="V834" s="24">
        <f t="shared" si="170"/>
        <v>604.5454545</v>
      </c>
      <c r="W834" s="3">
        <f t="shared" si="155"/>
        <v>0</v>
      </c>
      <c r="X834" s="3">
        <f t="shared" si="156"/>
        <v>0</v>
      </c>
      <c r="Y834" s="3">
        <f t="shared" si="157"/>
        <v>0</v>
      </c>
      <c r="Z834" s="25">
        <f t="shared" si="158"/>
        <v>0</v>
      </c>
      <c r="AA834" s="26">
        <f>VLOOKUP(S834,CPI!$A$2:$F$71,6,0)</f>
        <v>1.100662897</v>
      </c>
      <c r="AB834" s="27">
        <f t="shared" si="171"/>
        <v>7319.408262</v>
      </c>
      <c r="AC834" s="27">
        <f t="shared" si="172"/>
        <v>665.4007511</v>
      </c>
      <c r="AD834" s="26" t="s">
        <v>42</v>
      </c>
      <c r="AE834" s="57" t="s">
        <v>1531</v>
      </c>
      <c r="AF834" s="130"/>
      <c r="AG834" s="130"/>
      <c r="AH834" s="130"/>
      <c r="AI834" s="130"/>
      <c r="AJ834" s="33"/>
      <c r="AK834" s="33"/>
      <c r="AL834" s="33"/>
      <c r="AM834" s="206"/>
      <c r="AN834" s="206"/>
      <c r="AO834" s="206"/>
      <c r="AP834" s="206"/>
      <c r="AQ834" s="206"/>
    </row>
    <row r="835" ht="15.75" customHeight="1">
      <c r="A835" s="38">
        <v>7352.0</v>
      </c>
      <c r="B835" s="26" t="s">
        <v>1527</v>
      </c>
      <c r="C835" s="26" t="s">
        <v>1528</v>
      </c>
      <c r="D835" s="26" t="s">
        <v>253</v>
      </c>
      <c r="E835" s="26" t="s">
        <v>253</v>
      </c>
      <c r="F835" s="25">
        <v>2019.0</v>
      </c>
      <c r="G835" s="25">
        <v>2025.0</v>
      </c>
      <c r="H835" s="25">
        <v>0.0</v>
      </c>
      <c r="I835" s="25">
        <v>28.3</v>
      </c>
      <c r="J835" s="50">
        <v>1.0</v>
      </c>
      <c r="K835" s="25">
        <v>28.3</v>
      </c>
      <c r="L835" s="51">
        <v>0.0</v>
      </c>
      <c r="M835" s="51">
        <v>0.0</v>
      </c>
      <c r="N835" s="25">
        <v>13.0</v>
      </c>
      <c r="O835" s="25"/>
      <c r="P835" s="26" t="s">
        <v>42</v>
      </c>
      <c r="Q835" s="52">
        <v>356960.0</v>
      </c>
      <c r="R835" s="26" t="s">
        <v>1529</v>
      </c>
      <c r="S835" s="25">
        <v>2022.0</v>
      </c>
      <c r="T835" s="25">
        <v>0.055</v>
      </c>
      <c r="U835" s="25">
        <f t="shared" si="169"/>
        <v>19632.8</v>
      </c>
      <c r="V835" s="24">
        <f t="shared" si="170"/>
        <v>693.7385159</v>
      </c>
      <c r="W835" s="3">
        <f t="shared" si="155"/>
        <v>0</v>
      </c>
      <c r="X835" s="3">
        <f t="shared" si="156"/>
        <v>0</v>
      </c>
      <c r="Y835" s="3">
        <f t="shared" si="157"/>
        <v>0</v>
      </c>
      <c r="Z835" s="25">
        <f t="shared" si="158"/>
        <v>0</v>
      </c>
      <c r="AA835" s="26">
        <f>VLOOKUP(S835,CPI!$A$2:$F$71,6,0)</f>
        <v>1.100662897</v>
      </c>
      <c r="AB835" s="27">
        <f t="shared" si="171"/>
        <v>21609.09452</v>
      </c>
      <c r="AC835" s="27">
        <f t="shared" si="172"/>
        <v>763.5722444</v>
      </c>
      <c r="AD835" s="26" t="s">
        <v>42</v>
      </c>
      <c r="AE835" s="53" t="s">
        <v>1532</v>
      </c>
      <c r="AF835" s="130"/>
      <c r="AG835" s="130"/>
      <c r="AH835" s="130"/>
      <c r="AI835" s="130"/>
      <c r="AJ835" s="33"/>
      <c r="AK835" s="33"/>
      <c r="AL835" s="33"/>
      <c r="AM835" s="206"/>
      <c r="AN835" s="206"/>
      <c r="AO835" s="206"/>
      <c r="AP835" s="206"/>
      <c r="AQ835" s="206"/>
    </row>
    <row r="836" ht="15.75" customHeight="1">
      <c r="A836" s="38">
        <v>7355.0</v>
      </c>
      <c r="B836" s="26" t="s">
        <v>1527</v>
      </c>
      <c r="C836" s="26" t="s">
        <v>1528</v>
      </c>
      <c r="D836" s="26" t="s">
        <v>110</v>
      </c>
      <c r="E836" s="26" t="s">
        <v>110</v>
      </c>
      <c r="F836" s="25">
        <v>2021.0</v>
      </c>
      <c r="G836" s="25">
        <v>2025.0</v>
      </c>
      <c r="H836" s="25">
        <v>0.0</v>
      </c>
      <c r="I836" s="25">
        <v>15.6</v>
      </c>
      <c r="J836" s="50">
        <v>0.0</v>
      </c>
      <c r="K836" s="25">
        <v>0.0</v>
      </c>
      <c r="L836" s="51">
        <v>0.0</v>
      </c>
      <c r="M836" s="51">
        <v>0.0</v>
      </c>
      <c r="N836" s="25">
        <v>11.0</v>
      </c>
      <c r="O836" s="25"/>
      <c r="P836" s="26" t="s">
        <v>74</v>
      </c>
      <c r="Q836" s="52">
        <v>59300.0</v>
      </c>
      <c r="R836" s="26" t="s">
        <v>1529</v>
      </c>
      <c r="S836" s="25">
        <v>2023.0</v>
      </c>
      <c r="T836" s="25">
        <v>0.055</v>
      </c>
      <c r="U836" s="25">
        <f t="shared" si="169"/>
        <v>3261.5</v>
      </c>
      <c r="V836" s="24">
        <f t="shared" si="170"/>
        <v>209.0705128</v>
      </c>
      <c r="W836" s="3">
        <f t="shared" si="155"/>
        <v>0</v>
      </c>
      <c r="X836" s="3">
        <f t="shared" si="156"/>
        <v>0</v>
      </c>
      <c r="Y836" s="3">
        <f t="shared" si="157"/>
        <v>0</v>
      </c>
      <c r="Z836" s="25">
        <f t="shared" si="158"/>
        <v>0</v>
      </c>
      <c r="AA836" s="26">
        <f>VLOOKUP(S836,CPI!$A$2:$F$71,6,0)</f>
        <v>1.057145998</v>
      </c>
      <c r="AB836" s="27">
        <f t="shared" si="171"/>
        <v>3447.881674</v>
      </c>
      <c r="AC836" s="27">
        <f t="shared" si="172"/>
        <v>221.018056</v>
      </c>
      <c r="AD836" s="26" t="s">
        <v>42</v>
      </c>
      <c r="AE836" s="57" t="s">
        <v>1533</v>
      </c>
      <c r="AF836" s="130"/>
      <c r="AG836" s="130"/>
      <c r="AH836" s="130"/>
      <c r="AI836" s="130"/>
      <c r="AJ836" s="33"/>
      <c r="AK836" s="33"/>
      <c r="AL836" s="33"/>
      <c r="AM836" s="206"/>
      <c r="AN836" s="206"/>
      <c r="AO836" s="206"/>
      <c r="AP836" s="206"/>
      <c r="AQ836" s="206"/>
    </row>
    <row r="837" ht="15.75" customHeight="1">
      <c r="A837" s="38">
        <v>7475.0</v>
      </c>
      <c r="B837" s="26" t="s">
        <v>1534</v>
      </c>
      <c r="C837" s="26" t="s">
        <v>1535</v>
      </c>
      <c r="D837" s="26" t="s">
        <v>1536</v>
      </c>
      <c r="E837" s="26" t="s">
        <v>1536</v>
      </c>
      <c r="F837" s="25">
        <v>2015.0</v>
      </c>
      <c r="G837" s="25">
        <v>2020.0</v>
      </c>
      <c r="H837" s="25">
        <v>0.0</v>
      </c>
      <c r="I837" s="25">
        <v>27.1</v>
      </c>
      <c r="J837" s="50">
        <v>0.06</v>
      </c>
      <c r="K837" s="25">
        <v>1.6</v>
      </c>
      <c r="L837" s="51">
        <v>0.0</v>
      </c>
      <c r="M837" s="51">
        <v>0.0</v>
      </c>
      <c r="N837" s="25">
        <v>26.0</v>
      </c>
      <c r="O837" s="25"/>
      <c r="P837" s="26" t="s">
        <v>74</v>
      </c>
      <c r="Q837" s="52">
        <v>183000.0</v>
      </c>
      <c r="R837" s="26" t="s">
        <v>1537</v>
      </c>
      <c r="S837" s="25">
        <v>2017.0</v>
      </c>
      <c r="T837" s="25">
        <v>0.033</v>
      </c>
      <c r="U837" s="25">
        <f t="shared" si="169"/>
        <v>6039</v>
      </c>
      <c r="V837" s="24">
        <f t="shared" si="170"/>
        <v>222.8413284</v>
      </c>
      <c r="W837" s="3">
        <f t="shared" si="155"/>
        <v>0</v>
      </c>
      <c r="X837" s="3">
        <f t="shared" si="156"/>
        <v>0</v>
      </c>
      <c r="Y837" s="3">
        <f t="shared" si="157"/>
        <v>0</v>
      </c>
      <c r="Z837" s="25">
        <f t="shared" si="158"/>
        <v>0</v>
      </c>
      <c r="AA837" s="26">
        <f>VLOOKUP(S837,CPI!$A$2:$F$71,6,0)</f>
        <v>1.314109416</v>
      </c>
      <c r="AB837" s="27">
        <f t="shared" si="171"/>
        <v>7935.906762</v>
      </c>
      <c r="AC837" s="27">
        <f t="shared" si="172"/>
        <v>292.8378879</v>
      </c>
      <c r="AD837" s="26" t="s">
        <v>42</v>
      </c>
      <c r="AE837" s="57" t="s">
        <v>1538</v>
      </c>
      <c r="AF837" s="130"/>
      <c r="AG837" s="130"/>
      <c r="AH837" s="130"/>
      <c r="AI837" s="130"/>
      <c r="AJ837" s="33"/>
      <c r="AK837" s="33"/>
      <c r="AL837" s="33"/>
      <c r="AM837" s="206"/>
      <c r="AN837" s="206"/>
      <c r="AO837" s="206"/>
      <c r="AP837" s="206"/>
      <c r="AQ837" s="206"/>
    </row>
    <row r="838" ht="15.75" customHeight="1">
      <c r="A838" s="243">
        <v>11256.0</v>
      </c>
      <c r="B838" s="142" t="s">
        <v>1539</v>
      </c>
      <c r="C838" s="142" t="s">
        <v>1540</v>
      </c>
      <c r="D838" s="142" t="s">
        <v>1541</v>
      </c>
      <c r="E838" s="142" t="s">
        <v>1541</v>
      </c>
      <c r="F838" s="152">
        <v>2018.0</v>
      </c>
      <c r="G838" s="152">
        <v>2023.0</v>
      </c>
      <c r="H838" s="152">
        <v>1.0</v>
      </c>
      <c r="I838" s="152">
        <v>5.25</v>
      </c>
      <c r="J838" s="244">
        <v>1.0</v>
      </c>
      <c r="K838" s="152">
        <v>5.25</v>
      </c>
      <c r="L838" s="75">
        <v>0.0</v>
      </c>
      <c r="M838" s="75">
        <v>0.0</v>
      </c>
      <c r="N838" s="152">
        <v>2.0</v>
      </c>
      <c r="O838" s="152"/>
      <c r="P838" s="142" t="s">
        <v>74</v>
      </c>
      <c r="Q838" s="245">
        <v>1760.0</v>
      </c>
      <c r="R838" s="142" t="s">
        <v>1542</v>
      </c>
      <c r="S838" s="152">
        <v>2020.0</v>
      </c>
      <c r="T838" s="152">
        <v>0.561</v>
      </c>
      <c r="U838" s="75">
        <f t="shared" si="169"/>
        <v>987.36</v>
      </c>
      <c r="V838" s="24">
        <f t="shared" si="170"/>
        <v>188.0685714</v>
      </c>
      <c r="W838" s="3">
        <f t="shared" si="155"/>
        <v>0</v>
      </c>
      <c r="X838" s="3">
        <f t="shared" si="156"/>
        <v>0</v>
      </c>
      <c r="Y838" s="3">
        <f t="shared" si="157"/>
        <v>0</v>
      </c>
      <c r="Z838" s="25">
        <f t="shared" si="158"/>
        <v>0</v>
      </c>
      <c r="AA838" s="26">
        <f>VLOOKUP(S838,CPI!$A$2:$F$71,6,0)</f>
        <v>1.244593545</v>
      </c>
      <c r="AB838" s="27">
        <f t="shared" si="171"/>
        <v>1228.861883</v>
      </c>
      <c r="AC838" s="27">
        <f t="shared" si="172"/>
        <v>234.06893</v>
      </c>
      <c r="AD838" s="63" t="s">
        <v>36</v>
      </c>
      <c r="AE838" s="246" t="s">
        <v>1543</v>
      </c>
      <c r="AF838" s="7"/>
      <c r="AG838" s="7"/>
      <c r="AH838" s="7"/>
      <c r="AI838" s="7"/>
      <c r="AM838" s="206"/>
      <c r="AN838" s="206"/>
      <c r="AO838" s="206"/>
      <c r="AP838" s="206"/>
      <c r="AQ838" s="206"/>
    </row>
    <row r="839" ht="15.75" customHeight="1">
      <c r="A839" s="2">
        <v>7178.0</v>
      </c>
      <c r="B839" s="2" t="s">
        <v>1539</v>
      </c>
      <c r="C839" s="2" t="s">
        <v>1544</v>
      </c>
      <c r="D839" s="1" t="s">
        <v>54</v>
      </c>
      <c r="E839" s="2" t="s">
        <v>54</v>
      </c>
      <c r="F839" s="3">
        <v>2010.0</v>
      </c>
      <c r="G839" s="3">
        <v>2015.0</v>
      </c>
      <c r="H839" s="3">
        <v>0.0</v>
      </c>
      <c r="I839" s="3">
        <v>6.5</v>
      </c>
      <c r="J839" s="50">
        <v>1.0</v>
      </c>
      <c r="K839" s="3">
        <v>6.5</v>
      </c>
      <c r="L839" s="40">
        <v>0.0</v>
      </c>
      <c r="M839" s="40">
        <v>0.0</v>
      </c>
      <c r="N839" s="3">
        <v>7.0</v>
      </c>
      <c r="O839" s="3"/>
      <c r="P839" s="2" t="s">
        <v>36</v>
      </c>
      <c r="Q839" s="3">
        <v>5900.0</v>
      </c>
      <c r="R839" s="2" t="s">
        <v>1542</v>
      </c>
      <c r="S839" s="3">
        <v>2012.0</v>
      </c>
      <c r="T839" s="3">
        <v>0.557</v>
      </c>
      <c r="U839" s="3">
        <f t="shared" si="169"/>
        <v>3286.3</v>
      </c>
      <c r="V839" s="24">
        <f t="shared" si="170"/>
        <v>505.5846154</v>
      </c>
      <c r="W839" s="3">
        <f t="shared" si="155"/>
        <v>0</v>
      </c>
      <c r="X839" s="3">
        <f t="shared" si="156"/>
        <v>0</v>
      </c>
      <c r="Y839" s="3">
        <f t="shared" si="157"/>
        <v>0</v>
      </c>
      <c r="Z839" s="25">
        <f t="shared" si="158"/>
        <v>0</v>
      </c>
      <c r="AA839" s="26">
        <f>VLOOKUP(S839,CPI!$A$2:$F$71,6,0)</f>
        <v>1.402974381</v>
      </c>
      <c r="AB839" s="27">
        <f t="shared" si="171"/>
        <v>4610.594708</v>
      </c>
      <c r="AC839" s="27">
        <f t="shared" si="172"/>
        <v>709.3222627</v>
      </c>
      <c r="AD839" s="2" t="s">
        <v>36</v>
      </c>
      <c r="AE839" s="327" t="s">
        <v>1545</v>
      </c>
      <c r="AF839" s="3"/>
      <c r="AG839" s="3"/>
      <c r="AH839" s="3"/>
      <c r="AI839" s="3"/>
      <c r="AJ839" s="3"/>
      <c r="AK839" s="3"/>
      <c r="AL839" s="3"/>
      <c r="AM839" s="206"/>
      <c r="AN839" s="206"/>
      <c r="AO839" s="206"/>
      <c r="AP839" s="206"/>
      <c r="AQ839" s="206"/>
    </row>
    <row r="840" ht="15.75" customHeight="1">
      <c r="A840" s="38">
        <v>7179.0</v>
      </c>
      <c r="B840" s="26" t="s">
        <v>1539</v>
      </c>
      <c r="C840" s="26" t="s">
        <v>1544</v>
      </c>
      <c r="D840" s="1" t="s">
        <v>54</v>
      </c>
      <c r="E840" s="26" t="s">
        <v>1546</v>
      </c>
      <c r="F840" s="25">
        <v>2015.0</v>
      </c>
      <c r="G840" s="25">
        <v>2019.0</v>
      </c>
      <c r="H840" s="25">
        <v>0.0</v>
      </c>
      <c r="I840" s="25">
        <v>3.1</v>
      </c>
      <c r="J840" s="50">
        <v>1.0</v>
      </c>
      <c r="K840" s="25">
        <v>3.1</v>
      </c>
      <c r="L840" s="51">
        <v>0.0</v>
      </c>
      <c r="M840" s="51">
        <v>0.0</v>
      </c>
      <c r="N840" s="25">
        <v>3.0</v>
      </c>
      <c r="O840" s="25"/>
      <c r="P840" s="26" t="s">
        <v>36</v>
      </c>
      <c r="Q840" s="52">
        <v>1070.0</v>
      </c>
      <c r="R840" s="26" t="s">
        <v>1542</v>
      </c>
      <c r="S840" s="25">
        <v>2017.0</v>
      </c>
      <c r="T840" s="25">
        <v>0.576</v>
      </c>
      <c r="U840" s="25">
        <f t="shared" si="169"/>
        <v>616.32</v>
      </c>
      <c r="V840" s="24">
        <f t="shared" si="170"/>
        <v>198.8129032</v>
      </c>
      <c r="W840" s="3">
        <f t="shared" si="155"/>
        <v>0</v>
      </c>
      <c r="X840" s="3">
        <f t="shared" si="156"/>
        <v>0</v>
      </c>
      <c r="Y840" s="3">
        <f t="shared" si="157"/>
        <v>0</v>
      </c>
      <c r="Z840" s="25">
        <f t="shared" si="158"/>
        <v>0</v>
      </c>
      <c r="AA840" s="26">
        <f>VLOOKUP(S840,CPI!$A$2:$F$71,6,0)</f>
        <v>1.314109416</v>
      </c>
      <c r="AB840" s="27">
        <f t="shared" si="171"/>
        <v>809.9119151</v>
      </c>
      <c r="AC840" s="27">
        <f t="shared" si="172"/>
        <v>261.2619081</v>
      </c>
      <c r="AD840" s="26" t="s">
        <v>36</v>
      </c>
      <c r="AE840" s="53" t="s">
        <v>1547</v>
      </c>
      <c r="AF840" s="130"/>
      <c r="AG840" s="130"/>
      <c r="AH840" s="130"/>
      <c r="AI840" s="130"/>
      <c r="AJ840" s="33"/>
      <c r="AK840" s="33"/>
      <c r="AL840" s="33"/>
      <c r="AM840" s="206"/>
      <c r="AN840" s="206"/>
      <c r="AO840" s="206"/>
      <c r="AP840" s="206"/>
      <c r="AQ840" s="206"/>
    </row>
    <row r="841" ht="15.75" customHeight="1">
      <c r="A841" s="38">
        <v>7184.0</v>
      </c>
      <c r="B841" s="26" t="s">
        <v>1539</v>
      </c>
      <c r="C841" s="26" t="s">
        <v>1544</v>
      </c>
      <c r="D841" s="1" t="s">
        <v>54</v>
      </c>
      <c r="E841" s="63" t="s">
        <v>1548</v>
      </c>
      <c r="F841" s="25">
        <v>2015.0</v>
      </c>
      <c r="G841" s="25">
        <v>2020.0</v>
      </c>
      <c r="H841" s="25">
        <v>0.0</v>
      </c>
      <c r="I841" s="25">
        <v>3.4</v>
      </c>
      <c r="J841" s="50">
        <v>1.0</v>
      </c>
      <c r="K841" s="25">
        <v>3.4</v>
      </c>
      <c r="L841" s="51">
        <v>0.0</v>
      </c>
      <c r="M841" s="51">
        <v>0.0</v>
      </c>
      <c r="N841" s="25">
        <v>3.0</v>
      </c>
      <c r="O841" s="25"/>
      <c r="P841" s="26" t="s">
        <v>36</v>
      </c>
      <c r="Q841" s="52">
        <v>1148.0</v>
      </c>
      <c r="R841" s="26" t="s">
        <v>1542</v>
      </c>
      <c r="S841" s="25">
        <v>2017.0</v>
      </c>
      <c r="T841" s="25">
        <v>0.576</v>
      </c>
      <c r="U841" s="25">
        <f t="shared" si="169"/>
        <v>661.248</v>
      </c>
      <c r="V841" s="24">
        <f t="shared" si="170"/>
        <v>194.4847059</v>
      </c>
      <c r="W841" s="3">
        <f t="shared" si="155"/>
        <v>0</v>
      </c>
      <c r="X841" s="3">
        <f t="shared" si="156"/>
        <v>0</v>
      </c>
      <c r="Y841" s="3">
        <f t="shared" si="157"/>
        <v>0</v>
      </c>
      <c r="Z841" s="25">
        <f t="shared" si="158"/>
        <v>0</v>
      </c>
      <c r="AA841" s="26">
        <f>VLOOKUP(S841,CPI!$A$2:$F$71,6,0)</f>
        <v>1.314109416</v>
      </c>
      <c r="AB841" s="27">
        <f t="shared" si="171"/>
        <v>868.952223</v>
      </c>
      <c r="AC841" s="27">
        <f t="shared" si="172"/>
        <v>255.5741832</v>
      </c>
      <c r="AD841" s="26" t="s">
        <v>36</v>
      </c>
      <c r="AE841" s="53" t="s">
        <v>1549</v>
      </c>
      <c r="AF841" s="301"/>
      <c r="AG841" s="301"/>
      <c r="AH841" s="130"/>
      <c r="AI841" s="130"/>
      <c r="AJ841" s="33"/>
      <c r="AK841" s="33"/>
      <c r="AL841" s="33"/>
      <c r="AM841" s="206"/>
      <c r="AN841" s="206"/>
      <c r="AO841" s="206"/>
      <c r="AP841" s="206"/>
      <c r="AQ841" s="206"/>
    </row>
    <row r="842" ht="15.75" customHeight="1">
      <c r="A842" s="38">
        <v>7185.0</v>
      </c>
      <c r="B842" s="26" t="s">
        <v>1539</v>
      </c>
      <c r="C842" s="26" t="s">
        <v>1544</v>
      </c>
      <c r="D842" s="1" t="s">
        <v>54</v>
      </c>
      <c r="E842" s="26" t="s">
        <v>1550</v>
      </c>
      <c r="F842" s="25">
        <v>2018.0</v>
      </c>
      <c r="G842" s="25">
        <v>2022.0</v>
      </c>
      <c r="H842" s="25">
        <v>0.0</v>
      </c>
      <c r="I842" s="25">
        <v>4.0</v>
      </c>
      <c r="J842" s="50">
        <v>1.0</v>
      </c>
      <c r="K842" s="25">
        <v>4.0</v>
      </c>
      <c r="L842" s="51">
        <v>0.0</v>
      </c>
      <c r="M842" s="51">
        <v>0.0</v>
      </c>
      <c r="N842" s="25">
        <v>3.0</v>
      </c>
      <c r="O842" s="25"/>
      <c r="P842" s="26" t="s">
        <v>36</v>
      </c>
      <c r="Q842" s="52">
        <v>1400.0</v>
      </c>
      <c r="R842" s="26" t="s">
        <v>1542</v>
      </c>
      <c r="S842" s="25">
        <v>2020.0</v>
      </c>
      <c r="T842" s="25">
        <v>0.571</v>
      </c>
      <c r="U842" s="25">
        <f t="shared" si="169"/>
        <v>799.4</v>
      </c>
      <c r="V842" s="24">
        <f t="shared" si="170"/>
        <v>199.85</v>
      </c>
      <c r="W842" s="3">
        <f t="shared" si="155"/>
        <v>0</v>
      </c>
      <c r="X842" s="3">
        <f t="shared" si="156"/>
        <v>0</v>
      </c>
      <c r="Y842" s="3">
        <f t="shared" si="157"/>
        <v>0</v>
      </c>
      <c r="Z842" s="25">
        <f t="shared" si="158"/>
        <v>0</v>
      </c>
      <c r="AA842" s="26">
        <f>VLOOKUP(S842,CPI!$A$2:$F$71,6,0)</f>
        <v>1.244593545</v>
      </c>
      <c r="AB842" s="27">
        <f t="shared" si="171"/>
        <v>994.92808</v>
      </c>
      <c r="AC842" s="27">
        <f t="shared" si="172"/>
        <v>248.73202</v>
      </c>
      <c r="AD842" s="26" t="s">
        <v>36</v>
      </c>
      <c r="AE842" s="53" t="s">
        <v>1551</v>
      </c>
      <c r="AF842" s="130"/>
      <c r="AG842" s="130"/>
      <c r="AH842" s="130"/>
      <c r="AI842" s="130"/>
      <c r="AJ842" s="33"/>
      <c r="AK842" s="33"/>
      <c r="AL842" s="33"/>
      <c r="AM842" s="206"/>
      <c r="AN842" s="206"/>
      <c r="AO842" s="206"/>
      <c r="AP842" s="206"/>
      <c r="AQ842" s="206"/>
    </row>
    <row r="843" ht="15.75" customHeight="1">
      <c r="A843" s="38">
        <v>7384.0</v>
      </c>
      <c r="B843" s="26" t="s">
        <v>1552</v>
      </c>
      <c r="C843" s="26" t="s">
        <v>1553</v>
      </c>
      <c r="D843" s="26" t="s">
        <v>1554</v>
      </c>
      <c r="E843" s="26" t="s">
        <v>1554</v>
      </c>
      <c r="F843" s="25">
        <v>2021.0</v>
      </c>
      <c r="G843" s="25">
        <v>2023.0</v>
      </c>
      <c r="H843" s="25">
        <v>0.0</v>
      </c>
      <c r="I843" s="25">
        <v>2.0</v>
      </c>
      <c r="J843" s="50">
        <v>1.0</v>
      </c>
      <c r="K843" s="25">
        <v>2.0</v>
      </c>
      <c r="L843" s="51">
        <v>0.0</v>
      </c>
      <c r="M843" s="51">
        <v>0.0</v>
      </c>
      <c r="N843" s="25">
        <v>2.0</v>
      </c>
      <c r="O843" s="25"/>
      <c r="P843" s="26" t="s">
        <v>42</v>
      </c>
      <c r="Q843" s="52">
        <v>216.0</v>
      </c>
      <c r="R843" s="26" t="s">
        <v>52</v>
      </c>
      <c r="S843" s="25">
        <v>2021.0</v>
      </c>
      <c r="T843" s="25">
        <v>1.3</v>
      </c>
      <c r="U843" s="25">
        <f t="shared" si="169"/>
        <v>280.8</v>
      </c>
      <c r="V843" s="24">
        <f t="shared" si="170"/>
        <v>140.4</v>
      </c>
      <c r="W843" s="3">
        <f t="shared" si="155"/>
        <v>1</v>
      </c>
      <c r="X843" s="3">
        <f t="shared" si="156"/>
        <v>2</v>
      </c>
      <c r="Y843" s="3">
        <f t="shared" si="157"/>
        <v>2</v>
      </c>
      <c r="Z843" s="25">
        <f t="shared" si="158"/>
        <v>0</v>
      </c>
      <c r="AA843" s="26">
        <f>VLOOKUP(S843,CPI!$A$2:$F$71,6,0)</f>
        <v>1.188745987</v>
      </c>
      <c r="AB843" s="27">
        <f t="shared" si="171"/>
        <v>333.799873</v>
      </c>
      <c r="AC843" s="27">
        <f t="shared" si="172"/>
        <v>166.8999365</v>
      </c>
      <c r="AD843" s="26" t="s">
        <v>36</v>
      </c>
      <c r="AE843" s="53" t="s">
        <v>1555</v>
      </c>
      <c r="AF843" s="130"/>
      <c r="AG843" s="130"/>
      <c r="AH843" s="130"/>
      <c r="AI843" s="130"/>
      <c r="AJ843" s="33"/>
      <c r="AK843" s="33"/>
      <c r="AL843" s="33"/>
      <c r="AM843" s="206"/>
      <c r="AN843" s="206"/>
      <c r="AO843" s="206"/>
      <c r="AP843" s="206"/>
      <c r="AQ843" s="206"/>
    </row>
    <row r="844" ht="15.75" customHeight="1">
      <c r="A844" s="38">
        <v>7385.0</v>
      </c>
      <c r="B844" s="26" t="s">
        <v>1552</v>
      </c>
      <c r="C844" s="26" t="s">
        <v>1556</v>
      </c>
      <c r="D844" s="26" t="s">
        <v>1557</v>
      </c>
      <c r="E844" s="26" t="s">
        <v>1557</v>
      </c>
      <c r="F844" s="25">
        <v>2019.0</v>
      </c>
      <c r="G844" s="58">
        <v>2025.0</v>
      </c>
      <c r="H844" s="25">
        <v>0.0</v>
      </c>
      <c r="I844" s="25">
        <v>6.0</v>
      </c>
      <c r="J844" s="50">
        <v>0.47</v>
      </c>
      <c r="K844" s="25">
        <v>2.8</v>
      </c>
      <c r="L844" s="51">
        <v>0.0</v>
      </c>
      <c r="M844" s="51">
        <v>0.0</v>
      </c>
      <c r="N844" s="25">
        <v>7.0</v>
      </c>
      <c r="O844" s="58">
        <v>70.0</v>
      </c>
      <c r="P844" s="26" t="s">
        <v>42</v>
      </c>
      <c r="Q844" s="55">
        <v>511.0</v>
      </c>
      <c r="R844" s="26" t="s">
        <v>52</v>
      </c>
      <c r="S844" s="58">
        <v>2022.0</v>
      </c>
      <c r="T844" s="58">
        <v>1.4</v>
      </c>
      <c r="U844" s="25">
        <f t="shared" si="169"/>
        <v>715.4</v>
      </c>
      <c r="V844" s="24">
        <f t="shared" si="170"/>
        <v>119.2333333</v>
      </c>
      <c r="W844" s="3">
        <f t="shared" si="155"/>
        <v>1</v>
      </c>
      <c r="X844" s="3">
        <f t="shared" si="156"/>
        <v>6</v>
      </c>
      <c r="Y844" s="3">
        <f t="shared" si="157"/>
        <v>2.8</v>
      </c>
      <c r="Z844" s="25">
        <f t="shared" si="158"/>
        <v>0</v>
      </c>
      <c r="AA844" s="26">
        <f>VLOOKUP(S844,CPI!$A$2:$F$71,6,0)</f>
        <v>1.100662897</v>
      </c>
      <c r="AB844" s="27">
        <f t="shared" si="171"/>
        <v>787.4142362</v>
      </c>
      <c r="AC844" s="27">
        <f t="shared" si="172"/>
        <v>131.235706</v>
      </c>
      <c r="AD844" s="26" t="s">
        <v>42</v>
      </c>
      <c r="AE844" s="56" t="s">
        <v>1558</v>
      </c>
      <c r="AF844" s="130"/>
      <c r="AG844" s="130"/>
      <c r="AH844" s="130"/>
      <c r="AI844" s="130"/>
      <c r="AJ844" s="33"/>
      <c r="AK844" s="33"/>
      <c r="AL844" s="33"/>
      <c r="AM844" s="206"/>
      <c r="AN844" s="206"/>
      <c r="AO844" s="206"/>
      <c r="AP844" s="206"/>
      <c r="AQ844" s="206"/>
    </row>
    <row r="845" ht="15.75" customHeight="1">
      <c r="A845" s="61">
        <v>7388.0</v>
      </c>
      <c r="B845" s="63" t="s">
        <v>1552</v>
      </c>
      <c r="C845" s="63" t="s">
        <v>1556</v>
      </c>
      <c r="D845" s="63" t="s">
        <v>1559</v>
      </c>
      <c r="E845" s="63" t="s">
        <v>1559</v>
      </c>
      <c r="F845" s="58">
        <v>2020.0</v>
      </c>
      <c r="G845" s="58">
        <v>2026.0</v>
      </c>
      <c r="H845" s="58">
        <v>0.0</v>
      </c>
      <c r="I845" s="58">
        <v>6.3</v>
      </c>
      <c r="J845" s="59">
        <v>1.0</v>
      </c>
      <c r="K845" s="58">
        <v>6.3</v>
      </c>
      <c r="L845" s="58">
        <v>0.0</v>
      </c>
      <c r="M845" s="58">
        <v>0.0</v>
      </c>
      <c r="N845" s="58">
        <v>8.0</v>
      </c>
      <c r="O845" s="58">
        <v>70.0</v>
      </c>
      <c r="P845" s="63" t="s">
        <v>74</v>
      </c>
      <c r="Q845" s="55">
        <v>488.0</v>
      </c>
      <c r="R845" s="63" t="s">
        <v>52</v>
      </c>
      <c r="S845" s="58">
        <v>2023.0</v>
      </c>
      <c r="T845" s="58">
        <v>1.4</v>
      </c>
      <c r="U845" s="25">
        <f t="shared" si="169"/>
        <v>683.2</v>
      </c>
      <c r="V845" s="24">
        <f t="shared" si="170"/>
        <v>108.4444444</v>
      </c>
      <c r="W845" s="3">
        <f t="shared" si="155"/>
        <v>1</v>
      </c>
      <c r="X845" s="3">
        <f t="shared" si="156"/>
        <v>6.3</v>
      </c>
      <c r="Y845" s="3">
        <f t="shared" si="157"/>
        <v>6.3</v>
      </c>
      <c r="Z845" s="25">
        <f t="shared" si="158"/>
        <v>0</v>
      </c>
      <c r="AA845" s="26">
        <f>VLOOKUP(S845,CPI!$A$2:$F$71,6,0)</f>
        <v>1.057145998</v>
      </c>
      <c r="AB845" s="27">
        <f t="shared" si="171"/>
        <v>722.2421461</v>
      </c>
      <c r="AC845" s="27">
        <f t="shared" si="172"/>
        <v>114.6416105</v>
      </c>
      <c r="AD845" s="63" t="s">
        <v>42</v>
      </c>
      <c r="AE845" s="109" t="s">
        <v>1560</v>
      </c>
      <c r="AF845" s="130"/>
      <c r="AG845" s="130"/>
      <c r="AH845" s="130"/>
      <c r="AI845" s="130"/>
      <c r="AJ845" s="33"/>
      <c r="AK845" s="33"/>
      <c r="AL845" s="33"/>
      <c r="AM845" s="206"/>
      <c r="AN845" s="206"/>
      <c r="AO845" s="206"/>
      <c r="AP845" s="206"/>
      <c r="AQ845" s="206"/>
    </row>
    <row r="846" ht="15.75" customHeight="1">
      <c r="A846" s="14">
        <v>8193.0</v>
      </c>
      <c r="B846" s="15" t="s">
        <v>1561</v>
      </c>
      <c r="C846" s="15" t="s">
        <v>1562</v>
      </c>
      <c r="D846" s="15" t="s">
        <v>1563</v>
      </c>
      <c r="E846" s="15" t="s">
        <v>1563</v>
      </c>
      <c r="F846" s="17">
        <v>2013.0</v>
      </c>
      <c r="G846" s="17">
        <v>2026.0</v>
      </c>
      <c r="H846" s="17">
        <v>0.0</v>
      </c>
      <c r="I846" s="18">
        <v>124.0</v>
      </c>
      <c r="J846" s="19">
        <f>K846/I846</f>
        <v>0.8991935484</v>
      </c>
      <c r="K846" s="20">
        <v>111.5</v>
      </c>
      <c r="L846" s="21">
        <v>0.0</v>
      </c>
      <c r="M846" s="21">
        <v>0.0</v>
      </c>
      <c r="N846" s="18"/>
      <c r="O846" s="17"/>
      <c r="P846" s="22" t="s">
        <v>36</v>
      </c>
      <c r="Q846" s="23">
        <v>36000.0</v>
      </c>
      <c r="R846" s="15" t="s">
        <v>37</v>
      </c>
      <c r="S846" s="18">
        <v>2013.0</v>
      </c>
      <c r="T846" s="18">
        <v>2.5</v>
      </c>
      <c r="U846" s="18">
        <f t="shared" si="169"/>
        <v>90000</v>
      </c>
      <c r="V846" s="24">
        <f t="shared" si="170"/>
        <v>725.8064516</v>
      </c>
      <c r="W846" s="3">
        <f t="shared" si="155"/>
        <v>0</v>
      </c>
      <c r="X846" s="3">
        <f t="shared" si="156"/>
        <v>0</v>
      </c>
      <c r="Y846" s="3">
        <f t="shared" si="157"/>
        <v>0</v>
      </c>
      <c r="Z846" s="25">
        <f t="shared" si="158"/>
        <v>0</v>
      </c>
      <c r="AA846" s="26">
        <f>VLOOKUP(S846,CPI!$A$2:$F$71,6,0)</f>
        <v>1.382720845</v>
      </c>
      <c r="AB846" s="27">
        <f t="shared" si="171"/>
        <v>124444.8761</v>
      </c>
      <c r="AC846" s="27">
        <f t="shared" si="172"/>
        <v>1003.58771</v>
      </c>
      <c r="AD846" s="36" t="s">
        <v>42</v>
      </c>
      <c r="AE846" s="328" t="s">
        <v>1564</v>
      </c>
      <c r="AF846" s="130"/>
      <c r="AG846" s="130"/>
      <c r="AH846" s="130"/>
      <c r="AI846" s="130"/>
      <c r="AJ846" s="33"/>
      <c r="AK846" s="33"/>
      <c r="AL846" s="33"/>
      <c r="AM846" s="206"/>
      <c r="AN846" s="206"/>
      <c r="AO846" s="206"/>
      <c r="AP846" s="206"/>
      <c r="AQ846" s="206"/>
    </row>
    <row r="847" ht="15.75" customHeight="1">
      <c r="A847" s="38">
        <v>7186.0</v>
      </c>
      <c r="B847" s="26" t="s">
        <v>1565</v>
      </c>
      <c r="C847" s="26" t="s">
        <v>1566</v>
      </c>
      <c r="D847" s="26" t="s">
        <v>84</v>
      </c>
      <c r="E847" s="26" t="s">
        <v>84</v>
      </c>
      <c r="F847" s="25">
        <v>2014.0</v>
      </c>
      <c r="G847" s="25">
        <v>2019.0</v>
      </c>
      <c r="H847" s="25">
        <v>0.0</v>
      </c>
      <c r="I847" s="25">
        <v>6.9</v>
      </c>
      <c r="J847" s="50">
        <v>1.0</v>
      </c>
      <c r="K847" s="25">
        <v>6.9</v>
      </c>
      <c r="L847" s="51">
        <v>0.0</v>
      </c>
      <c r="M847" s="51">
        <v>0.0</v>
      </c>
      <c r="N847" s="25">
        <v>10.0</v>
      </c>
      <c r="O847" s="25"/>
      <c r="P847" s="26" t="s">
        <v>60</v>
      </c>
      <c r="Q847" s="52">
        <v>3122.0</v>
      </c>
      <c r="R847" s="26" t="s">
        <v>1567</v>
      </c>
      <c r="S847" s="25">
        <v>2016.0</v>
      </c>
      <c r="T847" s="25">
        <v>0.596</v>
      </c>
      <c r="U847" s="25">
        <f t="shared" si="169"/>
        <v>1860.712</v>
      </c>
      <c r="V847" s="24">
        <f t="shared" si="170"/>
        <v>269.6684058</v>
      </c>
      <c r="W847" s="3">
        <f t="shared" si="155"/>
        <v>0</v>
      </c>
      <c r="X847" s="3">
        <f t="shared" si="156"/>
        <v>0</v>
      </c>
      <c r="Y847" s="3">
        <f t="shared" si="157"/>
        <v>0</v>
      </c>
      <c r="Z847" s="25">
        <f t="shared" si="158"/>
        <v>0</v>
      </c>
      <c r="AA847" s="26">
        <f>VLOOKUP(S847,CPI!$A$2:$F$71,6,0)</f>
        <v>1.342104605</v>
      </c>
      <c r="AB847" s="27">
        <f t="shared" si="171"/>
        <v>2497.270144</v>
      </c>
      <c r="AC847" s="27">
        <f t="shared" si="172"/>
        <v>361.9232093</v>
      </c>
      <c r="AD847" s="26" t="s">
        <v>60</v>
      </c>
      <c r="AE847" s="57" t="s">
        <v>1568</v>
      </c>
      <c r="AF847" s="130"/>
      <c r="AG847" s="130"/>
      <c r="AH847" s="130"/>
      <c r="AI847" s="130"/>
      <c r="AJ847" s="33"/>
      <c r="AK847" s="33"/>
      <c r="AL847" s="33"/>
      <c r="AM847" s="206"/>
      <c r="AN847" s="206"/>
      <c r="AO847" s="206"/>
      <c r="AP847" s="206"/>
      <c r="AQ847" s="206"/>
    </row>
    <row r="848" ht="15.75" customHeight="1">
      <c r="A848" s="7"/>
      <c r="B848" s="115" t="s">
        <v>1565</v>
      </c>
      <c r="C848" s="115" t="s">
        <v>1569</v>
      </c>
      <c r="D848" s="115" t="s">
        <v>57</v>
      </c>
      <c r="E848" s="115" t="s">
        <v>57</v>
      </c>
      <c r="F848" s="82">
        <v>2024.0</v>
      </c>
      <c r="G848" s="115">
        <v>2031.0</v>
      </c>
      <c r="H848" s="82">
        <v>0.0</v>
      </c>
      <c r="I848" s="82">
        <v>21.0</v>
      </c>
      <c r="J848" s="247">
        <v>1.0</v>
      </c>
      <c r="K848" s="82">
        <v>21.0</v>
      </c>
      <c r="L848" s="115"/>
      <c r="M848" s="115"/>
      <c r="N848" s="82">
        <v>19.0</v>
      </c>
      <c r="O848" s="82"/>
      <c r="P848" s="115" t="s">
        <v>42</v>
      </c>
      <c r="Q848" s="248">
        <v>13700.0</v>
      </c>
      <c r="R848" s="115" t="s">
        <v>1567</v>
      </c>
      <c r="S848" s="115">
        <v>2023.0</v>
      </c>
      <c r="T848" s="115">
        <v>0.584</v>
      </c>
      <c r="U848" s="118">
        <f t="shared" si="169"/>
        <v>8000.8</v>
      </c>
      <c r="V848" s="24">
        <f t="shared" si="170"/>
        <v>380.9904762</v>
      </c>
      <c r="W848" s="3">
        <f t="shared" si="155"/>
        <v>0</v>
      </c>
      <c r="X848" s="3">
        <f t="shared" si="156"/>
        <v>0</v>
      </c>
      <c r="Y848" s="3">
        <f t="shared" si="157"/>
        <v>0</v>
      </c>
      <c r="Z848" s="25">
        <f t="shared" si="158"/>
        <v>0</v>
      </c>
      <c r="AA848" s="26">
        <f>VLOOKUP(S848,CPI!$A$2:$F$71,6,0)</f>
        <v>1.057145998</v>
      </c>
      <c r="AB848" s="27">
        <f t="shared" si="171"/>
        <v>8458.013704</v>
      </c>
      <c r="AC848" s="27">
        <f t="shared" si="172"/>
        <v>402.7625573</v>
      </c>
      <c r="AD848" s="115" t="s">
        <v>42</v>
      </c>
      <c r="AE848" s="249" t="s">
        <v>1570</v>
      </c>
      <c r="AF848" s="208"/>
      <c r="AG848" s="255"/>
      <c r="AH848" s="206"/>
      <c r="AI848" s="206"/>
      <c r="AJ848" s="206"/>
      <c r="AK848" s="206"/>
      <c r="AL848" s="206"/>
      <c r="AM848" s="206"/>
      <c r="AN848" s="206"/>
      <c r="AO848" s="206"/>
      <c r="AP848" s="206"/>
      <c r="AQ848" s="206"/>
    </row>
    <row r="849" ht="15.75" customHeight="1">
      <c r="A849" s="61">
        <v>9802.0</v>
      </c>
      <c r="B849" s="26" t="s">
        <v>1571</v>
      </c>
      <c r="C849" s="26" t="s">
        <v>1572</v>
      </c>
      <c r="D849" s="26" t="s">
        <v>1573</v>
      </c>
      <c r="E849" s="26" t="s">
        <v>1573</v>
      </c>
      <c r="F849" s="25">
        <v>2021.0</v>
      </c>
      <c r="G849" s="25">
        <v>2026.0</v>
      </c>
      <c r="H849" s="25">
        <v>0.0</v>
      </c>
      <c r="I849" s="25">
        <v>22.0</v>
      </c>
      <c r="J849" s="50">
        <v>1.0</v>
      </c>
      <c r="K849" s="25">
        <v>22.0</v>
      </c>
      <c r="L849" s="51">
        <v>0.0</v>
      </c>
      <c r="M849" s="51">
        <v>0.0</v>
      </c>
      <c r="N849" s="25">
        <v>24.0</v>
      </c>
      <c r="O849" s="25"/>
      <c r="P849" s="26" t="s">
        <v>36</v>
      </c>
      <c r="Q849" s="52">
        <v>1800.0</v>
      </c>
      <c r="R849" s="26" t="s">
        <v>52</v>
      </c>
      <c r="S849" s="25">
        <v>2023.0</v>
      </c>
      <c r="T849" s="25">
        <v>3.05</v>
      </c>
      <c r="U849" s="25">
        <f t="shared" si="169"/>
        <v>5490</v>
      </c>
      <c r="V849" s="24">
        <f t="shared" si="170"/>
        <v>249.5454545</v>
      </c>
      <c r="W849" s="3">
        <f t="shared" si="155"/>
        <v>0</v>
      </c>
      <c r="X849" s="3">
        <f t="shared" si="156"/>
        <v>0</v>
      </c>
      <c r="Y849" s="3">
        <f t="shared" si="157"/>
        <v>0</v>
      </c>
      <c r="Z849" s="25">
        <f t="shared" si="158"/>
        <v>0</v>
      </c>
      <c r="AA849" s="26">
        <f>VLOOKUP(S849,CPI!$A$2:$F$71,6,0)</f>
        <v>1.057145998</v>
      </c>
      <c r="AB849" s="27">
        <f t="shared" si="171"/>
        <v>5803.731531</v>
      </c>
      <c r="AC849" s="27">
        <f t="shared" si="172"/>
        <v>263.8059787</v>
      </c>
      <c r="AD849" s="26" t="s">
        <v>36</v>
      </c>
      <c r="AE849" s="57" t="s">
        <v>1574</v>
      </c>
      <c r="AF849" s="130"/>
      <c r="AG849" s="130"/>
      <c r="AH849" s="130"/>
      <c r="AI849" s="130"/>
      <c r="AJ849" s="33"/>
      <c r="AK849" s="33"/>
      <c r="AL849" s="33"/>
      <c r="AM849" s="206"/>
      <c r="AN849" s="206"/>
      <c r="AO849" s="206"/>
      <c r="AP849" s="206"/>
      <c r="AQ849" s="206"/>
    </row>
    <row r="850" ht="15.75" customHeight="1">
      <c r="A850" s="61">
        <v>9803.0</v>
      </c>
      <c r="B850" s="26" t="s">
        <v>1571</v>
      </c>
      <c r="C850" s="26" t="s">
        <v>1572</v>
      </c>
      <c r="D850" s="26" t="s">
        <v>1575</v>
      </c>
      <c r="E850" s="26" t="s">
        <v>1575</v>
      </c>
      <c r="F850" s="25">
        <v>2021.0</v>
      </c>
      <c r="G850" s="25">
        <v>2026.0</v>
      </c>
      <c r="H850" s="25">
        <v>0.0</v>
      </c>
      <c r="I850" s="25">
        <v>20.0</v>
      </c>
      <c r="J850" s="50">
        <v>1.0</v>
      </c>
      <c r="K850" s="25">
        <v>20.0</v>
      </c>
      <c r="L850" s="51">
        <v>0.0</v>
      </c>
      <c r="M850" s="51">
        <v>0.0</v>
      </c>
      <c r="N850" s="25">
        <v>21.0</v>
      </c>
      <c r="O850" s="25"/>
      <c r="P850" s="26" t="s">
        <v>36</v>
      </c>
      <c r="Q850" s="52">
        <v>2200.0</v>
      </c>
      <c r="R850" s="26" t="s">
        <v>52</v>
      </c>
      <c r="S850" s="25">
        <v>2023.0</v>
      </c>
      <c r="T850" s="25">
        <v>3.05</v>
      </c>
      <c r="U850" s="25">
        <f t="shared" si="169"/>
        <v>6710</v>
      </c>
      <c r="V850" s="24">
        <f t="shared" si="170"/>
        <v>335.5</v>
      </c>
      <c r="W850" s="3">
        <f t="shared" si="155"/>
        <v>0</v>
      </c>
      <c r="X850" s="3">
        <f t="shared" si="156"/>
        <v>0</v>
      </c>
      <c r="Y850" s="3">
        <f t="shared" si="157"/>
        <v>0</v>
      </c>
      <c r="Z850" s="25">
        <f t="shared" si="158"/>
        <v>0</v>
      </c>
      <c r="AA850" s="26">
        <f>VLOOKUP(S850,CPI!$A$2:$F$71,6,0)</f>
        <v>1.057145998</v>
      </c>
      <c r="AB850" s="27">
        <f t="shared" si="171"/>
        <v>7093.449649</v>
      </c>
      <c r="AC850" s="27">
        <f t="shared" si="172"/>
        <v>354.6724825</v>
      </c>
      <c r="AD850" s="26" t="s">
        <v>36</v>
      </c>
      <c r="AE850" s="57" t="s">
        <v>1574</v>
      </c>
      <c r="AF850" s="130"/>
      <c r="AG850" s="130"/>
      <c r="AH850" s="130"/>
      <c r="AI850" s="130"/>
      <c r="AJ850" s="33"/>
      <c r="AK850" s="33"/>
      <c r="AL850" s="33"/>
      <c r="AM850" s="206"/>
      <c r="AN850" s="206"/>
      <c r="AO850" s="206"/>
      <c r="AP850" s="206"/>
      <c r="AQ850" s="206"/>
    </row>
    <row r="851" ht="15.75" customHeight="1">
      <c r="A851" s="61">
        <v>20041.0</v>
      </c>
      <c r="B851" s="63" t="s">
        <v>1576</v>
      </c>
      <c r="C851" s="329" t="s">
        <v>1577</v>
      </c>
      <c r="D851" s="16" t="s">
        <v>57</v>
      </c>
      <c r="E851" s="26" t="s">
        <v>1578</v>
      </c>
      <c r="F851" s="58">
        <v>2000.0</v>
      </c>
      <c r="G851" s="58">
        <v>2005.0</v>
      </c>
      <c r="H851" s="58">
        <v>0.0</v>
      </c>
      <c r="I851" s="58">
        <v>6.8</v>
      </c>
      <c r="J851" s="50">
        <f t="shared" ref="J851:J872" si="173">K851/I851</f>
        <v>0.9705882353</v>
      </c>
      <c r="K851" s="58">
        <v>6.6</v>
      </c>
      <c r="L851" s="58">
        <v>0.2</v>
      </c>
      <c r="M851" s="58">
        <v>0.0</v>
      </c>
      <c r="N851" s="58">
        <v>4.0</v>
      </c>
      <c r="O851" s="58" t="s">
        <v>1579</v>
      </c>
      <c r="P851" s="63" t="s">
        <v>74</v>
      </c>
      <c r="Q851" s="55">
        <v>14000.0</v>
      </c>
      <c r="R851" s="63" t="s">
        <v>1580</v>
      </c>
      <c r="S851" s="58">
        <v>2005.0</v>
      </c>
      <c r="T851" s="25">
        <v>0.07851678</v>
      </c>
      <c r="U851" s="330">
        <f t="shared" si="169"/>
        <v>1099.23492</v>
      </c>
      <c r="V851" s="24">
        <f t="shared" si="170"/>
        <v>161.6521941</v>
      </c>
      <c r="W851" s="3">
        <f t="shared" si="155"/>
        <v>0</v>
      </c>
      <c r="X851" s="3">
        <f t="shared" si="156"/>
        <v>0</v>
      </c>
      <c r="Y851" s="3">
        <f t="shared" si="157"/>
        <v>0</v>
      </c>
      <c r="Z851" s="58">
        <v>0.0</v>
      </c>
      <c r="AA851" s="26">
        <f>VLOOKUP(S851,CPI!$A$2:$F$71,6,0)</f>
        <v>1.649331797</v>
      </c>
      <c r="AB851" s="27">
        <f t="shared" si="171"/>
        <v>1813.003106</v>
      </c>
      <c r="AC851" s="27">
        <f t="shared" si="172"/>
        <v>266.6181039</v>
      </c>
      <c r="AD851" s="63" t="s">
        <v>42</v>
      </c>
      <c r="AE851" s="56" t="s">
        <v>1581</v>
      </c>
      <c r="AF851" s="130"/>
      <c r="AG851" s="130"/>
      <c r="AH851" s="130"/>
      <c r="AI851" s="130"/>
      <c r="AJ851" s="33"/>
      <c r="AK851" s="33"/>
      <c r="AL851" s="33"/>
      <c r="AM851" s="206"/>
      <c r="AN851" s="206"/>
      <c r="AO851" s="206"/>
      <c r="AP851" s="206"/>
      <c r="AQ851" s="206"/>
    </row>
    <row r="852" ht="15.75" customHeight="1">
      <c r="A852" s="331">
        <v>20042.0</v>
      </c>
      <c r="B852" s="332" t="s">
        <v>1576</v>
      </c>
      <c r="C852" s="333" t="s">
        <v>1577</v>
      </c>
      <c r="D852" s="334" t="s">
        <v>57</v>
      </c>
      <c r="E852" s="332" t="s">
        <v>1582</v>
      </c>
      <c r="F852" s="58">
        <v>2006.0</v>
      </c>
      <c r="G852" s="58">
        <v>2008.0</v>
      </c>
      <c r="H852" s="58">
        <v>0.0</v>
      </c>
      <c r="I852" s="58">
        <v>1.6</v>
      </c>
      <c r="J852" s="50">
        <f t="shared" si="173"/>
        <v>1</v>
      </c>
      <c r="K852" s="58">
        <v>1.6</v>
      </c>
      <c r="L852" s="58">
        <v>0.0</v>
      </c>
      <c r="M852" s="58">
        <v>0.0</v>
      </c>
      <c r="N852" s="58">
        <v>1.0</v>
      </c>
      <c r="O852" s="58" t="s">
        <v>1579</v>
      </c>
      <c r="P852" s="63" t="s">
        <v>74</v>
      </c>
      <c r="Q852" s="52"/>
      <c r="R852" s="26"/>
      <c r="S852" s="25"/>
      <c r="T852" s="25"/>
      <c r="U852" s="330">
        <f t="shared" si="169"/>
        <v>0</v>
      </c>
      <c r="V852" s="24">
        <f t="shared" si="170"/>
        <v>0</v>
      </c>
      <c r="W852" s="3">
        <f t="shared" si="155"/>
        <v>0</v>
      </c>
      <c r="X852" s="3">
        <f t="shared" si="156"/>
        <v>0</v>
      </c>
      <c r="Y852" s="3">
        <f t="shared" si="157"/>
        <v>0</v>
      </c>
      <c r="Z852" s="58">
        <v>0.0</v>
      </c>
      <c r="AA852" s="26" t="str">
        <f>VLOOKUP(S852,CPI!$A$2:$F$71,6,0)</f>
        <v>#N/A</v>
      </c>
      <c r="AB852" s="27" t="str">
        <f t="shared" si="171"/>
        <v>#N/A</v>
      </c>
      <c r="AC852" s="27" t="str">
        <f t="shared" si="172"/>
        <v>#N/A</v>
      </c>
      <c r="AD852" s="26"/>
      <c r="AE852" s="335"/>
      <c r="AF852" s="130"/>
      <c r="AG852" s="130"/>
      <c r="AH852" s="130"/>
      <c r="AI852" s="130"/>
      <c r="AJ852" s="33"/>
      <c r="AK852" s="33"/>
      <c r="AL852" s="33"/>
      <c r="AM852" s="206"/>
      <c r="AN852" s="206"/>
      <c r="AO852" s="206"/>
      <c r="AP852" s="206"/>
      <c r="AQ852" s="206"/>
    </row>
    <row r="853" ht="15.75" customHeight="1">
      <c r="A853" s="61">
        <v>20043.0</v>
      </c>
      <c r="B853" s="63" t="s">
        <v>1576</v>
      </c>
      <c r="C853" s="329" t="s">
        <v>1577</v>
      </c>
      <c r="D853" s="16" t="s">
        <v>57</v>
      </c>
      <c r="E853" s="26" t="s">
        <v>1583</v>
      </c>
      <c r="F853" s="58">
        <v>2006.0</v>
      </c>
      <c r="G853" s="58">
        <v>2010.0</v>
      </c>
      <c r="H853" s="58">
        <v>0.0</v>
      </c>
      <c r="I853" s="58">
        <v>2.6</v>
      </c>
      <c r="J853" s="50">
        <f t="shared" si="173"/>
        <v>1</v>
      </c>
      <c r="K853" s="58">
        <v>2.6</v>
      </c>
      <c r="L853" s="58">
        <v>0.0</v>
      </c>
      <c r="M853" s="58">
        <v>0.0</v>
      </c>
      <c r="N853" s="58">
        <v>1.0</v>
      </c>
      <c r="O853" s="58" t="s">
        <v>1579</v>
      </c>
      <c r="P853" s="63" t="s">
        <v>74</v>
      </c>
      <c r="Q853" s="55">
        <v>3000.0</v>
      </c>
      <c r="R853" s="63" t="s">
        <v>1580</v>
      </c>
      <c r="S853" s="58">
        <v>2008.0</v>
      </c>
      <c r="T853" s="58">
        <v>0.069729191</v>
      </c>
      <c r="U853" s="330">
        <f t="shared" si="169"/>
        <v>209.187573</v>
      </c>
      <c r="V853" s="24">
        <f t="shared" si="170"/>
        <v>80.45675885</v>
      </c>
      <c r="W853" s="3">
        <f t="shared" si="155"/>
        <v>0</v>
      </c>
      <c r="X853" s="3">
        <f t="shared" si="156"/>
        <v>0</v>
      </c>
      <c r="Y853" s="3">
        <f t="shared" si="157"/>
        <v>0</v>
      </c>
      <c r="Z853" s="58">
        <v>0.0</v>
      </c>
      <c r="AA853" s="26">
        <f>VLOOKUP(S853,CPI!$A$2:$F$71,6,0)</f>
        <v>1.496098522</v>
      </c>
      <c r="AB853" s="27">
        <f t="shared" si="171"/>
        <v>312.9652187</v>
      </c>
      <c r="AC853" s="27">
        <f t="shared" si="172"/>
        <v>120.371238</v>
      </c>
      <c r="AD853" s="63" t="s">
        <v>42</v>
      </c>
      <c r="AE853" s="56" t="s">
        <v>1584</v>
      </c>
      <c r="AF853" s="130"/>
      <c r="AG853" s="130"/>
      <c r="AH853" s="130"/>
      <c r="AI853" s="130"/>
      <c r="AJ853" s="33"/>
      <c r="AK853" s="33"/>
      <c r="AL853" s="33"/>
      <c r="AM853" s="206"/>
      <c r="AN853" s="206"/>
      <c r="AO853" s="206"/>
      <c r="AP853" s="206"/>
      <c r="AQ853" s="206"/>
    </row>
    <row r="854" ht="15.75" customHeight="1">
      <c r="A854" s="61">
        <v>20044.0</v>
      </c>
      <c r="B854" s="63" t="s">
        <v>1576</v>
      </c>
      <c r="C854" s="329" t="s">
        <v>1577</v>
      </c>
      <c r="D854" s="16" t="s">
        <v>57</v>
      </c>
      <c r="E854" s="26" t="s">
        <v>1585</v>
      </c>
      <c r="F854" s="58">
        <v>2009.0</v>
      </c>
      <c r="G854" s="58">
        <v>2013.0</v>
      </c>
      <c r="H854" s="58">
        <v>0.0</v>
      </c>
      <c r="I854" s="58">
        <v>4.8</v>
      </c>
      <c r="J854" s="50">
        <f t="shared" si="173"/>
        <v>1</v>
      </c>
      <c r="K854" s="58">
        <v>4.8</v>
      </c>
      <c r="L854" s="58">
        <v>0.0</v>
      </c>
      <c r="M854" s="58">
        <v>0.0</v>
      </c>
      <c r="N854" s="58">
        <v>3.0</v>
      </c>
      <c r="O854" s="58" t="s">
        <v>1579</v>
      </c>
      <c r="P854" s="63" t="s">
        <v>74</v>
      </c>
      <c r="Q854" s="55">
        <v>12000.0</v>
      </c>
      <c r="R854" s="63" t="s">
        <v>1580</v>
      </c>
      <c r="S854" s="58">
        <v>2011.0</v>
      </c>
      <c r="T854" s="58">
        <v>0.054218971</v>
      </c>
      <c r="U854" s="330">
        <f t="shared" si="169"/>
        <v>650.627652</v>
      </c>
      <c r="V854" s="24">
        <f t="shared" si="170"/>
        <v>135.5474275</v>
      </c>
      <c r="W854" s="3">
        <f t="shared" si="155"/>
        <v>0</v>
      </c>
      <c r="X854" s="3">
        <f t="shared" si="156"/>
        <v>0</v>
      </c>
      <c r="Y854" s="3">
        <f t="shared" si="157"/>
        <v>0</v>
      </c>
      <c r="Z854" s="58">
        <v>0.0</v>
      </c>
      <c r="AA854" s="26">
        <f>VLOOKUP(S854,CPI!$A$2:$F$71,6,0)</f>
        <v>1.432008233</v>
      </c>
      <c r="AB854" s="27">
        <f t="shared" si="171"/>
        <v>931.7041545</v>
      </c>
      <c r="AC854" s="27">
        <f t="shared" si="172"/>
        <v>194.1050322</v>
      </c>
      <c r="AD854" s="63" t="s">
        <v>42</v>
      </c>
      <c r="AE854" s="336" t="s">
        <v>1584</v>
      </c>
      <c r="AF854" s="301"/>
      <c r="AG854" s="301"/>
      <c r="AH854" s="301"/>
      <c r="AI854" s="301"/>
      <c r="AJ854" s="315"/>
      <c r="AK854" s="315"/>
      <c r="AL854" s="315"/>
      <c r="AM854" s="316"/>
      <c r="AN854" s="316"/>
      <c r="AO854" s="316"/>
      <c r="AP854" s="206"/>
      <c r="AQ854" s="206"/>
    </row>
    <row r="855" ht="15.75" customHeight="1">
      <c r="A855" s="61">
        <v>20045.0</v>
      </c>
      <c r="B855" s="63" t="s">
        <v>1576</v>
      </c>
      <c r="C855" s="329" t="s">
        <v>1577</v>
      </c>
      <c r="D855" s="16" t="s">
        <v>57</v>
      </c>
      <c r="E855" s="26" t="s">
        <v>1586</v>
      </c>
      <c r="F855" s="58">
        <v>2015.0</v>
      </c>
      <c r="G855" s="58">
        <v>2018.0</v>
      </c>
      <c r="H855" s="58">
        <v>0.0</v>
      </c>
      <c r="I855" s="58">
        <v>1.1</v>
      </c>
      <c r="J855" s="50">
        <f t="shared" si="173"/>
        <v>1</v>
      </c>
      <c r="K855" s="58">
        <v>1.1</v>
      </c>
      <c r="L855" s="58">
        <v>0.0</v>
      </c>
      <c r="M855" s="58">
        <v>0.0</v>
      </c>
      <c r="N855" s="58">
        <v>1.0</v>
      </c>
      <c r="O855" s="58" t="s">
        <v>1579</v>
      </c>
      <c r="P855" s="63" t="s">
        <v>74</v>
      </c>
      <c r="Q855" s="55">
        <v>5200.0</v>
      </c>
      <c r="R855" s="63" t="s">
        <v>1580</v>
      </c>
      <c r="S855" s="58">
        <v>2017.0</v>
      </c>
      <c r="T855" s="25">
        <v>0.04145218</v>
      </c>
      <c r="U855" s="330">
        <f t="shared" si="169"/>
        <v>215.551336</v>
      </c>
      <c r="V855" s="24">
        <f t="shared" si="170"/>
        <v>195.95576</v>
      </c>
      <c r="W855" s="3">
        <f t="shared" si="155"/>
        <v>0</v>
      </c>
      <c r="X855" s="3">
        <f t="shared" si="156"/>
        <v>0</v>
      </c>
      <c r="Y855" s="3">
        <f t="shared" si="157"/>
        <v>0</v>
      </c>
      <c r="Z855" s="58">
        <v>0.0</v>
      </c>
      <c r="AA855" s="26">
        <f>VLOOKUP(S855,CPI!$A$2:$F$71,6,0)</f>
        <v>1.314109416</v>
      </c>
      <c r="AB855" s="27">
        <f t="shared" si="171"/>
        <v>283.2580402</v>
      </c>
      <c r="AC855" s="27">
        <f t="shared" si="172"/>
        <v>257.5073093</v>
      </c>
      <c r="AD855" s="63" t="s">
        <v>42</v>
      </c>
      <c r="AE855" s="56" t="s">
        <v>1587</v>
      </c>
      <c r="AF855" s="130"/>
      <c r="AG855" s="130"/>
      <c r="AH855" s="130"/>
      <c r="AI855" s="130"/>
      <c r="AJ855" s="33"/>
      <c r="AK855" s="33"/>
      <c r="AL855" s="33"/>
      <c r="AM855" s="206"/>
      <c r="AN855" s="206"/>
      <c r="AO855" s="206"/>
      <c r="AP855" s="206"/>
      <c r="AQ855" s="206"/>
    </row>
    <row r="856" ht="15.75" customHeight="1">
      <c r="A856" s="61">
        <v>20046.0</v>
      </c>
      <c r="B856" s="63" t="s">
        <v>1576</v>
      </c>
      <c r="C856" s="329" t="s">
        <v>1577</v>
      </c>
      <c r="D856" s="16" t="s">
        <v>54</v>
      </c>
      <c r="E856" s="26" t="s">
        <v>1588</v>
      </c>
      <c r="F856" s="58">
        <v>2019.0</v>
      </c>
      <c r="G856" s="58">
        <v>2027.0</v>
      </c>
      <c r="H856" s="58">
        <v>0.0</v>
      </c>
      <c r="I856" s="58">
        <v>5.37</v>
      </c>
      <c r="J856" s="50">
        <f t="shared" si="173"/>
        <v>1</v>
      </c>
      <c r="K856" s="58">
        <v>5.37</v>
      </c>
      <c r="L856" s="58">
        <v>0.0</v>
      </c>
      <c r="M856" s="58">
        <v>0.0</v>
      </c>
      <c r="N856" s="58">
        <v>4.0</v>
      </c>
      <c r="O856" s="58" t="s">
        <v>1579</v>
      </c>
      <c r="P856" s="63" t="s">
        <v>60</v>
      </c>
      <c r="Q856" s="55">
        <v>41107.62235</v>
      </c>
      <c r="R856" s="63" t="s">
        <v>1580</v>
      </c>
      <c r="S856" s="58">
        <v>2025.0</v>
      </c>
      <c r="T856" s="25">
        <v>0.028179223</v>
      </c>
      <c r="U856" s="330">
        <f t="shared" si="169"/>
        <v>1158.380857</v>
      </c>
      <c r="V856" s="24">
        <f t="shared" si="170"/>
        <v>215.7133812</v>
      </c>
      <c r="W856" s="3">
        <f t="shared" si="155"/>
        <v>0</v>
      </c>
      <c r="X856" s="3">
        <f t="shared" si="156"/>
        <v>0</v>
      </c>
      <c r="Y856" s="3">
        <f t="shared" si="157"/>
        <v>0</v>
      </c>
      <c r="Z856" s="58">
        <v>0.0</v>
      </c>
      <c r="AA856" s="26">
        <f>VLOOKUP(S856,CPI!$A$2:$F$71,6,0)</f>
        <v>1</v>
      </c>
      <c r="AB856" s="27">
        <f t="shared" si="171"/>
        <v>1158.380857</v>
      </c>
      <c r="AC856" s="27">
        <f t="shared" si="172"/>
        <v>215.7133812</v>
      </c>
      <c r="AD856" s="63" t="s">
        <v>60</v>
      </c>
      <c r="AE856" s="337" t="s">
        <v>1589</v>
      </c>
      <c r="AF856" s="130"/>
      <c r="AG856" s="130"/>
      <c r="AH856" s="130"/>
      <c r="AI856" s="130"/>
      <c r="AJ856" s="33"/>
      <c r="AK856" s="33"/>
      <c r="AL856" s="33"/>
      <c r="AM856" s="206"/>
      <c r="AN856" s="206"/>
      <c r="AO856" s="206"/>
      <c r="AP856" s="206"/>
      <c r="AQ856" s="206"/>
    </row>
    <row r="857" ht="15.75" customHeight="1">
      <c r="A857" s="331">
        <v>20054.0</v>
      </c>
      <c r="B857" s="332" t="s">
        <v>1576</v>
      </c>
      <c r="C857" s="333" t="s">
        <v>1590</v>
      </c>
      <c r="D857" s="334" t="s">
        <v>253</v>
      </c>
      <c r="E857" s="332" t="s">
        <v>1591</v>
      </c>
      <c r="F857" s="58">
        <v>2000.0</v>
      </c>
      <c r="G857" s="58">
        <v>2001.0</v>
      </c>
      <c r="H857" s="58">
        <v>0.0</v>
      </c>
      <c r="I857" s="58">
        <v>1.21</v>
      </c>
      <c r="J857" s="50">
        <f t="shared" si="173"/>
        <v>1</v>
      </c>
      <c r="K857" s="58">
        <v>1.21</v>
      </c>
      <c r="L857" s="58">
        <v>0.0</v>
      </c>
      <c r="M857" s="58">
        <v>0.0</v>
      </c>
      <c r="N857" s="58">
        <v>1.0</v>
      </c>
      <c r="O857" s="58" t="s">
        <v>1592</v>
      </c>
      <c r="P857" s="63" t="s">
        <v>74</v>
      </c>
      <c r="Q857" s="52"/>
      <c r="R857" s="26"/>
      <c r="S857" s="25"/>
      <c r="T857" s="25"/>
      <c r="U857" s="330">
        <f t="shared" si="169"/>
        <v>0</v>
      </c>
      <c r="V857" s="24">
        <f t="shared" si="170"/>
        <v>0</v>
      </c>
      <c r="W857" s="3">
        <f t="shared" si="155"/>
        <v>0</v>
      </c>
      <c r="X857" s="3">
        <f t="shared" si="156"/>
        <v>0</v>
      </c>
      <c r="Y857" s="3">
        <f t="shared" si="157"/>
        <v>0</v>
      </c>
      <c r="Z857" s="58">
        <v>0.0</v>
      </c>
      <c r="AA857" s="26" t="str">
        <f>VLOOKUP(S857,CPI!$A$2:$F$71,6,0)</f>
        <v>#N/A</v>
      </c>
      <c r="AB857" s="27" t="str">
        <f t="shared" si="171"/>
        <v>#N/A</v>
      </c>
      <c r="AC857" s="27" t="str">
        <f t="shared" si="172"/>
        <v>#N/A</v>
      </c>
      <c r="AD857" s="26"/>
      <c r="AE857" s="335"/>
      <c r="AF857" s="130"/>
      <c r="AG857" s="130"/>
      <c r="AH857" s="130"/>
      <c r="AI857" s="130"/>
      <c r="AJ857" s="33"/>
      <c r="AK857" s="33"/>
      <c r="AL857" s="33"/>
      <c r="AM857" s="206"/>
      <c r="AN857" s="206"/>
      <c r="AO857" s="206"/>
      <c r="AP857" s="206"/>
      <c r="AQ857" s="206"/>
    </row>
    <row r="858" ht="15.75" customHeight="1">
      <c r="A858" s="331">
        <v>20055.0</v>
      </c>
      <c r="B858" s="332" t="s">
        <v>1576</v>
      </c>
      <c r="C858" s="333" t="s">
        <v>1590</v>
      </c>
      <c r="D858" s="334" t="s">
        <v>253</v>
      </c>
      <c r="E858" s="332" t="s">
        <v>1593</v>
      </c>
      <c r="F858" s="58">
        <v>2001.0</v>
      </c>
      <c r="G858" s="58">
        <v>2002.0</v>
      </c>
      <c r="H858" s="58">
        <v>0.0</v>
      </c>
      <c r="I858" s="58">
        <v>2.03</v>
      </c>
      <c r="J858" s="50">
        <f t="shared" si="173"/>
        <v>1</v>
      </c>
      <c r="K858" s="58">
        <v>2.03</v>
      </c>
      <c r="L858" s="58">
        <v>0.0</v>
      </c>
      <c r="M858" s="58">
        <v>0.0</v>
      </c>
      <c r="N858" s="58">
        <v>1.0</v>
      </c>
      <c r="O858" s="58" t="s">
        <v>1592</v>
      </c>
      <c r="P858" s="63" t="s">
        <v>74</v>
      </c>
      <c r="Q858" s="52"/>
      <c r="R858" s="26"/>
      <c r="S858" s="25"/>
      <c r="T858" s="25"/>
      <c r="U858" s="330">
        <f t="shared" si="169"/>
        <v>0</v>
      </c>
      <c r="V858" s="24">
        <f t="shared" si="170"/>
        <v>0</v>
      </c>
      <c r="W858" s="3">
        <f t="shared" si="155"/>
        <v>0</v>
      </c>
      <c r="X858" s="3">
        <f t="shared" si="156"/>
        <v>0</v>
      </c>
      <c r="Y858" s="3">
        <f t="shared" si="157"/>
        <v>0</v>
      </c>
      <c r="Z858" s="58">
        <v>0.0</v>
      </c>
      <c r="AA858" s="26" t="str">
        <f>VLOOKUP(S858,CPI!$A$2:$F$71,6,0)</f>
        <v>#N/A</v>
      </c>
      <c r="AB858" s="27" t="str">
        <f t="shared" si="171"/>
        <v>#N/A</v>
      </c>
      <c r="AC858" s="27" t="str">
        <f t="shared" si="172"/>
        <v>#N/A</v>
      </c>
      <c r="AD858" s="26"/>
      <c r="AE858" s="335"/>
      <c r="AF858" s="130"/>
      <c r="AG858" s="130"/>
      <c r="AH858" s="130"/>
      <c r="AI858" s="130"/>
      <c r="AJ858" s="33"/>
      <c r="AK858" s="33"/>
      <c r="AL858" s="33"/>
      <c r="AM858" s="206"/>
      <c r="AN858" s="206"/>
      <c r="AO858" s="206"/>
      <c r="AP858" s="206"/>
      <c r="AQ858" s="206"/>
    </row>
    <row r="859" ht="15.75" customHeight="1">
      <c r="A859" s="61">
        <v>20057.0</v>
      </c>
      <c r="B859" s="63" t="s">
        <v>1576</v>
      </c>
      <c r="C859" s="329" t="s">
        <v>1590</v>
      </c>
      <c r="D859" s="16" t="s">
        <v>287</v>
      </c>
      <c r="E859" s="26" t="s">
        <v>1594</v>
      </c>
      <c r="F859" s="58">
        <v>1999.0</v>
      </c>
      <c r="G859" s="58">
        <v>2003.0</v>
      </c>
      <c r="H859" s="58">
        <v>0.0</v>
      </c>
      <c r="I859" s="58">
        <v>5.9</v>
      </c>
      <c r="J859" s="50">
        <f t="shared" si="173"/>
        <v>0.3389830508</v>
      </c>
      <c r="K859" s="58">
        <v>2.0</v>
      </c>
      <c r="L859" s="58">
        <v>3.9</v>
      </c>
      <c r="M859" s="58">
        <v>0.0</v>
      </c>
      <c r="N859" s="58">
        <v>5.0</v>
      </c>
      <c r="O859" s="58" t="s">
        <v>1595</v>
      </c>
      <c r="P859" s="63" t="s">
        <v>74</v>
      </c>
      <c r="Q859" s="55">
        <v>6560.0</v>
      </c>
      <c r="R859" s="63" t="s">
        <v>1580</v>
      </c>
      <c r="S859" s="58">
        <v>2003.0</v>
      </c>
      <c r="T859" s="58">
        <v>0.101350115</v>
      </c>
      <c r="U859" s="330">
        <f t="shared" si="169"/>
        <v>664.8567544</v>
      </c>
      <c r="V859" s="24">
        <f t="shared" si="170"/>
        <v>112.6875855</v>
      </c>
      <c r="W859" s="3">
        <f t="shared" si="155"/>
        <v>0</v>
      </c>
      <c r="X859" s="3">
        <f t="shared" si="156"/>
        <v>0</v>
      </c>
      <c r="Y859" s="3">
        <f t="shared" si="157"/>
        <v>0</v>
      </c>
      <c r="Z859" s="58">
        <v>0.0</v>
      </c>
      <c r="AA859" s="26">
        <f>VLOOKUP(S859,CPI!$A$2:$F$71,6,0)</f>
        <v>1.750622283</v>
      </c>
      <c r="AB859" s="27">
        <f t="shared" si="171"/>
        <v>1163.913049</v>
      </c>
      <c r="AC859" s="27">
        <f t="shared" si="172"/>
        <v>197.2733981</v>
      </c>
      <c r="AD859" s="63" t="s">
        <v>42</v>
      </c>
      <c r="AE859" s="338"/>
      <c r="AF859" s="130"/>
      <c r="AG859" s="130"/>
      <c r="AH859" s="130"/>
      <c r="AI859" s="130"/>
      <c r="AJ859" s="33"/>
      <c r="AK859" s="33"/>
      <c r="AL859" s="33"/>
      <c r="AM859" s="206"/>
      <c r="AN859" s="206"/>
      <c r="AO859" s="206"/>
      <c r="AP859" s="206"/>
      <c r="AQ859" s="206"/>
    </row>
    <row r="860" ht="15.75" customHeight="1">
      <c r="A860" s="331">
        <v>20056.0</v>
      </c>
      <c r="B860" s="332" t="s">
        <v>1576</v>
      </c>
      <c r="C860" s="333" t="s">
        <v>1590</v>
      </c>
      <c r="D860" s="334" t="s">
        <v>87</v>
      </c>
      <c r="E860" s="332" t="s">
        <v>1596</v>
      </c>
      <c r="F860" s="58">
        <v>2000.0</v>
      </c>
      <c r="G860" s="58">
        <v>2003.0</v>
      </c>
      <c r="H860" s="58">
        <v>0.0</v>
      </c>
      <c r="I860" s="58">
        <v>4.2</v>
      </c>
      <c r="J860" s="50">
        <f t="shared" si="173"/>
        <v>1</v>
      </c>
      <c r="K860" s="58">
        <v>4.2</v>
      </c>
      <c r="L860" s="58">
        <v>0.0</v>
      </c>
      <c r="M860" s="58">
        <v>0.0</v>
      </c>
      <c r="N860" s="58">
        <v>2.0</v>
      </c>
      <c r="O860" s="58" t="s">
        <v>1597</v>
      </c>
      <c r="P860" s="63" t="s">
        <v>74</v>
      </c>
      <c r="Q860" s="52"/>
      <c r="R860" s="26"/>
      <c r="S860" s="25"/>
      <c r="T860" s="25"/>
      <c r="U860" s="330">
        <f t="shared" si="169"/>
        <v>0</v>
      </c>
      <c r="V860" s="24">
        <f t="shared" si="170"/>
        <v>0</v>
      </c>
      <c r="W860" s="3">
        <f t="shared" si="155"/>
        <v>0</v>
      </c>
      <c r="X860" s="3">
        <f t="shared" si="156"/>
        <v>0</v>
      </c>
      <c r="Y860" s="3">
        <f t="shared" si="157"/>
        <v>0</v>
      </c>
      <c r="Z860" s="58">
        <v>0.0</v>
      </c>
      <c r="AA860" s="26" t="str">
        <f>VLOOKUP(S860,CPI!$A$2:$F$71,6,0)</f>
        <v>#N/A</v>
      </c>
      <c r="AB860" s="27" t="str">
        <f t="shared" si="171"/>
        <v>#N/A</v>
      </c>
      <c r="AC860" s="27" t="str">
        <f t="shared" si="172"/>
        <v>#N/A</v>
      </c>
      <c r="AD860" s="26"/>
      <c r="AE860" s="335"/>
      <c r="AF860" s="130"/>
      <c r="AG860" s="130"/>
      <c r="AH860" s="130"/>
      <c r="AI860" s="130"/>
      <c r="AJ860" s="33"/>
      <c r="AK860" s="33"/>
      <c r="AL860" s="33"/>
      <c r="AM860" s="206"/>
      <c r="AN860" s="206"/>
      <c r="AO860" s="206"/>
      <c r="AP860" s="206"/>
      <c r="AQ860" s="206"/>
    </row>
    <row r="861" ht="15.75" customHeight="1">
      <c r="A861" s="61">
        <v>20058.0</v>
      </c>
      <c r="B861" s="63" t="s">
        <v>1576</v>
      </c>
      <c r="C861" s="329" t="s">
        <v>1590</v>
      </c>
      <c r="D861" s="16" t="s">
        <v>1598</v>
      </c>
      <c r="E861" s="26" t="s">
        <v>1599</v>
      </c>
      <c r="F861" s="58">
        <v>2001.0</v>
      </c>
      <c r="G861" s="58">
        <v>2004.0</v>
      </c>
      <c r="H861" s="58">
        <v>0.0</v>
      </c>
      <c r="I861" s="58">
        <v>5.13</v>
      </c>
      <c r="J861" s="50">
        <f t="shared" si="173"/>
        <v>0</v>
      </c>
      <c r="K861" s="58">
        <v>0.0</v>
      </c>
      <c r="L861" s="58">
        <v>5.13</v>
      </c>
      <c r="M861" s="58">
        <v>0.0</v>
      </c>
      <c r="N861" s="58">
        <v>6.0</v>
      </c>
      <c r="O861" s="58" t="s">
        <v>1600</v>
      </c>
      <c r="P861" s="63" t="s">
        <v>74</v>
      </c>
      <c r="Q861" s="55">
        <v>6335.0</v>
      </c>
      <c r="R861" s="63" t="s">
        <v>1580</v>
      </c>
      <c r="S861" s="58">
        <v>2015.0</v>
      </c>
      <c r="T861" s="58">
        <v>0.042440081</v>
      </c>
      <c r="U861" s="330">
        <f t="shared" si="169"/>
        <v>268.8579131</v>
      </c>
      <c r="V861" s="24">
        <f t="shared" si="170"/>
        <v>52.40894993</v>
      </c>
      <c r="W861" s="3">
        <f t="shared" si="155"/>
        <v>0</v>
      </c>
      <c r="X861" s="3">
        <f t="shared" si="156"/>
        <v>0</v>
      </c>
      <c r="Y861" s="3">
        <f t="shared" si="157"/>
        <v>0</v>
      </c>
      <c r="Z861" s="58">
        <v>0.0</v>
      </c>
      <c r="AA861" s="26">
        <f>VLOOKUP(S861,CPI!$A$2:$F$71,6,0)</f>
        <v>1.359035428</v>
      </c>
      <c r="AB861" s="27">
        <f t="shared" si="171"/>
        <v>365.387429</v>
      </c>
      <c r="AC861" s="27">
        <f t="shared" si="172"/>
        <v>71.22561969</v>
      </c>
      <c r="AD861" s="63" t="s">
        <v>60</v>
      </c>
      <c r="AE861" s="87" t="s">
        <v>1601</v>
      </c>
      <c r="AF861" s="130"/>
      <c r="AG861" s="130"/>
      <c r="AH861" s="130"/>
      <c r="AI861" s="130"/>
      <c r="AJ861" s="33"/>
      <c r="AK861" s="33"/>
      <c r="AL861" s="33"/>
      <c r="AM861" s="206"/>
      <c r="AN861" s="206"/>
      <c r="AO861" s="206"/>
      <c r="AP861" s="206"/>
      <c r="AQ861" s="206"/>
    </row>
    <row r="862" ht="15.75" customHeight="1">
      <c r="A862" s="61">
        <v>20059.0</v>
      </c>
      <c r="B862" s="63" t="s">
        <v>1576</v>
      </c>
      <c r="C862" s="329" t="s">
        <v>1590</v>
      </c>
      <c r="D862" s="16" t="s">
        <v>110</v>
      </c>
      <c r="E862" s="26" t="s">
        <v>1602</v>
      </c>
      <c r="F862" s="58">
        <v>2000.0</v>
      </c>
      <c r="G862" s="58">
        <v>2006.0</v>
      </c>
      <c r="H862" s="58">
        <v>0.0</v>
      </c>
      <c r="I862" s="58">
        <v>2.72</v>
      </c>
      <c r="J862" s="50">
        <f t="shared" si="173"/>
        <v>1</v>
      </c>
      <c r="K862" s="58">
        <v>2.72</v>
      </c>
      <c r="L862" s="58">
        <v>0.0</v>
      </c>
      <c r="M862" s="58">
        <v>0.0</v>
      </c>
      <c r="N862" s="58">
        <v>1.0</v>
      </c>
      <c r="O862" s="58" t="s">
        <v>1603</v>
      </c>
      <c r="P862" s="63" t="s">
        <v>74</v>
      </c>
      <c r="Q862" s="55">
        <v>5276.6</v>
      </c>
      <c r="R862" s="63" t="s">
        <v>1580</v>
      </c>
      <c r="S862" s="58">
        <v>2001.0</v>
      </c>
      <c r="T862" s="58">
        <v>0.120151627</v>
      </c>
      <c r="U862" s="330">
        <f t="shared" si="169"/>
        <v>633.992075</v>
      </c>
      <c r="V862" s="24">
        <f t="shared" si="170"/>
        <v>233.0853217</v>
      </c>
      <c r="W862" s="3">
        <f t="shared" si="155"/>
        <v>0</v>
      </c>
      <c r="X862" s="3">
        <f t="shared" si="156"/>
        <v>0</v>
      </c>
      <c r="Y862" s="3">
        <f t="shared" si="157"/>
        <v>0</v>
      </c>
      <c r="Z862" s="58">
        <v>0.0</v>
      </c>
      <c r="AA862" s="26">
        <f>VLOOKUP(S862,CPI!$A$2:$F$71,6,0)</f>
        <v>1.818828346</v>
      </c>
      <c r="AB862" s="27">
        <f t="shared" si="171"/>
        <v>1153.122757</v>
      </c>
      <c r="AC862" s="27">
        <f t="shared" si="172"/>
        <v>423.94219</v>
      </c>
      <c r="AD862" s="63" t="s">
        <v>60</v>
      </c>
      <c r="AE862" s="87" t="s">
        <v>1604</v>
      </c>
      <c r="AF862" s="130"/>
      <c r="AG862" s="130"/>
      <c r="AH862" s="130"/>
      <c r="AI862" s="130"/>
      <c r="AJ862" s="33"/>
      <c r="AK862" s="33"/>
      <c r="AL862" s="33"/>
      <c r="AM862" s="206"/>
      <c r="AN862" s="206"/>
      <c r="AO862" s="206"/>
      <c r="AP862" s="206"/>
      <c r="AQ862" s="206"/>
    </row>
    <row r="863" ht="15.75" customHeight="1">
      <c r="A863" s="61">
        <v>20060.0</v>
      </c>
      <c r="B863" s="63" t="s">
        <v>1576</v>
      </c>
      <c r="C863" s="329" t="s">
        <v>1590</v>
      </c>
      <c r="D863" s="16" t="s">
        <v>239</v>
      </c>
      <c r="E863" s="26" t="s">
        <v>1605</v>
      </c>
      <c r="F863" s="58">
        <v>2005.0</v>
      </c>
      <c r="G863" s="58">
        <v>2007.0</v>
      </c>
      <c r="H863" s="58">
        <v>0.0</v>
      </c>
      <c r="I863" s="58">
        <v>3.2</v>
      </c>
      <c r="J863" s="50">
        <f t="shared" si="173"/>
        <v>1</v>
      </c>
      <c r="K863" s="58">
        <v>3.2</v>
      </c>
      <c r="L863" s="58">
        <v>0.0</v>
      </c>
      <c r="M863" s="58">
        <v>0.0</v>
      </c>
      <c r="N863" s="58">
        <v>2.0</v>
      </c>
      <c r="O863" s="58" t="s">
        <v>1592</v>
      </c>
      <c r="P863" s="63" t="s">
        <v>60</v>
      </c>
      <c r="Q863" s="55">
        <v>13940.0</v>
      </c>
      <c r="R863" s="63" t="s">
        <v>1580</v>
      </c>
      <c r="S863" s="58">
        <v>2011.0</v>
      </c>
      <c r="T863" s="339">
        <v>0.05421897</v>
      </c>
      <c r="U863" s="330">
        <f t="shared" si="169"/>
        <v>755.8124418</v>
      </c>
      <c r="V863" s="24">
        <f t="shared" si="170"/>
        <v>236.1913881</v>
      </c>
      <c r="W863" s="3">
        <f t="shared" si="155"/>
        <v>0</v>
      </c>
      <c r="X863" s="3">
        <f t="shared" si="156"/>
        <v>0</v>
      </c>
      <c r="Y863" s="3">
        <f t="shared" si="157"/>
        <v>0</v>
      </c>
      <c r="Z863" s="58">
        <v>0.0</v>
      </c>
      <c r="AA863" s="26">
        <f>VLOOKUP(S863,CPI!$A$2:$F$71,6,0)</f>
        <v>1.432008233</v>
      </c>
      <c r="AB863" s="27">
        <f t="shared" si="171"/>
        <v>1082.32964</v>
      </c>
      <c r="AC863" s="27">
        <f t="shared" si="172"/>
        <v>338.2280124</v>
      </c>
      <c r="AD863" s="63" t="s">
        <v>60</v>
      </c>
      <c r="AE863" s="87" t="s">
        <v>1606</v>
      </c>
      <c r="AF863" s="130"/>
      <c r="AG863" s="130"/>
      <c r="AH863" s="130"/>
      <c r="AI863" s="130"/>
      <c r="AJ863" s="33"/>
      <c r="AK863" s="33"/>
      <c r="AL863" s="33"/>
      <c r="AM863" s="206"/>
      <c r="AN863" s="206"/>
      <c r="AO863" s="206"/>
      <c r="AP863" s="206"/>
      <c r="AQ863" s="206"/>
    </row>
    <row r="864" ht="15.75" customHeight="1">
      <c r="A864" s="61">
        <v>20061.0</v>
      </c>
      <c r="B864" s="63" t="s">
        <v>1576</v>
      </c>
      <c r="C864" s="329" t="s">
        <v>1590</v>
      </c>
      <c r="D864" s="16" t="s">
        <v>87</v>
      </c>
      <c r="E864" s="26" t="s">
        <v>1607</v>
      </c>
      <c r="F864" s="58">
        <v>2005.0</v>
      </c>
      <c r="G864" s="58">
        <v>2008.0</v>
      </c>
      <c r="H864" s="58">
        <v>0.0</v>
      </c>
      <c r="I864" s="58">
        <v>11.49</v>
      </c>
      <c r="J864" s="50">
        <f t="shared" si="173"/>
        <v>0.9434290688</v>
      </c>
      <c r="K864" s="58">
        <v>10.84</v>
      </c>
      <c r="L864" s="58">
        <v>0.0</v>
      </c>
      <c r="M864" s="58">
        <v>0.65</v>
      </c>
      <c r="N864" s="58">
        <v>3.0</v>
      </c>
      <c r="O864" s="58" t="s">
        <v>1592</v>
      </c>
      <c r="P864" s="63" t="s">
        <v>60</v>
      </c>
      <c r="Q864" s="55">
        <v>27426.7</v>
      </c>
      <c r="R864" s="63" t="s">
        <v>1580</v>
      </c>
      <c r="S864" s="58">
        <v>2011.0</v>
      </c>
      <c r="T864" s="339">
        <v>0.05421897</v>
      </c>
      <c r="U864" s="330">
        <f t="shared" si="169"/>
        <v>1487.047424</v>
      </c>
      <c r="V864" s="24">
        <f t="shared" si="170"/>
        <v>129.4210117</v>
      </c>
      <c r="W864" s="3">
        <f t="shared" si="155"/>
        <v>0</v>
      </c>
      <c r="X864" s="3">
        <f t="shared" si="156"/>
        <v>0</v>
      </c>
      <c r="Y864" s="3">
        <f t="shared" si="157"/>
        <v>0</v>
      </c>
      <c r="Z864" s="58">
        <v>0.0</v>
      </c>
      <c r="AA864" s="26">
        <f>VLOOKUP(S864,CPI!$A$2:$F$71,6,0)</f>
        <v>1.432008233</v>
      </c>
      <c r="AB864" s="27">
        <f t="shared" si="171"/>
        <v>2129.464155</v>
      </c>
      <c r="AC864" s="27">
        <f t="shared" si="172"/>
        <v>185.3319543</v>
      </c>
      <c r="AD864" s="63" t="s">
        <v>60</v>
      </c>
      <c r="AE864" s="340" t="s">
        <v>1608</v>
      </c>
      <c r="AF864" s="130"/>
      <c r="AG864" s="130"/>
      <c r="AH864" s="130"/>
      <c r="AI864" s="130"/>
      <c r="AJ864" s="33"/>
      <c r="AK864" s="33"/>
      <c r="AL864" s="33"/>
      <c r="AM864" s="206"/>
      <c r="AN864" s="206"/>
      <c r="AO864" s="206"/>
      <c r="AP864" s="206"/>
      <c r="AQ864" s="206"/>
    </row>
    <row r="865" ht="15.75" customHeight="1">
      <c r="A865" s="61">
        <v>20062.0</v>
      </c>
      <c r="B865" s="63" t="s">
        <v>1576</v>
      </c>
      <c r="C865" s="329" t="s">
        <v>1590</v>
      </c>
      <c r="D865" s="16" t="s">
        <v>87</v>
      </c>
      <c r="E865" s="26" t="s">
        <v>1609</v>
      </c>
      <c r="F865" s="58">
        <v>2007.0</v>
      </c>
      <c r="G865" s="58">
        <v>2009.0</v>
      </c>
      <c r="H865" s="58">
        <v>0.0</v>
      </c>
      <c r="I865" s="58">
        <v>8.51</v>
      </c>
      <c r="J865" s="50">
        <f t="shared" si="173"/>
        <v>1</v>
      </c>
      <c r="K865" s="58">
        <v>8.51</v>
      </c>
      <c r="L865" s="58">
        <v>0.0</v>
      </c>
      <c r="M865" s="58">
        <v>0.0</v>
      </c>
      <c r="N865" s="58">
        <v>3.0</v>
      </c>
      <c r="O865" s="58" t="s">
        <v>1592</v>
      </c>
      <c r="P865" s="63" t="s">
        <v>60</v>
      </c>
      <c r="Q865" s="55">
        <v>35485.0</v>
      </c>
      <c r="R865" s="63" t="s">
        <v>1580</v>
      </c>
      <c r="S865" s="58">
        <v>2011.0</v>
      </c>
      <c r="T865" s="339">
        <v>0.05421897</v>
      </c>
      <c r="U865" s="330">
        <f t="shared" si="169"/>
        <v>1923.96015</v>
      </c>
      <c r="V865" s="24">
        <f t="shared" si="170"/>
        <v>226.0822738</v>
      </c>
      <c r="W865" s="3">
        <f t="shared" si="155"/>
        <v>0</v>
      </c>
      <c r="X865" s="3">
        <f t="shared" si="156"/>
        <v>0</v>
      </c>
      <c r="Y865" s="3">
        <f t="shared" si="157"/>
        <v>0</v>
      </c>
      <c r="Z865" s="58">
        <v>0.0</v>
      </c>
      <c r="AA865" s="26">
        <f>VLOOKUP(S865,CPI!$A$2:$F$71,6,0)</f>
        <v>1.432008233</v>
      </c>
      <c r="AB865" s="27">
        <f t="shared" si="171"/>
        <v>2755.126776</v>
      </c>
      <c r="AC865" s="27">
        <f t="shared" si="172"/>
        <v>323.7516776</v>
      </c>
      <c r="AD865" s="63" t="s">
        <v>60</v>
      </c>
      <c r="AE865" s="340" t="s">
        <v>1608</v>
      </c>
      <c r="AF865" s="130"/>
      <c r="AG865" s="130"/>
      <c r="AH865" s="130"/>
      <c r="AI865" s="130"/>
      <c r="AJ865" s="33"/>
      <c r="AK865" s="33"/>
      <c r="AL865" s="33"/>
      <c r="AM865" s="206"/>
      <c r="AN865" s="206"/>
      <c r="AO865" s="206"/>
      <c r="AP865" s="206"/>
      <c r="AQ865" s="206"/>
    </row>
    <row r="866" ht="15.75" customHeight="1">
      <c r="A866" s="61">
        <v>20063.0</v>
      </c>
      <c r="B866" s="63" t="s">
        <v>1576</v>
      </c>
      <c r="C866" s="329" t="s">
        <v>1590</v>
      </c>
      <c r="D866" s="16" t="s">
        <v>239</v>
      </c>
      <c r="E866" s="26" t="s">
        <v>1610</v>
      </c>
      <c r="F866" s="58">
        <v>2007.0</v>
      </c>
      <c r="G866" s="58">
        <v>2010.0</v>
      </c>
      <c r="H866" s="58">
        <v>0.0</v>
      </c>
      <c r="I866" s="58">
        <v>3.5</v>
      </c>
      <c r="J866" s="50">
        <f t="shared" si="173"/>
        <v>1</v>
      </c>
      <c r="K866" s="58">
        <v>3.5</v>
      </c>
      <c r="L866" s="58">
        <v>0.0</v>
      </c>
      <c r="M866" s="58">
        <v>0.0</v>
      </c>
      <c r="N866" s="58">
        <v>2.0</v>
      </c>
      <c r="O866" s="58" t="s">
        <v>1592</v>
      </c>
      <c r="P866" s="63" t="s">
        <v>60</v>
      </c>
      <c r="Q866" s="55">
        <v>27447.7</v>
      </c>
      <c r="R866" s="63" t="s">
        <v>1580</v>
      </c>
      <c r="S866" s="58">
        <v>2011.0</v>
      </c>
      <c r="T866" s="339">
        <v>0.05421897</v>
      </c>
      <c r="U866" s="330">
        <f t="shared" si="169"/>
        <v>1488.186023</v>
      </c>
      <c r="V866" s="24">
        <f t="shared" si="170"/>
        <v>425.1960065</v>
      </c>
      <c r="W866" s="3">
        <f t="shared" si="155"/>
        <v>0</v>
      </c>
      <c r="X866" s="3">
        <f t="shared" si="156"/>
        <v>0</v>
      </c>
      <c r="Y866" s="3">
        <f t="shared" si="157"/>
        <v>0</v>
      </c>
      <c r="Z866" s="58">
        <v>0.0</v>
      </c>
      <c r="AA866" s="26">
        <f>VLOOKUP(S866,CPI!$A$2:$F$71,6,0)</f>
        <v>1.432008233</v>
      </c>
      <c r="AB866" s="27">
        <f t="shared" si="171"/>
        <v>2131.094637</v>
      </c>
      <c r="AC866" s="27">
        <f t="shared" si="172"/>
        <v>608.8841821</v>
      </c>
      <c r="AD866" s="63" t="s">
        <v>60</v>
      </c>
      <c r="AE866" s="87" t="s">
        <v>1608</v>
      </c>
      <c r="AF866" s="130"/>
      <c r="AG866" s="130"/>
      <c r="AH866" s="130"/>
      <c r="AI866" s="130"/>
      <c r="AJ866" s="33"/>
      <c r="AK866" s="33"/>
      <c r="AL866" s="33"/>
      <c r="AM866" s="206"/>
      <c r="AN866" s="206"/>
      <c r="AO866" s="206"/>
      <c r="AP866" s="206"/>
      <c r="AQ866" s="206"/>
    </row>
    <row r="867" ht="15.75" customHeight="1">
      <c r="A867" s="61">
        <v>20064.0</v>
      </c>
      <c r="B867" s="63" t="s">
        <v>1576</v>
      </c>
      <c r="C867" s="329" t="s">
        <v>1590</v>
      </c>
      <c r="D867" s="16" t="s">
        <v>239</v>
      </c>
      <c r="E867" s="26" t="s">
        <v>1611</v>
      </c>
      <c r="F867" s="58">
        <v>2008.0</v>
      </c>
      <c r="G867" s="58">
        <v>2011.0</v>
      </c>
      <c r="H867" s="58">
        <v>0.0</v>
      </c>
      <c r="I867" s="58">
        <v>4.2</v>
      </c>
      <c r="J867" s="50">
        <f t="shared" si="173"/>
        <v>1</v>
      </c>
      <c r="K867" s="58">
        <v>4.2</v>
      </c>
      <c r="L867" s="58">
        <v>0.0</v>
      </c>
      <c r="M867" s="58">
        <v>0.0</v>
      </c>
      <c r="N867" s="58">
        <v>3.0</v>
      </c>
      <c r="O867" s="58" t="s">
        <v>1592</v>
      </c>
      <c r="P867" s="63" t="s">
        <v>60</v>
      </c>
      <c r="Q867" s="55">
        <v>25278.6</v>
      </c>
      <c r="R867" s="63" t="s">
        <v>1580</v>
      </c>
      <c r="S867" s="58">
        <v>2011.0</v>
      </c>
      <c r="T867" s="339">
        <v>0.05421897</v>
      </c>
      <c r="U867" s="330">
        <f t="shared" si="169"/>
        <v>1370.579655</v>
      </c>
      <c r="V867" s="24">
        <f t="shared" si="170"/>
        <v>326.3284893</v>
      </c>
      <c r="W867" s="3">
        <f t="shared" si="155"/>
        <v>0</v>
      </c>
      <c r="X867" s="3">
        <f t="shared" si="156"/>
        <v>0</v>
      </c>
      <c r="Y867" s="3">
        <f t="shared" si="157"/>
        <v>0</v>
      </c>
      <c r="Z867" s="58">
        <v>0.0</v>
      </c>
      <c r="AA867" s="26">
        <f>VLOOKUP(S867,CPI!$A$2:$F$71,6,0)</f>
        <v>1.432008233</v>
      </c>
      <c r="AB867" s="27">
        <f t="shared" si="171"/>
        <v>1962.68135</v>
      </c>
      <c r="AC867" s="27">
        <f t="shared" si="172"/>
        <v>467.3050834</v>
      </c>
      <c r="AD867" s="63" t="s">
        <v>60</v>
      </c>
      <c r="AE867" s="340" t="s">
        <v>1608</v>
      </c>
      <c r="AF867" s="130"/>
      <c r="AG867" s="130"/>
      <c r="AH867" s="130"/>
      <c r="AI867" s="130"/>
      <c r="AJ867" s="33"/>
      <c r="AK867" s="33"/>
      <c r="AL867" s="33"/>
      <c r="AM867" s="206"/>
      <c r="AN867" s="206"/>
      <c r="AO867" s="206"/>
      <c r="AP867" s="206"/>
      <c r="AQ867" s="206"/>
    </row>
    <row r="868" ht="15.75" customHeight="1">
      <c r="A868" s="61">
        <v>20065.0</v>
      </c>
      <c r="B868" s="63" t="s">
        <v>1576</v>
      </c>
      <c r="C868" s="329" t="s">
        <v>1590</v>
      </c>
      <c r="D868" s="16" t="s">
        <v>243</v>
      </c>
      <c r="E868" s="26" t="s">
        <v>1612</v>
      </c>
      <c r="F868" s="58">
        <v>2009.0</v>
      </c>
      <c r="G868" s="58">
        <v>2012.0</v>
      </c>
      <c r="H868" s="58">
        <v>0.0</v>
      </c>
      <c r="I868" s="58">
        <v>3.39</v>
      </c>
      <c r="J868" s="50">
        <f t="shared" si="173"/>
        <v>1</v>
      </c>
      <c r="K868" s="58">
        <v>3.39</v>
      </c>
      <c r="L868" s="58">
        <v>0.0</v>
      </c>
      <c r="M868" s="58">
        <v>0.0</v>
      </c>
      <c r="N868" s="58">
        <v>1.0</v>
      </c>
      <c r="O868" s="58" t="s">
        <v>1592</v>
      </c>
      <c r="P868" s="63" t="s">
        <v>60</v>
      </c>
      <c r="Q868" s="55">
        <v>17720.0</v>
      </c>
      <c r="R868" s="63" t="s">
        <v>1580</v>
      </c>
      <c r="S868" s="58">
        <v>2011.0</v>
      </c>
      <c r="T868" s="339">
        <v>0.05421897</v>
      </c>
      <c r="U868" s="330">
        <f t="shared" si="169"/>
        <v>960.7601484</v>
      </c>
      <c r="V868" s="24">
        <f t="shared" si="170"/>
        <v>283.4100733</v>
      </c>
      <c r="W868" s="3">
        <f t="shared" si="155"/>
        <v>0</v>
      </c>
      <c r="X868" s="3">
        <f t="shared" si="156"/>
        <v>0</v>
      </c>
      <c r="Y868" s="3">
        <f t="shared" si="157"/>
        <v>0</v>
      </c>
      <c r="Z868" s="58">
        <v>0.0</v>
      </c>
      <c r="AA868" s="26">
        <f>VLOOKUP(S868,CPI!$A$2:$F$71,6,0)</f>
        <v>1.432008233</v>
      </c>
      <c r="AB868" s="27">
        <f t="shared" si="171"/>
        <v>1375.816443</v>
      </c>
      <c r="AC868" s="27">
        <f t="shared" si="172"/>
        <v>405.8455583</v>
      </c>
      <c r="AD868" s="63" t="s">
        <v>60</v>
      </c>
      <c r="AE868" s="87" t="s">
        <v>1608</v>
      </c>
      <c r="AF868" s="301"/>
      <c r="AG868" s="301"/>
      <c r="AH868" s="301"/>
      <c r="AI868" s="130"/>
      <c r="AJ868" s="33"/>
      <c r="AK868" s="33"/>
      <c r="AL868" s="33"/>
      <c r="AM868" s="206"/>
      <c r="AN868" s="206"/>
      <c r="AO868" s="206"/>
      <c r="AP868" s="206"/>
      <c r="AQ868" s="206"/>
    </row>
    <row r="869" ht="15.75" customHeight="1">
      <c r="A869" s="61">
        <v>20068.0</v>
      </c>
      <c r="B869" s="63" t="s">
        <v>1576</v>
      </c>
      <c r="C869" s="329" t="s">
        <v>1590</v>
      </c>
      <c r="D869" s="16" t="s">
        <v>54</v>
      </c>
      <c r="E869" s="63" t="s">
        <v>1613</v>
      </c>
      <c r="F869" s="58">
        <v>2011.0</v>
      </c>
      <c r="G869" s="58">
        <v>2012.0</v>
      </c>
      <c r="H869" s="58">
        <v>0.0</v>
      </c>
      <c r="I869" s="58">
        <v>4.2</v>
      </c>
      <c r="J869" s="50">
        <f t="shared" si="173"/>
        <v>1</v>
      </c>
      <c r="K869" s="58">
        <v>4.2</v>
      </c>
      <c r="L869" s="58">
        <v>0.0</v>
      </c>
      <c r="M869" s="58">
        <v>0.0</v>
      </c>
      <c r="N869" s="58">
        <v>1.0</v>
      </c>
      <c r="O869" s="58" t="s">
        <v>1592</v>
      </c>
      <c r="P869" s="63" t="s">
        <v>60</v>
      </c>
      <c r="Q869" s="55">
        <v>15800.0</v>
      </c>
      <c r="R869" s="63" t="s">
        <v>1580</v>
      </c>
      <c r="S869" s="58">
        <v>2011.0</v>
      </c>
      <c r="T869" s="25">
        <v>0.05421897</v>
      </c>
      <c r="U869" s="330">
        <f t="shared" si="169"/>
        <v>856.659726</v>
      </c>
      <c r="V869" s="24">
        <f t="shared" si="170"/>
        <v>203.9666014</v>
      </c>
      <c r="W869" s="3">
        <f t="shared" si="155"/>
        <v>0</v>
      </c>
      <c r="X869" s="3">
        <f t="shared" si="156"/>
        <v>0</v>
      </c>
      <c r="Y869" s="3">
        <f t="shared" si="157"/>
        <v>0</v>
      </c>
      <c r="Z869" s="58">
        <v>0.0</v>
      </c>
      <c r="AA869" s="26">
        <f>VLOOKUP(S869,CPI!$A$2:$F$71,6,0)</f>
        <v>1.432008233</v>
      </c>
      <c r="AB869" s="27">
        <f t="shared" si="171"/>
        <v>1226.743781</v>
      </c>
      <c r="AC869" s="27">
        <f t="shared" si="172"/>
        <v>292.0818526</v>
      </c>
      <c r="AD869" s="63" t="s">
        <v>42</v>
      </c>
      <c r="AE869" s="336" t="s">
        <v>1614</v>
      </c>
      <c r="AF869" s="130"/>
      <c r="AG869" s="130"/>
      <c r="AH869" s="130"/>
      <c r="AI869" s="130"/>
      <c r="AJ869" s="33"/>
      <c r="AK869" s="33"/>
      <c r="AL869" s="33"/>
      <c r="AM869" s="206"/>
      <c r="AN869" s="206"/>
      <c r="AO869" s="206"/>
      <c r="AP869" s="206"/>
      <c r="AQ869" s="206"/>
    </row>
    <row r="870" ht="15.75" customHeight="1">
      <c r="A870" s="61">
        <v>20066.0</v>
      </c>
      <c r="B870" s="63" t="s">
        <v>1576</v>
      </c>
      <c r="C870" s="329" t="s">
        <v>1590</v>
      </c>
      <c r="D870" s="16" t="s">
        <v>87</v>
      </c>
      <c r="E870" s="26" t="s">
        <v>1615</v>
      </c>
      <c r="F870" s="58">
        <v>2011.0</v>
      </c>
      <c r="G870" s="58">
        <v>2012.0</v>
      </c>
      <c r="H870" s="58">
        <v>0.0</v>
      </c>
      <c r="I870" s="58">
        <v>1.0</v>
      </c>
      <c r="J870" s="50">
        <f t="shared" si="173"/>
        <v>1</v>
      </c>
      <c r="K870" s="58">
        <v>1.0</v>
      </c>
      <c r="L870" s="58">
        <v>0.0</v>
      </c>
      <c r="M870" s="58">
        <v>0.0</v>
      </c>
      <c r="N870" s="58">
        <v>1.0</v>
      </c>
      <c r="O870" s="58" t="s">
        <v>1592</v>
      </c>
      <c r="P870" s="63" t="s">
        <v>60</v>
      </c>
      <c r="Q870" s="339">
        <v>7296.4703</v>
      </c>
      <c r="R870" s="63" t="s">
        <v>1580</v>
      </c>
      <c r="S870" s="58">
        <v>2016.0</v>
      </c>
      <c r="T870" s="25">
        <v>0.04244008054788</v>
      </c>
      <c r="U870" s="330">
        <f t="shared" si="169"/>
        <v>309.6627872</v>
      </c>
      <c r="V870" s="24">
        <f t="shared" si="170"/>
        <v>309.6627872</v>
      </c>
      <c r="W870" s="3">
        <f t="shared" si="155"/>
        <v>0</v>
      </c>
      <c r="X870" s="3">
        <f t="shared" si="156"/>
        <v>0</v>
      </c>
      <c r="Y870" s="3">
        <f t="shared" si="157"/>
        <v>0</v>
      </c>
      <c r="Z870" s="58">
        <v>0.0</v>
      </c>
      <c r="AA870" s="26">
        <f>VLOOKUP(S870,CPI!$A$2:$F$71,6,0)</f>
        <v>1.342104605</v>
      </c>
      <c r="AB870" s="27">
        <f t="shared" si="171"/>
        <v>415.5998528</v>
      </c>
      <c r="AC870" s="27">
        <f t="shared" si="172"/>
        <v>415.5998528</v>
      </c>
      <c r="AD870" s="63" t="s">
        <v>60</v>
      </c>
      <c r="AE870" s="340" t="s">
        <v>1608</v>
      </c>
      <c r="AF870" s="130"/>
      <c r="AG870" s="130"/>
      <c r="AH870" s="130"/>
      <c r="AI870" s="130"/>
      <c r="AJ870" s="33"/>
      <c r="AK870" s="33"/>
      <c r="AL870" s="33"/>
      <c r="AM870" s="206"/>
      <c r="AN870" s="206"/>
      <c r="AO870" s="206"/>
      <c r="AP870" s="206"/>
      <c r="AQ870" s="206"/>
    </row>
    <row r="871" ht="15.75" customHeight="1">
      <c r="A871" s="61">
        <v>20021.0</v>
      </c>
      <c r="B871" s="63" t="s">
        <v>1576</v>
      </c>
      <c r="C871" s="329" t="s">
        <v>1590</v>
      </c>
      <c r="D871" s="16" t="s">
        <v>228</v>
      </c>
      <c r="E871" s="63" t="s">
        <v>1616</v>
      </c>
      <c r="F871" s="58">
        <v>2011.0</v>
      </c>
      <c r="G871" s="58">
        <v>2013.0</v>
      </c>
      <c r="H871" s="58">
        <v>0.0</v>
      </c>
      <c r="I871" s="58">
        <v>5.18</v>
      </c>
      <c r="J871" s="50">
        <f t="shared" si="173"/>
        <v>0.9324324324</v>
      </c>
      <c r="K871" s="58">
        <v>4.83</v>
      </c>
      <c r="L871" s="58">
        <v>0.0</v>
      </c>
      <c r="M871" s="58">
        <v>0.35</v>
      </c>
      <c r="N871" s="58">
        <v>2.0</v>
      </c>
      <c r="O871" s="58" t="s">
        <v>1617</v>
      </c>
      <c r="P871" s="63" t="s">
        <v>60</v>
      </c>
      <c r="Q871" s="339">
        <v>28457.0164</v>
      </c>
      <c r="R871" s="63" t="s">
        <v>1580</v>
      </c>
      <c r="S871" s="58">
        <v>2015.0</v>
      </c>
      <c r="T871" s="25">
        <v>0.04828079208377</v>
      </c>
      <c r="U871" s="330">
        <f t="shared" si="169"/>
        <v>1373.927292</v>
      </c>
      <c r="V871" s="24">
        <f t="shared" si="170"/>
        <v>265.236929</v>
      </c>
      <c r="W871" s="3">
        <f t="shared" si="155"/>
        <v>0</v>
      </c>
      <c r="X871" s="3">
        <f t="shared" si="156"/>
        <v>0</v>
      </c>
      <c r="Y871" s="3">
        <f t="shared" si="157"/>
        <v>0</v>
      </c>
      <c r="Z871" s="58">
        <v>0.0</v>
      </c>
      <c r="AA871" s="26">
        <f>VLOOKUP(S871,CPI!$A$2:$F$71,6,0)</f>
        <v>1.359035428</v>
      </c>
      <c r="AB871" s="27">
        <f t="shared" si="171"/>
        <v>1867.215865</v>
      </c>
      <c r="AC871" s="27">
        <f t="shared" si="172"/>
        <v>360.4663833</v>
      </c>
      <c r="AD871" s="63" t="s">
        <v>60</v>
      </c>
      <c r="AE871" s="340" t="s">
        <v>1618</v>
      </c>
      <c r="AF871" s="130"/>
      <c r="AG871" s="130"/>
      <c r="AH871" s="130"/>
      <c r="AI871" s="130"/>
      <c r="AJ871" s="33"/>
      <c r="AK871" s="33"/>
      <c r="AL871" s="33"/>
      <c r="AM871" s="206"/>
      <c r="AN871" s="206"/>
      <c r="AO871" s="206"/>
      <c r="AP871" s="206"/>
      <c r="AQ871" s="206"/>
    </row>
    <row r="872" ht="15.75" customHeight="1">
      <c r="A872" s="61">
        <v>20067.0</v>
      </c>
      <c r="B872" s="63" t="s">
        <v>1576</v>
      </c>
      <c r="C872" s="329" t="s">
        <v>1590</v>
      </c>
      <c r="D872" s="16" t="s">
        <v>287</v>
      </c>
      <c r="E872" s="26" t="s">
        <v>1619</v>
      </c>
      <c r="F872" s="58">
        <v>2010.0</v>
      </c>
      <c r="G872" s="58">
        <v>2014.0</v>
      </c>
      <c r="H872" s="58">
        <v>0.0</v>
      </c>
      <c r="I872" s="58">
        <v>4.52</v>
      </c>
      <c r="J872" s="50">
        <f t="shared" si="173"/>
        <v>1</v>
      </c>
      <c r="K872" s="58">
        <v>4.52</v>
      </c>
      <c r="L872" s="58">
        <v>0.0</v>
      </c>
      <c r="M872" s="58">
        <v>0.0</v>
      </c>
      <c r="N872" s="58">
        <v>2.0</v>
      </c>
      <c r="O872" s="58" t="s">
        <v>1595</v>
      </c>
      <c r="P872" s="63" t="s">
        <v>60</v>
      </c>
      <c r="Q872" s="339">
        <v>20528.4965</v>
      </c>
      <c r="R872" s="63" t="s">
        <v>1580</v>
      </c>
      <c r="S872" s="58">
        <v>2017.0</v>
      </c>
      <c r="T872" s="25">
        <v>0.04929274758182</v>
      </c>
      <c r="U872" s="330">
        <f t="shared" si="169"/>
        <v>1011.905996</v>
      </c>
      <c r="V872" s="24">
        <f t="shared" si="170"/>
        <v>223.873008</v>
      </c>
      <c r="W872" s="3">
        <f t="shared" si="155"/>
        <v>0</v>
      </c>
      <c r="X872" s="3">
        <f t="shared" si="156"/>
        <v>0</v>
      </c>
      <c r="Y872" s="3">
        <f t="shared" si="157"/>
        <v>0</v>
      </c>
      <c r="Z872" s="58">
        <v>0.0</v>
      </c>
      <c r="AA872" s="26">
        <f>VLOOKUP(S872,CPI!$A$2:$F$71,6,0)</f>
        <v>1.314109416</v>
      </c>
      <c r="AB872" s="27">
        <f t="shared" si="171"/>
        <v>1329.755198</v>
      </c>
      <c r="AC872" s="27">
        <f t="shared" si="172"/>
        <v>294.1936278</v>
      </c>
      <c r="AD872" s="63" t="s">
        <v>60</v>
      </c>
      <c r="AE872" s="340" t="s">
        <v>1608</v>
      </c>
      <c r="AF872" s="130"/>
      <c r="AG872" s="130"/>
      <c r="AH872" s="130"/>
      <c r="AI872" s="130"/>
      <c r="AJ872" s="33"/>
      <c r="AK872" s="33"/>
      <c r="AL872" s="33"/>
      <c r="AM872" s="206"/>
      <c r="AN872" s="206"/>
      <c r="AO872" s="206"/>
      <c r="AP872" s="206"/>
      <c r="AQ872" s="206"/>
    </row>
    <row r="873" ht="15.75" customHeight="1">
      <c r="A873" s="61">
        <v>20004.0</v>
      </c>
      <c r="B873" s="63" t="s">
        <v>1576</v>
      </c>
      <c r="C873" s="329" t="s">
        <v>1590</v>
      </c>
      <c r="D873" s="16" t="s">
        <v>1620</v>
      </c>
      <c r="E873" s="63" t="s">
        <v>1621</v>
      </c>
      <c r="F873" s="58">
        <v>2012.0</v>
      </c>
      <c r="G873" s="58">
        <v>2014.0</v>
      </c>
      <c r="H873" s="58">
        <v>0.0</v>
      </c>
      <c r="I873" s="58">
        <v>3.35</v>
      </c>
      <c r="J873" s="50">
        <v>1.0</v>
      </c>
      <c r="K873" s="58">
        <v>3.35</v>
      </c>
      <c r="L873" s="58">
        <v>0.0</v>
      </c>
      <c r="M873" s="58">
        <v>0.0</v>
      </c>
      <c r="N873" s="58">
        <v>0.0</v>
      </c>
      <c r="O873" s="58" t="s">
        <v>1622</v>
      </c>
      <c r="P873" s="63" t="s">
        <v>60</v>
      </c>
      <c r="Q873" s="339">
        <v>35534.0</v>
      </c>
      <c r="R873" s="63" t="s">
        <v>1580</v>
      </c>
      <c r="S873" s="58">
        <v>2024.0</v>
      </c>
      <c r="T873" s="25">
        <v>0.04434558355556</v>
      </c>
      <c r="U873" s="330">
        <f t="shared" si="169"/>
        <v>1575.775966</v>
      </c>
      <c r="V873" s="24">
        <f t="shared" si="170"/>
        <v>470.3808854</v>
      </c>
      <c r="W873" s="3">
        <f t="shared" si="155"/>
        <v>0</v>
      </c>
      <c r="X873" s="3">
        <f t="shared" si="156"/>
        <v>0</v>
      </c>
      <c r="Y873" s="3">
        <f t="shared" si="157"/>
        <v>0</v>
      </c>
      <c r="Z873" s="58">
        <v>0.0</v>
      </c>
      <c r="AA873" s="26">
        <f>VLOOKUP(S873,CPI!$A$2:$F$71,6,0)</f>
        <v>1</v>
      </c>
      <c r="AB873" s="27">
        <f t="shared" si="171"/>
        <v>1575.775966</v>
      </c>
      <c r="AC873" s="27">
        <f t="shared" si="172"/>
        <v>470.3808854</v>
      </c>
      <c r="AD873" s="63" t="s">
        <v>60</v>
      </c>
      <c r="AE873" s="87" t="s">
        <v>1618</v>
      </c>
      <c r="AF873" s="130"/>
      <c r="AG873" s="301"/>
      <c r="AH873" s="301"/>
      <c r="AI873" s="301"/>
      <c r="AJ873" s="33"/>
      <c r="AK873" s="33"/>
      <c r="AL873" s="33"/>
      <c r="AM873" s="206"/>
      <c r="AN873" s="206"/>
      <c r="AO873" s="206"/>
      <c r="AP873" s="206"/>
      <c r="AQ873" s="206"/>
    </row>
    <row r="874" ht="15.75" customHeight="1">
      <c r="A874" s="61">
        <v>20023.0</v>
      </c>
      <c r="B874" s="63" t="s">
        <v>1576</v>
      </c>
      <c r="C874" s="329" t="s">
        <v>1590</v>
      </c>
      <c r="D874" s="16" t="s">
        <v>228</v>
      </c>
      <c r="E874" s="63" t="s">
        <v>1623</v>
      </c>
      <c r="F874" s="58">
        <v>2013.0</v>
      </c>
      <c r="G874" s="58">
        <v>2014.0</v>
      </c>
      <c r="H874" s="58">
        <v>0.0</v>
      </c>
      <c r="I874" s="58">
        <v>0.0</v>
      </c>
      <c r="J874" s="50"/>
      <c r="K874" s="58">
        <v>0.0</v>
      </c>
      <c r="L874" s="58">
        <v>0.0</v>
      </c>
      <c r="M874" s="58">
        <v>0.0</v>
      </c>
      <c r="N874" s="58">
        <v>1.0</v>
      </c>
      <c r="O874" s="58" t="s">
        <v>1624</v>
      </c>
      <c r="P874" s="63" t="s">
        <v>60</v>
      </c>
      <c r="Q874" s="339">
        <v>4172.0</v>
      </c>
      <c r="R874" s="63" t="s">
        <v>1580</v>
      </c>
      <c r="S874" s="58">
        <v>2018.0</v>
      </c>
      <c r="T874" s="25">
        <v>0.04762783850367</v>
      </c>
      <c r="U874" s="330">
        <f t="shared" si="169"/>
        <v>198.7033422</v>
      </c>
      <c r="V874" s="341" t="s">
        <v>1622</v>
      </c>
      <c r="W874" s="3">
        <f t="shared" si="155"/>
        <v>0</v>
      </c>
      <c r="X874" s="3">
        <f t="shared" si="156"/>
        <v>0</v>
      </c>
      <c r="Y874" s="3">
        <f t="shared" si="157"/>
        <v>0</v>
      </c>
      <c r="Z874" s="58">
        <v>0.0</v>
      </c>
      <c r="AA874" s="26">
        <f>VLOOKUP(S874,CPI!$A$2:$F$71,6,0)</f>
        <v>1.28277786</v>
      </c>
      <c r="AB874" s="27">
        <f t="shared" si="171"/>
        <v>254.8922481</v>
      </c>
      <c r="AC874" s="342" t="s">
        <v>1622</v>
      </c>
      <c r="AD874" s="63" t="s">
        <v>60</v>
      </c>
      <c r="AE874" s="340" t="s">
        <v>1618</v>
      </c>
      <c r="AF874" s="130"/>
      <c r="AG874" s="130"/>
      <c r="AH874" s="130"/>
      <c r="AI874" s="130"/>
      <c r="AJ874" s="33"/>
      <c r="AK874" s="33"/>
      <c r="AL874" s="33"/>
      <c r="AM874" s="206"/>
      <c r="AN874" s="206"/>
      <c r="AO874" s="206"/>
      <c r="AP874" s="206"/>
      <c r="AQ874" s="206"/>
    </row>
    <row r="875" ht="15.75" customHeight="1">
      <c r="A875" s="61">
        <v>20022.0</v>
      </c>
      <c r="B875" s="63" t="s">
        <v>1576</v>
      </c>
      <c r="C875" s="329" t="s">
        <v>1590</v>
      </c>
      <c r="D875" s="16" t="s">
        <v>228</v>
      </c>
      <c r="E875" s="63" t="s">
        <v>1625</v>
      </c>
      <c r="F875" s="58">
        <v>2012.0</v>
      </c>
      <c r="G875" s="58">
        <v>2015.0</v>
      </c>
      <c r="H875" s="58">
        <v>0.0</v>
      </c>
      <c r="I875" s="58">
        <v>1.54</v>
      </c>
      <c r="J875" s="50">
        <f>K875/I875</f>
        <v>1</v>
      </c>
      <c r="K875" s="58">
        <v>1.54</v>
      </c>
      <c r="L875" s="58">
        <v>0.0</v>
      </c>
      <c r="M875" s="58">
        <v>0.0</v>
      </c>
      <c r="N875" s="58">
        <v>1.0</v>
      </c>
      <c r="O875" s="58" t="s">
        <v>1617</v>
      </c>
      <c r="P875" s="63" t="s">
        <v>60</v>
      </c>
      <c r="Q875" s="339">
        <v>10343.43</v>
      </c>
      <c r="R875" s="63" t="s">
        <v>1580</v>
      </c>
      <c r="S875" s="58">
        <v>2015.0</v>
      </c>
      <c r="T875" s="25">
        <v>0.04453936975297</v>
      </c>
      <c r="U875" s="330">
        <f t="shared" si="169"/>
        <v>460.6898533</v>
      </c>
      <c r="V875" s="24">
        <f>U875/I875</f>
        <v>299.1492554</v>
      </c>
      <c r="W875" s="3">
        <f t="shared" si="155"/>
        <v>0</v>
      </c>
      <c r="X875" s="3">
        <f t="shared" si="156"/>
        <v>0</v>
      </c>
      <c r="Y875" s="3">
        <f t="shared" si="157"/>
        <v>0</v>
      </c>
      <c r="Z875" s="58">
        <v>0.0</v>
      </c>
      <c r="AA875" s="26">
        <f>VLOOKUP(S875,CPI!$A$2:$F$71,6,0)</f>
        <v>1.359035428</v>
      </c>
      <c r="AB875" s="27">
        <f t="shared" si="171"/>
        <v>626.0938319</v>
      </c>
      <c r="AC875" s="27">
        <f>V875*AA875</f>
        <v>406.5544363</v>
      </c>
      <c r="AD875" s="63" t="s">
        <v>60</v>
      </c>
      <c r="AE875" s="87" t="s">
        <v>1618</v>
      </c>
      <c r="AF875" s="130"/>
      <c r="AG875" s="130"/>
      <c r="AH875" s="130"/>
      <c r="AI875" s="130"/>
      <c r="AJ875" s="33"/>
      <c r="AK875" s="33"/>
      <c r="AL875" s="33"/>
      <c r="AM875" s="206"/>
      <c r="AN875" s="206"/>
      <c r="AO875" s="206"/>
      <c r="AP875" s="206"/>
      <c r="AQ875" s="206"/>
    </row>
    <row r="876" ht="17.25" customHeight="1">
      <c r="A876" s="61">
        <v>20020.0</v>
      </c>
      <c r="B876" s="63" t="s">
        <v>1576</v>
      </c>
      <c r="C876" s="329" t="s">
        <v>1590</v>
      </c>
      <c r="D876" s="16" t="s">
        <v>54</v>
      </c>
      <c r="E876" s="63" t="s">
        <v>1626</v>
      </c>
      <c r="F876" s="58">
        <v>2014.0</v>
      </c>
      <c r="G876" s="58">
        <v>2015.0</v>
      </c>
      <c r="H876" s="58">
        <v>0.0</v>
      </c>
      <c r="I876" s="58">
        <v>0.0</v>
      </c>
      <c r="J876" s="50"/>
      <c r="K876" s="58">
        <v>0.0</v>
      </c>
      <c r="L876" s="58">
        <v>0.0</v>
      </c>
      <c r="M876" s="58">
        <v>0.0</v>
      </c>
      <c r="N876" s="58">
        <v>1.0</v>
      </c>
      <c r="O876" s="58" t="s">
        <v>1617</v>
      </c>
      <c r="P876" s="63" t="s">
        <v>60</v>
      </c>
      <c r="Q876" s="339">
        <v>3689.8184</v>
      </c>
      <c r="R876" s="63" t="s">
        <v>1580</v>
      </c>
      <c r="S876" s="58">
        <v>2017.0</v>
      </c>
      <c r="T876" s="25">
        <v>0.04313271410826</v>
      </c>
      <c r="U876" s="330">
        <f t="shared" si="169"/>
        <v>159.1518822</v>
      </c>
      <c r="V876" s="341" t="s">
        <v>1622</v>
      </c>
      <c r="W876" s="3">
        <f t="shared" si="155"/>
        <v>0</v>
      </c>
      <c r="X876" s="3">
        <f t="shared" si="156"/>
        <v>0</v>
      </c>
      <c r="Y876" s="3">
        <f t="shared" si="157"/>
        <v>0</v>
      </c>
      <c r="Z876" s="58">
        <v>0.0</v>
      </c>
      <c r="AA876" s="26">
        <f>VLOOKUP(S876,CPI!$A$2:$F$71,6,0)</f>
        <v>1.314109416</v>
      </c>
      <c r="AB876" s="27">
        <f t="shared" si="171"/>
        <v>209.1429869</v>
      </c>
      <c r="AC876" s="342" t="s">
        <v>1622</v>
      </c>
      <c r="AD876" s="63" t="s">
        <v>60</v>
      </c>
      <c r="AE876" s="87" t="s">
        <v>1618</v>
      </c>
      <c r="AF876" s="130"/>
      <c r="AG876" s="130"/>
      <c r="AH876" s="130"/>
      <c r="AI876" s="130"/>
      <c r="AJ876" s="33"/>
      <c r="AK876" s="33"/>
      <c r="AL876" s="33"/>
      <c r="AM876" s="206"/>
      <c r="AN876" s="206"/>
      <c r="AO876" s="206"/>
      <c r="AP876" s="206"/>
      <c r="AQ876" s="206"/>
    </row>
    <row r="877" ht="15.75" customHeight="1">
      <c r="A877" s="61">
        <v>20009.0</v>
      </c>
      <c r="B877" s="63" t="s">
        <v>1576</v>
      </c>
      <c r="C877" s="329" t="s">
        <v>1590</v>
      </c>
      <c r="D877" s="16" t="s">
        <v>57</v>
      </c>
      <c r="E877" s="63" t="s">
        <v>1627</v>
      </c>
      <c r="F877" s="58">
        <v>2011.0</v>
      </c>
      <c r="G877" s="58">
        <v>2016.0</v>
      </c>
      <c r="H877" s="58">
        <v>0.0</v>
      </c>
      <c r="I877" s="58">
        <v>6.83</v>
      </c>
      <c r="J877" s="50">
        <f>K877/I877</f>
        <v>1</v>
      </c>
      <c r="K877" s="58">
        <v>6.83</v>
      </c>
      <c r="L877" s="58">
        <v>0.0</v>
      </c>
      <c r="M877" s="58">
        <v>0.0</v>
      </c>
      <c r="N877" s="58">
        <v>3.0</v>
      </c>
      <c r="O877" s="58" t="s">
        <v>1628</v>
      </c>
      <c r="P877" s="63" t="s">
        <v>60</v>
      </c>
      <c r="Q877" s="339">
        <v>42194.3627</v>
      </c>
      <c r="R877" s="63" t="s">
        <v>1580</v>
      </c>
      <c r="S877" s="58">
        <v>2024.0</v>
      </c>
      <c r="T877" s="25">
        <v>0.04440198056778</v>
      </c>
      <c r="U877" s="330">
        <f t="shared" si="169"/>
        <v>1873.513273</v>
      </c>
      <c r="V877" s="24">
        <f t="shared" ref="V877:V904" si="174">U877/I877</f>
        <v>274.3064821</v>
      </c>
      <c r="W877" s="3">
        <f t="shared" si="155"/>
        <v>0</v>
      </c>
      <c r="X877" s="3">
        <f t="shared" si="156"/>
        <v>0</v>
      </c>
      <c r="Y877" s="3">
        <f t="shared" si="157"/>
        <v>0</v>
      </c>
      <c r="Z877" s="58">
        <v>0.0</v>
      </c>
      <c r="AA877" s="26">
        <f>VLOOKUP(S877,CPI!$A$2:$F$71,6,0)</f>
        <v>1</v>
      </c>
      <c r="AB877" s="27">
        <f t="shared" si="171"/>
        <v>1873.513273</v>
      </c>
      <c r="AC877" s="27">
        <f t="shared" ref="AC877:AC904" si="175">V877*AA877</f>
        <v>274.3064821</v>
      </c>
      <c r="AD877" s="63" t="s">
        <v>60</v>
      </c>
      <c r="AE877" s="340" t="s">
        <v>1618</v>
      </c>
      <c r="AF877" s="301"/>
      <c r="AG877" s="130"/>
      <c r="AH877" s="130"/>
      <c r="AI877" s="130"/>
      <c r="AJ877" s="33"/>
      <c r="AK877" s="33"/>
      <c r="AL877" s="33"/>
      <c r="AM877" s="206"/>
      <c r="AN877" s="206"/>
      <c r="AO877" s="206"/>
      <c r="AP877" s="206"/>
      <c r="AQ877" s="206"/>
    </row>
    <row r="878" ht="15.75" customHeight="1">
      <c r="A878" s="61">
        <v>20005.0</v>
      </c>
      <c r="B878" s="63" t="s">
        <v>1576</v>
      </c>
      <c r="C878" s="329" t="s">
        <v>1590</v>
      </c>
      <c r="D878" s="16" t="s">
        <v>1620</v>
      </c>
      <c r="E878" s="63" t="s">
        <v>1629</v>
      </c>
      <c r="F878" s="58">
        <v>2012.0</v>
      </c>
      <c r="G878" s="58">
        <v>2017.0</v>
      </c>
      <c r="H878" s="58">
        <v>0.0</v>
      </c>
      <c r="I878" s="58">
        <v>7.25</v>
      </c>
      <c r="J878" s="50">
        <v>1.0</v>
      </c>
      <c r="K878" s="58">
        <v>7.25</v>
      </c>
      <c r="L878" s="58">
        <v>0.0</v>
      </c>
      <c r="M878" s="58">
        <v>0.0</v>
      </c>
      <c r="N878" s="58">
        <v>3.0</v>
      </c>
      <c r="O878" s="58" t="s">
        <v>1617</v>
      </c>
      <c r="P878" s="63" t="s">
        <v>60</v>
      </c>
      <c r="Q878" s="339">
        <v>63274.0</v>
      </c>
      <c r="R878" s="63" t="s">
        <v>1580</v>
      </c>
      <c r="S878" s="58">
        <v>2024.0</v>
      </c>
      <c r="T878" s="25">
        <v>0.04518431182954</v>
      </c>
      <c r="U878" s="330">
        <f t="shared" si="169"/>
        <v>2858.992147</v>
      </c>
      <c r="V878" s="24">
        <f t="shared" si="174"/>
        <v>394.3437444</v>
      </c>
      <c r="W878" s="3">
        <f t="shared" si="155"/>
        <v>0</v>
      </c>
      <c r="X878" s="3">
        <f t="shared" si="156"/>
        <v>0</v>
      </c>
      <c r="Y878" s="3">
        <f t="shared" si="157"/>
        <v>0</v>
      </c>
      <c r="Z878" s="58">
        <v>0.0</v>
      </c>
      <c r="AA878" s="26">
        <f>VLOOKUP(S878,CPI!$A$2:$F$71,6,0)</f>
        <v>1</v>
      </c>
      <c r="AB878" s="27">
        <f t="shared" si="171"/>
        <v>2858.992147</v>
      </c>
      <c r="AC878" s="27">
        <f t="shared" si="175"/>
        <v>394.3437444</v>
      </c>
      <c r="AD878" s="63" t="s">
        <v>60</v>
      </c>
      <c r="AE878" s="87" t="s">
        <v>1618</v>
      </c>
      <c r="AF878" s="130"/>
      <c r="AG878" s="130"/>
      <c r="AH878" s="130"/>
      <c r="AI878" s="130"/>
      <c r="AJ878" s="33"/>
      <c r="AK878" s="33"/>
      <c r="AL878" s="33"/>
      <c r="AM878" s="206"/>
      <c r="AN878" s="206"/>
      <c r="AO878" s="206"/>
      <c r="AP878" s="206"/>
      <c r="AQ878" s="206"/>
    </row>
    <row r="879" ht="15.75" customHeight="1">
      <c r="A879" s="61">
        <v>20001.0</v>
      </c>
      <c r="B879" s="63" t="s">
        <v>1576</v>
      </c>
      <c r="C879" s="329" t="s">
        <v>1590</v>
      </c>
      <c r="D879" s="16" t="s">
        <v>239</v>
      </c>
      <c r="E879" s="63" t="s">
        <v>1630</v>
      </c>
      <c r="F879" s="58">
        <v>2011.0</v>
      </c>
      <c r="G879" s="58">
        <v>2018.0</v>
      </c>
      <c r="H879" s="58">
        <v>0.0</v>
      </c>
      <c r="I879" s="58">
        <v>11.75</v>
      </c>
      <c r="J879" s="50">
        <v>1.0</v>
      </c>
      <c r="K879" s="58">
        <v>11.75</v>
      </c>
      <c r="L879" s="58">
        <v>0.0</v>
      </c>
      <c r="M879" s="58">
        <v>0.0</v>
      </c>
      <c r="N879" s="58">
        <v>6.0</v>
      </c>
      <c r="O879" s="58" t="s">
        <v>1628</v>
      </c>
      <c r="P879" s="63" t="s">
        <v>60</v>
      </c>
      <c r="Q879" s="339">
        <v>136900.0</v>
      </c>
      <c r="R879" s="63" t="s">
        <v>1580</v>
      </c>
      <c r="S879" s="58">
        <v>2024.0</v>
      </c>
      <c r="T879" s="25">
        <v>0.04326052881366</v>
      </c>
      <c r="U879" s="330">
        <f t="shared" si="169"/>
        <v>5922.366395</v>
      </c>
      <c r="V879" s="24">
        <f t="shared" si="174"/>
        <v>504.0311825</v>
      </c>
      <c r="W879" s="3">
        <f t="shared" si="155"/>
        <v>0</v>
      </c>
      <c r="X879" s="3">
        <f t="shared" si="156"/>
        <v>0</v>
      </c>
      <c r="Y879" s="3">
        <f t="shared" si="157"/>
        <v>0</v>
      </c>
      <c r="Z879" s="58">
        <v>0.0</v>
      </c>
      <c r="AA879" s="26">
        <f>VLOOKUP(S879,CPI!$A$2:$F$71,6,0)</f>
        <v>1</v>
      </c>
      <c r="AB879" s="27">
        <f t="shared" si="171"/>
        <v>5922.366395</v>
      </c>
      <c r="AC879" s="27">
        <f t="shared" si="175"/>
        <v>504.0311825</v>
      </c>
      <c r="AD879" s="63" t="s">
        <v>60</v>
      </c>
      <c r="AE879" s="87" t="s">
        <v>1618</v>
      </c>
      <c r="AF879" s="130"/>
      <c r="AG879" s="130"/>
      <c r="AH879" s="130"/>
      <c r="AI879" s="130"/>
      <c r="AJ879" s="33"/>
      <c r="AK879" s="33"/>
      <c r="AL879" s="33"/>
      <c r="AM879" s="206"/>
      <c r="AN879" s="206"/>
      <c r="AO879" s="206"/>
      <c r="AP879" s="206"/>
      <c r="AQ879" s="206"/>
    </row>
    <row r="880" ht="15.75" customHeight="1">
      <c r="A880" s="61">
        <v>20019.0</v>
      </c>
      <c r="B880" s="63" t="s">
        <v>1576</v>
      </c>
      <c r="C880" s="329" t="s">
        <v>1590</v>
      </c>
      <c r="D880" s="16" t="s">
        <v>54</v>
      </c>
      <c r="E880" s="63" t="s">
        <v>1631</v>
      </c>
      <c r="F880" s="58">
        <v>2013.0</v>
      </c>
      <c r="G880" s="58">
        <v>2018.0</v>
      </c>
      <c r="H880" s="58">
        <v>0.0</v>
      </c>
      <c r="I880" s="58">
        <v>2.92</v>
      </c>
      <c r="J880" s="50">
        <f>K880/I880</f>
        <v>1</v>
      </c>
      <c r="K880" s="58">
        <v>2.92</v>
      </c>
      <c r="L880" s="58">
        <v>0.0</v>
      </c>
      <c r="M880" s="58">
        <v>0.0</v>
      </c>
      <c r="N880" s="58">
        <v>2.0</v>
      </c>
      <c r="O880" s="58" t="s">
        <v>1592</v>
      </c>
      <c r="P880" s="63" t="s">
        <v>60</v>
      </c>
      <c r="Q880" s="339">
        <v>26052.0</v>
      </c>
      <c r="R880" s="63" t="s">
        <v>1580</v>
      </c>
      <c r="S880" s="58">
        <v>2024.0</v>
      </c>
      <c r="T880" s="25">
        <v>0.04241467569204</v>
      </c>
      <c r="U880" s="330">
        <f t="shared" si="169"/>
        <v>1104.987131</v>
      </c>
      <c r="V880" s="24">
        <f t="shared" si="174"/>
        <v>378.4202504</v>
      </c>
      <c r="W880" s="3">
        <f t="shared" si="155"/>
        <v>0</v>
      </c>
      <c r="X880" s="3">
        <f t="shared" si="156"/>
        <v>0</v>
      </c>
      <c r="Y880" s="3">
        <f t="shared" si="157"/>
        <v>0</v>
      </c>
      <c r="Z880" s="58">
        <v>0.0</v>
      </c>
      <c r="AA880" s="26">
        <f>VLOOKUP(S880,CPI!$A$2:$F$71,6,0)</f>
        <v>1</v>
      </c>
      <c r="AB880" s="27">
        <f t="shared" si="171"/>
        <v>1104.987131</v>
      </c>
      <c r="AC880" s="27">
        <f t="shared" si="175"/>
        <v>378.4202504</v>
      </c>
      <c r="AD880" s="63" t="s">
        <v>60</v>
      </c>
      <c r="AE880" s="87" t="s">
        <v>1618</v>
      </c>
      <c r="AF880" s="130"/>
      <c r="AG880" s="130"/>
      <c r="AH880" s="130"/>
      <c r="AI880" s="130"/>
      <c r="AJ880" s="33"/>
      <c r="AK880" s="33"/>
      <c r="AL880" s="33"/>
      <c r="AM880" s="206"/>
      <c r="AN880" s="206"/>
      <c r="AO880" s="206"/>
      <c r="AP880" s="206"/>
      <c r="AQ880" s="206"/>
    </row>
    <row r="881" ht="15.75" customHeight="1">
      <c r="A881" s="61">
        <v>20006.0</v>
      </c>
      <c r="B881" s="63" t="s">
        <v>1576</v>
      </c>
      <c r="C881" s="329" t="s">
        <v>1590</v>
      </c>
      <c r="D881" s="16" t="s">
        <v>1620</v>
      </c>
      <c r="E881" s="63" t="s">
        <v>1632</v>
      </c>
      <c r="F881" s="58">
        <v>2014.0</v>
      </c>
      <c r="G881" s="58">
        <v>2018.0</v>
      </c>
      <c r="H881" s="58">
        <v>0.0</v>
      </c>
      <c r="I881" s="58">
        <v>15.3</v>
      </c>
      <c r="J881" s="50">
        <v>1.0</v>
      </c>
      <c r="K881" s="58">
        <v>15.3</v>
      </c>
      <c r="L881" s="58">
        <v>0.0</v>
      </c>
      <c r="M881" s="58">
        <v>0.0</v>
      </c>
      <c r="N881" s="58">
        <v>7.0</v>
      </c>
      <c r="O881" s="58" t="s">
        <v>1617</v>
      </c>
      <c r="P881" s="63" t="s">
        <v>60</v>
      </c>
      <c r="Q881" s="339">
        <v>116000.0</v>
      </c>
      <c r="R881" s="63" t="s">
        <v>1580</v>
      </c>
      <c r="S881" s="58">
        <v>2024.0</v>
      </c>
      <c r="T881" s="25">
        <v>0.04115489876644</v>
      </c>
      <c r="U881" s="330">
        <f t="shared" si="169"/>
        <v>4773.968257</v>
      </c>
      <c r="V881" s="24">
        <f t="shared" si="174"/>
        <v>312.0240691</v>
      </c>
      <c r="W881" s="3">
        <f t="shared" si="155"/>
        <v>0</v>
      </c>
      <c r="X881" s="3">
        <f t="shared" si="156"/>
        <v>0</v>
      </c>
      <c r="Y881" s="3">
        <f t="shared" si="157"/>
        <v>0</v>
      </c>
      <c r="Z881" s="58">
        <v>0.0</v>
      </c>
      <c r="AA881" s="26">
        <f>VLOOKUP(S881,CPI!$A$2:$F$71,6,0)</f>
        <v>1</v>
      </c>
      <c r="AB881" s="27">
        <f t="shared" si="171"/>
        <v>4773.968257</v>
      </c>
      <c r="AC881" s="27">
        <f t="shared" si="175"/>
        <v>312.0240691</v>
      </c>
      <c r="AD881" s="63" t="s">
        <v>60</v>
      </c>
      <c r="AE881" s="87" t="s">
        <v>1618</v>
      </c>
      <c r="AF881" s="301"/>
      <c r="AG881" s="301"/>
      <c r="AH881" s="301"/>
      <c r="AI881" s="130"/>
      <c r="AJ881" s="33"/>
      <c r="AK881" s="33"/>
      <c r="AL881" s="33"/>
      <c r="AM881" s="206"/>
      <c r="AN881" s="206"/>
      <c r="AO881" s="206"/>
      <c r="AP881" s="206"/>
      <c r="AQ881" s="206"/>
    </row>
    <row r="882" ht="15.75" customHeight="1">
      <c r="A882" s="61">
        <v>20012.0</v>
      </c>
      <c r="B882" s="63" t="s">
        <v>1576</v>
      </c>
      <c r="C882" s="329" t="s">
        <v>1590</v>
      </c>
      <c r="D882" s="16" t="s">
        <v>1633</v>
      </c>
      <c r="E882" s="63" t="s">
        <v>1634</v>
      </c>
      <c r="F882" s="58">
        <v>2014.0</v>
      </c>
      <c r="G882" s="58">
        <v>2018.0</v>
      </c>
      <c r="H882" s="58">
        <v>0.0</v>
      </c>
      <c r="I882" s="58">
        <v>11.45</v>
      </c>
      <c r="J882" s="50">
        <f t="shared" ref="J882:J890" si="176">K882/I882</f>
        <v>1</v>
      </c>
      <c r="K882" s="58">
        <v>11.45</v>
      </c>
      <c r="L882" s="58">
        <v>0.0</v>
      </c>
      <c r="M882" s="58">
        <v>0.0</v>
      </c>
      <c r="N882" s="58">
        <v>5.0</v>
      </c>
      <c r="O882" s="58" t="s">
        <v>1617</v>
      </c>
      <c r="P882" s="63" t="s">
        <v>60</v>
      </c>
      <c r="Q882" s="339">
        <v>144582.0</v>
      </c>
      <c r="R882" s="63" t="s">
        <v>1580</v>
      </c>
      <c r="S882" s="58">
        <v>2024.0</v>
      </c>
      <c r="T882" s="25">
        <v>0.04190132605345</v>
      </c>
      <c r="U882" s="330">
        <f t="shared" si="169"/>
        <v>6058.177523</v>
      </c>
      <c r="V882" s="24">
        <f t="shared" si="174"/>
        <v>529.0984737</v>
      </c>
      <c r="W882" s="3">
        <f t="shared" si="155"/>
        <v>0</v>
      </c>
      <c r="X882" s="3">
        <f t="shared" si="156"/>
        <v>0</v>
      </c>
      <c r="Y882" s="3">
        <f t="shared" si="157"/>
        <v>0</v>
      </c>
      <c r="Z882" s="58">
        <v>0.0</v>
      </c>
      <c r="AA882" s="26">
        <f>VLOOKUP(S882,CPI!$A$2:$F$71,6,0)</f>
        <v>1</v>
      </c>
      <c r="AB882" s="27">
        <f t="shared" si="171"/>
        <v>6058.177523</v>
      </c>
      <c r="AC882" s="27">
        <f t="shared" si="175"/>
        <v>529.0984737</v>
      </c>
      <c r="AD882" s="63" t="s">
        <v>60</v>
      </c>
      <c r="AE882" s="87" t="s">
        <v>1618</v>
      </c>
      <c r="AF882" s="130"/>
      <c r="AG882" s="130"/>
      <c r="AH882" s="130"/>
      <c r="AI882" s="130"/>
      <c r="AJ882" s="33"/>
      <c r="AK882" s="33"/>
      <c r="AL882" s="33"/>
      <c r="AM882" s="206"/>
      <c r="AN882" s="206"/>
      <c r="AO882" s="206"/>
      <c r="AP882" s="206"/>
      <c r="AQ882" s="206"/>
    </row>
    <row r="883" ht="15.75" customHeight="1">
      <c r="A883" s="61">
        <v>20010.0</v>
      </c>
      <c r="B883" s="63" t="s">
        <v>1576</v>
      </c>
      <c r="C883" s="329" t="s">
        <v>1590</v>
      </c>
      <c r="D883" s="16" t="s">
        <v>57</v>
      </c>
      <c r="E883" s="63" t="s">
        <v>1635</v>
      </c>
      <c r="F883" s="58">
        <v>2016.0</v>
      </c>
      <c r="G883" s="58">
        <v>2019.0</v>
      </c>
      <c r="H883" s="58">
        <v>0.0</v>
      </c>
      <c r="I883" s="58">
        <v>11.51</v>
      </c>
      <c r="J883" s="50">
        <f t="shared" si="176"/>
        <v>0.5655951347</v>
      </c>
      <c r="K883" s="58">
        <v>6.51</v>
      </c>
      <c r="L883" s="58">
        <v>1.0</v>
      </c>
      <c r="M883" s="58">
        <v>4.0</v>
      </c>
      <c r="N883" s="58">
        <v>2.0</v>
      </c>
      <c r="O883" s="58" t="s">
        <v>1592</v>
      </c>
      <c r="P883" s="63" t="s">
        <v>60</v>
      </c>
      <c r="Q883" s="339">
        <v>48024.4739</v>
      </c>
      <c r="R883" s="63" t="s">
        <v>1580</v>
      </c>
      <c r="S883" s="58">
        <v>2024.0</v>
      </c>
      <c r="T883" s="25">
        <v>0.04036805100883</v>
      </c>
      <c r="U883" s="330">
        <f t="shared" si="169"/>
        <v>1938.654412</v>
      </c>
      <c r="V883" s="24">
        <f t="shared" si="174"/>
        <v>168.4321818</v>
      </c>
      <c r="W883" s="3">
        <f t="shared" si="155"/>
        <v>0</v>
      </c>
      <c r="X883" s="3">
        <f t="shared" si="156"/>
        <v>0</v>
      </c>
      <c r="Y883" s="3">
        <f t="shared" si="157"/>
        <v>0</v>
      </c>
      <c r="Z883" s="58">
        <v>0.0</v>
      </c>
      <c r="AA883" s="26">
        <f>VLOOKUP(S883,CPI!$A$2:$F$71,6,0)</f>
        <v>1</v>
      </c>
      <c r="AB883" s="27">
        <f t="shared" si="171"/>
        <v>1938.654412</v>
      </c>
      <c r="AC883" s="27">
        <f t="shared" si="175"/>
        <v>168.4321818</v>
      </c>
      <c r="AD883" s="63" t="s">
        <v>60</v>
      </c>
      <c r="AE883" s="87" t="s">
        <v>1618</v>
      </c>
      <c r="AF883" s="130"/>
      <c r="AG883" s="130"/>
      <c r="AH883" s="130"/>
      <c r="AI883" s="130"/>
      <c r="AJ883" s="33"/>
      <c r="AK883" s="33"/>
      <c r="AL883" s="33"/>
      <c r="AM883" s="206"/>
      <c r="AN883" s="206"/>
      <c r="AO883" s="206"/>
      <c r="AP883" s="206"/>
      <c r="AQ883" s="206"/>
    </row>
    <row r="884" ht="15.75" customHeight="1">
      <c r="A884" s="61">
        <v>20018.0</v>
      </c>
      <c r="B884" s="63" t="s">
        <v>1576</v>
      </c>
      <c r="C884" s="329" t="s">
        <v>1590</v>
      </c>
      <c r="D884" s="16" t="s">
        <v>1636</v>
      </c>
      <c r="E884" s="63" t="s">
        <v>1637</v>
      </c>
      <c r="F884" s="58">
        <v>2015.0</v>
      </c>
      <c r="G884" s="58">
        <v>2020.0</v>
      </c>
      <c r="H884" s="58">
        <v>0.0</v>
      </c>
      <c r="I884" s="58">
        <v>21.43</v>
      </c>
      <c r="J884" s="50">
        <f t="shared" si="176"/>
        <v>1</v>
      </c>
      <c r="K884" s="58">
        <v>21.43</v>
      </c>
      <c r="L884" s="58">
        <v>0.0</v>
      </c>
      <c r="M884" s="58">
        <v>0.0</v>
      </c>
      <c r="N884" s="58">
        <v>8.0</v>
      </c>
      <c r="O884" s="58" t="s">
        <v>1592</v>
      </c>
      <c r="P884" s="63" t="s">
        <v>60</v>
      </c>
      <c r="Q884" s="339">
        <v>213479.356</v>
      </c>
      <c r="R884" s="63" t="s">
        <v>1580</v>
      </c>
      <c r="S884" s="58">
        <v>2024.0</v>
      </c>
      <c r="T884" s="25">
        <v>0.03997771372224</v>
      </c>
      <c r="U884" s="330">
        <f t="shared" si="169"/>
        <v>8534.41658</v>
      </c>
      <c r="V884" s="24">
        <f t="shared" si="174"/>
        <v>398.246224</v>
      </c>
      <c r="W884" s="3">
        <f t="shared" si="155"/>
        <v>0</v>
      </c>
      <c r="X884" s="3">
        <f t="shared" si="156"/>
        <v>0</v>
      </c>
      <c r="Y884" s="3">
        <f t="shared" si="157"/>
        <v>0</v>
      </c>
      <c r="Z884" s="58">
        <v>0.0</v>
      </c>
      <c r="AA884" s="26">
        <f>VLOOKUP(S884,CPI!$A$2:$F$71,6,0)</f>
        <v>1</v>
      </c>
      <c r="AB884" s="27">
        <f t="shared" si="171"/>
        <v>8534.41658</v>
      </c>
      <c r="AC884" s="27">
        <f t="shared" si="175"/>
        <v>398.246224</v>
      </c>
      <c r="AD884" s="63" t="s">
        <v>60</v>
      </c>
      <c r="AE884" s="87" t="s">
        <v>1618</v>
      </c>
      <c r="AF884" s="130"/>
      <c r="AG884" s="130"/>
      <c r="AH884" s="130"/>
      <c r="AI884" s="130"/>
      <c r="AJ884" s="33"/>
      <c r="AK884" s="33"/>
      <c r="AL884" s="33"/>
      <c r="AM884" s="206"/>
      <c r="AN884" s="206"/>
      <c r="AO884" s="206"/>
      <c r="AP884" s="206"/>
      <c r="AQ884" s="206"/>
    </row>
    <row r="885" ht="15.75" customHeight="1">
      <c r="A885" s="61">
        <v>20008.0</v>
      </c>
      <c r="B885" s="63" t="s">
        <v>1576</v>
      </c>
      <c r="C885" s="329" t="s">
        <v>1590</v>
      </c>
      <c r="D885" s="16" t="s">
        <v>1638</v>
      </c>
      <c r="E885" s="63" t="s">
        <v>1639</v>
      </c>
      <c r="F885" s="58">
        <v>2018.0</v>
      </c>
      <c r="G885" s="58">
        <v>2020.0</v>
      </c>
      <c r="H885" s="58">
        <v>0.0</v>
      </c>
      <c r="I885" s="58">
        <v>1.4</v>
      </c>
      <c r="J885" s="50">
        <f t="shared" si="176"/>
        <v>1</v>
      </c>
      <c r="K885" s="58">
        <v>1.4</v>
      </c>
      <c r="L885" s="58">
        <v>0.0</v>
      </c>
      <c r="M885" s="58">
        <v>0.0</v>
      </c>
      <c r="N885" s="58">
        <v>0.0</v>
      </c>
      <c r="O885" s="58" t="s">
        <v>1622</v>
      </c>
      <c r="P885" s="63" t="s">
        <v>60</v>
      </c>
      <c r="Q885" s="339">
        <v>20289.0</v>
      </c>
      <c r="R885" s="63" t="s">
        <v>1580</v>
      </c>
      <c r="S885" s="58">
        <v>2024.0</v>
      </c>
      <c r="T885" s="25">
        <v>0.03855478193996</v>
      </c>
      <c r="U885" s="330">
        <f t="shared" si="169"/>
        <v>782.2379708</v>
      </c>
      <c r="V885" s="24">
        <f t="shared" si="174"/>
        <v>558.7414077</v>
      </c>
      <c r="W885" s="3">
        <f t="shared" si="155"/>
        <v>0</v>
      </c>
      <c r="X885" s="3">
        <f t="shared" si="156"/>
        <v>0</v>
      </c>
      <c r="Y885" s="3">
        <f t="shared" si="157"/>
        <v>0</v>
      </c>
      <c r="Z885" s="58">
        <v>0.0</v>
      </c>
      <c r="AA885" s="26">
        <f>VLOOKUP(S885,CPI!$A$2:$F$71,6,0)</f>
        <v>1</v>
      </c>
      <c r="AB885" s="27">
        <f t="shared" si="171"/>
        <v>782.2379708</v>
      </c>
      <c r="AC885" s="27">
        <f t="shared" si="175"/>
        <v>558.7414077</v>
      </c>
      <c r="AD885" s="63" t="s">
        <v>60</v>
      </c>
      <c r="AE885" s="87" t="s">
        <v>1618</v>
      </c>
      <c r="AF885" s="130"/>
      <c r="AG885" s="130"/>
      <c r="AH885" s="130"/>
      <c r="AI885" s="130"/>
      <c r="AJ885" s="33"/>
      <c r="AK885" s="33"/>
      <c r="AL885" s="33"/>
      <c r="AM885" s="206"/>
      <c r="AN885" s="206"/>
      <c r="AO885" s="206"/>
      <c r="AP885" s="206"/>
      <c r="AQ885" s="206"/>
    </row>
    <row r="886" ht="15.75" customHeight="1">
      <c r="A886" s="61">
        <v>20014.0</v>
      </c>
      <c r="B886" s="63" t="s">
        <v>1576</v>
      </c>
      <c r="C886" s="329" t="s">
        <v>1590</v>
      </c>
      <c r="D886" s="16" t="s">
        <v>1640</v>
      </c>
      <c r="E886" s="63" t="s">
        <v>1641</v>
      </c>
      <c r="F886" s="58">
        <v>2017.0</v>
      </c>
      <c r="G886" s="58">
        <v>2021.0</v>
      </c>
      <c r="H886" s="58">
        <v>0.0</v>
      </c>
      <c r="I886" s="58">
        <v>8.11</v>
      </c>
      <c r="J886" s="50">
        <f t="shared" si="176"/>
        <v>1</v>
      </c>
      <c r="K886" s="58">
        <v>8.11</v>
      </c>
      <c r="L886" s="58">
        <v>0.0</v>
      </c>
      <c r="M886" s="58">
        <v>0.0</v>
      </c>
      <c r="N886" s="58">
        <v>3.0</v>
      </c>
      <c r="O886" s="58" t="s">
        <v>1592</v>
      </c>
      <c r="P886" s="63" t="s">
        <v>60</v>
      </c>
      <c r="Q886" s="339">
        <v>125522.78</v>
      </c>
      <c r="R886" s="63" t="s">
        <v>1580</v>
      </c>
      <c r="S886" s="58">
        <v>2024.0</v>
      </c>
      <c r="T886" s="25">
        <v>0.03725472052102</v>
      </c>
      <c r="U886" s="330">
        <f t="shared" si="169"/>
        <v>4676.316088</v>
      </c>
      <c r="V886" s="24">
        <f t="shared" si="174"/>
        <v>576.6111083</v>
      </c>
      <c r="W886" s="3">
        <f t="shared" si="155"/>
        <v>0</v>
      </c>
      <c r="X886" s="3">
        <f t="shared" si="156"/>
        <v>0</v>
      </c>
      <c r="Y886" s="3">
        <f t="shared" si="157"/>
        <v>0</v>
      </c>
      <c r="Z886" s="58">
        <v>0.0</v>
      </c>
      <c r="AA886" s="26">
        <f>VLOOKUP(S886,CPI!$A$2:$F$71,6,0)</f>
        <v>1</v>
      </c>
      <c r="AB886" s="27">
        <f t="shared" si="171"/>
        <v>4676.316088</v>
      </c>
      <c r="AC886" s="27">
        <f t="shared" si="175"/>
        <v>576.6111083</v>
      </c>
      <c r="AD886" s="63" t="s">
        <v>60</v>
      </c>
      <c r="AE886" s="87" t="s">
        <v>1618</v>
      </c>
      <c r="AF886" s="130"/>
      <c r="AG886" s="130"/>
      <c r="AH886" s="130"/>
      <c r="AI886" s="130"/>
      <c r="AJ886" s="33"/>
      <c r="AK886" s="33"/>
      <c r="AL886" s="33"/>
      <c r="AM886" s="206"/>
      <c r="AN886" s="206"/>
      <c r="AO886" s="206"/>
      <c r="AP886" s="206"/>
      <c r="AQ886" s="206"/>
    </row>
    <row r="887" ht="15.75" customHeight="1">
      <c r="A887" s="61">
        <v>20016.0</v>
      </c>
      <c r="B887" s="63" t="s">
        <v>1576</v>
      </c>
      <c r="C887" s="329" t="s">
        <v>1590</v>
      </c>
      <c r="D887" s="16" t="s">
        <v>1640</v>
      </c>
      <c r="E887" s="63" t="s">
        <v>1642</v>
      </c>
      <c r="F887" s="58">
        <v>2017.0</v>
      </c>
      <c r="G887" s="58">
        <v>2021.0</v>
      </c>
      <c r="H887" s="58">
        <v>0.0</v>
      </c>
      <c r="I887" s="58">
        <v>8.41</v>
      </c>
      <c r="J887" s="50">
        <f t="shared" si="176"/>
        <v>1</v>
      </c>
      <c r="K887" s="58">
        <v>8.41</v>
      </c>
      <c r="L887" s="58">
        <v>0.0</v>
      </c>
      <c r="M887" s="58">
        <v>0.0</v>
      </c>
      <c r="N887" s="58">
        <v>4.0</v>
      </c>
      <c r="O887" s="58" t="s">
        <v>1592</v>
      </c>
      <c r="P887" s="63" t="s">
        <v>60</v>
      </c>
      <c r="Q887" s="339">
        <v>125410.4</v>
      </c>
      <c r="R887" s="63" t="s">
        <v>1580</v>
      </c>
      <c r="S887" s="58">
        <v>2024.0</v>
      </c>
      <c r="T887" s="25">
        <v>0.0364892875344</v>
      </c>
      <c r="U887" s="330">
        <f t="shared" si="169"/>
        <v>4576.136145</v>
      </c>
      <c r="V887" s="24">
        <f t="shared" si="174"/>
        <v>544.1303383</v>
      </c>
      <c r="W887" s="3">
        <f t="shared" si="155"/>
        <v>0</v>
      </c>
      <c r="X887" s="3">
        <f t="shared" si="156"/>
        <v>0</v>
      </c>
      <c r="Y887" s="3">
        <f t="shared" si="157"/>
        <v>0</v>
      </c>
      <c r="Z887" s="58">
        <v>0.0</v>
      </c>
      <c r="AA887" s="26">
        <f>VLOOKUP(S887,CPI!$A$2:$F$71,6,0)</f>
        <v>1</v>
      </c>
      <c r="AB887" s="27">
        <f t="shared" si="171"/>
        <v>4576.136145</v>
      </c>
      <c r="AC887" s="27">
        <f t="shared" si="175"/>
        <v>544.1303383</v>
      </c>
      <c r="AD887" s="63" t="s">
        <v>60</v>
      </c>
      <c r="AE887" s="87" t="s">
        <v>1618</v>
      </c>
      <c r="AF887" s="301"/>
      <c r="AG887" s="301"/>
      <c r="AH887" s="301"/>
      <c r="AI887" s="301"/>
      <c r="AJ887" s="33"/>
      <c r="AK887" s="33"/>
      <c r="AL887" s="33"/>
      <c r="AM887" s="206"/>
      <c r="AN887" s="206"/>
      <c r="AO887" s="206"/>
      <c r="AP887" s="206"/>
      <c r="AQ887" s="206"/>
    </row>
    <row r="888" ht="15.75" customHeight="1">
      <c r="A888" s="61">
        <v>20017.0</v>
      </c>
      <c r="B888" s="63" t="s">
        <v>1576</v>
      </c>
      <c r="C888" s="329" t="s">
        <v>1590</v>
      </c>
      <c r="D888" s="16" t="s">
        <v>1640</v>
      </c>
      <c r="E888" s="63" t="s">
        <v>1643</v>
      </c>
      <c r="F888" s="58">
        <v>2017.0</v>
      </c>
      <c r="G888" s="58">
        <v>2021.0</v>
      </c>
      <c r="H888" s="58">
        <v>0.0</v>
      </c>
      <c r="I888" s="58">
        <v>8.27</v>
      </c>
      <c r="J888" s="50">
        <f t="shared" si="176"/>
        <v>1</v>
      </c>
      <c r="K888" s="58">
        <v>8.27</v>
      </c>
      <c r="L888" s="58">
        <v>0.0</v>
      </c>
      <c r="M888" s="58">
        <v>0.0</v>
      </c>
      <c r="N888" s="58">
        <v>3.0</v>
      </c>
      <c r="O888" s="58" t="s">
        <v>1592</v>
      </c>
      <c r="P888" s="63" t="s">
        <v>60</v>
      </c>
      <c r="Q888" s="339">
        <v>130300.0</v>
      </c>
      <c r="R888" s="63" t="s">
        <v>1580</v>
      </c>
      <c r="S888" s="58">
        <v>2024.0</v>
      </c>
      <c r="T888" s="25">
        <v>0.03572061031635</v>
      </c>
      <c r="U888" s="330">
        <f t="shared" si="169"/>
        <v>4654.395524</v>
      </c>
      <c r="V888" s="24">
        <f t="shared" si="174"/>
        <v>562.8047792</v>
      </c>
      <c r="W888" s="3">
        <f t="shared" si="155"/>
        <v>0</v>
      </c>
      <c r="X888" s="3">
        <f t="shared" si="156"/>
        <v>0</v>
      </c>
      <c r="Y888" s="3">
        <f t="shared" si="157"/>
        <v>0</v>
      </c>
      <c r="Z888" s="58">
        <v>0.0</v>
      </c>
      <c r="AA888" s="26">
        <f>VLOOKUP(S888,CPI!$A$2:$F$71,6,0)</f>
        <v>1</v>
      </c>
      <c r="AB888" s="27">
        <f t="shared" si="171"/>
        <v>4654.395524</v>
      </c>
      <c r="AC888" s="27">
        <f t="shared" si="175"/>
        <v>562.8047792</v>
      </c>
      <c r="AD888" s="63" t="s">
        <v>60</v>
      </c>
      <c r="AE888" s="87" t="s">
        <v>1618</v>
      </c>
      <c r="AF888" s="301"/>
      <c r="AG888" s="301"/>
      <c r="AH888" s="301"/>
      <c r="AI888" s="301"/>
      <c r="AJ888" s="33"/>
      <c r="AK888" s="33"/>
      <c r="AL888" s="33"/>
      <c r="AM888" s="206"/>
      <c r="AN888" s="206"/>
      <c r="AO888" s="206"/>
      <c r="AP888" s="206"/>
      <c r="AQ888" s="206"/>
    </row>
    <row r="889" ht="15.75" customHeight="1">
      <c r="A889" s="61">
        <v>20015.0</v>
      </c>
      <c r="B889" s="63" t="s">
        <v>1576</v>
      </c>
      <c r="C889" s="329" t="s">
        <v>1590</v>
      </c>
      <c r="D889" s="16" t="s">
        <v>1640</v>
      </c>
      <c r="E889" s="63" t="s">
        <v>1644</v>
      </c>
      <c r="F889" s="58">
        <v>2018.0</v>
      </c>
      <c r="G889" s="58">
        <v>2022.0</v>
      </c>
      <c r="H889" s="58">
        <v>0.0</v>
      </c>
      <c r="I889" s="58">
        <v>10.7</v>
      </c>
      <c r="J889" s="50">
        <f t="shared" si="176"/>
        <v>1</v>
      </c>
      <c r="K889" s="58">
        <v>10.7</v>
      </c>
      <c r="L889" s="58">
        <v>0.0</v>
      </c>
      <c r="M889" s="58">
        <v>0.0</v>
      </c>
      <c r="N889" s="58">
        <v>4.0</v>
      </c>
      <c r="O889" s="58" t="s">
        <v>1592</v>
      </c>
      <c r="P889" s="63" t="s">
        <v>60</v>
      </c>
      <c r="Q889" s="339">
        <v>130300.0</v>
      </c>
      <c r="R889" s="63" t="s">
        <v>1580</v>
      </c>
      <c r="S889" s="58">
        <v>2024.0</v>
      </c>
      <c r="T889" s="25">
        <v>0.03974333999137</v>
      </c>
      <c r="U889" s="330">
        <f t="shared" si="169"/>
        <v>5178.557201</v>
      </c>
      <c r="V889" s="24">
        <f t="shared" si="174"/>
        <v>483.9773085</v>
      </c>
      <c r="W889" s="3">
        <f t="shared" si="155"/>
        <v>0</v>
      </c>
      <c r="X889" s="3">
        <f t="shared" si="156"/>
        <v>0</v>
      </c>
      <c r="Y889" s="3">
        <f t="shared" si="157"/>
        <v>0</v>
      </c>
      <c r="Z889" s="58">
        <v>0.0</v>
      </c>
      <c r="AA889" s="26">
        <f>VLOOKUP(S889,CPI!$A$2:$F$71,6,0)</f>
        <v>1</v>
      </c>
      <c r="AB889" s="27">
        <f t="shared" si="171"/>
        <v>5178.557201</v>
      </c>
      <c r="AC889" s="27">
        <f t="shared" si="175"/>
        <v>483.9773085</v>
      </c>
      <c r="AD889" s="63" t="s">
        <v>60</v>
      </c>
      <c r="AE889" s="87" t="s">
        <v>1618</v>
      </c>
      <c r="AF889" s="130"/>
      <c r="AG889" s="130"/>
      <c r="AH889" s="130"/>
      <c r="AI889" s="130"/>
      <c r="AJ889" s="33"/>
      <c r="AK889" s="33"/>
      <c r="AL889" s="33"/>
      <c r="AM889" s="206"/>
      <c r="AN889" s="206"/>
      <c r="AO889" s="206"/>
      <c r="AP889" s="206"/>
      <c r="AQ889" s="206"/>
    </row>
    <row r="890" ht="15.75" customHeight="1">
      <c r="A890" s="61">
        <v>20013.0</v>
      </c>
      <c r="B890" s="63" t="s">
        <v>1576</v>
      </c>
      <c r="C890" s="329" t="s">
        <v>1590</v>
      </c>
      <c r="D890" s="16" t="s">
        <v>1640</v>
      </c>
      <c r="E890" s="63" t="s">
        <v>1645</v>
      </c>
      <c r="F890" s="58">
        <v>2017.0</v>
      </c>
      <c r="G890" s="58">
        <v>2023.0</v>
      </c>
      <c r="H890" s="58">
        <v>0.0</v>
      </c>
      <c r="I890" s="58">
        <v>10.86</v>
      </c>
      <c r="J890" s="50">
        <f t="shared" si="176"/>
        <v>1</v>
      </c>
      <c r="K890" s="58">
        <v>10.86</v>
      </c>
      <c r="L890" s="58">
        <v>0.0</v>
      </c>
      <c r="M890" s="58">
        <v>0.0</v>
      </c>
      <c r="N890" s="58">
        <v>5.0</v>
      </c>
      <c r="O890" s="58" t="s">
        <v>1617</v>
      </c>
      <c r="P890" s="63" t="s">
        <v>60</v>
      </c>
      <c r="Q890" s="339">
        <v>192900.0</v>
      </c>
      <c r="R890" s="63" t="s">
        <v>1580</v>
      </c>
      <c r="S890" s="58">
        <v>2024.0</v>
      </c>
      <c r="T890" s="25">
        <v>0.03685099509499</v>
      </c>
      <c r="U890" s="330">
        <f t="shared" si="169"/>
        <v>7108.556954</v>
      </c>
      <c r="V890" s="24">
        <f t="shared" si="174"/>
        <v>654.5632554</v>
      </c>
      <c r="W890" s="3">
        <f t="shared" si="155"/>
        <v>0</v>
      </c>
      <c r="X890" s="3">
        <f t="shared" si="156"/>
        <v>0</v>
      </c>
      <c r="Y890" s="3">
        <f t="shared" si="157"/>
        <v>0</v>
      </c>
      <c r="Z890" s="58">
        <v>0.0</v>
      </c>
      <c r="AA890" s="26">
        <f>VLOOKUP(S890,CPI!$A$2:$F$71,6,0)</f>
        <v>1</v>
      </c>
      <c r="AB890" s="27">
        <f t="shared" si="171"/>
        <v>7108.556954</v>
      </c>
      <c r="AC890" s="27">
        <f t="shared" si="175"/>
        <v>654.5632554</v>
      </c>
      <c r="AD890" s="63" t="s">
        <v>60</v>
      </c>
      <c r="AE890" s="87" t="s">
        <v>1618</v>
      </c>
      <c r="AF890" s="130"/>
      <c r="AG890" s="130"/>
      <c r="AH890" s="130"/>
      <c r="AI890" s="130"/>
      <c r="AJ890" s="33"/>
      <c r="AK890" s="33"/>
      <c r="AL890" s="33"/>
      <c r="AM890" s="206"/>
      <c r="AN890" s="206"/>
      <c r="AO890" s="206"/>
      <c r="AP890" s="206"/>
      <c r="AQ890" s="206"/>
    </row>
    <row r="891" ht="15.75" customHeight="1">
      <c r="A891" s="61">
        <v>20002.0</v>
      </c>
      <c r="B891" s="63" t="s">
        <v>1576</v>
      </c>
      <c r="C891" s="329" t="s">
        <v>1590</v>
      </c>
      <c r="D891" s="16" t="s">
        <v>239</v>
      </c>
      <c r="E891" s="63" t="s">
        <v>1646</v>
      </c>
      <c r="F891" s="58">
        <v>2018.0</v>
      </c>
      <c r="G891" s="58">
        <v>2023.0</v>
      </c>
      <c r="H891" s="58">
        <v>0.0</v>
      </c>
      <c r="I891" s="58">
        <v>3.9</v>
      </c>
      <c r="J891" s="50">
        <v>1.0</v>
      </c>
      <c r="K891" s="58">
        <v>3.9</v>
      </c>
      <c r="L891" s="58">
        <v>0.0</v>
      </c>
      <c r="M891" s="58">
        <v>0.0</v>
      </c>
      <c r="N891" s="58">
        <v>2.0</v>
      </c>
      <c r="O891" s="58" t="s">
        <v>1592</v>
      </c>
      <c r="P891" s="63" t="s">
        <v>60</v>
      </c>
      <c r="Q891" s="339">
        <v>43598.3041</v>
      </c>
      <c r="R891" s="63" t="s">
        <v>1580</v>
      </c>
      <c r="S891" s="58">
        <v>2024.0</v>
      </c>
      <c r="T891" s="25">
        <v>0.03417479223592</v>
      </c>
      <c r="U891" s="330">
        <f t="shared" si="169"/>
        <v>1489.962984</v>
      </c>
      <c r="V891" s="24">
        <f t="shared" si="174"/>
        <v>382.0417909</v>
      </c>
      <c r="W891" s="3">
        <f t="shared" si="155"/>
        <v>0</v>
      </c>
      <c r="X891" s="3">
        <f t="shared" si="156"/>
        <v>0</v>
      </c>
      <c r="Y891" s="3">
        <f t="shared" si="157"/>
        <v>0</v>
      </c>
      <c r="Z891" s="58">
        <v>0.0</v>
      </c>
      <c r="AA891" s="26">
        <f>VLOOKUP(S891,CPI!$A$2:$F$71,6,0)</f>
        <v>1</v>
      </c>
      <c r="AB891" s="27">
        <f t="shared" si="171"/>
        <v>1489.962984</v>
      </c>
      <c r="AC891" s="27">
        <f t="shared" si="175"/>
        <v>382.0417909</v>
      </c>
      <c r="AD891" s="63" t="s">
        <v>60</v>
      </c>
      <c r="AE891" s="340" t="s">
        <v>1618</v>
      </c>
      <c r="AF891" s="301"/>
      <c r="AG891" s="130"/>
      <c r="AH891" s="130"/>
      <c r="AI891" s="130"/>
      <c r="AJ891" s="33"/>
      <c r="AK891" s="33"/>
      <c r="AL891" s="33"/>
      <c r="AM891" s="206"/>
      <c r="AN891" s="206"/>
      <c r="AO891" s="206"/>
      <c r="AP891" s="206"/>
      <c r="AQ891" s="206"/>
    </row>
    <row r="892" ht="15.75" customHeight="1">
      <c r="A892" s="61">
        <v>20003.0</v>
      </c>
      <c r="B892" s="63" t="s">
        <v>1576</v>
      </c>
      <c r="C892" s="329" t="s">
        <v>1590</v>
      </c>
      <c r="D892" s="16" t="s">
        <v>239</v>
      </c>
      <c r="E892" s="63" t="s">
        <v>1647</v>
      </c>
      <c r="F892" s="58">
        <v>2020.0</v>
      </c>
      <c r="G892" s="58">
        <v>2023.0</v>
      </c>
      <c r="H892" s="58">
        <v>0.0</v>
      </c>
      <c r="I892" s="58">
        <v>1.9</v>
      </c>
      <c r="J892" s="50">
        <v>1.0</v>
      </c>
      <c r="K892" s="58">
        <v>1.9</v>
      </c>
      <c r="L892" s="58">
        <v>0.0</v>
      </c>
      <c r="M892" s="58">
        <v>0.0</v>
      </c>
      <c r="N892" s="58">
        <v>1.0</v>
      </c>
      <c r="O892" s="58" t="s">
        <v>1592</v>
      </c>
      <c r="P892" s="63" t="s">
        <v>60</v>
      </c>
      <c r="Q892" s="339">
        <v>34400.0</v>
      </c>
      <c r="R892" s="63" t="s">
        <v>1580</v>
      </c>
      <c r="S892" s="58">
        <v>2024.0</v>
      </c>
      <c r="T892" s="25">
        <v>0.03217924258016</v>
      </c>
      <c r="U892" s="330">
        <f t="shared" si="169"/>
        <v>1106.965945</v>
      </c>
      <c r="V892" s="24">
        <f t="shared" si="174"/>
        <v>582.6136551</v>
      </c>
      <c r="W892" s="3">
        <f t="shared" si="155"/>
        <v>0</v>
      </c>
      <c r="X892" s="3">
        <f t="shared" si="156"/>
        <v>0</v>
      </c>
      <c r="Y892" s="3">
        <f t="shared" si="157"/>
        <v>0</v>
      </c>
      <c r="Z892" s="58">
        <v>0.0</v>
      </c>
      <c r="AA892" s="26">
        <f>VLOOKUP(S892,CPI!$A$2:$F$71,6,0)</f>
        <v>1</v>
      </c>
      <c r="AB892" s="27">
        <f t="shared" si="171"/>
        <v>1106.965945</v>
      </c>
      <c r="AC892" s="27">
        <f t="shared" si="175"/>
        <v>582.6136551</v>
      </c>
      <c r="AD892" s="63" t="s">
        <v>60</v>
      </c>
      <c r="AE892" s="87" t="s">
        <v>1618</v>
      </c>
      <c r="AF892" s="130"/>
      <c r="AG892" s="130"/>
      <c r="AH892" s="130"/>
      <c r="AI892" s="130"/>
      <c r="AJ892" s="33"/>
      <c r="AK892" s="33"/>
      <c r="AL892" s="33"/>
      <c r="AM892" s="206"/>
      <c r="AN892" s="206"/>
      <c r="AO892" s="206"/>
      <c r="AP892" s="206"/>
      <c r="AQ892" s="206"/>
    </row>
    <row r="893" ht="15.75" customHeight="1">
      <c r="A893" s="61">
        <v>20007.0</v>
      </c>
      <c r="B893" s="63" t="s">
        <v>1576</v>
      </c>
      <c r="C893" s="329" t="s">
        <v>1590</v>
      </c>
      <c r="D893" s="16" t="s">
        <v>1620</v>
      </c>
      <c r="E893" s="63" t="s">
        <v>1648</v>
      </c>
      <c r="F893" s="58">
        <v>2021.0</v>
      </c>
      <c r="G893" s="58">
        <v>2023.0</v>
      </c>
      <c r="H893" s="58">
        <v>0.0</v>
      </c>
      <c r="I893" s="58">
        <v>4.9</v>
      </c>
      <c r="J893" s="50">
        <f t="shared" ref="J893:J904" si="177">K893/I893</f>
        <v>0.906122449</v>
      </c>
      <c r="K893" s="58">
        <v>4.44</v>
      </c>
      <c r="L893" s="58">
        <v>0.46</v>
      </c>
      <c r="M893" s="58">
        <v>0.0</v>
      </c>
      <c r="N893" s="58">
        <v>2.0</v>
      </c>
      <c r="O893" s="58" t="s">
        <v>1592</v>
      </c>
      <c r="P893" s="63" t="s">
        <v>60</v>
      </c>
      <c r="Q893" s="339">
        <v>56457.0</v>
      </c>
      <c r="R893" s="63" t="s">
        <v>1580</v>
      </c>
      <c r="S893" s="58">
        <v>2024.0</v>
      </c>
      <c r="T893" s="25">
        <v>0.03327215500668</v>
      </c>
      <c r="U893" s="330">
        <f t="shared" si="169"/>
        <v>1878.446055</v>
      </c>
      <c r="V893" s="24">
        <f t="shared" si="174"/>
        <v>383.3563378</v>
      </c>
      <c r="W893" s="3">
        <f t="shared" si="155"/>
        <v>0</v>
      </c>
      <c r="X893" s="3">
        <f t="shared" si="156"/>
        <v>0</v>
      </c>
      <c r="Y893" s="3">
        <f t="shared" si="157"/>
        <v>0</v>
      </c>
      <c r="Z893" s="58">
        <v>0.0</v>
      </c>
      <c r="AA893" s="26">
        <f>VLOOKUP(S893,CPI!$A$2:$F$71,6,0)</f>
        <v>1</v>
      </c>
      <c r="AB893" s="27">
        <f t="shared" si="171"/>
        <v>1878.446055</v>
      </c>
      <c r="AC893" s="27">
        <f t="shared" si="175"/>
        <v>383.3563378</v>
      </c>
      <c r="AD893" s="63" t="s">
        <v>60</v>
      </c>
      <c r="AE893" s="87" t="s">
        <v>1618</v>
      </c>
      <c r="AF893" s="130"/>
      <c r="AG893" s="130"/>
      <c r="AH893" s="130"/>
      <c r="AI893" s="130"/>
      <c r="AJ893" s="33"/>
      <c r="AK893" s="33"/>
      <c r="AL893" s="33"/>
      <c r="AM893" s="206"/>
      <c r="AN893" s="206"/>
      <c r="AO893" s="206"/>
      <c r="AP893" s="206"/>
      <c r="AQ893" s="206"/>
    </row>
    <row r="894" ht="15.75" customHeight="1">
      <c r="A894" s="61">
        <v>20024.0</v>
      </c>
      <c r="B894" s="63" t="s">
        <v>1576</v>
      </c>
      <c r="C894" s="329" t="s">
        <v>1590</v>
      </c>
      <c r="D894" s="16" t="s">
        <v>283</v>
      </c>
      <c r="E894" s="63" t="s">
        <v>1649</v>
      </c>
      <c r="F894" s="58">
        <v>2018.0</v>
      </c>
      <c r="G894" s="58">
        <v>2024.0</v>
      </c>
      <c r="H894" s="58">
        <v>0.0</v>
      </c>
      <c r="I894" s="58">
        <v>15.6</v>
      </c>
      <c r="J894" s="50">
        <f t="shared" si="177"/>
        <v>1</v>
      </c>
      <c r="K894" s="58">
        <v>15.6</v>
      </c>
      <c r="L894" s="58">
        <v>0.0</v>
      </c>
      <c r="M894" s="58">
        <v>0.0</v>
      </c>
      <c r="N894" s="58">
        <v>7.0</v>
      </c>
      <c r="O894" s="58" t="s">
        <v>1592</v>
      </c>
      <c r="P894" s="63" t="s">
        <v>60</v>
      </c>
      <c r="Q894" s="339">
        <v>211867.8</v>
      </c>
      <c r="R894" s="63" t="s">
        <v>1580</v>
      </c>
      <c r="S894" s="58">
        <v>2024.0</v>
      </c>
      <c r="T894" s="25">
        <v>0.03301058858796</v>
      </c>
      <c r="U894" s="330">
        <f t="shared" si="169"/>
        <v>6993.880781</v>
      </c>
      <c r="V894" s="24">
        <f t="shared" si="174"/>
        <v>448.3256911</v>
      </c>
      <c r="W894" s="3">
        <f t="shared" si="155"/>
        <v>0</v>
      </c>
      <c r="X894" s="3">
        <f t="shared" si="156"/>
        <v>0</v>
      </c>
      <c r="Y894" s="3">
        <f t="shared" si="157"/>
        <v>0</v>
      </c>
      <c r="Z894" s="58">
        <v>0.0</v>
      </c>
      <c r="AA894" s="26">
        <f>VLOOKUP(S894,CPI!$A$2:$F$71,6,0)</f>
        <v>1</v>
      </c>
      <c r="AB894" s="27">
        <f t="shared" si="171"/>
        <v>6993.880781</v>
      </c>
      <c r="AC894" s="27">
        <f t="shared" si="175"/>
        <v>448.3256911</v>
      </c>
      <c r="AD894" s="63" t="s">
        <v>60</v>
      </c>
      <c r="AE894" s="340" t="s">
        <v>1618</v>
      </c>
      <c r="AF894" s="130"/>
      <c r="AG894" s="130"/>
      <c r="AH894" s="130"/>
      <c r="AI894" s="130"/>
      <c r="AJ894" s="33"/>
      <c r="AK894" s="33"/>
      <c r="AL894" s="33"/>
      <c r="AM894" s="206"/>
      <c r="AN894" s="206"/>
      <c r="AO894" s="206"/>
      <c r="AP894" s="206"/>
      <c r="AQ894" s="206"/>
    </row>
    <row r="895" ht="15.75" customHeight="1">
      <c r="A895" s="61">
        <v>20011.0</v>
      </c>
      <c r="B895" s="63" t="s">
        <v>1576</v>
      </c>
      <c r="C895" s="329" t="s">
        <v>1590</v>
      </c>
      <c r="D895" s="16" t="s">
        <v>57</v>
      </c>
      <c r="E895" s="63" t="s">
        <v>1650</v>
      </c>
      <c r="F895" s="58">
        <v>2019.0</v>
      </c>
      <c r="G895" s="58">
        <v>2024.0</v>
      </c>
      <c r="H895" s="58">
        <v>0.0</v>
      </c>
      <c r="I895" s="58">
        <v>2.4</v>
      </c>
      <c r="J895" s="50">
        <f t="shared" si="177"/>
        <v>0.4375</v>
      </c>
      <c r="K895" s="58">
        <v>1.05</v>
      </c>
      <c r="L895" s="58">
        <v>0.0</v>
      </c>
      <c r="M895" s="58">
        <v>1.35</v>
      </c>
      <c r="N895" s="58">
        <v>1.0</v>
      </c>
      <c r="O895" s="58" t="s">
        <v>1592</v>
      </c>
      <c r="P895" s="63" t="s">
        <v>60</v>
      </c>
      <c r="Q895" s="339">
        <v>24067.28</v>
      </c>
      <c r="R895" s="63" t="s">
        <v>1580</v>
      </c>
      <c r="S895" s="58">
        <v>2024.0</v>
      </c>
      <c r="T895" s="25">
        <v>0.03269105876105</v>
      </c>
      <c r="U895" s="330">
        <f t="shared" si="169"/>
        <v>786.7848647</v>
      </c>
      <c r="V895" s="24">
        <f t="shared" si="174"/>
        <v>327.827027</v>
      </c>
      <c r="W895" s="3">
        <f t="shared" si="155"/>
        <v>0</v>
      </c>
      <c r="X895" s="3">
        <f t="shared" si="156"/>
        <v>0</v>
      </c>
      <c r="Y895" s="3">
        <f t="shared" si="157"/>
        <v>0</v>
      </c>
      <c r="Z895" s="58">
        <v>0.0</v>
      </c>
      <c r="AA895" s="26">
        <f>VLOOKUP(S895,CPI!$A$2:$F$71,6,0)</f>
        <v>1</v>
      </c>
      <c r="AB895" s="27">
        <f t="shared" si="171"/>
        <v>786.7848647</v>
      </c>
      <c r="AC895" s="27">
        <f t="shared" si="175"/>
        <v>327.827027</v>
      </c>
      <c r="AD895" s="63" t="s">
        <v>60</v>
      </c>
      <c r="AE895" s="87" t="s">
        <v>1618</v>
      </c>
      <c r="AF895" s="130"/>
      <c r="AG895" s="130"/>
      <c r="AH895" s="130"/>
      <c r="AI895" s="130"/>
      <c r="AJ895" s="33"/>
      <c r="AK895" s="33"/>
      <c r="AL895" s="33"/>
      <c r="AM895" s="206"/>
      <c r="AN895" s="206"/>
      <c r="AO895" s="206"/>
      <c r="AP895" s="206"/>
      <c r="AQ895" s="206"/>
    </row>
    <row r="896" ht="15.75" customHeight="1">
      <c r="A896" s="61">
        <v>20025.0</v>
      </c>
      <c r="B896" s="63" t="s">
        <v>1576</v>
      </c>
      <c r="C896" s="329" t="s">
        <v>1590</v>
      </c>
      <c r="D896" s="16" t="s">
        <v>283</v>
      </c>
      <c r="E896" s="63" t="s">
        <v>1651</v>
      </c>
      <c r="F896" s="58">
        <v>2021.0</v>
      </c>
      <c r="G896" s="58">
        <v>2025.0</v>
      </c>
      <c r="H896" s="58">
        <v>0.0</v>
      </c>
      <c r="I896" s="58">
        <v>7.1</v>
      </c>
      <c r="J896" s="50">
        <f t="shared" si="177"/>
        <v>1</v>
      </c>
      <c r="K896" s="58">
        <v>7.1</v>
      </c>
      <c r="L896" s="58">
        <v>0.0</v>
      </c>
      <c r="M896" s="58">
        <v>0.0</v>
      </c>
      <c r="N896" s="58">
        <v>3.0</v>
      </c>
      <c r="O896" s="58" t="s">
        <v>1592</v>
      </c>
      <c r="P896" s="63" t="s">
        <v>60</v>
      </c>
      <c r="Q896" s="339">
        <v>97931.0</v>
      </c>
      <c r="R896" s="63" t="s">
        <v>1580</v>
      </c>
      <c r="S896" s="58">
        <v>2024.0</v>
      </c>
      <c r="T896" s="25">
        <v>0.03097970892896</v>
      </c>
      <c r="U896" s="330">
        <f t="shared" si="169"/>
        <v>3033.873875</v>
      </c>
      <c r="V896" s="24">
        <f t="shared" si="174"/>
        <v>427.3061796</v>
      </c>
      <c r="W896" s="3">
        <f t="shared" si="155"/>
        <v>0</v>
      </c>
      <c r="X896" s="3">
        <f t="shared" si="156"/>
        <v>0</v>
      </c>
      <c r="Y896" s="3">
        <f t="shared" si="157"/>
        <v>0</v>
      </c>
      <c r="Z896" s="58">
        <v>0.0</v>
      </c>
      <c r="AA896" s="26">
        <f>VLOOKUP(S896,CPI!$A$2:$F$71,6,0)</f>
        <v>1</v>
      </c>
      <c r="AB896" s="27">
        <f t="shared" si="171"/>
        <v>3033.873875</v>
      </c>
      <c r="AC896" s="27">
        <f t="shared" si="175"/>
        <v>427.3061796</v>
      </c>
      <c r="AD896" s="63" t="s">
        <v>60</v>
      </c>
      <c r="AE896" s="87" t="s">
        <v>1618</v>
      </c>
      <c r="AF896" s="130"/>
      <c r="AG896" s="130"/>
      <c r="AH896" s="130"/>
      <c r="AI896" s="130"/>
      <c r="AJ896" s="33"/>
      <c r="AK896" s="33"/>
      <c r="AL896" s="33"/>
      <c r="AM896" s="206"/>
      <c r="AN896" s="206"/>
      <c r="AO896" s="206"/>
      <c r="AP896" s="206"/>
      <c r="AQ896" s="206"/>
    </row>
    <row r="897" ht="15.75" customHeight="1">
      <c r="A897" s="61">
        <v>20026.0</v>
      </c>
      <c r="B897" s="63" t="s">
        <v>1576</v>
      </c>
      <c r="C897" s="329" t="s">
        <v>1590</v>
      </c>
      <c r="D897" s="16" t="s">
        <v>283</v>
      </c>
      <c r="E897" s="63" t="s">
        <v>1652</v>
      </c>
      <c r="F897" s="58">
        <v>2022.0</v>
      </c>
      <c r="G897" s="58">
        <v>2025.0</v>
      </c>
      <c r="H897" s="58">
        <v>0.0</v>
      </c>
      <c r="I897" s="58">
        <v>2.5</v>
      </c>
      <c r="J897" s="50">
        <f t="shared" si="177"/>
        <v>1</v>
      </c>
      <c r="K897" s="58">
        <v>2.5</v>
      </c>
      <c r="L897" s="58">
        <v>0.0</v>
      </c>
      <c r="M897" s="58">
        <v>0.0</v>
      </c>
      <c r="N897" s="58">
        <v>1.0</v>
      </c>
      <c r="O897" s="58" t="s">
        <v>1592</v>
      </c>
      <c r="P897" s="63" t="s">
        <v>60</v>
      </c>
      <c r="Q897" s="339">
        <v>35552.0</v>
      </c>
      <c r="R897" s="63" t="s">
        <v>1580</v>
      </c>
      <c r="S897" s="58">
        <v>2024.0</v>
      </c>
      <c r="T897" s="25">
        <v>0.03016850387055</v>
      </c>
      <c r="U897" s="330">
        <f t="shared" si="169"/>
        <v>1072.55065</v>
      </c>
      <c r="V897" s="24">
        <f t="shared" si="174"/>
        <v>429.0202598</v>
      </c>
      <c r="W897" s="3">
        <f t="shared" si="155"/>
        <v>0</v>
      </c>
      <c r="X897" s="3">
        <f t="shared" si="156"/>
        <v>0</v>
      </c>
      <c r="Y897" s="3">
        <f t="shared" si="157"/>
        <v>0</v>
      </c>
      <c r="Z897" s="58">
        <v>0.0</v>
      </c>
      <c r="AA897" s="26">
        <f>VLOOKUP(S897,CPI!$A$2:$F$71,6,0)</f>
        <v>1</v>
      </c>
      <c r="AB897" s="27">
        <f t="shared" si="171"/>
        <v>1072.55065</v>
      </c>
      <c r="AC897" s="27">
        <f t="shared" si="175"/>
        <v>429.0202598</v>
      </c>
      <c r="AD897" s="63" t="s">
        <v>60</v>
      </c>
      <c r="AE897" s="340" t="s">
        <v>1618</v>
      </c>
      <c r="AF897" s="130"/>
      <c r="AG897" s="130"/>
      <c r="AH897" s="130"/>
      <c r="AI897" s="130"/>
      <c r="AJ897" s="33"/>
      <c r="AK897" s="33"/>
      <c r="AL897" s="33"/>
      <c r="AM897" s="206"/>
      <c r="AN897" s="206"/>
      <c r="AO897" s="206"/>
      <c r="AP897" s="206"/>
      <c r="AQ897" s="206"/>
    </row>
    <row r="898" ht="15.75" customHeight="1">
      <c r="A898" s="61">
        <v>20027.0</v>
      </c>
      <c r="B898" s="63" t="s">
        <v>1576</v>
      </c>
      <c r="C898" s="329" t="s">
        <v>1590</v>
      </c>
      <c r="D898" s="16" t="s">
        <v>121</v>
      </c>
      <c r="E898" s="63" t="s">
        <v>1653</v>
      </c>
      <c r="F898" s="58">
        <v>2022.0</v>
      </c>
      <c r="G898" s="58">
        <v>2026.0</v>
      </c>
      <c r="H898" s="58">
        <v>0.0</v>
      </c>
      <c r="I898" s="58">
        <v>19.32</v>
      </c>
      <c r="J898" s="50">
        <f t="shared" si="177"/>
        <v>1</v>
      </c>
      <c r="K898" s="58">
        <v>19.32</v>
      </c>
      <c r="L898" s="58">
        <v>0.0</v>
      </c>
      <c r="M898" s="58">
        <v>0.0</v>
      </c>
      <c r="N898" s="58">
        <v>8.0</v>
      </c>
      <c r="O898" s="58" t="s">
        <v>1592</v>
      </c>
      <c r="P898" s="63" t="s">
        <v>60</v>
      </c>
      <c r="Q898" s="339">
        <v>293616.09</v>
      </c>
      <c r="R898" s="63" t="s">
        <v>1580</v>
      </c>
      <c r="S898" s="58">
        <v>2024.0</v>
      </c>
      <c r="T898" s="25">
        <v>0.02861722432015</v>
      </c>
      <c r="U898" s="330">
        <f t="shared" si="169"/>
        <v>8402.477512</v>
      </c>
      <c r="V898" s="24">
        <f t="shared" si="174"/>
        <v>434.9108443</v>
      </c>
      <c r="W898" s="3">
        <f t="shared" si="155"/>
        <v>0</v>
      </c>
      <c r="X898" s="3">
        <f t="shared" si="156"/>
        <v>0</v>
      </c>
      <c r="Y898" s="3">
        <f t="shared" si="157"/>
        <v>0</v>
      </c>
      <c r="Z898" s="58">
        <v>0.0</v>
      </c>
      <c r="AA898" s="26">
        <f>VLOOKUP(S898,CPI!$A$2:$F$71,6,0)</f>
        <v>1</v>
      </c>
      <c r="AB898" s="27">
        <f t="shared" si="171"/>
        <v>8402.477512</v>
      </c>
      <c r="AC898" s="27">
        <f t="shared" si="175"/>
        <v>434.9108443</v>
      </c>
      <c r="AD898" s="63" t="s">
        <v>60</v>
      </c>
      <c r="AE898" s="340" t="s">
        <v>1618</v>
      </c>
      <c r="AF898" s="301"/>
      <c r="AG898" s="130"/>
      <c r="AH898" s="130"/>
      <c r="AI898" s="130"/>
      <c r="AJ898" s="33"/>
      <c r="AK898" s="33"/>
      <c r="AL898" s="33"/>
      <c r="AM898" s="206"/>
      <c r="AN898" s="206"/>
      <c r="AO898" s="206"/>
      <c r="AP898" s="206"/>
      <c r="AQ898" s="206"/>
    </row>
    <row r="899" ht="15.75" customHeight="1">
      <c r="A899" s="331">
        <v>20050.0</v>
      </c>
      <c r="B899" s="332" t="s">
        <v>1576</v>
      </c>
      <c r="C899" s="333" t="s">
        <v>1654</v>
      </c>
      <c r="D899" s="334" t="s">
        <v>54</v>
      </c>
      <c r="E899" s="332" t="s">
        <v>1655</v>
      </c>
      <c r="F899" s="58">
        <v>1999.0</v>
      </c>
      <c r="G899" s="58">
        <v>2002.0</v>
      </c>
      <c r="H899" s="58">
        <v>0.0</v>
      </c>
      <c r="I899" s="58">
        <v>1.5</v>
      </c>
      <c r="J899" s="50">
        <f t="shared" si="177"/>
        <v>0.5733333333</v>
      </c>
      <c r="K899" s="58">
        <v>0.86</v>
      </c>
      <c r="L899" s="58">
        <v>0.0</v>
      </c>
      <c r="M899" s="58">
        <v>0.64</v>
      </c>
      <c r="N899" s="58">
        <v>1.0</v>
      </c>
      <c r="O899" s="58" t="s">
        <v>1579</v>
      </c>
      <c r="P899" s="63" t="s">
        <v>74</v>
      </c>
      <c r="Q899" s="52"/>
      <c r="R899" s="26"/>
      <c r="S899" s="25"/>
      <c r="T899" s="25"/>
      <c r="U899" s="330">
        <f t="shared" si="169"/>
        <v>0</v>
      </c>
      <c r="V899" s="24">
        <f t="shared" si="174"/>
        <v>0</v>
      </c>
      <c r="W899" s="3">
        <f t="shared" si="155"/>
        <v>0</v>
      </c>
      <c r="X899" s="3">
        <f t="shared" si="156"/>
        <v>0</v>
      </c>
      <c r="Y899" s="3">
        <f t="shared" si="157"/>
        <v>0</v>
      </c>
      <c r="Z899" s="58">
        <v>0.0</v>
      </c>
      <c r="AA899" s="26" t="str">
        <f>VLOOKUP(S899,CPI!$A$2:$F$71,6,0)</f>
        <v>#N/A</v>
      </c>
      <c r="AB899" s="27" t="str">
        <f t="shared" si="171"/>
        <v>#N/A</v>
      </c>
      <c r="AC899" s="27" t="str">
        <f t="shared" si="175"/>
        <v>#N/A</v>
      </c>
      <c r="AD899" s="26"/>
      <c r="AE899" s="335"/>
      <c r="AF899" s="130"/>
      <c r="AG899" s="130"/>
      <c r="AH899" s="130"/>
      <c r="AI899" s="130"/>
      <c r="AJ899" s="33"/>
      <c r="AK899" s="33"/>
      <c r="AL899" s="33"/>
      <c r="AM899" s="206"/>
      <c r="AN899" s="206"/>
      <c r="AO899" s="206"/>
      <c r="AP899" s="206"/>
      <c r="AQ899" s="206"/>
    </row>
    <row r="900">
      <c r="A900" s="61">
        <v>20051.0</v>
      </c>
      <c r="B900" s="63" t="s">
        <v>1576</v>
      </c>
      <c r="C900" s="329" t="s">
        <v>1654</v>
      </c>
      <c r="D900" s="16" t="s">
        <v>57</v>
      </c>
      <c r="E900" s="26" t="s">
        <v>1656</v>
      </c>
      <c r="F900" s="58">
        <v>2008.0</v>
      </c>
      <c r="G900" s="58">
        <v>2012.0</v>
      </c>
      <c r="H900" s="58">
        <v>0.0</v>
      </c>
      <c r="I900" s="58">
        <v>3.4</v>
      </c>
      <c r="J900" s="50">
        <f t="shared" si="177"/>
        <v>0.6370588235</v>
      </c>
      <c r="K900" s="55">
        <v>2.166</v>
      </c>
      <c r="L900" s="343">
        <v>1.234</v>
      </c>
      <c r="M900" s="58">
        <v>0.0</v>
      </c>
      <c r="N900" s="58">
        <v>1.0</v>
      </c>
      <c r="O900" s="58" t="s">
        <v>1579</v>
      </c>
      <c r="P900" s="63" t="s">
        <v>74</v>
      </c>
      <c r="Q900" s="55">
        <f>20770+1230</f>
        <v>22000</v>
      </c>
      <c r="R900" s="63" t="s">
        <v>1580</v>
      </c>
      <c r="S900" s="58">
        <v>2010.0</v>
      </c>
      <c r="T900" s="58">
        <v>0.063206562</v>
      </c>
      <c r="U900" s="330">
        <f t="shared" si="169"/>
        <v>1390.544364</v>
      </c>
      <c r="V900" s="24">
        <f t="shared" si="174"/>
        <v>408.9836365</v>
      </c>
      <c r="W900" s="3">
        <f t="shared" si="155"/>
        <v>0</v>
      </c>
      <c r="X900" s="3">
        <f t="shared" si="156"/>
        <v>0</v>
      </c>
      <c r="Y900" s="3">
        <f t="shared" si="157"/>
        <v>0</v>
      </c>
      <c r="Z900" s="58">
        <v>0.0</v>
      </c>
      <c r="AA900" s="26">
        <f>VLOOKUP(S900,CPI!$A$2:$F$71,6,0)</f>
        <v>1.477209983</v>
      </c>
      <c r="AB900" s="27">
        <f t="shared" si="171"/>
        <v>2054.126016</v>
      </c>
      <c r="AC900" s="27">
        <f t="shared" si="175"/>
        <v>604.1547106</v>
      </c>
      <c r="AD900" s="63" t="s">
        <v>42</v>
      </c>
      <c r="AE900" s="337" t="s">
        <v>1657</v>
      </c>
      <c r="AF900" s="130"/>
      <c r="AG900" s="130"/>
      <c r="AH900" s="130"/>
      <c r="AI900" s="130"/>
      <c r="AJ900" s="33"/>
      <c r="AK900" s="33"/>
      <c r="AL900" s="33"/>
      <c r="AM900" s="206"/>
      <c r="AN900" s="206"/>
      <c r="AO900" s="206"/>
      <c r="AP900" s="206"/>
      <c r="AQ900" s="206"/>
    </row>
    <row r="901">
      <c r="A901" s="61">
        <v>20036.0</v>
      </c>
      <c r="B901" s="63" t="s">
        <v>1576</v>
      </c>
      <c r="C901" s="329" t="s">
        <v>1654</v>
      </c>
      <c r="D901" s="16" t="s">
        <v>54</v>
      </c>
      <c r="E901" s="63" t="s">
        <v>1658</v>
      </c>
      <c r="F901" s="58">
        <v>2015.0</v>
      </c>
      <c r="G901" s="58">
        <v>2018.0</v>
      </c>
      <c r="H901" s="58">
        <v>0.0</v>
      </c>
      <c r="I901" s="58">
        <v>3.1</v>
      </c>
      <c r="J901" s="50">
        <f t="shared" si="177"/>
        <v>1</v>
      </c>
      <c r="K901" s="58">
        <v>3.1</v>
      </c>
      <c r="L901" s="58">
        <v>0.0</v>
      </c>
      <c r="M901" s="58">
        <v>0.0</v>
      </c>
      <c r="N901" s="58">
        <v>1.0</v>
      </c>
      <c r="O901" s="58" t="s">
        <v>1579</v>
      </c>
      <c r="P901" s="63" t="s">
        <v>60</v>
      </c>
      <c r="Q901" s="339">
        <v>11175.1363</v>
      </c>
      <c r="R901" s="63" t="s">
        <v>1580</v>
      </c>
      <c r="S901" s="58">
        <v>2019.0</v>
      </c>
      <c r="T901" s="25">
        <v>0.04159821378393</v>
      </c>
      <c r="U901" s="330">
        <f t="shared" si="169"/>
        <v>464.8657089</v>
      </c>
      <c r="V901" s="24">
        <f t="shared" si="174"/>
        <v>149.9566803</v>
      </c>
      <c r="W901" s="3">
        <f t="shared" si="155"/>
        <v>0</v>
      </c>
      <c r="X901" s="3">
        <f t="shared" si="156"/>
        <v>0</v>
      </c>
      <c r="Y901" s="3">
        <f t="shared" si="157"/>
        <v>0</v>
      </c>
      <c r="Z901" s="58">
        <v>0.0</v>
      </c>
      <c r="AA901" s="26">
        <f>VLOOKUP(S901,CPI!$A$2:$F$71,6,0)</f>
        <v>1.259947899</v>
      </c>
      <c r="AB901" s="27">
        <f t="shared" si="171"/>
        <v>585.7065732</v>
      </c>
      <c r="AC901" s="27">
        <f t="shared" si="175"/>
        <v>188.9376043</v>
      </c>
      <c r="AD901" s="63" t="s">
        <v>60</v>
      </c>
      <c r="AE901" s="88" t="s">
        <v>1659</v>
      </c>
      <c r="AF901" s="130"/>
      <c r="AG901" s="130"/>
      <c r="AH901" s="130"/>
      <c r="AI901" s="130"/>
      <c r="AJ901" s="33"/>
      <c r="AK901" s="33"/>
      <c r="AL901" s="33"/>
      <c r="AM901" s="206"/>
      <c r="AN901" s="206"/>
      <c r="AO901" s="206"/>
      <c r="AP901" s="206"/>
      <c r="AQ901" s="206"/>
    </row>
    <row r="902">
      <c r="A902" s="61">
        <v>20035.0</v>
      </c>
      <c r="B902" s="63" t="s">
        <v>1576</v>
      </c>
      <c r="C902" s="329" t="s">
        <v>1654</v>
      </c>
      <c r="D902" s="16" t="s">
        <v>57</v>
      </c>
      <c r="E902" s="63" t="s">
        <v>1660</v>
      </c>
      <c r="F902" s="58">
        <v>2022.0</v>
      </c>
      <c r="G902" s="58">
        <v>2026.0</v>
      </c>
      <c r="H902" s="58">
        <v>0.0</v>
      </c>
      <c r="I902" s="58">
        <v>3.29</v>
      </c>
      <c r="J902" s="50">
        <f t="shared" si="177"/>
        <v>1</v>
      </c>
      <c r="K902" s="58">
        <v>3.29</v>
      </c>
      <c r="L902" s="58">
        <v>0.0</v>
      </c>
      <c r="M902" s="58">
        <v>0.0</v>
      </c>
      <c r="N902" s="58">
        <v>2.0</v>
      </c>
      <c r="O902" s="58" t="s">
        <v>1579</v>
      </c>
      <c r="P902" s="63" t="s">
        <v>60</v>
      </c>
      <c r="Q902" s="339">
        <v>35581.0528</v>
      </c>
      <c r="R902" s="63" t="s">
        <v>1580</v>
      </c>
      <c r="S902" s="58">
        <v>2025.0</v>
      </c>
      <c r="T902" s="25">
        <v>0.02825590631215</v>
      </c>
      <c r="U902" s="330">
        <f t="shared" si="169"/>
        <v>1005.374894</v>
      </c>
      <c r="V902" s="24">
        <f t="shared" si="174"/>
        <v>305.5850743</v>
      </c>
      <c r="W902" s="3">
        <f t="shared" si="155"/>
        <v>0</v>
      </c>
      <c r="X902" s="3">
        <f t="shared" si="156"/>
        <v>0</v>
      </c>
      <c r="Y902" s="3">
        <f t="shared" si="157"/>
        <v>0</v>
      </c>
      <c r="Z902" s="58">
        <v>0.0</v>
      </c>
      <c r="AA902" s="26">
        <f>VLOOKUP(S902,CPI!$A$2:$F$71,6,0)</f>
        <v>1</v>
      </c>
      <c r="AB902" s="27">
        <f t="shared" si="171"/>
        <v>1005.374894</v>
      </c>
      <c r="AC902" s="27">
        <f t="shared" si="175"/>
        <v>305.5850743</v>
      </c>
      <c r="AD902" s="63" t="s">
        <v>60</v>
      </c>
      <c r="AE902" s="337" t="s">
        <v>1661</v>
      </c>
      <c r="AF902" s="130"/>
      <c r="AG902" s="130"/>
      <c r="AH902" s="130"/>
      <c r="AI902" s="130"/>
      <c r="AJ902" s="33"/>
      <c r="AK902" s="33"/>
      <c r="AL902" s="33"/>
      <c r="AM902" s="206"/>
      <c r="AN902" s="206"/>
      <c r="AO902" s="206"/>
      <c r="AP902" s="206"/>
      <c r="AQ902" s="206"/>
    </row>
    <row r="903">
      <c r="A903" s="331">
        <v>20047.0</v>
      </c>
      <c r="B903" s="332" t="s">
        <v>1576</v>
      </c>
      <c r="C903" s="333" t="s">
        <v>1662</v>
      </c>
      <c r="D903" s="334" t="s">
        <v>54</v>
      </c>
      <c r="E903" s="332" t="s">
        <v>1663</v>
      </c>
      <c r="F903" s="58">
        <v>2003.0</v>
      </c>
      <c r="G903" s="58">
        <v>2007.0</v>
      </c>
      <c r="H903" s="58">
        <v>0.0</v>
      </c>
      <c r="I903" s="58">
        <v>1.2</v>
      </c>
      <c r="J903" s="50">
        <f t="shared" si="177"/>
        <v>1</v>
      </c>
      <c r="K903" s="58">
        <v>1.2</v>
      </c>
      <c r="L903" s="58">
        <v>0.0</v>
      </c>
      <c r="M903" s="58">
        <v>0.0</v>
      </c>
      <c r="N903" s="58">
        <v>1.0</v>
      </c>
      <c r="O903" s="58" t="s">
        <v>1579</v>
      </c>
      <c r="P903" s="63" t="s">
        <v>74</v>
      </c>
      <c r="Q903" s="52"/>
      <c r="R903" s="26"/>
      <c r="S903" s="25"/>
      <c r="T903" s="25"/>
      <c r="U903" s="330">
        <f t="shared" si="169"/>
        <v>0</v>
      </c>
      <c r="V903" s="24">
        <f t="shared" si="174"/>
        <v>0</v>
      </c>
      <c r="W903" s="3">
        <f t="shared" si="155"/>
        <v>0</v>
      </c>
      <c r="X903" s="3">
        <f t="shared" si="156"/>
        <v>0</v>
      </c>
      <c r="Y903" s="3">
        <f t="shared" si="157"/>
        <v>0</v>
      </c>
      <c r="Z903" s="58">
        <v>0.0</v>
      </c>
      <c r="AA903" s="26" t="str">
        <f>VLOOKUP(S903,CPI!$A$2:$F$71,6,0)</f>
        <v>#N/A</v>
      </c>
      <c r="AB903" s="27" t="str">
        <f t="shared" si="171"/>
        <v>#N/A</v>
      </c>
      <c r="AC903" s="27" t="str">
        <f t="shared" si="175"/>
        <v>#N/A</v>
      </c>
      <c r="AD903" s="26"/>
      <c r="AE903" s="335"/>
      <c r="AF903" s="130"/>
      <c r="AG903" s="130"/>
      <c r="AH903" s="130"/>
      <c r="AI903" s="130"/>
      <c r="AJ903" s="33"/>
      <c r="AK903" s="33"/>
      <c r="AL903" s="33"/>
      <c r="AM903" s="206"/>
      <c r="AN903" s="206"/>
      <c r="AO903" s="206"/>
      <c r="AP903" s="206"/>
      <c r="AQ903" s="206"/>
    </row>
    <row r="904">
      <c r="A904" s="331">
        <v>20048.0</v>
      </c>
      <c r="B904" s="332" t="s">
        <v>1576</v>
      </c>
      <c r="C904" s="333" t="s">
        <v>1662</v>
      </c>
      <c r="D904" s="334" t="s">
        <v>54</v>
      </c>
      <c r="E904" s="332" t="s">
        <v>1664</v>
      </c>
      <c r="F904" s="58">
        <v>2007.0</v>
      </c>
      <c r="G904" s="58">
        <v>2011.0</v>
      </c>
      <c r="H904" s="58">
        <v>0.0</v>
      </c>
      <c r="I904" s="58">
        <v>1.6</v>
      </c>
      <c r="J904" s="50">
        <f t="shared" si="177"/>
        <v>1</v>
      </c>
      <c r="K904" s="58">
        <v>1.6</v>
      </c>
      <c r="L904" s="58">
        <v>0.0</v>
      </c>
      <c r="M904" s="58">
        <v>0.0</v>
      </c>
      <c r="N904" s="58">
        <v>1.0</v>
      </c>
      <c r="O904" s="58" t="s">
        <v>1579</v>
      </c>
      <c r="P904" s="63" t="s">
        <v>74</v>
      </c>
      <c r="Q904" s="52"/>
      <c r="R904" s="26"/>
      <c r="S904" s="25"/>
      <c r="T904" s="25"/>
      <c r="U904" s="330">
        <f t="shared" si="169"/>
        <v>0</v>
      </c>
      <c r="V904" s="24">
        <f t="shared" si="174"/>
        <v>0</v>
      </c>
      <c r="W904" s="3">
        <f t="shared" si="155"/>
        <v>0</v>
      </c>
      <c r="X904" s="3">
        <f t="shared" si="156"/>
        <v>0</v>
      </c>
      <c r="Y904" s="3">
        <f t="shared" si="157"/>
        <v>0</v>
      </c>
      <c r="Z904" s="58">
        <v>0.0</v>
      </c>
      <c r="AA904" s="26" t="str">
        <f>VLOOKUP(S904,CPI!$A$2:$F$71,6,0)</f>
        <v>#N/A</v>
      </c>
      <c r="AB904" s="27" t="str">
        <f t="shared" si="171"/>
        <v>#N/A</v>
      </c>
      <c r="AC904" s="27" t="str">
        <f t="shared" si="175"/>
        <v>#N/A</v>
      </c>
      <c r="AD904" s="26"/>
      <c r="AE904" s="338"/>
      <c r="AF904" s="130"/>
      <c r="AG904" s="130"/>
      <c r="AH904" s="130"/>
      <c r="AI904" s="130"/>
      <c r="AJ904" s="33"/>
      <c r="AK904" s="33"/>
      <c r="AL904" s="33"/>
      <c r="AM904" s="206"/>
      <c r="AN904" s="206"/>
      <c r="AO904" s="206"/>
      <c r="AP904" s="206"/>
      <c r="AQ904" s="206"/>
    </row>
    <row r="905">
      <c r="A905" s="61">
        <v>20049.0</v>
      </c>
      <c r="B905" s="63" t="s">
        <v>1576</v>
      </c>
      <c r="C905" s="329" t="s">
        <v>1662</v>
      </c>
      <c r="D905" s="16" t="s">
        <v>57</v>
      </c>
      <c r="E905" s="26" t="s">
        <v>1665</v>
      </c>
      <c r="F905" s="58">
        <v>2019.0</v>
      </c>
      <c r="G905" s="58">
        <v>2025.0</v>
      </c>
      <c r="H905" s="58">
        <v>0.0</v>
      </c>
      <c r="I905" s="58">
        <v>0.0</v>
      </c>
      <c r="J905" s="50"/>
      <c r="K905" s="58">
        <v>0.0</v>
      </c>
      <c r="L905" s="58">
        <v>0.0</v>
      </c>
      <c r="M905" s="58">
        <v>0.0</v>
      </c>
      <c r="N905" s="58">
        <v>0.0</v>
      </c>
      <c r="O905" s="58" t="s">
        <v>1579</v>
      </c>
      <c r="P905" s="63" t="s">
        <v>74</v>
      </c>
      <c r="Q905" s="55">
        <v>4600.0</v>
      </c>
      <c r="R905" s="63" t="s">
        <v>1580</v>
      </c>
      <c r="S905" s="58">
        <v>2025.0</v>
      </c>
      <c r="T905" s="25">
        <v>0.028179223</v>
      </c>
      <c r="U905" s="330">
        <f t="shared" si="169"/>
        <v>129.6244258</v>
      </c>
      <c r="V905" s="341" t="s">
        <v>1622</v>
      </c>
      <c r="W905" s="3">
        <f t="shared" si="155"/>
        <v>0</v>
      </c>
      <c r="X905" s="3">
        <f t="shared" si="156"/>
        <v>0</v>
      </c>
      <c r="Y905" s="3">
        <f t="shared" si="157"/>
        <v>0</v>
      </c>
      <c r="Z905" s="58">
        <v>0.0</v>
      </c>
      <c r="AA905" s="26">
        <f>VLOOKUP(S905,CPI!$A$2:$F$71,6,0)</f>
        <v>1</v>
      </c>
      <c r="AB905" s="27">
        <f t="shared" si="171"/>
        <v>129.6244258</v>
      </c>
      <c r="AC905" s="342" t="s">
        <v>1622</v>
      </c>
      <c r="AD905" s="63" t="s">
        <v>42</v>
      </c>
      <c r="AE905" s="337" t="s">
        <v>1666</v>
      </c>
      <c r="AF905" s="130"/>
      <c r="AG905" s="130"/>
      <c r="AH905" s="130"/>
      <c r="AI905" s="130"/>
      <c r="AJ905" s="33"/>
      <c r="AK905" s="33"/>
      <c r="AL905" s="33"/>
      <c r="AM905" s="206"/>
      <c r="AN905" s="206"/>
      <c r="AO905" s="206"/>
      <c r="AP905" s="206"/>
      <c r="AQ905" s="206"/>
    </row>
    <row r="906">
      <c r="A906" s="61">
        <v>20037.0</v>
      </c>
      <c r="B906" s="63" t="s">
        <v>1576</v>
      </c>
      <c r="C906" s="329" t="s">
        <v>1667</v>
      </c>
      <c r="D906" s="16" t="s">
        <v>57</v>
      </c>
      <c r="E906" s="63" t="s">
        <v>1668</v>
      </c>
      <c r="F906" s="58">
        <v>2022.0</v>
      </c>
      <c r="G906" s="58">
        <v>2026.0</v>
      </c>
      <c r="H906" s="58">
        <v>0.0</v>
      </c>
      <c r="I906" s="58">
        <v>1.6</v>
      </c>
      <c r="J906" s="50">
        <f t="shared" ref="J906:J908" si="178">K906/I906</f>
        <v>1</v>
      </c>
      <c r="K906" s="58">
        <v>1.6</v>
      </c>
      <c r="L906" s="58">
        <v>0.0</v>
      </c>
      <c r="M906" s="58">
        <v>0.0</v>
      </c>
      <c r="N906" s="58">
        <v>1.0</v>
      </c>
      <c r="O906" s="58" t="s">
        <v>1579</v>
      </c>
      <c r="P906" s="63" t="s">
        <v>60</v>
      </c>
      <c r="Q906" s="339">
        <v>19100.0</v>
      </c>
      <c r="R906" s="63" t="s">
        <v>1580</v>
      </c>
      <c r="S906" s="58">
        <v>2025.0</v>
      </c>
      <c r="T906" s="25">
        <v>0.02817922305102</v>
      </c>
      <c r="U906" s="330">
        <f t="shared" si="169"/>
        <v>538.2231603</v>
      </c>
      <c r="V906" s="24">
        <f t="shared" ref="V906:V908" si="179">U906/I906</f>
        <v>336.3894752</v>
      </c>
      <c r="W906" s="3">
        <f t="shared" si="155"/>
        <v>0</v>
      </c>
      <c r="X906" s="3">
        <f t="shared" si="156"/>
        <v>0</v>
      </c>
      <c r="Y906" s="3">
        <f t="shared" si="157"/>
        <v>0</v>
      </c>
      <c r="Z906" s="58">
        <v>0.0</v>
      </c>
      <c r="AA906" s="26">
        <f>VLOOKUP(S906,CPI!$A$2:$F$71,6,0)</f>
        <v>1</v>
      </c>
      <c r="AB906" s="27">
        <f t="shared" si="171"/>
        <v>538.2231603</v>
      </c>
      <c r="AC906" s="27">
        <f t="shared" ref="AC906:AC908" si="180">V906*AA906</f>
        <v>336.3894752</v>
      </c>
      <c r="AD906" s="63" t="s">
        <v>42</v>
      </c>
      <c r="AE906" s="56" t="s">
        <v>1669</v>
      </c>
      <c r="AF906" s="130"/>
      <c r="AG906" s="130"/>
      <c r="AH906" s="130"/>
      <c r="AI906" s="130"/>
      <c r="AJ906" s="33"/>
      <c r="AK906" s="33"/>
      <c r="AL906" s="33"/>
      <c r="AM906" s="206"/>
      <c r="AN906" s="206"/>
      <c r="AO906" s="206"/>
      <c r="AP906" s="206"/>
      <c r="AQ906" s="206"/>
    </row>
    <row r="907">
      <c r="A907" s="331">
        <v>20038.0</v>
      </c>
      <c r="B907" s="332" t="s">
        <v>1576</v>
      </c>
      <c r="C907" s="333" t="s">
        <v>1670</v>
      </c>
      <c r="D907" s="334" t="s">
        <v>57</v>
      </c>
      <c r="E907" s="332" t="s">
        <v>1671</v>
      </c>
      <c r="F907" s="58">
        <v>1999.0</v>
      </c>
      <c r="G907" s="58">
        <v>2004.0</v>
      </c>
      <c r="H907" s="58">
        <v>0.0</v>
      </c>
      <c r="I907" s="58">
        <v>0.79</v>
      </c>
      <c r="J907" s="50">
        <f t="shared" si="178"/>
        <v>1</v>
      </c>
      <c r="K907" s="58">
        <v>0.79</v>
      </c>
      <c r="L907" s="58">
        <v>0.0</v>
      </c>
      <c r="M907" s="58">
        <v>0.0</v>
      </c>
      <c r="N907" s="58">
        <v>0.0</v>
      </c>
      <c r="O907" s="58" t="s">
        <v>1622</v>
      </c>
      <c r="P907" s="63" t="s">
        <v>74</v>
      </c>
      <c r="Q907" s="52"/>
      <c r="R907" s="26"/>
      <c r="S907" s="58">
        <v>2025.0</v>
      </c>
      <c r="T907" s="25"/>
      <c r="U907" s="330">
        <f t="shared" si="169"/>
        <v>0</v>
      </c>
      <c r="V907" s="24">
        <f t="shared" si="179"/>
        <v>0</v>
      </c>
      <c r="W907" s="3">
        <f t="shared" si="155"/>
        <v>0</v>
      </c>
      <c r="X907" s="3">
        <f t="shared" si="156"/>
        <v>0</v>
      </c>
      <c r="Y907" s="3">
        <f t="shared" si="157"/>
        <v>0</v>
      </c>
      <c r="Z907" s="58">
        <v>0.0</v>
      </c>
      <c r="AA907" s="26">
        <f>VLOOKUP(S907,CPI!$A$2:$F$71,6,0)</f>
        <v>1</v>
      </c>
      <c r="AB907" s="27">
        <f t="shared" si="171"/>
        <v>0</v>
      </c>
      <c r="AC907" s="27">
        <f t="shared" si="180"/>
        <v>0</v>
      </c>
      <c r="AD907" s="26"/>
      <c r="AE907" s="335"/>
      <c r="AF907" s="130"/>
      <c r="AG907" s="130"/>
      <c r="AH907" s="130"/>
      <c r="AI907" s="130"/>
      <c r="AJ907" s="33"/>
      <c r="AK907" s="33"/>
      <c r="AL907" s="33"/>
      <c r="AM907" s="206"/>
      <c r="AN907" s="206"/>
      <c r="AO907" s="206"/>
      <c r="AP907" s="206"/>
      <c r="AQ907" s="206"/>
    </row>
    <row r="908" ht="15.75" customHeight="1">
      <c r="A908" s="331">
        <v>20039.0</v>
      </c>
      <c r="B908" s="332" t="s">
        <v>1576</v>
      </c>
      <c r="C908" s="333" t="s">
        <v>1670</v>
      </c>
      <c r="D908" s="334" t="s">
        <v>84</v>
      </c>
      <c r="E908" s="332" t="s">
        <v>1672</v>
      </c>
      <c r="F908" s="58" t="s">
        <v>1673</v>
      </c>
      <c r="G908" s="58">
        <v>2005.0</v>
      </c>
      <c r="H908" s="58">
        <v>0.0</v>
      </c>
      <c r="I908" s="58">
        <v>2.7</v>
      </c>
      <c r="J908" s="50">
        <f t="shared" si="178"/>
        <v>1</v>
      </c>
      <c r="K908" s="58">
        <v>2.7</v>
      </c>
      <c r="L908" s="58">
        <v>0.0</v>
      </c>
      <c r="M908" s="58">
        <v>0.0</v>
      </c>
      <c r="N908" s="58">
        <v>1.0</v>
      </c>
      <c r="O908" s="58" t="s">
        <v>1592</v>
      </c>
      <c r="P908" s="63" t="s">
        <v>74</v>
      </c>
      <c r="Q908" s="52"/>
      <c r="R908" s="26"/>
      <c r="S908" s="58">
        <v>2025.0</v>
      </c>
      <c r="T908" s="25"/>
      <c r="U908" s="330">
        <f t="shared" si="169"/>
        <v>0</v>
      </c>
      <c r="V908" s="24">
        <f t="shared" si="179"/>
        <v>0</v>
      </c>
      <c r="W908" s="3">
        <f t="shared" si="155"/>
        <v>0</v>
      </c>
      <c r="X908" s="3">
        <f t="shared" si="156"/>
        <v>0</v>
      </c>
      <c r="Y908" s="3">
        <f t="shared" si="157"/>
        <v>0</v>
      </c>
      <c r="Z908" s="58">
        <v>0.0</v>
      </c>
      <c r="AA908" s="26">
        <f>VLOOKUP(S908,CPI!$A$2:$F$71,6,0)</f>
        <v>1</v>
      </c>
      <c r="AB908" s="27">
        <f t="shared" si="171"/>
        <v>0</v>
      </c>
      <c r="AC908" s="27">
        <f t="shared" si="180"/>
        <v>0</v>
      </c>
      <c r="AD908" s="26"/>
      <c r="AE908" s="335"/>
      <c r="AF908" s="130"/>
      <c r="AG908" s="130"/>
      <c r="AH908" s="130"/>
      <c r="AI908" s="130"/>
      <c r="AJ908" s="33"/>
      <c r="AK908" s="33"/>
      <c r="AL908" s="33"/>
      <c r="AM908" s="206"/>
      <c r="AN908" s="206"/>
      <c r="AO908" s="206"/>
      <c r="AP908" s="206"/>
      <c r="AQ908" s="206"/>
    </row>
    <row r="909" ht="15.75" customHeight="1">
      <c r="A909" s="61">
        <v>20040.0</v>
      </c>
      <c r="B909" s="63" t="s">
        <v>1576</v>
      </c>
      <c r="C909" s="329" t="s">
        <v>1670</v>
      </c>
      <c r="D909" s="16" t="s">
        <v>87</v>
      </c>
      <c r="E909" s="26" t="s">
        <v>1674</v>
      </c>
      <c r="F909" s="58">
        <v>2005.0</v>
      </c>
      <c r="G909" s="58">
        <v>2006.0</v>
      </c>
      <c r="H909" s="58">
        <v>0.0</v>
      </c>
      <c r="I909" s="58">
        <v>0.0</v>
      </c>
      <c r="J909" s="50"/>
      <c r="K909" s="58">
        <v>0.0</v>
      </c>
      <c r="L909" s="58">
        <v>0.0</v>
      </c>
      <c r="M909" s="58">
        <v>0.0</v>
      </c>
      <c r="N909" s="58">
        <v>1.0</v>
      </c>
      <c r="O909" s="58" t="s">
        <v>1675</v>
      </c>
      <c r="P909" s="63" t="s">
        <v>74</v>
      </c>
      <c r="Q909" s="55">
        <v>1001.5</v>
      </c>
      <c r="R909" s="63" t="s">
        <v>1580</v>
      </c>
      <c r="S909" s="58">
        <v>2006.0</v>
      </c>
      <c r="T909" s="25">
        <v>0.07925005</v>
      </c>
      <c r="U909" s="330">
        <f t="shared" si="169"/>
        <v>79.36892508</v>
      </c>
      <c r="V909" s="341" t="s">
        <v>1622</v>
      </c>
      <c r="W909" s="3">
        <f t="shared" si="155"/>
        <v>0</v>
      </c>
      <c r="X909" s="3">
        <f t="shared" si="156"/>
        <v>0</v>
      </c>
      <c r="Y909" s="3">
        <f t="shared" si="157"/>
        <v>0</v>
      </c>
      <c r="Z909" s="58">
        <v>0.0</v>
      </c>
      <c r="AA909" s="26">
        <f>VLOOKUP(S909,CPI!$A$2:$F$71,6,0)</f>
        <v>1.597790179</v>
      </c>
      <c r="AB909" s="27">
        <f t="shared" si="171"/>
        <v>126.814889</v>
      </c>
      <c r="AC909" s="342" t="s">
        <v>1622</v>
      </c>
      <c r="AD909" s="63" t="s">
        <v>42</v>
      </c>
      <c r="AE909" s="336" t="s">
        <v>1676</v>
      </c>
      <c r="AF909" s="130"/>
      <c r="AG909" s="130"/>
      <c r="AH909" s="130"/>
      <c r="AI909" s="130"/>
      <c r="AJ909" s="33"/>
      <c r="AK909" s="33"/>
      <c r="AL909" s="33"/>
      <c r="AM909" s="206"/>
      <c r="AN909" s="206"/>
      <c r="AO909" s="206"/>
      <c r="AP909" s="206"/>
      <c r="AQ909" s="206"/>
    </row>
    <row r="910" ht="15.75" customHeight="1">
      <c r="A910" s="61">
        <v>20033.0</v>
      </c>
      <c r="B910" s="63" t="s">
        <v>1576</v>
      </c>
      <c r="C910" s="329" t="s">
        <v>1670</v>
      </c>
      <c r="D910" s="16" t="s">
        <v>84</v>
      </c>
      <c r="E910" s="63" t="s">
        <v>1677</v>
      </c>
      <c r="F910" s="58">
        <v>2004.0</v>
      </c>
      <c r="G910" s="58">
        <v>2012.0</v>
      </c>
      <c r="H910" s="58">
        <v>0.0</v>
      </c>
      <c r="I910" s="58">
        <v>8.4</v>
      </c>
      <c r="J910" s="50">
        <f t="shared" ref="J910:J920" si="181">K910/I910</f>
        <v>1</v>
      </c>
      <c r="K910" s="58">
        <v>8.4</v>
      </c>
      <c r="L910" s="58">
        <v>0.0</v>
      </c>
      <c r="M910" s="58">
        <v>0.0</v>
      </c>
      <c r="N910" s="58">
        <v>4.0</v>
      </c>
      <c r="O910" s="58" t="s">
        <v>1592</v>
      </c>
      <c r="P910" s="63" t="s">
        <v>60</v>
      </c>
      <c r="Q910" s="339">
        <v>62840.9862</v>
      </c>
      <c r="R910" s="63" t="s">
        <v>1580</v>
      </c>
      <c r="S910" s="58">
        <v>2025.0</v>
      </c>
      <c r="T910" s="25">
        <v>0.02973395395114</v>
      </c>
      <c r="U910" s="330">
        <f t="shared" si="169"/>
        <v>1868.51099</v>
      </c>
      <c r="V910" s="24">
        <f t="shared" ref="V910:V933" si="182">U910/I910</f>
        <v>222.4417845</v>
      </c>
      <c r="W910" s="3">
        <f t="shared" si="155"/>
        <v>0</v>
      </c>
      <c r="X910" s="3">
        <f t="shared" si="156"/>
        <v>0</v>
      </c>
      <c r="Y910" s="3">
        <f t="shared" si="157"/>
        <v>0</v>
      </c>
      <c r="Z910" s="58">
        <v>0.0</v>
      </c>
      <c r="AA910" s="26">
        <f>VLOOKUP(S910,CPI!$A$2:$F$71,6,0)</f>
        <v>1</v>
      </c>
      <c r="AB910" s="27">
        <f t="shared" si="171"/>
        <v>1868.51099</v>
      </c>
      <c r="AC910" s="27">
        <f t="shared" ref="AC910:AC933" si="183">V910*AA910</f>
        <v>222.4417845</v>
      </c>
      <c r="AD910" s="63" t="s">
        <v>60</v>
      </c>
      <c r="AE910" s="87" t="s">
        <v>1678</v>
      </c>
      <c r="AF910" s="130"/>
      <c r="AG910" s="130"/>
      <c r="AH910" s="130"/>
      <c r="AI910" s="130"/>
      <c r="AJ910" s="33"/>
      <c r="AK910" s="33"/>
      <c r="AL910" s="33"/>
      <c r="AM910" s="206"/>
      <c r="AN910" s="206"/>
      <c r="AO910" s="206"/>
      <c r="AP910" s="206"/>
      <c r="AQ910" s="206"/>
    </row>
    <row r="911" ht="15.75" customHeight="1">
      <c r="A911" s="61">
        <v>20031.0</v>
      </c>
      <c r="B911" s="63" t="s">
        <v>1576</v>
      </c>
      <c r="C911" s="329" t="s">
        <v>1670</v>
      </c>
      <c r="D911" s="16" t="s">
        <v>54</v>
      </c>
      <c r="E911" s="63" t="s">
        <v>1679</v>
      </c>
      <c r="F911" s="58">
        <v>2014.0</v>
      </c>
      <c r="G911" s="58">
        <v>2018.0</v>
      </c>
      <c r="H911" s="58">
        <v>0.0</v>
      </c>
      <c r="I911" s="58">
        <v>5.1</v>
      </c>
      <c r="J911" s="50">
        <f t="shared" si="181"/>
        <v>1</v>
      </c>
      <c r="K911" s="58">
        <v>5.1</v>
      </c>
      <c r="L911" s="58">
        <v>0.0</v>
      </c>
      <c r="M911" s="58">
        <v>0.0</v>
      </c>
      <c r="N911" s="58">
        <v>2.0</v>
      </c>
      <c r="O911" s="58" t="s">
        <v>1680</v>
      </c>
      <c r="P911" s="63" t="s">
        <v>60</v>
      </c>
      <c r="Q911" s="339">
        <v>35964.4143</v>
      </c>
      <c r="R911" s="63" t="s">
        <v>1580</v>
      </c>
      <c r="S911" s="58">
        <v>2025.0</v>
      </c>
      <c r="T911" s="25">
        <v>0.02970292013522</v>
      </c>
      <c r="U911" s="330">
        <f t="shared" si="169"/>
        <v>1068.248126</v>
      </c>
      <c r="V911" s="24">
        <f t="shared" si="182"/>
        <v>209.4604168</v>
      </c>
      <c r="W911" s="3">
        <f t="shared" si="155"/>
        <v>0</v>
      </c>
      <c r="X911" s="3">
        <f t="shared" si="156"/>
        <v>0</v>
      </c>
      <c r="Y911" s="3">
        <f t="shared" si="157"/>
        <v>0</v>
      </c>
      <c r="Z911" s="58">
        <v>0.0</v>
      </c>
      <c r="AA911" s="26">
        <f>VLOOKUP(S911,CPI!$A$2:$F$71,6,0)</f>
        <v>1</v>
      </c>
      <c r="AB911" s="27">
        <f t="shared" si="171"/>
        <v>1068.248126</v>
      </c>
      <c r="AC911" s="27">
        <f t="shared" si="183"/>
        <v>209.4604168</v>
      </c>
      <c r="AD911" s="63" t="s">
        <v>60</v>
      </c>
      <c r="AE911" s="87" t="s">
        <v>1678</v>
      </c>
      <c r="AF911" s="130"/>
      <c r="AG911" s="130"/>
      <c r="AH911" s="130"/>
      <c r="AI911" s="130"/>
      <c r="AJ911" s="33"/>
      <c r="AK911" s="33"/>
      <c r="AL911" s="33"/>
      <c r="AM911" s="206"/>
      <c r="AN911" s="206"/>
      <c r="AO911" s="206"/>
      <c r="AP911" s="206"/>
      <c r="AQ911" s="206"/>
    </row>
    <row r="912" ht="15.75" customHeight="1">
      <c r="A912" s="61">
        <v>20034.0</v>
      </c>
      <c r="B912" s="63" t="s">
        <v>1576</v>
      </c>
      <c r="C912" s="329" t="s">
        <v>1670</v>
      </c>
      <c r="D912" s="16" t="s">
        <v>84</v>
      </c>
      <c r="E912" s="63" t="s">
        <v>1681</v>
      </c>
      <c r="F912" s="58">
        <v>2011.0</v>
      </c>
      <c r="G912" s="58">
        <v>2019.0</v>
      </c>
      <c r="H912" s="58">
        <v>0.0</v>
      </c>
      <c r="I912" s="58">
        <v>6.2</v>
      </c>
      <c r="J912" s="50">
        <f t="shared" si="181"/>
        <v>1</v>
      </c>
      <c r="K912" s="58">
        <v>6.2</v>
      </c>
      <c r="L912" s="58">
        <v>0.0</v>
      </c>
      <c r="M912" s="58">
        <v>0.0</v>
      </c>
      <c r="N912" s="58">
        <v>3.0</v>
      </c>
      <c r="O912" s="58" t="s">
        <v>1592</v>
      </c>
      <c r="P912" s="63" t="s">
        <v>60</v>
      </c>
      <c r="Q912" s="339">
        <v>38392.3192</v>
      </c>
      <c r="R912" s="63" t="s">
        <v>1580</v>
      </c>
      <c r="S912" s="58">
        <v>2025.0</v>
      </c>
      <c r="T912" s="25">
        <v>0.02970674254673</v>
      </c>
      <c r="U912" s="330">
        <f t="shared" si="169"/>
        <v>1140.510742</v>
      </c>
      <c r="V912" s="24">
        <f t="shared" si="182"/>
        <v>183.9533455</v>
      </c>
      <c r="W912" s="3">
        <f t="shared" si="155"/>
        <v>0</v>
      </c>
      <c r="X912" s="3">
        <f t="shared" si="156"/>
        <v>0</v>
      </c>
      <c r="Y912" s="3">
        <f t="shared" si="157"/>
        <v>0</v>
      </c>
      <c r="Z912" s="58">
        <v>0.0</v>
      </c>
      <c r="AA912" s="26">
        <f>VLOOKUP(S912,CPI!$A$2:$F$71,6,0)</f>
        <v>1</v>
      </c>
      <c r="AB912" s="27">
        <f t="shared" si="171"/>
        <v>1140.510742</v>
      </c>
      <c r="AC912" s="27">
        <f t="shared" si="183"/>
        <v>183.9533455</v>
      </c>
      <c r="AD912" s="63" t="s">
        <v>60</v>
      </c>
      <c r="AE912" s="87" t="s">
        <v>1678</v>
      </c>
      <c r="AF912" s="130"/>
      <c r="AG912" s="130"/>
      <c r="AH912" s="130"/>
      <c r="AI912" s="130"/>
      <c r="AJ912" s="33"/>
      <c r="AK912" s="33"/>
      <c r="AL912" s="33"/>
      <c r="AM912" s="206"/>
      <c r="AN912" s="206"/>
      <c r="AO912" s="206"/>
      <c r="AP912" s="206"/>
      <c r="AQ912" s="206"/>
    </row>
    <row r="913" ht="15.75" customHeight="1">
      <c r="A913" s="61">
        <v>20030.0</v>
      </c>
      <c r="B913" s="63" t="s">
        <v>1576</v>
      </c>
      <c r="C913" s="329" t="s">
        <v>1670</v>
      </c>
      <c r="D913" s="16" t="s">
        <v>110</v>
      </c>
      <c r="E913" s="63" t="s">
        <v>1682</v>
      </c>
      <c r="F913" s="58">
        <v>2015.0</v>
      </c>
      <c r="G913" s="58">
        <v>2024.0</v>
      </c>
      <c r="H913" s="58">
        <v>0.0</v>
      </c>
      <c r="I913" s="58">
        <v>3.6</v>
      </c>
      <c r="J913" s="50">
        <f t="shared" si="181"/>
        <v>1</v>
      </c>
      <c r="K913" s="58">
        <v>3.6</v>
      </c>
      <c r="L913" s="58">
        <v>0.0</v>
      </c>
      <c r="M913" s="58">
        <v>0.0</v>
      </c>
      <c r="N913" s="58">
        <v>2.0</v>
      </c>
      <c r="O913" s="58" t="s">
        <v>1592</v>
      </c>
      <c r="P913" s="63" t="s">
        <v>60</v>
      </c>
      <c r="Q913" s="339">
        <v>45986.3262</v>
      </c>
      <c r="R913" s="63" t="s">
        <v>1580</v>
      </c>
      <c r="S913" s="58">
        <v>2025.0</v>
      </c>
      <c r="T913" s="25">
        <v>0.02950513115352</v>
      </c>
      <c r="U913" s="330">
        <f t="shared" si="169"/>
        <v>1356.832586</v>
      </c>
      <c r="V913" s="24">
        <f t="shared" si="182"/>
        <v>376.8979405</v>
      </c>
      <c r="W913" s="3">
        <f t="shared" si="155"/>
        <v>0</v>
      </c>
      <c r="X913" s="3">
        <f t="shared" si="156"/>
        <v>0</v>
      </c>
      <c r="Y913" s="3">
        <f t="shared" si="157"/>
        <v>0</v>
      </c>
      <c r="Z913" s="58">
        <v>0.0</v>
      </c>
      <c r="AA913" s="26">
        <f>VLOOKUP(S913,CPI!$A$2:$F$71,6,0)</f>
        <v>1</v>
      </c>
      <c r="AB913" s="27">
        <f t="shared" si="171"/>
        <v>1356.832586</v>
      </c>
      <c r="AC913" s="27">
        <f t="shared" si="183"/>
        <v>376.8979405</v>
      </c>
      <c r="AD913" s="63" t="s">
        <v>60</v>
      </c>
      <c r="AE913" s="87" t="s">
        <v>1678</v>
      </c>
      <c r="AF913" s="130"/>
      <c r="AG913" s="130"/>
      <c r="AH913" s="130"/>
      <c r="AI913" s="130"/>
      <c r="AJ913" s="33"/>
      <c r="AK913" s="33"/>
      <c r="AL913" s="33"/>
      <c r="AM913" s="206"/>
      <c r="AN913" s="206"/>
      <c r="AO913" s="206"/>
      <c r="AP913" s="206"/>
      <c r="AQ913" s="206"/>
    </row>
    <row r="914" ht="15.75" customHeight="1">
      <c r="A914" s="61">
        <v>20028.0</v>
      </c>
      <c r="B914" s="63" t="s">
        <v>1576</v>
      </c>
      <c r="C914" s="329" t="s">
        <v>1670</v>
      </c>
      <c r="D914" s="16" t="s">
        <v>80</v>
      </c>
      <c r="E914" s="63" t="s">
        <v>1683</v>
      </c>
      <c r="F914" s="58">
        <v>2018.0</v>
      </c>
      <c r="G914" s="58">
        <v>2025.0</v>
      </c>
      <c r="H914" s="58">
        <v>0.0</v>
      </c>
      <c r="I914" s="58">
        <v>2.57</v>
      </c>
      <c r="J914" s="50">
        <f t="shared" si="181"/>
        <v>1</v>
      </c>
      <c r="K914" s="58">
        <v>2.57</v>
      </c>
      <c r="L914" s="58">
        <v>0.0</v>
      </c>
      <c r="M914" s="58">
        <v>0.0</v>
      </c>
      <c r="N914" s="58">
        <v>2.0</v>
      </c>
      <c r="O914" s="58" t="s">
        <v>1592</v>
      </c>
      <c r="P914" s="63" t="s">
        <v>60</v>
      </c>
      <c r="Q914" s="339">
        <v>84053.5385</v>
      </c>
      <c r="R914" s="63" t="s">
        <v>1580</v>
      </c>
      <c r="S914" s="58">
        <v>2025.0</v>
      </c>
      <c r="T914" s="25">
        <v>0.02915219320978</v>
      </c>
      <c r="U914" s="330">
        <f t="shared" si="169"/>
        <v>2450.344994</v>
      </c>
      <c r="V914" s="24">
        <f t="shared" si="182"/>
        <v>953.441632</v>
      </c>
      <c r="W914" s="3">
        <f t="shared" si="155"/>
        <v>0</v>
      </c>
      <c r="X914" s="3">
        <f t="shared" si="156"/>
        <v>0</v>
      </c>
      <c r="Y914" s="3">
        <f t="shared" si="157"/>
        <v>0</v>
      </c>
      <c r="Z914" s="58">
        <v>0.0</v>
      </c>
      <c r="AA914" s="26">
        <f>VLOOKUP(S914,CPI!$A$2:$F$71,6,0)</f>
        <v>1</v>
      </c>
      <c r="AB914" s="27">
        <f t="shared" si="171"/>
        <v>2450.344994</v>
      </c>
      <c r="AC914" s="27">
        <f t="shared" si="183"/>
        <v>953.441632</v>
      </c>
      <c r="AD914" s="63" t="s">
        <v>60</v>
      </c>
      <c r="AE914" s="87" t="s">
        <v>1678</v>
      </c>
      <c r="AF914" s="130"/>
      <c r="AG914" s="130"/>
      <c r="AH914" s="130"/>
      <c r="AI914" s="130"/>
      <c r="AJ914" s="33"/>
      <c r="AK914" s="33"/>
      <c r="AL914" s="33"/>
      <c r="AM914" s="206"/>
      <c r="AN914" s="206"/>
      <c r="AO914" s="206"/>
      <c r="AP914" s="206"/>
      <c r="AQ914" s="206"/>
    </row>
    <row r="915" ht="15.75" customHeight="1">
      <c r="A915" s="61">
        <v>20032.0</v>
      </c>
      <c r="B915" s="63" t="s">
        <v>1576</v>
      </c>
      <c r="C915" s="329" t="s">
        <v>1670</v>
      </c>
      <c r="D915" s="16" t="s">
        <v>54</v>
      </c>
      <c r="E915" s="63" t="s">
        <v>1684</v>
      </c>
      <c r="F915" s="58">
        <v>2022.0</v>
      </c>
      <c r="G915" s="58">
        <v>2028.0</v>
      </c>
      <c r="H915" s="58">
        <v>0.0</v>
      </c>
      <c r="I915" s="58">
        <v>5.0</v>
      </c>
      <c r="J915" s="50">
        <f t="shared" si="181"/>
        <v>1</v>
      </c>
      <c r="K915" s="58">
        <v>5.0</v>
      </c>
      <c r="L915" s="58">
        <v>0.0</v>
      </c>
      <c r="M915" s="58">
        <v>0.0</v>
      </c>
      <c r="N915" s="58">
        <v>2.0</v>
      </c>
      <c r="O915" s="58" t="s">
        <v>1680</v>
      </c>
      <c r="P915" s="63" t="s">
        <v>60</v>
      </c>
      <c r="Q915" s="339">
        <v>128087.1166</v>
      </c>
      <c r="R915" s="63" t="s">
        <v>1580</v>
      </c>
      <c r="S915" s="58">
        <v>2025.0</v>
      </c>
      <c r="T915" s="25">
        <v>0.02823135914499</v>
      </c>
      <c r="U915" s="330">
        <f t="shared" si="169"/>
        <v>3616.073391</v>
      </c>
      <c r="V915" s="24">
        <f t="shared" si="182"/>
        <v>723.2146781</v>
      </c>
      <c r="W915" s="3">
        <f t="shared" si="155"/>
        <v>0</v>
      </c>
      <c r="X915" s="3">
        <f t="shared" si="156"/>
        <v>0</v>
      </c>
      <c r="Y915" s="3">
        <f t="shared" si="157"/>
        <v>0</v>
      </c>
      <c r="Z915" s="58">
        <v>0.0</v>
      </c>
      <c r="AA915" s="26">
        <f>VLOOKUP(S915,CPI!$A$2:$F$71,6,0)</f>
        <v>1</v>
      </c>
      <c r="AB915" s="27">
        <f t="shared" si="171"/>
        <v>3616.073391</v>
      </c>
      <c r="AC915" s="27">
        <f t="shared" si="183"/>
        <v>723.2146781</v>
      </c>
      <c r="AD915" s="63" t="s">
        <v>60</v>
      </c>
      <c r="AE915" s="340" t="s">
        <v>1678</v>
      </c>
      <c r="AF915" s="130"/>
      <c r="AG915" s="130"/>
      <c r="AH915" s="130"/>
      <c r="AI915" s="130"/>
      <c r="AJ915" s="33"/>
      <c r="AK915" s="33"/>
      <c r="AL915" s="33"/>
      <c r="AM915" s="206"/>
      <c r="AN915" s="206"/>
      <c r="AO915" s="206"/>
      <c r="AP915" s="206"/>
      <c r="AQ915" s="206"/>
    </row>
    <row r="916" ht="15.75" customHeight="1">
      <c r="A916" s="61">
        <v>20029.0</v>
      </c>
      <c r="B916" s="63" t="s">
        <v>1576</v>
      </c>
      <c r="C916" s="329" t="s">
        <v>1670</v>
      </c>
      <c r="D916" s="16" t="s">
        <v>80</v>
      </c>
      <c r="E916" s="63" t="s">
        <v>1685</v>
      </c>
      <c r="F916" s="58">
        <v>2024.0</v>
      </c>
      <c r="G916" s="58">
        <v>2030.0</v>
      </c>
      <c r="H916" s="58">
        <v>0.0</v>
      </c>
      <c r="I916" s="58">
        <v>7.0</v>
      </c>
      <c r="J916" s="50">
        <f t="shared" si="181"/>
        <v>1</v>
      </c>
      <c r="K916" s="58">
        <v>7.0</v>
      </c>
      <c r="L916" s="58">
        <v>0.0</v>
      </c>
      <c r="M916" s="58">
        <v>0.0</v>
      </c>
      <c r="N916" s="58">
        <v>4.0</v>
      </c>
      <c r="O916" s="58" t="s">
        <v>1592</v>
      </c>
      <c r="P916" s="63" t="s">
        <v>60</v>
      </c>
      <c r="Q916" s="339">
        <v>127909.0904</v>
      </c>
      <c r="R916" s="63" t="s">
        <v>1580</v>
      </c>
      <c r="S916" s="58">
        <v>2025.0</v>
      </c>
      <c r="T916" s="25">
        <v>0.02821073481878</v>
      </c>
      <c r="U916" s="330">
        <f t="shared" si="169"/>
        <v>3608.40943</v>
      </c>
      <c r="V916" s="24">
        <f t="shared" si="182"/>
        <v>515.4870615</v>
      </c>
      <c r="W916" s="3">
        <f t="shared" si="155"/>
        <v>0</v>
      </c>
      <c r="X916" s="3">
        <f t="shared" si="156"/>
        <v>0</v>
      </c>
      <c r="Y916" s="3">
        <f t="shared" si="157"/>
        <v>0</v>
      </c>
      <c r="Z916" s="58">
        <v>0.0</v>
      </c>
      <c r="AA916" s="26">
        <f>VLOOKUP(S916,CPI!$A$2:$F$71,6,0)</f>
        <v>1</v>
      </c>
      <c r="AB916" s="27">
        <f t="shared" si="171"/>
        <v>3608.40943</v>
      </c>
      <c r="AC916" s="27">
        <f t="shared" si="183"/>
        <v>515.4870615</v>
      </c>
      <c r="AD916" s="63" t="s">
        <v>60</v>
      </c>
      <c r="AE916" s="87" t="s">
        <v>1678</v>
      </c>
      <c r="AF916" s="130"/>
      <c r="AG916" s="130"/>
      <c r="AH916" s="130"/>
      <c r="AI916" s="130"/>
      <c r="AJ916" s="33"/>
      <c r="AK916" s="33"/>
      <c r="AL916" s="33"/>
      <c r="AM916" s="206"/>
      <c r="AN916" s="206"/>
      <c r="AO916" s="206"/>
      <c r="AP916" s="206"/>
      <c r="AQ916" s="206"/>
    </row>
    <row r="917" ht="15.75" customHeight="1">
      <c r="A917" s="331">
        <v>20053.0</v>
      </c>
      <c r="B917" s="332" t="s">
        <v>1576</v>
      </c>
      <c r="C917" s="333" t="s">
        <v>1686</v>
      </c>
      <c r="D917" s="334" t="s">
        <v>1687</v>
      </c>
      <c r="E917" s="332" t="s">
        <v>1688</v>
      </c>
      <c r="F917" s="58" t="s">
        <v>1673</v>
      </c>
      <c r="G917" s="58">
        <v>2011.0</v>
      </c>
      <c r="H917" s="58">
        <v>0.0</v>
      </c>
      <c r="I917" s="58">
        <v>3.7</v>
      </c>
      <c r="J917" s="50">
        <f t="shared" si="181"/>
        <v>1</v>
      </c>
      <c r="K917" s="58">
        <v>3.7</v>
      </c>
      <c r="L917" s="58">
        <v>0.0</v>
      </c>
      <c r="M917" s="58">
        <v>0.0</v>
      </c>
      <c r="N917" s="58">
        <v>3.0</v>
      </c>
      <c r="O917" s="58" t="s">
        <v>1689</v>
      </c>
      <c r="P917" s="63" t="s">
        <v>74</v>
      </c>
      <c r="Q917" s="52"/>
      <c r="R917" s="26"/>
      <c r="S917" s="58">
        <v>2025.0</v>
      </c>
      <c r="T917" s="25"/>
      <c r="U917" s="330">
        <f t="shared" si="169"/>
        <v>0</v>
      </c>
      <c r="V917" s="24">
        <f t="shared" si="182"/>
        <v>0</v>
      </c>
      <c r="W917" s="3">
        <f t="shared" si="155"/>
        <v>0</v>
      </c>
      <c r="X917" s="3">
        <f t="shared" si="156"/>
        <v>0</v>
      </c>
      <c r="Y917" s="3">
        <f t="shared" si="157"/>
        <v>0</v>
      </c>
      <c r="Z917" s="58">
        <v>0.0</v>
      </c>
      <c r="AA917" s="26">
        <f>VLOOKUP(S917,CPI!$A$2:$F$71,6,0)</f>
        <v>1</v>
      </c>
      <c r="AB917" s="27">
        <f t="shared" si="171"/>
        <v>0</v>
      </c>
      <c r="AC917" s="27">
        <f t="shared" si="183"/>
        <v>0</v>
      </c>
      <c r="AD917" s="26"/>
      <c r="AE917" s="335"/>
      <c r="AF917" s="130"/>
      <c r="AG917" s="130"/>
      <c r="AH917" s="130"/>
      <c r="AI917" s="130"/>
      <c r="AJ917" s="33"/>
      <c r="AK917" s="33"/>
      <c r="AL917" s="33"/>
      <c r="AM917" s="206"/>
      <c r="AN917" s="206"/>
      <c r="AO917" s="206"/>
      <c r="AP917" s="206"/>
      <c r="AQ917" s="206"/>
    </row>
    <row r="918" ht="15.75" customHeight="1">
      <c r="A918" s="61">
        <v>20052.0</v>
      </c>
      <c r="B918" s="63" t="s">
        <v>1576</v>
      </c>
      <c r="C918" s="329" t="s">
        <v>1690</v>
      </c>
      <c r="D918" s="16" t="s">
        <v>57</v>
      </c>
      <c r="E918" s="26" t="s">
        <v>1691</v>
      </c>
      <c r="F918" s="58">
        <v>2007.0</v>
      </c>
      <c r="G918" s="58">
        <v>2012.0</v>
      </c>
      <c r="H918" s="58">
        <v>0.0</v>
      </c>
      <c r="I918" s="58">
        <v>4.2</v>
      </c>
      <c r="J918" s="50">
        <f t="shared" si="181"/>
        <v>1</v>
      </c>
      <c r="K918" s="58">
        <v>4.2</v>
      </c>
      <c r="L918" s="58">
        <v>0.0</v>
      </c>
      <c r="M918" s="58">
        <v>0.0</v>
      </c>
      <c r="N918" s="58">
        <v>2.0</v>
      </c>
      <c r="O918" s="58" t="s">
        <v>1579</v>
      </c>
      <c r="P918" s="63" t="s">
        <v>74</v>
      </c>
      <c r="Q918" s="55">
        <v>16000.0</v>
      </c>
      <c r="R918" s="63" t="s">
        <v>1580</v>
      </c>
      <c r="S918" s="58">
        <v>2010.0</v>
      </c>
      <c r="T918" s="58">
        <v>0.063206562</v>
      </c>
      <c r="U918" s="330">
        <f t="shared" si="169"/>
        <v>1011.304992</v>
      </c>
      <c r="V918" s="24">
        <f t="shared" si="182"/>
        <v>240.7869029</v>
      </c>
      <c r="W918" s="3">
        <f t="shared" si="155"/>
        <v>0</v>
      </c>
      <c r="X918" s="3">
        <f t="shared" si="156"/>
        <v>0</v>
      </c>
      <c r="Y918" s="3">
        <f t="shared" si="157"/>
        <v>0</v>
      </c>
      <c r="Z918" s="58">
        <v>0.0</v>
      </c>
      <c r="AA918" s="26">
        <f>VLOOKUP(S918,CPI!$A$2:$F$71,6,0)</f>
        <v>1.477209983</v>
      </c>
      <c r="AB918" s="27">
        <f t="shared" si="171"/>
        <v>1493.90983</v>
      </c>
      <c r="AC918" s="27">
        <f t="shared" si="183"/>
        <v>355.6928166</v>
      </c>
      <c r="AD918" s="63" t="s">
        <v>42</v>
      </c>
      <c r="AE918" s="56" t="s">
        <v>1692</v>
      </c>
      <c r="AF918" s="130"/>
      <c r="AG918" s="130"/>
      <c r="AH918" s="130"/>
      <c r="AI918" s="130"/>
      <c r="AJ918" s="33"/>
      <c r="AK918" s="33"/>
      <c r="AL918" s="33"/>
      <c r="AM918" s="206"/>
      <c r="AN918" s="206"/>
      <c r="AO918" s="206"/>
      <c r="AP918" s="206"/>
      <c r="AQ918" s="206"/>
    </row>
    <row r="919" ht="15.75" customHeight="1">
      <c r="A919" s="14">
        <v>8192.0</v>
      </c>
      <c r="B919" s="15" t="s">
        <v>1693</v>
      </c>
      <c r="C919" s="15" t="s">
        <v>1694</v>
      </c>
      <c r="D919" s="16" t="s">
        <v>1695</v>
      </c>
      <c r="E919" s="15" t="s">
        <v>1696</v>
      </c>
      <c r="F919" s="17">
        <v>2014.0</v>
      </c>
      <c r="G919" s="17"/>
      <c r="H919" s="17">
        <v>0.0</v>
      </c>
      <c r="I919" s="18">
        <v>50.0</v>
      </c>
      <c r="J919" s="19">
        <f t="shared" si="181"/>
        <v>0</v>
      </c>
      <c r="K919" s="20">
        <v>0.0</v>
      </c>
      <c r="L919" s="21">
        <v>0.0</v>
      </c>
      <c r="M919" s="21">
        <v>0.0</v>
      </c>
      <c r="N919" s="18"/>
      <c r="O919" s="17"/>
      <c r="P919" s="22"/>
      <c r="Q919" s="23">
        <v>16000.0</v>
      </c>
      <c r="R919" s="15" t="s">
        <v>37</v>
      </c>
      <c r="S919" s="18">
        <v>2010.0</v>
      </c>
      <c r="T919" s="18">
        <v>1.623</v>
      </c>
      <c r="U919" s="18">
        <f t="shared" si="169"/>
        <v>25968</v>
      </c>
      <c r="V919" s="24">
        <f t="shared" si="182"/>
        <v>519.36</v>
      </c>
      <c r="W919" s="3">
        <f t="shared" si="155"/>
        <v>0</v>
      </c>
      <c r="X919" s="3">
        <f t="shared" si="156"/>
        <v>0</v>
      </c>
      <c r="Y919" s="3">
        <f t="shared" si="157"/>
        <v>0</v>
      </c>
      <c r="Z919" s="25">
        <f t="shared" ref="Z919:Z933" si="184">IF(OR(B919 = "US",B919 = "CA",B919 = "UK",B919 = "NZ",B919 = "AU",B919 = "SG"), 1, 0)</f>
        <v>0</v>
      </c>
      <c r="AA919" s="26">
        <f>VLOOKUP(S919,CPI!$A$2:$F$71,6,0)</f>
        <v>1.477209983</v>
      </c>
      <c r="AB919" s="27">
        <f t="shared" si="171"/>
        <v>38360.18883</v>
      </c>
      <c r="AC919" s="27">
        <f t="shared" si="183"/>
        <v>767.2037766</v>
      </c>
      <c r="AD919" s="36" t="s">
        <v>42</v>
      </c>
      <c r="AE919" s="37" t="s">
        <v>1697</v>
      </c>
      <c r="AF919" s="130"/>
      <c r="AG919" s="130"/>
      <c r="AH919" s="130"/>
      <c r="AI919" s="130"/>
      <c r="AJ919" s="33"/>
      <c r="AK919" s="33"/>
      <c r="AL919" s="33"/>
      <c r="AM919" s="206"/>
      <c r="AN919" s="206"/>
      <c r="AO919" s="206"/>
      <c r="AP919" s="206"/>
      <c r="AQ919" s="206"/>
    </row>
    <row r="920" ht="15.75" customHeight="1">
      <c r="A920" s="14">
        <v>8186.0</v>
      </c>
      <c r="B920" s="15" t="s">
        <v>1693</v>
      </c>
      <c r="C920" s="15" t="s">
        <v>1698</v>
      </c>
      <c r="D920" s="15" t="s">
        <v>1699</v>
      </c>
      <c r="E920" s="15" t="s">
        <v>1699</v>
      </c>
      <c r="F920" s="17">
        <v>2014.0</v>
      </c>
      <c r="G920" s="17">
        <v>2025.0</v>
      </c>
      <c r="H920" s="17">
        <v>0.0</v>
      </c>
      <c r="I920" s="18">
        <v>161.1</v>
      </c>
      <c r="J920" s="19">
        <f t="shared" si="181"/>
        <v>0.1241464929</v>
      </c>
      <c r="K920" s="20">
        <v>20.0</v>
      </c>
      <c r="L920" s="21">
        <v>0.0</v>
      </c>
      <c r="M920" s="21">
        <v>0.0</v>
      </c>
      <c r="N920" s="18">
        <v>81.0</v>
      </c>
      <c r="O920" s="17"/>
      <c r="P920" s="22" t="s">
        <v>36</v>
      </c>
      <c r="Q920" s="23">
        <v>12000.0</v>
      </c>
      <c r="R920" s="15" t="s">
        <v>37</v>
      </c>
      <c r="S920" s="18">
        <v>2015.0</v>
      </c>
      <c r="T920" s="18">
        <v>1.435</v>
      </c>
      <c r="U920" s="18">
        <f t="shared" si="169"/>
        <v>17220</v>
      </c>
      <c r="V920" s="24">
        <f t="shared" si="182"/>
        <v>106.8901304</v>
      </c>
      <c r="W920" s="3">
        <f t="shared" si="155"/>
        <v>0</v>
      </c>
      <c r="X920" s="3">
        <f t="shared" si="156"/>
        <v>0</v>
      </c>
      <c r="Y920" s="3">
        <f t="shared" si="157"/>
        <v>0</v>
      </c>
      <c r="Z920" s="25">
        <f t="shared" si="184"/>
        <v>0</v>
      </c>
      <c r="AA920" s="26">
        <f>VLOOKUP(S920,CPI!$A$2:$F$71,6,0)</f>
        <v>1.359035428</v>
      </c>
      <c r="AB920" s="27">
        <f t="shared" si="171"/>
        <v>23402.59007</v>
      </c>
      <c r="AC920" s="27">
        <f t="shared" si="183"/>
        <v>145.267474</v>
      </c>
      <c r="AD920" s="36" t="s">
        <v>60</v>
      </c>
      <c r="AE920" s="37" t="s">
        <v>1700</v>
      </c>
      <c r="AF920" s="130"/>
      <c r="AG920" s="130"/>
      <c r="AH920" s="130"/>
      <c r="AI920" s="130"/>
      <c r="AJ920" s="33"/>
      <c r="AK920" s="33"/>
      <c r="AL920" s="33"/>
      <c r="AM920" s="206"/>
      <c r="AN920" s="206"/>
      <c r="AO920" s="206"/>
      <c r="AP920" s="206"/>
      <c r="AQ920" s="206"/>
    </row>
    <row r="921" ht="15.75" customHeight="1">
      <c r="A921" s="14">
        <v>8187.0</v>
      </c>
      <c r="B921" s="15" t="s">
        <v>1693</v>
      </c>
      <c r="C921" s="15" t="s">
        <v>1701</v>
      </c>
      <c r="D921" s="15" t="s">
        <v>1702</v>
      </c>
      <c r="E921" s="15" t="s">
        <v>1702</v>
      </c>
      <c r="F921" s="17">
        <v>2009.0</v>
      </c>
      <c r="G921" s="17"/>
      <c r="H921" s="17"/>
      <c r="I921" s="18">
        <v>188.0</v>
      </c>
      <c r="J921" s="19"/>
      <c r="K921" s="20"/>
      <c r="L921" s="21" t="e">
        <v>#N/A</v>
      </c>
      <c r="M921" s="21" t="e">
        <v>#N/A</v>
      </c>
      <c r="N921" s="18">
        <v>90.0</v>
      </c>
      <c r="O921" s="17"/>
      <c r="P921" s="22"/>
      <c r="Q921" s="23">
        <v>62000.0</v>
      </c>
      <c r="R921" s="15" t="s">
        <v>1703</v>
      </c>
      <c r="S921" s="18">
        <v>2010.0</v>
      </c>
      <c r="T921" s="18">
        <v>0.616</v>
      </c>
      <c r="U921" s="18">
        <f t="shared" si="169"/>
        <v>38192</v>
      </c>
      <c r="V921" s="24">
        <f t="shared" si="182"/>
        <v>203.1489362</v>
      </c>
      <c r="W921" s="3">
        <f t="shared" si="155"/>
        <v>0</v>
      </c>
      <c r="X921" s="3">
        <f t="shared" si="156"/>
        <v>0</v>
      </c>
      <c r="Y921" s="3">
        <f t="shared" si="157"/>
        <v>0</v>
      </c>
      <c r="Z921" s="25">
        <f t="shared" si="184"/>
        <v>0</v>
      </c>
      <c r="AA921" s="26">
        <f>VLOOKUP(S921,CPI!$A$2:$F$71,6,0)</f>
        <v>1.477209983</v>
      </c>
      <c r="AB921" s="27">
        <f t="shared" si="171"/>
        <v>56417.60366</v>
      </c>
      <c r="AC921" s="27">
        <f t="shared" si="183"/>
        <v>300.0936365</v>
      </c>
      <c r="AD921" s="36"/>
      <c r="AE921" s="28"/>
      <c r="AF921" s="130"/>
      <c r="AG921" s="130"/>
      <c r="AH921" s="130"/>
      <c r="AI921" s="130"/>
      <c r="AJ921" s="33"/>
      <c r="AK921" s="33"/>
      <c r="AL921" s="33"/>
      <c r="AM921" s="206"/>
      <c r="AN921" s="206"/>
      <c r="AO921" s="206"/>
      <c r="AP921" s="206"/>
      <c r="AQ921" s="206"/>
    </row>
    <row r="922" ht="15.75" customHeight="1">
      <c r="A922" s="14">
        <v>8171.0</v>
      </c>
      <c r="B922" s="15" t="s">
        <v>1693</v>
      </c>
      <c r="C922" s="15" t="s">
        <v>1704</v>
      </c>
      <c r="D922" s="15" t="s">
        <v>1705</v>
      </c>
      <c r="E922" s="15" t="s">
        <v>1705</v>
      </c>
      <c r="F922" s="17">
        <v>2015.0</v>
      </c>
      <c r="G922" s="17">
        <v>2016.0</v>
      </c>
      <c r="H922" s="17">
        <v>0.0</v>
      </c>
      <c r="I922" s="18">
        <v>38.0</v>
      </c>
      <c r="J922" s="19">
        <f t="shared" ref="J922:J927" si="185">K922/I922</f>
        <v>0.4263157895</v>
      </c>
      <c r="K922" s="20">
        <v>16.2</v>
      </c>
      <c r="L922" s="21">
        <v>0.0</v>
      </c>
      <c r="M922" s="21">
        <v>0.0</v>
      </c>
      <c r="N922" s="18">
        <v>22.0</v>
      </c>
      <c r="O922" s="17"/>
      <c r="P922" s="22" t="s">
        <v>36</v>
      </c>
      <c r="Q922" s="23">
        <v>6561.0</v>
      </c>
      <c r="R922" s="15" t="s">
        <v>37</v>
      </c>
      <c r="S922" s="18">
        <v>2013.0</v>
      </c>
      <c r="T922" s="18">
        <v>1.82</v>
      </c>
      <c r="U922" s="18">
        <f t="shared" si="169"/>
        <v>11941.02</v>
      </c>
      <c r="V922" s="24">
        <f t="shared" si="182"/>
        <v>314.2373684</v>
      </c>
      <c r="W922" s="3">
        <f t="shared" si="155"/>
        <v>0</v>
      </c>
      <c r="X922" s="3">
        <f t="shared" si="156"/>
        <v>0</v>
      </c>
      <c r="Y922" s="3">
        <f t="shared" si="157"/>
        <v>0</v>
      </c>
      <c r="Z922" s="25">
        <f t="shared" si="184"/>
        <v>0</v>
      </c>
      <c r="AA922" s="26">
        <f>VLOOKUP(S922,CPI!$A$2:$F$71,6,0)</f>
        <v>1.382720845</v>
      </c>
      <c r="AB922" s="27">
        <f t="shared" si="171"/>
        <v>16511.09727</v>
      </c>
      <c r="AC922" s="27">
        <f t="shared" si="183"/>
        <v>434.5025597</v>
      </c>
      <c r="AD922" s="36" t="s">
        <v>60</v>
      </c>
      <c r="AE922" s="37" t="s">
        <v>1706</v>
      </c>
      <c r="AF922" s="130"/>
      <c r="AG922" s="130"/>
      <c r="AH922" s="130"/>
      <c r="AI922" s="130"/>
      <c r="AJ922" s="33"/>
      <c r="AK922" s="33"/>
      <c r="AL922" s="33"/>
      <c r="AM922" s="206"/>
      <c r="AN922" s="206"/>
      <c r="AO922" s="206"/>
      <c r="AP922" s="206"/>
      <c r="AQ922" s="206"/>
    </row>
    <row r="923" ht="15.75" customHeight="1">
      <c r="A923" s="14">
        <v>8179.0</v>
      </c>
      <c r="B923" s="15" t="s">
        <v>1693</v>
      </c>
      <c r="C923" s="15" t="s">
        <v>1704</v>
      </c>
      <c r="D923" s="15" t="s">
        <v>1707</v>
      </c>
      <c r="E923" s="15" t="s">
        <v>1707</v>
      </c>
      <c r="F923" s="17">
        <v>2015.0</v>
      </c>
      <c r="G923" s="17">
        <v>2016.0</v>
      </c>
      <c r="H923" s="17">
        <v>0.0</v>
      </c>
      <c r="I923" s="18">
        <v>12.9</v>
      </c>
      <c r="J923" s="19">
        <f t="shared" si="185"/>
        <v>0.9302325581</v>
      </c>
      <c r="K923" s="20">
        <v>12.0</v>
      </c>
      <c r="L923" s="21">
        <v>0.0</v>
      </c>
      <c r="M923" s="21">
        <v>0.0</v>
      </c>
      <c r="N923" s="18">
        <v>11.0</v>
      </c>
      <c r="O923" s="17"/>
      <c r="P923" s="22" t="s">
        <v>36</v>
      </c>
      <c r="Q923" s="23">
        <v>2220.0</v>
      </c>
      <c r="R923" s="15" t="s">
        <v>37</v>
      </c>
      <c r="S923" s="18">
        <v>2013.0</v>
      </c>
      <c r="T923" s="18">
        <v>1.82</v>
      </c>
      <c r="U923" s="18">
        <f t="shared" si="169"/>
        <v>4040.4</v>
      </c>
      <c r="V923" s="24">
        <f t="shared" si="182"/>
        <v>313.2093023</v>
      </c>
      <c r="W923" s="3">
        <f t="shared" si="155"/>
        <v>0</v>
      </c>
      <c r="X923" s="3">
        <f t="shared" si="156"/>
        <v>0</v>
      </c>
      <c r="Y923" s="3">
        <f t="shared" si="157"/>
        <v>0</v>
      </c>
      <c r="Z923" s="25">
        <f t="shared" si="184"/>
        <v>0</v>
      </c>
      <c r="AA923" s="26">
        <f>VLOOKUP(S923,CPI!$A$2:$F$71,6,0)</f>
        <v>1.382720845</v>
      </c>
      <c r="AB923" s="27">
        <f t="shared" si="171"/>
        <v>5586.745304</v>
      </c>
      <c r="AC923" s="27">
        <f t="shared" si="183"/>
        <v>433.0810313</v>
      </c>
      <c r="AD923" s="36" t="s">
        <v>36</v>
      </c>
      <c r="AE923" s="37" t="s">
        <v>1708</v>
      </c>
      <c r="AF923" s="130"/>
      <c r="AG923" s="130"/>
      <c r="AH923" s="130"/>
      <c r="AI923" s="130"/>
      <c r="AJ923" s="33"/>
      <c r="AK923" s="33"/>
      <c r="AL923" s="33"/>
      <c r="AM923" s="206"/>
      <c r="AN923" s="206"/>
      <c r="AO923" s="206"/>
      <c r="AP923" s="206"/>
      <c r="AQ923" s="206"/>
    </row>
    <row r="924" ht="15.75" customHeight="1">
      <c r="A924" s="14">
        <v>8177.0</v>
      </c>
      <c r="B924" s="15" t="s">
        <v>1693</v>
      </c>
      <c r="C924" s="15" t="s">
        <v>1704</v>
      </c>
      <c r="D924" s="15" t="s">
        <v>1709</v>
      </c>
      <c r="E924" s="15" t="s">
        <v>1709</v>
      </c>
      <c r="F924" s="17">
        <v>2014.0</v>
      </c>
      <c r="G924" s="17">
        <v>2017.0</v>
      </c>
      <c r="H924" s="17">
        <v>0.0</v>
      </c>
      <c r="I924" s="18">
        <v>40.7</v>
      </c>
      <c r="J924" s="19">
        <f t="shared" si="185"/>
        <v>0.14004914</v>
      </c>
      <c r="K924" s="20">
        <v>5.7</v>
      </c>
      <c r="L924" s="21">
        <v>0.0</v>
      </c>
      <c r="M924" s="21">
        <v>0.0</v>
      </c>
      <c r="N924" s="18">
        <v>20.0</v>
      </c>
      <c r="O924" s="17"/>
      <c r="P924" s="22" t="s">
        <v>36</v>
      </c>
      <c r="Q924" s="23">
        <v>5002.0</v>
      </c>
      <c r="R924" s="15" t="s">
        <v>37</v>
      </c>
      <c r="S924" s="18">
        <v>2013.0</v>
      </c>
      <c r="T924" s="18">
        <v>1.82</v>
      </c>
      <c r="U924" s="18">
        <f t="shared" si="169"/>
        <v>9103.64</v>
      </c>
      <c r="V924" s="24">
        <f t="shared" si="182"/>
        <v>223.6766585</v>
      </c>
      <c r="W924" s="3">
        <f t="shared" si="155"/>
        <v>0</v>
      </c>
      <c r="X924" s="3">
        <f t="shared" si="156"/>
        <v>0</v>
      </c>
      <c r="Y924" s="3">
        <f t="shared" si="157"/>
        <v>0</v>
      </c>
      <c r="Z924" s="25">
        <f t="shared" si="184"/>
        <v>0</v>
      </c>
      <c r="AA924" s="26">
        <f>VLOOKUP(S924,CPI!$A$2:$F$71,6,0)</f>
        <v>1.382720845</v>
      </c>
      <c r="AB924" s="27">
        <f t="shared" si="171"/>
        <v>12587.7928</v>
      </c>
      <c r="AC924" s="27">
        <f t="shared" si="183"/>
        <v>309.2823783</v>
      </c>
      <c r="AD924" s="6" t="s">
        <v>42</v>
      </c>
      <c r="AE924" s="6"/>
      <c r="AF924" s="130"/>
      <c r="AG924" s="130"/>
      <c r="AH924" s="130"/>
      <c r="AI924" s="130"/>
      <c r="AJ924" s="33"/>
      <c r="AK924" s="33"/>
      <c r="AL924" s="33"/>
      <c r="AM924" s="206"/>
      <c r="AN924" s="206"/>
      <c r="AO924" s="206"/>
      <c r="AP924" s="206"/>
      <c r="AQ924" s="206"/>
    </row>
    <row r="925" ht="15.75" customHeight="1">
      <c r="A925" s="14">
        <v>8184.0</v>
      </c>
      <c r="B925" s="15" t="s">
        <v>1693</v>
      </c>
      <c r="C925" s="15" t="s">
        <v>1704</v>
      </c>
      <c r="D925" s="15" t="s">
        <v>1710</v>
      </c>
      <c r="E925" s="15" t="s">
        <v>1710</v>
      </c>
      <c r="F925" s="17">
        <v>2014.0</v>
      </c>
      <c r="G925" s="17">
        <v>2019.0</v>
      </c>
      <c r="H925" s="17">
        <v>0.0</v>
      </c>
      <c r="I925" s="18">
        <v>29.9</v>
      </c>
      <c r="J925" s="19">
        <f t="shared" si="185"/>
        <v>0</v>
      </c>
      <c r="K925" s="20">
        <v>0.0</v>
      </c>
      <c r="L925" s="21">
        <v>0.0</v>
      </c>
      <c r="M925" s="21">
        <v>0.0</v>
      </c>
      <c r="N925" s="18">
        <v>6.0</v>
      </c>
      <c r="O925" s="17"/>
      <c r="P925" s="22" t="s">
        <v>36</v>
      </c>
      <c r="Q925" s="23">
        <v>3330.0</v>
      </c>
      <c r="R925" s="15" t="s">
        <v>37</v>
      </c>
      <c r="S925" s="18">
        <v>2013.0</v>
      </c>
      <c r="T925" s="18">
        <v>1.82</v>
      </c>
      <c r="U925" s="18">
        <f t="shared" si="169"/>
        <v>6060.6</v>
      </c>
      <c r="V925" s="24">
        <f t="shared" si="182"/>
        <v>202.6956522</v>
      </c>
      <c r="W925" s="3">
        <f t="shared" si="155"/>
        <v>0</v>
      </c>
      <c r="X925" s="3">
        <f t="shared" si="156"/>
        <v>0</v>
      </c>
      <c r="Y925" s="3">
        <f t="shared" si="157"/>
        <v>0</v>
      </c>
      <c r="Z925" s="25">
        <f t="shared" si="184"/>
        <v>0</v>
      </c>
      <c r="AA925" s="26">
        <f>VLOOKUP(S925,CPI!$A$2:$F$71,6,0)</f>
        <v>1.382720845</v>
      </c>
      <c r="AB925" s="27">
        <f t="shared" si="171"/>
        <v>8380.117956</v>
      </c>
      <c r="AC925" s="27">
        <f t="shared" si="183"/>
        <v>280.2715035</v>
      </c>
      <c r="AD925" s="36" t="s">
        <v>36</v>
      </c>
      <c r="AE925" s="37" t="s">
        <v>1711</v>
      </c>
      <c r="AF925" s="130"/>
      <c r="AG925" s="130"/>
      <c r="AH925" s="130"/>
      <c r="AI925" s="130"/>
      <c r="AJ925" s="33"/>
      <c r="AK925" s="33"/>
      <c r="AL925" s="33"/>
      <c r="AM925" s="206"/>
      <c r="AN925" s="206"/>
      <c r="AO925" s="206"/>
      <c r="AP925" s="206"/>
      <c r="AQ925" s="206"/>
    </row>
    <row r="926" ht="15.75" customHeight="1">
      <c r="A926" s="14">
        <v>8176.0</v>
      </c>
      <c r="B926" s="15" t="s">
        <v>1693</v>
      </c>
      <c r="C926" s="15" t="s">
        <v>1704</v>
      </c>
      <c r="D926" s="15" t="s">
        <v>1712</v>
      </c>
      <c r="E926" s="15" t="s">
        <v>1712</v>
      </c>
      <c r="F926" s="17">
        <v>2014.0</v>
      </c>
      <c r="G926" s="17">
        <v>2020.0</v>
      </c>
      <c r="H926" s="17">
        <v>0.0</v>
      </c>
      <c r="I926" s="18">
        <v>25.3</v>
      </c>
      <c r="J926" s="19">
        <f t="shared" si="185"/>
        <v>0</v>
      </c>
      <c r="K926" s="20">
        <v>0.0</v>
      </c>
      <c r="L926" s="21">
        <v>0.0</v>
      </c>
      <c r="M926" s="21">
        <v>0.0</v>
      </c>
      <c r="N926" s="18">
        <v>13.0</v>
      </c>
      <c r="O926" s="17"/>
      <c r="P926" s="22" t="s">
        <v>36</v>
      </c>
      <c r="Q926" s="23">
        <v>2880.0</v>
      </c>
      <c r="R926" s="15" t="s">
        <v>37</v>
      </c>
      <c r="S926" s="18">
        <v>2013.0</v>
      </c>
      <c r="T926" s="18">
        <v>1.82</v>
      </c>
      <c r="U926" s="18">
        <f t="shared" si="169"/>
        <v>5241.6</v>
      </c>
      <c r="V926" s="24">
        <f t="shared" si="182"/>
        <v>207.1778656</v>
      </c>
      <c r="W926" s="3">
        <f t="shared" si="155"/>
        <v>0</v>
      </c>
      <c r="X926" s="3">
        <f t="shared" si="156"/>
        <v>0</v>
      </c>
      <c r="Y926" s="3">
        <f t="shared" si="157"/>
        <v>0</v>
      </c>
      <c r="Z926" s="25">
        <f t="shared" si="184"/>
        <v>0</v>
      </c>
      <c r="AA926" s="26">
        <f>VLOOKUP(S926,CPI!$A$2:$F$71,6,0)</f>
        <v>1.382720845</v>
      </c>
      <c r="AB926" s="27">
        <f t="shared" si="171"/>
        <v>7247.669584</v>
      </c>
      <c r="AC926" s="27">
        <f t="shared" si="183"/>
        <v>286.4691535</v>
      </c>
      <c r="AD926" s="6" t="s">
        <v>42</v>
      </c>
      <c r="AE926" s="6"/>
      <c r="AF926" s="130"/>
      <c r="AG926" s="130"/>
      <c r="AH926" s="130"/>
      <c r="AI926" s="130"/>
      <c r="AJ926" s="33"/>
      <c r="AK926" s="33"/>
      <c r="AL926" s="33"/>
      <c r="AM926" s="206"/>
      <c r="AN926" s="206"/>
      <c r="AO926" s="206"/>
      <c r="AP926" s="206"/>
      <c r="AQ926" s="206"/>
    </row>
    <row r="927" ht="15.75" customHeight="1">
      <c r="A927" s="14">
        <v>8178.0</v>
      </c>
      <c r="B927" s="15" t="s">
        <v>1693</v>
      </c>
      <c r="C927" s="15" t="s">
        <v>1704</v>
      </c>
      <c r="D927" s="15" t="s">
        <v>1713</v>
      </c>
      <c r="E927" s="15" t="s">
        <v>1713</v>
      </c>
      <c r="F927" s="17">
        <v>2014.0</v>
      </c>
      <c r="G927" s="17">
        <v>2020.0</v>
      </c>
      <c r="H927" s="17">
        <v>0.0</v>
      </c>
      <c r="I927" s="18">
        <v>29.6</v>
      </c>
      <c r="J927" s="19">
        <f t="shared" si="185"/>
        <v>0</v>
      </c>
      <c r="K927" s="20">
        <v>0.0</v>
      </c>
      <c r="L927" s="21">
        <v>0.0</v>
      </c>
      <c r="M927" s="21">
        <v>0.0</v>
      </c>
      <c r="N927" s="18">
        <v>8.0</v>
      </c>
      <c r="O927" s="17"/>
      <c r="P927" s="22" t="s">
        <v>36</v>
      </c>
      <c r="Q927" s="23">
        <v>2270.0</v>
      </c>
      <c r="R927" s="15" t="s">
        <v>37</v>
      </c>
      <c r="S927" s="18">
        <v>2013.0</v>
      </c>
      <c r="T927" s="18">
        <v>1.82</v>
      </c>
      <c r="U927" s="18">
        <f t="shared" si="169"/>
        <v>4131.4</v>
      </c>
      <c r="V927" s="24">
        <f t="shared" si="182"/>
        <v>139.5743243</v>
      </c>
      <c r="W927" s="3">
        <f t="shared" si="155"/>
        <v>0</v>
      </c>
      <c r="X927" s="3">
        <f t="shared" si="156"/>
        <v>0</v>
      </c>
      <c r="Y927" s="3">
        <f t="shared" si="157"/>
        <v>0</v>
      </c>
      <c r="Z927" s="25">
        <f t="shared" si="184"/>
        <v>0</v>
      </c>
      <c r="AA927" s="26">
        <f>VLOOKUP(S927,CPI!$A$2:$F$71,6,0)</f>
        <v>1.382720845</v>
      </c>
      <c r="AB927" s="27">
        <f t="shared" si="171"/>
        <v>5712.572901</v>
      </c>
      <c r="AC927" s="27">
        <f t="shared" si="183"/>
        <v>192.9923277</v>
      </c>
      <c r="AD927" s="36" t="s">
        <v>36</v>
      </c>
      <c r="AE927" s="37" t="s">
        <v>1711</v>
      </c>
      <c r="AF927" s="130"/>
      <c r="AG927" s="130"/>
      <c r="AH927" s="130"/>
      <c r="AI927" s="130"/>
      <c r="AJ927" s="33"/>
      <c r="AK927" s="33"/>
      <c r="AL927" s="33"/>
      <c r="AM927" s="206"/>
      <c r="AN927" s="206"/>
      <c r="AO927" s="206"/>
      <c r="AP927" s="206"/>
      <c r="AQ927" s="206"/>
    </row>
    <row r="928" ht="15.75" customHeight="1">
      <c r="A928" s="61">
        <v>9804.0</v>
      </c>
      <c r="B928" s="6" t="s">
        <v>1714</v>
      </c>
      <c r="C928" s="6" t="s">
        <v>1715</v>
      </c>
      <c r="D928" s="6" t="s">
        <v>1716</v>
      </c>
      <c r="E928" s="6" t="s">
        <v>1716</v>
      </c>
      <c r="F928" s="3">
        <v>2018.0</v>
      </c>
      <c r="G928" s="3">
        <v>2026.0</v>
      </c>
      <c r="H928" s="3">
        <v>1.0</v>
      </c>
      <c r="I928" s="3">
        <v>8.0</v>
      </c>
      <c r="J928" s="39">
        <v>0.75</v>
      </c>
      <c r="K928" s="20">
        <v>6.0</v>
      </c>
      <c r="L928" s="40">
        <v>0.0</v>
      </c>
      <c r="M928" s="40">
        <v>0.0</v>
      </c>
      <c r="N928" s="3">
        <v>3.0</v>
      </c>
      <c r="O928" s="3"/>
      <c r="P928" s="6" t="s">
        <v>60</v>
      </c>
      <c r="Q928" s="41">
        <v>20000.0</v>
      </c>
      <c r="R928" s="6" t="s">
        <v>1717</v>
      </c>
      <c r="S928" s="3">
        <v>2009.0</v>
      </c>
      <c r="T928" s="3">
        <v>0.112</v>
      </c>
      <c r="U928" s="3">
        <f t="shared" si="169"/>
        <v>2240</v>
      </c>
      <c r="V928" s="24">
        <f t="shared" si="182"/>
        <v>280</v>
      </c>
      <c r="W928" s="3">
        <f t="shared" si="155"/>
        <v>1</v>
      </c>
      <c r="X928" s="3">
        <f t="shared" si="156"/>
        <v>8</v>
      </c>
      <c r="Y928" s="3">
        <f t="shared" si="157"/>
        <v>6</v>
      </c>
      <c r="Z928" s="25">
        <f t="shared" si="184"/>
        <v>0</v>
      </c>
      <c r="AA928" s="26">
        <f>VLOOKUP(S928,CPI!$A$2:$F$71,6,0)</f>
        <v>1.501440311</v>
      </c>
      <c r="AB928" s="27">
        <f t="shared" si="171"/>
        <v>3363.226297</v>
      </c>
      <c r="AC928" s="27">
        <f t="shared" si="183"/>
        <v>420.4032871</v>
      </c>
      <c r="AD928" s="6" t="s">
        <v>60</v>
      </c>
      <c r="AE928" s="37" t="s">
        <v>1718</v>
      </c>
      <c r="AF928" s="130"/>
      <c r="AG928" s="130"/>
      <c r="AH928" s="130"/>
      <c r="AI928" s="130"/>
      <c r="AJ928" s="33"/>
      <c r="AK928" s="33"/>
      <c r="AL928" s="33"/>
      <c r="AM928" s="206"/>
      <c r="AN928" s="206"/>
      <c r="AO928" s="206"/>
      <c r="AP928" s="206"/>
      <c r="AQ928" s="206"/>
    </row>
    <row r="929" ht="15.75" customHeight="1">
      <c r="A929" s="38">
        <v>7225.0</v>
      </c>
      <c r="B929" s="26" t="s">
        <v>1714</v>
      </c>
      <c r="C929" s="26" t="s">
        <v>1719</v>
      </c>
      <c r="D929" s="26" t="s">
        <v>1720</v>
      </c>
      <c r="E929" s="26" t="s">
        <v>1720</v>
      </c>
      <c r="F929" s="25">
        <v>2005.0</v>
      </c>
      <c r="G929" s="25">
        <v>2010.0</v>
      </c>
      <c r="H929" s="25">
        <v>1.0</v>
      </c>
      <c r="I929" s="25">
        <v>17.0</v>
      </c>
      <c r="J929" s="50">
        <v>0.35</v>
      </c>
      <c r="K929" s="25">
        <v>6.0</v>
      </c>
      <c r="L929" s="51">
        <v>0.0</v>
      </c>
      <c r="M929" s="51">
        <v>0.0</v>
      </c>
      <c r="N929" s="25">
        <v>3.0</v>
      </c>
      <c r="O929" s="25"/>
      <c r="P929" s="26" t="s">
        <v>36</v>
      </c>
      <c r="Q929" s="52">
        <v>8450.0</v>
      </c>
      <c r="R929" s="26" t="s">
        <v>1717</v>
      </c>
      <c r="S929" s="25">
        <v>2001.0</v>
      </c>
      <c r="T929" s="25">
        <v>0.106</v>
      </c>
      <c r="U929" s="25">
        <f t="shared" si="169"/>
        <v>895.7</v>
      </c>
      <c r="V929" s="24">
        <f t="shared" si="182"/>
        <v>52.68823529</v>
      </c>
      <c r="W929" s="3">
        <f t="shared" si="155"/>
        <v>1</v>
      </c>
      <c r="X929" s="3">
        <f t="shared" si="156"/>
        <v>17</v>
      </c>
      <c r="Y929" s="3">
        <f t="shared" si="157"/>
        <v>6</v>
      </c>
      <c r="Z929" s="25">
        <f t="shared" si="184"/>
        <v>0</v>
      </c>
      <c r="AA929" s="26">
        <f>VLOOKUP(S929,CPI!$A$2:$F$71,6,0)</f>
        <v>1.818828346</v>
      </c>
      <c r="AB929" s="27">
        <f t="shared" si="171"/>
        <v>1629.124549</v>
      </c>
      <c r="AC929" s="27">
        <f t="shared" si="183"/>
        <v>95.83085583</v>
      </c>
      <c r="AD929" s="26" t="s">
        <v>36</v>
      </c>
      <c r="AE929" s="53" t="s">
        <v>1721</v>
      </c>
      <c r="AF929" s="130"/>
      <c r="AG929" s="130"/>
      <c r="AH929" s="130"/>
      <c r="AI929" s="130"/>
      <c r="AJ929" s="33"/>
      <c r="AK929" s="33"/>
      <c r="AL929" s="33"/>
      <c r="AM929" s="206"/>
      <c r="AN929" s="206"/>
      <c r="AO929" s="206"/>
      <c r="AP929" s="206"/>
      <c r="AQ929" s="206"/>
    </row>
    <row r="930" ht="15.75" customHeight="1">
      <c r="A930" s="38">
        <v>7224.0</v>
      </c>
      <c r="B930" s="26" t="s">
        <v>1714</v>
      </c>
      <c r="C930" s="26" t="s">
        <v>1722</v>
      </c>
      <c r="D930" s="26" t="s">
        <v>1723</v>
      </c>
      <c r="E930" s="26" t="s">
        <v>1723</v>
      </c>
      <c r="F930" s="25">
        <v>2007.0</v>
      </c>
      <c r="G930" s="25">
        <v>2017.0</v>
      </c>
      <c r="H930" s="25">
        <v>1.0</v>
      </c>
      <c r="I930" s="25">
        <v>7.4</v>
      </c>
      <c r="J930" s="50">
        <v>0.81</v>
      </c>
      <c r="K930" s="25">
        <v>6.0</v>
      </c>
      <c r="L930" s="51">
        <v>0.0</v>
      </c>
      <c r="M930" s="51">
        <v>0.0</v>
      </c>
      <c r="N930" s="25">
        <v>2.0</v>
      </c>
      <c r="O930" s="58">
        <v>200.0</v>
      </c>
      <c r="P930" s="26" t="s">
        <v>60</v>
      </c>
      <c r="Q930" s="52">
        <v>16800.0</v>
      </c>
      <c r="R930" s="26" t="s">
        <v>1717</v>
      </c>
      <c r="S930" s="25">
        <v>2007.0</v>
      </c>
      <c r="T930" s="25">
        <v>0.1125</v>
      </c>
      <c r="U930" s="25">
        <f t="shared" si="169"/>
        <v>1890</v>
      </c>
      <c r="V930" s="24">
        <f t="shared" si="182"/>
        <v>255.4054054</v>
      </c>
      <c r="W930" s="3">
        <f t="shared" si="155"/>
        <v>1</v>
      </c>
      <c r="X930" s="3">
        <f t="shared" si="156"/>
        <v>7.4</v>
      </c>
      <c r="Y930" s="3">
        <f t="shared" si="157"/>
        <v>6</v>
      </c>
      <c r="Z930" s="25">
        <f t="shared" si="184"/>
        <v>0</v>
      </c>
      <c r="AA930" s="26">
        <f>VLOOKUP(S930,CPI!$A$2:$F$71,6,0)</f>
        <v>1.553541974</v>
      </c>
      <c r="AB930" s="27">
        <f t="shared" si="171"/>
        <v>2936.194331</v>
      </c>
      <c r="AC930" s="27">
        <f t="shared" si="183"/>
        <v>396.7830177</v>
      </c>
      <c r="AD930" s="26" t="s">
        <v>60</v>
      </c>
      <c r="AE930" s="53" t="s">
        <v>1724</v>
      </c>
      <c r="AF930" s="130"/>
      <c r="AG930" s="130"/>
      <c r="AH930" s="130"/>
      <c r="AI930" s="130"/>
      <c r="AJ930" s="33"/>
      <c r="AK930" s="33"/>
      <c r="AL930" s="33"/>
      <c r="AM930" s="206"/>
      <c r="AN930" s="206"/>
      <c r="AO930" s="206"/>
      <c r="AP930" s="206"/>
      <c r="AQ930" s="206"/>
    </row>
    <row r="931" ht="15.75" customHeight="1">
      <c r="A931" s="38">
        <v>7219.0</v>
      </c>
      <c r="B931" s="26" t="s">
        <v>1714</v>
      </c>
      <c r="C931" s="26" t="s">
        <v>1722</v>
      </c>
      <c r="D931" s="63" t="s">
        <v>153</v>
      </c>
      <c r="E931" s="26" t="s">
        <v>1725</v>
      </c>
      <c r="F931" s="25">
        <v>2020.0</v>
      </c>
      <c r="G931" s="25">
        <v>2026.0</v>
      </c>
      <c r="H931" s="25">
        <v>0.0</v>
      </c>
      <c r="I931" s="25">
        <v>3.3</v>
      </c>
      <c r="J931" s="50">
        <v>1.0</v>
      </c>
      <c r="K931" s="25">
        <v>3.3</v>
      </c>
      <c r="L931" s="51">
        <v>0.0</v>
      </c>
      <c r="M931" s="51">
        <v>0.0</v>
      </c>
      <c r="N931" s="25">
        <v>2.0</v>
      </c>
      <c r="O931" s="58">
        <v>140.0</v>
      </c>
      <c r="P931" s="26" t="s">
        <v>60</v>
      </c>
      <c r="Q931" s="55">
        <v>5286.0</v>
      </c>
      <c r="R931" s="26" t="s">
        <v>1717</v>
      </c>
      <c r="S931" s="58">
        <v>2016.0</v>
      </c>
      <c r="T931" s="58">
        <v>0.113</v>
      </c>
      <c r="U931" s="25">
        <f t="shared" si="169"/>
        <v>597.318</v>
      </c>
      <c r="V931" s="24">
        <f t="shared" si="182"/>
        <v>181.0054545</v>
      </c>
      <c r="W931" s="3">
        <f t="shared" si="155"/>
        <v>1</v>
      </c>
      <c r="X931" s="3">
        <f t="shared" si="156"/>
        <v>3.3</v>
      </c>
      <c r="Y931" s="3">
        <f t="shared" si="157"/>
        <v>3.3</v>
      </c>
      <c r="Z931" s="25">
        <f t="shared" si="184"/>
        <v>0</v>
      </c>
      <c r="AA931" s="26">
        <f>VLOOKUP(S931,CPI!$A$2:$F$71,6,0)</f>
        <v>1.342104605</v>
      </c>
      <c r="AB931" s="27">
        <f t="shared" si="171"/>
        <v>801.6632386</v>
      </c>
      <c r="AC931" s="27">
        <f t="shared" si="183"/>
        <v>242.9282541</v>
      </c>
      <c r="AD931" s="26" t="s">
        <v>60</v>
      </c>
      <c r="AE931" s="53" t="s">
        <v>1726</v>
      </c>
      <c r="AF931" s="130"/>
      <c r="AG931" s="130"/>
      <c r="AH931" s="130"/>
      <c r="AI931" s="130"/>
      <c r="AJ931" s="33"/>
      <c r="AK931" s="33"/>
      <c r="AL931" s="33"/>
      <c r="AM931" s="206"/>
      <c r="AN931" s="206"/>
      <c r="AO931" s="206"/>
      <c r="AP931" s="206"/>
      <c r="AQ931" s="206"/>
    </row>
    <row r="932" ht="15.75" customHeight="1">
      <c r="A932" s="38">
        <v>7217.0</v>
      </c>
      <c r="B932" s="26" t="s">
        <v>1714</v>
      </c>
      <c r="C932" s="26" t="s">
        <v>1722</v>
      </c>
      <c r="D932" s="63" t="s">
        <v>127</v>
      </c>
      <c r="E932" s="26" t="s">
        <v>1727</v>
      </c>
      <c r="F932" s="25">
        <v>2020.0</v>
      </c>
      <c r="G932" s="25">
        <v>2030.0</v>
      </c>
      <c r="H932" s="25">
        <v>0.0</v>
      </c>
      <c r="I932" s="25">
        <v>4.1</v>
      </c>
      <c r="J932" s="50">
        <v>1.0</v>
      </c>
      <c r="K932" s="25">
        <v>4.1</v>
      </c>
      <c r="L932" s="51">
        <v>0.0</v>
      </c>
      <c r="M932" s="51">
        <v>0.0</v>
      </c>
      <c r="N932" s="25">
        <v>2.0</v>
      </c>
      <c r="O932" s="58">
        <v>140.0</v>
      </c>
      <c r="P932" s="26" t="s">
        <v>60</v>
      </c>
      <c r="Q932" s="55">
        <v>5643.0</v>
      </c>
      <c r="R932" s="26" t="s">
        <v>1717</v>
      </c>
      <c r="S932" s="58">
        <v>2016.0</v>
      </c>
      <c r="T932" s="58">
        <v>0.113</v>
      </c>
      <c r="U932" s="25">
        <f t="shared" si="169"/>
        <v>637.659</v>
      </c>
      <c r="V932" s="24">
        <f t="shared" si="182"/>
        <v>155.5265854</v>
      </c>
      <c r="W932" s="3">
        <f t="shared" si="155"/>
        <v>1</v>
      </c>
      <c r="X932" s="3">
        <f t="shared" si="156"/>
        <v>4.1</v>
      </c>
      <c r="Y932" s="3">
        <f t="shared" si="157"/>
        <v>4.1</v>
      </c>
      <c r="Z932" s="25">
        <f t="shared" si="184"/>
        <v>0</v>
      </c>
      <c r="AA932" s="26">
        <f>VLOOKUP(S932,CPI!$A$2:$F$71,6,0)</f>
        <v>1.342104605</v>
      </c>
      <c r="AB932" s="27">
        <f t="shared" si="171"/>
        <v>855.8050805</v>
      </c>
      <c r="AC932" s="27">
        <f t="shared" si="183"/>
        <v>208.7329465</v>
      </c>
      <c r="AD932" s="26" t="s">
        <v>60</v>
      </c>
      <c r="AE932" s="53" t="s">
        <v>1726</v>
      </c>
      <c r="AF932" s="130"/>
      <c r="AG932" s="130"/>
      <c r="AH932" s="130"/>
      <c r="AI932" s="130"/>
      <c r="AJ932" s="33"/>
      <c r="AK932" s="33"/>
      <c r="AL932" s="33"/>
      <c r="AM932" s="206"/>
      <c r="AN932" s="206"/>
      <c r="AO932" s="206"/>
      <c r="AP932" s="206"/>
      <c r="AQ932" s="206"/>
    </row>
    <row r="933" ht="15.75" customHeight="1">
      <c r="A933" s="38">
        <v>7218.0</v>
      </c>
      <c r="B933" s="26" t="s">
        <v>1714</v>
      </c>
      <c r="C933" s="26" t="s">
        <v>1722</v>
      </c>
      <c r="D933" s="63" t="s">
        <v>153</v>
      </c>
      <c r="E933" s="26" t="s">
        <v>1728</v>
      </c>
      <c r="F933" s="25">
        <v>2020.0</v>
      </c>
      <c r="G933" s="25">
        <v>2030.0</v>
      </c>
      <c r="H933" s="25">
        <v>0.0</v>
      </c>
      <c r="I933" s="25">
        <v>11.5</v>
      </c>
      <c r="J933" s="50">
        <v>1.0</v>
      </c>
      <c r="K933" s="25">
        <v>11.5</v>
      </c>
      <c r="L933" s="51">
        <v>0.0</v>
      </c>
      <c r="M933" s="51">
        <v>0.0</v>
      </c>
      <c r="N933" s="25">
        <v>6.0</v>
      </c>
      <c r="O933" s="58">
        <v>140.0</v>
      </c>
      <c r="P933" s="26" t="s">
        <v>60</v>
      </c>
      <c r="Q933" s="55">
        <v>20884.0</v>
      </c>
      <c r="R933" s="26" t="s">
        <v>1717</v>
      </c>
      <c r="S933" s="58">
        <v>2016.0</v>
      </c>
      <c r="T933" s="58">
        <v>0.113</v>
      </c>
      <c r="U933" s="25">
        <f t="shared" si="169"/>
        <v>2359.892</v>
      </c>
      <c r="V933" s="24">
        <f t="shared" si="182"/>
        <v>205.208</v>
      </c>
      <c r="W933" s="3">
        <f t="shared" si="155"/>
        <v>1</v>
      </c>
      <c r="X933" s="3">
        <f t="shared" si="156"/>
        <v>11.5</v>
      </c>
      <c r="Y933" s="3">
        <f t="shared" si="157"/>
        <v>11.5</v>
      </c>
      <c r="Z933" s="25">
        <f t="shared" si="184"/>
        <v>0</v>
      </c>
      <c r="AA933" s="26">
        <f>VLOOKUP(S933,CPI!$A$2:$F$71,6,0)</f>
        <v>1.342104605</v>
      </c>
      <c r="AB933" s="27">
        <f t="shared" si="171"/>
        <v>3167.221921</v>
      </c>
      <c r="AC933" s="27">
        <f t="shared" si="183"/>
        <v>275.4106018</v>
      </c>
      <c r="AD933" s="26" t="s">
        <v>60</v>
      </c>
      <c r="AE933" s="53" t="s">
        <v>1726</v>
      </c>
      <c r="AF933" s="130"/>
      <c r="AG933" s="130"/>
      <c r="AH933" s="130"/>
      <c r="AI933" s="130"/>
      <c r="AJ933" s="33"/>
      <c r="AK933" s="33"/>
      <c r="AL933" s="33"/>
      <c r="AM933" s="206"/>
      <c r="AN933" s="206"/>
      <c r="AO933" s="206"/>
      <c r="AP933" s="206"/>
      <c r="AQ933" s="206"/>
    </row>
    <row r="934" ht="15.75" customHeight="1">
      <c r="A934" s="38"/>
      <c r="B934" s="63" t="s">
        <v>1714</v>
      </c>
      <c r="C934" s="26" t="s">
        <v>1722</v>
      </c>
      <c r="D934" s="63" t="s">
        <v>1729</v>
      </c>
      <c r="E934" s="63" t="s">
        <v>1729</v>
      </c>
      <c r="F934" s="58">
        <v>2025.0</v>
      </c>
      <c r="G934" s="58">
        <v>2034.0</v>
      </c>
      <c r="H934" s="58">
        <v>0.0</v>
      </c>
      <c r="I934" s="58">
        <v>7.8</v>
      </c>
      <c r="J934" s="59">
        <v>1.0</v>
      </c>
      <c r="K934" s="58">
        <v>7.8</v>
      </c>
      <c r="L934" s="58">
        <v>0.0</v>
      </c>
      <c r="M934" s="58">
        <v>0.0</v>
      </c>
      <c r="N934" s="58">
        <v>6.0</v>
      </c>
      <c r="O934" s="58">
        <v>75.0</v>
      </c>
      <c r="P934" s="63" t="s">
        <v>60</v>
      </c>
      <c r="Q934" s="55"/>
      <c r="R934" s="26"/>
      <c r="S934" s="58"/>
      <c r="T934" s="58"/>
      <c r="U934" s="25"/>
      <c r="V934" s="24"/>
      <c r="W934" s="3"/>
      <c r="X934" s="3"/>
      <c r="Y934" s="3"/>
      <c r="Z934" s="25"/>
      <c r="AA934" s="26" t="str">
        <f>VLOOKUP(S934,CPI!$A$2:$F$71,6,0)</f>
        <v>#N/A</v>
      </c>
      <c r="AB934" s="27"/>
      <c r="AC934" s="27"/>
      <c r="AD934" s="26"/>
      <c r="AE934" s="335"/>
      <c r="AF934" s="130"/>
      <c r="AG934" s="130"/>
      <c r="AH934" s="130"/>
      <c r="AI934" s="130"/>
      <c r="AJ934" s="33"/>
      <c r="AK934" s="33"/>
      <c r="AL934" s="33"/>
      <c r="AM934" s="206"/>
      <c r="AN934" s="206"/>
      <c r="AO934" s="206"/>
      <c r="AP934" s="206"/>
      <c r="AQ934" s="206"/>
    </row>
    <row r="935" ht="15.75" customHeight="1">
      <c r="A935" s="7"/>
      <c r="B935" s="115" t="s">
        <v>1730</v>
      </c>
      <c r="C935" s="115" t="s">
        <v>1731</v>
      </c>
      <c r="D935" s="115" t="s">
        <v>1732</v>
      </c>
      <c r="E935" s="115" t="s">
        <v>1733</v>
      </c>
      <c r="F935" s="82">
        <v>2002.0</v>
      </c>
      <c r="G935" s="115">
        <v>2012.0</v>
      </c>
      <c r="H935" s="82">
        <v>0.0</v>
      </c>
      <c r="I935" s="82">
        <v>35.5</v>
      </c>
      <c r="J935" s="247">
        <v>1.0</v>
      </c>
      <c r="K935" s="82">
        <v>35.5</v>
      </c>
      <c r="L935" s="114"/>
      <c r="M935" s="114"/>
      <c r="N935" s="82">
        <v>30.0</v>
      </c>
      <c r="O935" s="82">
        <v>70.0</v>
      </c>
      <c r="P935" s="115" t="s">
        <v>74</v>
      </c>
      <c r="Q935" s="248">
        <v>8000.0</v>
      </c>
      <c r="R935" s="115" t="s">
        <v>1734</v>
      </c>
      <c r="S935" s="115">
        <v>2007.0</v>
      </c>
      <c r="T935" s="115">
        <v>1.16</v>
      </c>
      <c r="U935" s="118">
        <f t="shared" ref="U935:U1001" si="186">Q935*T935</f>
        <v>9280</v>
      </c>
      <c r="V935" s="24">
        <f t="shared" ref="V935:V1094" si="187">U935/I935</f>
        <v>261.4084507</v>
      </c>
      <c r="W935" s="3">
        <f t="shared" ref="W935:W1094" si="188">IF(OR(B935 = "BG",B935 = "GR",B935 = "IT",B935 = "ES",B935 = "PT",B935 = "TR", B935 = "KR",B935 = "SE",B935 = "CH",B935 = "NO",B935 = "DK",B935 = "FI"), 1, 0)</f>
        <v>0</v>
      </c>
      <c r="X935" s="3">
        <f t="shared" ref="X935:X1094" si="189">W935*I935</f>
        <v>0</v>
      </c>
      <c r="Y935" s="3">
        <f t="shared" ref="Y935:Y1094" si="190">W935*K935</f>
        <v>0</v>
      </c>
      <c r="Z935" s="25">
        <f t="shared" ref="Z935:Z1027" si="191">IF(OR(B935 = "US",B935 = "CA",B935 = "UK",B935 = "NZ",B935 = "AU",B935 = "SG"), 1, 0)</f>
        <v>1</v>
      </c>
      <c r="AA935" s="26">
        <f>VLOOKUP(S935,CPI!$A$2:$F$71,6,0)</f>
        <v>1.553541974</v>
      </c>
      <c r="AB935" s="27">
        <f t="shared" ref="AB935:AB1094" si="192">U935*AA935</f>
        <v>14416.86952</v>
      </c>
      <c r="AC935" s="27">
        <f t="shared" ref="AC935:AC1094" si="193">V935*AA935</f>
        <v>406.1090006</v>
      </c>
      <c r="AD935" s="115" t="s">
        <v>42</v>
      </c>
      <c r="AE935" s="252" t="s">
        <v>1735</v>
      </c>
      <c r="AF935" s="344"/>
      <c r="AG935" s="114"/>
      <c r="AH935" s="114"/>
      <c r="AI935" s="114"/>
      <c r="AJ935" s="206"/>
      <c r="AK935" s="206"/>
      <c r="AL935" s="206"/>
      <c r="AM935" s="206"/>
      <c r="AN935" s="206"/>
      <c r="AO935" s="206"/>
      <c r="AP935" s="206"/>
      <c r="AQ935" s="206"/>
    </row>
    <row r="936" ht="15.75" customHeight="1">
      <c r="A936" s="38">
        <v>7281.0</v>
      </c>
      <c r="B936" s="26" t="s">
        <v>1730</v>
      </c>
      <c r="C936" s="26" t="s">
        <v>1731</v>
      </c>
      <c r="D936" s="26" t="s">
        <v>1736</v>
      </c>
      <c r="E936" s="26" t="s">
        <v>1736</v>
      </c>
      <c r="F936" s="25">
        <v>2008.0</v>
      </c>
      <c r="G936" s="25">
        <v>2017.0</v>
      </c>
      <c r="H936" s="25">
        <v>0.0</v>
      </c>
      <c r="I936" s="25">
        <v>41.9</v>
      </c>
      <c r="J936" s="50">
        <v>1.0</v>
      </c>
      <c r="K936" s="25">
        <v>41.9</v>
      </c>
      <c r="L936" s="51">
        <v>0.0</v>
      </c>
      <c r="M936" s="51">
        <v>0.0</v>
      </c>
      <c r="N936" s="25">
        <v>34.0</v>
      </c>
      <c r="O936" s="25"/>
      <c r="P936" s="26" t="s">
        <v>74</v>
      </c>
      <c r="Q936" s="52">
        <v>21000.0</v>
      </c>
      <c r="R936" s="26" t="s">
        <v>1734</v>
      </c>
      <c r="S936" s="25">
        <v>2012.0</v>
      </c>
      <c r="T936" s="25">
        <v>1.18</v>
      </c>
      <c r="U936" s="25">
        <f t="shared" si="186"/>
        <v>24780</v>
      </c>
      <c r="V936" s="24">
        <f t="shared" si="187"/>
        <v>591.4081146</v>
      </c>
      <c r="W936" s="3">
        <f t="shared" si="188"/>
        <v>0</v>
      </c>
      <c r="X936" s="3">
        <f t="shared" si="189"/>
        <v>0</v>
      </c>
      <c r="Y936" s="3">
        <f t="shared" si="190"/>
        <v>0</v>
      </c>
      <c r="Z936" s="25">
        <f t="shared" si="191"/>
        <v>1</v>
      </c>
      <c r="AA936" s="26">
        <f>VLOOKUP(S936,CPI!$A$2:$F$71,6,0)</f>
        <v>1.402974381</v>
      </c>
      <c r="AB936" s="27">
        <f t="shared" si="192"/>
        <v>34765.70516</v>
      </c>
      <c r="AC936" s="27">
        <f t="shared" si="193"/>
        <v>829.7304334</v>
      </c>
      <c r="AD936" s="26" t="s">
        <v>60</v>
      </c>
      <c r="AE936" s="57" t="s">
        <v>1737</v>
      </c>
      <c r="AF936" s="130"/>
      <c r="AG936" s="130"/>
      <c r="AH936" s="130"/>
      <c r="AI936" s="130"/>
      <c r="AJ936" s="33"/>
      <c r="AK936" s="33"/>
      <c r="AL936" s="33"/>
      <c r="AM936" s="206"/>
      <c r="AN936" s="206"/>
      <c r="AO936" s="206"/>
      <c r="AP936" s="206"/>
      <c r="AQ936" s="206"/>
    </row>
    <row r="937">
      <c r="A937" s="38">
        <v>7282.0</v>
      </c>
      <c r="B937" s="26" t="s">
        <v>1730</v>
      </c>
      <c r="C937" s="26" t="s">
        <v>1731</v>
      </c>
      <c r="D937" s="26" t="s">
        <v>1738</v>
      </c>
      <c r="E937" s="26" t="s">
        <v>1738</v>
      </c>
      <c r="F937" s="25">
        <v>2014.0</v>
      </c>
      <c r="G937" s="25">
        <v>2024.0</v>
      </c>
      <c r="H937" s="25">
        <v>0.0</v>
      </c>
      <c r="I937" s="25">
        <v>43.0</v>
      </c>
      <c r="J937" s="50">
        <v>1.0</v>
      </c>
      <c r="K937" s="25">
        <v>43.0</v>
      </c>
      <c r="L937" s="51">
        <v>0.0</v>
      </c>
      <c r="M937" s="51">
        <v>0.0</v>
      </c>
      <c r="N937" s="25">
        <v>32.0</v>
      </c>
      <c r="O937" s="25"/>
      <c r="P937" s="26" t="s">
        <v>42</v>
      </c>
      <c r="Q937" s="52">
        <v>25000.0</v>
      </c>
      <c r="R937" s="26" t="s">
        <v>1734</v>
      </c>
      <c r="S937" s="25">
        <v>2019.0</v>
      </c>
      <c r="T937" s="25">
        <v>1.13</v>
      </c>
      <c r="U937" s="25">
        <f t="shared" si="186"/>
        <v>28250</v>
      </c>
      <c r="V937" s="24">
        <f t="shared" si="187"/>
        <v>656.9767442</v>
      </c>
      <c r="W937" s="3">
        <f t="shared" si="188"/>
        <v>0</v>
      </c>
      <c r="X937" s="3">
        <f t="shared" si="189"/>
        <v>0</v>
      </c>
      <c r="Y937" s="3">
        <f t="shared" si="190"/>
        <v>0</v>
      </c>
      <c r="Z937" s="25">
        <f t="shared" si="191"/>
        <v>1</v>
      </c>
      <c r="AA937" s="26">
        <f>VLOOKUP(S937,CPI!$A$2:$F$71,6,0)</f>
        <v>1.259947899</v>
      </c>
      <c r="AB937" s="27">
        <f t="shared" si="192"/>
        <v>35593.52815</v>
      </c>
      <c r="AC937" s="27">
        <f t="shared" si="193"/>
        <v>827.7564685</v>
      </c>
      <c r="AD937" s="26" t="s">
        <v>42</v>
      </c>
      <c r="AE937" s="57" t="s">
        <v>1739</v>
      </c>
      <c r="AF937" s="130"/>
      <c r="AG937" s="130"/>
      <c r="AH937" s="130"/>
      <c r="AI937" s="130"/>
      <c r="AJ937" s="33"/>
      <c r="AK937" s="33"/>
      <c r="AL937" s="33"/>
      <c r="AM937" s="206"/>
      <c r="AN937" s="206"/>
      <c r="AO937" s="206"/>
      <c r="AP937" s="206"/>
      <c r="AQ937" s="206"/>
    </row>
    <row r="938">
      <c r="A938" s="38">
        <v>7329.0</v>
      </c>
      <c r="B938" s="26" t="s">
        <v>1730</v>
      </c>
      <c r="C938" s="26" t="s">
        <v>1731</v>
      </c>
      <c r="D938" s="1" t="s">
        <v>1732</v>
      </c>
      <c r="E938" s="26" t="s">
        <v>1740</v>
      </c>
      <c r="F938" s="25">
        <v>2017.0</v>
      </c>
      <c r="G938" s="25">
        <v>2025.0</v>
      </c>
      <c r="H938" s="25">
        <v>0.0</v>
      </c>
      <c r="I938" s="25">
        <v>4.0</v>
      </c>
      <c r="J938" s="50">
        <v>1.0</v>
      </c>
      <c r="K938" s="25">
        <v>4.0</v>
      </c>
      <c r="L938" s="51">
        <v>0.0</v>
      </c>
      <c r="M938" s="51">
        <v>0.0</v>
      </c>
      <c r="N938" s="25">
        <v>3.0</v>
      </c>
      <c r="O938" s="25"/>
      <c r="P938" s="26" t="s">
        <v>42</v>
      </c>
      <c r="Q938" s="52">
        <v>4850.0</v>
      </c>
      <c r="R938" s="26" t="s">
        <v>1734</v>
      </c>
      <c r="S938" s="25">
        <v>2021.0</v>
      </c>
      <c r="T938" s="25">
        <v>1.13</v>
      </c>
      <c r="U938" s="25">
        <f t="shared" si="186"/>
        <v>5480.5</v>
      </c>
      <c r="V938" s="24">
        <f t="shared" si="187"/>
        <v>1370.125</v>
      </c>
      <c r="W938" s="3">
        <f t="shared" si="188"/>
        <v>0</v>
      </c>
      <c r="X938" s="3">
        <f t="shared" si="189"/>
        <v>0</v>
      </c>
      <c r="Y938" s="3">
        <f t="shared" si="190"/>
        <v>0</v>
      </c>
      <c r="Z938" s="25">
        <f t="shared" si="191"/>
        <v>1</v>
      </c>
      <c r="AA938" s="26">
        <f>VLOOKUP(S938,CPI!$A$2:$F$71,6,0)</f>
        <v>1.188745987</v>
      </c>
      <c r="AB938" s="27">
        <f t="shared" si="192"/>
        <v>6514.92238</v>
      </c>
      <c r="AC938" s="27">
        <f t="shared" si="193"/>
        <v>1628.730595</v>
      </c>
      <c r="AD938" s="26" t="s">
        <v>42</v>
      </c>
      <c r="AE938" s="53" t="s">
        <v>1741</v>
      </c>
      <c r="AF938" s="130"/>
      <c r="AG938" s="130"/>
      <c r="AH938" s="130"/>
      <c r="AI938" s="130"/>
      <c r="AJ938" s="33"/>
      <c r="AK938" s="33"/>
      <c r="AL938" s="33"/>
      <c r="AM938" s="206"/>
      <c r="AN938" s="206"/>
      <c r="AO938" s="206"/>
      <c r="AP938" s="206"/>
      <c r="AQ938" s="206"/>
    </row>
    <row r="939">
      <c r="A939" s="38">
        <v>7480.0</v>
      </c>
      <c r="B939" s="26" t="s">
        <v>1742</v>
      </c>
      <c r="C939" s="26" t="s">
        <v>1743</v>
      </c>
      <c r="D939" s="1" t="s">
        <v>1744</v>
      </c>
      <c r="E939" s="26" t="s">
        <v>1745</v>
      </c>
      <c r="F939" s="25">
        <v>2012.0</v>
      </c>
      <c r="G939" s="25">
        <v>2018.0</v>
      </c>
      <c r="H939" s="25">
        <v>0.0</v>
      </c>
      <c r="I939" s="25">
        <v>12.8</v>
      </c>
      <c r="J939" s="50">
        <v>0.0</v>
      </c>
      <c r="K939" s="25">
        <v>0.0</v>
      </c>
      <c r="L939" s="51">
        <v>0.0</v>
      </c>
      <c r="M939" s="51">
        <v>0.0</v>
      </c>
      <c r="N939" s="25">
        <v>9.0</v>
      </c>
      <c r="O939" s="25"/>
      <c r="P939" s="26" t="s">
        <v>60</v>
      </c>
      <c r="Q939" s="52">
        <v>21904.0</v>
      </c>
      <c r="R939" s="26" t="s">
        <v>1746</v>
      </c>
      <c r="S939" s="25">
        <v>2007.0</v>
      </c>
      <c r="T939" s="25">
        <v>0.087</v>
      </c>
      <c r="U939" s="25">
        <f t="shared" si="186"/>
        <v>1905.648</v>
      </c>
      <c r="V939" s="24">
        <f t="shared" si="187"/>
        <v>148.87875</v>
      </c>
      <c r="W939" s="3">
        <f t="shared" si="188"/>
        <v>0</v>
      </c>
      <c r="X939" s="3">
        <f t="shared" si="189"/>
        <v>0</v>
      </c>
      <c r="Y939" s="3">
        <f t="shared" si="190"/>
        <v>0</v>
      </c>
      <c r="Z939" s="25">
        <f t="shared" si="191"/>
        <v>0</v>
      </c>
      <c r="AA939" s="26">
        <f>VLOOKUP(S939,CPI!$A$2:$F$71,6,0)</f>
        <v>1.553541974</v>
      </c>
      <c r="AB939" s="27">
        <f t="shared" si="192"/>
        <v>2960.504156</v>
      </c>
      <c r="AC939" s="27">
        <f t="shared" si="193"/>
        <v>231.2893872</v>
      </c>
      <c r="AD939" s="26" t="s">
        <v>60</v>
      </c>
      <c r="AE939" s="53" t="s">
        <v>1747</v>
      </c>
      <c r="AF939" s="130"/>
      <c r="AG939" s="130"/>
      <c r="AH939" s="130"/>
      <c r="AI939" s="130"/>
      <c r="AJ939" s="33"/>
      <c r="AK939" s="33"/>
      <c r="AL939" s="33"/>
      <c r="AM939" s="206"/>
      <c r="AN939" s="206"/>
      <c r="AO939" s="206"/>
      <c r="AP939" s="206"/>
      <c r="AQ939" s="206"/>
    </row>
    <row r="940">
      <c r="A940" s="38">
        <v>7482.0</v>
      </c>
      <c r="B940" s="26" t="s">
        <v>1742</v>
      </c>
      <c r="C940" s="26" t="s">
        <v>1743</v>
      </c>
      <c r="D940" s="1" t="s">
        <v>153</v>
      </c>
      <c r="E940" s="26" t="s">
        <v>1748</v>
      </c>
      <c r="F940" s="25">
        <v>2011.0</v>
      </c>
      <c r="G940" s="25">
        <v>2020.0</v>
      </c>
      <c r="H940" s="25">
        <v>0.0</v>
      </c>
      <c r="I940" s="25">
        <v>26.9</v>
      </c>
      <c r="J940" s="50">
        <v>0.2</v>
      </c>
      <c r="K940" s="25">
        <v>5.4</v>
      </c>
      <c r="L940" s="51">
        <v>0.0</v>
      </c>
      <c r="M940" s="51">
        <v>0.0</v>
      </c>
      <c r="N940" s="25">
        <v>19.0</v>
      </c>
      <c r="O940" s="25"/>
      <c r="P940" s="26" t="s">
        <v>60</v>
      </c>
      <c r="Q940" s="52">
        <v>71687.0</v>
      </c>
      <c r="R940" s="26" t="s">
        <v>1746</v>
      </c>
      <c r="S940" s="25">
        <v>2015.0</v>
      </c>
      <c r="T940" s="25">
        <v>0.081</v>
      </c>
      <c r="U940" s="25">
        <f t="shared" si="186"/>
        <v>5806.647</v>
      </c>
      <c r="V940" s="24">
        <f t="shared" si="187"/>
        <v>215.8604833</v>
      </c>
      <c r="W940" s="3">
        <f t="shared" si="188"/>
        <v>0</v>
      </c>
      <c r="X940" s="3">
        <f t="shared" si="189"/>
        <v>0</v>
      </c>
      <c r="Y940" s="3">
        <f t="shared" si="190"/>
        <v>0</v>
      </c>
      <c r="Z940" s="25">
        <f t="shared" si="191"/>
        <v>0</v>
      </c>
      <c r="AA940" s="26">
        <f>VLOOKUP(S940,CPI!$A$2:$F$71,6,0)</f>
        <v>1.359035428</v>
      </c>
      <c r="AB940" s="27">
        <f t="shared" si="192"/>
        <v>7891.43899</v>
      </c>
      <c r="AC940" s="27">
        <f t="shared" si="193"/>
        <v>293.3620442</v>
      </c>
      <c r="AD940" s="26" t="s">
        <v>60</v>
      </c>
      <c r="AE940" s="251" t="s">
        <v>1749</v>
      </c>
      <c r="AF940" s="130"/>
      <c r="AG940" s="130"/>
      <c r="AH940" s="130"/>
      <c r="AI940" s="130"/>
      <c r="AJ940" s="33"/>
      <c r="AK940" s="33"/>
      <c r="AL940" s="33"/>
      <c r="AM940" s="206"/>
      <c r="AN940" s="206"/>
      <c r="AO940" s="206"/>
      <c r="AP940" s="206"/>
      <c r="AQ940" s="206"/>
    </row>
    <row r="941">
      <c r="A941" s="38">
        <v>7481.0</v>
      </c>
      <c r="B941" s="26" t="s">
        <v>1742</v>
      </c>
      <c r="C941" s="26" t="s">
        <v>1743</v>
      </c>
      <c r="D941" s="1" t="s">
        <v>1744</v>
      </c>
      <c r="E941" s="26" t="s">
        <v>1750</v>
      </c>
      <c r="F941" s="25">
        <v>2015.0</v>
      </c>
      <c r="G941" s="25">
        <v>2020.0</v>
      </c>
      <c r="H941" s="25">
        <v>0.0</v>
      </c>
      <c r="I941" s="25">
        <v>19.0</v>
      </c>
      <c r="J941" s="50">
        <v>0.0</v>
      </c>
      <c r="K941" s="25">
        <v>0.0</v>
      </c>
      <c r="L941" s="51">
        <v>0.0</v>
      </c>
      <c r="M941" s="51">
        <v>0.0</v>
      </c>
      <c r="N941" s="25">
        <v>16.0</v>
      </c>
      <c r="O941" s="25"/>
      <c r="P941" s="26" t="s">
        <v>60</v>
      </c>
      <c r="Q941" s="52">
        <v>58862.0</v>
      </c>
      <c r="R941" s="26" t="s">
        <v>1746</v>
      </c>
      <c r="S941" s="25">
        <v>2017.0</v>
      </c>
      <c r="T941" s="25">
        <v>0.081</v>
      </c>
      <c r="U941" s="25">
        <f t="shared" si="186"/>
        <v>4767.822</v>
      </c>
      <c r="V941" s="24">
        <f t="shared" si="187"/>
        <v>250.938</v>
      </c>
      <c r="W941" s="3">
        <f t="shared" si="188"/>
        <v>0</v>
      </c>
      <c r="X941" s="3">
        <f t="shared" si="189"/>
        <v>0</v>
      </c>
      <c r="Y941" s="3">
        <f t="shared" si="190"/>
        <v>0</v>
      </c>
      <c r="Z941" s="25">
        <f t="shared" si="191"/>
        <v>0</v>
      </c>
      <c r="AA941" s="26">
        <f>VLOOKUP(S941,CPI!$A$2:$F$71,6,0)</f>
        <v>1.314109416</v>
      </c>
      <c r="AB941" s="27">
        <f t="shared" si="192"/>
        <v>6265.439783</v>
      </c>
      <c r="AC941" s="27">
        <f t="shared" si="193"/>
        <v>329.7599886</v>
      </c>
      <c r="AD941" s="26" t="s">
        <v>60</v>
      </c>
      <c r="AE941" s="53" t="s">
        <v>1747</v>
      </c>
      <c r="AF941" s="130"/>
      <c r="AG941" s="130"/>
      <c r="AH941" s="130"/>
      <c r="AI941" s="130"/>
      <c r="AJ941" s="33"/>
      <c r="AK941" s="33"/>
      <c r="AL941" s="33"/>
      <c r="AM941" s="206"/>
      <c r="AN941" s="206"/>
      <c r="AO941" s="206"/>
      <c r="AP941" s="206"/>
      <c r="AQ941" s="206"/>
    </row>
    <row r="942">
      <c r="A942" s="38">
        <v>7488.0</v>
      </c>
      <c r="B942" s="26" t="s">
        <v>1742</v>
      </c>
      <c r="C942" s="26" t="s">
        <v>1743</v>
      </c>
      <c r="D942" s="26" t="s">
        <v>1751</v>
      </c>
      <c r="E942" s="26" t="s">
        <v>1751</v>
      </c>
      <c r="F942" s="25">
        <v>2017.0</v>
      </c>
      <c r="G942" s="25">
        <v>2022.0</v>
      </c>
      <c r="H942" s="25">
        <v>0.0</v>
      </c>
      <c r="I942" s="25">
        <v>34.5</v>
      </c>
      <c r="J942" s="50">
        <v>0.0</v>
      </c>
      <c r="K942" s="25">
        <v>0.0</v>
      </c>
      <c r="L942" s="51">
        <v>0.0</v>
      </c>
      <c r="M942" s="51">
        <v>0.0</v>
      </c>
      <c r="N942" s="25">
        <v>30.0</v>
      </c>
      <c r="O942" s="25"/>
      <c r="P942" s="26" t="s">
        <v>60</v>
      </c>
      <c r="Q942" s="52">
        <v>56725.0</v>
      </c>
      <c r="R942" s="26" t="s">
        <v>1746</v>
      </c>
      <c r="S942" s="25">
        <v>2019.0</v>
      </c>
      <c r="T942" s="25">
        <v>0.081</v>
      </c>
      <c r="U942" s="25">
        <f t="shared" si="186"/>
        <v>4594.725</v>
      </c>
      <c r="V942" s="24">
        <f t="shared" si="187"/>
        <v>133.1804348</v>
      </c>
      <c r="W942" s="3">
        <f t="shared" si="188"/>
        <v>0</v>
      </c>
      <c r="X942" s="3">
        <f t="shared" si="189"/>
        <v>0</v>
      </c>
      <c r="Y942" s="3">
        <f t="shared" si="190"/>
        <v>0</v>
      </c>
      <c r="Z942" s="25">
        <f t="shared" si="191"/>
        <v>0</v>
      </c>
      <c r="AA942" s="26">
        <f>VLOOKUP(S942,CPI!$A$2:$F$71,6,0)</f>
        <v>1.259947899</v>
      </c>
      <c r="AB942" s="27">
        <f t="shared" si="192"/>
        <v>5789.11411</v>
      </c>
      <c r="AC942" s="27">
        <f t="shared" si="193"/>
        <v>167.800409</v>
      </c>
      <c r="AD942" s="26" t="s">
        <v>60</v>
      </c>
      <c r="AE942" s="57" t="s">
        <v>1752</v>
      </c>
      <c r="AF942" s="130"/>
      <c r="AG942" s="130"/>
      <c r="AH942" s="130"/>
      <c r="AI942" s="130"/>
      <c r="AJ942" s="33"/>
      <c r="AK942" s="33"/>
      <c r="AL942" s="33"/>
      <c r="AM942" s="206"/>
      <c r="AN942" s="206"/>
      <c r="AO942" s="206"/>
      <c r="AP942" s="206"/>
      <c r="AQ942" s="206"/>
    </row>
    <row r="943">
      <c r="A943" s="38">
        <v>7489.0</v>
      </c>
      <c r="B943" s="26" t="s">
        <v>1742</v>
      </c>
      <c r="C943" s="26" t="s">
        <v>1743</v>
      </c>
      <c r="D943" s="26" t="s">
        <v>1729</v>
      </c>
      <c r="E943" s="26" t="s">
        <v>1729</v>
      </c>
      <c r="F943" s="25">
        <v>2017.0</v>
      </c>
      <c r="G943" s="25">
        <v>2022.0</v>
      </c>
      <c r="H943" s="25">
        <v>0.0</v>
      </c>
      <c r="I943" s="25">
        <v>30.4</v>
      </c>
      <c r="J943" s="50">
        <v>0.0</v>
      </c>
      <c r="K943" s="25">
        <v>0.0</v>
      </c>
      <c r="L943" s="51">
        <v>0.0</v>
      </c>
      <c r="M943" s="51">
        <v>0.0</v>
      </c>
      <c r="N943" s="25">
        <v>23.0</v>
      </c>
      <c r="O943" s="25"/>
      <c r="P943" s="26" t="s">
        <v>74</v>
      </c>
      <c r="Q943" s="52">
        <v>54768.0</v>
      </c>
      <c r="R943" s="26" t="s">
        <v>1746</v>
      </c>
      <c r="S943" s="25">
        <v>2019.0</v>
      </c>
      <c r="T943" s="25">
        <v>0.081</v>
      </c>
      <c r="U943" s="25">
        <f t="shared" si="186"/>
        <v>4436.208</v>
      </c>
      <c r="V943" s="24">
        <f t="shared" si="187"/>
        <v>145.9278947</v>
      </c>
      <c r="W943" s="3">
        <f t="shared" si="188"/>
        <v>0</v>
      </c>
      <c r="X943" s="3">
        <f t="shared" si="189"/>
        <v>0</v>
      </c>
      <c r="Y943" s="3">
        <f t="shared" si="190"/>
        <v>0</v>
      </c>
      <c r="Z943" s="25">
        <f t="shared" si="191"/>
        <v>0</v>
      </c>
      <c r="AA943" s="26">
        <f>VLOOKUP(S943,CPI!$A$2:$F$71,6,0)</f>
        <v>1.259947899</v>
      </c>
      <c r="AB943" s="27">
        <f t="shared" si="192"/>
        <v>5589.390949</v>
      </c>
      <c r="AC943" s="27">
        <f t="shared" si="193"/>
        <v>183.8615444</v>
      </c>
      <c r="AD943" s="26" t="s">
        <v>60</v>
      </c>
      <c r="AE943" s="53" t="s">
        <v>1753</v>
      </c>
      <c r="AF943" s="130"/>
      <c r="AG943" s="130"/>
      <c r="AH943" s="130"/>
      <c r="AI943" s="130"/>
      <c r="AJ943" s="33"/>
      <c r="AK943" s="33"/>
      <c r="AL943" s="33"/>
      <c r="AM943" s="206"/>
      <c r="AN943" s="206"/>
      <c r="AO943" s="206"/>
      <c r="AP943" s="206"/>
      <c r="AQ943" s="206"/>
    </row>
    <row r="944">
      <c r="A944" s="38">
        <v>7490.0</v>
      </c>
      <c r="B944" s="26" t="s">
        <v>1742</v>
      </c>
      <c r="C944" s="26" t="s">
        <v>1743</v>
      </c>
      <c r="D944" s="26" t="s">
        <v>1536</v>
      </c>
      <c r="E944" s="26" t="s">
        <v>1536</v>
      </c>
      <c r="F944" s="25">
        <v>2017.0</v>
      </c>
      <c r="G944" s="25">
        <v>2025.0</v>
      </c>
      <c r="H944" s="25">
        <v>0.0</v>
      </c>
      <c r="I944" s="25">
        <v>35.9</v>
      </c>
      <c r="J944" s="50">
        <v>0.75</v>
      </c>
      <c r="K944" s="25">
        <v>27.0</v>
      </c>
      <c r="L944" s="51">
        <v>0.0</v>
      </c>
      <c r="M944" s="51">
        <v>0.0</v>
      </c>
      <c r="N944" s="25">
        <v>28.0</v>
      </c>
      <c r="O944" s="25"/>
      <c r="P944" s="26" t="s">
        <v>60</v>
      </c>
      <c r="Q944" s="52">
        <v>235320.0</v>
      </c>
      <c r="R944" s="26" t="s">
        <v>1746</v>
      </c>
      <c r="S944" s="25">
        <v>2021.0</v>
      </c>
      <c r="T944" s="25">
        <v>0.081</v>
      </c>
      <c r="U944" s="25">
        <f t="shared" si="186"/>
        <v>19060.92</v>
      </c>
      <c r="V944" s="24">
        <f t="shared" si="187"/>
        <v>530.9448468</v>
      </c>
      <c r="W944" s="3">
        <f t="shared" si="188"/>
        <v>0</v>
      </c>
      <c r="X944" s="3">
        <f t="shared" si="189"/>
        <v>0</v>
      </c>
      <c r="Y944" s="3">
        <f t="shared" si="190"/>
        <v>0</v>
      </c>
      <c r="Z944" s="25">
        <f t="shared" si="191"/>
        <v>0</v>
      </c>
      <c r="AA944" s="26">
        <f>VLOOKUP(S944,CPI!$A$2:$F$71,6,0)</f>
        <v>1.188745987</v>
      </c>
      <c r="AB944" s="27">
        <f t="shared" si="192"/>
        <v>22658.59215</v>
      </c>
      <c r="AC944" s="27">
        <f t="shared" si="193"/>
        <v>631.1585558</v>
      </c>
      <c r="AD944" s="26" t="s">
        <v>60</v>
      </c>
      <c r="AE944" s="53" t="s">
        <v>1754</v>
      </c>
      <c r="AF944" s="130"/>
      <c r="AG944" s="130"/>
      <c r="AH944" s="130"/>
      <c r="AI944" s="130"/>
      <c r="AJ944" s="33"/>
      <c r="AK944" s="33"/>
      <c r="AL944" s="33"/>
      <c r="AM944" s="206"/>
      <c r="AN944" s="206"/>
      <c r="AO944" s="206"/>
      <c r="AP944" s="206"/>
      <c r="AQ944" s="206"/>
    </row>
    <row r="945">
      <c r="A945" s="38">
        <v>7483.0</v>
      </c>
      <c r="B945" s="26" t="s">
        <v>1742</v>
      </c>
      <c r="C945" s="26" t="s">
        <v>1743</v>
      </c>
      <c r="D945" s="26" t="s">
        <v>1755</v>
      </c>
      <c r="E945" s="26" t="s">
        <v>1755</v>
      </c>
      <c r="F945" s="25">
        <v>2020.0</v>
      </c>
      <c r="G945" s="26"/>
      <c r="H945" s="25">
        <v>0.0</v>
      </c>
      <c r="I945" s="25">
        <v>22.1</v>
      </c>
      <c r="J945" s="50">
        <v>0.0</v>
      </c>
      <c r="K945" s="25">
        <v>0.0</v>
      </c>
      <c r="L945" s="51">
        <v>0.0</v>
      </c>
      <c r="M945" s="51">
        <v>0.0</v>
      </c>
      <c r="N945" s="25">
        <v>18.0</v>
      </c>
      <c r="O945" s="25"/>
      <c r="P945" s="26" t="s">
        <v>60</v>
      </c>
      <c r="Q945" s="52">
        <v>48386.0</v>
      </c>
      <c r="R945" s="26" t="s">
        <v>1746</v>
      </c>
      <c r="S945" s="25">
        <v>2020.0</v>
      </c>
      <c r="T945" s="25">
        <v>0.081</v>
      </c>
      <c r="U945" s="25">
        <f t="shared" si="186"/>
        <v>3919.266</v>
      </c>
      <c r="V945" s="24">
        <f t="shared" si="187"/>
        <v>177.3423529</v>
      </c>
      <c r="W945" s="3">
        <f t="shared" si="188"/>
        <v>0</v>
      </c>
      <c r="X945" s="3">
        <f t="shared" si="189"/>
        <v>0</v>
      </c>
      <c r="Y945" s="3">
        <f t="shared" si="190"/>
        <v>0</v>
      </c>
      <c r="Z945" s="25">
        <f t="shared" si="191"/>
        <v>0</v>
      </c>
      <c r="AA945" s="26">
        <f>VLOOKUP(S945,CPI!$A$2:$F$71,6,0)</f>
        <v>1.244593545</v>
      </c>
      <c r="AB945" s="27">
        <f t="shared" si="192"/>
        <v>4877.893165</v>
      </c>
      <c r="AC945" s="27">
        <f t="shared" si="193"/>
        <v>220.7191477</v>
      </c>
      <c r="AD945" s="26" t="s">
        <v>60</v>
      </c>
      <c r="AE945" s="53" t="s">
        <v>1756</v>
      </c>
      <c r="AF945" s="130"/>
      <c r="AG945" s="130"/>
      <c r="AH945" s="130"/>
      <c r="AI945" s="130"/>
      <c r="AJ945" s="33"/>
      <c r="AK945" s="33"/>
      <c r="AL945" s="33"/>
      <c r="AM945" s="206"/>
      <c r="AN945" s="206"/>
      <c r="AO945" s="206"/>
      <c r="AP945" s="206"/>
      <c r="AQ945" s="206"/>
    </row>
    <row r="946">
      <c r="A946" s="38">
        <v>7491.0</v>
      </c>
      <c r="B946" s="26" t="s">
        <v>1742</v>
      </c>
      <c r="C946" s="26" t="s">
        <v>1757</v>
      </c>
      <c r="D946" s="26" t="s">
        <v>40</v>
      </c>
      <c r="E946" s="26" t="s">
        <v>40</v>
      </c>
      <c r="F946" s="25">
        <v>2022.0</v>
      </c>
      <c r="G946" s="25">
        <v>2027.0</v>
      </c>
      <c r="H946" s="25">
        <v>0.0</v>
      </c>
      <c r="I946" s="25">
        <v>15.8</v>
      </c>
      <c r="J946" s="50">
        <v>0.46</v>
      </c>
      <c r="K946" s="25">
        <v>7.2</v>
      </c>
      <c r="L946" s="51">
        <v>0.0</v>
      </c>
      <c r="M946" s="51">
        <v>0.0</v>
      </c>
      <c r="N946" s="25">
        <v>12.0</v>
      </c>
      <c r="O946" s="25"/>
      <c r="P946" s="26" t="s">
        <v>59</v>
      </c>
      <c r="Q946" s="52">
        <v>27000.0</v>
      </c>
      <c r="R946" s="26" t="s">
        <v>1746</v>
      </c>
      <c r="S946" s="25">
        <v>2024.0</v>
      </c>
      <c r="T946" s="25">
        <v>0.081</v>
      </c>
      <c r="U946" s="25">
        <f t="shared" si="186"/>
        <v>2187</v>
      </c>
      <c r="V946" s="24">
        <f t="shared" si="187"/>
        <v>138.4177215</v>
      </c>
      <c r="W946" s="3">
        <f t="shared" si="188"/>
        <v>0</v>
      </c>
      <c r="X946" s="3">
        <f t="shared" si="189"/>
        <v>0</v>
      </c>
      <c r="Y946" s="3">
        <f t="shared" si="190"/>
        <v>0</v>
      </c>
      <c r="Z946" s="25">
        <f t="shared" si="191"/>
        <v>0</v>
      </c>
      <c r="AA946" s="26">
        <f>VLOOKUP(S946,CPI!$A$2:$F$71,6,0)</f>
        <v>1</v>
      </c>
      <c r="AB946" s="27">
        <f t="shared" si="192"/>
        <v>2187</v>
      </c>
      <c r="AC946" s="27">
        <f t="shared" si="193"/>
        <v>138.4177215</v>
      </c>
      <c r="AD946" s="26" t="s">
        <v>42</v>
      </c>
      <c r="AE946" s="57" t="s">
        <v>1758</v>
      </c>
      <c r="AF946" s="130"/>
      <c r="AG946" s="130"/>
      <c r="AH946" s="130"/>
      <c r="AI946" s="130"/>
      <c r="AJ946" s="33"/>
      <c r="AK946" s="33"/>
      <c r="AL946" s="33"/>
      <c r="AM946" s="206"/>
      <c r="AN946" s="206"/>
      <c r="AO946" s="206"/>
      <c r="AP946" s="206"/>
      <c r="AQ946" s="206"/>
    </row>
    <row r="947">
      <c r="A947" s="61">
        <v>9827.0</v>
      </c>
      <c r="B947" s="26" t="s">
        <v>1759</v>
      </c>
      <c r="C947" s="26" t="s">
        <v>1760</v>
      </c>
      <c r="D947" s="26" t="s">
        <v>1761</v>
      </c>
      <c r="E947" s="26" t="s">
        <v>1761</v>
      </c>
      <c r="F947" s="25">
        <v>1996.0</v>
      </c>
      <c r="G947" s="25">
        <v>2010.0</v>
      </c>
      <c r="H947" s="25">
        <v>0.0</v>
      </c>
      <c r="I947" s="25">
        <v>13.9</v>
      </c>
      <c r="J947" s="50">
        <v>0.25</v>
      </c>
      <c r="K947" s="25">
        <v>3.5</v>
      </c>
      <c r="L947" s="51">
        <v>0.0</v>
      </c>
      <c r="M947" s="51">
        <v>0.0</v>
      </c>
      <c r="N947" s="25">
        <v>13.0</v>
      </c>
      <c r="O947" s="25"/>
      <c r="P947" s="26" t="s">
        <v>74</v>
      </c>
      <c r="Q947" s="52">
        <v>534.0</v>
      </c>
      <c r="R947" s="26" t="s">
        <v>37</v>
      </c>
      <c r="S947" s="25">
        <v>2006.0</v>
      </c>
      <c r="T947" s="25">
        <v>2.0</v>
      </c>
      <c r="U947" s="25">
        <f t="shared" si="186"/>
        <v>1068</v>
      </c>
      <c r="V947" s="24">
        <f t="shared" si="187"/>
        <v>76.83453237</v>
      </c>
      <c r="W947" s="3">
        <f t="shared" si="188"/>
        <v>1</v>
      </c>
      <c r="X947" s="3">
        <f t="shared" si="189"/>
        <v>13.9</v>
      </c>
      <c r="Y947" s="3">
        <f t="shared" si="190"/>
        <v>3.5</v>
      </c>
      <c r="Z947" s="25">
        <f t="shared" si="191"/>
        <v>0</v>
      </c>
      <c r="AA947" s="26">
        <f>VLOOKUP(S947,CPI!$A$2:$F$71,6,0)</f>
        <v>1.597790179</v>
      </c>
      <c r="AB947" s="27">
        <f t="shared" si="192"/>
        <v>1706.439911</v>
      </c>
      <c r="AC947" s="27">
        <f t="shared" si="193"/>
        <v>122.7654612</v>
      </c>
      <c r="AD947" s="26" t="s">
        <v>42</v>
      </c>
      <c r="AE947" s="57" t="s">
        <v>1762</v>
      </c>
      <c r="AF947" s="130"/>
      <c r="AG947" s="130"/>
      <c r="AH947" s="130"/>
      <c r="AI947" s="130"/>
      <c r="AJ947" s="33"/>
      <c r="AK947" s="33"/>
      <c r="AL947" s="33"/>
      <c r="AM947" s="206"/>
      <c r="AN947" s="206"/>
      <c r="AO947" s="206"/>
      <c r="AP947" s="206"/>
      <c r="AQ947" s="206"/>
    </row>
    <row r="948">
      <c r="A948" s="38">
        <v>7633.0</v>
      </c>
      <c r="B948" s="6" t="s">
        <v>1759</v>
      </c>
      <c r="C948" s="6" t="s">
        <v>1763</v>
      </c>
      <c r="D948" s="6" t="s">
        <v>1764</v>
      </c>
      <c r="E948" s="6" t="s">
        <v>1764</v>
      </c>
      <c r="F948" s="6">
        <v>2003.0</v>
      </c>
      <c r="G948" s="6">
        <v>2017.0</v>
      </c>
      <c r="H948" s="6">
        <v>0.0</v>
      </c>
      <c r="I948" s="6">
        <v>9.22</v>
      </c>
      <c r="J948" s="345">
        <v>1.0</v>
      </c>
      <c r="K948" s="6">
        <v>9.22</v>
      </c>
      <c r="L948" s="346">
        <v>0.0</v>
      </c>
      <c r="M948" s="346">
        <v>0.0</v>
      </c>
      <c r="N948" s="6">
        <v>9.0</v>
      </c>
      <c r="O948" s="85"/>
      <c r="P948" s="36" t="s">
        <v>60</v>
      </c>
      <c r="Q948" s="347">
        <v>1000.0</v>
      </c>
      <c r="R948" s="6" t="s">
        <v>1765</v>
      </c>
      <c r="S948" s="6">
        <v>2010.0</v>
      </c>
      <c r="T948" s="6">
        <v>1.1</v>
      </c>
      <c r="U948" s="6">
        <f t="shared" si="186"/>
        <v>1100</v>
      </c>
      <c r="V948" s="24">
        <f t="shared" si="187"/>
        <v>119.3058568</v>
      </c>
      <c r="W948" s="3">
        <f t="shared" si="188"/>
        <v>1</v>
      </c>
      <c r="X948" s="3">
        <f t="shared" si="189"/>
        <v>9.22</v>
      </c>
      <c r="Y948" s="3">
        <f t="shared" si="190"/>
        <v>9.22</v>
      </c>
      <c r="Z948" s="25">
        <f t="shared" si="191"/>
        <v>0</v>
      </c>
      <c r="AA948" s="26">
        <f>VLOOKUP(S948,CPI!$A$2:$F$71,6,0)</f>
        <v>1.477209983</v>
      </c>
      <c r="AB948" s="27">
        <f t="shared" si="192"/>
        <v>1624.930981</v>
      </c>
      <c r="AC948" s="27">
        <f t="shared" si="193"/>
        <v>176.2398027</v>
      </c>
      <c r="AD948" s="36" t="s">
        <v>42</v>
      </c>
      <c r="AE948" s="182" t="s">
        <v>1766</v>
      </c>
      <c r="AF948" s="130"/>
      <c r="AG948" s="130"/>
      <c r="AH948" s="130"/>
      <c r="AI948" s="130"/>
      <c r="AJ948" s="33"/>
      <c r="AK948" s="33"/>
      <c r="AL948" s="33"/>
      <c r="AM948" s="206"/>
      <c r="AN948" s="206"/>
      <c r="AO948" s="206"/>
      <c r="AP948" s="206"/>
      <c r="AQ948" s="206"/>
    </row>
    <row r="949">
      <c r="A949" s="38">
        <v>7634.0</v>
      </c>
      <c r="B949" s="6" t="s">
        <v>1759</v>
      </c>
      <c r="C949" s="6" t="s">
        <v>1767</v>
      </c>
      <c r="D949" s="6" t="s">
        <v>1768</v>
      </c>
      <c r="E949" s="6" t="s">
        <v>1768</v>
      </c>
      <c r="F949" s="6">
        <v>1997.0</v>
      </c>
      <c r="G949" s="6">
        <v>2014.0</v>
      </c>
      <c r="H949" s="6">
        <v>0.0</v>
      </c>
      <c r="I949" s="6">
        <v>39.0</v>
      </c>
      <c r="J949" s="345">
        <v>0.1603</v>
      </c>
      <c r="K949" s="6">
        <v>6.25</v>
      </c>
      <c r="L949" s="346">
        <v>0.0</v>
      </c>
      <c r="M949" s="346">
        <v>0.0</v>
      </c>
      <c r="N949" s="6">
        <v>38.0</v>
      </c>
      <c r="O949" s="85"/>
      <c r="P949" s="36" t="s">
        <v>42</v>
      </c>
      <c r="Q949" s="347">
        <v>425.0</v>
      </c>
      <c r="R949" s="6" t="s">
        <v>52</v>
      </c>
      <c r="S949" s="6">
        <v>2006.0</v>
      </c>
      <c r="T949" s="6">
        <v>2.1</v>
      </c>
      <c r="U949" s="6">
        <f t="shared" si="186"/>
        <v>892.5</v>
      </c>
      <c r="V949" s="24">
        <f t="shared" si="187"/>
        <v>22.88461538</v>
      </c>
      <c r="W949" s="3">
        <f t="shared" si="188"/>
        <v>1</v>
      </c>
      <c r="X949" s="3">
        <f t="shared" si="189"/>
        <v>39</v>
      </c>
      <c r="Y949" s="3">
        <f t="shared" si="190"/>
        <v>6.25</v>
      </c>
      <c r="Z949" s="25">
        <f t="shared" si="191"/>
        <v>0</v>
      </c>
      <c r="AA949" s="26">
        <f>VLOOKUP(S949,CPI!$A$2:$F$71,6,0)</f>
        <v>1.597790179</v>
      </c>
      <c r="AB949" s="27">
        <f t="shared" si="192"/>
        <v>1426.027734</v>
      </c>
      <c r="AC949" s="27">
        <f t="shared" si="193"/>
        <v>36.5648137</v>
      </c>
      <c r="AD949" s="36" t="s">
        <v>42</v>
      </c>
      <c r="AE949" s="348" t="s">
        <v>1769</v>
      </c>
      <c r="AF949" s="130"/>
      <c r="AG949" s="130"/>
      <c r="AH949" s="130"/>
      <c r="AI949" s="130"/>
      <c r="AJ949" s="33"/>
      <c r="AK949" s="33"/>
      <c r="AL949" s="33"/>
      <c r="AM949" s="206"/>
      <c r="AN949" s="206"/>
      <c r="AO949" s="206"/>
      <c r="AP949" s="206"/>
      <c r="AQ949" s="206"/>
    </row>
    <row r="950">
      <c r="A950" s="38">
        <v>7616.0</v>
      </c>
      <c r="B950" s="221" t="s">
        <v>1759</v>
      </c>
      <c r="C950" s="221" t="s">
        <v>1770</v>
      </c>
      <c r="D950" s="36" t="s">
        <v>1764</v>
      </c>
      <c r="E950" s="221" t="s">
        <v>1771</v>
      </c>
      <c r="F950" s="227">
        <v>2005.0</v>
      </c>
      <c r="G950" s="227">
        <v>2012.0</v>
      </c>
      <c r="H950" s="227">
        <v>0.0</v>
      </c>
      <c r="I950" s="227">
        <v>21.7</v>
      </c>
      <c r="J950" s="228">
        <v>1.0</v>
      </c>
      <c r="K950" s="227">
        <v>21.7</v>
      </c>
      <c r="L950" s="229">
        <v>0.0</v>
      </c>
      <c r="M950" s="229">
        <v>0.0</v>
      </c>
      <c r="N950" s="227">
        <v>16.0</v>
      </c>
      <c r="O950" s="349">
        <v>180.0</v>
      </c>
      <c r="P950" s="221" t="s">
        <v>60</v>
      </c>
      <c r="Q950" s="350">
        <v>1299.0</v>
      </c>
      <c r="R950" s="221" t="s">
        <v>37</v>
      </c>
      <c r="S950" s="227">
        <v>2009.0</v>
      </c>
      <c r="T950" s="227">
        <v>1.7</v>
      </c>
      <c r="U950" s="227">
        <f t="shared" si="186"/>
        <v>2208.3</v>
      </c>
      <c r="V950" s="24">
        <f t="shared" si="187"/>
        <v>101.764977</v>
      </c>
      <c r="W950" s="3">
        <f t="shared" si="188"/>
        <v>1</v>
      </c>
      <c r="X950" s="3">
        <f t="shared" si="189"/>
        <v>21.7</v>
      </c>
      <c r="Y950" s="3">
        <f t="shared" si="190"/>
        <v>21.7</v>
      </c>
      <c r="Z950" s="25">
        <f t="shared" si="191"/>
        <v>0</v>
      </c>
      <c r="AA950" s="26">
        <f>VLOOKUP(S950,CPI!$A$2:$F$71,6,0)</f>
        <v>1.501440311</v>
      </c>
      <c r="AB950" s="27">
        <f t="shared" si="192"/>
        <v>3315.630639</v>
      </c>
      <c r="AC950" s="27">
        <f t="shared" si="193"/>
        <v>152.7940387</v>
      </c>
      <c r="AD950" s="221" t="s">
        <v>42</v>
      </c>
      <c r="AE950" s="351" t="s">
        <v>1772</v>
      </c>
      <c r="AF950" s="301"/>
      <c r="AG950" s="130"/>
      <c r="AH950" s="130"/>
      <c r="AI950" s="130"/>
      <c r="AJ950" s="33"/>
      <c r="AK950" s="33"/>
      <c r="AL950" s="33"/>
      <c r="AM950" s="206"/>
      <c r="AN950" s="206"/>
      <c r="AO950" s="206"/>
      <c r="AP950" s="206"/>
      <c r="AQ950" s="206"/>
    </row>
    <row r="951">
      <c r="A951" s="38">
        <v>7619.0</v>
      </c>
      <c r="B951" s="221" t="s">
        <v>1759</v>
      </c>
      <c r="C951" s="221" t="s">
        <v>1770</v>
      </c>
      <c r="D951" s="352" t="s">
        <v>1773</v>
      </c>
      <c r="E951" s="221" t="s">
        <v>1774</v>
      </c>
      <c r="F951" s="227">
        <v>2004.0</v>
      </c>
      <c r="G951" s="227">
        <v>2013.0</v>
      </c>
      <c r="H951" s="227">
        <v>1.0</v>
      </c>
      <c r="I951" s="227">
        <v>13.6</v>
      </c>
      <c r="J951" s="228">
        <v>1.0</v>
      </c>
      <c r="K951" s="227">
        <v>13.6</v>
      </c>
      <c r="L951" s="349">
        <v>0.0</v>
      </c>
      <c r="M951" s="349">
        <v>0.0</v>
      </c>
      <c r="N951" s="77">
        <v>4.0</v>
      </c>
      <c r="O951" s="349">
        <v>225.0</v>
      </c>
      <c r="P951" s="221" t="s">
        <v>60</v>
      </c>
      <c r="Q951" s="353">
        <v>1823.0</v>
      </c>
      <c r="R951" s="221" t="s">
        <v>37</v>
      </c>
      <c r="S951" s="227">
        <v>2009.0</v>
      </c>
      <c r="T951" s="227">
        <v>1.7</v>
      </c>
      <c r="U951" s="227">
        <f t="shared" si="186"/>
        <v>3099.1</v>
      </c>
      <c r="V951" s="24">
        <f t="shared" si="187"/>
        <v>227.875</v>
      </c>
      <c r="W951" s="3">
        <f t="shared" si="188"/>
        <v>1</v>
      </c>
      <c r="X951" s="3">
        <f t="shared" si="189"/>
        <v>13.6</v>
      </c>
      <c r="Y951" s="3">
        <f t="shared" si="190"/>
        <v>13.6</v>
      </c>
      <c r="Z951" s="25">
        <f t="shared" si="191"/>
        <v>0</v>
      </c>
      <c r="AA951" s="26">
        <f>VLOOKUP(S951,CPI!$A$2:$F$71,6,0)</f>
        <v>1.501440311</v>
      </c>
      <c r="AB951" s="27">
        <f t="shared" si="192"/>
        <v>4653.113668</v>
      </c>
      <c r="AC951" s="27">
        <f t="shared" si="193"/>
        <v>342.1407109</v>
      </c>
      <c r="AD951" s="221" t="s">
        <v>60</v>
      </c>
      <c r="AE951" s="72"/>
      <c r="AF951" s="130"/>
      <c r="AG951" s="130"/>
      <c r="AH951" s="130"/>
      <c r="AI951" s="130"/>
      <c r="AJ951" s="33"/>
      <c r="AK951" s="33"/>
      <c r="AL951" s="33"/>
      <c r="AM951" s="206"/>
      <c r="AN951" s="206"/>
      <c r="AO951" s="206"/>
      <c r="AP951" s="206"/>
      <c r="AQ951" s="206"/>
    </row>
    <row r="952">
      <c r="A952" s="38">
        <v>7611.0</v>
      </c>
      <c r="B952" s="221" t="s">
        <v>1759</v>
      </c>
      <c r="C952" s="221" t="s">
        <v>1770</v>
      </c>
      <c r="D952" s="36" t="s">
        <v>856</v>
      </c>
      <c r="E952" s="221" t="s">
        <v>1775</v>
      </c>
      <c r="F952" s="227">
        <v>2006.0</v>
      </c>
      <c r="G952" s="227">
        <v>2013.0</v>
      </c>
      <c r="H952" s="227">
        <v>0.0</v>
      </c>
      <c r="I952" s="227">
        <v>16.1</v>
      </c>
      <c r="J952" s="228">
        <v>1.0</v>
      </c>
      <c r="K952" s="227">
        <v>15.9</v>
      </c>
      <c r="L952" s="229">
        <v>0.0</v>
      </c>
      <c r="M952" s="229">
        <v>0.0</v>
      </c>
      <c r="N952" s="227">
        <v>11.0</v>
      </c>
      <c r="O952" s="349">
        <v>180.0</v>
      </c>
      <c r="P952" s="221" t="s">
        <v>42</v>
      </c>
      <c r="Q952" s="353">
        <v>1344.0</v>
      </c>
      <c r="R952" s="221" t="s">
        <v>37</v>
      </c>
      <c r="S952" s="227">
        <v>2010.0</v>
      </c>
      <c r="T952" s="227">
        <v>1.6</v>
      </c>
      <c r="U952" s="227">
        <f t="shared" si="186"/>
        <v>2150.4</v>
      </c>
      <c r="V952" s="24">
        <f t="shared" si="187"/>
        <v>133.5652174</v>
      </c>
      <c r="W952" s="3">
        <f t="shared" si="188"/>
        <v>1</v>
      </c>
      <c r="X952" s="3">
        <f t="shared" si="189"/>
        <v>16.1</v>
      </c>
      <c r="Y952" s="3">
        <f t="shared" si="190"/>
        <v>15.9</v>
      </c>
      <c r="Z952" s="25">
        <f t="shared" si="191"/>
        <v>0</v>
      </c>
      <c r="AA952" s="26">
        <f>VLOOKUP(S952,CPI!$A$2:$F$71,6,0)</f>
        <v>1.477209983</v>
      </c>
      <c r="AB952" s="27">
        <f t="shared" si="192"/>
        <v>3176.592347</v>
      </c>
      <c r="AC952" s="27">
        <f t="shared" si="193"/>
        <v>197.3038725</v>
      </c>
      <c r="AD952" s="221" t="s">
        <v>42</v>
      </c>
      <c r="AE952" s="354" t="s">
        <v>1776</v>
      </c>
      <c r="AF952" s="130"/>
      <c r="AG952" s="130"/>
      <c r="AH952" s="130"/>
      <c r="AI952" s="130"/>
      <c r="AJ952" s="33"/>
      <c r="AK952" s="33"/>
      <c r="AL952" s="33"/>
      <c r="AM952" s="206"/>
      <c r="AN952" s="206"/>
      <c r="AO952" s="206"/>
      <c r="AP952" s="206"/>
      <c r="AQ952" s="206"/>
    </row>
    <row r="953">
      <c r="A953" s="170">
        <v>9836.0</v>
      </c>
      <c r="B953" s="123" t="s">
        <v>1759</v>
      </c>
      <c r="C953" s="123" t="s">
        <v>1770</v>
      </c>
      <c r="D953" s="36" t="s">
        <v>866</v>
      </c>
      <c r="E953" s="123" t="s">
        <v>1777</v>
      </c>
      <c r="F953" s="75">
        <v>1987.0</v>
      </c>
      <c r="G953" s="75">
        <v>2014.0</v>
      </c>
      <c r="H953" s="75">
        <v>0.0</v>
      </c>
      <c r="I953" s="75">
        <v>26.6</v>
      </c>
      <c r="J953" s="124">
        <f t="shared" ref="J953:J955" si="194">K953/I953</f>
        <v>0.3646616541</v>
      </c>
      <c r="K953" s="75">
        <v>9.7</v>
      </c>
      <c r="L953" s="125">
        <v>0.0</v>
      </c>
      <c r="M953" s="125">
        <v>0.0</v>
      </c>
      <c r="N953" s="75">
        <v>23.0</v>
      </c>
      <c r="O953" s="152" t="s">
        <v>1778</v>
      </c>
      <c r="P953" s="123" t="s">
        <v>60</v>
      </c>
      <c r="Q953" s="157">
        <v>882.0</v>
      </c>
      <c r="R953" s="123" t="s">
        <v>37</v>
      </c>
      <c r="S953" s="75">
        <v>2000.0</v>
      </c>
      <c r="T953" s="75">
        <v>2.2</v>
      </c>
      <c r="U953" s="75">
        <f t="shared" si="186"/>
        <v>1940.4</v>
      </c>
      <c r="V953" s="24">
        <f t="shared" si="187"/>
        <v>72.94736842</v>
      </c>
      <c r="W953" s="3">
        <f t="shared" si="188"/>
        <v>1</v>
      </c>
      <c r="X953" s="3">
        <f t="shared" si="189"/>
        <v>26.6</v>
      </c>
      <c r="Y953" s="3">
        <f t="shared" si="190"/>
        <v>9.7</v>
      </c>
      <c r="Z953" s="25">
        <f t="shared" si="191"/>
        <v>0</v>
      </c>
      <c r="AA953" s="26">
        <f>VLOOKUP(S953,CPI!$A$2:$F$71,6,0)</f>
        <v>1.870583624</v>
      </c>
      <c r="AB953" s="27">
        <f t="shared" si="192"/>
        <v>3629.680463</v>
      </c>
      <c r="AC953" s="27">
        <f t="shared" si="193"/>
        <v>136.4541528</v>
      </c>
      <c r="AD953" s="26" t="s">
        <v>60</v>
      </c>
      <c r="AE953" s="235"/>
      <c r="AF953" s="130"/>
      <c r="AG953" s="130"/>
      <c r="AH953" s="130"/>
      <c r="AI953" s="130"/>
      <c r="AJ953" s="33"/>
      <c r="AK953" s="33"/>
      <c r="AL953" s="33"/>
      <c r="AM953" s="206"/>
      <c r="AN953" s="206"/>
      <c r="AO953" s="206"/>
      <c r="AP953" s="206"/>
      <c r="AQ953" s="206"/>
    </row>
    <row r="954">
      <c r="A954" s="38">
        <v>7610.0</v>
      </c>
      <c r="B954" s="34" t="s">
        <v>1759</v>
      </c>
      <c r="C954" s="221" t="s">
        <v>1770</v>
      </c>
      <c r="D954" s="221" t="s">
        <v>864</v>
      </c>
      <c r="E954" s="221" t="s">
        <v>864</v>
      </c>
      <c r="F954" s="227">
        <v>1992.0</v>
      </c>
      <c r="G954" s="227">
        <v>2014.0</v>
      </c>
      <c r="H954" s="227">
        <v>0.0</v>
      </c>
      <c r="I954" s="227">
        <v>23.5</v>
      </c>
      <c r="J954" s="228">
        <f t="shared" si="194"/>
        <v>0.914893617</v>
      </c>
      <c r="K954" s="227">
        <v>21.5</v>
      </c>
      <c r="L954" s="229">
        <v>0.0</v>
      </c>
      <c r="M954" s="229">
        <v>0.0</v>
      </c>
      <c r="N954" s="227">
        <v>17.0</v>
      </c>
      <c r="O954" s="349">
        <v>180.0</v>
      </c>
      <c r="P954" s="221" t="s">
        <v>60</v>
      </c>
      <c r="Q954" s="353">
        <v>2510.0</v>
      </c>
      <c r="R954" s="221" t="s">
        <v>37</v>
      </c>
      <c r="S954" s="227">
        <v>2003.0</v>
      </c>
      <c r="T954" s="227">
        <v>2.0</v>
      </c>
      <c r="U954" s="227">
        <f t="shared" si="186"/>
        <v>5020</v>
      </c>
      <c r="V954" s="24">
        <f t="shared" si="187"/>
        <v>213.6170213</v>
      </c>
      <c r="W954" s="3">
        <f t="shared" si="188"/>
        <v>1</v>
      </c>
      <c r="X954" s="3">
        <f t="shared" si="189"/>
        <v>23.5</v>
      </c>
      <c r="Y954" s="3">
        <f t="shared" si="190"/>
        <v>21.5</v>
      </c>
      <c r="Z954" s="25">
        <f t="shared" si="191"/>
        <v>0</v>
      </c>
      <c r="AA954" s="26">
        <f>VLOOKUP(S954,CPI!$A$2:$F$71,6,0)</f>
        <v>1.750622283</v>
      </c>
      <c r="AB954" s="27">
        <f t="shared" si="192"/>
        <v>8788.123859</v>
      </c>
      <c r="AC954" s="27">
        <f t="shared" si="193"/>
        <v>373.9627174</v>
      </c>
      <c r="AD954" s="355" t="s">
        <v>60</v>
      </c>
      <c r="AE954" s="356" t="s">
        <v>1779</v>
      </c>
      <c r="AF954" s="130"/>
      <c r="AG954" s="130"/>
      <c r="AH954" s="130"/>
      <c r="AI954" s="130"/>
      <c r="AJ954" s="33"/>
      <c r="AK954" s="33"/>
      <c r="AL954" s="33"/>
      <c r="AM954" s="206"/>
      <c r="AN954" s="206"/>
      <c r="AO954" s="206"/>
      <c r="AP954" s="206"/>
      <c r="AQ954" s="206"/>
    </row>
    <row r="955">
      <c r="A955" s="170">
        <v>9828.0</v>
      </c>
      <c r="B955" s="123" t="s">
        <v>1759</v>
      </c>
      <c r="C955" s="123" t="s">
        <v>1770</v>
      </c>
      <c r="D955" s="123" t="s">
        <v>1780</v>
      </c>
      <c r="E955" s="123" t="s">
        <v>1780</v>
      </c>
      <c r="F955" s="75">
        <v>2013.0</v>
      </c>
      <c r="G955" s="75">
        <v>2015.0</v>
      </c>
      <c r="H955" s="75">
        <v>0.0</v>
      </c>
      <c r="I955" s="75">
        <v>3.3</v>
      </c>
      <c r="J955" s="124">
        <f t="shared" si="194"/>
        <v>1</v>
      </c>
      <c r="K955" s="75">
        <v>3.3</v>
      </c>
      <c r="L955" s="125">
        <v>0.0</v>
      </c>
      <c r="M955" s="125">
        <v>0.0</v>
      </c>
      <c r="N955" s="75">
        <v>4.0</v>
      </c>
      <c r="O955" s="152">
        <v>90.0</v>
      </c>
      <c r="P955" s="123" t="s">
        <v>60</v>
      </c>
      <c r="Q955" s="157">
        <v>124.6</v>
      </c>
      <c r="R955" s="123" t="s">
        <v>37</v>
      </c>
      <c r="S955" s="75">
        <v>2014.0</v>
      </c>
      <c r="T955" s="75">
        <v>2.0</v>
      </c>
      <c r="U955" s="75">
        <f t="shared" si="186"/>
        <v>249.2</v>
      </c>
      <c r="V955" s="24">
        <f t="shared" si="187"/>
        <v>75.51515152</v>
      </c>
      <c r="W955" s="3">
        <f t="shared" si="188"/>
        <v>1</v>
      </c>
      <c r="X955" s="3">
        <f t="shared" si="189"/>
        <v>3.3</v>
      </c>
      <c r="Y955" s="3">
        <f t="shared" si="190"/>
        <v>3.3</v>
      </c>
      <c r="Z955" s="25">
        <f t="shared" si="191"/>
        <v>0</v>
      </c>
      <c r="AA955" s="26">
        <f>VLOOKUP(S955,CPI!$A$2:$F$71,6,0)</f>
        <v>1.360648571</v>
      </c>
      <c r="AB955" s="27">
        <f t="shared" si="192"/>
        <v>339.0736238</v>
      </c>
      <c r="AC955" s="27">
        <f t="shared" si="193"/>
        <v>102.749583</v>
      </c>
      <c r="AD955" s="26" t="s">
        <v>60</v>
      </c>
      <c r="AE955" s="354" t="s">
        <v>1781</v>
      </c>
      <c r="AF955" s="130"/>
      <c r="AG955" s="130"/>
      <c r="AH955" s="130"/>
      <c r="AI955" s="130"/>
      <c r="AJ955" s="33"/>
      <c r="AK955" s="33"/>
      <c r="AL955" s="33"/>
      <c r="AM955" s="206"/>
      <c r="AN955" s="206"/>
      <c r="AO955" s="206"/>
      <c r="AP955" s="206"/>
      <c r="AQ955" s="206"/>
    </row>
    <row r="956">
      <c r="A956" s="38">
        <v>7617.0</v>
      </c>
      <c r="B956" s="221" t="s">
        <v>1759</v>
      </c>
      <c r="C956" s="221" t="s">
        <v>1770</v>
      </c>
      <c r="D956" s="36" t="s">
        <v>1764</v>
      </c>
      <c r="E956" s="221" t="s">
        <v>1782</v>
      </c>
      <c r="F956" s="227">
        <v>2013.0</v>
      </c>
      <c r="G956" s="227">
        <v>2016.0</v>
      </c>
      <c r="H956" s="227">
        <v>0.0</v>
      </c>
      <c r="I956" s="227">
        <v>4.4</v>
      </c>
      <c r="J956" s="228">
        <v>1.0</v>
      </c>
      <c r="K956" s="227">
        <v>4.4</v>
      </c>
      <c r="L956" s="229">
        <v>0.0</v>
      </c>
      <c r="M956" s="229">
        <v>0.0</v>
      </c>
      <c r="N956" s="227">
        <v>3.0</v>
      </c>
      <c r="O956" s="349">
        <v>180.0</v>
      </c>
      <c r="P956" s="221" t="s">
        <v>42</v>
      </c>
      <c r="Q956" s="353">
        <v>151.0</v>
      </c>
      <c r="R956" s="221" t="s">
        <v>37</v>
      </c>
      <c r="S956" s="227">
        <v>2015.0</v>
      </c>
      <c r="T956" s="227">
        <v>2.3</v>
      </c>
      <c r="U956" s="227">
        <f t="shared" si="186"/>
        <v>347.3</v>
      </c>
      <c r="V956" s="24">
        <f t="shared" si="187"/>
        <v>78.93181818</v>
      </c>
      <c r="W956" s="3">
        <f t="shared" si="188"/>
        <v>1</v>
      </c>
      <c r="X956" s="3">
        <f t="shared" si="189"/>
        <v>4.4</v>
      </c>
      <c r="Y956" s="3">
        <f t="shared" si="190"/>
        <v>4.4</v>
      </c>
      <c r="Z956" s="25">
        <f t="shared" si="191"/>
        <v>0</v>
      </c>
      <c r="AA956" s="26">
        <f>VLOOKUP(S956,CPI!$A$2:$F$71,6,0)</f>
        <v>1.359035428</v>
      </c>
      <c r="AB956" s="27">
        <f t="shared" si="192"/>
        <v>471.9930041</v>
      </c>
      <c r="AC956" s="27">
        <f t="shared" si="193"/>
        <v>107.2711373</v>
      </c>
      <c r="AD956" s="221" t="s">
        <v>42</v>
      </c>
      <c r="AE956" s="354" t="s">
        <v>1772</v>
      </c>
      <c r="AF956" s="130"/>
      <c r="AG956" s="130"/>
      <c r="AH956" s="130"/>
      <c r="AI956" s="130"/>
      <c r="AJ956" s="33"/>
      <c r="AK956" s="33"/>
      <c r="AL956" s="33"/>
      <c r="AM956" s="206"/>
      <c r="AN956" s="206"/>
      <c r="AO956" s="206"/>
      <c r="AP956" s="206"/>
      <c r="AQ956" s="206"/>
    </row>
    <row r="957" ht="15.75" customHeight="1">
      <c r="A957" s="38">
        <v>7618.0</v>
      </c>
      <c r="B957" s="221" t="s">
        <v>1759</v>
      </c>
      <c r="C957" s="221" t="s">
        <v>1770</v>
      </c>
      <c r="D957" s="36" t="s">
        <v>1364</v>
      </c>
      <c r="E957" s="221" t="s">
        <v>1783</v>
      </c>
      <c r="F957" s="227">
        <v>2011.0</v>
      </c>
      <c r="G957" s="227">
        <v>2018.0</v>
      </c>
      <c r="H957" s="227">
        <v>0.0</v>
      </c>
      <c r="I957" s="227">
        <v>19.7</v>
      </c>
      <c r="J957" s="228">
        <v>1.0</v>
      </c>
      <c r="K957" s="227">
        <v>19.7</v>
      </c>
      <c r="L957" s="229">
        <v>0.0</v>
      </c>
      <c r="M957" s="229">
        <v>0.0</v>
      </c>
      <c r="N957" s="227">
        <v>16.0</v>
      </c>
      <c r="O957" s="349">
        <v>140.0</v>
      </c>
      <c r="P957" s="221" t="s">
        <v>60</v>
      </c>
      <c r="Q957" s="353">
        <v>866.0</v>
      </c>
      <c r="R957" s="221" t="s">
        <v>37</v>
      </c>
      <c r="S957" s="227">
        <v>2015.0</v>
      </c>
      <c r="T957" s="227">
        <v>2.3</v>
      </c>
      <c r="U957" s="227">
        <f t="shared" si="186"/>
        <v>1991.8</v>
      </c>
      <c r="V957" s="24">
        <f t="shared" si="187"/>
        <v>101.106599</v>
      </c>
      <c r="W957" s="3">
        <f t="shared" si="188"/>
        <v>1</v>
      </c>
      <c r="X957" s="3">
        <f t="shared" si="189"/>
        <v>19.7</v>
      </c>
      <c r="Y957" s="3">
        <f t="shared" si="190"/>
        <v>19.7</v>
      </c>
      <c r="Z957" s="25">
        <f t="shared" si="191"/>
        <v>0</v>
      </c>
      <c r="AA957" s="26">
        <f>VLOOKUP(S957,CPI!$A$2:$F$71,6,0)</f>
        <v>1.359035428</v>
      </c>
      <c r="AB957" s="27">
        <f t="shared" si="192"/>
        <v>2706.926765</v>
      </c>
      <c r="AC957" s="27">
        <f t="shared" si="193"/>
        <v>137.40745</v>
      </c>
      <c r="AD957" s="221" t="s">
        <v>42</v>
      </c>
      <c r="AE957" s="351" t="s">
        <v>1784</v>
      </c>
      <c r="AF957" s="301"/>
      <c r="AG957" s="130"/>
      <c r="AH957" s="130"/>
      <c r="AI957" s="130"/>
      <c r="AJ957" s="33"/>
      <c r="AK957" s="33"/>
      <c r="AL957" s="33"/>
      <c r="AM957" s="206"/>
      <c r="AN957" s="206"/>
      <c r="AO957" s="206"/>
      <c r="AP957" s="206"/>
      <c r="AQ957" s="206"/>
    </row>
    <row r="958" ht="15.75" customHeight="1">
      <c r="A958" s="38">
        <v>7624.0</v>
      </c>
      <c r="B958" s="221" t="s">
        <v>1759</v>
      </c>
      <c r="C958" s="221" t="s">
        <v>1770</v>
      </c>
      <c r="D958" s="352" t="s">
        <v>1773</v>
      </c>
      <c r="E958" s="221" t="s">
        <v>1785</v>
      </c>
      <c r="F958" s="227">
        <v>2011.0</v>
      </c>
      <c r="G958" s="227">
        <v>2019.0</v>
      </c>
      <c r="H958" s="227">
        <v>1.0</v>
      </c>
      <c r="I958" s="227">
        <v>63.0</v>
      </c>
      <c r="J958" s="228">
        <v>0.0</v>
      </c>
      <c r="K958" s="227">
        <v>0.0</v>
      </c>
      <c r="L958" s="229">
        <v>0.0</v>
      </c>
      <c r="M958" s="229">
        <v>0.0</v>
      </c>
      <c r="N958" s="227">
        <v>36.0</v>
      </c>
      <c r="O958" s="349">
        <v>225.0</v>
      </c>
      <c r="P958" s="221" t="s">
        <v>60</v>
      </c>
      <c r="Q958" s="353">
        <v>1298.0</v>
      </c>
      <c r="R958" s="221" t="s">
        <v>37</v>
      </c>
      <c r="S958" s="227">
        <v>2015.0</v>
      </c>
      <c r="T958" s="227">
        <v>2.3</v>
      </c>
      <c r="U958" s="227">
        <f t="shared" si="186"/>
        <v>2985.4</v>
      </c>
      <c r="V958" s="24">
        <f t="shared" si="187"/>
        <v>47.38730159</v>
      </c>
      <c r="W958" s="3">
        <f t="shared" si="188"/>
        <v>1</v>
      </c>
      <c r="X958" s="3">
        <f t="shared" si="189"/>
        <v>63</v>
      </c>
      <c r="Y958" s="3">
        <f t="shared" si="190"/>
        <v>0</v>
      </c>
      <c r="Z958" s="25">
        <f t="shared" si="191"/>
        <v>0</v>
      </c>
      <c r="AA958" s="26">
        <f>VLOOKUP(S958,CPI!$A$2:$F$71,6,0)</f>
        <v>1.359035428</v>
      </c>
      <c r="AB958" s="27">
        <f t="shared" si="192"/>
        <v>4057.264366</v>
      </c>
      <c r="AC958" s="27">
        <f t="shared" si="193"/>
        <v>64.40102169</v>
      </c>
      <c r="AD958" s="221" t="s">
        <v>36</v>
      </c>
      <c r="AE958" s="351" t="s">
        <v>1786</v>
      </c>
      <c r="AF958" s="301"/>
      <c r="AG958" s="130"/>
      <c r="AH958" s="130"/>
      <c r="AI958" s="130"/>
      <c r="AJ958" s="33"/>
      <c r="AK958" s="33"/>
      <c r="AL958" s="33"/>
      <c r="AM958" s="206"/>
      <c r="AN958" s="206"/>
      <c r="AO958" s="206"/>
      <c r="AP958" s="206"/>
      <c r="AQ958" s="206"/>
    </row>
    <row r="959" ht="15.75" customHeight="1">
      <c r="A959" s="243">
        <v>9501.0</v>
      </c>
      <c r="B959" s="221" t="s">
        <v>1759</v>
      </c>
      <c r="C959" s="221" t="s">
        <v>1770</v>
      </c>
      <c r="D959" s="36" t="s">
        <v>1764</v>
      </c>
      <c r="E959" s="221" t="s">
        <v>1787</v>
      </c>
      <c r="F959" s="227">
        <v>2015.0</v>
      </c>
      <c r="G959" s="349">
        <v>2022.0</v>
      </c>
      <c r="H959" s="227">
        <v>0.0</v>
      </c>
      <c r="I959" s="227">
        <v>7.5</v>
      </c>
      <c r="J959" s="228">
        <v>1.0</v>
      </c>
      <c r="K959" s="227">
        <v>7.5</v>
      </c>
      <c r="L959" s="229">
        <v>0.0</v>
      </c>
      <c r="M959" s="229">
        <v>0.0</v>
      </c>
      <c r="N959" s="227">
        <v>4.0</v>
      </c>
      <c r="O959" s="349">
        <v>180.0</v>
      </c>
      <c r="P959" s="221" t="s">
        <v>60</v>
      </c>
      <c r="Q959" s="353">
        <v>170.0</v>
      </c>
      <c r="R959" s="221" t="s">
        <v>52</v>
      </c>
      <c r="S959" s="227">
        <v>2018.0</v>
      </c>
      <c r="T959" s="349">
        <v>3.0</v>
      </c>
      <c r="U959" s="25">
        <f t="shared" si="186"/>
        <v>510</v>
      </c>
      <c r="V959" s="24">
        <f t="shared" si="187"/>
        <v>68</v>
      </c>
      <c r="W959" s="3">
        <f t="shared" si="188"/>
        <v>1</v>
      </c>
      <c r="X959" s="3">
        <f t="shared" si="189"/>
        <v>7.5</v>
      </c>
      <c r="Y959" s="3">
        <f t="shared" si="190"/>
        <v>7.5</v>
      </c>
      <c r="Z959" s="25">
        <f t="shared" si="191"/>
        <v>0</v>
      </c>
      <c r="AA959" s="26">
        <f>VLOOKUP(S959,CPI!$A$2:$F$71,6,0)</f>
        <v>1.28277786</v>
      </c>
      <c r="AB959" s="27">
        <f t="shared" si="192"/>
        <v>654.2167084</v>
      </c>
      <c r="AC959" s="27">
        <f t="shared" si="193"/>
        <v>87.22889446</v>
      </c>
      <c r="AD959" s="26" t="s">
        <v>60</v>
      </c>
      <c r="AE959" s="354" t="s">
        <v>1788</v>
      </c>
      <c r="AF959" s="130"/>
      <c r="AG959" s="130"/>
      <c r="AH959" s="130"/>
      <c r="AI959" s="130"/>
      <c r="AJ959" s="33"/>
      <c r="AK959" s="33"/>
      <c r="AL959" s="33"/>
      <c r="AM959" s="206"/>
      <c r="AN959" s="206"/>
      <c r="AO959" s="206"/>
      <c r="AP959" s="206"/>
      <c r="AQ959" s="206"/>
    </row>
    <row r="960" ht="15.75" customHeight="1">
      <c r="A960" s="170">
        <v>9509.0</v>
      </c>
      <c r="B960" s="221" t="s">
        <v>1759</v>
      </c>
      <c r="C960" s="221" t="s">
        <v>1770</v>
      </c>
      <c r="D960" s="36" t="s">
        <v>846</v>
      </c>
      <c r="E960" s="221" t="s">
        <v>847</v>
      </c>
      <c r="F960" s="227">
        <v>2016.0</v>
      </c>
      <c r="G960" s="349">
        <v>2022.0</v>
      </c>
      <c r="H960" s="227">
        <v>0.0</v>
      </c>
      <c r="I960" s="227">
        <v>37.5</v>
      </c>
      <c r="J960" s="228">
        <v>1.0</v>
      </c>
      <c r="K960" s="227">
        <v>37.5</v>
      </c>
      <c r="L960" s="229">
        <v>0.0</v>
      </c>
      <c r="M960" s="229">
        <v>0.0</v>
      </c>
      <c r="N960" s="227">
        <v>9.0</v>
      </c>
      <c r="O960" s="349">
        <v>180.0</v>
      </c>
      <c r="P960" s="221" t="s">
        <v>60</v>
      </c>
      <c r="Q960" s="353">
        <v>1130.0</v>
      </c>
      <c r="R960" s="221" t="s">
        <v>37</v>
      </c>
      <c r="S960" s="227">
        <v>2019.0</v>
      </c>
      <c r="T960" s="349">
        <v>3.0</v>
      </c>
      <c r="U960" s="25">
        <f t="shared" si="186"/>
        <v>3390</v>
      </c>
      <c r="V960" s="24">
        <f t="shared" si="187"/>
        <v>90.4</v>
      </c>
      <c r="W960" s="3">
        <f t="shared" si="188"/>
        <v>1</v>
      </c>
      <c r="X960" s="3">
        <f t="shared" si="189"/>
        <v>37.5</v>
      </c>
      <c r="Y960" s="3">
        <f t="shared" si="190"/>
        <v>37.5</v>
      </c>
      <c r="Z960" s="25">
        <f t="shared" si="191"/>
        <v>0</v>
      </c>
      <c r="AA960" s="26">
        <f>VLOOKUP(S960,CPI!$A$2:$F$71,6,0)</f>
        <v>1.259947899</v>
      </c>
      <c r="AB960" s="27">
        <f t="shared" si="192"/>
        <v>4271.223377</v>
      </c>
      <c r="AC960" s="27">
        <f t="shared" si="193"/>
        <v>113.8992901</v>
      </c>
      <c r="AD960" s="26" t="s">
        <v>42</v>
      </c>
      <c r="AE960" s="354" t="s">
        <v>1789</v>
      </c>
      <c r="AF960" s="130"/>
      <c r="AG960" s="130"/>
      <c r="AH960" s="130"/>
      <c r="AI960" s="130"/>
      <c r="AJ960" s="33"/>
      <c r="AK960" s="33"/>
      <c r="AL960" s="33"/>
      <c r="AM960" s="206"/>
      <c r="AN960" s="206"/>
      <c r="AO960" s="206"/>
      <c r="AP960" s="206"/>
      <c r="AQ960" s="206"/>
    </row>
    <row r="961" ht="15.75" customHeight="1">
      <c r="A961" s="170">
        <v>9502.0</v>
      </c>
      <c r="B961" s="221" t="s">
        <v>1759</v>
      </c>
      <c r="C961" s="221" t="s">
        <v>1770</v>
      </c>
      <c r="D961" s="221" t="s">
        <v>838</v>
      </c>
      <c r="E961" s="221" t="s">
        <v>838</v>
      </c>
      <c r="F961" s="227">
        <v>2016.0</v>
      </c>
      <c r="G961" s="349">
        <v>2022.0</v>
      </c>
      <c r="H961" s="227">
        <v>0.0</v>
      </c>
      <c r="I961" s="227">
        <v>14.3</v>
      </c>
      <c r="J961" s="228">
        <v>1.0</v>
      </c>
      <c r="K961" s="227">
        <v>14.3</v>
      </c>
      <c r="L961" s="229">
        <v>0.0</v>
      </c>
      <c r="M961" s="229">
        <v>0.0</v>
      </c>
      <c r="N961" s="227">
        <v>11.0</v>
      </c>
      <c r="O961" s="349">
        <v>100.0</v>
      </c>
      <c r="P961" s="221" t="s">
        <v>60</v>
      </c>
      <c r="Q961" s="353">
        <v>635.0</v>
      </c>
      <c r="R961" s="221" t="s">
        <v>37</v>
      </c>
      <c r="S961" s="227">
        <v>2019.0</v>
      </c>
      <c r="T961" s="349">
        <v>3.0</v>
      </c>
      <c r="U961" s="25">
        <f t="shared" si="186"/>
        <v>1905</v>
      </c>
      <c r="V961" s="24">
        <f t="shared" si="187"/>
        <v>133.2167832</v>
      </c>
      <c r="W961" s="3">
        <f t="shared" si="188"/>
        <v>1</v>
      </c>
      <c r="X961" s="3">
        <f t="shared" si="189"/>
        <v>14.3</v>
      </c>
      <c r="Y961" s="3">
        <f t="shared" si="190"/>
        <v>14.3</v>
      </c>
      <c r="Z961" s="25">
        <f t="shared" si="191"/>
        <v>0</v>
      </c>
      <c r="AA961" s="26">
        <f>VLOOKUP(S961,CPI!$A$2:$F$71,6,0)</f>
        <v>1.259947899</v>
      </c>
      <c r="AB961" s="27">
        <f t="shared" si="192"/>
        <v>2400.200747</v>
      </c>
      <c r="AC961" s="27">
        <f t="shared" si="193"/>
        <v>167.8462061</v>
      </c>
      <c r="AD961" s="26" t="s">
        <v>60</v>
      </c>
      <c r="AE961" s="354" t="s">
        <v>1790</v>
      </c>
      <c r="AF961" s="130"/>
      <c r="AG961" s="130"/>
      <c r="AH961" s="130"/>
      <c r="AI961" s="130"/>
      <c r="AJ961" s="33"/>
      <c r="AK961" s="33"/>
      <c r="AL961" s="33"/>
      <c r="AM961" s="206"/>
      <c r="AN961" s="206"/>
      <c r="AO961" s="206"/>
      <c r="AP961" s="206"/>
      <c r="AQ961" s="206"/>
    </row>
    <row r="962" ht="15.75" customHeight="1">
      <c r="A962" s="170">
        <v>9833.0</v>
      </c>
      <c r="B962" s="123" t="s">
        <v>1759</v>
      </c>
      <c r="C962" s="123" t="s">
        <v>1770</v>
      </c>
      <c r="D962" s="36" t="s">
        <v>856</v>
      </c>
      <c r="E962" s="123" t="s">
        <v>1791</v>
      </c>
      <c r="F962" s="75">
        <v>2017.0</v>
      </c>
      <c r="G962" s="75">
        <v>2022.0</v>
      </c>
      <c r="H962" s="75">
        <v>0.0</v>
      </c>
      <c r="I962" s="75">
        <v>6.2</v>
      </c>
      <c r="J962" s="124">
        <f>K962/I962</f>
        <v>1</v>
      </c>
      <c r="K962" s="75">
        <v>6.2</v>
      </c>
      <c r="L962" s="125">
        <v>0.0</v>
      </c>
      <c r="M962" s="125">
        <v>0.0</v>
      </c>
      <c r="N962" s="75">
        <v>4.0</v>
      </c>
      <c r="O962" s="349">
        <v>180.0</v>
      </c>
      <c r="P962" s="123" t="s">
        <v>60</v>
      </c>
      <c r="Q962" s="157">
        <v>205.9</v>
      </c>
      <c r="R962" s="123" t="s">
        <v>37</v>
      </c>
      <c r="S962" s="75">
        <v>2020.0</v>
      </c>
      <c r="T962" s="152">
        <v>3.3</v>
      </c>
      <c r="U962" s="75">
        <f t="shared" si="186"/>
        <v>679.47</v>
      </c>
      <c r="V962" s="24">
        <f t="shared" si="187"/>
        <v>109.5919355</v>
      </c>
      <c r="W962" s="3">
        <f t="shared" si="188"/>
        <v>1</v>
      </c>
      <c r="X962" s="3">
        <f t="shared" si="189"/>
        <v>6.2</v>
      </c>
      <c r="Y962" s="3">
        <f t="shared" si="190"/>
        <v>6.2</v>
      </c>
      <c r="Z962" s="25">
        <f t="shared" si="191"/>
        <v>0</v>
      </c>
      <c r="AA962" s="26">
        <f>VLOOKUP(S962,CPI!$A$2:$F$71,6,0)</f>
        <v>1.244593545</v>
      </c>
      <c r="AB962" s="27">
        <f t="shared" si="192"/>
        <v>845.6639761</v>
      </c>
      <c r="AC962" s="27">
        <f t="shared" si="193"/>
        <v>136.3974155</v>
      </c>
      <c r="AD962" s="26" t="s">
        <v>60</v>
      </c>
      <c r="AE962" s="354" t="s">
        <v>1792</v>
      </c>
      <c r="AF962" s="130"/>
      <c r="AG962" s="130"/>
      <c r="AH962" s="130"/>
      <c r="AI962" s="130"/>
      <c r="AJ962" s="33"/>
      <c r="AK962" s="33"/>
      <c r="AL962" s="33"/>
      <c r="AM962" s="206"/>
      <c r="AN962" s="206"/>
      <c r="AO962" s="206"/>
      <c r="AP962" s="206"/>
      <c r="AQ962" s="206"/>
    </row>
    <row r="963" ht="15.75" customHeight="1">
      <c r="A963" s="170">
        <v>9510.0</v>
      </c>
      <c r="B963" s="221" t="s">
        <v>1759</v>
      </c>
      <c r="C963" s="221" t="s">
        <v>1770</v>
      </c>
      <c r="D963" s="36" t="s">
        <v>846</v>
      </c>
      <c r="E963" s="221" t="s">
        <v>1793</v>
      </c>
      <c r="F963" s="349">
        <v>2018.0</v>
      </c>
      <c r="G963" s="227">
        <v>2022.0</v>
      </c>
      <c r="H963" s="227">
        <v>0.0</v>
      </c>
      <c r="I963" s="227">
        <v>32.0</v>
      </c>
      <c r="J963" s="228">
        <v>1.0</v>
      </c>
      <c r="K963" s="227">
        <v>32.0</v>
      </c>
      <c r="L963" s="229">
        <v>0.0</v>
      </c>
      <c r="M963" s="229">
        <v>0.0</v>
      </c>
      <c r="N963" s="227">
        <v>7.0</v>
      </c>
      <c r="O963" s="349">
        <v>180.0</v>
      </c>
      <c r="P963" s="221" t="s">
        <v>60</v>
      </c>
      <c r="Q963" s="353">
        <v>916.0</v>
      </c>
      <c r="R963" s="221" t="s">
        <v>37</v>
      </c>
      <c r="S963" s="227">
        <v>2020.0</v>
      </c>
      <c r="T963" s="349">
        <v>3.3</v>
      </c>
      <c r="U963" s="227">
        <f t="shared" si="186"/>
        <v>3022.8</v>
      </c>
      <c r="V963" s="24">
        <f t="shared" si="187"/>
        <v>94.4625</v>
      </c>
      <c r="W963" s="3">
        <f t="shared" si="188"/>
        <v>1</v>
      </c>
      <c r="X963" s="3">
        <f t="shared" si="189"/>
        <v>32</v>
      </c>
      <c r="Y963" s="3">
        <f t="shared" si="190"/>
        <v>32</v>
      </c>
      <c r="Z963" s="25">
        <f t="shared" si="191"/>
        <v>0</v>
      </c>
      <c r="AA963" s="26">
        <f>VLOOKUP(S963,CPI!$A$2:$F$71,6,0)</f>
        <v>1.244593545</v>
      </c>
      <c r="AB963" s="27">
        <f t="shared" si="192"/>
        <v>3762.157368</v>
      </c>
      <c r="AC963" s="27">
        <f t="shared" si="193"/>
        <v>117.5674178</v>
      </c>
      <c r="AD963" s="26" t="s">
        <v>36</v>
      </c>
      <c r="AE963" s="354" t="s">
        <v>1794</v>
      </c>
      <c r="AF963" s="130"/>
      <c r="AG963" s="130"/>
      <c r="AH963" s="130"/>
      <c r="AI963" s="130"/>
      <c r="AJ963" s="33"/>
      <c r="AK963" s="33"/>
      <c r="AL963" s="33"/>
      <c r="AM963" s="206"/>
      <c r="AN963" s="206"/>
      <c r="AO963" s="206"/>
      <c r="AP963" s="206"/>
      <c r="AQ963" s="206"/>
    </row>
    <row r="964" ht="15.75" customHeight="1">
      <c r="A964" s="170">
        <v>9500.0</v>
      </c>
      <c r="B964" s="221" t="s">
        <v>1759</v>
      </c>
      <c r="C964" s="221" t="s">
        <v>1770</v>
      </c>
      <c r="D964" s="36" t="s">
        <v>856</v>
      </c>
      <c r="E964" s="221" t="s">
        <v>857</v>
      </c>
      <c r="F964" s="227">
        <v>2015.0</v>
      </c>
      <c r="G964" s="227">
        <v>2023.0</v>
      </c>
      <c r="H964" s="227">
        <v>0.0</v>
      </c>
      <c r="I964" s="349">
        <v>8.9</v>
      </c>
      <c r="J964" s="228">
        <v>1.0</v>
      </c>
      <c r="K964" s="227">
        <v>8.4</v>
      </c>
      <c r="L964" s="229">
        <v>0.0</v>
      </c>
      <c r="M964" s="229">
        <v>0.0</v>
      </c>
      <c r="N964" s="349">
        <v>8.0</v>
      </c>
      <c r="O964" s="349">
        <v>180.0</v>
      </c>
      <c r="P964" s="221" t="s">
        <v>60</v>
      </c>
      <c r="Q964" s="353">
        <v>333.0</v>
      </c>
      <c r="R964" s="221" t="s">
        <v>37</v>
      </c>
      <c r="S964" s="227">
        <v>2019.0</v>
      </c>
      <c r="T964" s="349">
        <v>3.0</v>
      </c>
      <c r="U964" s="25">
        <f t="shared" si="186"/>
        <v>999</v>
      </c>
      <c r="V964" s="24">
        <f t="shared" si="187"/>
        <v>112.247191</v>
      </c>
      <c r="W964" s="3">
        <f t="shared" si="188"/>
        <v>1</v>
      </c>
      <c r="X964" s="3">
        <f t="shared" si="189"/>
        <v>8.9</v>
      </c>
      <c r="Y964" s="3">
        <f t="shared" si="190"/>
        <v>8.4</v>
      </c>
      <c r="Z964" s="25">
        <f t="shared" si="191"/>
        <v>0</v>
      </c>
      <c r="AA964" s="26">
        <f>VLOOKUP(S964,CPI!$A$2:$F$71,6,0)</f>
        <v>1.259947899</v>
      </c>
      <c r="AB964" s="27">
        <f t="shared" si="192"/>
        <v>1258.687951</v>
      </c>
      <c r="AC964" s="27">
        <f t="shared" si="193"/>
        <v>141.4256125</v>
      </c>
      <c r="AD964" s="26" t="s">
        <v>60</v>
      </c>
      <c r="AE964" s="354" t="s">
        <v>1790</v>
      </c>
      <c r="AF964" s="130"/>
      <c r="AG964" s="130"/>
      <c r="AH964" s="130"/>
      <c r="AI964" s="130"/>
      <c r="AJ964" s="33"/>
      <c r="AK964" s="33"/>
      <c r="AL964" s="33"/>
      <c r="AM964" s="206"/>
      <c r="AN964" s="206"/>
      <c r="AO964" s="206"/>
      <c r="AP964" s="206"/>
      <c r="AQ964" s="206"/>
    </row>
    <row r="965">
      <c r="A965" s="170">
        <v>9835.0</v>
      </c>
      <c r="B965" s="123" t="s">
        <v>1759</v>
      </c>
      <c r="C965" s="123" t="s">
        <v>1770</v>
      </c>
      <c r="D965" s="123" t="s">
        <v>1795</v>
      </c>
      <c r="E965" s="123" t="s">
        <v>1795</v>
      </c>
      <c r="F965" s="75">
        <v>2016.0</v>
      </c>
      <c r="G965" s="152">
        <v>2023.0</v>
      </c>
      <c r="H965" s="75">
        <v>0.0</v>
      </c>
      <c r="I965" s="152">
        <v>13.4</v>
      </c>
      <c r="J965" s="124">
        <f>K965/I965</f>
        <v>1</v>
      </c>
      <c r="K965" s="152">
        <v>13.4</v>
      </c>
      <c r="L965" s="125">
        <v>0.0</v>
      </c>
      <c r="M965" s="125">
        <v>0.0</v>
      </c>
      <c r="N965" s="75">
        <v>12.0</v>
      </c>
      <c r="O965" s="152">
        <v>90.0</v>
      </c>
      <c r="P965" s="123" t="s">
        <v>60</v>
      </c>
      <c r="Q965" s="157">
        <v>386.7</v>
      </c>
      <c r="R965" s="123" t="s">
        <v>37</v>
      </c>
      <c r="S965" s="75">
        <v>2020.0</v>
      </c>
      <c r="T965" s="152">
        <v>3.3</v>
      </c>
      <c r="U965" s="75">
        <f t="shared" si="186"/>
        <v>1276.11</v>
      </c>
      <c r="V965" s="24">
        <f t="shared" si="187"/>
        <v>95.23208955</v>
      </c>
      <c r="W965" s="3">
        <f t="shared" si="188"/>
        <v>1</v>
      </c>
      <c r="X965" s="3">
        <f t="shared" si="189"/>
        <v>13.4</v>
      </c>
      <c r="Y965" s="3">
        <f t="shared" si="190"/>
        <v>13.4</v>
      </c>
      <c r="Z965" s="25">
        <f t="shared" si="191"/>
        <v>0</v>
      </c>
      <c r="AA965" s="26">
        <f>VLOOKUP(S965,CPI!$A$2:$F$71,6,0)</f>
        <v>1.244593545</v>
      </c>
      <c r="AB965" s="27">
        <f t="shared" si="192"/>
        <v>1588.238269</v>
      </c>
      <c r="AC965" s="27">
        <f t="shared" si="193"/>
        <v>118.5252439</v>
      </c>
      <c r="AD965" s="26" t="s">
        <v>60</v>
      </c>
      <c r="AE965" s="354" t="s">
        <v>1796</v>
      </c>
      <c r="AF965" s="130"/>
      <c r="AG965" s="130"/>
      <c r="AH965" s="130"/>
      <c r="AI965" s="130"/>
      <c r="AJ965" s="33"/>
      <c r="AK965" s="33"/>
      <c r="AL965" s="33"/>
      <c r="AM965" s="206"/>
      <c r="AN965" s="206"/>
      <c r="AO965" s="206"/>
      <c r="AP965" s="206"/>
      <c r="AQ965" s="206"/>
    </row>
    <row r="966">
      <c r="A966" s="170">
        <v>9508.0</v>
      </c>
      <c r="B966" s="221" t="s">
        <v>1759</v>
      </c>
      <c r="C966" s="221" t="s">
        <v>1770</v>
      </c>
      <c r="D966" s="36" t="s">
        <v>1797</v>
      </c>
      <c r="E966" s="221" t="s">
        <v>1798</v>
      </c>
      <c r="F966" s="227">
        <v>2017.0</v>
      </c>
      <c r="G966" s="349">
        <v>2023.0</v>
      </c>
      <c r="H966" s="227">
        <v>0.0</v>
      </c>
      <c r="I966" s="227">
        <v>13.0</v>
      </c>
      <c r="J966" s="228">
        <v>1.0</v>
      </c>
      <c r="K966" s="227">
        <v>13.0</v>
      </c>
      <c r="L966" s="229">
        <v>0.0</v>
      </c>
      <c r="M966" s="229">
        <v>0.0</v>
      </c>
      <c r="N966" s="349">
        <v>11.0</v>
      </c>
      <c r="O966" s="349">
        <v>100.0</v>
      </c>
      <c r="P966" s="221" t="s">
        <v>60</v>
      </c>
      <c r="Q966" s="350">
        <v>698.0</v>
      </c>
      <c r="R966" s="221" t="s">
        <v>37</v>
      </c>
      <c r="S966" s="227">
        <v>2020.0</v>
      </c>
      <c r="T966" s="349">
        <v>3.3</v>
      </c>
      <c r="U966" s="25">
        <f t="shared" si="186"/>
        <v>2303.4</v>
      </c>
      <c r="V966" s="24">
        <f t="shared" si="187"/>
        <v>177.1846154</v>
      </c>
      <c r="W966" s="3">
        <f t="shared" si="188"/>
        <v>1</v>
      </c>
      <c r="X966" s="3">
        <f t="shared" si="189"/>
        <v>13</v>
      </c>
      <c r="Y966" s="3">
        <f t="shared" si="190"/>
        <v>13</v>
      </c>
      <c r="Z966" s="25">
        <f t="shared" si="191"/>
        <v>0</v>
      </c>
      <c r="AA966" s="26">
        <f>VLOOKUP(S966,CPI!$A$2:$F$71,6,0)</f>
        <v>1.244593545</v>
      </c>
      <c r="AB966" s="27">
        <f t="shared" si="192"/>
        <v>2866.796772</v>
      </c>
      <c r="AC966" s="27">
        <f t="shared" si="193"/>
        <v>220.5228286</v>
      </c>
      <c r="AD966" s="26" t="s">
        <v>60</v>
      </c>
      <c r="AE966" s="354" t="s">
        <v>1790</v>
      </c>
      <c r="AF966" s="130"/>
      <c r="AG966" s="130"/>
      <c r="AH966" s="130"/>
      <c r="AI966" s="130"/>
      <c r="AJ966" s="33"/>
      <c r="AK966" s="33"/>
      <c r="AL966" s="33"/>
      <c r="AM966" s="206"/>
      <c r="AN966" s="206"/>
      <c r="AO966" s="206"/>
      <c r="AP966" s="206"/>
      <c r="AQ966" s="206"/>
    </row>
    <row r="967">
      <c r="A967" s="38">
        <v>7625.0</v>
      </c>
      <c r="B967" s="221" t="s">
        <v>1759</v>
      </c>
      <c r="C967" s="221" t="s">
        <v>1770</v>
      </c>
      <c r="D967" s="36" t="s">
        <v>849</v>
      </c>
      <c r="E967" s="221" t="s">
        <v>1799</v>
      </c>
      <c r="F967" s="227">
        <v>2014.0</v>
      </c>
      <c r="G967" s="349">
        <v>2024.0</v>
      </c>
      <c r="H967" s="227">
        <v>0.0</v>
      </c>
      <c r="I967" s="227">
        <v>23.75</v>
      </c>
      <c r="J967" s="228">
        <v>0.9621</v>
      </c>
      <c r="K967" s="227">
        <v>22.85</v>
      </c>
      <c r="L967" s="229">
        <v>0.0</v>
      </c>
      <c r="M967" s="229">
        <v>0.0</v>
      </c>
      <c r="N967" s="227">
        <v>19.0</v>
      </c>
      <c r="O967" s="349">
        <v>180.0</v>
      </c>
      <c r="P967" s="221" t="s">
        <v>60</v>
      </c>
      <c r="Q967" s="353">
        <v>896.0</v>
      </c>
      <c r="R967" s="221" t="s">
        <v>37</v>
      </c>
      <c r="S967" s="349">
        <v>2019.0</v>
      </c>
      <c r="T967" s="227">
        <v>3.0</v>
      </c>
      <c r="U967" s="227">
        <f t="shared" si="186"/>
        <v>2688</v>
      </c>
      <c r="V967" s="24">
        <f t="shared" si="187"/>
        <v>113.1789474</v>
      </c>
      <c r="W967" s="3">
        <f t="shared" si="188"/>
        <v>1</v>
      </c>
      <c r="X967" s="3">
        <f t="shared" si="189"/>
        <v>23.75</v>
      </c>
      <c r="Y967" s="3">
        <f t="shared" si="190"/>
        <v>22.85</v>
      </c>
      <c r="Z967" s="25">
        <f t="shared" si="191"/>
        <v>0</v>
      </c>
      <c r="AA967" s="26">
        <f>VLOOKUP(S967,CPI!$A$2:$F$71,6,0)</f>
        <v>1.259947899</v>
      </c>
      <c r="AB967" s="27">
        <f t="shared" si="192"/>
        <v>3386.739952</v>
      </c>
      <c r="AC967" s="27">
        <f t="shared" si="193"/>
        <v>142.5995769</v>
      </c>
      <c r="AD967" s="221" t="s">
        <v>42</v>
      </c>
      <c r="AE967" s="354" t="s">
        <v>1800</v>
      </c>
      <c r="AF967" s="130"/>
      <c r="AG967" s="130"/>
      <c r="AH967" s="130"/>
      <c r="AI967" s="130"/>
      <c r="AJ967" s="33"/>
      <c r="AK967" s="33"/>
      <c r="AL967" s="33"/>
      <c r="AM967" s="206"/>
      <c r="AN967" s="206"/>
      <c r="AO967" s="206"/>
      <c r="AP967" s="206"/>
      <c r="AQ967" s="206"/>
    </row>
    <row r="968">
      <c r="A968" s="243">
        <v>11255.0</v>
      </c>
      <c r="B968" s="123" t="s">
        <v>1759</v>
      </c>
      <c r="C968" s="123" t="s">
        <v>1770</v>
      </c>
      <c r="D968" s="123" t="s">
        <v>1801</v>
      </c>
      <c r="E968" s="123" t="s">
        <v>1801</v>
      </c>
      <c r="F968" s="152">
        <v>2017.0</v>
      </c>
      <c r="G968" s="152">
        <v>2024.0</v>
      </c>
      <c r="H968" s="75">
        <v>0.0</v>
      </c>
      <c r="I968" s="75">
        <v>14.0</v>
      </c>
      <c r="J968" s="124">
        <v>1.0</v>
      </c>
      <c r="K968" s="152">
        <v>14.0</v>
      </c>
      <c r="L968" s="75">
        <v>0.0</v>
      </c>
      <c r="M968" s="75">
        <v>0.0</v>
      </c>
      <c r="N968" s="75">
        <v>8.0</v>
      </c>
      <c r="O968" s="152">
        <v>180.0</v>
      </c>
      <c r="P968" s="142" t="s">
        <v>60</v>
      </c>
      <c r="Q968" s="157">
        <v>344.0</v>
      </c>
      <c r="R968" s="123" t="s">
        <v>37</v>
      </c>
      <c r="S968" s="75">
        <v>2020.0</v>
      </c>
      <c r="T968" s="152">
        <v>3.3</v>
      </c>
      <c r="U968" s="75">
        <f t="shared" si="186"/>
        <v>1135.2</v>
      </c>
      <c r="V968" s="24">
        <f t="shared" si="187"/>
        <v>81.08571429</v>
      </c>
      <c r="W968" s="3">
        <f t="shared" si="188"/>
        <v>1</v>
      </c>
      <c r="X968" s="3">
        <f t="shared" si="189"/>
        <v>14</v>
      </c>
      <c r="Y968" s="3">
        <f t="shared" si="190"/>
        <v>14</v>
      </c>
      <c r="Z968" s="25">
        <f t="shared" si="191"/>
        <v>0</v>
      </c>
      <c r="AA968" s="26">
        <f>VLOOKUP(S968,CPI!$A$2:$F$71,6,0)</f>
        <v>1.244593545</v>
      </c>
      <c r="AB968" s="27">
        <f t="shared" si="192"/>
        <v>1412.862592</v>
      </c>
      <c r="AC968" s="27">
        <f t="shared" si="193"/>
        <v>100.9187566</v>
      </c>
      <c r="AD968" s="26" t="s">
        <v>42</v>
      </c>
      <c r="AE968" s="351" t="s">
        <v>1790</v>
      </c>
      <c r="AF968" s="320"/>
      <c r="AG968" s="7"/>
      <c r="AH968" s="7"/>
      <c r="AI968" s="7"/>
      <c r="AM968" s="206"/>
      <c r="AN968" s="206"/>
      <c r="AO968" s="206"/>
      <c r="AP968" s="206"/>
      <c r="AQ968" s="206"/>
    </row>
    <row r="969">
      <c r="A969" s="7"/>
      <c r="B969" s="237" t="s">
        <v>1759</v>
      </c>
      <c r="C969" s="357" t="s">
        <v>1770</v>
      </c>
      <c r="D969" s="357" t="s">
        <v>843</v>
      </c>
      <c r="E969" s="357" t="s">
        <v>1802</v>
      </c>
      <c r="F969" s="358">
        <v>2022.0</v>
      </c>
      <c r="G969" s="358">
        <v>2026.0</v>
      </c>
      <c r="H969" s="358">
        <v>0.0</v>
      </c>
      <c r="I969" s="358">
        <v>3.9</v>
      </c>
      <c r="J969" s="359">
        <v>1.0</v>
      </c>
      <c r="K969" s="358">
        <v>3.9</v>
      </c>
      <c r="L969" s="358">
        <v>0.0</v>
      </c>
      <c r="M969" s="358">
        <v>0.0</v>
      </c>
      <c r="N969" s="358">
        <v>2.0</v>
      </c>
      <c r="O969" s="358">
        <v>180.0</v>
      </c>
      <c r="P969" s="357" t="s">
        <v>60</v>
      </c>
      <c r="Q969" s="360">
        <v>2897.0</v>
      </c>
      <c r="R969" s="357" t="s">
        <v>1765</v>
      </c>
      <c r="S969" s="358">
        <v>2024.0</v>
      </c>
      <c r="T969" s="358">
        <v>0.27</v>
      </c>
      <c r="U969" s="118">
        <f t="shared" si="186"/>
        <v>782.19</v>
      </c>
      <c r="V969" s="24">
        <f t="shared" si="187"/>
        <v>200.5615385</v>
      </c>
      <c r="W969" s="3">
        <f t="shared" si="188"/>
        <v>1</v>
      </c>
      <c r="X969" s="3">
        <f t="shared" si="189"/>
        <v>3.9</v>
      </c>
      <c r="Y969" s="3">
        <f t="shared" si="190"/>
        <v>3.9</v>
      </c>
      <c r="Z969" s="25">
        <f t="shared" si="191"/>
        <v>0</v>
      </c>
      <c r="AA969" s="26">
        <f>VLOOKUP(S969,CPI!$A$2:$F$71,6,0)</f>
        <v>1</v>
      </c>
      <c r="AB969" s="27">
        <f t="shared" si="192"/>
        <v>782.19</v>
      </c>
      <c r="AC969" s="27">
        <f t="shared" si="193"/>
        <v>200.5615385</v>
      </c>
      <c r="AD969" s="115" t="s">
        <v>74</v>
      </c>
      <c r="AE969" s="361"/>
      <c r="AF969" s="208"/>
      <c r="AG969" s="255"/>
      <c r="AH969" s="206"/>
      <c r="AI969" s="206"/>
      <c r="AJ969" s="206"/>
      <c r="AK969" s="206"/>
      <c r="AL969" s="206"/>
      <c r="AM969" s="206"/>
      <c r="AN969" s="206"/>
      <c r="AO969" s="206"/>
      <c r="AP969" s="206"/>
      <c r="AQ969" s="206"/>
    </row>
    <row r="970">
      <c r="A970" s="170">
        <v>9507.0</v>
      </c>
      <c r="B970" s="221" t="s">
        <v>1759</v>
      </c>
      <c r="C970" s="221" t="s">
        <v>1770</v>
      </c>
      <c r="D970" s="36" t="s">
        <v>1364</v>
      </c>
      <c r="E970" s="221" t="s">
        <v>1803</v>
      </c>
      <c r="F970" s="227">
        <v>2016.0</v>
      </c>
      <c r="G970" s="349">
        <v>2027.0</v>
      </c>
      <c r="H970" s="227">
        <v>0.0</v>
      </c>
      <c r="I970" s="227">
        <v>17.8</v>
      </c>
      <c r="J970" s="228">
        <v>1.0</v>
      </c>
      <c r="K970" s="227">
        <v>17.8</v>
      </c>
      <c r="L970" s="229">
        <v>0.0</v>
      </c>
      <c r="M970" s="229">
        <v>0.0</v>
      </c>
      <c r="N970" s="349">
        <v>13.0</v>
      </c>
      <c r="O970" s="349">
        <v>140.0</v>
      </c>
      <c r="P970" s="221" t="s">
        <v>60</v>
      </c>
      <c r="Q970" s="353">
        <v>657.0</v>
      </c>
      <c r="R970" s="221" t="s">
        <v>37</v>
      </c>
      <c r="S970" s="227">
        <v>2019.0</v>
      </c>
      <c r="T970" s="349">
        <v>3.0</v>
      </c>
      <c r="U970" s="25">
        <f t="shared" si="186"/>
        <v>1971</v>
      </c>
      <c r="V970" s="24">
        <f t="shared" si="187"/>
        <v>110.7303371</v>
      </c>
      <c r="W970" s="3">
        <f t="shared" si="188"/>
        <v>1</v>
      </c>
      <c r="X970" s="3">
        <f t="shared" si="189"/>
        <v>17.8</v>
      </c>
      <c r="Y970" s="3">
        <f t="shared" si="190"/>
        <v>17.8</v>
      </c>
      <c r="Z970" s="25">
        <f t="shared" si="191"/>
        <v>0</v>
      </c>
      <c r="AA970" s="26">
        <f>VLOOKUP(S970,CPI!$A$2:$F$71,6,0)</f>
        <v>1.259947899</v>
      </c>
      <c r="AB970" s="27">
        <f t="shared" si="192"/>
        <v>2483.357309</v>
      </c>
      <c r="AC970" s="27">
        <f t="shared" si="193"/>
        <v>139.5144556</v>
      </c>
      <c r="AD970" s="26" t="s">
        <v>60</v>
      </c>
      <c r="AE970" s="354" t="s">
        <v>1790</v>
      </c>
      <c r="AF970" s="130"/>
      <c r="AG970" s="130"/>
      <c r="AH970" s="130"/>
      <c r="AI970" s="130"/>
      <c r="AJ970" s="33"/>
      <c r="AK970" s="33"/>
      <c r="AL970" s="33"/>
      <c r="AM970" s="206"/>
      <c r="AN970" s="206"/>
      <c r="AO970" s="206"/>
      <c r="AP970" s="206"/>
      <c r="AQ970" s="206"/>
    </row>
    <row r="971">
      <c r="A971" s="243">
        <v>11254.0</v>
      </c>
      <c r="B971" s="123" t="s">
        <v>1759</v>
      </c>
      <c r="C971" s="123" t="s">
        <v>1770</v>
      </c>
      <c r="D971" s="36" t="s">
        <v>866</v>
      </c>
      <c r="E971" s="123" t="s">
        <v>1804</v>
      </c>
      <c r="F971" s="152">
        <v>2017.0</v>
      </c>
      <c r="G971" s="152">
        <v>2027.0</v>
      </c>
      <c r="H971" s="75">
        <v>0.0</v>
      </c>
      <c r="I971" s="75">
        <v>9.7</v>
      </c>
      <c r="J971" s="244">
        <v>0.95</v>
      </c>
      <c r="K971" s="152">
        <v>9.3</v>
      </c>
      <c r="L971" s="75">
        <v>0.0</v>
      </c>
      <c r="M971" s="75">
        <v>0.0</v>
      </c>
      <c r="N971" s="152">
        <v>10.0</v>
      </c>
      <c r="O971" s="152">
        <v>125.0</v>
      </c>
      <c r="P971" s="142" t="s">
        <v>60</v>
      </c>
      <c r="Q971" s="245">
        <v>786.0</v>
      </c>
      <c r="R971" s="123" t="s">
        <v>37</v>
      </c>
      <c r="S971" s="75">
        <v>2020.0</v>
      </c>
      <c r="T971" s="152">
        <v>3.3</v>
      </c>
      <c r="U971" s="75">
        <f t="shared" si="186"/>
        <v>2593.8</v>
      </c>
      <c r="V971" s="24">
        <f t="shared" si="187"/>
        <v>267.4020619</v>
      </c>
      <c r="W971" s="3">
        <f t="shared" si="188"/>
        <v>1</v>
      </c>
      <c r="X971" s="3">
        <f t="shared" si="189"/>
        <v>9.7</v>
      </c>
      <c r="Y971" s="3">
        <f t="shared" si="190"/>
        <v>9.3</v>
      </c>
      <c r="Z971" s="25">
        <f t="shared" si="191"/>
        <v>0</v>
      </c>
      <c r="AA971" s="26">
        <f>VLOOKUP(S971,CPI!$A$2:$F$71,6,0)</f>
        <v>1.244593545</v>
      </c>
      <c r="AB971" s="27">
        <f t="shared" si="192"/>
        <v>3228.226737</v>
      </c>
      <c r="AC971" s="27">
        <f t="shared" si="193"/>
        <v>332.8068801</v>
      </c>
      <c r="AD971" s="26" t="s">
        <v>42</v>
      </c>
      <c r="AE971" s="354" t="s">
        <v>1790</v>
      </c>
      <c r="AF971" s="7"/>
      <c r="AG971" s="7"/>
      <c r="AH971" s="7"/>
      <c r="AI971" s="7"/>
      <c r="AM971" s="206"/>
      <c r="AN971" s="206"/>
      <c r="AO971" s="206"/>
      <c r="AP971" s="206"/>
      <c r="AQ971" s="206"/>
    </row>
    <row r="972">
      <c r="A972" s="170">
        <v>9834.0</v>
      </c>
      <c r="B972" s="123" t="s">
        <v>1759</v>
      </c>
      <c r="C972" s="123" t="s">
        <v>1770</v>
      </c>
      <c r="D972" s="36" t="s">
        <v>849</v>
      </c>
      <c r="E972" s="123" t="s">
        <v>1805</v>
      </c>
      <c r="F972" s="75">
        <v>2017.0</v>
      </c>
      <c r="G972" s="152">
        <v>2027.0</v>
      </c>
      <c r="H972" s="75">
        <v>0.0</v>
      </c>
      <c r="I972" s="75">
        <v>18.5</v>
      </c>
      <c r="J972" s="124">
        <f>K972/I972</f>
        <v>0.972972973</v>
      </c>
      <c r="K972" s="75">
        <v>18.0</v>
      </c>
      <c r="L972" s="125">
        <v>0.0</v>
      </c>
      <c r="M972" s="125">
        <v>0.0</v>
      </c>
      <c r="N972" s="75">
        <v>11.0</v>
      </c>
      <c r="O972" s="152">
        <v>180.0</v>
      </c>
      <c r="P972" s="123" t="s">
        <v>60</v>
      </c>
      <c r="Q972" s="157">
        <v>896.3</v>
      </c>
      <c r="R972" s="123" t="s">
        <v>37</v>
      </c>
      <c r="S972" s="75">
        <v>2020.0</v>
      </c>
      <c r="T972" s="152">
        <v>3.3</v>
      </c>
      <c r="U972" s="75">
        <f t="shared" si="186"/>
        <v>2957.79</v>
      </c>
      <c r="V972" s="24">
        <f t="shared" si="187"/>
        <v>159.8805405</v>
      </c>
      <c r="W972" s="3">
        <f t="shared" si="188"/>
        <v>1</v>
      </c>
      <c r="X972" s="3">
        <f t="shared" si="189"/>
        <v>18.5</v>
      </c>
      <c r="Y972" s="3">
        <f t="shared" si="190"/>
        <v>18</v>
      </c>
      <c r="Z972" s="25">
        <f t="shared" si="191"/>
        <v>0</v>
      </c>
      <c r="AA972" s="26">
        <f>VLOOKUP(S972,CPI!$A$2:$F$71,6,0)</f>
        <v>1.244593545</v>
      </c>
      <c r="AB972" s="27">
        <f t="shared" si="192"/>
        <v>3681.246342</v>
      </c>
      <c r="AC972" s="27">
        <f t="shared" si="193"/>
        <v>198.9862887</v>
      </c>
      <c r="AD972" s="26" t="s">
        <v>60</v>
      </c>
      <c r="AE972" s="354" t="s">
        <v>1796</v>
      </c>
      <c r="AF972" s="130"/>
      <c r="AG972" s="130"/>
      <c r="AH972" s="130"/>
      <c r="AI972" s="130"/>
      <c r="AJ972" s="33"/>
      <c r="AK972" s="33"/>
      <c r="AL972" s="33"/>
      <c r="AM972" s="206"/>
      <c r="AN972" s="206"/>
      <c r="AO972" s="206"/>
      <c r="AP972" s="206"/>
      <c r="AQ972" s="206"/>
    </row>
    <row r="973">
      <c r="A973" s="38">
        <v>7626.0</v>
      </c>
      <c r="B973" s="6" t="s">
        <v>1759</v>
      </c>
      <c r="C973" s="362" t="s">
        <v>1806</v>
      </c>
      <c r="D973" s="36" t="s">
        <v>866</v>
      </c>
      <c r="E973" s="6" t="s">
        <v>1807</v>
      </c>
      <c r="F973" s="6">
        <v>1995.0</v>
      </c>
      <c r="G973" s="6">
        <v>2000.0</v>
      </c>
      <c r="H973" s="6">
        <v>0.0</v>
      </c>
      <c r="I973" s="6">
        <v>11.6</v>
      </c>
      <c r="J973" s="345">
        <v>0.2931</v>
      </c>
      <c r="K973" s="6">
        <v>3.4</v>
      </c>
      <c r="L973" s="346">
        <v>0.0</v>
      </c>
      <c r="M973" s="346">
        <v>0.0</v>
      </c>
      <c r="N973" s="6">
        <v>10.0</v>
      </c>
      <c r="O973" s="85"/>
      <c r="P973" s="36" t="s">
        <v>60</v>
      </c>
      <c r="Q973" s="347">
        <v>600.0</v>
      </c>
      <c r="R973" s="6" t="s">
        <v>37</v>
      </c>
      <c r="S973" s="6">
        <v>1998.0</v>
      </c>
      <c r="T973" s="6">
        <v>2.0</v>
      </c>
      <c r="U973" s="6">
        <f t="shared" si="186"/>
        <v>1200</v>
      </c>
      <c r="V973" s="24">
        <f t="shared" si="187"/>
        <v>103.4482759</v>
      </c>
      <c r="W973" s="3">
        <f t="shared" si="188"/>
        <v>1</v>
      </c>
      <c r="X973" s="3">
        <f t="shared" si="189"/>
        <v>11.6</v>
      </c>
      <c r="Y973" s="3">
        <f t="shared" si="190"/>
        <v>3.4</v>
      </c>
      <c r="Z973" s="25">
        <f t="shared" si="191"/>
        <v>0</v>
      </c>
      <c r="AA973" s="26">
        <f>VLOOKUP(S973,CPI!$A$2:$F$71,6,0)</f>
        <v>1.976162577</v>
      </c>
      <c r="AB973" s="27">
        <f t="shared" si="192"/>
        <v>2371.395092</v>
      </c>
      <c r="AC973" s="27">
        <f t="shared" si="193"/>
        <v>204.4306114</v>
      </c>
      <c r="AD973" s="36" t="s">
        <v>42</v>
      </c>
      <c r="AE973" s="182" t="s">
        <v>1808</v>
      </c>
      <c r="AF973" s="130"/>
      <c r="AG973" s="130"/>
      <c r="AH973" s="130"/>
      <c r="AI973" s="130"/>
      <c r="AJ973" s="33"/>
      <c r="AK973" s="33"/>
      <c r="AL973" s="33"/>
      <c r="AM973" s="206"/>
      <c r="AN973" s="206"/>
      <c r="AO973" s="206"/>
      <c r="AP973" s="206"/>
      <c r="AQ973" s="206"/>
    </row>
    <row r="974">
      <c r="A974" s="38">
        <v>7632.0</v>
      </c>
      <c r="B974" s="6" t="s">
        <v>1759</v>
      </c>
      <c r="C974" s="362" t="s">
        <v>1806</v>
      </c>
      <c r="D974" s="36" t="s">
        <v>866</v>
      </c>
      <c r="E974" s="6" t="s">
        <v>1809</v>
      </c>
      <c r="F974" s="6">
        <v>2010.0</v>
      </c>
      <c r="G974" s="6">
        <v>2012.0</v>
      </c>
      <c r="H974" s="6">
        <v>0.0</v>
      </c>
      <c r="I974" s="6">
        <v>2.25</v>
      </c>
      <c r="J974" s="345">
        <v>1.0</v>
      </c>
      <c r="K974" s="6">
        <v>2.25</v>
      </c>
      <c r="L974" s="346">
        <v>0.0</v>
      </c>
      <c r="M974" s="346">
        <v>0.0</v>
      </c>
      <c r="N974" s="6">
        <v>2.0</v>
      </c>
      <c r="O974" s="85"/>
      <c r="P974" s="36" t="s">
        <v>60</v>
      </c>
      <c r="Q974" s="347">
        <v>106.0</v>
      </c>
      <c r="R974" s="6" t="s">
        <v>1765</v>
      </c>
      <c r="S974" s="6">
        <v>2011.0</v>
      </c>
      <c r="T974" s="6">
        <v>1.0</v>
      </c>
      <c r="U974" s="6">
        <f t="shared" si="186"/>
        <v>106</v>
      </c>
      <c r="V974" s="24">
        <f t="shared" si="187"/>
        <v>47.11111111</v>
      </c>
      <c r="W974" s="3">
        <f t="shared" si="188"/>
        <v>1</v>
      </c>
      <c r="X974" s="3">
        <f t="shared" si="189"/>
        <v>2.25</v>
      </c>
      <c r="Y974" s="3">
        <f t="shared" si="190"/>
        <v>2.25</v>
      </c>
      <c r="Z974" s="25">
        <f t="shared" si="191"/>
        <v>0</v>
      </c>
      <c r="AA974" s="26">
        <f>VLOOKUP(S974,CPI!$A$2:$F$71,6,0)</f>
        <v>1.432008233</v>
      </c>
      <c r="AB974" s="27">
        <f t="shared" si="192"/>
        <v>151.7928727</v>
      </c>
      <c r="AC974" s="27">
        <f t="shared" si="193"/>
        <v>67.46349899</v>
      </c>
      <c r="AD974" s="36" t="s">
        <v>60</v>
      </c>
      <c r="AE974" s="182" t="s">
        <v>1810</v>
      </c>
      <c r="AF974" s="130"/>
      <c r="AG974" s="130"/>
      <c r="AH974" s="130"/>
      <c r="AI974" s="130"/>
      <c r="AJ974" s="33"/>
      <c r="AK974" s="33"/>
      <c r="AL974" s="33"/>
      <c r="AM974" s="206"/>
      <c r="AN974" s="206"/>
      <c r="AO974" s="206"/>
      <c r="AP974" s="206"/>
      <c r="AQ974" s="206"/>
    </row>
    <row r="975">
      <c r="A975" s="38">
        <v>7627.0</v>
      </c>
      <c r="B975" s="6" t="s">
        <v>1759</v>
      </c>
      <c r="C975" s="362" t="s">
        <v>1806</v>
      </c>
      <c r="D975" s="36" t="s">
        <v>866</v>
      </c>
      <c r="E975" s="6" t="s">
        <v>1811</v>
      </c>
      <c r="F975" s="6">
        <v>2005.0</v>
      </c>
      <c r="G975" s="6">
        <v>2014.0</v>
      </c>
      <c r="H975" s="6">
        <v>0.0</v>
      </c>
      <c r="I975" s="6">
        <v>5.35</v>
      </c>
      <c r="J975" s="345">
        <v>1.0</v>
      </c>
      <c r="K975" s="6">
        <v>5.35</v>
      </c>
      <c r="L975" s="346">
        <v>0.0</v>
      </c>
      <c r="M975" s="346">
        <v>0.0</v>
      </c>
      <c r="N975" s="6">
        <v>6.0</v>
      </c>
      <c r="O975" s="85"/>
      <c r="P975" s="36" t="s">
        <v>60</v>
      </c>
      <c r="Q975" s="347">
        <v>252.0</v>
      </c>
      <c r="R975" s="6" t="s">
        <v>1765</v>
      </c>
      <c r="S975" s="6">
        <v>2010.0</v>
      </c>
      <c r="T975" s="6">
        <v>1.1</v>
      </c>
      <c r="U975" s="6">
        <f t="shared" si="186"/>
        <v>277.2</v>
      </c>
      <c r="V975" s="24">
        <f t="shared" si="187"/>
        <v>51.81308411</v>
      </c>
      <c r="W975" s="3">
        <f t="shared" si="188"/>
        <v>1</v>
      </c>
      <c r="X975" s="3">
        <f t="shared" si="189"/>
        <v>5.35</v>
      </c>
      <c r="Y975" s="3">
        <f t="shared" si="190"/>
        <v>5.35</v>
      </c>
      <c r="Z975" s="25">
        <f t="shared" si="191"/>
        <v>0</v>
      </c>
      <c r="AA975" s="26">
        <f>VLOOKUP(S975,CPI!$A$2:$F$71,6,0)</f>
        <v>1.477209983</v>
      </c>
      <c r="AB975" s="27">
        <f t="shared" si="192"/>
        <v>409.4826072</v>
      </c>
      <c r="AC975" s="27">
        <f t="shared" si="193"/>
        <v>76.53880509</v>
      </c>
      <c r="AD975" s="36" t="s">
        <v>60</v>
      </c>
      <c r="AE975" s="182" t="s">
        <v>1810</v>
      </c>
      <c r="AF975" s="130"/>
      <c r="AG975" s="130"/>
      <c r="AH975" s="130"/>
      <c r="AI975" s="130"/>
      <c r="AJ975" s="33"/>
      <c r="AK975" s="33"/>
      <c r="AL975" s="33"/>
      <c r="AM975" s="206"/>
      <c r="AN975" s="206"/>
      <c r="AO975" s="206"/>
      <c r="AP975" s="206"/>
      <c r="AQ975" s="206"/>
    </row>
    <row r="976">
      <c r="A976" s="38">
        <v>7579.0</v>
      </c>
      <c r="B976" s="26" t="s">
        <v>1812</v>
      </c>
      <c r="C976" s="26" t="s">
        <v>1813</v>
      </c>
      <c r="D976" s="26" t="s">
        <v>1814</v>
      </c>
      <c r="E976" s="26" t="s">
        <v>1814</v>
      </c>
      <c r="F976" s="25">
        <v>2001.0</v>
      </c>
      <c r="G976" s="25">
        <v>2008.0</v>
      </c>
      <c r="H976" s="25">
        <v>0.0</v>
      </c>
      <c r="I976" s="25">
        <v>43.0</v>
      </c>
      <c r="J976" s="50">
        <v>0.74</v>
      </c>
      <c r="K976" s="25">
        <v>31.8</v>
      </c>
      <c r="L976" s="51">
        <v>0.0</v>
      </c>
      <c r="M976" s="51">
        <v>0.0</v>
      </c>
      <c r="N976" s="25">
        <v>38.0</v>
      </c>
      <c r="O976" s="25"/>
      <c r="P976" s="26" t="s">
        <v>59</v>
      </c>
      <c r="Q976" s="52">
        <v>181300.0</v>
      </c>
      <c r="R976" s="26" t="s">
        <v>1815</v>
      </c>
      <c r="S976" s="25">
        <v>2004.0</v>
      </c>
      <c r="T976" s="25">
        <v>0.0664</v>
      </c>
      <c r="U976" s="25">
        <f t="shared" si="186"/>
        <v>12038.32</v>
      </c>
      <c r="V976" s="24">
        <f t="shared" si="187"/>
        <v>279.9609302</v>
      </c>
      <c r="W976" s="3">
        <f t="shared" si="188"/>
        <v>0</v>
      </c>
      <c r="X976" s="3">
        <f t="shared" si="189"/>
        <v>0</v>
      </c>
      <c r="Y976" s="3">
        <f t="shared" si="190"/>
        <v>0</v>
      </c>
      <c r="Z976" s="25">
        <f t="shared" si="191"/>
        <v>0</v>
      </c>
      <c r="AA976" s="26">
        <f>VLOOKUP(S976,CPI!$A$2:$F$71,6,0)</f>
        <v>1.705211752</v>
      </c>
      <c r="AB976" s="27">
        <f t="shared" si="192"/>
        <v>20527.88474</v>
      </c>
      <c r="AC976" s="27">
        <f t="shared" si="193"/>
        <v>477.3926684</v>
      </c>
      <c r="AD976" s="26" t="s">
        <v>36</v>
      </c>
      <c r="AE976" s="251" t="s">
        <v>1816</v>
      </c>
      <c r="AF976" s="130"/>
      <c r="AG976" s="130"/>
      <c r="AH976" s="130"/>
      <c r="AI976" s="130"/>
      <c r="AJ976" s="33"/>
      <c r="AK976" s="33"/>
      <c r="AL976" s="33"/>
      <c r="AM976" s="206"/>
      <c r="AN976" s="206"/>
      <c r="AO976" s="206"/>
      <c r="AP976" s="206"/>
      <c r="AQ976" s="206"/>
    </row>
    <row r="977">
      <c r="A977" s="38">
        <v>7584.0</v>
      </c>
      <c r="B977" s="26" t="s">
        <v>1812</v>
      </c>
      <c r="C977" s="26" t="s">
        <v>1813</v>
      </c>
      <c r="D977" s="26" t="s">
        <v>1817</v>
      </c>
      <c r="E977" s="26" t="s">
        <v>1817</v>
      </c>
      <c r="F977" s="25">
        <v>2008.0</v>
      </c>
      <c r="G977" s="25">
        <v>2018.0</v>
      </c>
      <c r="H977" s="25">
        <v>1.0</v>
      </c>
      <c r="I977" s="25">
        <v>15.4</v>
      </c>
      <c r="J977" s="50">
        <v>1.0</v>
      </c>
      <c r="K977" s="25">
        <v>15.4</v>
      </c>
      <c r="L977" s="51">
        <v>0.0</v>
      </c>
      <c r="M977" s="51">
        <v>0.0</v>
      </c>
      <c r="N977" s="25">
        <v>10.0</v>
      </c>
      <c r="O977" s="25"/>
      <c r="P977" s="26" t="s">
        <v>60</v>
      </c>
      <c r="Q977" s="52">
        <v>99870.0</v>
      </c>
      <c r="R977" s="26" t="s">
        <v>1815</v>
      </c>
      <c r="S977" s="25">
        <v>2013.0</v>
      </c>
      <c r="T977" s="25">
        <v>0.0664</v>
      </c>
      <c r="U977" s="25">
        <f t="shared" si="186"/>
        <v>6631.368</v>
      </c>
      <c r="V977" s="24">
        <f t="shared" si="187"/>
        <v>430.6083117</v>
      </c>
      <c r="W977" s="3">
        <f t="shared" si="188"/>
        <v>0</v>
      </c>
      <c r="X977" s="3">
        <f t="shared" si="189"/>
        <v>0</v>
      </c>
      <c r="Y977" s="3">
        <f t="shared" si="190"/>
        <v>0</v>
      </c>
      <c r="Z977" s="25">
        <f t="shared" si="191"/>
        <v>0</v>
      </c>
      <c r="AA977" s="26">
        <f>VLOOKUP(S977,CPI!$A$2:$F$71,6,0)</f>
        <v>1.382720845</v>
      </c>
      <c r="AB977" s="27">
        <f t="shared" si="192"/>
        <v>9169.330768</v>
      </c>
      <c r="AC977" s="27">
        <f t="shared" si="193"/>
        <v>595.4110888</v>
      </c>
      <c r="AD977" s="26" t="s">
        <v>60</v>
      </c>
      <c r="AE977" s="251" t="s">
        <v>1818</v>
      </c>
      <c r="AF977" s="130"/>
      <c r="AG977" s="130"/>
      <c r="AH977" s="130"/>
      <c r="AI977" s="130"/>
      <c r="AJ977" s="33"/>
      <c r="AK977" s="33"/>
      <c r="AL977" s="33"/>
      <c r="AM977" s="206"/>
      <c r="AN977" s="206"/>
      <c r="AO977" s="206"/>
      <c r="AP977" s="206"/>
      <c r="AQ977" s="206"/>
    </row>
    <row r="978">
      <c r="A978" s="38">
        <v>7586.0</v>
      </c>
      <c r="B978" s="26" t="s">
        <v>1812</v>
      </c>
      <c r="C978" s="26" t="s">
        <v>1819</v>
      </c>
      <c r="D978" s="26" t="s">
        <v>127</v>
      </c>
      <c r="E978" s="26" t="s">
        <v>127</v>
      </c>
      <c r="F978" s="25">
        <v>2010.0</v>
      </c>
      <c r="G978" s="25">
        <v>2020.0</v>
      </c>
      <c r="H978" s="25">
        <v>0.0</v>
      </c>
      <c r="I978" s="25">
        <v>16.7</v>
      </c>
      <c r="J978" s="50">
        <v>0.0</v>
      </c>
      <c r="K978" s="25">
        <v>0.0</v>
      </c>
      <c r="L978" s="51">
        <v>0.0</v>
      </c>
      <c r="M978" s="51">
        <v>0.0</v>
      </c>
      <c r="N978" s="25">
        <v>18.0</v>
      </c>
      <c r="O978" s="25"/>
      <c r="P978" s="26" t="s">
        <v>60</v>
      </c>
      <c r="Q978" s="52">
        <v>59337.0</v>
      </c>
      <c r="R978" s="26" t="s">
        <v>1815</v>
      </c>
      <c r="S978" s="25">
        <v>2015.0</v>
      </c>
      <c r="T978" s="25">
        <v>0.0664</v>
      </c>
      <c r="U978" s="25">
        <f t="shared" si="186"/>
        <v>3939.9768</v>
      </c>
      <c r="V978" s="24">
        <f t="shared" si="187"/>
        <v>235.9267545</v>
      </c>
      <c r="W978" s="3">
        <f t="shared" si="188"/>
        <v>0</v>
      </c>
      <c r="X978" s="3">
        <f t="shared" si="189"/>
        <v>0</v>
      </c>
      <c r="Y978" s="3">
        <f t="shared" si="190"/>
        <v>0</v>
      </c>
      <c r="Z978" s="25">
        <f t="shared" si="191"/>
        <v>0</v>
      </c>
      <c r="AA978" s="26">
        <f>VLOOKUP(S978,CPI!$A$2:$F$71,6,0)</f>
        <v>1.359035428</v>
      </c>
      <c r="AB978" s="27">
        <f t="shared" si="192"/>
        <v>5354.568056</v>
      </c>
      <c r="AC978" s="27">
        <f t="shared" si="193"/>
        <v>320.6328177</v>
      </c>
      <c r="AD978" s="26" t="s">
        <v>60</v>
      </c>
      <c r="AE978" s="53" t="s">
        <v>1820</v>
      </c>
      <c r="AF978" s="130"/>
      <c r="AG978" s="130"/>
      <c r="AH978" s="130"/>
      <c r="AI978" s="130"/>
      <c r="AJ978" s="33"/>
      <c r="AK978" s="33"/>
      <c r="AL978" s="33"/>
      <c r="AM978" s="206"/>
      <c r="AN978" s="206"/>
      <c r="AO978" s="206"/>
      <c r="AP978" s="206"/>
      <c r="AQ978" s="206"/>
    </row>
    <row r="979">
      <c r="A979" s="38">
        <v>7585.0</v>
      </c>
      <c r="B979" s="26" t="s">
        <v>1812</v>
      </c>
      <c r="C979" s="26" t="s">
        <v>1821</v>
      </c>
      <c r="D979" s="26" t="s">
        <v>1822</v>
      </c>
      <c r="E979" s="26" t="s">
        <v>1822</v>
      </c>
      <c r="F979" s="25">
        <v>2019.0</v>
      </c>
      <c r="G979" s="25">
        <v>2024.0</v>
      </c>
      <c r="H979" s="25">
        <v>1.0</v>
      </c>
      <c r="I979" s="25">
        <v>8.2</v>
      </c>
      <c r="J979" s="50">
        <v>1.0</v>
      </c>
      <c r="K979" s="25">
        <v>8.2</v>
      </c>
      <c r="L979" s="51">
        <v>0.0</v>
      </c>
      <c r="M979" s="51">
        <v>0.0</v>
      </c>
      <c r="N979" s="25">
        <v>3.0</v>
      </c>
      <c r="O979" s="25"/>
      <c r="P979" s="26" t="s">
        <v>60</v>
      </c>
      <c r="Q979" s="52">
        <v>29360.0</v>
      </c>
      <c r="R979" s="26" t="s">
        <v>1815</v>
      </c>
      <c r="S979" s="25">
        <v>2021.0</v>
      </c>
      <c r="T979" s="25">
        <v>0.0664</v>
      </c>
      <c r="U979" s="25">
        <f t="shared" si="186"/>
        <v>1949.504</v>
      </c>
      <c r="V979" s="24">
        <f t="shared" si="187"/>
        <v>237.7443902</v>
      </c>
      <c r="W979" s="3">
        <f t="shared" si="188"/>
        <v>0</v>
      </c>
      <c r="X979" s="3">
        <f t="shared" si="189"/>
        <v>0</v>
      </c>
      <c r="Y979" s="3">
        <f t="shared" si="190"/>
        <v>0</v>
      </c>
      <c r="Z979" s="25">
        <f t="shared" si="191"/>
        <v>0</v>
      </c>
      <c r="AA979" s="26">
        <f>VLOOKUP(S979,CPI!$A$2:$F$71,6,0)</f>
        <v>1.188745987</v>
      </c>
      <c r="AB979" s="27">
        <f t="shared" si="192"/>
        <v>2317.465056</v>
      </c>
      <c r="AC979" s="27">
        <f t="shared" si="193"/>
        <v>282.6176897</v>
      </c>
      <c r="AD979" s="26" t="s">
        <v>60</v>
      </c>
      <c r="AE979" s="53" t="s">
        <v>1823</v>
      </c>
      <c r="AF979" s="130"/>
      <c r="AG979" s="130"/>
      <c r="AH979" s="130"/>
      <c r="AI979" s="130"/>
      <c r="AJ979" s="33"/>
      <c r="AK979" s="33"/>
      <c r="AL979" s="33"/>
      <c r="AM979" s="206"/>
      <c r="AN979" s="206"/>
      <c r="AO979" s="206"/>
      <c r="AP979" s="206"/>
      <c r="AQ979" s="206"/>
    </row>
    <row r="980">
      <c r="A980" s="61">
        <v>9810.0</v>
      </c>
      <c r="B980" s="26" t="s">
        <v>1812</v>
      </c>
      <c r="C980" s="26" t="s">
        <v>1824</v>
      </c>
      <c r="D980" s="26" t="s">
        <v>1825</v>
      </c>
      <c r="E980" s="26" t="s">
        <v>1825</v>
      </c>
      <c r="F980" s="25">
        <v>2002.0</v>
      </c>
      <c r="G980" s="25">
        <v>2009.0</v>
      </c>
      <c r="H980" s="25">
        <v>0.0</v>
      </c>
      <c r="I980" s="25">
        <v>14.8</v>
      </c>
      <c r="J980" s="50">
        <v>0.26</v>
      </c>
      <c r="K980" s="25">
        <v>3.8</v>
      </c>
      <c r="L980" s="51">
        <v>0.0</v>
      </c>
      <c r="M980" s="51">
        <v>0.0</v>
      </c>
      <c r="N980" s="25">
        <v>12.0</v>
      </c>
      <c r="O980" s="25"/>
      <c r="P980" s="26" t="s">
        <v>59</v>
      </c>
      <c r="Q980" s="52">
        <v>63714.0</v>
      </c>
      <c r="R980" s="26" t="s">
        <v>1815</v>
      </c>
      <c r="S980" s="25">
        <v>2005.0</v>
      </c>
      <c r="T980" s="25">
        <v>0.0664</v>
      </c>
      <c r="U980" s="25">
        <f t="shared" si="186"/>
        <v>4230.6096</v>
      </c>
      <c r="V980" s="24">
        <f t="shared" si="187"/>
        <v>285.852</v>
      </c>
      <c r="W980" s="3">
        <f t="shared" si="188"/>
        <v>0</v>
      </c>
      <c r="X980" s="3">
        <f t="shared" si="189"/>
        <v>0</v>
      </c>
      <c r="Y980" s="3">
        <f t="shared" si="190"/>
        <v>0</v>
      </c>
      <c r="Z980" s="25">
        <f t="shared" si="191"/>
        <v>0</v>
      </c>
      <c r="AA980" s="26">
        <f>VLOOKUP(S980,CPI!$A$2:$F$71,6,0)</f>
        <v>1.649331797</v>
      </c>
      <c r="AB980" s="27">
        <f t="shared" si="192"/>
        <v>6977.678935</v>
      </c>
      <c r="AC980" s="27">
        <f t="shared" si="193"/>
        <v>471.4647929</v>
      </c>
      <c r="AD980" s="26" t="s">
        <v>60</v>
      </c>
      <c r="AE980" s="53" t="s">
        <v>1826</v>
      </c>
      <c r="AF980" s="130"/>
      <c r="AG980" s="130"/>
      <c r="AH980" s="130"/>
      <c r="AI980" s="130"/>
      <c r="AJ980" s="33"/>
      <c r="AK980" s="33"/>
      <c r="AL980" s="33"/>
      <c r="AM980" s="206"/>
      <c r="AN980" s="206"/>
      <c r="AO980" s="206"/>
      <c r="AP980" s="206"/>
      <c r="AQ980" s="206"/>
    </row>
    <row r="981">
      <c r="A981" s="61">
        <v>9809.0</v>
      </c>
      <c r="B981" s="26" t="s">
        <v>1812</v>
      </c>
      <c r="C981" s="26" t="s">
        <v>1824</v>
      </c>
      <c r="D981" s="16" t="s">
        <v>1827</v>
      </c>
      <c r="E981" s="26" t="s">
        <v>1827</v>
      </c>
      <c r="F981" s="25">
        <v>1988.0</v>
      </c>
      <c r="G981" s="25">
        <v>2012.0</v>
      </c>
      <c r="H981" s="25">
        <v>0.0</v>
      </c>
      <c r="I981" s="25">
        <f>25.1+22.8+12.5+23.7+24.6-14.8</f>
        <v>93.9</v>
      </c>
      <c r="J981" s="50">
        <v>0.65</v>
      </c>
      <c r="K981" s="25">
        <f>0+3.9+12.5+23.7+24.6-3.8</f>
        <v>60.9</v>
      </c>
      <c r="L981" s="51">
        <v>0.0</v>
      </c>
      <c r="M981" s="51">
        <v>0.0</v>
      </c>
      <c r="N981" s="25">
        <f>24+21+13+24+22-12</f>
        <v>92</v>
      </c>
      <c r="O981" s="25"/>
      <c r="P981" s="26" t="s">
        <v>59</v>
      </c>
      <c r="Q981" s="52">
        <f>621000-63714</f>
        <v>557286</v>
      </c>
      <c r="R981" s="26" t="s">
        <v>1815</v>
      </c>
      <c r="S981" s="25">
        <v>2000.0</v>
      </c>
      <c r="T981" s="25">
        <v>0.0664</v>
      </c>
      <c r="U981" s="25">
        <f t="shared" si="186"/>
        <v>37003.7904</v>
      </c>
      <c r="V981" s="24">
        <f t="shared" si="187"/>
        <v>394.0765751</v>
      </c>
      <c r="W981" s="3">
        <f t="shared" si="188"/>
        <v>0</v>
      </c>
      <c r="X981" s="3">
        <f t="shared" si="189"/>
        <v>0</v>
      </c>
      <c r="Y981" s="3">
        <f t="shared" si="190"/>
        <v>0</v>
      </c>
      <c r="Z981" s="25">
        <f t="shared" si="191"/>
        <v>0</v>
      </c>
      <c r="AA981" s="26">
        <f>VLOOKUP(S981,CPI!$A$2:$F$71,6,0)</f>
        <v>1.870583624</v>
      </c>
      <c r="AB981" s="27">
        <f t="shared" si="192"/>
        <v>69218.68434</v>
      </c>
      <c r="AC981" s="27">
        <f t="shared" si="193"/>
        <v>737.1531878</v>
      </c>
      <c r="AD981" s="26" t="s">
        <v>36</v>
      </c>
      <c r="AE981" s="251" t="s">
        <v>1816</v>
      </c>
      <c r="AF981" s="130"/>
      <c r="AG981" s="130"/>
      <c r="AH981" s="130"/>
      <c r="AI981" s="130"/>
      <c r="AJ981" s="33"/>
      <c r="AK981" s="33"/>
      <c r="AL981" s="33"/>
      <c r="AM981" s="206"/>
      <c r="AN981" s="206"/>
      <c r="AO981" s="206"/>
      <c r="AP981" s="206"/>
      <c r="AQ981" s="206"/>
    </row>
    <row r="982">
      <c r="A982" s="61">
        <v>9811.0</v>
      </c>
      <c r="B982" s="26" t="s">
        <v>1812</v>
      </c>
      <c r="C982" s="26" t="s">
        <v>1824</v>
      </c>
      <c r="D982" s="1" t="s">
        <v>1828</v>
      </c>
      <c r="E982" s="26" t="s">
        <v>1828</v>
      </c>
      <c r="F982" s="25">
        <v>2002.0</v>
      </c>
      <c r="G982" s="25">
        <v>2013.0</v>
      </c>
      <c r="H982" s="25">
        <v>0.0</v>
      </c>
      <c r="I982" s="25">
        <v>6.5</v>
      </c>
      <c r="J982" s="50">
        <v>1.0</v>
      </c>
      <c r="K982" s="25">
        <v>6.5</v>
      </c>
      <c r="L982" s="51">
        <v>0.0</v>
      </c>
      <c r="M982" s="51">
        <v>0.0</v>
      </c>
      <c r="N982" s="58">
        <v>7.0</v>
      </c>
      <c r="O982" s="25"/>
      <c r="P982" s="26" t="s">
        <v>42</v>
      </c>
      <c r="Q982" s="52">
        <v>39000.0</v>
      </c>
      <c r="R982" s="26" t="s">
        <v>1815</v>
      </c>
      <c r="S982" s="25">
        <v>2007.0</v>
      </c>
      <c r="T982" s="25">
        <v>0.0664</v>
      </c>
      <c r="U982" s="25">
        <f t="shared" si="186"/>
        <v>2589.6</v>
      </c>
      <c r="V982" s="24">
        <f t="shared" si="187"/>
        <v>398.4</v>
      </c>
      <c r="W982" s="3">
        <f t="shared" si="188"/>
        <v>0</v>
      </c>
      <c r="X982" s="3">
        <f t="shared" si="189"/>
        <v>0</v>
      </c>
      <c r="Y982" s="3">
        <f t="shared" si="190"/>
        <v>0</v>
      </c>
      <c r="Z982" s="25">
        <f t="shared" si="191"/>
        <v>0</v>
      </c>
      <c r="AA982" s="26">
        <f>VLOOKUP(S982,CPI!$A$2:$F$71,6,0)</f>
        <v>1.553541974</v>
      </c>
      <c r="AB982" s="27">
        <f t="shared" si="192"/>
        <v>4023.052296</v>
      </c>
      <c r="AC982" s="27">
        <f t="shared" si="193"/>
        <v>618.9311225</v>
      </c>
      <c r="AD982" s="26" t="s">
        <v>42</v>
      </c>
      <c r="AE982" s="53" t="s">
        <v>1829</v>
      </c>
      <c r="AF982" s="301"/>
      <c r="AG982" s="301"/>
      <c r="AH982" s="301"/>
      <c r="AI982" s="301"/>
      <c r="AJ982" s="315"/>
      <c r="AK982" s="315"/>
      <c r="AL982" s="33"/>
      <c r="AM982" s="206"/>
      <c r="AN982" s="206"/>
      <c r="AO982" s="206"/>
      <c r="AP982" s="206"/>
      <c r="AQ982" s="206"/>
    </row>
    <row r="983">
      <c r="A983" s="38">
        <v>7571.0</v>
      </c>
      <c r="B983" s="26" t="s">
        <v>1812</v>
      </c>
      <c r="C983" s="26" t="s">
        <v>1824</v>
      </c>
      <c r="D983" s="26" t="s">
        <v>1830</v>
      </c>
      <c r="E983" s="26" t="s">
        <v>1830</v>
      </c>
      <c r="F983" s="25">
        <v>2006.0</v>
      </c>
      <c r="G983" s="25">
        <v>2017.0</v>
      </c>
      <c r="H983" s="25">
        <v>0.0</v>
      </c>
      <c r="I983" s="25">
        <v>51.0</v>
      </c>
      <c r="J983" s="50">
        <v>0.21</v>
      </c>
      <c r="K983" s="25">
        <v>10.7</v>
      </c>
      <c r="L983" s="51">
        <v>0.0</v>
      </c>
      <c r="M983" s="51">
        <v>0.0</v>
      </c>
      <c r="N983" s="25">
        <v>22.0</v>
      </c>
      <c r="O983" s="25"/>
      <c r="P983" s="26" t="s">
        <v>74</v>
      </c>
      <c r="Q983" s="52">
        <v>113850.0</v>
      </c>
      <c r="R983" s="26" t="s">
        <v>1815</v>
      </c>
      <c r="S983" s="25">
        <v>2011.0</v>
      </c>
      <c r="T983" s="25">
        <v>0.0664</v>
      </c>
      <c r="U983" s="25">
        <f t="shared" si="186"/>
        <v>7559.64</v>
      </c>
      <c r="V983" s="24">
        <f t="shared" si="187"/>
        <v>148.2282353</v>
      </c>
      <c r="W983" s="3">
        <f t="shared" si="188"/>
        <v>0</v>
      </c>
      <c r="X983" s="3">
        <f t="shared" si="189"/>
        <v>0</v>
      </c>
      <c r="Y983" s="3">
        <f t="shared" si="190"/>
        <v>0</v>
      </c>
      <c r="Z983" s="25">
        <f t="shared" si="191"/>
        <v>0</v>
      </c>
      <c r="AA983" s="26">
        <f>VLOOKUP(S983,CPI!$A$2:$F$71,6,0)</f>
        <v>1.432008233</v>
      </c>
      <c r="AB983" s="27">
        <f t="shared" si="192"/>
        <v>10825.46672</v>
      </c>
      <c r="AC983" s="27">
        <f t="shared" si="193"/>
        <v>212.2640534</v>
      </c>
      <c r="AD983" s="26" t="s">
        <v>42</v>
      </c>
      <c r="AE983" s="57" t="s">
        <v>1831</v>
      </c>
      <c r="AF983" s="130"/>
      <c r="AG983" s="130"/>
      <c r="AH983" s="130"/>
      <c r="AI983" s="130"/>
      <c r="AJ983" s="130"/>
      <c r="AK983" s="130"/>
      <c r="AL983" s="130"/>
      <c r="AM983" s="206"/>
      <c r="AN983" s="206"/>
      <c r="AO983" s="206"/>
      <c r="AP983" s="206"/>
      <c r="AQ983" s="206"/>
    </row>
    <row r="984">
      <c r="A984" s="38">
        <v>7570.0</v>
      </c>
      <c r="B984" s="26" t="s">
        <v>1812</v>
      </c>
      <c r="C984" s="26" t="s">
        <v>1824</v>
      </c>
      <c r="D984" s="16" t="s">
        <v>1832</v>
      </c>
      <c r="E984" s="26" t="s">
        <v>1833</v>
      </c>
      <c r="F984" s="25">
        <v>2011.0</v>
      </c>
      <c r="G984" s="25">
        <v>2020.0</v>
      </c>
      <c r="H984" s="25">
        <v>0.0</v>
      </c>
      <c r="I984" s="25">
        <v>15.4</v>
      </c>
      <c r="J984" s="50">
        <v>0.07</v>
      </c>
      <c r="K984" s="25">
        <v>1.1</v>
      </c>
      <c r="L984" s="51">
        <v>0.0</v>
      </c>
      <c r="M984" s="51">
        <v>0.0</v>
      </c>
      <c r="N984" s="25">
        <v>14.0</v>
      </c>
      <c r="O984" s="25"/>
      <c r="P984" s="26" t="s">
        <v>59</v>
      </c>
      <c r="Q984" s="52">
        <v>69970.0</v>
      </c>
      <c r="R984" s="26" t="s">
        <v>1815</v>
      </c>
      <c r="S984" s="25">
        <v>2015.0</v>
      </c>
      <c r="T984" s="25">
        <v>0.0664</v>
      </c>
      <c r="U984" s="25">
        <f t="shared" si="186"/>
        <v>4646.008</v>
      </c>
      <c r="V984" s="24">
        <f t="shared" si="187"/>
        <v>301.6888312</v>
      </c>
      <c r="W984" s="3">
        <f t="shared" si="188"/>
        <v>0</v>
      </c>
      <c r="X984" s="3">
        <f t="shared" si="189"/>
        <v>0</v>
      </c>
      <c r="Y984" s="3">
        <f t="shared" si="190"/>
        <v>0</v>
      </c>
      <c r="Z984" s="25">
        <f t="shared" si="191"/>
        <v>0</v>
      </c>
      <c r="AA984" s="26">
        <f>VLOOKUP(S984,CPI!$A$2:$F$71,6,0)</f>
        <v>1.359035428</v>
      </c>
      <c r="AB984" s="27">
        <f t="shared" si="192"/>
        <v>6314.08947</v>
      </c>
      <c r="AC984" s="27">
        <f t="shared" si="193"/>
        <v>410.0058097</v>
      </c>
      <c r="AD984" s="26" t="s">
        <v>42</v>
      </c>
      <c r="AE984" s="57" t="s">
        <v>1834</v>
      </c>
      <c r="AF984" s="130"/>
      <c r="AG984" s="130"/>
      <c r="AH984" s="130"/>
      <c r="AI984" s="130"/>
      <c r="AJ984" s="130"/>
      <c r="AK984" s="130"/>
      <c r="AL984" s="130"/>
      <c r="AM984" s="206"/>
      <c r="AN984" s="206"/>
      <c r="AO984" s="206"/>
      <c r="AP984" s="206"/>
      <c r="AQ984" s="206"/>
    </row>
    <row r="985">
      <c r="A985" s="61">
        <v>9812.0</v>
      </c>
      <c r="B985" s="26" t="s">
        <v>1812</v>
      </c>
      <c r="C985" s="26" t="s">
        <v>1824</v>
      </c>
      <c r="D985" s="1" t="s">
        <v>1828</v>
      </c>
      <c r="E985" s="26" t="s">
        <v>1835</v>
      </c>
      <c r="F985" s="25">
        <v>2016.0</v>
      </c>
      <c r="G985" s="25">
        <v>2022.0</v>
      </c>
      <c r="H985" s="25">
        <v>0.0</v>
      </c>
      <c r="I985" s="25">
        <v>1.4</v>
      </c>
      <c r="J985" s="50">
        <v>1.0</v>
      </c>
      <c r="K985" s="25">
        <v>1.4</v>
      </c>
      <c r="L985" s="51">
        <v>0.0</v>
      </c>
      <c r="M985" s="51">
        <v>0.0</v>
      </c>
      <c r="N985" s="25">
        <v>1.0</v>
      </c>
      <c r="O985" s="25"/>
      <c r="P985" s="26" t="s">
        <v>60</v>
      </c>
      <c r="Q985" s="52">
        <v>9000.0</v>
      </c>
      <c r="R985" s="26" t="s">
        <v>1815</v>
      </c>
      <c r="S985" s="25">
        <v>2019.0</v>
      </c>
      <c r="T985" s="25">
        <v>0.0664</v>
      </c>
      <c r="U985" s="25">
        <f t="shared" si="186"/>
        <v>597.6</v>
      </c>
      <c r="V985" s="24">
        <f t="shared" si="187"/>
        <v>426.8571429</v>
      </c>
      <c r="W985" s="3">
        <f t="shared" si="188"/>
        <v>0</v>
      </c>
      <c r="X985" s="3">
        <f t="shared" si="189"/>
        <v>0</v>
      </c>
      <c r="Y985" s="3">
        <f t="shared" si="190"/>
        <v>0</v>
      </c>
      <c r="Z985" s="25">
        <f t="shared" si="191"/>
        <v>0</v>
      </c>
      <c r="AA985" s="26">
        <f>VLOOKUP(S985,CPI!$A$2:$F$71,6,0)</f>
        <v>1.259947899</v>
      </c>
      <c r="AB985" s="27">
        <f t="shared" si="192"/>
        <v>752.9448644</v>
      </c>
      <c r="AC985" s="27">
        <f t="shared" si="193"/>
        <v>537.8177603</v>
      </c>
      <c r="AD985" s="26" t="s">
        <v>60</v>
      </c>
      <c r="AE985" s="53" t="s">
        <v>1836</v>
      </c>
      <c r="AF985" s="130"/>
      <c r="AG985" s="130"/>
      <c r="AH985" s="130"/>
      <c r="AI985" s="130"/>
      <c r="AJ985" s="33"/>
      <c r="AK985" s="33"/>
      <c r="AL985" s="33"/>
      <c r="AM985" s="206"/>
      <c r="AN985" s="206"/>
      <c r="AO985" s="206"/>
      <c r="AP985" s="206"/>
      <c r="AQ985" s="206"/>
    </row>
    <row r="986">
      <c r="A986" s="38">
        <v>7568.0</v>
      </c>
      <c r="B986" s="26" t="s">
        <v>1812</v>
      </c>
      <c r="C986" s="26" t="s">
        <v>1824</v>
      </c>
      <c r="D986" s="26" t="s">
        <v>1837</v>
      </c>
      <c r="E986" s="26" t="s">
        <v>1837</v>
      </c>
      <c r="F986" s="25">
        <v>2016.0</v>
      </c>
      <c r="G986" s="25">
        <v>2023.0</v>
      </c>
      <c r="H986" s="25">
        <v>0.0</v>
      </c>
      <c r="I986" s="25">
        <v>14.29</v>
      </c>
      <c r="J986" s="50">
        <v>0.0</v>
      </c>
      <c r="K986" s="25">
        <v>0.0</v>
      </c>
      <c r="L986" s="51">
        <v>0.0</v>
      </c>
      <c r="M986" s="51">
        <v>0.0</v>
      </c>
      <c r="N986" s="25">
        <v>12.0</v>
      </c>
      <c r="O986" s="25"/>
      <c r="P986" s="26" t="s">
        <v>60</v>
      </c>
      <c r="Q986" s="52">
        <v>50200.0</v>
      </c>
      <c r="R986" s="26" t="s">
        <v>1815</v>
      </c>
      <c r="S986" s="25">
        <v>2019.0</v>
      </c>
      <c r="T986" s="25">
        <v>0.0664</v>
      </c>
      <c r="U986" s="25">
        <f t="shared" si="186"/>
        <v>3333.28</v>
      </c>
      <c r="V986" s="24">
        <f t="shared" si="187"/>
        <v>233.2596221</v>
      </c>
      <c r="W986" s="3">
        <f t="shared" si="188"/>
        <v>0</v>
      </c>
      <c r="X986" s="3">
        <f t="shared" si="189"/>
        <v>0</v>
      </c>
      <c r="Y986" s="3">
        <f t="shared" si="190"/>
        <v>0</v>
      </c>
      <c r="Z986" s="25">
        <f t="shared" si="191"/>
        <v>0</v>
      </c>
      <c r="AA986" s="26">
        <f>VLOOKUP(S986,CPI!$A$2:$F$71,6,0)</f>
        <v>1.259947899</v>
      </c>
      <c r="AB986" s="27">
        <f t="shared" si="192"/>
        <v>4199.759133</v>
      </c>
      <c r="AC986" s="27">
        <f t="shared" si="193"/>
        <v>293.8949708</v>
      </c>
      <c r="AD986" s="26" t="s">
        <v>60</v>
      </c>
      <c r="AE986" s="53" t="s">
        <v>1838</v>
      </c>
      <c r="AF986" s="130"/>
      <c r="AG986" s="130"/>
      <c r="AH986" s="130"/>
      <c r="AI986" s="130"/>
      <c r="AJ986" s="130"/>
      <c r="AK986" s="130"/>
      <c r="AL986" s="130"/>
      <c r="AM986" s="206"/>
      <c r="AN986" s="206"/>
      <c r="AO986" s="206"/>
      <c r="AP986" s="206"/>
      <c r="AQ986" s="206"/>
    </row>
    <row r="987">
      <c r="A987" s="38">
        <v>7569.0</v>
      </c>
      <c r="B987" s="26" t="s">
        <v>1812</v>
      </c>
      <c r="C987" s="26" t="s">
        <v>1824</v>
      </c>
      <c r="D987" s="26" t="s">
        <v>1839</v>
      </c>
      <c r="E987" s="26" t="s">
        <v>1839</v>
      </c>
      <c r="F987" s="25">
        <v>2014.0</v>
      </c>
      <c r="G987" s="25">
        <v>2024.0</v>
      </c>
      <c r="H987" s="25">
        <v>0.0</v>
      </c>
      <c r="I987" s="25">
        <v>14.0</v>
      </c>
      <c r="J987" s="50">
        <v>0.0</v>
      </c>
      <c r="K987" s="25">
        <v>0.0</v>
      </c>
      <c r="L987" s="51">
        <v>0.0</v>
      </c>
      <c r="M987" s="51">
        <v>0.0</v>
      </c>
      <c r="N987" s="25">
        <v>20.0</v>
      </c>
      <c r="O987" s="25"/>
      <c r="P987" s="26" t="s">
        <v>74</v>
      </c>
      <c r="Q987" s="52">
        <v>15300.0</v>
      </c>
      <c r="R987" s="26" t="s">
        <v>1815</v>
      </c>
      <c r="S987" s="25">
        <v>2016.0</v>
      </c>
      <c r="T987" s="25">
        <v>0.0664</v>
      </c>
      <c r="U987" s="25">
        <f t="shared" si="186"/>
        <v>1015.92</v>
      </c>
      <c r="V987" s="24">
        <f t="shared" si="187"/>
        <v>72.56571429</v>
      </c>
      <c r="W987" s="3">
        <f t="shared" si="188"/>
        <v>0</v>
      </c>
      <c r="X987" s="3">
        <f t="shared" si="189"/>
        <v>0</v>
      </c>
      <c r="Y987" s="3">
        <f t="shared" si="190"/>
        <v>0</v>
      </c>
      <c r="Z987" s="25">
        <f t="shared" si="191"/>
        <v>0</v>
      </c>
      <c r="AA987" s="26">
        <f>VLOOKUP(S987,CPI!$A$2:$F$71,6,0)</f>
        <v>1.342104605</v>
      </c>
      <c r="AB987" s="27">
        <f t="shared" si="192"/>
        <v>1363.470911</v>
      </c>
      <c r="AC987" s="27">
        <f t="shared" si="193"/>
        <v>97.39077933</v>
      </c>
      <c r="AD987" s="26" t="s">
        <v>42</v>
      </c>
      <c r="AE987" s="57" t="s">
        <v>1840</v>
      </c>
      <c r="AF987" s="130"/>
      <c r="AG987" s="130"/>
      <c r="AH987" s="130"/>
      <c r="AI987" s="130"/>
      <c r="AJ987" s="130"/>
      <c r="AK987" s="130"/>
      <c r="AL987" s="130"/>
      <c r="AM987" s="206"/>
      <c r="AN987" s="206"/>
      <c r="AO987" s="206"/>
      <c r="AP987" s="206"/>
      <c r="AQ987" s="206"/>
    </row>
    <row r="988">
      <c r="A988" s="38">
        <v>7576.0</v>
      </c>
      <c r="B988" s="26" t="s">
        <v>1812</v>
      </c>
      <c r="C988" s="26" t="s">
        <v>1824</v>
      </c>
      <c r="D988" s="26" t="s">
        <v>1841</v>
      </c>
      <c r="E988" s="26" t="s">
        <v>1841</v>
      </c>
      <c r="F988" s="25">
        <v>2019.0</v>
      </c>
      <c r="G988" s="25">
        <v>2026.0</v>
      </c>
      <c r="H988" s="25">
        <v>0.0</v>
      </c>
      <c r="I988" s="25">
        <v>27.8</v>
      </c>
      <c r="J988" s="50">
        <v>0.45</v>
      </c>
      <c r="K988" s="25">
        <v>12.5</v>
      </c>
      <c r="L988" s="51">
        <v>0.0</v>
      </c>
      <c r="M988" s="51">
        <v>0.0</v>
      </c>
      <c r="N988" s="25">
        <v>21.0</v>
      </c>
      <c r="O988" s="25"/>
      <c r="P988" s="26" t="s">
        <v>42</v>
      </c>
      <c r="Q988" s="52">
        <v>98264.0</v>
      </c>
      <c r="R988" s="26" t="s">
        <v>1815</v>
      </c>
      <c r="S988" s="25">
        <v>2022.0</v>
      </c>
      <c r="T988" s="25">
        <v>0.0664</v>
      </c>
      <c r="U988" s="25">
        <f t="shared" si="186"/>
        <v>6524.7296</v>
      </c>
      <c r="V988" s="24">
        <f t="shared" si="187"/>
        <v>234.7025036</v>
      </c>
      <c r="W988" s="3">
        <f t="shared" si="188"/>
        <v>0</v>
      </c>
      <c r="X988" s="3">
        <f t="shared" si="189"/>
        <v>0</v>
      </c>
      <c r="Y988" s="3">
        <f t="shared" si="190"/>
        <v>0</v>
      </c>
      <c r="Z988" s="25">
        <f t="shared" si="191"/>
        <v>0</v>
      </c>
      <c r="AA988" s="26">
        <f>VLOOKUP(S988,CPI!$A$2:$F$71,6,0)</f>
        <v>1.100662897</v>
      </c>
      <c r="AB988" s="27">
        <f t="shared" si="192"/>
        <v>7181.527781</v>
      </c>
      <c r="AC988" s="27">
        <f t="shared" si="193"/>
        <v>258.3283374</v>
      </c>
      <c r="AD988" s="26" t="s">
        <v>60</v>
      </c>
      <c r="AE988" s="53" t="s">
        <v>1842</v>
      </c>
      <c r="AF988" s="130"/>
      <c r="AG988" s="130"/>
      <c r="AH988" s="130"/>
      <c r="AI988" s="130"/>
      <c r="AJ988" s="130"/>
      <c r="AK988" s="130"/>
      <c r="AL988" s="130"/>
      <c r="AM988" s="206"/>
      <c r="AN988" s="206"/>
      <c r="AO988" s="206"/>
      <c r="AP988" s="206"/>
      <c r="AQ988" s="206"/>
    </row>
    <row r="989">
      <c r="A989" s="38">
        <v>7232.0</v>
      </c>
      <c r="B989" s="26" t="s">
        <v>1812</v>
      </c>
      <c r="C989" s="26" t="s">
        <v>1824</v>
      </c>
      <c r="D989" s="16" t="s">
        <v>1843</v>
      </c>
      <c r="E989" s="26" t="s">
        <v>1844</v>
      </c>
      <c r="F989" s="25">
        <v>2021.0</v>
      </c>
      <c r="G989" s="25">
        <v>2028.0</v>
      </c>
      <c r="H989" s="25">
        <v>0.0</v>
      </c>
      <c r="I989" s="25">
        <v>13.3</v>
      </c>
      <c r="J989" s="50">
        <f>K989/I989</f>
        <v>0.2105263158</v>
      </c>
      <c r="K989" s="25">
        <v>2.8</v>
      </c>
      <c r="L989" s="51">
        <v>0.0</v>
      </c>
      <c r="M989" s="51">
        <v>0.0</v>
      </c>
      <c r="N989" s="25">
        <v>13.0</v>
      </c>
      <c r="O989" s="25"/>
      <c r="P989" s="26" t="s">
        <v>42</v>
      </c>
      <c r="Q989" s="52">
        <v>55530.0</v>
      </c>
      <c r="R989" s="26" t="s">
        <v>1815</v>
      </c>
      <c r="S989" s="25">
        <v>2018.0</v>
      </c>
      <c r="T989" s="25">
        <v>0.068</v>
      </c>
      <c r="U989" s="25">
        <f t="shared" si="186"/>
        <v>3776.04</v>
      </c>
      <c r="V989" s="24">
        <f t="shared" si="187"/>
        <v>283.912782</v>
      </c>
      <c r="W989" s="3">
        <f t="shared" si="188"/>
        <v>0</v>
      </c>
      <c r="X989" s="3">
        <f t="shared" si="189"/>
        <v>0</v>
      </c>
      <c r="Y989" s="3">
        <f t="shared" si="190"/>
        <v>0</v>
      </c>
      <c r="Z989" s="25">
        <f t="shared" si="191"/>
        <v>0</v>
      </c>
      <c r="AA989" s="26">
        <f>VLOOKUP(S989,CPI!$A$2:$F$71,6,0)</f>
        <v>1.28277786</v>
      </c>
      <c r="AB989" s="27">
        <f t="shared" si="192"/>
        <v>4843.820509</v>
      </c>
      <c r="AC989" s="27">
        <f t="shared" si="193"/>
        <v>364.1970308</v>
      </c>
      <c r="AD989" s="26" t="s">
        <v>42</v>
      </c>
      <c r="AE989" s="57" t="s">
        <v>1845</v>
      </c>
      <c r="AF989" s="130"/>
      <c r="AG989" s="130"/>
      <c r="AH989" s="130"/>
      <c r="AI989" s="130"/>
      <c r="AJ989" s="130"/>
      <c r="AK989" s="130"/>
      <c r="AL989" s="130"/>
      <c r="AM989" s="206"/>
      <c r="AN989" s="206"/>
      <c r="AO989" s="206"/>
      <c r="AP989" s="206"/>
      <c r="AQ989" s="206"/>
    </row>
    <row r="990">
      <c r="A990" s="38">
        <v>7578.0</v>
      </c>
      <c r="B990" s="26" t="s">
        <v>1812</v>
      </c>
      <c r="C990" s="26" t="s">
        <v>1824</v>
      </c>
      <c r="D990" s="26" t="s">
        <v>1846</v>
      </c>
      <c r="E990" s="26" t="s">
        <v>1846</v>
      </c>
      <c r="F990" s="25">
        <v>2019.0</v>
      </c>
      <c r="G990" s="25">
        <v>2030.0</v>
      </c>
      <c r="H990" s="25">
        <v>1.0</v>
      </c>
      <c r="I990" s="25">
        <v>17.9</v>
      </c>
      <c r="J990" s="50">
        <v>1.0</v>
      </c>
      <c r="K990" s="25">
        <v>17.9</v>
      </c>
      <c r="L990" s="51">
        <v>0.0</v>
      </c>
      <c r="M990" s="51">
        <v>0.0</v>
      </c>
      <c r="N990" s="25">
        <v>8.0</v>
      </c>
      <c r="O990" s="25"/>
      <c r="P990" s="26" t="s">
        <v>74</v>
      </c>
      <c r="Q990" s="52">
        <v>105600.0</v>
      </c>
      <c r="R990" s="26" t="s">
        <v>1815</v>
      </c>
      <c r="S990" s="25">
        <v>2024.0</v>
      </c>
      <c r="T990" s="25">
        <v>0.0664</v>
      </c>
      <c r="U990" s="25">
        <f t="shared" si="186"/>
        <v>7011.84</v>
      </c>
      <c r="V990" s="24">
        <f t="shared" si="187"/>
        <v>391.722905</v>
      </c>
      <c r="W990" s="3">
        <f t="shared" si="188"/>
        <v>0</v>
      </c>
      <c r="X990" s="3">
        <f t="shared" si="189"/>
        <v>0</v>
      </c>
      <c r="Y990" s="3">
        <f t="shared" si="190"/>
        <v>0</v>
      </c>
      <c r="Z990" s="25">
        <f t="shared" si="191"/>
        <v>0</v>
      </c>
      <c r="AA990" s="26">
        <f>VLOOKUP(S990,CPI!$A$2:$F$71,6,0)</f>
        <v>1</v>
      </c>
      <c r="AB990" s="27">
        <f t="shared" si="192"/>
        <v>7011.84</v>
      </c>
      <c r="AC990" s="27">
        <f t="shared" si="193"/>
        <v>391.722905</v>
      </c>
      <c r="AD990" s="26" t="s">
        <v>42</v>
      </c>
      <c r="AE990" s="53" t="s">
        <v>1847</v>
      </c>
      <c r="AF990" s="130"/>
      <c r="AG990" s="130"/>
      <c r="AH990" s="130"/>
      <c r="AI990" s="130"/>
      <c r="AJ990" s="130"/>
      <c r="AK990" s="130"/>
      <c r="AL990" s="130"/>
      <c r="AM990" s="206"/>
      <c r="AN990" s="206"/>
      <c r="AO990" s="206"/>
      <c r="AP990" s="206"/>
      <c r="AQ990" s="206"/>
    </row>
    <row r="991">
      <c r="A991" s="243">
        <v>11262.0</v>
      </c>
      <c r="B991" s="142" t="s">
        <v>1812</v>
      </c>
      <c r="C991" s="142" t="s">
        <v>1824</v>
      </c>
      <c r="D991" s="142" t="s">
        <v>1848</v>
      </c>
      <c r="E991" s="142" t="s">
        <v>1848</v>
      </c>
      <c r="F991" s="152">
        <v>2023.0</v>
      </c>
      <c r="G991" s="152">
        <v>2032.0</v>
      </c>
      <c r="H991" s="152">
        <v>0.0</v>
      </c>
      <c r="I991" s="152">
        <v>16.0</v>
      </c>
      <c r="J991" s="244">
        <v>0.1</v>
      </c>
      <c r="K991" s="152">
        <v>1.6</v>
      </c>
      <c r="L991" s="152">
        <v>12.8</v>
      </c>
      <c r="M991" s="152">
        <v>1.6</v>
      </c>
      <c r="N991" s="152">
        <v>13.0</v>
      </c>
      <c r="O991" s="152"/>
      <c r="P991" s="142" t="s">
        <v>42</v>
      </c>
      <c r="Q991" s="245">
        <v>42500.0</v>
      </c>
      <c r="R991" s="142" t="s">
        <v>1815</v>
      </c>
      <c r="S991" s="152">
        <v>2027.0</v>
      </c>
      <c r="T991" s="152">
        <v>0.0664</v>
      </c>
      <c r="U991" s="75">
        <f t="shared" si="186"/>
        <v>2822</v>
      </c>
      <c r="V991" s="24">
        <f t="shared" si="187"/>
        <v>176.375</v>
      </c>
      <c r="W991" s="3">
        <f t="shared" si="188"/>
        <v>0</v>
      </c>
      <c r="X991" s="3">
        <f t="shared" si="189"/>
        <v>0</v>
      </c>
      <c r="Y991" s="3">
        <f t="shared" si="190"/>
        <v>0</v>
      </c>
      <c r="Z991" s="25">
        <f t="shared" si="191"/>
        <v>0</v>
      </c>
      <c r="AA991" s="26">
        <f>VLOOKUP(S991,CPI!$A$2:$F$71,6,0)</f>
        <v>1</v>
      </c>
      <c r="AB991" s="27">
        <f t="shared" si="192"/>
        <v>2822</v>
      </c>
      <c r="AC991" s="27">
        <f t="shared" si="193"/>
        <v>176.375</v>
      </c>
      <c r="AD991" s="63" t="s">
        <v>42</v>
      </c>
      <c r="AE991" s="246" t="s">
        <v>1849</v>
      </c>
      <c r="AF991" s="7"/>
      <c r="AG991" s="7"/>
      <c r="AH991" s="7"/>
      <c r="AI991" s="7"/>
      <c r="AM991" s="206"/>
      <c r="AN991" s="206"/>
      <c r="AO991" s="206"/>
      <c r="AP991" s="206"/>
      <c r="AQ991" s="206"/>
    </row>
    <row r="992">
      <c r="A992" s="38">
        <v>7577.0</v>
      </c>
      <c r="B992" s="26" t="s">
        <v>1812</v>
      </c>
      <c r="C992" s="26" t="s">
        <v>1824</v>
      </c>
      <c r="D992" s="26" t="s">
        <v>1850</v>
      </c>
      <c r="E992" s="26" t="s">
        <v>1850</v>
      </c>
      <c r="F992" s="25">
        <v>2019.0</v>
      </c>
      <c r="G992" s="25"/>
      <c r="H992" s="25">
        <v>0.0</v>
      </c>
      <c r="I992" s="25">
        <v>11.5</v>
      </c>
      <c r="J992" s="50">
        <v>0.0</v>
      </c>
      <c r="K992" s="25">
        <v>0.0</v>
      </c>
      <c r="L992" s="51">
        <v>0.0</v>
      </c>
      <c r="M992" s="51">
        <v>0.0</v>
      </c>
      <c r="N992" s="25">
        <v>8.0</v>
      </c>
      <c r="O992" s="25"/>
      <c r="P992" s="26" t="s">
        <v>60</v>
      </c>
      <c r="Q992" s="52">
        <v>19558.0</v>
      </c>
      <c r="R992" s="26" t="s">
        <v>1815</v>
      </c>
      <c r="S992" s="25">
        <v>2020.0</v>
      </c>
      <c r="T992" s="25">
        <v>0.0664</v>
      </c>
      <c r="U992" s="25">
        <f t="shared" si="186"/>
        <v>1298.6512</v>
      </c>
      <c r="V992" s="24">
        <f t="shared" si="187"/>
        <v>112.9261913</v>
      </c>
      <c r="W992" s="3">
        <f t="shared" si="188"/>
        <v>0</v>
      </c>
      <c r="X992" s="3">
        <f t="shared" si="189"/>
        <v>0</v>
      </c>
      <c r="Y992" s="3">
        <f t="shared" si="190"/>
        <v>0</v>
      </c>
      <c r="Z992" s="25">
        <f t="shared" si="191"/>
        <v>0</v>
      </c>
      <c r="AA992" s="26">
        <f>VLOOKUP(S992,CPI!$A$2:$F$71,6,0)</f>
        <v>1.244593545</v>
      </c>
      <c r="AB992" s="27">
        <f t="shared" si="192"/>
        <v>1616.292901</v>
      </c>
      <c r="AC992" s="27">
        <f t="shared" si="193"/>
        <v>140.5472088</v>
      </c>
      <c r="AD992" s="26" t="s">
        <v>60</v>
      </c>
      <c r="AE992" s="53" t="s">
        <v>1851</v>
      </c>
      <c r="AF992" s="130"/>
      <c r="AG992" s="130"/>
      <c r="AH992" s="130"/>
      <c r="AI992" s="130"/>
      <c r="AJ992" s="130"/>
      <c r="AK992" s="130"/>
      <c r="AL992" s="130"/>
      <c r="AM992" s="206"/>
      <c r="AN992" s="206"/>
      <c r="AO992" s="206"/>
      <c r="AP992" s="206"/>
      <c r="AQ992" s="206"/>
    </row>
    <row r="993">
      <c r="A993" s="38">
        <v>7563.0</v>
      </c>
      <c r="B993" s="26" t="s">
        <v>1852</v>
      </c>
      <c r="C993" s="26" t="s">
        <v>1853</v>
      </c>
      <c r="D993" s="1" t="s">
        <v>856</v>
      </c>
      <c r="E993" s="26" t="s">
        <v>1854</v>
      </c>
      <c r="F993" s="25">
        <v>2018.0</v>
      </c>
      <c r="G993" s="25">
        <v>2024.0</v>
      </c>
      <c r="H993" s="25">
        <v>0.0</v>
      </c>
      <c r="I993" s="25">
        <v>3.5</v>
      </c>
      <c r="J993" s="50">
        <v>1.0</v>
      </c>
      <c r="K993" s="25">
        <v>3.5</v>
      </c>
      <c r="L993" s="51">
        <v>0.0</v>
      </c>
      <c r="M993" s="51">
        <v>0.0</v>
      </c>
      <c r="N993" s="25">
        <v>2.0</v>
      </c>
      <c r="O993" s="25"/>
      <c r="P993" s="26" t="s">
        <v>60</v>
      </c>
      <c r="Q993" s="52">
        <v>382.0</v>
      </c>
      <c r="R993" s="26" t="s">
        <v>52</v>
      </c>
      <c r="S993" s="25">
        <v>2021.0</v>
      </c>
      <c r="T993" s="25">
        <v>3.9</v>
      </c>
      <c r="U993" s="25">
        <f t="shared" si="186"/>
        <v>1489.8</v>
      </c>
      <c r="V993" s="24">
        <f t="shared" si="187"/>
        <v>425.6571429</v>
      </c>
      <c r="W993" s="3">
        <f t="shared" si="188"/>
        <v>0</v>
      </c>
      <c r="X993" s="3">
        <f t="shared" si="189"/>
        <v>0</v>
      </c>
      <c r="Y993" s="3">
        <f t="shared" si="190"/>
        <v>0</v>
      </c>
      <c r="Z993" s="25">
        <f t="shared" si="191"/>
        <v>0</v>
      </c>
      <c r="AA993" s="26">
        <f>VLOOKUP(S993,CPI!$A$2:$F$71,6,0)</f>
        <v>1.188745987</v>
      </c>
      <c r="AB993" s="27">
        <f t="shared" si="192"/>
        <v>1770.993771</v>
      </c>
      <c r="AC993" s="27">
        <f t="shared" si="193"/>
        <v>505.9982203</v>
      </c>
      <c r="AD993" s="26" t="s">
        <v>36</v>
      </c>
      <c r="AE993" s="53" t="s">
        <v>1855</v>
      </c>
      <c r="AF993" s="130"/>
      <c r="AG993" s="130"/>
      <c r="AH993" s="130"/>
      <c r="AI993" s="130"/>
      <c r="AJ993" s="130"/>
      <c r="AK993" s="130"/>
      <c r="AL993" s="130"/>
      <c r="AM993" s="206"/>
      <c r="AN993" s="206"/>
      <c r="AO993" s="206"/>
      <c r="AP993" s="206"/>
      <c r="AQ993" s="206"/>
    </row>
    <row r="994">
      <c r="A994" s="38">
        <v>7561.0</v>
      </c>
      <c r="B994" s="363" t="s">
        <v>1852</v>
      </c>
      <c r="C994" s="363" t="s">
        <v>1856</v>
      </c>
      <c r="D994" s="1" t="s">
        <v>856</v>
      </c>
      <c r="E994" s="363" t="s">
        <v>1857</v>
      </c>
      <c r="F994" s="18">
        <v>2018.0</v>
      </c>
      <c r="G994" s="18">
        <v>2022.0</v>
      </c>
      <c r="H994" s="18">
        <v>0.0</v>
      </c>
      <c r="I994" s="18">
        <v>3.7</v>
      </c>
      <c r="J994" s="364">
        <v>1.0</v>
      </c>
      <c r="K994" s="18">
        <v>3.7</v>
      </c>
      <c r="L994" s="21">
        <v>0.0</v>
      </c>
      <c r="M994" s="21">
        <v>0.0</v>
      </c>
      <c r="N994" s="18">
        <v>2.0</v>
      </c>
      <c r="O994" s="18"/>
      <c r="P994" s="363" t="s">
        <v>60</v>
      </c>
      <c r="Q994" s="365">
        <v>5993.0</v>
      </c>
      <c r="R994" s="363" t="s">
        <v>1858</v>
      </c>
      <c r="S994" s="18">
        <v>2020.0</v>
      </c>
      <c r="T994" s="18">
        <v>0.121</v>
      </c>
      <c r="U994" s="18">
        <f t="shared" si="186"/>
        <v>725.153</v>
      </c>
      <c r="V994" s="24">
        <f t="shared" si="187"/>
        <v>195.9872973</v>
      </c>
      <c r="W994" s="3">
        <f t="shared" si="188"/>
        <v>0</v>
      </c>
      <c r="X994" s="3">
        <f t="shared" si="189"/>
        <v>0</v>
      </c>
      <c r="Y994" s="3">
        <f t="shared" si="190"/>
        <v>0</v>
      </c>
      <c r="Z994" s="25">
        <f t="shared" si="191"/>
        <v>0</v>
      </c>
      <c r="AA994" s="26">
        <f>VLOOKUP(S994,CPI!$A$2:$F$71,6,0)</f>
        <v>1.244593545</v>
      </c>
      <c r="AB994" s="27">
        <f t="shared" si="192"/>
        <v>902.520743</v>
      </c>
      <c r="AC994" s="27">
        <f t="shared" si="193"/>
        <v>243.9245251</v>
      </c>
      <c r="AD994" s="363" t="s">
        <v>42</v>
      </c>
      <c r="AE994" s="366" t="s">
        <v>1859</v>
      </c>
      <c r="AF994" s="130"/>
      <c r="AG994" s="130"/>
      <c r="AH994" s="130"/>
      <c r="AI994" s="130"/>
      <c r="AJ994" s="130"/>
      <c r="AK994" s="130"/>
      <c r="AL994" s="130"/>
      <c r="AM994" s="206"/>
      <c r="AN994" s="206"/>
      <c r="AO994" s="206"/>
      <c r="AP994" s="206"/>
      <c r="AQ994" s="206"/>
    </row>
    <row r="995">
      <c r="A995" s="38">
        <v>7562.0</v>
      </c>
      <c r="B995" s="2" t="s">
        <v>1852</v>
      </c>
      <c r="C995" s="2" t="s">
        <v>1856</v>
      </c>
      <c r="D995" s="1" t="s">
        <v>1764</v>
      </c>
      <c r="E995" s="2" t="s">
        <v>1764</v>
      </c>
      <c r="F995" s="3">
        <v>2021.0</v>
      </c>
      <c r="G995" s="3">
        <v>2026.0</v>
      </c>
      <c r="H995" s="3">
        <v>0.0</v>
      </c>
      <c r="I995" s="3">
        <v>20.0</v>
      </c>
      <c r="J995" s="39">
        <v>0.65</v>
      </c>
      <c r="K995" s="3">
        <v>13.0</v>
      </c>
      <c r="L995" s="40">
        <v>0.0</v>
      </c>
      <c r="M995" s="40">
        <v>0.0</v>
      </c>
      <c r="N995" s="3">
        <v>13.0</v>
      </c>
      <c r="O995" s="3"/>
      <c r="P995" s="2" t="s">
        <v>36</v>
      </c>
      <c r="Q995" s="41">
        <v>2000.0</v>
      </c>
      <c r="R995" s="2" t="s">
        <v>37</v>
      </c>
      <c r="S995" s="3">
        <v>2023.0</v>
      </c>
      <c r="T995" s="3">
        <v>3.0</v>
      </c>
      <c r="U995" s="3">
        <f t="shared" si="186"/>
        <v>6000</v>
      </c>
      <c r="V995" s="24">
        <f t="shared" si="187"/>
        <v>300</v>
      </c>
      <c r="W995" s="3">
        <f t="shared" si="188"/>
        <v>0</v>
      </c>
      <c r="X995" s="3">
        <f t="shared" si="189"/>
        <v>0</v>
      </c>
      <c r="Y995" s="3">
        <f t="shared" si="190"/>
        <v>0</v>
      </c>
      <c r="Z995" s="25">
        <f t="shared" si="191"/>
        <v>0</v>
      </c>
      <c r="AA995" s="26">
        <f>VLOOKUP(S995,CPI!$A$2:$F$71,6,0)</f>
        <v>1.057145998</v>
      </c>
      <c r="AB995" s="27">
        <f t="shared" si="192"/>
        <v>6342.87599</v>
      </c>
      <c r="AC995" s="27">
        <f t="shared" si="193"/>
        <v>317.1437995</v>
      </c>
      <c r="AD995" s="2" t="s">
        <v>36</v>
      </c>
      <c r="AE995" s="42" t="s">
        <v>1860</v>
      </c>
      <c r="AF995" s="130"/>
      <c r="AG995" s="130"/>
      <c r="AH995" s="130"/>
      <c r="AI995" s="130"/>
      <c r="AJ995" s="130"/>
      <c r="AK995" s="130"/>
      <c r="AL995" s="130"/>
      <c r="AM995" s="206"/>
      <c r="AN995" s="206"/>
      <c r="AO995" s="206"/>
      <c r="AP995" s="206"/>
      <c r="AQ995" s="206"/>
    </row>
    <row r="996">
      <c r="A996" s="38">
        <v>7336.0</v>
      </c>
      <c r="B996" s="26" t="s">
        <v>1861</v>
      </c>
      <c r="C996" s="26" t="s">
        <v>1862</v>
      </c>
      <c r="D996" s="1" t="s">
        <v>1863</v>
      </c>
      <c r="E996" s="26" t="s">
        <v>1864</v>
      </c>
      <c r="F996" s="25">
        <v>1993.0</v>
      </c>
      <c r="G996" s="25">
        <v>1999.0</v>
      </c>
      <c r="H996" s="25">
        <v>0.0</v>
      </c>
      <c r="I996" s="25">
        <v>16.0</v>
      </c>
      <c r="J996" s="50">
        <v>0.8</v>
      </c>
      <c r="K996" s="25">
        <v>12.8</v>
      </c>
      <c r="L996" s="51">
        <v>0.0</v>
      </c>
      <c r="M996" s="51">
        <v>0.0</v>
      </c>
      <c r="N996" s="58">
        <v>11.0</v>
      </c>
      <c r="O996" s="58">
        <v>125.0</v>
      </c>
      <c r="P996" s="26" t="s">
        <v>74</v>
      </c>
      <c r="Q996" s="55">
        <v>3132.0</v>
      </c>
      <c r="R996" s="26" t="s">
        <v>1865</v>
      </c>
      <c r="S996" s="25">
        <v>1996.0</v>
      </c>
      <c r="T996" s="25">
        <v>1.4</v>
      </c>
      <c r="U996" s="25">
        <f t="shared" si="186"/>
        <v>4384.8</v>
      </c>
      <c r="V996" s="24">
        <f t="shared" si="187"/>
        <v>274.05</v>
      </c>
      <c r="W996" s="3">
        <f t="shared" si="188"/>
        <v>0</v>
      </c>
      <c r="X996" s="3">
        <f t="shared" si="189"/>
        <v>0</v>
      </c>
      <c r="Y996" s="3">
        <f t="shared" si="190"/>
        <v>0</v>
      </c>
      <c r="Z996" s="25">
        <f t="shared" si="191"/>
        <v>1</v>
      </c>
      <c r="AA996" s="26">
        <f>VLOOKUP(S996,CPI!$A$2:$F$71,6,0)</f>
        <v>2.052992352</v>
      </c>
      <c r="AB996" s="27">
        <f t="shared" si="192"/>
        <v>9001.960864</v>
      </c>
      <c r="AC996" s="27">
        <f t="shared" si="193"/>
        <v>562.622554</v>
      </c>
      <c r="AD996" s="26" t="s">
        <v>42</v>
      </c>
      <c r="AE996" s="87" t="s">
        <v>1866</v>
      </c>
      <c r="AF996" s="6"/>
      <c r="AG996" s="6"/>
      <c r="AH996" s="6"/>
      <c r="AI996" s="6"/>
      <c r="AJ996" s="6"/>
      <c r="AK996" s="6"/>
      <c r="AL996" s="6"/>
      <c r="AM996" s="206"/>
      <c r="AN996" s="206"/>
      <c r="AO996" s="206"/>
      <c r="AP996" s="206"/>
      <c r="AQ996" s="206"/>
    </row>
    <row r="997">
      <c r="A997" s="38">
        <v>7417.0</v>
      </c>
      <c r="B997" s="2" t="s">
        <v>1861</v>
      </c>
      <c r="C997" s="2" t="s">
        <v>1862</v>
      </c>
      <c r="D997" s="2" t="s">
        <v>1867</v>
      </c>
      <c r="E997" s="1" t="s">
        <v>1868</v>
      </c>
      <c r="F997" s="3">
        <v>2009.0</v>
      </c>
      <c r="G997" s="85">
        <v>2022.0</v>
      </c>
      <c r="H997" s="3">
        <v>1.0</v>
      </c>
      <c r="I997" s="3">
        <v>21.0</v>
      </c>
      <c r="J997" s="39">
        <v>1.0</v>
      </c>
      <c r="K997" s="3">
        <v>21.0</v>
      </c>
      <c r="L997" s="40">
        <v>0.0</v>
      </c>
      <c r="M997" s="40">
        <v>0.0</v>
      </c>
      <c r="N997" s="3">
        <v>8.0</v>
      </c>
      <c r="O997" s="3"/>
      <c r="P997" s="2" t="s">
        <v>59</v>
      </c>
      <c r="Q997" s="41">
        <v>13328.0</v>
      </c>
      <c r="R997" s="2" t="s">
        <v>1865</v>
      </c>
      <c r="S997" s="3">
        <v>2015.0</v>
      </c>
      <c r="T997" s="3">
        <v>1.4</v>
      </c>
      <c r="U997" s="3">
        <f t="shared" si="186"/>
        <v>18659.2</v>
      </c>
      <c r="V997" s="24">
        <f t="shared" si="187"/>
        <v>888.5333333</v>
      </c>
      <c r="W997" s="3">
        <f t="shared" si="188"/>
        <v>0</v>
      </c>
      <c r="X997" s="3">
        <f t="shared" si="189"/>
        <v>0</v>
      </c>
      <c r="Y997" s="3">
        <f t="shared" si="190"/>
        <v>0</v>
      </c>
      <c r="Z997" s="25">
        <f t="shared" si="191"/>
        <v>1</v>
      </c>
      <c r="AA997" s="26">
        <f>VLOOKUP(S997,CPI!$A$2:$F$71,6,0)</f>
        <v>1.359035428</v>
      </c>
      <c r="AB997" s="27">
        <f t="shared" si="192"/>
        <v>25358.51386</v>
      </c>
      <c r="AC997" s="27">
        <f t="shared" si="193"/>
        <v>1207.548279</v>
      </c>
      <c r="AD997" s="1" t="s">
        <v>60</v>
      </c>
      <c r="AE997" s="2"/>
      <c r="AF997" s="6"/>
      <c r="AG997" s="6"/>
      <c r="AH997" s="6"/>
      <c r="AI997" s="6"/>
      <c r="AJ997" s="6"/>
      <c r="AK997" s="6"/>
      <c r="AL997" s="6"/>
      <c r="AM997" s="206"/>
      <c r="AN997" s="206"/>
      <c r="AO997" s="206"/>
      <c r="AP997" s="206"/>
      <c r="AQ997" s="206"/>
    </row>
    <row r="998">
      <c r="A998" s="38">
        <v>7226.0</v>
      </c>
      <c r="B998" s="26" t="s">
        <v>1861</v>
      </c>
      <c r="C998" s="26" t="s">
        <v>1862</v>
      </c>
      <c r="D998" s="16" t="s">
        <v>1869</v>
      </c>
      <c r="E998" s="26" t="s">
        <v>1870</v>
      </c>
      <c r="F998" s="25">
        <v>2015.0</v>
      </c>
      <c r="G998" s="25">
        <v>2021.0</v>
      </c>
      <c r="H998" s="25">
        <v>0.0</v>
      </c>
      <c r="I998" s="25">
        <v>3.2</v>
      </c>
      <c r="J998" s="50">
        <v>1.0</v>
      </c>
      <c r="K998" s="25">
        <v>3.2</v>
      </c>
      <c r="L998" s="51">
        <v>0.0</v>
      </c>
      <c r="M998" s="51">
        <v>0.0</v>
      </c>
      <c r="N998" s="25">
        <v>2.0</v>
      </c>
      <c r="O998" s="58">
        <v>107.0</v>
      </c>
      <c r="P998" s="26" t="s">
        <v>42</v>
      </c>
      <c r="Q998" s="52">
        <v>1200.0</v>
      </c>
      <c r="R998" s="26" t="s">
        <v>1865</v>
      </c>
      <c r="S998" s="25">
        <v>2017.0</v>
      </c>
      <c r="T998" s="25">
        <v>1.47</v>
      </c>
      <c r="U998" s="25">
        <f t="shared" si="186"/>
        <v>1764</v>
      </c>
      <c r="V998" s="24">
        <f t="shared" si="187"/>
        <v>551.25</v>
      </c>
      <c r="W998" s="3">
        <f t="shared" si="188"/>
        <v>0</v>
      </c>
      <c r="X998" s="3">
        <f t="shared" si="189"/>
        <v>0</v>
      </c>
      <c r="Y998" s="3">
        <f t="shared" si="190"/>
        <v>0</v>
      </c>
      <c r="Z998" s="25">
        <f t="shared" si="191"/>
        <v>1</v>
      </c>
      <c r="AA998" s="26">
        <f>VLOOKUP(S998,CPI!$A$2:$F$71,6,0)</f>
        <v>1.314109416</v>
      </c>
      <c r="AB998" s="27">
        <f t="shared" si="192"/>
        <v>2318.089009</v>
      </c>
      <c r="AC998" s="27">
        <f t="shared" si="193"/>
        <v>724.4028155</v>
      </c>
      <c r="AD998" s="26" t="s">
        <v>42</v>
      </c>
      <c r="AE998" s="57" t="s">
        <v>1871</v>
      </c>
      <c r="AF998" s="6"/>
      <c r="AG998" s="6"/>
      <c r="AH998" s="6"/>
      <c r="AI998" s="6"/>
      <c r="AJ998" s="6"/>
      <c r="AK998" s="6"/>
      <c r="AL998" s="6"/>
      <c r="AM998" s="206"/>
      <c r="AN998" s="206"/>
      <c r="AO998" s="206"/>
      <c r="AP998" s="206"/>
      <c r="AQ998" s="206"/>
    </row>
    <row r="999">
      <c r="A999" s="38">
        <v>7161.0</v>
      </c>
      <c r="B999" s="34" t="s">
        <v>1872</v>
      </c>
      <c r="C999" s="34" t="s">
        <v>1873</v>
      </c>
      <c r="D999" s="367" t="s">
        <v>127</v>
      </c>
      <c r="E999" s="34" t="s">
        <v>1874</v>
      </c>
      <c r="F999" s="34">
        <v>2013.0</v>
      </c>
      <c r="G999" s="367">
        <v>2022.0</v>
      </c>
      <c r="H999" s="34">
        <v>0.0</v>
      </c>
      <c r="I999" s="34">
        <v>7.6</v>
      </c>
      <c r="J999" s="368">
        <v>0.0</v>
      </c>
      <c r="K999" s="34">
        <v>0.0</v>
      </c>
      <c r="L999" s="369">
        <v>0.78</v>
      </c>
      <c r="M999" s="369">
        <v>6.82</v>
      </c>
      <c r="N999" s="34">
        <v>7.0</v>
      </c>
      <c r="O999" s="25"/>
      <c r="P999" s="34" t="s">
        <v>60</v>
      </c>
      <c r="Q999" s="370">
        <v>2289.0</v>
      </c>
      <c r="R999" s="34" t="s">
        <v>37</v>
      </c>
      <c r="S999" s="34">
        <v>2020.0</v>
      </c>
      <c r="T999" s="34">
        <v>1.0</v>
      </c>
      <c r="U999" s="25">
        <f t="shared" si="186"/>
        <v>2289</v>
      </c>
      <c r="V999" s="24">
        <f t="shared" si="187"/>
        <v>301.1842105</v>
      </c>
      <c r="W999" s="3">
        <f t="shared" si="188"/>
        <v>0</v>
      </c>
      <c r="X999" s="3">
        <f t="shared" si="189"/>
        <v>0</v>
      </c>
      <c r="Y999" s="3">
        <f t="shared" si="190"/>
        <v>0</v>
      </c>
      <c r="Z999" s="25">
        <f t="shared" si="191"/>
        <v>1</v>
      </c>
      <c r="AA999" s="26">
        <f>VLOOKUP(S999,CPI!$A$2:$F$71,6,0)</f>
        <v>1.244593545</v>
      </c>
      <c r="AB999" s="27">
        <f t="shared" si="192"/>
        <v>2848.874625</v>
      </c>
      <c r="AC999" s="27">
        <f t="shared" si="193"/>
        <v>374.8519243</v>
      </c>
      <c r="AD999" s="34" t="s">
        <v>60</v>
      </c>
      <c r="AE999" s="325" t="s">
        <v>1875</v>
      </c>
      <c r="AF999" s="6"/>
      <c r="AG999" s="6"/>
      <c r="AH999" s="6"/>
      <c r="AI999" s="6"/>
      <c r="AJ999" s="6"/>
      <c r="AK999" s="6"/>
      <c r="AL999" s="6"/>
      <c r="AM999" s="206"/>
      <c r="AN999" s="206"/>
      <c r="AO999" s="206"/>
      <c r="AP999" s="206"/>
      <c r="AQ999" s="206"/>
    </row>
    <row r="1000">
      <c r="A1000" s="7"/>
      <c r="B1000" s="115" t="s">
        <v>1872</v>
      </c>
      <c r="C1000" s="115" t="s">
        <v>1876</v>
      </c>
      <c r="D1000" s="115" t="s">
        <v>1536</v>
      </c>
      <c r="E1000" s="115" t="s">
        <v>1536</v>
      </c>
      <c r="F1000" s="82">
        <v>1987.0</v>
      </c>
      <c r="G1000" s="115">
        <v>1993.0</v>
      </c>
      <c r="H1000" s="82">
        <v>0.0</v>
      </c>
      <c r="I1000" s="82">
        <v>14.4</v>
      </c>
      <c r="J1000" s="247">
        <v>0.0</v>
      </c>
      <c r="K1000" s="82">
        <v>0.0</v>
      </c>
      <c r="L1000" s="115">
        <v>4.0</v>
      </c>
      <c r="M1000" s="115">
        <v>10.4</v>
      </c>
      <c r="N1000" s="82">
        <v>7.0</v>
      </c>
      <c r="O1000" s="82">
        <v>120.0</v>
      </c>
      <c r="P1000" s="115" t="s">
        <v>59</v>
      </c>
      <c r="Q1000" s="248">
        <v>500.0</v>
      </c>
      <c r="R1000" s="115" t="s">
        <v>37</v>
      </c>
      <c r="S1000" s="115">
        <v>1990.0</v>
      </c>
      <c r="T1000" s="115">
        <v>1.0</v>
      </c>
      <c r="U1000" s="118">
        <f t="shared" si="186"/>
        <v>500</v>
      </c>
      <c r="V1000" s="24">
        <f t="shared" si="187"/>
        <v>34.72222222</v>
      </c>
      <c r="W1000" s="3">
        <f t="shared" si="188"/>
        <v>0</v>
      </c>
      <c r="X1000" s="3">
        <f t="shared" si="189"/>
        <v>0</v>
      </c>
      <c r="Y1000" s="3">
        <f t="shared" si="190"/>
        <v>0</v>
      </c>
      <c r="Z1000" s="25">
        <f t="shared" si="191"/>
        <v>1</v>
      </c>
      <c r="AA1000" s="26">
        <f>VLOOKUP(S1000,CPI!$A$2:$F$71,6,0)</f>
        <v>2.464533282</v>
      </c>
      <c r="AB1000" s="27">
        <f t="shared" si="192"/>
        <v>1232.266641</v>
      </c>
      <c r="AC1000" s="27">
        <f t="shared" si="193"/>
        <v>85.5740723</v>
      </c>
      <c r="AD1000" s="115" t="s">
        <v>36</v>
      </c>
      <c r="AE1000" s="249" t="s">
        <v>1877</v>
      </c>
      <c r="AF1000" s="344"/>
      <c r="AG1000" s="114"/>
      <c r="AH1000" s="114"/>
      <c r="AI1000" s="114"/>
      <c r="AJ1000" s="206"/>
      <c r="AK1000" s="206"/>
      <c r="AL1000" s="206"/>
      <c r="AM1000" s="206"/>
      <c r="AN1000" s="206"/>
      <c r="AO1000" s="206"/>
      <c r="AP1000" s="206"/>
      <c r="AQ1000" s="206"/>
    </row>
    <row r="1001">
      <c r="A1001" s="61">
        <v>9817.0</v>
      </c>
      <c r="B1001" s="34" t="s">
        <v>1872</v>
      </c>
      <c r="C1001" s="34" t="s">
        <v>1878</v>
      </c>
      <c r="D1001" s="34" t="s">
        <v>1879</v>
      </c>
      <c r="E1001" s="34" t="s">
        <v>1879</v>
      </c>
      <c r="F1001" s="34">
        <v>2011.0</v>
      </c>
      <c r="G1001" s="34">
        <v>2026.0</v>
      </c>
      <c r="H1001" s="34">
        <v>0.0</v>
      </c>
      <c r="I1001" s="34">
        <v>32.0</v>
      </c>
      <c r="J1001" s="368">
        <v>0.0</v>
      </c>
      <c r="K1001" s="34">
        <v>0.0</v>
      </c>
      <c r="L1001" s="369">
        <v>0.0</v>
      </c>
      <c r="M1001" s="369">
        <v>0.0</v>
      </c>
      <c r="N1001" s="34">
        <v>21.0</v>
      </c>
      <c r="O1001" s="25"/>
      <c r="P1001" s="34" t="s">
        <v>36</v>
      </c>
      <c r="Q1001" s="371">
        <v>11371.0</v>
      </c>
      <c r="R1001" s="34" t="s">
        <v>37</v>
      </c>
      <c r="S1001" s="367">
        <v>2018.0</v>
      </c>
      <c r="T1001" s="34">
        <v>1.0</v>
      </c>
      <c r="U1001" s="25">
        <f t="shared" si="186"/>
        <v>11371</v>
      </c>
      <c r="V1001" s="24">
        <f t="shared" si="187"/>
        <v>355.34375</v>
      </c>
      <c r="W1001" s="3">
        <f t="shared" si="188"/>
        <v>0</v>
      </c>
      <c r="X1001" s="3">
        <f t="shared" si="189"/>
        <v>0</v>
      </c>
      <c r="Y1001" s="3">
        <f t="shared" si="190"/>
        <v>0</v>
      </c>
      <c r="Z1001" s="25">
        <f t="shared" si="191"/>
        <v>1</v>
      </c>
      <c r="AA1001" s="26">
        <f>VLOOKUP(S1001,CPI!$A$2:$F$71,6,0)</f>
        <v>1.28277786</v>
      </c>
      <c r="AB1001" s="27">
        <f t="shared" si="192"/>
        <v>14586.46704</v>
      </c>
      <c r="AC1001" s="27">
        <f t="shared" si="193"/>
        <v>455.8270951</v>
      </c>
      <c r="AD1001" s="367" t="s">
        <v>42</v>
      </c>
      <c r="AE1001" s="372" t="s">
        <v>1880</v>
      </c>
      <c r="AF1001" s="6"/>
      <c r="AG1001" s="6"/>
      <c r="AH1001" s="6"/>
      <c r="AI1001" s="6"/>
      <c r="AJ1001" s="6"/>
      <c r="AK1001" s="6"/>
      <c r="AL1001" s="6"/>
      <c r="AM1001" s="206"/>
      <c r="AN1001" s="206"/>
      <c r="AO1001" s="206"/>
      <c r="AP1001" s="206"/>
      <c r="AQ1001" s="206"/>
    </row>
    <row r="1002">
      <c r="A1002" s="61">
        <v>9818.0</v>
      </c>
      <c r="B1002" s="34" t="s">
        <v>1872</v>
      </c>
      <c r="C1002" s="34" t="s">
        <v>1881</v>
      </c>
      <c r="D1002" s="34" t="s">
        <v>1882</v>
      </c>
      <c r="E1002" s="34" t="s">
        <v>1882</v>
      </c>
      <c r="F1002" s="34">
        <v>2014.0</v>
      </c>
      <c r="G1002" s="367">
        <v>2022.0</v>
      </c>
      <c r="H1002" s="34">
        <v>0.0</v>
      </c>
      <c r="I1002" s="34">
        <v>13.7</v>
      </c>
      <c r="J1002" s="368">
        <v>0.34</v>
      </c>
      <c r="K1002" s="34">
        <v>4.7</v>
      </c>
      <c r="L1002" s="369">
        <v>0.0</v>
      </c>
      <c r="M1002" s="369">
        <v>0.0</v>
      </c>
      <c r="N1002" s="34">
        <v>9.0</v>
      </c>
      <c r="O1002" s="25"/>
      <c r="P1002" s="34" t="s">
        <v>74</v>
      </c>
      <c r="Q1002" s="370">
        <v>2100.0</v>
      </c>
      <c r="R1002" s="34" t="s">
        <v>37</v>
      </c>
      <c r="S1002" s="34">
        <v>2017.0</v>
      </c>
      <c r="T1002" s="34">
        <v>1.0</v>
      </c>
      <c r="U1002" s="58">
        <v>2058.0</v>
      </c>
      <c r="V1002" s="24">
        <f t="shared" si="187"/>
        <v>150.2189781</v>
      </c>
      <c r="W1002" s="3">
        <f t="shared" si="188"/>
        <v>0</v>
      </c>
      <c r="X1002" s="3">
        <f t="shared" si="189"/>
        <v>0</v>
      </c>
      <c r="Y1002" s="3">
        <f t="shared" si="190"/>
        <v>0</v>
      </c>
      <c r="Z1002" s="25">
        <f t="shared" si="191"/>
        <v>1</v>
      </c>
      <c r="AA1002" s="26">
        <f>VLOOKUP(S1002,CPI!$A$2:$F$71,6,0)</f>
        <v>1.314109416</v>
      </c>
      <c r="AB1002" s="27">
        <f t="shared" si="192"/>
        <v>2704.437178</v>
      </c>
      <c r="AC1002" s="27">
        <f t="shared" si="193"/>
        <v>197.4041736</v>
      </c>
      <c r="AD1002" s="34" t="s">
        <v>42</v>
      </c>
      <c r="AE1002" s="372" t="s">
        <v>1883</v>
      </c>
      <c r="AF1002" s="6"/>
      <c r="AG1002" s="6"/>
      <c r="AH1002" s="6"/>
      <c r="AI1002" s="6"/>
      <c r="AJ1002" s="6"/>
      <c r="AK1002" s="6"/>
      <c r="AL1002" s="6"/>
      <c r="AM1002" s="206"/>
      <c r="AN1002" s="206"/>
      <c r="AO1002" s="206"/>
      <c r="AP1002" s="206"/>
      <c r="AQ1002" s="206"/>
    </row>
    <row r="1003">
      <c r="A1003" s="38">
        <v>7155.0</v>
      </c>
      <c r="B1003" s="26" t="s">
        <v>1872</v>
      </c>
      <c r="C1003" s="26" t="s">
        <v>1881</v>
      </c>
      <c r="D1003" s="26" t="s">
        <v>1884</v>
      </c>
      <c r="E1003" s="26" t="s">
        <v>1884</v>
      </c>
      <c r="F1003" s="25">
        <v>2014.0</v>
      </c>
      <c r="G1003" s="25">
        <v>2022.0</v>
      </c>
      <c r="H1003" s="25">
        <v>0.0</v>
      </c>
      <c r="I1003" s="25">
        <v>3.1</v>
      </c>
      <c r="J1003" s="50">
        <v>1.0</v>
      </c>
      <c r="K1003" s="25">
        <v>3.1</v>
      </c>
      <c r="L1003" s="51">
        <v>0.0</v>
      </c>
      <c r="M1003" s="51">
        <v>0.0</v>
      </c>
      <c r="N1003" s="25">
        <v>3.0</v>
      </c>
      <c r="O1003" s="25"/>
      <c r="P1003" s="26" t="s">
        <v>60</v>
      </c>
      <c r="Q1003" s="52">
        <v>1756.0</v>
      </c>
      <c r="R1003" s="26" t="s">
        <v>37</v>
      </c>
      <c r="S1003" s="25">
        <v>2018.0</v>
      </c>
      <c r="T1003" s="25">
        <v>1.0</v>
      </c>
      <c r="U1003" s="25">
        <f t="shared" ref="U1003:U1094" si="195">Q1003*T1003</f>
        <v>1756</v>
      </c>
      <c r="V1003" s="24">
        <f t="shared" si="187"/>
        <v>566.4516129</v>
      </c>
      <c r="W1003" s="3">
        <f t="shared" si="188"/>
        <v>0</v>
      </c>
      <c r="X1003" s="3">
        <f t="shared" si="189"/>
        <v>0</v>
      </c>
      <c r="Y1003" s="3">
        <f t="shared" si="190"/>
        <v>0</v>
      </c>
      <c r="Z1003" s="25">
        <f t="shared" si="191"/>
        <v>1</v>
      </c>
      <c r="AA1003" s="26">
        <f>VLOOKUP(S1003,CPI!$A$2:$F$71,6,0)</f>
        <v>1.28277786</v>
      </c>
      <c r="AB1003" s="27">
        <f t="shared" si="192"/>
        <v>2252.557922</v>
      </c>
      <c r="AC1003" s="27">
        <f t="shared" si="193"/>
        <v>726.6315876</v>
      </c>
      <c r="AD1003" s="26" t="s">
        <v>60</v>
      </c>
      <c r="AE1003" s="53" t="s">
        <v>1885</v>
      </c>
      <c r="AF1003" s="373"/>
      <c r="AG1003" s="373"/>
      <c r="AH1003" s="373"/>
      <c r="AI1003" s="373"/>
      <c r="AJ1003" s="373"/>
      <c r="AK1003" s="373"/>
      <c r="AL1003" s="373"/>
      <c r="AM1003" s="206"/>
      <c r="AN1003" s="206"/>
      <c r="AO1003" s="206"/>
      <c r="AP1003" s="206"/>
      <c r="AQ1003" s="206"/>
    </row>
    <row r="1004">
      <c r="A1004" s="38">
        <v>7154.0</v>
      </c>
      <c r="B1004" s="26" t="s">
        <v>1872</v>
      </c>
      <c r="C1004" s="26" t="s">
        <v>1881</v>
      </c>
      <c r="D1004" s="1" t="s">
        <v>1886</v>
      </c>
      <c r="E1004" s="26" t="s">
        <v>1887</v>
      </c>
      <c r="F1004" s="25">
        <v>2014.0</v>
      </c>
      <c r="G1004" s="58">
        <v>2024.0</v>
      </c>
      <c r="H1004" s="25">
        <v>0.0</v>
      </c>
      <c r="I1004" s="25">
        <v>6.3</v>
      </c>
      <c r="J1004" s="50">
        <v>1.0</v>
      </c>
      <c r="K1004" s="25">
        <v>6.3</v>
      </c>
      <c r="L1004" s="51">
        <v>0.0</v>
      </c>
      <c r="M1004" s="51">
        <v>0.0</v>
      </c>
      <c r="N1004" s="25">
        <v>3.0</v>
      </c>
      <c r="O1004" s="25"/>
      <c r="P1004" s="26" t="s">
        <v>42</v>
      </c>
      <c r="Q1004" s="52">
        <v>2800.0</v>
      </c>
      <c r="R1004" s="26" t="s">
        <v>37</v>
      </c>
      <c r="S1004" s="25">
        <v>2018.0</v>
      </c>
      <c r="T1004" s="25">
        <v>1.0</v>
      </c>
      <c r="U1004" s="25">
        <f t="shared" si="195"/>
        <v>2800</v>
      </c>
      <c r="V1004" s="24">
        <f t="shared" si="187"/>
        <v>444.4444444</v>
      </c>
      <c r="W1004" s="3">
        <f t="shared" si="188"/>
        <v>0</v>
      </c>
      <c r="X1004" s="3">
        <f t="shared" si="189"/>
        <v>0</v>
      </c>
      <c r="Y1004" s="374">
        <f t="shared" si="190"/>
        <v>0</v>
      </c>
      <c r="Z1004" s="25">
        <f t="shared" si="191"/>
        <v>1</v>
      </c>
      <c r="AA1004" s="26">
        <f>VLOOKUP(S1004,CPI!$A$2:$F$71,6,0)</f>
        <v>1.28277786</v>
      </c>
      <c r="AB1004" s="27">
        <f t="shared" si="192"/>
        <v>3591.778007</v>
      </c>
      <c r="AC1004" s="27">
        <f t="shared" si="193"/>
        <v>570.1234932</v>
      </c>
      <c r="AD1004" s="26" t="s">
        <v>42</v>
      </c>
      <c r="AE1004" s="53" t="s">
        <v>1888</v>
      </c>
      <c r="AF1004" s="373"/>
      <c r="AG1004" s="373"/>
      <c r="AH1004" s="373"/>
      <c r="AI1004" s="373"/>
      <c r="AJ1004" s="373"/>
      <c r="AK1004" s="373"/>
      <c r="AL1004" s="373"/>
      <c r="AM1004" s="206"/>
      <c r="AN1004" s="206"/>
      <c r="AO1004" s="206"/>
      <c r="AP1004" s="206"/>
      <c r="AQ1004" s="206"/>
    </row>
    <row r="1005">
      <c r="A1005" s="38">
        <v>7153.0</v>
      </c>
      <c r="B1005" s="26" t="s">
        <v>1872</v>
      </c>
      <c r="C1005" s="26" t="s">
        <v>1881</v>
      </c>
      <c r="D1005" s="1" t="s">
        <v>1886</v>
      </c>
      <c r="E1005" s="26" t="s">
        <v>1889</v>
      </c>
      <c r="F1005" s="25">
        <v>2018.0</v>
      </c>
      <c r="G1005" s="25">
        <v>2026.0</v>
      </c>
      <c r="H1005" s="25">
        <v>0.0</v>
      </c>
      <c r="I1005" s="25">
        <v>4.2</v>
      </c>
      <c r="J1005" s="50">
        <v>1.0</v>
      </c>
      <c r="K1005" s="25">
        <v>4.2</v>
      </c>
      <c r="L1005" s="51">
        <v>0.0</v>
      </c>
      <c r="M1005" s="51">
        <v>0.0</v>
      </c>
      <c r="N1005" s="25">
        <v>2.0</v>
      </c>
      <c r="O1005" s="25"/>
      <c r="P1005" s="26" t="s">
        <v>36</v>
      </c>
      <c r="Q1005" s="52">
        <v>2400.0</v>
      </c>
      <c r="R1005" s="26" t="s">
        <v>37</v>
      </c>
      <c r="S1005" s="25">
        <v>2021.0</v>
      </c>
      <c r="T1005" s="25">
        <v>1.0</v>
      </c>
      <c r="U1005" s="25">
        <f t="shared" si="195"/>
        <v>2400</v>
      </c>
      <c r="V1005" s="24">
        <f t="shared" si="187"/>
        <v>571.4285714</v>
      </c>
      <c r="W1005" s="3">
        <f t="shared" si="188"/>
        <v>0</v>
      </c>
      <c r="X1005" s="3">
        <f t="shared" si="189"/>
        <v>0</v>
      </c>
      <c r="Y1005" s="3">
        <f t="shared" si="190"/>
        <v>0</v>
      </c>
      <c r="Z1005" s="25">
        <f t="shared" si="191"/>
        <v>1</v>
      </c>
      <c r="AA1005" s="26">
        <f>VLOOKUP(S1005,CPI!$A$2:$F$71,6,0)</f>
        <v>1.188745987</v>
      </c>
      <c r="AB1005" s="27">
        <f t="shared" si="192"/>
        <v>2852.990368</v>
      </c>
      <c r="AC1005" s="27">
        <f t="shared" si="193"/>
        <v>679.2834209</v>
      </c>
      <c r="AD1005" s="26" t="s">
        <v>36</v>
      </c>
      <c r="AE1005" s="57" t="s">
        <v>1890</v>
      </c>
      <c r="AF1005" s="6"/>
      <c r="AG1005" s="6"/>
      <c r="AH1005" s="6"/>
      <c r="AI1005" s="6"/>
      <c r="AJ1005" s="6"/>
      <c r="AK1005" s="6"/>
      <c r="AL1005" s="6"/>
      <c r="AM1005" s="206"/>
      <c r="AN1005" s="206"/>
      <c r="AO1005" s="206"/>
      <c r="AP1005" s="206"/>
      <c r="AQ1005" s="206"/>
    </row>
    <row r="1006">
      <c r="A1006" s="38">
        <v>7152.0</v>
      </c>
      <c r="B1006" s="26" t="s">
        <v>1872</v>
      </c>
      <c r="C1006" s="26" t="s">
        <v>1881</v>
      </c>
      <c r="D1006" s="1" t="s">
        <v>1886</v>
      </c>
      <c r="E1006" s="26" t="s">
        <v>1891</v>
      </c>
      <c r="F1006" s="25">
        <v>2020.0</v>
      </c>
      <c r="G1006" s="25">
        <v>2027.0</v>
      </c>
      <c r="H1006" s="25">
        <v>0.0</v>
      </c>
      <c r="I1006" s="25">
        <v>4.2</v>
      </c>
      <c r="J1006" s="50">
        <v>1.0</v>
      </c>
      <c r="K1006" s="25">
        <v>4.2</v>
      </c>
      <c r="L1006" s="51">
        <v>0.0</v>
      </c>
      <c r="M1006" s="51">
        <v>0.0</v>
      </c>
      <c r="N1006" s="25">
        <v>2.0</v>
      </c>
      <c r="O1006" s="25"/>
      <c r="P1006" s="26" t="s">
        <v>42</v>
      </c>
      <c r="Q1006" s="52">
        <v>3600.0</v>
      </c>
      <c r="R1006" s="26" t="s">
        <v>37</v>
      </c>
      <c r="S1006" s="25">
        <v>2023.0</v>
      </c>
      <c r="T1006" s="25">
        <v>1.0</v>
      </c>
      <c r="U1006" s="25">
        <f t="shared" si="195"/>
        <v>3600</v>
      </c>
      <c r="V1006" s="24">
        <f t="shared" si="187"/>
        <v>857.1428571</v>
      </c>
      <c r="W1006" s="3">
        <f t="shared" si="188"/>
        <v>0</v>
      </c>
      <c r="X1006" s="3">
        <f t="shared" si="189"/>
        <v>0</v>
      </c>
      <c r="Y1006" s="3">
        <f t="shared" si="190"/>
        <v>0</v>
      </c>
      <c r="Z1006" s="25">
        <f t="shared" si="191"/>
        <v>1</v>
      </c>
      <c r="AA1006" s="26">
        <f>VLOOKUP(S1006,CPI!$A$2:$F$71,6,0)</f>
        <v>1.057145998</v>
      </c>
      <c r="AB1006" s="27">
        <f t="shared" si="192"/>
        <v>3805.725594</v>
      </c>
      <c r="AC1006" s="27">
        <f t="shared" si="193"/>
        <v>906.1251415</v>
      </c>
      <c r="AD1006" s="26" t="s">
        <v>42</v>
      </c>
      <c r="AE1006" s="57" t="s">
        <v>1892</v>
      </c>
      <c r="AF1006" s="6"/>
      <c r="AG1006" s="6"/>
      <c r="AH1006" s="6"/>
      <c r="AI1006" s="6"/>
      <c r="AJ1006" s="6"/>
      <c r="AK1006" s="6"/>
      <c r="AL1006" s="6"/>
      <c r="AM1006" s="206"/>
      <c r="AN1006" s="206"/>
      <c r="AO1006" s="206"/>
      <c r="AP1006" s="206"/>
      <c r="AQ1006" s="206"/>
    </row>
    <row r="1007">
      <c r="A1007" s="61">
        <v>9819.0</v>
      </c>
      <c r="B1007" s="26" t="s">
        <v>1872</v>
      </c>
      <c r="C1007" s="26" t="s">
        <v>1893</v>
      </c>
      <c r="D1007" s="26" t="s">
        <v>1894</v>
      </c>
      <c r="E1007" s="26" t="s">
        <v>1894</v>
      </c>
      <c r="F1007" s="25">
        <v>2009.0</v>
      </c>
      <c r="G1007" s="25">
        <v>2012.0</v>
      </c>
      <c r="H1007" s="25">
        <v>0.0</v>
      </c>
      <c r="I1007" s="25">
        <v>3.9</v>
      </c>
      <c r="J1007" s="50">
        <v>0.0</v>
      </c>
      <c r="K1007" s="25">
        <v>0.0</v>
      </c>
      <c r="L1007" s="58">
        <v>3.9</v>
      </c>
      <c r="M1007" s="51">
        <v>0.0</v>
      </c>
      <c r="N1007" s="25">
        <v>1.0</v>
      </c>
      <c r="O1007" s="25"/>
      <c r="P1007" s="26" t="s">
        <v>60</v>
      </c>
      <c r="Q1007" s="52">
        <v>506.0</v>
      </c>
      <c r="R1007" s="26" t="s">
        <v>37</v>
      </c>
      <c r="S1007" s="25">
        <v>2010.0</v>
      </c>
      <c r="T1007" s="25">
        <v>1.0</v>
      </c>
      <c r="U1007" s="25">
        <f t="shared" si="195"/>
        <v>506</v>
      </c>
      <c r="V1007" s="24">
        <f t="shared" si="187"/>
        <v>129.7435897</v>
      </c>
      <c r="W1007" s="3">
        <f t="shared" si="188"/>
        <v>0</v>
      </c>
      <c r="X1007" s="3">
        <f t="shared" si="189"/>
        <v>0</v>
      </c>
      <c r="Y1007" s="3">
        <f t="shared" si="190"/>
        <v>0</v>
      </c>
      <c r="Z1007" s="25">
        <f t="shared" si="191"/>
        <v>1</v>
      </c>
      <c r="AA1007" s="26">
        <f>VLOOKUP(S1007,CPI!$A$2:$F$71,6,0)</f>
        <v>1.477209983</v>
      </c>
      <c r="AB1007" s="27">
        <f t="shared" si="192"/>
        <v>747.4682513</v>
      </c>
      <c r="AC1007" s="27">
        <f t="shared" si="193"/>
        <v>191.658526</v>
      </c>
      <c r="AD1007" s="26" t="s">
        <v>60</v>
      </c>
      <c r="AE1007" s="53" t="s">
        <v>1895</v>
      </c>
      <c r="AF1007" s="373"/>
      <c r="AG1007" s="373"/>
      <c r="AH1007" s="373"/>
      <c r="AI1007" s="373"/>
      <c r="AJ1007" s="373"/>
      <c r="AK1007" s="373"/>
      <c r="AL1007" s="373"/>
      <c r="AM1007" s="206"/>
      <c r="AN1007" s="206"/>
      <c r="AO1007" s="206"/>
      <c r="AP1007" s="206"/>
      <c r="AQ1007" s="206"/>
    </row>
    <row r="1008">
      <c r="A1008" s="38">
        <v>7408.0</v>
      </c>
      <c r="B1008" s="26" t="s">
        <v>1872</v>
      </c>
      <c r="C1008" s="26" t="s">
        <v>1896</v>
      </c>
      <c r="D1008" s="1" t="s">
        <v>228</v>
      </c>
      <c r="E1008" s="26" t="s">
        <v>1897</v>
      </c>
      <c r="F1008" s="25">
        <v>2007.0</v>
      </c>
      <c r="G1008" s="25">
        <v>2014.0</v>
      </c>
      <c r="H1008" s="25">
        <v>0.0</v>
      </c>
      <c r="I1008" s="25">
        <v>1.6</v>
      </c>
      <c r="J1008" s="50">
        <v>1.0</v>
      </c>
      <c r="K1008" s="25">
        <v>1.6</v>
      </c>
      <c r="L1008" s="51">
        <v>0.0</v>
      </c>
      <c r="M1008" s="51">
        <v>0.0</v>
      </c>
      <c r="N1008" s="25">
        <v>1.0</v>
      </c>
      <c r="O1008" s="25"/>
      <c r="P1008" s="26" t="s">
        <v>59</v>
      </c>
      <c r="Q1008" s="52">
        <v>2400.0</v>
      </c>
      <c r="R1008" s="26" t="s">
        <v>37</v>
      </c>
      <c r="S1008" s="58">
        <v>2010.0</v>
      </c>
      <c r="T1008" s="25">
        <v>1.0</v>
      </c>
      <c r="U1008" s="25">
        <f t="shared" si="195"/>
        <v>2400</v>
      </c>
      <c r="V1008" s="24">
        <f t="shared" si="187"/>
        <v>1500</v>
      </c>
      <c r="W1008" s="3">
        <f t="shared" si="188"/>
        <v>0</v>
      </c>
      <c r="X1008" s="3">
        <f t="shared" si="189"/>
        <v>0</v>
      </c>
      <c r="Y1008" s="3">
        <f t="shared" si="190"/>
        <v>0</v>
      </c>
      <c r="Z1008" s="25">
        <f t="shared" si="191"/>
        <v>1</v>
      </c>
      <c r="AA1008" s="26">
        <f>VLOOKUP(S1008,CPI!$A$2:$F$71,6,0)</f>
        <v>1.477209983</v>
      </c>
      <c r="AB1008" s="27">
        <f t="shared" si="192"/>
        <v>3545.303959</v>
      </c>
      <c r="AC1008" s="27">
        <f t="shared" si="193"/>
        <v>2215.814974</v>
      </c>
      <c r="AD1008" s="26" t="s">
        <v>60</v>
      </c>
      <c r="AE1008" s="53" t="s">
        <v>1898</v>
      </c>
      <c r="AF1008" s="6"/>
      <c r="AG1008" s="6"/>
      <c r="AH1008" s="6"/>
      <c r="AI1008" s="6"/>
      <c r="AJ1008" s="375"/>
      <c r="AK1008" s="375"/>
      <c r="AL1008" s="375"/>
      <c r="AM1008" s="206"/>
      <c r="AN1008" s="206"/>
      <c r="AO1008" s="206"/>
      <c r="AP1008" s="206"/>
      <c r="AQ1008" s="206"/>
    </row>
    <row r="1009">
      <c r="A1009" s="38">
        <v>7409.0</v>
      </c>
      <c r="B1009" s="26" t="s">
        <v>1872</v>
      </c>
      <c r="C1009" s="26" t="s">
        <v>1896</v>
      </c>
      <c r="D1009" s="1" t="s">
        <v>1899</v>
      </c>
      <c r="E1009" s="26" t="s">
        <v>1900</v>
      </c>
      <c r="F1009" s="25">
        <v>2007.0</v>
      </c>
      <c r="G1009" s="25">
        <v>2016.0</v>
      </c>
      <c r="H1009" s="25">
        <v>0.0</v>
      </c>
      <c r="I1009" s="58">
        <v>2.7</v>
      </c>
      <c r="J1009" s="50">
        <v>1.0</v>
      </c>
      <c r="K1009" s="58">
        <v>2.7</v>
      </c>
      <c r="L1009" s="51">
        <v>0.0</v>
      </c>
      <c r="M1009" s="51">
        <v>0.0</v>
      </c>
      <c r="N1009" s="25">
        <v>3.0</v>
      </c>
      <c r="O1009" s="58">
        <v>187.0</v>
      </c>
      <c r="P1009" s="26" t="s">
        <v>59</v>
      </c>
      <c r="Q1009" s="55">
        <v>4601.0</v>
      </c>
      <c r="R1009" s="26" t="s">
        <v>37</v>
      </c>
      <c r="S1009" s="58">
        <v>2011.0</v>
      </c>
      <c r="T1009" s="25">
        <v>1.0</v>
      </c>
      <c r="U1009" s="25">
        <f t="shared" si="195"/>
        <v>4601</v>
      </c>
      <c r="V1009" s="24">
        <f t="shared" si="187"/>
        <v>1704.074074</v>
      </c>
      <c r="W1009" s="3">
        <f t="shared" si="188"/>
        <v>0</v>
      </c>
      <c r="X1009" s="3">
        <f t="shared" si="189"/>
        <v>0</v>
      </c>
      <c r="Y1009" s="3">
        <f t="shared" si="190"/>
        <v>0</v>
      </c>
      <c r="Z1009" s="25">
        <f t="shared" si="191"/>
        <v>1</v>
      </c>
      <c r="AA1009" s="26">
        <f>VLOOKUP(S1009,CPI!$A$2:$F$71,6,0)</f>
        <v>1.432008233</v>
      </c>
      <c r="AB1009" s="27">
        <f t="shared" si="192"/>
        <v>6588.669882</v>
      </c>
      <c r="AC1009" s="27">
        <f t="shared" si="193"/>
        <v>2440.248104</v>
      </c>
      <c r="AD1009" s="26" t="s">
        <v>42</v>
      </c>
      <c r="AE1009" s="83" t="s">
        <v>1901</v>
      </c>
      <c r="AF1009" s="6"/>
      <c r="AG1009" s="6"/>
      <c r="AH1009" s="6"/>
      <c r="AI1009" s="6"/>
      <c r="AJ1009" s="375"/>
      <c r="AK1009" s="375"/>
      <c r="AL1009" s="375"/>
      <c r="AM1009" s="206"/>
      <c r="AN1009" s="206"/>
      <c r="AO1009" s="206"/>
      <c r="AP1009" s="206"/>
      <c r="AQ1009" s="206"/>
    </row>
    <row r="1010">
      <c r="A1010" s="38">
        <v>7411.0</v>
      </c>
      <c r="B1010" s="26" t="s">
        <v>1872</v>
      </c>
      <c r="C1010" s="26" t="s">
        <v>1896</v>
      </c>
      <c r="D1010" s="26" t="s">
        <v>1902</v>
      </c>
      <c r="E1010" s="26" t="s">
        <v>1902</v>
      </c>
      <c r="F1010" s="25">
        <v>2007.0</v>
      </c>
      <c r="G1010" s="25">
        <v>2022.0</v>
      </c>
      <c r="H1010" s="25">
        <v>1.0</v>
      </c>
      <c r="I1010" s="25">
        <v>2.8</v>
      </c>
      <c r="J1010" s="50">
        <v>1.0</v>
      </c>
      <c r="K1010" s="25">
        <v>2.8</v>
      </c>
      <c r="L1010" s="51">
        <v>0.0</v>
      </c>
      <c r="M1010" s="51">
        <v>0.0</v>
      </c>
      <c r="N1010" s="25">
        <v>1.0</v>
      </c>
      <c r="O1010" s="25"/>
      <c r="P1010" s="26" t="s">
        <v>59</v>
      </c>
      <c r="Q1010" s="52">
        <v>11000.0</v>
      </c>
      <c r="R1010" s="26" t="s">
        <v>37</v>
      </c>
      <c r="S1010" s="25">
        <v>2015.0</v>
      </c>
      <c r="T1010" s="25">
        <v>1.0</v>
      </c>
      <c r="U1010" s="25">
        <f t="shared" si="195"/>
        <v>11000</v>
      </c>
      <c r="V1010" s="24">
        <f t="shared" si="187"/>
        <v>3928.571429</v>
      </c>
      <c r="W1010" s="3">
        <f t="shared" si="188"/>
        <v>0</v>
      </c>
      <c r="X1010" s="3">
        <f t="shared" si="189"/>
        <v>0</v>
      </c>
      <c r="Y1010" s="3">
        <f t="shared" si="190"/>
        <v>0</v>
      </c>
      <c r="Z1010" s="25">
        <f t="shared" si="191"/>
        <v>1</v>
      </c>
      <c r="AA1010" s="26">
        <f>VLOOKUP(S1010,CPI!$A$2:$F$71,6,0)</f>
        <v>1.359035428</v>
      </c>
      <c r="AB1010" s="27">
        <f t="shared" si="192"/>
        <v>14949.38971</v>
      </c>
      <c r="AC1010" s="27">
        <f t="shared" si="193"/>
        <v>5339.067752</v>
      </c>
      <c r="AD1010" s="26" t="s">
        <v>42</v>
      </c>
      <c r="AE1010" s="53" t="s">
        <v>1903</v>
      </c>
      <c r="AF1010" s="15"/>
      <c r="AG1010" s="15"/>
      <c r="AH1010" s="15"/>
      <c r="AI1010" s="15"/>
      <c r="AJ1010" s="15"/>
      <c r="AK1010" s="15"/>
      <c r="AL1010" s="15"/>
      <c r="AM1010" s="206"/>
      <c r="AN1010" s="206"/>
      <c r="AO1010" s="206"/>
      <c r="AP1010" s="206"/>
      <c r="AQ1010" s="206"/>
    </row>
    <row r="1011">
      <c r="A1011" s="38">
        <v>7416.0</v>
      </c>
      <c r="B1011" s="26" t="s">
        <v>1872</v>
      </c>
      <c r="C1011" s="26" t="s">
        <v>1896</v>
      </c>
      <c r="D1011" s="26" t="s">
        <v>1904</v>
      </c>
      <c r="E1011" s="26" t="s">
        <v>1904</v>
      </c>
      <c r="F1011" s="25">
        <v>2019.0</v>
      </c>
      <c r="G1011" s="25">
        <v>2026.0</v>
      </c>
      <c r="H1011" s="25">
        <v>1.0</v>
      </c>
      <c r="I1011" s="25">
        <v>5.3</v>
      </c>
      <c r="J1011" s="50">
        <v>1.0</v>
      </c>
      <c r="K1011" s="25">
        <v>5.3</v>
      </c>
      <c r="L1011" s="51">
        <v>0.0</v>
      </c>
      <c r="M1011" s="51">
        <v>0.0</v>
      </c>
      <c r="N1011" s="25">
        <v>0.0</v>
      </c>
      <c r="O1011" s="25"/>
      <c r="P1011" s="26" t="s">
        <v>59</v>
      </c>
      <c r="Q1011" s="52">
        <v>9500.0</v>
      </c>
      <c r="R1011" s="26" t="s">
        <v>37</v>
      </c>
      <c r="S1011" s="25">
        <v>2023.0</v>
      </c>
      <c r="T1011" s="25">
        <v>1.0</v>
      </c>
      <c r="U1011" s="25">
        <f t="shared" si="195"/>
        <v>9500</v>
      </c>
      <c r="V1011" s="24">
        <f t="shared" si="187"/>
        <v>1792.45283</v>
      </c>
      <c r="W1011" s="3">
        <f t="shared" si="188"/>
        <v>0</v>
      </c>
      <c r="X1011" s="3">
        <f t="shared" si="189"/>
        <v>0</v>
      </c>
      <c r="Y1011" s="3">
        <f t="shared" si="190"/>
        <v>0</v>
      </c>
      <c r="Z1011" s="25">
        <f t="shared" si="191"/>
        <v>1</v>
      </c>
      <c r="AA1011" s="26">
        <f>VLOOKUP(S1011,CPI!$A$2:$F$71,6,0)</f>
        <v>1.057145998</v>
      </c>
      <c r="AB1011" s="27">
        <f t="shared" si="192"/>
        <v>10042.88698</v>
      </c>
      <c r="AC1011" s="27">
        <f t="shared" si="193"/>
        <v>1894.884337</v>
      </c>
      <c r="AD1011" s="26" t="s">
        <v>60</v>
      </c>
      <c r="AE1011" s="53" t="s">
        <v>1905</v>
      </c>
      <c r="AF1011" s="6"/>
      <c r="AG1011" s="6"/>
      <c r="AH1011" s="6"/>
      <c r="AI1011" s="6"/>
      <c r="AJ1011" s="375"/>
      <c r="AK1011" s="375"/>
      <c r="AL1011" s="375"/>
      <c r="AM1011" s="206"/>
      <c r="AN1011" s="206"/>
      <c r="AO1011" s="206"/>
      <c r="AP1011" s="206"/>
      <c r="AQ1011" s="206"/>
    </row>
    <row r="1012">
      <c r="A1012" s="38">
        <v>7410.0</v>
      </c>
      <c r="B1012" s="26" t="s">
        <v>1872</v>
      </c>
      <c r="C1012" s="26" t="s">
        <v>1896</v>
      </c>
      <c r="D1012" s="1" t="s">
        <v>1899</v>
      </c>
      <c r="E1012" s="26" t="s">
        <v>1906</v>
      </c>
      <c r="F1012" s="25">
        <v>2019.0</v>
      </c>
      <c r="G1012" s="25">
        <v>2029.0</v>
      </c>
      <c r="H1012" s="25">
        <v>0.0</v>
      </c>
      <c r="I1012" s="25">
        <v>2.6</v>
      </c>
      <c r="J1012" s="50">
        <v>1.0</v>
      </c>
      <c r="K1012" s="25">
        <v>2.6</v>
      </c>
      <c r="L1012" s="51">
        <v>0.0</v>
      </c>
      <c r="M1012" s="51">
        <v>0.0</v>
      </c>
      <c r="N1012" s="25">
        <v>3.0</v>
      </c>
      <c r="O1012" s="58">
        <v>187.0</v>
      </c>
      <c r="P1012" s="26" t="s">
        <v>59</v>
      </c>
      <c r="Q1012" s="55">
        <v>6949.0</v>
      </c>
      <c r="R1012" s="26" t="s">
        <v>37</v>
      </c>
      <c r="S1012" s="25">
        <v>2024.0</v>
      </c>
      <c r="T1012" s="25">
        <v>1.0</v>
      </c>
      <c r="U1012" s="25">
        <f t="shared" si="195"/>
        <v>6949</v>
      </c>
      <c r="V1012" s="24">
        <f t="shared" si="187"/>
        <v>2672.692308</v>
      </c>
      <c r="W1012" s="3">
        <f t="shared" si="188"/>
        <v>0</v>
      </c>
      <c r="X1012" s="3">
        <f t="shared" si="189"/>
        <v>0</v>
      </c>
      <c r="Y1012" s="3">
        <f t="shared" si="190"/>
        <v>0</v>
      </c>
      <c r="Z1012" s="25">
        <f t="shared" si="191"/>
        <v>1</v>
      </c>
      <c r="AA1012" s="26">
        <f>VLOOKUP(S1012,CPI!$A$2:$F$71,6,0)</f>
        <v>1</v>
      </c>
      <c r="AB1012" s="27">
        <f t="shared" si="192"/>
        <v>6949</v>
      </c>
      <c r="AC1012" s="27">
        <f t="shared" si="193"/>
        <v>2672.692308</v>
      </c>
      <c r="AD1012" s="26" t="s">
        <v>36</v>
      </c>
      <c r="AE1012" s="88" t="s">
        <v>1907</v>
      </c>
      <c r="AF1012" s="15"/>
      <c r="AG1012" s="15"/>
      <c r="AH1012" s="15"/>
      <c r="AI1012" s="15"/>
      <c r="AJ1012" s="15"/>
      <c r="AK1012" s="15"/>
      <c r="AL1012" s="15"/>
      <c r="AM1012" s="206"/>
      <c r="AN1012" s="206"/>
      <c r="AO1012" s="206"/>
      <c r="AP1012" s="206"/>
      <c r="AQ1012" s="206"/>
    </row>
    <row r="1013">
      <c r="A1013" s="7"/>
      <c r="B1013" s="115" t="s">
        <v>1872</v>
      </c>
      <c r="C1013" s="115" t="s">
        <v>1908</v>
      </c>
      <c r="D1013" s="115" t="s">
        <v>1909</v>
      </c>
      <c r="E1013" s="115" t="s">
        <v>1910</v>
      </c>
      <c r="F1013" s="82">
        <v>1976.0</v>
      </c>
      <c r="G1013" s="115">
        <v>1984.0</v>
      </c>
      <c r="H1013" s="82">
        <v>1.0</v>
      </c>
      <c r="I1013" s="82">
        <v>2.9</v>
      </c>
      <c r="J1013" s="247">
        <v>0.69</v>
      </c>
      <c r="K1013" s="82">
        <v>2.0</v>
      </c>
      <c r="L1013" s="115"/>
      <c r="M1013" s="115"/>
      <c r="N1013" s="82">
        <v>1.0</v>
      </c>
      <c r="O1013" s="82">
        <v>350.0</v>
      </c>
      <c r="P1013" s="115" t="s">
        <v>59</v>
      </c>
      <c r="Q1013" s="248">
        <v>330.0</v>
      </c>
      <c r="R1013" s="115" t="s">
        <v>37</v>
      </c>
      <c r="S1013" s="115">
        <v>1980.0</v>
      </c>
      <c r="T1013" s="115">
        <v>1.0</v>
      </c>
      <c r="U1013" s="118">
        <f t="shared" si="195"/>
        <v>330</v>
      </c>
      <c r="V1013" s="24">
        <f t="shared" si="187"/>
        <v>113.7931034</v>
      </c>
      <c r="W1013" s="3">
        <f t="shared" si="188"/>
        <v>0</v>
      </c>
      <c r="X1013" s="3">
        <f t="shared" si="189"/>
        <v>0</v>
      </c>
      <c r="Y1013" s="3">
        <f t="shared" si="190"/>
        <v>0</v>
      </c>
      <c r="Z1013" s="25">
        <f t="shared" si="191"/>
        <v>1</v>
      </c>
      <c r="AA1013" s="26">
        <f>VLOOKUP(S1013,CPI!$A$2:$F$71,6,0)</f>
        <v>3.909156553</v>
      </c>
      <c r="AB1013" s="27">
        <f t="shared" si="192"/>
        <v>1290.021663</v>
      </c>
      <c r="AC1013" s="27">
        <f t="shared" si="193"/>
        <v>444.8350561</v>
      </c>
      <c r="AD1013" s="115" t="s">
        <v>42</v>
      </c>
      <c r="AE1013" s="249" t="s">
        <v>1911</v>
      </c>
      <c r="AF1013" s="344"/>
      <c r="AG1013" s="114"/>
      <c r="AH1013" s="114"/>
      <c r="AI1013" s="114"/>
      <c r="AJ1013" s="206"/>
      <c r="AK1013" s="206"/>
      <c r="AL1013" s="206"/>
      <c r="AM1013" s="206"/>
      <c r="AN1013" s="206"/>
      <c r="AO1013" s="206"/>
      <c r="AP1013" s="206"/>
      <c r="AQ1013" s="206"/>
    </row>
    <row r="1014">
      <c r="A1014" s="38">
        <v>7160.0</v>
      </c>
      <c r="B1014" s="26" t="s">
        <v>1872</v>
      </c>
      <c r="C1014" s="26" t="s">
        <v>1912</v>
      </c>
      <c r="D1014" s="26" t="s">
        <v>1913</v>
      </c>
      <c r="E1014" s="26" t="s">
        <v>1913</v>
      </c>
      <c r="F1014" s="25">
        <v>2010.0</v>
      </c>
      <c r="G1014" s="25">
        <v>2021.0</v>
      </c>
      <c r="H1014" s="25">
        <v>0.0</v>
      </c>
      <c r="I1014" s="25">
        <v>2.7</v>
      </c>
      <c r="J1014" s="50">
        <v>1.0</v>
      </c>
      <c r="K1014" s="25">
        <v>2.7</v>
      </c>
      <c r="L1014" s="51">
        <v>0.0</v>
      </c>
      <c r="M1014" s="51">
        <v>0.0</v>
      </c>
      <c r="N1014" s="25">
        <v>4.0</v>
      </c>
      <c r="O1014" s="25"/>
      <c r="P1014" s="26" t="s">
        <v>42</v>
      </c>
      <c r="Q1014" s="52">
        <v>1670.0</v>
      </c>
      <c r="R1014" s="26" t="s">
        <v>37</v>
      </c>
      <c r="S1014" s="25">
        <v>2014.0</v>
      </c>
      <c r="T1014" s="25">
        <v>1.0</v>
      </c>
      <c r="U1014" s="25">
        <f t="shared" si="195"/>
        <v>1670</v>
      </c>
      <c r="V1014" s="24">
        <f t="shared" si="187"/>
        <v>618.5185185</v>
      </c>
      <c r="W1014" s="3">
        <f t="shared" si="188"/>
        <v>0</v>
      </c>
      <c r="X1014" s="3">
        <f t="shared" si="189"/>
        <v>0</v>
      </c>
      <c r="Y1014" s="3">
        <f t="shared" si="190"/>
        <v>0</v>
      </c>
      <c r="Z1014" s="25">
        <f t="shared" si="191"/>
        <v>1</v>
      </c>
      <c r="AA1014" s="26">
        <f>VLOOKUP(S1014,CPI!$A$2:$F$71,6,0)</f>
        <v>1.360648571</v>
      </c>
      <c r="AB1014" s="27">
        <f t="shared" si="192"/>
        <v>2272.283113</v>
      </c>
      <c r="AC1014" s="27">
        <f t="shared" si="193"/>
        <v>841.5863381</v>
      </c>
      <c r="AD1014" s="26" t="s">
        <v>42</v>
      </c>
      <c r="AE1014" s="53" t="s">
        <v>1914</v>
      </c>
      <c r="AF1014" s="6"/>
      <c r="AG1014" s="6"/>
      <c r="AH1014" s="6"/>
      <c r="AI1014" s="6"/>
      <c r="AJ1014" s="375"/>
      <c r="AK1014" s="375"/>
      <c r="AL1014" s="375"/>
      <c r="AM1014" s="206"/>
      <c r="AN1014" s="206"/>
      <c r="AO1014" s="206"/>
      <c r="AP1014" s="206"/>
      <c r="AQ1014" s="206"/>
    </row>
    <row r="1015">
      <c r="A1015" s="38">
        <v>7163.0</v>
      </c>
      <c r="B1015" s="26" t="s">
        <v>1872</v>
      </c>
      <c r="C1015" s="26" t="s">
        <v>1912</v>
      </c>
      <c r="D1015" s="26" t="s">
        <v>1915</v>
      </c>
      <c r="E1015" s="26" t="s">
        <v>1915</v>
      </c>
      <c r="F1015" s="58">
        <v>2024.0</v>
      </c>
      <c r="G1015" s="58">
        <v>2036.0</v>
      </c>
      <c r="H1015" s="25">
        <v>0.0</v>
      </c>
      <c r="I1015" s="25">
        <v>9.6</v>
      </c>
      <c r="J1015" s="50">
        <v>0.83</v>
      </c>
      <c r="K1015" s="25">
        <v>8.0</v>
      </c>
      <c r="L1015" s="51">
        <v>0.0</v>
      </c>
      <c r="M1015" s="51">
        <v>0.0</v>
      </c>
      <c r="N1015" s="25">
        <v>4.0</v>
      </c>
      <c r="O1015" s="25"/>
      <c r="P1015" s="26" t="s">
        <v>60</v>
      </c>
      <c r="Q1015" s="55">
        <v>12200.0</v>
      </c>
      <c r="R1015" s="26" t="s">
        <v>37</v>
      </c>
      <c r="S1015" s="58">
        <v>2030.0</v>
      </c>
      <c r="T1015" s="25">
        <v>1.0</v>
      </c>
      <c r="U1015" s="25">
        <f t="shared" si="195"/>
        <v>12200</v>
      </c>
      <c r="V1015" s="24">
        <f t="shared" si="187"/>
        <v>1270.833333</v>
      </c>
      <c r="W1015" s="3">
        <f t="shared" si="188"/>
        <v>0</v>
      </c>
      <c r="X1015" s="3">
        <f t="shared" si="189"/>
        <v>0</v>
      </c>
      <c r="Y1015" s="3">
        <f t="shared" si="190"/>
        <v>0</v>
      </c>
      <c r="Z1015" s="25">
        <f t="shared" si="191"/>
        <v>1</v>
      </c>
      <c r="AA1015" s="26">
        <f>VLOOKUP(S1015,CPI!$A$2:$F$71,6,0)</f>
        <v>1</v>
      </c>
      <c r="AB1015" s="27">
        <f t="shared" si="192"/>
        <v>12200</v>
      </c>
      <c r="AC1015" s="27">
        <f t="shared" si="193"/>
        <v>1270.833333</v>
      </c>
      <c r="AD1015" s="63" t="s">
        <v>42</v>
      </c>
      <c r="AE1015" s="56" t="s">
        <v>1916</v>
      </c>
      <c r="AF1015" s="6"/>
      <c r="AG1015" s="6"/>
      <c r="AH1015" s="6"/>
      <c r="AI1015" s="6"/>
      <c r="AJ1015" s="375"/>
      <c r="AK1015" s="375"/>
      <c r="AL1015" s="375"/>
      <c r="AM1015" s="206"/>
      <c r="AN1015" s="206"/>
      <c r="AO1015" s="206"/>
      <c r="AP1015" s="206"/>
      <c r="AQ1015" s="206"/>
    </row>
    <row r="1016">
      <c r="A1016" s="61">
        <v>7151.0</v>
      </c>
      <c r="B1016" s="26" t="s">
        <v>1872</v>
      </c>
      <c r="C1016" s="26" t="s">
        <v>1917</v>
      </c>
      <c r="D1016" s="26" t="s">
        <v>1918</v>
      </c>
      <c r="E1016" s="26" t="s">
        <v>1918</v>
      </c>
      <c r="F1016" s="25">
        <v>2009.0</v>
      </c>
      <c r="G1016" s="25">
        <v>2016.0</v>
      </c>
      <c r="H1016" s="25">
        <v>0.0</v>
      </c>
      <c r="I1016" s="25">
        <v>5.1</v>
      </c>
      <c r="J1016" s="50">
        <v>1.0</v>
      </c>
      <c r="K1016" s="25">
        <v>5.1</v>
      </c>
      <c r="L1016" s="51">
        <v>0.0</v>
      </c>
      <c r="M1016" s="51">
        <v>0.0</v>
      </c>
      <c r="N1016" s="25">
        <v>2.0</v>
      </c>
      <c r="O1016" s="25"/>
      <c r="P1016" s="26" t="s">
        <v>42</v>
      </c>
      <c r="Q1016" s="52">
        <v>1756.0</v>
      </c>
      <c r="R1016" s="26" t="s">
        <v>37</v>
      </c>
      <c r="S1016" s="25">
        <v>2012.0</v>
      </c>
      <c r="T1016" s="25">
        <v>1.0</v>
      </c>
      <c r="U1016" s="25">
        <f t="shared" si="195"/>
        <v>1756</v>
      </c>
      <c r="V1016" s="24">
        <f t="shared" si="187"/>
        <v>344.3137255</v>
      </c>
      <c r="W1016" s="3">
        <f t="shared" si="188"/>
        <v>0</v>
      </c>
      <c r="X1016" s="3">
        <f t="shared" si="189"/>
        <v>0</v>
      </c>
      <c r="Y1016" s="3">
        <f t="shared" si="190"/>
        <v>0</v>
      </c>
      <c r="Z1016" s="25">
        <f t="shared" si="191"/>
        <v>1</v>
      </c>
      <c r="AA1016" s="26">
        <f>VLOOKUP(S1016,CPI!$A$2:$F$71,6,0)</f>
        <v>1.402974381</v>
      </c>
      <c r="AB1016" s="27">
        <f t="shared" si="192"/>
        <v>2463.623013</v>
      </c>
      <c r="AC1016" s="27">
        <f t="shared" si="193"/>
        <v>483.0633358</v>
      </c>
      <c r="AD1016" s="26" t="s">
        <v>60</v>
      </c>
      <c r="AE1016" s="57" t="s">
        <v>1919</v>
      </c>
      <c r="AF1016" s="6"/>
      <c r="AG1016" s="6"/>
      <c r="AH1016" s="6"/>
      <c r="AI1016" s="6"/>
      <c r="AJ1016" s="375"/>
      <c r="AK1016" s="375"/>
      <c r="AL1016" s="375"/>
      <c r="AM1016" s="206"/>
      <c r="AN1016" s="206"/>
      <c r="AO1016" s="206"/>
      <c r="AP1016" s="206"/>
      <c r="AQ1016" s="206"/>
    </row>
    <row r="1017">
      <c r="A1017" s="61"/>
      <c r="B1017" s="26" t="s">
        <v>1872</v>
      </c>
      <c r="C1017" s="26" t="s">
        <v>1917</v>
      </c>
      <c r="D1017" s="63" t="s">
        <v>1920</v>
      </c>
      <c r="E1017" s="63" t="s">
        <v>1920</v>
      </c>
      <c r="F1017" s="58">
        <v>2028.0</v>
      </c>
      <c r="G1017" s="58">
        <v>2038.0</v>
      </c>
      <c r="H1017" s="58">
        <v>0.0</v>
      </c>
      <c r="I1017" s="58">
        <v>12.4</v>
      </c>
      <c r="J1017" s="59">
        <v>0.43</v>
      </c>
      <c r="K1017" s="58">
        <v>5.3</v>
      </c>
      <c r="L1017" s="58">
        <v>5.6</v>
      </c>
      <c r="M1017" s="58">
        <v>1.5</v>
      </c>
      <c r="N1017" s="58">
        <v>9.0</v>
      </c>
      <c r="O1017" s="25"/>
      <c r="P1017" s="63" t="s">
        <v>74</v>
      </c>
      <c r="Q1017" s="55">
        <v>22600.0</v>
      </c>
      <c r="R1017" s="26" t="s">
        <v>37</v>
      </c>
      <c r="S1017" s="58">
        <v>2025.0</v>
      </c>
      <c r="T1017" s="58">
        <v>1.0</v>
      </c>
      <c r="U1017" s="25">
        <f t="shared" si="195"/>
        <v>22600</v>
      </c>
      <c r="V1017" s="24">
        <f t="shared" si="187"/>
        <v>1822.580645</v>
      </c>
      <c r="W1017" s="3">
        <f t="shared" si="188"/>
        <v>0</v>
      </c>
      <c r="X1017" s="3">
        <f t="shared" si="189"/>
        <v>0</v>
      </c>
      <c r="Y1017" s="3">
        <f t="shared" si="190"/>
        <v>0</v>
      </c>
      <c r="Z1017" s="25">
        <f t="shared" si="191"/>
        <v>1</v>
      </c>
      <c r="AA1017" s="26">
        <f>VLOOKUP(S1017,CPI!$A$2:$F$71,6,0)</f>
        <v>1</v>
      </c>
      <c r="AB1017" s="27">
        <f t="shared" si="192"/>
        <v>22600</v>
      </c>
      <c r="AC1017" s="27">
        <f t="shared" si="193"/>
        <v>1822.580645</v>
      </c>
      <c r="AD1017" s="63" t="s">
        <v>42</v>
      </c>
      <c r="AE1017" s="56" t="s">
        <v>1921</v>
      </c>
      <c r="AF1017" s="6"/>
      <c r="AG1017" s="6"/>
      <c r="AH1017" s="6"/>
      <c r="AI1017" s="6"/>
      <c r="AJ1017" s="375"/>
      <c r="AK1017" s="375"/>
      <c r="AL1017" s="375"/>
      <c r="AM1017" s="206"/>
      <c r="AN1017" s="206"/>
      <c r="AO1017" s="206"/>
      <c r="AP1017" s="206"/>
      <c r="AQ1017" s="206"/>
    </row>
    <row r="1018">
      <c r="A1018" s="61">
        <v>9820.0</v>
      </c>
      <c r="B1018" s="26" t="s">
        <v>1872</v>
      </c>
      <c r="C1018" s="26" t="s">
        <v>1917</v>
      </c>
      <c r="D1018" s="63" t="s">
        <v>1922</v>
      </c>
      <c r="E1018" s="63" t="s">
        <v>1922</v>
      </c>
      <c r="F1018" s="25">
        <v>2026.0</v>
      </c>
      <c r="G1018" s="58">
        <v>2032.0</v>
      </c>
      <c r="H1018" s="25">
        <v>0.0</v>
      </c>
      <c r="I1018" s="58">
        <v>6.6</v>
      </c>
      <c r="J1018" s="50">
        <f>2/6.6</f>
        <v>0.303030303</v>
      </c>
      <c r="K1018" s="58">
        <v>2.0</v>
      </c>
      <c r="L1018" s="58">
        <v>4.6</v>
      </c>
      <c r="M1018" s="51">
        <v>0.0</v>
      </c>
      <c r="N1018" s="58">
        <v>4.0</v>
      </c>
      <c r="O1018" s="25"/>
      <c r="P1018" s="26" t="s">
        <v>60</v>
      </c>
      <c r="Q1018" s="55">
        <v>5100.0</v>
      </c>
      <c r="R1018" s="26" t="s">
        <v>37</v>
      </c>
      <c r="S1018" s="58">
        <v>2025.0</v>
      </c>
      <c r="T1018" s="25">
        <v>1.0</v>
      </c>
      <c r="U1018" s="25">
        <f t="shared" si="195"/>
        <v>5100</v>
      </c>
      <c r="V1018" s="24">
        <f t="shared" si="187"/>
        <v>772.7272727</v>
      </c>
      <c r="W1018" s="3">
        <f t="shared" si="188"/>
        <v>0</v>
      </c>
      <c r="X1018" s="3">
        <f t="shared" si="189"/>
        <v>0</v>
      </c>
      <c r="Y1018" s="3">
        <f t="shared" si="190"/>
        <v>0</v>
      </c>
      <c r="Z1018" s="25">
        <f t="shared" si="191"/>
        <v>1</v>
      </c>
      <c r="AA1018" s="26">
        <f>VLOOKUP(S1018,CPI!$A$2:$F$71,6,0)</f>
        <v>1</v>
      </c>
      <c r="AB1018" s="27">
        <f t="shared" si="192"/>
        <v>5100</v>
      </c>
      <c r="AC1018" s="27">
        <f t="shared" si="193"/>
        <v>772.7272727</v>
      </c>
      <c r="AD1018" s="63" t="s">
        <v>42</v>
      </c>
      <c r="AE1018" s="56" t="s">
        <v>1923</v>
      </c>
      <c r="AF1018" s="6"/>
      <c r="AG1018" s="6"/>
      <c r="AH1018" s="6"/>
      <c r="AI1018" s="6"/>
      <c r="AJ1018" s="375"/>
      <c r="AK1018" s="375"/>
      <c r="AL1018" s="375"/>
      <c r="AM1018" s="206"/>
      <c r="AN1018" s="206"/>
      <c r="AO1018" s="206"/>
      <c r="AP1018" s="206"/>
      <c r="AQ1018" s="206"/>
    </row>
    <row r="1019">
      <c r="A1019" s="61">
        <v>9825.0</v>
      </c>
      <c r="B1019" s="26" t="s">
        <v>1872</v>
      </c>
      <c r="C1019" s="26" t="s">
        <v>1924</v>
      </c>
      <c r="D1019" s="1" t="s">
        <v>1925</v>
      </c>
      <c r="E1019" s="26" t="s">
        <v>1926</v>
      </c>
      <c r="F1019" s="25">
        <v>2009.0</v>
      </c>
      <c r="G1019" s="25">
        <v>2014.0</v>
      </c>
      <c r="H1019" s="25">
        <v>0.0</v>
      </c>
      <c r="I1019" s="25">
        <v>18.8</v>
      </c>
      <c r="J1019" s="50">
        <v>0.04</v>
      </c>
      <c r="K1019" s="25">
        <v>0.7</v>
      </c>
      <c r="L1019" s="51">
        <v>0.0</v>
      </c>
      <c r="M1019" s="51">
        <v>0.0</v>
      </c>
      <c r="N1019" s="25">
        <v>5.0</v>
      </c>
      <c r="O1019" s="25"/>
      <c r="P1019" s="26" t="s">
        <v>59</v>
      </c>
      <c r="Q1019" s="52">
        <v>2982.0</v>
      </c>
      <c r="R1019" s="26" t="s">
        <v>37</v>
      </c>
      <c r="S1019" s="25">
        <v>2011.0</v>
      </c>
      <c r="T1019" s="25">
        <v>1.0</v>
      </c>
      <c r="U1019" s="25">
        <f t="shared" si="195"/>
        <v>2982</v>
      </c>
      <c r="V1019" s="24">
        <f t="shared" si="187"/>
        <v>158.6170213</v>
      </c>
      <c r="W1019" s="3">
        <f t="shared" si="188"/>
        <v>0</v>
      </c>
      <c r="X1019" s="3">
        <f t="shared" si="189"/>
        <v>0</v>
      </c>
      <c r="Y1019" s="3">
        <f t="shared" si="190"/>
        <v>0</v>
      </c>
      <c r="Z1019" s="25">
        <f t="shared" si="191"/>
        <v>1</v>
      </c>
      <c r="AA1019" s="26">
        <f>VLOOKUP(S1019,CPI!$A$2:$F$71,6,0)</f>
        <v>1.432008233</v>
      </c>
      <c r="AB1019" s="27">
        <f t="shared" si="192"/>
        <v>4270.248552</v>
      </c>
      <c r="AC1019" s="27">
        <f t="shared" si="193"/>
        <v>227.1408804</v>
      </c>
      <c r="AD1019" s="26" t="s">
        <v>60</v>
      </c>
      <c r="AE1019" s="57" t="s">
        <v>1927</v>
      </c>
      <c r="AF1019" s="6"/>
      <c r="AG1019" s="6"/>
      <c r="AH1019" s="6"/>
      <c r="AI1019" s="6"/>
      <c r="AJ1019" s="375"/>
      <c r="AK1019" s="375"/>
      <c r="AL1019" s="375"/>
      <c r="AM1019" s="206"/>
      <c r="AN1019" s="206"/>
      <c r="AO1019" s="206"/>
      <c r="AP1019" s="206"/>
      <c r="AQ1019" s="206"/>
    </row>
    <row r="1020">
      <c r="A1020" s="61">
        <v>9826.0</v>
      </c>
      <c r="B1020" s="26" t="s">
        <v>1872</v>
      </c>
      <c r="C1020" s="26" t="s">
        <v>1924</v>
      </c>
      <c r="D1020" s="1" t="s">
        <v>1925</v>
      </c>
      <c r="E1020" s="26" t="s">
        <v>1928</v>
      </c>
      <c r="F1020" s="25">
        <v>2013.0</v>
      </c>
      <c r="G1020" s="58">
        <v>2022.0</v>
      </c>
      <c r="H1020" s="25">
        <v>0.0</v>
      </c>
      <c r="I1020" s="25">
        <v>18.3</v>
      </c>
      <c r="J1020" s="50">
        <v>0.0</v>
      </c>
      <c r="K1020" s="25">
        <v>0.0</v>
      </c>
      <c r="L1020" s="51">
        <v>0.0</v>
      </c>
      <c r="M1020" s="51">
        <v>0.0</v>
      </c>
      <c r="N1020" s="25">
        <v>6.0</v>
      </c>
      <c r="O1020" s="25"/>
      <c r="P1020" s="26" t="s">
        <v>60</v>
      </c>
      <c r="Q1020" s="55">
        <v>3050.0</v>
      </c>
      <c r="R1020" s="26" t="s">
        <v>37</v>
      </c>
      <c r="S1020" s="25">
        <v>2017.0</v>
      </c>
      <c r="T1020" s="25">
        <v>1.0</v>
      </c>
      <c r="U1020" s="25">
        <f t="shared" si="195"/>
        <v>3050</v>
      </c>
      <c r="V1020" s="24">
        <f t="shared" si="187"/>
        <v>166.6666667</v>
      </c>
      <c r="W1020" s="3">
        <f t="shared" si="188"/>
        <v>0</v>
      </c>
      <c r="X1020" s="3">
        <f t="shared" si="189"/>
        <v>0</v>
      </c>
      <c r="Y1020" s="3">
        <f t="shared" si="190"/>
        <v>0</v>
      </c>
      <c r="Z1020" s="25">
        <f t="shared" si="191"/>
        <v>1</v>
      </c>
      <c r="AA1020" s="26">
        <f>VLOOKUP(S1020,CPI!$A$2:$F$71,6,0)</f>
        <v>1.314109416</v>
      </c>
      <c r="AB1020" s="27">
        <f t="shared" si="192"/>
        <v>4008.033718</v>
      </c>
      <c r="AC1020" s="27">
        <f t="shared" si="193"/>
        <v>219.018236</v>
      </c>
      <c r="AD1020" s="26" t="s">
        <v>60</v>
      </c>
      <c r="AE1020" s="109" t="s">
        <v>1929</v>
      </c>
      <c r="AF1020" s="6"/>
      <c r="AG1020" s="6"/>
      <c r="AH1020" s="6"/>
      <c r="AI1020" s="6"/>
      <c r="AJ1020" s="375"/>
      <c r="AK1020" s="375"/>
      <c r="AL1020" s="375"/>
      <c r="AM1020" s="206"/>
      <c r="AN1020" s="206"/>
      <c r="AO1020" s="206"/>
      <c r="AP1020" s="206"/>
      <c r="AQ1020" s="206"/>
    </row>
    <row r="1021">
      <c r="A1021" s="61">
        <v>9515.0</v>
      </c>
      <c r="B1021" s="26" t="s">
        <v>1930</v>
      </c>
      <c r="C1021" s="26" t="s">
        <v>1931</v>
      </c>
      <c r="D1021" s="26" t="s">
        <v>1932</v>
      </c>
      <c r="E1021" s="26" t="s">
        <v>1932</v>
      </c>
      <c r="F1021" s="25">
        <v>2017.0</v>
      </c>
      <c r="G1021" s="25">
        <v>2020.0</v>
      </c>
      <c r="H1021" s="25">
        <v>0.0</v>
      </c>
      <c r="I1021" s="58">
        <v>6.94</v>
      </c>
      <c r="J1021" s="50">
        <v>0.0</v>
      </c>
      <c r="K1021" s="58">
        <v>0.0</v>
      </c>
      <c r="L1021" s="58">
        <v>6.94</v>
      </c>
      <c r="M1021" s="51">
        <v>0.0</v>
      </c>
      <c r="N1021" s="25">
        <v>6.0</v>
      </c>
      <c r="O1021" s="25"/>
      <c r="P1021" s="26" t="s">
        <v>36</v>
      </c>
      <c r="Q1021" s="52">
        <v>142.2</v>
      </c>
      <c r="R1021" s="26" t="s">
        <v>37</v>
      </c>
      <c r="S1021" s="25">
        <v>2018.0</v>
      </c>
      <c r="T1021" s="25">
        <v>5.0</v>
      </c>
      <c r="U1021" s="25">
        <f t="shared" si="195"/>
        <v>711</v>
      </c>
      <c r="V1021" s="24">
        <f t="shared" si="187"/>
        <v>102.4495677</v>
      </c>
      <c r="W1021" s="3">
        <f t="shared" si="188"/>
        <v>0</v>
      </c>
      <c r="X1021" s="3">
        <f t="shared" si="189"/>
        <v>0</v>
      </c>
      <c r="Y1021" s="3">
        <f t="shared" si="190"/>
        <v>0</v>
      </c>
      <c r="Z1021" s="25">
        <f t="shared" si="191"/>
        <v>0</v>
      </c>
      <c r="AA1021" s="26">
        <f>VLOOKUP(S1021,CPI!$A$2:$F$71,6,0)</f>
        <v>1.28277786</v>
      </c>
      <c r="AB1021" s="27">
        <f t="shared" si="192"/>
        <v>912.0550582</v>
      </c>
      <c r="AC1021" s="27">
        <f t="shared" si="193"/>
        <v>131.4200372</v>
      </c>
      <c r="AD1021" s="26" t="s">
        <v>60</v>
      </c>
      <c r="AE1021" s="53" t="s">
        <v>1933</v>
      </c>
      <c r="AF1021" s="6"/>
      <c r="AG1021" s="6"/>
      <c r="AH1021" s="6"/>
      <c r="AI1021" s="6"/>
      <c r="AJ1021" s="375"/>
      <c r="AK1021" s="375"/>
      <c r="AL1021" s="375"/>
      <c r="AM1021" s="206"/>
      <c r="AN1021" s="206"/>
      <c r="AO1021" s="206"/>
      <c r="AP1021" s="206"/>
      <c r="AQ1021" s="206"/>
    </row>
    <row r="1022">
      <c r="A1022" s="61">
        <v>9516.0</v>
      </c>
      <c r="B1022" s="26" t="s">
        <v>1930</v>
      </c>
      <c r="C1022" s="26" t="s">
        <v>1931</v>
      </c>
      <c r="D1022" s="1" t="s">
        <v>1934</v>
      </c>
      <c r="E1022" s="26" t="s">
        <v>1935</v>
      </c>
      <c r="F1022" s="25">
        <v>2017.0</v>
      </c>
      <c r="G1022" s="25">
        <v>2020.0</v>
      </c>
      <c r="H1022" s="25">
        <v>0.0</v>
      </c>
      <c r="I1022" s="25">
        <v>2.9</v>
      </c>
      <c r="J1022" s="50">
        <v>1.0</v>
      </c>
      <c r="K1022" s="25">
        <v>2.9</v>
      </c>
      <c r="L1022" s="51">
        <v>0.0</v>
      </c>
      <c r="M1022" s="51">
        <v>0.0</v>
      </c>
      <c r="N1022" s="25">
        <v>2.0</v>
      </c>
      <c r="O1022" s="25"/>
      <c r="P1022" s="26" t="s">
        <v>36</v>
      </c>
      <c r="Q1022" s="52">
        <v>124.8</v>
      </c>
      <c r="R1022" s="26" t="s">
        <v>37</v>
      </c>
      <c r="S1022" s="25">
        <v>2018.0</v>
      </c>
      <c r="T1022" s="25">
        <v>5.0</v>
      </c>
      <c r="U1022" s="25">
        <f t="shared" si="195"/>
        <v>624</v>
      </c>
      <c r="V1022" s="24">
        <f t="shared" si="187"/>
        <v>215.1724138</v>
      </c>
      <c r="W1022" s="3">
        <f t="shared" si="188"/>
        <v>0</v>
      </c>
      <c r="X1022" s="3">
        <f t="shared" si="189"/>
        <v>0</v>
      </c>
      <c r="Y1022" s="3">
        <f t="shared" si="190"/>
        <v>0</v>
      </c>
      <c r="Z1022" s="25">
        <f t="shared" si="191"/>
        <v>0</v>
      </c>
      <c r="AA1022" s="26">
        <f>VLOOKUP(S1022,CPI!$A$2:$F$71,6,0)</f>
        <v>1.28277786</v>
      </c>
      <c r="AB1022" s="27">
        <f t="shared" si="192"/>
        <v>800.4533844</v>
      </c>
      <c r="AC1022" s="27">
        <f t="shared" si="193"/>
        <v>276.0184084</v>
      </c>
      <c r="AD1022" s="26" t="s">
        <v>36</v>
      </c>
      <c r="AE1022" s="53" t="s">
        <v>1936</v>
      </c>
      <c r="AF1022" s="6"/>
      <c r="AG1022" s="6"/>
      <c r="AH1022" s="6"/>
      <c r="AI1022" s="6"/>
      <c r="AJ1022" s="375"/>
      <c r="AK1022" s="375"/>
      <c r="AL1022" s="375"/>
      <c r="AM1022" s="206"/>
      <c r="AN1022" s="206"/>
      <c r="AO1022" s="206"/>
      <c r="AP1022" s="206"/>
      <c r="AQ1022" s="206"/>
    </row>
    <row r="1023">
      <c r="A1023" s="38">
        <v>7243.0</v>
      </c>
      <c r="B1023" s="26" t="s">
        <v>1937</v>
      </c>
      <c r="C1023" s="26" t="s">
        <v>1938</v>
      </c>
      <c r="D1023" s="26" t="s">
        <v>54</v>
      </c>
      <c r="E1023" s="26" t="s">
        <v>54</v>
      </c>
      <c r="F1023" s="25">
        <v>2011.0</v>
      </c>
      <c r="G1023" s="58">
        <v>2021.0</v>
      </c>
      <c r="H1023" s="25">
        <v>0.0</v>
      </c>
      <c r="I1023" s="25">
        <v>11.5</v>
      </c>
      <c r="J1023" s="50">
        <v>0.74</v>
      </c>
      <c r="K1023" s="25">
        <v>8.5</v>
      </c>
      <c r="L1023" s="51">
        <v>2.99</v>
      </c>
      <c r="M1023" s="51">
        <v>0.0</v>
      </c>
      <c r="N1023" s="25">
        <v>12.0</v>
      </c>
      <c r="O1023" s="25"/>
      <c r="P1023" s="26" t="s">
        <v>42</v>
      </c>
      <c r="Q1023" s="52">
        <v>1.9555E7</v>
      </c>
      <c r="R1023" s="26" t="s">
        <v>1939</v>
      </c>
      <c r="S1023" s="25">
        <v>2015.0</v>
      </c>
      <c r="T1023" s="25">
        <v>1.26E-4</v>
      </c>
      <c r="U1023" s="25">
        <f t="shared" si="195"/>
        <v>2463.93</v>
      </c>
      <c r="V1023" s="24">
        <f t="shared" si="187"/>
        <v>214.2547826</v>
      </c>
      <c r="W1023" s="3">
        <f t="shared" si="188"/>
        <v>0</v>
      </c>
      <c r="X1023" s="3">
        <f t="shared" si="189"/>
        <v>0</v>
      </c>
      <c r="Y1023" s="3">
        <f t="shared" si="190"/>
        <v>0</v>
      </c>
      <c r="Z1023" s="25">
        <f t="shared" si="191"/>
        <v>0</v>
      </c>
      <c r="AA1023" s="26">
        <f>VLOOKUP(S1023,CPI!$A$2:$F$71,6,0)</f>
        <v>1.359035428</v>
      </c>
      <c r="AB1023" s="27">
        <f t="shared" si="192"/>
        <v>3348.568162</v>
      </c>
      <c r="AC1023" s="27">
        <f t="shared" si="193"/>
        <v>291.1798401</v>
      </c>
      <c r="AD1023" s="26" t="s">
        <v>42</v>
      </c>
      <c r="AE1023" s="57" t="s">
        <v>1940</v>
      </c>
      <c r="AF1023" s="6"/>
      <c r="AG1023" s="6"/>
      <c r="AH1023" s="6"/>
      <c r="AI1023" s="6"/>
      <c r="AJ1023" s="375"/>
      <c r="AK1023" s="375"/>
      <c r="AL1023" s="375"/>
      <c r="AM1023" s="206"/>
      <c r="AN1023" s="206"/>
      <c r="AO1023" s="206"/>
      <c r="AP1023" s="206"/>
      <c r="AQ1023" s="206"/>
    </row>
    <row r="1024">
      <c r="A1024" s="38">
        <v>7242.0</v>
      </c>
      <c r="B1024" s="26" t="s">
        <v>1937</v>
      </c>
      <c r="C1024" s="26" t="s">
        <v>1938</v>
      </c>
      <c r="D1024" s="26" t="s">
        <v>87</v>
      </c>
      <c r="E1024" s="26" t="s">
        <v>87</v>
      </c>
      <c r="F1024" s="25">
        <v>2010.0</v>
      </c>
      <c r="G1024" s="58">
        <v>2024.0</v>
      </c>
      <c r="H1024" s="25">
        <v>0.0</v>
      </c>
      <c r="I1024" s="25">
        <v>12.5</v>
      </c>
      <c r="J1024" s="50">
        <v>0.32</v>
      </c>
      <c r="K1024" s="25">
        <v>4.0</v>
      </c>
      <c r="L1024" s="51">
        <v>8.5</v>
      </c>
      <c r="M1024" s="51">
        <v>0.0</v>
      </c>
      <c r="N1024" s="25">
        <v>12.0</v>
      </c>
      <c r="O1024" s="25"/>
      <c r="P1024" s="26" t="s">
        <v>42</v>
      </c>
      <c r="Q1024" s="55">
        <v>3.482605E7</v>
      </c>
      <c r="R1024" s="26" t="s">
        <v>1939</v>
      </c>
      <c r="S1024" s="25">
        <v>2016.0</v>
      </c>
      <c r="T1024" s="25">
        <v>1.26E-4</v>
      </c>
      <c r="U1024" s="25">
        <f t="shared" si="195"/>
        <v>4388.0823</v>
      </c>
      <c r="V1024" s="24">
        <f t="shared" si="187"/>
        <v>351.046584</v>
      </c>
      <c r="W1024" s="3">
        <f t="shared" si="188"/>
        <v>0</v>
      </c>
      <c r="X1024" s="3">
        <f t="shared" si="189"/>
        <v>0</v>
      </c>
      <c r="Y1024" s="3">
        <f t="shared" si="190"/>
        <v>0</v>
      </c>
      <c r="Z1024" s="25">
        <f t="shared" si="191"/>
        <v>0</v>
      </c>
      <c r="AA1024" s="26">
        <f>VLOOKUP(S1024,CPI!$A$2:$F$71,6,0)</f>
        <v>1.342104605</v>
      </c>
      <c r="AB1024" s="27">
        <f t="shared" si="192"/>
        <v>5889.265463</v>
      </c>
      <c r="AC1024" s="27">
        <f t="shared" si="193"/>
        <v>471.1412371</v>
      </c>
      <c r="AD1024" s="26" t="s">
        <v>42</v>
      </c>
      <c r="AE1024" s="109" t="s">
        <v>1941</v>
      </c>
      <c r="AF1024" s="6"/>
      <c r="AG1024" s="6"/>
      <c r="AH1024" s="6"/>
      <c r="AI1024" s="6"/>
      <c r="AJ1024" s="375"/>
      <c r="AK1024" s="375"/>
      <c r="AL1024" s="375"/>
      <c r="AM1024" s="206"/>
      <c r="AN1024" s="206"/>
      <c r="AO1024" s="206"/>
      <c r="AP1024" s="206"/>
      <c r="AQ1024" s="206"/>
    </row>
    <row r="1025">
      <c r="A1025" s="38">
        <v>7496.0</v>
      </c>
      <c r="B1025" s="26" t="s">
        <v>1937</v>
      </c>
      <c r="C1025" s="26" t="s">
        <v>1942</v>
      </c>
      <c r="D1025" s="26" t="s">
        <v>57</v>
      </c>
      <c r="E1025" s="26" t="s">
        <v>57</v>
      </c>
      <c r="F1025" s="25">
        <v>2012.0</v>
      </c>
      <c r="G1025" s="25">
        <v>2021.0</v>
      </c>
      <c r="H1025" s="25">
        <v>0.0</v>
      </c>
      <c r="I1025" s="25">
        <v>19.7</v>
      </c>
      <c r="J1025" s="50">
        <v>0.13</v>
      </c>
      <c r="K1025" s="25">
        <v>2.6</v>
      </c>
      <c r="L1025" s="51">
        <v>0.0</v>
      </c>
      <c r="M1025" s="51">
        <v>0.0</v>
      </c>
      <c r="N1025" s="25">
        <v>14.0</v>
      </c>
      <c r="O1025" s="25"/>
      <c r="P1025" s="26" t="s">
        <v>60</v>
      </c>
      <c r="Q1025" s="52">
        <v>4.36E7</v>
      </c>
      <c r="R1025" s="26" t="s">
        <v>1939</v>
      </c>
      <c r="S1025" s="25">
        <v>2016.0</v>
      </c>
      <c r="T1025" s="25">
        <v>1.26E-4</v>
      </c>
      <c r="U1025" s="25">
        <f t="shared" si="195"/>
        <v>5493.6</v>
      </c>
      <c r="V1025" s="24">
        <f t="shared" si="187"/>
        <v>278.8629442</v>
      </c>
      <c r="W1025" s="3">
        <f t="shared" si="188"/>
        <v>0</v>
      </c>
      <c r="X1025" s="3">
        <f t="shared" si="189"/>
        <v>0</v>
      </c>
      <c r="Y1025" s="3">
        <f t="shared" si="190"/>
        <v>0</v>
      </c>
      <c r="Z1025" s="25">
        <f t="shared" si="191"/>
        <v>0</v>
      </c>
      <c r="AA1025" s="26">
        <f>VLOOKUP(S1025,CPI!$A$2:$F$71,6,0)</f>
        <v>1.342104605</v>
      </c>
      <c r="AB1025" s="27">
        <f t="shared" si="192"/>
        <v>7372.98586</v>
      </c>
      <c r="AC1025" s="27">
        <f t="shared" si="193"/>
        <v>374.2632416</v>
      </c>
      <c r="AD1025" s="26" t="s">
        <v>42</v>
      </c>
      <c r="AE1025" s="57" t="s">
        <v>1943</v>
      </c>
      <c r="AF1025" s="34"/>
      <c r="AG1025" s="34"/>
      <c r="AH1025" s="34"/>
      <c r="AI1025" s="34"/>
      <c r="AJ1025" s="34"/>
      <c r="AK1025" s="34"/>
      <c r="AL1025" s="34"/>
      <c r="AM1025" s="206"/>
      <c r="AN1025" s="206"/>
      <c r="AO1025" s="206"/>
      <c r="AP1025" s="206"/>
      <c r="AQ1025" s="206"/>
    </row>
    <row r="1026">
      <c r="A1026" s="38">
        <v>7497.0</v>
      </c>
      <c r="B1026" s="26" t="s">
        <v>1937</v>
      </c>
      <c r="C1026" s="26" t="s">
        <v>1942</v>
      </c>
      <c r="D1026" s="1" t="s">
        <v>54</v>
      </c>
      <c r="E1026" s="26" t="s">
        <v>1944</v>
      </c>
      <c r="F1026" s="25">
        <v>2020.0</v>
      </c>
      <c r="G1026" s="25">
        <v>2026.0</v>
      </c>
      <c r="H1026" s="25">
        <v>0.0</v>
      </c>
      <c r="I1026" s="25">
        <v>11.3</v>
      </c>
      <c r="J1026" s="50">
        <v>0.82</v>
      </c>
      <c r="K1026" s="25">
        <v>9.3</v>
      </c>
      <c r="L1026" s="51">
        <v>0.0</v>
      </c>
      <c r="M1026" s="51">
        <v>0.0</v>
      </c>
      <c r="N1026" s="25">
        <v>11.0</v>
      </c>
      <c r="O1026" s="25"/>
      <c r="P1026" s="26" t="s">
        <v>42</v>
      </c>
      <c r="Q1026" s="52">
        <v>4.8E7</v>
      </c>
      <c r="R1026" s="26" t="s">
        <v>1939</v>
      </c>
      <c r="S1026" s="25">
        <v>2023.0</v>
      </c>
      <c r="T1026" s="25">
        <v>1.26E-4</v>
      </c>
      <c r="U1026" s="25">
        <f t="shared" si="195"/>
        <v>6048</v>
      </c>
      <c r="V1026" s="24">
        <f t="shared" si="187"/>
        <v>535.2212389</v>
      </c>
      <c r="W1026" s="3">
        <f t="shared" si="188"/>
        <v>0</v>
      </c>
      <c r="X1026" s="3">
        <f t="shared" si="189"/>
        <v>0</v>
      </c>
      <c r="Y1026" s="3">
        <f t="shared" si="190"/>
        <v>0</v>
      </c>
      <c r="Z1026" s="25">
        <f t="shared" si="191"/>
        <v>0</v>
      </c>
      <c r="AA1026" s="26">
        <f>VLOOKUP(S1026,CPI!$A$2:$F$71,6,0)</f>
        <v>1.057145998</v>
      </c>
      <c r="AB1026" s="27">
        <f t="shared" si="192"/>
        <v>6393.618998</v>
      </c>
      <c r="AC1026" s="27">
        <f t="shared" si="193"/>
        <v>565.806991</v>
      </c>
      <c r="AD1026" s="26" t="s">
        <v>42</v>
      </c>
      <c r="AE1026" s="57" t="s">
        <v>1945</v>
      </c>
      <c r="AF1026" s="34"/>
      <c r="AG1026" s="34"/>
      <c r="AH1026" s="34"/>
      <c r="AI1026" s="34"/>
      <c r="AJ1026" s="34"/>
      <c r="AK1026" s="34"/>
      <c r="AL1026" s="34"/>
      <c r="AM1026" s="206"/>
      <c r="AN1026" s="206"/>
      <c r="AO1026" s="206"/>
      <c r="AP1026" s="206"/>
      <c r="AQ1026" s="206"/>
    </row>
    <row r="1027">
      <c r="A1027" s="38">
        <v>7498.0</v>
      </c>
      <c r="B1027" s="26" t="s">
        <v>1937</v>
      </c>
      <c r="C1027" s="26" t="s">
        <v>1942</v>
      </c>
      <c r="D1027" s="1" t="s">
        <v>84</v>
      </c>
      <c r="E1027" s="26" t="s">
        <v>1946</v>
      </c>
      <c r="F1027" s="25">
        <v>2025.0</v>
      </c>
      <c r="G1027" s="25">
        <v>2029.0</v>
      </c>
      <c r="H1027" s="25">
        <v>0.0</v>
      </c>
      <c r="I1027" s="25">
        <v>8.9</v>
      </c>
      <c r="J1027" s="50">
        <v>0.84</v>
      </c>
      <c r="K1027" s="25">
        <v>7.5</v>
      </c>
      <c r="L1027" s="51">
        <v>0.0</v>
      </c>
      <c r="M1027" s="51">
        <v>0.0</v>
      </c>
      <c r="N1027" s="25">
        <v>7.0</v>
      </c>
      <c r="O1027" s="25"/>
      <c r="P1027" s="26" t="s">
        <v>42</v>
      </c>
      <c r="Q1027" s="52">
        <v>4.16E7</v>
      </c>
      <c r="R1027" s="26" t="s">
        <v>1939</v>
      </c>
      <c r="S1027" s="25">
        <v>2027.0</v>
      </c>
      <c r="T1027" s="25">
        <v>1.26E-4</v>
      </c>
      <c r="U1027" s="25">
        <f t="shared" si="195"/>
        <v>5241.6</v>
      </c>
      <c r="V1027" s="24">
        <f t="shared" si="187"/>
        <v>588.9438202</v>
      </c>
      <c r="W1027" s="3">
        <f t="shared" si="188"/>
        <v>0</v>
      </c>
      <c r="X1027" s="3">
        <f t="shared" si="189"/>
        <v>0</v>
      </c>
      <c r="Y1027" s="3">
        <f t="shared" si="190"/>
        <v>0</v>
      </c>
      <c r="Z1027" s="25">
        <f t="shared" si="191"/>
        <v>0</v>
      </c>
      <c r="AA1027" s="26">
        <f>VLOOKUP(S1027,CPI!$A$2:$F$71,6,0)</f>
        <v>1</v>
      </c>
      <c r="AB1027" s="27">
        <f t="shared" si="192"/>
        <v>5241.6</v>
      </c>
      <c r="AC1027" s="27">
        <f t="shared" si="193"/>
        <v>588.9438202</v>
      </c>
      <c r="AD1027" s="26" t="s">
        <v>42</v>
      </c>
      <c r="AE1027" s="57" t="s">
        <v>1947</v>
      </c>
      <c r="AF1027" s="34"/>
      <c r="AG1027" s="34"/>
      <c r="AH1027" s="34"/>
      <c r="AI1027" s="34"/>
      <c r="AJ1027" s="34"/>
      <c r="AK1027" s="34"/>
      <c r="AL1027" s="34"/>
      <c r="AM1027" s="206"/>
      <c r="AN1027" s="206"/>
      <c r="AO1027" s="206"/>
      <c r="AP1027" s="206"/>
      <c r="AQ1027" s="206"/>
    </row>
    <row r="1028">
      <c r="A1028" s="7"/>
      <c r="B1028" s="74" t="s">
        <v>1861</v>
      </c>
      <c r="C1028" s="74" t="s">
        <v>1862</v>
      </c>
      <c r="D1028" s="237" t="s">
        <v>1948</v>
      </c>
      <c r="E1028" s="74" t="s">
        <v>1949</v>
      </c>
      <c r="F1028" s="70">
        <v>2004.0</v>
      </c>
      <c r="G1028" s="70">
        <v>2005.0</v>
      </c>
      <c r="H1028" s="115">
        <v>0.0</v>
      </c>
      <c r="I1028" s="70">
        <v>4.4</v>
      </c>
      <c r="J1028" s="71">
        <v>0.0</v>
      </c>
      <c r="K1028" s="70">
        <v>0.0</v>
      </c>
      <c r="L1028" s="70">
        <v>2.8</v>
      </c>
      <c r="M1028" s="70">
        <v>1.6</v>
      </c>
      <c r="N1028" s="70">
        <v>4.0</v>
      </c>
      <c r="O1028" s="70">
        <v>82.0</v>
      </c>
      <c r="P1028" s="254" t="s">
        <v>60</v>
      </c>
      <c r="Q1028" s="73">
        <v>115.0</v>
      </c>
      <c r="R1028" s="74" t="s">
        <v>1950</v>
      </c>
      <c r="S1028" s="70">
        <v>2005.0</v>
      </c>
      <c r="T1028" s="115">
        <v>1.4</v>
      </c>
      <c r="U1028" s="376">
        <f t="shared" si="195"/>
        <v>161</v>
      </c>
      <c r="V1028" s="24">
        <f t="shared" si="187"/>
        <v>36.59090909</v>
      </c>
      <c r="W1028" s="3">
        <f t="shared" si="188"/>
        <v>0</v>
      </c>
      <c r="X1028" s="3">
        <f t="shared" si="189"/>
        <v>0</v>
      </c>
      <c r="Y1028" s="3">
        <f t="shared" si="190"/>
        <v>0</v>
      </c>
      <c r="Z1028" s="69">
        <v>1.0</v>
      </c>
      <c r="AA1028" s="26">
        <f>VLOOKUP(S1028,CPI!$A$2:$F$71,6,0)</f>
        <v>1.649331797</v>
      </c>
      <c r="AB1028" s="27">
        <f t="shared" si="192"/>
        <v>265.5424194</v>
      </c>
      <c r="AC1028" s="27">
        <f t="shared" si="193"/>
        <v>60.35054985</v>
      </c>
      <c r="AD1028" s="74" t="s">
        <v>1951</v>
      </c>
      <c r="AE1028" s="72" t="s">
        <v>1952</v>
      </c>
      <c r="AF1028" s="208"/>
      <c r="AG1028" s="74"/>
      <c r="AH1028" s="114"/>
      <c r="AI1028" s="114"/>
      <c r="AJ1028" s="114"/>
      <c r="AK1028" s="114"/>
      <c r="AL1028" s="114"/>
      <c r="AM1028" s="114"/>
      <c r="AN1028" s="114"/>
      <c r="AO1028" s="114"/>
      <c r="AP1028" s="114"/>
      <c r="AQ1028" s="114"/>
    </row>
    <row r="1029">
      <c r="A1029" s="7"/>
      <c r="B1029" s="74" t="s">
        <v>1861</v>
      </c>
      <c r="C1029" s="74" t="s">
        <v>1862</v>
      </c>
      <c r="D1029" s="237" t="s">
        <v>1948</v>
      </c>
      <c r="E1029" s="74" t="s">
        <v>1953</v>
      </c>
      <c r="F1029" s="70">
        <v>1996.0</v>
      </c>
      <c r="G1029" s="70">
        <v>1999.0</v>
      </c>
      <c r="H1029" s="115">
        <v>0.0</v>
      </c>
      <c r="I1029" s="70">
        <v>4.2</v>
      </c>
      <c r="J1029" s="71">
        <v>0.405</v>
      </c>
      <c r="K1029" s="70">
        <v>1.7</v>
      </c>
      <c r="L1029" s="70">
        <v>0.8</v>
      </c>
      <c r="M1029" s="70">
        <v>1.7</v>
      </c>
      <c r="N1029" s="70">
        <v>7.0</v>
      </c>
      <c r="O1029" s="70">
        <v>82.0</v>
      </c>
      <c r="P1029" s="254" t="s">
        <v>60</v>
      </c>
      <c r="Q1029" s="73">
        <v>200.0</v>
      </c>
      <c r="R1029" s="74" t="s">
        <v>1950</v>
      </c>
      <c r="S1029" s="70">
        <v>1999.0</v>
      </c>
      <c r="T1029" s="115">
        <v>1.4</v>
      </c>
      <c r="U1029" s="376">
        <f t="shared" si="195"/>
        <v>280</v>
      </c>
      <c r="V1029" s="24">
        <f t="shared" si="187"/>
        <v>66.66666667</v>
      </c>
      <c r="W1029" s="3">
        <f t="shared" si="188"/>
        <v>0</v>
      </c>
      <c r="X1029" s="3">
        <f t="shared" si="189"/>
        <v>0</v>
      </c>
      <c r="Y1029" s="3">
        <f t="shared" si="190"/>
        <v>0</v>
      </c>
      <c r="Z1029" s="69">
        <v>1.0</v>
      </c>
      <c r="AA1029" s="26">
        <f>VLOOKUP(S1029,CPI!$A$2:$F$71,6,0)</f>
        <v>1.933460384</v>
      </c>
      <c r="AB1029" s="27">
        <f t="shared" si="192"/>
        <v>541.3689076</v>
      </c>
      <c r="AC1029" s="27">
        <f t="shared" si="193"/>
        <v>128.8973589</v>
      </c>
      <c r="AD1029" s="74" t="s">
        <v>1951</v>
      </c>
      <c r="AE1029" s="79" t="s">
        <v>1954</v>
      </c>
      <c r="AF1029" s="208"/>
      <c r="AG1029" s="74"/>
      <c r="AH1029" s="114"/>
      <c r="AI1029" s="114"/>
      <c r="AJ1029" s="114"/>
      <c r="AK1029" s="114"/>
      <c r="AL1029" s="114"/>
      <c r="AM1029" s="114"/>
      <c r="AN1029" s="114"/>
      <c r="AO1029" s="114"/>
      <c r="AP1029" s="114"/>
      <c r="AQ1029" s="114"/>
    </row>
    <row r="1030">
      <c r="A1030" s="7"/>
      <c r="B1030" s="74" t="s">
        <v>1861</v>
      </c>
      <c r="C1030" s="74" t="s">
        <v>1862</v>
      </c>
      <c r="D1030" s="237" t="s">
        <v>1948</v>
      </c>
      <c r="E1030" s="74" t="s">
        <v>1955</v>
      </c>
      <c r="F1030" s="70">
        <v>2005.0</v>
      </c>
      <c r="G1030" s="70">
        <v>2009.0</v>
      </c>
      <c r="H1030" s="115">
        <v>0.0</v>
      </c>
      <c r="I1030" s="70">
        <v>2.5</v>
      </c>
      <c r="J1030" s="71">
        <v>0.9113</v>
      </c>
      <c r="K1030" s="70">
        <v>2.3</v>
      </c>
      <c r="L1030" s="115">
        <v>0.0</v>
      </c>
      <c r="M1030" s="70">
        <v>0.25</v>
      </c>
      <c r="N1030" s="115">
        <v>1.0</v>
      </c>
      <c r="O1030" s="70">
        <v>82.0</v>
      </c>
      <c r="P1030" s="254" t="s">
        <v>60</v>
      </c>
      <c r="Q1030" s="73">
        <v>180.0</v>
      </c>
      <c r="R1030" s="74" t="s">
        <v>1950</v>
      </c>
      <c r="S1030" s="70">
        <v>2005.0</v>
      </c>
      <c r="T1030" s="115">
        <v>1.4</v>
      </c>
      <c r="U1030" s="376">
        <f t="shared" si="195"/>
        <v>252</v>
      </c>
      <c r="V1030" s="24">
        <f t="shared" si="187"/>
        <v>100.8</v>
      </c>
      <c r="W1030" s="3">
        <f t="shared" si="188"/>
        <v>0</v>
      </c>
      <c r="X1030" s="3">
        <f t="shared" si="189"/>
        <v>0</v>
      </c>
      <c r="Y1030" s="3">
        <f t="shared" si="190"/>
        <v>0</v>
      </c>
      <c r="Z1030" s="69">
        <v>1.0</v>
      </c>
      <c r="AA1030" s="26">
        <f>VLOOKUP(S1030,CPI!$A$2:$F$71,6,0)</f>
        <v>1.649331797</v>
      </c>
      <c r="AB1030" s="27">
        <f t="shared" si="192"/>
        <v>415.6316129</v>
      </c>
      <c r="AC1030" s="27">
        <f t="shared" si="193"/>
        <v>166.2526452</v>
      </c>
      <c r="AD1030" s="74" t="s">
        <v>1951</v>
      </c>
      <c r="AE1030" s="377" t="s">
        <v>1956</v>
      </c>
      <c r="AF1030" s="208"/>
      <c r="AG1030" s="74"/>
      <c r="AH1030" s="114"/>
      <c r="AI1030" s="114"/>
      <c r="AJ1030" s="114"/>
      <c r="AK1030" s="114"/>
      <c r="AL1030" s="114"/>
      <c r="AM1030" s="114"/>
      <c r="AN1030" s="114"/>
      <c r="AO1030" s="114"/>
      <c r="AP1030" s="114"/>
      <c r="AQ1030" s="114"/>
    </row>
    <row r="1031">
      <c r="A1031" s="7"/>
      <c r="B1031" s="74" t="s">
        <v>1861</v>
      </c>
      <c r="C1031" s="74" t="s">
        <v>1862</v>
      </c>
      <c r="D1031" s="237" t="s">
        <v>1948</v>
      </c>
      <c r="E1031" s="74" t="s">
        <v>1957</v>
      </c>
      <c r="F1031" s="70">
        <v>1988.0</v>
      </c>
      <c r="G1031" s="70">
        <v>1991.0</v>
      </c>
      <c r="H1031" s="115">
        <v>0.0</v>
      </c>
      <c r="I1031" s="73">
        <v>2.01</v>
      </c>
      <c r="J1031" s="117">
        <v>0.8</v>
      </c>
      <c r="K1031" s="70">
        <v>1.79</v>
      </c>
      <c r="L1031" s="70">
        <v>0.2</v>
      </c>
      <c r="M1031" s="378">
        <v>0.0</v>
      </c>
      <c r="N1031" s="70">
        <v>1.0</v>
      </c>
      <c r="O1031" s="70">
        <v>82.0</v>
      </c>
      <c r="P1031" s="254" t="s">
        <v>60</v>
      </c>
      <c r="Q1031" s="248">
        <v>149.0</v>
      </c>
      <c r="R1031" s="74" t="s">
        <v>1950</v>
      </c>
      <c r="S1031" s="70">
        <v>1991.0</v>
      </c>
      <c r="T1031" s="115">
        <v>1.5</v>
      </c>
      <c r="U1031" s="376">
        <f t="shared" si="195"/>
        <v>223.5</v>
      </c>
      <c r="V1031" s="24">
        <f t="shared" si="187"/>
        <v>111.1940299</v>
      </c>
      <c r="W1031" s="3">
        <f t="shared" si="188"/>
        <v>0</v>
      </c>
      <c r="X1031" s="3">
        <f t="shared" si="189"/>
        <v>0</v>
      </c>
      <c r="Y1031" s="3">
        <f t="shared" si="190"/>
        <v>0</v>
      </c>
      <c r="Z1031" s="69">
        <v>1.0</v>
      </c>
      <c r="AA1031" s="26">
        <f>VLOOKUP(S1031,CPI!$A$2:$F$71,6,0)</f>
        <v>2.365011013</v>
      </c>
      <c r="AB1031" s="27">
        <f t="shared" si="192"/>
        <v>528.5799615</v>
      </c>
      <c r="AC1031" s="27">
        <f t="shared" si="193"/>
        <v>262.9751052</v>
      </c>
      <c r="AD1031" s="74" t="s">
        <v>1951</v>
      </c>
      <c r="AE1031" s="115" t="s">
        <v>1958</v>
      </c>
      <c r="AF1031" s="208"/>
      <c r="AG1031" s="74"/>
      <c r="AH1031" s="114"/>
      <c r="AI1031" s="114"/>
      <c r="AJ1031" s="114"/>
      <c r="AK1031" s="114"/>
      <c r="AL1031" s="114"/>
      <c r="AM1031" s="114"/>
      <c r="AN1031" s="114"/>
      <c r="AO1031" s="114"/>
      <c r="AP1031" s="114"/>
      <c r="AQ1031" s="114"/>
    </row>
    <row r="1032">
      <c r="A1032" s="7"/>
      <c r="B1032" s="74" t="s">
        <v>1861</v>
      </c>
      <c r="C1032" s="74" t="s">
        <v>1862</v>
      </c>
      <c r="D1032" s="237" t="s">
        <v>1948</v>
      </c>
      <c r="E1032" s="74" t="s">
        <v>1959</v>
      </c>
      <c r="F1032" s="70">
        <v>1991.0</v>
      </c>
      <c r="G1032" s="70">
        <v>1994.0</v>
      </c>
      <c r="H1032" s="115">
        <v>0.0</v>
      </c>
      <c r="I1032" s="70">
        <v>12.73</v>
      </c>
      <c r="J1032" s="71">
        <v>0.0</v>
      </c>
      <c r="K1032" s="70">
        <v>0.0</v>
      </c>
      <c r="L1032" s="70">
        <v>4.92</v>
      </c>
      <c r="M1032" s="70">
        <v>7.81</v>
      </c>
      <c r="N1032" s="70">
        <v>12.0</v>
      </c>
      <c r="O1032" s="70">
        <v>54.0</v>
      </c>
      <c r="P1032" s="254" t="s">
        <v>1960</v>
      </c>
      <c r="Q1032" s="73">
        <v>280.0</v>
      </c>
      <c r="R1032" s="74" t="s">
        <v>1950</v>
      </c>
      <c r="S1032" s="70">
        <v>1994.0</v>
      </c>
      <c r="T1032" s="115">
        <v>1.5</v>
      </c>
      <c r="U1032" s="376">
        <f t="shared" si="195"/>
        <v>420</v>
      </c>
      <c r="V1032" s="24">
        <f t="shared" si="187"/>
        <v>32.99293009</v>
      </c>
      <c r="W1032" s="3">
        <f t="shared" si="188"/>
        <v>0</v>
      </c>
      <c r="X1032" s="3">
        <f t="shared" si="189"/>
        <v>0</v>
      </c>
      <c r="Y1032" s="3">
        <f t="shared" si="190"/>
        <v>0</v>
      </c>
      <c r="Z1032" s="69">
        <v>1.0</v>
      </c>
      <c r="AA1032" s="26">
        <f>VLOOKUP(S1032,CPI!$A$2:$F$71,6,0)</f>
        <v>2.173512146</v>
      </c>
      <c r="AB1032" s="27">
        <f t="shared" si="192"/>
        <v>912.8751012</v>
      </c>
      <c r="AC1032" s="27">
        <f t="shared" si="193"/>
        <v>71.71053427</v>
      </c>
      <c r="AD1032" s="74" t="s">
        <v>1951</v>
      </c>
      <c r="AE1032" s="72" t="s">
        <v>1961</v>
      </c>
      <c r="AF1032" s="208"/>
      <c r="AG1032" s="74"/>
      <c r="AH1032" s="114"/>
      <c r="AI1032" s="114"/>
      <c r="AJ1032" s="114"/>
      <c r="AK1032" s="114"/>
      <c r="AL1032" s="114"/>
      <c r="AM1032" s="114"/>
      <c r="AN1032" s="114"/>
      <c r="AO1032" s="114"/>
      <c r="AP1032" s="114"/>
      <c r="AQ1032" s="114"/>
    </row>
    <row r="1033">
      <c r="A1033" s="7"/>
      <c r="B1033" s="74" t="s">
        <v>1861</v>
      </c>
      <c r="C1033" s="114" t="s">
        <v>1862</v>
      </c>
      <c r="D1033" s="114" t="s">
        <v>1962</v>
      </c>
      <c r="E1033" s="114" t="s">
        <v>1962</v>
      </c>
      <c r="F1033" s="116">
        <v>1993.0</v>
      </c>
      <c r="G1033" s="116">
        <v>1998.0</v>
      </c>
      <c r="H1033" s="115">
        <v>1.0</v>
      </c>
      <c r="I1033" s="116">
        <v>11.12</v>
      </c>
      <c r="J1033" s="71">
        <v>0.6115</v>
      </c>
      <c r="K1033" s="116">
        <v>6.8</v>
      </c>
      <c r="L1033" s="116">
        <v>2.24</v>
      </c>
      <c r="M1033" s="116">
        <v>2.08</v>
      </c>
      <c r="N1033" s="116">
        <v>2.0</v>
      </c>
      <c r="O1033" s="116">
        <v>200.0</v>
      </c>
      <c r="P1033" s="114" t="s">
        <v>1963</v>
      </c>
      <c r="Q1033" s="116">
        <v>500.0</v>
      </c>
      <c r="R1033" s="114" t="s">
        <v>1950</v>
      </c>
      <c r="S1033" s="116">
        <v>1998.0</v>
      </c>
      <c r="T1033" s="193">
        <f>1/0.72</f>
        <v>1.388888889</v>
      </c>
      <c r="U1033" s="376">
        <f t="shared" si="195"/>
        <v>694.4444444</v>
      </c>
      <c r="V1033" s="24">
        <f t="shared" si="187"/>
        <v>62.45003997</v>
      </c>
      <c r="W1033" s="3">
        <f t="shared" si="188"/>
        <v>0</v>
      </c>
      <c r="X1033" s="3">
        <f t="shared" si="189"/>
        <v>0</v>
      </c>
      <c r="Y1033" s="3">
        <f t="shared" si="190"/>
        <v>0</v>
      </c>
      <c r="Z1033" s="69">
        <v>1.0</v>
      </c>
      <c r="AA1033" s="26">
        <f>VLOOKUP(S1033,CPI!$A$2:$F$71,6,0)</f>
        <v>1.976162577</v>
      </c>
      <c r="AB1033" s="27">
        <f t="shared" si="192"/>
        <v>1372.335123</v>
      </c>
      <c r="AC1033" s="27">
        <f t="shared" si="193"/>
        <v>123.4114319</v>
      </c>
      <c r="AD1033" s="114" t="s">
        <v>1964</v>
      </c>
      <c r="AE1033" s="114" t="s">
        <v>1965</v>
      </c>
      <c r="AF1033" s="344"/>
      <c r="AG1033" s="114"/>
      <c r="AH1033" s="114"/>
      <c r="AI1033" s="114"/>
      <c r="AJ1033" s="114"/>
      <c r="AK1033" s="114"/>
      <c r="AL1033" s="114"/>
      <c r="AM1033" s="114"/>
      <c r="AN1033" s="114"/>
      <c r="AO1033" s="114"/>
      <c r="AP1033" s="114"/>
      <c r="AQ1033" s="114"/>
    </row>
    <row r="1034">
      <c r="A1034" s="7"/>
      <c r="B1034" s="74" t="s">
        <v>1861</v>
      </c>
      <c r="C1034" s="114" t="s">
        <v>1862</v>
      </c>
      <c r="D1034" s="326" t="s">
        <v>1966</v>
      </c>
      <c r="E1034" s="114" t="s">
        <v>1967</v>
      </c>
      <c r="F1034" s="116">
        <v>1986.0</v>
      </c>
      <c r="G1034" s="116">
        <v>1991.0</v>
      </c>
      <c r="H1034" s="115">
        <v>1.0</v>
      </c>
      <c r="I1034" s="116">
        <v>3.02</v>
      </c>
      <c r="J1034" s="117">
        <v>0.3</v>
      </c>
      <c r="K1034" s="116">
        <v>0.9</v>
      </c>
      <c r="L1034" s="114"/>
      <c r="M1034" s="82">
        <v>2.12</v>
      </c>
      <c r="N1034" s="116">
        <v>1.0</v>
      </c>
      <c r="O1034" s="116">
        <v>240.0</v>
      </c>
      <c r="P1034" s="114" t="s">
        <v>1963</v>
      </c>
      <c r="Q1034" s="116">
        <v>44.0</v>
      </c>
      <c r="R1034" s="114" t="s">
        <v>1950</v>
      </c>
      <c r="S1034" s="116">
        <v>1991.0</v>
      </c>
      <c r="T1034" s="193">
        <v>1.54</v>
      </c>
      <c r="U1034" s="376">
        <f t="shared" si="195"/>
        <v>67.76</v>
      </c>
      <c r="V1034" s="24">
        <f t="shared" si="187"/>
        <v>22.43708609</v>
      </c>
      <c r="W1034" s="3">
        <f t="shared" si="188"/>
        <v>0</v>
      </c>
      <c r="X1034" s="3">
        <f t="shared" si="189"/>
        <v>0</v>
      </c>
      <c r="Y1034" s="3">
        <f t="shared" si="190"/>
        <v>0</v>
      </c>
      <c r="Z1034" s="69">
        <v>1.0</v>
      </c>
      <c r="AA1034" s="26">
        <f>VLOOKUP(S1034,CPI!$A$2:$F$71,6,0)</f>
        <v>2.365011013</v>
      </c>
      <c r="AB1034" s="27">
        <f t="shared" si="192"/>
        <v>160.2531463</v>
      </c>
      <c r="AC1034" s="27">
        <f t="shared" si="193"/>
        <v>53.06395571</v>
      </c>
      <c r="AD1034" s="114" t="s">
        <v>1964</v>
      </c>
      <c r="AE1034" s="114" t="s">
        <v>1968</v>
      </c>
      <c r="AF1034" s="344"/>
      <c r="AG1034" s="114"/>
      <c r="AH1034" s="114"/>
      <c r="AI1034" s="114"/>
      <c r="AJ1034" s="114"/>
      <c r="AK1034" s="114"/>
      <c r="AL1034" s="114"/>
      <c r="AM1034" s="114"/>
      <c r="AN1034" s="114"/>
      <c r="AO1034" s="114"/>
      <c r="AP1034" s="114"/>
      <c r="AQ1034" s="114"/>
    </row>
    <row r="1035" ht="14.25" customHeight="1">
      <c r="A1035" s="7"/>
      <c r="B1035" s="74" t="s">
        <v>1861</v>
      </c>
      <c r="C1035" s="114" t="s">
        <v>1862</v>
      </c>
      <c r="D1035" s="114" t="s">
        <v>1969</v>
      </c>
      <c r="E1035" s="115" t="s">
        <v>1970</v>
      </c>
      <c r="F1035" s="116">
        <v>1967.0</v>
      </c>
      <c r="G1035" s="116">
        <v>1971.0</v>
      </c>
      <c r="H1035" s="115">
        <v>0.0</v>
      </c>
      <c r="I1035" s="116">
        <v>5.63</v>
      </c>
      <c r="J1035" s="117">
        <v>1.0</v>
      </c>
      <c r="K1035" s="116">
        <v>5.63</v>
      </c>
      <c r="L1035" s="115">
        <v>0.0</v>
      </c>
      <c r="M1035" s="115">
        <v>0.0</v>
      </c>
      <c r="N1035" s="116">
        <v>4.0</v>
      </c>
      <c r="O1035" s="116">
        <v>135.0</v>
      </c>
      <c r="P1035" s="114" t="s">
        <v>42</v>
      </c>
      <c r="Q1035" s="379">
        <v>260.06</v>
      </c>
      <c r="R1035" s="114" t="s">
        <v>1950</v>
      </c>
      <c r="S1035" s="82">
        <v>2023.0</v>
      </c>
      <c r="T1035" s="193">
        <v>1.47</v>
      </c>
      <c r="U1035" s="376">
        <f t="shared" si="195"/>
        <v>382.2882</v>
      </c>
      <c r="V1035" s="24">
        <f t="shared" si="187"/>
        <v>67.90198934</v>
      </c>
      <c r="W1035" s="3">
        <f t="shared" si="188"/>
        <v>0</v>
      </c>
      <c r="X1035" s="3">
        <f t="shared" si="189"/>
        <v>0</v>
      </c>
      <c r="Y1035" s="3">
        <f t="shared" si="190"/>
        <v>0</v>
      </c>
      <c r="Z1035" s="69">
        <v>1.0</v>
      </c>
      <c r="AA1035" s="26">
        <f>VLOOKUP(S1035,CPI!$A$2:$F$71,6,0)</f>
        <v>1.057145998</v>
      </c>
      <c r="AB1035" s="27">
        <f t="shared" si="192"/>
        <v>404.1344409</v>
      </c>
      <c r="AC1035" s="27">
        <f t="shared" si="193"/>
        <v>71.78231632</v>
      </c>
      <c r="AD1035" s="114" t="s">
        <v>60</v>
      </c>
      <c r="AE1035" s="380" t="s">
        <v>1971</v>
      </c>
      <c r="AF1035" s="344"/>
      <c r="AG1035" s="114"/>
      <c r="AH1035" s="114"/>
      <c r="AI1035" s="114"/>
      <c r="AJ1035" s="114"/>
      <c r="AK1035" s="114"/>
      <c r="AL1035" s="114"/>
      <c r="AM1035" s="114"/>
      <c r="AN1035" s="114"/>
      <c r="AO1035" s="114"/>
      <c r="AP1035" s="114"/>
      <c r="AQ1035" s="114"/>
    </row>
    <row r="1036">
      <c r="A1036" s="7"/>
      <c r="B1036" s="74" t="s">
        <v>1861</v>
      </c>
      <c r="C1036" s="114" t="s">
        <v>1862</v>
      </c>
      <c r="D1036" s="114" t="s">
        <v>1969</v>
      </c>
      <c r="E1036" s="115" t="s">
        <v>1972</v>
      </c>
      <c r="F1036" s="116">
        <v>1962.0</v>
      </c>
      <c r="G1036" s="116">
        <v>1969.0</v>
      </c>
      <c r="H1036" s="115">
        <v>0.0</v>
      </c>
      <c r="I1036" s="116">
        <v>16.989</v>
      </c>
      <c r="J1036" s="117">
        <v>1.0</v>
      </c>
      <c r="K1036" s="116">
        <v>16.989</v>
      </c>
      <c r="L1036" s="115">
        <v>0.0</v>
      </c>
      <c r="M1036" s="115">
        <v>0.0</v>
      </c>
      <c r="N1036" s="116">
        <v>12.0</v>
      </c>
      <c r="O1036" s="116">
        <v>135.0</v>
      </c>
      <c r="P1036" s="114" t="s">
        <v>42</v>
      </c>
      <c r="Q1036" s="379">
        <v>1024.55</v>
      </c>
      <c r="R1036" s="114" t="s">
        <v>1950</v>
      </c>
      <c r="S1036" s="82">
        <v>2023.0</v>
      </c>
      <c r="T1036" s="193">
        <v>1.47</v>
      </c>
      <c r="U1036" s="376">
        <f t="shared" si="195"/>
        <v>1506.0885</v>
      </c>
      <c r="V1036" s="24">
        <f t="shared" si="187"/>
        <v>88.65080346</v>
      </c>
      <c r="W1036" s="3">
        <f t="shared" si="188"/>
        <v>0</v>
      </c>
      <c r="X1036" s="3">
        <f t="shared" si="189"/>
        <v>0</v>
      </c>
      <c r="Y1036" s="3">
        <f t="shared" si="190"/>
        <v>0</v>
      </c>
      <c r="Z1036" s="69">
        <v>1.0</v>
      </c>
      <c r="AA1036" s="26">
        <f>VLOOKUP(S1036,CPI!$A$2:$F$71,6,0)</f>
        <v>1.057145998</v>
      </c>
      <c r="AB1036" s="27">
        <f t="shared" si="192"/>
        <v>1592.155431</v>
      </c>
      <c r="AC1036" s="27">
        <f t="shared" si="193"/>
        <v>93.71684213</v>
      </c>
      <c r="AD1036" s="114" t="s">
        <v>60</v>
      </c>
      <c r="AE1036" s="380" t="s">
        <v>1973</v>
      </c>
      <c r="AF1036" s="344"/>
      <c r="AG1036" s="114"/>
      <c r="AH1036" s="114"/>
      <c r="AI1036" s="114"/>
      <c r="AJ1036" s="114"/>
      <c r="AK1036" s="114"/>
      <c r="AL1036" s="114"/>
      <c r="AM1036" s="114"/>
      <c r="AN1036" s="114"/>
      <c r="AO1036" s="114"/>
      <c r="AP1036" s="114"/>
      <c r="AQ1036" s="114"/>
    </row>
    <row r="1037">
      <c r="A1037" s="7"/>
      <c r="B1037" s="74" t="s">
        <v>1861</v>
      </c>
      <c r="C1037" s="114" t="s">
        <v>1862</v>
      </c>
      <c r="D1037" s="326" t="s">
        <v>1974</v>
      </c>
      <c r="E1037" s="115" t="s">
        <v>1975</v>
      </c>
      <c r="F1037" s="116">
        <v>1971.0</v>
      </c>
      <c r="G1037" s="116">
        <v>1979.0</v>
      </c>
      <c r="H1037" s="115">
        <v>0.0</v>
      </c>
      <c r="I1037" s="116">
        <v>4.43</v>
      </c>
      <c r="J1037" s="117">
        <v>1.0</v>
      </c>
      <c r="K1037" s="116">
        <v>4.43</v>
      </c>
      <c r="L1037" s="115">
        <v>0.0</v>
      </c>
      <c r="M1037" s="115">
        <v>0.0</v>
      </c>
      <c r="N1037" s="116">
        <v>4.0</v>
      </c>
      <c r="O1037" s="116">
        <v>125.0</v>
      </c>
      <c r="P1037" s="114" t="s">
        <v>42</v>
      </c>
      <c r="Q1037" s="82">
        <v>424.1</v>
      </c>
      <c r="R1037" s="114" t="s">
        <v>1950</v>
      </c>
      <c r="S1037" s="82">
        <v>2023.0</v>
      </c>
      <c r="T1037" s="193">
        <v>1.47</v>
      </c>
      <c r="U1037" s="376">
        <f t="shared" si="195"/>
        <v>623.427</v>
      </c>
      <c r="V1037" s="24">
        <f t="shared" si="187"/>
        <v>140.7284424</v>
      </c>
      <c r="W1037" s="3">
        <f t="shared" si="188"/>
        <v>0</v>
      </c>
      <c r="X1037" s="3">
        <f t="shared" si="189"/>
        <v>0</v>
      </c>
      <c r="Y1037" s="3">
        <f t="shared" si="190"/>
        <v>0</v>
      </c>
      <c r="Z1037" s="69">
        <v>1.0</v>
      </c>
      <c r="AA1037" s="26">
        <f>VLOOKUP(S1037,CPI!$A$2:$F$71,6,0)</f>
        <v>1.057145998</v>
      </c>
      <c r="AB1037" s="27">
        <f t="shared" si="192"/>
        <v>659.0533583</v>
      </c>
      <c r="AC1037" s="27">
        <f t="shared" si="193"/>
        <v>148.7705098</v>
      </c>
      <c r="AD1037" s="114" t="s">
        <v>60</v>
      </c>
      <c r="AE1037" s="114" t="s">
        <v>1976</v>
      </c>
      <c r="AF1037" s="344"/>
      <c r="AG1037" s="114"/>
      <c r="AH1037" s="114"/>
      <c r="AI1037" s="114"/>
      <c r="AJ1037" s="114"/>
      <c r="AK1037" s="114"/>
      <c r="AL1037" s="114"/>
      <c r="AM1037" s="114"/>
      <c r="AN1037" s="114"/>
      <c r="AO1037" s="114"/>
      <c r="AP1037" s="114"/>
      <c r="AQ1037" s="114"/>
    </row>
    <row r="1038">
      <c r="A1038" s="7"/>
      <c r="B1038" s="114" t="s">
        <v>1861</v>
      </c>
      <c r="C1038" s="114" t="s">
        <v>1862</v>
      </c>
      <c r="D1038" s="326" t="s">
        <v>1977</v>
      </c>
      <c r="E1038" s="114" t="s">
        <v>1978</v>
      </c>
      <c r="F1038" s="70">
        <v>1971.0</v>
      </c>
      <c r="G1038" s="116">
        <v>1977.0</v>
      </c>
      <c r="H1038" s="115">
        <v>0.0</v>
      </c>
      <c r="I1038" s="116">
        <v>5.6</v>
      </c>
      <c r="J1038" s="117">
        <v>0.84</v>
      </c>
      <c r="K1038" s="116">
        <v>4.69</v>
      </c>
      <c r="L1038" s="115">
        <v>0.0</v>
      </c>
      <c r="M1038" s="116">
        <v>0.91</v>
      </c>
      <c r="N1038" s="116">
        <v>2.0</v>
      </c>
      <c r="O1038" s="116">
        <v>107.0</v>
      </c>
      <c r="P1038" s="114" t="s">
        <v>42</v>
      </c>
      <c r="Q1038" s="82">
        <v>163.06</v>
      </c>
      <c r="R1038" s="114" t="s">
        <v>1950</v>
      </c>
      <c r="S1038" s="82">
        <v>2023.0</v>
      </c>
      <c r="T1038" s="82">
        <v>1.5</v>
      </c>
      <c r="U1038" s="376">
        <f t="shared" si="195"/>
        <v>244.59</v>
      </c>
      <c r="V1038" s="24">
        <f t="shared" si="187"/>
        <v>43.67678571</v>
      </c>
      <c r="W1038" s="3">
        <f t="shared" si="188"/>
        <v>0</v>
      </c>
      <c r="X1038" s="3">
        <f t="shared" si="189"/>
        <v>0</v>
      </c>
      <c r="Y1038" s="3">
        <f t="shared" si="190"/>
        <v>0</v>
      </c>
      <c r="Z1038" s="69">
        <v>1.0</v>
      </c>
      <c r="AA1038" s="26">
        <f>VLOOKUP(S1038,CPI!$A$2:$F$71,6,0)</f>
        <v>1.057145998</v>
      </c>
      <c r="AB1038" s="27">
        <f t="shared" si="192"/>
        <v>258.5673397</v>
      </c>
      <c r="AC1038" s="27">
        <f t="shared" si="193"/>
        <v>46.17273924</v>
      </c>
      <c r="AD1038" s="114" t="s">
        <v>60</v>
      </c>
      <c r="AE1038" s="381" t="s">
        <v>1979</v>
      </c>
      <c r="AF1038" s="344"/>
      <c r="AG1038" s="114"/>
      <c r="AH1038" s="114"/>
      <c r="AI1038" s="114"/>
      <c r="AJ1038" s="114"/>
      <c r="AK1038" s="114"/>
      <c r="AL1038" s="114"/>
      <c r="AM1038" s="114"/>
      <c r="AN1038" s="114"/>
      <c r="AO1038" s="114"/>
      <c r="AP1038" s="114"/>
      <c r="AQ1038" s="114"/>
    </row>
    <row r="1039">
      <c r="A1039" s="7"/>
      <c r="B1039" s="114" t="s">
        <v>1861</v>
      </c>
      <c r="C1039" s="114" t="s">
        <v>1862</v>
      </c>
      <c r="D1039" s="326" t="s">
        <v>1977</v>
      </c>
      <c r="E1039" s="114" t="s">
        <v>1980</v>
      </c>
      <c r="F1039" s="70">
        <v>1983.0</v>
      </c>
      <c r="G1039" s="116">
        <v>1986.0</v>
      </c>
      <c r="H1039" s="115">
        <v>0.0</v>
      </c>
      <c r="I1039" s="116">
        <v>2.9</v>
      </c>
      <c r="J1039" s="117">
        <v>1.0</v>
      </c>
      <c r="K1039" s="116">
        <v>2.9</v>
      </c>
      <c r="L1039" s="115">
        <v>0.0</v>
      </c>
      <c r="M1039" s="115">
        <v>0.0</v>
      </c>
      <c r="N1039" s="116">
        <v>1.0</v>
      </c>
      <c r="O1039" s="116">
        <v>107.0</v>
      </c>
      <c r="P1039" s="114" t="s">
        <v>42</v>
      </c>
      <c r="Q1039" s="82">
        <v>77.18</v>
      </c>
      <c r="R1039" s="114" t="s">
        <v>1950</v>
      </c>
      <c r="S1039" s="82">
        <v>2023.0</v>
      </c>
      <c r="T1039" s="82">
        <v>1.5</v>
      </c>
      <c r="U1039" s="376">
        <f t="shared" si="195"/>
        <v>115.77</v>
      </c>
      <c r="V1039" s="24">
        <f t="shared" si="187"/>
        <v>39.92068966</v>
      </c>
      <c r="W1039" s="3">
        <f t="shared" si="188"/>
        <v>0</v>
      </c>
      <c r="X1039" s="3">
        <f t="shared" si="189"/>
        <v>0</v>
      </c>
      <c r="Y1039" s="3">
        <f t="shared" si="190"/>
        <v>0</v>
      </c>
      <c r="Z1039" s="69">
        <v>1.0</v>
      </c>
      <c r="AA1039" s="26">
        <f>VLOOKUP(S1039,CPI!$A$2:$F$71,6,0)</f>
        <v>1.057145998</v>
      </c>
      <c r="AB1039" s="27">
        <f t="shared" si="192"/>
        <v>122.3857922</v>
      </c>
      <c r="AC1039" s="27">
        <f t="shared" si="193"/>
        <v>42.20199732</v>
      </c>
      <c r="AD1039" s="114" t="s">
        <v>60</v>
      </c>
      <c r="AE1039" s="381" t="s">
        <v>1981</v>
      </c>
      <c r="AF1039" s="382"/>
      <c r="AG1039" s="382"/>
      <c r="AH1039" s="382"/>
      <c r="AI1039" s="382"/>
      <c r="AJ1039" s="382"/>
      <c r="AK1039" s="382"/>
      <c r="AL1039" s="382"/>
      <c r="AM1039" s="382"/>
      <c r="AN1039" s="7"/>
      <c r="AO1039" s="7"/>
      <c r="AP1039" s="7"/>
      <c r="AQ1039" s="7"/>
    </row>
    <row r="1040">
      <c r="A1040" s="7"/>
      <c r="B1040" s="114" t="s">
        <v>1861</v>
      </c>
      <c r="C1040" s="206" t="s">
        <v>1862</v>
      </c>
      <c r="D1040" s="255" t="s">
        <v>1982</v>
      </c>
      <c r="E1040" s="206" t="s">
        <v>1983</v>
      </c>
      <c r="F1040" s="253">
        <v>2017.0</v>
      </c>
      <c r="G1040" s="383">
        <v>2022.0</v>
      </c>
      <c r="H1040" s="255" t="s">
        <v>1984</v>
      </c>
      <c r="I1040" s="383">
        <v>4.0</v>
      </c>
      <c r="J1040" s="384">
        <v>0.0</v>
      </c>
      <c r="K1040" s="206"/>
      <c r="L1040" s="253">
        <v>1.5</v>
      </c>
      <c r="M1040" s="253">
        <v>2.4</v>
      </c>
      <c r="N1040" s="383">
        <v>1.0</v>
      </c>
      <c r="O1040" s="383">
        <v>82.0</v>
      </c>
      <c r="P1040" s="206" t="s">
        <v>60</v>
      </c>
      <c r="Q1040" s="253">
        <v>327.0</v>
      </c>
      <c r="R1040" s="206" t="s">
        <v>1950</v>
      </c>
      <c r="S1040" s="253">
        <v>2022.0</v>
      </c>
      <c r="T1040" s="253">
        <f>1/0.64</f>
        <v>1.5625</v>
      </c>
      <c r="U1040" s="376">
        <f t="shared" si="195"/>
        <v>510.9375</v>
      </c>
      <c r="V1040" s="24">
        <f t="shared" si="187"/>
        <v>127.734375</v>
      </c>
      <c r="W1040" s="3">
        <f t="shared" si="188"/>
        <v>0</v>
      </c>
      <c r="X1040" s="3">
        <f t="shared" si="189"/>
        <v>0</v>
      </c>
      <c r="Y1040" s="3">
        <f t="shared" si="190"/>
        <v>0</v>
      </c>
      <c r="Z1040" s="69">
        <v>1.0</v>
      </c>
      <c r="AA1040" s="26">
        <f>VLOOKUP(S1040,CPI!$A$2:$F$71,6,0)</f>
        <v>1.100662897</v>
      </c>
      <c r="AB1040" s="27">
        <f t="shared" si="192"/>
        <v>562.3699487</v>
      </c>
      <c r="AC1040" s="27">
        <f t="shared" si="193"/>
        <v>140.5924872</v>
      </c>
      <c r="AD1040" s="114" t="s">
        <v>60</v>
      </c>
      <c r="AE1040" s="54" t="s">
        <v>1985</v>
      </c>
      <c r="AF1040" s="382"/>
      <c r="AG1040" s="382"/>
      <c r="AH1040" s="382"/>
      <c r="AI1040" s="382"/>
      <c r="AJ1040" s="382"/>
      <c r="AK1040" s="382"/>
      <c r="AL1040" s="382"/>
      <c r="AM1040" s="382"/>
      <c r="AN1040" s="7"/>
      <c r="AO1040" s="7"/>
      <c r="AP1040" s="7"/>
      <c r="AQ1040" s="7"/>
    </row>
    <row r="1041">
      <c r="A1041" s="206"/>
      <c r="B1041" s="385" t="s">
        <v>1403</v>
      </c>
      <c r="C1041" s="206" t="s">
        <v>1986</v>
      </c>
      <c r="D1041" s="255" t="s">
        <v>1987</v>
      </c>
      <c r="E1041" s="206" t="s">
        <v>1988</v>
      </c>
      <c r="F1041" s="253">
        <v>1986.0</v>
      </c>
      <c r="G1041" s="383">
        <v>1992.0</v>
      </c>
      <c r="H1041" s="385">
        <v>0.0</v>
      </c>
      <c r="I1041" s="383">
        <v>1.1</v>
      </c>
      <c r="J1041" s="386">
        <v>0.1818</v>
      </c>
      <c r="K1041" s="383">
        <v>0.2</v>
      </c>
      <c r="L1041" s="253">
        <v>1.0</v>
      </c>
      <c r="M1041" s="255"/>
      <c r="N1041" s="383">
        <v>1.0</v>
      </c>
      <c r="O1041" s="383">
        <v>120.0</v>
      </c>
      <c r="P1041" s="206" t="s">
        <v>60</v>
      </c>
      <c r="Q1041" s="387">
        <v>9700.0</v>
      </c>
      <c r="R1041" s="206" t="s">
        <v>1407</v>
      </c>
      <c r="S1041" s="253">
        <v>1992.0</v>
      </c>
      <c r="T1041" s="383">
        <f>1/185.65</f>
        <v>0.005386479935</v>
      </c>
      <c r="U1041" s="376">
        <f t="shared" si="195"/>
        <v>52.24885537</v>
      </c>
      <c r="V1041" s="24">
        <f t="shared" si="187"/>
        <v>47.49895943</v>
      </c>
      <c r="W1041" s="3">
        <f t="shared" si="188"/>
        <v>0</v>
      </c>
      <c r="X1041" s="3">
        <f t="shared" si="189"/>
        <v>0</v>
      </c>
      <c r="Y1041" s="3">
        <f t="shared" si="190"/>
        <v>0</v>
      </c>
      <c r="Z1041" s="385">
        <v>0.0</v>
      </c>
      <c r="AA1041" s="26">
        <f>VLOOKUP(S1041,CPI!$A$2:$F$71,6,0)</f>
        <v>2.295898076</v>
      </c>
      <c r="AB1041" s="27">
        <f t="shared" si="192"/>
        <v>119.9580465</v>
      </c>
      <c r="AC1041" s="27">
        <f t="shared" si="193"/>
        <v>109.0527695</v>
      </c>
      <c r="AD1041" s="388" t="s">
        <v>42</v>
      </c>
      <c r="AE1041" s="389" t="s">
        <v>1989</v>
      </c>
      <c r="AF1041" s="382"/>
      <c r="AG1041" s="382"/>
      <c r="AH1041" s="382"/>
      <c r="AI1041" s="382"/>
      <c r="AJ1041" s="382"/>
      <c r="AK1041" s="382"/>
      <c r="AL1041" s="382"/>
      <c r="AM1041" s="382"/>
      <c r="AN1041" s="7"/>
      <c r="AO1041" s="7"/>
      <c r="AP1041" s="7"/>
      <c r="AQ1041" s="7"/>
    </row>
    <row r="1042">
      <c r="A1042" s="206"/>
      <c r="B1042" s="385" t="s">
        <v>1403</v>
      </c>
      <c r="C1042" s="206" t="s">
        <v>1986</v>
      </c>
      <c r="D1042" s="206" t="s">
        <v>1987</v>
      </c>
      <c r="E1042" s="206" t="s">
        <v>1990</v>
      </c>
      <c r="F1042" s="253">
        <v>1981.0</v>
      </c>
      <c r="G1042" s="383">
        <v>1987.0</v>
      </c>
      <c r="H1042" s="385">
        <v>0.0</v>
      </c>
      <c r="I1042" s="383">
        <v>15.44</v>
      </c>
      <c r="J1042" s="384">
        <v>0.76</v>
      </c>
      <c r="K1042" s="383">
        <v>11.59</v>
      </c>
      <c r="L1042" s="383">
        <v>2.75</v>
      </c>
      <c r="M1042" s="206"/>
      <c r="N1042" s="383">
        <v>16.0</v>
      </c>
      <c r="O1042" s="383">
        <v>120.0</v>
      </c>
      <c r="P1042" s="206" t="s">
        <v>60</v>
      </c>
      <c r="Q1042" s="387">
        <v>292500.0</v>
      </c>
      <c r="R1042" s="206" t="s">
        <v>1407</v>
      </c>
      <c r="S1042" s="387">
        <v>2023.0</v>
      </c>
      <c r="T1042" s="390">
        <f>1/95.27</f>
        <v>0.01049648368</v>
      </c>
      <c r="U1042" s="376">
        <f t="shared" si="195"/>
        <v>3070.221476</v>
      </c>
      <c r="V1042" s="24">
        <f t="shared" si="187"/>
        <v>198.8485412</v>
      </c>
      <c r="W1042" s="3">
        <f t="shared" si="188"/>
        <v>0</v>
      </c>
      <c r="X1042" s="3">
        <f t="shared" si="189"/>
        <v>0</v>
      </c>
      <c r="Y1042" s="3">
        <f t="shared" si="190"/>
        <v>0</v>
      </c>
      <c r="Z1042" s="385">
        <v>0.0</v>
      </c>
      <c r="AA1042" s="26">
        <f>VLOOKUP(S1042,CPI!$A$2:$F$71,6,0)</f>
        <v>1.057145998</v>
      </c>
      <c r="AB1042" s="27">
        <f t="shared" si="192"/>
        <v>3245.672347</v>
      </c>
      <c r="AC1042" s="27">
        <f t="shared" si="193"/>
        <v>210.2119396</v>
      </c>
      <c r="AD1042" s="206" t="s">
        <v>42</v>
      </c>
      <c r="AE1042" s="206" t="s">
        <v>1991</v>
      </c>
      <c r="AF1042" s="7"/>
      <c r="AG1042" s="7"/>
      <c r="AH1042" s="7"/>
      <c r="AI1042" s="7"/>
    </row>
    <row r="1043">
      <c r="A1043" s="206"/>
      <c r="B1043" s="385" t="s">
        <v>1403</v>
      </c>
      <c r="C1043" s="206" t="s">
        <v>1986</v>
      </c>
      <c r="D1043" s="206" t="s">
        <v>1992</v>
      </c>
      <c r="E1043" s="385" t="s">
        <v>1993</v>
      </c>
      <c r="F1043" s="253">
        <v>2006.0</v>
      </c>
      <c r="G1043" s="383">
        <v>2015.0</v>
      </c>
      <c r="H1043" s="385">
        <v>0.0</v>
      </c>
      <c r="I1043" s="383">
        <v>14.4</v>
      </c>
      <c r="J1043" s="253">
        <f>100-4.17</f>
        <v>95.83</v>
      </c>
      <c r="K1043" s="383">
        <v>13.78</v>
      </c>
      <c r="L1043" s="383">
        <v>0.6</v>
      </c>
      <c r="M1043" s="206"/>
      <c r="N1043" s="383">
        <v>13.0</v>
      </c>
      <c r="O1043" s="383">
        <v>82.5</v>
      </c>
      <c r="P1043" s="206" t="s">
        <v>60</v>
      </c>
      <c r="Q1043" s="387">
        <v>232700.0</v>
      </c>
      <c r="R1043" s="255" t="s">
        <v>1407</v>
      </c>
      <c r="S1043" s="383">
        <v>2015.0</v>
      </c>
      <c r="T1043" s="383">
        <f>1/103.45</f>
        <v>0.009666505558</v>
      </c>
      <c r="U1043" s="376">
        <f t="shared" si="195"/>
        <v>2249.395843</v>
      </c>
      <c r="V1043" s="24">
        <f t="shared" si="187"/>
        <v>156.2080447</v>
      </c>
      <c r="W1043" s="3">
        <f t="shared" si="188"/>
        <v>0</v>
      </c>
      <c r="X1043" s="3">
        <f t="shared" si="189"/>
        <v>0</v>
      </c>
      <c r="Y1043" s="3">
        <f t="shared" si="190"/>
        <v>0</v>
      </c>
      <c r="Z1043" s="385">
        <v>0.0</v>
      </c>
      <c r="AA1043" s="26">
        <f>VLOOKUP(S1043,CPI!$A$2:$F$71,6,0)</f>
        <v>1.359035428</v>
      </c>
      <c r="AB1043" s="27">
        <f t="shared" si="192"/>
        <v>3057.008642</v>
      </c>
      <c r="AC1043" s="27">
        <f t="shared" si="193"/>
        <v>212.2922668</v>
      </c>
      <c r="AD1043" s="391" t="s">
        <v>42</v>
      </c>
      <c r="AE1043" s="206" t="s">
        <v>1994</v>
      </c>
      <c r="AF1043" s="7"/>
      <c r="AG1043" s="7"/>
      <c r="AH1043" s="7"/>
      <c r="AI1043" s="7"/>
    </row>
    <row r="1044">
      <c r="A1044" s="206"/>
      <c r="B1044" s="385" t="s">
        <v>1403</v>
      </c>
      <c r="C1044" s="206" t="s">
        <v>1986</v>
      </c>
      <c r="D1044" s="206" t="s">
        <v>663</v>
      </c>
      <c r="E1044" s="385" t="s">
        <v>1995</v>
      </c>
      <c r="F1044" s="253">
        <v>2002.0</v>
      </c>
      <c r="G1044" s="383">
        <v>2007.0</v>
      </c>
      <c r="H1044" s="383">
        <v>1.0</v>
      </c>
      <c r="I1044" s="383">
        <v>3.55</v>
      </c>
      <c r="J1044" s="384">
        <v>0.08</v>
      </c>
      <c r="K1044" s="383">
        <v>0.3</v>
      </c>
      <c r="L1044" s="383">
        <v>5.8</v>
      </c>
      <c r="M1044" s="383">
        <v>0.4</v>
      </c>
      <c r="N1044" s="383">
        <v>3.0</v>
      </c>
      <c r="O1044" s="383">
        <v>120.0</v>
      </c>
      <c r="P1044" s="206" t="s">
        <v>60</v>
      </c>
      <c r="Q1044" s="385">
        <v>32900.0</v>
      </c>
      <c r="R1044" s="255" t="s">
        <v>1407</v>
      </c>
      <c r="S1044" s="383">
        <v>2007.0</v>
      </c>
      <c r="T1044" s="383">
        <f>1/120.32</f>
        <v>0.008311170213</v>
      </c>
      <c r="U1044" s="376">
        <f t="shared" si="195"/>
        <v>273.4375</v>
      </c>
      <c r="V1044" s="24">
        <f t="shared" si="187"/>
        <v>77.02464789</v>
      </c>
      <c r="W1044" s="3">
        <f t="shared" si="188"/>
        <v>0</v>
      </c>
      <c r="X1044" s="3">
        <f t="shared" si="189"/>
        <v>0</v>
      </c>
      <c r="Y1044" s="3">
        <f t="shared" si="190"/>
        <v>0</v>
      </c>
      <c r="Z1044" s="385">
        <v>0.0</v>
      </c>
      <c r="AA1044" s="26">
        <f>VLOOKUP(S1044,CPI!$A$2:$F$71,6,0)</f>
        <v>1.553541974</v>
      </c>
      <c r="AB1044" s="27">
        <f t="shared" si="192"/>
        <v>424.7966336</v>
      </c>
      <c r="AC1044" s="27">
        <f t="shared" si="193"/>
        <v>119.6610235</v>
      </c>
      <c r="AD1044" s="391" t="s">
        <v>42</v>
      </c>
      <c r="AE1044" s="389" t="s">
        <v>1996</v>
      </c>
      <c r="AF1044" s="7"/>
      <c r="AG1044" s="7"/>
      <c r="AH1044" s="7"/>
      <c r="AI1044" s="7"/>
    </row>
    <row r="1045">
      <c r="A1045" s="206"/>
      <c r="B1045" s="385" t="s">
        <v>1403</v>
      </c>
      <c r="C1045" s="206" t="s">
        <v>1986</v>
      </c>
      <c r="D1045" s="385" t="s">
        <v>1997</v>
      </c>
      <c r="E1045" s="385" t="s">
        <v>1998</v>
      </c>
      <c r="F1045" s="383">
        <v>1981.0</v>
      </c>
      <c r="G1045" s="383">
        <v>2000.0</v>
      </c>
      <c r="H1045" s="253">
        <v>1.0</v>
      </c>
      <c r="I1045" s="383">
        <v>3.9</v>
      </c>
      <c r="J1045" s="386">
        <v>0.8974</v>
      </c>
      <c r="K1045" s="383">
        <v>3.5</v>
      </c>
      <c r="L1045" s="206"/>
      <c r="M1045" s="383">
        <v>0.4</v>
      </c>
      <c r="N1045" s="383">
        <v>5.0</v>
      </c>
      <c r="O1045" s="383">
        <v>80.0</v>
      </c>
      <c r="P1045" s="206" t="s">
        <v>60</v>
      </c>
      <c r="Q1045" s="392">
        <v>65400.0</v>
      </c>
      <c r="R1045" s="206" t="s">
        <v>1407</v>
      </c>
      <c r="S1045" s="383">
        <v>2000.0</v>
      </c>
      <c r="T1045" s="383">
        <f>1/154.69</f>
        <v>0.006464541987</v>
      </c>
      <c r="U1045" s="376">
        <f t="shared" si="195"/>
        <v>422.781046</v>
      </c>
      <c r="V1045" s="24">
        <f t="shared" si="187"/>
        <v>108.4053964</v>
      </c>
      <c r="W1045" s="3">
        <f t="shared" si="188"/>
        <v>0</v>
      </c>
      <c r="X1045" s="3">
        <f t="shared" si="189"/>
        <v>0</v>
      </c>
      <c r="Y1045" s="3">
        <f t="shared" si="190"/>
        <v>0</v>
      </c>
      <c r="Z1045" s="385">
        <v>0.0</v>
      </c>
      <c r="AA1045" s="26">
        <f>VLOOKUP(S1045,CPI!$A$2:$F$71,6,0)</f>
        <v>1.870583624</v>
      </c>
      <c r="AB1045" s="27">
        <f t="shared" si="192"/>
        <v>790.847301</v>
      </c>
      <c r="AC1045" s="27">
        <f t="shared" si="193"/>
        <v>202.7813592</v>
      </c>
      <c r="AD1045" s="391" t="s">
        <v>42</v>
      </c>
      <c r="AE1045" s="393" t="s">
        <v>1999</v>
      </c>
    </row>
    <row r="1046">
      <c r="A1046" s="206"/>
      <c r="B1046" s="385" t="s">
        <v>1403</v>
      </c>
      <c r="C1046" s="206" t="s">
        <v>2000</v>
      </c>
      <c r="D1046" s="255" t="s">
        <v>2001</v>
      </c>
      <c r="E1046" s="255" t="s">
        <v>2002</v>
      </c>
      <c r="F1046" s="383">
        <v>1969.0</v>
      </c>
      <c r="G1046" s="383">
        <v>1971.0</v>
      </c>
      <c r="H1046" s="255"/>
      <c r="I1046" s="383">
        <v>7.95</v>
      </c>
      <c r="J1046" s="384">
        <v>1.0</v>
      </c>
      <c r="K1046" s="383">
        <v>7.95</v>
      </c>
      <c r="L1046" s="206"/>
      <c r="M1046" s="206"/>
      <c r="N1046" s="383">
        <v>9.0</v>
      </c>
      <c r="O1046" s="383">
        <v>110.0</v>
      </c>
      <c r="P1046" s="206" t="s">
        <v>60</v>
      </c>
      <c r="Q1046" s="387">
        <v>99952.1</v>
      </c>
      <c r="R1046" s="206" t="s">
        <v>1407</v>
      </c>
      <c r="S1046" s="387">
        <v>2023.0</v>
      </c>
      <c r="T1046" s="390">
        <f t="shared" ref="T1046:T1048" si="196">1/95.27</f>
        <v>0.01049648368</v>
      </c>
      <c r="U1046" s="376">
        <f t="shared" si="195"/>
        <v>1049.145586</v>
      </c>
      <c r="V1046" s="24">
        <f t="shared" si="187"/>
        <v>131.9679983</v>
      </c>
      <c r="W1046" s="3">
        <f t="shared" si="188"/>
        <v>0</v>
      </c>
      <c r="X1046" s="3">
        <f t="shared" si="189"/>
        <v>0</v>
      </c>
      <c r="Y1046" s="3">
        <f t="shared" si="190"/>
        <v>0</v>
      </c>
      <c r="Z1046" s="385">
        <v>0.0</v>
      </c>
      <c r="AA1046" s="26">
        <f>VLOOKUP(S1046,CPI!$A$2:$F$71,6,0)</f>
        <v>1.057145998</v>
      </c>
      <c r="AB1046" s="27">
        <f t="shared" si="192"/>
        <v>1109.100058</v>
      </c>
      <c r="AC1046" s="27">
        <f t="shared" si="193"/>
        <v>139.5094413</v>
      </c>
      <c r="AD1046" s="255" t="s">
        <v>60</v>
      </c>
      <c r="AE1046" s="54" t="s">
        <v>2003</v>
      </c>
    </row>
    <row r="1047" ht="15.75" customHeight="1">
      <c r="A1047" s="65"/>
      <c r="B1047" s="385" t="s">
        <v>1403</v>
      </c>
      <c r="C1047" s="54" t="s">
        <v>2000</v>
      </c>
      <c r="D1047" s="54" t="s">
        <v>2001</v>
      </c>
      <c r="E1047" s="388" t="s">
        <v>2004</v>
      </c>
      <c r="F1047" s="383">
        <v>1970.0</v>
      </c>
      <c r="G1047" s="383">
        <v>1971.0</v>
      </c>
      <c r="H1047" s="206"/>
      <c r="I1047" s="394">
        <v>4.675</v>
      </c>
      <c r="J1047" s="386">
        <v>3.7E-4</v>
      </c>
      <c r="K1047" s="383">
        <f>I1047-L1047</f>
        <v>0.175</v>
      </c>
      <c r="L1047" s="383">
        <v>4.5</v>
      </c>
      <c r="M1047" s="206"/>
      <c r="N1047" s="383">
        <v>4.0</v>
      </c>
      <c r="O1047" s="383">
        <v>110.0</v>
      </c>
      <c r="P1047" s="206" t="s">
        <v>60</v>
      </c>
      <c r="Q1047" s="387">
        <v>38443.1</v>
      </c>
      <c r="R1047" s="206" t="s">
        <v>1407</v>
      </c>
      <c r="S1047" s="387">
        <v>2023.0</v>
      </c>
      <c r="T1047" s="390">
        <f t="shared" si="196"/>
        <v>0.01049648368</v>
      </c>
      <c r="U1047" s="376">
        <f t="shared" si="195"/>
        <v>403.5173717</v>
      </c>
      <c r="V1047" s="24">
        <f t="shared" si="187"/>
        <v>86.3138763</v>
      </c>
      <c r="W1047" s="3">
        <f t="shared" si="188"/>
        <v>0</v>
      </c>
      <c r="X1047" s="3">
        <f t="shared" si="189"/>
        <v>0</v>
      </c>
      <c r="Y1047" s="3">
        <f t="shared" si="190"/>
        <v>0</v>
      </c>
      <c r="Z1047" s="385">
        <v>0.0</v>
      </c>
      <c r="AA1047" s="26">
        <f>VLOOKUP(S1047,CPI!$A$2:$F$71,6,0)</f>
        <v>1.057145998</v>
      </c>
      <c r="AB1047" s="27">
        <f t="shared" si="192"/>
        <v>426.5767748</v>
      </c>
      <c r="AC1047" s="27">
        <f t="shared" si="193"/>
        <v>91.24636893</v>
      </c>
      <c r="AD1047" s="206" t="s">
        <v>60</v>
      </c>
      <c r="AE1047" s="206" t="s">
        <v>2003</v>
      </c>
    </row>
    <row r="1048" ht="15.75" customHeight="1">
      <c r="A1048" s="65"/>
      <c r="B1048" s="385" t="s">
        <v>1403</v>
      </c>
      <c r="C1048" s="54" t="s">
        <v>2000</v>
      </c>
      <c r="D1048" s="54" t="s">
        <v>2001</v>
      </c>
      <c r="E1048" s="388" t="s">
        <v>2005</v>
      </c>
      <c r="F1048" s="383">
        <v>1974.0</v>
      </c>
      <c r="G1048" s="383">
        <v>1978.0</v>
      </c>
      <c r="H1048" s="206"/>
      <c r="I1048" s="394">
        <v>2.2</v>
      </c>
      <c r="J1048" s="384">
        <v>1.0</v>
      </c>
      <c r="K1048" s="394">
        <v>2.2</v>
      </c>
      <c r="L1048" s="206"/>
      <c r="M1048" s="206"/>
      <c r="N1048" s="383">
        <v>3.0</v>
      </c>
      <c r="O1048" s="383">
        <v>110.0</v>
      </c>
      <c r="P1048" s="206" t="s">
        <v>60</v>
      </c>
      <c r="Q1048" s="387">
        <v>62941.2</v>
      </c>
      <c r="R1048" s="206" t="s">
        <v>1407</v>
      </c>
      <c r="S1048" s="387">
        <v>2023.0</v>
      </c>
      <c r="T1048" s="390">
        <f t="shared" si="196"/>
        <v>0.01049648368</v>
      </c>
      <c r="U1048" s="376">
        <f t="shared" si="195"/>
        <v>660.6612785</v>
      </c>
      <c r="V1048" s="24">
        <f t="shared" si="187"/>
        <v>300.3005811</v>
      </c>
      <c r="W1048" s="3">
        <f t="shared" si="188"/>
        <v>0</v>
      </c>
      <c r="X1048" s="3">
        <f t="shared" si="189"/>
        <v>0</v>
      </c>
      <c r="Y1048" s="3">
        <f t="shared" si="190"/>
        <v>0</v>
      </c>
      <c r="Z1048" s="385">
        <v>0.0</v>
      </c>
      <c r="AA1048" s="26">
        <f>VLOOKUP(S1048,CPI!$A$2:$F$71,6,0)</f>
        <v>1.057145998</v>
      </c>
      <c r="AB1048" s="27">
        <f t="shared" si="192"/>
        <v>698.4154268</v>
      </c>
      <c r="AC1048" s="27">
        <f t="shared" si="193"/>
        <v>317.4615576</v>
      </c>
      <c r="AD1048" s="206" t="s">
        <v>60</v>
      </c>
      <c r="AE1048" s="206" t="s">
        <v>2003</v>
      </c>
    </row>
    <row r="1049" ht="15.75" customHeight="1">
      <c r="A1049" s="65"/>
      <c r="B1049" s="385" t="s">
        <v>1403</v>
      </c>
      <c r="C1049" s="54" t="s">
        <v>2000</v>
      </c>
      <c r="D1049" s="54" t="s">
        <v>2006</v>
      </c>
      <c r="E1049" s="388" t="s">
        <v>2007</v>
      </c>
      <c r="F1049" s="383">
        <v>1995.0</v>
      </c>
      <c r="G1049" s="383">
        <v>1999.0</v>
      </c>
      <c r="H1049" s="206"/>
      <c r="I1049" s="394">
        <v>2.79</v>
      </c>
      <c r="J1049" s="384">
        <v>1.0</v>
      </c>
      <c r="K1049" s="394">
        <v>2.79</v>
      </c>
      <c r="L1049" s="206"/>
      <c r="M1049" s="206"/>
      <c r="N1049" s="383">
        <v>3.0</v>
      </c>
      <c r="O1049" s="383">
        <v>144.0</v>
      </c>
      <c r="P1049" s="206" t="s">
        <v>60</v>
      </c>
      <c r="Q1049" s="387">
        <v>47900.0</v>
      </c>
      <c r="R1049" s="255" t="s">
        <v>1407</v>
      </c>
      <c r="S1049" s="383">
        <v>1999.0</v>
      </c>
      <c r="T1049" s="395">
        <v>0.00617131572</v>
      </c>
      <c r="U1049" s="376">
        <f t="shared" si="195"/>
        <v>295.606023</v>
      </c>
      <c r="V1049" s="24">
        <f t="shared" si="187"/>
        <v>105.9519796</v>
      </c>
      <c r="W1049" s="3">
        <f t="shared" si="188"/>
        <v>0</v>
      </c>
      <c r="X1049" s="3">
        <f t="shared" si="189"/>
        <v>0</v>
      </c>
      <c r="Y1049" s="3">
        <f t="shared" si="190"/>
        <v>0</v>
      </c>
      <c r="Z1049" s="385">
        <v>0.0</v>
      </c>
      <c r="AA1049" s="26">
        <f>VLOOKUP(S1049,CPI!$A$2:$F$71,6,0)</f>
        <v>1.933460384</v>
      </c>
      <c r="AB1049" s="27">
        <f t="shared" si="192"/>
        <v>571.5425348</v>
      </c>
      <c r="AC1049" s="27">
        <f t="shared" si="193"/>
        <v>204.8539551</v>
      </c>
      <c r="AD1049" s="206" t="s">
        <v>60</v>
      </c>
      <c r="AE1049" s="206" t="s">
        <v>2003</v>
      </c>
    </row>
    <row r="1050" ht="15.75" customHeight="1">
      <c r="A1050" s="65"/>
      <c r="B1050" s="385" t="s">
        <v>1403</v>
      </c>
      <c r="C1050" s="54" t="s">
        <v>2000</v>
      </c>
      <c r="D1050" s="54" t="s">
        <v>2006</v>
      </c>
      <c r="E1050" s="388" t="s">
        <v>2008</v>
      </c>
      <c r="F1050" s="383">
        <v>1973.0</v>
      </c>
      <c r="G1050" s="383">
        <v>1976.0</v>
      </c>
      <c r="H1050" s="206"/>
      <c r="I1050" s="394">
        <v>10.67</v>
      </c>
      <c r="J1050" s="384">
        <v>1.0</v>
      </c>
      <c r="K1050" s="394">
        <v>10.67</v>
      </c>
      <c r="L1050" s="206"/>
      <c r="M1050" s="206"/>
      <c r="N1050" s="383">
        <v>11.0</v>
      </c>
      <c r="O1050" s="383">
        <v>162.0</v>
      </c>
      <c r="P1050" s="206" t="s">
        <v>60</v>
      </c>
      <c r="Q1050" s="387">
        <v>198350.3</v>
      </c>
      <c r="R1050" s="255" t="s">
        <v>1407</v>
      </c>
      <c r="S1050" s="387">
        <v>2023.0</v>
      </c>
      <c r="T1050" s="390">
        <f t="shared" ref="T1050:T1052" si="197">1/95.27</f>
        <v>0.01049648368</v>
      </c>
      <c r="U1050" s="376">
        <f t="shared" si="195"/>
        <v>2081.980686</v>
      </c>
      <c r="V1050" s="24">
        <f t="shared" si="187"/>
        <v>195.1247129</v>
      </c>
      <c r="W1050" s="3">
        <f t="shared" si="188"/>
        <v>0</v>
      </c>
      <c r="X1050" s="3">
        <f t="shared" si="189"/>
        <v>0</v>
      </c>
      <c r="Y1050" s="3">
        <f t="shared" si="190"/>
        <v>0</v>
      </c>
      <c r="Z1050" s="385">
        <v>0.0</v>
      </c>
      <c r="AA1050" s="26">
        <f>VLOOKUP(S1050,CPI!$A$2:$F$71,6,0)</f>
        <v>1.057145998</v>
      </c>
      <c r="AB1050" s="27">
        <f t="shared" si="192"/>
        <v>2200.957551</v>
      </c>
      <c r="AC1050" s="27">
        <f t="shared" si="193"/>
        <v>206.2753094</v>
      </c>
      <c r="AD1050" s="206" t="s">
        <v>60</v>
      </c>
      <c r="AE1050" s="206" t="s">
        <v>2003</v>
      </c>
    </row>
    <row r="1051" ht="15.75" customHeight="1">
      <c r="A1051" s="65"/>
      <c r="B1051" s="385" t="s">
        <v>1403</v>
      </c>
      <c r="C1051" s="54" t="s">
        <v>2000</v>
      </c>
      <c r="D1051" s="54" t="s">
        <v>2006</v>
      </c>
      <c r="E1051" s="388" t="s">
        <v>2009</v>
      </c>
      <c r="F1051" s="383">
        <v>1978.0</v>
      </c>
      <c r="G1051" s="383">
        <v>1982.0</v>
      </c>
      <c r="H1051" s="206"/>
      <c r="I1051" s="394">
        <v>7.34</v>
      </c>
      <c r="J1051" s="384">
        <v>1.0</v>
      </c>
      <c r="K1051" s="394">
        <v>7.34</v>
      </c>
      <c r="L1051" s="206"/>
      <c r="M1051" s="206"/>
      <c r="N1051" s="383">
        <v>7.0</v>
      </c>
      <c r="O1051" s="383">
        <v>162.0</v>
      </c>
      <c r="P1051" s="206" t="s">
        <v>60</v>
      </c>
      <c r="Q1051" s="387">
        <v>177306.6</v>
      </c>
      <c r="R1051" s="255" t="s">
        <v>1407</v>
      </c>
      <c r="S1051" s="387">
        <v>2023.0</v>
      </c>
      <c r="T1051" s="390">
        <f t="shared" si="197"/>
        <v>0.01049648368</v>
      </c>
      <c r="U1051" s="376">
        <f t="shared" si="195"/>
        <v>1861.095833</v>
      </c>
      <c r="V1051" s="24">
        <f t="shared" si="187"/>
        <v>253.5552906</v>
      </c>
      <c r="W1051" s="3">
        <f t="shared" si="188"/>
        <v>0</v>
      </c>
      <c r="X1051" s="3">
        <f t="shared" si="189"/>
        <v>0</v>
      </c>
      <c r="Y1051" s="3">
        <f t="shared" si="190"/>
        <v>0</v>
      </c>
      <c r="Z1051" s="385">
        <v>0.0</v>
      </c>
      <c r="AA1051" s="26">
        <f>VLOOKUP(S1051,CPI!$A$2:$F$71,6,0)</f>
        <v>1.057145998</v>
      </c>
      <c r="AB1051" s="27">
        <f t="shared" si="192"/>
        <v>1967.450012</v>
      </c>
      <c r="AC1051" s="27">
        <f t="shared" si="193"/>
        <v>268.0449608</v>
      </c>
      <c r="AD1051" s="206" t="s">
        <v>60</v>
      </c>
      <c r="AE1051" s="206" t="s">
        <v>2003</v>
      </c>
    </row>
    <row r="1052" ht="15.75" customHeight="1">
      <c r="A1052" s="65"/>
      <c r="B1052" s="385" t="s">
        <v>1403</v>
      </c>
      <c r="C1052" s="54" t="s">
        <v>2000</v>
      </c>
      <c r="D1052" s="54" t="s">
        <v>2010</v>
      </c>
      <c r="E1052" s="388" t="s">
        <v>2011</v>
      </c>
      <c r="F1052" s="383">
        <v>1983.0</v>
      </c>
      <c r="G1052" s="383">
        <v>1988.0</v>
      </c>
      <c r="H1052" s="206"/>
      <c r="I1052" s="394">
        <v>8.995</v>
      </c>
      <c r="J1052" s="384">
        <v>1.0</v>
      </c>
      <c r="K1052" s="394">
        <v>8.995</v>
      </c>
      <c r="L1052" s="206"/>
      <c r="M1052" s="206"/>
      <c r="N1052" s="383">
        <v>9.0</v>
      </c>
      <c r="O1052" s="383">
        <v>144.0</v>
      </c>
      <c r="P1052" s="206" t="s">
        <v>60</v>
      </c>
      <c r="Q1052" s="387">
        <v>290091.6</v>
      </c>
      <c r="R1052" s="255" t="s">
        <v>1407</v>
      </c>
      <c r="S1052" s="387">
        <v>2023.0</v>
      </c>
      <c r="T1052" s="390">
        <f t="shared" si="197"/>
        <v>0.01049648368</v>
      </c>
      <c r="U1052" s="376">
        <f t="shared" si="195"/>
        <v>3044.941745</v>
      </c>
      <c r="V1052" s="24">
        <f t="shared" si="187"/>
        <v>338.5149243</v>
      </c>
      <c r="W1052" s="3">
        <f t="shared" si="188"/>
        <v>0</v>
      </c>
      <c r="X1052" s="3">
        <f t="shared" si="189"/>
        <v>0</v>
      </c>
      <c r="Y1052" s="3">
        <f t="shared" si="190"/>
        <v>0</v>
      </c>
      <c r="Z1052" s="385">
        <v>0.0</v>
      </c>
      <c r="AA1052" s="26">
        <f>VLOOKUP(S1052,CPI!$A$2:$F$71,6,0)</f>
        <v>1.057145998</v>
      </c>
      <c r="AB1052" s="27">
        <f t="shared" si="192"/>
        <v>3218.947981</v>
      </c>
      <c r="AC1052" s="27">
        <f t="shared" si="193"/>
        <v>357.8596977</v>
      </c>
      <c r="AD1052" s="206" t="s">
        <v>60</v>
      </c>
      <c r="AE1052" s="206" t="s">
        <v>2003</v>
      </c>
    </row>
    <row r="1053" ht="15.75" customHeight="1">
      <c r="A1053" s="65"/>
      <c r="B1053" s="385" t="s">
        <v>1403</v>
      </c>
      <c r="C1053" s="54" t="s">
        <v>2000</v>
      </c>
      <c r="D1053" s="54" t="s">
        <v>2010</v>
      </c>
      <c r="E1053" s="388" t="s">
        <v>2012</v>
      </c>
      <c r="F1053" s="383">
        <v>1990.0</v>
      </c>
      <c r="G1053" s="383">
        <v>1994.0</v>
      </c>
      <c r="H1053" s="206"/>
      <c r="I1053" s="394">
        <v>5.535</v>
      </c>
      <c r="J1053" s="384">
        <v>1.0</v>
      </c>
      <c r="K1053" s="394">
        <v>5.535</v>
      </c>
      <c r="L1053" s="206"/>
      <c r="M1053" s="206"/>
      <c r="N1053" s="383">
        <v>5.0</v>
      </c>
      <c r="O1053" s="383">
        <v>108.0</v>
      </c>
      <c r="P1053" s="206" t="s">
        <v>60</v>
      </c>
      <c r="Q1053" s="387">
        <v>96600.0</v>
      </c>
      <c r="R1053" s="255" t="s">
        <v>1407</v>
      </c>
      <c r="S1053" s="383">
        <v>1994.0</v>
      </c>
      <c r="T1053" s="383">
        <f>1/178.83</f>
        <v>0.005591902925</v>
      </c>
      <c r="U1053" s="376">
        <f t="shared" si="195"/>
        <v>540.1778225</v>
      </c>
      <c r="V1053" s="24">
        <f t="shared" si="187"/>
        <v>97.59310253</v>
      </c>
      <c r="W1053" s="3">
        <f t="shared" si="188"/>
        <v>0</v>
      </c>
      <c r="X1053" s="3">
        <f t="shared" si="189"/>
        <v>0</v>
      </c>
      <c r="Y1053" s="3">
        <f t="shared" si="190"/>
        <v>0</v>
      </c>
      <c r="Z1053" s="385">
        <v>0.0</v>
      </c>
      <c r="AA1053" s="26">
        <f>VLOOKUP(S1053,CPI!$A$2:$F$71,6,0)</f>
        <v>2.173512146</v>
      </c>
      <c r="AB1053" s="27">
        <f t="shared" si="192"/>
        <v>1174.083058</v>
      </c>
      <c r="AC1053" s="27">
        <f t="shared" si="193"/>
        <v>212.1197937</v>
      </c>
      <c r="AD1053" s="206" t="s">
        <v>60</v>
      </c>
      <c r="AE1053" s="206" t="s">
        <v>2003</v>
      </c>
    </row>
    <row r="1054" ht="15.75" customHeight="1">
      <c r="A1054" s="65"/>
      <c r="B1054" s="385" t="s">
        <v>1403</v>
      </c>
      <c r="C1054" s="54" t="s">
        <v>1418</v>
      </c>
      <c r="D1054" s="385" t="s">
        <v>2013</v>
      </c>
      <c r="E1054" s="388" t="s">
        <v>2014</v>
      </c>
      <c r="F1054" s="383">
        <v>1987.0</v>
      </c>
      <c r="G1054" s="383">
        <v>1993.0</v>
      </c>
      <c r="H1054" s="206"/>
      <c r="I1054" s="383">
        <v>10.7</v>
      </c>
      <c r="J1054" s="386">
        <v>0.3925</v>
      </c>
      <c r="K1054" s="383">
        <v>4.2</v>
      </c>
      <c r="L1054" s="383">
        <v>6.5</v>
      </c>
      <c r="M1054" s="206"/>
      <c r="N1054" s="383">
        <v>7.0</v>
      </c>
      <c r="O1054" s="383">
        <v>144.0</v>
      </c>
      <c r="P1054" s="206" t="s">
        <v>1964</v>
      </c>
      <c r="Q1054" s="396">
        <v>200000.0</v>
      </c>
      <c r="R1054" s="255" t="s">
        <v>1407</v>
      </c>
      <c r="S1054" s="383">
        <v>1993.0</v>
      </c>
      <c r="T1054" s="383">
        <f>1/182.31</f>
        <v>0.005485162635</v>
      </c>
      <c r="U1054" s="376">
        <f t="shared" si="195"/>
        <v>1097.032527</v>
      </c>
      <c r="V1054" s="24">
        <f t="shared" si="187"/>
        <v>102.5264044</v>
      </c>
      <c r="W1054" s="3">
        <f t="shared" si="188"/>
        <v>0</v>
      </c>
      <c r="X1054" s="3">
        <f t="shared" si="189"/>
        <v>0</v>
      </c>
      <c r="Y1054" s="3">
        <f t="shared" si="190"/>
        <v>0</v>
      </c>
      <c r="Z1054" s="385">
        <v>0.0</v>
      </c>
      <c r="AA1054" s="26">
        <f>VLOOKUP(S1054,CPI!$A$2:$F$71,6,0)</f>
        <v>2.22916609</v>
      </c>
      <c r="AB1054" s="27">
        <f t="shared" si="192"/>
        <v>2445.467709</v>
      </c>
      <c r="AC1054" s="27">
        <f t="shared" si="193"/>
        <v>228.548384</v>
      </c>
      <c r="AD1054" s="255" t="s">
        <v>60</v>
      </c>
      <c r="AE1054" s="397" t="s">
        <v>2015</v>
      </c>
    </row>
    <row r="1055" ht="15.75" customHeight="1">
      <c r="A1055" s="65"/>
      <c r="B1055" s="385" t="s">
        <v>1403</v>
      </c>
      <c r="C1055" s="54" t="s">
        <v>1418</v>
      </c>
      <c r="D1055" s="385" t="s">
        <v>2013</v>
      </c>
      <c r="E1055" s="388" t="s">
        <v>2016</v>
      </c>
      <c r="F1055" s="383">
        <v>1995.0</v>
      </c>
      <c r="G1055" s="383">
        <v>1999.0</v>
      </c>
      <c r="H1055" s="206"/>
      <c r="I1055" s="383">
        <v>7.4</v>
      </c>
      <c r="J1055" s="386">
        <v>0.9595</v>
      </c>
      <c r="K1055" s="383">
        <v>7.1</v>
      </c>
      <c r="L1055" s="383">
        <v>0.3</v>
      </c>
      <c r="M1055" s="206"/>
      <c r="N1055" s="383">
        <v>6.0</v>
      </c>
      <c r="O1055" s="383">
        <v>144.0</v>
      </c>
      <c r="P1055" s="206" t="s">
        <v>1964</v>
      </c>
      <c r="Q1055" s="396">
        <v>164200.0</v>
      </c>
      <c r="R1055" s="255" t="s">
        <v>1407</v>
      </c>
      <c r="S1055" s="383">
        <v>1999.0</v>
      </c>
      <c r="T1055" s="383">
        <f>1/162.04</f>
        <v>0.006171315725</v>
      </c>
      <c r="U1055" s="376">
        <f t="shared" si="195"/>
        <v>1013.330042</v>
      </c>
      <c r="V1055" s="24">
        <f t="shared" si="187"/>
        <v>136.9364922</v>
      </c>
      <c r="W1055" s="3">
        <f t="shared" si="188"/>
        <v>0</v>
      </c>
      <c r="X1055" s="3">
        <f t="shared" si="189"/>
        <v>0</v>
      </c>
      <c r="Y1055" s="3">
        <f t="shared" si="190"/>
        <v>0</v>
      </c>
      <c r="Z1055" s="385">
        <v>0.0</v>
      </c>
      <c r="AA1055" s="26">
        <f>VLOOKUP(S1055,CPI!$A$2:$F$71,6,0)</f>
        <v>1.933460384</v>
      </c>
      <c r="AB1055" s="27">
        <f t="shared" si="192"/>
        <v>1959.233492</v>
      </c>
      <c r="AC1055" s="27">
        <f t="shared" si="193"/>
        <v>264.7612827</v>
      </c>
      <c r="AD1055" s="255" t="s">
        <v>60</v>
      </c>
      <c r="AE1055" s="397" t="s">
        <v>2015</v>
      </c>
    </row>
    <row r="1056" ht="15.75" customHeight="1">
      <c r="A1056" s="65"/>
      <c r="B1056" s="385" t="s">
        <v>1403</v>
      </c>
      <c r="C1056" s="54" t="s">
        <v>1418</v>
      </c>
      <c r="D1056" s="385" t="s">
        <v>2017</v>
      </c>
      <c r="E1056" s="388" t="s">
        <v>2018</v>
      </c>
      <c r="F1056" s="383">
        <v>2001.0</v>
      </c>
      <c r="G1056" s="383">
        <v>2008.0</v>
      </c>
      <c r="H1056" s="206"/>
      <c r="I1056" s="383">
        <v>13.1</v>
      </c>
      <c r="J1056" s="386">
        <v>0.8168</v>
      </c>
      <c r="K1056" s="383">
        <v>10.7</v>
      </c>
      <c r="L1056" s="383">
        <v>2.4</v>
      </c>
      <c r="M1056" s="206"/>
      <c r="N1056" s="383">
        <v>10.0</v>
      </c>
      <c r="O1056" s="383">
        <v>93.0</v>
      </c>
      <c r="P1056" s="206" t="s">
        <v>1964</v>
      </c>
      <c r="Q1056" s="396">
        <v>241200.0</v>
      </c>
      <c r="R1056" s="255" t="s">
        <v>1407</v>
      </c>
      <c r="S1056" s="383">
        <v>2008.0</v>
      </c>
      <c r="T1056" s="383">
        <f>1/116.85</f>
        <v>0.008557980317</v>
      </c>
      <c r="U1056" s="376">
        <f t="shared" si="195"/>
        <v>2064.184852</v>
      </c>
      <c r="V1056" s="24">
        <f t="shared" si="187"/>
        <v>157.5713628</v>
      </c>
      <c r="W1056" s="3">
        <f t="shared" si="188"/>
        <v>0</v>
      </c>
      <c r="X1056" s="3">
        <f t="shared" si="189"/>
        <v>0</v>
      </c>
      <c r="Y1056" s="3">
        <f t="shared" si="190"/>
        <v>0</v>
      </c>
      <c r="Z1056" s="385">
        <v>0.0</v>
      </c>
      <c r="AA1056" s="26">
        <f>VLOOKUP(S1056,CPI!$A$2:$F$71,6,0)</f>
        <v>1.496098522</v>
      </c>
      <c r="AB1056" s="27">
        <f t="shared" si="192"/>
        <v>3088.223906</v>
      </c>
      <c r="AC1056" s="27">
        <f t="shared" si="193"/>
        <v>235.7422829</v>
      </c>
      <c r="AD1056" s="255" t="s">
        <v>60</v>
      </c>
      <c r="AE1056" s="397" t="s">
        <v>2015</v>
      </c>
    </row>
    <row r="1057" ht="15.75" customHeight="1">
      <c r="A1057" s="65"/>
      <c r="B1057" s="385" t="s">
        <v>1403</v>
      </c>
      <c r="C1057" s="54" t="s">
        <v>1418</v>
      </c>
      <c r="D1057" s="385" t="s">
        <v>2013</v>
      </c>
      <c r="E1057" s="388" t="s">
        <v>2019</v>
      </c>
      <c r="F1057" s="383">
        <v>1967.0</v>
      </c>
      <c r="G1057" s="383">
        <v>1972.0</v>
      </c>
      <c r="H1057" s="206"/>
      <c r="I1057" s="383">
        <v>5.7</v>
      </c>
      <c r="J1057" s="384">
        <v>1.0</v>
      </c>
      <c r="K1057" s="383">
        <v>5.7</v>
      </c>
      <c r="L1057" s="206"/>
      <c r="M1057" s="206"/>
      <c r="N1057" s="383">
        <v>6.0</v>
      </c>
      <c r="O1057" s="383">
        <v>144.0</v>
      </c>
      <c r="P1057" s="206" t="s">
        <v>1964</v>
      </c>
      <c r="Q1057" s="387">
        <v>87434.3</v>
      </c>
      <c r="R1057" s="255" t="s">
        <v>1407</v>
      </c>
      <c r="S1057" s="387">
        <v>2023.0</v>
      </c>
      <c r="T1057" s="390">
        <f t="shared" ref="T1057:T1060" si="198">1/95.27</f>
        <v>0.01049648368</v>
      </c>
      <c r="U1057" s="376">
        <f t="shared" si="195"/>
        <v>917.7527028</v>
      </c>
      <c r="V1057" s="24">
        <f t="shared" si="187"/>
        <v>161.0092461</v>
      </c>
      <c r="W1057" s="3">
        <f t="shared" si="188"/>
        <v>0</v>
      </c>
      <c r="X1057" s="3">
        <f t="shared" si="189"/>
        <v>0</v>
      </c>
      <c r="Y1057" s="3">
        <f t="shared" si="190"/>
        <v>0</v>
      </c>
      <c r="Z1057" s="385">
        <v>0.0</v>
      </c>
      <c r="AA1057" s="26">
        <f>VLOOKUP(S1057,CPI!$A$2:$F$71,6,0)</f>
        <v>1.057145998</v>
      </c>
      <c r="AB1057" s="27">
        <f t="shared" si="192"/>
        <v>970.1985973</v>
      </c>
      <c r="AC1057" s="27">
        <f t="shared" si="193"/>
        <v>170.2102802</v>
      </c>
      <c r="AD1057" s="255" t="s">
        <v>60</v>
      </c>
      <c r="AE1057" s="397" t="s">
        <v>2015</v>
      </c>
    </row>
    <row r="1058" ht="15.75" customHeight="1">
      <c r="A1058" s="65"/>
      <c r="B1058" s="385" t="s">
        <v>1403</v>
      </c>
      <c r="C1058" s="54" t="s">
        <v>1418</v>
      </c>
      <c r="D1058" s="385" t="s">
        <v>2013</v>
      </c>
      <c r="E1058" s="388" t="s">
        <v>2020</v>
      </c>
      <c r="F1058" s="383">
        <v>1973.0</v>
      </c>
      <c r="G1058" s="383">
        <v>1976.0</v>
      </c>
      <c r="H1058" s="206"/>
      <c r="I1058" s="383">
        <v>6.6</v>
      </c>
      <c r="J1058" s="384">
        <v>1.0</v>
      </c>
      <c r="K1058" s="383">
        <v>6.6</v>
      </c>
      <c r="L1058" s="206"/>
      <c r="M1058" s="206"/>
      <c r="N1058" s="383">
        <v>6.0</v>
      </c>
      <c r="O1058" s="383">
        <v>144.0</v>
      </c>
      <c r="P1058" s="206" t="s">
        <v>1964</v>
      </c>
      <c r="Q1058" s="387">
        <v>132476.2</v>
      </c>
      <c r="R1058" s="255" t="s">
        <v>1407</v>
      </c>
      <c r="S1058" s="387">
        <v>2023.0</v>
      </c>
      <c r="T1058" s="390">
        <f t="shared" si="198"/>
        <v>0.01049648368</v>
      </c>
      <c r="U1058" s="376">
        <f t="shared" si="195"/>
        <v>1390.534271</v>
      </c>
      <c r="V1058" s="24">
        <f t="shared" si="187"/>
        <v>210.6870108</v>
      </c>
      <c r="W1058" s="3">
        <f t="shared" si="188"/>
        <v>0</v>
      </c>
      <c r="X1058" s="3">
        <f t="shared" si="189"/>
        <v>0</v>
      </c>
      <c r="Y1058" s="3">
        <f t="shared" si="190"/>
        <v>0</v>
      </c>
      <c r="Z1058" s="385">
        <v>0.0</v>
      </c>
      <c r="AA1058" s="26">
        <f>VLOOKUP(S1058,CPI!$A$2:$F$71,6,0)</f>
        <v>1.057145998</v>
      </c>
      <c r="AB1058" s="27">
        <f t="shared" si="192"/>
        <v>1469.99774</v>
      </c>
      <c r="AC1058" s="27">
        <f t="shared" si="193"/>
        <v>222.7269303</v>
      </c>
      <c r="AD1058" s="255" t="s">
        <v>60</v>
      </c>
      <c r="AE1058" s="397" t="s">
        <v>2015</v>
      </c>
    </row>
    <row r="1059" ht="15.75" customHeight="1">
      <c r="A1059" s="65"/>
      <c r="B1059" s="385" t="s">
        <v>1403</v>
      </c>
      <c r="C1059" s="54" t="s">
        <v>1418</v>
      </c>
      <c r="D1059" s="385" t="s">
        <v>2013</v>
      </c>
      <c r="E1059" s="388" t="s">
        <v>2021</v>
      </c>
      <c r="F1059" s="383">
        <v>1983.0</v>
      </c>
      <c r="G1059" s="383">
        <v>1985.0</v>
      </c>
      <c r="H1059" s="206"/>
      <c r="I1059" s="383">
        <v>9.1</v>
      </c>
      <c r="J1059" s="386">
        <v>0.8236</v>
      </c>
      <c r="K1059" s="383">
        <v>7.495</v>
      </c>
      <c r="L1059" s="383">
        <v>1.605</v>
      </c>
      <c r="M1059" s="206"/>
      <c r="N1059" s="383">
        <v>4.0</v>
      </c>
      <c r="O1059" s="383">
        <v>144.0</v>
      </c>
      <c r="P1059" s="206" t="s">
        <v>1964</v>
      </c>
      <c r="Q1059" s="253">
        <v>194992.0</v>
      </c>
      <c r="R1059" s="255" t="s">
        <v>1407</v>
      </c>
      <c r="S1059" s="387">
        <v>2023.0</v>
      </c>
      <c r="T1059" s="390">
        <f t="shared" si="198"/>
        <v>0.01049648368</v>
      </c>
      <c r="U1059" s="376">
        <f t="shared" si="195"/>
        <v>2046.730345</v>
      </c>
      <c r="V1059" s="24">
        <f t="shared" si="187"/>
        <v>224.9154226</v>
      </c>
      <c r="W1059" s="3">
        <f t="shared" si="188"/>
        <v>0</v>
      </c>
      <c r="X1059" s="3">
        <f t="shared" si="189"/>
        <v>0</v>
      </c>
      <c r="Y1059" s="3">
        <f t="shared" si="190"/>
        <v>0</v>
      </c>
      <c r="Z1059" s="385">
        <v>0.0</v>
      </c>
      <c r="AA1059" s="26">
        <f>VLOOKUP(S1059,CPI!$A$2:$F$71,6,0)</f>
        <v>1.057145998</v>
      </c>
      <c r="AB1059" s="27">
        <f t="shared" si="192"/>
        <v>2163.692794</v>
      </c>
      <c r="AC1059" s="27">
        <f t="shared" si="193"/>
        <v>237.7684389</v>
      </c>
      <c r="AD1059" s="255" t="s">
        <v>60</v>
      </c>
      <c r="AE1059" s="397" t="s">
        <v>2015</v>
      </c>
    </row>
    <row r="1060" ht="15.75" customHeight="1">
      <c r="A1060" s="65"/>
      <c r="B1060" s="385" t="s">
        <v>1403</v>
      </c>
      <c r="C1060" s="54" t="s">
        <v>1418</v>
      </c>
      <c r="D1060" s="385" t="s">
        <v>2013</v>
      </c>
      <c r="E1060" s="388" t="s">
        <v>2022</v>
      </c>
      <c r="F1060" s="383">
        <v>1983.0</v>
      </c>
      <c r="G1060" s="383">
        <v>1987.0</v>
      </c>
      <c r="H1060" s="206"/>
      <c r="I1060" s="383">
        <v>1.6</v>
      </c>
      <c r="J1060" s="384">
        <v>1.0</v>
      </c>
      <c r="K1060" s="383">
        <v>1.6</v>
      </c>
      <c r="L1060" s="206"/>
      <c r="M1060" s="206"/>
      <c r="N1060" s="383">
        <v>2.0</v>
      </c>
      <c r="O1060" s="383">
        <v>144.0</v>
      </c>
      <c r="P1060" s="206" t="s">
        <v>1964</v>
      </c>
      <c r="Q1060" s="253">
        <v>52625.0</v>
      </c>
      <c r="R1060" s="255" t="s">
        <v>1407</v>
      </c>
      <c r="S1060" s="387">
        <v>2023.0</v>
      </c>
      <c r="T1060" s="390">
        <f t="shared" si="198"/>
        <v>0.01049648368</v>
      </c>
      <c r="U1060" s="376">
        <f t="shared" si="195"/>
        <v>552.3774536</v>
      </c>
      <c r="V1060" s="24">
        <f t="shared" si="187"/>
        <v>345.2359085</v>
      </c>
      <c r="W1060" s="3">
        <f t="shared" si="188"/>
        <v>0</v>
      </c>
      <c r="X1060" s="3">
        <f t="shared" si="189"/>
        <v>0</v>
      </c>
      <c r="Y1060" s="3">
        <f t="shared" si="190"/>
        <v>0</v>
      </c>
      <c r="Z1060" s="385">
        <v>0.0</v>
      </c>
      <c r="AA1060" s="26">
        <f>VLOOKUP(S1060,CPI!$A$2:$F$71,6,0)</f>
        <v>1.057145998</v>
      </c>
      <c r="AB1060" s="27">
        <f t="shared" si="192"/>
        <v>583.9436146</v>
      </c>
      <c r="AC1060" s="27">
        <f t="shared" si="193"/>
        <v>364.9647591</v>
      </c>
      <c r="AD1060" s="255" t="s">
        <v>60</v>
      </c>
      <c r="AE1060" s="397" t="s">
        <v>2015</v>
      </c>
    </row>
    <row r="1061" ht="15.75" customHeight="1">
      <c r="A1061" s="65"/>
      <c r="B1061" s="255" t="s">
        <v>1403</v>
      </c>
      <c r="C1061" s="54" t="s">
        <v>2023</v>
      </c>
      <c r="D1061" s="54" t="s">
        <v>2024</v>
      </c>
      <c r="E1061" s="388" t="s">
        <v>2025</v>
      </c>
      <c r="F1061" s="383">
        <v>1981.0</v>
      </c>
      <c r="G1061" s="383">
        <v>1993.0</v>
      </c>
      <c r="H1061" s="206"/>
      <c r="I1061" s="383">
        <v>1.4</v>
      </c>
      <c r="J1061" s="384">
        <v>1.0</v>
      </c>
      <c r="K1061" s="383">
        <v>1.4</v>
      </c>
      <c r="L1061" s="206"/>
      <c r="M1061" s="206"/>
      <c r="N1061" s="383">
        <v>1.0</v>
      </c>
      <c r="O1061" s="383">
        <v>160.0</v>
      </c>
      <c r="P1061" s="206" t="s">
        <v>42</v>
      </c>
      <c r="Q1061" s="387">
        <v>39600.0</v>
      </c>
      <c r="R1061" s="255" t="s">
        <v>1407</v>
      </c>
      <c r="S1061" s="253">
        <v>1993.0</v>
      </c>
      <c r="T1061" s="383">
        <f>1/182.31</f>
        <v>0.005485162635</v>
      </c>
      <c r="U1061" s="376">
        <f t="shared" si="195"/>
        <v>217.2124403</v>
      </c>
      <c r="V1061" s="24">
        <f t="shared" si="187"/>
        <v>155.1517431</v>
      </c>
      <c r="W1061" s="3">
        <f t="shared" si="188"/>
        <v>0</v>
      </c>
      <c r="X1061" s="3">
        <f t="shared" si="189"/>
        <v>0</v>
      </c>
      <c r="Y1061" s="3">
        <f t="shared" si="190"/>
        <v>0</v>
      </c>
      <c r="Z1061" s="385">
        <v>0.0</v>
      </c>
      <c r="AA1061" s="26">
        <f>VLOOKUP(S1061,CPI!$A$2:$F$71,6,0)</f>
        <v>2.22916609</v>
      </c>
      <c r="AB1061" s="27">
        <f t="shared" si="192"/>
        <v>484.2026063</v>
      </c>
      <c r="AC1061" s="27">
        <f t="shared" si="193"/>
        <v>345.8590045</v>
      </c>
      <c r="AD1061" s="255"/>
      <c r="AE1061" s="397" t="s">
        <v>2026</v>
      </c>
    </row>
    <row r="1062" ht="15.75" customHeight="1">
      <c r="A1062" s="65"/>
      <c r="B1062" s="255" t="s">
        <v>1403</v>
      </c>
      <c r="C1062" s="54" t="s">
        <v>2023</v>
      </c>
      <c r="D1062" s="54" t="s">
        <v>2027</v>
      </c>
      <c r="E1062" s="388" t="s">
        <v>2028</v>
      </c>
      <c r="F1062" s="383">
        <v>1987.0</v>
      </c>
      <c r="G1062" s="383">
        <v>1994.0</v>
      </c>
      <c r="H1062" s="206"/>
      <c r="I1062" s="383">
        <v>8.3</v>
      </c>
      <c r="J1062" s="384">
        <v>1.0</v>
      </c>
      <c r="K1062" s="383">
        <v>8.3</v>
      </c>
      <c r="L1062" s="206"/>
      <c r="M1062" s="206"/>
      <c r="N1062" s="383">
        <v>9.0</v>
      </c>
      <c r="O1062" s="383">
        <v>160.0</v>
      </c>
      <c r="P1062" s="206" t="s">
        <v>42</v>
      </c>
      <c r="Q1062" s="398">
        <v>177540.0</v>
      </c>
      <c r="R1062" s="255" t="s">
        <v>1407</v>
      </c>
      <c r="S1062" s="253">
        <v>1994.0</v>
      </c>
      <c r="T1062" s="383">
        <f>1/178.83</f>
        <v>0.005591902925</v>
      </c>
      <c r="U1062" s="376">
        <f t="shared" si="195"/>
        <v>992.7864452</v>
      </c>
      <c r="V1062" s="24">
        <f t="shared" si="187"/>
        <v>119.6128247</v>
      </c>
      <c r="W1062" s="3">
        <f t="shared" si="188"/>
        <v>0</v>
      </c>
      <c r="X1062" s="3">
        <f t="shared" si="189"/>
        <v>0</v>
      </c>
      <c r="Y1062" s="3">
        <f t="shared" si="190"/>
        <v>0</v>
      </c>
      <c r="Z1062" s="385">
        <v>0.0</v>
      </c>
      <c r="AA1062" s="26">
        <f>VLOOKUP(S1062,CPI!$A$2:$F$71,6,0)</f>
        <v>2.173512146</v>
      </c>
      <c r="AB1062" s="27">
        <f t="shared" si="192"/>
        <v>2157.833397</v>
      </c>
      <c r="AC1062" s="27">
        <f t="shared" si="193"/>
        <v>259.9799273</v>
      </c>
      <c r="AD1062" s="255"/>
      <c r="AE1062" s="397" t="s">
        <v>2026</v>
      </c>
    </row>
    <row r="1063" ht="15.75" customHeight="1">
      <c r="A1063" s="65"/>
      <c r="B1063" s="255" t="s">
        <v>1403</v>
      </c>
      <c r="C1063" s="54" t="s">
        <v>2023</v>
      </c>
      <c r="D1063" s="54" t="s">
        <v>2029</v>
      </c>
      <c r="E1063" s="388" t="s">
        <v>2030</v>
      </c>
      <c r="F1063" s="383">
        <v>1996.0</v>
      </c>
      <c r="G1063" s="383">
        <v>2003.0</v>
      </c>
      <c r="H1063" s="206"/>
      <c r="I1063" s="383">
        <v>6.2</v>
      </c>
      <c r="J1063" s="384">
        <v>1.0</v>
      </c>
      <c r="K1063" s="383">
        <v>6.2</v>
      </c>
      <c r="L1063" s="206"/>
      <c r="M1063" s="206"/>
      <c r="N1063" s="383">
        <v>8.0</v>
      </c>
      <c r="O1063" s="206" t="s">
        <v>2031</v>
      </c>
      <c r="P1063" s="206" t="s">
        <v>42</v>
      </c>
      <c r="Q1063" s="398">
        <v>160980.0</v>
      </c>
      <c r="R1063" s="255" t="s">
        <v>1407</v>
      </c>
      <c r="S1063" s="253">
        <v>2003.0</v>
      </c>
      <c r="T1063" s="383">
        <f>1/139.58</f>
        <v>0.007164350193</v>
      </c>
      <c r="U1063" s="376">
        <f t="shared" si="195"/>
        <v>1153.317094</v>
      </c>
      <c r="V1063" s="24">
        <f t="shared" si="187"/>
        <v>186.0188862</v>
      </c>
      <c r="W1063" s="3">
        <f t="shared" si="188"/>
        <v>0</v>
      </c>
      <c r="X1063" s="3">
        <f t="shared" si="189"/>
        <v>0</v>
      </c>
      <c r="Y1063" s="3">
        <f t="shared" si="190"/>
        <v>0</v>
      </c>
      <c r="Z1063" s="385">
        <v>0.0</v>
      </c>
      <c r="AA1063" s="26">
        <f>VLOOKUP(S1063,CPI!$A$2:$F$71,6,0)</f>
        <v>1.750622283</v>
      </c>
      <c r="AB1063" s="27">
        <f t="shared" si="192"/>
        <v>2019.022604</v>
      </c>
      <c r="AC1063" s="27">
        <f t="shared" si="193"/>
        <v>325.6488071</v>
      </c>
      <c r="AD1063" s="255"/>
      <c r="AE1063" s="397" t="s">
        <v>2026</v>
      </c>
    </row>
    <row r="1064" ht="15.75" customHeight="1">
      <c r="A1064" s="65"/>
      <c r="B1064" s="255" t="s">
        <v>1403</v>
      </c>
      <c r="C1064" s="54" t="s">
        <v>2023</v>
      </c>
      <c r="D1064" s="54" t="s">
        <v>2032</v>
      </c>
      <c r="E1064" s="388" t="s">
        <v>2033</v>
      </c>
      <c r="F1064" s="383">
        <v>1997.0</v>
      </c>
      <c r="G1064" s="383">
        <v>2004.0</v>
      </c>
      <c r="H1064" s="206"/>
      <c r="I1064" s="383">
        <v>5.1</v>
      </c>
      <c r="J1064" s="384">
        <v>1.0</v>
      </c>
      <c r="K1064" s="383">
        <v>5.1</v>
      </c>
      <c r="L1064" s="206"/>
      <c r="M1064" s="206"/>
      <c r="N1064" s="383">
        <v>5.0</v>
      </c>
      <c r="O1064" s="383">
        <v>93.48</v>
      </c>
      <c r="P1064" s="206" t="s">
        <v>42</v>
      </c>
      <c r="Q1064" s="387">
        <v>93740.0</v>
      </c>
      <c r="R1064" s="255" t="s">
        <v>1407</v>
      </c>
      <c r="S1064" s="253">
        <v>2004.0</v>
      </c>
      <c r="T1064" s="383">
        <f>1/134.4</f>
        <v>0.00744047619</v>
      </c>
      <c r="U1064" s="376">
        <f t="shared" si="195"/>
        <v>697.4702381</v>
      </c>
      <c r="V1064" s="24">
        <f t="shared" si="187"/>
        <v>136.7588702</v>
      </c>
      <c r="W1064" s="3">
        <f t="shared" si="188"/>
        <v>0</v>
      </c>
      <c r="X1064" s="3">
        <f t="shared" si="189"/>
        <v>0</v>
      </c>
      <c r="Y1064" s="3">
        <f t="shared" si="190"/>
        <v>0</v>
      </c>
      <c r="Z1064" s="385">
        <v>0.0</v>
      </c>
      <c r="AA1064" s="26">
        <f>VLOOKUP(S1064,CPI!$A$2:$F$71,6,0)</f>
        <v>1.705211752</v>
      </c>
      <c r="AB1064" s="27">
        <f t="shared" si="192"/>
        <v>1189.334447</v>
      </c>
      <c r="AC1064" s="27">
        <f t="shared" si="193"/>
        <v>233.2028327</v>
      </c>
      <c r="AD1064" s="255"/>
      <c r="AE1064" s="397" t="s">
        <v>2026</v>
      </c>
    </row>
    <row r="1065" ht="15.75" customHeight="1">
      <c r="A1065" s="65"/>
      <c r="B1065" s="255" t="s">
        <v>1403</v>
      </c>
      <c r="C1065" s="54" t="s">
        <v>2023</v>
      </c>
      <c r="D1065" s="54" t="s">
        <v>2027</v>
      </c>
      <c r="E1065" s="388" t="s">
        <v>2034</v>
      </c>
      <c r="F1065" s="383">
        <v>2006.0</v>
      </c>
      <c r="G1065" s="383">
        <v>2011.0</v>
      </c>
      <c r="H1065" s="206"/>
      <c r="I1065" s="383">
        <v>4.1</v>
      </c>
      <c r="J1065" s="384">
        <v>1.0</v>
      </c>
      <c r="K1065" s="383">
        <v>4.1</v>
      </c>
      <c r="L1065" s="206"/>
      <c r="M1065" s="206"/>
      <c r="N1065" s="383">
        <v>4.0</v>
      </c>
      <c r="O1065" s="383">
        <v>120.0</v>
      </c>
      <c r="P1065" s="206" t="s">
        <v>42</v>
      </c>
      <c r="Q1065" s="387">
        <v>67150.0</v>
      </c>
      <c r="R1065" s="255" t="s">
        <v>1407</v>
      </c>
      <c r="S1065" s="253">
        <v>2011.0</v>
      </c>
      <c r="T1065" s="383">
        <f>1/107.45</f>
        <v>0.009306654258</v>
      </c>
      <c r="U1065" s="376">
        <f t="shared" si="195"/>
        <v>624.9418334</v>
      </c>
      <c r="V1065" s="24">
        <f t="shared" si="187"/>
        <v>152.4248374</v>
      </c>
      <c r="W1065" s="3">
        <f t="shared" si="188"/>
        <v>0</v>
      </c>
      <c r="X1065" s="3">
        <f t="shared" si="189"/>
        <v>0</v>
      </c>
      <c r="Y1065" s="3">
        <f t="shared" si="190"/>
        <v>0</v>
      </c>
      <c r="Z1065" s="385">
        <v>0.0</v>
      </c>
      <c r="AA1065" s="26">
        <f>VLOOKUP(S1065,CPI!$A$2:$F$71,6,0)</f>
        <v>1.432008233</v>
      </c>
      <c r="AB1065" s="27">
        <f t="shared" si="192"/>
        <v>894.9218508</v>
      </c>
      <c r="AC1065" s="27">
        <f t="shared" si="193"/>
        <v>218.2736221</v>
      </c>
      <c r="AD1065" s="255"/>
      <c r="AE1065" s="397" t="s">
        <v>2026</v>
      </c>
    </row>
    <row r="1066" ht="15.75" customHeight="1">
      <c r="A1066" s="65"/>
      <c r="B1066" s="255" t="s">
        <v>1403</v>
      </c>
      <c r="C1066" s="54" t="s">
        <v>2023</v>
      </c>
      <c r="D1066" s="54" t="s">
        <v>2027</v>
      </c>
      <c r="E1066" s="388" t="s">
        <v>2035</v>
      </c>
      <c r="F1066" s="383">
        <v>1983.0</v>
      </c>
      <c r="G1066" s="383">
        <v>1989.0</v>
      </c>
      <c r="H1066" s="206"/>
      <c r="I1066" s="383">
        <v>7.5</v>
      </c>
      <c r="J1066" s="384">
        <v>1.0</v>
      </c>
      <c r="K1066" s="383">
        <v>7.5</v>
      </c>
      <c r="L1066" s="206"/>
      <c r="M1066" s="206"/>
      <c r="N1066" s="383">
        <v>8.0</v>
      </c>
      <c r="O1066" s="383">
        <v>160.0</v>
      </c>
      <c r="P1066" s="206" t="s">
        <v>42</v>
      </c>
      <c r="Q1066" s="399">
        <v>306450.0</v>
      </c>
      <c r="R1066" s="255" t="s">
        <v>1407</v>
      </c>
      <c r="S1066" s="387">
        <v>2023.0</v>
      </c>
      <c r="T1066" s="390">
        <f t="shared" ref="T1066:T1080" si="199">1/95.27</f>
        <v>0.01049648368</v>
      </c>
      <c r="U1066" s="376">
        <f t="shared" si="195"/>
        <v>3216.647423</v>
      </c>
      <c r="V1066" s="24">
        <f t="shared" si="187"/>
        <v>428.8863231</v>
      </c>
      <c r="W1066" s="3">
        <f t="shared" si="188"/>
        <v>0</v>
      </c>
      <c r="X1066" s="3">
        <f t="shared" si="189"/>
        <v>0</v>
      </c>
      <c r="Y1066" s="3">
        <f t="shared" si="190"/>
        <v>0</v>
      </c>
      <c r="Z1066" s="385">
        <v>0.0</v>
      </c>
      <c r="AA1066" s="26">
        <f>VLOOKUP(S1066,CPI!$A$2:$F$71,6,0)</f>
        <v>1.057145998</v>
      </c>
      <c r="AB1066" s="27">
        <f t="shared" si="192"/>
        <v>3400.465952</v>
      </c>
      <c r="AC1066" s="27">
        <f t="shared" si="193"/>
        <v>453.3954602</v>
      </c>
      <c r="AD1066" s="255"/>
      <c r="AE1066" s="397" t="s">
        <v>2026</v>
      </c>
    </row>
    <row r="1067" ht="15.75" customHeight="1">
      <c r="A1067" s="65"/>
      <c r="B1067" s="255" t="s">
        <v>1403</v>
      </c>
      <c r="C1067" s="54" t="s">
        <v>2023</v>
      </c>
      <c r="D1067" s="54" t="s">
        <v>2036</v>
      </c>
      <c r="E1067" s="388" t="s">
        <v>2037</v>
      </c>
      <c r="F1067" s="383">
        <v>1954.0</v>
      </c>
      <c r="G1067" s="383">
        <v>1957.0</v>
      </c>
      <c r="H1067" s="206"/>
      <c r="I1067" s="383">
        <v>2.6</v>
      </c>
      <c r="J1067" s="384">
        <v>1.0</v>
      </c>
      <c r="K1067" s="383">
        <v>2.6</v>
      </c>
      <c r="L1067" s="206"/>
      <c r="M1067" s="206"/>
      <c r="N1067" s="383">
        <v>3.0</v>
      </c>
      <c r="O1067" s="383">
        <v>93.48</v>
      </c>
      <c r="P1067" s="206" t="s">
        <v>42</v>
      </c>
      <c r="Q1067" s="383">
        <v>16264.0</v>
      </c>
      <c r="R1067" s="255" t="s">
        <v>1407</v>
      </c>
      <c r="S1067" s="387">
        <v>2023.0</v>
      </c>
      <c r="T1067" s="390">
        <f t="shared" si="199"/>
        <v>0.01049648368</v>
      </c>
      <c r="U1067" s="376">
        <f t="shared" si="195"/>
        <v>170.7148105</v>
      </c>
      <c r="V1067" s="24">
        <f t="shared" si="187"/>
        <v>65.65954251</v>
      </c>
      <c r="W1067" s="3">
        <f t="shared" si="188"/>
        <v>0</v>
      </c>
      <c r="X1067" s="3">
        <f t="shared" si="189"/>
        <v>0</v>
      </c>
      <c r="Y1067" s="3">
        <f t="shared" si="190"/>
        <v>0</v>
      </c>
      <c r="Z1067" s="385">
        <v>0.0</v>
      </c>
      <c r="AA1067" s="26">
        <f>VLOOKUP(S1067,CPI!$A$2:$F$71,6,0)</f>
        <v>1.057145998</v>
      </c>
      <c r="AB1067" s="27">
        <f t="shared" si="192"/>
        <v>180.4704788</v>
      </c>
      <c r="AC1067" s="27">
        <f t="shared" si="193"/>
        <v>69.41172263</v>
      </c>
      <c r="AD1067" s="255"/>
      <c r="AE1067" s="397" t="s">
        <v>2026</v>
      </c>
      <c r="AF1067" s="206"/>
      <c r="AG1067" s="206"/>
      <c r="AH1067" s="206"/>
      <c r="AI1067" s="206"/>
      <c r="AJ1067" s="206"/>
    </row>
    <row r="1068" ht="15.75" customHeight="1">
      <c r="A1068" s="65"/>
      <c r="B1068" s="255" t="s">
        <v>1403</v>
      </c>
      <c r="C1068" s="54" t="s">
        <v>2023</v>
      </c>
      <c r="D1068" s="255" t="s">
        <v>2036</v>
      </c>
      <c r="E1068" s="388" t="s">
        <v>2038</v>
      </c>
      <c r="F1068" s="383">
        <v>1954.0</v>
      </c>
      <c r="G1068" s="383">
        <v>1960.0</v>
      </c>
      <c r="H1068" s="206"/>
      <c r="I1068" s="383">
        <v>3.5</v>
      </c>
      <c r="J1068" s="384">
        <v>1.0</v>
      </c>
      <c r="K1068" s="383">
        <v>3.5</v>
      </c>
      <c r="L1068" s="206"/>
      <c r="M1068" s="206"/>
      <c r="N1068" s="383">
        <v>4.0</v>
      </c>
      <c r="O1068" s="383">
        <v>93.48</v>
      </c>
      <c r="P1068" s="206" t="s">
        <v>42</v>
      </c>
      <c r="Q1068" s="383">
        <v>22282.0</v>
      </c>
      <c r="R1068" s="255" t="s">
        <v>1407</v>
      </c>
      <c r="S1068" s="387">
        <v>2023.0</v>
      </c>
      <c r="T1068" s="390">
        <f t="shared" si="199"/>
        <v>0.01049648368</v>
      </c>
      <c r="U1068" s="376">
        <f t="shared" si="195"/>
        <v>233.8826493</v>
      </c>
      <c r="V1068" s="24">
        <f t="shared" si="187"/>
        <v>66.82361409</v>
      </c>
      <c r="W1068" s="3">
        <f t="shared" si="188"/>
        <v>0</v>
      </c>
      <c r="X1068" s="3">
        <f t="shared" si="189"/>
        <v>0</v>
      </c>
      <c r="Y1068" s="3">
        <f t="shared" si="190"/>
        <v>0</v>
      </c>
      <c r="Z1068" s="385">
        <v>0.0</v>
      </c>
      <c r="AA1068" s="26">
        <f>VLOOKUP(S1068,CPI!$A$2:$F$71,6,0)</f>
        <v>1.057145998</v>
      </c>
      <c r="AB1068" s="27">
        <f t="shared" si="192"/>
        <v>247.2481068</v>
      </c>
      <c r="AC1068" s="27">
        <f t="shared" si="193"/>
        <v>70.64231623</v>
      </c>
      <c r="AD1068" s="206"/>
      <c r="AE1068" s="393" t="s">
        <v>2026</v>
      </c>
      <c r="AF1068" s="206"/>
      <c r="AG1068" s="206"/>
      <c r="AH1068" s="206"/>
      <c r="AI1068" s="206"/>
      <c r="AJ1068" s="206"/>
    </row>
    <row r="1069" ht="15.75" customHeight="1">
      <c r="A1069" s="206"/>
      <c r="B1069" s="206" t="s">
        <v>1403</v>
      </c>
      <c r="C1069" s="206" t="s">
        <v>2023</v>
      </c>
      <c r="D1069" s="206" t="s">
        <v>2036</v>
      </c>
      <c r="E1069" s="206" t="s">
        <v>2039</v>
      </c>
      <c r="F1069" s="383">
        <v>1961.0</v>
      </c>
      <c r="G1069" s="383">
        <v>1963.0</v>
      </c>
      <c r="H1069" s="206"/>
      <c r="I1069" s="383">
        <v>2.6</v>
      </c>
      <c r="J1069" s="384">
        <v>1.0</v>
      </c>
      <c r="K1069" s="383">
        <v>2.6</v>
      </c>
      <c r="L1069" s="206"/>
      <c r="M1069" s="206"/>
      <c r="N1069" s="383">
        <v>3.0</v>
      </c>
      <c r="O1069" s="383">
        <v>93.48</v>
      </c>
      <c r="P1069" s="206" t="s">
        <v>42</v>
      </c>
      <c r="Q1069" s="383">
        <v>23696.0</v>
      </c>
      <c r="R1069" s="255" t="s">
        <v>1407</v>
      </c>
      <c r="S1069" s="387">
        <v>2023.0</v>
      </c>
      <c r="T1069" s="390">
        <f t="shared" si="199"/>
        <v>0.01049648368</v>
      </c>
      <c r="U1069" s="376">
        <f t="shared" si="195"/>
        <v>248.7246772</v>
      </c>
      <c r="V1069" s="24">
        <f t="shared" si="187"/>
        <v>95.6633374</v>
      </c>
      <c r="W1069" s="3">
        <f t="shared" si="188"/>
        <v>0</v>
      </c>
      <c r="X1069" s="3">
        <f t="shared" si="189"/>
        <v>0</v>
      </c>
      <c r="Y1069" s="3">
        <f t="shared" si="190"/>
        <v>0</v>
      </c>
      <c r="Z1069" s="385">
        <v>0.0</v>
      </c>
      <c r="AA1069" s="26">
        <f>VLOOKUP(S1069,CPI!$A$2:$F$71,6,0)</f>
        <v>1.057145998</v>
      </c>
      <c r="AB1069" s="27">
        <f t="shared" si="192"/>
        <v>262.9382972</v>
      </c>
      <c r="AC1069" s="27">
        <f t="shared" si="193"/>
        <v>101.1301143</v>
      </c>
      <c r="AD1069" s="206"/>
      <c r="AE1069" s="393" t="s">
        <v>2026</v>
      </c>
      <c r="AF1069" s="206"/>
      <c r="AG1069" s="206"/>
      <c r="AH1069" s="206"/>
      <c r="AI1069" s="206"/>
      <c r="AJ1069" s="206"/>
    </row>
    <row r="1070" ht="15.75" customHeight="1">
      <c r="A1070" s="65"/>
      <c r="B1070" s="206" t="s">
        <v>1403</v>
      </c>
      <c r="C1070" s="391" t="s">
        <v>2023</v>
      </c>
      <c r="D1070" s="391" t="s">
        <v>2032</v>
      </c>
      <c r="E1070" s="388" t="s">
        <v>2040</v>
      </c>
      <c r="F1070" s="383">
        <v>1964.0</v>
      </c>
      <c r="G1070" s="383">
        <v>1967.0</v>
      </c>
      <c r="H1070" s="206"/>
      <c r="I1070" s="383">
        <v>4.6</v>
      </c>
      <c r="J1070" s="384">
        <v>1.0</v>
      </c>
      <c r="K1070" s="383">
        <v>4.6</v>
      </c>
      <c r="L1070" s="206"/>
      <c r="M1070" s="206"/>
      <c r="N1070" s="383">
        <v>7.0</v>
      </c>
      <c r="O1070" s="383">
        <v>93.48</v>
      </c>
      <c r="P1070" s="206" t="s">
        <v>42</v>
      </c>
      <c r="Q1070" s="383">
        <v>40337.0</v>
      </c>
      <c r="R1070" s="255" t="s">
        <v>1407</v>
      </c>
      <c r="S1070" s="387">
        <v>2023.0</v>
      </c>
      <c r="T1070" s="390">
        <f t="shared" si="199"/>
        <v>0.01049648368</v>
      </c>
      <c r="U1070" s="376">
        <f t="shared" si="195"/>
        <v>423.3966621</v>
      </c>
      <c r="V1070" s="24">
        <f t="shared" si="187"/>
        <v>92.04275263</v>
      </c>
      <c r="W1070" s="3">
        <f t="shared" si="188"/>
        <v>0</v>
      </c>
      <c r="X1070" s="3">
        <f t="shared" si="189"/>
        <v>0</v>
      </c>
      <c r="Y1070" s="3">
        <f t="shared" si="190"/>
        <v>0</v>
      </c>
      <c r="Z1070" s="385">
        <v>0.0</v>
      </c>
      <c r="AA1070" s="26">
        <f>VLOOKUP(S1070,CPI!$A$2:$F$71,6,0)</f>
        <v>1.057145998</v>
      </c>
      <c r="AB1070" s="27">
        <f t="shared" si="192"/>
        <v>447.5920871</v>
      </c>
      <c r="AC1070" s="27">
        <f t="shared" si="193"/>
        <v>97.30262763</v>
      </c>
      <c r="AD1070" s="206"/>
      <c r="AE1070" s="393" t="s">
        <v>2026</v>
      </c>
      <c r="AF1070" s="206"/>
      <c r="AG1070" s="206"/>
      <c r="AH1070" s="206"/>
      <c r="AI1070" s="206"/>
      <c r="AJ1070" s="206"/>
    </row>
    <row r="1071" ht="15.75" customHeight="1">
      <c r="A1071" s="65"/>
      <c r="B1071" s="206" t="s">
        <v>1403</v>
      </c>
      <c r="C1071" s="391" t="s">
        <v>2023</v>
      </c>
      <c r="D1071" s="206" t="s">
        <v>2041</v>
      </c>
      <c r="E1071" s="388" t="s">
        <v>2042</v>
      </c>
      <c r="F1071" s="383">
        <v>1965.0</v>
      </c>
      <c r="G1071" s="383">
        <v>1967.0</v>
      </c>
      <c r="H1071" s="206"/>
      <c r="I1071" s="383">
        <v>1.2</v>
      </c>
      <c r="J1071" s="384">
        <v>1.0</v>
      </c>
      <c r="K1071" s="383">
        <v>1.2</v>
      </c>
      <c r="L1071" s="206"/>
      <c r="M1071" s="206"/>
      <c r="N1071" s="383">
        <v>1.0</v>
      </c>
      <c r="O1071" s="383">
        <v>93.48</v>
      </c>
      <c r="P1071" s="206" t="s">
        <v>42</v>
      </c>
      <c r="Q1071" s="383">
        <v>10054.0</v>
      </c>
      <c r="R1071" s="255" t="s">
        <v>1407</v>
      </c>
      <c r="S1071" s="387">
        <v>2023.0</v>
      </c>
      <c r="T1071" s="390">
        <f t="shared" si="199"/>
        <v>0.01049648368</v>
      </c>
      <c r="U1071" s="376">
        <f t="shared" si="195"/>
        <v>105.5316469</v>
      </c>
      <c r="V1071" s="24">
        <f t="shared" si="187"/>
        <v>87.94303908</v>
      </c>
      <c r="W1071" s="3">
        <f t="shared" si="188"/>
        <v>0</v>
      </c>
      <c r="X1071" s="3">
        <f t="shared" si="189"/>
        <v>0</v>
      </c>
      <c r="Y1071" s="3">
        <f t="shared" si="190"/>
        <v>0</v>
      </c>
      <c r="Z1071" s="385">
        <v>0.0</v>
      </c>
      <c r="AA1071" s="26">
        <f>VLOOKUP(S1071,CPI!$A$2:$F$71,6,0)</f>
        <v>1.057145998</v>
      </c>
      <c r="AB1071" s="27">
        <f t="shared" si="192"/>
        <v>111.5623582</v>
      </c>
      <c r="AC1071" s="27">
        <f t="shared" si="193"/>
        <v>92.96863185</v>
      </c>
      <c r="AD1071" s="206"/>
      <c r="AE1071" s="393" t="s">
        <v>2026</v>
      </c>
      <c r="AF1071" s="206"/>
      <c r="AG1071" s="206"/>
      <c r="AH1071" s="206"/>
      <c r="AI1071" s="206"/>
      <c r="AJ1071" s="206"/>
    </row>
    <row r="1072" ht="15.75" customHeight="1">
      <c r="A1072" s="65"/>
      <c r="B1072" s="206" t="s">
        <v>1403</v>
      </c>
      <c r="C1072" s="391" t="s">
        <v>2023</v>
      </c>
      <c r="D1072" s="391" t="s">
        <v>2036</v>
      </c>
      <c r="E1072" s="388" t="s">
        <v>2043</v>
      </c>
      <c r="F1072" s="383">
        <v>1962.0</v>
      </c>
      <c r="G1072" s="383">
        <v>1969.0</v>
      </c>
      <c r="H1072" s="206"/>
      <c r="I1072" s="383">
        <v>8.5</v>
      </c>
      <c r="J1072" s="384">
        <f>K1072/I1072</f>
        <v>0.5647058824</v>
      </c>
      <c r="K1072" s="383">
        <v>4.8</v>
      </c>
      <c r="L1072" s="383">
        <v>3.7</v>
      </c>
      <c r="M1072" s="206"/>
      <c r="N1072" s="383">
        <v>4.0</v>
      </c>
      <c r="O1072" s="383">
        <v>93.48</v>
      </c>
      <c r="P1072" s="206" t="s">
        <v>42</v>
      </c>
      <c r="Q1072" s="383">
        <v>69259.0</v>
      </c>
      <c r="R1072" s="255" t="s">
        <v>1407</v>
      </c>
      <c r="S1072" s="387">
        <v>2023.0</v>
      </c>
      <c r="T1072" s="390">
        <f t="shared" si="199"/>
        <v>0.01049648368</v>
      </c>
      <c r="U1072" s="376">
        <f t="shared" si="195"/>
        <v>726.9759631</v>
      </c>
      <c r="V1072" s="24">
        <f t="shared" si="187"/>
        <v>85.52658389</v>
      </c>
      <c r="W1072" s="3">
        <f t="shared" si="188"/>
        <v>0</v>
      </c>
      <c r="X1072" s="3">
        <f t="shared" si="189"/>
        <v>0</v>
      </c>
      <c r="Y1072" s="3">
        <f t="shared" si="190"/>
        <v>0</v>
      </c>
      <c r="Z1072" s="385">
        <v>0.0</v>
      </c>
      <c r="AA1072" s="26">
        <f>VLOOKUP(S1072,CPI!$A$2:$F$71,6,0)</f>
        <v>1.057145998</v>
      </c>
      <c r="AB1072" s="27">
        <f t="shared" si="192"/>
        <v>768.5197303</v>
      </c>
      <c r="AC1072" s="27">
        <f t="shared" si="193"/>
        <v>90.41408591</v>
      </c>
      <c r="AD1072" s="206"/>
      <c r="AE1072" s="393" t="s">
        <v>2026</v>
      </c>
      <c r="AF1072" s="206"/>
      <c r="AG1072" s="206"/>
      <c r="AH1072" s="206"/>
      <c r="AI1072" s="206"/>
      <c r="AJ1072" s="206"/>
    </row>
    <row r="1073" ht="15.75" customHeight="1">
      <c r="A1073" s="65"/>
      <c r="B1073" s="206" t="s">
        <v>1403</v>
      </c>
      <c r="C1073" s="255" t="s">
        <v>2023</v>
      </c>
      <c r="D1073" s="206" t="s">
        <v>2044</v>
      </c>
      <c r="E1073" s="388" t="s">
        <v>2045</v>
      </c>
      <c r="F1073" s="383">
        <v>1969.0</v>
      </c>
      <c r="G1073" s="383">
        <v>1971.0</v>
      </c>
      <c r="H1073" s="206"/>
      <c r="I1073" s="383">
        <v>6.1</v>
      </c>
      <c r="J1073" s="384">
        <v>1.0</v>
      </c>
      <c r="K1073" s="383">
        <v>6.1</v>
      </c>
      <c r="L1073" s="206"/>
      <c r="M1073" s="206"/>
      <c r="N1073" s="383">
        <v>7.0</v>
      </c>
      <c r="O1073" s="383">
        <v>93.48</v>
      </c>
      <c r="P1073" s="206" t="s">
        <v>42</v>
      </c>
      <c r="Q1073" s="383">
        <v>76021.0</v>
      </c>
      <c r="R1073" s="255" t="s">
        <v>1407</v>
      </c>
      <c r="S1073" s="387">
        <v>2023.0</v>
      </c>
      <c r="T1073" s="390">
        <f t="shared" si="199"/>
        <v>0.01049648368</v>
      </c>
      <c r="U1073" s="376">
        <f t="shared" si="195"/>
        <v>797.9531857</v>
      </c>
      <c r="V1073" s="24">
        <f t="shared" si="187"/>
        <v>130.8119977</v>
      </c>
      <c r="W1073" s="3">
        <f t="shared" si="188"/>
        <v>0</v>
      </c>
      <c r="X1073" s="3">
        <f t="shared" si="189"/>
        <v>0</v>
      </c>
      <c r="Y1073" s="3">
        <f t="shared" si="190"/>
        <v>0</v>
      </c>
      <c r="Z1073" s="385">
        <v>0.0</v>
      </c>
      <c r="AA1073" s="26">
        <f>VLOOKUP(S1073,CPI!$A$2:$F$71,6,0)</f>
        <v>1.057145998</v>
      </c>
      <c r="AB1073" s="27">
        <f t="shared" si="192"/>
        <v>843.5530171</v>
      </c>
      <c r="AC1073" s="27">
        <f t="shared" si="193"/>
        <v>138.2873799</v>
      </c>
      <c r="AD1073" s="206"/>
      <c r="AE1073" s="393" t="s">
        <v>2026</v>
      </c>
      <c r="AF1073" s="206"/>
      <c r="AG1073" s="206"/>
      <c r="AH1073" s="206"/>
      <c r="AI1073" s="206"/>
      <c r="AJ1073" s="206"/>
    </row>
    <row r="1074" ht="15.75" customHeight="1">
      <c r="A1074" s="65"/>
      <c r="B1074" s="206" t="s">
        <v>1403</v>
      </c>
      <c r="C1074" s="391" t="s">
        <v>2023</v>
      </c>
      <c r="D1074" s="391" t="s">
        <v>2032</v>
      </c>
      <c r="E1074" s="391" t="s">
        <v>2046</v>
      </c>
      <c r="F1074" s="383">
        <v>1969.0</v>
      </c>
      <c r="G1074" s="383">
        <v>1971.0</v>
      </c>
      <c r="H1074" s="206"/>
      <c r="I1074" s="383">
        <v>4.6</v>
      </c>
      <c r="J1074" s="384">
        <v>1.0</v>
      </c>
      <c r="K1074" s="383">
        <v>4.6</v>
      </c>
      <c r="L1074" s="206"/>
      <c r="M1074" s="206"/>
      <c r="N1074" s="383">
        <v>5.0</v>
      </c>
      <c r="O1074" s="383">
        <v>93.48</v>
      </c>
      <c r="P1074" s="206" t="s">
        <v>42</v>
      </c>
      <c r="Q1074" s="383">
        <v>61285.0</v>
      </c>
      <c r="R1074" s="255" t="s">
        <v>1407</v>
      </c>
      <c r="S1074" s="387">
        <v>2023.0</v>
      </c>
      <c r="T1074" s="390">
        <f t="shared" si="199"/>
        <v>0.01049648368</v>
      </c>
      <c r="U1074" s="376">
        <f t="shared" si="195"/>
        <v>643.2770022</v>
      </c>
      <c r="V1074" s="24">
        <f t="shared" si="187"/>
        <v>139.8428266</v>
      </c>
      <c r="W1074" s="3">
        <f t="shared" si="188"/>
        <v>0</v>
      </c>
      <c r="X1074" s="3">
        <f t="shared" si="189"/>
        <v>0</v>
      </c>
      <c r="Y1074" s="3">
        <f t="shared" si="190"/>
        <v>0</v>
      </c>
      <c r="Z1074" s="385">
        <v>0.0</v>
      </c>
      <c r="AA1074" s="26">
        <f>VLOOKUP(S1074,CPI!$A$2:$F$71,6,0)</f>
        <v>1.057145998</v>
      </c>
      <c r="AB1074" s="27">
        <f t="shared" si="192"/>
        <v>680.0377087</v>
      </c>
      <c r="AC1074" s="27">
        <f t="shared" si="193"/>
        <v>147.8342845</v>
      </c>
      <c r="AD1074" s="206"/>
      <c r="AE1074" s="393" t="s">
        <v>2026</v>
      </c>
      <c r="AF1074" s="206"/>
      <c r="AG1074" s="206"/>
      <c r="AH1074" s="206"/>
      <c r="AI1074" s="206"/>
      <c r="AJ1074" s="206"/>
    </row>
    <row r="1075" ht="15.75" customHeight="1">
      <c r="A1075" s="65"/>
      <c r="B1075" s="206" t="s">
        <v>1403</v>
      </c>
      <c r="C1075" s="206" t="s">
        <v>2023</v>
      </c>
      <c r="D1075" s="206" t="s">
        <v>2032</v>
      </c>
      <c r="E1075" s="206" t="s">
        <v>2047</v>
      </c>
      <c r="F1075" s="383">
        <v>1971.0</v>
      </c>
      <c r="G1075" s="383">
        <v>1974.0</v>
      </c>
      <c r="H1075" s="206"/>
      <c r="I1075" s="383">
        <v>5.6</v>
      </c>
      <c r="J1075" s="384">
        <v>1.0</v>
      </c>
      <c r="K1075" s="383">
        <v>5.6</v>
      </c>
      <c r="L1075" s="206"/>
      <c r="M1075" s="206"/>
      <c r="N1075" s="383">
        <v>6.0</v>
      </c>
      <c r="O1075" s="383">
        <v>93.48</v>
      </c>
      <c r="P1075" s="206" t="s">
        <v>42</v>
      </c>
      <c r="Q1075" s="383">
        <v>58628.0</v>
      </c>
      <c r="R1075" s="255" t="s">
        <v>1407</v>
      </c>
      <c r="S1075" s="387">
        <v>2023.0</v>
      </c>
      <c r="T1075" s="390">
        <f t="shared" si="199"/>
        <v>0.01049648368</v>
      </c>
      <c r="U1075" s="376">
        <f t="shared" si="195"/>
        <v>615.3878451</v>
      </c>
      <c r="V1075" s="24">
        <f t="shared" si="187"/>
        <v>109.8906866</v>
      </c>
      <c r="W1075" s="3">
        <f t="shared" si="188"/>
        <v>0</v>
      </c>
      <c r="X1075" s="3">
        <f t="shared" si="189"/>
        <v>0</v>
      </c>
      <c r="Y1075" s="3">
        <f t="shared" si="190"/>
        <v>0</v>
      </c>
      <c r="Z1075" s="385">
        <v>0.0</v>
      </c>
      <c r="AA1075" s="26">
        <f>VLOOKUP(S1075,CPI!$A$2:$F$71,6,0)</f>
        <v>1.057145998</v>
      </c>
      <c r="AB1075" s="27">
        <f t="shared" si="192"/>
        <v>650.5547979</v>
      </c>
      <c r="AC1075" s="27">
        <f t="shared" si="193"/>
        <v>116.1704996</v>
      </c>
      <c r="AD1075" s="206"/>
      <c r="AE1075" s="393" t="s">
        <v>2026</v>
      </c>
      <c r="AF1075" s="206"/>
      <c r="AG1075" s="206"/>
      <c r="AH1075" s="206"/>
      <c r="AI1075" s="206"/>
      <c r="AJ1075" s="206"/>
    </row>
    <row r="1076" ht="18.0" customHeight="1">
      <c r="A1076" s="65"/>
      <c r="B1076" s="206" t="s">
        <v>1403</v>
      </c>
      <c r="C1076" s="255" t="s">
        <v>2023</v>
      </c>
      <c r="D1076" s="255" t="s">
        <v>2024</v>
      </c>
      <c r="E1076" s="255" t="s">
        <v>2048</v>
      </c>
      <c r="F1076" s="383">
        <v>1973.0</v>
      </c>
      <c r="G1076" s="383">
        <v>1977.0</v>
      </c>
      <c r="H1076" s="206"/>
      <c r="I1076" s="383">
        <v>8.4</v>
      </c>
      <c r="J1076" s="384">
        <v>1.0</v>
      </c>
      <c r="K1076" s="383">
        <v>8.4</v>
      </c>
      <c r="L1076" s="206"/>
      <c r="M1076" s="206"/>
      <c r="N1076" s="383">
        <v>8.0</v>
      </c>
      <c r="O1076" s="383">
        <v>160.0</v>
      </c>
      <c r="P1076" s="206" t="s">
        <v>42</v>
      </c>
      <c r="Q1076" s="383">
        <v>125041.0</v>
      </c>
      <c r="R1076" s="255" t="s">
        <v>1407</v>
      </c>
      <c r="S1076" s="387">
        <v>2023.0</v>
      </c>
      <c r="T1076" s="390">
        <f t="shared" si="199"/>
        <v>0.01049648368</v>
      </c>
      <c r="U1076" s="376">
        <f t="shared" si="195"/>
        <v>1312.490816</v>
      </c>
      <c r="V1076" s="24">
        <f t="shared" si="187"/>
        <v>156.2489066</v>
      </c>
      <c r="W1076" s="3">
        <f t="shared" si="188"/>
        <v>0</v>
      </c>
      <c r="X1076" s="3">
        <f t="shared" si="189"/>
        <v>0</v>
      </c>
      <c r="Y1076" s="3">
        <f t="shared" si="190"/>
        <v>0</v>
      </c>
      <c r="Z1076" s="385">
        <v>0.0</v>
      </c>
      <c r="AA1076" s="26">
        <f>VLOOKUP(S1076,CPI!$A$2:$F$71,6,0)</f>
        <v>1.057145998</v>
      </c>
      <c r="AB1076" s="27">
        <f t="shared" si="192"/>
        <v>1387.494414</v>
      </c>
      <c r="AC1076" s="27">
        <f t="shared" si="193"/>
        <v>165.1779064</v>
      </c>
      <c r="AD1076" s="206"/>
      <c r="AE1076" s="393" t="s">
        <v>2026</v>
      </c>
      <c r="AF1076" s="206"/>
      <c r="AG1076" s="206"/>
      <c r="AH1076" s="206"/>
      <c r="AI1076" s="206"/>
      <c r="AJ1076" s="206"/>
    </row>
    <row r="1077" ht="15.75" customHeight="1">
      <c r="A1077" s="65"/>
      <c r="B1077" s="206" t="s">
        <v>1403</v>
      </c>
      <c r="C1077" s="255" t="s">
        <v>2023</v>
      </c>
      <c r="D1077" s="255" t="s">
        <v>2024</v>
      </c>
      <c r="E1077" s="206" t="s">
        <v>2049</v>
      </c>
      <c r="F1077" s="383">
        <v>1975.0</v>
      </c>
      <c r="G1077" s="383">
        <v>1978.0</v>
      </c>
      <c r="H1077" s="206"/>
      <c r="I1077" s="383">
        <v>5.7</v>
      </c>
      <c r="J1077" s="384">
        <f>K1077/I1077</f>
        <v>0.9473684211</v>
      </c>
      <c r="K1077" s="383">
        <v>5.4</v>
      </c>
      <c r="L1077" s="383">
        <v>0.3</v>
      </c>
      <c r="M1077" s="206"/>
      <c r="N1077" s="383">
        <v>5.0</v>
      </c>
      <c r="O1077" s="383">
        <v>160.0</v>
      </c>
      <c r="P1077" s="206" t="s">
        <v>42</v>
      </c>
      <c r="Q1077" s="383">
        <v>93395.0</v>
      </c>
      <c r="R1077" s="255" t="s">
        <v>1407</v>
      </c>
      <c r="S1077" s="387">
        <v>2023.0</v>
      </c>
      <c r="T1077" s="390">
        <f t="shared" si="199"/>
        <v>0.01049648368</v>
      </c>
      <c r="U1077" s="376">
        <f t="shared" si="195"/>
        <v>980.3190931</v>
      </c>
      <c r="V1077" s="24">
        <f t="shared" si="187"/>
        <v>171.9858058</v>
      </c>
      <c r="W1077" s="3">
        <f t="shared" si="188"/>
        <v>0</v>
      </c>
      <c r="X1077" s="3">
        <f t="shared" si="189"/>
        <v>0</v>
      </c>
      <c r="Y1077" s="3">
        <f t="shared" si="190"/>
        <v>0</v>
      </c>
      <c r="Z1077" s="385">
        <v>0.0</v>
      </c>
      <c r="AA1077" s="26">
        <f>VLOOKUP(S1077,CPI!$A$2:$F$71,6,0)</f>
        <v>1.057145998</v>
      </c>
      <c r="AB1077" s="27">
        <f t="shared" si="192"/>
        <v>1036.340406</v>
      </c>
      <c r="AC1077" s="27">
        <f t="shared" si="193"/>
        <v>181.8141064</v>
      </c>
      <c r="AD1077" s="206"/>
      <c r="AE1077" s="393" t="s">
        <v>2026</v>
      </c>
      <c r="AF1077" s="206"/>
      <c r="AG1077" s="206"/>
      <c r="AH1077" s="206"/>
      <c r="AI1077" s="206"/>
      <c r="AJ1077" s="206"/>
    </row>
    <row r="1078" ht="15.75" customHeight="1">
      <c r="A1078" s="65"/>
      <c r="B1078" s="206" t="s">
        <v>1403</v>
      </c>
      <c r="C1078" s="255" t="s">
        <v>2023</v>
      </c>
      <c r="D1078" s="206" t="s">
        <v>2024</v>
      </c>
      <c r="E1078" s="206" t="s">
        <v>2050</v>
      </c>
      <c r="F1078" s="383">
        <v>1977.0</v>
      </c>
      <c r="G1078" s="383">
        <v>1981.0</v>
      </c>
      <c r="H1078" s="206"/>
      <c r="I1078" s="383">
        <v>2.9</v>
      </c>
      <c r="J1078" s="384">
        <v>1.0</v>
      </c>
      <c r="K1078" s="383">
        <v>2.9</v>
      </c>
      <c r="L1078" s="206"/>
      <c r="M1078" s="206"/>
      <c r="N1078" s="383">
        <v>3.0</v>
      </c>
      <c r="O1078" s="383">
        <v>160.0</v>
      </c>
      <c r="P1078" s="206" t="s">
        <v>42</v>
      </c>
      <c r="Q1078" s="383">
        <v>67803.0</v>
      </c>
      <c r="R1078" s="255" t="s">
        <v>1407</v>
      </c>
      <c r="S1078" s="387">
        <v>2023.0</v>
      </c>
      <c r="T1078" s="390">
        <f t="shared" si="199"/>
        <v>0.01049648368</v>
      </c>
      <c r="U1078" s="376">
        <f t="shared" si="195"/>
        <v>711.6930828</v>
      </c>
      <c r="V1078" s="24">
        <f t="shared" si="187"/>
        <v>245.4114079</v>
      </c>
      <c r="W1078" s="3">
        <f t="shared" si="188"/>
        <v>0</v>
      </c>
      <c r="X1078" s="3">
        <f t="shared" si="189"/>
        <v>0</v>
      </c>
      <c r="Y1078" s="3">
        <f t="shared" si="190"/>
        <v>0</v>
      </c>
      <c r="Z1078" s="385">
        <v>0.0</v>
      </c>
      <c r="AA1078" s="26">
        <f>VLOOKUP(S1078,CPI!$A$2:$F$71,6,0)</f>
        <v>1.057145998</v>
      </c>
      <c r="AB1078" s="27">
        <f t="shared" si="192"/>
        <v>752.3634946</v>
      </c>
      <c r="AC1078" s="27">
        <f t="shared" si="193"/>
        <v>259.4356878</v>
      </c>
      <c r="AD1078" s="206"/>
      <c r="AE1078" s="393" t="s">
        <v>2026</v>
      </c>
      <c r="AF1078" s="206"/>
      <c r="AG1078" s="206"/>
      <c r="AH1078" s="206"/>
      <c r="AI1078" s="206"/>
      <c r="AJ1078" s="206"/>
    </row>
    <row r="1079" ht="15.75" customHeight="1">
      <c r="A1079" s="65"/>
      <c r="B1079" s="206" t="s">
        <v>1403</v>
      </c>
      <c r="C1079" s="206" t="s">
        <v>2023</v>
      </c>
      <c r="D1079" s="206" t="s">
        <v>2036</v>
      </c>
      <c r="E1079" s="206" t="s">
        <v>2051</v>
      </c>
      <c r="F1079" s="383">
        <v>1978.0</v>
      </c>
      <c r="G1079" s="383">
        <v>1982.0</v>
      </c>
      <c r="H1079" s="206"/>
      <c r="I1079" s="383">
        <v>3.0</v>
      </c>
      <c r="J1079" s="384">
        <v>1.0</v>
      </c>
      <c r="K1079" s="383">
        <v>3.0</v>
      </c>
      <c r="L1079" s="206"/>
      <c r="M1079" s="206"/>
      <c r="N1079" s="383">
        <v>3.0</v>
      </c>
      <c r="O1079" s="383">
        <v>93.48</v>
      </c>
      <c r="P1079" s="206" t="s">
        <v>42</v>
      </c>
      <c r="Q1079" s="383">
        <v>81502.0</v>
      </c>
      <c r="R1079" s="255" t="s">
        <v>1407</v>
      </c>
      <c r="S1079" s="387">
        <v>2023.0</v>
      </c>
      <c r="T1079" s="390">
        <f t="shared" si="199"/>
        <v>0.01049648368</v>
      </c>
      <c r="U1079" s="376">
        <f t="shared" si="195"/>
        <v>855.4844127</v>
      </c>
      <c r="V1079" s="24">
        <f t="shared" si="187"/>
        <v>285.1614709</v>
      </c>
      <c r="W1079" s="3">
        <f t="shared" si="188"/>
        <v>0</v>
      </c>
      <c r="X1079" s="3">
        <f t="shared" si="189"/>
        <v>0</v>
      </c>
      <c r="Y1079" s="3">
        <f t="shared" si="190"/>
        <v>0</v>
      </c>
      <c r="Z1079" s="385">
        <v>0.0</v>
      </c>
      <c r="AA1079" s="26">
        <f>VLOOKUP(S1079,CPI!$A$2:$F$71,6,0)</f>
        <v>1.057145998</v>
      </c>
      <c r="AB1079" s="27">
        <f t="shared" si="192"/>
        <v>904.3719236</v>
      </c>
      <c r="AC1079" s="27">
        <f t="shared" si="193"/>
        <v>301.4573079</v>
      </c>
      <c r="AD1079" s="206"/>
      <c r="AE1079" s="393" t="s">
        <v>2026</v>
      </c>
      <c r="AF1079" s="206"/>
      <c r="AG1079" s="206"/>
      <c r="AH1079" s="206"/>
      <c r="AI1079" s="206"/>
      <c r="AJ1079" s="206"/>
    </row>
    <row r="1080" ht="15.75" customHeight="1">
      <c r="A1080" s="65"/>
      <c r="B1080" s="206" t="s">
        <v>1403</v>
      </c>
      <c r="C1080" s="206" t="s">
        <v>2023</v>
      </c>
      <c r="D1080" s="206" t="s">
        <v>2024</v>
      </c>
      <c r="E1080" s="206" t="s">
        <v>2052</v>
      </c>
      <c r="F1080" s="383">
        <v>1980.0</v>
      </c>
      <c r="G1080" s="383">
        <v>1984.0</v>
      </c>
      <c r="H1080" s="206"/>
      <c r="I1080" s="383">
        <v>2.8</v>
      </c>
      <c r="J1080" s="384">
        <v>1.0</v>
      </c>
      <c r="K1080" s="383">
        <v>2.8</v>
      </c>
      <c r="L1080" s="206"/>
      <c r="M1080" s="206"/>
      <c r="N1080" s="383">
        <v>2.0</v>
      </c>
      <c r="O1080" s="383">
        <v>160.0</v>
      </c>
      <c r="P1080" s="206" t="s">
        <v>42</v>
      </c>
      <c r="Q1080" s="383">
        <v>57366.0</v>
      </c>
      <c r="R1080" s="255" t="s">
        <v>1407</v>
      </c>
      <c r="S1080" s="387">
        <v>2023.0</v>
      </c>
      <c r="T1080" s="390">
        <f t="shared" si="199"/>
        <v>0.01049648368</v>
      </c>
      <c r="U1080" s="376">
        <f t="shared" si="195"/>
        <v>602.1412827</v>
      </c>
      <c r="V1080" s="24">
        <f t="shared" si="187"/>
        <v>215.0504581</v>
      </c>
      <c r="W1080" s="3">
        <f t="shared" si="188"/>
        <v>0</v>
      </c>
      <c r="X1080" s="3">
        <f t="shared" si="189"/>
        <v>0</v>
      </c>
      <c r="Y1080" s="3">
        <f t="shared" si="190"/>
        <v>0</v>
      </c>
      <c r="Z1080" s="385">
        <v>0.0</v>
      </c>
      <c r="AA1080" s="26">
        <f>VLOOKUP(S1080,CPI!$A$2:$F$71,6,0)</f>
        <v>1.057145998</v>
      </c>
      <c r="AB1080" s="27">
        <f t="shared" si="192"/>
        <v>636.5512474</v>
      </c>
      <c r="AC1080" s="27">
        <f t="shared" si="193"/>
        <v>227.3397312</v>
      </c>
      <c r="AD1080" s="206"/>
      <c r="AE1080" s="393" t="s">
        <v>2026</v>
      </c>
      <c r="AF1080" s="206"/>
      <c r="AG1080" s="206"/>
      <c r="AH1080" s="206"/>
      <c r="AI1080" s="206"/>
      <c r="AJ1080" s="206"/>
    </row>
    <row r="1081" ht="15.75" customHeight="1">
      <c r="A1081" s="400"/>
      <c r="B1081" s="206" t="s">
        <v>1403</v>
      </c>
      <c r="C1081" s="206" t="s">
        <v>2053</v>
      </c>
      <c r="D1081" s="206" t="s">
        <v>2054</v>
      </c>
      <c r="E1081" s="385" t="s">
        <v>2055</v>
      </c>
      <c r="F1081" s="383">
        <v>1994.0</v>
      </c>
      <c r="G1081" s="383">
        <v>2001.0</v>
      </c>
      <c r="H1081" s="206"/>
      <c r="I1081" s="383">
        <v>8.1</v>
      </c>
      <c r="J1081" s="384">
        <v>1.0</v>
      </c>
      <c r="K1081" s="383">
        <v>8.1</v>
      </c>
      <c r="L1081" s="206"/>
      <c r="M1081" s="206"/>
      <c r="N1081" s="383">
        <v>10.0</v>
      </c>
      <c r="O1081" s="383">
        <v>94.0</v>
      </c>
      <c r="P1081" s="206" t="s">
        <v>1963</v>
      </c>
      <c r="Q1081" s="401">
        <v>235000.0</v>
      </c>
      <c r="R1081" s="255" t="s">
        <v>1407</v>
      </c>
      <c r="S1081" s="383">
        <v>1998.0</v>
      </c>
      <c r="T1081" s="402">
        <f>1/166.39</f>
        <v>0.006009976561</v>
      </c>
      <c r="U1081" s="376">
        <f t="shared" si="195"/>
        <v>1412.344492</v>
      </c>
      <c r="V1081" s="24">
        <f t="shared" si="187"/>
        <v>174.3635175</v>
      </c>
      <c r="W1081" s="3">
        <f t="shared" si="188"/>
        <v>0</v>
      </c>
      <c r="X1081" s="3">
        <f t="shared" si="189"/>
        <v>0</v>
      </c>
      <c r="Y1081" s="3">
        <f t="shared" si="190"/>
        <v>0</v>
      </c>
      <c r="Z1081" s="326">
        <v>0.0</v>
      </c>
      <c r="AA1081" s="26">
        <f>VLOOKUP(S1081,CPI!$A$2:$F$71,6,0)</f>
        <v>1.976162577</v>
      </c>
      <c r="AB1081" s="27">
        <f t="shared" si="192"/>
        <v>2791.02233</v>
      </c>
      <c r="AC1081" s="27">
        <f t="shared" si="193"/>
        <v>344.570658</v>
      </c>
      <c r="AD1081" s="206" t="s">
        <v>1963</v>
      </c>
      <c r="AE1081" s="206" t="s">
        <v>2056</v>
      </c>
    </row>
    <row r="1082" ht="15.75" customHeight="1">
      <c r="A1082" s="400"/>
      <c r="B1082" s="206" t="s">
        <v>1403</v>
      </c>
      <c r="C1082" s="206" t="s">
        <v>2053</v>
      </c>
      <c r="D1082" s="206" t="s">
        <v>2057</v>
      </c>
      <c r="E1082" s="206" t="s">
        <v>2058</v>
      </c>
      <c r="F1082" s="383">
        <v>1982.0</v>
      </c>
      <c r="G1082" s="383">
        <v>1988.0</v>
      </c>
      <c r="H1082" s="206"/>
      <c r="I1082" s="383">
        <v>7.9</v>
      </c>
      <c r="J1082" s="384">
        <v>0.95</v>
      </c>
      <c r="K1082" s="383">
        <v>7.5</v>
      </c>
      <c r="L1082" s="383">
        <v>0.4</v>
      </c>
      <c r="M1082" s="206"/>
      <c r="N1082" s="383">
        <v>2.0</v>
      </c>
      <c r="O1082" s="383">
        <v>148.0</v>
      </c>
      <c r="P1082" s="206" t="s">
        <v>1963</v>
      </c>
      <c r="Q1082" s="387">
        <v>69900.0</v>
      </c>
      <c r="R1082" s="255" t="s">
        <v>1407</v>
      </c>
      <c r="S1082" s="387">
        <v>2023.0</v>
      </c>
      <c r="T1082" s="390">
        <f>1/95.27</f>
        <v>0.01049648368</v>
      </c>
      <c r="U1082" s="376">
        <f t="shared" si="195"/>
        <v>733.7042091</v>
      </c>
      <c r="V1082" s="24">
        <f t="shared" si="187"/>
        <v>92.87395052</v>
      </c>
      <c r="W1082" s="3">
        <f t="shared" si="188"/>
        <v>0</v>
      </c>
      <c r="X1082" s="3">
        <f t="shared" si="189"/>
        <v>0</v>
      </c>
      <c r="Y1082" s="3">
        <f t="shared" si="190"/>
        <v>0</v>
      </c>
      <c r="Z1082" s="326">
        <v>0.0</v>
      </c>
      <c r="AA1082" s="26">
        <f>VLOOKUP(S1082,CPI!$A$2:$F$71,6,0)</f>
        <v>1.057145998</v>
      </c>
      <c r="AB1082" s="27">
        <f t="shared" si="192"/>
        <v>775.6324686</v>
      </c>
      <c r="AC1082" s="27">
        <f t="shared" si="193"/>
        <v>98.18132514</v>
      </c>
      <c r="AD1082" s="206" t="s">
        <v>1963</v>
      </c>
      <c r="AE1082" s="393" t="s">
        <v>2059</v>
      </c>
    </row>
    <row r="1083" ht="15.75" customHeight="1">
      <c r="A1083" s="400"/>
      <c r="B1083" s="206" t="s">
        <v>1403</v>
      </c>
      <c r="C1083" s="206" t="s">
        <v>1409</v>
      </c>
      <c r="D1083" s="206" t="s">
        <v>2060</v>
      </c>
      <c r="E1083" s="206" t="s">
        <v>2061</v>
      </c>
      <c r="F1083" s="383">
        <v>2000.0</v>
      </c>
      <c r="G1083" s="383">
        <v>2006.0</v>
      </c>
      <c r="H1083" s="206"/>
      <c r="I1083" s="383">
        <v>12.1</v>
      </c>
      <c r="J1083" s="384">
        <v>1.0</v>
      </c>
      <c r="K1083" s="383">
        <v>12.1</v>
      </c>
      <c r="L1083" s="206"/>
      <c r="M1083" s="206"/>
      <c r="N1083" s="383">
        <v>11.0</v>
      </c>
      <c r="O1083" s="383">
        <v>90.0</v>
      </c>
      <c r="P1083" s="206" t="s">
        <v>42</v>
      </c>
      <c r="Q1083" s="401">
        <v>266300.0</v>
      </c>
      <c r="R1083" s="255" t="s">
        <v>1407</v>
      </c>
      <c r="S1083" s="383">
        <v>2003.0</v>
      </c>
      <c r="T1083" s="403">
        <f>1/139.58</f>
        <v>0.007164350193</v>
      </c>
      <c r="U1083" s="376">
        <f t="shared" si="195"/>
        <v>1907.866457</v>
      </c>
      <c r="V1083" s="24">
        <f t="shared" si="187"/>
        <v>157.6749138</v>
      </c>
      <c r="W1083" s="3">
        <f t="shared" si="188"/>
        <v>0</v>
      </c>
      <c r="X1083" s="3">
        <f t="shared" si="189"/>
        <v>0</v>
      </c>
      <c r="Y1083" s="3">
        <f t="shared" si="190"/>
        <v>0</v>
      </c>
      <c r="Z1083" s="326">
        <v>0.0</v>
      </c>
      <c r="AA1083" s="26">
        <f>VLOOKUP(S1083,CPI!$A$2:$F$71,6,0)</f>
        <v>1.750622283</v>
      </c>
      <c r="AB1083" s="27">
        <f t="shared" si="192"/>
        <v>3339.953531</v>
      </c>
      <c r="AC1083" s="27">
        <f t="shared" si="193"/>
        <v>276.0292174</v>
      </c>
      <c r="AD1083" s="206" t="s">
        <v>1963</v>
      </c>
      <c r="AE1083" s="389" t="s">
        <v>2062</v>
      </c>
    </row>
    <row r="1084" ht="15.75" customHeight="1">
      <c r="A1084" s="400"/>
      <c r="B1084" s="206" t="s">
        <v>1403</v>
      </c>
      <c r="C1084" s="206" t="s">
        <v>1409</v>
      </c>
      <c r="D1084" s="206" t="s">
        <v>2063</v>
      </c>
      <c r="E1084" s="206" t="s">
        <v>2064</v>
      </c>
      <c r="F1084" s="383">
        <v>1986.0</v>
      </c>
      <c r="G1084" s="383">
        <v>1990.0</v>
      </c>
      <c r="H1084" s="206"/>
      <c r="I1084" s="383">
        <v>5.6</v>
      </c>
      <c r="J1084" s="384">
        <v>1.0</v>
      </c>
      <c r="K1084" s="383">
        <v>5.6</v>
      </c>
      <c r="L1084" s="206"/>
      <c r="M1084" s="206"/>
      <c r="N1084" s="383">
        <v>5.0</v>
      </c>
      <c r="O1084" s="383">
        <v>120.0</v>
      </c>
      <c r="P1084" s="206" t="s">
        <v>42</v>
      </c>
      <c r="Q1084" s="401">
        <v>110800.0</v>
      </c>
      <c r="R1084" s="255" t="s">
        <v>1407</v>
      </c>
      <c r="S1084" s="383">
        <v>1990.0</v>
      </c>
      <c r="T1084" s="383">
        <f>1/187.62</f>
        <v>0.005329922183</v>
      </c>
      <c r="U1084" s="376">
        <f t="shared" si="195"/>
        <v>590.5553779</v>
      </c>
      <c r="V1084" s="24">
        <f t="shared" si="187"/>
        <v>105.4563175</v>
      </c>
      <c r="W1084" s="3">
        <f t="shared" si="188"/>
        <v>0</v>
      </c>
      <c r="X1084" s="3">
        <f t="shared" si="189"/>
        <v>0</v>
      </c>
      <c r="Y1084" s="3">
        <f t="shared" si="190"/>
        <v>0</v>
      </c>
      <c r="Z1084" s="326">
        <v>0.0</v>
      </c>
      <c r="AA1084" s="26">
        <f>VLOOKUP(S1084,CPI!$A$2:$F$71,6,0)</f>
        <v>2.464533282</v>
      </c>
      <c r="AB1084" s="27">
        <f t="shared" si="192"/>
        <v>1455.443384</v>
      </c>
      <c r="AC1084" s="27">
        <f t="shared" si="193"/>
        <v>259.9006043</v>
      </c>
      <c r="AD1084" s="206" t="s">
        <v>42</v>
      </c>
      <c r="AE1084" s="206" t="s">
        <v>2065</v>
      </c>
    </row>
    <row r="1085" ht="15.75" customHeight="1">
      <c r="A1085" s="400"/>
      <c r="B1085" s="206" t="s">
        <v>1403</v>
      </c>
      <c r="C1085" s="206" t="s">
        <v>1409</v>
      </c>
      <c r="D1085" s="206" t="s">
        <v>2063</v>
      </c>
      <c r="E1085" s="206" t="s">
        <v>2066</v>
      </c>
      <c r="F1085" s="383">
        <v>1987.0</v>
      </c>
      <c r="G1085" s="383">
        <v>1996.0</v>
      </c>
      <c r="H1085" s="206"/>
      <c r="I1085" s="383">
        <v>5.5</v>
      </c>
      <c r="J1085" s="384">
        <v>1.0</v>
      </c>
      <c r="K1085" s="383">
        <v>5.5</v>
      </c>
      <c r="L1085" s="206"/>
      <c r="M1085" s="206"/>
      <c r="N1085" s="383">
        <v>7.0</v>
      </c>
      <c r="O1085" s="383">
        <v>90.0</v>
      </c>
      <c r="P1085" s="206" t="s">
        <v>42</v>
      </c>
      <c r="Q1085" s="401">
        <v>152400.0</v>
      </c>
      <c r="R1085" s="255" t="s">
        <v>1407</v>
      </c>
      <c r="S1085" s="383">
        <v>1992.0</v>
      </c>
      <c r="T1085" s="383">
        <f t="shared" ref="T1085:T1087" si="200">1/185.66</f>
        <v>0.005386189809</v>
      </c>
      <c r="U1085" s="376">
        <f t="shared" si="195"/>
        <v>820.8553269</v>
      </c>
      <c r="V1085" s="24">
        <f t="shared" si="187"/>
        <v>149.2464231</v>
      </c>
      <c r="W1085" s="3">
        <f t="shared" si="188"/>
        <v>0</v>
      </c>
      <c r="X1085" s="3">
        <f t="shared" si="189"/>
        <v>0</v>
      </c>
      <c r="Y1085" s="3">
        <f t="shared" si="190"/>
        <v>0</v>
      </c>
      <c r="Z1085" s="326">
        <v>0.0</v>
      </c>
      <c r="AA1085" s="26">
        <f>VLOOKUP(S1085,CPI!$A$2:$F$71,6,0)</f>
        <v>2.295898076</v>
      </c>
      <c r="AB1085" s="27">
        <f t="shared" si="192"/>
        <v>1884.600165</v>
      </c>
      <c r="AC1085" s="27">
        <f t="shared" si="193"/>
        <v>342.6545755</v>
      </c>
      <c r="AD1085" s="206" t="s">
        <v>42</v>
      </c>
      <c r="AE1085" s="206" t="s">
        <v>2065</v>
      </c>
    </row>
    <row r="1086" ht="15.75" customHeight="1">
      <c r="A1086" s="400"/>
      <c r="B1086" s="206" t="s">
        <v>1403</v>
      </c>
      <c r="C1086" s="206" t="s">
        <v>1409</v>
      </c>
      <c r="D1086" s="206" t="s">
        <v>2063</v>
      </c>
      <c r="E1086" s="206" t="s">
        <v>2067</v>
      </c>
      <c r="F1086" s="383">
        <v>1987.0</v>
      </c>
      <c r="G1086" s="383">
        <v>1997.0</v>
      </c>
      <c r="H1086" s="206"/>
      <c r="I1086" s="383">
        <v>2.9</v>
      </c>
      <c r="J1086" s="384">
        <v>1.0</v>
      </c>
      <c r="K1086" s="383">
        <v>2.9</v>
      </c>
      <c r="L1086" s="206"/>
      <c r="M1086" s="206"/>
      <c r="N1086" s="383">
        <v>4.0</v>
      </c>
      <c r="O1086" s="383">
        <v>90.0</v>
      </c>
      <c r="P1086" s="206" t="s">
        <v>42</v>
      </c>
      <c r="Q1086" s="387">
        <v>80600.0</v>
      </c>
      <c r="R1086" s="255" t="s">
        <v>1407</v>
      </c>
      <c r="S1086" s="383">
        <v>1992.0</v>
      </c>
      <c r="T1086" s="383">
        <f t="shared" si="200"/>
        <v>0.005386189809</v>
      </c>
      <c r="U1086" s="376">
        <f t="shared" si="195"/>
        <v>434.1268986</v>
      </c>
      <c r="V1086" s="24">
        <f t="shared" si="187"/>
        <v>149.6989306</v>
      </c>
      <c r="W1086" s="3">
        <f t="shared" si="188"/>
        <v>0</v>
      </c>
      <c r="X1086" s="3">
        <f t="shared" si="189"/>
        <v>0</v>
      </c>
      <c r="Y1086" s="3">
        <f t="shared" si="190"/>
        <v>0</v>
      </c>
      <c r="Z1086" s="326">
        <v>0.0</v>
      </c>
      <c r="AA1086" s="26">
        <f>VLOOKUP(S1086,CPI!$A$2:$F$71,6,0)</f>
        <v>2.295898076</v>
      </c>
      <c r="AB1086" s="27">
        <f t="shared" si="192"/>
        <v>996.7111111</v>
      </c>
      <c r="AC1086" s="27">
        <f t="shared" si="193"/>
        <v>343.6934866</v>
      </c>
      <c r="AD1086" s="206" t="s">
        <v>42</v>
      </c>
      <c r="AE1086" s="206" t="s">
        <v>2065</v>
      </c>
    </row>
    <row r="1087" ht="15.75" customHeight="1">
      <c r="A1087" s="400"/>
      <c r="B1087" s="206" t="s">
        <v>1403</v>
      </c>
      <c r="C1087" s="206" t="s">
        <v>1409</v>
      </c>
      <c r="D1087" s="206" t="s">
        <v>2063</v>
      </c>
      <c r="E1087" s="206" t="s">
        <v>2068</v>
      </c>
      <c r="F1087" s="383">
        <v>1987.0</v>
      </c>
      <c r="G1087" s="383">
        <v>1997.0</v>
      </c>
      <c r="H1087" s="206"/>
      <c r="I1087" s="383">
        <v>1.3</v>
      </c>
      <c r="J1087" s="384">
        <v>1.0</v>
      </c>
      <c r="K1087" s="383">
        <v>1.3</v>
      </c>
      <c r="L1087" s="206"/>
      <c r="M1087" s="206"/>
      <c r="N1087" s="383">
        <v>1.0</v>
      </c>
      <c r="O1087" s="383">
        <v>90.0</v>
      </c>
      <c r="P1087" s="206" t="s">
        <v>42</v>
      </c>
      <c r="Q1087" s="387">
        <v>23200.0</v>
      </c>
      <c r="R1087" s="255" t="s">
        <v>1407</v>
      </c>
      <c r="S1087" s="383">
        <v>1992.0</v>
      </c>
      <c r="T1087" s="383">
        <f t="shared" si="200"/>
        <v>0.005386189809</v>
      </c>
      <c r="U1087" s="376">
        <f t="shared" si="195"/>
        <v>124.9596036</v>
      </c>
      <c r="V1087" s="24">
        <f t="shared" si="187"/>
        <v>96.12277198</v>
      </c>
      <c r="W1087" s="3">
        <f t="shared" si="188"/>
        <v>0</v>
      </c>
      <c r="X1087" s="3">
        <f t="shared" si="189"/>
        <v>0</v>
      </c>
      <c r="Y1087" s="3">
        <f t="shared" si="190"/>
        <v>0</v>
      </c>
      <c r="Z1087" s="326">
        <v>0.0</v>
      </c>
      <c r="AA1087" s="26">
        <f>VLOOKUP(S1087,CPI!$A$2:$F$71,6,0)</f>
        <v>2.295898076</v>
      </c>
      <c r="AB1087" s="27">
        <f t="shared" si="192"/>
        <v>286.8945134</v>
      </c>
      <c r="AC1087" s="27">
        <f t="shared" si="193"/>
        <v>220.6880872</v>
      </c>
      <c r="AD1087" s="206" t="s">
        <v>42</v>
      </c>
      <c r="AE1087" s="206" t="s">
        <v>2065</v>
      </c>
    </row>
    <row r="1088" ht="15.75" customHeight="1">
      <c r="A1088" s="400"/>
      <c r="B1088" s="206" t="s">
        <v>1403</v>
      </c>
      <c r="C1088" s="206" t="s">
        <v>1409</v>
      </c>
      <c r="D1088" s="206" t="s">
        <v>2069</v>
      </c>
      <c r="E1088" s="206" t="s">
        <v>2070</v>
      </c>
      <c r="F1088" s="206" t="s">
        <v>2071</v>
      </c>
      <c r="G1088" s="383">
        <v>1993.0</v>
      </c>
      <c r="I1088" s="383">
        <v>1.7</v>
      </c>
      <c r="J1088" s="384">
        <v>1.0</v>
      </c>
      <c r="K1088" s="383">
        <v>1.7</v>
      </c>
      <c r="L1088" s="206"/>
      <c r="N1088" s="383">
        <v>1.0</v>
      </c>
      <c r="O1088" s="383">
        <v>152.0</v>
      </c>
      <c r="P1088" s="206" t="s">
        <v>42</v>
      </c>
      <c r="Q1088" s="387">
        <v>68600.0</v>
      </c>
      <c r="R1088" s="255" t="s">
        <v>1407</v>
      </c>
      <c r="S1088" s="383">
        <v>1993.0</v>
      </c>
      <c r="T1088" s="383">
        <f>1/182.31</f>
        <v>0.005485162635</v>
      </c>
      <c r="U1088" s="376">
        <f t="shared" si="195"/>
        <v>376.2821568</v>
      </c>
      <c r="V1088" s="24">
        <f t="shared" si="187"/>
        <v>221.3424452</v>
      </c>
      <c r="W1088" s="3">
        <f t="shared" si="188"/>
        <v>0</v>
      </c>
      <c r="X1088" s="3">
        <f t="shared" si="189"/>
        <v>0</v>
      </c>
      <c r="Y1088" s="3">
        <f t="shared" si="190"/>
        <v>0</v>
      </c>
      <c r="Z1088" s="326">
        <v>0.0</v>
      </c>
      <c r="AA1088" s="26">
        <f>VLOOKUP(S1088,CPI!$A$2:$F$71,6,0)</f>
        <v>2.22916609</v>
      </c>
      <c r="AB1088" s="27">
        <f t="shared" si="192"/>
        <v>838.7954241</v>
      </c>
      <c r="AC1088" s="27">
        <f t="shared" si="193"/>
        <v>493.409073</v>
      </c>
      <c r="AD1088" s="206" t="s">
        <v>42</v>
      </c>
      <c r="AE1088" s="389" t="s">
        <v>2072</v>
      </c>
    </row>
    <row r="1089" ht="15.75" customHeight="1">
      <c r="A1089" s="400"/>
      <c r="B1089" s="206" t="s">
        <v>1403</v>
      </c>
      <c r="C1089" s="206" t="s">
        <v>1409</v>
      </c>
      <c r="D1089" s="385" t="s">
        <v>2073</v>
      </c>
      <c r="E1089" s="385" t="s">
        <v>2074</v>
      </c>
      <c r="F1089" s="383">
        <v>2019.0</v>
      </c>
      <c r="G1089" s="383">
        <v>2026.0</v>
      </c>
      <c r="H1089" s="383">
        <v>0.0</v>
      </c>
      <c r="I1089" s="383">
        <v>3.2</v>
      </c>
      <c r="J1089" s="384">
        <v>1.0</v>
      </c>
      <c r="K1089" s="383">
        <v>3.2</v>
      </c>
      <c r="L1089" s="206"/>
      <c r="M1089" s="206"/>
      <c r="N1089" s="383">
        <v>1.0</v>
      </c>
      <c r="O1089" s="387">
        <v>150.0</v>
      </c>
      <c r="P1089" s="206" t="s">
        <v>60</v>
      </c>
      <c r="Q1089" s="387">
        <v>34600.0</v>
      </c>
      <c r="R1089" s="206" t="s">
        <v>1407</v>
      </c>
      <c r="S1089" s="387">
        <v>2024.0</v>
      </c>
      <c r="T1089" s="206">
        <f>1/94.46</f>
        <v>0.01058649164</v>
      </c>
      <c r="U1089" s="376">
        <f t="shared" si="195"/>
        <v>366.2926106</v>
      </c>
      <c r="V1089" s="24">
        <f t="shared" si="187"/>
        <v>114.4664408</v>
      </c>
      <c r="W1089" s="3">
        <f t="shared" si="188"/>
        <v>0</v>
      </c>
      <c r="X1089" s="3">
        <f t="shared" si="189"/>
        <v>0</v>
      </c>
      <c r="Y1089" s="3">
        <f t="shared" si="190"/>
        <v>0</v>
      </c>
      <c r="Z1089" s="326">
        <v>0.0</v>
      </c>
      <c r="AA1089" s="26">
        <f>VLOOKUP(S1089,CPI!$A$2:$F$71,6,0)</f>
        <v>1</v>
      </c>
      <c r="AB1089" s="27">
        <f t="shared" si="192"/>
        <v>366.2926106</v>
      </c>
      <c r="AC1089" s="27">
        <f t="shared" si="193"/>
        <v>114.4664408</v>
      </c>
      <c r="AD1089" s="206" t="s">
        <v>42</v>
      </c>
      <c r="AE1089" s="206" t="s">
        <v>2075</v>
      </c>
    </row>
    <row r="1090" ht="15.75" customHeight="1">
      <c r="A1090" s="400"/>
      <c r="B1090" s="206" t="s">
        <v>1403</v>
      </c>
      <c r="C1090" s="206" t="s">
        <v>1409</v>
      </c>
      <c r="D1090" s="206" t="s">
        <v>2076</v>
      </c>
      <c r="E1090" s="206" t="s">
        <v>2077</v>
      </c>
      <c r="F1090" s="383">
        <v>2016.0</v>
      </c>
      <c r="G1090" s="383">
        <v>2024.0</v>
      </c>
      <c r="H1090" s="206"/>
      <c r="I1090" s="383">
        <v>2.5</v>
      </c>
      <c r="J1090" s="384">
        <v>0.68</v>
      </c>
      <c r="K1090" s="383">
        <v>1.7</v>
      </c>
      <c r="L1090" s="383">
        <v>0.8</v>
      </c>
      <c r="M1090" s="206"/>
      <c r="N1090" s="383">
        <v>2.0</v>
      </c>
      <c r="O1090" s="326">
        <v>187.0</v>
      </c>
      <c r="P1090" s="206" t="s">
        <v>60</v>
      </c>
      <c r="Q1090" s="387">
        <v>81100.0</v>
      </c>
      <c r="R1090" s="206" t="s">
        <v>1407</v>
      </c>
      <c r="S1090" s="383">
        <v>2022.0</v>
      </c>
      <c r="T1090" s="206">
        <f>1/94.92</f>
        <v>0.01053518753</v>
      </c>
      <c r="U1090" s="376">
        <f t="shared" si="195"/>
        <v>854.4037084</v>
      </c>
      <c r="V1090" s="24">
        <f t="shared" si="187"/>
        <v>341.7614834</v>
      </c>
      <c r="W1090" s="3">
        <f t="shared" si="188"/>
        <v>0</v>
      </c>
      <c r="X1090" s="3">
        <f t="shared" si="189"/>
        <v>0</v>
      </c>
      <c r="Y1090" s="3">
        <f t="shared" si="190"/>
        <v>0</v>
      </c>
      <c r="Z1090" s="326">
        <v>0.0</v>
      </c>
      <c r="AA1090" s="26">
        <f>VLOOKUP(S1090,CPI!$A$2:$F$71,6,0)</f>
        <v>1.100662897</v>
      </c>
      <c r="AB1090" s="27">
        <f t="shared" si="192"/>
        <v>940.4104605</v>
      </c>
      <c r="AC1090" s="27">
        <f t="shared" si="193"/>
        <v>376.1641842</v>
      </c>
      <c r="AD1090" s="206" t="s">
        <v>42</v>
      </c>
      <c r="AE1090" s="206" t="s">
        <v>2078</v>
      </c>
    </row>
    <row r="1091" ht="15.75" customHeight="1">
      <c r="A1091" s="400"/>
      <c r="B1091" s="206" t="s">
        <v>1403</v>
      </c>
      <c r="C1091" s="54" t="s">
        <v>1418</v>
      </c>
      <c r="D1091" s="206" t="s">
        <v>2079</v>
      </c>
      <c r="E1091" s="206" t="s">
        <v>2080</v>
      </c>
      <c r="F1091" s="383">
        <v>1995.0</v>
      </c>
      <c r="G1091" s="383">
        <v>2001.0</v>
      </c>
      <c r="H1091" s="383">
        <v>1.0</v>
      </c>
      <c r="I1091" s="383">
        <v>14.6</v>
      </c>
      <c r="J1091" s="386">
        <f t="shared" ref="J1091:J1092" si="201">K1091/I1091</f>
        <v>0.9726027397</v>
      </c>
      <c r="K1091" s="383">
        <v>14.2</v>
      </c>
      <c r="L1091" s="206"/>
      <c r="M1091" s="383">
        <v>0.4</v>
      </c>
      <c r="N1091" s="383">
        <v>7.0</v>
      </c>
      <c r="O1091" s="387">
        <v>180.0</v>
      </c>
      <c r="P1091" s="206" t="s">
        <v>1963</v>
      </c>
      <c r="Q1091" s="401">
        <v>256100.0</v>
      </c>
      <c r="R1091" s="206" t="s">
        <v>1407</v>
      </c>
      <c r="S1091" s="383">
        <v>2001.0</v>
      </c>
      <c r="T1091" s="383">
        <f>1/149.64</f>
        <v>0.006682705159</v>
      </c>
      <c r="U1091" s="376">
        <f t="shared" si="195"/>
        <v>1711.440791</v>
      </c>
      <c r="V1091" s="24">
        <f t="shared" si="187"/>
        <v>117.221972</v>
      </c>
      <c r="W1091" s="3">
        <f t="shared" si="188"/>
        <v>0</v>
      </c>
      <c r="X1091" s="3">
        <f t="shared" si="189"/>
        <v>0</v>
      </c>
      <c r="Y1091" s="3">
        <f t="shared" si="190"/>
        <v>0</v>
      </c>
      <c r="Z1091" s="326">
        <v>0.0</v>
      </c>
      <c r="AA1091" s="26">
        <f>VLOOKUP(S1091,CPI!$A$2:$F$71,6,0)</f>
        <v>1.818828346</v>
      </c>
      <c r="AB1091" s="27">
        <f t="shared" si="192"/>
        <v>3112.817023</v>
      </c>
      <c r="AC1091" s="27">
        <f t="shared" si="193"/>
        <v>213.2066454</v>
      </c>
      <c r="AD1091" s="206" t="s">
        <v>42</v>
      </c>
      <c r="AE1091" s="389" t="s">
        <v>2081</v>
      </c>
    </row>
    <row r="1092" ht="15.75" customHeight="1">
      <c r="A1092" s="400"/>
      <c r="B1092" s="206" t="s">
        <v>1403</v>
      </c>
      <c r="C1092" s="54" t="s">
        <v>1418</v>
      </c>
      <c r="D1092" s="206" t="s">
        <v>2082</v>
      </c>
      <c r="E1092" s="206" t="s">
        <v>2083</v>
      </c>
      <c r="F1092" s="383">
        <v>1985.0</v>
      </c>
      <c r="G1092" s="383">
        <v>1996.0</v>
      </c>
      <c r="H1092" s="383">
        <v>1.0</v>
      </c>
      <c r="I1092" s="383">
        <v>16.2</v>
      </c>
      <c r="J1092" s="386">
        <f t="shared" si="201"/>
        <v>0.3518518519</v>
      </c>
      <c r="K1092" s="383">
        <v>5.7</v>
      </c>
      <c r="L1092" s="383">
        <v>10.5</v>
      </c>
      <c r="M1092" s="206"/>
      <c r="N1092" s="383">
        <v>9.0</v>
      </c>
      <c r="O1092" s="383">
        <v>200.0</v>
      </c>
      <c r="P1092" s="206" t="s">
        <v>1963</v>
      </c>
      <c r="Q1092" s="401">
        <v>316800.0</v>
      </c>
      <c r="R1092" s="206" t="s">
        <v>1407</v>
      </c>
      <c r="S1092" s="383">
        <v>1996.0</v>
      </c>
      <c r="T1092" s="383">
        <f>1/170.35</f>
        <v>0.005870267097</v>
      </c>
      <c r="U1092" s="376">
        <f t="shared" si="195"/>
        <v>1859.700616</v>
      </c>
      <c r="V1092" s="24">
        <f t="shared" si="187"/>
        <v>114.7963343</v>
      </c>
      <c r="W1092" s="3">
        <f t="shared" si="188"/>
        <v>0</v>
      </c>
      <c r="X1092" s="3">
        <f t="shared" si="189"/>
        <v>0</v>
      </c>
      <c r="Y1092" s="3">
        <f t="shared" si="190"/>
        <v>0</v>
      </c>
      <c r="Z1092" s="326">
        <v>0.0</v>
      </c>
      <c r="AA1092" s="26">
        <f>VLOOKUP(S1092,CPI!$A$2:$F$71,6,0)</f>
        <v>2.052992352</v>
      </c>
      <c r="AB1092" s="27">
        <f t="shared" si="192"/>
        <v>3817.951142</v>
      </c>
      <c r="AC1092" s="27">
        <f t="shared" si="193"/>
        <v>235.6759964</v>
      </c>
      <c r="AD1092" s="206" t="s">
        <v>42</v>
      </c>
      <c r="AE1092" s="389" t="s">
        <v>2084</v>
      </c>
    </row>
    <row r="1093" ht="15.75" customHeight="1">
      <c r="A1093" s="400"/>
      <c r="B1093" s="206" t="s">
        <v>1403</v>
      </c>
      <c r="C1093" s="206" t="s">
        <v>1404</v>
      </c>
      <c r="D1093" s="206" t="s">
        <v>2085</v>
      </c>
      <c r="E1093" s="206" t="s">
        <v>2086</v>
      </c>
      <c r="F1093" s="383">
        <v>1996.0</v>
      </c>
      <c r="G1093" s="383">
        <v>2005.0</v>
      </c>
      <c r="H1093" s="206"/>
      <c r="I1093" s="383">
        <v>12.0</v>
      </c>
      <c r="J1093" s="384">
        <v>1.0</v>
      </c>
      <c r="K1093" s="383">
        <v>12.0</v>
      </c>
      <c r="L1093" s="206"/>
      <c r="M1093" s="206"/>
      <c r="N1093" s="383">
        <v>16.0</v>
      </c>
      <c r="O1093" s="383">
        <f>6*16.5</f>
        <v>99</v>
      </c>
      <c r="P1093" s="206" t="s">
        <v>42</v>
      </c>
      <c r="Q1093" s="401">
        <v>281100.0</v>
      </c>
      <c r="R1093" s="206" t="s">
        <v>1407</v>
      </c>
      <c r="S1093" s="383">
        <v>2005.0</v>
      </c>
      <c r="T1093" s="383">
        <f>1/129.55</f>
        <v>0.007719027403</v>
      </c>
      <c r="U1093" s="376">
        <f t="shared" si="195"/>
        <v>2169.818603</v>
      </c>
      <c r="V1093" s="24">
        <f t="shared" si="187"/>
        <v>180.8182169</v>
      </c>
      <c r="W1093" s="3">
        <f t="shared" si="188"/>
        <v>0</v>
      </c>
      <c r="X1093" s="3">
        <f t="shared" si="189"/>
        <v>0</v>
      </c>
      <c r="Y1093" s="3">
        <f t="shared" si="190"/>
        <v>0</v>
      </c>
      <c r="Z1093" s="326">
        <v>0.0</v>
      </c>
      <c r="AA1093" s="26">
        <f>VLOOKUP(S1093,CPI!$A$2:$F$71,6,0)</f>
        <v>1.649331797</v>
      </c>
      <c r="AB1093" s="27">
        <f t="shared" si="192"/>
        <v>3578.750816</v>
      </c>
      <c r="AC1093" s="27">
        <f t="shared" si="193"/>
        <v>298.2292347</v>
      </c>
      <c r="AE1093" s="393" t="s">
        <v>2087</v>
      </c>
    </row>
    <row r="1094" ht="15.75" customHeight="1">
      <c r="A1094" s="400"/>
      <c r="B1094" s="206" t="s">
        <v>1403</v>
      </c>
      <c r="C1094" s="206" t="s">
        <v>2088</v>
      </c>
      <c r="D1094" s="206" t="s">
        <v>2089</v>
      </c>
      <c r="E1094" s="206" t="s">
        <v>2090</v>
      </c>
      <c r="F1094" s="383">
        <v>1988.0</v>
      </c>
      <c r="G1094" s="383">
        <v>1994.0</v>
      </c>
      <c r="H1094" s="206"/>
      <c r="I1094" s="383">
        <v>18.7</v>
      </c>
      <c r="J1094" s="386">
        <f>2.2/18.4</f>
        <v>0.1195652174</v>
      </c>
      <c r="K1094" s="383">
        <f>I1094-L1094</f>
        <v>2.2</v>
      </c>
      <c r="L1094" s="383">
        <v>16.5</v>
      </c>
      <c r="M1094" s="206"/>
      <c r="N1094" s="383">
        <v>22.0</v>
      </c>
      <c r="O1094" s="383">
        <f>6*8.4</f>
        <v>50.4</v>
      </c>
      <c r="P1094" s="206" t="s">
        <v>1963</v>
      </c>
      <c r="Q1094" s="396">
        <v>78800.0</v>
      </c>
      <c r="R1094" s="206" t="s">
        <v>1407</v>
      </c>
      <c r="S1094" s="383">
        <v>1994.0</v>
      </c>
      <c r="T1094" s="383">
        <f>1/178.84</f>
        <v>0.005591590248</v>
      </c>
      <c r="U1094" s="376">
        <f t="shared" si="195"/>
        <v>440.6173116</v>
      </c>
      <c r="V1094" s="24">
        <f t="shared" si="187"/>
        <v>23.56242308</v>
      </c>
      <c r="W1094" s="3">
        <f t="shared" si="188"/>
        <v>0</v>
      </c>
      <c r="X1094" s="3">
        <f t="shared" si="189"/>
        <v>0</v>
      </c>
      <c r="Y1094" s="3">
        <f t="shared" si="190"/>
        <v>0</v>
      </c>
      <c r="Z1094" s="326">
        <v>0.0</v>
      </c>
      <c r="AA1094" s="26">
        <f>VLOOKUP(S1094,CPI!$A$2:$F$71,6,0)</f>
        <v>2.173512146</v>
      </c>
      <c r="AB1094" s="27">
        <f t="shared" si="192"/>
        <v>957.6870783</v>
      </c>
      <c r="AC1094" s="27">
        <f t="shared" si="193"/>
        <v>51.21321274</v>
      </c>
      <c r="AE1094" s="393" t="s">
        <v>2087</v>
      </c>
    </row>
    <row r="1095" ht="15.75" customHeight="1">
      <c r="A1095" s="400"/>
      <c r="D1095" s="404"/>
      <c r="O1095" s="405"/>
      <c r="P1095" s="406"/>
      <c r="V1095" s="407"/>
    </row>
    <row r="1096" ht="15.75" customHeight="1">
      <c r="A1096" s="400"/>
      <c r="D1096" s="404"/>
      <c r="O1096" s="405"/>
      <c r="P1096" s="406"/>
      <c r="V1096" s="407"/>
    </row>
    <row r="1097" ht="15.75" customHeight="1">
      <c r="A1097" s="400"/>
      <c r="D1097" s="404"/>
      <c r="O1097" s="405"/>
      <c r="P1097" s="406"/>
      <c r="V1097" s="407"/>
    </row>
    <row r="1098" ht="15.75" customHeight="1">
      <c r="A1098" s="400"/>
      <c r="D1098" s="404"/>
      <c r="O1098" s="405"/>
      <c r="P1098" s="406"/>
      <c r="V1098" s="407"/>
    </row>
    <row r="1099" ht="15.75" customHeight="1">
      <c r="A1099" s="400"/>
      <c r="D1099" s="404"/>
      <c r="O1099" s="405"/>
      <c r="P1099" s="406"/>
      <c r="V1099" s="407"/>
    </row>
    <row r="1100" ht="15.75" customHeight="1">
      <c r="A1100" s="400"/>
      <c r="D1100" s="404"/>
      <c r="O1100" s="405"/>
      <c r="P1100" s="406"/>
      <c r="V1100" s="407"/>
    </row>
    <row r="1101" ht="15.75" customHeight="1">
      <c r="A1101" s="400"/>
      <c r="D1101" s="404"/>
      <c r="O1101" s="405"/>
      <c r="P1101" s="406"/>
      <c r="V1101" s="407"/>
    </row>
    <row r="1102" ht="15.75" customHeight="1">
      <c r="A1102" s="400"/>
      <c r="D1102" s="404"/>
      <c r="O1102" s="405"/>
      <c r="P1102" s="406"/>
      <c r="V1102" s="407"/>
    </row>
    <row r="1103" ht="15.75" customHeight="1">
      <c r="A1103" s="400"/>
      <c r="D1103" s="404"/>
      <c r="O1103" s="405"/>
      <c r="P1103" s="406"/>
      <c r="V1103" s="407"/>
    </row>
    <row r="1104" ht="15.75" customHeight="1">
      <c r="A1104" s="400"/>
      <c r="D1104" s="404"/>
      <c r="O1104" s="405"/>
      <c r="P1104" s="406"/>
      <c r="V1104" s="407"/>
    </row>
    <row r="1105" ht="15.75" customHeight="1">
      <c r="A1105" s="400"/>
      <c r="D1105" s="404"/>
      <c r="O1105" s="405"/>
      <c r="P1105" s="406"/>
      <c r="V1105" s="407"/>
    </row>
    <row r="1106" ht="15.75" customHeight="1">
      <c r="A1106" s="400"/>
      <c r="D1106" s="404"/>
      <c r="O1106" s="405"/>
      <c r="P1106" s="406"/>
      <c r="V1106" s="407"/>
    </row>
    <row r="1107" ht="15.75" customHeight="1">
      <c r="A1107" s="400"/>
      <c r="D1107" s="404"/>
      <c r="O1107" s="405"/>
      <c r="P1107" s="406"/>
      <c r="V1107" s="407"/>
    </row>
    <row r="1108" ht="15.75" customHeight="1">
      <c r="A1108" s="400"/>
      <c r="D1108" s="404"/>
      <c r="O1108" s="405"/>
      <c r="P1108" s="406"/>
      <c r="V1108" s="407"/>
    </row>
    <row r="1109" ht="15.75" customHeight="1">
      <c r="A1109" s="400"/>
      <c r="D1109" s="404"/>
      <c r="O1109" s="405"/>
      <c r="P1109" s="406"/>
      <c r="V1109" s="407"/>
    </row>
    <row r="1110" ht="15.75" customHeight="1">
      <c r="A1110" s="400"/>
      <c r="D1110" s="404"/>
      <c r="O1110" s="405"/>
      <c r="P1110" s="406"/>
      <c r="V1110" s="407"/>
    </row>
    <row r="1111" ht="15.75" customHeight="1">
      <c r="A1111" s="400"/>
      <c r="D1111" s="404"/>
      <c r="O1111" s="405"/>
      <c r="P1111" s="406"/>
      <c r="V1111" s="407"/>
    </row>
    <row r="1112" ht="15.75" customHeight="1">
      <c r="A1112" s="400"/>
      <c r="D1112" s="404"/>
      <c r="O1112" s="405"/>
      <c r="P1112" s="406"/>
      <c r="V1112" s="407"/>
    </row>
    <row r="1113" ht="15.75" customHeight="1">
      <c r="A1113" s="400"/>
      <c r="D1113" s="404"/>
      <c r="O1113" s="405"/>
      <c r="P1113" s="406"/>
      <c r="V1113" s="407"/>
    </row>
    <row r="1114" ht="15.75" customHeight="1">
      <c r="A1114" s="400"/>
      <c r="D1114" s="404"/>
      <c r="O1114" s="405"/>
      <c r="P1114" s="406"/>
      <c r="V1114" s="407"/>
    </row>
    <row r="1115" ht="15.75" customHeight="1">
      <c r="A1115" s="400"/>
      <c r="D1115" s="404"/>
      <c r="O1115" s="405"/>
      <c r="P1115" s="406"/>
      <c r="V1115" s="407"/>
    </row>
    <row r="1116" ht="15.75" customHeight="1">
      <c r="A1116" s="400"/>
      <c r="D1116" s="404"/>
      <c r="O1116" s="405"/>
      <c r="P1116" s="406"/>
      <c r="V1116" s="407"/>
    </row>
    <row r="1117" ht="15.75" customHeight="1">
      <c r="A1117" s="400"/>
      <c r="D1117" s="404"/>
      <c r="O1117" s="405"/>
      <c r="P1117" s="406"/>
      <c r="V1117" s="407"/>
    </row>
    <row r="1118" ht="15.75" customHeight="1">
      <c r="A1118" s="400"/>
      <c r="D1118" s="404"/>
      <c r="O1118" s="405"/>
      <c r="P1118" s="406"/>
      <c r="V1118" s="407"/>
    </row>
    <row r="1119" ht="15.75" customHeight="1">
      <c r="A1119" s="400"/>
      <c r="D1119" s="404"/>
      <c r="O1119" s="405"/>
      <c r="P1119" s="406"/>
      <c r="V1119" s="407"/>
    </row>
    <row r="1120" ht="15.75" customHeight="1">
      <c r="A1120" s="400"/>
      <c r="D1120" s="404"/>
      <c r="O1120" s="405"/>
      <c r="P1120" s="406"/>
      <c r="V1120" s="407"/>
    </row>
    <row r="1121" ht="15.75" customHeight="1">
      <c r="A1121" s="400"/>
      <c r="D1121" s="404"/>
      <c r="O1121" s="405"/>
      <c r="P1121" s="406"/>
      <c r="V1121" s="407"/>
    </row>
    <row r="1122" ht="15.75" customHeight="1">
      <c r="A1122" s="400"/>
      <c r="D1122" s="404"/>
      <c r="O1122" s="405"/>
      <c r="P1122" s="406"/>
      <c r="V1122" s="407"/>
    </row>
    <row r="1123" ht="15.75" customHeight="1">
      <c r="A1123" s="400"/>
      <c r="D1123" s="404"/>
      <c r="O1123" s="405"/>
      <c r="P1123" s="406"/>
      <c r="V1123" s="407"/>
    </row>
    <row r="1124" ht="15.75" customHeight="1">
      <c r="A1124" s="400"/>
      <c r="D1124" s="404"/>
      <c r="O1124" s="405"/>
      <c r="P1124" s="406"/>
      <c r="V1124" s="407"/>
    </row>
    <row r="1125" ht="15.75" customHeight="1">
      <c r="A1125" s="400"/>
      <c r="D1125" s="404"/>
      <c r="O1125" s="405"/>
      <c r="P1125" s="406"/>
      <c r="V1125" s="407"/>
    </row>
    <row r="1126" ht="15.75" customHeight="1">
      <c r="A1126" s="400"/>
      <c r="D1126" s="404"/>
      <c r="O1126" s="405"/>
      <c r="P1126" s="406"/>
      <c r="V1126" s="407"/>
    </row>
    <row r="1127" ht="15.75" customHeight="1">
      <c r="A1127" s="400"/>
      <c r="D1127" s="404"/>
      <c r="O1127" s="405"/>
      <c r="P1127" s="406"/>
      <c r="V1127" s="407"/>
    </row>
    <row r="1128" ht="15.75" customHeight="1">
      <c r="A1128" s="400"/>
      <c r="D1128" s="404"/>
      <c r="O1128" s="405"/>
      <c r="P1128" s="406"/>
      <c r="V1128" s="407"/>
    </row>
    <row r="1129" ht="15.75" customHeight="1">
      <c r="A1129" s="400"/>
      <c r="D1129" s="404"/>
      <c r="O1129" s="405"/>
      <c r="P1129" s="406"/>
      <c r="V1129" s="407"/>
    </row>
    <row r="1130" ht="15.75" customHeight="1">
      <c r="A1130" s="400"/>
      <c r="D1130" s="404"/>
      <c r="O1130" s="405"/>
      <c r="P1130" s="406"/>
      <c r="V1130" s="407"/>
    </row>
    <row r="1131" ht="15.75" customHeight="1">
      <c r="A1131" s="400"/>
      <c r="D1131" s="404"/>
      <c r="O1131" s="405"/>
      <c r="P1131" s="406"/>
      <c r="V1131" s="407"/>
    </row>
    <row r="1132" ht="15.75" customHeight="1">
      <c r="A1132" s="400"/>
      <c r="D1132" s="404"/>
      <c r="O1132" s="405"/>
      <c r="P1132" s="406"/>
      <c r="V1132" s="407"/>
    </row>
    <row r="1133" ht="15.75" customHeight="1">
      <c r="A1133" s="400"/>
      <c r="D1133" s="404"/>
      <c r="O1133" s="405"/>
      <c r="P1133" s="406"/>
      <c r="V1133" s="407"/>
    </row>
    <row r="1134" ht="15.75" customHeight="1">
      <c r="A1134" s="400"/>
      <c r="D1134" s="404"/>
      <c r="O1134" s="405"/>
      <c r="P1134" s="406"/>
      <c r="V1134" s="407"/>
    </row>
    <row r="1135" ht="15.75" customHeight="1">
      <c r="A1135" s="400"/>
      <c r="D1135" s="404"/>
      <c r="O1135" s="405"/>
      <c r="P1135" s="406"/>
      <c r="V1135" s="407"/>
    </row>
    <row r="1136" ht="15.75" customHeight="1">
      <c r="A1136" s="400"/>
      <c r="D1136" s="404"/>
      <c r="O1136" s="405"/>
      <c r="P1136" s="406"/>
      <c r="V1136" s="407"/>
    </row>
    <row r="1137" ht="15.75" customHeight="1">
      <c r="A1137" s="400"/>
      <c r="D1137" s="404"/>
      <c r="O1137" s="405"/>
      <c r="P1137" s="406"/>
      <c r="V1137" s="407"/>
    </row>
    <row r="1138" ht="15.75" customHeight="1">
      <c r="A1138" s="400"/>
      <c r="D1138" s="404"/>
      <c r="O1138" s="405"/>
      <c r="P1138" s="406"/>
      <c r="V1138" s="407"/>
    </row>
    <row r="1139" ht="15.75" customHeight="1">
      <c r="A1139" s="400"/>
      <c r="D1139" s="404"/>
      <c r="O1139" s="405"/>
      <c r="P1139" s="406"/>
      <c r="V1139" s="407"/>
    </row>
    <row r="1140" ht="15.75" customHeight="1">
      <c r="A1140" s="400"/>
      <c r="D1140" s="404"/>
      <c r="O1140" s="405"/>
      <c r="P1140" s="406"/>
      <c r="V1140" s="407"/>
    </row>
    <row r="1141" ht="15.75" customHeight="1">
      <c r="A1141" s="400"/>
      <c r="D1141" s="404"/>
      <c r="O1141" s="405"/>
      <c r="P1141" s="406"/>
      <c r="V1141" s="407"/>
    </row>
    <row r="1142" ht="15.75" customHeight="1">
      <c r="A1142" s="400"/>
      <c r="D1142" s="404"/>
      <c r="O1142" s="405"/>
      <c r="P1142" s="406"/>
      <c r="V1142" s="407"/>
    </row>
    <row r="1143" ht="15.75" customHeight="1">
      <c r="A1143" s="400"/>
      <c r="D1143" s="404"/>
      <c r="O1143" s="405"/>
      <c r="P1143" s="406"/>
      <c r="V1143" s="407"/>
    </row>
    <row r="1144" ht="15.75" customHeight="1">
      <c r="A1144" s="400"/>
      <c r="D1144" s="404"/>
      <c r="O1144" s="405"/>
      <c r="P1144" s="406"/>
      <c r="V1144" s="407"/>
    </row>
    <row r="1145" ht="15.75" customHeight="1">
      <c r="A1145" s="400"/>
      <c r="D1145" s="404"/>
      <c r="O1145" s="405"/>
      <c r="P1145" s="406"/>
      <c r="V1145" s="407"/>
    </row>
    <row r="1146" ht="15.75" customHeight="1">
      <c r="A1146" s="400"/>
      <c r="D1146" s="404"/>
      <c r="O1146" s="405"/>
      <c r="P1146" s="406"/>
      <c r="V1146" s="407"/>
    </row>
    <row r="1147" ht="15.75" customHeight="1">
      <c r="A1147" s="400"/>
      <c r="D1147" s="404"/>
      <c r="O1147" s="405"/>
      <c r="P1147" s="406"/>
      <c r="V1147" s="407"/>
    </row>
    <row r="1148" ht="15.75" customHeight="1">
      <c r="A1148" s="400"/>
      <c r="D1148" s="404"/>
      <c r="O1148" s="405"/>
      <c r="P1148" s="406"/>
      <c r="V1148" s="407"/>
    </row>
    <row r="1149" ht="15.75" customHeight="1">
      <c r="A1149" s="400"/>
      <c r="D1149" s="404"/>
      <c r="O1149" s="405"/>
      <c r="P1149" s="406"/>
      <c r="V1149" s="407"/>
    </row>
    <row r="1150" ht="15.75" customHeight="1">
      <c r="A1150" s="400"/>
      <c r="D1150" s="404"/>
      <c r="O1150" s="405"/>
      <c r="P1150" s="406"/>
      <c r="V1150" s="407"/>
    </row>
    <row r="1151" ht="15.75" customHeight="1">
      <c r="A1151" s="400"/>
      <c r="D1151" s="404"/>
      <c r="O1151" s="405"/>
      <c r="P1151" s="406"/>
      <c r="V1151" s="407"/>
    </row>
    <row r="1152" ht="15.75" customHeight="1">
      <c r="A1152" s="400"/>
      <c r="D1152" s="404"/>
      <c r="O1152" s="405"/>
      <c r="P1152" s="406"/>
      <c r="V1152" s="407"/>
    </row>
    <row r="1153" ht="15.75" customHeight="1">
      <c r="A1153" s="400"/>
      <c r="D1153" s="404"/>
      <c r="O1153" s="405"/>
      <c r="P1153" s="406"/>
      <c r="V1153" s="407"/>
    </row>
    <row r="1154" ht="15.75" customHeight="1">
      <c r="A1154" s="400"/>
      <c r="D1154" s="404"/>
      <c r="O1154" s="405"/>
      <c r="P1154" s="406"/>
      <c r="V1154" s="407"/>
    </row>
    <row r="1155" ht="15.75" customHeight="1">
      <c r="A1155" s="400"/>
      <c r="D1155" s="404"/>
      <c r="O1155" s="405"/>
      <c r="P1155" s="406"/>
      <c r="V1155" s="407"/>
    </row>
    <row r="1156" ht="15.75" customHeight="1">
      <c r="A1156" s="400"/>
      <c r="D1156" s="404"/>
      <c r="O1156" s="405"/>
      <c r="P1156" s="406"/>
      <c r="V1156" s="407"/>
    </row>
    <row r="1157" ht="15.75" customHeight="1">
      <c r="A1157" s="400"/>
      <c r="D1157" s="404"/>
      <c r="O1157" s="405"/>
      <c r="P1157" s="406"/>
      <c r="V1157" s="407"/>
    </row>
    <row r="1158" ht="15.75" customHeight="1">
      <c r="A1158" s="400"/>
      <c r="D1158" s="404"/>
      <c r="O1158" s="405"/>
      <c r="P1158" s="406"/>
      <c r="V1158" s="407"/>
    </row>
    <row r="1159" ht="15.75" customHeight="1">
      <c r="A1159" s="400"/>
      <c r="D1159" s="404"/>
      <c r="O1159" s="405"/>
      <c r="P1159" s="406"/>
      <c r="V1159" s="407"/>
    </row>
    <row r="1160" ht="15.75" customHeight="1">
      <c r="A1160" s="400"/>
      <c r="D1160" s="404"/>
      <c r="O1160" s="405"/>
      <c r="P1160" s="406"/>
      <c r="V1160" s="407"/>
    </row>
    <row r="1161" ht="15.75" customHeight="1">
      <c r="A1161" s="400"/>
      <c r="D1161" s="404"/>
      <c r="O1161" s="405"/>
      <c r="P1161" s="406"/>
      <c r="V1161" s="407"/>
    </row>
    <row r="1162" ht="15.75" customHeight="1">
      <c r="A1162" s="400"/>
      <c r="D1162" s="404"/>
      <c r="O1162" s="405"/>
      <c r="P1162" s="406"/>
      <c r="V1162" s="407"/>
    </row>
    <row r="1163" ht="15.75" customHeight="1">
      <c r="A1163" s="400"/>
      <c r="D1163" s="404"/>
      <c r="O1163" s="405"/>
      <c r="P1163" s="406"/>
      <c r="V1163" s="407"/>
    </row>
    <row r="1164" ht="15.75" customHeight="1">
      <c r="A1164" s="400"/>
      <c r="D1164" s="404"/>
      <c r="O1164" s="405"/>
      <c r="P1164" s="406"/>
      <c r="V1164" s="407"/>
    </row>
    <row r="1165" ht="15.75" customHeight="1">
      <c r="A1165" s="400"/>
      <c r="D1165" s="404"/>
      <c r="O1165" s="405"/>
      <c r="P1165" s="406"/>
      <c r="V1165" s="407"/>
    </row>
    <row r="1166" ht="15.75" customHeight="1">
      <c r="A1166" s="400"/>
      <c r="D1166" s="404"/>
      <c r="O1166" s="405"/>
      <c r="P1166" s="406"/>
      <c r="V1166" s="407"/>
    </row>
    <row r="1167" ht="15.75" customHeight="1">
      <c r="A1167" s="400"/>
      <c r="D1167" s="404"/>
      <c r="O1167" s="405"/>
      <c r="P1167" s="406"/>
      <c r="V1167" s="407"/>
    </row>
    <row r="1168" ht="15.75" customHeight="1">
      <c r="A1168" s="400"/>
      <c r="D1168" s="404"/>
      <c r="O1168" s="405"/>
      <c r="P1168" s="406"/>
      <c r="V1168" s="407"/>
    </row>
    <row r="1169" ht="15.75" customHeight="1">
      <c r="A1169" s="400"/>
      <c r="D1169" s="404"/>
      <c r="O1169" s="405"/>
      <c r="P1169" s="406"/>
      <c r="V1169" s="407"/>
    </row>
    <row r="1170" ht="15.75" customHeight="1">
      <c r="A1170" s="400"/>
      <c r="D1170" s="404"/>
      <c r="O1170" s="405"/>
      <c r="P1170" s="406"/>
      <c r="V1170" s="407"/>
    </row>
    <row r="1171" ht="15.75" customHeight="1">
      <c r="A1171" s="400"/>
      <c r="D1171" s="404"/>
      <c r="O1171" s="405"/>
      <c r="P1171" s="406"/>
      <c r="V1171" s="407"/>
    </row>
    <row r="1172" ht="15.75" customHeight="1">
      <c r="A1172" s="400"/>
      <c r="D1172" s="404"/>
      <c r="O1172" s="405"/>
      <c r="P1172" s="406"/>
      <c r="V1172" s="407"/>
    </row>
    <row r="1173" ht="15.75" customHeight="1">
      <c r="A1173" s="400"/>
      <c r="D1173" s="404"/>
      <c r="O1173" s="405"/>
      <c r="P1173" s="406"/>
      <c r="V1173" s="407"/>
    </row>
    <row r="1174" ht="15.75" customHeight="1">
      <c r="A1174" s="400"/>
      <c r="D1174" s="404"/>
      <c r="O1174" s="405"/>
      <c r="P1174" s="406"/>
      <c r="V1174" s="407"/>
    </row>
    <row r="1175" ht="15.75" customHeight="1">
      <c r="A1175" s="400"/>
      <c r="D1175" s="404"/>
      <c r="O1175" s="405"/>
      <c r="P1175" s="406"/>
      <c r="V1175" s="407"/>
    </row>
    <row r="1176" ht="15.75" customHeight="1">
      <c r="A1176" s="400"/>
      <c r="D1176" s="404"/>
      <c r="O1176" s="405"/>
      <c r="P1176" s="406"/>
      <c r="V1176" s="407"/>
    </row>
    <row r="1177" ht="15.75" customHeight="1">
      <c r="A1177" s="400"/>
      <c r="D1177" s="404"/>
      <c r="O1177" s="405"/>
      <c r="P1177" s="406"/>
      <c r="V1177" s="407"/>
    </row>
    <row r="1178" ht="15.75" customHeight="1">
      <c r="A1178" s="400"/>
      <c r="D1178" s="404"/>
      <c r="O1178" s="405"/>
      <c r="P1178" s="406"/>
      <c r="V1178" s="407"/>
    </row>
    <row r="1179" ht="15.75" customHeight="1">
      <c r="A1179" s="400"/>
      <c r="D1179" s="404"/>
      <c r="O1179" s="405"/>
      <c r="P1179" s="406"/>
      <c r="V1179" s="407"/>
    </row>
    <row r="1180" ht="15.75" customHeight="1">
      <c r="A1180" s="400"/>
      <c r="D1180" s="404"/>
      <c r="O1180" s="405"/>
      <c r="P1180" s="406"/>
      <c r="V1180" s="407"/>
    </row>
    <row r="1181" ht="15.75" customHeight="1">
      <c r="A1181" s="400"/>
      <c r="D1181" s="404"/>
      <c r="O1181" s="405"/>
      <c r="P1181" s="406"/>
      <c r="V1181" s="407"/>
    </row>
    <row r="1182" ht="15.75" customHeight="1">
      <c r="A1182" s="400"/>
      <c r="D1182" s="404"/>
      <c r="O1182" s="405"/>
      <c r="P1182" s="406"/>
      <c r="V1182" s="407"/>
    </row>
    <row r="1183" ht="15.75" customHeight="1">
      <c r="A1183" s="400"/>
      <c r="D1183" s="404"/>
      <c r="O1183" s="405"/>
      <c r="P1183" s="406"/>
      <c r="V1183" s="407"/>
    </row>
    <row r="1184" ht="15.75" customHeight="1">
      <c r="A1184" s="400"/>
      <c r="D1184" s="404"/>
      <c r="O1184" s="405"/>
      <c r="P1184" s="406"/>
      <c r="V1184" s="407"/>
    </row>
    <row r="1185" ht="15.75" customHeight="1">
      <c r="A1185" s="400"/>
      <c r="D1185" s="404"/>
      <c r="O1185" s="405"/>
      <c r="P1185" s="406"/>
      <c r="V1185" s="407"/>
    </row>
    <row r="1186" ht="15.75" customHeight="1">
      <c r="A1186" s="400"/>
      <c r="D1186" s="404"/>
      <c r="O1186" s="405"/>
      <c r="P1186" s="406"/>
      <c r="V1186" s="407"/>
    </row>
    <row r="1187" ht="15.75" customHeight="1">
      <c r="A1187" s="400"/>
      <c r="D1187" s="404"/>
      <c r="O1187" s="405"/>
      <c r="P1187" s="406"/>
      <c r="V1187" s="407"/>
    </row>
    <row r="1188" ht="15.75" customHeight="1">
      <c r="A1188" s="400"/>
      <c r="D1188" s="404"/>
      <c r="O1188" s="405"/>
      <c r="P1188" s="406"/>
      <c r="V1188" s="407"/>
    </row>
    <row r="1189" ht="15.75" customHeight="1">
      <c r="A1189" s="400"/>
      <c r="D1189" s="404"/>
      <c r="O1189" s="405"/>
      <c r="P1189" s="406"/>
      <c r="V1189" s="407"/>
    </row>
    <row r="1190" ht="15.75" customHeight="1">
      <c r="A1190" s="400"/>
      <c r="D1190" s="404"/>
      <c r="O1190" s="405"/>
      <c r="P1190" s="406"/>
      <c r="V1190" s="407"/>
    </row>
    <row r="1191" ht="15.75" customHeight="1">
      <c r="A1191" s="400"/>
      <c r="D1191" s="404"/>
      <c r="O1191" s="405"/>
      <c r="P1191" s="406"/>
      <c r="V1191" s="407"/>
    </row>
    <row r="1192" ht="15.75" customHeight="1">
      <c r="A1192" s="400"/>
      <c r="D1192" s="404"/>
      <c r="O1192" s="405"/>
      <c r="P1192" s="406"/>
      <c r="V1192" s="407"/>
    </row>
    <row r="1193" ht="15.75" customHeight="1">
      <c r="A1193" s="400"/>
      <c r="D1193" s="404"/>
      <c r="O1193" s="405"/>
      <c r="P1193" s="406"/>
      <c r="V1193" s="407"/>
    </row>
    <row r="1194" ht="15.75" customHeight="1">
      <c r="A1194" s="400"/>
      <c r="D1194" s="404"/>
      <c r="O1194" s="405"/>
      <c r="P1194" s="406"/>
      <c r="V1194" s="407"/>
    </row>
    <row r="1195" ht="15.75" customHeight="1">
      <c r="A1195" s="400"/>
      <c r="D1195" s="404"/>
      <c r="O1195" s="405"/>
      <c r="P1195" s="406"/>
      <c r="V1195" s="407"/>
    </row>
    <row r="1196" ht="15.75" customHeight="1">
      <c r="A1196" s="400"/>
      <c r="D1196" s="404"/>
      <c r="O1196" s="405"/>
      <c r="P1196" s="406"/>
      <c r="V1196" s="407"/>
    </row>
    <row r="1197" ht="15.75" customHeight="1">
      <c r="A1197" s="400"/>
      <c r="D1197" s="404"/>
      <c r="O1197" s="405"/>
      <c r="P1197" s="406"/>
      <c r="V1197" s="407"/>
    </row>
    <row r="1198" ht="15.75" customHeight="1">
      <c r="A1198" s="400"/>
      <c r="D1198" s="404"/>
      <c r="O1198" s="405"/>
      <c r="P1198" s="406"/>
      <c r="V1198" s="407"/>
    </row>
    <row r="1199" ht="15.75" customHeight="1">
      <c r="A1199" s="400"/>
      <c r="D1199" s="404"/>
      <c r="O1199" s="405"/>
      <c r="P1199" s="406"/>
      <c r="V1199" s="407"/>
    </row>
    <row r="1200" ht="15.75" customHeight="1">
      <c r="A1200" s="400"/>
      <c r="D1200" s="404"/>
      <c r="O1200" s="405"/>
      <c r="P1200" s="406"/>
      <c r="V1200" s="407"/>
    </row>
    <row r="1201" ht="15.75" customHeight="1">
      <c r="A1201" s="400"/>
      <c r="D1201" s="404"/>
      <c r="O1201" s="405"/>
      <c r="P1201" s="406"/>
      <c r="V1201" s="407"/>
    </row>
    <row r="1202" ht="15.75" customHeight="1">
      <c r="A1202" s="400"/>
      <c r="D1202" s="404"/>
      <c r="O1202" s="405"/>
      <c r="P1202" s="406"/>
      <c r="V1202" s="407"/>
    </row>
    <row r="1203" ht="15.75" customHeight="1">
      <c r="A1203" s="400"/>
      <c r="D1203" s="404"/>
      <c r="O1203" s="405"/>
      <c r="P1203" s="406"/>
      <c r="V1203" s="407"/>
    </row>
    <row r="1204" ht="15.75" customHeight="1">
      <c r="A1204" s="400"/>
      <c r="D1204" s="404"/>
      <c r="O1204" s="405"/>
      <c r="P1204" s="406"/>
      <c r="V1204" s="407"/>
    </row>
    <row r="1205" ht="15.75" customHeight="1">
      <c r="A1205" s="400"/>
      <c r="D1205" s="404"/>
      <c r="O1205" s="405"/>
      <c r="P1205" s="406"/>
      <c r="V1205" s="407"/>
    </row>
    <row r="1206" ht="15.75" customHeight="1">
      <c r="A1206" s="400"/>
      <c r="D1206" s="404"/>
      <c r="O1206" s="405"/>
      <c r="P1206" s="406"/>
      <c r="V1206" s="407"/>
    </row>
    <row r="1207" ht="15.75" customHeight="1">
      <c r="A1207" s="400"/>
      <c r="D1207" s="404"/>
      <c r="O1207" s="405"/>
      <c r="P1207" s="406"/>
      <c r="V1207" s="407"/>
    </row>
    <row r="1208" ht="15.75" customHeight="1">
      <c r="A1208" s="400"/>
      <c r="D1208" s="404"/>
      <c r="O1208" s="405"/>
      <c r="P1208" s="406"/>
      <c r="V1208" s="407"/>
    </row>
    <row r="1209" ht="15.75" customHeight="1">
      <c r="A1209" s="400"/>
      <c r="D1209" s="404"/>
      <c r="O1209" s="405"/>
      <c r="P1209" s="406"/>
      <c r="V1209" s="407"/>
    </row>
    <row r="1210" ht="15.75" customHeight="1">
      <c r="A1210" s="400"/>
      <c r="D1210" s="404"/>
      <c r="O1210" s="405"/>
      <c r="P1210" s="406"/>
      <c r="V1210" s="407"/>
    </row>
    <row r="1211" ht="15.75" customHeight="1">
      <c r="A1211" s="400"/>
      <c r="D1211" s="404"/>
      <c r="O1211" s="405"/>
      <c r="P1211" s="406"/>
      <c r="V1211" s="407"/>
    </row>
    <row r="1212" ht="15.75" customHeight="1">
      <c r="A1212" s="400"/>
      <c r="D1212" s="404"/>
      <c r="O1212" s="405"/>
      <c r="P1212" s="406"/>
      <c r="V1212" s="407"/>
    </row>
    <row r="1213" ht="15.75" customHeight="1">
      <c r="A1213" s="400"/>
      <c r="D1213" s="404"/>
      <c r="O1213" s="405"/>
      <c r="P1213" s="406"/>
      <c r="V1213" s="407"/>
    </row>
    <row r="1214" ht="15.75" customHeight="1">
      <c r="A1214" s="400"/>
      <c r="D1214" s="404"/>
      <c r="O1214" s="405"/>
      <c r="P1214" s="406"/>
      <c r="V1214" s="407"/>
    </row>
    <row r="1215" ht="15.75" customHeight="1">
      <c r="A1215" s="400"/>
      <c r="D1215" s="404"/>
      <c r="O1215" s="405"/>
      <c r="P1215" s="406"/>
      <c r="V1215" s="407"/>
    </row>
    <row r="1216" ht="15.75" customHeight="1">
      <c r="A1216" s="400"/>
      <c r="D1216" s="404"/>
      <c r="O1216" s="405"/>
      <c r="P1216" s="406"/>
      <c r="V1216" s="407"/>
    </row>
    <row r="1217" ht="15.75" customHeight="1">
      <c r="A1217" s="400"/>
      <c r="D1217" s="404"/>
      <c r="O1217" s="405"/>
      <c r="P1217" s="406"/>
      <c r="V1217" s="407"/>
    </row>
    <row r="1218" ht="15.75" customHeight="1">
      <c r="A1218" s="400"/>
      <c r="D1218" s="404"/>
      <c r="O1218" s="405"/>
      <c r="P1218" s="406"/>
      <c r="V1218" s="407"/>
    </row>
    <row r="1219" ht="15.75" customHeight="1">
      <c r="A1219" s="400"/>
      <c r="D1219" s="404"/>
      <c r="O1219" s="405"/>
      <c r="P1219" s="406"/>
      <c r="V1219" s="407"/>
    </row>
    <row r="1220" ht="15.75" customHeight="1">
      <c r="A1220" s="400"/>
      <c r="D1220" s="404"/>
      <c r="O1220" s="405"/>
      <c r="P1220" s="406"/>
      <c r="V1220" s="407"/>
    </row>
    <row r="1221" ht="15.75" customHeight="1">
      <c r="A1221" s="400"/>
      <c r="D1221" s="404"/>
      <c r="O1221" s="405"/>
      <c r="P1221" s="406"/>
      <c r="V1221" s="407"/>
    </row>
    <row r="1222" ht="15.75" customHeight="1">
      <c r="A1222" s="400"/>
      <c r="D1222" s="404"/>
      <c r="O1222" s="405"/>
      <c r="P1222" s="406"/>
      <c r="V1222" s="407"/>
    </row>
    <row r="1223" ht="15.75" customHeight="1">
      <c r="A1223" s="400"/>
      <c r="D1223" s="404"/>
      <c r="O1223" s="405"/>
      <c r="P1223" s="406"/>
      <c r="V1223" s="407"/>
    </row>
    <row r="1224" ht="15.75" customHeight="1">
      <c r="A1224" s="400"/>
      <c r="D1224" s="404"/>
      <c r="O1224" s="405"/>
      <c r="P1224" s="406"/>
      <c r="V1224" s="407"/>
    </row>
    <row r="1225" ht="15.75" customHeight="1">
      <c r="A1225" s="400"/>
      <c r="D1225" s="404"/>
      <c r="O1225" s="405"/>
      <c r="P1225" s="406"/>
      <c r="V1225" s="407"/>
    </row>
    <row r="1226" ht="15.75" customHeight="1">
      <c r="A1226" s="400"/>
      <c r="D1226" s="404"/>
      <c r="O1226" s="405"/>
      <c r="P1226" s="406"/>
      <c r="V1226" s="407"/>
    </row>
    <row r="1227" ht="15.75" customHeight="1">
      <c r="A1227" s="400"/>
      <c r="D1227" s="404"/>
      <c r="O1227" s="405"/>
      <c r="P1227" s="406"/>
      <c r="V1227" s="407"/>
    </row>
    <row r="1228" ht="15.75" customHeight="1">
      <c r="A1228" s="400"/>
      <c r="D1228" s="404"/>
      <c r="O1228" s="405"/>
      <c r="P1228" s="406"/>
      <c r="V1228" s="407"/>
    </row>
    <row r="1229" ht="15.75" customHeight="1">
      <c r="A1229" s="400"/>
      <c r="D1229" s="404"/>
      <c r="O1229" s="405"/>
      <c r="P1229" s="406"/>
      <c r="V1229" s="407"/>
    </row>
    <row r="1230" ht="15.75" customHeight="1">
      <c r="A1230" s="400"/>
      <c r="D1230" s="404"/>
      <c r="O1230" s="405"/>
      <c r="P1230" s="406"/>
      <c r="V1230" s="407"/>
    </row>
    <row r="1231" ht="15.75" customHeight="1">
      <c r="A1231" s="400"/>
      <c r="D1231" s="404"/>
      <c r="O1231" s="405"/>
      <c r="P1231" s="406"/>
      <c r="V1231" s="407"/>
    </row>
    <row r="1232" ht="15.75" customHeight="1">
      <c r="A1232" s="400"/>
      <c r="D1232" s="404"/>
      <c r="O1232" s="405"/>
      <c r="P1232" s="406"/>
      <c r="V1232" s="407"/>
    </row>
    <row r="1233" ht="15.75" customHeight="1">
      <c r="A1233" s="400"/>
      <c r="D1233" s="404"/>
      <c r="O1233" s="405"/>
      <c r="P1233" s="406"/>
      <c r="V1233" s="407"/>
    </row>
    <row r="1234" ht="15.75" customHeight="1">
      <c r="A1234" s="400"/>
      <c r="D1234" s="404"/>
      <c r="O1234" s="405"/>
      <c r="P1234" s="406"/>
      <c r="V1234" s="407"/>
    </row>
    <row r="1235" ht="15.75" customHeight="1">
      <c r="A1235" s="400"/>
      <c r="D1235" s="404"/>
      <c r="O1235" s="405"/>
      <c r="P1235" s="406"/>
      <c r="V1235" s="407"/>
    </row>
    <row r="1236" ht="15.75" customHeight="1">
      <c r="A1236" s="400"/>
      <c r="D1236" s="404"/>
      <c r="O1236" s="405"/>
      <c r="P1236" s="406"/>
      <c r="V1236" s="407"/>
    </row>
    <row r="1237" ht="15.75" customHeight="1">
      <c r="A1237" s="400"/>
      <c r="D1237" s="404"/>
      <c r="O1237" s="405"/>
      <c r="P1237" s="406"/>
      <c r="V1237" s="407"/>
    </row>
    <row r="1238" ht="15.75" customHeight="1">
      <c r="A1238" s="400"/>
      <c r="D1238" s="404"/>
      <c r="O1238" s="405"/>
      <c r="P1238" s="406"/>
      <c r="V1238" s="407"/>
    </row>
    <row r="1239" ht="15.75" customHeight="1">
      <c r="A1239" s="400"/>
      <c r="D1239" s="404"/>
      <c r="O1239" s="405"/>
      <c r="P1239" s="406"/>
      <c r="V1239" s="407"/>
    </row>
    <row r="1240" ht="15.75" customHeight="1">
      <c r="A1240" s="400"/>
      <c r="D1240" s="404"/>
      <c r="O1240" s="405"/>
      <c r="P1240" s="406"/>
      <c r="V1240" s="407"/>
    </row>
    <row r="1241" ht="15.75" customHeight="1">
      <c r="A1241" s="400"/>
      <c r="D1241" s="404"/>
      <c r="O1241" s="405"/>
      <c r="P1241" s="406"/>
      <c r="V1241" s="407"/>
    </row>
    <row r="1242" ht="15.75" customHeight="1">
      <c r="A1242" s="400"/>
      <c r="D1242" s="404"/>
      <c r="O1242" s="405"/>
      <c r="P1242" s="406"/>
      <c r="V1242" s="407"/>
    </row>
    <row r="1243" ht="15.75" customHeight="1">
      <c r="A1243" s="400"/>
      <c r="D1243" s="404"/>
      <c r="O1243" s="405"/>
      <c r="P1243" s="406"/>
      <c r="V1243" s="407"/>
    </row>
    <row r="1244" ht="15.75" customHeight="1">
      <c r="A1244" s="400"/>
      <c r="D1244" s="404"/>
      <c r="O1244" s="405"/>
      <c r="P1244" s="406"/>
      <c r="V1244" s="407"/>
    </row>
    <row r="1245" ht="15.75" customHeight="1">
      <c r="A1245" s="400"/>
      <c r="D1245" s="404"/>
      <c r="O1245" s="405"/>
      <c r="P1245" s="406"/>
      <c r="V1245" s="407"/>
    </row>
    <row r="1246" ht="15.75" customHeight="1">
      <c r="A1246" s="400"/>
      <c r="D1246" s="404"/>
      <c r="O1246" s="405"/>
      <c r="P1246" s="406"/>
      <c r="V1246" s="407"/>
    </row>
    <row r="1247" ht="15.75" customHeight="1">
      <c r="A1247" s="400"/>
      <c r="D1247" s="404"/>
      <c r="O1247" s="405"/>
      <c r="P1247" s="406"/>
      <c r="V1247" s="407"/>
    </row>
    <row r="1248" ht="15.75" customHeight="1">
      <c r="A1248" s="400"/>
      <c r="D1248" s="404"/>
      <c r="O1248" s="405"/>
      <c r="P1248" s="406"/>
      <c r="V1248" s="407"/>
    </row>
    <row r="1249" ht="15.75" customHeight="1">
      <c r="A1249" s="400"/>
      <c r="D1249" s="404"/>
      <c r="O1249" s="405"/>
      <c r="P1249" s="406"/>
      <c r="V1249" s="407"/>
    </row>
    <row r="1250" ht="15.75" customHeight="1">
      <c r="A1250" s="400"/>
      <c r="D1250" s="404"/>
      <c r="O1250" s="405"/>
      <c r="P1250" s="406"/>
      <c r="V1250" s="407"/>
    </row>
    <row r="1251" ht="15.75" customHeight="1">
      <c r="A1251" s="400"/>
      <c r="D1251" s="404"/>
      <c r="O1251" s="405"/>
      <c r="P1251" s="406"/>
      <c r="V1251" s="407"/>
    </row>
    <row r="1252" ht="15.75" customHeight="1">
      <c r="A1252" s="400"/>
      <c r="D1252" s="404"/>
      <c r="O1252" s="405"/>
      <c r="P1252" s="406"/>
      <c r="V1252" s="407"/>
    </row>
    <row r="1253" ht="15.75" customHeight="1">
      <c r="A1253" s="400"/>
      <c r="D1253" s="404"/>
      <c r="O1253" s="405"/>
      <c r="P1253" s="406"/>
      <c r="V1253" s="407"/>
    </row>
    <row r="1254" ht="15.75" customHeight="1">
      <c r="A1254" s="400"/>
      <c r="D1254" s="404"/>
      <c r="O1254" s="405"/>
      <c r="P1254" s="406"/>
      <c r="V1254" s="407"/>
    </row>
    <row r="1255" ht="15.75" customHeight="1">
      <c r="A1255" s="400"/>
      <c r="D1255" s="404"/>
      <c r="O1255" s="405"/>
      <c r="P1255" s="406"/>
      <c r="V1255" s="407"/>
    </row>
    <row r="1256" ht="15.75" customHeight="1">
      <c r="A1256" s="400"/>
      <c r="D1256" s="404"/>
      <c r="O1256" s="405"/>
      <c r="P1256" s="406"/>
      <c r="V1256" s="407"/>
    </row>
    <row r="1257" ht="15.75" customHeight="1">
      <c r="A1257" s="400"/>
      <c r="D1257" s="404"/>
      <c r="O1257" s="405"/>
      <c r="P1257" s="406"/>
      <c r="V1257" s="407"/>
    </row>
    <row r="1258" ht="15.75" customHeight="1">
      <c r="A1258" s="400"/>
      <c r="D1258" s="404"/>
      <c r="O1258" s="405"/>
      <c r="P1258" s="406"/>
      <c r="V1258" s="407"/>
    </row>
    <row r="1259" ht="15.75" customHeight="1">
      <c r="A1259" s="400"/>
      <c r="D1259" s="404"/>
      <c r="O1259" s="405"/>
      <c r="P1259" s="406"/>
      <c r="V1259" s="407"/>
    </row>
    <row r="1260" ht="15.75" customHeight="1">
      <c r="A1260" s="400"/>
      <c r="D1260" s="404"/>
      <c r="O1260" s="405"/>
      <c r="P1260" s="406"/>
      <c r="V1260" s="407"/>
    </row>
    <row r="1261" ht="15.75" customHeight="1">
      <c r="A1261" s="400"/>
      <c r="D1261" s="404"/>
      <c r="O1261" s="405"/>
      <c r="P1261" s="406"/>
      <c r="V1261" s="407"/>
    </row>
    <row r="1262" ht="15.75" customHeight="1">
      <c r="A1262" s="400"/>
      <c r="D1262" s="404"/>
      <c r="O1262" s="405"/>
      <c r="P1262" s="406"/>
      <c r="V1262" s="407"/>
    </row>
    <row r="1263" ht="15.75" customHeight="1">
      <c r="A1263" s="400"/>
      <c r="D1263" s="404"/>
      <c r="O1263" s="405"/>
      <c r="P1263" s="406"/>
      <c r="V1263" s="407"/>
    </row>
    <row r="1264" ht="15.75" customHeight="1">
      <c r="A1264" s="400"/>
      <c r="D1264" s="404"/>
      <c r="O1264" s="405"/>
      <c r="P1264" s="406"/>
      <c r="V1264" s="407"/>
    </row>
    <row r="1265" ht="15.75" customHeight="1">
      <c r="A1265" s="400"/>
      <c r="D1265" s="404"/>
      <c r="O1265" s="405"/>
      <c r="P1265" s="406"/>
      <c r="V1265" s="407"/>
    </row>
    <row r="1266" ht="15.75" customHeight="1">
      <c r="A1266" s="400"/>
      <c r="D1266" s="404"/>
      <c r="O1266" s="405"/>
      <c r="P1266" s="406"/>
      <c r="V1266" s="407"/>
    </row>
    <row r="1267" ht="15.75" customHeight="1">
      <c r="A1267" s="400"/>
      <c r="D1267" s="404"/>
      <c r="O1267" s="405"/>
      <c r="P1267" s="406"/>
      <c r="V1267" s="407"/>
    </row>
    <row r="1268" ht="15.75" customHeight="1">
      <c r="A1268" s="400"/>
      <c r="D1268" s="404"/>
      <c r="O1268" s="405"/>
      <c r="P1268" s="406"/>
      <c r="V1268" s="407"/>
    </row>
    <row r="1269" ht="15.75" customHeight="1">
      <c r="A1269" s="400"/>
      <c r="D1269" s="404"/>
      <c r="O1269" s="405"/>
      <c r="P1269" s="406"/>
      <c r="V1269" s="407"/>
    </row>
    <row r="1270" ht="15.75" customHeight="1">
      <c r="A1270" s="400"/>
      <c r="D1270" s="404"/>
      <c r="O1270" s="405"/>
      <c r="P1270" s="406"/>
      <c r="V1270" s="407"/>
    </row>
    <row r="1271" ht="15.75" customHeight="1">
      <c r="A1271" s="400"/>
      <c r="D1271" s="404"/>
      <c r="O1271" s="405"/>
      <c r="P1271" s="406"/>
      <c r="V1271" s="407"/>
    </row>
    <row r="1272" ht="15.75" customHeight="1">
      <c r="A1272" s="400"/>
      <c r="D1272" s="404"/>
      <c r="O1272" s="405"/>
      <c r="P1272" s="406"/>
      <c r="V1272" s="407"/>
    </row>
    <row r="1273" ht="15.75" customHeight="1">
      <c r="A1273" s="400"/>
      <c r="D1273" s="404"/>
      <c r="O1273" s="405"/>
      <c r="P1273" s="406"/>
      <c r="V1273" s="407"/>
    </row>
    <row r="1274" ht="15.75" customHeight="1">
      <c r="A1274" s="400"/>
      <c r="D1274" s="404"/>
      <c r="O1274" s="405"/>
      <c r="P1274" s="406"/>
      <c r="V1274" s="407"/>
    </row>
    <row r="1275" ht="15.75" customHeight="1">
      <c r="A1275" s="400"/>
      <c r="D1275" s="404"/>
      <c r="O1275" s="405"/>
      <c r="P1275" s="406"/>
      <c r="V1275" s="407"/>
    </row>
    <row r="1276" ht="15.75" customHeight="1">
      <c r="A1276" s="400"/>
      <c r="D1276" s="404"/>
      <c r="O1276" s="405"/>
      <c r="P1276" s="406"/>
      <c r="V1276" s="407"/>
    </row>
    <row r="1277" ht="15.75" customHeight="1">
      <c r="A1277" s="400"/>
      <c r="D1277" s="404"/>
      <c r="O1277" s="405"/>
      <c r="P1277" s="406"/>
      <c r="V1277" s="407"/>
    </row>
    <row r="1278" ht="15.75" customHeight="1">
      <c r="A1278" s="400"/>
      <c r="D1278" s="404"/>
      <c r="O1278" s="405"/>
      <c r="P1278" s="406"/>
      <c r="V1278" s="407"/>
    </row>
    <row r="1279" ht="15.75" customHeight="1">
      <c r="A1279" s="400"/>
      <c r="D1279" s="404"/>
      <c r="O1279" s="405"/>
      <c r="P1279" s="406"/>
      <c r="V1279" s="407"/>
    </row>
    <row r="1280" ht="15.75" customHeight="1">
      <c r="A1280" s="400"/>
      <c r="D1280" s="404"/>
      <c r="O1280" s="405"/>
      <c r="P1280" s="406"/>
      <c r="V1280" s="407"/>
    </row>
    <row r="1281" ht="15.75" customHeight="1">
      <c r="A1281" s="400"/>
      <c r="D1281" s="404"/>
      <c r="O1281" s="405"/>
      <c r="P1281" s="406"/>
      <c r="V1281" s="407"/>
    </row>
    <row r="1282" ht="15.75" customHeight="1">
      <c r="A1282" s="400"/>
      <c r="D1282" s="404"/>
      <c r="O1282" s="405"/>
      <c r="P1282" s="406"/>
      <c r="V1282" s="407"/>
    </row>
    <row r="1283" ht="15.75" customHeight="1">
      <c r="A1283" s="400"/>
      <c r="D1283" s="404"/>
      <c r="O1283" s="405"/>
      <c r="P1283" s="406"/>
      <c r="V1283" s="407"/>
    </row>
    <row r="1284" ht="15.75" customHeight="1">
      <c r="A1284" s="400"/>
      <c r="D1284" s="404"/>
      <c r="O1284" s="405"/>
      <c r="P1284" s="406"/>
      <c r="V1284" s="407"/>
    </row>
    <row r="1285" ht="15.75" customHeight="1">
      <c r="A1285" s="400"/>
      <c r="D1285" s="404"/>
      <c r="O1285" s="405"/>
      <c r="P1285" s="406"/>
      <c r="V1285" s="407"/>
    </row>
    <row r="1286" ht="15.75" customHeight="1">
      <c r="A1286" s="400"/>
      <c r="D1286" s="404"/>
      <c r="O1286" s="405"/>
      <c r="P1286" s="406"/>
      <c r="V1286" s="407"/>
    </row>
    <row r="1287" ht="15.75" customHeight="1">
      <c r="A1287" s="400"/>
      <c r="D1287" s="404"/>
      <c r="O1287" s="405"/>
      <c r="P1287" s="406"/>
      <c r="V1287" s="407"/>
    </row>
    <row r="1288" ht="15.75" customHeight="1">
      <c r="A1288" s="400"/>
      <c r="D1288" s="404"/>
      <c r="O1288" s="405"/>
      <c r="P1288" s="406"/>
      <c r="V1288" s="407"/>
    </row>
    <row r="1289" ht="15.75" customHeight="1">
      <c r="A1289" s="400"/>
      <c r="D1289" s="404"/>
      <c r="O1289" s="405"/>
      <c r="P1289" s="406"/>
      <c r="V1289" s="407"/>
    </row>
    <row r="1290" ht="15.75" customHeight="1">
      <c r="A1290" s="400"/>
      <c r="D1290" s="404"/>
      <c r="O1290" s="405"/>
      <c r="P1290" s="406"/>
      <c r="V1290" s="407"/>
    </row>
    <row r="1291" ht="15.75" customHeight="1">
      <c r="A1291" s="400"/>
      <c r="D1291" s="404"/>
      <c r="O1291" s="405"/>
      <c r="P1291" s="406"/>
      <c r="V1291" s="407"/>
    </row>
    <row r="1292" ht="15.75" customHeight="1">
      <c r="A1292" s="400"/>
      <c r="D1292" s="404"/>
      <c r="O1292" s="405"/>
      <c r="P1292" s="406"/>
      <c r="V1292" s="407"/>
    </row>
    <row r="1293" ht="15.75" customHeight="1">
      <c r="A1293" s="400"/>
      <c r="D1293" s="404"/>
      <c r="O1293" s="405"/>
      <c r="P1293" s="406"/>
      <c r="V1293" s="407"/>
    </row>
    <row r="1294" ht="15.75" customHeight="1">
      <c r="A1294" s="400"/>
      <c r="D1294" s="404"/>
      <c r="O1294" s="405"/>
      <c r="P1294" s="406"/>
      <c r="V1294" s="407"/>
    </row>
    <row r="1295" ht="15.75" customHeight="1">
      <c r="A1295" s="400"/>
      <c r="D1295" s="404"/>
      <c r="O1295" s="405"/>
      <c r="P1295" s="406"/>
      <c r="V1295" s="407"/>
    </row>
    <row r="1296" ht="15.75" customHeight="1">
      <c r="A1296" s="400"/>
      <c r="D1296" s="404"/>
      <c r="O1296" s="405"/>
      <c r="P1296" s="406"/>
      <c r="V1296" s="407"/>
    </row>
    <row r="1297" ht="15.75" customHeight="1">
      <c r="A1297" s="400"/>
      <c r="D1297" s="404"/>
      <c r="O1297" s="405"/>
      <c r="P1297" s="406"/>
      <c r="V1297" s="407"/>
    </row>
    <row r="1298" ht="15.75" customHeight="1">
      <c r="A1298" s="400"/>
      <c r="D1298" s="404"/>
      <c r="O1298" s="405"/>
      <c r="P1298" s="406"/>
      <c r="V1298" s="407"/>
    </row>
    <row r="1299" ht="15.75" customHeight="1">
      <c r="A1299" s="400"/>
      <c r="D1299" s="404"/>
      <c r="O1299" s="405"/>
      <c r="P1299" s="406"/>
      <c r="V1299" s="407"/>
    </row>
    <row r="1300" ht="15.75" customHeight="1">
      <c r="A1300" s="400"/>
      <c r="D1300" s="404"/>
      <c r="O1300" s="405"/>
      <c r="P1300" s="406"/>
      <c r="V1300" s="407"/>
    </row>
    <row r="1301" ht="15.75" customHeight="1">
      <c r="A1301" s="400"/>
      <c r="D1301" s="404"/>
      <c r="O1301" s="405"/>
      <c r="P1301" s="406"/>
      <c r="V1301" s="407"/>
    </row>
    <row r="1302" ht="15.75" customHeight="1">
      <c r="A1302" s="400"/>
      <c r="D1302" s="404"/>
      <c r="O1302" s="405"/>
      <c r="P1302" s="406"/>
      <c r="V1302" s="407"/>
    </row>
    <row r="1303" ht="15.75" customHeight="1">
      <c r="A1303" s="400"/>
      <c r="D1303" s="404"/>
      <c r="O1303" s="405"/>
      <c r="P1303" s="406"/>
      <c r="V1303" s="407"/>
    </row>
    <row r="1304" ht="15.75" customHeight="1">
      <c r="A1304" s="400"/>
      <c r="D1304" s="404"/>
      <c r="O1304" s="405"/>
      <c r="P1304" s="406"/>
      <c r="V1304" s="407"/>
    </row>
    <row r="1305" ht="15.75" customHeight="1">
      <c r="A1305" s="400"/>
      <c r="D1305" s="404"/>
      <c r="O1305" s="405"/>
      <c r="P1305" s="406"/>
      <c r="V1305" s="407"/>
    </row>
    <row r="1306" ht="15.75" customHeight="1">
      <c r="A1306" s="400"/>
      <c r="D1306" s="404"/>
      <c r="O1306" s="405"/>
      <c r="P1306" s="406"/>
      <c r="V1306" s="407"/>
    </row>
    <row r="1307" ht="15.75" customHeight="1">
      <c r="A1307" s="400"/>
      <c r="D1307" s="404"/>
      <c r="O1307" s="405"/>
      <c r="P1307" s="406"/>
      <c r="V1307" s="407"/>
    </row>
    <row r="1308" ht="15.75" customHeight="1">
      <c r="A1308" s="400"/>
      <c r="D1308" s="404"/>
      <c r="O1308" s="405"/>
      <c r="P1308" s="406"/>
      <c r="V1308" s="407"/>
    </row>
    <row r="1309" ht="15.75" customHeight="1">
      <c r="A1309" s="400"/>
      <c r="D1309" s="404"/>
      <c r="O1309" s="405"/>
      <c r="P1309" s="406"/>
      <c r="V1309" s="407"/>
    </row>
    <row r="1310" ht="15.75" customHeight="1">
      <c r="A1310" s="400"/>
      <c r="D1310" s="404"/>
      <c r="O1310" s="405"/>
      <c r="P1310" s="406"/>
      <c r="V1310" s="407"/>
    </row>
    <row r="1311" ht="15.75" customHeight="1">
      <c r="A1311" s="400"/>
      <c r="D1311" s="404"/>
      <c r="O1311" s="405"/>
      <c r="P1311" s="406"/>
      <c r="V1311" s="407"/>
    </row>
    <row r="1312" ht="15.75" customHeight="1">
      <c r="A1312" s="400"/>
      <c r="D1312" s="404"/>
      <c r="O1312" s="405"/>
      <c r="P1312" s="406"/>
      <c r="V1312" s="407"/>
    </row>
    <row r="1313" ht="15.75" customHeight="1">
      <c r="A1313" s="400"/>
      <c r="D1313" s="404"/>
      <c r="O1313" s="405"/>
      <c r="P1313" s="406"/>
      <c r="V1313" s="407"/>
    </row>
    <row r="1314" ht="15.75" customHeight="1">
      <c r="A1314" s="400"/>
      <c r="D1314" s="404"/>
      <c r="O1314" s="405"/>
      <c r="P1314" s="406"/>
      <c r="V1314" s="407"/>
    </row>
    <row r="1315" ht="15.75" customHeight="1">
      <c r="A1315" s="400"/>
      <c r="D1315" s="404"/>
      <c r="O1315" s="405"/>
      <c r="P1315" s="406"/>
      <c r="V1315" s="407"/>
    </row>
    <row r="1316" ht="15.75" customHeight="1">
      <c r="A1316" s="400"/>
      <c r="D1316" s="404"/>
      <c r="O1316" s="405"/>
      <c r="P1316" s="406"/>
      <c r="V1316" s="407"/>
    </row>
    <row r="1317" ht="15.75" customHeight="1">
      <c r="A1317" s="400"/>
      <c r="D1317" s="404"/>
      <c r="O1317" s="405"/>
      <c r="P1317" s="406"/>
      <c r="V1317" s="407"/>
    </row>
    <row r="1318" ht="15.75" customHeight="1">
      <c r="A1318" s="400"/>
      <c r="D1318" s="404"/>
      <c r="O1318" s="405"/>
      <c r="P1318" s="406"/>
      <c r="V1318" s="407"/>
    </row>
    <row r="1319" ht="15.75" customHeight="1">
      <c r="A1319" s="400"/>
      <c r="D1319" s="404"/>
      <c r="O1319" s="405"/>
      <c r="P1319" s="406"/>
      <c r="V1319" s="407"/>
    </row>
    <row r="1320" ht="15.75" customHeight="1">
      <c r="A1320" s="400"/>
      <c r="D1320" s="404"/>
      <c r="O1320" s="405"/>
      <c r="P1320" s="406"/>
      <c r="V1320" s="407"/>
    </row>
    <row r="1321" ht="15.75" customHeight="1">
      <c r="A1321" s="400"/>
      <c r="D1321" s="404"/>
      <c r="O1321" s="405"/>
      <c r="P1321" s="406"/>
      <c r="V1321" s="407"/>
    </row>
    <row r="1322" ht="15.75" customHeight="1">
      <c r="A1322" s="400"/>
      <c r="D1322" s="404"/>
      <c r="O1322" s="405"/>
      <c r="P1322" s="406"/>
      <c r="V1322" s="407"/>
    </row>
    <row r="1323" ht="15.75" customHeight="1">
      <c r="A1323" s="400"/>
      <c r="D1323" s="404"/>
      <c r="O1323" s="405"/>
      <c r="P1323" s="406"/>
      <c r="V1323" s="407"/>
    </row>
    <row r="1324" ht="15.75" customHeight="1">
      <c r="A1324" s="400"/>
      <c r="D1324" s="404"/>
      <c r="O1324" s="405"/>
      <c r="P1324" s="406"/>
      <c r="V1324" s="407"/>
    </row>
    <row r="1325" ht="15.75" customHeight="1">
      <c r="A1325" s="400"/>
      <c r="D1325" s="404"/>
      <c r="O1325" s="405"/>
      <c r="P1325" s="406"/>
      <c r="V1325" s="407"/>
    </row>
    <row r="1326" ht="15.75" customHeight="1">
      <c r="A1326" s="400"/>
      <c r="D1326" s="404"/>
      <c r="O1326" s="405"/>
      <c r="P1326" s="406"/>
      <c r="V1326" s="407"/>
    </row>
    <row r="1327" ht="15.75" customHeight="1">
      <c r="A1327" s="400"/>
      <c r="D1327" s="404"/>
      <c r="O1327" s="405"/>
      <c r="P1327" s="406"/>
      <c r="V1327" s="407"/>
    </row>
    <row r="1328" ht="15.75" customHeight="1">
      <c r="A1328" s="400"/>
      <c r="D1328" s="404"/>
      <c r="O1328" s="405"/>
      <c r="P1328" s="406"/>
      <c r="V1328" s="407"/>
    </row>
    <row r="1329" ht="15.75" customHeight="1">
      <c r="A1329" s="400"/>
      <c r="D1329" s="404"/>
      <c r="O1329" s="405"/>
      <c r="P1329" s="406"/>
      <c r="V1329" s="407"/>
    </row>
    <row r="1330" ht="15.75" customHeight="1">
      <c r="A1330" s="400"/>
      <c r="D1330" s="404"/>
      <c r="O1330" s="405"/>
      <c r="P1330" s="406"/>
      <c r="V1330" s="407"/>
    </row>
    <row r="1331" ht="15.75" customHeight="1">
      <c r="A1331" s="400"/>
      <c r="D1331" s="404"/>
      <c r="O1331" s="405"/>
      <c r="P1331" s="406"/>
      <c r="V1331" s="407"/>
    </row>
    <row r="1332" ht="15.75" customHeight="1">
      <c r="A1332" s="400"/>
      <c r="D1332" s="404"/>
      <c r="O1332" s="405"/>
      <c r="P1332" s="406"/>
      <c r="V1332" s="407"/>
    </row>
    <row r="1333" ht="15.75" customHeight="1">
      <c r="A1333" s="400"/>
      <c r="D1333" s="404"/>
      <c r="O1333" s="405"/>
      <c r="P1333" s="406"/>
      <c r="V1333" s="407"/>
    </row>
    <row r="1334" ht="15.75" customHeight="1">
      <c r="A1334" s="400"/>
      <c r="D1334" s="404"/>
      <c r="O1334" s="405"/>
      <c r="P1334" s="406"/>
      <c r="V1334" s="407"/>
    </row>
    <row r="1335" ht="15.75" customHeight="1">
      <c r="A1335" s="400"/>
      <c r="D1335" s="404"/>
      <c r="O1335" s="405"/>
      <c r="P1335" s="406"/>
      <c r="V1335" s="407"/>
    </row>
    <row r="1336" ht="15.75" customHeight="1">
      <c r="A1336" s="400"/>
      <c r="D1336" s="404"/>
      <c r="O1336" s="405"/>
      <c r="P1336" s="406"/>
      <c r="V1336" s="407"/>
    </row>
    <row r="1337" ht="15.75" customHeight="1">
      <c r="A1337" s="400"/>
      <c r="D1337" s="404"/>
      <c r="O1337" s="405"/>
      <c r="P1337" s="406"/>
      <c r="V1337" s="407"/>
    </row>
    <row r="1338" ht="15.75" customHeight="1">
      <c r="A1338" s="400"/>
      <c r="D1338" s="404"/>
      <c r="O1338" s="405"/>
      <c r="P1338" s="406"/>
      <c r="V1338" s="407"/>
    </row>
    <row r="1339" ht="15.75" customHeight="1">
      <c r="A1339" s="400"/>
      <c r="D1339" s="404"/>
      <c r="O1339" s="405"/>
      <c r="P1339" s="406"/>
      <c r="V1339" s="407"/>
    </row>
    <row r="1340" ht="15.75" customHeight="1">
      <c r="A1340" s="400"/>
      <c r="D1340" s="404"/>
      <c r="O1340" s="405"/>
      <c r="P1340" s="406"/>
      <c r="V1340" s="407"/>
    </row>
    <row r="1341" ht="15.75" customHeight="1">
      <c r="A1341" s="400"/>
      <c r="D1341" s="404"/>
      <c r="O1341" s="405"/>
      <c r="P1341" s="406"/>
      <c r="V1341" s="407"/>
    </row>
    <row r="1342" ht="15.75" customHeight="1">
      <c r="A1342" s="400"/>
      <c r="D1342" s="404"/>
      <c r="O1342" s="405"/>
      <c r="P1342" s="406"/>
      <c r="V1342" s="407"/>
    </row>
    <row r="1343" ht="15.75" customHeight="1">
      <c r="A1343" s="400"/>
      <c r="D1343" s="404"/>
      <c r="O1343" s="405"/>
      <c r="P1343" s="406"/>
      <c r="V1343" s="407"/>
    </row>
    <row r="1344" ht="15.75" customHeight="1">
      <c r="A1344" s="400"/>
      <c r="D1344" s="404"/>
      <c r="O1344" s="405"/>
      <c r="P1344" s="406"/>
      <c r="V1344" s="407"/>
    </row>
    <row r="1345" ht="15.75" customHeight="1">
      <c r="A1345" s="400"/>
      <c r="D1345" s="404"/>
      <c r="O1345" s="405"/>
      <c r="P1345" s="406"/>
      <c r="V1345" s="407"/>
    </row>
    <row r="1346" ht="15.75" customHeight="1">
      <c r="A1346" s="400"/>
      <c r="D1346" s="404"/>
      <c r="O1346" s="405"/>
      <c r="P1346" s="406"/>
      <c r="V1346" s="407"/>
    </row>
    <row r="1347" ht="15.75" customHeight="1">
      <c r="A1347" s="400"/>
      <c r="D1347" s="404"/>
      <c r="O1347" s="405"/>
      <c r="P1347" s="406"/>
      <c r="V1347" s="407"/>
    </row>
    <row r="1348" ht="15.75" customHeight="1">
      <c r="A1348" s="400"/>
      <c r="D1348" s="404"/>
      <c r="O1348" s="405"/>
      <c r="P1348" s="406"/>
      <c r="V1348" s="407"/>
    </row>
    <row r="1349" ht="15.75" customHeight="1">
      <c r="A1349" s="400"/>
      <c r="D1349" s="404"/>
      <c r="O1349" s="405"/>
      <c r="P1349" s="406"/>
      <c r="V1349" s="407"/>
    </row>
    <row r="1350" ht="15.75" customHeight="1">
      <c r="A1350" s="400"/>
      <c r="D1350" s="404"/>
      <c r="O1350" s="405"/>
      <c r="P1350" s="406"/>
      <c r="V1350" s="407"/>
    </row>
    <row r="1351" ht="15.75" customHeight="1">
      <c r="A1351" s="400"/>
      <c r="D1351" s="404"/>
      <c r="O1351" s="405"/>
      <c r="P1351" s="406"/>
      <c r="V1351" s="407"/>
    </row>
    <row r="1352" ht="15.75" customHeight="1">
      <c r="A1352" s="400"/>
      <c r="D1352" s="404"/>
      <c r="O1352" s="405"/>
      <c r="P1352" s="406"/>
      <c r="V1352" s="407"/>
    </row>
    <row r="1353" ht="15.75" customHeight="1">
      <c r="A1353" s="400"/>
      <c r="D1353" s="404"/>
      <c r="O1353" s="405"/>
      <c r="P1353" s="406"/>
      <c r="V1353" s="407"/>
    </row>
    <row r="1354" ht="15.75" customHeight="1">
      <c r="A1354" s="400"/>
      <c r="D1354" s="404"/>
      <c r="O1354" s="405"/>
      <c r="P1354" s="406"/>
      <c r="V1354" s="407"/>
    </row>
    <row r="1355" ht="15.75" customHeight="1">
      <c r="A1355" s="400"/>
      <c r="D1355" s="404"/>
      <c r="O1355" s="405"/>
      <c r="P1355" s="406"/>
      <c r="V1355" s="407"/>
    </row>
    <row r="1356" ht="15.75" customHeight="1">
      <c r="A1356" s="400"/>
      <c r="D1356" s="404"/>
      <c r="O1356" s="405"/>
      <c r="P1356" s="406"/>
      <c r="V1356" s="407"/>
    </row>
    <row r="1357" ht="15.75" customHeight="1">
      <c r="A1357" s="400"/>
      <c r="D1357" s="404"/>
      <c r="O1357" s="405"/>
      <c r="P1357" s="406"/>
      <c r="V1357" s="407"/>
    </row>
    <row r="1358" ht="15.75" customHeight="1">
      <c r="A1358" s="400"/>
      <c r="D1358" s="404"/>
      <c r="O1358" s="405"/>
      <c r="P1358" s="406"/>
      <c r="V1358" s="407"/>
    </row>
    <row r="1359" ht="15.75" customHeight="1">
      <c r="A1359" s="400"/>
      <c r="D1359" s="404"/>
      <c r="O1359" s="405"/>
      <c r="P1359" s="406"/>
      <c r="V1359" s="407"/>
    </row>
    <row r="1360" ht="15.75" customHeight="1">
      <c r="A1360" s="400"/>
      <c r="D1360" s="404"/>
      <c r="O1360" s="405"/>
      <c r="P1360" s="406"/>
      <c r="V1360" s="407"/>
    </row>
    <row r="1361" ht="15.75" customHeight="1">
      <c r="A1361" s="400"/>
      <c r="D1361" s="404"/>
      <c r="O1361" s="405"/>
      <c r="P1361" s="406"/>
      <c r="V1361" s="407"/>
    </row>
    <row r="1362" ht="15.75" customHeight="1">
      <c r="A1362" s="400"/>
      <c r="D1362" s="404"/>
      <c r="O1362" s="405"/>
      <c r="P1362" s="406"/>
      <c r="V1362" s="407"/>
    </row>
    <row r="1363" ht="15.75" customHeight="1">
      <c r="A1363" s="400"/>
      <c r="D1363" s="404"/>
      <c r="O1363" s="405"/>
      <c r="P1363" s="406"/>
      <c r="V1363" s="407"/>
    </row>
    <row r="1364" ht="15.75" customHeight="1">
      <c r="A1364" s="400"/>
      <c r="D1364" s="404"/>
      <c r="O1364" s="405"/>
      <c r="P1364" s="406"/>
      <c r="V1364" s="407"/>
    </row>
    <row r="1365" ht="15.75" customHeight="1">
      <c r="A1365" s="400"/>
      <c r="D1365" s="404"/>
      <c r="O1365" s="405"/>
      <c r="P1365" s="406"/>
      <c r="V1365" s="407"/>
    </row>
    <row r="1366" ht="15.75" customHeight="1">
      <c r="A1366" s="400"/>
      <c r="D1366" s="404"/>
      <c r="O1366" s="405"/>
      <c r="P1366" s="406"/>
      <c r="V1366" s="407"/>
    </row>
    <row r="1367" ht="15.75" customHeight="1">
      <c r="A1367" s="400"/>
      <c r="D1367" s="404"/>
      <c r="O1367" s="405"/>
      <c r="P1367" s="406"/>
      <c r="V1367" s="407"/>
    </row>
    <row r="1368" ht="15.75" customHeight="1">
      <c r="A1368" s="400"/>
      <c r="D1368" s="404"/>
      <c r="O1368" s="405"/>
      <c r="P1368" s="406"/>
      <c r="V1368" s="407"/>
    </row>
    <row r="1369" ht="15.75" customHeight="1">
      <c r="A1369" s="400"/>
      <c r="D1369" s="404"/>
      <c r="O1369" s="405"/>
      <c r="P1369" s="406"/>
      <c r="V1369" s="407"/>
    </row>
    <row r="1370" ht="15.75" customHeight="1">
      <c r="A1370" s="400"/>
      <c r="D1370" s="404"/>
      <c r="O1370" s="405"/>
      <c r="P1370" s="406"/>
      <c r="V1370" s="407"/>
    </row>
    <row r="1371" ht="15.75" customHeight="1">
      <c r="A1371" s="400"/>
      <c r="D1371" s="404"/>
      <c r="O1371" s="405"/>
      <c r="P1371" s="406"/>
      <c r="V1371" s="407"/>
    </row>
    <row r="1372" ht="15.75" customHeight="1">
      <c r="A1372" s="400"/>
      <c r="D1372" s="404"/>
      <c r="O1372" s="405"/>
      <c r="P1372" s="406"/>
      <c r="V1372" s="407"/>
    </row>
    <row r="1373" ht="15.75" customHeight="1">
      <c r="A1373" s="400"/>
      <c r="D1373" s="404"/>
      <c r="O1373" s="405"/>
      <c r="P1373" s="406"/>
      <c r="V1373" s="407"/>
    </row>
    <row r="1374" ht="15.75" customHeight="1">
      <c r="A1374" s="400"/>
      <c r="D1374" s="404"/>
      <c r="O1374" s="405"/>
      <c r="P1374" s="406"/>
      <c r="V1374" s="407"/>
    </row>
    <row r="1375" ht="15.75" customHeight="1">
      <c r="A1375" s="400"/>
      <c r="D1375" s="404"/>
      <c r="O1375" s="405"/>
      <c r="P1375" s="406"/>
      <c r="V1375" s="407"/>
    </row>
    <row r="1376" ht="15.75" customHeight="1">
      <c r="A1376" s="400"/>
      <c r="D1376" s="404"/>
      <c r="O1376" s="405"/>
      <c r="P1376" s="406"/>
      <c r="V1376" s="407"/>
    </row>
    <row r="1377" ht="15.75" customHeight="1">
      <c r="A1377" s="400"/>
      <c r="D1377" s="404"/>
      <c r="O1377" s="405"/>
      <c r="P1377" s="406"/>
      <c r="V1377" s="407"/>
    </row>
    <row r="1378" ht="15.75" customHeight="1">
      <c r="A1378" s="400"/>
      <c r="D1378" s="404"/>
      <c r="O1378" s="405"/>
      <c r="P1378" s="406"/>
      <c r="V1378" s="407"/>
    </row>
    <row r="1379" ht="15.75" customHeight="1">
      <c r="A1379" s="400"/>
      <c r="D1379" s="404"/>
      <c r="O1379" s="405"/>
      <c r="P1379" s="406"/>
      <c r="V1379" s="407"/>
    </row>
    <row r="1380" ht="15.75" customHeight="1">
      <c r="A1380" s="400"/>
      <c r="D1380" s="404"/>
      <c r="O1380" s="405"/>
      <c r="P1380" s="406"/>
      <c r="V1380" s="407"/>
    </row>
    <row r="1381" ht="15.75" customHeight="1">
      <c r="A1381" s="400"/>
      <c r="D1381" s="404"/>
      <c r="O1381" s="405"/>
      <c r="P1381" s="406"/>
      <c r="V1381" s="407"/>
    </row>
    <row r="1382" ht="15.75" customHeight="1">
      <c r="A1382" s="400"/>
      <c r="D1382" s="404"/>
      <c r="O1382" s="405"/>
      <c r="P1382" s="406"/>
      <c r="V1382" s="407"/>
    </row>
    <row r="1383" ht="15.75" customHeight="1">
      <c r="A1383" s="400"/>
      <c r="D1383" s="404"/>
      <c r="O1383" s="405"/>
      <c r="P1383" s="406"/>
      <c r="V1383" s="407"/>
    </row>
    <row r="1384" ht="15.75" customHeight="1">
      <c r="A1384" s="400"/>
      <c r="D1384" s="404"/>
      <c r="O1384" s="405"/>
      <c r="P1384" s="406"/>
      <c r="V1384" s="407"/>
    </row>
    <row r="1385" ht="15.75" customHeight="1">
      <c r="A1385" s="400"/>
      <c r="D1385" s="404"/>
      <c r="O1385" s="405"/>
      <c r="P1385" s="406"/>
      <c r="V1385" s="407"/>
    </row>
    <row r="1386" ht="15.75" customHeight="1">
      <c r="A1386" s="400"/>
      <c r="D1386" s="404"/>
      <c r="O1386" s="405"/>
      <c r="P1386" s="406"/>
      <c r="V1386" s="407"/>
    </row>
    <row r="1387" ht="15.75" customHeight="1">
      <c r="A1387" s="400"/>
      <c r="D1387" s="404"/>
      <c r="O1387" s="405"/>
      <c r="P1387" s="406"/>
      <c r="V1387" s="407"/>
    </row>
    <row r="1388" ht="15.75" customHeight="1">
      <c r="A1388" s="400"/>
      <c r="D1388" s="404"/>
      <c r="O1388" s="405"/>
      <c r="P1388" s="406"/>
      <c r="V1388" s="407"/>
    </row>
    <row r="1389" ht="15.75" customHeight="1">
      <c r="A1389" s="400"/>
      <c r="D1389" s="404"/>
      <c r="O1389" s="405"/>
      <c r="P1389" s="406"/>
      <c r="V1389" s="407"/>
    </row>
    <row r="1390" ht="15.75" customHeight="1">
      <c r="A1390" s="400"/>
      <c r="D1390" s="404"/>
      <c r="O1390" s="405"/>
      <c r="P1390" s="406"/>
      <c r="V1390" s="407"/>
    </row>
    <row r="1391" ht="15.75" customHeight="1">
      <c r="A1391" s="400"/>
      <c r="D1391" s="404"/>
      <c r="O1391" s="405"/>
      <c r="P1391" s="406"/>
      <c r="V1391" s="407"/>
    </row>
    <row r="1392" ht="15.75" customHeight="1">
      <c r="A1392" s="400"/>
      <c r="D1392" s="404"/>
      <c r="O1392" s="405"/>
      <c r="P1392" s="406"/>
      <c r="V1392" s="407"/>
    </row>
    <row r="1393" ht="15.75" customHeight="1">
      <c r="A1393" s="400"/>
      <c r="D1393" s="404"/>
      <c r="O1393" s="405"/>
      <c r="P1393" s="406"/>
      <c r="V1393" s="407"/>
    </row>
    <row r="1394" ht="15.75" customHeight="1">
      <c r="A1394" s="400"/>
      <c r="D1394" s="404"/>
      <c r="O1394" s="405"/>
      <c r="P1394" s="406"/>
      <c r="V1394" s="407"/>
    </row>
    <row r="1395" ht="15.75" customHeight="1">
      <c r="A1395" s="400"/>
      <c r="D1395" s="404"/>
      <c r="O1395" s="405"/>
      <c r="P1395" s="406"/>
      <c r="V1395" s="407"/>
    </row>
    <row r="1396" ht="15.75" customHeight="1">
      <c r="A1396" s="400"/>
      <c r="D1396" s="404"/>
      <c r="O1396" s="405"/>
      <c r="P1396" s="406"/>
      <c r="V1396" s="407"/>
    </row>
    <row r="1397" ht="15.75" customHeight="1">
      <c r="A1397" s="400"/>
      <c r="D1397" s="404"/>
      <c r="O1397" s="405"/>
      <c r="P1397" s="406"/>
      <c r="V1397" s="407"/>
    </row>
    <row r="1398" ht="15.75" customHeight="1">
      <c r="A1398" s="400"/>
      <c r="D1398" s="404"/>
      <c r="O1398" s="405"/>
      <c r="P1398" s="406"/>
      <c r="V1398" s="407"/>
    </row>
    <row r="1399" ht="15.75" customHeight="1">
      <c r="A1399" s="400"/>
      <c r="D1399" s="404"/>
      <c r="O1399" s="405"/>
      <c r="P1399" s="406"/>
      <c r="V1399" s="407"/>
    </row>
    <row r="1400" ht="15.75" customHeight="1">
      <c r="A1400" s="400"/>
      <c r="D1400" s="404"/>
      <c r="O1400" s="405"/>
      <c r="P1400" s="406"/>
      <c r="V1400" s="407"/>
    </row>
    <row r="1401" ht="15.75" customHeight="1">
      <c r="A1401" s="400"/>
      <c r="D1401" s="404"/>
      <c r="O1401" s="405"/>
      <c r="P1401" s="406"/>
      <c r="V1401" s="407"/>
    </row>
    <row r="1402" ht="15.75" customHeight="1">
      <c r="A1402" s="400"/>
      <c r="D1402" s="404"/>
      <c r="O1402" s="405"/>
      <c r="P1402" s="406"/>
      <c r="V1402" s="407"/>
    </row>
    <row r="1403" ht="15.75" customHeight="1">
      <c r="A1403" s="400"/>
      <c r="D1403" s="404"/>
      <c r="O1403" s="405"/>
      <c r="P1403" s="406"/>
      <c r="V1403" s="407"/>
    </row>
    <row r="1404" ht="15.75" customHeight="1">
      <c r="A1404" s="400"/>
      <c r="D1404" s="404"/>
      <c r="O1404" s="405"/>
      <c r="P1404" s="406"/>
      <c r="V1404" s="407"/>
    </row>
    <row r="1405" ht="15.75" customHeight="1">
      <c r="A1405" s="400"/>
      <c r="D1405" s="404"/>
      <c r="O1405" s="405"/>
      <c r="P1405" s="406"/>
      <c r="V1405" s="407"/>
    </row>
    <row r="1406" ht="15.75" customHeight="1">
      <c r="A1406" s="400"/>
      <c r="D1406" s="404"/>
      <c r="O1406" s="405"/>
      <c r="P1406" s="406"/>
      <c r="V1406" s="407"/>
    </row>
    <row r="1407" ht="15.75" customHeight="1">
      <c r="A1407" s="400"/>
      <c r="D1407" s="404"/>
      <c r="O1407" s="405"/>
      <c r="P1407" s="406"/>
      <c r="V1407" s="407"/>
    </row>
    <row r="1408" ht="15.75" customHeight="1">
      <c r="A1408" s="400"/>
      <c r="D1408" s="404"/>
      <c r="O1408" s="405"/>
      <c r="P1408" s="406"/>
      <c r="V1408" s="407"/>
    </row>
    <row r="1409" ht="15.75" customHeight="1">
      <c r="A1409" s="400"/>
      <c r="D1409" s="404"/>
      <c r="O1409" s="405"/>
      <c r="P1409" s="406"/>
      <c r="V1409" s="407"/>
    </row>
    <row r="1410" ht="15.75" customHeight="1">
      <c r="A1410" s="400"/>
      <c r="D1410" s="404"/>
      <c r="O1410" s="405"/>
      <c r="P1410" s="406"/>
      <c r="V1410" s="407"/>
    </row>
    <row r="1411" ht="15.75" customHeight="1">
      <c r="A1411" s="400"/>
      <c r="D1411" s="404"/>
      <c r="O1411" s="405"/>
      <c r="P1411" s="406"/>
      <c r="V1411" s="407"/>
    </row>
    <row r="1412" ht="15.75" customHeight="1">
      <c r="A1412" s="400"/>
      <c r="D1412" s="404"/>
      <c r="O1412" s="405"/>
      <c r="P1412" s="406"/>
      <c r="V1412" s="407"/>
    </row>
    <row r="1413" ht="15.75" customHeight="1">
      <c r="A1413" s="400"/>
      <c r="D1413" s="404"/>
      <c r="O1413" s="405"/>
      <c r="P1413" s="406"/>
      <c r="V1413" s="407"/>
    </row>
    <row r="1414" ht="15.75" customHeight="1">
      <c r="A1414" s="400"/>
      <c r="D1414" s="404"/>
      <c r="O1414" s="405"/>
      <c r="P1414" s="406"/>
      <c r="V1414" s="407"/>
    </row>
    <row r="1415" ht="15.75" customHeight="1">
      <c r="A1415" s="400"/>
      <c r="D1415" s="404"/>
      <c r="O1415" s="405"/>
      <c r="P1415" s="406"/>
      <c r="V1415" s="407"/>
    </row>
    <row r="1416" ht="15.75" customHeight="1">
      <c r="A1416" s="400"/>
      <c r="D1416" s="404"/>
      <c r="O1416" s="405"/>
      <c r="P1416" s="406"/>
      <c r="V1416" s="407"/>
    </row>
    <row r="1417" ht="15.75" customHeight="1">
      <c r="A1417" s="400"/>
      <c r="D1417" s="404"/>
      <c r="O1417" s="405"/>
      <c r="P1417" s="406"/>
      <c r="V1417" s="407"/>
    </row>
    <row r="1418" ht="15.75" customHeight="1">
      <c r="A1418" s="400"/>
      <c r="D1418" s="404"/>
      <c r="O1418" s="405"/>
      <c r="P1418" s="406"/>
      <c r="V1418" s="407"/>
    </row>
    <row r="1419" ht="15.75" customHeight="1">
      <c r="A1419" s="400"/>
      <c r="D1419" s="404"/>
      <c r="O1419" s="405"/>
      <c r="P1419" s="406"/>
      <c r="V1419" s="407"/>
    </row>
    <row r="1420" ht="15.75" customHeight="1">
      <c r="A1420" s="400"/>
      <c r="D1420" s="404"/>
      <c r="O1420" s="405"/>
      <c r="P1420" s="406"/>
      <c r="V1420" s="407"/>
    </row>
    <row r="1421" ht="15.75" customHeight="1">
      <c r="A1421" s="400"/>
      <c r="D1421" s="404"/>
      <c r="O1421" s="405"/>
      <c r="P1421" s="406"/>
      <c r="V1421" s="407"/>
    </row>
    <row r="1422" ht="15.75" customHeight="1">
      <c r="A1422" s="400"/>
      <c r="D1422" s="404"/>
      <c r="O1422" s="405"/>
      <c r="P1422" s="406"/>
      <c r="V1422" s="407"/>
    </row>
    <row r="1423" ht="15.75" customHeight="1">
      <c r="A1423" s="400"/>
      <c r="D1423" s="404"/>
      <c r="O1423" s="405"/>
      <c r="P1423" s="406"/>
      <c r="V1423" s="407"/>
    </row>
    <row r="1424" ht="15.75" customHeight="1">
      <c r="A1424" s="400"/>
      <c r="D1424" s="404"/>
      <c r="O1424" s="405"/>
      <c r="P1424" s="406"/>
      <c r="V1424" s="407"/>
    </row>
    <row r="1425" ht="15.75" customHeight="1">
      <c r="A1425" s="400"/>
      <c r="D1425" s="404"/>
      <c r="O1425" s="405"/>
      <c r="P1425" s="406"/>
      <c r="V1425" s="407"/>
    </row>
    <row r="1426" ht="15.75" customHeight="1">
      <c r="A1426" s="400"/>
      <c r="D1426" s="404"/>
      <c r="O1426" s="405"/>
      <c r="P1426" s="406"/>
      <c r="V1426" s="407"/>
    </row>
    <row r="1427" ht="15.75" customHeight="1">
      <c r="A1427" s="400"/>
      <c r="D1427" s="404"/>
      <c r="O1427" s="405"/>
      <c r="P1427" s="406"/>
      <c r="V1427" s="407"/>
    </row>
    <row r="1428" ht="15.75" customHeight="1">
      <c r="A1428" s="400"/>
      <c r="D1428" s="404"/>
      <c r="O1428" s="405"/>
      <c r="P1428" s="406"/>
      <c r="V1428" s="407"/>
    </row>
    <row r="1429" ht="15.75" customHeight="1">
      <c r="A1429" s="400"/>
      <c r="D1429" s="404"/>
      <c r="O1429" s="405"/>
      <c r="P1429" s="406"/>
      <c r="V1429" s="407"/>
    </row>
    <row r="1430" ht="15.75" customHeight="1">
      <c r="A1430" s="400"/>
      <c r="D1430" s="404"/>
      <c r="O1430" s="405"/>
      <c r="P1430" s="406"/>
      <c r="V1430" s="407"/>
    </row>
    <row r="1431" ht="15.75" customHeight="1">
      <c r="A1431" s="400"/>
      <c r="D1431" s="404"/>
      <c r="O1431" s="405"/>
      <c r="P1431" s="406"/>
      <c r="V1431" s="407"/>
    </row>
    <row r="1432" ht="15.75" customHeight="1">
      <c r="A1432" s="400"/>
      <c r="D1432" s="404"/>
      <c r="O1432" s="405"/>
      <c r="P1432" s="406"/>
      <c r="V1432" s="407"/>
    </row>
    <row r="1433" ht="15.75" customHeight="1">
      <c r="A1433" s="400"/>
      <c r="D1433" s="404"/>
      <c r="O1433" s="405"/>
      <c r="P1433" s="406"/>
      <c r="V1433" s="407"/>
    </row>
    <row r="1434" ht="15.75" customHeight="1">
      <c r="A1434" s="400"/>
      <c r="D1434" s="404"/>
      <c r="O1434" s="405"/>
      <c r="P1434" s="406"/>
      <c r="V1434" s="407"/>
    </row>
    <row r="1435" ht="15.75" customHeight="1">
      <c r="A1435" s="400"/>
      <c r="D1435" s="404"/>
      <c r="O1435" s="405"/>
      <c r="P1435" s="406"/>
      <c r="V1435" s="407"/>
    </row>
    <row r="1436" ht="15.75" customHeight="1">
      <c r="A1436" s="400"/>
      <c r="D1436" s="404"/>
      <c r="O1436" s="405"/>
      <c r="P1436" s="406"/>
      <c r="V1436" s="407"/>
    </row>
    <row r="1437" ht="15.75" customHeight="1">
      <c r="A1437" s="400"/>
      <c r="D1437" s="404"/>
      <c r="O1437" s="405"/>
      <c r="P1437" s="406"/>
      <c r="V1437" s="407"/>
    </row>
    <row r="1438" ht="15.75" customHeight="1">
      <c r="A1438" s="400"/>
      <c r="D1438" s="404"/>
      <c r="O1438" s="405"/>
      <c r="P1438" s="406"/>
      <c r="V1438" s="407"/>
    </row>
    <row r="1439" ht="15.75" customHeight="1">
      <c r="A1439" s="400"/>
      <c r="D1439" s="404"/>
      <c r="O1439" s="405"/>
      <c r="P1439" s="406"/>
      <c r="V1439" s="407"/>
    </row>
    <row r="1440" ht="15.75" customHeight="1">
      <c r="A1440" s="400"/>
      <c r="D1440" s="404"/>
      <c r="O1440" s="405"/>
      <c r="P1440" s="406"/>
      <c r="V1440" s="407"/>
    </row>
    <row r="1441" ht="15.75" customHeight="1">
      <c r="A1441" s="400"/>
      <c r="D1441" s="404"/>
      <c r="O1441" s="405"/>
      <c r="P1441" s="406"/>
      <c r="V1441" s="407"/>
    </row>
    <row r="1442" ht="15.75" customHeight="1">
      <c r="A1442" s="400"/>
      <c r="D1442" s="404"/>
      <c r="O1442" s="405"/>
      <c r="P1442" s="406"/>
      <c r="V1442" s="407"/>
    </row>
    <row r="1443" ht="15.75" customHeight="1">
      <c r="A1443" s="400"/>
      <c r="D1443" s="404"/>
      <c r="O1443" s="405"/>
      <c r="P1443" s="406"/>
      <c r="V1443" s="407"/>
    </row>
    <row r="1444" ht="15.75" customHeight="1">
      <c r="A1444" s="400"/>
      <c r="D1444" s="404"/>
      <c r="O1444" s="405"/>
      <c r="P1444" s="406"/>
      <c r="V1444" s="407"/>
    </row>
    <row r="1445" ht="15.75" customHeight="1">
      <c r="A1445" s="400"/>
      <c r="D1445" s="404"/>
      <c r="O1445" s="405"/>
      <c r="P1445" s="406"/>
      <c r="V1445" s="407"/>
    </row>
    <row r="1446" ht="15.75" customHeight="1">
      <c r="A1446" s="400"/>
      <c r="D1446" s="404"/>
      <c r="O1446" s="405"/>
      <c r="P1446" s="406"/>
      <c r="V1446" s="407"/>
    </row>
    <row r="1447" ht="15.75" customHeight="1">
      <c r="A1447" s="400"/>
      <c r="D1447" s="404"/>
      <c r="O1447" s="405"/>
      <c r="P1447" s="406"/>
      <c r="V1447" s="407"/>
    </row>
    <row r="1448" ht="15.75" customHeight="1">
      <c r="A1448" s="400"/>
      <c r="D1448" s="404"/>
      <c r="O1448" s="405"/>
      <c r="P1448" s="406"/>
      <c r="V1448" s="407"/>
    </row>
    <row r="1449" ht="15.75" customHeight="1">
      <c r="A1449" s="400"/>
      <c r="D1449" s="404"/>
      <c r="O1449" s="405"/>
      <c r="P1449" s="406"/>
      <c r="V1449" s="407"/>
    </row>
    <row r="1450" ht="15.75" customHeight="1">
      <c r="A1450" s="400"/>
      <c r="D1450" s="404"/>
      <c r="O1450" s="405"/>
      <c r="P1450" s="406"/>
      <c r="V1450" s="407"/>
    </row>
    <row r="1451" ht="15.75" customHeight="1">
      <c r="A1451" s="400"/>
      <c r="D1451" s="404"/>
      <c r="O1451" s="405"/>
      <c r="P1451" s="406"/>
      <c r="V1451" s="407"/>
    </row>
    <row r="1452" ht="15.75" customHeight="1">
      <c r="A1452" s="400"/>
      <c r="D1452" s="404"/>
      <c r="O1452" s="405"/>
      <c r="P1452" s="406"/>
      <c r="V1452" s="407"/>
    </row>
    <row r="1453" ht="15.75" customHeight="1">
      <c r="A1453" s="400"/>
      <c r="D1453" s="404"/>
      <c r="O1453" s="405"/>
      <c r="P1453" s="406"/>
      <c r="V1453" s="407"/>
    </row>
    <row r="1454" ht="15.75" customHeight="1">
      <c r="A1454" s="400"/>
      <c r="D1454" s="404"/>
      <c r="O1454" s="405"/>
      <c r="P1454" s="406"/>
      <c r="V1454" s="407"/>
    </row>
    <row r="1455" ht="15.75" customHeight="1">
      <c r="A1455" s="400"/>
      <c r="D1455" s="404"/>
      <c r="O1455" s="405"/>
      <c r="P1455" s="406"/>
      <c r="V1455" s="407"/>
    </row>
    <row r="1456" ht="15.75" customHeight="1">
      <c r="A1456" s="400"/>
      <c r="D1456" s="404"/>
      <c r="O1456" s="405"/>
      <c r="P1456" s="406"/>
      <c r="V1456" s="407"/>
    </row>
    <row r="1457" ht="15.75" customHeight="1">
      <c r="A1457" s="400"/>
      <c r="D1457" s="404"/>
      <c r="O1457" s="405"/>
      <c r="P1457" s="406"/>
      <c r="V1457" s="407"/>
    </row>
    <row r="1458" ht="15.75" customHeight="1">
      <c r="A1458" s="400"/>
      <c r="D1458" s="404"/>
      <c r="O1458" s="405"/>
      <c r="P1458" s="406"/>
      <c r="V1458" s="407"/>
    </row>
    <row r="1459" ht="15.75" customHeight="1">
      <c r="A1459" s="400"/>
      <c r="D1459" s="404"/>
      <c r="O1459" s="405"/>
      <c r="P1459" s="406"/>
      <c r="V1459" s="407"/>
    </row>
    <row r="1460" ht="15.75" customHeight="1">
      <c r="A1460" s="400"/>
      <c r="D1460" s="404"/>
      <c r="O1460" s="405"/>
      <c r="P1460" s="406"/>
      <c r="V1460" s="407"/>
    </row>
    <row r="1461" ht="15.75" customHeight="1">
      <c r="A1461" s="400"/>
      <c r="D1461" s="404"/>
      <c r="O1461" s="405"/>
      <c r="P1461" s="406"/>
      <c r="V1461" s="407"/>
    </row>
    <row r="1462" ht="15.75" customHeight="1">
      <c r="A1462" s="400"/>
      <c r="D1462" s="404"/>
      <c r="O1462" s="405"/>
      <c r="P1462" s="406"/>
      <c r="V1462" s="407"/>
    </row>
    <row r="1463" ht="15.75" customHeight="1">
      <c r="A1463" s="400"/>
      <c r="D1463" s="404"/>
      <c r="O1463" s="405"/>
      <c r="P1463" s="406"/>
      <c r="V1463" s="407"/>
    </row>
    <row r="1464" ht="15.75" customHeight="1">
      <c r="A1464" s="400"/>
      <c r="D1464" s="404"/>
      <c r="O1464" s="405"/>
      <c r="P1464" s="406"/>
      <c r="V1464" s="407"/>
    </row>
    <row r="1465" ht="15.75" customHeight="1">
      <c r="A1465" s="400"/>
      <c r="D1465" s="404"/>
      <c r="O1465" s="405"/>
      <c r="P1465" s="406"/>
      <c r="V1465" s="407"/>
    </row>
    <row r="1466" ht="15.75" customHeight="1">
      <c r="A1466" s="400"/>
      <c r="D1466" s="404"/>
      <c r="O1466" s="405"/>
      <c r="P1466" s="406"/>
      <c r="V1466" s="407"/>
    </row>
    <row r="1467" ht="15.75" customHeight="1">
      <c r="A1467" s="400"/>
      <c r="D1467" s="404"/>
      <c r="O1467" s="405"/>
      <c r="P1467" s="406"/>
      <c r="V1467" s="407"/>
    </row>
    <row r="1468" ht="15.75" customHeight="1">
      <c r="A1468" s="400"/>
      <c r="D1468" s="404"/>
      <c r="O1468" s="405"/>
      <c r="P1468" s="406"/>
      <c r="V1468" s="407"/>
    </row>
    <row r="1469" ht="15.75" customHeight="1">
      <c r="A1469" s="400"/>
      <c r="D1469" s="404"/>
      <c r="O1469" s="405"/>
      <c r="P1469" s="406"/>
      <c r="V1469" s="407"/>
    </row>
    <row r="1470" ht="15.75" customHeight="1">
      <c r="A1470" s="400"/>
      <c r="D1470" s="404"/>
      <c r="O1470" s="405"/>
      <c r="P1470" s="406"/>
      <c r="V1470" s="407"/>
    </row>
    <row r="1471" ht="15.75" customHeight="1">
      <c r="A1471" s="400"/>
      <c r="D1471" s="404"/>
      <c r="O1471" s="405"/>
      <c r="P1471" s="406"/>
      <c r="V1471" s="407"/>
    </row>
    <row r="1472" ht="15.75" customHeight="1">
      <c r="A1472" s="400"/>
      <c r="D1472" s="404"/>
      <c r="O1472" s="405"/>
      <c r="P1472" s="406"/>
      <c r="V1472" s="407"/>
    </row>
    <row r="1473" ht="15.75" customHeight="1">
      <c r="A1473" s="400"/>
      <c r="D1473" s="404"/>
      <c r="O1473" s="405"/>
      <c r="P1473" s="406"/>
      <c r="V1473" s="407"/>
    </row>
    <row r="1474" ht="15.75" customHeight="1">
      <c r="A1474" s="400"/>
      <c r="D1474" s="404"/>
      <c r="O1474" s="405"/>
      <c r="P1474" s="406"/>
      <c r="V1474" s="407"/>
    </row>
    <row r="1475" ht="15.75" customHeight="1">
      <c r="A1475" s="400"/>
      <c r="D1475" s="404"/>
      <c r="O1475" s="405"/>
      <c r="P1475" s="406"/>
      <c r="V1475" s="407"/>
    </row>
    <row r="1476" ht="15.75" customHeight="1">
      <c r="A1476" s="400"/>
      <c r="D1476" s="404"/>
      <c r="O1476" s="405"/>
      <c r="P1476" s="406"/>
      <c r="V1476" s="407"/>
    </row>
    <row r="1477" ht="15.75" customHeight="1">
      <c r="A1477" s="400"/>
      <c r="D1477" s="404"/>
      <c r="O1477" s="405"/>
      <c r="P1477" s="406"/>
      <c r="V1477" s="407"/>
    </row>
    <row r="1478" ht="15.75" customHeight="1">
      <c r="A1478" s="400"/>
      <c r="D1478" s="404"/>
      <c r="O1478" s="405"/>
      <c r="P1478" s="406"/>
      <c r="V1478" s="407"/>
    </row>
    <row r="1479" ht="15.75" customHeight="1">
      <c r="A1479" s="400"/>
      <c r="D1479" s="404"/>
      <c r="O1479" s="405"/>
      <c r="P1479" s="406"/>
      <c r="V1479" s="407"/>
    </row>
    <row r="1480" ht="15.75" customHeight="1">
      <c r="A1480" s="400"/>
      <c r="D1480" s="404"/>
      <c r="O1480" s="405"/>
      <c r="P1480" s="406"/>
      <c r="V1480" s="407"/>
    </row>
    <row r="1481" ht="15.75" customHeight="1">
      <c r="A1481" s="400"/>
      <c r="D1481" s="404"/>
      <c r="O1481" s="405"/>
      <c r="P1481" s="406"/>
      <c r="V1481" s="407"/>
    </row>
    <row r="1482" ht="15.75" customHeight="1">
      <c r="A1482" s="400"/>
      <c r="D1482" s="404"/>
      <c r="O1482" s="405"/>
      <c r="P1482" s="406"/>
      <c r="V1482" s="407"/>
    </row>
    <row r="1483" ht="15.75" customHeight="1">
      <c r="A1483" s="400"/>
      <c r="D1483" s="404"/>
      <c r="O1483" s="405"/>
      <c r="P1483" s="406"/>
      <c r="V1483" s="407"/>
    </row>
    <row r="1484" ht="15.75" customHeight="1">
      <c r="A1484" s="400"/>
      <c r="D1484" s="404"/>
      <c r="O1484" s="405"/>
      <c r="P1484" s="406"/>
      <c r="V1484" s="407"/>
    </row>
    <row r="1485" ht="15.75" customHeight="1">
      <c r="A1485" s="400"/>
      <c r="D1485" s="404"/>
      <c r="O1485" s="405"/>
      <c r="P1485" s="406"/>
      <c r="V1485" s="407"/>
    </row>
    <row r="1486" ht="15.75" customHeight="1">
      <c r="A1486" s="400"/>
      <c r="D1486" s="404"/>
      <c r="O1486" s="405"/>
      <c r="P1486" s="406"/>
      <c r="V1486" s="407"/>
    </row>
    <row r="1487" ht="15.75" customHeight="1">
      <c r="A1487" s="400"/>
      <c r="D1487" s="404"/>
      <c r="O1487" s="405"/>
      <c r="P1487" s="406"/>
      <c r="V1487" s="407"/>
    </row>
    <row r="1488" ht="15.75" customHeight="1">
      <c r="A1488" s="400"/>
      <c r="D1488" s="404"/>
      <c r="O1488" s="405"/>
      <c r="P1488" s="406"/>
      <c r="V1488" s="407"/>
    </row>
    <row r="1489" ht="15.75" customHeight="1">
      <c r="A1489" s="400"/>
      <c r="D1489" s="404"/>
      <c r="O1489" s="405"/>
      <c r="P1489" s="406"/>
      <c r="V1489" s="407"/>
    </row>
    <row r="1490" ht="15.75" customHeight="1">
      <c r="A1490" s="400"/>
      <c r="D1490" s="404"/>
      <c r="O1490" s="405"/>
      <c r="P1490" s="406"/>
      <c r="V1490" s="407"/>
    </row>
    <row r="1491" ht="15.75" customHeight="1">
      <c r="A1491" s="400"/>
      <c r="D1491" s="404"/>
      <c r="O1491" s="405"/>
      <c r="P1491" s="406"/>
      <c r="V1491" s="407"/>
    </row>
    <row r="1492" ht="15.75" customHeight="1">
      <c r="A1492" s="400"/>
      <c r="D1492" s="404"/>
      <c r="O1492" s="405"/>
      <c r="P1492" s="406"/>
      <c r="V1492" s="407"/>
    </row>
    <row r="1493" ht="15.75" customHeight="1">
      <c r="A1493" s="400"/>
      <c r="D1493" s="404"/>
      <c r="O1493" s="405"/>
      <c r="P1493" s="406"/>
      <c r="V1493" s="407"/>
    </row>
    <row r="1494" ht="15.75" customHeight="1">
      <c r="A1494" s="400"/>
      <c r="D1494" s="404"/>
      <c r="O1494" s="405"/>
      <c r="P1494" s="406"/>
      <c r="V1494" s="407"/>
    </row>
    <row r="1495" ht="15.75" customHeight="1">
      <c r="A1495" s="400"/>
      <c r="D1495" s="404"/>
      <c r="O1495" s="405"/>
      <c r="P1495" s="406"/>
      <c r="V1495" s="407"/>
    </row>
    <row r="1496" ht="15.75" customHeight="1">
      <c r="A1496" s="400"/>
      <c r="D1496" s="404"/>
      <c r="O1496" s="405"/>
      <c r="P1496" s="406"/>
      <c r="V1496" s="407"/>
    </row>
    <row r="1497" ht="15.75" customHeight="1">
      <c r="A1497" s="400"/>
      <c r="D1497" s="404"/>
      <c r="O1497" s="405"/>
      <c r="P1497" s="406"/>
      <c r="V1497" s="407"/>
    </row>
    <row r="1498" ht="15.75" customHeight="1">
      <c r="A1498" s="400"/>
      <c r="D1498" s="404"/>
      <c r="O1498" s="405"/>
      <c r="P1498" s="406"/>
      <c r="V1498" s="407"/>
    </row>
    <row r="1499" ht="15.75" customHeight="1">
      <c r="A1499" s="400"/>
      <c r="D1499" s="404"/>
      <c r="O1499" s="405"/>
      <c r="P1499" s="406"/>
      <c r="V1499" s="407"/>
    </row>
    <row r="1500" ht="15.75" customHeight="1">
      <c r="A1500" s="400"/>
      <c r="D1500" s="404"/>
      <c r="O1500" s="405"/>
      <c r="P1500" s="406"/>
      <c r="V1500" s="407"/>
    </row>
    <row r="1501" ht="15.75" customHeight="1">
      <c r="A1501" s="400"/>
      <c r="D1501" s="404"/>
      <c r="O1501" s="405"/>
      <c r="P1501" s="406"/>
      <c r="V1501" s="407"/>
    </row>
    <row r="1502" ht="15.75" customHeight="1">
      <c r="A1502" s="400"/>
      <c r="D1502" s="404"/>
      <c r="O1502" s="405"/>
      <c r="P1502" s="406"/>
      <c r="V1502" s="407"/>
    </row>
    <row r="1503" ht="15.75" customHeight="1">
      <c r="A1503" s="400"/>
      <c r="D1503" s="404"/>
      <c r="O1503" s="405"/>
      <c r="P1503" s="406"/>
      <c r="V1503" s="407"/>
    </row>
    <row r="1504" ht="15.75" customHeight="1">
      <c r="A1504" s="400"/>
      <c r="D1504" s="404"/>
      <c r="O1504" s="405"/>
      <c r="P1504" s="406"/>
      <c r="V1504" s="407"/>
    </row>
    <row r="1505" ht="15.75" customHeight="1">
      <c r="A1505" s="400"/>
      <c r="D1505" s="404"/>
      <c r="O1505" s="405"/>
      <c r="P1505" s="406"/>
      <c r="V1505" s="407"/>
    </row>
    <row r="1506" ht="15.75" customHeight="1">
      <c r="A1506" s="400"/>
      <c r="D1506" s="404"/>
      <c r="O1506" s="405"/>
      <c r="P1506" s="406"/>
      <c r="V1506" s="407"/>
    </row>
    <row r="1507" ht="15.75" customHeight="1">
      <c r="A1507" s="400"/>
      <c r="D1507" s="404"/>
      <c r="O1507" s="405"/>
      <c r="P1507" s="406"/>
      <c r="V1507" s="407"/>
    </row>
    <row r="1508" ht="15.75" customHeight="1">
      <c r="A1508" s="400"/>
      <c r="D1508" s="404"/>
      <c r="O1508" s="405"/>
      <c r="P1508" s="406"/>
      <c r="V1508" s="407"/>
    </row>
    <row r="1509" ht="15.75" customHeight="1">
      <c r="A1509" s="400"/>
      <c r="D1509" s="404"/>
      <c r="O1509" s="405"/>
      <c r="P1509" s="406"/>
      <c r="V1509" s="407"/>
    </row>
    <row r="1510" ht="15.75" customHeight="1">
      <c r="A1510" s="400"/>
      <c r="D1510" s="404"/>
      <c r="O1510" s="405"/>
      <c r="P1510" s="406"/>
      <c r="V1510" s="407"/>
    </row>
    <row r="1511" ht="15.75" customHeight="1">
      <c r="A1511" s="400"/>
      <c r="D1511" s="404"/>
      <c r="O1511" s="405"/>
      <c r="P1511" s="406"/>
      <c r="V1511" s="407"/>
    </row>
    <row r="1512" ht="15.75" customHeight="1">
      <c r="A1512" s="400"/>
      <c r="D1512" s="404"/>
      <c r="O1512" s="405"/>
      <c r="P1512" s="406"/>
      <c r="V1512" s="407"/>
    </row>
    <row r="1513" ht="15.75" customHeight="1">
      <c r="A1513" s="400"/>
      <c r="D1513" s="404"/>
      <c r="O1513" s="405"/>
      <c r="P1513" s="406"/>
      <c r="V1513" s="407"/>
    </row>
    <row r="1514" ht="15.75" customHeight="1">
      <c r="A1514" s="400"/>
      <c r="D1514" s="404"/>
      <c r="O1514" s="405"/>
      <c r="P1514" s="406"/>
      <c r="V1514" s="407"/>
    </row>
    <row r="1515" ht="15.75" customHeight="1">
      <c r="A1515" s="400"/>
      <c r="D1515" s="404"/>
      <c r="O1515" s="405"/>
      <c r="P1515" s="406"/>
      <c r="V1515" s="407"/>
    </row>
    <row r="1516" ht="15.75" customHeight="1">
      <c r="A1516" s="400"/>
      <c r="D1516" s="404"/>
      <c r="O1516" s="405"/>
      <c r="P1516" s="406"/>
      <c r="V1516" s="407"/>
    </row>
    <row r="1517" ht="15.75" customHeight="1">
      <c r="A1517" s="400"/>
      <c r="D1517" s="404"/>
      <c r="O1517" s="405"/>
      <c r="P1517" s="406"/>
      <c r="V1517" s="407"/>
    </row>
    <row r="1518" ht="15.75" customHeight="1">
      <c r="A1518" s="400"/>
      <c r="D1518" s="404"/>
      <c r="O1518" s="405"/>
      <c r="P1518" s="406"/>
      <c r="V1518" s="407"/>
    </row>
    <row r="1519" ht="15.75" customHeight="1">
      <c r="A1519" s="400"/>
      <c r="D1519" s="404"/>
      <c r="O1519" s="405"/>
      <c r="P1519" s="406"/>
      <c r="V1519" s="407"/>
    </row>
    <row r="1520" ht="15.75" customHeight="1">
      <c r="A1520" s="400"/>
      <c r="D1520" s="404"/>
      <c r="O1520" s="405"/>
      <c r="P1520" s="406"/>
      <c r="V1520" s="407"/>
    </row>
    <row r="1521" ht="15.75" customHeight="1">
      <c r="A1521" s="400"/>
      <c r="D1521" s="404"/>
      <c r="O1521" s="405"/>
      <c r="P1521" s="406"/>
      <c r="V1521" s="407"/>
    </row>
    <row r="1522" ht="15.75" customHeight="1">
      <c r="A1522" s="400"/>
      <c r="D1522" s="404"/>
      <c r="O1522" s="405"/>
      <c r="P1522" s="406"/>
      <c r="V1522" s="407"/>
    </row>
    <row r="1523" ht="15.75" customHeight="1">
      <c r="A1523" s="400"/>
      <c r="D1523" s="404"/>
      <c r="O1523" s="405"/>
      <c r="P1523" s="406"/>
      <c r="V1523" s="407"/>
    </row>
    <row r="1524" ht="15.75" customHeight="1">
      <c r="A1524" s="400"/>
      <c r="D1524" s="404"/>
      <c r="O1524" s="405"/>
      <c r="P1524" s="406"/>
      <c r="V1524" s="407"/>
    </row>
    <row r="1525" ht="15.75" customHeight="1">
      <c r="A1525" s="400"/>
      <c r="D1525" s="404"/>
      <c r="O1525" s="405"/>
      <c r="P1525" s="406"/>
      <c r="V1525" s="407"/>
    </row>
    <row r="1526" ht="15.75" customHeight="1">
      <c r="A1526" s="400"/>
      <c r="D1526" s="404"/>
      <c r="O1526" s="405"/>
      <c r="P1526" s="406"/>
      <c r="V1526" s="407"/>
    </row>
    <row r="1527" ht="15.75" customHeight="1">
      <c r="A1527" s="400"/>
      <c r="D1527" s="404"/>
      <c r="O1527" s="405"/>
      <c r="P1527" s="406"/>
      <c r="V1527" s="407"/>
    </row>
    <row r="1528" ht="15.75" customHeight="1">
      <c r="A1528" s="400"/>
      <c r="D1528" s="404"/>
      <c r="O1528" s="405"/>
      <c r="P1528" s="406"/>
      <c r="V1528" s="407"/>
    </row>
    <row r="1529" ht="15.75" customHeight="1">
      <c r="A1529" s="400"/>
      <c r="D1529" s="404"/>
      <c r="O1529" s="405"/>
      <c r="P1529" s="406"/>
      <c r="V1529" s="407"/>
    </row>
    <row r="1530" ht="15.75" customHeight="1">
      <c r="A1530" s="400"/>
      <c r="D1530" s="404"/>
      <c r="O1530" s="405"/>
      <c r="P1530" s="406"/>
      <c r="V1530" s="407"/>
    </row>
    <row r="1531" ht="15.75" customHeight="1">
      <c r="A1531" s="400"/>
      <c r="D1531" s="404"/>
      <c r="O1531" s="405"/>
      <c r="P1531" s="406"/>
      <c r="V1531" s="407"/>
    </row>
    <row r="1532" ht="15.75" customHeight="1">
      <c r="A1532" s="400"/>
      <c r="D1532" s="404"/>
      <c r="O1532" s="405"/>
      <c r="P1532" s="406"/>
      <c r="V1532" s="407"/>
    </row>
    <row r="1533" ht="15.75" customHeight="1">
      <c r="A1533" s="400"/>
      <c r="D1533" s="404"/>
      <c r="O1533" s="405"/>
      <c r="P1533" s="406"/>
      <c r="V1533" s="407"/>
    </row>
    <row r="1534" ht="15.75" customHeight="1">
      <c r="A1534" s="400"/>
      <c r="D1534" s="404"/>
      <c r="O1534" s="405"/>
      <c r="P1534" s="406"/>
      <c r="V1534" s="407"/>
    </row>
    <row r="1535" ht="15.75" customHeight="1">
      <c r="A1535" s="400"/>
      <c r="D1535" s="404"/>
      <c r="O1535" s="405"/>
      <c r="P1535" s="406"/>
      <c r="V1535" s="407"/>
    </row>
    <row r="1536" ht="15.75" customHeight="1">
      <c r="A1536" s="400"/>
      <c r="D1536" s="404"/>
      <c r="O1536" s="405"/>
      <c r="P1536" s="406"/>
      <c r="V1536" s="407"/>
    </row>
    <row r="1537" ht="15.75" customHeight="1">
      <c r="A1537" s="400"/>
      <c r="D1537" s="404"/>
      <c r="O1537" s="405"/>
      <c r="P1537" s="406"/>
      <c r="V1537" s="407"/>
    </row>
    <row r="1538" ht="15.75" customHeight="1">
      <c r="A1538" s="400"/>
      <c r="D1538" s="404"/>
      <c r="O1538" s="405"/>
      <c r="P1538" s="406"/>
      <c r="V1538" s="407"/>
    </row>
    <row r="1539" ht="15.75" customHeight="1">
      <c r="A1539" s="400"/>
      <c r="D1539" s="404"/>
      <c r="O1539" s="405"/>
      <c r="P1539" s="406"/>
      <c r="V1539" s="407"/>
    </row>
    <row r="1540" ht="15.75" customHeight="1">
      <c r="A1540" s="400"/>
      <c r="D1540" s="404"/>
      <c r="O1540" s="405"/>
      <c r="P1540" s="406"/>
      <c r="V1540" s="407"/>
    </row>
    <row r="1541" ht="15.75" customHeight="1">
      <c r="A1541" s="400"/>
      <c r="D1541" s="404"/>
      <c r="O1541" s="405"/>
      <c r="P1541" s="406"/>
      <c r="V1541" s="407"/>
    </row>
    <row r="1542" ht="15.75" customHeight="1">
      <c r="A1542" s="400"/>
      <c r="D1542" s="404"/>
      <c r="O1542" s="405"/>
      <c r="P1542" s="406"/>
      <c r="V1542" s="407"/>
    </row>
    <row r="1543" ht="15.75" customHeight="1">
      <c r="A1543" s="400"/>
      <c r="D1543" s="404"/>
      <c r="O1543" s="405"/>
      <c r="P1543" s="406"/>
      <c r="V1543" s="407"/>
    </row>
    <row r="1544" ht="15.75" customHeight="1">
      <c r="A1544" s="400"/>
      <c r="D1544" s="404"/>
      <c r="O1544" s="405"/>
      <c r="P1544" s="406"/>
      <c r="V1544" s="407"/>
    </row>
    <row r="1545" ht="15.75" customHeight="1">
      <c r="A1545" s="400"/>
      <c r="D1545" s="404"/>
      <c r="O1545" s="405"/>
      <c r="P1545" s="406"/>
      <c r="V1545" s="407"/>
    </row>
    <row r="1546" ht="15.75" customHeight="1">
      <c r="A1546" s="400"/>
      <c r="D1546" s="404"/>
      <c r="O1546" s="405"/>
      <c r="P1546" s="406"/>
      <c r="V1546" s="407"/>
    </row>
    <row r="1547" ht="15.75" customHeight="1">
      <c r="A1547" s="400"/>
      <c r="D1547" s="404"/>
      <c r="O1547" s="405"/>
      <c r="P1547" s="406"/>
      <c r="V1547" s="407"/>
    </row>
    <row r="1548" ht="15.75" customHeight="1">
      <c r="A1548" s="400"/>
      <c r="D1548" s="404"/>
      <c r="O1548" s="405"/>
      <c r="P1548" s="406"/>
      <c r="V1548" s="407"/>
    </row>
    <row r="1549" ht="15.75" customHeight="1">
      <c r="A1549" s="400"/>
      <c r="D1549" s="404"/>
      <c r="O1549" s="405"/>
      <c r="P1549" s="406"/>
      <c r="V1549" s="407"/>
    </row>
    <row r="1550" ht="15.75" customHeight="1">
      <c r="A1550" s="400"/>
      <c r="D1550" s="404"/>
      <c r="O1550" s="405"/>
      <c r="P1550" s="406"/>
      <c r="V1550" s="407"/>
    </row>
    <row r="1551" ht="15.75" customHeight="1">
      <c r="A1551" s="400"/>
      <c r="D1551" s="404"/>
      <c r="O1551" s="405"/>
      <c r="P1551" s="406"/>
      <c r="V1551" s="407"/>
    </row>
    <row r="1552" ht="15.75" customHeight="1">
      <c r="A1552" s="400"/>
      <c r="D1552" s="404"/>
      <c r="O1552" s="405"/>
      <c r="P1552" s="406"/>
      <c r="V1552" s="407"/>
    </row>
    <row r="1553" ht="15.75" customHeight="1">
      <c r="A1553" s="400"/>
      <c r="D1553" s="404"/>
      <c r="O1553" s="405"/>
      <c r="P1553" s="406"/>
      <c r="V1553" s="407"/>
    </row>
    <row r="1554" ht="15.75" customHeight="1">
      <c r="A1554" s="400"/>
      <c r="D1554" s="404"/>
      <c r="O1554" s="405"/>
      <c r="P1554" s="406"/>
      <c r="V1554" s="407"/>
    </row>
    <row r="1555" ht="15.75" customHeight="1">
      <c r="A1555" s="400"/>
      <c r="D1555" s="404"/>
      <c r="O1555" s="405"/>
      <c r="P1555" s="406"/>
      <c r="V1555" s="407"/>
    </row>
    <row r="1556" ht="15.75" customHeight="1">
      <c r="A1556" s="400"/>
      <c r="D1556" s="404"/>
      <c r="O1556" s="405"/>
      <c r="P1556" s="406"/>
      <c r="V1556" s="407"/>
    </row>
    <row r="1557" ht="15.75" customHeight="1">
      <c r="A1557" s="400"/>
      <c r="D1557" s="404"/>
      <c r="O1557" s="405"/>
      <c r="P1557" s="406"/>
      <c r="V1557" s="407"/>
    </row>
    <row r="1558" ht="15.75" customHeight="1">
      <c r="A1558" s="400"/>
      <c r="D1558" s="404"/>
      <c r="O1558" s="405"/>
      <c r="P1558" s="406"/>
      <c r="V1558" s="407"/>
    </row>
    <row r="1559" ht="15.75" customHeight="1">
      <c r="A1559" s="400"/>
      <c r="D1559" s="404"/>
      <c r="O1559" s="405"/>
      <c r="P1559" s="406"/>
      <c r="V1559" s="407"/>
    </row>
    <row r="1560" ht="15.75" customHeight="1">
      <c r="A1560" s="400"/>
      <c r="D1560" s="404"/>
      <c r="O1560" s="405"/>
      <c r="P1560" s="406"/>
      <c r="V1560" s="407"/>
    </row>
    <row r="1561" ht="15.75" customHeight="1">
      <c r="A1561" s="400"/>
      <c r="D1561" s="404"/>
      <c r="O1561" s="405"/>
      <c r="P1561" s="406"/>
      <c r="V1561" s="407"/>
    </row>
    <row r="1562" ht="15.75" customHeight="1">
      <c r="A1562" s="400"/>
      <c r="D1562" s="404"/>
      <c r="O1562" s="405"/>
      <c r="P1562" s="406"/>
      <c r="V1562" s="407"/>
    </row>
    <row r="1563" ht="15.75" customHeight="1">
      <c r="A1563" s="400"/>
      <c r="D1563" s="404"/>
      <c r="O1563" s="405"/>
      <c r="P1563" s="406"/>
      <c r="V1563" s="407"/>
    </row>
    <row r="1564" ht="15.75" customHeight="1">
      <c r="A1564" s="400"/>
      <c r="D1564" s="404"/>
      <c r="O1564" s="405"/>
      <c r="P1564" s="406"/>
      <c r="V1564" s="407"/>
    </row>
    <row r="1565" ht="15.75" customHeight="1">
      <c r="A1565" s="400"/>
      <c r="D1565" s="404"/>
      <c r="O1565" s="405"/>
      <c r="P1565" s="406"/>
      <c r="V1565" s="407"/>
    </row>
    <row r="1566" ht="15.75" customHeight="1">
      <c r="A1566" s="400"/>
      <c r="D1566" s="404"/>
      <c r="O1566" s="405"/>
      <c r="P1566" s="406"/>
      <c r="V1566" s="407"/>
    </row>
    <row r="1567" ht="15.75" customHeight="1">
      <c r="A1567" s="400"/>
      <c r="D1567" s="404"/>
      <c r="O1567" s="405"/>
      <c r="P1567" s="406"/>
      <c r="V1567" s="407"/>
    </row>
    <row r="1568" ht="15.75" customHeight="1">
      <c r="A1568" s="400"/>
      <c r="D1568" s="404"/>
      <c r="O1568" s="405"/>
      <c r="P1568" s="406"/>
      <c r="V1568" s="407"/>
    </row>
    <row r="1569" ht="15.75" customHeight="1">
      <c r="A1569" s="400"/>
      <c r="D1569" s="404"/>
      <c r="O1569" s="405"/>
      <c r="P1569" s="406"/>
      <c r="V1569" s="407"/>
    </row>
    <row r="1570" ht="15.75" customHeight="1">
      <c r="A1570" s="400"/>
      <c r="D1570" s="404"/>
      <c r="O1570" s="405"/>
      <c r="P1570" s="406"/>
      <c r="V1570" s="407"/>
    </row>
    <row r="1571" ht="15.75" customHeight="1">
      <c r="A1571" s="400"/>
      <c r="D1571" s="404"/>
      <c r="O1571" s="405"/>
      <c r="P1571" s="406"/>
      <c r="V1571" s="407"/>
    </row>
    <row r="1572" ht="15.75" customHeight="1">
      <c r="A1572" s="400"/>
      <c r="D1572" s="404"/>
      <c r="O1572" s="405"/>
      <c r="P1572" s="406"/>
      <c r="V1572" s="407"/>
    </row>
    <row r="1573" ht="15.75" customHeight="1">
      <c r="A1573" s="400"/>
      <c r="D1573" s="404"/>
      <c r="O1573" s="405"/>
      <c r="P1573" s="406"/>
      <c r="V1573" s="407"/>
    </row>
    <row r="1574" ht="15.75" customHeight="1">
      <c r="A1574" s="400"/>
      <c r="D1574" s="404"/>
      <c r="O1574" s="405"/>
      <c r="P1574" s="406"/>
      <c r="V1574" s="407"/>
    </row>
    <row r="1575" ht="15.75" customHeight="1">
      <c r="A1575" s="400"/>
      <c r="D1575" s="404"/>
      <c r="O1575" s="405"/>
      <c r="P1575" s="406"/>
      <c r="V1575" s="407"/>
    </row>
    <row r="1576" ht="15.75" customHeight="1">
      <c r="A1576" s="400"/>
      <c r="D1576" s="404"/>
      <c r="O1576" s="405"/>
      <c r="P1576" s="406"/>
      <c r="V1576" s="407"/>
    </row>
    <row r="1577" ht="15.75" customHeight="1">
      <c r="A1577" s="400"/>
      <c r="D1577" s="404"/>
      <c r="O1577" s="405"/>
      <c r="P1577" s="406"/>
      <c r="V1577" s="407"/>
    </row>
    <row r="1578" ht="15.75" customHeight="1">
      <c r="A1578" s="400"/>
      <c r="D1578" s="404"/>
      <c r="O1578" s="405"/>
      <c r="P1578" s="406"/>
      <c r="V1578" s="407"/>
    </row>
    <row r="1579" ht="15.75" customHeight="1">
      <c r="A1579" s="400"/>
      <c r="D1579" s="404"/>
      <c r="O1579" s="405"/>
      <c r="P1579" s="406"/>
      <c r="V1579" s="407"/>
    </row>
    <row r="1580" ht="15.75" customHeight="1">
      <c r="A1580" s="400"/>
      <c r="D1580" s="404"/>
      <c r="O1580" s="405"/>
      <c r="P1580" s="406"/>
      <c r="V1580" s="407"/>
    </row>
    <row r="1581" ht="15.75" customHeight="1">
      <c r="A1581" s="400"/>
      <c r="D1581" s="404"/>
      <c r="O1581" s="405"/>
      <c r="P1581" s="406"/>
      <c r="V1581" s="407"/>
    </row>
    <row r="1582" ht="15.75" customHeight="1">
      <c r="A1582" s="400"/>
      <c r="D1582" s="404"/>
      <c r="O1582" s="405"/>
      <c r="P1582" s="406"/>
      <c r="V1582" s="407"/>
    </row>
    <row r="1583" ht="15.75" customHeight="1">
      <c r="A1583" s="400"/>
      <c r="D1583" s="404"/>
      <c r="O1583" s="405"/>
      <c r="P1583" s="406"/>
      <c r="V1583" s="407"/>
    </row>
    <row r="1584" ht="15.75" customHeight="1">
      <c r="A1584" s="400"/>
      <c r="D1584" s="404"/>
      <c r="O1584" s="405"/>
      <c r="P1584" s="406"/>
      <c r="V1584" s="407"/>
    </row>
    <row r="1585" ht="15.75" customHeight="1">
      <c r="A1585" s="400"/>
      <c r="D1585" s="404"/>
      <c r="O1585" s="405"/>
      <c r="P1585" s="406"/>
      <c r="V1585" s="407"/>
    </row>
    <row r="1586" ht="15.75" customHeight="1">
      <c r="A1586" s="400"/>
      <c r="D1586" s="404"/>
      <c r="O1586" s="405"/>
      <c r="P1586" s="406"/>
      <c r="V1586" s="407"/>
    </row>
    <row r="1587" ht="15.75" customHeight="1">
      <c r="A1587" s="400"/>
      <c r="D1587" s="404"/>
      <c r="O1587" s="405"/>
      <c r="P1587" s="406"/>
      <c r="V1587" s="407"/>
    </row>
    <row r="1588" ht="15.75" customHeight="1">
      <c r="A1588" s="400"/>
      <c r="D1588" s="404"/>
      <c r="O1588" s="405"/>
      <c r="P1588" s="406"/>
      <c r="V1588" s="407"/>
    </row>
    <row r="1589" ht="15.75" customHeight="1">
      <c r="A1589" s="400"/>
      <c r="D1589" s="404"/>
      <c r="O1589" s="405"/>
      <c r="P1589" s="406"/>
      <c r="V1589" s="407"/>
    </row>
    <row r="1590" ht="15.75" customHeight="1">
      <c r="A1590" s="400"/>
      <c r="D1590" s="404"/>
      <c r="O1590" s="405"/>
      <c r="P1590" s="406"/>
      <c r="V1590" s="407"/>
    </row>
    <row r="1591" ht="15.75" customHeight="1">
      <c r="A1591" s="400"/>
      <c r="D1591" s="404"/>
      <c r="O1591" s="405"/>
      <c r="P1591" s="406"/>
      <c r="V1591" s="407"/>
    </row>
    <row r="1592" ht="15.75" customHeight="1">
      <c r="A1592" s="400"/>
      <c r="D1592" s="404"/>
      <c r="O1592" s="405"/>
      <c r="P1592" s="406"/>
      <c r="V1592" s="407"/>
    </row>
    <row r="1593" ht="15.75" customHeight="1">
      <c r="A1593" s="400"/>
      <c r="D1593" s="404"/>
      <c r="O1593" s="405"/>
      <c r="P1593" s="406"/>
      <c r="V1593" s="407"/>
    </row>
    <row r="1594" ht="15.75" customHeight="1">
      <c r="A1594" s="400"/>
      <c r="D1594" s="404"/>
      <c r="O1594" s="405"/>
      <c r="P1594" s="406"/>
      <c r="V1594" s="407"/>
    </row>
    <row r="1595" ht="15.75" customHeight="1">
      <c r="A1595" s="400"/>
      <c r="D1595" s="404"/>
      <c r="O1595" s="405"/>
      <c r="P1595" s="406"/>
      <c r="V1595" s="407"/>
    </row>
    <row r="1596" ht="15.75" customHeight="1">
      <c r="A1596" s="400"/>
      <c r="D1596" s="404"/>
      <c r="O1596" s="405"/>
      <c r="P1596" s="406"/>
      <c r="V1596" s="407"/>
    </row>
    <row r="1597" ht="15.75" customHeight="1">
      <c r="A1597" s="400"/>
      <c r="D1597" s="404"/>
      <c r="O1597" s="405"/>
      <c r="P1597" s="406"/>
      <c r="V1597" s="407"/>
    </row>
    <row r="1598" ht="15.75" customHeight="1">
      <c r="A1598" s="400"/>
      <c r="D1598" s="404"/>
      <c r="O1598" s="405"/>
      <c r="P1598" s="406"/>
      <c r="V1598" s="407"/>
    </row>
    <row r="1599" ht="15.75" customHeight="1">
      <c r="A1599" s="400"/>
      <c r="D1599" s="404"/>
      <c r="O1599" s="405"/>
      <c r="P1599" s="406"/>
      <c r="V1599" s="407"/>
    </row>
    <row r="1600" ht="15.75" customHeight="1">
      <c r="A1600" s="400"/>
      <c r="D1600" s="404"/>
      <c r="O1600" s="405"/>
      <c r="P1600" s="406"/>
      <c r="V1600" s="407"/>
    </row>
    <row r="1601" ht="15.75" customHeight="1">
      <c r="A1601" s="400"/>
      <c r="D1601" s="404"/>
      <c r="O1601" s="405"/>
      <c r="P1601" s="406"/>
      <c r="V1601" s="407"/>
    </row>
    <row r="1602" ht="15.75" customHeight="1">
      <c r="A1602" s="400"/>
      <c r="D1602" s="404"/>
      <c r="O1602" s="405"/>
      <c r="P1602" s="406"/>
      <c r="V1602" s="407"/>
    </row>
    <row r="1603" ht="15.75" customHeight="1">
      <c r="A1603" s="400"/>
      <c r="D1603" s="404"/>
      <c r="O1603" s="405"/>
      <c r="P1603" s="406"/>
      <c r="V1603" s="407"/>
    </row>
    <row r="1604" ht="15.75" customHeight="1">
      <c r="A1604" s="400"/>
      <c r="D1604" s="404"/>
      <c r="O1604" s="405"/>
      <c r="P1604" s="406"/>
      <c r="V1604" s="407"/>
    </row>
    <row r="1605" ht="15.75" customHeight="1">
      <c r="A1605" s="400"/>
      <c r="D1605" s="404"/>
      <c r="O1605" s="405"/>
      <c r="P1605" s="406"/>
      <c r="V1605" s="407"/>
    </row>
    <row r="1606" ht="15.75" customHeight="1">
      <c r="A1606" s="400"/>
      <c r="D1606" s="404"/>
      <c r="O1606" s="405"/>
      <c r="P1606" s="406"/>
      <c r="V1606" s="407"/>
    </row>
    <row r="1607" ht="15.75" customHeight="1">
      <c r="A1607" s="400"/>
      <c r="D1607" s="404"/>
      <c r="O1607" s="405"/>
      <c r="P1607" s="406"/>
      <c r="V1607" s="407"/>
    </row>
    <row r="1608" ht="15.75" customHeight="1">
      <c r="A1608" s="400"/>
      <c r="D1608" s="404"/>
      <c r="O1608" s="405"/>
      <c r="P1608" s="406"/>
      <c r="V1608" s="407"/>
    </row>
    <row r="1609" ht="15.75" customHeight="1">
      <c r="A1609" s="400"/>
      <c r="D1609" s="404"/>
      <c r="O1609" s="405"/>
      <c r="P1609" s="406"/>
      <c r="V1609" s="407"/>
    </row>
    <row r="1610" ht="15.75" customHeight="1">
      <c r="A1610" s="400"/>
      <c r="D1610" s="404"/>
      <c r="O1610" s="405"/>
      <c r="P1610" s="406"/>
      <c r="V1610" s="407"/>
    </row>
    <row r="1611" ht="15.75" customHeight="1">
      <c r="A1611" s="400"/>
      <c r="D1611" s="404"/>
      <c r="O1611" s="405"/>
      <c r="P1611" s="406"/>
      <c r="V1611" s="407"/>
    </row>
    <row r="1612" ht="15.75" customHeight="1">
      <c r="A1612" s="400"/>
      <c r="D1612" s="404"/>
      <c r="O1612" s="405"/>
      <c r="P1612" s="406"/>
      <c r="V1612" s="407"/>
    </row>
    <row r="1613" ht="15.75" customHeight="1">
      <c r="A1613" s="400"/>
      <c r="D1613" s="404"/>
      <c r="O1613" s="405"/>
      <c r="P1613" s="406"/>
      <c r="V1613" s="407"/>
    </row>
    <row r="1614" ht="15.75" customHeight="1">
      <c r="A1614" s="400"/>
      <c r="D1614" s="404"/>
      <c r="O1614" s="405"/>
      <c r="P1614" s="406"/>
      <c r="V1614" s="407"/>
    </row>
    <row r="1615" ht="15.75" customHeight="1">
      <c r="A1615" s="400"/>
      <c r="D1615" s="404"/>
      <c r="O1615" s="405"/>
      <c r="P1615" s="406"/>
      <c r="V1615" s="407"/>
    </row>
    <row r="1616" ht="15.75" customHeight="1">
      <c r="A1616" s="400"/>
      <c r="D1616" s="404"/>
      <c r="O1616" s="405"/>
      <c r="P1616" s="406"/>
      <c r="V1616" s="407"/>
    </row>
    <row r="1617" ht="15.75" customHeight="1">
      <c r="A1617" s="400"/>
      <c r="D1617" s="404"/>
      <c r="O1617" s="405"/>
      <c r="P1617" s="406"/>
      <c r="V1617" s="407"/>
    </row>
    <row r="1618" ht="15.75" customHeight="1">
      <c r="A1618" s="400"/>
      <c r="D1618" s="404"/>
      <c r="O1618" s="405"/>
      <c r="P1618" s="406"/>
      <c r="V1618" s="407"/>
    </row>
    <row r="1619" ht="15.75" customHeight="1">
      <c r="A1619" s="400"/>
      <c r="D1619" s="404"/>
      <c r="O1619" s="405"/>
      <c r="P1619" s="406"/>
      <c r="V1619" s="407"/>
    </row>
    <row r="1620" ht="15.75" customHeight="1">
      <c r="A1620" s="400"/>
      <c r="D1620" s="404"/>
      <c r="O1620" s="405"/>
      <c r="P1620" s="406"/>
      <c r="V1620" s="407"/>
    </row>
    <row r="1621" ht="15.75" customHeight="1">
      <c r="A1621" s="400"/>
      <c r="D1621" s="404"/>
      <c r="O1621" s="405"/>
      <c r="P1621" s="406"/>
      <c r="V1621" s="407"/>
    </row>
    <row r="1622" ht="15.75" customHeight="1">
      <c r="A1622" s="400"/>
      <c r="D1622" s="404"/>
      <c r="O1622" s="405"/>
      <c r="P1622" s="406"/>
      <c r="V1622" s="407"/>
    </row>
    <row r="1623" ht="15.75" customHeight="1">
      <c r="A1623" s="400"/>
      <c r="D1623" s="404"/>
      <c r="O1623" s="405"/>
      <c r="P1623" s="406"/>
      <c r="V1623" s="407"/>
    </row>
    <row r="1624" ht="15.75" customHeight="1">
      <c r="A1624" s="400"/>
      <c r="D1624" s="404"/>
      <c r="O1624" s="405"/>
      <c r="P1624" s="406"/>
      <c r="V1624" s="407"/>
    </row>
    <row r="1625" ht="15.75" customHeight="1">
      <c r="A1625" s="400"/>
      <c r="D1625" s="404"/>
      <c r="O1625" s="405"/>
      <c r="P1625" s="406"/>
      <c r="V1625" s="407"/>
    </row>
    <row r="1626" ht="15.75" customHeight="1">
      <c r="A1626" s="400"/>
      <c r="D1626" s="404"/>
      <c r="O1626" s="405"/>
      <c r="P1626" s="406"/>
      <c r="V1626" s="407"/>
    </row>
    <row r="1627" ht="15.75" customHeight="1">
      <c r="A1627" s="400"/>
      <c r="D1627" s="404"/>
      <c r="O1627" s="405"/>
      <c r="P1627" s="406"/>
      <c r="V1627" s="407"/>
    </row>
    <row r="1628" ht="15.75" customHeight="1">
      <c r="A1628" s="400"/>
      <c r="D1628" s="404"/>
      <c r="O1628" s="405"/>
      <c r="P1628" s="406"/>
      <c r="V1628" s="407"/>
    </row>
    <row r="1629" ht="15.75" customHeight="1">
      <c r="A1629" s="400"/>
      <c r="D1629" s="404"/>
      <c r="O1629" s="405"/>
      <c r="P1629" s="406"/>
      <c r="V1629" s="407"/>
    </row>
    <row r="1630" ht="15.75" customHeight="1">
      <c r="A1630" s="400"/>
      <c r="D1630" s="404"/>
      <c r="O1630" s="405"/>
      <c r="P1630" s="406"/>
      <c r="V1630" s="407"/>
    </row>
    <row r="1631" ht="15.75" customHeight="1">
      <c r="A1631" s="400"/>
      <c r="D1631" s="404"/>
      <c r="O1631" s="405"/>
      <c r="P1631" s="406"/>
      <c r="V1631" s="407"/>
    </row>
    <row r="1632" ht="15.75" customHeight="1">
      <c r="A1632" s="400"/>
      <c r="D1632" s="404"/>
      <c r="O1632" s="405"/>
      <c r="P1632" s="406"/>
      <c r="V1632" s="407"/>
    </row>
    <row r="1633" ht="15.75" customHeight="1">
      <c r="A1633" s="400"/>
      <c r="D1633" s="404"/>
      <c r="O1633" s="405"/>
      <c r="P1633" s="406"/>
      <c r="V1633" s="407"/>
    </row>
    <row r="1634" ht="15.75" customHeight="1">
      <c r="A1634" s="400"/>
      <c r="D1634" s="404"/>
      <c r="O1634" s="405"/>
      <c r="P1634" s="406"/>
      <c r="V1634" s="407"/>
    </row>
    <row r="1635" ht="15.75" customHeight="1">
      <c r="A1635" s="400"/>
      <c r="D1635" s="404"/>
      <c r="O1635" s="405"/>
      <c r="P1635" s="406"/>
      <c r="V1635" s="407"/>
    </row>
    <row r="1636" ht="15.75" customHeight="1">
      <c r="A1636" s="400"/>
      <c r="D1636" s="404"/>
      <c r="O1636" s="405"/>
      <c r="P1636" s="406"/>
      <c r="V1636" s="407"/>
    </row>
    <row r="1637" ht="15.75" customHeight="1">
      <c r="A1637" s="400"/>
      <c r="D1637" s="404"/>
      <c r="O1637" s="405"/>
      <c r="P1637" s="406"/>
      <c r="V1637" s="407"/>
    </row>
    <row r="1638" ht="15.75" customHeight="1">
      <c r="A1638" s="400"/>
      <c r="D1638" s="404"/>
      <c r="O1638" s="405"/>
      <c r="P1638" s="406"/>
      <c r="V1638" s="407"/>
    </row>
    <row r="1639" ht="15.75" customHeight="1">
      <c r="A1639" s="400"/>
      <c r="D1639" s="404"/>
      <c r="O1639" s="405"/>
      <c r="P1639" s="406"/>
      <c r="V1639" s="407"/>
    </row>
    <row r="1640" ht="15.75" customHeight="1">
      <c r="A1640" s="400"/>
      <c r="D1640" s="404"/>
      <c r="O1640" s="405"/>
      <c r="P1640" s="406"/>
      <c r="V1640" s="407"/>
    </row>
    <row r="1641" ht="15.75" customHeight="1">
      <c r="A1641" s="400"/>
      <c r="D1641" s="404"/>
      <c r="O1641" s="405"/>
      <c r="P1641" s="406"/>
      <c r="V1641" s="407"/>
    </row>
    <row r="1642" ht="15.75" customHeight="1">
      <c r="A1642" s="400"/>
      <c r="D1642" s="404"/>
      <c r="O1642" s="405"/>
      <c r="P1642" s="406"/>
      <c r="V1642" s="407"/>
    </row>
    <row r="1643" ht="15.75" customHeight="1">
      <c r="A1643" s="400"/>
      <c r="D1643" s="404"/>
      <c r="O1643" s="405"/>
      <c r="P1643" s="406"/>
      <c r="V1643" s="407"/>
    </row>
    <row r="1644" ht="15.75" customHeight="1">
      <c r="A1644" s="400"/>
      <c r="D1644" s="404"/>
      <c r="O1644" s="405"/>
      <c r="P1644" s="406"/>
      <c r="V1644" s="407"/>
    </row>
    <row r="1645" ht="15.75" customHeight="1">
      <c r="A1645" s="400"/>
      <c r="D1645" s="404"/>
      <c r="O1645" s="405"/>
      <c r="P1645" s="406"/>
      <c r="V1645" s="407"/>
    </row>
    <row r="1646" ht="15.75" customHeight="1">
      <c r="A1646" s="400"/>
      <c r="D1646" s="404"/>
      <c r="O1646" s="405"/>
      <c r="P1646" s="406"/>
      <c r="V1646" s="407"/>
    </row>
    <row r="1647" ht="15.75" customHeight="1">
      <c r="A1647" s="400"/>
      <c r="D1647" s="404"/>
      <c r="O1647" s="405"/>
      <c r="P1647" s="406"/>
      <c r="V1647" s="407"/>
    </row>
    <row r="1648" ht="15.75" customHeight="1">
      <c r="A1648" s="400"/>
      <c r="D1648" s="404"/>
      <c r="O1648" s="405"/>
      <c r="P1648" s="406"/>
      <c r="V1648" s="407"/>
    </row>
    <row r="1649" ht="15.75" customHeight="1">
      <c r="A1649" s="400"/>
      <c r="D1649" s="404"/>
      <c r="O1649" s="405"/>
      <c r="P1649" s="406"/>
      <c r="V1649" s="407"/>
    </row>
    <row r="1650" ht="15.75" customHeight="1">
      <c r="A1650" s="400"/>
      <c r="D1650" s="404"/>
      <c r="O1650" s="405"/>
      <c r="P1650" s="406"/>
      <c r="V1650" s="407"/>
    </row>
    <row r="1651" ht="15.75" customHeight="1">
      <c r="A1651" s="400"/>
      <c r="D1651" s="404"/>
      <c r="O1651" s="405"/>
      <c r="P1651" s="406"/>
      <c r="V1651" s="407"/>
    </row>
    <row r="1652" ht="15.75" customHeight="1">
      <c r="A1652" s="400"/>
      <c r="D1652" s="404"/>
      <c r="O1652" s="405"/>
      <c r="P1652" s="406"/>
      <c r="V1652" s="407"/>
    </row>
    <row r="1653" ht="15.75" customHeight="1">
      <c r="A1653" s="400"/>
      <c r="D1653" s="404"/>
      <c r="O1653" s="405"/>
      <c r="P1653" s="406"/>
      <c r="V1653" s="407"/>
    </row>
    <row r="1654" ht="15.75" customHeight="1">
      <c r="A1654" s="400"/>
      <c r="D1654" s="404"/>
      <c r="O1654" s="405"/>
      <c r="P1654" s="406"/>
      <c r="V1654" s="407"/>
    </row>
    <row r="1655" ht="15.75" customHeight="1">
      <c r="A1655" s="400"/>
      <c r="D1655" s="404"/>
      <c r="O1655" s="405"/>
      <c r="P1655" s="406"/>
      <c r="V1655" s="407"/>
    </row>
    <row r="1656" ht="15.75" customHeight="1">
      <c r="A1656" s="400"/>
      <c r="D1656" s="404"/>
      <c r="O1656" s="405"/>
      <c r="P1656" s="406"/>
      <c r="V1656" s="407"/>
    </row>
    <row r="1657" ht="15.75" customHeight="1">
      <c r="A1657" s="400"/>
      <c r="D1657" s="404"/>
      <c r="O1657" s="405"/>
      <c r="P1657" s="406"/>
      <c r="V1657" s="407"/>
    </row>
    <row r="1658" ht="15.75" customHeight="1">
      <c r="A1658" s="400"/>
      <c r="D1658" s="404"/>
      <c r="O1658" s="405"/>
      <c r="P1658" s="406"/>
      <c r="V1658" s="407"/>
    </row>
    <row r="1659" ht="15.75" customHeight="1">
      <c r="A1659" s="400"/>
      <c r="D1659" s="404"/>
      <c r="O1659" s="405"/>
      <c r="P1659" s="406"/>
      <c r="V1659" s="407"/>
    </row>
    <row r="1660" ht="15.75" customHeight="1">
      <c r="A1660" s="400"/>
      <c r="D1660" s="404"/>
      <c r="O1660" s="405"/>
      <c r="P1660" s="406"/>
      <c r="V1660" s="407"/>
    </row>
    <row r="1661" ht="15.75" customHeight="1">
      <c r="A1661" s="400"/>
      <c r="D1661" s="404"/>
      <c r="O1661" s="405"/>
      <c r="P1661" s="406"/>
      <c r="V1661" s="407"/>
    </row>
    <row r="1662" ht="15.75" customHeight="1">
      <c r="A1662" s="400"/>
      <c r="D1662" s="404"/>
      <c r="O1662" s="405"/>
      <c r="P1662" s="406"/>
      <c r="V1662" s="407"/>
    </row>
    <row r="1663" ht="15.75" customHeight="1">
      <c r="A1663" s="400"/>
      <c r="D1663" s="404"/>
      <c r="O1663" s="405"/>
      <c r="P1663" s="406"/>
      <c r="V1663" s="407"/>
    </row>
    <row r="1664" ht="15.75" customHeight="1">
      <c r="A1664" s="400"/>
      <c r="D1664" s="404"/>
      <c r="O1664" s="405"/>
      <c r="P1664" s="406"/>
      <c r="V1664" s="407"/>
    </row>
    <row r="1665" ht="15.75" customHeight="1">
      <c r="A1665" s="400"/>
      <c r="D1665" s="404"/>
      <c r="O1665" s="405"/>
      <c r="P1665" s="406"/>
      <c r="V1665" s="407"/>
    </row>
    <row r="1666" ht="15.75" customHeight="1">
      <c r="A1666" s="400"/>
      <c r="D1666" s="404"/>
      <c r="O1666" s="405"/>
      <c r="P1666" s="406"/>
      <c r="V1666" s="407"/>
    </row>
    <row r="1667" ht="15.75" customHeight="1">
      <c r="A1667" s="400"/>
      <c r="D1667" s="404"/>
      <c r="O1667" s="405"/>
      <c r="P1667" s="406"/>
      <c r="V1667" s="407"/>
    </row>
    <row r="1668" ht="15.75" customHeight="1">
      <c r="A1668" s="400"/>
      <c r="D1668" s="404"/>
      <c r="O1668" s="405"/>
      <c r="P1668" s="406"/>
      <c r="V1668" s="407"/>
    </row>
    <row r="1669" ht="15.75" customHeight="1">
      <c r="A1669" s="400"/>
      <c r="D1669" s="404"/>
      <c r="O1669" s="405"/>
      <c r="P1669" s="406"/>
      <c r="V1669" s="407"/>
    </row>
    <row r="1670" ht="15.75" customHeight="1">
      <c r="A1670" s="400"/>
      <c r="D1670" s="404"/>
      <c r="O1670" s="405"/>
      <c r="P1670" s="406"/>
      <c r="V1670" s="407"/>
    </row>
    <row r="1671" ht="15.75" customHeight="1">
      <c r="A1671" s="400"/>
      <c r="D1671" s="404"/>
      <c r="O1671" s="405"/>
      <c r="P1671" s="406"/>
      <c r="V1671" s="407"/>
    </row>
    <row r="1672" ht="15.75" customHeight="1">
      <c r="A1672" s="400"/>
      <c r="D1672" s="404"/>
      <c r="O1672" s="405"/>
      <c r="P1672" s="406"/>
      <c r="V1672" s="407"/>
    </row>
    <row r="1673" ht="15.75" customHeight="1">
      <c r="A1673" s="400"/>
      <c r="D1673" s="404"/>
      <c r="O1673" s="405"/>
      <c r="P1673" s="406"/>
      <c r="V1673" s="407"/>
    </row>
    <row r="1674" ht="15.75" customHeight="1">
      <c r="A1674" s="400"/>
      <c r="D1674" s="404"/>
      <c r="O1674" s="405"/>
      <c r="P1674" s="406"/>
      <c r="V1674" s="407"/>
    </row>
    <row r="1675" ht="15.75" customHeight="1">
      <c r="A1675" s="400"/>
      <c r="D1675" s="404"/>
      <c r="O1675" s="405"/>
      <c r="P1675" s="406"/>
      <c r="V1675" s="407"/>
    </row>
    <row r="1676" ht="15.75" customHeight="1">
      <c r="A1676" s="400"/>
      <c r="D1676" s="404"/>
      <c r="O1676" s="405"/>
      <c r="P1676" s="406"/>
      <c r="V1676" s="407"/>
    </row>
    <row r="1677" ht="15.75" customHeight="1">
      <c r="A1677" s="400"/>
      <c r="D1677" s="404"/>
      <c r="O1677" s="405"/>
      <c r="P1677" s="406"/>
      <c r="V1677" s="407"/>
    </row>
    <row r="1678" ht="15.75" customHeight="1">
      <c r="A1678" s="400"/>
      <c r="D1678" s="404"/>
      <c r="O1678" s="405"/>
      <c r="P1678" s="406"/>
      <c r="V1678" s="407"/>
    </row>
    <row r="1679" ht="15.75" customHeight="1">
      <c r="A1679" s="400"/>
      <c r="D1679" s="404"/>
      <c r="O1679" s="405"/>
      <c r="P1679" s="406"/>
      <c r="V1679" s="407"/>
    </row>
    <row r="1680" ht="15.75" customHeight="1">
      <c r="A1680" s="400"/>
      <c r="D1680" s="404"/>
      <c r="O1680" s="405"/>
      <c r="P1680" s="406"/>
      <c r="V1680" s="407"/>
    </row>
    <row r="1681" ht="15.75" customHeight="1">
      <c r="A1681" s="400"/>
      <c r="D1681" s="404"/>
      <c r="O1681" s="405"/>
      <c r="P1681" s="406"/>
      <c r="V1681" s="407"/>
    </row>
    <row r="1682" ht="15.75" customHeight="1">
      <c r="A1682" s="400"/>
      <c r="D1682" s="404"/>
      <c r="O1682" s="405"/>
      <c r="P1682" s="406"/>
      <c r="V1682" s="407"/>
    </row>
    <row r="1683" ht="15.75" customHeight="1">
      <c r="A1683" s="400"/>
      <c r="D1683" s="404"/>
      <c r="O1683" s="405"/>
      <c r="P1683" s="406"/>
      <c r="V1683" s="407"/>
    </row>
    <row r="1684" ht="15.75" customHeight="1">
      <c r="A1684" s="400"/>
      <c r="D1684" s="404"/>
      <c r="O1684" s="405"/>
      <c r="P1684" s="406"/>
      <c r="V1684" s="407"/>
    </row>
    <row r="1685" ht="15.75" customHeight="1">
      <c r="A1685" s="400"/>
      <c r="D1685" s="404"/>
      <c r="O1685" s="405"/>
      <c r="P1685" s="406"/>
      <c r="V1685" s="407"/>
    </row>
    <row r="1686" ht="15.75" customHeight="1">
      <c r="A1686" s="400"/>
      <c r="D1686" s="404"/>
      <c r="O1686" s="405"/>
      <c r="P1686" s="406"/>
      <c r="V1686" s="407"/>
    </row>
    <row r="1687" ht="15.75" customHeight="1">
      <c r="A1687" s="400"/>
      <c r="D1687" s="404"/>
      <c r="O1687" s="405"/>
      <c r="P1687" s="406"/>
      <c r="V1687" s="407"/>
    </row>
    <row r="1688" ht="15.75" customHeight="1">
      <c r="A1688" s="400"/>
      <c r="D1688" s="404"/>
      <c r="O1688" s="405"/>
      <c r="P1688" s="406"/>
      <c r="V1688" s="407"/>
    </row>
    <row r="1689" ht="15.75" customHeight="1">
      <c r="A1689" s="400"/>
      <c r="D1689" s="404"/>
      <c r="O1689" s="405"/>
      <c r="P1689" s="406"/>
      <c r="V1689" s="407"/>
    </row>
    <row r="1690" ht="15.75" customHeight="1">
      <c r="A1690" s="400"/>
      <c r="D1690" s="404"/>
      <c r="O1690" s="405"/>
      <c r="P1690" s="406"/>
      <c r="V1690" s="407"/>
    </row>
    <row r="1691" ht="15.75" customHeight="1">
      <c r="A1691" s="400"/>
      <c r="D1691" s="404"/>
      <c r="O1691" s="405"/>
      <c r="P1691" s="406"/>
      <c r="V1691" s="407"/>
    </row>
    <row r="1692" ht="15.75" customHeight="1">
      <c r="A1692" s="400"/>
      <c r="D1692" s="404"/>
      <c r="O1692" s="405"/>
      <c r="P1692" s="406"/>
      <c r="V1692" s="407"/>
    </row>
    <row r="1693" ht="15.75" customHeight="1">
      <c r="A1693" s="400"/>
      <c r="D1693" s="404"/>
      <c r="O1693" s="405"/>
      <c r="P1693" s="406"/>
      <c r="V1693" s="407"/>
    </row>
    <row r="1694" ht="15.75" customHeight="1">
      <c r="A1694" s="400"/>
      <c r="D1694" s="404"/>
      <c r="O1694" s="405"/>
      <c r="P1694" s="406"/>
      <c r="V1694" s="407"/>
    </row>
    <row r="1695" ht="15.75" customHeight="1">
      <c r="A1695" s="400"/>
      <c r="D1695" s="404"/>
      <c r="O1695" s="405"/>
      <c r="P1695" s="406"/>
      <c r="V1695" s="407"/>
    </row>
    <row r="1696" ht="15.75" customHeight="1">
      <c r="A1696" s="400"/>
      <c r="D1696" s="404"/>
      <c r="O1696" s="405"/>
      <c r="P1696" s="406"/>
      <c r="V1696" s="407"/>
    </row>
    <row r="1697" ht="15.75" customHeight="1">
      <c r="A1697" s="400"/>
      <c r="D1697" s="404"/>
      <c r="O1697" s="405"/>
      <c r="P1697" s="406"/>
      <c r="V1697" s="407"/>
    </row>
    <row r="1698" ht="15.75" customHeight="1">
      <c r="A1698" s="400"/>
      <c r="D1698" s="404"/>
      <c r="O1698" s="405"/>
      <c r="P1698" s="406"/>
      <c r="V1698" s="407"/>
    </row>
    <row r="1699" ht="15.75" customHeight="1">
      <c r="A1699" s="400"/>
      <c r="D1699" s="404"/>
      <c r="O1699" s="405"/>
      <c r="P1699" s="406"/>
      <c r="V1699" s="407"/>
    </row>
    <row r="1700" ht="15.75" customHeight="1">
      <c r="A1700" s="400"/>
      <c r="D1700" s="404"/>
      <c r="O1700" s="405"/>
      <c r="P1700" s="406"/>
      <c r="V1700" s="407"/>
    </row>
    <row r="1701" ht="15.75" customHeight="1">
      <c r="A1701" s="400"/>
      <c r="D1701" s="404"/>
      <c r="O1701" s="405"/>
      <c r="P1701" s="406"/>
      <c r="V1701" s="407"/>
    </row>
    <row r="1702" ht="15.75" customHeight="1">
      <c r="A1702" s="400"/>
      <c r="D1702" s="404"/>
      <c r="O1702" s="405"/>
      <c r="P1702" s="406"/>
      <c r="V1702" s="407"/>
    </row>
    <row r="1703" ht="15.75" customHeight="1">
      <c r="A1703" s="400"/>
      <c r="D1703" s="404"/>
      <c r="O1703" s="405"/>
      <c r="P1703" s="406"/>
      <c r="V1703" s="407"/>
    </row>
    <row r="1704" ht="15.75" customHeight="1">
      <c r="A1704" s="400"/>
      <c r="D1704" s="404"/>
      <c r="O1704" s="405"/>
      <c r="P1704" s="406"/>
      <c r="V1704" s="407"/>
    </row>
    <row r="1705" ht="15.75" customHeight="1">
      <c r="A1705" s="400"/>
      <c r="D1705" s="404"/>
      <c r="O1705" s="405"/>
      <c r="P1705" s="406"/>
      <c r="V1705" s="407"/>
    </row>
    <row r="1706" ht="15.75" customHeight="1">
      <c r="A1706" s="400"/>
      <c r="D1706" s="404"/>
      <c r="O1706" s="405"/>
      <c r="P1706" s="406"/>
      <c r="V1706" s="407"/>
    </row>
    <row r="1707" ht="15.75" customHeight="1">
      <c r="A1707" s="400"/>
      <c r="D1707" s="404"/>
      <c r="O1707" s="405"/>
      <c r="P1707" s="406"/>
      <c r="V1707" s="407"/>
    </row>
    <row r="1708" ht="15.75" customHeight="1">
      <c r="A1708" s="400"/>
      <c r="D1708" s="404"/>
      <c r="O1708" s="405"/>
      <c r="P1708" s="406"/>
      <c r="V1708" s="407"/>
    </row>
    <row r="1709" ht="15.75" customHeight="1">
      <c r="A1709" s="400"/>
      <c r="D1709" s="404"/>
      <c r="O1709" s="405"/>
      <c r="P1709" s="406"/>
      <c r="V1709" s="407"/>
    </row>
    <row r="1710" ht="15.75" customHeight="1">
      <c r="A1710" s="400"/>
      <c r="D1710" s="404"/>
      <c r="O1710" s="405"/>
      <c r="P1710" s="406"/>
      <c r="V1710" s="407"/>
    </row>
    <row r="1711" ht="15.75" customHeight="1">
      <c r="A1711" s="400"/>
      <c r="D1711" s="404"/>
      <c r="O1711" s="405"/>
      <c r="P1711" s="406"/>
      <c r="V1711" s="407"/>
    </row>
    <row r="1712" ht="15.75" customHeight="1">
      <c r="A1712" s="400"/>
      <c r="D1712" s="404"/>
      <c r="O1712" s="405"/>
      <c r="P1712" s="406"/>
      <c r="V1712" s="407"/>
    </row>
    <row r="1713" ht="15.75" customHeight="1">
      <c r="A1713" s="400"/>
      <c r="D1713" s="404"/>
      <c r="O1713" s="405"/>
      <c r="P1713" s="406"/>
      <c r="V1713" s="407"/>
    </row>
    <row r="1714" ht="15.75" customHeight="1">
      <c r="A1714" s="400"/>
      <c r="D1714" s="404"/>
      <c r="O1714" s="405"/>
      <c r="P1714" s="406"/>
      <c r="V1714" s="407"/>
    </row>
    <row r="1715" ht="15.75" customHeight="1">
      <c r="A1715" s="400"/>
      <c r="D1715" s="404"/>
      <c r="O1715" s="405"/>
      <c r="P1715" s="406"/>
      <c r="V1715" s="407"/>
    </row>
    <row r="1716" ht="15.75" customHeight="1">
      <c r="A1716" s="400"/>
      <c r="D1716" s="404"/>
      <c r="O1716" s="405"/>
      <c r="P1716" s="406"/>
      <c r="V1716" s="407"/>
    </row>
    <row r="1717" ht="15.75" customHeight="1">
      <c r="A1717" s="400"/>
      <c r="D1717" s="404"/>
      <c r="O1717" s="405"/>
      <c r="P1717" s="406"/>
      <c r="V1717" s="407"/>
    </row>
    <row r="1718" ht="15.75" customHeight="1">
      <c r="A1718" s="400"/>
      <c r="D1718" s="404"/>
      <c r="O1718" s="405"/>
      <c r="P1718" s="406"/>
      <c r="V1718" s="407"/>
    </row>
    <row r="1719" ht="15.75" customHeight="1">
      <c r="A1719" s="400"/>
      <c r="D1719" s="404"/>
      <c r="O1719" s="405"/>
      <c r="P1719" s="406"/>
      <c r="V1719" s="407"/>
    </row>
    <row r="1720" ht="15.75" customHeight="1">
      <c r="A1720" s="400"/>
      <c r="D1720" s="404"/>
      <c r="O1720" s="405"/>
      <c r="P1720" s="406"/>
      <c r="V1720" s="407"/>
    </row>
    <row r="1721" ht="15.75" customHeight="1">
      <c r="A1721" s="400"/>
      <c r="D1721" s="404"/>
      <c r="O1721" s="405"/>
      <c r="P1721" s="406"/>
      <c r="V1721" s="407"/>
    </row>
    <row r="1722" ht="15.75" customHeight="1">
      <c r="A1722" s="400"/>
      <c r="D1722" s="404"/>
      <c r="O1722" s="405"/>
      <c r="P1722" s="406"/>
      <c r="V1722" s="407"/>
    </row>
    <row r="1723" ht="15.75" customHeight="1">
      <c r="A1723" s="400"/>
      <c r="D1723" s="404"/>
      <c r="O1723" s="405"/>
      <c r="P1723" s="406"/>
      <c r="V1723" s="407"/>
    </row>
    <row r="1724" ht="15.75" customHeight="1">
      <c r="A1724" s="400"/>
      <c r="D1724" s="404"/>
      <c r="O1724" s="405"/>
      <c r="P1724" s="406"/>
      <c r="V1724" s="407"/>
    </row>
    <row r="1725" ht="15.75" customHeight="1">
      <c r="A1725" s="400"/>
      <c r="D1725" s="404"/>
      <c r="O1725" s="405"/>
      <c r="P1725" s="406"/>
      <c r="V1725" s="407"/>
    </row>
    <row r="1726" ht="15.75" customHeight="1">
      <c r="A1726" s="400"/>
      <c r="D1726" s="404"/>
      <c r="O1726" s="405"/>
      <c r="P1726" s="406"/>
      <c r="V1726" s="407"/>
    </row>
    <row r="1727" ht="15.75" customHeight="1">
      <c r="A1727" s="400"/>
      <c r="D1727" s="404"/>
      <c r="O1727" s="405"/>
      <c r="P1727" s="406"/>
      <c r="V1727" s="407"/>
    </row>
    <row r="1728" ht="15.75" customHeight="1">
      <c r="A1728" s="400"/>
      <c r="D1728" s="404"/>
      <c r="O1728" s="405"/>
      <c r="P1728" s="406"/>
      <c r="V1728" s="407"/>
    </row>
    <row r="1729" ht="15.75" customHeight="1">
      <c r="A1729" s="400"/>
      <c r="D1729" s="404"/>
      <c r="O1729" s="405"/>
      <c r="P1729" s="406"/>
      <c r="V1729" s="407"/>
    </row>
    <row r="1730" ht="15.75" customHeight="1">
      <c r="A1730" s="400"/>
      <c r="D1730" s="404"/>
      <c r="O1730" s="405"/>
      <c r="P1730" s="406"/>
      <c r="V1730" s="407"/>
    </row>
    <row r="1731" ht="15.75" customHeight="1">
      <c r="A1731" s="400"/>
      <c r="D1731" s="404"/>
      <c r="O1731" s="405"/>
      <c r="P1731" s="406"/>
      <c r="V1731" s="407"/>
    </row>
    <row r="1732" ht="15.75" customHeight="1">
      <c r="A1732" s="400"/>
      <c r="D1732" s="404"/>
      <c r="O1732" s="405"/>
      <c r="P1732" s="406"/>
      <c r="V1732" s="407"/>
    </row>
    <row r="1733" ht="15.75" customHeight="1">
      <c r="A1733" s="400"/>
      <c r="D1733" s="404"/>
      <c r="O1733" s="405"/>
      <c r="P1733" s="406"/>
      <c r="V1733" s="407"/>
    </row>
    <row r="1734" ht="15.75" customHeight="1">
      <c r="A1734" s="400"/>
      <c r="D1734" s="404"/>
      <c r="O1734" s="405"/>
      <c r="P1734" s="406"/>
      <c r="V1734" s="407"/>
    </row>
    <row r="1735" ht="15.75" customHeight="1">
      <c r="A1735" s="400"/>
      <c r="D1735" s="404"/>
      <c r="O1735" s="405"/>
      <c r="P1735" s="406"/>
      <c r="V1735" s="407"/>
    </row>
    <row r="1736" ht="15.75" customHeight="1">
      <c r="A1736" s="400"/>
      <c r="D1736" s="404"/>
      <c r="O1736" s="405"/>
      <c r="P1736" s="406"/>
      <c r="V1736" s="407"/>
    </row>
    <row r="1737" ht="15.75" customHeight="1">
      <c r="A1737" s="400"/>
      <c r="D1737" s="404"/>
      <c r="O1737" s="405"/>
      <c r="P1737" s="406"/>
      <c r="V1737" s="407"/>
    </row>
    <row r="1738" ht="15.75" customHeight="1">
      <c r="A1738" s="400"/>
      <c r="D1738" s="404"/>
      <c r="O1738" s="405"/>
      <c r="P1738" s="406"/>
      <c r="V1738" s="407"/>
    </row>
    <row r="1739" ht="15.75" customHeight="1">
      <c r="A1739" s="400"/>
      <c r="D1739" s="404"/>
      <c r="O1739" s="405"/>
      <c r="P1739" s="406"/>
      <c r="V1739" s="407"/>
    </row>
    <row r="1740" ht="15.75" customHeight="1">
      <c r="A1740" s="400"/>
      <c r="D1740" s="404"/>
      <c r="O1740" s="405"/>
      <c r="P1740" s="406"/>
      <c r="V1740" s="407"/>
    </row>
    <row r="1741" ht="15.75" customHeight="1">
      <c r="A1741" s="400"/>
      <c r="D1741" s="404"/>
      <c r="O1741" s="405"/>
      <c r="P1741" s="406"/>
      <c r="V1741" s="407"/>
    </row>
    <row r="1742" ht="15.75" customHeight="1">
      <c r="A1742" s="400"/>
      <c r="D1742" s="404"/>
      <c r="O1742" s="405"/>
      <c r="P1742" s="406"/>
      <c r="V1742" s="407"/>
    </row>
    <row r="1743" ht="15.75" customHeight="1">
      <c r="A1743" s="400"/>
      <c r="D1743" s="404"/>
      <c r="O1743" s="405"/>
      <c r="P1743" s="406"/>
      <c r="V1743" s="407"/>
    </row>
    <row r="1744" ht="15.75" customHeight="1">
      <c r="A1744" s="400"/>
      <c r="D1744" s="404"/>
      <c r="O1744" s="405"/>
      <c r="P1744" s="406"/>
      <c r="V1744" s="407"/>
    </row>
    <row r="1745" ht="15.75" customHeight="1">
      <c r="A1745" s="400"/>
      <c r="D1745" s="404"/>
      <c r="O1745" s="405"/>
      <c r="P1745" s="406"/>
      <c r="V1745" s="407"/>
    </row>
    <row r="1746" ht="15.75" customHeight="1">
      <c r="A1746" s="400"/>
      <c r="D1746" s="404"/>
      <c r="O1746" s="405"/>
      <c r="P1746" s="406"/>
      <c r="V1746" s="407"/>
    </row>
    <row r="1747" ht="15.75" customHeight="1">
      <c r="A1747" s="400"/>
      <c r="D1747" s="404"/>
      <c r="O1747" s="405"/>
      <c r="P1747" s="406"/>
      <c r="V1747" s="407"/>
    </row>
    <row r="1748" ht="15.75" customHeight="1">
      <c r="A1748" s="400"/>
      <c r="D1748" s="404"/>
      <c r="O1748" s="405"/>
      <c r="P1748" s="406"/>
      <c r="V1748" s="407"/>
    </row>
    <row r="1749" ht="15.75" customHeight="1">
      <c r="A1749" s="400"/>
      <c r="D1749" s="404"/>
      <c r="O1749" s="405"/>
      <c r="P1749" s="406"/>
      <c r="V1749" s="407"/>
    </row>
    <row r="1750" ht="15.75" customHeight="1">
      <c r="A1750" s="400"/>
      <c r="D1750" s="404"/>
      <c r="O1750" s="405"/>
      <c r="P1750" s="406"/>
      <c r="V1750" s="407"/>
    </row>
    <row r="1751" ht="15.75" customHeight="1">
      <c r="A1751" s="400"/>
      <c r="D1751" s="404"/>
      <c r="O1751" s="405"/>
      <c r="P1751" s="406"/>
      <c r="V1751" s="407"/>
    </row>
    <row r="1752" ht="15.75" customHeight="1">
      <c r="A1752" s="400"/>
      <c r="D1752" s="404"/>
      <c r="O1752" s="405"/>
      <c r="P1752" s="406"/>
      <c r="V1752" s="407"/>
    </row>
    <row r="1753" ht="15.75" customHeight="1">
      <c r="A1753" s="400"/>
      <c r="D1753" s="404"/>
      <c r="O1753" s="405"/>
      <c r="P1753" s="406"/>
      <c r="V1753" s="407"/>
    </row>
    <row r="1754" ht="15.75" customHeight="1">
      <c r="A1754" s="400"/>
      <c r="D1754" s="404"/>
      <c r="O1754" s="405"/>
      <c r="P1754" s="406"/>
      <c r="V1754" s="407"/>
    </row>
    <row r="1755" ht="15.75" customHeight="1">
      <c r="A1755" s="400"/>
      <c r="D1755" s="404"/>
      <c r="O1755" s="405"/>
      <c r="P1755" s="406"/>
      <c r="V1755" s="407"/>
    </row>
    <row r="1756" ht="15.75" customHeight="1">
      <c r="A1756" s="400"/>
      <c r="D1756" s="404"/>
      <c r="O1756" s="405"/>
      <c r="P1756" s="406"/>
      <c r="V1756" s="407"/>
    </row>
    <row r="1757" ht="15.75" customHeight="1">
      <c r="A1757" s="400"/>
      <c r="D1757" s="404"/>
      <c r="O1757" s="405"/>
      <c r="P1757" s="406"/>
      <c r="V1757" s="407"/>
    </row>
    <row r="1758" ht="15.75" customHeight="1">
      <c r="A1758" s="400"/>
      <c r="D1758" s="404"/>
      <c r="O1758" s="405"/>
      <c r="P1758" s="406"/>
      <c r="V1758" s="407"/>
    </row>
    <row r="1759" ht="15.75" customHeight="1">
      <c r="A1759" s="400"/>
      <c r="D1759" s="404"/>
      <c r="O1759" s="405"/>
      <c r="P1759" s="406"/>
      <c r="V1759" s="407"/>
    </row>
    <row r="1760" ht="15.75" customHeight="1">
      <c r="A1760" s="400"/>
      <c r="D1760" s="404"/>
      <c r="O1760" s="405"/>
      <c r="P1760" s="406"/>
      <c r="V1760" s="407"/>
    </row>
    <row r="1761" ht="15.75" customHeight="1">
      <c r="A1761" s="400"/>
      <c r="D1761" s="404"/>
      <c r="O1761" s="405"/>
      <c r="P1761" s="406"/>
      <c r="V1761" s="407"/>
    </row>
    <row r="1762" ht="15.75" customHeight="1">
      <c r="A1762" s="400"/>
      <c r="D1762" s="404"/>
      <c r="O1762" s="405"/>
      <c r="P1762" s="406"/>
      <c r="V1762" s="407"/>
    </row>
    <row r="1763" ht="15.75" customHeight="1">
      <c r="A1763" s="400"/>
      <c r="D1763" s="404"/>
      <c r="O1763" s="405"/>
      <c r="P1763" s="406"/>
      <c r="V1763" s="407"/>
    </row>
    <row r="1764" ht="15.75" customHeight="1">
      <c r="A1764" s="400"/>
      <c r="D1764" s="404"/>
      <c r="O1764" s="405"/>
      <c r="P1764" s="406"/>
      <c r="V1764" s="407"/>
    </row>
    <row r="1765" ht="15.75" customHeight="1">
      <c r="A1765" s="400"/>
      <c r="D1765" s="404"/>
      <c r="O1765" s="405"/>
      <c r="P1765" s="406"/>
      <c r="V1765" s="407"/>
    </row>
    <row r="1766" ht="15.75" customHeight="1">
      <c r="A1766" s="400"/>
      <c r="D1766" s="404"/>
      <c r="O1766" s="405"/>
      <c r="P1766" s="406"/>
      <c r="V1766" s="407"/>
    </row>
    <row r="1767" ht="15.75" customHeight="1">
      <c r="A1767" s="400"/>
      <c r="D1767" s="404"/>
      <c r="O1767" s="405"/>
      <c r="P1767" s="406"/>
      <c r="V1767" s="407"/>
    </row>
    <row r="1768" ht="15.75" customHeight="1">
      <c r="A1768" s="400"/>
      <c r="D1768" s="404"/>
      <c r="O1768" s="405"/>
      <c r="P1768" s="406"/>
      <c r="V1768" s="407"/>
    </row>
    <row r="1769" ht="15.75" customHeight="1">
      <c r="A1769" s="400"/>
      <c r="D1769" s="404"/>
      <c r="O1769" s="405"/>
      <c r="P1769" s="406"/>
      <c r="V1769" s="407"/>
    </row>
    <row r="1770" ht="15.75" customHeight="1">
      <c r="A1770" s="400"/>
      <c r="D1770" s="404"/>
      <c r="O1770" s="405"/>
      <c r="P1770" s="406"/>
      <c r="V1770" s="407"/>
    </row>
    <row r="1771" ht="15.75" customHeight="1">
      <c r="A1771" s="400"/>
      <c r="D1771" s="404"/>
      <c r="O1771" s="405"/>
      <c r="P1771" s="406"/>
      <c r="V1771" s="407"/>
    </row>
    <row r="1772" ht="15.75" customHeight="1">
      <c r="A1772" s="400"/>
      <c r="D1772" s="404"/>
      <c r="O1772" s="405"/>
      <c r="P1772" s="406"/>
      <c r="V1772" s="407"/>
    </row>
    <row r="1773" ht="15.75" customHeight="1">
      <c r="A1773" s="400"/>
      <c r="D1773" s="404"/>
      <c r="O1773" s="405"/>
      <c r="P1773" s="406"/>
      <c r="V1773" s="407"/>
    </row>
    <row r="1774" ht="15.75" customHeight="1">
      <c r="A1774" s="400"/>
      <c r="D1774" s="404"/>
      <c r="O1774" s="405"/>
      <c r="P1774" s="406"/>
      <c r="V1774" s="407"/>
    </row>
    <row r="1775" ht="15.75" customHeight="1">
      <c r="A1775" s="400"/>
      <c r="D1775" s="404"/>
      <c r="O1775" s="405"/>
      <c r="P1775" s="406"/>
      <c r="V1775" s="407"/>
    </row>
    <row r="1776" ht="15.75" customHeight="1">
      <c r="A1776" s="400"/>
      <c r="D1776" s="404"/>
      <c r="O1776" s="405"/>
      <c r="P1776" s="406"/>
      <c r="V1776" s="407"/>
    </row>
    <row r="1777" ht="15.75" customHeight="1">
      <c r="A1777" s="400"/>
      <c r="D1777" s="404"/>
      <c r="O1777" s="405"/>
      <c r="P1777" s="406"/>
      <c r="V1777" s="407"/>
    </row>
    <row r="1778" ht="15.75" customHeight="1">
      <c r="A1778" s="400"/>
      <c r="D1778" s="404"/>
      <c r="O1778" s="405"/>
      <c r="P1778" s="406"/>
      <c r="V1778" s="407"/>
    </row>
    <row r="1779" ht="15.75" customHeight="1">
      <c r="A1779" s="400"/>
      <c r="D1779" s="404"/>
      <c r="O1779" s="405"/>
      <c r="P1779" s="406"/>
      <c r="V1779" s="407"/>
    </row>
    <row r="1780" ht="15.75" customHeight="1">
      <c r="A1780" s="400"/>
      <c r="D1780" s="404"/>
      <c r="O1780" s="405"/>
      <c r="P1780" s="406"/>
      <c r="V1780" s="407"/>
    </row>
    <row r="1781" ht="15.75" customHeight="1">
      <c r="A1781" s="400"/>
      <c r="D1781" s="404"/>
      <c r="O1781" s="405"/>
      <c r="P1781" s="406"/>
      <c r="V1781" s="407"/>
    </row>
    <row r="1782" ht="15.75" customHeight="1">
      <c r="A1782" s="400"/>
      <c r="D1782" s="404"/>
      <c r="O1782" s="405"/>
      <c r="P1782" s="406"/>
      <c r="V1782" s="407"/>
    </row>
    <row r="1783" ht="15.75" customHeight="1">
      <c r="A1783" s="400"/>
      <c r="D1783" s="404"/>
      <c r="O1783" s="405"/>
      <c r="P1783" s="406"/>
      <c r="V1783" s="407"/>
    </row>
    <row r="1784" ht="15.75" customHeight="1">
      <c r="A1784" s="400"/>
      <c r="D1784" s="404"/>
      <c r="O1784" s="405"/>
      <c r="P1784" s="406"/>
      <c r="V1784" s="407"/>
    </row>
    <row r="1785" ht="15.75" customHeight="1">
      <c r="A1785" s="400"/>
      <c r="D1785" s="404"/>
      <c r="O1785" s="405"/>
      <c r="P1785" s="406"/>
      <c r="V1785" s="407"/>
    </row>
    <row r="1786" ht="15.75" customHeight="1">
      <c r="A1786" s="400"/>
      <c r="D1786" s="404"/>
      <c r="O1786" s="405"/>
      <c r="P1786" s="406"/>
      <c r="V1786" s="407"/>
    </row>
    <row r="1787" ht="15.75" customHeight="1">
      <c r="A1787" s="400"/>
      <c r="D1787" s="404"/>
      <c r="O1787" s="405"/>
      <c r="P1787" s="406"/>
      <c r="V1787" s="407"/>
    </row>
    <row r="1788" ht="15.75" customHeight="1">
      <c r="A1788" s="400"/>
      <c r="D1788" s="404"/>
      <c r="O1788" s="405"/>
      <c r="P1788" s="406"/>
      <c r="V1788" s="407"/>
    </row>
    <row r="1789" ht="15.75" customHeight="1">
      <c r="A1789" s="400"/>
      <c r="D1789" s="404"/>
      <c r="O1789" s="405"/>
      <c r="P1789" s="406"/>
      <c r="V1789" s="407"/>
    </row>
    <row r="1790" ht="15.75" customHeight="1">
      <c r="A1790" s="400"/>
      <c r="D1790" s="404"/>
      <c r="O1790" s="405"/>
      <c r="P1790" s="406"/>
      <c r="V1790" s="407"/>
    </row>
    <row r="1791" ht="15.75" customHeight="1">
      <c r="A1791" s="400"/>
      <c r="D1791" s="404"/>
      <c r="O1791" s="405"/>
      <c r="P1791" s="406"/>
      <c r="V1791" s="407"/>
    </row>
    <row r="1792" ht="15.75" customHeight="1">
      <c r="A1792" s="400"/>
      <c r="D1792" s="404"/>
      <c r="O1792" s="405"/>
      <c r="P1792" s="406"/>
      <c r="V1792" s="407"/>
    </row>
    <row r="1793" ht="15.75" customHeight="1">
      <c r="A1793" s="400"/>
      <c r="D1793" s="404"/>
      <c r="O1793" s="405"/>
      <c r="P1793" s="406"/>
      <c r="V1793" s="407"/>
    </row>
    <row r="1794" ht="15.75" customHeight="1">
      <c r="A1794" s="400"/>
      <c r="D1794" s="404"/>
      <c r="O1794" s="405"/>
      <c r="P1794" s="406"/>
      <c r="V1794" s="407"/>
    </row>
    <row r="1795" ht="15.75" customHeight="1">
      <c r="A1795" s="400"/>
      <c r="D1795" s="404"/>
      <c r="O1795" s="405"/>
      <c r="P1795" s="406"/>
      <c r="V1795" s="407"/>
    </row>
    <row r="1796" ht="15.75" customHeight="1">
      <c r="A1796" s="400"/>
      <c r="D1796" s="404"/>
      <c r="O1796" s="405"/>
      <c r="P1796" s="406"/>
      <c r="V1796" s="407"/>
    </row>
    <row r="1797" ht="15.75" customHeight="1">
      <c r="A1797" s="400"/>
      <c r="D1797" s="404"/>
      <c r="O1797" s="405"/>
      <c r="P1797" s="406"/>
      <c r="V1797" s="407"/>
    </row>
    <row r="1798" ht="15.75" customHeight="1">
      <c r="A1798" s="400"/>
      <c r="D1798" s="404"/>
      <c r="O1798" s="405"/>
      <c r="P1798" s="406"/>
      <c r="V1798" s="407"/>
    </row>
    <row r="1799" ht="15.75" customHeight="1">
      <c r="A1799" s="400"/>
      <c r="D1799" s="404"/>
      <c r="O1799" s="405"/>
      <c r="P1799" s="406"/>
      <c r="V1799" s="407"/>
    </row>
    <row r="1800" ht="15.75" customHeight="1">
      <c r="A1800" s="400"/>
      <c r="D1800" s="404"/>
      <c r="O1800" s="405"/>
      <c r="P1800" s="406"/>
      <c r="V1800" s="407"/>
    </row>
    <row r="1801" ht="15.75" customHeight="1">
      <c r="A1801" s="400"/>
      <c r="D1801" s="404"/>
      <c r="O1801" s="405"/>
      <c r="P1801" s="406"/>
      <c r="V1801" s="407"/>
    </row>
    <row r="1802" ht="15.75" customHeight="1">
      <c r="A1802" s="400"/>
      <c r="D1802" s="404"/>
      <c r="O1802" s="405"/>
      <c r="P1802" s="406"/>
      <c r="V1802" s="407"/>
    </row>
    <row r="1803" ht="15.75" customHeight="1">
      <c r="A1803" s="400"/>
      <c r="D1803" s="404"/>
      <c r="O1803" s="405"/>
      <c r="P1803" s="406"/>
      <c r="V1803" s="407"/>
    </row>
    <row r="1804" ht="15.75" customHeight="1">
      <c r="A1804" s="400"/>
      <c r="D1804" s="404"/>
      <c r="O1804" s="405"/>
      <c r="P1804" s="406"/>
      <c r="V1804" s="407"/>
    </row>
    <row r="1805" ht="15.75" customHeight="1">
      <c r="A1805" s="400"/>
      <c r="D1805" s="404"/>
      <c r="O1805" s="405"/>
      <c r="P1805" s="406"/>
      <c r="V1805" s="407"/>
    </row>
    <row r="1806" ht="15.75" customHeight="1">
      <c r="A1806" s="400"/>
      <c r="D1806" s="404"/>
      <c r="O1806" s="405"/>
      <c r="P1806" s="406"/>
      <c r="V1806" s="407"/>
    </row>
    <row r="1807" ht="15.75" customHeight="1">
      <c r="A1807" s="400"/>
      <c r="D1807" s="404"/>
      <c r="O1807" s="405"/>
      <c r="P1807" s="406"/>
      <c r="V1807" s="407"/>
    </row>
    <row r="1808" ht="15.75" customHeight="1">
      <c r="A1808" s="400"/>
      <c r="D1808" s="404"/>
      <c r="O1808" s="405"/>
      <c r="P1808" s="406"/>
      <c r="V1808" s="407"/>
    </row>
    <row r="1809" ht="15.75" customHeight="1">
      <c r="A1809" s="400"/>
      <c r="D1809" s="404"/>
      <c r="O1809" s="405"/>
      <c r="P1809" s="406"/>
      <c r="V1809" s="407"/>
    </row>
    <row r="1810" ht="15.75" customHeight="1">
      <c r="A1810" s="400"/>
      <c r="D1810" s="404"/>
      <c r="O1810" s="405"/>
      <c r="P1810" s="406"/>
      <c r="V1810" s="407"/>
    </row>
    <row r="1811" ht="15.75" customHeight="1">
      <c r="A1811" s="400"/>
      <c r="D1811" s="404"/>
      <c r="O1811" s="405"/>
      <c r="P1811" s="406"/>
      <c r="V1811" s="407"/>
    </row>
    <row r="1812" ht="15.75" customHeight="1">
      <c r="A1812" s="400"/>
      <c r="D1812" s="404"/>
      <c r="O1812" s="405"/>
      <c r="P1812" s="406"/>
      <c r="V1812" s="407"/>
    </row>
    <row r="1813" ht="15.75" customHeight="1">
      <c r="A1813" s="400"/>
      <c r="D1813" s="404"/>
      <c r="O1813" s="405"/>
      <c r="P1813" s="406"/>
      <c r="V1813" s="407"/>
    </row>
    <row r="1814" ht="15.75" customHeight="1">
      <c r="A1814" s="400"/>
      <c r="D1814" s="404"/>
      <c r="O1814" s="405"/>
      <c r="P1814" s="406"/>
      <c r="V1814" s="407"/>
    </row>
    <row r="1815" ht="15.75" customHeight="1">
      <c r="A1815" s="400"/>
      <c r="D1815" s="404"/>
      <c r="O1815" s="405"/>
      <c r="P1815" s="406"/>
      <c r="V1815" s="407"/>
    </row>
    <row r="1816" ht="15.75" customHeight="1">
      <c r="A1816" s="400"/>
      <c r="D1816" s="404"/>
      <c r="O1816" s="405"/>
      <c r="P1816" s="406"/>
      <c r="V1816" s="407"/>
    </row>
    <row r="1817" ht="15.75" customHeight="1">
      <c r="A1817" s="400"/>
      <c r="D1817" s="404"/>
      <c r="O1817" s="405"/>
      <c r="P1817" s="406"/>
      <c r="V1817" s="407"/>
    </row>
    <row r="1818" ht="15.75" customHeight="1">
      <c r="A1818" s="400"/>
      <c r="D1818" s="404"/>
      <c r="O1818" s="405"/>
      <c r="P1818" s="406"/>
      <c r="V1818" s="407"/>
    </row>
    <row r="1819" ht="15.75" customHeight="1">
      <c r="A1819" s="400"/>
      <c r="D1819" s="404"/>
      <c r="O1819" s="405"/>
      <c r="P1819" s="406"/>
      <c r="V1819" s="407"/>
    </row>
    <row r="1820" ht="15.75" customHeight="1">
      <c r="A1820" s="400"/>
      <c r="D1820" s="404"/>
      <c r="O1820" s="405"/>
      <c r="P1820" s="406"/>
      <c r="V1820" s="407"/>
    </row>
    <row r="1821" ht="15.75" customHeight="1">
      <c r="A1821" s="400"/>
      <c r="D1821" s="404"/>
      <c r="O1821" s="405"/>
      <c r="P1821" s="406"/>
      <c r="V1821" s="407"/>
    </row>
    <row r="1822" ht="15.75" customHeight="1">
      <c r="A1822" s="400"/>
      <c r="D1822" s="404"/>
      <c r="O1822" s="405"/>
      <c r="P1822" s="406"/>
      <c r="V1822" s="407"/>
    </row>
    <row r="1823" ht="15.75" customHeight="1">
      <c r="A1823" s="400"/>
      <c r="D1823" s="404"/>
      <c r="O1823" s="405"/>
      <c r="P1823" s="406"/>
      <c r="V1823" s="407"/>
    </row>
    <row r="1824" ht="15.75" customHeight="1">
      <c r="A1824" s="400"/>
      <c r="D1824" s="404"/>
      <c r="O1824" s="405"/>
      <c r="P1824" s="406"/>
      <c r="V1824" s="407"/>
    </row>
    <row r="1825" ht="15.75" customHeight="1">
      <c r="A1825" s="400"/>
      <c r="D1825" s="404"/>
      <c r="O1825" s="405"/>
      <c r="P1825" s="406"/>
      <c r="V1825" s="407"/>
    </row>
    <row r="1826" ht="15.75" customHeight="1">
      <c r="A1826" s="400"/>
      <c r="D1826" s="404"/>
      <c r="O1826" s="405"/>
      <c r="P1826" s="406"/>
      <c r="V1826" s="407"/>
    </row>
    <row r="1827" ht="15.75" customHeight="1">
      <c r="A1827" s="400"/>
      <c r="D1827" s="404"/>
      <c r="O1827" s="405"/>
      <c r="P1827" s="406"/>
      <c r="V1827" s="407"/>
    </row>
    <row r="1828" ht="15.75" customHeight="1">
      <c r="A1828" s="400"/>
      <c r="D1828" s="404"/>
      <c r="O1828" s="405"/>
      <c r="P1828" s="406"/>
      <c r="V1828" s="407"/>
    </row>
    <row r="1829" ht="15.75" customHeight="1">
      <c r="A1829" s="400"/>
      <c r="D1829" s="404"/>
      <c r="O1829" s="405"/>
      <c r="P1829" s="406"/>
      <c r="V1829" s="407"/>
    </row>
    <row r="1830" ht="15.75" customHeight="1">
      <c r="A1830" s="400"/>
      <c r="D1830" s="404"/>
      <c r="O1830" s="405"/>
      <c r="P1830" s="406"/>
      <c r="V1830" s="407"/>
    </row>
    <row r="1831" ht="15.75" customHeight="1">
      <c r="A1831" s="400"/>
      <c r="D1831" s="404"/>
      <c r="O1831" s="405"/>
      <c r="P1831" s="406"/>
      <c r="V1831" s="407"/>
    </row>
    <row r="1832" ht="15.75" customHeight="1">
      <c r="A1832" s="400"/>
      <c r="D1832" s="404"/>
      <c r="O1832" s="405"/>
      <c r="P1832" s="406"/>
      <c r="V1832" s="407"/>
    </row>
    <row r="1833" ht="15.75" customHeight="1">
      <c r="A1833" s="400"/>
      <c r="D1833" s="404"/>
      <c r="O1833" s="405"/>
      <c r="P1833" s="406"/>
      <c r="V1833" s="407"/>
    </row>
    <row r="1834" ht="15.75" customHeight="1">
      <c r="A1834" s="400"/>
      <c r="D1834" s="404"/>
      <c r="O1834" s="405"/>
      <c r="P1834" s="406"/>
      <c r="V1834" s="407"/>
    </row>
    <row r="1835" ht="15.75" customHeight="1">
      <c r="A1835" s="400"/>
      <c r="D1835" s="404"/>
      <c r="O1835" s="405"/>
      <c r="P1835" s="406"/>
      <c r="V1835" s="407"/>
    </row>
    <row r="1836" ht="15.75" customHeight="1">
      <c r="A1836" s="400"/>
      <c r="D1836" s="404"/>
      <c r="O1836" s="405"/>
      <c r="P1836" s="406"/>
      <c r="V1836" s="407"/>
    </row>
    <row r="1837" ht="15.75" customHeight="1">
      <c r="A1837" s="400"/>
      <c r="D1837" s="404"/>
      <c r="O1837" s="405"/>
      <c r="P1837" s="406"/>
      <c r="V1837" s="407"/>
    </row>
    <row r="1838" ht="15.75" customHeight="1">
      <c r="A1838" s="400"/>
      <c r="D1838" s="404"/>
      <c r="O1838" s="405"/>
      <c r="P1838" s="406"/>
      <c r="V1838" s="407"/>
    </row>
    <row r="1839" ht="15.75" customHeight="1">
      <c r="A1839" s="400"/>
      <c r="D1839" s="404"/>
      <c r="O1839" s="405"/>
      <c r="P1839" s="406"/>
      <c r="V1839" s="407"/>
    </row>
    <row r="1840" ht="15.75" customHeight="1">
      <c r="A1840" s="400"/>
      <c r="D1840" s="404"/>
      <c r="O1840" s="405"/>
      <c r="P1840" s="406"/>
      <c r="V1840" s="407"/>
    </row>
    <row r="1841" ht="15.75" customHeight="1">
      <c r="A1841" s="400"/>
      <c r="D1841" s="404"/>
      <c r="O1841" s="405"/>
      <c r="P1841" s="406"/>
      <c r="V1841" s="407"/>
    </row>
    <row r="1842" ht="15.75" customHeight="1">
      <c r="A1842" s="400"/>
      <c r="D1842" s="404"/>
      <c r="O1842" s="405"/>
      <c r="P1842" s="406"/>
      <c r="V1842" s="407"/>
    </row>
    <row r="1843" ht="15.75" customHeight="1">
      <c r="A1843" s="400"/>
      <c r="D1843" s="404"/>
      <c r="O1843" s="405"/>
      <c r="P1843" s="406"/>
      <c r="V1843" s="407"/>
    </row>
    <row r="1844" ht="15.75" customHeight="1">
      <c r="A1844" s="400"/>
      <c r="D1844" s="404"/>
      <c r="O1844" s="405"/>
      <c r="P1844" s="406"/>
      <c r="V1844" s="407"/>
    </row>
    <row r="1845" ht="15.75" customHeight="1">
      <c r="A1845" s="400"/>
      <c r="D1845" s="404"/>
      <c r="O1845" s="405"/>
      <c r="P1845" s="406"/>
      <c r="V1845" s="407"/>
    </row>
    <row r="1846" ht="15.75" customHeight="1">
      <c r="A1846" s="400"/>
      <c r="D1846" s="404"/>
      <c r="O1846" s="405"/>
      <c r="P1846" s="406"/>
      <c r="V1846" s="407"/>
    </row>
    <row r="1847" ht="15.75" customHeight="1">
      <c r="A1847" s="400"/>
      <c r="D1847" s="404"/>
      <c r="O1847" s="405"/>
      <c r="P1847" s="406"/>
      <c r="V1847" s="407"/>
    </row>
    <row r="1848" ht="15.75" customHeight="1">
      <c r="A1848" s="400"/>
      <c r="D1848" s="404"/>
      <c r="O1848" s="405"/>
      <c r="P1848" s="406"/>
      <c r="V1848" s="407"/>
    </row>
    <row r="1849" ht="15.75" customHeight="1">
      <c r="A1849" s="400"/>
      <c r="D1849" s="404"/>
      <c r="O1849" s="405"/>
      <c r="P1849" s="406"/>
      <c r="V1849" s="407"/>
    </row>
    <row r="1850" ht="15.75" customHeight="1">
      <c r="A1850" s="400"/>
      <c r="D1850" s="404"/>
      <c r="O1850" s="405"/>
      <c r="P1850" s="406"/>
      <c r="V1850" s="407"/>
    </row>
    <row r="1851" ht="15.75" customHeight="1">
      <c r="A1851" s="400"/>
      <c r="D1851" s="404"/>
      <c r="O1851" s="405"/>
      <c r="P1851" s="406"/>
      <c r="V1851" s="407"/>
    </row>
    <row r="1852" ht="15.75" customHeight="1">
      <c r="A1852" s="400"/>
      <c r="D1852" s="404"/>
      <c r="O1852" s="405"/>
      <c r="P1852" s="406"/>
      <c r="V1852" s="407"/>
    </row>
    <row r="1853" ht="15.75" customHeight="1">
      <c r="A1853" s="400"/>
      <c r="D1853" s="404"/>
      <c r="O1853" s="405"/>
      <c r="P1853" s="406"/>
      <c r="V1853" s="407"/>
    </row>
    <row r="1854" ht="15.75" customHeight="1">
      <c r="A1854" s="400"/>
      <c r="D1854" s="404"/>
      <c r="O1854" s="405"/>
      <c r="P1854" s="406"/>
      <c r="V1854" s="407"/>
    </row>
    <row r="1855" ht="15.75" customHeight="1">
      <c r="A1855" s="400"/>
      <c r="D1855" s="404"/>
      <c r="O1855" s="405"/>
      <c r="P1855" s="406"/>
      <c r="V1855" s="407"/>
    </row>
    <row r="1856" ht="15.75" customHeight="1">
      <c r="A1856" s="400"/>
      <c r="D1856" s="404"/>
      <c r="O1856" s="405"/>
      <c r="P1856" s="406"/>
      <c r="V1856" s="407"/>
    </row>
    <row r="1857" ht="15.75" customHeight="1">
      <c r="A1857" s="400"/>
      <c r="D1857" s="404"/>
      <c r="O1857" s="405"/>
      <c r="P1857" s="406"/>
      <c r="V1857" s="407"/>
    </row>
    <row r="1858" ht="15.75" customHeight="1">
      <c r="A1858" s="400"/>
      <c r="D1858" s="404"/>
      <c r="O1858" s="405"/>
      <c r="P1858" s="406"/>
      <c r="V1858" s="407"/>
    </row>
    <row r="1859" ht="15.75" customHeight="1">
      <c r="A1859" s="400"/>
      <c r="D1859" s="404"/>
      <c r="O1859" s="405"/>
      <c r="P1859" s="406"/>
      <c r="V1859" s="407"/>
    </row>
    <row r="1860" ht="15.75" customHeight="1">
      <c r="A1860" s="400"/>
      <c r="D1860" s="404"/>
      <c r="O1860" s="405"/>
      <c r="P1860" s="406"/>
      <c r="V1860" s="407"/>
    </row>
    <row r="1861" ht="15.75" customHeight="1">
      <c r="A1861" s="400"/>
      <c r="D1861" s="404"/>
      <c r="O1861" s="405"/>
      <c r="P1861" s="406"/>
      <c r="V1861" s="407"/>
    </row>
    <row r="1862" ht="15.75" customHeight="1">
      <c r="A1862" s="400"/>
      <c r="D1862" s="404"/>
      <c r="O1862" s="405"/>
      <c r="P1862" s="406"/>
      <c r="V1862" s="407"/>
    </row>
    <row r="1863" ht="15.75" customHeight="1">
      <c r="A1863" s="400"/>
      <c r="D1863" s="404"/>
      <c r="O1863" s="405"/>
      <c r="P1863" s="406"/>
      <c r="V1863" s="407"/>
    </row>
    <row r="1864" ht="15.75" customHeight="1">
      <c r="A1864" s="400"/>
      <c r="D1864" s="404"/>
      <c r="O1864" s="405"/>
      <c r="P1864" s="406"/>
      <c r="V1864" s="407"/>
    </row>
    <row r="1865" ht="15.75" customHeight="1">
      <c r="A1865" s="400"/>
      <c r="D1865" s="404"/>
      <c r="O1865" s="405"/>
      <c r="P1865" s="406"/>
      <c r="V1865" s="407"/>
    </row>
    <row r="1866" ht="15.75" customHeight="1">
      <c r="A1866" s="400"/>
      <c r="D1866" s="404"/>
      <c r="O1866" s="405"/>
      <c r="P1866" s="406"/>
      <c r="V1866" s="407"/>
    </row>
    <row r="1867" ht="15.75" customHeight="1">
      <c r="A1867" s="400"/>
      <c r="D1867" s="404"/>
      <c r="O1867" s="405"/>
      <c r="P1867" s="406"/>
      <c r="V1867" s="407"/>
    </row>
    <row r="1868" ht="15.75" customHeight="1">
      <c r="A1868" s="400"/>
      <c r="D1868" s="404"/>
      <c r="O1868" s="405"/>
      <c r="P1868" s="406"/>
      <c r="V1868" s="407"/>
    </row>
    <row r="1869" ht="15.75" customHeight="1">
      <c r="A1869" s="400"/>
      <c r="D1869" s="404"/>
      <c r="O1869" s="405"/>
      <c r="P1869" s="406"/>
      <c r="V1869" s="407"/>
    </row>
    <row r="1870" ht="15.75" customHeight="1">
      <c r="A1870" s="400"/>
      <c r="D1870" s="404"/>
      <c r="O1870" s="405"/>
      <c r="P1870" s="406"/>
      <c r="V1870" s="407"/>
    </row>
    <row r="1871" ht="15.75" customHeight="1">
      <c r="A1871" s="400"/>
      <c r="D1871" s="404"/>
      <c r="O1871" s="405"/>
      <c r="P1871" s="406"/>
      <c r="V1871" s="407"/>
    </row>
    <row r="1872" ht="15.75" customHeight="1">
      <c r="A1872" s="400"/>
      <c r="D1872" s="404"/>
      <c r="O1872" s="405"/>
      <c r="P1872" s="406"/>
      <c r="V1872" s="407"/>
    </row>
    <row r="1873" ht="15.75" customHeight="1">
      <c r="A1873" s="400"/>
      <c r="D1873" s="404"/>
      <c r="O1873" s="405"/>
      <c r="P1873" s="406"/>
      <c r="V1873" s="407"/>
    </row>
    <row r="1874" ht="15.75" customHeight="1">
      <c r="A1874" s="400"/>
      <c r="D1874" s="404"/>
      <c r="O1874" s="405"/>
      <c r="P1874" s="406"/>
      <c r="V1874" s="407"/>
    </row>
    <row r="1875" ht="15.75" customHeight="1">
      <c r="A1875" s="400"/>
      <c r="D1875" s="404"/>
      <c r="O1875" s="405"/>
      <c r="P1875" s="406"/>
      <c r="V1875" s="407"/>
    </row>
    <row r="1876" ht="15.75" customHeight="1">
      <c r="A1876" s="400"/>
      <c r="D1876" s="404"/>
      <c r="O1876" s="405"/>
      <c r="P1876" s="406"/>
      <c r="V1876" s="407"/>
    </row>
    <row r="1877" ht="15.75" customHeight="1">
      <c r="A1877" s="400"/>
      <c r="D1877" s="404"/>
      <c r="O1877" s="405"/>
      <c r="P1877" s="406"/>
      <c r="V1877" s="407"/>
    </row>
    <row r="1878" ht="15.75" customHeight="1">
      <c r="A1878" s="400"/>
      <c r="D1878" s="404"/>
      <c r="O1878" s="405"/>
      <c r="P1878" s="406"/>
      <c r="V1878" s="407"/>
    </row>
    <row r="1879" ht="15.75" customHeight="1">
      <c r="A1879" s="400"/>
      <c r="D1879" s="404"/>
      <c r="O1879" s="405"/>
      <c r="P1879" s="406"/>
      <c r="V1879" s="407"/>
    </row>
    <row r="1880" ht="15.75" customHeight="1">
      <c r="A1880" s="400"/>
      <c r="D1880" s="404"/>
      <c r="O1880" s="405"/>
      <c r="P1880" s="406"/>
      <c r="V1880" s="407"/>
    </row>
    <row r="1881" ht="15.75" customHeight="1">
      <c r="A1881" s="400"/>
      <c r="D1881" s="404"/>
      <c r="O1881" s="405"/>
      <c r="P1881" s="406"/>
      <c r="V1881" s="407"/>
    </row>
    <row r="1882" ht="15.75" customHeight="1">
      <c r="A1882" s="400"/>
      <c r="D1882" s="404"/>
      <c r="O1882" s="405"/>
      <c r="P1882" s="406"/>
      <c r="V1882" s="407"/>
    </row>
    <row r="1883" ht="15.75" customHeight="1">
      <c r="A1883" s="400"/>
      <c r="D1883" s="404"/>
      <c r="O1883" s="405"/>
      <c r="P1883" s="406"/>
      <c r="V1883" s="407"/>
    </row>
    <row r="1884" ht="15.75" customHeight="1">
      <c r="A1884" s="400"/>
      <c r="D1884" s="404"/>
      <c r="O1884" s="405"/>
      <c r="P1884" s="406"/>
      <c r="V1884" s="407"/>
    </row>
    <row r="1885" ht="15.75" customHeight="1">
      <c r="A1885" s="400"/>
      <c r="D1885" s="404"/>
      <c r="O1885" s="405"/>
      <c r="P1885" s="406"/>
      <c r="V1885" s="407"/>
    </row>
    <row r="1886" ht="15.75" customHeight="1">
      <c r="A1886" s="400"/>
      <c r="D1886" s="404"/>
      <c r="O1886" s="405"/>
      <c r="P1886" s="406"/>
      <c r="V1886" s="407"/>
    </row>
    <row r="1887" ht="15.75" customHeight="1">
      <c r="A1887" s="400"/>
      <c r="D1887" s="404"/>
      <c r="O1887" s="405"/>
      <c r="P1887" s="406"/>
      <c r="V1887" s="407"/>
    </row>
    <row r="1888" ht="15.75" customHeight="1">
      <c r="A1888" s="400"/>
      <c r="D1888" s="404"/>
      <c r="O1888" s="405"/>
      <c r="P1888" s="406"/>
      <c r="V1888" s="407"/>
    </row>
    <row r="1889" ht="15.75" customHeight="1">
      <c r="A1889" s="400"/>
      <c r="D1889" s="404"/>
      <c r="O1889" s="405"/>
      <c r="P1889" s="406"/>
      <c r="V1889" s="407"/>
    </row>
    <row r="1890" ht="15.75" customHeight="1">
      <c r="A1890" s="400"/>
      <c r="D1890" s="404"/>
      <c r="O1890" s="405"/>
      <c r="P1890" s="406"/>
      <c r="V1890" s="407"/>
    </row>
    <row r="1891" ht="15.75" customHeight="1">
      <c r="A1891" s="400"/>
      <c r="D1891" s="404"/>
      <c r="O1891" s="405"/>
      <c r="P1891" s="406"/>
      <c r="V1891" s="407"/>
    </row>
    <row r="1892" ht="15.75" customHeight="1">
      <c r="A1892" s="400"/>
      <c r="D1892" s="404"/>
      <c r="O1892" s="405"/>
      <c r="P1892" s="406"/>
      <c r="V1892" s="407"/>
    </row>
    <row r="1893" ht="15.75" customHeight="1">
      <c r="A1893" s="400"/>
      <c r="D1893" s="404"/>
      <c r="O1893" s="405"/>
      <c r="P1893" s="406"/>
      <c r="V1893" s="407"/>
    </row>
    <row r="1894" ht="15.75" customHeight="1">
      <c r="A1894" s="400"/>
      <c r="D1894" s="404"/>
      <c r="O1894" s="405"/>
      <c r="P1894" s="406"/>
      <c r="V1894" s="407"/>
    </row>
    <row r="1895" ht="15.75" customHeight="1">
      <c r="A1895" s="400"/>
      <c r="D1895" s="404"/>
      <c r="O1895" s="405"/>
      <c r="P1895" s="406"/>
      <c r="V1895" s="407"/>
    </row>
    <row r="1896" ht="15.75" customHeight="1">
      <c r="A1896" s="400"/>
      <c r="D1896" s="404"/>
      <c r="O1896" s="405"/>
      <c r="P1896" s="406"/>
      <c r="V1896" s="407"/>
    </row>
    <row r="1897" ht="15.75" customHeight="1">
      <c r="A1897" s="400"/>
      <c r="D1897" s="404"/>
      <c r="O1897" s="405"/>
      <c r="P1897" s="406"/>
      <c r="V1897" s="407"/>
    </row>
    <row r="1898" ht="15.75" customHeight="1">
      <c r="A1898" s="400"/>
      <c r="D1898" s="404"/>
      <c r="O1898" s="405"/>
      <c r="P1898" s="406"/>
      <c r="V1898" s="407"/>
    </row>
    <row r="1899" ht="15.75" customHeight="1">
      <c r="A1899" s="400"/>
      <c r="D1899" s="404"/>
      <c r="O1899" s="405"/>
      <c r="P1899" s="406"/>
      <c r="V1899" s="407"/>
    </row>
    <row r="1900" ht="15.75" customHeight="1">
      <c r="A1900" s="400"/>
      <c r="D1900" s="404"/>
      <c r="O1900" s="405"/>
      <c r="P1900" s="406"/>
      <c r="V1900" s="407"/>
    </row>
    <row r="1901" ht="15.75" customHeight="1">
      <c r="A1901" s="400"/>
      <c r="D1901" s="404"/>
      <c r="O1901" s="405"/>
      <c r="P1901" s="406"/>
      <c r="V1901" s="407"/>
    </row>
    <row r="1902" ht="15.75" customHeight="1">
      <c r="A1902" s="400"/>
      <c r="D1902" s="404"/>
      <c r="O1902" s="405"/>
      <c r="P1902" s="406"/>
      <c r="V1902" s="407"/>
    </row>
    <row r="1903" ht="15.75" customHeight="1">
      <c r="A1903" s="400"/>
      <c r="D1903" s="404"/>
      <c r="O1903" s="405"/>
      <c r="P1903" s="406"/>
      <c r="V1903" s="407"/>
    </row>
    <row r="1904" ht="15.75" customHeight="1">
      <c r="A1904" s="400"/>
      <c r="D1904" s="404"/>
      <c r="O1904" s="405"/>
      <c r="P1904" s="406"/>
      <c r="V1904" s="407"/>
    </row>
    <row r="1905" ht="15.75" customHeight="1">
      <c r="A1905" s="400"/>
      <c r="D1905" s="404"/>
      <c r="O1905" s="405"/>
      <c r="P1905" s="406"/>
      <c r="V1905" s="407"/>
    </row>
    <row r="1906" ht="15.75" customHeight="1">
      <c r="A1906" s="400"/>
      <c r="D1906" s="404"/>
      <c r="O1906" s="405"/>
      <c r="P1906" s="406"/>
      <c r="V1906" s="407"/>
    </row>
    <row r="1907" ht="15.75" customHeight="1">
      <c r="A1907" s="400"/>
      <c r="D1907" s="404"/>
      <c r="O1907" s="405"/>
      <c r="P1907" s="406"/>
      <c r="V1907" s="407"/>
    </row>
    <row r="1908" ht="15.75" customHeight="1">
      <c r="A1908" s="400"/>
      <c r="D1908" s="404"/>
      <c r="O1908" s="405"/>
      <c r="P1908" s="406"/>
      <c r="V1908" s="407"/>
    </row>
    <row r="1909" ht="15.75" customHeight="1">
      <c r="A1909" s="400"/>
      <c r="D1909" s="404"/>
      <c r="O1909" s="405"/>
      <c r="P1909" s="406"/>
      <c r="V1909" s="407"/>
    </row>
    <row r="1910" ht="15.75" customHeight="1">
      <c r="A1910" s="400"/>
      <c r="D1910" s="404"/>
      <c r="O1910" s="405"/>
      <c r="P1910" s="406"/>
      <c r="V1910" s="407"/>
    </row>
    <row r="1911" ht="15.75" customHeight="1">
      <c r="A1911" s="400"/>
      <c r="D1911" s="404"/>
      <c r="O1911" s="405"/>
      <c r="P1911" s="406"/>
      <c r="V1911" s="407"/>
    </row>
    <row r="1912" ht="15.75" customHeight="1">
      <c r="A1912" s="400"/>
      <c r="D1912" s="404"/>
      <c r="O1912" s="405"/>
      <c r="P1912" s="406"/>
      <c r="V1912" s="407"/>
    </row>
    <row r="1913" ht="15.75" customHeight="1">
      <c r="A1913" s="400"/>
      <c r="D1913" s="404"/>
      <c r="O1913" s="405"/>
      <c r="P1913" s="406"/>
      <c r="V1913" s="407"/>
    </row>
    <row r="1914" ht="15.75" customHeight="1">
      <c r="A1914" s="400"/>
      <c r="D1914" s="404"/>
      <c r="O1914" s="405"/>
      <c r="P1914" s="406"/>
      <c r="V1914" s="407"/>
    </row>
    <row r="1915" ht="15.75" customHeight="1">
      <c r="A1915" s="400"/>
      <c r="D1915" s="404"/>
      <c r="O1915" s="405"/>
      <c r="P1915" s="406"/>
      <c r="V1915" s="407"/>
    </row>
    <row r="1916" ht="15.75" customHeight="1">
      <c r="A1916" s="400"/>
      <c r="D1916" s="404"/>
      <c r="O1916" s="405"/>
      <c r="P1916" s="406"/>
      <c r="V1916" s="407"/>
    </row>
    <row r="1917" ht="15.75" customHeight="1">
      <c r="A1917" s="400"/>
      <c r="D1917" s="404"/>
      <c r="O1917" s="405"/>
      <c r="P1917" s="406"/>
      <c r="V1917" s="407"/>
    </row>
    <row r="1918" ht="15.75" customHeight="1">
      <c r="A1918" s="400"/>
      <c r="D1918" s="404"/>
      <c r="O1918" s="405"/>
      <c r="P1918" s="406"/>
      <c r="V1918" s="407"/>
    </row>
    <row r="1919" ht="15.75" customHeight="1">
      <c r="A1919" s="400"/>
      <c r="D1919" s="404"/>
      <c r="O1919" s="405"/>
      <c r="P1919" s="406"/>
      <c r="V1919" s="407"/>
    </row>
    <row r="1920" ht="15.75" customHeight="1">
      <c r="A1920" s="400"/>
      <c r="D1920" s="404"/>
      <c r="O1920" s="405"/>
      <c r="P1920" s="406"/>
      <c r="V1920" s="407"/>
    </row>
    <row r="1921" ht="15.75" customHeight="1">
      <c r="A1921" s="400"/>
      <c r="D1921" s="404"/>
      <c r="O1921" s="405"/>
      <c r="P1921" s="406"/>
      <c r="V1921" s="407"/>
    </row>
    <row r="1922" ht="15.75" customHeight="1">
      <c r="A1922" s="400"/>
      <c r="D1922" s="404"/>
      <c r="O1922" s="405"/>
      <c r="P1922" s="406"/>
      <c r="V1922" s="407"/>
    </row>
    <row r="1923" ht="15.75" customHeight="1">
      <c r="A1923" s="400"/>
      <c r="D1923" s="404"/>
      <c r="O1923" s="405"/>
      <c r="P1923" s="406"/>
      <c r="V1923" s="407"/>
    </row>
    <row r="1924" ht="15.75" customHeight="1">
      <c r="A1924" s="400"/>
      <c r="D1924" s="404"/>
      <c r="O1924" s="405"/>
      <c r="P1924" s="406"/>
      <c r="V1924" s="407"/>
    </row>
    <row r="1925" ht="15.75" customHeight="1">
      <c r="A1925" s="400"/>
      <c r="D1925" s="404"/>
      <c r="O1925" s="405"/>
      <c r="P1925" s="406"/>
      <c r="V1925" s="407"/>
    </row>
    <row r="1926" ht="15.75" customHeight="1">
      <c r="A1926" s="400"/>
      <c r="D1926" s="404"/>
      <c r="O1926" s="405"/>
      <c r="P1926" s="406"/>
      <c r="V1926" s="407"/>
    </row>
    <row r="1927" ht="15.75" customHeight="1">
      <c r="A1927" s="400"/>
      <c r="D1927" s="404"/>
      <c r="O1927" s="405"/>
      <c r="P1927" s="406"/>
      <c r="V1927" s="407"/>
    </row>
    <row r="1928" ht="15.75" customHeight="1">
      <c r="A1928" s="400"/>
      <c r="D1928" s="404"/>
      <c r="O1928" s="405"/>
      <c r="P1928" s="406"/>
      <c r="V1928" s="407"/>
    </row>
    <row r="1929" ht="15.75" customHeight="1">
      <c r="A1929" s="400"/>
      <c r="D1929" s="404"/>
      <c r="O1929" s="405"/>
      <c r="P1929" s="406"/>
      <c r="V1929" s="407"/>
    </row>
    <row r="1930" ht="15.75" customHeight="1">
      <c r="A1930" s="400"/>
      <c r="D1930" s="404"/>
      <c r="O1930" s="405"/>
      <c r="P1930" s="406"/>
      <c r="V1930" s="407"/>
    </row>
    <row r="1931" ht="15.75" customHeight="1">
      <c r="A1931" s="400"/>
      <c r="D1931" s="404"/>
      <c r="O1931" s="405"/>
      <c r="P1931" s="406"/>
      <c r="V1931" s="407"/>
    </row>
    <row r="1932" ht="15.75" customHeight="1">
      <c r="A1932" s="400"/>
      <c r="D1932" s="404"/>
      <c r="O1932" s="405"/>
      <c r="P1932" s="406"/>
      <c r="V1932" s="407"/>
    </row>
    <row r="1933" ht="15.75" customHeight="1">
      <c r="A1933" s="400"/>
      <c r="D1933" s="404"/>
      <c r="O1933" s="405"/>
      <c r="P1933" s="406"/>
      <c r="V1933" s="407"/>
    </row>
    <row r="1934" ht="15.75" customHeight="1">
      <c r="A1934" s="400"/>
      <c r="D1934" s="404"/>
      <c r="O1934" s="405"/>
      <c r="P1934" s="406"/>
      <c r="V1934" s="407"/>
    </row>
    <row r="1935" ht="15.75" customHeight="1">
      <c r="A1935" s="400"/>
      <c r="D1935" s="404"/>
      <c r="O1935" s="405"/>
      <c r="P1935" s="406"/>
      <c r="V1935" s="407"/>
    </row>
    <row r="1936" ht="15.75" customHeight="1">
      <c r="A1936" s="400"/>
      <c r="D1936" s="404"/>
      <c r="O1936" s="405"/>
      <c r="P1936" s="406"/>
      <c r="V1936" s="407"/>
    </row>
    <row r="1937" ht="15.75" customHeight="1">
      <c r="A1937" s="400"/>
      <c r="D1937" s="404"/>
      <c r="O1937" s="405"/>
      <c r="P1937" s="406"/>
      <c r="V1937" s="407"/>
    </row>
    <row r="1938" ht="15.75" customHeight="1">
      <c r="A1938" s="400"/>
      <c r="D1938" s="404"/>
      <c r="O1938" s="405"/>
      <c r="P1938" s="406"/>
      <c r="V1938" s="407"/>
    </row>
    <row r="1939" ht="15.75" customHeight="1">
      <c r="A1939" s="400"/>
      <c r="D1939" s="404"/>
      <c r="O1939" s="405"/>
      <c r="P1939" s="406"/>
      <c r="V1939" s="407"/>
    </row>
    <row r="1940" ht="15.75" customHeight="1">
      <c r="A1940" s="400"/>
      <c r="D1940" s="404"/>
      <c r="O1940" s="405"/>
      <c r="P1940" s="406"/>
      <c r="V1940" s="407"/>
    </row>
    <row r="1941" ht="15.75" customHeight="1">
      <c r="A1941" s="400"/>
      <c r="D1941" s="404"/>
      <c r="O1941" s="405"/>
      <c r="P1941" s="406"/>
      <c r="V1941" s="407"/>
    </row>
    <row r="1942" ht="15.75" customHeight="1">
      <c r="A1942" s="400"/>
      <c r="D1942" s="404"/>
      <c r="O1942" s="405"/>
      <c r="P1942" s="406"/>
      <c r="V1942" s="407"/>
    </row>
    <row r="1943" ht="15.75" customHeight="1">
      <c r="A1943" s="400"/>
      <c r="D1943" s="404"/>
      <c r="O1943" s="405"/>
      <c r="P1943" s="406"/>
      <c r="V1943" s="407"/>
    </row>
    <row r="1944" ht="15.75" customHeight="1">
      <c r="A1944" s="400"/>
      <c r="D1944" s="404"/>
      <c r="O1944" s="405"/>
      <c r="P1944" s="406"/>
      <c r="V1944" s="407"/>
    </row>
    <row r="1945" ht="15.75" customHeight="1">
      <c r="A1945" s="400"/>
      <c r="D1945" s="404"/>
      <c r="O1945" s="405"/>
      <c r="P1945" s="406"/>
      <c r="V1945" s="407"/>
    </row>
    <row r="1946" ht="15.75" customHeight="1">
      <c r="A1946" s="400"/>
      <c r="D1946" s="404"/>
      <c r="O1946" s="405"/>
      <c r="P1946" s="406"/>
      <c r="V1946" s="407"/>
    </row>
    <row r="1947" ht="15.75" customHeight="1">
      <c r="A1947" s="400"/>
      <c r="D1947" s="404"/>
      <c r="O1947" s="405"/>
      <c r="P1947" s="406"/>
      <c r="V1947" s="407"/>
    </row>
    <row r="1948" ht="15.75" customHeight="1">
      <c r="A1948" s="400"/>
      <c r="D1948" s="404"/>
      <c r="O1948" s="405"/>
      <c r="P1948" s="406"/>
      <c r="V1948" s="407"/>
    </row>
    <row r="1949" ht="15.75" customHeight="1">
      <c r="A1949" s="400"/>
      <c r="D1949" s="404"/>
      <c r="O1949" s="405"/>
      <c r="P1949" s="406"/>
      <c r="V1949" s="407"/>
    </row>
    <row r="1950" ht="15.75" customHeight="1">
      <c r="A1950" s="400"/>
      <c r="D1950" s="404"/>
      <c r="O1950" s="405"/>
      <c r="P1950" s="406"/>
      <c r="V1950" s="407"/>
    </row>
    <row r="1951" ht="15.75" customHeight="1">
      <c r="A1951" s="400"/>
      <c r="D1951" s="404"/>
      <c r="O1951" s="405"/>
      <c r="P1951" s="406"/>
      <c r="V1951" s="407"/>
    </row>
    <row r="1952" ht="15.75" customHeight="1">
      <c r="A1952" s="400"/>
      <c r="D1952" s="404"/>
      <c r="O1952" s="405"/>
      <c r="P1952" s="406"/>
      <c r="V1952" s="407"/>
    </row>
    <row r="1953" ht="15.75" customHeight="1">
      <c r="A1953" s="400"/>
      <c r="D1953" s="404"/>
      <c r="O1953" s="405"/>
      <c r="P1953" s="406"/>
      <c r="V1953" s="407"/>
    </row>
    <row r="1954" ht="15.75" customHeight="1">
      <c r="A1954" s="400"/>
      <c r="D1954" s="404"/>
      <c r="O1954" s="405"/>
      <c r="P1954" s="406"/>
      <c r="V1954" s="407"/>
    </row>
    <row r="1955" ht="15.75" customHeight="1">
      <c r="A1955" s="400"/>
      <c r="D1955" s="404"/>
      <c r="O1955" s="405"/>
      <c r="P1955" s="406"/>
      <c r="V1955" s="407"/>
    </row>
    <row r="1956" ht="15.75" customHeight="1">
      <c r="A1956" s="400"/>
      <c r="D1956" s="404"/>
      <c r="O1956" s="405"/>
      <c r="P1956" s="406"/>
      <c r="V1956" s="407"/>
    </row>
    <row r="1957" ht="15.75" customHeight="1">
      <c r="A1957" s="400"/>
      <c r="D1957" s="404"/>
      <c r="O1957" s="405"/>
      <c r="P1957" s="406"/>
      <c r="V1957" s="407"/>
    </row>
    <row r="1958" ht="15.75" customHeight="1">
      <c r="A1958" s="400"/>
      <c r="D1958" s="404"/>
      <c r="O1958" s="405"/>
      <c r="P1958" s="406"/>
      <c r="V1958" s="407"/>
    </row>
    <row r="1959" ht="15.75" customHeight="1">
      <c r="A1959" s="400"/>
      <c r="D1959" s="404"/>
      <c r="O1959" s="405"/>
      <c r="P1959" s="406"/>
      <c r="V1959" s="407"/>
    </row>
    <row r="1960" ht="15.75" customHeight="1">
      <c r="A1960" s="400"/>
      <c r="D1960" s="404"/>
      <c r="O1960" s="405"/>
      <c r="P1960" s="406"/>
      <c r="V1960" s="407"/>
    </row>
    <row r="1961" ht="15.75" customHeight="1">
      <c r="A1961" s="400"/>
      <c r="D1961" s="404"/>
      <c r="O1961" s="405"/>
      <c r="P1961" s="406"/>
      <c r="V1961" s="407"/>
    </row>
    <row r="1962" ht="15.75" customHeight="1">
      <c r="A1962" s="400"/>
      <c r="D1962" s="404"/>
      <c r="O1962" s="405"/>
      <c r="P1962" s="406"/>
      <c r="V1962" s="407"/>
    </row>
    <row r="1963" ht="15.75" customHeight="1">
      <c r="A1963" s="400"/>
      <c r="D1963" s="404"/>
      <c r="O1963" s="405"/>
      <c r="P1963" s="406"/>
      <c r="V1963" s="407"/>
    </row>
    <row r="1964" ht="15.75" customHeight="1">
      <c r="A1964" s="400"/>
      <c r="D1964" s="404"/>
      <c r="O1964" s="405"/>
      <c r="P1964" s="406"/>
      <c r="V1964" s="407"/>
    </row>
    <row r="1965" ht="15.75" customHeight="1">
      <c r="A1965" s="400"/>
      <c r="D1965" s="404"/>
      <c r="O1965" s="405"/>
      <c r="P1965" s="406"/>
      <c r="V1965" s="407"/>
    </row>
    <row r="1966" ht="15.75" customHeight="1">
      <c r="A1966" s="400"/>
      <c r="D1966" s="404"/>
      <c r="O1966" s="405"/>
      <c r="P1966" s="406"/>
      <c r="V1966" s="407"/>
    </row>
    <row r="1967" ht="15.75" customHeight="1">
      <c r="A1967" s="400"/>
      <c r="D1967" s="404"/>
      <c r="O1967" s="405"/>
      <c r="P1967" s="406"/>
      <c r="V1967" s="407"/>
    </row>
    <row r="1968" ht="15.75" customHeight="1">
      <c r="A1968" s="400"/>
      <c r="D1968" s="404"/>
      <c r="O1968" s="405"/>
      <c r="P1968" s="406"/>
      <c r="V1968" s="407"/>
    </row>
    <row r="1969" ht="15.75" customHeight="1">
      <c r="A1969" s="400"/>
      <c r="D1969" s="404"/>
      <c r="O1969" s="405"/>
      <c r="P1969" s="406"/>
      <c r="V1969" s="407"/>
    </row>
    <row r="1970" ht="15.75" customHeight="1">
      <c r="A1970" s="400"/>
      <c r="D1970" s="404"/>
      <c r="O1970" s="405"/>
      <c r="P1970" s="406"/>
      <c r="V1970" s="407"/>
    </row>
    <row r="1971" ht="15.75" customHeight="1">
      <c r="A1971" s="400"/>
      <c r="D1971" s="404"/>
      <c r="O1971" s="405"/>
      <c r="P1971" s="406"/>
      <c r="V1971" s="407"/>
    </row>
    <row r="1972" ht="15.75" customHeight="1">
      <c r="A1972" s="400"/>
      <c r="D1972" s="404"/>
      <c r="O1972" s="405"/>
      <c r="P1972" s="406"/>
      <c r="V1972" s="407"/>
    </row>
    <row r="1973" ht="15.75" customHeight="1">
      <c r="A1973" s="400"/>
      <c r="D1973" s="404"/>
      <c r="O1973" s="405"/>
      <c r="P1973" s="406"/>
      <c r="V1973" s="407"/>
    </row>
    <row r="1974" ht="15.75" customHeight="1">
      <c r="A1974" s="400"/>
      <c r="D1974" s="404"/>
      <c r="O1974" s="405"/>
      <c r="P1974" s="406"/>
      <c r="V1974" s="407"/>
    </row>
    <row r="1975" ht="15.75" customHeight="1">
      <c r="A1975" s="400"/>
      <c r="D1975" s="404"/>
      <c r="O1975" s="405"/>
      <c r="P1975" s="406"/>
      <c r="V1975" s="407"/>
    </row>
    <row r="1976" ht="15.75" customHeight="1">
      <c r="A1976" s="400"/>
      <c r="D1976" s="404"/>
      <c r="O1976" s="405"/>
      <c r="P1976" s="406"/>
      <c r="V1976" s="407"/>
    </row>
    <row r="1977" ht="15.75" customHeight="1">
      <c r="A1977" s="400"/>
      <c r="D1977" s="404"/>
      <c r="O1977" s="405"/>
      <c r="P1977" s="406"/>
      <c r="V1977" s="407"/>
    </row>
    <row r="1978" ht="15.75" customHeight="1">
      <c r="A1978" s="400"/>
      <c r="D1978" s="404"/>
      <c r="O1978" s="405"/>
      <c r="P1978" s="406"/>
      <c r="V1978" s="407"/>
    </row>
    <row r="1979" ht="15.75" customHeight="1">
      <c r="A1979" s="400"/>
      <c r="D1979" s="404"/>
      <c r="O1979" s="405"/>
      <c r="P1979" s="406"/>
      <c r="V1979" s="407"/>
    </row>
    <row r="1980" ht="15.75" customHeight="1">
      <c r="A1980" s="400"/>
      <c r="D1980" s="404"/>
      <c r="O1980" s="405"/>
      <c r="P1980" s="406"/>
      <c r="V1980" s="407"/>
    </row>
    <row r="1981" ht="15.75" customHeight="1">
      <c r="A1981" s="400"/>
      <c r="D1981" s="404"/>
      <c r="O1981" s="405"/>
      <c r="P1981" s="406"/>
      <c r="V1981" s="407"/>
    </row>
    <row r="1982" ht="15.75" customHeight="1">
      <c r="A1982" s="400"/>
      <c r="D1982" s="404"/>
      <c r="O1982" s="405"/>
      <c r="P1982" s="406"/>
      <c r="V1982" s="407"/>
    </row>
    <row r="1983" ht="15.75" customHeight="1">
      <c r="A1983" s="400"/>
      <c r="D1983" s="404"/>
      <c r="O1983" s="405"/>
      <c r="P1983" s="406"/>
      <c r="V1983" s="407"/>
    </row>
    <row r="1984" ht="15.75" customHeight="1">
      <c r="A1984" s="400"/>
      <c r="D1984" s="404"/>
      <c r="O1984" s="405"/>
      <c r="P1984" s="406"/>
      <c r="V1984" s="407"/>
    </row>
    <row r="1985" ht="15.75" customHeight="1">
      <c r="A1985" s="400"/>
      <c r="D1985" s="404"/>
      <c r="O1985" s="405"/>
      <c r="P1985" s="406"/>
      <c r="V1985" s="407"/>
    </row>
    <row r="1986" ht="15.75" customHeight="1">
      <c r="A1986" s="400"/>
      <c r="D1986" s="404"/>
      <c r="O1986" s="405"/>
      <c r="P1986" s="406"/>
      <c r="V1986" s="407"/>
    </row>
    <row r="1987" ht="15.75" customHeight="1">
      <c r="A1987" s="400"/>
      <c r="D1987" s="404"/>
      <c r="O1987" s="405"/>
      <c r="P1987" s="406"/>
      <c r="V1987" s="407"/>
    </row>
    <row r="1988" ht="15.75" customHeight="1">
      <c r="A1988" s="400"/>
      <c r="D1988" s="404"/>
      <c r="O1988" s="405"/>
      <c r="P1988" s="406"/>
      <c r="V1988" s="407"/>
    </row>
    <row r="1989" ht="15.75" customHeight="1">
      <c r="A1989" s="400"/>
      <c r="D1989" s="404"/>
      <c r="O1989" s="405"/>
      <c r="P1989" s="406"/>
      <c r="V1989" s="407"/>
    </row>
    <row r="1990" ht="15.75" customHeight="1">
      <c r="A1990" s="400"/>
      <c r="D1990" s="404"/>
      <c r="O1990" s="405"/>
      <c r="P1990" s="406"/>
      <c r="V1990" s="407"/>
    </row>
    <row r="1991" ht="15.75" customHeight="1">
      <c r="A1991" s="400"/>
      <c r="D1991" s="404"/>
      <c r="O1991" s="405"/>
      <c r="P1991" s="406"/>
      <c r="V1991" s="407"/>
    </row>
    <row r="1992" ht="15.75" customHeight="1">
      <c r="A1992" s="400"/>
      <c r="D1992" s="404"/>
      <c r="O1992" s="405"/>
      <c r="P1992" s="406"/>
      <c r="V1992" s="407"/>
    </row>
    <row r="1993" ht="15.75" customHeight="1">
      <c r="A1993" s="400"/>
      <c r="D1993" s="404"/>
      <c r="O1993" s="405"/>
      <c r="P1993" s="406"/>
      <c r="V1993" s="407"/>
    </row>
    <row r="1994" ht="15.75" customHeight="1">
      <c r="A1994" s="400"/>
      <c r="D1994" s="404"/>
      <c r="O1994" s="405"/>
      <c r="P1994" s="406"/>
      <c r="V1994" s="407"/>
    </row>
    <row r="1995" ht="15.75" customHeight="1">
      <c r="A1995" s="400"/>
      <c r="D1995" s="404"/>
      <c r="O1995" s="405"/>
      <c r="P1995" s="406"/>
      <c r="V1995" s="407"/>
    </row>
    <row r="1996" ht="15.75" customHeight="1">
      <c r="A1996" s="400"/>
      <c r="D1996" s="404"/>
      <c r="O1996" s="405"/>
      <c r="P1996" s="406"/>
      <c r="V1996" s="407"/>
    </row>
    <row r="1997" ht="15.75" customHeight="1">
      <c r="A1997" s="400"/>
      <c r="D1997" s="404"/>
      <c r="O1997" s="405"/>
      <c r="P1997" s="406"/>
      <c r="V1997" s="407"/>
    </row>
    <row r="1998" ht="15.75" customHeight="1">
      <c r="A1998" s="400"/>
      <c r="D1998" s="404"/>
      <c r="O1998" s="405"/>
      <c r="P1998" s="406"/>
      <c r="V1998" s="407"/>
    </row>
    <row r="1999" ht="15.75" customHeight="1">
      <c r="A1999" s="400"/>
      <c r="D1999" s="404"/>
      <c r="O1999" s="405"/>
      <c r="P1999" s="406"/>
      <c r="V1999" s="407"/>
    </row>
    <row r="2000" ht="15.75" customHeight="1">
      <c r="A2000" s="400"/>
      <c r="D2000" s="404"/>
      <c r="O2000" s="405"/>
      <c r="P2000" s="406"/>
      <c r="V2000" s="407"/>
    </row>
    <row r="2001" ht="15.75" customHeight="1">
      <c r="A2001" s="400"/>
      <c r="D2001" s="404"/>
      <c r="O2001" s="405"/>
      <c r="P2001" s="406"/>
      <c r="V2001" s="407"/>
    </row>
    <row r="2002" ht="15.75" customHeight="1">
      <c r="A2002" s="400"/>
      <c r="D2002" s="404"/>
      <c r="O2002" s="405"/>
      <c r="P2002" s="406"/>
      <c r="V2002" s="407"/>
    </row>
    <row r="2003" ht="15.75" customHeight="1">
      <c r="A2003" s="400"/>
      <c r="D2003" s="404"/>
      <c r="O2003" s="405"/>
      <c r="P2003" s="406"/>
      <c r="V2003" s="407"/>
    </row>
    <row r="2004" ht="15.75" customHeight="1">
      <c r="A2004" s="400"/>
      <c r="D2004" s="404"/>
      <c r="O2004" s="405"/>
      <c r="P2004" s="406"/>
      <c r="V2004" s="407"/>
    </row>
    <row r="2005" ht="15.75" customHeight="1">
      <c r="A2005" s="400"/>
      <c r="D2005" s="404"/>
      <c r="O2005" s="405"/>
      <c r="P2005" s="406"/>
      <c r="V2005" s="407"/>
    </row>
    <row r="2006" ht="15.75" customHeight="1">
      <c r="A2006" s="400"/>
      <c r="D2006" s="404"/>
      <c r="O2006" s="405"/>
      <c r="P2006" s="406"/>
      <c r="V2006" s="407"/>
    </row>
    <row r="2007" ht="15.75" customHeight="1">
      <c r="A2007" s="400"/>
      <c r="D2007" s="404"/>
      <c r="O2007" s="405"/>
      <c r="P2007" s="406"/>
      <c r="V2007" s="407"/>
    </row>
    <row r="2008" ht="15.75" customHeight="1">
      <c r="A2008" s="400"/>
      <c r="D2008" s="404"/>
      <c r="O2008" s="405"/>
      <c r="P2008" s="406"/>
      <c r="V2008" s="407"/>
    </row>
    <row r="2009" ht="15.75" customHeight="1">
      <c r="A2009" s="400"/>
      <c r="D2009" s="404"/>
      <c r="O2009" s="405"/>
      <c r="P2009" s="406"/>
      <c r="V2009" s="407"/>
    </row>
    <row r="2010" ht="15.75" customHeight="1">
      <c r="A2010" s="400"/>
      <c r="D2010" s="404"/>
      <c r="O2010" s="405"/>
      <c r="P2010" s="406"/>
      <c r="V2010" s="407"/>
    </row>
    <row r="2011" ht="15.75" customHeight="1">
      <c r="A2011" s="400"/>
      <c r="D2011" s="404"/>
      <c r="O2011" s="405"/>
      <c r="P2011" s="406"/>
      <c r="V2011" s="407"/>
    </row>
    <row r="2012" ht="15.75" customHeight="1">
      <c r="A2012" s="400"/>
      <c r="D2012" s="404"/>
      <c r="O2012" s="405"/>
      <c r="P2012" s="406"/>
      <c r="V2012" s="407"/>
    </row>
    <row r="2013" ht="15.75" customHeight="1">
      <c r="A2013" s="400"/>
      <c r="D2013" s="404"/>
      <c r="O2013" s="405"/>
      <c r="P2013" s="406"/>
      <c r="V2013" s="407"/>
    </row>
    <row r="2014" ht="15.75" customHeight="1">
      <c r="A2014" s="400"/>
      <c r="D2014" s="404"/>
      <c r="O2014" s="405"/>
      <c r="P2014" s="406"/>
      <c r="V2014" s="407"/>
    </row>
    <row r="2015" ht="15.75" customHeight="1">
      <c r="A2015" s="400"/>
      <c r="D2015" s="404"/>
      <c r="O2015" s="405"/>
      <c r="P2015" s="406"/>
      <c r="V2015" s="407"/>
    </row>
    <row r="2016" ht="15.75" customHeight="1">
      <c r="A2016" s="400"/>
      <c r="D2016" s="404"/>
      <c r="O2016" s="405"/>
      <c r="P2016" s="406"/>
      <c r="V2016" s="407"/>
    </row>
    <row r="2017" ht="15.75" customHeight="1">
      <c r="A2017" s="400"/>
      <c r="D2017" s="404"/>
      <c r="O2017" s="405"/>
      <c r="P2017" s="406"/>
      <c r="V2017" s="407"/>
    </row>
    <row r="2018" ht="15.75" customHeight="1">
      <c r="A2018" s="400"/>
      <c r="D2018" s="404"/>
      <c r="O2018" s="405"/>
      <c r="P2018" s="406"/>
      <c r="V2018" s="407"/>
    </row>
    <row r="2019" ht="15.75" customHeight="1">
      <c r="A2019" s="400"/>
      <c r="D2019" s="404"/>
      <c r="O2019" s="405"/>
      <c r="P2019" s="406"/>
      <c r="V2019" s="407"/>
    </row>
    <row r="2020" ht="15.75" customHeight="1">
      <c r="A2020" s="400"/>
      <c r="D2020" s="404"/>
      <c r="O2020" s="405"/>
      <c r="P2020" s="406"/>
      <c r="V2020" s="407"/>
    </row>
    <row r="2021" ht="15.75" customHeight="1">
      <c r="A2021" s="400"/>
      <c r="D2021" s="404"/>
      <c r="O2021" s="405"/>
      <c r="P2021" s="406"/>
      <c r="V2021" s="407"/>
    </row>
    <row r="2022" ht="15.75" customHeight="1">
      <c r="A2022" s="400"/>
      <c r="D2022" s="404"/>
      <c r="O2022" s="405"/>
      <c r="P2022" s="406"/>
      <c r="V2022" s="407"/>
    </row>
    <row r="2023" ht="15.75" customHeight="1">
      <c r="A2023" s="400"/>
      <c r="D2023" s="404"/>
      <c r="O2023" s="405"/>
      <c r="P2023" s="406"/>
      <c r="V2023" s="407"/>
    </row>
    <row r="2024" ht="15.75" customHeight="1">
      <c r="A2024" s="400"/>
      <c r="D2024" s="404"/>
      <c r="O2024" s="405"/>
      <c r="P2024" s="406"/>
      <c r="V2024" s="407"/>
    </row>
  </sheetData>
  <customSheetViews>
    <customSheetView guid="{58D8374F-B222-42CC-9E40-9FC9F60E7FC2}" filter="1" showAutoFilter="1">
      <autoFilter ref="$A$2:$AI$1045">
        <filterColumn colId="1">
          <filters>
            <filter val="SE"/>
            <filter val="CO"/>
          </filters>
        </filterColumn>
        <filterColumn colId="2">
          <filters>
            <filter val="Turin"/>
            <filter val="Belgrade"/>
            <filter val="Taizhou"/>
            <filter val="Wenzhou"/>
            <filter val="Tashkent"/>
            <filter val="Dongguan"/>
            <filter val="Nanchang"/>
            <filter val="Tianjin"/>
            <filter val="Jaipur"/>
            <filter val="Huizhou"/>
            <filter val="Guangzhou"/>
            <filter val="Ottawa"/>
            <filter val="Warsaw"/>
            <filter val="Yiwu"/>
            <filter val="Seattle"/>
            <filter val="Lisbon"/>
            <filter val="St. Petersburg"/>
            <filter val="Lausanne"/>
            <filter val="Bahrain"/>
            <filter val="Putian"/>
            <filter val="Malaga"/>
            <filter val="Hyderabad"/>
            <filter val="Budapest"/>
            <filter val="Milan"/>
            <filter val="Leipzig"/>
            <filter val="London"/>
            <filter val="Sydney"/>
            <filter val="Qingdao"/>
            <filter val="Wuxi"/>
            <filter val="Hamburg"/>
            <filter val="Geneva"/>
            <filter val="Shijiazhuang"/>
            <filter val="Dubai"/>
            <filter val="Mumbai"/>
            <filter val="Washington"/>
            <filter val="Kaohsiung"/>
            <filter val="Nuremberg"/>
            <filter val="Yekaterinburg"/>
            <filter val="Guilin"/>
            <filter val="Helsinki"/>
            <filter val="Lucerne"/>
            <filter val="Changchun"/>
            <filter val="Gothenburg"/>
            <filter val="Shanghai"/>
            <filter val="Lyon"/>
            <filter val="Rio de Janeiro"/>
            <filter val="Changsha"/>
            <filter val="Sao Paulo"/>
            <filter val="Foshan"/>
            <filter val="Changzhou"/>
            <filter val="Jakarta"/>
            <filter val="Xiamen"/>
            <filter val="Fukuoka"/>
            <filter val="Osaka"/>
            <filter val="Montreal"/>
            <filter val="Łódź"/>
            <filter val="Mexico City"/>
            <filter val="Philadelphia"/>
            <filter val="Thessaloniki"/>
            <filter val="Jeddah"/>
            <filter val="Zurich"/>
            <filter val="Melbourne"/>
            <filter val="Rome"/>
            <filter val="Tokyo"/>
            <filter val="Guadalajara"/>
            <filter val="Wuhu"/>
            <filter val="Oslo"/>
            <filter val="Barcelona"/>
            <filter val="Gurgaon"/>
            <filter val="Incheon"/>
            <filter val="Calgary"/>
            <filter val="Perth"/>
            <filter val="Lanzhou"/>
            <filter val="Surat"/>
            <filter val="Prague"/>
            <filter val="Malmo"/>
            <filter val="Sendai"/>
            <filter val="Pune"/>
            <filter val="Kazan"/>
            <filter val="Lucknow"/>
            <filter val="Tainan"/>
            <filter val="Genova"/>
            <filter val="Singapore"/>
            <filter val="Doha"/>
            <filter val="Sofia"/>
            <filter val="Taipei"/>
            <filter val="Cluj-Napoca"/>
            <filter val="Manila"/>
            <filter val="Kuala Lumpur"/>
            <filter val="Taiyuan"/>
            <filter val="Honolulu"/>
            <filter val="Chongqing"/>
            <filter val="Santo Domingo"/>
            <filter val="New York"/>
            <filter val="Xuzhou"/>
            <filter val="Panama City"/>
            <filter val="Agra"/>
            <filter val="Xi'an"/>
            <filter val="Catania"/>
            <filter val="Miami"/>
            <filter val="San Francisco"/>
            <filter val="Rennes"/>
            <filter val="Kochi"/>
            <filter val="Cairo"/>
            <filter val="Karlsruhe"/>
            <filter val="Jiaxing"/>
            <filter val="Bucharest"/>
            <filter val="Hangzhou"/>
            <filter val="Copenhagen"/>
            <filter val="Dalian"/>
            <filter val="Chennai"/>
            <filter val="Jinan"/>
            <filter val="Kyiv"/>
            <filter val="Istanbul"/>
            <filter val="Samara"/>
            <filter val="Fuzhou"/>
            <filter val="Nantong"/>
            <filter val="Shenzhen"/>
            <filter val="Boston"/>
            <filter val="Munich"/>
            <filter val="Kunming"/>
            <filter val="Mecca"/>
            <filter val="Shaoxing"/>
            <filter val="Athens"/>
            <filter val="Hanoi"/>
            <filter val="Bogotá"/>
            <filter val="Beijing"/>
            <filter val="Bangkok"/>
            <filter val="Santiago"/>
            <filter val="Ningbo"/>
            <filter val="Madrid"/>
            <filter val="Nagpur"/>
            <filter val="Ahmadabad"/>
            <filter val="Toronto"/>
            <filter val="Cologne"/>
            <filter val="Vancouver"/>
            <filter val="Hong Kong"/>
            <filter val="Quito"/>
            <filter val="Moscow"/>
            <filter val="Bangalore"/>
            <filter val="Busan"/>
            <filter val="Seoul"/>
            <filter val="Amsterdam"/>
            <filter val="Naples"/>
            <filter val="Suzhou"/>
            <filter val="Buenos Aires"/>
            <filter val="Nanjing"/>
            <filter val="Urumqi"/>
            <filter val="Cairo - New Capital"/>
            <filter val="Hefei"/>
            <filter val="Brescia"/>
            <filter val="Porto"/>
            <filter val="Volgograd"/>
            <filter val="Mississauga"/>
            <filter val="Harbin"/>
            <filter val="Salvador"/>
            <filter val="Seville"/>
            <filter val="Riyadh"/>
            <filter val="Bilbao"/>
            <filter val="Novosibirsk"/>
            <filter val="Zhengzhou"/>
            <filter val="Taichung"/>
            <filter val="Brussels"/>
            <filter val="Tel Aviv"/>
            <filter val="Hohhot"/>
            <filter val="Berlin"/>
            <filter val="Toulouse"/>
            <filter val="Ho Chi Minh City"/>
            <filter val="Stockholm"/>
            <filter val="Edmonton"/>
            <filter val="Shenyang"/>
            <filter val="Lahore"/>
            <filter val="Dhaka"/>
            <filter val="Delhi"/>
            <filter val="Nanning"/>
            <filter val="Frankfurt"/>
            <filter val="Auckland"/>
            <filter val="Kanpur"/>
            <filter val="N. Novgorod"/>
            <filter val="Lima"/>
            <filter val="Ad Dammam"/>
            <filter val="Hamilton"/>
            <filter val="Wuhan"/>
            <filter val="Vienna"/>
            <filter val="Alexandria-Port Sa'id"/>
            <filter val="Guiyang"/>
            <filter val="Kharkiv"/>
            <filter val="Tehran"/>
            <filter val="Dusseldorf"/>
            <filter val="Patna"/>
            <filter val="Chicago"/>
            <filter val="Chiang Mai"/>
            <filter val="Luoyang"/>
            <filter val="Chengdu"/>
            <filter val="Zibo"/>
            <filter val="Kuwait City"/>
            <filter val="Los Angeles"/>
            <filter val="Paris"/>
          </filters>
        </filterColumn>
        <filterColumn colId="9">
          <filters blank="1">
            <filter val="28.00%"/>
            <filter val="59%"/>
            <filter val="47%"/>
            <filter val="35%"/>
            <filter val="79.36%"/>
            <filter val="79.00%"/>
            <filter val="42.63%"/>
            <filter val="77.87%"/>
            <filter val="36.00%"/>
            <filter val="65.98%"/>
            <filter val="31.42%"/>
            <filter val="44.00%"/>
            <filter val="100.00%"/>
            <filter val="57.06%"/>
            <filter val="49.29%"/>
            <filter val="36%"/>
            <filter val="34.86%"/>
            <filter val="61.15%"/>
            <filter val="15.67%"/>
            <filter val="12%"/>
            <filter val="39.90%"/>
            <filter val="79.01%"/>
            <filter val="41.16%"/>
            <filter val="92%"/>
            <filter val="23.53%"/>
            <filter val="80%"/>
            <filter val="60.00%"/>
            <filter val="10.97%"/>
            <filter val="48.49%"/>
            <filter val="1"/>
            <filter val="95.83"/>
            <filter val="39.47%"/>
            <filter val="49%"/>
            <filter val="100%"/>
            <filter val="91.00%"/>
            <filter val="94.33%"/>
            <filter val="8.00%"/>
            <filter val="93%"/>
            <filter val="84.29%"/>
            <filter val="81.15%"/>
            <filter val="18.18%"/>
            <filter val="38%"/>
            <filter val="91.13%"/>
            <filter val="14%"/>
            <filter val="80.00%"/>
            <filter val="94%"/>
            <filter val="70%"/>
            <filter val="97.06%"/>
            <filter val="16.00%"/>
            <filter val="4%"/>
            <filter val="59.00%"/>
            <filter val="78.35%"/>
            <filter val="20.00%"/>
            <filter val="33.00%"/>
            <filter val="29.08%"/>
            <filter val="35.11%"/>
            <filter val="27%"/>
            <filter val="45.00%"/>
            <filter val="95%"/>
            <filter val="83%"/>
            <filter val="33.90%"/>
            <filter val="71%"/>
            <filter val="21.05%"/>
            <filter val="88.00%"/>
            <filter val="90.61%"/>
            <filter val="23.22%"/>
            <filter val="5%"/>
            <filter val="84.11%"/>
            <filter val="27.00%"/>
            <filter val="82.10%"/>
            <filter val="78.00%"/>
            <filter val="28%"/>
            <filter val="16%"/>
            <filter val="94.34%"/>
            <filter val="96%"/>
            <filter val="95.17%"/>
            <filter val="84%"/>
            <filter val="60%"/>
            <filter val="12.00%"/>
            <filter val="73.00%"/>
            <filter val="6%"/>
            <filter val="84.00%"/>
            <filter val="89.74%"/>
            <filter val="0.05%"/>
            <filter val="43.75%"/>
            <filter val="31.99%"/>
            <filter val="26.67%"/>
            <filter val="17%"/>
            <filter val="83.00%"/>
            <filter val="91.16%"/>
            <filter val="97%"/>
            <filter val="49.00%"/>
            <filter val="23.00%"/>
            <filter val="63.71%"/>
            <filter val="78.26%"/>
            <filter val="63.83%"/>
            <filter val="13.00%"/>
            <filter val="40.48%"/>
            <filter val="80.28%"/>
            <filter val="See Notes."/>
            <filter val="77.00%"/>
            <filter val="34.00%"/>
            <filter val="98%"/>
            <filter val="86%"/>
            <filter val="86.54%"/>
            <filter val="62%"/>
            <filter val="50%"/>
            <filter val="51.00%"/>
            <filter val="66.91%"/>
            <filter val="8%"/>
            <filter val="59.68%"/>
            <filter val="7.00%"/>
            <filter val="89.28%"/>
            <filter val="87.21%"/>
            <filter val="70.07%"/>
            <filter val="19%"/>
            <filter val="99%"/>
            <filter val="87%"/>
            <filter val="75%"/>
            <filter val="62.00%"/>
            <filter val="63%"/>
            <filter val="15.38%"/>
            <filter val="0.54"/>
            <filter val="73.45%"/>
            <filter val="9%"/>
            <filter val="55.61%"/>
            <filter val="3.00%"/>
            <filter val="40.50%"/>
            <filter val="84.55%"/>
            <filter val="63.61%"/>
            <filter val="18.00%"/>
            <filter val="26.00%"/>
            <filter val="69.00%"/>
            <filter val="88%"/>
            <filter val="76%"/>
            <filter val="42.00%"/>
            <filter val="52%"/>
            <filter val="40%"/>
            <filter val="34.58%"/>
            <filter val="38.00%"/>
            <filter val="44.63%"/>
            <filter val="97.00%"/>
            <filter val="70.25%"/>
            <filter val="13.43%"/>
            <filter val="85.00%"/>
            <filter val="15.96%"/>
            <filter val="89%"/>
            <filter val="73.91%"/>
            <filter val="65%"/>
            <filter val="43.18%"/>
            <filter val="65.00%"/>
            <filter val="52.98%"/>
            <filter val="65.24%"/>
            <filter val="95.62%"/>
            <filter val="57.00%"/>
            <filter val="82.00%"/>
            <filter val="14.00%"/>
            <filter val="74.00%"/>
            <filter val="67.61%"/>
            <filter val="22.00%"/>
            <filter val="6.00%"/>
            <filter val="78%"/>
            <filter val="66%"/>
            <filter val="12.14%"/>
            <filter val="42%"/>
            <filter val="93.24%"/>
            <filter val="30%"/>
            <filter val="62.57%"/>
            <filter val="92.33%"/>
            <filter val="63.40%"/>
            <filter val="46.00%"/>
            <filter val="31.93%"/>
            <filter val="89.92%"/>
            <filter val="50.00%"/>
            <filter val="93.00%"/>
            <filter val="53.00%"/>
            <filter val="69.83%"/>
            <filter val="34.55%"/>
            <filter val="10.00%"/>
            <filter val="79%"/>
            <filter val="96.00%"/>
            <filter val="43%"/>
            <filter val="31%"/>
            <filter val="12.41%"/>
            <filter val="19.00%"/>
            <filter val="21.33%"/>
            <filter val="16.03%"/>
            <filter val="43.00%"/>
            <filter val="30.30%"/>
            <filter val="87.72%"/>
            <filter val="4.00%"/>
            <filter val="81.25%"/>
            <filter val="71.81%"/>
            <filter val="74.34%"/>
            <filter val="68%"/>
            <filter val="20%"/>
            <filter val="93.02%"/>
            <filter val="25.00%"/>
            <filter val="56.56%"/>
            <filter val="68.00%"/>
            <filter val="12.88%"/>
            <filter val="25.91%"/>
            <filter val="38.95%"/>
            <filter val="44.83%"/>
            <filter val="48.17%"/>
            <filter val="69%"/>
            <filter val="47.11%"/>
            <filter val="57%"/>
            <filter val="21%"/>
            <filter val="15.00%"/>
            <filter val="79.34%"/>
            <filter val="32.00%"/>
            <filter val="14.32%"/>
            <filter val="47.00%"/>
            <filter val="46%"/>
            <filter val="34%"/>
            <filter val="10%"/>
            <filter val="29.31%"/>
            <filter val="21.00%"/>
            <filter val="64.00%"/>
            <filter val="90%"/>
            <filter val="60.26%"/>
            <filter val="54.38%"/>
            <filter val="57.33%"/>
            <filter val="0%"/>
            <filter val="18.67%"/>
            <filter val="14.45%"/>
            <filter val="69.81%"/>
          </filters>
        </filterColumn>
      </autoFilter>
    </customSheetView>
  </customSheetViews>
  <mergeCells count="54">
    <mergeCell ref="AE78:AI78"/>
    <mergeCell ref="AF120:AI120"/>
    <mergeCell ref="AF158:AI158"/>
    <mergeCell ref="AF171:AI171"/>
    <mergeCell ref="AF172:AI172"/>
    <mergeCell ref="AF179:AI179"/>
    <mergeCell ref="AF198:AI198"/>
    <mergeCell ref="AG199:AI199"/>
    <mergeCell ref="AF209:AI209"/>
    <mergeCell ref="AF210:AI210"/>
    <mergeCell ref="AF211:AI211"/>
    <mergeCell ref="AF219:AI219"/>
    <mergeCell ref="AF234:AI234"/>
    <mergeCell ref="AF262:AI262"/>
    <mergeCell ref="AF302:AI302"/>
    <mergeCell ref="AF315:AI315"/>
    <mergeCell ref="AF316:AI316"/>
    <mergeCell ref="AF322:AI322"/>
    <mergeCell ref="AF326:AI326"/>
    <mergeCell ref="AF331:AI331"/>
    <mergeCell ref="AF333:AI333"/>
    <mergeCell ref="AF334:AI334"/>
    <mergeCell ref="AF335:AI335"/>
    <mergeCell ref="AF336:AI336"/>
    <mergeCell ref="AF348:AI348"/>
    <mergeCell ref="AF356:AI356"/>
    <mergeCell ref="AF392:AI392"/>
    <mergeCell ref="AF400:AI400"/>
    <mergeCell ref="AF409:AI409"/>
    <mergeCell ref="AF414:AI414"/>
    <mergeCell ref="AF443:AI443"/>
    <mergeCell ref="AF454:AI454"/>
    <mergeCell ref="AF455:AI455"/>
    <mergeCell ref="AE470:AF470"/>
    <mergeCell ref="AF481:AI481"/>
    <mergeCell ref="AF516:AI516"/>
    <mergeCell ref="AE522:AF522"/>
    <mergeCell ref="AF525:AI525"/>
    <mergeCell ref="AF526:AI526"/>
    <mergeCell ref="AF530:AI530"/>
    <mergeCell ref="AF542:AI542"/>
    <mergeCell ref="AF553:AI553"/>
    <mergeCell ref="AE811:AF811"/>
    <mergeCell ref="AE812:AF812"/>
    <mergeCell ref="AE814:AF814"/>
    <mergeCell ref="AE815:AF815"/>
    <mergeCell ref="AE819:AF819"/>
    <mergeCell ref="AF554:AI554"/>
    <mergeCell ref="AF570:AI570"/>
    <mergeCell ref="AE802:AF802"/>
    <mergeCell ref="AE804:AF804"/>
    <mergeCell ref="AE807:AF807"/>
    <mergeCell ref="AE809:AF809"/>
    <mergeCell ref="AE810:AF810"/>
  </mergeCells>
  <conditionalFormatting sqref="A1:A43 A45:A532 A534:A754 B720:B754 A756:A770 B756:B759 A772:A2024 B774:B783 C779:C780 B785 B799:B815 B817 B836 B850">
    <cfRule type="expression" dxfId="0" priority="1">
      <formula>"countif(A:A,A1)&gt;1"</formula>
    </cfRule>
  </conditionalFormatting>
  <conditionalFormatting sqref="AC1:AC991 AC1023:AC2024 AD1041 AD1043 AD1045">
    <cfRule type="cellIs" dxfId="1" priority="2" operator="equal">
      <formula>0</formula>
    </cfRule>
  </conditionalFormatting>
  <hyperlinks>
    <hyperlink r:id="rId2" ref="AE5"/>
    <hyperlink r:id="rId3" ref="AE6"/>
    <hyperlink r:id="rId4" ref="AE8"/>
    <hyperlink r:id="rId5" ref="AE9"/>
    <hyperlink r:id="rId6" ref="AE10"/>
    <hyperlink r:id="rId7" ref="AE11"/>
    <hyperlink r:id="rId8" ref="AE12"/>
    <hyperlink r:id="rId9" ref="AE13"/>
    <hyperlink r:id="rId10" ref="AE14"/>
    <hyperlink r:id="rId11" ref="AE15"/>
    <hyperlink r:id="rId12" ref="AE16"/>
    <hyperlink r:id="rId13" ref="AE17"/>
    <hyperlink r:id="rId14" ref="AE18"/>
    <hyperlink r:id="rId15" ref="AE19"/>
    <hyperlink r:id="rId16" ref="AE20"/>
    <hyperlink r:id="rId17" ref="AE21"/>
    <hyperlink r:id="rId18" ref="AE22"/>
    <hyperlink r:id="rId19" ref="AE23"/>
    <hyperlink r:id="rId20" ref="AE24"/>
    <hyperlink r:id="rId21" ref="AE25"/>
    <hyperlink r:id="rId22" ref="AE26"/>
    <hyperlink r:id="rId23" ref="AE28"/>
    <hyperlink r:id="rId24" ref="AE30"/>
    <hyperlink r:id="rId25" ref="AE32"/>
    <hyperlink r:id="rId26" ref="AE35"/>
    <hyperlink r:id="rId27" location=":" ref="AE36"/>
    <hyperlink r:id="rId28" ref="AE39"/>
    <hyperlink r:id="rId29" ref="AE40"/>
    <hyperlink r:id="rId30" ref="AE44"/>
    <hyperlink r:id="rId31" ref="AE47"/>
    <hyperlink r:id="rId32" ref="AE48"/>
    <hyperlink r:id="rId33" location=":~:text=Construction%20began%20in%202011%2C%20when,to%20at%20least%20%2412.8%20billion." ref="AE49"/>
    <hyperlink r:id="rId34" ref="AE50"/>
    <hyperlink r:id="rId35" ref="AE51"/>
    <hyperlink r:id="rId36" ref="AE52"/>
    <hyperlink r:id="rId37" ref="AE53"/>
    <hyperlink r:id="rId38" ref="AE54"/>
    <hyperlink r:id="rId39" ref="AE60"/>
    <hyperlink r:id="rId40" ref="AF60"/>
    <hyperlink r:id="rId41" ref="AE61"/>
    <hyperlink r:id="rId42" ref="AE62"/>
    <hyperlink r:id="rId43" location="federation=archive.wikiwix.com&amp;tab=url" ref="AE63"/>
    <hyperlink r:id="rId44" ref="AE64"/>
    <hyperlink r:id="rId45" ref="AE65"/>
    <hyperlink r:id="rId46" ref="AE66"/>
    <hyperlink r:id="rId47" ref="AE67"/>
    <hyperlink r:id="rId48" ref="AE68"/>
    <hyperlink r:id="rId49" ref="AE69"/>
    <hyperlink r:id="rId50" ref="AE70"/>
    <hyperlink r:id="rId51" ref="AE71"/>
    <hyperlink r:id="rId52" ref="AE72"/>
    <hyperlink r:id="rId53" ref="AE74"/>
    <hyperlink r:id="rId54" ref="AE75"/>
    <hyperlink r:id="rId55" location="%E4%BA%8C%E6%9C%9F%E5%B7%A5%E7%A8%8B" ref="AE76"/>
    <hyperlink r:id="rId56" location="%E4%BA%8C%E6%9C%9F%E5%B7%A5%E7%A8%8B" ref="AE77"/>
    <hyperlink r:id="rId57" ref="AE78"/>
    <hyperlink r:id="rId58" ref="AE79"/>
    <hyperlink r:id="rId59" ref="AE80"/>
    <hyperlink r:id="rId60" ref="AE81"/>
    <hyperlink r:id="rId61" ref="AE82"/>
    <hyperlink r:id="rId62" ref="AE83"/>
    <hyperlink r:id="rId63" ref="AE84"/>
    <hyperlink r:id="rId64" ref="AE86"/>
    <hyperlink r:id="rId65" location="%E4%B8%89%E6%9C%9F%E5%8F%8A%E5%9B%9B%E6%9C%9F%E5%B7%A5%E7%A8%8B" ref="AE87"/>
    <hyperlink r:id="rId66" ref="AE88"/>
    <hyperlink r:id="rId67" ref="AE89"/>
    <hyperlink r:id="rId68" ref="AE90"/>
    <hyperlink r:id="rId69" ref="AE91"/>
    <hyperlink r:id="rId70" ref="AE94"/>
    <hyperlink r:id="rId71" ref="AE95"/>
    <hyperlink r:id="rId72" ref="AE97"/>
    <hyperlink r:id="rId73" ref="AE98"/>
    <hyperlink r:id="rId74" ref="AE99"/>
    <hyperlink r:id="rId75" ref="AE100"/>
    <hyperlink r:id="rId76" ref="AE102"/>
    <hyperlink r:id="rId77" ref="AE103"/>
    <hyperlink r:id="rId78" ref="AE104"/>
    <hyperlink r:id="rId79" ref="AE106"/>
    <hyperlink r:id="rId80" ref="AE107"/>
    <hyperlink r:id="rId81" ref="AE108"/>
    <hyperlink r:id="rId82" ref="AE109"/>
    <hyperlink r:id="rId83" ref="AE110"/>
    <hyperlink r:id="rId84" ref="AE111"/>
    <hyperlink r:id="rId85" ref="AE112"/>
    <hyperlink r:id="rId86" ref="AE113"/>
    <hyperlink r:id="rId87" ref="AE115"/>
    <hyperlink r:id="rId88" ref="AE116"/>
    <hyperlink r:id="rId89" ref="AE117"/>
    <hyperlink r:id="rId90" ref="AE118"/>
    <hyperlink r:id="rId91" ref="AE119"/>
    <hyperlink r:id="rId92" ref="AE120"/>
    <hyperlink r:id="rId93" ref="AF120"/>
    <hyperlink r:id="rId94" ref="AE121"/>
    <hyperlink r:id="rId95" ref="AE122"/>
    <hyperlink r:id="rId96" ref="AE123"/>
    <hyperlink r:id="rId97" ref="AE124"/>
    <hyperlink r:id="rId98" ref="AE125"/>
    <hyperlink r:id="rId99" ref="AE126"/>
    <hyperlink r:id="rId100" ref="AE127"/>
    <hyperlink r:id="rId101" ref="AE128"/>
    <hyperlink r:id="rId102" ref="AE129"/>
    <hyperlink r:id="rId103" ref="AE130"/>
    <hyperlink r:id="rId104" ref="AE131"/>
    <hyperlink r:id="rId105" ref="AE132"/>
    <hyperlink r:id="rId106" ref="AE133"/>
    <hyperlink r:id="rId107" ref="AE134"/>
    <hyperlink r:id="rId108" ref="AE135"/>
    <hyperlink r:id="rId109" ref="AE136"/>
    <hyperlink r:id="rId110" ref="AE137"/>
    <hyperlink r:id="rId111" ref="AE138"/>
    <hyperlink r:id="rId112" ref="AE139"/>
    <hyperlink r:id="rId113" ref="AE140"/>
    <hyperlink r:id="rId114" ref="AE141"/>
    <hyperlink r:id="rId115" ref="AE142"/>
    <hyperlink r:id="rId116" ref="AE143"/>
    <hyperlink r:id="rId117" ref="AE144"/>
    <hyperlink r:id="rId118" ref="AE145"/>
    <hyperlink r:id="rId119" ref="AE146"/>
    <hyperlink r:id="rId120" ref="AE147"/>
    <hyperlink r:id="rId121" ref="AE148"/>
    <hyperlink r:id="rId122" ref="AE149"/>
    <hyperlink r:id="rId123" ref="AE150"/>
    <hyperlink r:id="rId124" ref="AE151"/>
    <hyperlink r:id="rId125" ref="AE152"/>
    <hyperlink r:id="rId126" ref="AE153"/>
    <hyperlink r:id="rId127" ref="AE154"/>
    <hyperlink r:id="rId128" ref="AE155"/>
    <hyperlink r:id="rId129" ref="AF155"/>
    <hyperlink r:id="rId130" ref="AE156"/>
    <hyperlink r:id="rId131" ref="AF156"/>
    <hyperlink r:id="rId132" ref="AE157"/>
    <hyperlink r:id="rId133" ref="AE158"/>
    <hyperlink r:id="rId134" ref="AF158"/>
    <hyperlink r:id="rId135" ref="AE159"/>
    <hyperlink r:id="rId136" ref="AE160"/>
    <hyperlink r:id="rId137" ref="AE161"/>
    <hyperlink r:id="rId138" ref="AE162"/>
    <hyperlink r:id="rId139" ref="AE163"/>
    <hyperlink r:id="rId140" ref="AE164"/>
    <hyperlink r:id="rId141" ref="AE165"/>
    <hyperlink r:id="rId142" ref="AE166"/>
    <hyperlink r:id="rId143" ref="AE167"/>
    <hyperlink r:id="rId144" ref="AE168"/>
    <hyperlink r:id="rId145" ref="AF168"/>
    <hyperlink r:id="rId146" ref="AE169"/>
    <hyperlink r:id="rId147" ref="AE170"/>
    <hyperlink r:id="rId148" ref="AF170"/>
    <hyperlink r:id="rId149" ref="AE171"/>
    <hyperlink r:id="rId150" ref="AF171"/>
    <hyperlink r:id="rId151" ref="AE172"/>
    <hyperlink r:id="rId152" ref="AF172"/>
    <hyperlink r:id="rId153" ref="AE173"/>
    <hyperlink r:id="rId154" ref="AE174"/>
    <hyperlink r:id="rId155" ref="AE175"/>
    <hyperlink r:id="rId156" ref="AE176"/>
    <hyperlink r:id="rId157" ref="AE177"/>
    <hyperlink r:id="rId158" ref="AE178"/>
    <hyperlink r:id="rId159" ref="AF178"/>
    <hyperlink r:id="rId160" ref="AG178"/>
    <hyperlink r:id="rId161" ref="AE179"/>
    <hyperlink r:id="rId162" ref="AF179"/>
    <hyperlink r:id="rId163" ref="AE180"/>
    <hyperlink r:id="rId164" ref="AE181"/>
    <hyperlink r:id="rId165" ref="AE182"/>
    <hyperlink r:id="rId166" ref="AE183"/>
    <hyperlink r:id="rId167" ref="AE184"/>
    <hyperlink r:id="rId168" ref="AE185"/>
    <hyperlink r:id="rId169" ref="AE186"/>
    <hyperlink r:id="rId170" ref="AE187"/>
    <hyperlink r:id="rId171" ref="AE188"/>
    <hyperlink r:id="rId172" ref="AE189"/>
    <hyperlink r:id="rId173" ref="AE190"/>
    <hyperlink r:id="rId174" ref="AE191"/>
    <hyperlink r:id="rId175" ref="AE192"/>
    <hyperlink r:id="rId176" ref="AE193"/>
    <hyperlink r:id="rId177" ref="AE194"/>
    <hyperlink r:id="rId178" ref="AE195"/>
    <hyperlink r:id="rId179" ref="AE196"/>
    <hyperlink r:id="rId180" ref="AE197"/>
    <hyperlink r:id="rId181" ref="AE198"/>
    <hyperlink r:id="rId182" ref="AF198"/>
    <hyperlink r:id="rId183" ref="AE199"/>
    <hyperlink r:id="rId184" ref="AF199"/>
    <hyperlink r:id="rId185" ref="AG199"/>
    <hyperlink r:id="rId186" ref="AE200"/>
    <hyperlink r:id="rId187" ref="AE201"/>
    <hyperlink r:id="rId188" ref="AE202"/>
    <hyperlink r:id="rId189" ref="AE203"/>
    <hyperlink r:id="rId190" ref="AE204"/>
    <hyperlink r:id="rId191" ref="AF204"/>
    <hyperlink r:id="rId192" ref="AE205"/>
    <hyperlink r:id="rId193" ref="AE206"/>
    <hyperlink r:id="rId194" ref="AF206"/>
    <hyperlink r:id="rId195" ref="AE207"/>
    <hyperlink r:id="rId196" ref="AE208"/>
    <hyperlink r:id="rId197" ref="AE209"/>
    <hyperlink r:id="rId198" ref="AF209"/>
    <hyperlink r:id="rId199" ref="AE210"/>
    <hyperlink r:id="rId200" ref="AF210"/>
    <hyperlink r:id="rId201" ref="AE211"/>
    <hyperlink r:id="rId202" ref="AF211"/>
    <hyperlink r:id="rId203" ref="AE212"/>
    <hyperlink r:id="rId204" ref="AE213"/>
    <hyperlink r:id="rId205" ref="AE214"/>
    <hyperlink r:id="rId206" ref="AE215"/>
    <hyperlink r:id="rId207" ref="AE216"/>
    <hyperlink r:id="rId208" ref="AE217"/>
    <hyperlink r:id="rId209" ref="AE218"/>
    <hyperlink r:id="rId210" ref="AE219"/>
    <hyperlink r:id="rId211" ref="AF219"/>
    <hyperlink r:id="rId212" ref="AE220"/>
    <hyperlink r:id="rId213" ref="AE221"/>
    <hyperlink r:id="rId214" ref="AE222"/>
    <hyperlink r:id="rId215" ref="AE223"/>
    <hyperlink r:id="rId216" ref="AE224"/>
    <hyperlink r:id="rId217" ref="AE225"/>
    <hyperlink r:id="rId218" ref="AE226"/>
    <hyperlink r:id="rId219" ref="AE227"/>
    <hyperlink r:id="rId220" ref="AE228"/>
    <hyperlink r:id="rId221" ref="AE229"/>
    <hyperlink r:id="rId222" ref="AE230"/>
    <hyperlink r:id="rId223" ref="AE231"/>
    <hyperlink r:id="rId224" ref="AE232"/>
    <hyperlink r:id="rId225" ref="AE233"/>
    <hyperlink r:id="rId226" ref="AE234"/>
    <hyperlink r:id="rId227" ref="AF234"/>
    <hyperlink r:id="rId228" ref="AE235"/>
    <hyperlink r:id="rId229" ref="AE236"/>
    <hyperlink r:id="rId230" ref="AE237"/>
    <hyperlink r:id="rId231" ref="AE238"/>
    <hyperlink r:id="rId232" ref="AE239"/>
    <hyperlink r:id="rId233" location="reference-[2]-15957490-wrap" ref="AE240"/>
    <hyperlink r:id="rId234" ref="AE241"/>
    <hyperlink r:id="rId235" ref="AE243"/>
    <hyperlink r:id="rId236" ref="AE244"/>
    <hyperlink r:id="rId237" ref="AE245"/>
    <hyperlink r:id="rId238" ref="AE246"/>
    <hyperlink r:id="rId239" ref="AE247"/>
    <hyperlink r:id="rId240" ref="AE248"/>
    <hyperlink r:id="rId241" ref="AE249"/>
    <hyperlink r:id="rId242" ref="AE250"/>
    <hyperlink r:id="rId243" ref="AE251"/>
    <hyperlink r:id="rId244" ref="AE252"/>
    <hyperlink r:id="rId245" ref="AE253"/>
    <hyperlink r:id="rId246" ref="AE254"/>
    <hyperlink r:id="rId247" ref="AE255"/>
    <hyperlink r:id="rId248" ref="AE256"/>
    <hyperlink r:id="rId249" ref="AE257"/>
    <hyperlink r:id="rId250" ref="AE258"/>
    <hyperlink r:id="rId251" ref="AE259"/>
    <hyperlink r:id="rId252" ref="AE260"/>
    <hyperlink r:id="rId253" ref="AE261"/>
    <hyperlink r:id="rId254" ref="AE262"/>
    <hyperlink r:id="rId255" ref="AF262"/>
    <hyperlink r:id="rId256" ref="AE263"/>
    <hyperlink r:id="rId257" ref="AE264"/>
    <hyperlink r:id="rId258" ref="AE265"/>
    <hyperlink r:id="rId259" ref="AE266"/>
    <hyperlink r:id="rId260" ref="AE267"/>
    <hyperlink r:id="rId261" ref="AE268"/>
    <hyperlink r:id="rId262" ref="AE269"/>
    <hyperlink r:id="rId263" ref="AE270"/>
    <hyperlink r:id="rId264" ref="AE271"/>
    <hyperlink r:id="rId265" ref="AE272"/>
    <hyperlink r:id="rId266" ref="AE273"/>
    <hyperlink r:id="rId267" ref="AE274"/>
    <hyperlink r:id="rId268" ref="AE275"/>
    <hyperlink r:id="rId269" ref="AE276"/>
    <hyperlink r:id="rId270" ref="AE277"/>
    <hyperlink r:id="rId271" ref="AE278"/>
    <hyperlink r:id="rId272" ref="AE279"/>
    <hyperlink r:id="rId273" ref="AE280"/>
    <hyperlink r:id="rId274" ref="AE281"/>
    <hyperlink r:id="rId275" ref="AE282"/>
    <hyperlink r:id="rId276" ref="AE283"/>
    <hyperlink r:id="rId277" ref="AE284"/>
    <hyperlink r:id="rId278" ref="AE285"/>
    <hyperlink r:id="rId279" ref="AE286"/>
    <hyperlink r:id="rId280" ref="AE287"/>
    <hyperlink r:id="rId281" ref="AE288"/>
    <hyperlink r:id="rId282" ref="AE289"/>
    <hyperlink r:id="rId283" ref="AE290"/>
    <hyperlink r:id="rId284" ref="AF290"/>
    <hyperlink r:id="rId285" ref="AE291"/>
    <hyperlink r:id="rId286" ref="AE292"/>
    <hyperlink r:id="rId287" ref="AE293"/>
    <hyperlink r:id="rId288" ref="AE294"/>
    <hyperlink r:id="rId289" ref="AE295"/>
    <hyperlink r:id="rId290" ref="AE296"/>
    <hyperlink r:id="rId291" ref="AE297"/>
    <hyperlink r:id="rId292" ref="AE298"/>
    <hyperlink r:id="rId293" ref="AE299"/>
    <hyperlink r:id="rId294" ref="AE300"/>
    <hyperlink r:id="rId295" ref="AE301"/>
    <hyperlink r:id="rId296" ref="AE302"/>
    <hyperlink r:id="rId297" ref="AF302"/>
    <hyperlink r:id="rId298" ref="AE303"/>
    <hyperlink r:id="rId299" ref="AE304"/>
    <hyperlink r:id="rId300" ref="AE305"/>
    <hyperlink r:id="rId301" ref="AE306"/>
    <hyperlink r:id="rId302" ref="AE307"/>
    <hyperlink r:id="rId303" ref="AE308"/>
    <hyperlink r:id="rId304" ref="AE309"/>
    <hyperlink r:id="rId305" ref="AE310"/>
    <hyperlink r:id="rId306" ref="AE311"/>
    <hyperlink r:id="rId307" ref="AE312"/>
    <hyperlink r:id="rId308" ref="AE313"/>
    <hyperlink r:id="rId309" ref="AE314"/>
    <hyperlink r:id="rId310" ref="AE315"/>
    <hyperlink r:id="rId311" ref="AF315"/>
    <hyperlink r:id="rId312" ref="AE316"/>
    <hyperlink r:id="rId313" ref="AF316"/>
    <hyperlink r:id="rId314" ref="AE317"/>
    <hyperlink r:id="rId315" ref="AE318"/>
    <hyperlink r:id="rId316" ref="AE319"/>
    <hyperlink r:id="rId317" ref="AE320"/>
    <hyperlink r:id="rId318" ref="AE321"/>
    <hyperlink r:id="rId319" ref="AE322"/>
    <hyperlink r:id="rId320" ref="AF322"/>
    <hyperlink r:id="rId321" ref="AE323"/>
    <hyperlink r:id="rId322" ref="AE324"/>
    <hyperlink r:id="rId323" ref="AE325"/>
    <hyperlink r:id="rId324" ref="AE326"/>
    <hyperlink r:id="rId325" ref="AF326"/>
    <hyperlink r:id="rId326" ref="AE327"/>
    <hyperlink r:id="rId327" ref="AE328"/>
    <hyperlink r:id="rId328" ref="AE329"/>
    <hyperlink r:id="rId329" ref="AE330"/>
    <hyperlink r:id="rId330" ref="AE331"/>
    <hyperlink r:id="rId331" ref="AF331"/>
    <hyperlink r:id="rId332" ref="AE332"/>
    <hyperlink r:id="rId333" ref="AE333"/>
    <hyperlink r:id="rId334" ref="AF333"/>
    <hyperlink r:id="rId335" ref="AE334"/>
    <hyperlink r:id="rId336" ref="AF334"/>
    <hyperlink r:id="rId337" ref="AE335"/>
    <hyperlink r:id="rId338" ref="AF335"/>
    <hyperlink r:id="rId339" ref="AE336"/>
    <hyperlink r:id="rId340" ref="AF336"/>
    <hyperlink r:id="rId341" ref="AE337"/>
    <hyperlink r:id="rId342" ref="AE338"/>
    <hyperlink r:id="rId343" ref="AE339"/>
    <hyperlink r:id="rId344" ref="AE340"/>
    <hyperlink r:id="rId345" ref="AE341"/>
    <hyperlink r:id="rId346" ref="AE342"/>
    <hyperlink r:id="rId347" ref="AE343"/>
    <hyperlink r:id="rId348" ref="AE344"/>
    <hyperlink r:id="rId349" ref="AE345"/>
    <hyperlink r:id="rId350" ref="AE346"/>
    <hyperlink r:id="rId351" ref="AE347"/>
    <hyperlink r:id="rId352" ref="AE348"/>
    <hyperlink r:id="rId353" ref="AF348"/>
    <hyperlink r:id="rId354" ref="AE349"/>
    <hyperlink r:id="rId355" ref="AE350"/>
    <hyperlink r:id="rId356" ref="AE351"/>
    <hyperlink r:id="rId357" ref="AE352"/>
    <hyperlink r:id="rId358" ref="AE353"/>
    <hyperlink r:id="rId359" ref="AE354"/>
    <hyperlink r:id="rId360" ref="AE355"/>
    <hyperlink r:id="rId361" ref="AE356"/>
    <hyperlink r:id="rId362" ref="AF356"/>
    <hyperlink r:id="rId363" ref="AE357"/>
    <hyperlink r:id="rId364" ref="AE358"/>
    <hyperlink r:id="rId365" ref="AE359"/>
    <hyperlink r:id="rId366" ref="AE360"/>
    <hyperlink r:id="rId367" ref="AF360"/>
    <hyperlink r:id="rId368" ref="AE361"/>
    <hyperlink r:id="rId369" ref="AF361"/>
    <hyperlink r:id="rId370" ref="AE362"/>
    <hyperlink r:id="rId371" ref="AF362"/>
    <hyperlink r:id="rId372" ref="AE363"/>
    <hyperlink r:id="rId373" ref="AE364"/>
    <hyperlink r:id="rId374" ref="AF364"/>
    <hyperlink r:id="rId375" ref="AE365"/>
    <hyperlink r:id="rId376" ref="AE366"/>
    <hyperlink r:id="rId377" ref="AE367"/>
    <hyperlink r:id="rId378" ref="AF367"/>
    <hyperlink r:id="rId379" ref="AE368"/>
    <hyperlink r:id="rId380" ref="AE369"/>
    <hyperlink r:id="rId381" ref="AE370"/>
    <hyperlink r:id="rId382" ref="AE371"/>
    <hyperlink r:id="rId383" ref="AE372"/>
    <hyperlink r:id="rId384" ref="AE373"/>
    <hyperlink r:id="rId385" ref="AE374"/>
    <hyperlink r:id="rId386" ref="AE375"/>
    <hyperlink r:id="rId387" ref="AE376"/>
    <hyperlink r:id="rId388" ref="AE377"/>
    <hyperlink r:id="rId389" ref="AE378"/>
    <hyperlink r:id="rId390" ref="AE379"/>
    <hyperlink r:id="rId391" ref="AE380"/>
    <hyperlink r:id="rId392" ref="AE381"/>
    <hyperlink r:id="rId393" ref="AE382"/>
    <hyperlink r:id="rId394" ref="AE383"/>
    <hyperlink r:id="rId395" ref="AE384"/>
    <hyperlink r:id="rId396" ref="AE385"/>
    <hyperlink r:id="rId397" ref="AE386"/>
    <hyperlink r:id="rId398" ref="AE387"/>
    <hyperlink r:id="rId399" ref="AE388"/>
    <hyperlink r:id="rId400" ref="AE389"/>
    <hyperlink r:id="rId401" ref="AE391"/>
    <hyperlink r:id="rId402" ref="AE392"/>
    <hyperlink r:id="rId403" ref="AF392"/>
    <hyperlink r:id="rId404" ref="AE393"/>
    <hyperlink r:id="rId405" location="cite_note-4" ref="AE394"/>
    <hyperlink r:id="rId406" ref="AE395"/>
    <hyperlink r:id="rId407" ref="AE396"/>
    <hyperlink r:id="rId408" ref="AE397"/>
    <hyperlink r:id="rId409" ref="AE398"/>
    <hyperlink r:id="rId410" ref="AE399"/>
    <hyperlink r:id="rId411" ref="AE400"/>
    <hyperlink r:id="rId412" ref="AF400"/>
    <hyperlink r:id="rId413" ref="AE401"/>
    <hyperlink r:id="rId414" ref="AE402"/>
    <hyperlink r:id="rId415" ref="AE403"/>
    <hyperlink r:id="rId416" ref="AE404"/>
    <hyperlink r:id="rId417" ref="AE406"/>
    <hyperlink r:id="rId418" ref="AE408"/>
    <hyperlink r:id="rId419" ref="AE409"/>
    <hyperlink r:id="rId420" ref="AF409"/>
    <hyperlink r:id="rId421" ref="AE410"/>
    <hyperlink r:id="rId422" ref="AE411"/>
    <hyperlink r:id="rId423" ref="AE412"/>
    <hyperlink r:id="rId424" ref="AE413"/>
    <hyperlink r:id="rId425" ref="AE414"/>
    <hyperlink r:id="rId426" ref="AF414"/>
    <hyperlink r:id="rId427" ref="AE415"/>
    <hyperlink r:id="rId428" ref="AE417"/>
    <hyperlink r:id="rId429" ref="AE418"/>
    <hyperlink r:id="rId430" ref="AE419"/>
    <hyperlink r:id="rId431" ref="AE420"/>
    <hyperlink r:id="rId432" ref="AE421"/>
    <hyperlink r:id="rId433" ref="AE422"/>
    <hyperlink r:id="rId434" ref="AE423"/>
    <hyperlink r:id="rId435" ref="AE424"/>
    <hyperlink r:id="rId436" ref="AE425"/>
    <hyperlink r:id="rId437" ref="AE426"/>
    <hyperlink r:id="rId438" ref="AE427"/>
    <hyperlink r:id="rId439" ref="AE429"/>
    <hyperlink r:id="rId440" ref="AE430"/>
    <hyperlink r:id="rId441" ref="AE431"/>
    <hyperlink r:id="rId442" ref="AE432"/>
    <hyperlink r:id="rId443" ref="AE433"/>
    <hyperlink r:id="rId444" ref="AE434"/>
    <hyperlink r:id="rId445" ref="AE435"/>
    <hyperlink r:id="rId446" ref="AE436"/>
    <hyperlink r:id="rId447" ref="AE437"/>
    <hyperlink r:id="rId448" ref="AE438"/>
    <hyperlink r:id="rId449" ref="AE439"/>
    <hyperlink r:id="rId450" ref="AE440"/>
    <hyperlink r:id="rId451" ref="AE441"/>
    <hyperlink r:id="rId452" ref="AE442"/>
    <hyperlink r:id="rId453" ref="AE443"/>
    <hyperlink r:id="rId454" location="2647" ref="AF443"/>
    <hyperlink r:id="rId455" ref="AE444"/>
    <hyperlink r:id="rId456" ref="AE445"/>
    <hyperlink r:id="rId457" ref="AE446"/>
    <hyperlink r:id="rId458" ref="AE447"/>
    <hyperlink r:id="rId459" ref="AE448"/>
    <hyperlink r:id="rId460" ref="AE449"/>
    <hyperlink r:id="rId461" ref="AE450"/>
    <hyperlink r:id="rId462" ref="AE451"/>
    <hyperlink r:id="rId463" ref="AE452"/>
    <hyperlink r:id="rId464" ref="AE453"/>
    <hyperlink r:id="rId465" ref="AE454"/>
    <hyperlink r:id="rId466" ref="AF454"/>
    <hyperlink r:id="rId467" ref="AE455"/>
    <hyperlink r:id="rId468" ref="AF455"/>
    <hyperlink r:id="rId469" ref="AE456"/>
    <hyperlink r:id="rId470" ref="AE457"/>
    <hyperlink r:id="rId471" ref="AE458"/>
    <hyperlink r:id="rId472" ref="AE459"/>
    <hyperlink r:id="rId473" ref="AE460"/>
    <hyperlink r:id="rId474" ref="AE461"/>
    <hyperlink r:id="rId475" ref="AE462"/>
    <hyperlink r:id="rId476" ref="AE463"/>
    <hyperlink r:id="rId477" ref="AE464"/>
    <hyperlink r:id="rId478" ref="AE465"/>
    <hyperlink r:id="rId479" ref="AE466"/>
    <hyperlink r:id="rId480" ref="AE467"/>
    <hyperlink r:id="rId481" ref="AE468"/>
    <hyperlink r:id="rId482" ref="AE469"/>
    <hyperlink r:id="rId483" ref="AE470"/>
    <hyperlink r:id="rId484" ref="AE471"/>
    <hyperlink r:id="rId485" ref="AF471"/>
    <hyperlink r:id="rId486" ref="AE472"/>
    <hyperlink r:id="rId487" ref="AE473"/>
    <hyperlink r:id="rId488" ref="AE474"/>
    <hyperlink r:id="rId489" ref="AE475"/>
    <hyperlink r:id="rId490" ref="AE476"/>
    <hyperlink r:id="rId491" ref="AE477"/>
    <hyperlink r:id="rId492" ref="AE478"/>
    <hyperlink r:id="rId493" ref="AE479"/>
    <hyperlink r:id="rId494" ref="AE480"/>
    <hyperlink r:id="rId495" ref="AE481"/>
    <hyperlink r:id="rId496" ref="AF481"/>
    <hyperlink r:id="rId497" ref="AE482"/>
    <hyperlink r:id="rId498" ref="AE483"/>
    <hyperlink r:id="rId499" ref="AE484"/>
    <hyperlink r:id="rId500" ref="AE485"/>
    <hyperlink r:id="rId501" ref="AE486"/>
    <hyperlink r:id="rId502" ref="AE487"/>
    <hyperlink r:id="rId503" ref="AE488"/>
    <hyperlink r:id="rId504" ref="AE491"/>
    <hyperlink r:id="rId505" ref="AE493"/>
    <hyperlink r:id="rId506" location="一期工程" ref="AE494"/>
    <hyperlink r:id="rId507" ref="AE495"/>
    <hyperlink r:id="rId508" ref="AE496"/>
    <hyperlink r:id="rId509" ref="AE497"/>
    <hyperlink r:id="rId510" ref="AE498"/>
    <hyperlink r:id="rId511" ref="AE499"/>
    <hyperlink r:id="rId512" ref="AE500"/>
    <hyperlink r:id="rId513" ref="AE501"/>
    <hyperlink r:id="rId514" ref="AE502"/>
    <hyperlink r:id="rId515" location="%E4%B8%80%E6%9C%9F%E5%B7%A5%E7%A8%8B" ref="AE503"/>
    <hyperlink r:id="rId516" ref="AE504"/>
    <hyperlink r:id="rId517" ref="AE505"/>
    <hyperlink r:id="rId518" ref="AF505"/>
    <hyperlink r:id="rId519" ref="AE506"/>
    <hyperlink r:id="rId520" ref="AE507"/>
    <hyperlink r:id="rId521" ref="AE508"/>
    <hyperlink r:id="rId522" ref="AE509"/>
    <hyperlink r:id="rId523" ref="AE510"/>
    <hyperlink r:id="rId524" ref="AE511"/>
    <hyperlink r:id="rId525" ref="AE512"/>
    <hyperlink r:id="rId526" ref="AE513"/>
    <hyperlink r:id="rId527" ref="AE514"/>
    <hyperlink r:id="rId528" ref="AE515"/>
    <hyperlink r:id="rId529" ref="AE516"/>
    <hyperlink r:id="rId530" ref="AF516"/>
    <hyperlink r:id="rId531" ref="AE517"/>
    <hyperlink r:id="rId532" ref="AE518"/>
    <hyperlink r:id="rId533" ref="AE519"/>
    <hyperlink r:id="rId534" ref="AE520"/>
    <hyperlink r:id="rId535" ref="AE521"/>
    <hyperlink r:id="rId536" ref="AE522"/>
    <hyperlink r:id="rId537" ref="AE523"/>
    <hyperlink r:id="rId538" ref="AE524"/>
    <hyperlink r:id="rId539" ref="AE525"/>
    <hyperlink r:id="rId540" ref="AF525"/>
    <hyperlink r:id="rId541" ref="AE526"/>
    <hyperlink r:id="rId542" ref="AF526"/>
    <hyperlink r:id="rId543" ref="AE527"/>
    <hyperlink r:id="rId544" ref="AE528"/>
    <hyperlink r:id="rId545" ref="AE529"/>
    <hyperlink r:id="rId546" ref="AE530"/>
    <hyperlink r:id="rId547" ref="AF530"/>
    <hyperlink r:id="rId548" ref="AE531"/>
    <hyperlink r:id="rId549" ref="AE532"/>
    <hyperlink r:id="rId550" ref="AE533"/>
    <hyperlink r:id="rId551" ref="AE534"/>
    <hyperlink r:id="rId552" ref="AE535"/>
    <hyperlink r:id="rId553" ref="AE536"/>
    <hyperlink r:id="rId554" ref="AE537"/>
    <hyperlink r:id="rId555" ref="AE538"/>
    <hyperlink r:id="rId556" ref="AE539"/>
    <hyperlink r:id="rId557" ref="AE540"/>
    <hyperlink r:id="rId558" ref="AE541"/>
    <hyperlink r:id="rId559" ref="AE542"/>
    <hyperlink r:id="rId560" ref="AF542"/>
    <hyperlink r:id="rId561" ref="AE543"/>
    <hyperlink r:id="rId562" ref="AE544"/>
    <hyperlink r:id="rId563" ref="AE545"/>
    <hyperlink r:id="rId564" ref="AE546"/>
    <hyperlink r:id="rId565" ref="AE547"/>
    <hyperlink r:id="rId566" ref="AE548"/>
    <hyperlink r:id="rId567" ref="AE549"/>
    <hyperlink r:id="rId568" ref="AE550"/>
    <hyperlink r:id="rId569" ref="AE551"/>
    <hyperlink r:id="rId570" ref="AE552"/>
    <hyperlink r:id="rId571" ref="AE553"/>
    <hyperlink r:id="rId572" ref="AF553"/>
    <hyperlink r:id="rId573" ref="AE554"/>
    <hyperlink r:id="rId574" ref="AF554"/>
    <hyperlink r:id="rId575" ref="AE555"/>
    <hyperlink r:id="rId576" ref="AE556"/>
    <hyperlink r:id="rId577" ref="AE557"/>
    <hyperlink r:id="rId578" ref="AE558"/>
    <hyperlink r:id="rId579" ref="AE559"/>
    <hyperlink r:id="rId580" ref="AE560"/>
    <hyperlink r:id="rId581" ref="AE561"/>
    <hyperlink r:id="rId582" ref="AE562"/>
    <hyperlink r:id="rId583" ref="AE563"/>
    <hyperlink r:id="rId584" ref="AE564"/>
    <hyperlink r:id="rId585" ref="AE565"/>
    <hyperlink r:id="rId586" ref="AE566"/>
    <hyperlink r:id="rId587" ref="AE567"/>
    <hyperlink r:id="rId588" ref="AE568"/>
    <hyperlink r:id="rId589" ref="AE569"/>
    <hyperlink r:id="rId590" ref="AE570"/>
    <hyperlink r:id="rId591" ref="AF570"/>
    <hyperlink r:id="rId592" ref="AE571"/>
    <hyperlink r:id="rId593" ref="AE572"/>
    <hyperlink r:id="rId594" ref="AE573"/>
    <hyperlink r:id="rId595" ref="AE574"/>
    <hyperlink r:id="rId596" ref="AE575"/>
    <hyperlink r:id="rId597" ref="AE576"/>
    <hyperlink r:id="rId598" ref="AE577"/>
    <hyperlink r:id="rId599" ref="AE578"/>
    <hyperlink r:id="rId600" ref="AE579"/>
    <hyperlink r:id="rId601" ref="AE580"/>
    <hyperlink r:id="rId602" ref="AE581"/>
    <hyperlink r:id="rId603" ref="AE582"/>
    <hyperlink r:id="rId604" ref="AE583"/>
    <hyperlink r:id="rId605" ref="AE584"/>
    <hyperlink r:id="rId606" ref="AE585"/>
    <hyperlink r:id="rId607" ref="AE586"/>
    <hyperlink r:id="rId608" ref="AE587"/>
    <hyperlink r:id="rId609" ref="AE588"/>
    <hyperlink r:id="rId610" ref="AE589"/>
    <hyperlink r:id="rId611" ref="AE590"/>
    <hyperlink r:id="rId612" ref="AE591"/>
    <hyperlink r:id="rId613" ref="AE592"/>
    <hyperlink r:id="rId614" ref="AE593"/>
    <hyperlink r:id="rId615" ref="AE594"/>
    <hyperlink r:id="rId616" ref="AE595"/>
    <hyperlink r:id="rId617" ref="AE596"/>
    <hyperlink r:id="rId618" ref="AE597"/>
    <hyperlink r:id="rId619" ref="AE598"/>
    <hyperlink r:id="rId620" ref="AE599"/>
    <hyperlink r:id="rId621" ref="AE600"/>
    <hyperlink r:id="rId622" ref="AE601"/>
    <hyperlink r:id="rId623" ref="AE602"/>
    <hyperlink r:id="rId624" ref="AE603"/>
    <hyperlink r:id="rId625" ref="AE604"/>
    <hyperlink r:id="rId626" ref="AE605"/>
    <hyperlink r:id="rId627" ref="AE606"/>
    <hyperlink r:id="rId628" ref="AE620"/>
    <hyperlink r:id="rId629" ref="AE638"/>
    <hyperlink r:id="rId630" ref="AE647"/>
    <hyperlink r:id="rId631" ref="AE648"/>
    <hyperlink r:id="rId632" ref="AE649"/>
    <hyperlink r:id="rId633" ref="AE650"/>
    <hyperlink r:id="rId634" ref="AE651"/>
    <hyperlink r:id="rId635" ref="AE652"/>
    <hyperlink r:id="rId636" ref="AE653"/>
    <hyperlink r:id="rId637" ref="AE654"/>
    <hyperlink r:id="rId638" ref="AE655"/>
    <hyperlink r:id="rId639" ref="AE656"/>
    <hyperlink r:id="rId640" ref="AE657"/>
    <hyperlink r:id="rId641" ref="AE658"/>
    <hyperlink r:id="rId642" ref="AE659"/>
    <hyperlink r:id="rId643" ref="AE660"/>
    <hyperlink r:id="rId644" ref="AE661"/>
    <hyperlink r:id="rId645" ref="AE662"/>
    <hyperlink r:id="rId646" ref="AE663"/>
    <hyperlink r:id="rId647" ref="AE664"/>
    <hyperlink r:id="rId648" ref="AE665"/>
    <hyperlink r:id="rId649" ref="AE666"/>
    <hyperlink r:id="rId650" ref="AE667"/>
    <hyperlink r:id="rId651" ref="AE668"/>
    <hyperlink r:id="rId652" ref="AE669"/>
    <hyperlink r:id="rId653" ref="AE670"/>
    <hyperlink r:id="rId654" ref="AE671"/>
    <hyperlink r:id="rId655" ref="AE672"/>
    <hyperlink r:id="rId656" ref="AE673"/>
    <hyperlink r:id="rId657" ref="AE674"/>
    <hyperlink r:id="rId658" ref="AE675"/>
    <hyperlink r:id="rId659" ref="AE676"/>
    <hyperlink r:id="rId660" ref="AE677"/>
    <hyperlink r:id="rId661" ref="AE678"/>
    <hyperlink r:id="rId662" ref="AE679"/>
    <hyperlink r:id="rId663" ref="AE682"/>
    <hyperlink r:id="rId664" ref="AE683"/>
    <hyperlink r:id="rId665" ref="AE684"/>
    <hyperlink r:id="rId666" ref="AE685"/>
    <hyperlink r:id="rId667" ref="AE686"/>
    <hyperlink r:id="rId668" location=".YW2ctNha4E8.link" ref="AE687"/>
    <hyperlink r:id="rId669" location=".YW1kGBtofbY.link" ref="AE688"/>
    <hyperlink r:id="rId670" location=".YW1js87Ueak.link" ref="AE689"/>
    <hyperlink r:id="rId671" location=".YW423bEbO3o.link" ref="AE690"/>
    <hyperlink r:id="rId672" ref="AE691"/>
    <hyperlink r:id="rId673" ref="AE704"/>
    <hyperlink r:id="rId674" ref="AE705"/>
    <hyperlink r:id="rId675" ref="AE706"/>
    <hyperlink r:id="rId676" ref="AE707"/>
    <hyperlink r:id="rId677" ref="AE708"/>
    <hyperlink r:id="rId678" ref="AE709"/>
    <hyperlink r:id="rId679" ref="AE710"/>
    <hyperlink r:id="rId680" ref="AE711"/>
    <hyperlink r:id="rId681" ref="AE712"/>
    <hyperlink r:id="rId682" ref="AE713"/>
    <hyperlink r:id="rId683" ref="AE714"/>
    <hyperlink r:id="rId684" ref="AE716"/>
    <hyperlink r:id="rId685" ref="AE717"/>
    <hyperlink r:id="rId686" ref="AE718"/>
    <hyperlink r:id="rId687" ref="AE719"/>
    <hyperlink r:id="rId688" ref="AE720"/>
    <hyperlink r:id="rId689" ref="AE721"/>
    <hyperlink r:id="rId690" ref="AE722"/>
    <hyperlink r:id="rId691" ref="AE724"/>
    <hyperlink r:id="rId692" ref="AE725"/>
    <hyperlink r:id="rId693" ref="AE727"/>
    <hyperlink r:id="rId694" ref="AE728"/>
    <hyperlink r:id="rId695" ref="AE729"/>
    <hyperlink r:id="rId696" ref="AE730"/>
    <hyperlink r:id="rId697" ref="AE731"/>
    <hyperlink r:id="rId698" ref="AE732"/>
    <hyperlink r:id="rId699" ref="AE733"/>
    <hyperlink r:id="rId700" ref="AE734"/>
    <hyperlink r:id="rId701" ref="AE735"/>
    <hyperlink r:id="rId702" ref="AE736"/>
    <hyperlink r:id="rId703" ref="AE737"/>
    <hyperlink r:id="rId704" ref="AE738"/>
    <hyperlink r:id="rId705" ref="AE739"/>
    <hyperlink r:id="rId706" ref="AE740"/>
    <hyperlink r:id="rId707" ref="AE741"/>
    <hyperlink r:id="rId708" ref="AE742"/>
    <hyperlink r:id="rId709" ref="AE743"/>
    <hyperlink r:id="rId710" ref="AE744"/>
    <hyperlink r:id="rId711" ref="AE745"/>
    <hyperlink r:id="rId712" ref="AE746"/>
    <hyperlink r:id="rId713" ref="AE747"/>
    <hyperlink r:id="rId714" ref="AE748"/>
    <hyperlink r:id="rId715" ref="AE750"/>
    <hyperlink r:id="rId716" ref="AE751"/>
    <hyperlink r:id="rId717" ref="AE752"/>
    <hyperlink r:id="rId718" ref="AE753"/>
    <hyperlink r:id="rId719" ref="AE754"/>
    <hyperlink r:id="rId720" ref="AE755"/>
    <hyperlink r:id="rId721" ref="AE756"/>
    <hyperlink r:id="rId722" ref="AE757"/>
    <hyperlink r:id="rId723" ref="AE758"/>
    <hyperlink r:id="rId724" ref="AE759"/>
    <hyperlink r:id="rId725" ref="AE760"/>
    <hyperlink r:id="rId726" ref="AE761"/>
    <hyperlink r:id="rId727" ref="AE762"/>
    <hyperlink r:id="rId728" ref="AE763"/>
    <hyperlink r:id="rId729" ref="AE764"/>
    <hyperlink r:id="rId730" ref="AE766"/>
    <hyperlink r:id="rId731" ref="AE767"/>
    <hyperlink r:id="rId732" ref="AE769"/>
    <hyperlink r:id="rId733" ref="AE770"/>
    <hyperlink r:id="rId734" ref="AE772"/>
    <hyperlink r:id="rId735" ref="AE773"/>
    <hyperlink r:id="rId736" ref="AE775"/>
    <hyperlink r:id="rId737" ref="AE776"/>
    <hyperlink r:id="rId738" ref="AE777"/>
    <hyperlink r:id="rId739" ref="AE778"/>
    <hyperlink r:id="rId740" ref="AE779"/>
    <hyperlink r:id="rId741" ref="AE780"/>
    <hyperlink r:id="rId742" ref="AE781"/>
    <hyperlink r:id="rId743" ref="AE782"/>
    <hyperlink r:id="rId744" ref="AE783"/>
    <hyperlink r:id="rId745" ref="AE784"/>
    <hyperlink r:id="rId746" ref="AE785"/>
    <hyperlink r:id="rId747" ref="AE786"/>
    <hyperlink r:id="rId748" ref="AE787"/>
    <hyperlink r:id="rId749" ref="AE788"/>
    <hyperlink r:id="rId750" ref="AE789"/>
    <hyperlink r:id="rId751" ref="AE790"/>
    <hyperlink r:id="rId752" ref="AE791"/>
    <hyperlink r:id="rId753" ref="AE792"/>
    <hyperlink r:id="rId754" ref="AE793"/>
    <hyperlink r:id="rId755" ref="AE794"/>
    <hyperlink r:id="rId756" ref="AE795"/>
    <hyperlink r:id="rId757" ref="AE796"/>
    <hyperlink r:id="rId758" ref="AE797"/>
    <hyperlink r:id="rId759" ref="AE798"/>
    <hyperlink r:id="rId760" ref="AE799"/>
    <hyperlink r:id="rId761" ref="AE800"/>
    <hyperlink r:id="rId762" ref="AE801"/>
    <hyperlink r:id="rId763" ref="AE802"/>
    <hyperlink r:id="rId764" location="v=onepage&amp;q=shinbundang%20line%20construction%20cost%2011690&amp;f=false" ref="AE803"/>
    <hyperlink r:id="rId765" ref="AE804"/>
    <hyperlink r:id="rId766" ref="AE805"/>
    <hyperlink r:id="rId767" ref="AE806"/>
    <hyperlink r:id="rId768" ref="AE807"/>
    <hyperlink r:id="rId769" ref="AE808"/>
    <hyperlink r:id="rId770" ref="AE809"/>
    <hyperlink r:id="rId771" ref="AE810"/>
    <hyperlink r:id="rId772" ref="AE811"/>
    <hyperlink r:id="rId773" ref="AE812"/>
    <hyperlink r:id="rId774" ref="AE813"/>
    <hyperlink r:id="rId775" ref="AE814"/>
    <hyperlink r:id="rId776" ref="AE815"/>
    <hyperlink r:id="rId777" ref="AE816"/>
    <hyperlink r:id="rId778" ref="AE817"/>
    <hyperlink r:id="rId779" ref="AE818"/>
    <hyperlink r:id="rId780" ref="AE819"/>
    <hyperlink r:id="rId781" ref="AE820"/>
    <hyperlink r:id="rId782" ref="AE821"/>
    <hyperlink r:id="rId783" ref="AE822"/>
    <hyperlink r:id="rId784" ref="AE823"/>
    <hyperlink r:id="rId785" ref="AE824"/>
    <hyperlink r:id="rId786" ref="AE825"/>
    <hyperlink r:id="rId787" ref="AE826"/>
    <hyperlink r:id="rId788" ref="AE827"/>
    <hyperlink r:id="rId789" ref="AE828"/>
    <hyperlink r:id="rId790" ref="AE829"/>
    <hyperlink r:id="rId791" ref="AE830"/>
    <hyperlink r:id="rId792" ref="AE831"/>
    <hyperlink r:id="rId793" ref="AE832"/>
    <hyperlink r:id="rId794" ref="AE833"/>
    <hyperlink r:id="rId795" ref="AE834"/>
    <hyperlink r:id="rId796" ref="AE835"/>
    <hyperlink r:id="rId797" ref="AE836"/>
    <hyperlink r:id="rId798" ref="AE837"/>
    <hyperlink r:id="rId799" ref="AE838"/>
    <hyperlink r:id="rId800" ref="AE839"/>
    <hyperlink r:id="rId801" ref="AE840"/>
    <hyperlink r:id="rId802" ref="AE841"/>
    <hyperlink r:id="rId803" ref="AE842"/>
    <hyperlink r:id="rId804" ref="AE843"/>
    <hyperlink r:id="rId805" ref="AE844"/>
    <hyperlink r:id="rId806" location="iss=https%3A%2F%2Fsso.noticiasilimitadas.pt%2Frealms%2FNI_PRD" ref="AE845"/>
    <hyperlink r:id="rId807" ref="AE846"/>
    <hyperlink r:id="rId808" ref="AE847"/>
    <hyperlink r:id="rId809" ref="AE848"/>
    <hyperlink r:id="rId810" ref="AE851"/>
    <hyperlink r:id="rId811" ref="AE853"/>
    <hyperlink r:id="rId812" ref="AE854"/>
    <hyperlink r:id="rId813" ref="AE855"/>
    <hyperlink r:id="rId814" ref="AE856"/>
    <hyperlink r:id="rId815" ref="AE869"/>
    <hyperlink r:id="rId816" ref="AE900"/>
    <hyperlink r:id="rId817" ref="AE901"/>
    <hyperlink r:id="rId818" ref="AE902"/>
    <hyperlink r:id="rId819" ref="AE905"/>
    <hyperlink r:id="rId820" ref="AE906"/>
    <hyperlink r:id="rId821" ref="AE909"/>
    <hyperlink r:id="rId822" ref="AE918"/>
    <hyperlink r:id="rId823" ref="AE919"/>
    <hyperlink r:id="rId824" ref="AE920"/>
    <hyperlink r:id="rId825" ref="AE922"/>
    <hyperlink r:id="rId826" ref="AE923"/>
    <hyperlink r:id="rId827" ref="AE925"/>
    <hyperlink r:id="rId828" ref="AE927"/>
    <hyperlink r:id="rId829" ref="AE929"/>
    <hyperlink r:id="rId830" ref="AE930"/>
    <hyperlink r:id="rId831" ref="AE931"/>
    <hyperlink r:id="rId832" ref="AE932"/>
    <hyperlink r:id="rId833" ref="AE933"/>
    <hyperlink r:id="rId834" ref="AE935"/>
    <hyperlink r:id="rId835" ref="AE936"/>
    <hyperlink r:id="rId836" ref="AE937"/>
    <hyperlink r:id="rId837" ref="AE938"/>
    <hyperlink r:id="rId838" ref="AE939"/>
    <hyperlink r:id="rId839" ref="AE940"/>
    <hyperlink r:id="rId840" ref="AE941"/>
    <hyperlink r:id="rId841" ref="AE942"/>
    <hyperlink r:id="rId842" ref="AE943"/>
    <hyperlink r:id="rId843" ref="AE944"/>
    <hyperlink r:id="rId844" ref="AE945"/>
    <hyperlink r:id="rId845" ref="AE946"/>
    <hyperlink r:id="rId846" ref="AE948"/>
    <hyperlink r:id="rId847" ref="AE950"/>
    <hyperlink r:id="rId848" ref="AE952"/>
    <hyperlink r:id="rId849" ref="AE954"/>
    <hyperlink r:id="rId850" ref="AE955"/>
    <hyperlink r:id="rId851" ref="AE956"/>
    <hyperlink r:id="rId852" ref="AE957"/>
    <hyperlink r:id="rId853" ref="AE958"/>
    <hyperlink r:id="rId854" ref="AE959"/>
    <hyperlink r:id="rId855" ref="AE960"/>
    <hyperlink r:id="rId856" ref="AE961"/>
    <hyperlink r:id="rId857" ref="AE962"/>
    <hyperlink r:id="rId858" ref="AE963"/>
    <hyperlink r:id="rId859" ref="AE964"/>
    <hyperlink r:id="rId860" ref="AE965"/>
    <hyperlink r:id="rId861" ref="AE966"/>
    <hyperlink r:id="rId862" ref="AE967"/>
    <hyperlink r:id="rId863" ref="AE968"/>
    <hyperlink r:id="rId864" ref="AE970"/>
    <hyperlink r:id="rId865" ref="AE971"/>
    <hyperlink r:id="rId866" ref="AE972"/>
    <hyperlink r:id="rId867" ref="AE973"/>
    <hyperlink r:id="rId868" ref="AE974"/>
    <hyperlink r:id="rId869" ref="AE975"/>
    <hyperlink r:id="rId870" ref="AE976"/>
    <hyperlink r:id="rId871" ref="AE977"/>
    <hyperlink r:id="rId872" ref="AE978"/>
    <hyperlink r:id="rId873" ref="AE979"/>
    <hyperlink r:id="rId874" ref="AE983"/>
    <hyperlink r:id="rId875" ref="AE984"/>
    <hyperlink r:id="rId876" ref="AE986"/>
    <hyperlink r:id="rId877" ref="AE987"/>
    <hyperlink r:id="rId878" ref="AE988"/>
    <hyperlink r:id="rId879" ref="AE989"/>
    <hyperlink r:id="rId880" ref="AE990"/>
    <hyperlink r:id="rId881" ref="AE991"/>
    <hyperlink r:id="rId882" ref="AE992"/>
    <hyperlink r:id="rId883" ref="AE993"/>
    <hyperlink r:id="rId884" ref="AE994"/>
    <hyperlink r:id="rId885" ref="AE995"/>
    <hyperlink r:id="rId886" ref="AE998"/>
    <hyperlink r:id="rId887" ref="AE999"/>
    <hyperlink r:id="rId888" ref="AE1000"/>
    <hyperlink r:id="rId889" ref="AE1001"/>
    <hyperlink r:id="rId890" ref="AE1002"/>
    <hyperlink r:id="rId891" ref="AE1003"/>
    <hyperlink r:id="rId892" ref="AE1004"/>
    <hyperlink r:id="rId893" ref="AE1005"/>
    <hyperlink r:id="rId894" ref="AE1006"/>
    <hyperlink r:id="rId895" ref="AE1007"/>
    <hyperlink r:id="rId896" ref="AE1008"/>
    <hyperlink r:id="rId897" ref="AE1009"/>
    <hyperlink r:id="rId898" ref="AE1010"/>
    <hyperlink r:id="rId899" ref="AE1011"/>
    <hyperlink r:id="rId900" ref="AE1012"/>
    <hyperlink r:id="rId901" ref="AE1013"/>
    <hyperlink r:id="rId902" ref="AE1014"/>
    <hyperlink r:id="rId903" ref="AE1015"/>
    <hyperlink r:id="rId904" ref="AE1016"/>
    <hyperlink r:id="rId905" ref="AE1017"/>
    <hyperlink r:id="rId906" ref="AE1018"/>
    <hyperlink r:id="rId907" ref="AE1020"/>
    <hyperlink r:id="rId908" ref="AE1021"/>
    <hyperlink r:id="rId909" ref="AE1022"/>
    <hyperlink r:id="rId910" ref="AE1023"/>
    <hyperlink r:id="rId911" ref="AE1024"/>
    <hyperlink r:id="rId912" ref="AE1025"/>
    <hyperlink r:id="rId913" ref="AE1026"/>
    <hyperlink r:id="rId914" ref="AE1027"/>
    <hyperlink r:id="rId915" ref="AE1029"/>
    <hyperlink r:id="rId916" ref="AE1041"/>
    <hyperlink r:id="rId917" ref="AE1044"/>
    <hyperlink r:id="rId918" ref="AE1045"/>
    <hyperlink r:id="rId919" ref="AE1054"/>
    <hyperlink r:id="rId920" ref="AE1055"/>
    <hyperlink r:id="rId921" ref="AE1056"/>
    <hyperlink r:id="rId922" ref="AE1057"/>
    <hyperlink r:id="rId923" ref="AE1058"/>
    <hyperlink r:id="rId924" ref="AE1059"/>
    <hyperlink r:id="rId925" ref="AE1060"/>
    <hyperlink r:id="rId926" ref="AE1061"/>
    <hyperlink r:id="rId927" ref="AE1062"/>
    <hyperlink r:id="rId928" ref="AE1063"/>
    <hyperlink r:id="rId929" ref="AE1064"/>
    <hyperlink r:id="rId930" ref="AE1065"/>
    <hyperlink r:id="rId931" ref="AE1066"/>
    <hyperlink r:id="rId932" ref="AE1067"/>
    <hyperlink r:id="rId933" ref="AE1068"/>
    <hyperlink r:id="rId934" ref="AE1069"/>
    <hyperlink r:id="rId935" ref="AE1070"/>
    <hyperlink r:id="rId936" ref="AE1071"/>
    <hyperlink r:id="rId937" ref="AE1072"/>
    <hyperlink r:id="rId938" ref="AE1073"/>
    <hyperlink r:id="rId939" ref="AE1074"/>
    <hyperlink r:id="rId940" ref="AE1075"/>
    <hyperlink r:id="rId941" ref="AE1076"/>
    <hyperlink r:id="rId942" ref="AE1077"/>
    <hyperlink r:id="rId943" ref="AE1078"/>
    <hyperlink r:id="rId944" ref="AE1079"/>
    <hyperlink r:id="rId945" ref="AE1080"/>
    <hyperlink r:id="rId946" ref="AE1082"/>
    <hyperlink r:id="rId947" ref="AE1083"/>
    <hyperlink r:id="rId948" ref="AE1088"/>
    <hyperlink r:id="rId949" ref="AE1091"/>
    <hyperlink r:id="rId950" ref="AE1092"/>
    <hyperlink r:id="rId951" ref="AE1093"/>
    <hyperlink r:id="rId952" ref="AE1094"/>
  </hyperlinks>
  <printOptions/>
  <pageMargins bottom="0.984027777777778" footer="0.0" header="0.0" left="0.747916666666667" right="0.747916666666667" top="0.984027777777778"/>
  <pageSetup paperSize="9" orientation="portrait"/>
  <drawing r:id="rId953"/>
  <legacyDrawing r:id="rId9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7">
      <c r="D7" s="408">
        <v>3928.571428571429</v>
      </c>
    </row>
    <row r="8">
      <c r="D8" s="408">
        <v>1792.4528301886794</v>
      </c>
    </row>
    <row r="9">
      <c r="D9" s="408">
        <v>888.5333333333332</v>
      </c>
    </row>
    <row r="10">
      <c r="D10" s="408">
        <v>292.5</v>
      </c>
    </row>
    <row r="11">
      <c r="D11" s="408">
        <v>854.7608571428572</v>
      </c>
    </row>
    <row r="12">
      <c r="D12" s="408">
        <v>287.5</v>
      </c>
    </row>
    <row r="13">
      <c r="D13" s="408">
        <v>394.9024390243903</v>
      </c>
    </row>
    <row r="14">
      <c r="D14" s="408">
        <v>535.7142857142858</v>
      </c>
    </row>
    <row r="15">
      <c r="D15" s="408">
        <v>276.26</v>
      </c>
    </row>
    <row r="16">
      <c r="D16" s="408">
        <v>99.824</v>
      </c>
    </row>
    <row r="17">
      <c r="D17" s="408">
        <v>121.08636363636364</v>
      </c>
    </row>
    <row r="18">
      <c r="D18" s="408">
        <v>391.722905027933</v>
      </c>
    </row>
    <row r="19">
      <c r="D19" s="408">
        <v>430.6083116883117</v>
      </c>
    </row>
    <row r="20">
      <c r="D20" s="408">
        <v>237.74439024390247</v>
      </c>
    </row>
    <row r="21">
      <c r="D21" s="408">
        <v>150.98823529411763</v>
      </c>
    </row>
    <row r="22">
      <c r="D22" s="408">
        <v>232.3</v>
      </c>
    </row>
    <row r="23">
      <c r="D23" s="408">
        <v>227.875</v>
      </c>
    </row>
    <row r="24">
      <c r="D24" s="408">
        <v>126.953125</v>
      </c>
    </row>
    <row r="25">
      <c r="D25" s="408">
        <v>854.5129411764706</v>
      </c>
    </row>
    <row r="26">
      <c r="D26" s="408">
        <v>268.42105263157896</v>
      </c>
    </row>
    <row r="27">
      <c r="D27" s="408">
        <v>721.6875000000001</v>
      </c>
    </row>
    <row r="28">
      <c r="D28" s="408">
        <v>188.06857142857146</v>
      </c>
    </row>
    <row r="29">
      <c r="D29" s="408">
        <v>160.5</v>
      </c>
    </row>
    <row r="30">
      <c r="D30" s="408">
        <f>QUARTILE(D7:D29,1)</f>
        <v>207.9717857</v>
      </c>
    </row>
    <row r="31">
      <c r="D31" s="408">
        <f>QUARTILE(D7:D30,3)</f>
        <v>582.2075893</v>
      </c>
    </row>
    <row r="33">
      <c r="D33" s="408">
        <f>MEDIAN(D7:D29)</f>
        <v>287.5</v>
      </c>
      <c r="E33" s="408">
        <f>PERCENTILE(D7:D29,0.28)</f>
        <v>228.583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0.29"/>
    <col customWidth="1" min="4" max="4" width="35.86"/>
  </cols>
  <sheetData>
    <row r="1">
      <c r="A1" s="8" t="s">
        <v>2</v>
      </c>
      <c r="B1" s="9" t="s">
        <v>3</v>
      </c>
      <c r="C1" s="8" t="s">
        <v>4</v>
      </c>
      <c r="D1" s="8" t="s">
        <v>5</v>
      </c>
      <c r="E1" s="9" t="s">
        <v>6</v>
      </c>
      <c r="F1" s="9" t="s">
        <v>7</v>
      </c>
      <c r="G1" s="9" t="s">
        <v>8</v>
      </c>
      <c r="H1" s="9" t="s">
        <v>9</v>
      </c>
      <c r="I1" s="9" t="s">
        <v>10</v>
      </c>
      <c r="J1" s="9" t="s">
        <v>11</v>
      </c>
      <c r="K1" s="8" t="s">
        <v>12</v>
      </c>
      <c r="L1" s="8" t="s">
        <v>13</v>
      </c>
      <c r="M1" s="9" t="s">
        <v>14</v>
      </c>
      <c r="N1" s="8" t="s">
        <v>15</v>
      </c>
      <c r="O1" s="9" t="s">
        <v>16</v>
      </c>
      <c r="P1" s="10" t="s">
        <v>17</v>
      </c>
      <c r="Q1" s="9" t="s">
        <v>18</v>
      </c>
      <c r="R1" s="9" t="s">
        <v>19</v>
      </c>
      <c r="S1" s="9" t="s">
        <v>20</v>
      </c>
      <c r="T1" s="9" t="s">
        <v>21</v>
      </c>
      <c r="U1" s="11" t="s">
        <v>22</v>
      </c>
      <c r="V1" s="9" t="s">
        <v>23</v>
      </c>
      <c r="W1" s="9" t="s">
        <v>24</v>
      </c>
      <c r="X1" s="9" t="s">
        <v>25</v>
      </c>
      <c r="Y1" s="9" t="s">
        <v>26</v>
      </c>
      <c r="Z1" s="8" t="s">
        <v>27</v>
      </c>
      <c r="AA1" s="8" t="s">
        <v>28</v>
      </c>
      <c r="AB1" s="8" t="s">
        <v>29</v>
      </c>
      <c r="AC1" s="9" t="s">
        <v>30</v>
      </c>
      <c r="AD1" s="9" t="s">
        <v>31</v>
      </c>
      <c r="AE1" s="9"/>
      <c r="AF1" s="12"/>
      <c r="AG1" s="12"/>
      <c r="AH1" s="12"/>
    </row>
    <row r="2">
      <c r="A2" s="15" t="s">
        <v>32</v>
      </c>
      <c r="B2" s="15" t="s">
        <v>33</v>
      </c>
      <c r="C2" s="16" t="s">
        <v>34</v>
      </c>
      <c r="D2" s="15" t="s">
        <v>35</v>
      </c>
      <c r="E2" s="17">
        <v>2005.0</v>
      </c>
      <c r="F2" s="17">
        <v>2010.0</v>
      </c>
      <c r="G2" s="17">
        <v>0.0</v>
      </c>
      <c r="H2" s="18">
        <v>35.0</v>
      </c>
      <c r="I2" s="19">
        <f t="shared" ref="I2:I4" si="1">J2/H2</f>
        <v>0.1342857143</v>
      </c>
      <c r="J2" s="20">
        <v>4.7</v>
      </c>
      <c r="K2" s="21">
        <v>0.0</v>
      </c>
      <c r="L2" s="21">
        <v>0.0</v>
      </c>
      <c r="M2" s="18">
        <v>29.0</v>
      </c>
      <c r="N2" s="17"/>
      <c r="O2" s="22" t="s">
        <v>36</v>
      </c>
      <c r="P2" s="23">
        <v>4200.0</v>
      </c>
      <c r="Q2" s="15" t="s">
        <v>37</v>
      </c>
      <c r="R2" s="18">
        <v>2005.0</v>
      </c>
      <c r="S2" s="18">
        <v>1.8</v>
      </c>
      <c r="T2" s="18">
        <f t="shared" ref="T2:T39" si="2">P2*S2</f>
        <v>7560</v>
      </c>
      <c r="U2" s="24">
        <f t="shared" ref="U2:U1021" si="3">T2/H2</f>
        <v>216</v>
      </c>
      <c r="V2" s="3">
        <f t="shared" ref="V2:V33" si="4">IF(OR(A2 = "BG",A2 = "GR",A2 = "IT",A2 = "ES",A2 = "PT",A2 = "TR", A2 = "KR",A2 = "SE",A2 = "CH",A2 = "NO",A2 = "DK",A2 = "FI"), 1, 0)</f>
        <v>0</v>
      </c>
      <c r="W2" s="3">
        <f t="shared" ref="W2:W33" si="5">V2*H2</f>
        <v>0</v>
      </c>
      <c r="X2" s="3">
        <f t="shared" ref="X2:X33" si="6">V2*J2</f>
        <v>0</v>
      </c>
      <c r="Y2" s="25">
        <f t="shared" ref="Y2:Y33" si="7">IF(OR(A2 = "US",A2 = "CA",A2 = "UK",A2 = "NZ",A2 = "AU",A2 = "SG"), 1, 0)</f>
        <v>0</v>
      </c>
      <c r="Z2" s="26">
        <f>VLOOKUP(R2,CPI!$A$2:$F$71,6,0)</f>
        <v>1.649331797</v>
      </c>
      <c r="AA2" s="27">
        <f t="shared" ref="AA2:AA1021" si="8">T2*Z2</f>
        <v>12468.94839</v>
      </c>
      <c r="AB2" s="27">
        <f t="shared" ref="AB2:AB1021" si="9">U2*Z2</f>
        <v>356.2556682</v>
      </c>
      <c r="AC2" s="6"/>
      <c r="AD2" s="28"/>
      <c r="AE2" s="29"/>
      <c r="AF2" s="30"/>
      <c r="AG2" s="30"/>
      <c r="AH2" s="30"/>
    </row>
    <row r="3">
      <c r="A3" s="15" t="s">
        <v>32</v>
      </c>
      <c r="B3" s="15" t="s">
        <v>33</v>
      </c>
      <c r="C3" s="15" t="s">
        <v>38</v>
      </c>
      <c r="D3" s="15" t="s">
        <v>39</v>
      </c>
      <c r="E3" s="17">
        <v>2006.0</v>
      </c>
      <c r="F3" s="17">
        <v>2010.0</v>
      </c>
      <c r="G3" s="17">
        <v>0.0</v>
      </c>
      <c r="H3" s="18">
        <v>22.5</v>
      </c>
      <c r="I3" s="19">
        <f t="shared" si="1"/>
        <v>0.3511111111</v>
      </c>
      <c r="J3" s="20">
        <v>7.9</v>
      </c>
      <c r="K3" s="21">
        <v>0.0</v>
      </c>
      <c r="L3" s="21">
        <v>0.0</v>
      </c>
      <c r="M3" s="18">
        <v>20.0</v>
      </c>
      <c r="N3" s="17"/>
      <c r="O3" s="22"/>
      <c r="P3" s="23">
        <v>3600.0</v>
      </c>
      <c r="Q3" s="15" t="s">
        <v>37</v>
      </c>
      <c r="R3" s="18">
        <v>2006.0</v>
      </c>
      <c r="S3" s="18">
        <v>1.9</v>
      </c>
      <c r="T3" s="18">
        <f t="shared" si="2"/>
        <v>6840</v>
      </c>
      <c r="U3" s="24">
        <f t="shared" si="3"/>
        <v>304</v>
      </c>
      <c r="V3" s="3">
        <f t="shared" si="4"/>
        <v>0</v>
      </c>
      <c r="W3" s="3">
        <f t="shared" si="5"/>
        <v>0</v>
      </c>
      <c r="X3" s="3">
        <f t="shared" si="6"/>
        <v>0</v>
      </c>
      <c r="Y3" s="25">
        <f t="shared" si="7"/>
        <v>0</v>
      </c>
      <c r="Z3" s="26">
        <f>VLOOKUP(R3,CPI!$A$2:$F$71,6,0)</f>
        <v>1.597790179</v>
      </c>
      <c r="AA3" s="27">
        <f t="shared" si="8"/>
        <v>10928.88482</v>
      </c>
      <c r="AB3" s="27">
        <f t="shared" si="9"/>
        <v>485.7282143</v>
      </c>
      <c r="AC3" s="6"/>
      <c r="AD3" s="6"/>
      <c r="AE3" s="34"/>
      <c r="AF3" s="34"/>
      <c r="AG3" s="34"/>
      <c r="AH3" s="34"/>
    </row>
    <row r="4">
      <c r="A4" s="15" t="s">
        <v>32</v>
      </c>
      <c r="B4" s="15" t="s">
        <v>33</v>
      </c>
      <c r="C4" s="36" t="s">
        <v>40</v>
      </c>
      <c r="D4" s="15" t="s">
        <v>41</v>
      </c>
      <c r="E4" s="17">
        <v>2016.0</v>
      </c>
      <c r="F4" s="17">
        <v>2020.0</v>
      </c>
      <c r="G4" s="17">
        <v>0.0</v>
      </c>
      <c r="H4" s="18">
        <v>15.0</v>
      </c>
      <c r="I4" s="19">
        <f t="shared" si="1"/>
        <v>0.2133333333</v>
      </c>
      <c r="J4" s="20">
        <v>3.2</v>
      </c>
      <c r="K4" s="21">
        <v>0.0</v>
      </c>
      <c r="L4" s="21">
        <v>0.0</v>
      </c>
      <c r="M4" s="18">
        <v>7.0</v>
      </c>
      <c r="N4" s="17"/>
      <c r="O4" s="22" t="s">
        <v>36</v>
      </c>
      <c r="P4" s="23">
        <v>2900.0</v>
      </c>
      <c r="Q4" s="15" t="s">
        <v>37</v>
      </c>
      <c r="R4" s="18">
        <v>2016.0</v>
      </c>
      <c r="S4" s="18">
        <v>1.9</v>
      </c>
      <c r="T4" s="18">
        <f t="shared" si="2"/>
        <v>5510</v>
      </c>
      <c r="U4" s="24">
        <f t="shared" si="3"/>
        <v>367.3333333</v>
      </c>
      <c r="V4" s="3">
        <f t="shared" si="4"/>
        <v>0</v>
      </c>
      <c r="W4" s="3">
        <f t="shared" si="5"/>
        <v>0</v>
      </c>
      <c r="X4" s="3">
        <f t="shared" si="6"/>
        <v>0</v>
      </c>
      <c r="Y4" s="25">
        <f t="shared" si="7"/>
        <v>0</v>
      </c>
      <c r="Z4" s="26">
        <f>VLOOKUP(R4,CPI!$A$2:$F$71,6,0)</f>
        <v>1.342104605</v>
      </c>
      <c r="AA4" s="27">
        <f t="shared" si="8"/>
        <v>7394.996375</v>
      </c>
      <c r="AB4" s="27">
        <f t="shared" si="9"/>
        <v>492.9997583</v>
      </c>
      <c r="AC4" s="6" t="s">
        <v>42</v>
      </c>
      <c r="AD4" s="37" t="s">
        <v>43</v>
      </c>
      <c r="AE4" s="34"/>
      <c r="AF4" s="34"/>
      <c r="AG4" s="34"/>
      <c r="AH4" s="34"/>
    </row>
    <row r="5">
      <c r="A5" s="2" t="s">
        <v>44</v>
      </c>
      <c r="B5" s="2" t="s">
        <v>45</v>
      </c>
      <c r="C5" s="2" t="s">
        <v>46</v>
      </c>
      <c r="D5" s="2" t="s">
        <v>46</v>
      </c>
      <c r="E5" s="3">
        <v>2020.0</v>
      </c>
      <c r="F5" s="3">
        <v>2026.0</v>
      </c>
      <c r="G5" s="3">
        <v>1.0</v>
      </c>
      <c r="H5" s="3">
        <v>20.0</v>
      </c>
      <c r="I5" s="39">
        <v>1.0</v>
      </c>
      <c r="J5" s="3">
        <v>20.0</v>
      </c>
      <c r="K5" s="40">
        <v>0.0</v>
      </c>
      <c r="L5" s="40">
        <v>0.0</v>
      </c>
      <c r="M5" s="3">
        <v>4.0</v>
      </c>
      <c r="N5" s="3"/>
      <c r="O5" s="2" t="s">
        <v>42</v>
      </c>
      <c r="P5" s="41">
        <v>2300.0</v>
      </c>
      <c r="Q5" s="2" t="s">
        <v>37</v>
      </c>
      <c r="R5" s="3">
        <v>2023.0</v>
      </c>
      <c r="S5" s="3">
        <v>2.02</v>
      </c>
      <c r="T5" s="3">
        <f t="shared" si="2"/>
        <v>4646</v>
      </c>
      <c r="U5" s="24">
        <f t="shared" si="3"/>
        <v>232.3</v>
      </c>
      <c r="V5" s="3">
        <f t="shared" si="4"/>
        <v>0</v>
      </c>
      <c r="W5" s="3">
        <f t="shared" si="5"/>
        <v>0</v>
      </c>
      <c r="X5" s="3">
        <f t="shared" si="6"/>
        <v>0</v>
      </c>
      <c r="Y5" s="25">
        <f t="shared" si="7"/>
        <v>0</v>
      </c>
      <c r="Z5" s="26">
        <f>VLOOKUP(R5,CPI!$A$2:$F$71,6,0)</f>
        <v>1.057145998</v>
      </c>
      <c r="AA5" s="27">
        <f t="shared" si="8"/>
        <v>4911.500308</v>
      </c>
      <c r="AB5" s="27">
        <f t="shared" si="9"/>
        <v>245.5750154</v>
      </c>
      <c r="AC5" s="2" t="s">
        <v>42</v>
      </c>
      <c r="AD5" s="42" t="s">
        <v>47</v>
      </c>
      <c r="AE5" s="34"/>
      <c r="AF5" s="34"/>
      <c r="AG5" s="34"/>
      <c r="AH5" s="34"/>
    </row>
    <row r="6">
      <c r="A6" s="43" t="s">
        <v>48</v>
      </c>
      <c r="B6" s="43" t="s">
        <v>49</v>
      </c>
      <c r="C6" s="44" t="s">
        <v>50</v>
      </c>
      <c r="D6" s="43" t="s">
        <v>51</v>
      </c>
      <c r="E6" s="45">
        <v>1999.0</v>
      </c>
      <c r="F6" s="45">
        <v>2012.0</v>
      </c>
      <c r="G6" s="45">
        <v>1.0</v>
      </c>
      <c r="H6" s="45">
        <v>12.8</v>
      </c>
      <c r="I6" s="46">
        <v>1.0</v>
      </c>
      <c r="J6" s="45">
        <v>12.8</v>
      </c>
      <c r="K6" s="47">
        <v>0.0</v>
      </c>
      <c r="L6" s="47">
        <v>0.0</v>
      </c>
      <c r="M6" s="45">
        <v>0.0</v>
      </c>
      <c r="N6" s="45"/>
      <c r="O6" s="43" t="s">
        <v>42</v>
      </c>
      <c r="P6" s="48">
        <v>1300.0</v>
      </c>
      <c r="Q6" s="43" t="s">
        <v>52</v>
      </c>
      <c r="R6" s="45">
        <v>2005.0</v>
      </c>
      <c r="S6" s="45">
        <v>1.25</v>
      </c>
      <c r="T6" s="45">
        <f t="shared" si="2"/>
        <v>1625</v>
      </c>
      <c r="U6" s="24">
        <f t="shared" si="3"/>
        <v>126.953125</v>
      </c>
      <c r="V6" s="3">
        <f t="shared" si="4"/>
        <v>0</v>
      </c>
      <c r="W6" s="3">
        <f t="shared" si="5"/>
        <v>0</v>
      </c>
      <c r="X6" s="3">
        <f t="shared" si="6"/>
        <v>0</v>
      </c>
      <c r="Y6" s="25">
        <f t="shared" si="7"/>
        <v>0</v>
      </c>
      <c r="Z6" s="26">
        <f>VLOOKUP(R6,CPI!$A$2:$F$71,6,0)</f>
        <v>1.649331797</v>
      </c>
      <c r="AA6" s="27">
        <f t="shared" si="8"/>
        <v>2680.164171</v>
      </c>
      <c r="AB6" s="27">
        <f t="shared" si="9"/>
        <v>209.3878258</v>
      </c>
      <c r="AC6" s="43" t="s">
        <v>42</v>
      </c>
      <c r="AD6" s="49" t="s">
        <v>53</v>
      </c>
      <c r="AE6" s="34"/>
      <c r="AF6" s="34"/>
      <c r="AG6" s="34"/>
      <c r="AH6" s="34"/>
    </row>
    <row r="7">
      <c r="A7" s="26" t="s">
        <v>48</v>
      </c>
      <c r="B7" s="26" t="s">
        <v>49</v>
      </c>
      <c r="C7" s="1" t="s">
        <v>54</v>
      </c>
      <c r="D7" s="26" t="s">
        <v>55</v>
      </c>
      <c r="E7" s="25">
        <v>2010.0</v>
      </c>
      <c r="F7" s="25">
        <v>2013.0</v>
      </c>
      <c r="G7" s="25">
        <v>0.0</v>
      </c>
      <c r="H7" s="25">
        <v>4.2</v>
      </c>
      <c r="I7" s="50">
        <v>0.0</v>
      </c>
      <c r="J7" s="25">
        <v>0.0</v>
      </c>
      <c r="K7" s="51">
        <v>2.63</v>
      </c>
      <c r="L7" s="51">
        <v>1.57</v>
      </c>
      <c r="M7" s="25">
        <v>3.0</v>
      </c>
      <c r="N7" s="25"/>
      <c r="O7" s="26" t="s">
        <v>42</v>
      </c>
      <c r="P7" s="52">
        <v>320.0</v>
      </c>
      <c r="Q7" s="26" t="s">
        <v>52</v>
      </c>
      <c r="R7" s="25">
        <v>2012.0</v>
      </c>
      <c r="S7" s="25">
        <v>1.3</v>
      </c>
      <c r="T7" s="25">
        <f t="shared" si="2"/>
        <v>416</v>
      </c>
      <c r="U7" s="24">
        <f t="shared" si="3"/>
        <v>99.04761905</v>
      </c>
      <c r="V7" s="3">
        <f t="shared" si="4"/>
        <v>0</v>
      </c>
      <c r="W7" s="3">
        <f t="shared" si="5"/>
        <v>0</v>
      </c>
      <c r="X7" s="3">
        <f t="shared" si="6"/>
        <v>0</v>
      </c>
      <c r="Y7" s="25">
        <f t="shared" si="7"/>
        <v>0</v>
      </c>
      <c r="Z7" s="26">
        <f>VLOOKUP(R7,CPI!$A$2:$F$71,6,0)</f>
        <v>1.402974381</v>
      </c>
      <c r="AA7" s="27">
        <f t="shared" si="8"/>
        <v>583.6373424</v>
      </c>
      <c r="AB7" s="27">
        <f t="shared" si="9"/>
        <v>138.961272</v>
      </c>
      <c r="AC7" s="26" t="s">
        <v>42</v>
      </c>
      <c r="AD7" s="53" t="s">
        <v>56</v>
      </c>
      <c r="AE7" s="34"/>
      <c r="AF7" s="34"/>
      <c r="AG7" s="34"/>
      <c r="AH7" s="34"/>
    </row>
    <row r="8">
      <c r="A8" s="26" t="s">
        <v>48</v>
      </c>
      <c r="B8" s="26" t="s">
        <v>49</v>
      </c>
      <c r="C8" s="1" t="s">
        <v>57</v>
      </c>
      <c r="D8" s="26" t="s">
        <v>58</v>
      </c>
      <c r="E8" s="25">
        <v>2012.0</v>
      </c>
      <c r="F8" s="25">
        <v>2017.0</v>
      </c>
      <c r="G8" s="25">
        <v>0.0</v>
      </c>
      <c r="H8" s="25">
        <v>4.7</v>
      </c>
      <c r="I8" s="50">
        <v>0.57</v>
      </c>
      <c r="J8" s="25">
        <v>2.7</v>
      </c>
      <c r="K8" s="51">
        <v>0.06</v>
      </c>
      <c r="L8" s="51">
        <v>2.008</v>
      </c>
      <c r="M8" s="25">
        <v>5.0</v>
      </c>
      <c r="N8" s="25"/>
      <c r="O8" s="26" t="s">
        <v>59</v>
      </c>
      <c r="P8" s="52">
        <v>600.0</v>
      </c>
      <c r="Q8" s="26" t="s">
        <v>52</v>
      </c>
      <c r="R8" s="25">
        <v>2015.0</v>
      </c>
      <c r="S8" s="25">
        <v>1.3</v>
      </c>
      <c r="T8" s="25">
        <f t="shared" si="2"/>
        <v>780</v>
      </c>
      <c r="U8" s="24">
        <f t="shared" si="3"/>
        <v>165.9574468</v>
      </c>
      <c r="V8" s="3">
        <f t="shared" si="4"/>
        <v>0</v>
      </c>
      <c r="W8" s="3">
        <f t="shared" si="5"/>
        <v>0</v>
      </c>
      <c r="X8" s="3">
        <f t="shared" si="6"/>
        <v>0</v>
      </c>
      <c r="Y8" s="25">
        <f t="shared" si="7"/>
        <v>0</v>
      </c>
      <c r="Z8" s="26">
        <f>VLOOKUP(R8,CPI!$A$2:$F$71,6,0)</f>
        <v>1.359035428</v>
      </c>
      <c r="AA8" s="27">
        <f t="shared" si="8"/>
        <v>1060.047634</v>
      </c>
      <c r="AB8" s="27">
        <f t="shared" si="9"/>
        <v>225.5420497</v>
      </c>
      <c r="AC8" s="26" t="s">
        <v>60</v>
      </c>
      <c r="AD8" s="53" t="s">
        <v>61</v>
      </c>
      <c r="AE8" s="34"/>
      <c r="AF8" s="34"/>
      <c r="AG8" s="34"/>
      <c r="AH8" s="34"/>
    </row>
    <row r="9">
      <c r="A9" s="26" t="s">
        <v>48</v>
      </c>
      <c r="B9" s="26" t="s">
        <v>49</v>
      </c>
      <c r="C9" s="26" t="s">
        <v>62</v>
      </c>
      <c r="D9" s="26" t="s">
        <v>62</v>
      </c>
      <c r="E9" s="25">
        <v>2019.0</v>
      </c>
      <c r="F9" s="25">
        <v>2029.0</v>
      </c>
      <c r="G9" s="25">
        <v>0.0</v>
      </c>
      <c r="H9" s="25">
        <v>9.0</v>
      </c>
      <c r="I9" s="50">
        <v>1.0</v>
      </c>
      <c r="J9" s="25">
        <v>9.0</v>
      </c>
      <c r="K9" s="51">
        <v>0.0</v>
      </c>
      <c r="L9" s="51">
        <v>0.0</v>
      </c>
      <c r="M9" s="25">
        <v>11.0</v>
      </c>
      <c r="N9" s="25"/>
      <c r="O9" s="26" t="s">
        <v>60</v>
      </c>
      <c r="P9" s="52">
        <v>2200.0</v>
      </c>
      <c r="Q9" s="26" t="s">
        <v>52</v>
      </c>
      <c r="R9" s="25">
        <v>2023.0</v>
      </c>
      <c r="S9" s="25">
        <v>1.3</v>
      </c>
      <c r="T9" s="25">
        <f t="shared" si="2"/>
        <v>2860</v>
      </c>
      <c r="U9" s="24">
        <f t="shared" si="3"/>
        <v>317.7777778</v>
      </c>
      <c r="V9" s="3">
        <f t="shared" si="4"/>
        <v>0</v>
      </c>
      <c r="W9" s="3">
        <f t="shared" si="5"/>
        <v>0</v>
      </c>
      <c r="X9" s="3">
        <f t="shared" si="6"/>
        <v>0</v>
      </c>
      <c r="Y9" s="25">
        <f t="shared" si="7"/>
        <v>0</v>
      </c>
      <c r="Z9" s="26">
        <f>VLOOKUP(R9,CPI!$A$2:$F$71,6,0)</f>
        <v>1.057145998</v>
      </c>
      <c r="AA9" s="27">
        <f t="shared" si="8"/>
        <v>3023.437555</v>
      </c>
      <c r="AB9" s="27">
        <f t="shared" si="9"/>
        <v>335.9375062</v>
      </c>
      <c r="AC9" s="26" t="s">
        <v>42</v>
      </c>
      <c r="AD9" s="53" t="s">
        <v>63</v>
      </c>
      <c r="AE9" s="34"/>
      <c r="AF9" s="34"/>
      <c r="AG9" s="34"/>
      <c r="AH9" s="34"/>
    </row>
    <row r="10">
      <c r="A10" s="26" t="s">
        <v>64</v>
      </c>
      <c r="B10" s="26" t="s">
        <v>65</v>
      </c>
      <c r="C10" s="26" t="s">
        <v>66</v>
      </c>
      <c r="D10" s="26" t="s">
        <v>66</v>
      </c>
      <c r="E10" s="25">
        <v>2018.0</v>
      </c>
      <c r="F10" s="25">
        <v>2025.0</v>
      </c>
      <c r="G10" s="25">
        <v>0.0</v>
      </c>
      <c r="H10" s="25">
        <v>9.0</v>
      </c>
      <c r="I10" s="50">
        <v>1.0</v>
      </c>
      <c r="J10" s="25">
        <v>9.0</v>
      </c>
      <c r="K10" s="51">
        <v>0.0</v>
      </c>
      <c r="L10" s="51">
        <v>0.0</v>
      </c>
      <c r="M10" s="25">
        <v>5.0</v>
      </c>
      <c r="N10" s="25"/>
      <c r="O10" s="26" t="s">
        <v>60</v>
      </c>
      <c r="P10" s="55">
        <v>12584.4</v>
      </c>
      <c r="Q10" s="26" t="s">
        <v>67</v>
      </c>
      <c r="R10" s="25">
        <v>2021.0</v>
      </c>
      <c r="S10" s="25">
        <v>0.69</v>
      </c>
      <c r="T10" s="25">
        <f t="shared" si="2"/>
        <v>8683.236</v>
      </c>
      <c r="U10" s="24">
        <f t="shared" si="3"/>
        <v>964.804</v>
      </c>
      <c r="V10" s="3">
        <f t="shared" si="4"/>
        <v>0</v>
      </c>
      <c r="W10" s="3">
        <f t="shared" si="5"/>
        <v>0</v>
      </c>
      <c r="X10" s="3">
        <f t="shared" si="6"/>
        <v>0</v>
      </c>
      <c r="Y10" s="25">
        <f t="shared" si="7"/>
        <v>1</v>
      </c>
      <c r="Z10" s="26">
        <f>VLOOKUP(R10,CPI!$A$2:$F$71,6,0)</f>
        <v>1.188745987</v>
      </c>
      <c r="AA10" s="27">
        <f t="shared" si="8"/>
        <v>10322.16195</v>
      </c>
      <c r="AB10" s="27">
        <f t="shared" si="9"/>
        <v>1146.906883</v>
      </c>
      <c r="AC10" s="26" t="s">
        <v>60</v>
      </c>
      <c r="AD10" s="56" t="s">
        <v>68</v>
      </c>
      <c r="AE10" s="34"/>
      <c r="AF10" s="34"/>
      <c r="AG10" s="34"/>
      <c r="AH10" s="34"/>
    </row>
    <row r="11">
      <c r="A11" s="26" t="s">
        <v>64</v>
      </c>
      <c r="B11" s="26" t="s">
        <v>69</v>
      </c>
      <c r="C11" s="26" t="s">
        <v>70</v>
      </c>
      <c r="D11" s="26" t="s">
        <v>70</v>
      </c>
      <c r="E11" s="25">
        <v>2016.0</v>
      </c>
      <c r="F11" s="25">
        <v>2021.0</v>
      </c>
      <c r="G11" s="25">
        <v>1.0</v>
      </c>
      <c r="H11" s="25">
        <v>8.5</v>
      </c>
      <c r="I11" s="50">
        <v>1.0</v>
      </c>
      <c r="J11" s="25">
        <v>8.5</v>
      </c>
      <c r="K11" s="51">
        <v>0.0</v>
      </c>
      <c r="L11" s="51">
        <v>0.0</v>
      </c>
      <c r="M11" s="25">
        <v>3.0</v>
      </c>
      <c r="N11" s="25"/>
      <c r="O11" s="26" t="s">
        <v>60</v>
      </c>
      <c r="P11" s="52">
        <v>1860.0</v>
      </c>
      <c r="Q11" s="26" t="s">
        <v>67</v>
      </c>
      <c r="R11" s="25">
        <v>2018.0</v>
      </c>
      <c r="S11" s="25">
        <v>0.69</v>
      </c>
      <c r="T11" s="25">
        <f t="shared" si="2"/>
        <v>1283.4</v>
      </c>
      <c r="U11" s="24">
        <f t="shared" si="3"/>
        <v>150.9882353</v>
      </c>
      <c r="V11" s="3">
        <f t="shared" si="4"/>
        <v>0</v>
      </c>
      <c r="W11" s="3">
        <f t="shared" si="5"/>
        <v>0</v>
      </c>
      <c r="X11" s="3">
        <f t="shared" si="6"/>
        <v>0</v>
      </c>
      <c r="Y11" s="25">
        <f t="shared" si="7"/>
        <v>1</v>
      </c>
      <c r="Z11" s="26">
        <f>VLOOKUP(R11,CPI!$A$2:$F$71,6,0)</f>
        <v>1.28277786</v>
      </c>
      <c r="AA11" s="27">
        <f t="shared" si="8"/>
        <v>1646.317105</v>
      </c>
      <c r="AB11" s="27">
        <f t="shared" si="9"/>
        <v>193.6843653</v>
      </c>
      <c r="AC11" s="26" t="s">
        <v>60</v>
      </c>
      <c r="AD11" s="57" t="s">
        <v>71</v>
      </c>
      <c r="AE11" s="34"/>
      <c r="AF11" s="34"/>
      <c r="AG11" s="34"/>
      <c r="AH11" s="34"/>
    </row>
    <row r="12">
      <c r="A12" s="26" t="s">
        <v>64</v>
      </c>
      <c r="B12" s="26" t="s">
        <v>72</v>
      </c>
      <c r="C12" s="26" t="s">
        <v>73</v>
      </c>
      <c r="D12" s="26" t="s">
        <v>73</v>
      </c>
      <c r="E12" s="25">
        <v>2013.0</v>
      </c>
      <c r="F12" s="25">
        <v>2019.0</v>
      </c>
      <c r="G12" s="25">
        <v>0.0</v>
      </c>
      <c r="H12" s="25">
        <v>36.0</v>
      </c>
      <c r="I12" s="50">
        <v>0.42</v>
      </c>
      <c r="J12" s="25">
        <v>15.1</v>
      </c>
      <c r="K12" s="51">
        <v>0.0</v>
      </c>
      <c r="L12" s="51">
        <v>0.0</v>
      </c>
      <c r="M12" s="25">
        <v>13.0</v>
      </c>
      <c r="N12" s="25"/>
      <c r="O12" s="26" t="s">
        <v>74</v>
      </c>
      <c r="P12" s="52">
        <v>7800.0</v>
      </c>
      <c r="Q12" s="26" t="s">
        <v>67</v>
      </c>
      <c r="R12" s="25">
        <v>2016.0</v>
      </c>
      <c r="S12" s="25">
        <v>0.69</v>
      </c>
      <c r="T12" s="25">
        <f t="shared" si="2"/>
        <v>5382</v>
      </c>
      <c r="U12" s="24">
        <f t="shared" si="3"/>
        <v>149.5</v>
      </c>
      <c r="V12" s="3">
        <f t="shared" si="4"/>
        <v>0</v>
      </c>
      <c r="W12" s="3">
        <f t="shared" si="5"/>
        <v>0</v>
      </c>
      <c r="X12" s="3">
        <f t="shared" si="6"/>
        <v>0</v>
      </c>
      <c r="Y12" s="25">
        <f t="shared" si="7"/>
        <v>1</v>
      </c>
      <c r="Z12" s="26">
        <f>VLOOKUP(R12,CPI!$A$2:$F$71,6,0)</f>
        <v>1.342104605</v>
      </c>
      <c r="AA12" s="27">
        <f t="shared" si="8"/>
        <v>7223.206986</v>
      </c>
      <c r="AB12" s="27">
        <f t="shared" si="9"/>
        <v>200.6446385</v>
      </c>
      <c r="AC12" s="26" t="s">
        <v>60</v>
      </c>
      <c r="AD12" s="53" t="s">
        <v>75</v>
      </c>
      <c r="AE12" s="29"/>
      <c r="AF12" s="30"/>
      <c r="AG12" s="30"/>
      <c r="AH12" s="30"/>
    </row>
    <row r="13">
      <c r="A13" s="26" t="s">
        <v>64</v>
      </c>
      <c r="B13" s="26" t="s">
        <v>72</v>
      </c>
      <c r="C13" s="26" t="s">
        <v>76</v>
      </c>
      <c r="D13" s="26" t="s">
        <v>76</v>
      </c>
      <c r="E13" s="25">
        <v>2017.0</v>
      </c>
      <c r="F13" s="25">
        <v>2024.0</v>
      </c>
      <c r="G13" s="25">
        <v>0.0</v>
      </c>
      <c r="H13" s="25">
        <v>30.0</v>
      </c>
      <c r="I13" s="50">
        <v>0.51</v>
      </c>
      <c r="J13" s="25">
        <v>15.3</v>
      </c>
      <c r="K13" s="51">
        <v>0.0</v>
      </c>
      <c r="L13" s="51">
        <v>0.0</v>
      </c>
      <c r="M13" s="25">
        <v>7.0</v>
      </c>
      <c r="N13" s="25"/>
      <c r="O13" s="26" t="s">
        <v>74</v>
      </c>
      <c r="P13" s="52">
        <v>15500.0</v>
      </c>
      <c r="Q13" s="26" t="s">
        <v>67</v>
      </c>
      <c r="R13" s="25">
        <v>2021.0</v>
      </c>
      <c r="S13" s="25">
        <v>0.69</v>
      </c>
      <c r="T13" s="25">
        <f t="shared" si="2"/>
        <v>10695</v>
      </c>
      <c r="U13" s="24">
        <f t="shared" si="3"/>
        <v>356.5</v>
      </c>
      <c r="V13" s="3">
        <f t="shared" si="4"/>
        <v>0</v>
      </c>
      <c r="W13" s="3">
        <f t="shared" si="5"/>
        <v>0</v>
      </c>
      <c r="X13" s="3">
        <f t="shared" si="6"/>
        <v>0</v>
      </c>
      <c r="Y13" s="25">
        <f t="shared" si="7"/>
        <v>1</v>
      </c>
      <c r="Z13" s="26">
        <f>VLOOKUP(R13,CPI!$A$2:$F$71,6,0)</f>
        <v>1.188745987</v>
      </c>
      <c r="AA13" s="27">
        <f t="shared" si="8"/>
        <v>12713.63833</v>
      </c>
      <c r="AB13" s="27">
        <f t="shared" si="9"/>
        <v>423.7879442</v>
      </c>
      <c r="AC13" s="26" t="s">
        <v>42</v>
      </c>
      <c r="AD13" s="57" t="s">
        <v>77</v>
      </c>
      <c r="AE13" s="29"/>
      <c r="AF13" s="30"/>
      <c r="AG13" s="30"/>
      <c r="AH13" s="30"/>
    </row>
    <row r="14">
      <c r="A14" s="26" t="s">
        <v>78</v>
      </c>
      <c r="B14" s="26" t="s">
        <v>79</v>
      </c>
      <c r="C14" s="26" t="s">
        <v>80</v>
      </c>
      <c r="D14" s="26" t="s">
        <v>80</v>
      </c>
      <c r="E14" s="25">
        <v>2015.0</v>
      </c>
      <c r="F14" s="58">
        <v>2022.0</v>
      </c>
      <c r="G14" s="25">
        <v>0.0</v>
      </c>
      <c r="H14" s="58">
        <v>21.3</v>
      </c>
      <c r="I14" s="50">
        <v>0.0</v>
      </c>
      <c r="J14" s="25">
        <v>0.0</v>
      </c>
      <c r="K14" s="51">
        <v>0.0</v>
      </c>
      <c r="L14" s="51">
        <v>0.0</v>
      </c>
      <c r="M14" s="25">
        <v>16.0</v>
      </c>
      <c r="N14" s="25"/>
      <c r="O14" s="26" t="s">
        <v>42</v>
      </c>
      <c r="P14" s="55">
        <v>334720.0</v>
      </c>
      <c r="Q14" s="26" t="s">
        <v>81</v>
      </c>
      <c r="R14" s="58">
        <v>2019.0</v>
      </c>
      <c r="S14" s="25">
        <v>0.032</v>
      </c>
      <c r="T14" s="25">
        <f t="shared" si="2"/>
        <v>10711.04</v>
      </c>
      <c r="U14" s="24">
        <f t="shared" si="3"/>
        <v>502.8657277</v>
      </c>
      <c r="V14" s="3">
        <f t="shared" si="4"/>
        <v>0</v>
      </c>
      <c r="W14" s="3">
        <f t="shared" si="5"/>
        <v>0</v>
      </c>
      <c r="X14" s="3">
        <f t="shared" si="6"/>
        <v>0</v>
      </c>
      <c r="Y14" s="25">
        <f t="shared" si="7"/>
        <v>0</v>
      </c>
      <c r="Z14" s="26">
        <f>VLOOKUP(R14,CPI!$A$2:$F$71,6,0)</f>
        <v>1.259947899</v>
      </c>
      <c r="AA14" s="27">
        <f t="shared" si="8"/>
        <v>13495.35234</v>
      </c>
      <c r="AB14" s="27">
        <f t="shared" si="9"/>
        <v>633.5846171</v>
      </c>
      <c r="AC14" s="26" t="s">
        <v>42</v>
      </c>
      <c r="AD14" s="56" t="s">
        <v>82</v>
      </c>
      <c r="AE14" s="29"/>
      <c r="AF14" s="30"/>
      <c r="AG14" s="30"/>
      <c r="AH14" s="30"/>
    </row>
    <row r="15">
      <c r="A15" s="26" t="s">
        <v>78</v>
      </c>
      <c r="B15" s="26" t="s">
        <v>79</v>
      </c>
      <c r="C15" s="26" t="s">
        <v>57</v>
      </c>
      <c r="D15" s="26" t="s">
        <v>57</v>
      </c>
      <c r="E15" s="25">
        <v>2020.0</v>
      </c>
      <c r="F15" s="25">
        <v>2026.0</v>
      </c>
      <c r="G15" s="25">
        <v>0.0</v>
      </c>
      <c r="H15" s="25">
        <v>31.2</v>
      </c>
      <c r="I15" s="59">
        <v>0.64</v>
      </c>
      <c r="J15" s="58">
        <v>19.9</v>
      </c>
      <c r="K15" s="51">
        <v>0.0</v>
      </c>
      <c r="L15" s="51">
        <v>0.0</v>
      </c>
      <c r="M15" s="25">
        <v>19.0</v>
      </c>
      <c r="N15" s="25"/>
      <c r="O15" s="26" t="s">
        <v>42</v>
      </c>
      <c r="P15" s="52">
        <v>525610.0</v>
      </c>
      <c r="Q15" s="26" t="s">
        <v>81</v>
      </c>
      <c r="R15" s="25">
        <v>2023.0</v>
      </c>
      <c r="S15" s="25">
        <v>0.032</v>
      </c>
      <c r="T15" s="25">
        <f t="shared" si="2"/>
        <v>16819.52</v>
      </c>
      <c r="U15" s="24">
        <f t="shared" si="3"/>
        <v>539.0871795</v>
      </c>
      <c r="V15" s="3">
        <f t="shared" si="4"/>
        <v>0</v>
      </c>
      <c r="W15" s="3">
        <f t="shared" si="5"/>
        <v>0</v>
      </c>
      <c r="X15" s="3">
        <f t="shared" si="6"/>
        <v>0</v>
      </c>
      <c r="Y15" s="25">
        <f t="shared" si="7"/>
        <v>0</v>
      </c>
      <c r="Z15" s="26">
        <f>VLOOKUP(R15,CPI!$A$2:$F$71,6,0)</f>
        <v>1.057145998</v>
      </c>
      <c r="AA15" s="27">
        <f t="shared" si="8"/>
        <v>17780.68826</v>
      </c>
      <c r="AB15" s="27">
        <f t="shared" si="9"/>
        <v>569.8938546</v>
      </c>
      <c r="AC15" s="26" t="s">
        <v>42</v>
      </c>
      <c r="AD15" s="53" t="s">
        <v>83</v>
      </c>
      <c r="AE15" s="29"/>
      <c r="AF15" s="30"/>
      <c r="AG15" s="30"/>
      <c r="AH15" s="30"/>
    </row>
    <row r="16">
      <c r="A16" s="26" t="s">
        <v>78</v>
      </c>
      <c r="B16" s="26" t="s">
        <v>79</v>
      </c>
      <c r="C16" s="26" t="s">
        <v>84</v>
      </c>
      <c r="D16" s="26" t="s">
        <v>84</v>
      </c>
      <c r="E16" s="25">
        <v>2020.0</v>
      </c>
      <c r="F16" s="25">
        <v>2028.0</v>
      </c>
      <c r="G16" s="25">
        <v>0.0</v>
      </c>
      <c r="H16" s="25">
        <v>19.6</v>
      </c>
      <c r="I16" s="50">
        <v>0.7</v>
      </c>
      <c r="J16" s="25">
        <v>14.0</v>
      </c>
      <c r="K16" s="51">
        <v>0.0</v>
      </c>
      <c r="L16" s="51">
        <v>0.0</v>
      </c>
      <c r="M16" s="25">
        <v>14.0</v>
      </c>
      <c r="N16" s="25"/>
      <c r="O16" s="26" t="s">
        <v>42</v>
      </c>
      <c r="P16" s="52">
        <v>412380.0</v>
      </c>
      <c r="Q16" s="26" t="s">
        <v>81</v>
      </c>
      <c r="R16" s="25">
        <v>2024.0</v>
      </c>
      <c r="S16" s="25">
        <v>0.032</v>
      </c>
      <c r="T16" s="25">
        <f t="shared" si="2"/>
        <v>13196.16</v>
      </c>
      <c r="U16" s="24">
        <f t="shared" si="3"/>
        <v>673.2734694</v>
      </c>
      <c r="V16" s="3">
        <f t="shared" si="4"/>
        <v>0</v>
      </c>
      <c r="W16" s="3">
        <f t="shared" si="5"/>
        <v>0</v>
      </c>
      <c r="X16" s="3">
        <f t="shared" si="6"/>
        <v>0</v>
      </c>
      <c r="Y16" s="25">
        <f t="shared" si="7"/>
        <v>0</v>
      </c>
      <c r="Z16" s="26">
        <f>VLOOKUP(R16,CPI!$A$2:$F$71,6,0)</f>
        <v>1</v>
      </c>
      <c r="AA16" s="27">
        <f t="shared" si="8"/>
        <v>13196.16</v>
      </c>
      <c r="AB16" s="27">
        <f t="shared" si="9"/>
        <v>673.2734694</v>
      </c>
      <c r="AC16" s="26" t="s">
        <v>42</v>
      </c>
      <c r="AD16" s="53" t="s">
        <v>83</v>
      </c>
      <c r="AE16" s="29"/>
      <c r="AF16" s="30"/>
      <c r="AG16" s="30"/>
      <c r="AH16" s="30"/>
    </row>
    <row r="17">
      <c r="A17" s="26" t="s">
        <v>85</v>
      </c>
      <c r="B17" s="26" t="s">
        <v>86</v>
      </c>
      <c r="C17" s="26" t="s">
        <v>87</v>
      </c>
      <c r="D17" s="26" t="s">
        <v>87</v>
      </c>
      <c r="E17" s="25">
        <v>2020.0</v>
      </c>
      <c r="F17" s="25">
        <v>2028.0</v>
      </c>
      <c r="G17" s="25">
        <v>0.0</v>
      </c>
      <c r="H17" s="58">
        <v>4.8</v>
      </c>
      <c r="I17" s="50">
        <v>1.0</v>
      </c>
      <c r="J17" s="58">
        <v>4.8</v>
      </c>
      <c r="K17" s="51">
        <v>0.0</v>
      </c>
      <c r="L17" s="51">
        <v>0.0</v>
      </c>
      <c r="M17" s="25">
        <v>7.0</v>
      </c>
      <c r="N17" s="25"/>
      <c r="O17" s="26" t="s">
        <v>60</v>
      </c>
      <c r="P17" s="55">
        <v>2600.0</v>
      </c>
      <c r="Q17" s="26" t="s">
        <v>52</v>
      </c>
      <c r="R17" s="25">
        <v>2024.0</v>
      </c>
      <c r="S17" s="25">
        <v>1.3</v>
      </c>
      <c r="T17" s="25">
        <f t="shared" si="2"/>
        <v>3380</v>
      </c>
      <c r="U17" s="24">
        <f t="shared" si="3"/>
        <v>704.1666667</v>
      </c>
      <c r="V17" s="3">
        <f t="shared" si="4"/>
        <v>0</v>
      </c>
      <c r="W17" s="3">
        <f t="shared" si="5"/>
        <v>0</v>
      </c>
      <c r="X17" s="3">
        <f t="shared" si="6"/>
        <v>0</v>
      </c>
      <c r="Y17" s="25">
        <f t="shared" si="7"/>
        <v>0</v>
      </c>
      <c r="Z17" s="26">
        <f>VLOOKUP(R17,CPI!$A$2:$F$71,6,0)</f>
        <v>1</v>
      </c>
      <c r="AA17" s="27">
        <f t="shared" si="8"/>
        <v>3380</v>
      </c>
      <c r="AB17" s="27">
        <f t="shared" si="9"/>
        <v>704.1666667</v>
      </c>
      <c r="AC17" s="26" t="s">
        <v>60</v>
      </c>
      <c r="AD17" s="56" t="s">
        <v>88</v>
      </c>
      <c r="AE17" s="29"/>
      <c r="AF17" s="30"/>
      <c r="AG17" s="30"/>
      <c r="AH17" s="30"/>
    </row>
    <row r="18">
      <c r="A18" s="26" t="s">
        <v>89</v>
      </c>
      <c r="B18" s="26" t="s">
        <v>90</v>
      </c>
      <c r="C18" s="1" t="s">
        <v>54</v>
      </c>
      <c r="D18" s="26" t="s">
        <v>54</v>
      </c>
      <c r="E18" s="25">
        <v>2008.0</v>
      </c>
      <c r="F18" s="25">
        <v>2012.0</v>
      </c>
      <c r="G18" s="25">
        <v>0.0</v>
      </c>
      <c r="H18" s="25">
        <v>17.0</v>
      </c>
      <c r="I18" s="50">
        <v>0.9</v>
      </c>
      <c r="J18" s="25">
        <v>15.3</v>
      </c>
      <c r="K18" s="51">
        <v>0.0</v>
      </c>
      <c r="L18" s="51">
        <v>0.0</v>
      </c>
      <c r="M18" s="25">
        <v>11.0</v>
      </c>
      <c r="N18" s="25"/>
      <c r="O18" s="26" t="s">
        <v>36</v>
      </c>
      <c r="P18" s="52">
        <v>952.0</v>
      </c>
      <c r="Q18" s="26" t="s">
        <v>52</v>
      </c>
      <c r="R18" s="25">
        <v>2010.0</v>
      </c>
      <c r="S18" s="25">
        <v>3.32</v>
      </c>
      <c r="T18" s="25">
        <f t="shared" si="2"/>
        <v>3160.64</v>
      </c>
      <c r="U18" s="24">
        <f t="shared" si="3"/>
        <v>185.92</v>
      </c>
      <c r="V18" s="3">
        <f t="shared" si="4"/>
        <v>1</v>
      </c>
      <c r="W18" s="3">
        <f t="shared" si="5"/>
        <v>17</v>
      </c>
      <c r="X18" s="3">
        <f t="shared" si="6"/>
        <v>15.3</v>
      </c>
      <c r="Y18" s="25">
        <f t="shared" si="7"/>
        <v>0</v>
      </c>
      <c r="Z18" s="26">
        <f>VLOOKUP(R18,CPI!$A$2:$F$71,6,0)</f>
        <v>1.477209983</v>
      </c>
      <c r="AA18" s="27">
        <f t="shared" si="8"/>
        <v>4668.92896</v>
      </c>
      <c r="AB18" s="27">
        <f t="shared" si="9"/>
        <v>274.64288</v>
      </c>
      <c r="AC18" s="26" t="s">
        <v>36</v>
      </c>
      <c r="AD18" s="57" t="s">
        <v>91</v>
      </c>
      <c r="AE18" s="29"/>
      <c r="AF18" s="30"/>
      <c r="AG18" s="30"/>
      <c r="AH18" s="30"/>
    </row>
    <row r="19">
      <c r="A19" s="26" t="s">
        <v>89</v>
      </c>
      <c r="B19" s="26" t="s">
        <v>90</v>
      </c>
      <c r="C19" s="1" t="s">
        <v>57</v>
      </c>
      <c r="D19" s="26" t="s">
        <v>92</v>
      </c>
      <c r="E19" s="25">
        <v>2013.0</v>
      </c>
      <c r="F19" s="25">
        <v>2015.0</v>
      </c>
      <c r="G19" s="25">
        <v>0.0</v>
      </c>
      <c r="H19" s="25">
        <v>3.0</v>
      </c>
      <c r="I19" s="50">
        <v>1.0</v>
      </c>
      <c r="J19" s="25">
        <v>3.0</v>
      </c>
      <c r="K19" s="51">
        <v>0.0</v>
      </c>
      <c r="L19" s="51">
        <v>0.0</v>
      </c>
      <c r="M19" s="25">
        <v>3.0</v>
      </c>
      <c r="N19" s="25"/>
      <c r="O19" s="26" t="s">
        <v>42</v>
      </c>
      <c r="P19" s="52">
        <v>44.0</v>
      </c>
      <c r="Q19" s="26" t="s">
        <v>52</v>
      </c>
      <c r="R19" s="25">
        <v>2014.0</v>
      </c>
      <c r="S19" s="25">
        <v>3.32</v>
      </c>
      <c r="T19" s="25">
        <f t="shared" si="2"/>
        <v>146.08</v>
      </c>
      <c r="U19" s="24">
        <f t="shared" si="3"/>
        <v>48.69333333</v>
      </c>
      <c r="V19" s="3">
        <f t="shared" si="4"/>
        <v>1</v>
      </c>
      <c r="W19" s="3">
        <f t="shared" si="5"/>
        <v>3</v>
      </c>
      <c r="X19" s="3">
        <f t="shared" si="6"/>
        <v>3</v>
      </c>
      <c r="Y19" s="25">
        <f t="shared" si="7"/>
        <v>0</v>
      </c>
      <c r="Z19" s="26">
        <f>VLOOKUP(R19,CPI!$A$2:$F$71,6,0)</f>
        <v>1.360648571</v>
      </c>
      <c r="AA19" s="27">
        <f t="shared" si="8"/>
        <v>198.7635432</v>
      </c>
      <c r="AB19" s="27">
        <f t="shared" si="9"/>
        <v>66.2545144</v>
      </c>
      <c r="AC19" s="26" t="s">
        <v>42</v>
      </c>
      <c r="AD19" s="57" t="s">
        <v>93</v>
      </c>
      <c r="AE19" s="29"/>
      <c r="AF19" s="30"/>
      <c r="AG19" s="30"/>
      <c r="AH19" s="30"/>
    </row>
    <row r="20">
      <c r="A20" s="26" t="s">
        <v>89</v>
      </c>
      <c r="B20" s="26" t="s">
        <v>90</v>
      </c>
      <c r="C20" s="1" t="s">
        <v>54</v>
      </c>
      <c r="D20" s="26" t="s">
        <v>55</v>
      </c>
      <c r="E20" s="25">
        <v>2012.0</v>
      </c>
      <c r="F20" s="25">
        <v>2016.0</v>
      </c>
      <c r="G20" s="25">
        <v>0.0</v>
      </c>
      <c r="H20" s="25">
        <v>1.3</v>
      </c>
      <c r="I20" s="50">
        <v>1.0</v>
      </c>
      <c r="J20" s="25">
        <v>1.3</v>
      </c>
      <c r="K20" s="51">
        <v>0.0</v>
      </c>
      <c r="L20" s="51">
        <v>0.0</v>
      </c>
      <c r="M20" s="25">
        <v>1.0</v>
      </c>
      <c r="N20" s="25"/>
      <c r="O20" s="26" t="s">
        <v>42</v>
      </c>
      <c r="P20" s="52">
        <v>21.0</v>
      </c>
      <c r="Q20" s="26" t="s">
        <v>52</v>
      </c>
      <c r="R20" s="25">
        <v>2014.0</v>
      </c>
      <c r="S20" s="25">
        <v>3.32</v>
      </c>
      <c r="T20" s="25">
        <f t="shared" si="2"/>
        <v>69.72</v>
      </c>
      <c r="U20" s="24">
        <f t="shared" si="3"/>
        <v>53.63076923</v>
      </c>
      <c r="V20" s="3">
        <f t="shared" si="4"/>
        <v>1</v>
      </c>
      <c r="W20" s="3">
        <f t="shared" si="5"/>
        <v>1.3</v>
      </c>
      <c r="X20" s="3">
        <f t="shared" si="6"/>
        <v>1.3</v>
      </c>
      <c r="Y20" s="25">
        <f t="shared" si="7"/>
        <v>0</v>
      </c>
      <c r="Z20" s="26">
        <f>VLOOKUP(R20,CPI!$A$2:$F$71,6,0)</f>
        <v>1.360648571</v>
      </c>
      <c r="AA20" s="27">
        <f t="shared" si="8"/>
        <v>94.86441834</v>
      </c>
      <c r="AB20" s="27">
        <f t="shared" si="9"/>
        <v>72.97262949</v>
      </c>
      <c r="AC20" s="26" t="s">
        <v>42</v>
      </c>
      <c r="AD20" s="53" t="s">
        <v>94</v>
      </c>
      <c r="AE20" s="29"/>
      <c r="AF20" s="30"/>
      <c r="AG20" s="30"/>
      <c r="AH20" s="30"/>
    </row>
    <row r="21">
      <c r="A21" s="26" t="s">
        <v>89</v>
      </c>
      <c r="B21" s="26" t="s">
        <v>90</v>
      </c>
      <c r="C21" s="1" t="s">
        <v>87</v>
      </c>
      <c r="D21" s="26" t="s">
        <v>87</v>
      </c>
      <c r="E21" s="25">
        <v>2016.0</v>
      </c>
      <c r="F21" s="25">
        <v>2021.0</v>
      </c>
      <c r="G21" s="25">
        <v>0.0</v>
      </c>
      <c r="H21" s="25">
        <v>12.0</v>
      </c>
      <c r="I21" s="50">
        <v>1.0</v>
      </c>
      <c r="J21" s="25">
        <v>12.0</v>
      </c>
      <c r="K21" s="51">
        <v>0.0</v>
      </c>
      <c r="L21" s="51">
        <v>0.0</v>
      </c>
      <c r="M21" s="25">
        <v>12.0</v>
      </c>
      <c r="N21" s="25"/>
      <c r="O21" s="26" t="s">
        <v>60</v>
      </c>
      <c r="P21" s="52">
        <v>500.0</v>
      </c>
      <c r="Q21" s="26" t="s">
        <v>52</v>
      </c>
      <c r="R21" s="25">
        <v>2018.0</v>
      </c>
      <c r="S21" s="25">
        <v>3.32</v>
      </c>
      <c r="T21" s="25">
        <f t="shared" si="2"/>
        <v>1660</v>
      </c>
      <c r="U21" s="24">
        <f t="shared" si="3"/>
        <v>138.3333333</v>
      </c>
      <c r="V21" s="3">
        <f t="shared" si="4"/>
        <v>1</v>
      </c>
      <c r="W21" s="3">
        <f t="shared" si="5"/>
        <v>12</v>
      </c>
      <c r="X21" s="3">
        <f t="shared" si="6"/>
        <v>12</v>
      </c>
      <c r="Y21" s="25">
        <f t="shared" si="7"/>
        <v>0</v>
      </c>
      <c r="Z21" s="26">
        <f>VLOOKUP(R21,CPI!$A$2:$F$71,6,0)</f>
        <v>1.28277786</v>
      </c>
      <c r="AA21" s="27">
        <f t="shared" si="8"/>
        <v>2129.411247</v>
      </c>
      <c r="AB21" s="27">
        <f t="shared" si="9"/>
        <v>177.4509372</v>
      </c>
      <c r="AC21" s="26" t="s">
        <v>60</v>
      </c>
      <c r="AD21" s="53" t="s">
        <v>95</v>
      </c>
      <c r="AE21" s="29"/>
      <c r="AF21" s="30"/>
      <c r="AG21" s="30"/>
      <c r="AH21" s="30"/>
    </row>
    <row r="22">
      <c r="A22" s="26" t="s">
        <v>89</v>
      </c>
      <c r="B22" s="26" t="s">
        <v>90</v>
      </c>
      <c r="C22" s="1" t="s">
        <v>87</v>
      </c>
      <c r="D22" s="26" t="s">
        <v>96</v>
      </c>
      <c r="E22" s="25">
        <v>2021.0</v>
      </c>
      <c r="F22" s="58">
        <v>2026.0</v>
      </c>
      <c r="G22" s="25">
        <v>0.0</v>
      </c>
      <c r="H22" s="25">
        <v>3.1</v>
      </c>
      <c r="I22" s="50">
        <v>1.0</v>
      </c>
      <c r="J22" s="25">
        <v>3.1</v>
      </c>
      <c r="K22" s="51">
        <v>0.0</v>
      </c>
      <c r="L22" s="51">
        <v>0.0</v>
      </c>
      <c r="M22" s="25">
        <v>4.0</v>
      </c>
      <c r="N22" s="25"/>
      <c r="O22" s="26" t="s">
        <v>60</v>
      </c>
      <c r="P22" s="52">
        <v>112.5</v>
      </c>
      <c r="Q22" s="26" t="s">
        <v>52</v>
      </c>
      <c r="R22" s="25">
        <v>2021.0</v>
      </c>
      <c r="S22" s="25">
        <v>3.32</v>
      </c>
      <c r="T22" s="25">
        <f t="shared" si="2"/>
        <v>373.5</v>
      </c>
      <c r="U22" s="24">
        <f t="shared" si="3"/>
        <v>120.483871</v>
      </c>
      <c r="V22" s="3">
        <f t="shared" si="4"/>
        <v>1</v>
      </c>
      <c r="W22" s="3">
        <f t="shared" si="5"/>
        <v>3.1</v>
      </c>
      <c r="X22" s="3">
        <f t="shared" si="6"/>
        <v>3.1</v>
      </c>
      <c r="Y22" s="25">
        <f t="shared" si="7"/>
        <v>0</v>
      </c>
      <c r="Z22" s="26">
        <f>VLOOKUP(R22,CPI!$A$2:$F$71,6,0)</f>
        <v>1.188745987</v>
      </c>
      <c r="AA22" s="27">
        <f t="shared" si="8"/>
        <v>443.996626</v>
      </c>
      <c r="AB22" s="27">
        <f t="shared" si="9"/>
        <v>143.2247181</v>
      </c>
      <c r="AC22" s="26" t="s">
        <v>36</v>
      </c>
      <c r="AD22" s="53" t="s">
        <v>97</v>
      </c>
      <c r="AE22" s="29"/>
      <c r="AF22" s="30"/>
      <c r="AG22" s="30"/>
      <c r="AH22" s="30"/>
    </row>
    <row r="23">
      <c r="A23" s="26" t="s">
        <v>89</v>
      </c>
      <c r="B23" s="26" t="s">
        <v>90</v>
      </c>
      <c r="C23" s="1" t="s">
        <v>57</v>
      </c>
      <c r="D23" s="26" t="s">
        <v>98</v>
      </c>
      <c r="E23" s="25">
        <v>2009.0</v>
      </c>
      <c r="F23" s="58" t="s">
        <v>99</v>
      </c>
      <c r="G23" s="25">
        <v>0.0</v>
      </c>
      <c r="H23" s="25">
        <v>5.1</v>
      </c>
      <c r="I23" s="50">
        <v>0.6</v>
      </c>
      <c r="J23" s="25">
        <v>3.1</v>
      </c>
      <c r="K23" s="51">
        <v>0.0</v>
      </c>
      <c r="L23" s="51">
        <v>0.0</v>
      </c>
      <c r="M23" s="25">
        <v>4.0</v>
      </c>
      <c r="N23" s="25"/>
      <c r="O23" s="26" t="s">
        <v>59</v>
      </c>
      <c r="P23" s="52">
        <v>407.0</v>
      </c>
      <c r="Q23" s="26" t="s">
        <v>100</v>
      </c>
      <c r="R23" s="25">
        <v>2010.0</v>
      </c>
      <c r="S23" s="25">
        <v>1.69</v>
      </c>
      <c r="T23" s="25">
        <f t="shared" si="2"/>
        <v>687.83</v>
      </c>
      <c r="U23" s="24">
        <f t="shared" si="3"/>
        <v>134.8686275</v>
      </c>
      <c r="V23" s="3">
        <f t="shared" si="4"/>
        <v>1</v>
      </c>
      <c r="W23" s="3">
        <f t="shared" si="5"/>
        <v>5.1</v>
      </c>
      <c r="X23" s="3">
        <f t="shared" si="6"/>
        <v>3.1</v>
      </c>
      <c r="Y23" s="25">
        <f t="shared" si="7"/>
        <v>0</v>
      </c>
      <c r="Z23" s="26">
        <f>VLOOKUP(R23,CPI!$A$2:$F$71,6,0)</f>
        <v>1.477209983</v>
      </c>
      <c r="AA23" s="27">
        <f t="shared" si="8"/>
        <v>1016.069342</v>
      </c>
      <c r="AB23" s="27">
        <f t="shared" si="9"/>
        <v>199.2292828</v>
      </c>
      <c r="AC23" s="26" t="s">
        <v>42</v>
      </c>
      <c r="AD23" s="57" t="s">
        <v>101</v>
      </c>
      <c r="AE23" s="29"/>
      <c r="AF23" s="30"/>
      <c r="AG23" s="30"/>
      <c r="AH23" s="30"/>
    </row>
    <row r="24">
      <c r="A24" s="15" t="s">
        <v>102</v>
      </c>
      <c r="B24" s="15" t="s">
        <v>103</v>
      </c>
      <c r="C24" s="16" t="s">
        <v>34</v>
      </c>
      <c r="D24" s="15" t="s">
        <v>104</v>
      </c>
      <c r="E24" s="17">
        <v>2018.0</v>
      </c>
      <c r="F24" s="17">
        <v>2023.0</v>
      </c>
      <c r="G24" s="17">
        <v>1.0</v>
      </c>
      <c r="H24" s="18">
        <v>28.6</v>
      </c>
      <c r="I24" s="19">
        <f t="shared" ref="I24:I25" si="10">J24/H24</f>
        <v>0</v>
      </c>
      <c r="J24" s="20">
        <v>0.0</v>
      </c>
      <c r="K24" s="21">
        <v>0.0</v>
      </c>
      <c r="L24" s="21">
        <v>0.0</v>
      </c>
      <c r="M24" s="18">
        <v>20.0</v>
      </c>
      <c r="N24" s="17"/>
      <c r="O24" s="22"/>
      <c r="P24" s="23">
        <v>453.0</v>
      </c>
      <c r="Q24" s="15" t="s">
        <v>78</v>
      </c>
      <c r="R24" s="18">
        <v>2019.0</v>
      </c>
      <c r="S24" s="18">
        <f t="shared" ref="S24:S25" si="11">1/0.2</f>
        <v>5</v>
      </c>
      <c r="T24" s="18">
        <f t="shared" si="2"/>
        <v>2265</v>
      </c>
      <c r="U24" s="24">
        <f t="shared" si="3"/>
        <v>79.1958042</v>
      </c>
      <c r="V24" s="3">
        <f t="shared" si="4"/>
        <v>0</v>
      </c>
      <c r="W24" s="3">
        <f t="shared" si="5"/>
        <v>0</v>
      </c>
      <c r="X24" s="3">
        <f t="shared" si="6"/>
        <v>0</v>
      </c>
      <c r="Y24" s="25">
        <f t="shared" si="7"/>
        <v>0</v>
      </c>
      <c r="Z24" s="26">
        <f>VLOOKUP(R24,CPI!$A$2:$F$71,6,0)</f>
        <v>1.259947899</v>
      </c>
      <c r="AA24" s="27">
        <f t="shared" si="8"/>
        <v>2853.781991</v>
      </c>
      <c r="AB24" s="27">
        <f t="shared" si="9"/>
        <v>99.7825871</v>
      </c>
      <c r="AC24" s="6" t="s">
        <v>42</v>
      </c>
      <c r="AD24" s="37" t="s">
        <v>105</v>
      </c>
      <c r="AE24" s="29"/>
      <c r="AF24" s="30"/>
      <c r="AG24" s="30"/>
      <c r="AH24" s="30"/>
    </row>
    <row r="25">
      <c r="A25" s="15" t="s">
        <v>102</v>
      </c>
      <c r="B25" s="15" t="s">
        <v>103</v>
      </c>
      <c r="C25" s="15" t="s">
        <v>38</v>
      </c>
      <c r="D25" s="15" t="s">
        <v>38</v>
      </c>
      <c r="E25" s="17">
        <v>2020.0</v>
      </c>
      <c r="F25" s="17" t="s">
        <v>106</v>
      </c>
      <c r="G25" s="17">
        <v>1.0</v>
      </c>
      <c r="H25" s="18">
        <v>72.7</v>
      </c>
      <c r="I25" s="19">
        <f t="shared" si="10"/>
        <v>0</v>
      </c>
      <c r="J25" s="20">
        <v>0.0</v>
      </c>
      <c r="K25" s="21">
        <v>0.0</v>
      </c>
      <c r="L25" s="21">
        <v>0.0</v>
      </c>
      <c r="M25" s="18"/>
      <c r="N25" s="17"/>
      <c r="O25" s="22"/>
      <c r="P25" s="23">
        <v>1500.0</v>
      </c>
      <c r="Q25" s="15" t="s">
        <v>78</v>
      </c>
      <c r="R25" s="18">
        <v>2010.0</v>
      </c>
      <c r="S25" s="18">
        <f t="shared" si="11"/>
        <v>5</v>
      </c>
      <c r="T25" s="18">
        <f t="shared" si="2"/>
        <v>7500</v>
      </c>
      <c r="U25" s="24">
        <f t="shared" si="3"/>
        <v>103.1636864</v>
      </c>
      <c r="V25" s="3">
        <f t="shared" si="4"/>
        <v>0</v>
      </c>
      <c r="W25" s="3">
        <f t="shared" si="5"/>
        <v>0</v>
      </c>
      <c r="X25" s="3">
        <f t="shared" si="6"/>
        <v>0</v>
      </c>
      <c r="Y25" s="25">
        <f t="shared" si="7"/>
        <v>0</v>
      </c>
      <c r="Z25" s="26">
        <f>VLOOKUP(R25,CPI!$A$2:$F$71,6,0)</f>
        <v>1.477209983</v>
      </c>
      <c r="AA25" s="27">
        <f t="shared" si="8"/>
        <v>11079.07487</v>
      </c>
      <c r="AB25" s="27">
        <f t="shared" si="9"/>
        <v>152.3944274</v>
      </c>
      <c r="AC25" s="6" t="s">
        <v>42</v>
      </c>
      <c r="AD25" s="37" t="s">
        <v>107</v>
      </c>
      <c r="AE25" s="29"/>
      <c r="AF25" s="30"/>
      <c r="AG25" s="30"/>
      <c r="AH25" s="30"/>
    </row>
    <row r="26">
      <c r="A26" s="26" t="s">
        <v>108</v>
      </c>
      <c r="B26" s="26" t="s">
        <v>109</v>
      </c>
      <c r="C26" s="26" t="s">
        <v>110</v>
      </c>
      <c r="D26" s="26" t="s">
        <v>110</v>
      </c>
      <c r="E26" s="25">
        <v>2010.0</v>
      </c>
      <c r="F26" s="25">
        <v>2016.0</v>
      </c>
      <c r="G26" s="25">
        <v>0.0</v>
      </c>
      <c r="H26" s="25">
        <v>16.0</v>
      </c>
      <c r="I26" s="50">
        <v>0.96</v>
      </c>
      <c r="J26" s="25">
        <v>15.4</v>
      </c>
      <c r="K26" s="51">
        <v>0.0</v>
      </c>
      <c r="L26" s="51">
        <v>0.0</v>
      </c>
      <c r="M26" s="25">
        <v>7.0</v>
      </c>
      <c r="N26" s="25"/>
      <c r="O26" s="26" t="s">
        <v>59</v>
      </c>
      <c r="P26" s="52">
        <v>10300.0</v>
      </c>
      <c r="Q26" s="26" t="s">
        <v>111</v>
      </c>
      <c r="R26" s="25">
        <v>2013.0</v>
      </c>
      <c r="S26" s="25">
        <v>0.59</v>
      </c>
      <c r="T26" s="25">
        <f t="shared" si="2"/>
        <v>6077</v>
      </c>
      <c r="U26" s="24">
        <f t="shared" si="3"/>
        <v>379.8125</v>
      </c>
      <c r="V26" s="3">
        <f t="shared" si="4"/>
        <v>0</v>
      </c>
      <c r="W26" s="3">
        <f t="shared" si="5"/>
        <v>0</v>
      </c>
      <c r="X26" s="3">
        <f t="shared" si="6"/>
        <v>0</v>
      </c>
      <c r="Y26" s="25">
        <f t="shared" si="7"/>
        <v>0</v>
      </c>
      <c r="Z26" s="26">
        <f>VLOOKUP(R26,CPI!$A$2:$F$71,6,0)</f>
        <v>1.382720845</v>
      </c>
      <c r="AA26" s="27">
        <f t="shared" si="8"/>
        <v>8402.794578</v>
      </c>
      <c r="AB26" s="27">
        <f t="shared" si="9"/>
        <v>525.1746611</v>
      </c>
      <c r="AC26" s="26" t="s">
        <v>36</v>
      </c>
      <c r="AD26" s="57" t="s">
        <v>112</v>
      </c>
      <c r="AE26" s="29"/>
      <c r="AF26" s="30"/>
      <c r="AG26" s="30"/>
      <c r="AH26" s="30"/>
    </row>
    <row r="27">
      <c r="A27" s="26" t="s">
        <v>108</v>
      </c>
      <c r="B27" s="26" t="s">
        <v>113</v>
      </c>
      <c r="C27" s="26" t="s">
        <v>114</v>
      </c>
      <c r="D27" s="26" t="s">
        <v>114</v>
      </c>
      <c r="E27" s="25">
        <v>2000.0</v>
      </c>
      <c r="F27" s="25">
        <v>2017.0</v>
      </c>
      <c r="G27" s="25">
        <v>0.0</v>
      </c>
      <c r="H27" s="25">
        <v>33.0</v>
      </c>
      <c r="I27" s="50">
        <v>0.04</v>
      </c>
      <c r="J27" s="25">
        <v>1.4</v>
      </c>
      <c r="K27" s="51">
        <v>10.935</v>
      </c>
      <c r="L27" s="51">
        <v>20.745</v>
      </c>
      <c r="M27" s="25">
        <v>20.0</v>
      </c>
      <c r="N27" s="25"/>
      <c r="O27" s="26" t="s">
        <v>74</v>
      </c>
      <c r="P27" s="52">
        <v>4800.0</v>
      </c>
      <c r="Q27" s="26" t="s">
        <v>111</v>
      </c>
      <c r="R27" s="25">
        <v>2012.0</v>
      </c>
      <c r="S27" s="25">
        <v>0.62</v>
      </c>
      <c r="T27" s="25">
        <f t="shared" si="2"/>
        <v>2976</v>
      </c>
      <c r="U27" s="24">
        <f t="shared" si="3"/>
        <v>90.18181818</v>
      </c>
      <c r="V27" s="3">
        <f t="shared" si="4"/>
        <v>0</v>
      </c>
      <c r="W27" s="3">
        <f t="shared" si="5"/>
        <v>0</v>
      </c>
      <c r="X27" s="3">
        <f t="shared" si="6"/>
        <v>0</v>
      </c>
      <c r="Y27" s="25">
        <f t="shared" si="7"/>
        <v>0</v>
      </c>
      <c r="Z27" s="26">
        <f>VLOOKUP(R27,CPI!$A$2:$F$71,6,0)</f>
        <v>1.402974381</v>
      </c>
      <c r="AA27" s="27">
        <f t="shared" si="8"/>
        <v>4175.251757</v>
      </c>
      <c r="AB27" s="27">
        <f t="shared" si="9"/>
        <v>126.5227805</v>
      </c>
      <c r="AC27" s="26" t="s">
        <v>42</v>
      </c>
      <c r="AD27" s="57" t="s">
        <v>115</v>
      </c>
      <c r="AE27" s="29"/>
      <c r="AF27" s="30"/>
      <c r="AG27" s="30"/>
      <c r="AH27" s="30"/>
    </row>
    <row r="28">
      <c r="A28" s="26" t="s">
        <v>108</v>
      </c>
      <c r="B28" s="26" t="s">
        <v>113</v>
      </c>
      <c r="C28" s="26" t="s">
        <v>116</v>
      </c>
      <c r="D28" s="26" t="s">
        <v>116</v>
      </c>
      <c r="E28" s="25">
        <v>2020.0</v>
      </c>
      <c r="F28" s="25">
        <v>2022.0</v>
      </c>
      <c r="G28" s="25">
        <v>0.0</v>
      </c>
      <c r="H28" s="25">
        <v>23.3</v>
      </c>
      <c r="I28" s="50">
        <v>0.0</v>
      </c>
      <c r="J28" s="25">
        <v>0.0</v>
      </c>
      <c r="K28" s="51">
        <v>0.0</v>
      </c>
      <c r="L28" s="51">
        <v>0.0</v>
      </c>
      <c r="M28" s="25">
        <v>26.0</v>
      </c>
      <c r="N28" s="25"/>
      <c r="O28" s="26" t="s">
        <v>36</v>
      </c>
      <c r="P28" s="52">
        <v>689.0</v>
      </c>
      <c r="Q28" s="26" t="s">
        <v>37</v>
      </c>
      <c r="R28" s="25">
        <v>2021.0</v>
      </c>
      <c r="S28" s="25">
        <v>2.3</v>
      </c>
      <c r="T28" s="25">
        <f t="shared" si="2"/>
        <v>1584.7</v>
      </c>
      <c r="U28" s="24">
        <f t="shared" si="3"/>
        <v>68.01287554</v>
      </c>
      <c r="V28" s="3">
        <f t="shared" si="4"/>
        <v>0</v>
      </c>
      <c r="W28" s="3">
        <f t="shared" si="5"/>
        <v>0</v>
      </c>
      <c r="X28" s="3">
        <f t="shared" si="6"/>
        <v>0</v>
      </c>
      <c r="Y28" s="25">
        <f t="shared" si="7"/>
        <v>0</v>
      </c>
      <c r="Z28" s="26">
        <f>VLOOKUP(R28,CPI!$A$2:$F$71,6,0)</f>
        <v>1.188745987</v>
      </c>
      <c r="AA28" s="27">
        <f t="shared" si="8"/>
        <v>1883.805765</v>
      </c>
      <c r="AB28" s="27">
        <f t="shared" si="9"/>
        <v>80.85003283</v>
      </c>
      <c r="AC28" s="26" t="s">
        <v>36</v>
      </c>
      <c r="AD28" s="57" t="s">
        <v>117</v>
      </c>
      <c r="AE28" s="29"/>
      <c r="AF28" s="30"/>
      <c r="AG28" s="30"/>
      <c r="AH28" s="30"/>
    </row>
    <row r="29">
      <c r="A29" s="26" t="s">
        <v>108</v>
      </c>
      <c r="B29" s="26" t="s">
        <v>118</v>
      </c>
      <c r="C29" s="1" t="s">
        <v>84</v>
      </c>
      <c r="D29" s="26" t="s">
        <v>119</v>
      </c>
      <c r="E29" s="25">
        <v>2010.0</v>
      </c>
      <c r="F29" s="25">
        <v>2019.0</v>
      </c>
      <c r="G29" s="25">
        <v>0.0</v>
      </c>
      <c r="H29" s="25">
        <v>12.0</v>
      </c>
      <c r="I29" s="50">
        <v>1.0</v>
      </c>
      <c r="J29" s="25">
        <v>12.0</v>
      </c>
      <c r="K29" s="51">
        <v>0.0</v>
      </c>
      <c r="L29" s="51">
        <v>0.0</v>
      </c>
      <c r="M29" s="25">
        <v>11.0</v>
      </c>
      <c r="N29" s="25"/>
      <c r="O29" s="26" t="s">
        <v>74</v>
      </c>
      <c r="P29" s="52">
        <v>6900.0</v>
      </c>
      <c r="Q29" s="26" t="s">
        <v>111</v>
      </c>
      <c r="R29" s="25">
        <v>2014.0</v>
      </c>
      <c r="S29" s="25">
        <v>0.55</v>
      </c>
      <c r="T29" s="25">
        <f t="shared" si="2"/>
        <v>3795</v>
      </c>
      <c r="U29" s="24">
        <f t="shared" si="3"/>
        <v>316.25</v>
      </c>
      <c r="V29" s="3">
        <f t="shared" si="4"/>
        <v>0</v>
      </c>
      <c r="W29" s="3">
        <f t="shared" si="5"/>
        <v>0</v>
      </c>
      <c r="X29" s="3">
        <f t="shared" si="6"/>
        <v>0</v>
      </c>
      <c r="Y29" s="25">
        <f t="shared" si="7"/>
        <v>0</v>
      </c>
      <c r="Z29" s="26">
        <f>VLOOKUP(R29,CPI!$A$2:$F$71,6,0)</f>
        <v>1.360648571</v>
      </c>
      <c r="AA29" s="27">
        <f t="shared" si="8"/>
        <v>5163.661325</v>
      </c>
      <c r="AB29" s="27">
        <f t="shared" si="9"/>
        <v>430.3051104</v>
      </c>
      <c r="AC29" s="26" t="s">
        <v>36</v>
      </c>
      <c r="AD29" s="57" t="s">
        <v>120</v>
      </c>
      <c r="AE29" s="29"/>
      <c r="AF29" s="30"/>
      <c r="AG29" s="30"/>
      <c r="AH29" s="30"/>
    </row>
    <row r="30">
      <c r="A30" s="26" t="s">
        <v>108</v>
      </c>
      <c r="B30" s="26" t="s">
        <v>118</v>
      </c>
      <c r="C30" s="26" t="s">
        <v>121</v>
      </c>
      <c r="D30" s="26" t="s">
        <v>121</v>
      </c>
      <c r="E30" s="25">
        <v>2012.0</v>
      </c>
      <c r="F30" s="25">
        <v>2021.0</v>
      </c>
      <c r="G30" s="25">
        <v>0.0</v>
      </c>
      <c r="H30" s="25">
        <v>7.7</v>
      </c>
      <c r="I30" s="50">
        <v>0.0</v>
      </c>
      <c r="J30" s="25">
        <v>0.0</v>
      </c>
      <c r="K30" s="51">
        <v>0.0</v>
      </c>
      <c r="L30" s="51">
        <v>0.0</v>
      </c>
      <c r="M30" s="25">
        <v>8.0</v>
      </c>
      <c r="N30" s="25"/>
      <c r="O30" s="26" t="s">
        <v>36</v>
      </c>
      <c r="P30" s="52">
        <v>1300.0</v>
      </c>
      <c r="Q30" s="26" t="s">
        <v>37</v>
      </c>
      <c r="R30" s="25">
        <v>2016.0</v>
      </c>
      <c r="S30" s="25">
        <v>2.3</v>
      </c>
      <c r="T30" s="25">
        <f t="shared" si="2"/>
        <v>2990</v>
      </c>
      <c r="U30" s="24">
        <f t="shared" si="3"/>
        <v>388.3116883</v>
      </c>
      <c r="V30" s="3">
        <f t="shared" si="4"/>
        <v>0</v>
      </c>
      <c r="W30" s="3">
        <f t="shared" si="5"/>
        <v>0</v>
      </c>
      <c r="X30" s="3">
        <f t="shared" si="6"/>
        <v>0</v>
      </c>
      <c r="Y30" s="25">
        <f t="shared" si="7"/>
        <v>0</v>
      </c>
      <c r="Z30" s="26">
        <f>VLOOKUP(R30,CPI!$A$2:$F$71,6,0)</f>
        <v>1.342104605</v>
      </c>
      <c r="AA30" s="27">
        <f t="shared" si="8"/>
        <v>4012.89277</v>
      </c>
      <c r="AB30" s="27">
        <f t="shared" si="9"/>
        <v>521.1549052</v>
      </c>
      <c r="AC30" s="26" t="s">
        <v>36</v>
      </c>
      <c r="AD30" s="57" t="s">
        <v>122</v>
      </c>
      <c r="AE30" s="29"/>
      <c r="AF30" s="30"/>
      <c r="AG30" s="30"/>
      <c r="AH30" s="30"/>
    </row>
    <row r="31">
      <c r="A31" s="26" t="s">
        <v>108</v>
      </c>
      <c r="B31" s="26" t="s">
        <v>118</v>
      </c>
      <c r="C31" s="1" t="s">
        <v>80</v>
      </c>
      <c r="D31" s="26" t="s">
        <v>123</v>
      </c>
      <c r="E31" s="25">
        <v>2015.0</v>
      </c>
      <c r="F31" s="25">
        <v>2023.0</v>
      </c>
      <c r="G31" s="25">
        <v>0.0</v>
      </c>
      <c r="H31" s="25">
        <v>15.9</v>
      </c>
      <c r="I31" s="50">
        <v>0.84</v>
      </c>
      <c r="J31" s="25">
        <v>13.4</v>
      </c>
      <c r="K31" s="51">
        <v>0.0</v>
      </c>
      <c r="L31" s="51">
        <v>0.0</v>
      </c>
      <c r="M31" s="25">
        <v>15.0</v>
      </c>
      <c r="N31" s="25"/>
      <c r="O31" s="26" t="s">
        <v>36</v>
      </c>
      <c r="P31" s="52">
        <v>9600.0</v>
      </c>
      <c r="Q31" s="26" t="s">
        <v>111</v>
      </c>
      <c r="R31" s="25">
        <v>2020.0</v>
      </c>
      <c r="S31" s="25">
        <v>0.44</v>
      </c>
      <c r="T31" s="25">
        <f t="shared" si="2"/>
        <v>4224</v>
      </c>
      <c r="U31" s="24">
        <f t="shared" si="3"/>
        <v>265.6603774</v>
      </c>
      <c r="V31" s="3">
        <f t="shared" si="4"/>
        <v>0</v>
      </c>
      <c r="W31" s="3">
        <f t="shared" si="5"/>
        <v>0</v>
      </c>
      <c r="X31" s="3">
        <f t="shared" si="6"/>
        <v>0</v>
      </c>
      <c r="Y31" s="25">
        <f t="shared" si="7"/>
        <v>0</v>
      </c>
      <c r="Z31" s="26">
        <f>VLOOKUP(R31,CPI!$A$2:$F$71,6,0)</f>
        <v>1.244593545</v>
      </c>
      <c r="AA31" s="27">
        <f t="shared" si="8"/>
        <v>5257.163134</v>
      </c>
      <c r="AB31" s="27">
        <f t="shared" si="9"/>
        <v>330.6391908</v>
      </c>
      <c r="AC31" s="26" t="s">
        <v>36</v>
      </c>
      <c r="AD31" s="57" t="s">
        <v>124</v>
      </c>
      <c r="AE31" s="29"/>
      <c r="AF31" s="30"/>
      <c r="AG31" s="30"/>
      <c r="AH31" s="30"/>
    </row>
    <row r="32">
      <c r="A32" s="26" t="s">
        <v>125</v>
      </c>
      <c r="B32" s="26" t="s">
        <v>126</v>
      </c>
      <c r="C32" s="16" t="s">
        <v>127</v>
      </c>
      <c r="D32" s="26" t="s">
        <v>128</v>
      </c>
      <c r="E32" s="25">
        <v>2021.0</v>
      </c>
      <c r="F32" s="25">
        <v>2027.0</v>
      </c>
      <c r="G32" s="25">
        <v>0.0</v>
      </c>
      <c r="H32" s="25">
        <v>20.0</v>
      </c>
      <c r="I32" s="50">
        <v>0.2</v>
      </c>
      <c r="J32" s="25">
        <v>4.0</v>
      </c>
      <c r="K32" s="51">
        <v>0.0</v>
      </c>
      <c r="L32" s="51">
        <v>0.0</v>
      </c>
      <c r="M32" s="25">
        <v>15.0</v>
      </c>
      <c r="N32" s="25"/>
      <c r="O32" s="26" t="s">
        <v>74</v>
      </c>
      <c r="P32" s="52">
        <v>5500.0</v>
      </c>
      <c r="Q32" s="26" t="s">
        <v>129</v>
      </c>
      <c r="R32" s="25">
        <v>2024.0</v>
      </c>
      <c r="S32" s="25">
        <v>0.84</v>
      </c>
      <c r="T32" s="25">
        <f t="shared" si="2"/>
        <v>4620</v>
      </c>
      <c r="U32" s="24">
        <f t="shared" si="3"/>
        <v>231</v>
      </c>
      <c r="V32" s="3">
        <f t="shared" si="4"/>
        <v>0</v>
      </c>
      <c r="W32" s="3">
        <f t="shared" si="5"/>
        <v>0</v>
      </c>
      <c r="X32" s="3">
        <f t="shared" si="6"/>
        <v>0</v>
      </c>
      <c r="Y32" s="25">
        <f t="shared" si="7"/>
        <v>1</v>
      </c>
      <c r="Z32" s="26">
        <f>VLOOKUP(R32,CPI!$A$2:$F$71,6,0)</f>
        <v>1</v>
      </c>
      <c r="AA32" s="27">
        <f t="shared" si="8"/>
        <v>4620</v>
      </c>
      <c r="AB32" s="27">
        <f t="shared" si="9"/>
        <v>231</v>
      </c>
      <c r="AC32" s="26" t="s">
        <v>42</v>
      </c>
      <c r="AD32" s="57" t="s">
        <v>130</v>
      </c>
      <c r="AE32" s="29"/>
      <c r="AF32" s="30"/>
      <c r="AG32" s="30"/>
      <c r="AH32" s="30"/>
    </row>
    <row r="33">
      <c r="A33" s="66" t="s">
        <v>125</v>
      </c>
      <c r="B33" s="67" t="s">
        <v>134</v>
      </c>
      <c r="C33" s="67" t="s">
        <v>135</v>
      </c>
      <c r="D33" s="68" t="s">
        <v>136</v>
      </c>
      <c r="E33" s="69">
        <v>2016.0</v>
      </c>
      <c r="F33" s="69">
        <v>2023.0</v>
      </c>
      <c r="G33" s="70">
        <v>0.0</v>
      </c>
      <c r="H33" s="69">
        <v>13.1</v>
      </c>
      <c r="I33" s="71">
        <v>0.03</v>
      </c>
      <c r="J33" s="69">
        <v>0.4</v>
      </c>
      <c r="K33" s="54"/>
      <c r="L33" s="54"/>
      <c r="M33" s="69">
        <v>12.0</v>
      </c>
      <c r="N33" s="69">
        <v>125.0</v>
      </c>
      <c r="O33" s="72" t="s">
        <v>74</v>
      </c>
      <c r="P33" s="73">
        <v>1800.0</v>
      </c>
      <c r="Q33" s="74" t="s">
        <v>129</v>
      </c>
      <c r="R33" s="69">
        <v>2019.0</v>
      </c>
      <c r="S33" s="69">
        <v>0.802</v>
      </c>
      <c r="T33" s="75">
        <f t="shared" si="2"/>
        <v>1443.6</v>
      </c>
      <c r="U33" s="76">
        <f t="shared" si="3"/>
        <v>110.1984733</v>
      </c>
      <c r="V33" s="69">
        <f t="shared" si="4"/>
        <v>0</v>
      </c>
      <c r="W33" s="69">
        <f t="shared" si="5"/>
        <v>0</v>
      </c>
      <c r="X33" s="69">
        <f t="shared" si="6"/>
        <v>0</v>
      </c>
      <c r="Y33" s="77">
        <f t="shared" si="7"/>
        <v>1</v>
      </c>
      <c r="Z33" s="26">
        <f>VLOOKUP(R33,CPI!$A$2:$F$71,6,0)</f>
        <v>1.259947899</v>
      </c>
      <c r="AA33" s="78">
        <f t="shared" si="8"/>
        <v>1818.860787</v>
      </c>
      <c r="AB33" s="78">
        <f t="shared" si="9"/>
        <v>138.8443349</v>
      </c>
      <c r="AC33" s="72" t="s">
        <v>42</v>
      </c>
      <c r="AD33" s="79" t="s">
        <v>137</v>
      </c>
      <c r="AE33" s="80"/>
      <c r="AF33" s="81"/>
      <c r="AG33" s="81"/>
      <c r="AH33" s="81"/>
    </row>
    <row r="34">
      <c r="A34" s="63" t="s">
        <v>125</v>
      </c>
      <c r="B34" s="63" t="s">
        <v>134</v>
      </c>
      <c r="C34" s="1" t="s">
        <v>138</v>
      </c>
      <c r="D34" s="63" t="s">
        <v>139</v>
      </c>
      <c r="E34" s="58">
        <v>2020.0</v>
      </c>
      <c r="F34" s="58">
        <v>2024.0</v>
      </c>
      <c r="G34" s="58">
        <v>0.0</v>
      </c>
      <c r="H34" s="58">
        <v>1.6</v>
      </c>
      <c r="I34" s="59">
        <v>0.0</v>
      </c>
      <c r="J34" s="58">
        <v>0.0</v>
      </c>
      <c r="K34" s="58">
        <v>0.0</v>
      </c>
      <c r="L34" s="58">
        <v>1.6</v>
      </c>
      <c r="M34" s="58">
        <v>2.0</v>
      </c>
      <c r="N34" s="69">
        <v>125.0</v>
      </c>
      <c r="O34" s="63" t="s">
        <v>60</v>
      </c>
      <c r="P34" s="55">
        <v>291.0</v>
      </c>
      <c r="Q34" s="63" t="s">
        <v>129</v>
      </c>
      <c r="R34" s="58">
        <v>2020.0</v>
      </c>
      <c r="S34" s="82">
        <v>0.81</v>
      </c>
      <c r="T34" s="75">
        <f t="shared" si="2"/>
        <v>235.71</v>
      </c>
      <c r="U34" s="76">
        <f t="shared" si="3"/>
        <v>147.31875</v>
      </c>
      <c r="V34" s="3"/>
      <c r="W34" s="3"/>
      <c r="X34" s="3"/>
      <c r="Y34" s="58">
        <v>1.0</v>
      </c>
      <c r="Z34" s="26">
        <f>VLOOKUP(R34,CPI!$A$2:$F$71,6,0)</f>
        <v>1.244593545</v>
      </c>
      <c r="AA34" s="78">
        <f t="shared" si="8"/>
        <v>293.3631445</v>
      </c>
      <c r="AB34" s="78">
        <f t="shared" si="9"/>
        <v>183.3519653</v>
      </c>
      <c r="AC34" s="26"/>
      <c r="AD34" s="83" t="s">
        <v>2091</v>
      </c>
      <c r="AE34" s="29"/>
      <c r="AF34" s="30"/>
      <c r="AG34" s="30"/>
      <c r="AH34" s="30"/>
    </row>
    <row r="35">
      <c r="A35" s="63" t="s">
        <v>125</v>
      </c>
      <c r="B35" s="63" t="s">
        <v>134</v>
      </c>
      <c r="C35" s="1" t="s">
        <v>141</v>
      </c>
      <c r="D35" s="63" t="s">
        <v>142</v>
      </c>
      <c r="E35" s="58">
        <v>2022.0</v>
      </c>
      <c r="F35" s="58">
        <v>2028.0</v>
      </c>
      <c r="G35" s="58">
        <v>0.0</v>
      </c>
      <c r="H35" s="58">
        <v>14.0</v>
      </c>
      <c r="I35" s="59">
        <v>0.0</v>
      </c>
      <c r="J35" s="58">
        <v>0.0</v>
      </c>
      <c r="K35" s="58">
        <v>2.1</v>
      </c>
      <c r="L35" s="58">
        <f>14-2.1</f>
        <v>11.9</v>
      </c>
      <c r="M35" s="58">
        <v>14.0</v>
      </c>
      <c r="N35" s="69">
        <v>125.0</v>
      </c>
      <c r="O35" s="63" t="s">
        <v>60</v>
      </c>
      <c r="P35" s="55">
        <v>2700.0</v>
      </c>
      <c r="Q35" s="63" t="s">
        <v>129</v>
      </c>
      <c r="R35" s="58">
        <v>2022.0</v>
      </c>
      <c r="S35" s="58">
        <v>0.88</v>
      </c>
      <c r="T35" s="25">
        <f t="shared" si="2"/>
        <v>2376</v>
      </c>
      <c r="U35" s="24">
        <f t="shared" si="3"/>
        <v>169.7142857</v>
      </c>
      <c r="V35" s="85">
        <v>0.0</v>
      </c>
      <c r="W35" s="3"/>
      <c r="X35" s="3"/>
      <c r="Y35" s="58">
        <v>1.0</v>
      </c>
      <c r="Z35" s="26">
        <f>VLOOKUP(R35,CPI!$A$2:$F$71,6,0)</f>
        <v>1.100662897</v>
      </c>
      <c r="AA35" s="78">
        <f t="shared" si="8"/>
        <v>2615.175042</v>
      </c>
      <c r="AB35" s="78">
        <f t="shared" si="9"/>
        <v>186.7982173</v>
      </c>
      <c r="AC35" s="63" t="s">
        <v>42</v>
      </c>
      <c r="AD35" s="86" t="s">
        <v>143</v>
      </c>
      <c r="AE35" s="29"/>
      <c r="AF35" s="30"/>
      <c r="AG35" s="30"/>
      <c r="AH35" s="30"/>
    </row>
    <row r="36">
      <c r="A36" s="63" t="s">
        <v>125</v>
      </c>
      <c r="B36" s="63" t="s">
        <v>144</v>
      </c>
      <c r="C36" s="1" t="s">
        <v>145</v>
      </c>
      <c r="D36" s="63" t="s">
        <v>34</v>
      </c>
      <c r="E36" s="58">
        <v>2025.0</v>
      </c>
      <c r="F36" s="58">
        <v>2029.0</v>
      </c>
      <c r="G36" s="58">
        <v>0.0</v>
      </c>
      <c r="H36" s="58">
        <v>14.0</v>
      </c>
      <c r="I36" s="59">
        <v>0.0</v>
      </c>
      <c r="J36" s="58">
        <v>0.0</v>
      </c>
      <c r="K36" s="58">
        <v>0.0</v>
      </c>
      <c r="L36" s="58">
        <v>14.0</v>
      </c>
      <c r="M36" s="58">
        <v>17.0</v>
      </c>
      <c r="N36" s="58">
        <v>50.0</v>
      </c>
      <c r="O36" s="26" t="s">
        <v>60</v>
      </c>
      <c r="P36" s="55">
        <v>3400.0</v>
      </c>
      <c r="Q36" s="63" t="s">
        <v>129</v>
      </c>
      <c r="R36" s="58">
        <v>2025.0</v>
      </c>
      <c r="S36" s="58">
        <v>1.0</v>
      </c>
      <c r="T36" s="25">
        <f t="shared" si="2"/>
        <v>3400</v>
      </c>
      <c r="U36" s="24">
        <f t="shared" si="3"/>
        <v>242.8571429</v>
      </c>
      <c r="V36" s="3"/>
      <c r="W36" s="3"/>
      <c r="X36" s="3"/>
      <c r="Y36" s="25"/>
      <c r="Z36" s="26">
        <f>VLOOKUP(R36,CPI!$A$2:$F$71,6,0)</f>
        <v>1</v>
      </c>
      <c r="AA36" s="27">
        <f t="shared" si="8"/>
        <v>3400</v>
      </c>
      <c r="AB36" s="27">
        <f t="shared" si="9"/>
        <v>242.8571429</v>
      </c>
      <c r="AC36" s="63" t="s">
        <v>42</v>
      </c>
      <c r="AD36" s="87" t="s">
        <v>146</v>
      </c>
      <c r="AE36" s="29"/>
      <c r="AF36" s="30"/>
      <c r="AG36" s="30"/>
      <c r="AH36" s="30"/>
    </row>
    <row r="37">
      <c r="A37" s="63" t="s">
        <v>125</v>
      </c>
      <c r="B37" s="63" t="s">
        <v>147</v>
      </c>
      <c r="C37" s="1" t="s">
        <v>148</v>
      </c>
      <c r="D37" s="63" t="s">
        <v>34</v>
      </c>
      <c r="E37" s="58">
        <v>2020.0</v>
      </c>
      <c r="F37" s="58">
        <v>2027.0</v>
      </c>
      <c r="G37" s="58">
        <v>0.0</v>
      </c>
      <c r="H37" s="58">
        <v>18.0</v>
      </c>
      <c r="I37" s="50">
        <f>(1/19)%</f>
        <v>0.0005263157895</v>
      </c>
      <c r="J37" s="58">
        <v>1.0</v>
      </c>
      <c r="K37" s="58"/>
      <c r="L37" s="58">
        <v>18.0</v>
      </c>
      <c r="M37" s="58">
        <v>19.0</v>
      </c>
      <c r="N37" s="58">
        <v>50.0</v>
      </c>
      <c r="O37" s="63" t="s">
        <v>60</v>
      </c>
      <c r="P37" s="55">
        <v>4700.0</v>
      </c>
      <c r="Q37" s="63" t="s">
        <v>129</v>
      </c>
      <c r="R37" s="58">
        <v>2020.0</v>
      </c>
      <c r="S37" s="25">
        <v>0.84</v>
      </c>
      <c r="T37" s="25">
        <f t="shared" si="2"/>
        <v>3948</v>
      </c>
      <c r="U37" s="24">
        <f t="shared" si="3"/>
        <v>219.3333333</v>
      </c>
      <c r="V37" s="3"/>
      <c r="W37" s="3"/>
      <c r="X37" s="3"/>
      <c r="Y37" s="25"/>
      <c r="Z37" s="26">
        <f>VLOOKUP(R37,CPI!$A$2:$F$71,6,0)</f>
        <v>1.244593545</v>
      </c>
      <c r="AA37" s="27">
        <f t="shared" si="8"/>
        <v>4913.655316</v>
      </c>
      <c r="AB37" s="27">
        <f t="shared" si="9"/>
        <v>272.9808509</v>
      </c>
      <c r="AC37" s="63" t="s">
        <v>42</v>
      </c>
      <c r="AD37" s="88" t="s">
        <v>149</v>
      </c>
      <c r="AE37" s="29"/>
      <c r="AF37" s="30"/>
      <c r="AG37" s="30"/>
      <c r="AH37" s="30"/>
    </row>
    <row r="38">
      <c r="A38" s="26" t="s">
        <v>125</v>
      </c>
      <c r="B38" s="26" t="s">
        <v>150</v>
      </c>
      <c r="C38" s="26" t="s">
        <v>151</v>
      </c>
      <c r="D38" s="26" t="s">
        <v>151</v>
      </c>
      <c r="E38" s="25">
        <v>2001.0</v>
      </c>
      <c r="F38" s="25">
        <v>2007.0</v>
      </c>
      <c r="G38" s="25">
        <v>0.0</v>
      </c>
      <c r="H38" s="25">
        <v>5.2</v>
      </c>
      <c r="I38" s="50">
        <v>1.0</v>
      </c>
      <c r="J38" s="25">
        <v>5.2</v>
      </c>
      <c r="K38" s="51">
        <v>0.0</v>
      </c>
      <c r="L38" s="51">
        <v>0.0</v>
      </c>
      <c r="M38" s="25">
        <v>3.0</v>
      </c>
      <c r="N38" s="25"/>
      <c r="O38" s="26" t="s">
        <v>74</v>
      </c>
      <c r="P38" s="52">
        <v>745.0</v>
      </c>
      <c r="Q38" s="26" t="s">
        <v>129</v>
      </c>
      <c r="R38" s="25">
        <v>2004.0</v>
      </c>
      <c r="S38" s="25">
        <v>0.81</v>
      </c>
      <c r="T38" s="25">
        <f t="shared" si="2"/>
        <v>603.45</v>
      </c>
      <c r="U38" s="24">
        <f t="shared" si="3"/>
        <v>116.0480769</v>
      </c>
      <c r="V38" s="3">
        <f t="shared" ref="V38:V39" si="12">IF(OR(A38 = "BG",A38 = "GR",A38 = "IT",A38 = "ES",A38 = "PT",A38 = "TR", A38 = "KR",A38 = "SE",A38 = "CH",A38 = "NO",A38 = "DK",A38 = "FI"), 1, 0)</f>
        <v>0</v>
      </c>
      <c r="W38" s="3">
        <f t="shared" ref="W38:W39" si="13">V38*H38</f>
        <v>0</v>
      </c>
      <c r="X38" s="3">
        <f t="shared" ref="X38:X39" si="14">V38*J38</f>
        <v>0</v>
      </c>
      <c r="Y38" s="25">
        <f t="shared" ref="Y38:Y39" si="15">IF(OR(A38 = "US",A38 = "CA",A38 = "UK",A38 = "NZ",A38 = "AU",A38 = "SG"), 1, 0)</f>
        <v>1</v>
      </c>
      <c r="Z38" s="26">
        <f>VLOOKUP(R38,CPI!$A$2:$F$71,6,0)</f>
        <v>1.705211752</v>
      </c>
      <c r="AA38" s="27">
        <f t="shared" si="8"/>
        <v>1029.010032</v>
      </c>
      <c r="AB38" s="27">
        <f t="shared" si="9"/>
        <v>197.8865446</v>
      </c>
      <c r="AC38" s="26" t="s">
        <v>42</v>
      </c>
      <c r="AD38" s="53" t="s">
        <v>152</v>
      </c>
      <c r="AE38" s="89"/>
      <c r="AF38" s="90"/>
      <c r="AG38" s="90"/>
      <c r="AH38" s="90"/>
    </row>
    <row r="39">
      <c r="A39" s="26" t="s">
        <v>125</v>
      </c>
      <c r="B39" s="26" t="s">
        <v>150</v>
      </c>
      <c r="C39" s="63" t="s">
        <v>153</v>
      </c>
      <c r="D39" s="63" t="s">
        <v>153</v>
      </c>
      <c r="E39" s="25">
        <v>2020.0</v>
      </c>
      <c r="F39" s="25">
        <v>2026.0</v>
      </c>
      <c r="G39" s="58">
        <v>0.0</v>
      </c>
      <c r="H39" s="25">
        <v>5.8</v>
      </c>
      <c r="I39" s="50">
        <v>1.0</v>
      </c>
      <c r="J39" s="25">
        <v>5.8</v>
      </c>
      <c r="K39" s="51">
        <v>0.0</v>
      </c>
      <c r="L39" s="51">
        <v>0.0</v>
      </c>
      <c r="M39" s="25">
        <v>5.0</v>
      </c>
      <c r="N39" s="25"/>
      <c r="O39" s="26" t="s">
        <v>42</v>
      </c>
      <c r="P39" s="55">
        <v>7600.0</v>
      </c>
      <c r="Q39" s="63" t="s">
        <v>129</v>
      </c>
      <c r="R39" s="25">
        <v>2018.0</v>
      </c>
      <c r="S39" s="25">
        <v>0.84</v>
      </c>
      <c r="T39" s="25">
        <f t="shared" si="2"/>
        <v>6384</v>
      </c>
      <c r="U39" s="24">
        <f t="shared" si="3"/>
        <v>1100.689655</v>
      </c>
      <c r="V39" s="3">
        <f t="shared" si="12"/>
        <v>0</v>
      </c>
      <c r="W39" s="3">
        <f t="shared" si="13"/>
        <v>0</v>
      </c>
      <c r="X39" s="3">
        <f t="shared" si="14"/>
        <v>0</v>
      </c>
      <c r="Y39" s="25">
        <f t="shared" si="15"/>
        <v>1</v>
      </c>
      <c r="Z39" s="26">
        <f>VLOOKUP(R39,CPI!$A$2:$F$71,6,0)</f>
        <v>1.28277786</v>
      </c>
      <c r="AA39" s="27">
        <f t="shared" si="8"/>
        <v>8189.253856</v>
      </c>
      <c r="AB39" s="27">
        <f t="shared" si="9"/>
        <v>1411.94032</v>
      </c>
      <c r="AC39" s="26" t="s">
        <v>42</v>
      </c>
      <c r="AD39" s="87" t="s">
        <v>154</v>
      </c>
      <c r="AE39" s="29"/>
      <c r="AF39" s="30"/>
      <c r="AG39" s="30"/>
      <c r="AH39" s="30"/>
    </row>
    <row r="40">
      <c r="A40" s="26" t="s">
        <v>125</v>
      </c>
      <c r="B40" s="26" t="s">
        <v>150</v>
      </c>
      <c r="C40" s="63" t="s">
        <v>155</v>
      </c>
      <c r="D40" s="63" t="s">
        <v>34</v>
      </c>
      <c r="E40" s="58">
        <v>2025.0</v>
      </c>
      <c r="F40" s="58">
        <v>2033.0</v>
      </c>
      <c r="G40" s="58">
        <v>0.0</v>
      </c>
      <c r="H40" s="58">
        <v>31.0</v>
      </c>
      <c r="I40" s="59">
        <v>0.0</v>
      </c>
      <c r="J40" s="58">
        <v>0.0</v>
      </c>
      <c r="K40" s="58">
        <v>0.0</v>
      </c>
      <c r="L40" s="58">
        <v>31.0</v>
      </c>
      <c r="M40" s="58" t="s">
        <v>156</v>
      </c>
      <c r="N40" s="25"/>
      <c r="O40" s="63" t="s">
        <v>60</v>
      </c>
      <c r="P40" s="55">
        <v>19000.0</v>
      </c>
      <c r="Q40" s="63" t="s">
        <v>129</v>
      </c>
      <c r="R40" s="58">
        <v>2025.0</v>
      </c>
      <c r="S40" s="58">
        <v>1.0</v>
      </c>
      <c r="T40" s="58">
        <v>19000.0</v>
      </c>
      <c r="U40" s="24">
        <f t="shared" si="3"/>
        <v>612.9032258</v>
      </c>
      <c r="V40" s="3"/>
      <c r="W40" s="3"/>
      <c r="X40" s="3"/>
      <c r="Y40" s="58">
        <v>0.0</v>
      </c>
      <c r="Z40" s="26">
        <f>VLOOKUP(R40,CPI!$A$2:$F$71,6,0)</f>
        <v>1</v>
      </c>
      <c r="AA40" s="27">
        <f t="shared" si="8"/>
        <v>19000</v>
      </c>
      <c r="AB40" s="27">
        <f t="shared" si="9"/>
        <v>612.9032258</v>
      </c>
      <c r="AC40" s="63" t="s">
        <v>42</v>
      </c>
      <c r="AD40" s="93" t="s">
        <v>157</v>
      </c>
      <c r="AE40" s="29"/>
      <c r="AF40" s="30"/>
      <c r="AG40" s="30"/>
      <c r="AH40" s="30"/>
    </row>
    <row r="41">
      <c r="A41" s="26" t="s">
        <v>125</v>
      </c>
      <c r="B41" s="26" t="s">
        <v>161</v>
      </c>
      <c r="C41" s="26" t="s">
        <v>162</v>
      </c>
      <c r="D41" s="26" t="s">
        <v>162</v>
      </c>
      <c r="E41" s="25">
        <v>2013.0</v>
      </c>
      <c r="F41" s="25">
        <v>2019.0</v>
      </c>
      <c r="G41" s="25">
        <v>0.0</v>
      </c>
      <c r="H41" s="25">
        <v>12.5</v>
      </c>
      <c r="I41" s="50">
        <v>0.2</v>
      </c>
      <c r="J41" s="25">
        <v>2.5</v>
      </c>
      <c r="K41" s="51">
        <v>0.84</v>
      </c>
      <c r="L41" s="51">
        <v>9.16</v>
      </c>
      <c r="M41" s="25">
        <v>13.0</v>
      </c>
      <c r="N41" s="58" t="s">
        <v>163</v>
      </c>
      <c r="O41" s="26" t="s">
        <v>36</v>
      </c>
      <c r="P41" s="52">
        <v>2100.0</v>
      </c>
      <c r="Q41" s="63" t="s">
        <v>129</v>
      </c>
      <c r="R41" s="25">
        <v>2016.0</v>
      </c>
      <c r="S41" s="25">
        <v>0.83</v>
      </c>
      <c r="T41" s="25">
        <f t="shared" ref="T41:T64" si="16">P41*S41</f>
        <v>1743</v>
      </c>
      <c r="U41" s="24">
        <f t="shared" si="3"/>
        <v>139.44</v>
      </c>
      <c r="V41" s="3">
        <f>IF(OR(A41 = "BG",A41 = "GR",A41 = "IT",A41 = "ES",A41 = "PT",A41 = "TR", A41 = "KR",A41 = "SE",A41 = "CH",A41 = "NO",A41 = "DK",A41 = "FI"), 1, 0)</f>
        <v>0</v>
      </c>
      <c r="W41" s="3">
        <f>V41*H41</f>
        <v>0</v>
      </c>
      <c r="X41" s="3">
        <f>V41*J41</f>
        <v>0</v>
      </c>
      <c r="Y41" s="25">
        <f>IF(OR(A41 = "US",A41 = "CA",A41 = "UK",A41 = "NZ",A41 = "AU",A41 = "SG"), 1, 0)</f>
        <v>1</v>
      </c>
      <c r="Z41" s="26">
        <f>VLOOKUP(R41,CPI!$A$2:$F$71,6,0)</f>
        <v>1.342104605</v>
      </c>
      <c r="AA41" s="27">
        <f t="shared" si="8"/>
        <v>2339.288327</v>
      </c>
      <c r="AB41" s="27">
        <f t="shared" si="9"/>
        <v>187.1430662</v>
      </c>
      <c r="AC41" s="26" t="s">
        <v>36</v>
      </c>
      <c r="AD41" s="53" t="s">
        <v>164</v>
      </c>
      <c r="AE41" s="34"/>
      <c r="AF41" s="34"/>
      <c r="AG41" s="34"/>
      <c r="AH41" s="34"/>
    </row>
    <row r="42">
      <c r="A42" s="26" t="s">
        <v>125</v>
      </c>
      <c r="B42" s="26" t="s">
        <v>161</v>
      </c>
      <c r="C42" s="26" t="s">
        <v>162</v>
      </c>
      <c r="D42" s="63" t="s">
        <v>165</v>
      </c>
      <c r="E42" s="58">
        <v>2019.0</v>
      </c>
      <c r="F42" s="58">
        <v>2025.0</v>
      </c>
      <c r="G42" s="58">
        <v>0.0</v>
      </c>
      <c r="H42" s="58">
        <v>28.0</v>
      </c>
      <c r="I42" s="50">
        <f>(3.4/28)</f>
        <v>0.1214285714</v>
      </c>
      <c r="J42" s="58">
        <v>3.4</v>
      </c>
      <c r="K42" s="58">
        <v>0.0</v>
      </c>
      <c r="L42" s="58">
        <v>12.0</v>
      </c>
      <c r="M42" s="58">
        <v>17.0</v>
      </c>
      <c r="N42" s="58" t="s">
        <v>163</v>
      </c>
      <c r="O42" s="63" t="s">
        <v>60</v>
      </c>
      <c r="P42" s="55">
        <v>2600.0</v>
      </c>
      <c r="Q42" s="63" t="s">
        <v>129</v>
      </c>
      <c r="R42" s="58">
        <v>2019.0</v>
      </c>
      <c r="S42" s="69">
        <v>0.802</v>
      </c>
      <c r="T42" s="25">
        <f t="shared" si="16"/>
        <v>2085.2</v>
      </c>
      <c r="U42" s="24">
        <f t="shared" si="3"/>
        <v>74.47142857</v>
      </c>
      <c r="V42" s="3"/>
      <c r="W42" s="3"/>
      <c r="X42" s="3"/>
      <c r="Y42" s="58">
        <v>1.0</v>
      </c>
      <c r="Z42" s="26">
        <f>VLOOKUP(R42,CPI!$A$2:$F$71,6,0)</f>
        <v>1.259947899</v>
      </c>
      <c r="AA42" s="27">
        <f t="shared" si="8"/>
        <v>2627.243359</v>
      </c>
      <c r="AB42" s="27">
        <f t="shared" si="9"/>
        <v>93.83011996</v>
      </c>
      <c r="AC42" s="63" t="s">
        <v>36</v>
      </c>
      <c r="AD42" s="87" t="s">
        <v>166</v>
      </c>
      <c r="AE42" s="95"/>
      <c r="AF42" s="96"/>
      <c r="AG42" s="96"/>
      <c r="AH42" s="96"/>
    </row>
    <row r="43">
      <c r="A43" s="63" t="s">
        <v>125</v>
      </c>
      <c r="B43" s="26" t="s">
        <v>161</v>
      </c>
      <c r="C43" s="63" t="s">
        <v>167</v>
      </c>
      <c r="D43" s="63" t="s">
        <v>168</v>
      </c>
      <c r="E43" s="58">
        <v>2020.0</v>
      </c>
      <c r="F43" s="58">
        <v>2025.0</v>
      </c>
      <c r="G43" s="58">
        <v>0.0</v>
      </c>
      <c r="H43" s="58">
        <v>20.0</v>
      </c>
      <c r="I43" s="59">
        <v>0.0</v>
      </c>
      <c r="J43" s="58">
        <v>0.0</v>
      </c>
      <c r="K43" s="58">
        <v>0.5</v>
      </c>
      <c r="L43" s="58">
        <v>15.5</v>
      </c>
      <c r="M43" s="58">
        <v>13.0</v>
      </c>
      <c r="N43" s="58" t="s">
        <v>163</v>
      </c>
      <c r="O43" s="63" t="s">
        <v>60</v>
      </c>
      <c r="P43" s="55">
        <v>1660.0</v>
      </c>
      <c r="Q43" s="63" t="s">
        <v>129</v>
      </c>
      <c r="R43" s="58">
        <v>2019.0</v>
      </c>
      <c r="S43" s="69">
        <v>0.802</v>
      </c>
      <c r="T43" s="25">
        <f t="shared" si="16"/>
        <v>1331.32</v>
      </c>
      <c r="U43" s="24">
        <f t="shared" si="3"/>
        <v>66.566</v>
      </c>
      <c r="V43" s="3"/>
      <c r="W43" s="3"/>
      <c r="X43" s="3"/>
      <c r="Y43" s="25"/>
      <c r="Z43" s="26">
        <f>VLOOKUP(R43,CPI!$A$2:$F$71,6,0)</f>
        <v>1.259947899</v>
      </c>
      <c r="AA43" s="27">
        <f t="shared" si="8"/>
        <v>1677.393837</v>
      </c>
      <c r="AB43" s="27">
        <f t="shared" si="9"/>
        <v>83.86969184</v>
      </c>
      <c r="AC43" s="63" t="s">
        <v>42</v>
      </c>
      <c r="AD43" s="87" t="s">
        <v>169</v>
      </c>
      <c r="AE43" s="100"/>
      <c r="AF43" s="101"/>
      <c r="AG43" s="101"/>
      <c r="AH43" s="101"/>
    </row>
    <row r="44">
      <c r="A44" s="26" t="s">
        <v>125</v>
      </c>
      <c r="B44" s="26" t="s">
        <v>170</v>
      </c>
      <c r="C44" s="26" t="s">
        <v>171</v>
      </c>
      <c r="D44" s="26" t="s">
        <v>171</v>
      </c>
      <c r="E44" s="25">
        <v>1994.0</v>
      </c>
      <c r="F44" s="25">
        <v>2002.0</v>
      </c>
      <c r="G44" s="25">
        <v>0.0</v>
      </c>
      <c r="H44" s="25">
        <v>5.5</v>
      </c>
      <c r="I44" s="50">
        <v>1.0</v>
      </c>
      <c r="J44" s="25">
        <v>5.5</v>
      </c>
      <c r="K44" s="51">
        <v>0.0</v>
      </c>
      <c r="L44" s="51">
        <v>0.0</v>
      </c>
      <c r="M44" s="25">
        <v>5.0</v>
      </c>
      <c r="N44" s="25"/>
      <c r="O44" s="26" t="s">
        <v>42</v>
      </c>
      <c r="P44" s="52">
        <v>1000.0</v>
      </c>
      <c r="Q44" s="26" t="s">
        <v>129</v>
      </c>
      <c r="R44" s="25">
        <v>1998.0</v>
      </c>
      <c r="S44" s="25">
        <v>0.81</v>
      </c>
      <c r="T44" s="25">
        <f t="shared" si="16"/>
        <v>810</v>
      </c>
      <c r="U44" s="24">
        <f t="shared" si="3"/>
        <v>147.2727273</v>
      </c>
      <c r="V44" s="3">
        <f t="shared" ref="V44:V46" si="17">IF(OR(A44 = "BG",A44 = "GR",A44 = "IT",A44 = "ES",A44 = "PT",A44 = "TR", A44 = "KR",A44 = "SE",A44 = "CH",A44 = "NO",A44 = "DK",A44 = "FI"), 1, 0)</f>
        <v>0</v>
      </c>
      <c r="W44" s="3">
        <f t="shared" ref="W44:W46" si="18">V44*H44</f>
        <v>0</v>
      </c>
      <c r="X44" s="3">
        <f t="shared" ref="X44:X46" si="19">V44*J44</f>
        <v>0</v>
      </c>
      <c r="Y44" s="25">
        <f>IF(OR(A44 = "US",A44 = "CA",A44 = "UK",A44 = "NZ",A44 = "AU",A44 = "SG"), 1, 0)</f>
        <v>1</v>
      </c>
      <c r="Z44" s="26">
        <f>VLOOKUP(R44,CPI!$A$2:$F$71,6,0)</f>
        <v>1.976162577</v>
      </c>
      <c r="AA44" s="27">
        <f t="shared" si="8"/>
        <v>1600.691687</v>
      </c>
      <c r="AB44" s="27">
        <f t="shared" si="9"/>
        <v>291.0348522</v>
      </c>
      <c r="AC44" s="26" t="s">
        <v>42</v>
      </c>
      <c r="AD44" s="53" t="s">
        <v>172</v>
      </c>
      <c r="AE44" s="100"/>
      <c r="AF44" s="101"/>
      <c r="AG44" s="101"/>
      <c r="AH44" s="101"/>
    </row>
    <row r="45">
      <c r="A45" s="26" t="s">
        <v>125</v>
      </c>
      <c r="B45" s="26" t="s">
        <v>170</v>
      </c>
      <c r="C45" s="1" t="s">
        <v>173</v>
      </c>
      <c r="D45" s="26" t="s">
        <v>174</v>
      </c>
      <c r="E45" s="25">
        <v>2009.0</v>
      </c>
      <c r="F45" s="25">
        <v>2017.0</v>
      </c>
      <c r="G45" s="25">
        <v>0.0</v>
      </c>
      <c r="H45" s="25">
        <v>8.6</v>
      </c>
      <c r="I45" s="50">
        <v>1.0</v>
      </c>
      <c r="J45" s="25">
        <v>8.6</v>
      </c>
      <c r="K45" s="51">
        <v>0.0</v>
      </c>
      <c r="L45" s="51">
        <v>0.0</v>
      </c>
      <c r="M45" s="25">
        <v>6.0</v>
      </c>
      <c r="N45" s="25"/>
      <c r="O45" s="26" t="s">
        <v>42</v>
      </c>
      <c r="P45" s="52">
        <v>3200.0</v>
      </c>
      <c r="Q45" s="63" t="s">
        <v>129</v>
      </c>
      <c r="R45" s="25">
        <v>2013.0</v>
      </c>
      <c r="S45" s="25">
        <v>0.81</v>
      </c>
      <c r="T45" s="25">
        <f t="shared" si="16"/>
        <v>2592</v>
      </c>
      <c r="U45" s="24">
        <f t="shared" si="3"/>
        <v>301.3953488</v>
      </c>
      <c r="V45" s="3">
        <f t="shared" si="17"/>
        <v>0</v>
      </c>
      <c r="W45" s="3">
        <f t="shared" si="18"/>
        <v>0</v>
      </c>
      <c r="X45" s="3">
        <f t="shared" si="19"/>
        <v>0</v>
      </c>
      <c r="Y45" s="58">
        <v>1.0</v>
      </c>
      <c r="Z45" s="26">
        <f>VLOOKUP(R45,CPI!$A$2:$F$71,6,0)</f>
        <v>1.382720845</v>
      </c>
      <c r="AA45" s="27">
        <f t="shared" si="8"/>
        <v>3584.012431</v>
      </c>
      <c r="AB45" s="27">
        <f t="shared" si="9"/>
        <v>416.7456316</v>
      </c>
      <c r="AC45" s="26" t="s">
        <v>42</v>
      </c>
      <c r="AD45" s="57" t="s">
        <v>175</v>
      </c>
      <c r="AE45" s="100"/>
      <c r="AF45" s="101"/>
      <c r="AG45" s="101"/>
      <c r="AH45" s="101"/>
    </row>
    <row r="46">
      <c r="A46" s="26" t="s">
        <v>125</v>
      </c>
      <c r="B46" s="26" t="s">
        <v>170</v>
      </c>
      <c r="C46" s="26" t="s">
        <v>176</v>
      </c>
      <c r="D46" s="26" t="s">
        <v>176</v>
      </c>
      <c r="E46" s="25">
        <v>2011.0</v>
      </c>
      <c r="F46" s="58">
        <v>2025.0</v>
      </c>
      <c r="G46" s="25">
        <v>0.0</v>
      </c>
      <c r="H46" s="25">
        <v>19.0</v>
      </c>
      <c r="I46" s="50">
        <v>0.53</v>
      </c>
      <c r="J46" s="25">
        <v>10.0</v>
      </c>
      <c r="K46" s="51">
        <v>0.62</v>
      </c>
      <c r="L46" s="51">
        <v>8.31</v>
      </c>
      <c r="M46" s="25">
        <v>25.0</v>
      </c>
      <c r="N46" s="25"/>
      <c r="O46" s="26" t="s">
        <v>60</v>
      </c>
      <c r="P46" s="55">
        <v>12800.0</v>
      </c>
      <c r="Q46" s="63" t="s">
        <v>129</v>
      </c>
      <c r="R46" s="25">
        <v>2016.0</v>
      </c>
      <c r="S46" s="25">
        <v>0.83</v>
      </c>
      <c r="T46" s="25">
        <f t="shared" si="16"/>
        <v>10624</v>
      </c>
      <c r="U46" s="24">
        <f t="shared" si="3"/>
        <v>559.1578947</v>
      </c>
      <c r="V46" s="3">
        <f t="shared" si="17"/>
        <v>0</v>
      </c>
      <c r="W46" s="3">
        <f t="shared" si="18"/>
        <v>0</v>
      </c>
      <c r="X46" s="3">
        <f t="shared" si="19"/>
        <v>0</v>
      </c>
      <c r="Y46" s="25">
        <f>IF(OR(A46 = "US",A46 = "CA",A46 = "UK",A46 = "NZ",A46 = "AU",A46 = "SG"), 1, 0)</f>
        <v>1</v>
      </c>
      <c r="Z46" s="26">
        <f>VLOOKUP(R46,CPI!$A$2:$F$71,6,0)</f>
        <v>1.342104605</v>
      </c>
      <c r="AA46" s="27">
        <f t="shared" si="8"/>
        <v>14258.51933</v>
      </c>
      <c r="AB46" s="27">
        <f t="shared" si="9"/>
        <v>750.4483856</v>
      </c>
      <c r="AC46" s="26" t="s">
        <v>36</v>
      </c>
      <c r="AD46" s="56" t="s">
        <v>177</v>
      </c>
      <c r="AE46" s="100"/>
      <c r="AF46" s="101"/>
      <c r="AG46" s="101"/>
      <c r="AH46" s="101"/>
    </row>
    <row r="47">
      <c r="A47" s="63" t="s">
        <v>125</v>
      </c>
      <c r="B47" s="63" t="s">
        <v>170</v>
      </c>
      <c r="C47" s="1" t="s">
        <v>178</v>
      </c>
      <c r="D47" s="63" t="s">
        <v>34</v>
      </c>
      <c r="E47" s="58">
        <v>2019.0</v>
      </c>
      <c r="F47" s="58">
        <v>2025.0</v>
      </c>
      <c r="G47" s="58">
        <v>0.0</v>
      </c>
      <c r="H47" s="58">
        <v>10.3</v>
      </c>
      <c r="I47" s="50">
        <f>(1/19)%</f>
        <v>0.0005263157895</v>
      </c>
      <c r="J47" s="58">
        <v>1.0</v>
      </c>
      <c r="K47" s="58"/>
      <c r="L47" s="58">
        <v>17.0</v>
      </c>
      <c r="M47" s="58">
        <v>18.0</v>
      </c>
      <c r="N47" s="58">
        <v>50.0</v>
      </c>
      <c r="O47" s="26" t="s">
        <v>60</v>
      </c>
      <c r="P47" s="55">
        <v>2500.0</v>
      </c>
      <c r="Q47" s="63" t="s">
        <v>129</v>
      </c>
      <c r="R47" s="58">
        <v>2019.0</v>
      </c>
      <c r="S47" s="25">
        <v>0.84</v>
      </c>
      <c r="T47" s="25">
        <f t="shared" si="16"/>
        <v>2100</v>
      </c>
      <c r="U47" s="24">
        <f t="shared" si="3"/>
        <v>203.8834951</v>
      </c>
      <c r="V47" s="3"/>
      <c r="W47" s="3"/>
      <c r="X47" s="3"/>
      <c r="Y47" s="25"/>
      <c r="Z47" s="26">
        <f>VLOOKUP(R47,CPI!$A$2:$F$71,6,0)</f>
        <v>1.259947899</v>
      </c>
      <c r="AA47" s="27">
        <f t="shared" si="8"/>
        <v>2645.890588</v>
      </c>
      <c r="AB47" s="27">
        <f t="shared" si="9"/>
        <v>256.8825813</v>
      </c>
      <c r="AC47" s="63" t="s">
        <v>42</v>
      </c>
      <c r="AD47" s="88" t="s">
        <v>179</v>
      </c>
      <c r="AE47" s="100"/>
      <c r="AF47" s="101"/>
      <c r="AG47" s="101"/>
      <c r="AH47" s="101"/>
    </row>
    <row r="48">
      <c r="A48" s="26" t="s">
        <v>125</v>
      </c>
      <c r="B48" s="26" t="s">
        <v>170</v>
      </c>
      <c r="C48" s="63" t="s">
        <v>180</v>
      </c>
      <c r="D48" s="26" t="s">
        <v>181</v>
      </c>
      <c r="E48" s="25">
        <v>2020.0</v>
      </c>
      <c r="F48" s="25">
        <v>2030.0</v>
      </c>
      <c r="G48" s="25">
        <v>0.0</v>
      </c>
      <c r="H48" s="25">
        <v>7.8</v>
      </c>
      <c r="I48" s="50">
        <v>1.0</v>
      </c>
      <c r="J48" s="25">
        <v>7.8</v>
      </c>
      <c r="K48" s="51">
        <v>0.0</v>
      </c>
      <c r="L48" s="51">
        <v>0.0</v>
      </c>
      <c r="M48" s="25">
        <v>3.0</v>
      </c>
      <c r="N48" s="25"/>
      <c r="O48" s="26" t="s">
        <v>74</v>
      </c>
      <c r="P48" s="52">
        <v>5500.0</v>
      </c>
      <c r="Q48" s="63" t="s">
        <v>129</v>
      </c>
      <c r="R48" s="25">
        <v>2018.0</v>
      </c>
      <c r="S48" s="25">
        <v>0.84</v>
      </c>
      <c r="T48" s="25">
        <f t="shared" si="16"/>
        <v>4620</v>
      </c>
      <c r="U48" s="24">
        <f t="shared" si="3"/>
        <v>592.3076923</v>
      </c>
      <c r="V48" s="3">
        <f t="shared" ref="V48:V49" si="20">IF(OR(A48 = "BG",A48 = "GR",A48 = "IT",A48 = "ES",A48 = "PT",A48 = "TR", A48 = "KR",A48 = "SE",A48 = "CH",A48 = "NO",A48 = "DK",A48 = "FI"), 1, 0)</f>
        <v>0</v>
      </c>
      <c r="W48" s="3">
        <f t="shared" ref="W48:W49" si="21">V48*H48</f>
        <v>0</v>
      </c>
      <c r="X48" s="3">
        <f t="shared" ref="X48:X49" si="22">V48*J48</f>
        <v>0</v>
      </c>
      <c r="Y48" s="25">
        <f t="shared" ref="Y48:Y49" si="23">IF(OR(A48 = "US",A48 = "CA",A48 = "UK",A48 = "NZ",A48 = "AU",A48 = "SG"), 1, 0)</f>
        <v>1</v>
      </c>
      <c r="Z48" s="26">
        <f>VLOOKUP(R48,CPI!$A$2:$F$71,6,0)</f>
        <v>1.28277786</v>
      </c>
      <c r="AA48" s="27">
        <f t="shared" si="8"/>
        <v>5926.433712</v>
      </c>
      <c r="AB48" s="27">
        <f t="shared" si="9"/>
        <v>759.7991938</v>
      </c>
      <c r="AC48" s="26" t="s">
        <v>42</v>
      </c>
      <c r="AD48" s="53" t="s">
        <v>182</v>
      </c>
      <c r="AE48" s="100"/>
      <c r="AF48" s="101"/>
      <c r="AG48" s="101"/>
      <c r="AH48" s="101"/>
    </row>
    <row r="49">
      <c r="A49" s="26" t="s">
        <v>125</v>
      </c>
      <c r="B49" s="26" t="s">
        <v>170</v>
      </c>
      <c r="C49" s="1" t="s">
        <v>183</v>
      </c>
      <c r="D49" s="26" t="s">
        <v>184</v>
      </c>
      <c r="E49" s="25">
        <v>2020.0</v>
      </c>
      <c r="F49" s="25">
        <v>2030.0</v>
      </c>
      <c r="G49" s="25">
        <v>0.0</v>
      </c>
      <c r="H49" s="25">
        <v>7.4</v>
      </c>
      <c r="I49" s="50">
        <v>1.0</v>
      </c>
      <c r="J49" s="25">
        <v>7.4</v>
      </c>
      <c r="K49" s="51">
        <v>0.0</v>
      </c>
      <c r="L49" s="51">
        <v>0.0</v>
      </c>
      <c r="M49" s="25">
        <v>6.0</v>
      </c>
      <c r="N49" s="25"/>
      <c r="O49" s="26" t="s">
        <v>60</v>
      </c>
      <c r="P49" s="52">
        <v>5600.0</v>
      </c>
      <c r="Q49" s="63" t="s">
        <v>129</v>
      </c>
      <c r="R49" s="25">
        <v>2020.0</v>
      </c>
      <c r="S49" s="25">
        <v>0.84</v>
      </c>
      <c r="T49" s="25">
        <f t="shared" si="16"/>
        <v>4704</v>
      </c>
      <c r="U49" s="24">
        <f t="shared" si="3"/>
        <v>635.6756757</v>
      </c>
      <c r="V49" s="3">
        <f t="shared" si="20"/>
        <v>0</v>
      </c>
      <c r="W49" s="3">
        <f t="shared" si="21"/>
        <v>0</v>
      </c>
      <c r="X49" s="3">
        <f t="shared" si="22"/>
        <v>0</v>
      </c>
      <c r="Y49" s="25">
        <f t="shared" si="23"/>
        <v>1</v>
      </c>
      <c r="Z49" s="26">
        <f>VLOOKUP(R49,CPI!$A$2:$F$71,6,0)</f>
        <v>1.244593545</v>
      </c>
      <c r="AA49" s="27">
        <f t="shared" si="8"/>
        <v>5854.568036</v>
      </c>
      <c r="AB49" s="27">
        <f t="shared" si="9"/>
        <v>791.1578427</v>
      </c>
      <c r="AC49" s="26" t="s">
        <v>42</v>
      </c>
      <c r="AD49" s="53" t="s">
        <v>185</v>
      </c>
      <c r="AE49" s="100"/>
      <c r="AF49" s="101"/>
      <c r="AG49" s="101"/>
      <c r="AH49" s="101"/>
    </row>
    <row r="50">
      <c r="A50" s="63" t="s">
        <v>125</v>
      </c>
      <c r="B50" s="63" t="s">
        <v>170</v>
      </c>
      <c r="C50" s="1" t="s">
        <v>176</v>
      </c>
      <c r="D50" s="63" t="s">
        <v>186</v>
      </c>
      <c r="E50" s="58">
        <v>2022.0</v>
      </c>
      <c r="F50" s="58">
        <v>2031.0</v>
      </c>
      <c r="G50" s="58">
        <v>0.0</v>
      </c>
      <c r="H50" s="58">
        <v>9.2</v>
      </c>
      <c r="I50" s="50">
        <f>6.8/9.2</f>
        <v>0.7391304348</v>
      </c>
      <c r="J50" s="58">
        <v>6.8</v>
      </c>
      <c r="K50" s="58">
        <v>1.5</v>
      </c>
      <c r="L50" s="58">
        <v>0.9</v>
      </c>
      <c r="M50" s="58">
        <v>7.0</v>
      </c>
      <c r="N50" s="58">
        <v>50.0</v>
      </c>
      <c r="O50" s="26" t="s">
        <v>60</v>
      </c>
      <c r="P50" s="55">
        <v>2500.0</v>
      </c>
      <c r="Q50" s="63" t="s">
        <v>129</v>
      </c>
      <c r="R50" s="58">
        <v>2022.0</v>
      </c>
      <c r="S50" s="25">
        <v>0.84</v>
      </c>
      <c r="T50" s="25">
        <f t="shared" si="16"/>
        <v>2100</v>
      </c>
      <c r="U50" s="24">
        <f t="shared" si="3"/>
        <v>228.2608696</v>
      </c>
      <c r="V50" s="3"/>
      <c r="W50" s="3"/>
      <c r="X50" s="3"/>
      <c r="Y50" s="25"/>
      <c r="Z50" s="26">
        <f>VLOOKUP(R50,CPI!$A$2:$F$71,6,0)</f>
        <v>1.100662897</v>
      </c>
      <c r="AA50" s="27">
        <f t="shared" si="8"/>
        <v>2311.392083</v>
      </c>
      <c r="AB50" s="27">
        <f t="shared" si="9"/>
        <v>251.2382699</v>
      </c>
      <c r="AC50" s="63" t="s">
        <v>42</v>
      </c>
      <c r="AD50" s="88" t="s">
        <v>187</v>
      </c>
      <c r="AE50" s="100"/>
      <c r="AF50" s="101"/>
      <c r="AG50" s="101"/>
      <c r="AH50" s="101"/>
    </row>
    <row r="51">
      <c r="A51" s="26" t="s">
        <v>125</v>
      </c>
      <c r="B51" s="26" t="s">
        <v>170</v>
      </c>
      <c r="C51" s="63" t="s">
        <v>188</v>
      </c>
      <c r="D51" s="26" t="s">
        <v>189</v>
      </c>
      <c r="E51" s="58">
        <v>2022.0</v>
      </c>
      <c r="F51" s="58">
        <v>2031.0</v>
      </c>
      <c r="G51" s="25">
        <v>0.0</v>
      </c>
      <c r="H51" s="25">
        <v>15.5</v>
      </c>
      <c r="I51" s="50">
        <v>0.57</v>
      </c>
      <c r="J51" s="25">
        <v>8.8</v>
      </c>
      <c r="K51" s="51">
        <v>5.76</v>
      </c>
      <c r="L51" s="51">
        <v>1.06</v>
      </c>
      <c r="M51" s="25">
        <v>15.0</v>
      </c>
      <c r="N51" s="25"/>
      <c r="O51" s="26" t="s">
        <v>60</v>
      </c>
      <c r="P51" s="55">
        <v>27200.0</v>
      </c>
      <c r="Q51" s="63" t="s">
        <v>129</v>
      </c>
      <c r="R51" s="58">
        <v>2023.0</v>
      </c>
      <c r="S51" s="25">
        <v>0.84</v>
      </c>
      <c r="T51" s="25">
        <f t="shared" si="16"/>
        <v>22848</v>
      </c>
      <c r="U51" s="24">
        <f t="shared" si="3"/>
        <v>1474.064516</v>
      </c>
      <c r="V51" s="3">
        <f t="shared" ref="V51:V55" si="24">IF(OR(A51 = "BG",A51 = "GR",A51 = "IT",A51 = "ES",A51 = "PT",A51 = "TR", A51 = "KR",A51 = "SE",A51 = "CH",A51 = "NO",A51 = "DK",A51 = "FI"), 1, 0)</f>
        <v>0</v>
      </c>
      <c r="W51" s="3">
        <f t="shared" ref="W51:W55" si="25">V51*H51</f>
        <v>0</v>
      </c>
      <c r="X51" s="3">
        <f t="shared" ref="X51:X55" si="26">V51*J51</f>
        <v>0</v>
      </c>
      <c r="Y51" s="25">
        <f t="shared" ref="Y51:Y55" si="27">IF(OR(A51 = "US",A51 = "CA",A51 = "UK",A51 = "NZ",A51 = "AU",A51 = "SG"), 1, 0)</f>
        <v>1</v>
      </c>
      <c r="Z51" s="26">
        <f>VLOOKUP(R51,CPI!$A$2:$F$71,6,0)</f>
        <v>1.057145998</v>
      </c>
      <c r="AA51" s="27">
        <f t="shared" si="8"/>
        <v>24153.67177</v>
      </c>
      <c r="AB51" s="27">
        <f t="shared" si="9"/>
        <v>1558.301405</v>
      </c>
      <c r="AC51" s="26" t="s">
        <v>60</v>
      </c>
      <c r="AD51" s="109" t="s">
        <v>190</v>
      </c>
      <c r="AE51" s="100"/>
      <c r="AF51" s="101"/>
      <c r="AG51" s="101"/>
      <c r="AH51" s="101"/>
    </row>
    <row r="52">
      <c r="A52" s="26" t="s">
        <v>125</v>
      </c>
      <c r="B52" s="26" t="s">
        <v>191</v>
      </c>
      <c r="C52" s="16" t="s">
        <v>192</v>
      </c>
      <c r="D52" s="63" t="s">
        <v>193</v>
      </c>
      <c r="E52" s="25">
        <v>1998.0</v>
      </c>
      <c r="F52" s="25">
        <v>2002.0</v>
      </c>
      <c r="G52" s="25">
        <v>0.0</v>
      </c>
      <c r="H52" s="25">
        <v>19.9</v>
      </c>
      <c r="I52" s="50">
        <v>0.0</v>
      </c>
      <c r="J52" s="25">
        <v>0.0</v>
      </c>
      <c r="K52" s="51">
        <v>0.0</v>
      </c>
      <c r="L52" s="51">
        <v>0.0</v>
      </c>
      <c r="M52" s="25">
        <v>13.0</v>
      </c>
      <c r="N52" s="25"/>
      <c r="O52" s="26" t="s">
        <v>74</v>
      </c>
      <c r="P52" s="52">
        <v>1200.0</v>
      </c>
      <c r="Q52" s="26" t="s">
        <v>129</v>
      </c>
      <c r="R52" s="25">
        <v>2000.0</v>
      </c>
      <c r="S52" s="25">
        <v>0.81</v>
      </c>
      <c r="T52" s="25">
        <f t="shared" si="16"/>
        <v>972</v>
      </c>
      <c r="U52" s="24">
        <f t="shared" si="3"/>
        <v>48.84422111</v>
      </c>
      <c r="V52" s="3">
        <f t="shared" si="24"/>
        <v>0</v>
      </c>
      <c r="W52" s="3">
        <f t="shared" si="25"/>
        <v>0</v>
      </c>
      <c r="X52" s="3">
        <f t="shared" si="26"/>
        <v>0</v>
      </c>
      <c r="Y52" s="25">
        <f t="shared" si="27"/>
        <v>1</v>
      </c>
      <c r="Z52" s="26">
        <f>VLOOKUP(R52,CPI!$A$2:$F$71,6,0)</f>
        <v>1.870583624</v>
      </c>
      <c r="AA52" s="27">
        <f t="shared" si="8"/>
        <v>1818.207282</v>
      </c>
      <c r="AB52" s="27">
        <f t="shared" si="9"/>
        <v>91.36720011</v>
      </c>
      <c r="AC52" s="26" t="s">
        <v>60</v>
      </c>
      <c r="AD52" s="53" t="s">
        <v>194</v>
      </c>
      <c r="AE52" s="100"/>
      <c r="AF52" s="101"/>
      <c r="AG52" s="101"/>
      <c r="AH52" s="101"/>
    </row>
    <row r="53">
      <c r="A53" s="26" t="s">
        <v>125</v>
      </c>
      <c r="B53" s="26" t="s">
        <v>191</v>
      </c>
      <c r="C53" s="26" t="s">
        <v>195</v>
      </c>
      <c r="D53" s="26" t="s">
        <v>195</v>
      </c>
      <c r="E53" s="25">
        <v>2005.0</v>
      </c>
      <c r="F53" s="25">
        <v>2009.0</v>
      </c>
      <c r="G53" s="25">
        <v>0.0</v>
      </c>
      <c r="H53" s="25">
        <v>18.4</v>
      </c>
      <c r="I53" s="50">
        <v>0.49</v>
      </c>
      <c r="J53" s="25">
        <v>9.1</v>
      </c>
      <c r="K53" s="51">
        <v>0.0</v>
      </c>
      <c r="L53" s="51">
        <v>0.0</v>
      </c>
      <c r="M53" s="25">
        <v>16.0</v>
      </c>
      <c r="N53" s="25"/>
      <c r="O53" s="26" t="s">
        <v>74</v>
      </c>
      <c r="P53" s="52">
        <v>2050.0</v>
      </c>
      <c r="Q53" s="26" t="s">
        <v>129</v>
      </c>
      <c r="R53" s="25">
        <v>2007.0</v>
      </c>
      <c r="S53" s="25">
        <v>0.82</v>
      </c>
      <c r="T53" s="25">
        <f t="shared" si="16"/>
        <v>1681</v>
      </c>
      <c r="U53" s="24">
        <f t="shared" si="3"/>
        <v>91.35869565</v>
      </c>
      <c r="V53" s="3">
        <f t="shared" si="24"/>
        <v>0</v>
      </c>
      <c r="W53" s="3">
        <f t="shared" si="25"/>
        <v>0</v>
      </c>
      <c r="X53" s="3">
        <f t="shared" si="26"/>
        <v>0</v>
      </c>
      <c r="Y53" s="25">
        <f t="shared" si="27"/>
        <v>1</v>
      </c>
      <c r="Z53" s="26">
        <f>VLOOKUP(R53,CPI!$A$2:$F$71,6,0)</f>
        <v>1.553541974</v>
      </c>
      <c r="AA53" s="27">
        <f t="shared" si="8"/>
        <v>2611.504059</v>
      </c>
      <c r="AB53" s="27">
        <f t="shared" si="9"/>
        <v>141.9295684</v>
      </c>
      <c r="AC53" s="26" t="s">
        <v>42</v>
      </c>
      <c r="AD53" s="53" t="s">
        <v>196</v>
      </c>
      <c r="AE53" s="100"/>
      <c r="AF53" s="101"/>
      <c r="AG53" s="101"/>
      <c r="AH53" s="101"/>
    </row>
    <row r="54">
      <c r="A54" s="26" t="s">
        <v>125</v>
      </c>
      <c r="B54" s="26" t="s">
        <v>191</v>
      </c>
      <c r="C54" s="26" t="s">
        <v>197</v>
      </c>
      <c r="D54" s="26" t="s">
        <v>197</v>
      </c>
      <c r="E54" s="25">
        <v>2012.0</v>
      </c>
      <c r="F54" s="25">
        <v>2016.0</v>
      </c>
      <c r="G54" s="25">
        <v>0.0</v>
      </c>
      <c r="H54" s="25">
        <v>10.9</v>
      </c>
      <c r="I54" s="50">
        <v>0.18</v>
      </c>
      <c r="J54" s="25">
        <v>2.0</v>
      </c>
      <c r="K54" s="51">
        <v>0.0</v>
      </c>
      <c r="L54" s="51">
        <v>0.0</v>
      </c>
      <c r="M54" s="25">
        <v>6.0</v>
      </c>
      <c r="N54" s="25"/>
      <c r="O54" s="26" t="s">
        <v>74</v>
      </c>
      <c r="P54" s="52">
        <v>1430.0</v>
      </c>
      <c r="Q54" s="26" t="s">
        <v>129</v>
      </c>
      <c r="R54" s="25">
        <v>2014.0</v>
      </c>
      <c r="S54" s="25">
        <v>0.81</v>
      </c>
      <c r="T54" s="25">
        <f t="shared" si="16"/>
        <v>1158.3</v>
      </c>
      <c r="U54" s="24">
        <f t="shared" si="3"/>
        <v>106.266055</v>
      </c>
      <c r="V54" s="3">
        <f t="shared" si="24"/>
        <v>0</v>
      </c>
      <c r="W54" s="3">
        <f t="shared" si="25"/>
        <v>0</v>
      </c>
      <c r="X54" s="3">
        <f t="shared" si="26"/>
        <v>0</v>
      </c>
      <c r="Y54" s="25">
        <f t="shared" si="27"/>
        <v>1</v>
      </c>
      <c r="Z54" s="26">
        <f>VLOOKUP(R54,CPI!$A$2:$F$71,6,0)</f>
        <v>1.360648571</v>
      </c>
      <c r="AA54" s="27">
        <f t="shared" si="8"/>
        <v>1576.039239</v>
      </c>
      <c r="AB54" s="27">
        <f t="shared" si="9"/>
        <v>144.5907559</v>
      </c>
      <c r="AC54" s="26" t="s">
        <v>42</v>
      </c>
      <c r="AD54" s="53" t="s">
        <v>198</v>
      </c>
      <c r="AE54" s="100"/>
      <c r="AF54" s="101"/>
      <c r="AG54" s="101"/>
      <c r="AH54" s="101"/>
    </row>
    <row r="55">
      <c r="A55" s="26" t="s">
        <v>125</v>
      </c>
      <c r="B55" s="26" t="s">
        <v>191</v>
      </c>
      <c r="C55" s="1" t="s">
        <v>199</v>
      </c>
      <c r="D55" s="26" t="s">
        <v>200</v>
      </c>
      <c r="E55" s="25">
        <v>2020.0</v>
      </c>
      <c r="F55" s="58">
        <v>2027.0</v>
      </c>
      <c r="G55" s="25">
        <v>0.0</v>
      </c>
      <c r="H55" s="25">
        <v>5.7</v>
      </c>
      <c r="I55" s="50">
        <f>5/5.7</f>
        <v>0.8771929825</v>
      </c>
      <c r="J55" s="25">
        <v>5.0</v>
      </c>
      <c r="K55" s="51">
        <v>0.295</v>
      </c>
      <c r="L55" s="51">
        <v>0.446</v>
      </c>
      <c r="M55" s="25">
        <v>6.0</v>
      </c>
      <c r="N55" s="25"/>
      <c r="O55" s="26" t="s">
        <v>60</v>
      </c>
      <c r="P55" s="55">
        <v>2954.0</v>
      </c>
      <c r="Q55" s="26" t="s">
        <v>129</v>
      </c>
      <c r="R55" s="25">
        <v>2018.0</v>
      </c>
      <c r="S55" s="25">
        <v>0.84</v>
      </c>
      <c r="T55" s="25">
        <f t="shared" si="16"/>
        <v>2481.36</v>
      </c>
      <c r="U55" s="24">
        <f t="shared" si="3"/>
        <v>435.3263158</v>
      </c>
      <c r="V55" s="3">
        <f t="shared" si="24"/>
        <v>0</v>
      </c>
      <c r="W55" s="3">
        <f t="shared" si="25"/>
        <v>0</v>
      </c>
      <c r="X55" s="3">
        <f t="shared" si="26"/>
        <v>0</v>
      </c>
      <c r="Y55" s="25">
        <f t="shared" si="27"/>
        <v>1</v>
      </c>
      <c r="Z55" s="26">
        <f>VLOOKUP(R55,CPI!$A$2:$F$71,6,0)</f>
        <v>1.28277786</v>
      </c>
      <c r="AA55" s="27">
        <f t="shared" si="8"/>
        <v>3183.03367</v>
      </c>
      <c r="AB55" s="27">
        <f t="shared" si="9"/>
        <v>558.4269596</v>
      </c>
      <c r="AC55" s="26" t="s">
        <v>42</v>
      </c>
      <c r="AD55" s="86" t="s">
        <v>201</v>
      </c>
      <c r="AE55" s="100"/>
      <c r="AF55" s="101"/>
      <c r="AG55" s="101"/>
      <c r="AH55" s="101"/>
    </row>
    <row r="56">
      <c r="A56" s="26" t="s">
        <v>125</v>
      </c>
      <c r="B56" s="26" t="s">
        <v>191</v>
      </c>
      <c r="C56" s="1" t="s">
        <v>202</v>
      </c>
      <c r="D56" s="63" t="s">
        <v>203</v>
      </c>
      <c r="E56" s="58">
        <v>2024.0</v>
      </c>
      <c r="F56" s="58">
        <v>2029.0</v>
      </c>
      <c r="G56" s="58">
        <v>0.0</v>
      </c>
      <c r="H56" s="58">
        <v>16.0</v>
      </c>
      <c r="I56" s="59">
        <v>0.0</v>
      </c>
      <c r="J56" s="58">
        <v>0.0</v>
      </c>
      <c r="K56" s="58">
        <v>1.0</v>
      </c>
      <c r="L56" s="58">
        <v>0.0</v>
      </c>
      <c r="M56" s="58">
        <v>8.0</v>
      </c>
      <c r="N56" s="58">
        <v>80.0</v>
      </c>
      <c r="O56" s="26" t="s">
        <v>60</v>
      </c>
      <c r="P56" s="55">
        <v>5996.0</v>
      </c>
      <c r="Q56" s="63" t="s">
        <v>129</v>
      </c>
      <c r="R56" s="58">
        <v>2024.0</v>
      </c>
      <c r="S56" s="58">
        <v>1.0</v>
      </c>
      <c r="T56" s="25">
        <f t="shared" si="16"/>
        <v>5996</v>
      </c>
      <c r="U56" s="24">
        <f t="shared" si="3"/>
        <v>374.75</v>
      </c>
      <c r="V56" s="85">
        <v>0.0</v>
      </c>
      <c r="W56" s="3"/>
      <c r="X56" s="3"/>
      <c r="Y56" s="58">
        <v>1.0</v>
      </c>
      <c r="Z56" s="26">
        <f>VLOOKUP(R56,CPI!$A$2:$F$71,6,0)</f>
        <v>1</v>
      </c>
      <c r="AA56" s="78">
        <f t="shared" si="8"/>
        <v>5996</v>
      </c>
      <c r="AB56" s="78">
        <f t="shared" si="9"/>
        <v>374.75</v>
      </c>
      <c r="AC56" s="63" t="s">
        <v>42</v>
      </c>
      <c r="AD56" s="93" t="s">
        <v>204</v>
      </c>
      <c r="AE56" s="100"/>
      <c r="AF56" s="101"/>
      <c r="AG56" s="101"/>
      <c r="AH56" s="101"/>
    </row>
    <row r="57">
      <c r="A57" s="114" t="s">
        <v>125</v>
      </c>
      <c r="B57" s="114" t="s">
        <v>191</v>
      </c>
      <c r="C57" s="115" t="s">
        <v>205</v>
      </c>
      <c r="D57" s="115" t="s">
        <v>206</v>
      </c>
      <c r="E57" s="116">
        <v>2022.0</v>
      </c>
      <c r="F57" s="114"/>
      <c r="G57" s="116">
        <v>0.0</v>
      </c>
      <c r="H57" s="116">
        <v>16.0</v>
      </c>
      <c r="I57" s="117">
        <v>0.0</v>
      </c>
      <c r="J57" s="116">
        <v>0.0</v>
      </c>
      <c r="K57" s="114"/>
      <c r="L57" s="114"/>
      <c r="M57" s="116">
        <v>8.0</v>
      </c>
      <c r="N57" s="116"/>
      <c r="O57" s="114"/>
      <c r="P57" s="73">
        <v>3940.0</v>
      </c>
      <c r="Q57" s="114" t="s">
        <v>129</v>
      </c>
      <c r="R57" s="115">
        <v>2021.0</v>
      </c>
      <c r="S57" s="115">
        <v>0.798</v>
      </c>
      <c r="T57" s="118">
        <f t="shared" si="16"/>
        <v>3144.12</v>
      </c>
      <c r="U57" s="24">
        <f t="shared" si="3"/>
        <v>196.5075</v>
      </c>
      <c r="V57" s="3">
        <f t="shared" ref="V57:V1021" si="28">IF(OR(A57 = "BG",A57 = "GR",A57 = "IT",A57 = "ES",A57 = "PT",A57 = "TR", A57 = "KR",A57 = "SE",A57 = "CH",A57 = "NO",A57 = "DK",A57 = "FI"), 1, 0)</f>
        <v>0</v>
      </c>
      <c r="W57" s="3">
        <f t="shared" ref="W57:W1021" si="29">V57*H57</f>
        <v>0</v>
      </c>
      <c r="X57" s="3">
        <f t="shared" ref="X57:X1021" si="30">V57*J57</f>
        <v>0</v>
      </c>
      <c r="Y57" s="25">
        <f t="shared" ref="Y57:Y793" si="31">IF(OR(A57 = "US",A57 = "CA",A57 = "UK",A57 = "NZ",A57 = "AU",A57 = "SG"), 1, 0)</f>
        <v>1</v>
      </c>
      <c r="Z57" s="26">
        <f>VLOOKUP(R57,CPI!$A$2:$F$71,6,0)</f>
        <v>1.188745987</v>
      </c>
      <c r="AA57" s="27">
        <f t="shared" si="8"/>
        <v>3737.560032</v>
      </c>
      <c r="AB57" s="27">
        <f t="shared" si="9"/>
        <v>233.597502</v>
      </c>
      <c r="AC57" s="115" t="s">
        <v>42</v>
      </c>
      <c r="AD57" s="119" t="s">
        <v>207</v>
      </c>
      <c r="AE57" s="120" t="s">
        <v>208</v>
      </c>
      <c r="AF57" s="121"/>
      <c r="AG57" s="121"/>
      <c r="AH57" s="121"/>
    </row>
    <row r="58">
      <c r="A58" s="26" t="s">
        <v>211</v>
      </c>
      <c r="B58" s="26" t="s">
        <v>212</v>
      </c>
      <c r="C58" s="26" t="s">
        <v>213</v>
      </c>
      <c r="D58" s="26" t="s">
        <v>213</v>
      </c>
      <c r="E58" s="25">
        <v>2013.0</v>
      </c>
      <c r="F58" s="25">
        <v>2019.0</v>
      </c>
      <c r="G58" s="25">
        <v>1.0</v>
      </c>
      <c r="H58" s="25">
        <v>8.8</v>
      </c>
      <c r="I58" s="50">
        <v>0.96</v>
      </c>
      <c r="J58" s="25">
        <v>8.4</v>
      </c>
      <c r="K58" s="51">
        <v>0.14</v>
      </c>
      <c r="L58" s="51">
        <v>0.212</v>
      </c>
      <c r="M58" s="25">
        <v>4.0</v>
      </c>
      <c r="N58" s="25"/>
      <c r="O58" s="26" t="s">
        <v>59</v>
      </c>
      <c r="P58" s="52">
        <v>1567.0</v>
      </c>
      <c r="Q58" s="26" t="s">
        <v>214</v>
      </c>
      <c r="R58" s="25">
        <v>2016.0</v>
      </c>
      <c r="S58" s="25">
        <v>0.68</v>
      </c>
      <c r="T58" s="25">
        <f t="shared" si="16"/>
        <v>1065.56</v>
      </c>
      <c r="U58" s="24">
        <f t="shared" si="3"/>
        <v>121.0863636</v>
      </c>
      <c r="V58" s="3">
        <f t="shared" si="28"/>
        <v>1</v>
      </c>
      <c r="W58" s="3">
        <f t="shared" si="29"/>
        <v>8.8</v>
      </c>
      <c r="X58" s="3">
        <f t="shared" si="30"/>
        <v>8.4</v>
      </c>
      <c r="Y58" s="25">
        <f t="shared" si="31"/>
        <v>0</v>
      </c>
      <c r="Z58" s="26">
        <f>VLOOKUP(R58,CPI!$A$2:$F$71,6,0)</f>
        <v>1.342104605</v>
      </c>
      <c r="AA58" s="27">
        <f t="shared" si="8"/>
        <v>1430.092983</v>
      </c>
      <c r="AB58" s="27">
        <f t="shared" si="9"/>
        <v>162.5105663</v>
      </c>
      <c r="AC58" s="26" t="s">
        <v>60</v>
      </c>
      <c r="AD58" s="53" t="s">
        <v>215</v>
      </c>
      <c r="AE58" s="100"/>
      <c r="AF58" s="101"/>
      <c r="AG58" s="101"/>
      <c r="AH58" s="101"/>
    </row>
    <row r="59">
      <c r="A59" s="63" t="s">
        <v>211</v>
      </c>
      <c r="B59" s="63" t="s">
        <v>216</v>
      </c>
      <c r="C59" s="63" t="s">
        <v>54</v>
      </c>
      <c r="D59" s="63" t="s">
        <v>54</v>
      </c>
      <c r="E59" s="58">
        <v>2002.0</v>
      </c>
      <c r="F59" s="58">
        <v>2008.0</v>
      </c>
      <c r="G59" s="58">
        <v>0.0</v>
      </c>
      <c r="H59" s="58">
        <v>6.0</v>
      </c>
      <c r="I59" s="50"/>
      <c r="J59" s="58">
        <v>4.5</v>
      </c>
      <c r="K59" s="58">
        <v>1.5</v>
      </c>
      <c r="L59" s="58">
        <v>0.0</v>
      </c>
      <c r="M59" s="58">
        <v>14.0</v>
      </c>
      <c r="N59" s="58">
        <v>30.0</v>
      </c>
      <c r="O59" s="63" t="s">
        <v>74</v>
      </c>
      <c r="P59" s="55">
        <v>410.0</v>
      </c>
      <c r="Q59" s="63" t="s">
        <v>214</v>
      </c>
      <c r="R59" s="58">
        <v>2000.0</v>
      </c>
      <c r="S59" s="58">
        <v>0.65</v>
      </c>
      <c r="T59" s="25">
        <f t="shared" si="16"/>
        <v>266.5</v>
      </c>
      <c r="U59" s="24">
        <f t="shared" si="3"/>
        <v>44.41666667</v>
      </c>
      <c r="V59" s="3">
        <f t="shared" si="28"/>
        <v>1</v>
      </c>
      <c r="W59" s="3">
        <f t="shared" si="29"/>
        <v>6</v>
      </c>
      <c r="X59" s="3">
        <f t="shared" si="30"/>
        <v>4.5</v>
      </c>
      <c r="Y59" s="25">
        <f t="shared" si="31"/>
        <v>0</v>
      </c>
      <c r="Z59" s="26">
        <f>VLOOKUP(R59,CPI!$A$2:$F$71,6,0)</f>
        <v>1.870583624</v>
      </c>
      <c r="AA59" s="27">
        <f t="shared" si="8"/>
        <v>498.5105357</v>
      </c>
      <c r="AB59" s="27">
        <f t="shared" si="9"/>
        <v>83.08508929</v>
      </c>
      <c r="AC59" s="26" t="s">
        <v>60</v>
      </c>
      <c r="AD59" s="56" t="s">
        <v>217</v>
      </c>
      <c r="AE59" s="100"/>
      <c r="AF59" s="101"/>
      <c r="AG59" s="101"/>
      <c r="AH59" s="101"/>
    </row>
    <row r="60">
      <c r="A60" s="26" t="s">
        <v>211</v>
      </c>
      <c r="B60" s="26" t="s">
        <v>218</v>
      </c>
      <c r="C60" s="26" t="s">
        <v>219</v>
      </c>
      <c r="D60" s="26" t="s">
        <v>219</v>
      </c>
      <c r="E60" s="25">
        <v>2008.0</v>
      </c>
      <c r="F60" s="25">
        <v>2013.0</v>
      </c>
      <c r="G60" s="25">
        <v>1.0</v>
      </c>
      <c r="H60" s="25">
        <v>1.5</v>
      </c>
      <c r="I60" s="50">
        <v>0.9</v>
      </c>
      <c r="J60" s="25">
        <v>1.4</v>
      </c>
      <c r="K60" s="51">
        <v>0.0</v>
      </c>
      <c r="L60" s="51">
        <v>0.0</v>
      </c>
      <c r="M60" s="25">
        <v>1.0</v>
      </c>
      <c r="N60" s="25"/>
      <c r="O60" s="26" t="s">
        <v>60</v>
      </c>
      <c r="P60" s="52">
        <v>220.2</v>
      </c>
      <c r="Q60" s="26" t="s">
        <v>214</v>
      </c>
      <c r="R60" s="25">
        <v>2010.0</v>
      </c>
      <c r="S60" s="25">
        <v>0.68</v>
      </c>
      <c r="T60" s="25">
        <f t="shared" si="16"/>
        <v>149.736</v>
      </c>
      <c r="U60" s="24">
        <f t="shared" si="3"/>
        <v>99.824</v>
      </c>
      <c r="V60" s="3">
        <f t="shared" si="28"/>
        <v>1</v>
      </c>
      <c r="W60" s="3">
        <f t="shared" si="29"/>
        <v>1.5</v>
      </c>
      <c r="X60" s="3">
        <f t="shared" si="30"/>
        <v>1.4</v>
      </c>
      <c r="Y60" s="25">
        <f t="shared" si="31"/>
        <v>0</v>
      </c>
      <c r="Z60" s="26">
        <f>VLOOKUP(R60,CPI!$A$2:$F$71,6,0)</f>
        <v>1.477209983</v>
      </c>
      <c r="AA60" s="27">
        <f t="shared" si="8"/>
        <v>221.191514</v>
      </c>
      <c r="AB60" s="27">
        <f t="shared" si="9"/>
        <v>147.4610093</v>
      </c>
      <c r="AC60" s="26" t="s">
        <v>60</v>
      </c>
      <c r="AD60" s="53" t="s">
        <v>220</v>
      </c>
      <c r="AE60" s="100"/>
      <c r="AF60" s="101"/>
      <c r="AG60" s="101"/>
      <c r="AH60" s="101"/>
    </row>
    <row r="61">
      <c r="A61" s="26" t="s">
        <v>211</v>
      </c>
      <c r="B61" s="26" t="s">
        <v>221</v>
      </c>
      <c r="C61" s="26" t="s">
        <v>222</v>
      </c>
      <c r="D61" s="26" t="s">
        <v>222</v>
      </c>
      <c r="E61" s="25">
        <v>2007.0</v>
      </c>
      <c r="F61" s="25">
        <v>2014.0</v>
      </c>
      <c r="G61" s="25">
        <v>1.0</v>
      </c>
      <c r="H61" s="25">
        <v>9.6</v>
      </c>
      <c r="I61" s="50">
        <v>0.5</v>
      </c>
      <c r="J61" s="25">
        <v>4.8</v>
      </c>
      <c r="K61" s="51">
        <v>0.2</v>
      </c>
      <c r="L61" s="51">
        <v>4.6</v>
      </c>
      <c r="M61" s="25">
        <v>1.0</v>
      </c>
      <c r="N61" s="25"/>
      <c r="O61" s="26" t="s">
        <v>36</v>
      </c>
      <c r="P61" s="52">
        <v>2030.0</v>
      </c>
      <c r="Q61" s="26" t="s">
        <v>214</v>
      </c>
      <c r="R61" s="25">
        <v>2010.0</v>
      </c>
      <c r="S61" s="25">
        <v>0.68</v>
      </c>
      <c r="T61" s="25">
        <f t="shared" si="16"/>
        <v>1380.4</v>
      </c>
      <c r="U61" s="24">
        <f t="shared" si="3"/>
        <v>143.7916667</v>
      </c>
      <c r="V61" s="3">
        <f t="shared" si="28"/>
        <v>1</v>
      </c>
      <c r="W61" s="3">
        <f t="shared" si="29"/>
        <v>9.6</v>
      </c>
      <c r="X61" s="3">
        <f t="shared" si="30"/>
        <v>4.8</v>
      </c>
      <c r="Y61" s="25">
        <f t="shared" si="31"/>
        <v>0</v>
      </c>
      <c r="Z61" s="26">
        <f>VLOOKUP(R61,CPI!$A$2:$F$71,6,0)</f>
        <v>1.477209983</v>
      </c>
      <c r="AA61" s="27">
        <f t="shared" si="8"/>
        <v>2039.14066</v>
      </c>
      <c r="AB61" s="27">
        <f t="shared" si="9"/>
        <v>212.4104854</v>
      </c>
      <c r="AC61" s="26" t="s">
        <v>36</v>
      </c>
      <c r="AD61" s="57" t="s">
        <v>223</v>
      </c>
      <c r="AE61" s="100"/>
      <c r="AF61" s="101"/>
      <c r="AG61" s="101"/>
      <c r="AH61" s="101"/>
    </row>
    <row r="62">
      <c r="A62" s="26" t="s">
        <v>224</v>
      </c>
      <c r="B62" s="26" t="s">
        <v>225</v>
      </c>
      <c r="C62" s="26" t="s">
        <v>226</v>
      </c>
      <c r="D62" s="26" t="s">
        <v>226</v>
      </c>
      <c r="E62" s="25">
        <v>2013.0</v>
      </c>
      <c r="F62" s="25">
        <v>2019.0</v>
      </c>
      <c r="G62" s="25">
        <v>0.0</v>
      </c>
      <c r="H62" s="25">
        <v>37.0</v>
      </c>
      <c r="I62" s="50">
        <v>1.0</v>
      </c>
      <c r="J62" s="25">
        <v>37.0</v>
      </c>
      <c r="K62" s="51">
        <v>0.0</v>
      </c>
      <c r="L62" s="51">
        <v>0.0</v>
      </c>
      <c r="M62" s="25">
        <v>28.0</v>
      </c>
      <c r="N62" s="25"/>
      <c r="O62" s="26" t="s">
        <v>60</v>
      </c>
      <c r="P62" s="52">
        <v>3000.0</v>
      </c>
      <c r="Q62" s="26" t="s">
        <v>37</v>
      </c>
      <c r="R62" s="25">
        <v>2016.0</v>
      </c>
      <c r="S62" s="25">
        <v>1.7</v>
      </c>
      <c r="T62" s="25">
        <f t="shared" si="16"/>
        <v>5100</v>
      </c>
      <c r="U62" s="24">
        <f t="shared" si="3"/>
        <v>137.8378378</v>
      </c>
      <c r="V62" s="3">
        <f t="shared" si="28"/>
        <v>0</v>
      </c>
      <c r="W62" s="3">
        <f t="shared" si="29"/>
        <v>0</v>
      </c>
      <c r="X62" s="3">
        <f t="shared" si="30"/>
        <v>0</v>
      </c>
      <c r="Y62" s="25">
        <f t="shared" si="31"/>
        <v>0</v>
      </c>
      <c r="Z62" s="26">
        <f>VLOOKUP(R62,CPI!$A$2:$F$71,6,0)</f>
        <v>1.342104605</v>
      </c>
      <c r="AA62" s="27">
        <f t="shared" si="8"/>
        <v>6844.733487</v>
      </c>
      <c r="AB62" s="27">
        <f t="shared" si="9"/>
        <v>184.9927969</v>
      </c>
      <c r="AC62" s="26" t="s">
        <v>60</v>
      </c>
      <c r="AD62" s="53" t="s">
        <v>227</v>
      </c>
      <c r="AE62" s="100"/>
      <c r="AF62" s="101"/>
      <c r="AG62" s="101"/>
      <c r="AH62" s="101"/>
    </row>
    <row r="63">
      <c r="A63" s="26" t="s">
        <v>224</v>
      </c>
      <c r="B63" s="26" t="s">
        <v>225</v>
      </c>
      <c r="C63" s="26" t="s">
        <v>228</v>
      </c>
      <c r="D63" s="26" t="s">
        <v>228</v>
      </c>
      <c r="E63" s="25">
        <v>2021.0</v>
      </c>
      <c r="F63" s="25">
        <v>2026.0</v>
      </c>
      <c r="G63" s="25">
        <v>0.0</v>
      </c>
      <c r="H63" s="25">
        <v>24.8</v>
      </c>
      <c r="I63" s="50">
        <v>1.0</v>
      </c>
      <c r="J63" s="25">
        <v>24.8</v>
      </c>
      <c r="K63" s="51">
        <v>0.0</v>
      </c>
      <c r="L63" s="51">
        <v>0.0</v>
      </c>
      <c r="M63" s="25">
        <v>21.0</v>
      </c>
      <c r="N63" s="25"/>
      <c r="O63" s="26" t="s">
        <v>60</v>
      </c>
      <c r="P63" s="52">
        <v>2900.0</v>
      </c>
      <c r="Q63" s="26" t="s">
        <v>37</v>
      </c>
      <c r="R63" s="25">
        <v>2022.0</v>
      </c>
      <c r="S63" s="25">
        <v>1.7</v>
      </c>
      <c r="T63" s="25">
        <f t="shared" si="16"/>
        <v>4930</v>
      </c>
      <c r="U63" s="24">
        <f t="shared" si="3"/>
        <v>198.7903226</v>
      </c>
      <c r="V63" s="3">
        <f t="shared" si="28"/>
        <v>0</v>
      </c>
      <c r="W63" s="3">
        <f t="shared" si="29"/>
        <v>0</v>
      </c>
      <c r="X63" s="3">
        <f t="shared" si="30"/>
        <v>0</v>
      </c>
      <c r="Y63" s="25">
        <f t="shared" si="31"/>
        <v>0</v>
      </c>
      <c r="Z63" s="26">
        <f>VLOOKUP(R63,CPI!$A$2:$F$71,6,0)</f>
        <v>1.100662897</v>
      </c>
      <c r="AA63" s="27">
        <f t="shared" si="8"/>
        <v>5426.26808</v>
      </c>
      <c r="AB63" s="27">
        <f t="shared" si="9"/>
        <v>218.8011323</v>
      </c>
      <c r="AC63" s="26" t="s">
        <v>36</v>
      </c>
      <c r="AD63" s="53" t="s">
        <v>229</v>
      </c>
      <c r="AE63" s="100"/>
      <c r="AF63" s="101"/>
      <c r="AG63" s="101"/>
      <c r="AH63" s="101"/>
    </row>
    <row r="64">
      <c r="A64" s="130" t="s">
        <v>230</v>
      </c>
      <c r="B64" s="130" t="s">
        <v>231</v>
      </c>
      <c r="C64" s="36" t="s">
        <v>236</v>
      </c>
      <c r="D64" s="130" t="s">
        <v>236</v>
      </c>
      <c r="E64" s="130">
        <v>1999.0</v>
      </c>
      <c r="F64" s="130">
        <v>2003.0</v>
      </c>
      <c r="G64" s="130">
        <v>0.0</v>
      </c>
      <c r="H64" s="130">
        <v>40.85</v>
      </c>
      <c r="I64" s="131">
        <v>0.0</v>
      </c>
      <c r="J64" s="130">
        <v>0.0</v>
      </c>
      <c r="K64" s="132">
        <v>13.855</v>
      </c>
      <c r="L64" s="132">
        <v>26.995</v>
      </c>
      <c r="M64" s="130">
        <v>17.0</v>
      </c>
      <c r="N64" s="133">
        <v>117.0</v>
      </c>
      <c r="O64" s="134" t="s">
        <v>74</v>
      </c>
      <c r="P64" s="135">
        <f>6.57*10^3</f>
        <v>6570</v>
      </c>
      <c r="Q64" s="130" t="s">
        <v>234</v>
      </c>
      <c r="R64" s="130">
        <v>1999.0</v>
      </c>
      <c r="S64" s="136">
        <v>0.367</v>
      </c>
      <c r="T64" s="128">
        <f t="shared" si="16"/>
        <v>2411.19</v>
      </c>
      <c r="U64" s="24">
        <f t="shared" si="3"/>
        <v>59.025459</v>
      </c>
      <c r="V64" s="3">
        <f t="shared" si="28"/>
        <v>0</v>
      </c>
      <c r="W64" s="3">
        <f t="shared" si="29"/>
        <v>0</v>
      </c>
      <c r="X64" s="3">
        <f t="shared" si="30"/>
        <v>0</v>
      </c>
      <c r="Y64" s="25">
        <f t="shared" si="31"/>
        <v>0</v>
      </c>
      <c r="Z64" s="26">
        <f>VLOOKUP(R64,CPI!$A$2:$F$71,6,0)</f>
        <v>1.933460384</v>
      </c>
      <c r="AA64" s="27">
        <f t="shared" si="8"/>
        <v>4661.940344</v>
      </c>
      <c r="AB64" s="27">
        <f t="shared" si="9"/>
        <v>114.1233866</v>
      </c>
      <c r="AC64" s="130" t="s">
        <v>42</v>
      </c>
      <c r="AD64" s="137" t="s">
        <v>237</v>
      </c>
      <c r="AE64" s="100"/>
      <c r="AF64" s="101"/>
      <c r="AG64" s="101"/>
      <c r="AH64" s="101"/>
    </row>
    <row r="65">
      <c r="A65" s="130" t="s">
        <v>230</v>
      </c>
      <c r="B65" s="130" t="s">
        <v>231</v>
      </c>
      <c r="C65" s="130" t="s">
        <v>84</v>
      </c>
      <c r="D65" s="130" t="s">
        <v>84</v>
      </c>
      <c r="E65" s="130">
        <v>2002.0</v>
      </c>
      <c r="F65" s="130">
        <v>2007.0</v>
      </c>
      <c r="G65" s="130">
        <v>0.0</v>
      </c>
      <c r="H65" s="130">
        <v>27.6</v>
      </c>
      <c r="I65" s="131"/>
      <c r="J65" s="130"/>
      <c r="K65" s="132" t="e">
        <v>#N/A</v>
      </c>
      <c r="L65" s="132" t="e">
        <v>#N/A</v>
      </c>
      <c r="M65" s="130">
        <v>23.0</v>
      </c>
      <c r="N65" s="138"/>
      <c r="O65" s="130" t="s">
        <v>42</v>
      </c>
      <c r="P65" s="135">
        <v>12000.0</v>
      </c>
      <c r="Q65" s="130" t="s">
        <v>234</v>
      </c>
      <c r="R65" s="130">
        <v>2004.0</v>
      </c>
      <c r="S65" s="136">
        <v>0.355</v>
      </c>
      <c r="T65" s="128">
        <f>S65*P65</f>
        <v>4260</v>
      </c>
      <c r="U65" s="24">
        <f t="shared" si="3"/>
        <v>154.3478261</v>
      </c>
      <c r="V65" s="3">
        <f t="shared" si="28"/>
        <v>0</v>
      </c>
      <c r="W65" s="3">
        <f t="shared" si="29"/>
        <v>0</v>
      </c>
      <c r="X65" s="3">
        <f t="shared" si="30"/>
        <v>0</v>
      </c>
      <c r="Y65" s="25">
        <f t="shared" si="31"/>
        <v>0</v>
      </c>
      <c r="Z65" s="26">
        <f>VLOOKUP(R65,CPI!$A$2:$F$71,6,0)</f>
        <v>1.705211752</v>
      </c>
      <c r="AA65" s="27">
        <f t="shared" si="8"/>
        <v>7264.202065</v>
      </c>
      <c r="AB65" s="27">
        <f t="shared" si="9"/>
        <v>263.195727</v>
      </c>
      <c r="AC65" s="130" t="s">
        <v>42</v>
      </c>
      <c r="AD65" s="137" t="s">
        <v>238</v>
      </c>
      <c r="AE65" s="100"/>
      <c r="AF65" s="101"/>
      <c r="AG65" s="101"/>
      <c r="AH65" s="101"/>
    </row>
    <row r="66">
      <c r="A66" s="123" t="s">
        <v>230</v>
      </c>
      <c r="B66" s="123" t="s">
        <v>231</v>
      </c>
      <c r="C66" s="36" t="s">
        <v>239</v>
      </c>
      <c r="D66" s="123" t="s">
        <v>240</v>
      </c>
      <c r="E66" s="75">
        <v>2003.0</v>
      </c>
      <c r="F66" s="75">
        <v>2008.0</v>
      </c>
      <c r="G66" s="75">
        <v>0.0</v>
      </c>
      <c r="H66" s="75">
        <v>24.64</v>
      </c>
      <c r="I66" s="124">
        <v>1.0</v>
      </c>
      <c r="J66" s="75">
        <v>24.64</v>
      </c>
      <c r="K66" s="125">
        <v>0.0</v>
      </c>
      <c r="L66" s="125">
        <v>0.0</v>
      </c>
      <c r="M66" s="75">
        <v>22.0</v>
      </c>
      <c r="N66" s="75"/>
      <c r="O66" s="123" t="s">
        <v>42</v>
      </c>
      <c r="P66" s="126">
        <v>13700.0</v>
      </c>
      <c r="Q66" s="123" t="s">
        <v>234</v>
      </c>
      <c r="R66" s="75">
        <v>2005.0</v>
      </c>
      <c r="S66" s="136">
        <v>0.3519</v>
      </c>
      <c r="T66" s="128">
        <f>P66*S66</f>
        <v>4821.03</v>
      </c>
      <c r="U66" s="24">
        <f t="shared" si="3"/>
        <v>195.6586851</v>
      </c>
      <c r="V66" s="3">
        <f t="shared" si="28"/>
        <v>0</v>
      </c>
      <c r="W66" s="3">
        <f t="shared" si="29"/>
        <v>0</v>
      </c>
      <c r="X66" s="3">
        <f t="shared" si="30"/>
        <v>0</v>
      </c>
      <c r="Y66" s="25">
        <f t="shared" si="31"/>
        <v>0</v>
      </c>
      <c r="Z66" s="26">
        <f>VLOOKUP(R66,CPI!$A$2:$F$71,6,0)</f>
        <v>1.649331797</v>
      </c>
      <c r="AA66" s="27">
        <f t="shared" si="8"/>
        <v>7951.478074</v>
      </c>
      <c r="AB66" s="27">
        <f t="shared" si="9"/>
        <v>322.7060907</v>
      </c>
      <c r="AC66" s="123" t="s">
        <v>42</v>
      </c>
      <c r="AD66" s="129" t="s">
        <v>241</v>
      </c>
      <c r="AE66" s="100"/>
      <c r="AF66" s="101"/>
      <c r="AG66" s="101"/>
      <c r="AH66" s="101"/>
    </row>
    <row r="67">
      <c r="A67" s="130" t="s">
        <v>230</v>
      </c>
      <c r="B67" s="130" t="s">
        <v>231</v>
      </c>
      <c r="C67" s="36" t="s">
        <v>242</v>
      </c>
      <c r="D67" s="130" t="s">
        <v>242</v>
      </c>
      <c r="E67" s="130">
        <v>2005.0</v>
      </c>
      <c r="F67" s="130">
        <v>2008.0</v>
      </c>
      <c r="G67" s="130">
        <v>0.0</v>
      </c>
      <c r="H67" s="130">
        <v>28.1</v>
      </c>
      <c r="I67" s="131">
        <v>0.0</v>
      </c>
      <c r="J67" s="130">
        <v>0.0</v>
      </c>
      <c r="K67" s="132">
        <v>17.315</v>
      </c>
      <c r="L67" s="132">
        <v>10.785</v>
      </c>
      <c r="M67" s="130">
        <v>4.0</v>
      </c>
      <c r="N67" s="138"/>
      <c r="O67" s="130" t="s">
        <v>59</v>
      </c>
      <c r="P67" s="135">
        <v>622.3</v>
      </c>
      <c r="Q67" s="130" t="s">
        <v>234</v>
      </c>
      <c r="R67" s="130">
        <v>2005.0</v>
      </c>
      <c r="S67" s="136">
        <v>0.3519</v>
      </c>
      <c r="T67" s="128">
        <f t="shared" ref="T67:T68" si="32">S67*P67</f>
        <v>218.98737</v>
      </c>
      <c r="U67" s="24">
        <f t="shared" si="3"/>
        <v>7.79314484</v>
      </c>
      <c r="V67" s="3">
        <f t="shared" si="28"/>
        <v>0</v>
      </c>
      <c r="W67" s="3">
        <f t="shared" si="29"/>
        <v>0</v>
      </c>
      <c r="X67" s="3">
        <f t="shared" si="30"/>
        <v>0</v>
      </c>
      <c r="Y67" s="25">
        <f t="shared" si="31"/>
        <v>0</v>
      </c>
      <c r="Z67" s="26">
        <f>VLOOKUP(R67,CPI!$A$2:$F$71,6,0)</f>
        <v>1.649331797</v>
      </c>
      <c r="AA67" s="27">
        <f t="shared" si="8"/>
        <v>361.1828325</v>
      </c>
      <c r="AB67" s="27">
        <f t="shared" si="9"/>
        <v>12.85348158</v>
      </c>
      <c r="AC67" s="130" t="s">
        <v>42</v>
      </c>
      <c r="AD67" s="137" t="s">
        <v>241</v>
      </c>
      <c r="AE67" s="100"/>
      <c r="AF67" s="101"/>
      <c r="AG67" s="101"/>
      <c r="AH67" s="101"/>
    </row>
    <row r="68">
      <c r="A68" s="130" t="s">
        <v>230</v>
      </c>
      <c r="B68" s="130" t="s">
        <v>231</v>
      </c>
      <c r="C68" s="36" t="s">
        <v>243</v>
      </c>
      <c r="D68" s="130" t="s">
        <v>244</v>
      </c>
      <c r="E68" s="130">
        <v>2005.0</v>
      </c>
      <c r="F68" s="130">
        <v>2008.0</v>
      </c>
      <c r="G68" s="130">
        <v>0.0</v>
      </c>
      <c r="H68" s="130">
        <v>4.528</v>
      </c>
      <c r="I68" s="131">
        <v>1.0</v>
      </c>
      <c r="J68" s="130">
        <v>4.528</v>
      </c>
      <c r="K68" s="132">
        <v>0.0</v>
      </c>
      <c r="L68" s="132">
        <v>0.0</v>
      </c>
      <c r="M68" s="130">
        <v>4.0</v>
      </c>
      <c r="N68" s="138"/>
      <c r="O68" s="130" t="s">
        <v>42</v>
      </c>
      <c r="P68" s="135">
        <v>2420.0</v>
      </c>
      <c r="Q68" s="130" t="s">
        <v>234</v>
      </c>
      <c r="R68" s="130">
        <v>2005.0</v>
      </c>
      <c r="S68" s="136">
        <v>0.3519</v>
      </c>
      <c r="T68" s="128">
        <f t="shared" si="32"/>
        <v>851.598</v>
      </c>
      <c r="U68" s="24">
        <f t="shared" si="3"/>
        <v>188.0737633</v>
      </c>
      <c r="V68" s="3">
        <f t="shared" si="28"/>
        <v>0</v>
      </c>
      <c r="W68" s="3">
        <f t="shared" si="29"/>
        <v>0</v>
      </c>
      <c r="X68" s="3">
        <f t="shared" si="30"/>
        <v>0</v>
      </c>
      <c r="Y68" s="25">
        <f t="shared" si="31"/>
        <v>0</v>
      </c>
      <c r="Z68" s="26">
        <f>VLOOKUP(R68,CPI!$A$2:$F$71,6,0)</f>
        <v>1.649331797</v>
      </c>
      <c r="AA68" s="27">
        <f t="shared" si="8"/>
        <v>1404.56766</v>
      </c>
      <c r="AB68" s="27">
        <f t="shared" si="9"/>
        <v>310.196038</v>
      </c>
      <c r="AC68" s="130" t="s">
        <v>42</v>
      </c>
      <c r="AD68" s="130" t="s">
        <v>245</v>
      </c>
      <c r="AE68" s="100"/>
      <c r="AF68" s="101"/>
      <c r="AG68" s="101"/>
      <c r="AH68" s="101"/>
    </row>
    <row r="69">
      <c r="A69" s="130" t="s">
        <v>230</v>
      </c>
      <c r="B69" s="130" t="s">
        <v>231</v>
      </c>
      <c r="C69" s="130" t="s">
        <v>110</v>
      </c>
      <c r="D69" s="130" t="s">
        <v>110</v>
      </c>
      <c r="E69" s="130">
        <v>2004.0</v>
      </c>
      <c r="F69" s="130">
        <v>2009.0</v>
      </c>
      <c r="G69" s="130">
        <v>0.0</v>
      </c>
      <c r="H69" s="130">
        <v>28.2</v>
      </c>
      <c r="I69" s="131">
        <f>J69/H69</f>
        <v>0.9516666667</v>
      </c>
      <c r="J69" s="130">
        <v>26.837</v>
      </c>
      <c r="K69" s="132">
        <v>0.0</v>
      </c>
      <c r="L69" s="132">
        <v>0.0</v>
      </c>
      <c r="M69" s="130">
        <v>24.0</v>
      </c>
      <c r="N69" s="133">
        <v>117.0</v>
      </c>
      <c r="O69" s="130" t="s">
        <v>42</v>
      </c>
      <c r="P69" s="140">
        <v>15380.0</v>
      </c>
      <c r="Q69" s="130" t="s">
        <v>234</v>
      </c>
      <c r="R69" s="130">
        <v>2005.0</v>
      </c>
      <c r="S69" s="136">
        <v>0.3519</v>
      </c>
      <c r="T69" s="128">
        <f>P69*S69</f>
        <v>5412.222</v>
      </c>
      <c r="U69" s="24">
        <f t="shared" si="3"/>
        <v>191.922766</v>
      </c>
      <c r="V69" s="3">
        <f t="shared" si="28"/>
        <v>0</v>
      </c>
      <c r="W69" s="3">
        <f t="shared" si="29"/>
        <v>0</v>
      </c>
      <c r="X69" s="3">
        <f t="shared" si="30"/>
        <v>0</v>
      </c>
      <c r="Y69" s="25">
        <f t="shared" si="31"/>
        <v>0</v>
      </c>
      <c r="Z69" s="26">
        <f>VLOOKUP(R69,CPI!$A$2:$F$71,6,0)</f>
        <v>1.649331797</v>
      </c>
      <c r="AA69" s="27">
        <f t="shared" si="8"/>
        <v>8926.549838</v>
      </c>
      <c r="AB69" s="27">
        <f t="shared" si="9"/>
        <v>316.5443205</v>
      </c>
      <c r="AC69" s="130" t="s">
        <v>42</v>
      </c>
      <c r="AD69" s="137" t="s">
        <v>246</v>
      </c>
      <c r="AE69" s="100"/>
      <c r="AF69" s="101"/>
      <c r="AG69" s="101"/>
      <c r="AH69" s="101"/>
    </row>
    <row r="70">
      <c r="A70" s="130" t="s">
        <v>230</v>
      </c>
      <c r="B70" s="130" t="s">
        <v>231</v>
      </c>
      <c r="C70" s="130" t="s">
        <v>247</v>
      </c>
      <c r="D70" s="130" t="s">
        <v>247</v>
      </c>
      <c r="E70" s="130">
        <v>2007.0</v>
      </c>
      <c r="F70" s="130">
        <v>2010.0</v>
      </c>
      <c r="G70" s="130">
        <v>0.0</v>
      </c>
      <c r="H70" s="130">
        <v>21.8</v>
      </c>
      <c r="I70" s="131">
        <v>0.8027522936</v>
      </c>
      <c r="J70" s="130">
        <v>17.5</v>
      </c>
      <c r="K70" s="132">
        <v>4.36</v>
      </c>
      <c r="L70" s="132">
        <v>0.0</v>
      </c>
      <c r="M70" s="130">
        <v>11.0</v>
      </c>
      <c r="N70" s="138"/>
      <c r="O70" s="130" t="s">
        <v>42</v>
      </c>
      <c r="P70" s="135">
        <v>10930.0</v>
      </c>
      <c r="Q70" s="130" t="s">
        <v>234</v>
      </c>
      <c r="R70" s="130">
        <v>2007.0</v>
      </c>
      <c r="S70" s="136">
        <v>0.333</v>
      </c>
      <c r="T70" s="128">
        <f>S70*P70</f>
        <v>3639.69</v>
      </c>
      <c r="U70" s="24">
        <f t="shared" si="3"/>
        <v>166.9582569</v>
      </c>
      <c r="V70" s="3">
        <f t="shared" si="28"/>
        <v>0</v>
      </c>
      <c r="W70" s="3">
        <f t="shared" si="29"/>
        <v>0</v>
      </c>
      <c r="X70" s="3">
        <f t="shared" si="30"/>
        <v>0</v>
      </c>
      <c r="Y70" s="25">
        <f t="shared" si="31"/>
        <v>0</v>
      </c>
      <c r="Z70" s="26">
        <f>VLOOKUP(R70,CPI!$A$2:$F$71,6,0)</f>
        <v>1.553541974</v>
      </c>
      <c r="AA70" s="27">
        <f t="shared" si="8"/>
        <v>5654.411188</v>
      </c>
      <c r="AB70" s="27">
        <f t="shared" si="9"/>
        <v>259.37666</v>
      </c>
      <c r="AC70" s="130" t="s">
        <v>42</v>
      </c>
      <c r="AD70" s="137" t="s">
        <v>248</v>
      </c>
      <c r="AE70" s="100"/>
      <c r="AF70" s="101"/>
      <c r="AG70" s="101"/>
      <c r="AH70" s="101"/>
    </row>
    <row r="71">
      <c r="A71" s="114" t="s">
        <v>230</v>
      </c>
      <c r="B71" s="114" t="s">
        <v>231</v>
      </c>
      <c r="C71" s="114" t="s">
        <v>253</v>
      </c>
      <c r="D71" s="114" t="s">
        <v>253</v>
      </c>
      <c r="E71" s="116">
        <v>2007.0</v>
      </c>
      <c r="F71" s="116">
        <v>2012.0</v>
      </c>
      <c r="G71" s="116">
        <v>0.0</v>
      </c>
      <c r="H71" s="116">
        <v>16.5</v>
      </c>
      <c r="I71" s="117">
        <v>1.0</v>
      </c>
      <c r="J71" s="116">
        <v>16.5</v>
      </c>
      <c r="K71" s="114"/>
      <c r="L71" s="114"/>
      <c r="M71" s="116">
        <v>13.0</v>
      </c>
      <c r="N71" s="116">
        <v>117.0</v>
      </c>
      <c r="O71" s="114"/>
      <c r="P71" s="140">
        <v>12900.0</v>
      </c>
      <c r="Q71" s="114" t="s">
        <v>234</v>
      </c>
      <c r="R71" s="115">
        <v>2010.0</v>
      </c>
      <c r="S71" s="85">
        <v>0.3</v>
      </c>
      <c r="T71" s="118">
        <f t="shared" ref="T71:T72" si="33">P71*S71</f>
        <v>3870</v>
      </c>
      <c r="U71" s="24">
        <f t="shared" si="3"/>
        <v>234.5454545</v>
      </c>
      <c r="V71" s="3">
        <f t="shared" si="28"/>
        <v>0</v>
      </c>
      <c r="W71" s="3">
        <f t="shared" si="29"/>
        <v>0</v>
      </c>
      <c r="X71" s="3">
        <f t="shared" si="30"/>
        <v>0</v>
      </c>
      <c r="Y71" s="25">
        <f t="shared" si="31"/>
        <v>0</v>
      </c>
      <c r="Z71" s="26">
        <f>VLOOKUP(R71,CPI!$A$2:$F$71,6,0)</f>
        <v>1.477209983</v>
      </c>
      <c r="AA71" s="27">
        <f t="shared" si="8"/>
        <v>5716.802633</v>
      </c>
      <c r="AB71" s="27">
        <f t="shared" si="9"/>
        <v>346.4728869</v>
      </c>
      <c r="AC71" s="114"/>
      <c r="AD71" s="119" t="s">
        <v>254</v>
      </c>
    </row>
    <row r="72">
      <c r="A72" s="72" t="s">
        <v>230</v>
      </c>
      <c r="B72" s="72" t="s">
        <v>231</v>
      </c>
      <c r="C72" s="36" t="s">
        <v>80</v>
      </c>
      <c r="D72" s="115" t="s">
        <v>255</v>
      </c>
      <c r="E72" s="69">
        <v>2008.0</v>
      </c>
      <c r="F72" s="69">
        <v>2012.0</v>
      </c>
      <c r="G72" s="69">
        <v>0.0</v>
      </c>
      <c r="H72" s="69">
        <v>30.4</v>
      </c>
      <c r="I72" s="117">
        <v>1.0</v>
      </c>
      <c r="J72" s="69">
        <v>30.4</v>
      </c>
      <c r="K72" s="72"/>
      <c r="L72" s="72"/>
      <c r="M72" s="69">
        <v>20.0</v>
      </c>
      <c r="N72" s="69">
        <v>156.0</v>
      </c>
      <c r="O72" s="72" t="s">
        <v>74</v>
      </c>
      <c r="P72" s="140">
        <v>28000.0</v>
      </c>
      <c r="Q72" s="72" t="s">
        <v>234</v>
      </c>
      <c r="R72" s="6">
        <v>2010.0</v>
      </c>
      <c r="S72" s="136">
        <v>0.3</v>
      </c>
      <c r="T72" s="148">
        <f t="shared" si="33"/>
        <v>8400</v>
      </c>
      <c r="U72" s="24">
        <f t="shared" si="3"/>
        <v>276.3157895</v>
      </c>
      <c r="V72" s="3">
        <f t="shared" si="28"/>
        <v>0</v>
      </c>
      <c r="W72" s="3">
        <f t="shared" si="29"/>
        <v>0</v>
      </c>
      <c r="X72" s="3">
        <f t="shared" si="30"/>
        <v>0</v>
      </c>
      <c r="Y72" s="25">
        <f t="shared" si="31"/>
        <v>0</v>
      </c>
      <c r="Z72" s="26">
        <f>VLOOKUP(R72,CPI!$A$2:$F$71,6,0)</f>
        <v>1.477209983</v>
      </c>
      <c r="AA72" s="27">
        <f t="shared" si="8"/>
        <v>12408.56386</v>
      </c>
      <c r="AB72" s="27">
        <f t="shared" si="9"/>
        <v>408.1764426</v>
      </c>
      <c r="AC72" s="72" t="s">
        <v>42</v>
      </c>
      <c r="AD72" s="149" t="s">
        <v>254</v>
      </c>
      <c r="AE72" s="150"/>
      <c r="AF72" s="145"/>
      <c r="AG72" s="145"/>
      <c r="AH72" s="145"/>
    </row>
    <row r="73">
      <c r="A73" s="130" t="s">
        <v>230</v>
      </c>
      <c r="B73" s="130" t="s">
        <v>231</v>
      </c>
      <c r="C73" s="36" t="s">
        <v>243</v>
      </c>
      <c r="D73" s="130" t="s">
        <v>256</v>
      </c>
      <c r="E73" s="130">
        <v>2011.0</v>
      </c>
      <c r="F73" s="130">
        <v>2013.0</v>
      </c>
      <c r="G73" s="130">
        <v>0.0</v>
      </c>
      <c r="H73" s="130">
        <v>6.328</v>
      </c>
      <c r="I73" s="131">
        <v>0.7345132743</v>
      </c>
      <c r="J73" s="130">
        <v>4.648</v>
      </c>
      <c r="K73" s="132">
        <v>1.7091</v>
      </c>
      <c r="L73" s="132">
        <v>0.0</v>
      </c>
      <c r="M73" s="130">
        <v>3.0</v>
      </c>
      <c r="N73" s="138"/>
      <c r="O73" s="130" t="s">
        <v>59</v>
      </c>
      <c r="P73" s="135">
        <v>3212.2</v>
      </c>
      <c r="Q73" s="130" t="s">
        <v>234</v>
      </c>
      <c r="R73" s="130">
        <v>2011.0</v>
      </c>
      <c r="S73" s="136">
        <v>0.284</v>
      </c>
      <c r="T73" s="128">
        <f t="shared" ref="T73:T74" si="34">S73*P73</f>
        <v>912.2648</v>
      </c>
      <c r="U73" s="24">
        <f t="shared" si="3"/>
        <v>144.1632111</v>
      </c>
      <c r="V73" s="3">
        <f t="shared" si="28"/>
        <v>0</v>
      </c>
      <c r="W73" s="3">
        <f t="shared" si="29"/>
        <v>0</v>
      </c>
      <c r="X73" s="3">
        <f t="shared" si="30"/>
        <v>0</v>
      </c>
      <c r="Y73" s="25">
        <f t="shared" si="31"/>
        <v>0</v>
      </c>
      <c r="Z73" s="26">
        <f>VLOOKUP(R73,CPI!$A$2:$F$71,6,0)</f>
        <v>1.432008233</v>
      </c>
      <c r="AA73" s="27">
        <f t="shared" si="8"/>
        <v>1306.370705</v>
      </c>
      <c r="AB73" s="27">
        <f t="shared" si="9"/>
        <v>206.4429053</v>
      </c>
      <c r="AC73" s="130" t="s">
        <v>42</v>
      </c>
      <c r="AD73" s="137" t="s">
        <v>257</v>
      </c>
      <c r="AE73" s="100"/>
      <c r="AF73" s="101"/>
      <c r="AG73" s="101"/>
      <c r="AH73" s="101"/>
    </row>
    <row r="74">
      <c r="A74" s="130" t="s">
        <v>230</v>
      </c>
      <c r="B74" s="130" t="s">
        <v>231</v>
      </c>
      <c r="C74" s="16" t="s">
        <v>260</v>
      </c>
      <c r="D74" s="130" t="s">
        <v>261</v>
      </c>
      <c r="E74" s="130">
        <v>2009.0</v>
      </c>
      <c r="F74" s="130">
        <v>2014.0</v>
      </c>
      <c r="G74" s="130">
        <v>0.0</v>
      </c>
      <c r="H74" s="130">
        <v>41.4</v>
      </c>
      <c r="I74" s="131">
        <v>0.6690821256</v>
      </c>
      <c r="J74" s="130">
        <v>27.7</v>
      </c>
      <c r="K74" s="132">
        <v>13.605</v>
      </c>
      <c r="L74" s="132">
        <v>0.471</v>
      </c>
      <c r="M74" s="130">
        <v>18.0</v>
      </c>
      <c r="N74" s="133">
        <v>117.0</v>
      </c>
      <c r="O74" s="130" t="s">
        <v>42</v>
      </c>
      <c r="P74" s="135">
        <v>18100.0</v>
      </c>
      <c r="Q74" s="130" t="s">
        <v>234</v>
      </c>
      <c r="R74" s="130">
        <v>2010.0</v>
      </c>
      <c r="S74" s="136">
        <v>0.3</v>
      </c>
      <c r="T74" s="128">
        <f t="shared" si="34"/>
        <v>5430</v>
      </c>
      <c r="U74" s="24">
        <f t="shared" si="3"/>
        <v>131.1594203</v>
      </c>
      <c r="V74" s="3">
        <f t="shared" si="28"/>
        <v>0</v>
      </c>
      <c r="W74" s="3">
        <f t="shared" si="29"/>
        <v>0</v>
      </c>
      <c r="X74" s="3">
        <f t="shared" si="30"/>
        <v>0</v>
      </c>
      <c r="Y74" s="25">
        <f t="shared" si="31"/>
        <v>0</v>
      </c>
      <c r="Z74" s="26">
        <f>VLOOKUP(R74,CPI!$A$2:$F$71,6,0)</f>
        <v>1.477209983</v>
      </c>
      <c r="AA74" s="27">
        <f t="shared" si="8"/>
        <v>8021.250206</v>
      </c>
      <c r="AB74" s="27">
        <f t="shared" si="9"/>
        <v>193.750005</v>
      </c>
      <c r="AC74" s="130" t="s">
        <v>42</v>
      </c>
      <c r="AD74" s="137" t="s">
        <v>262</v>
      </c>
      <c r="AE74" s="100"/>
      <c r="AF74" s="101"/>
      <c r="AG74" s="101"/>
      <c r="AH74" s="101"/>
    </row>
    <row r="75">
      <c r="A75" s="123" t="s">
        <v>230</v>
      </c>
      <c r="B75" s="123" t="s">
        <v>231</v>
      </c>
      <c r="C75" s="36" t="s">
        <v>228</v>
      </c>
      <c r="D75" s="123" t="s">
        <v>263</v>
      </c>
      <c r="E75" s="75">
        <v>2009.0</v>
      </c>
      <c r="F75" s="75">
        <v>2014.0</v>
      </c>
      <c r="G75" s="75">
        <v>0.0</v>
      </c>
      <c r="H75" s="75">
        <v>23.7</v>
      </c>
      <c r="I75" s="124">
        <v>1.0</v>
      </c>
      <c r="J75" s="75">
        <v>23.7</v>
      </c>
      <c r="K75" s="125">
        <v>0.0</v>
      </c>
      <c r="L75" s="125">
        <v>0.0</v>
      </c>
      <c r="M75" s="75">
        <v>21.0</v>
      </c>
      <c r="N75" s="152"/>
      <c r="O75" s="123" t="s">
        <v>60</v>
      </c>
      <c r="P75" s="126">
        <v>16000.0</v>
      </c>
      <c r="Q75" s="123" t="s">
        <v>234</v>
      </c>
      <c r="R75" s="75">
        <v>2014.0</v>
      </c>
      <c r="S75" s="136">
        <v>0.266</v>
      </c>
      <c r="T75" s="128">
        <f t="shared" ref="T75:T77" si="35">P75*S75</f>
        <v>4256</v>
      </c>
      <c r="U75" s="24">
        <f t="shared" si="3"/>
        <v>179.5780591</v>
      </c>
      <c r="V75" s="3">
        <f t="shared" si="28"/>
        <v>0</v>
      </c>
      <c r="W75" s="3">
        <f t="shared" si="29"/>
        <v>0</v>
      </c>
      <c r="X75" s="3">
        <f t="shared" si="30"/>
        <v>0</v>
      </c>
      <c r="Y75" s="25">
        <f t="shared" si="31"/>
        <v>0</v>
      </c>
      <c r="Z75" s="26">
        <f>VLOOKUP(R75,CPI!$A$2:$F$71,6,0)</f>
        <v>1.360648571</v>
      </c>
      <c r="AA75" s="27">
        <f t="shared" si="8"/>
        <v>5790.920316</v>
      </c>
      <c r="AB75" s="27">
        <f t="shared" si="9"/>
        <v>244.3426294</v>
      </c>
      <c r="AC75" s="123" t="s">
        <v>42</v>
      </c>
      <c r="AD75" s="129" t="s">
        <v>264</v>
      </c>
      <c r="AE75" s="100"/>
      <c r="AF75" s="101"/>
      <c r="AG75" s="101"/>
      <c r="AH75" s="101"/>
    </row>
    <row r="76">
      <c r="A76" s="114" t="s">
        <v>230</v>
      </c>
      <c r="B76" s="114" t="s">
        <v>231</v>
      </c>
      <c r="C76" s="115" t="s">
        <v>80</v>
      </c>
      <c r="D76" s="115" t="s">
        <v>265</v>
      </c>
      <c r="E76" s="116">
        <v>2011.0</v>
      </c>
      <c r="F76" s="116">
        <v>2014.0</v>
      </c>
      <c r="G76" s="116">
        <v>0.0</v>
      </c>
      <c r="H76" s="116">
        <v>12.4</v>
      </c>
      <c r="I76" s="117">
        <v>1.0</v>
      </c>
      <c r="J76" s="116">
        <v>12.4</v>
      </c>
      <c r="K76" s="114"/>
      <c r="L76" s="114"/>
      <c r="M76" s="116">
        <v>8.0</v>
      </c>
      <c r="N76" s="116">
        <v>156.0</v>
      </c>
      <c r="O76" s="114"/>
      <c r="P76" s="140">
        <v>6000.0</v>
      </c>
      <c r="Q76" s="114" t="s">
        <v>234</v>
      </c>
      <c r="R76" s="115">
        <v>2013.0</v>
      </c>
      <c r="S76" s="85">
        <v>0.273</v>
      </c>
      <c r="T76" s="118">
        <f t="shared" si="35"/>
        <v>1638</v>
      </c>
      <c r="U76" s="24">
        <f t="shared" si="3"/>
        <v>132.0967742</v>
      </c>
      <c r="V76" s="3">
        <f t="shared" si="28"/>
        <v>0</v>
      </c>
      <c r="W76" s="3">
        <f t="shared" si="29"/>
        <v>0</v>
      </c>
      <c r="X76" s="3">
        <f t="shared" si="30"/>
        <v>0</v>
      </c>
      <c r="Y76" s="25">
        <f t="shared" si="31"/>
        <v>0</v>
      </c>
      <c r="Z76" s="26">
        <f>VLOOKUP(R76,CPI!$A$2:$F$71,6,0)</f>
        <v>1.382720845</v>
      </c>
      <c r="AA76" s="27">
        <f t="shared" si="8"/>
        <v>2264.896745</v>
      </c>
      <c r="AB76" s="27">
        <f t="shared" si="9"/>
        <v>182.6529633</v>
      </c>
      <c r="AC76" s="114"/>
      <c r="AD76" s="119" t="s">
        <v>266</v>
      </c>
      <c r="AE76" s="153"/>
      <c r="AF76" s="121"/>
      <c r="AG76" s="121"/>
      <c r="AH76" s="121"/>
    </row>
    <row r="77">
      <c r="A77" s="123" t="s">
        <v>230</v>
      </c>
      <c r="B77" s="123" t="s">
        <v>231</v>
      </c>
      <c r="C77" s="36" t="s">
        <v>243</v>
      </c>
      <c r="D77" s="123" t="s">
        <v>272</v>
      </c>
      <c r="E77" s="75">
        <v>2016.0</v>
      </c>
      <c r="F77" s="75">
        <v>2018.0</v>
      </c>
      <c r="G77" s="75">
        <v>0.0</v>
      </c>
      <c r="H77" s="75">
        <v>3.4</v>
      </c>
      <c r="I77" s="124">
        <f>J77/H77</f>
        <v>0.2907647059</v>
      </c>
      <c r="J77" s="75">
        <v>0.9886</v>
      </c>
      <c r="K77" s="125">
        <v>2.414</v>
      </c>
      <c r="L77" s="125">
        <v>0.0</v>
      </c>
      <c r="M77" s="75">
        <v>2.0</v>
      </c>
      <c r="N77" s="75"/>
      <c r="O77" s="123" t="s">
        <v>74</v>
      </c>
      <c r="P77" s="126">
        <v>3420.0</v>
      </c>
      <c r="Q77" s="123" t="s">
        <v>234</v>
      </c>
      <c r="R77" s="75">
        <v>2015.0</v>
      </c>
      <c r="S77" s="136">
        <v>0.258</v>
      </c>
      <c r="T77" s="128">
        <f t="shared" si="35"/>
        <v>882.36</v>
      </c>
      <c r="U77" s="24">
        <f t="shared" si="3"/>
        <v>259.5176471</v>
      </c>
      <c r="V77" s="3">
        <f t="shared" si="28"/>
        <v>0</v>
      </c>
      <c r="W77" s="3">
        <f t="shared" si="29"/>
        <v>0</v>
      </c>
      <c r="X77" s="3">
        <f t="shared" si="30"/>
        <v>0</v>
      </c>
      <c r="Y77" s="25">
        <f t="shared" si="31"/>
        <v>0</v>
      </c>
      <c r="Z77" s="26">
        <f>VLOOKUP(R77,CPI!$A$2:$F$71,6,0)</f>
        <v>1.359035428</v>
      </c>
      <c r="AA77" s="27">
        <f t="shared" si="8"/>
        <v>1199.1585</v>
      </c>
      <c r="AB77" s="27">
        <f t="shared" si="9"/>
        <v>352.6936765</v>
      </c>
      <c r="AC77" s="123" t="s">
        <v>42</v>
      </c>
      <c r="AD77" s="129" t="s">
        <v>273</v>
      </c>
      <c r="AE77" s="100"/>
      <c r="AF77" s="101"/>
      <c r="AG77" s="101"/>
      <c r="AH77" s="101"/>
    </row>
    <row r="78">
      <c r="A78" s="130" t="s">
        <v>230</v>
      </c>
      <c r="B78" s="130" t="s">
        <v>231</v>
      </c>
      <c r="C78" s="36" t="s">
        <v>274</v>
      </c>
      <c r="D78" s="130" t="s">
        <v>275</v>
      </c>
      <c r="E78" s="130">
        <v>2016.0</v>
      </c>
      <c r="F78" s="130">
        <v>2019.0</v>
      </c>
      <c r="G78" s="130">
        <v>0.0</v>
      </c>
      <c r="H78" s="130">
        <v>44.0</v>
      </c>
      <c r="I78" s="131"/>
      <c r="J78" s="130"/>
      <c r="K78" s="132" t="e">
        <v>#N/A</v>
      </c>
      <c r="L78" s="132" t="e">
        <v>#N/A</v>
      </c>
      <c r="M78" s="130">
        <v>3.0</v>
      </c>
      <c r="N78" s="138"/>
      <c r="O78" s="130" t="s">
        <v>60</v>
      </c>
      <c r="P78" s="135">
        <v>27820.0</v>
      </c>
      <c r="Q78" s="130" t="s">
        <v>234</v>
      </c>
      <c r="R78" s="130">
        <v>2019.0</v>
      </c>
      <c r="S78" s="136">
        <v>0.238</v>
      </c>
      <c r="T78" s="128">
        <f>S78*P78</f>
        <v>6621.16</v>
      </c>
      <c r="U78" s="24">
        <f t="shared" si="3"/>
        <v>150.4809091</v>
      </c>
      <c r="V78" s="3">
        <f t="shared" si="28"/>
        <v>0</v>
      </c>
      <c r="W78" s="3">
        <f t="shared" si="29"/>
        <v>0</v>
      </c>
      <c r="X78" s="3">
        <f t="shared" si="30"/>
        <v>0</v>
      </c>
      <c r="Y78" s="25">
        <f t="shared" si="31"/>
        <v>0</v>
      </c>
      <c r="Z78" s="26">
        <f>VLOOKUP(R78,CPI!$A$2:$F$71,6,0)</f>
        <v>1.259947899</v>
      </c>
      <c r="AA78" s="27">
        <f t="shared" si="8"/>
        <v>8342.316631</v>
      </c>
      <c r="AB78" s="27">
        <f t="shared" si="9"/>
        <v>189.5981052</v>
      </c>
      <c r="AC78" s="130" t="s">
        <v>60</v>
      </c>
      <c r="AD78" s="137" t="s">
        <v>276</v>
      </c>
      <c r="AE78" s="100"/>
      <c r="AF78" s="101"/>
      <c r="AG78" s="101"/>
      <c r="AH78" s="101"/>
    </row>
    <row r="79">
      <c r="A79" s="72" t="s">
        <v>230</v>
      </c>
      <c r="B79" s="72" t="s">
        <v>231</v>
      </c>
      <c r="C79" s="36" t="s">
        <v>242</v>
      </c>
      <c r="D79" s="72" t="s">
        <v>277</v>
      </c>
      <c r="E79" s="69">
        <v>2016.0</v>
      </c>
      <c r="F79" s="69">
        <v>2020.0</v>
      </c>
      <c r="G79" s="69">
        <v>0.0</v>
      </c>
      <c r="H79" s="69">
        <v>1.83</v>
      </c>
      <c r="I79" s="117">
        <v>1.0</v>
      </c>
      <c r="J79" s="69">
        <v>1.83</v>
      </c>
      <c r="K79" s="72"/>
      <c r="L79" s="72"/>
      <c r="M79" s="69">
        <v>1.0</v>
      </c>
      <c r="N79" s="69">
        <v>68.0</v>
      </c>
      <c r="O79" s="72"/>
      <c r="P79" s="140">
        <v>1800.0</v>
      </c>
      <c r="Q79" s="72" t="s">
        <v>234</v>
      </c>
      <c r="R79" s="69">
        <v>2018.0</v>
      </c>
      <c r="S79" s="136">
        <v>0.237</v>
      </c>
      <c r="T79" s="148">
        <f t="shared" ref="T79:T90" si="36">P79*S79</f>
        <v>426.6</v>
      </c>
      <c r="U79" s="24">
        <f t="shared" si="3"/>
        <v>233.1147541</v>
      </c>
      <c r="V79" s="3">
        <f t="shared" si="28"/>
        <v>0</v>
      </c>
      <c r="W79" s="3">
        <f t="shared" si="29"/>
        <v>0</v>
      </c>
      <c r="X79" s="3">
        <f t="shared" si="30"/>
        <v>0</v>
      </c>
      <c r="Y79" s="25">
        <f t="shared" si="31"/>
        <v>0</v>
      </c>
      <c r="Z79" s="26">
        <f>VLOOKUP(R79,CPI!$A$2:$F$71,6,0)</f>
        <v>1.28277786</v>
      </c>
      <c r="AA79" s="27">
        <f t="shared" si="8"/>
        <v>547.2330349</v>
      </c>
      <c r="AB79" s="27">
        <f t="shared" si="9"/>
        <v>299.0344453</v>
      </c>
      <c r="AC79" s="72" t="s">
        <v>42</v>
      </c>
      <c r="AD79" s="149" t="s">
        <v>278</v>
      </c>
      <c r="AE79" s="150"/>
      <c r="AF79" s="145"/>
      <c r="AG79" s="145"/>
      <c r="AH79" s="145"/>
    </row>
    <row r="80">
      <c r="A80" s="123" t="s">
        <v>230</v>
      </c>
      <c r="B80" s="123" t="s">
        <v>231</v>
      </c>
      <c r="C80" s="36" t="s">
        <v>228</v>
      </c>
      <c r="D80" s="123" t="s">
        <v>279</v>
      </c>
      <c r="E80" s="75">
        <v>2016.0</v>
      </c>
      <c r="F80" s="75">
        <v>2020.0</v>
      </c>
      <c r="G80" s="75">
        <v>0.0</v>
      </c>
      <c r="H80" s="75">
        <v>17.2</v>
      </c>
      <c r="I80" s="124">
        <v>0.8720930233</v>
      </c>
      <c r="J80" s="75">
        <v>15.0</v>
      </c>
      <c r="K80" s="125">
        <v>0.0</v>
      </c>
      <c r="L80" s="125">
        <v>0.0</v>
      </c>
      <c r="M80" s="75">
        <v>9.0</v>
      </c>
      <c r="N80" s="75"/>
      <c r="O80" s="123" t="s">
        <v>60</v>
      </c>
      <c r="P80" s="126">
        <v>15330.0</v>
      </c>
      <c r="Q80" s="123" t="s">
        <v>234</v>
      </c>
      <c r="R80" s="75">
        <v>2016.0</v>
      </c>
      <c r="S80" s="136">
        <v>0.251</v>
      </c>
      <c r="T80" s="128">
        <f t="shared" si="36"/>
        <v>3847.83</v>
      </c>
      <c r="U80" s="24">
        <f t="shared" si="3"/>
        <v>223.7110465</v>
      </c>
      <c r="V80" s="3">
        <f t="shared" si="28"/>
        <v>0</v>
      </c>
      <c r="W80" s="3">
        <f t="shared" si="29"/>
        <v>0</v>
      </c>
      <c r="X80" s="3">
        <f t="shared" si="30"/>
        <v>0</v>
      </c>
      <c r="Y80" s="25">
        <f t="shared" si="31"/>
        <v>0</v>
      </c>
      <c r="Z80" s="26">
        <f>VLOOKUP(R80,CPI!$A$2:$F$71,6,0)</f>
        <v>1.342104605</v>
      </c>
      <c r="AA80" s="27">
        <f t="shared" si="8"/>
        <v>5164.190363</v>
      </c>
      <c r="AB80" s="27">
        <f t="shared" si="9"/>
        <v>300.2436258</v>
      </c>
      <c r="AC80" s="123" t="s">
        <v>42</v>
      </c>
      <c r="AD80" s="129" t="s">
        <v>280</v>
      </c>
      <c r="AE80" s="100"/>
      <c r="AF80" s="101"/>
      <c r="AG80" s="101"/>
      <c r="AH80" s="101"/>
    </row>
    <row r="81">
      <c r="A81" s="123" t="s">
        <v>230</v>
      </c>
      <c r="B81" s="123" t="s">
        <v>231</v>
      </c>
      <c r="C81" s="36" t="s">
        <v>281</v>
      </c>
      <c r="D81" s="123" t="s">
        <v>282</v>
      </c>
      <c r="E81" s="75">
        <v>2017.0</v>
      </c>
      <c r="F81" s="75">
        <v>2020.0</v>
      </c>
      <c r="G81" s="75">
        <v>0.0</v>
      </c>
      <c r="H81" s="75">
        <v>5.0</v>
      </c>
      <c r="I81" s="155"/>
      <c r="J81" s="123"/>
      <c r="K81" s="125" t="e">
        <v>#N/A</v>
      </c>
      <c r="L81" s="125" t="e">
        <v>#N/A</v>
      </c>
      <c r="M81" s="75">
        <v>4.0</v>
      </c>
      <c r="N81" s="75"/>
      <c r="O81" s="123" t="s">
        <v>60</v>
      </c>
      <c r="P81" s="126">
        <v>4860.0</v>
      </c>
      <c r="Q81" s="123" t="s">
        <v>234</v>
      </c>
      <c r="R81" s="75">
        <v>2015.0</v>
      </c>
      <c r="S81" s="136">
        <v>0.258</v>
      </c>
      <c r="T81" s="128">
        <f t="shared" si="36"/>
        <v>1253.88</v>
      </c>
      <c r="U81" s="24">
        <f t="shared" si="3"/>
        <v>250.776</v>
      </c>
      <c r="V81" s="3">
        <f t="shared" si="28"/>
        <v>0</v>
      </c>
      <c r="W81" s="3">
        <f t="shared" si="29"/>
        <v>0</v>
      </c>
      <c r="X81" s="3">
        <f t="shared" si="30"/>
        <v>0</v>
      </c>
      <c r="Y81" s="25">
        <f t="shared" si="31"/>
        <v>0</v>
      </c>
      <c r="Z81" s="26">
        <f>VLOOKUP(R81,CPI!$A$2:$F$71,6,0)</f>
        <v>1.359035428</v>
      </c>
      <c r="AA81" s="27">
        <f t="shared" si="8"/>
        <v>1704.067342</v>
      </c>
      <c r="AB81" s="27">
        <f t="shared" si="9"/>
        <v>340.8134685</v>
      </c>
      <c r="AC81" s="123" t="s">
        <v>42</v>
      </c>
      <c r="AD81" s="129" t="s">
        <v>280</v>
      </c>
      <c r="AE81" s="100"/>
      <c r="AF81" s="101"/>
      <c r="AG81" s="101"/>
      <c r="AH81" s="101"/>
    </row>
    <row r="82">
      <c r="A82" s="123" t="s">
        <v>230</v>
      </c>
      <c r="B82" s="123" t="s">
        <v>231</v>
      </c>
      <c r="C82" s="123" t="s">
        <v>283</v>
      </c>
      <c r="D82" s="123" t="s">
        <v>283</v>
      </c>
      <c r="E82" s="75">
        <v>2013.0</v>
      </c>
      <c r="F82" s="75">
        <v>2021.0</v>
      </c>
      <c r="G82" s="75">
        <v>0.0</v>
      </c>
      <c r="H82" s="75">
        <v>49.8</v>
      </c>
      <c r="I82" s="124">
        <v>1.0</v>
      </c>
      <c r="J82" s="75">
        <v>49.8</v>
      </c>
      <c r="K82" s="125">
        <v>0.0</v>
      </c>
      <c r="L82" s="125">
        <v>0.0</v>
      </c>
      <c r="M82" s="75">
        <v>29.0</v>
      </c>
      <c r="N82" s="75"/>
      <c r="O82" s="123" t="s">
        <v>42</v>
      </c>
      <c r="P82" s="157">
        <v>49500.0</v>
      </c>
      <c r="Q82" s="123" t="s">
        <v>234</v>
      </c>
      <c r="R82" s="75">
        <v>2013.0</v>
      </c>
      <c r="S82" s="136">
        <v>0.273</v>
      </c>
      <c r="T82" s="128">
        <f t="shared" si="36"/>
        <v>13513.5</v>
      </c>
      <c r="U82" s="24">
        <f t="shared" si="3"/>
        <v>271.3554217</v>
      </c>
      <c r="V82" s="3">
        <f t="shared" si="28"/>
        <v>0</v>
      </c>
      <c r="W82" s="3">
        <f t="shared" si="29"/>
        <v>0</v>
      </c>
      <c r="X82" s="3">
        <f t="shared" si="30"/>
        <v>0</v>
      </c>
      <c r="Y82" s="25">
        <f t="shared" si="31"/>
        <v>0</v>
      </c>
      <c r="Z82" s="26">
        <f>VLOOKUP(R82,CPI!$A$2:$F$71,6,0)</f>
        <v>1.382720845</v>
      </c>
      <c r="AA82" s="27">
        <f t="shared" si="8"/>
        <v>18685.39815</v>
      </c>
      <c r="AB82" s="27">
        <f t="shared" si="9"/>
        <v>375.2087981</v>
      </c>
      <c r="AC82" s="123" t="s">
        <v>42</v>
      </c>
      <c r="AD82" s="154" t="s">
        <v>284</v>
      </c>
      <c r="AE82" s="100"/>
      <c r="AF82" s="101"/>
      <c r="AG82" s="101"/>
      <c r="AH82" s="101"/>
    </row>
    <row r="83">
      <c r="A83" s="123" t="s">
        <v>230</v>
      </c>
      <c r="B83" s="123" t="s">
        <v>231</v>
      </c>
      <c r="C83" s="36" t="s">
        <v>87</v>
      </c>
      <c r="D83" s="123" t="s">
        <v>285</v>
      </c>
      <c r="E83" s="75">
        <v>2016.0</v>
      </c>
      <c r="F83" s="75">
        <v>2021.0</v>
      </c>
      <c r="G83" s="75">
        <v>0.0</v>
      </c>
      <c r="H83" s="75">
        <v>37.4</v>
      </c>
      <c r="I83" s="124">
        <v>0.5561497326</v>
      </c>
      <c r="J83" s="75">
        <v>20.8</v>
      </c>
      <c r="K83" s="125">
        <v>0.0</v>
      </c>
      <c r="L83" s="125">
        <v>0.0</v>
      </c>
      <c r="M83" s="75">
        <v>27.0</v>
      </c>
      <c r="N83" s="75"/>
      <c r="O83" s="123" t="s">
        <v>60</v>
      </c>
      <c r="P83" s="126">
        <v>41500.0</v>
      </c>
      <c r="Q83" s="123" t="s">
        <v>234</v>
      </c>
      <c r="R83" s="75">
        <v>2015.0</v>
      </c>
      <c r="S83" s="136">
        <v>0.258</v>
      </c>
      <c r="T83" s="128">
        <f t="shared" si="36"/>
        <v>10707</v>
      </c>
      <c r="U83" s="24">
        <f t="shared" si="3"/>
        <v>286.2834225</v>
      </c>
      <c r="V83" s="3">
        <f t="shared" si="28"/>
        <v>0</v>
      </c>
      <c r="W83" s="3">
        <f t="shared" si="29"/>
        <v>0</v>
      </c>
      <c r="X83" s="3">
        <f t="shared" si="30"/>
        <v>0</v>
      </c>
      <c r="Y83" s="25">
        <f t="shared" si="31"/>
        <v>0</v>
      </c>
      <c r="Z83" s="26">
        <f>VLOOKUP(R83,CPI!$A$2:$F$71,6,0)</f>
        <v>1.359035428</v>
      </c>
      <c r="AA83" s="27">
        <f t="shared" si="8"/>
        <v>14551.19233</v>
      </c>
      <c r="AB83" s="27">
        <f t="shared" si="9"/>
        <v>389.0693135</v>
      </c>
      <c r="AC83" s="123" t="s">
        <v>60</v>
      </c>
      <c r="AD83" s="154" t="s">
        <v>286</v>
      </c>
      <c r="AE83" s="100"/>
      <c r="AF83" s="101"/>
      <c r="AG83" s="101"/>
      <c r="AH83" s="101"/>
    </row>
    <row r="84">
      <c r="A84" s="123" t="s">
        <v>230</v>
      </c>
      <c r="B84" s="123" t="s">
        <v>231</v>
      </c>
      <c r="C84" s="36" t="s">
        <v>287</v>
      </c>
      <c r="D84" s="123" t="s">
        <v>287</v>
      </c>
      <c r="E84" s="75">
        <v>2017.0</v>
      </c>
      <c r="F84" s="75">
        <v>2021.0</v>
      </c>
      <c r="G84" s="75">
        <v>0.0</v>
      </c>
      <c r="H84" s="75">
        <v>29.2</v>
      </c>
      <c r="I84" s="124">
        <v>1.0</v>
      </c>
      <c r="J84" s="75">
        <v>29.2</v>
      </c>
      <c r="K84" s="125">
        <v>0.0</v>
      </c>
      <c r="L84" s="125">
        <v>0.0</v>
      </c>
      <c r="M84" s="75">
        <v>21.0</v>
      </c>
      <c r="N84" s="75"/>
      <c r="O84" s="123" t="s">
        <v>60</v>
      </c>
      <c r="P84" s="126">
        <v>32400.0</v>
      </c>
      <c r="Q84" s="123" t="s">
        <v>234</v>
      </c>
      <c r="R84" s="75">
        <v>2015.0</v>
      </c>
      <c r="S84" s="136">
        <v>0.258</v>
      </c>
      <c r="T84" s="128">
        <f t="shared" si="36"/>
        <v>8359.2</v>
      </c>
      <c r="U84" s="24">
        <f t="shared" si="3"/>
        <v>286.2739726</v>
      </c>
      <c r="V84" s="3">
        <f t="shared" si="28"/>
        <v>0</v>
      </c>
      <c r="W84" s="3">
        <f t="shared" si="29"/>
        <v>0</v>
      </c>
      <c r="X84" s="3">
        <f t="shared" si="30"/>
        <v>0</v>
      </c>
      <c r="Y84" s="25">
        <f t="shared" si="31"/>
        <v>0</v>
      </c>
      <c r="Z84" s="26">
        <f>VLOOKUP(R84,CPI!$A$2:$F$71,6,0)</f>
        <v>1.359035428</v>
      </c>
      <c r="AA84" s="27">
        <f t="shared" si="8"/>
        <v>11360.44895</v>
      </c>
      <c r="AB84" s="27">
        <f t="shared" si="9"/>
        <v>389.0564708</v>
      </c>
      <c r="AC84" s="123" t="s">
        <v>42</v>
      </c>
      <c r="AD84" s="129" t="s">
        <v>280</v>
      </c>
      <c r="AE84" s="100"/>
      <c r="AF84" s="101"/>
      <c r="AG84" s="101"/>
      <c r="AH84" s="101"/>
    </row>
    <row r="85">
      <c r="A85" s="123" t="s">
        <v>230</v>
      </c>
      <c r="B85" s="123" t="s">
        <v>231</v>
      </c>
      <c r="C85" s="36" t="s">
        <v>288</v>
      </c>
      <c r="D85" s="123" t="s">
        <v>289</v>
      </c>
      <c r="E85" s="75">
        <v>2017.0</v>
      </c>
      <c r="F85" s="75">
        <v>2021.0</v>
      </c>
      <c r="G85" s="75">
        <v>0.0</v>
      </c>
      <c r="H85" s="75">
        <v>22.4</v>
      </c>
      <c r="I85" s="124">
        <v>1.0</v>
      </c>
      <c r="J85" s="75">
        <v>22.4</v>
      </c>
      <c r="K85" s="125">
        <v>0.0</v>
      </c>
      <c r="L85" s="125">
        <v>0.0</v>
      </c>
      <c r="M85" s="75">
        <v>10.0</v>
      </c>
      <c r="N85" s="75"/>
      <c r="O85" s="123" t="s">
        <v>60</v>
      </c>
      <c r="P85" s="126">
        <v>22180.0</v>
      </c>
      <c r="Q85" s="123" t="s">
        <v>234</v>
      </c>
      <c r="R85" s="75">
        <v>2015.0</v>
      </c>
      <c r="S85" s="136">
        <v>0.258</v>
      </c>
      <c r="T85" s="128">
        <f t="shared" si="36"/>
        <v>5722.44</v>
      </c>
      <c r="U85" s="24">
        <f t="shared" si="3"/>
        <v>255.4660714</v>
      </c>
      <c r="V85" s="3">
        <f t="shared" si="28"/>
        <v>0</v>
      </c>
      <c r="W85" s="3">
        <f t="shared" si="29"/>
        <v>0</v>
      </c>
      <c r="X85" s="3">
        <f t="shared" si="30"/>
        <v>0</v>
      </c>
      <c r="Y85" s="25">
        <f t="shared" si="31"/>
        <v>0</v>
      </c>
      <c r="Z85" s="26">
        <f>VLOOKUP(R85,CPI!$A$2:$F$71,6,0)</f>
        <v>1.359035428</v>
      </c>
      <c r="AA85" s="27">
        <f t="shared" si="8"/>
        <v>7776.998694</v>
      </c>
      <c r="AB85" s="27">
        <f t="shared" si="9"/>
        <v>347.1874417</v>
      </c>
      <c r="AC85" s="123" t="s">
        <v>42</v>
      </c>
      <c r="AD85" s="129" t="s">
        <v>280</v>
      </c>
      <c r="AE85" s="100"/>
      <c r="AF85" s="101"/>
      <c r="AG85" s="101"/>
      <c r="AH85" s="101"/>
    </row>
    <row r="86">
      <c r="A86" s="123" t="s">
        <v>230</v>
      </c>
      <c r="B86" s="123" t="s">
        <v>231</v>
      </c>
      <c r="C86" s="36" t="s">
        <v>290</v>
      </c>
      <c r="D86" s="123" t="s">
        <v>290</v>
      </c>
      <c r="E86" s="75">
        <v>2017.0</v>
      </c>
      <c r="F86" s="75">
        <v>2021.0</v>
      </c>
      <c r="G86" s="75">
        <v>0.0</v>
      </c>
      <c r="H86" s="75">
        <v>8.777</v>
      </c>
      <c r="I86" s="124">
        <v>1.0</v>
      </c>
      <c r="J86" s="75">
        <v>8.777</v>
      </c>
      <c r="K86" s="125">
        <v>0.0</v>
      </c>
      <c r="L86" s="125">
        <v>0.0</v>
      </c>
      <c r="M86" s="75">
        <v>9.0</v>
      </c>
      <c r="N86" s="75"/>
      <c r="O86" s="123" t="s">
        <v>42</v>
      </c>
      <c r="P86" s="126">
        <f>12.75*1000</f>
        <v>12750</v>
      </c>
      <c r="Q86" s="123" t="s">
        <v>234</v>
      </c>
      <c r="R86" s="75">
        <v>2019.0</v>
      </c>
      <c r="S86" s="136">
        <v>0.238</v>
      </c>
      <c r="T86" s="128">
        <f t="shared" si="36"/>
        <v>3034.5</v>
      </c>
      <c r="U86" s="24">
        <f t="shared" si="3"/>
        <v>345.7331662</v>
      </c>
      <c r="V86" s="3">
        <f t="shared" si="28"/>
        <v>0</v>
      </c>
      <c r="W86" s="3">
        <f t="shared" si="29"/>
        <v>0</v>
      </c>
      <c r="X86" s="3">
        <f t="shared" si="30"/>
        <v>0</v>
      </c>
      <c r="Y86" s="25">
        <f t="shared" si="31"/>
        <v>0</v>
      </c>
      <c r="Z86" s="26">
        <f>VLOOKUP(R86,CPI!$A$2:$F$71,6,0)</f>
        <v>1.259947899</v>
      </c>
      <c r="AA86" s="27">
        <f t="shared" si="8"/>
        <v>3823.311899</v>
      </c>
      <c r="AB86" s="27">
        <f t="shared" si="9"/>
        <v>435.6057764</v>
      </c>
      <c r="AC86" s="123" t="s">
        <v>42</v>
      </c>
      <c r="AD86" s="154" t="s">
        <v>291</v>
      </c>
      <c r="AE86" s="100"/>
      <c r="AF86" s="101"/>
      <c r="AG86" s="101"/>
      <c r="AH86" s="101"/>
    </row>
    <row r="87">
      <c r="A87" s="72" t="s">
        <v>230</v>
      </c>
      <c r="B87" s="72" t="s">
        <v>231</v>
      </c>
      <c r="C87" s="115" t="s">
        <v>292</v>
      </c>
      <c r="D87" s="72" t="s">
        <v>293</v>
      </c>
      <c r="E87" s="69">
        <v>2019.0</v>
      </c>
      <c r="F87" s="69">
        <v>2021.0</v>
      </c>
      <c r="G87" s="69">
        <v>0.0</v>
      </c>
      <c r="H87" s="69">
        <v>4.2</v>
      </c>
      <c r="I87" s="117">
        <v>1.0</v>
      </c>
      <c r="J87" s="69">
        <v>4.2</v>
      </c>
      <c r="K87" s="72"/>
      <c r="L87" s="72"/>
      <c r="M87" s="69">
        <v>4.0</v>
      </c>
      <c r="N87" s="69">
        <v>138.0</v>
      </c>
      <c r="O87" s="72"/>
      <c r="P87" s="140">
        <v>5715.0</v>
      </c>
      <c r="Q87" s="72" t="s">
        <v>234</v>
      </c>
      <c r="R87" s="75">
        <v>2020.0</v>
      </c>
      <c r="S87" s="136">
        <v>0.239</v>
      </c>
      <c r="T87" s="118">
        <f t="shared" si="36"/>
        <v>1365.885</v>
      </c>
      <c r="U87" s="24">
        <f t="shared" si="3"/>
        <v>325.2107143</v>
      </c>
      <c r="V87" s="3">
        <f t="shared" si="28"/>
        <v>0</v>
      </c>
      <c r="W87" s="3">
        <f t="shared" si="29"/>
        <v>0</v>
      </c>
      <c r="X87" s="3">
        <f t="shared" si="30"/>
        <v>0</v>
      </c>
      <c r="Y87" s="25">
        <f t="shared" si="31"/>
        <v>0</v>
      </c>
      <c r="Z87" s="26">
        <f>VLOOKUP(R87,CPI!$A$2:$F$71,6,0)</f>
        <v>1.244593545</v>
      </c>
      <c r="AA87" s="27">
        <f t="shared" si="8"/>
        <v>1699.971654</v>
      </c>
      <c r="AB87" s="27">
        <f t="shared" si="9"/>
        <v>404.7551558</v>
      </c>
      <c r="AC87" s="72" t="s">
        <v>36</v>
      </c>
      <c r="AD87" s="79" t="s">
        <v>294</v>
      </c>
      <c r="AE87" s="158"/>
      <c r="AF87" s="159"/>
      <c r="AG87" s="159"/>
      <c r="AH87" s="159"/>
    </row>
    <row r="88">
      <c r="A88" s="123" t="s">
        <v>230</v>
      </c>
      <c r="B88" s="123" t="s">
        <v>231</v>
      </c>
      <c r="C88" s="16" t="s">
        <v>295</v>
      </c>
      <c r="D88" s="123" t="s">
        <v>296</v>
      </c>
      <c r="E88" s="75">
        <v>2019.0</v>
      </c>
      <c r="F88" s="75">
        <v>2021.0</v>
      </c>
      <c r="G88" s="75">
        <v>0.0</v>
      </c>
      <c r="H88" s="75">
        <v>16.6</v>
      </c>
      <c r="I88" s="155"/>
      <c r="J88" s="123"/>
      <c r="K88" s="125" t="e">
        <v>#N/A</v>
      </c>
      <c r="L88" s="125" t="e">
        <v>#N/A</v>
      </c>
      <c r="M88" s="75">
        <v>8.0</v>
      </c>
      <c r="N88" s="75"/>
      <c r="O88" s="123" t="s">
        <v>60</v>
      </c>
      <c r="P88" s="126">
        <v>14230.0</v>
      </c>
      <c r="Q88" s="123" t="s">
        <v>234</v>
      </c>
      <c r="R88" s="75">
        <v>2015.0</v>
      </c>
      <c r="S88" s="136">
        <v>0.258</v>
      </c>
      <c r="T88" s="128">
        <f t="shared" si="36"/>
        <v>3671.34</v>
      </c>
      <c r="U88" s="24">
        <f t="shared" si="3"/>
        <v>221.1650602</v>
      </c>
      <c r="V88" s="3">
        <f t="shared" si="28"/>
        <v>0</v>
      </c>
      <c r="W88" s="3">
        <f t="shared" si="29"/>
        <v>0</v>
      </c>
      <c r="X88" s="3">
        <f t="shared" si="30"/>
        <v>0</v>
      </c>
      <c r="Y88" s="25">
        <f t="shared" si="31"/>
        <v>0</v>
      </c>
      <c r="Z88" s="26">
        <f>VLOOKUP(R88,CPI!$A$2:$F$71,6,0)</f>
        <v>1.359035428</v>
      </c>
      <c r="AA88" s="27">
        <f t="shared" si="8"/>
        <v>4989.481128</v>
      </c>
      <c r="AB88" s="27">
        <f t="shared" si="9"/>
        <v>300.5711523</v>
      </c>
      <c r="AC88" s="123" t="s">
        <v>42</v>
      </c>
      <c r="AD88" s="129" t="s">
        <v>280</v>
      </c>
      <c r="AE88" s="100"/>
      <c r="AF88" s="101"/>
      <c r="AG88" s="101"/>
      <c r="AH88" s="101"/>
    </row>
    <row r="89">
      <c r="A89" s="72" t="s">
        <v>230</v>
      </c>
      <c r="B89" s="72" t="s">
        <v>231</v>
      </c>
      <c r="C89" s="115" t="s">
        <v>121</v>
      </c>
      <c r="D89" s="72" t="s">
        <v>121</v>
      </c>
      <c r="E89" s="69">
        <v>2015.0</v>
      </c>
      <c r="F89" s="69">
        <v>2022.0</v>
      </c>
      <c r="G89" s="69">
        <v>0.0</v>
      </c>
      <c r="H89" s="69">
        <v>49.7</v>
      </c>
      <c r="I89" s="117">
        <v>1.0</v>
      </c>
      <c r="J89" s="69">
        <v>49.7</v>
      </c>
      <c r="K89" s="72"/>
      <c r="L89" s="72"/>
      <c r="M89" s="69">
        <v>20.0</v>
      </c>
      <c r="N89" s="69">
        <v>184.0</v>
      </c>
      <c r="O89" s="72"/>
      <c r="P89" s="140">
        <v>51085.0</v>
      </c>
      <c r="Q89" s="72" t="s">
        <v>234</v>
      </c>
      <c r="R89" s="75">
        <v>2019.0</v>
      </c>
      <c r="S89" s="136">
        <v>0.238</v>
      </c>
      <c r="T89" s="128">
        <f t="shared" si="36"/>
        <v>12158.23</v>
      </c>
      <c r="U89" s="24">
        <f t="shared" si="3"/>
        <v>244.6323944</v>
      </c>
      <c r="V89" s="3">
        <f t="shared" si="28"/>
        <v>0</v>
      </c>
      <c r="W89" s="3">
        <f t="shared" si="29"/>
        <v>0</v>
      </c>
      <c r="X89" s="3">
        <f t="shared" si="30"/>
        <v>0</v>
      </c>
      <c r="Y89" s="25">
        <f t="shared" si="31"/>
        <v>0</v>
      </c>
      <c r="Z89" s="26">
        <f>VLOOKUP(R89,CPI!$A$2:$F$71,6,0)</f>
        <v>1.259947899</v>
      </c>
      <c r="AA89" s="27">
        <f t="shared" si="8"/>
        <v>15318.73634</v>
      </c>
      <c r="AB89" s="27">
        <f t="shared" si="9"/>
        <v>308.2240713</v>
      </c>
      <c r="AC89" s="72" t="s">
        <v>36</v>
      </c>
      <c r="AD89" s="79" t="s">
        <v>298</v>
      </c>
      <c r="AE89" s="158"/>
      <c r="AF89" s="159"/>
      <c r="AG89" s="159"/>
      <c r="AH89" s="159"/>
    </row>
    <row r="90">
      <c r="A90" s="123" t="s">
        <v>230</v>
      </c>
      <c r="B90" s="123" t="s">
        <v>231</v>
      </c>
      <c r="C90" s="36" t="s">
        <v>236</v>
      </c>
      <c r="D90" s="123" t="s">
        <v>299</v>
      </c>
      <c r="E90" s="75">
        <v>2019.0</v>
      </c>
      <c r="F90" s="75">
        <v>2022.0</v>
      </c>
      <c r="G90" s="75">
        <v>0.0</v>
      </c>
      <c r="H90" s="75">
        <v>30.2</v>
      </c>
      <c r="I90" s="124">
        <f t="shared" ref="I90:I91" si="37">J90/H90</f>
        <v>0.6026490066</v>
      </c>
      <c r="J90" s="75">
        <v>18.2</v>
      </c>
      <c r="K90" s="125">
        <v>12.08</v>
      </c>
      <c r="L90" s="125">
        <v>0.0</v>
      </c>
      <c r="M90" s="75">
        <v>18.0</v>
      </c>
      <c r="N90" s="75"/>
      <c r="O90" s="123" t="s">
        <v>60</v>
      </c>
      <c r="P90" s="126">
        <v>23960.0</v>
      </c>
      <c r="Q90" s="123" t="s">
        <v>234</v>
      </c>
      <c r="R90" s="75">
        <v>2019.0</v>
      </c>
      <c r="S90" s="136">
        <v>0.238</v>
      </c>
      <c r="T90" s="128">
        <f t="shared" si="36"/>
        <v>5702.48</v>
      </c>
      <c r="U90" s="24">
        <f t="shared" si="3"/>
        <v>188.8238411</v>
      </c>
      <c r="V90" s="3">
        <f t="shared" si="28"/>
        <v>0</v>
      </c>
      <c r="W90" s="3">
        <f t="shared" si="29"/>
        <v>0</v>
      </c>
      <c r="X90" s="3">
        <f t="shared" si="30"/>
        <v>0</v>
      </c>
      <c r="Y90" s="25">
        <f t="shared" si="31"/>
        <v>0</v>
      </c>
      <c r="Z90" s="26">
        <f>VLOOKUP(R90,CPI!$A$2:$F$71,6,0)</f>
        <v>1.259947899</v>
      </c>
      <c r="AA90" s="27">
        <f t="shared" si="8"/>
        <v>7184.827695</v>
      </c>
      <c r="AB90" s="27">
        <f t="shared" si="9"/>
        <v>237.9082018</v>
      </c>
      <c r="AC90" s="123" t="s">
        <v>60</v>
      </c>
      <c r="AD90" s="154" t="s">
        <v>300</v>
      </c>
      <c r="AE90" s="100"/>
      <c r="AF90" s="101"/>
      <c r="AG90" s="101"/>
      <c r="AH90" s="101"/>
    </row>
    <row r="91">
      <c r="A91" s="130" t="s">
        <v>230</v>
      </c>
      <c r="B91" s="130" t="s">
        <v>231</v>
      </c>
      <c r="C91" s="36" t="s">
        <v>236</v>
      </c>
      <c r="D91" s="130" t="s">
        <v>301</v>
      </c>
      <c r="E91" s="130">
        <v>2019.0</v>
      </c>
      <c r="F91" s="130">
        <v>2022.0</v>
      </c>
      <c r="G91" s="130">
        <v>0.0</v>
      </c>
      <c r="H91" s="130">
        <v>32.2</v>
      </c>
      <c r="I91" s="131">
        <f t="shared" si="37"/>
        <v>0.3198757764</v>
      </c>
      <c r="J91" s="130">
        <v>10.3</v>
      </c>
      <c r="K91" s="132">
        <v>12.11</v>
      </c>
      <c r="L91" s="132">
        <v>10.108</v>
      </c>
      <c r="M91" s="130">
        <v>15.0</v>
      </c>
      <c r="N91" s="138"/>
      <c r="O91" s="130" t="s">
        <v>60</v>
      </c>
      <c r="P91" s="135">
        <v>12640.0</v>
      </c>
      <c r="Q91" s="130" t="s">
        <v>234</v>
      </c>
      <c r="R91" s="130">
        <v>2019.0</v>
      </c>
      <c r="S91" s="136">
        <v>0.238</v>
      </c>
      <c r="T91" s="128">
        <f>S91*P91</f>
        <v>3008.32</v>
      </c>
      <c r="U91" s="24">
        <f t="shared" si="3"/>
        <v>93.42608696</v>
      </c>
      <c r="V91" s="3">
        <f t="shared" si="28"/>
        <v>0</v>
      </c>
      <c r="W91" s="3">
        <f t="shared" si="29"/>
        <v>0</v>
      </c>
      <c r="X91" s="3">
        <f t="shared" si="30"/>
        <v>0</v>
      </c>
      <c r="Y91" s="25">
        <f t="shared" si="31"/>
        <v>0</v>
      </c>
      <c r="Z91" s="26">
        <f>VLOOKUP(R91,CPI!$A$2:$F$71,6,0)</f>
        <v>1.259947899</v>
      </c>
      <c r="AA91" s="27">
        <f t="shared" si="8"/>
        <v>3790.326463</v>
      </c>
      <c r="AB91" s="27">
        <f t="shared" si="9"/>
        <v>117.712002</v>
      </c>
      <c r="AC91" s="130" t="s">
        <v>60</v>
      </c>
      <c r="AD91" s="137" t="s">
        <v>276</v>
      </c>
      <c r="AE91" s="100"/>
      <c r="AF91" s="101"/>
      <c r="AG91" s="101"/>
      <c r="AH91" s="101"/>
    </row>
    <row r="92">
      <c r="A92" s="123" t="s">
        <v>230</v>
      </c>
      <c r="B92" s="123" t="s">
        <v>231</v>
      </c>
      <c r="C92" s="36" t="s">
        <v>302</v>
      </c>
      <c r="D92" s="123" t="s">
        <v>302</v>
      </c>
      <c r="E92" s="142">
        <v>2019.0</v>
      </c>
      <c r="F92" s="142">
        <v>2022.0</v>
      </c>
      <c r="G92" s="75">
        <v>0.0</v>
      </c>
      <c r="H92" s="75">
        <v>78.6</v>
      </c>
      <c r="I92" s="124">
        <v>0.62</v>
      </c>
      <c r="J92" s="75">
        <v>48.5</v>
      </c>
      <c r="K92" s="125">
        <v>0.0</v>
      </c>
      <c r="L92" s="125">
        <v>0.0</v>
      </c>
      <c r="M92" s="75">
        <v>20.0</v>
      </c>
      <c r="N92" s="75"/>
      <c r="O92" s="123" t="s">
        <v>60</v>
      </c>
      <c r="P92" s="126">
        <v>63930.0</v>
      </c>
      <c r="Q92" s="123" t="s">
        <v>234</v>
      </c>
      <c r="R92" s="75">
        <v>2019.0</v>
      </c>
      <c r="S92" s="136">
        <v>0.238</v>
      </c>
      <c r="T92" s="128">
        <f t="shared" ref="T92:T93" si="38">P92*S92</f>
        <v>15215.34</v>
      </c>
      <c r="U92" s="24">
        <f t="shared" si="3"/>
        <v>193.5793893</v>
      </c>
      <c r="V92" s="3">
        <f t="shared" si="28"/>
        <v>0</v>
      </c>
      <c r="W92" s="3">
        <f t="shared" si="29"/>
        <v>0</v>
      </c>
      <c r="X92" s="3">
        <f t="shared" si="30"/>
        <v>0</v>
      </c>
      <c r="Y92" s="25">
        <f t="shared" si="31"/>
        <v>0</v>
      </c>
      <c r="Z92" s="26">
        <f>VLOOKUP(R92,CPI!$A$2:$F$71,6,0)</f>
        <v>1.259947899</v>
      </c>
      <c r="AA92" s="27">
        <f t="shared" si="8"/>
        <v>19170.53566</v>
      </c>
      <c r="AB92" s="27">
        <f t="shared" si="9"/>
        <v>243.8999448</v>
      </c>
      <c r="AC92" s="123" t="s">
        <v>60</v>
      </c>
      <c r="AD92" s="129" t="s">
        <v>276</v>
      </c>
      <c r="AE92" s="100"/>
      <c r="AF92" s="101"/>
      <c r="AG92" s="101"/>
      <c r="AH92" s="101"/>
    </row>
    <row r="93">
      <c r="A93" s="114" t="s">
        <v>230</v>
      </c>
      <c r="B93" s="114" t="s">
        <v>231</v>
      </c>
      <c r="C93" s="114" t="s">
        <v>303</v>
      </c>
      <c r="D93" s="114" t="s">
        <v>303</v>
      </c>
      <c r="E93" s="116">
        <v>2022.0</v>
      </c>
      <c r="F93" s="116">
        <v>2027.0</v>
      </c>
      <c r="G93" s="116">
        <v>0.0</v>
      </c>
      <c r="H93" s="116">
        <v>19.0</v>
      </c>
      <c r="I93" s="117">
        <v>1.0</v>
      </c>
      <c r="J93" s="116">
        <v>19.0</v>
      </c>
      <c r="K93" s="114"/>
      <c r="L93" s="114"/>
      <c r="M93" s="116">
        <v>14.0</v>
      </c>
      <c r="N93" s="116">
        <v>138.0</v>
      </c>
      <c r="O93" s="114"/>
      <c r="P93" s="140">
        <v>18753.93</v>
      </c>
      <c r="Q93" s="114" t="s">
        <v>234</v>
      </c>
      <c r="R93" s="115">
        <v>2021.0</v>
      </c>
      <c r="S93" s="136">
        <v>0.239000000000001</v>
      </c>
      <c r="T93" s="118">
        <f t="shared" si="38"/>
        <v>4482.18927</v>
      </c>
      <c r="U93" s="24">
        <f t="shared" si="3"/>
        <v>235.9046984</v>
      </c>
      <c r="V93" s="3">
        <f t="shared" si="28"/>
        <v>0</v>
      </c>
      <c r="W93" s="3">
        <f t="shared" si="29"/>
        <v>0</v>
      </c>
      <c r="X93" s="3">
        <f t="shared" si="30"/>
        <v>0</v>
      </c>
      <c r="Y93" s="25">
        <f t="shared" si="31"/>
        <v>0</v>
      </c>
      <c r="Z93" s="26">
        <f>VLOOKUP(R93,CPI!$A$2:$F$71,6,0)</f>
        <v>1.188745987</v>
      </c>
      <c r="AA93" s="27">
        <f t="shared" si="8"/>
        <v>5328.184506</v>
      </c>
      <c r="AB93" s="27">
        <f t="shared" si="9"/>
        <v>280.4307635</v>
      </c>
      <c r="AC93" s="114"/>
      <c r="AD93" s="161" t="s">
        <v>304</v>
      </c>
      <c r="AE93" s="153"/>
      <c r="AF93" s="121"/>
      <c r="AG93" s="121"/>
      <c r="AH93" s="121"/>
    </row>
    <row r="94">
      <c r="A94" s="130" t="s">
        <v>230</v>
      </c>
      <c r="B94" s="130" t="s">
        <v>231</v>
      </c>
      <c r="C94" s="36" t="s">
        <v>274</v>
      </c>
      <c r="D94" s="130" t="s">
        <v>306</v>
      </c>
      <c r="E94" s="130">
        <v>2019.0</v>
      </c>
      <c r="F94" s="130"/>
      <c r="G94" s="130">
        <v>0.0</v>
      </c>
      <c r="H94" s="130">
        <v>3.5</v>
      </c>
      <c r="I94" s="131"/>
      <c r="J94" s="130"/>
      <c r="K94" s="132" t="e">
        <v>#N/A</v>
      </c>
      <c r="L94" s="132" t="e">
        <v>#N/A</v>
      </c>
      <c r="M94" s="130">
        <v>2.0</v>
      </c>
      <c r="N94" s="138"/>
      <c r="O94" s="130" t="s">
        <v>60</v>
      </c>
      <c r="P94" s="135">
        <v>4040.0</v>
      </c>
      <c r="Q94" s="130" t="s">
        <v>234</v>
      </c>
      <c r="R94" s="130">
        <v>2019.0</v>
      </c>
      <c r="S94" s="136">
        <v>0.238</v>
      </c>
      <c r="T94" s="128">
        <f>S94*P94</f>
        <v>961.52</v>
      </c>
      <c r="U94" s="24">
        <f t="shared" si="3"/>
        <v>274.72</v>
      </c>
      <c r="V94" s="3">
        <f t="shared" si="28"/>
        <v>0</v>
      </c>
      <c r="W94" s="3">
        <f t="shared" si="29"/>
        <v>0</v>
      </c>
      <c r="X94" s="3">
        <f t="shared" si="30"/>
        <v>0</v>
      </c>
      <c r="Y94" s="25">
        <f t="shared" si="31"/>
        <v>0</v>
      </c>
      <c r="Z94" s="26">
        <f>VLOOKUP(R94,CPI!$A$2:$F$71,6,0)</f>
        <v>1.259947899</v>
      </c>
      <c r="AA94" s="27">
        <f t="shared" si="8"/>
        <v>1211.465104</v>
      </c>
      <c r="AB94" s="27">
        <f t="shared" si="9"/>
        <v>346.1328868</v>
      </c>
      <c r="AC94" s="130" t="s">
        <v>60</v>
      </c>
      <c r="AD94" s="137" t="s">
        <v>276</v>
      </c>
      <c r="AE94" s="100"/>
      <c r="AF94" s="101"/>
      <c r="AG94" s="101"/>
      <c r="AH94" s="101"/>
    </row>
    <row r="95">
      <c r="A95" s="114" t="s">
        <v>230</v>
      </c>
      <c r="B95" s="114" t="s">
        <v>231</v>
      </c>
      <c r="C95" s="114" t="s">
        <v>307</v>
      </c>
      <c r="D95" s="114" t="s">
        <v>307</v>
      </c>
      <c r="E95" s="116">
        <v>2020.0</v>
      </c>
      <c r="F95" s="114"/>
      <c r="G95" s="116">
        <v>0.0</v>
      </c>
      <c r="H95" s="116">
        <v>6.015</v>
      </c>
      <c r="I95" s="117">
        <v>0.0</v>
      </c>
      <c r="J95" s="116">
        <v>0.0</v>
      </c>
      <c r="K95" s="114"/>
      <c r="L95" s="114"/>
      <c r="M95" s="116">
        <v>3.0</v>
      </c>
      <c r="N95" s="116">
        <v>117.0</v>
      </c>
      <c r="O95" s="114"/>
      <c r="P95" s="140">
        <v>4500.0</v>
      </c>
      <c r="Q95" s="114" t="s">
        <v>234</v>
      </c>
      <c r="R95" s="115">
        <v>2020.0</v>
      </c>
      <c r="S95" s="136">
        <v>0.239</v>
      </c>
      <c r="T95" s="118">
        <f t="shared" ref="T95:T99" si="39">P95*S95</f>
        <v>1075.5</v>
      </c>
      <c r="U95" s="24">
        <f t="shared" si="3"/>
        <v>178.8029925</v>
      </c>
      <c r="V95" s="3">
        <f t="shared" si="28"/>
        <v>0</v>
      </c>
      <c r="W95" s="3">
        <f t="shared" si="29"/>
        <v>0</v>
      </c>
      <c r="X95" s="3">
        <f t="shared" si="30"/>
        <v>0</v>
      </c>
      <c r="Y95" s="25">
        <f t="shared" si="31"/>
        <v>0</v>
      </c>
      <c r="Z95" s="26">
        <f>VLOOKUP(R95,CPI!$A$2:$F$71,6,0)</f>
        <v>1.244593545</v>
      </c>
      <c r="AA95" s="27">
        <f t="shared" si="8"/>
        <v>1338.560358</v>
      </c>
      <c r="AB95" s="27">
        <f t="shared" si="9"/>
        <v>222.5370503</v>
      </c>
      <c r="AC95" s="114"/>
      <c r="AD95" s="119" t="s">
        <v>308</v>
      </c>
      <c r="AE95" s="153"/>
      <c r="AF95" s="121"/>
      <c r="AG95" s="121"/>
      <c r="AH95" s="121"/>
    </row>
    <row r="96">
      <c r="A96" s="114" t="s">
        <v>230</v>
      </c>
      <c r="B96" s="114" t="s">
        <v>309</v>
      </c>
      <c r="C96" s="16" t="s">
        <v>57</v>
      </c>
      <c r="D96" s="114" t="s">
        <v>310</v>
      </c>
      <c r="E96" s="116">
        <v>2010.0</v>
      </c>
      <c r="F96" s="116">
        <v>2019.0</v>
      </c>
      <c r="G96" s="116">
        <v>0.0</v>
      </c>
      <c r="H96" s="116">
        <v>8.0</v>
      </c>
      <c r="I96" s="117">
        <v>1.0</v>
      </c>
      <c r="J96" s="116">
        <v>8.0</v>
      </c>
      <c r="K96" s="114"/>
      <c r="L96" s="114"/>
      <c r="M96" s="116">
        <v>6.0</v>
      </c>
      <c r="N96" s="116">
        <v>117.0</v>
      </c>
      <c r="O96" s="114"/>
      <c r="P96" s="140">
        <v>5520.0</v>
      </c>
      <c r="Q96" s="114" t="s">
        <v>234</v>
      </c>
      <c r="R96" s="115">
        <v>2015.0</v>
      </c>
      <c r="S96" s="85">
        <v>0.258</v>
      </c>
      <c r="T96" s="118">
        <f t="shared" si="39"/>
        <v>1424.16</v>
      </c>
      <c r="U96" s="24">
        <f t="shared" si="3"/>
        <v>178.02</v>
      </c>
      <c r="V96" s="3">
        <f t="shared" si="28"/>
        <v>0</v>
      </c>
      <c r="W96" s="3">
        <f t="shared" si="29"/>
        <v>0</v>
      </c>
      <c r="X96" s="3">
        <f t="shared" si="30"/>
        <v>0</v>
      </c>
      <c r="Y96" s="25">
        <f t="shared" si="31"/>
        <v>0</v>
      </c>
      <c r="Z96" s="26">
        <f>VLOOKUP(R96,CPI!$A$2:$F$71,6,0)</f>
        <v>1.359035428</v>
      </c>
      <c r="AA96" s="27">
        <f t="shared" si="8"/>
        <v>1935.483895</v>
      </c>
      <c r="AB96" s="27">
        <f t="shared" si="9"/>
        <v>241.9354869</v>
      </c>
      <c r="AC96" s="114"/>
      <c r="AD96" s="119" t="s">
        <v>311</v>
      </c>
      <c r="AE96" s="153"/>
      <c r="AF96" s="121"/>
      <c r="AG96" s="121"/>
      <c r="AH96" s="121"/>
    </row>
    <row r="97">
      <c r="A97" s="114" t="s">
        <v>230</v>
      </c>
      <c r="B97" s="114" t="s">
        <v>309</v>
      </c>
      <c r="C97" s="114" t="s">
        <v>312</v>
      </c>
      <c r="D97" s="114" t="s">
        <v>312</v>
      </c>
      <c r="E97" s="116">
        <v>2010.0</v>
      </c>
      <c r="F97" s="116">
        <v>2019.0</v>
      </c>
      <c r="G97" s="116">
        <v>0.0</v>
      </c>
      <c r="H97" s="116">
        <v>13.4</v>
      </c>
      <c r="I97" s="117">
        <v>0.0</v>
      </c>
      <c r="J97" s="116">
        <v>0.0</v>
      </c>
      <c r="K97" s="114"/>
      <c r="L97" s="114"/>
      <c r="M97" s="116">
        <v>13.0</v>
      </c>
      <c r="N97" s="116">
        <v>55.0</v>
      </c>
      <c r="O97" s="114"/>
      <c r="P97" s="140">
        <v>4210.0</v>
      </c>
      <c r="Q97" s="114" t="s">
        <v>234</v>
      </c>
      <c r="R97" s="115">
        <v>2015.0</v>
      </c>
      <c r="S97" s="85">
        <v>0.258</v>
      </c>
      <c r="T97" s="118">
        <f t="shared" si="39"/>
        <v>1086.18</v>
      </c>
      <c r="U97" s="24">
        <f t="shared" si="3"/>
        <v>81.05820896</v>
      </c>
      <c r="V97" s="3">
        <f t="shared" si="28"/>
        <v>0</v>
      </c>
      <c r="W97" s="3">
        <f t="shared" si="29"/>
        <v>0</v>
      </c>
      <c r="X97" s="3">
        <f t="shared" si="30"/>
        <v>0</v>
      </c>
      <c r="Y97" s="25">
        <f t="shared" si="31"/>
        <v>0</v>
      </c>
      <c r="Z97" s="26">
        <f>VLOOKUP(R97,CPI!$A$2:$F$71,6,0)</f>
        <v>1.359035428</v>
      </c>
      <c r="AA97" s="27">
        <f t="shared" si="8"/>
        <v>1476.157101</v>
      </c>
      <c r="AB97" s="27">
        <f t="shared" si="9"/>
        <v>110.1609777</v>
      </c>
      <c r="AC97" s="114"/>
      <c r="AD97" s="119" t="s">
        <v>311</v>
      </c>
      <c r="AE97" s="153"/>
      <c r="AF97" s="121"/>
      <c r="AG97" s="121"/>
      <c r="AH97" s="121"/>
    </row>
    <row r="98">
      <c r="A98" s="114" t="s">
        <v>230</v>
      </c>
      <c r="B98" s="114" t="s">
        <v>309</v>
      </c>
      <c r="C98" s="115" t="s">
        <v>54</v>
      </c>
      <c r="D98" s="114" t="s">
        <v>313</v>
      </c>
      <c r="E98" s="116">
        <v>2015.0</v>
      </c>
      <c r="F98" s="116">
        <v>2019.0</v>
      </c>
      <c r="G98" s="116">
        <v>0.0</v>
      </c>
      <c r="H98" s="116">
        <v>5.3</v>
      </c>
      <c r="I98" s="117">
        <v>1.0</v>
      </c>
      <c r="J98" s="116">
        <v>5.3</v>
      </c>
      <c r="K98" s="114"/>
      <c r="L98" s="114"/>
      <c r="M98" s="116">
        <v>3.0</v>
      </c>
      <c r="N98" s="116">
        <v>117.0</v>
      </c>
      <c r="O98" s="114"/>
      <c r="P98" s="140">
        <v>3350.0</v>
      </c>
      <c r="Q98" s="114" t="s">
        <v>234</v>
      </c>
      <c r="R98" s="115">
        <v>2017.0</v>
      </c>
      <c r="S98" s="85">
        <v>0.239</v>
      </c>
      <c r="T98" s="118">
        <f t="shared" si="39"/>
        <v>800.65</v>
      </c>
      <c r="U98" s="24">
        <f t="shared" si="3"/>
        <v>151.0660377</v>
      </c>
      <c r="V98" s="3">
        <f t="shared" si="28"/>
        <v>0</v>
      </c>
      <c r="W98" s="3">
        <f t="shared" si="29"/>
        <v>0</v>
      </c>
      <c r="X98" s="3">
        <f t="shared" si="30"/>
        <v>0</v>
      </c>
      <c r="Y98" s="25">
        <f t="shared" si="31"/>
        <v>0</v>
      </c>
      <c r="Z98" s="26">
        <f>VLOOKUP(R98,CPI!$A$2:$F$71,6,0)</f>
        <v>1.314109416</v>
      </c>
      <c r="AA98" s="27">
        <f t="shared" si="8"/>
        <v>1052.141704</v>
      </c>
      <c r="AB98" s="27">
        <f t="shared" si="9"/>
        <v>198.5173026</v>
      </c>
      <c r="AC98" s="114"/>
      <c r="AD98" s="119" t="s">
        <v>311</v>
      </c>
      <c r="AE98" s="153"/>
      <c r="AF98" s="121"/>
      <c r="AG98" s="121"/>
      <c r="AH98" s="121"/>
    </row>
    <row r="99">
      <c r="A99" s="114" t="s">
        <v>230</v>
      </c>
      <c r="B99" s="114" t="s">
        <v>309</v>
      </c>
      <c r="C99" s="115" t="s">
        <v>54</v>
      </c>
      <c r="D99" s="114" t="s">
        <v>54</v>
      </c>
      <c r="E99" s="114"/>
      <c r="F99" s="116">
        <v>2020.0</v>
      </c>
      <c r="G99" s="116">
        <v>0.0</v>
      </c>
      <c r="H99" s="116">
        <v>22.8</v>
      </c>
      <c r="I99" s="117">
        <v>1.0</v>
      </c>
      <c r="J99" s="116">
        <v>22.8</v>
      </c>
      <c r="K99" s="114"/>
      <c r="L99" s="114"/>
      <c r="M99" s="116">
        <v>19.0</v>
      </c>
      <c r="N99" s="116">
        <v>117.0</v>
      </c>
      <c r="O99" s="114"/>
      <c r="P99" s="140">
        <v>15400.0</v>
      </c>
      <c r="Q99" s="114" t="s">
        <v>234</v>
      </c>
      <c r="R99" s="115">
        <v>2020.0</v>
      </c>
      <c r="S99" s="85">
        <v>0.239</v>
      </c>
      <c r="T99" s="118">
        <f t="shared" si="39"/>
        <v>3680.6</v>
      </c>
      <c r="U99" s="24">
        <f t="shared" si="3"/>
        <v>161.4298246</v>
      </c>
      <c r="V99" s="3">
        <f t="shared" si="28"/>
        <v>0</v>
      </c>
      <c r="W99" s="3">
        <f t="shared" si="29"/>
        <v>0</v>
      </c>
      <c r="X99" s="3">
        <f t="shared" si="30"/>
        <v>0</v>
      </c>
      <c r="Y99" s="25">
        <f t="shared" si="31"/>
        <v>0</v>
      </c>
      <c r="Z99" s="26">
        <f>VLOOKUP(R99,CPI!$A$2:$F$71,6,0)</f>
        <v>1.244593545</v>
      </c>
      <c r="AA99" s="27">
        <f t="shared" si="8"/>
        <v>4580.851002</v>
      </c>
      <c r="AB99" s="27">
        <f t="shared" si="9"/>
        <v>200.9145176</v>
      </c>
      <c r="AC99" s="114"/>
      <c r="AD99" s="119" t="s">
        <v>314</v>
      </c>
      <c r="AE99" s="153"/>
      <c r="AF99" s="121"/>
      <c r="AG99" s="121"/>
      <c r="AH99" s="121"/>
    </row>
    <row r="100">
      <c r="A100" s="130" t="s">
        <v>230</v>
      </c>
      <c r="B100" s="130" t="s">
        <v>309</v>
      </c>
      <c r="C100" s="36" t="s">
        <v>54</v>
      </c>
      <c r="D100" s="130" t="s">
        <v>315</v>
      </c>
      <c r="E100" s="130">
        <v>2019.0</v>
      </c>
      <c r="F100" s="130">
        <v>2025.0</v>
      </c>
      <c r="G100" s="130">
        <v>0.0</v>
      </c>
      <c r="H100" s="130">
        <v>9.1</v>
      </c>
      <c r="I100" s="131">
        <v>1.0</v>
      </c>
      <c r="J100" s="130">
        <v>9.1</v>
      </c>
      <c r="K100" s="132">
        <v>0.0</v>
      </c>
      <c r="L100" s="132">
        <v>0.0</v>
      </c>
      <c r="M100" s="130">
        <v>5.0</v>
      </c>
      <c r="N100" s="138"/>
      <c r="O100" s="130" t="s">
        <v>60</v>
      </c>
      <c r="P100" s="135">
        <v>5131.0</v>
      </c>
      <c r="Q100" s="130" t="s">
        <v>234</v>
      </c>
      <c r="R100" s="130">
        <v>2018.0</v>
      </c>
      <c r="S100" s="136">
        <v>0.237</v>
      </c>
      <c r="T100" s="128">
        <f t="shared" ref="T100:T101" si="40">S100*P100</f>
        <v>1216.047</v>
      </c>
      <c r="U100" s="24">
        <f t="shared" si="3"/>
        <v>133.6315385</v>
      </c>
      <c r="V100" s="3">
        <f t="shared" si="28"/>
        <v>0</v>
      </c>
      <c r="W100" s="3">
        <f t="shared" si="29"/>
        <v>0</v>
      </c>
      <c r="X100" s="3">
        <f t="shared" si="30"/>
        <v>0</v>
      </c>
      <c r="Y100" s="25">
        <f t="shared" si="31"/>
        <v>0</v>
      </c>
      <c r="Z100" s="26">
        <f>VLOOKUP(R100,CPI!$A$2:$F$71,6,0)</f>
        <v>1.28277786</v>
      </c>
      <c r="AA100" s="27">
        <f t="shared" si="8"/>
        <v>1559.918168</v>
      </c>
      <c r="AB100" s="27">
        <f t="shared" si="9"/>
        <v>171.4195789</v>
      </c>
      <c r="AC100" s="130" t="s">
        <v>60</v>
      </c>
      <c r="AD100" s="137" t="s">
        <v>316</v>
      </c>
      <c r="AE100" s="100"/>
      <c r="AF100" s="101"/>
      <c r="AG100" s="101"/>
      <c r="AH100" s="101"/>
    </row>
    <row r="101">
      <c r="A101" s="130" t="s">
        <v>230</v>
      </c>
      <c r="B101" s="130" t="s">
        <v>309</v>
      </c>
      <c r="C101" s="16" t="s">
        <v>253</v>
      </c>
      <c r="D101" s="130" t="s">
        <v>317</v>
      </c>
      <c r="E101" s="130">
        <v>2019.0</v>
      </c>
      <c r="F101" s="130">
        <v>2025.0</v>
      </c>
      <c r="G101" s="130">
        <v>0.0</v>
      </c>
      <c r="H101" s="130">
        <v>28.2</v>
      </c>
      <c r="I101" s="131">
        <v>0.4929078014</v>
      </c>
      <c r="J101" s="130">
        <v>13.9</v>
      </c>
      <c r="K101" s="132">
        <v>0.0</v>
      </c>
      <c r="L101" s="132">
        <v>0.0</v>
      </c>
      <c r="M101" s="130">
        <v>8.0</v>
      </c>
      <c r="N101" s="138"/>
      <c r="O101" s="130" t="s">
        <v>60</v>
      </c>
      <c r="P101" s="135">
        <v>12640.0</v>
      </c>
      <c r="Q101" s="130" t="s">
        <v>234</v>
      </c>
      <c r="R101" s="130">
        <v>2018.0</v>
      </c>
      <c r="S101" s="136">
        <v>0.237</v>
      </c>
      <c r="T101" s="128">
        <f t="shared" si="40"/>
        <v>2995.68</v>
      </c>
      <c r="U101" s="24">
        <f t="shared" si="3"/>
        <v>106.2297872</v>
      </c>
      <c r="V101" s="3">
        <f t="shared" si="28"/>
        <v>0</v>
      </c>
      <c r="W101" s="3">
        <f t="shared" si="29"/>
        <v>0</v>
      </c>
      <c r="X101" s="3">
        <f t="shared" si="30"/>
        <v>0</v>
      </c>
      <c r="Y101" s="25">
        <f t="shared" si="31"/>
        <v>0</v>
      </c>
      <c r="Z101" s="26">
        <f>VLOOKUP(R101,CPI!$A$2:$F$71,6,0)</f>
        <v>1.28277786</v>
      </c>
      <c r="AA101" s="27">
        <f t="shared" si="8"/>
        <v>3842.791979</v>
      </c>
      <c r="AB101" s="27">
        <f t="shared" si="9"/>
        <v>136.2692191</v>
      </c>
      <c r="AC101" s="130" t="s">
        <v>60</v>
      </c>
      <c r="AD101" s="137" t="s">
        <v>316</v>
      </c>
      <c r="AE101" s="100"/>
      <c r="AF101" s="101"/>
      <c r="AG101" s="101"/>
      <c r="AH101" s="101"/>
    </row>
    <row r="102">
      <c r="A102" s="123" t="s">
        <v>230</v>
      </c>
      <c r="B102" s="123" t="s">
        <v>309</v>
      </c>
      <c r="C102" s="16" t="s">
        <v>228</v>
      </c>
      <c r="D102" s="123" t="s">
        <v>263</v>
      </c>
      <c r="E102" s="75">
        <v>2020.0</v>
      </c>
      <c r="F102" s="75">
        <v>2025.0</v>
      </c>
      <c r="G102" s="75">
        <v>0.0</v>
      </c>
      <c r="H102" s="75">
        <v>22.5</v>
      </c>
      <c r="I102" s="124">
        <v>1.0</v>
      </c>
      <c r="J102" s="75">
        <v>22.5</v>
      </c>
      <c r="K102" s="125">
        <v>0.0</v>
      </c>
      <c r="L102" s="125">
        <v>0.0</v>
      </c>
      <c r="M102" s="75">
        <v>19.0</v>
      </c>
      <c r="N102" s="75"/>
      <c r="O102" s="123" t="s">
        <v>60</v>
      </c>
      <c r="P102" s="126">
        <v>15583.0</v>
      </c>
      <c r="Q102" s="123" t="s">
        <v>234</v>
      </c>
      <c r="R102" s="75">
        <v>2018.0</v>
      </c>
      <c r="S102" s="136">
        <v>0.237</v>
      </c>
      <c r="T102" s="128">
        <f t="shared" ref="T102:T103" si="41">P102*S102</f>
        <v>3693.171</v>
      </c>
      <c r="U102" s="24">
        <f t="shared" si="3"/>
        <v>164.1409333</v>
      </c>
      <c r="V102" s="3">
        <f t="shared" si="28"/>
        <v>0</v>
      </c>
      <c r="W102" s="3">
        <f t="shared" si="29"/>
        <v>0</v>
      </c>
      <c r="X102" s="3">
        <f t="shared" si="30"/>
        <v>0</v>
      </c>
      <c r="Y102" s="25">
        <f t="shared" si="31"/>
        <v>0</v>
      </c>
      <c r="Z102" s="26">
        <f>VLOOKUP(R102,CPI!$A$2:$F$71,6,0)</f>
        <v>1.28277786</v>
      </c>
      <c r="AA102" s="27">
        <f t="shared" si="8"/>
        <v>4737.517991</v>
      </c>
      <c r="AB102" s="27">
        <f t="shared" si="9"/>
        <v>210.5563551</v>
      </c>
      <c r="AC102" s="123" t="s">
        <v>60</v>
      </c>
      <c r="AD102" s="154" t="s">
        <v>318</v>
      </c>
      <c r="AE102" s="100"/>
      <c r="AF102" s="101"/>
      <c r="AG102" s="101"/>
      <c r="AH102" s="101"/>
    </row>
    <row r="103">
      <c r="A103" s="72" t="s">
        <v>230</v>
      </c>
      <c r="B103" s="72" t="s">
        <v>309</v>
      </c>
      <c r="C103" s="115" t="s">
        <v>84</v>
      </c>
      <c r="D103" s="115" t="s">
        <v>319</v>
      </c>
      <c r="E103" s="69">
        <v>2021.0</v>
      </c>
      <c r="F103" s="69"/>
      <c r="G103" s="69">
        <v>0.0</v>
      </c>
      <c r="H103" s="69">
        <v>19.567</v>
      </c>
      <c r="I103" s="117">
        <v>1.0</v>
      </c>
      <c r="J103" s="69">
        <v>19.567</v>
      </c>
      <c r="K103" s="72"/>
      <c r="L103" s="72"/>
      <c r="M103" s="69">
        <v>18.0</v>
      </c>
      <c r="N103" s="69">
        <v>117.0</v>
      </c>
      <c r="O103" s="72"/>
      <c r="P103" s="140">
        <v>20000.0</v>
      </c>
      <c r="Q103" s="72" t="s">
        <v>234</v>
      </c>
      <c r="R103" s="69">
        <v>2019.0</v>
      </c>
      <c r="S103" s="136">
        <v>0.238</v>
      </c>
      <c r="T103" s="148">
        <f t="shared" si="41"/>
        <v>4760</v>
      </c>
      <c r="U103" s="24">
        <f t="shared" si="3"/>
        <v>243.2667246</v>
      </c>
      <c r="V103" s="3">
        <f t="shared" si="28"/>
        <v>0</v>
      </c>
      <c r="W103" s="3">
        <f t="shared" si="29"/>
        <v>0</v>
      </c>
      <c r="X103" s="3">
        <f t="shared" si="30"/>
        <v>0</v>
      </c>
      <c r="Y103" s="25">
        <f t="shared" si="31"/>
        <v>0</v>
      </c>
      <c r="Z103" s="26">
        <f>VLOOKUP(R103,CPI!$A$2:$F$71,6,0)</f>
        <v>1.259947899</v>
      </c>
      <c r="AA103" s="27">
        <f t="shared" si="8"/>
        <v>5997.351999</v>
      </c>
      <c r="AB103" s="27">
        <f t="shared" si="9"/>
        <v>306.5033985</v>
      </c>
      <c r="AC103" s="72" t="s">
        <v>60</v>
      </c>
      <c r="AD103" s="149" t="s">
        <v>320</v>
      </c>
      <c r="AE103" s="150"/>
      <c r="AF103" s="145"/>
      <c r="AG103" s="145"/>
      <c r="AH103" s="145"/>
    </row>
    <row r="104">
      <c r="A104" s="130" t="s">
        <v>230</v>
      </c>
      <c r="B104" s="130" t="s">
        <v>309</v>
      </c>
      <c r="C104" s="16" t="s">
        <v>87</v>
      </c>
      <c r="D104" s="130" t="s">
        <v>321</v>
      </c>
      <c r="E104" s="130"/>
      <c r="F104" s="130"/>
      <c r="G104" s="130">
        <v>0.0</v>
      </c>
      <c r="H104" s="130">
        <v>3.0</v>
      </c>
      <c r="I104" s="131">
        <v>0.2666666667</v>
      </c>
      <c r="J104" s="130">
        <v>0.8</v>
      </c>
      <c r="K104" s="132">
        <v>0.0</v>
      </c>
      <c r="L104" s="132">
        <v>0.0</v>
      </c>
      <c r="M104" s="130">
        <v>2.0</v>
      </c>
      <c r="N104" s="138"/>
      <c r="O104" s="130" t="s">
        <v>60</v>
      </c>
      <c r="P104" s="135">
        <v>839.0</v>
      </c>
      <c r="Q104" s="130" t="s">
        <v>234</v>
      </c>
      <c r="R104" s="130">
        <v>2018.0</v>
      </c>
      <c r="S104" s="136">
        <v>0.237</v>
      </c>
      <c r="T104" s="128">
        <f t="shared" ref="T104:T106" si="42">S104*P104</f>
        <v>198.843</v>
      </c>
      <c r="U104" s="24">
        <f t="shared" si="3"/>
        <v>66.281</v>
      </c>
      <c r="V104" s="3">
        <f t="shared" si="28"/>
        <v>0</v>
      </c>
      <c r="W104" s="3">
        <f t="shared" si="29"/>
        <v>0</v>
      </c>
      <c r="X104" s="3">
        <f t="shared" si="30"/>
        <v>0</v>
      </c>
      <c r="Y104" s="25">
        <f t="shared" si="31"/>
        <v>0</v>
      </c>
      <c r="Z104" s="26">
        <f>VLOOKUP(R104,CPI!$A$2:$F$71,6,0)</f>
        <v>1.28277786</v>
      </c>
      <c r="AA104" s="27">
        <f t="shared" si="8"/>
        <v>255.0713979</v>
      </c>
      <c r="AB104" s="27">
        <f t="shared" si="9"/>
        <v>85.02379931</v>
      </c>
      <c r="AC104" s="130" t="s">
        <v>60</v>
      </c>
      <c r="AD104" s="137" t="s">
        <v>316</v>
      </c>
      <c r="AE104" s="29"/>
      <c r="AF104" s="30"/>
      <c r="AG104" s="30"/>
      <c r="AH104" s="30"/>
    </row>
    <row r="105">
      <c r="A105" s="130" t="s">
        <v>230</v>
      </c>
      <c r="B105" s="130" t="s">
        <v>309</v>
      </c>
      <c r="C105" s="16" t="s">
        <v>110</v>
      </c>
      <c r="D105" s="130" t="s">
        <v>322</v>
      </c>
      <c r="E105" s="130"/>
      <c r="F105" s="130"/>
      <c r="G105" s="130">
        <v>0.0</v>
      </c>
      <c r="H105" s="130">
        <v>4.0</v>
      </c>
      <c r="I105" s="131">
        <v>0.0</v>
      </c>
      <c r="J105" s="130">
        <v>0.0</v>
      </c>
      <c r="K105" s="132">
        <v>0.0</v>
      </c>
      <c r="L105" s="132">
        <v>0.0</v>
      </c>
      <c r="M105" s="130">
        <v>6.0</v>
      </c>
      <c r="N105" s="138"/>
      <c r="O105" s="130" t="s">
        <v>60</v>
      </c>
      <c r="P105" s="135">
        <v>2013.0</v>
      </c>
      <c r="Q105" s="130" t="s">
        <v>234</v>
      </c>
      <c r="R105" s="130">
        <v>2018.0</v>
      </c>
      <c r="S105" s="136">
        <v>0.237</v>
      </c>
      <c r="T105" s="128">
        <f t="shared" si="42"/>
        <v>477.081</v>
      </c>
      <c r="U105" s="24">
        <f t="shared" si="3"/>
        <v>119.27025</v>
      </c>
      <c r="V105" s="3">
        <f t="shared" si="28"/>
        <v>0</v>
      </c>
      <c r="W105" s="3">
        <f t="shared" si="29"/>
        <v>0</v>
      </c>
      <c r="X105" s="3">
        <f t="shared" si="30"/>
        <v>0</v>
      </c>
      <c r="Y105" s="25">
        <f t="shared" si="31"/>
        <v>0</v>
      </c>
      <c r="Z105" s="26">
        <f>VLOOKUP(R105,CPI!$A$2:$F$71,6,0)</f>
        <v>1.28277786</v>
      </c>
      <c r="AA105" s="27">
        <f t="shared" si="8"/>
        <v>611.9889441</v>
      </c>
      <c r="AB105" s="27">
        <f t="shared" si="9"/>
        <v>152.997236</v>
      </c>
      <c r="AC105" s="130" t="s">
        <v>60</v>
      </c>
      <c r="AD105" s="137" t="s">
        <v>316</v>
      </c>
      <c r="AE105" s="29"/>
      <c r="AF105" s="30"/>
      <c r="AG105" s="30"/>
      <c r="AH105" s="30"/>
    </row>
    <row r="106">
      <c r="A106" s="130" t="s">
        <v>230</v>
      </c>
      <c r="B106" s="130" t="s">
        <v>309</v>
      </c>
      <c r="C106" s="130" t="s">
        <v>80</v>
      </c>
      <c r="D106" s="130" t="s">
        <v>80</v>
      </c>
      <c r="E106" s="130"/>
      <c r="F106" s="130"/>
      <c r="G106" s="130">
        <v>0.0</v>
      </c>
      <c r="H106" s="130">
        <v>29.7</v>
      </c>
      <c r="I106" s="131">
        <v>1.0</v>
      </c>
      <c r="J106" s="130">
        <v>29.7</v>
      </c>
      <c r="K106" s="132">
        <v>0.0</v>
      </c>
      <c r="L106" s="132">
        <v>0.0</v>
      </c>
      <c r="M106" s="130">
        <v>22.0</v>
      </c>
      <c r="N106" s="138"/>
      <c r="O106" s="130" t="s">
        <v>60</v>
      </c>
      <c r="P106" s="135">
        <v>19549.0</v>
      </c>
      <c r="Q106" s="130" t="s">
        <v>234</v>
      </c>
      <c r="R106" s="130">
        <v>2018.0</v>
      </c>
      <c r="S106" s="136">
        <v>0.237</v>
      </c>
      <c r="T106" s="128">
        <f t="shared" si="42"/>
        <v>4633.113</v>
      </c>
      <c r="U106" s="24">
        <f t="shared" si="3"/>
        <v>155.9970707</v>
      </c>
      <c r="V106" s="3">
        <f t="shared" si="28"/>
        <v>0</v>
      </c>
      <c r="W106" s="3">
        <f t="shared" si="29"/>
        <v>0</v>
      </c>
      <c r="X106" s="3">
        <f t="shared" si="30"/>
        <v>0</v>
      </c>
      <c r="Y106" s="25">
        <f t="shared" si="31"/>
        <v>0</v>
      </c>
      <c r="Z106" s="26">
        <f>VLOOKUP(R106,CPI!$A$2:$F$71,6,0)</f>
        <v>1.28277786</v>
      </c>
      <c r="AA106" s="27">
        <f t="shared" si="8"/>
        <v>5943.254778</v>
      </c>
      <c r="AB106" s="27">
        <f t="shared" si="9"/>
        <v>200.1095885</v>
      </c>
      <c r="AC106" s="130" t="s">
        <v>60</v>
      </c>
      <c r="AD106" s="137" t="s">
        <v>316</v>
      </c>
      <c r="AE106" s="29"/>
      <c r="AF106" s="30"/>
      <c r="AG106" s="30"/>
      <c r="AH106" s="30"/>
    </row>
    <row r="107">
      <c r="A107" s="114" t="s">
        <v>230</v>
      </c>
      <c r="B107" s="114" t="s">
        <v>323</v>
      </c>
      <c r="C107" s="114" t="s">
        <v>324</v>
      </c>
      <c r="D107" s="114" t="s">
        <v>324</v>
      </c>
      <c r="E107" s="116">
        <v>2008.0</v>
      </c>
      <c r="F107" s="116">
        <v>2015.0</v>
      </c>
      <c r="G107" s="116">
        <v>0.0</v>
      </c>
      <c r="H107" s="116">
        <v>45.92</v>
      </c>
      <c r="I107" s="117">
        <v>0.97</v>
      </c>
      <c r="J107" s="116">
        <v>44.61</v>
      </c>
      <c r="K107" s="114"/>
      <c r="L107" s="114"/>
      <c r="M107" s="116">
        <v>32.0</v>
      </c>
      <c r="N107" s="116">
        <v>117.0</v>
      </c>
      <c r="O107" s="114"/>
      <c r="P107" s="140">
        <v>22171.0</v>
      </c>
      <c r="Q107" s="114" t="s">
        <v>234</v>
      </c>
      <c r="R107" s="115">
        <v>2012.0</v>
      </c>
      <c r="S107" s="85">
        <v>0.281</v>
      </c>
      <c r="T107" s="118">
        <f t="shared" ref="T107:T108" si="43">P107*S107</f>
        <v>6230.051</v>
      </c>
      <c r="U107" s="24">
        <f t="shared" si="3"/>
        <v>135.6718423</v>
      </c>
      <c r="V107" s="3">
        <f t="shared" si="28"/>
        <v>0</v>
      </c>
      <c r="W107" s="3">
        <f t="shared" si="29"/>
        <v>0</v>
      </c>
      <c r="X107" s="3">
        <f t="shared" si="30"/>
        <v>0</v>
      </c>
      <c r="Y107" s="25">
        <f t="shared" si="31"/>
        <v>0</v>
      </c>
      <c r="Z107" s="26">
        <f>VLOOKUP(R107,CPI!$A$2:$F$71,6,0)</f>
        <v>1.402974381</v>
      </c>
      <c r="AA107" s="27">
        <f t="shared" si="8"/>
        <v>8740.601944</v>
      </c>
      <c r="AB107" s="27">
        <f t="shared" si="9"/>
        <v>190.344119</v>
      </c>
      <c r="AC107" s="114"/>
      <c r="AD107" s="161" t="s">
        <v>325</v>
      </c>
      <c r="AE107" s="164"/>
      <c r="AF107" s="165"/>
      <c r="AG107" s="165"/>
      <c r="AH107" s="165"/>
    </row>
    <row r="108">
      <c r="A108" s="114" t="s">
        <v>230</v>
      </c>
      <c r="B108" s="114" t="s">
        <v>323</v>
      </c>
      <c r="C108" s="115" t="s">
        <v>54</v>
      </c>
      <c r="D108" s="115" t="s">
        <v>326</v>
      </c>
      <c r="E108" s="116">
        <v>2011.0</v>
      </c>
      <c r="F108" s="116">
        <v>2015.0</v>
      </c>
      <c r="G108" s="116">
        <v>0.0</v>
      </c>
      <c r="H108" s="116">
        <v>21.926</v>
      </c>
      <c r="I108" s="117">
        <v>1.0</v>
      </c>
      <c r="J108" s="116">
        <v>21.926</v>
      </c>
      <c r="K108" s="114"/>
      <c r="L108" s="114"/>
      <c r="M108" s="116">
        <v>19.0</v>
      </c>
      <c r="N108" s="116">
        <v>117.0</v>
      </c>
      <c r="O108" s="114"/>
      <c r="P108" s="140">
        <v>11900.0</v>
      </c>
      <c r="Q108" s="114" t="s">
        <v>234</v>
      </c>
      <c r="R108" s="115">
        <v>2013.0</v>
      </c>
      <c r="S108" s="85">
        <v>0.273</v>
      </c>
      <c r="T108" s="118">
        <f t="shared" si="43"/>
        <v>3248.7</v>
      </c>
      <c r="U108" s="24">
        <f t="shared" si="3"/>
        <v>148.1665602</v>
      </c>
      <c r="V108" s="3">
        <f t="shared" si="28"/>
        <v>0</v>
      </c>
      <c r="W108" s="3">
        <f t="shared" si="29"/>
        <v>0</v>
      </c>
      <c r="X108" s="3">
        <f t="shared" si="30"/>
        <v>0</v>
      </c>
      <c r="Y108" s="25">
        <f t="shared" si="31"/>
        <v>0</v>
      </c>
      <c r="Z108" s="26">
        <f>VLOOKUP(R108,CPI!$A$2:$F$71,6,0)</f>
        <v>1.382720845</v>
      </c>
      <c r="AA108" s="27">
        <f t="shared" si="8"/>
        <v>4492.045211</v>
      </c>
      <c r="AB108" s="27">
        <f t="shared" si="9"/>
        <v>204.8729915</v>
      </c>
      <c r="AC108" s="114"/>
      <c r="AD108" s="119" t="s">
        <v>327</v>
      </c>
      <c r="AE108" s="167" t="s">
        <v>328</v>
      </c>
      <c r="AF108" s="168"/>
      <c r="AG108" s="168"/>
      <c r="AH108" s="169"/>
    </row>
    <row r="109">
      <c r="A109" s="130" t="s">
        <v>230</v>
      </c>
      <c r="B109" s="130" t="s">
        <v>323</v>
      </c>
      <c r="C109" s="36" t="s">
        <v>54</v>
      </c>
      <c r="D109" s="130" t="s">
        <v>329</v>
      </c>
      <c r="E109" s="130">
        <v>2012.0</v>
      </c>
      <c r="F109" s="130">
        <v>2015.0</v>
      </c>
      <c r="G109" s="130">
        <v>0.0</v>
      </c>
      <c r="H109" s="130">
        <v>4.5</v>
      </c>
      <c r="I109" s="131"/>
      <c r="J109" s="130"/>
      <c r="K109" s="132" t="e">
        <v>#N/A</v>
      </c>
      <c r="L109" s="132" t="e">
        <v>#N/A</v>
      </c>
      <c r="M109" s="130">
        <v>4.0</v>
      </c>
      <c r="N109" s="138"/>
      <c r="O109" s="130" t="s">
        <v>60</v>
      </c>
      <c r="P109" s="135">
        <v>2466.0</v>
      </c>
      <c r="Q109" s="130" t="s">
        <v>234</v>
      </c>
      <c r="R109" s="130">
        <v>2012.0</v>
      </c>
      <c r="S109" s="136">
        <v>0.2808</v>
      </c>
      <c r="T109" s="128">
        <f t="shared" ref="T109:T111" si="44">S109*P109</f>
        <v>692.4528</v>
      </c>
      <c r="U109" s="24">
        <f t="shared" si="3"/>
        <v>153.8784</v>
      </c>
      <c r="V109" s="3">
        <f t="shared" si="28"/>
        <v>0</v>
      </c>
      <c r="W109" s="3">
        <f t="shared" si="29"/>
        <v>0</v>
      </c>
      <c r="X109" s="3">
        <f t="shared" si="30"/>
        <v>0</v>
      </c>
      <c r="Y109" s="25">
        <f t="shared" si="31"/>
        <v>0</v>
      </c>
      <c r="Z109" s="26">
        <f>VLOOKUP(R109,CPI!$A$2:$F$71,6,0)</f>
        <v>1.402974381</v>
      </c>
      <c r="AA109" s="27">
        <f t="shared" si="8"/>
        <v>971.4935384</v>
      </c>
      <c r="AB109" s="27">
        <f t="shared" si="9"/>
        <v>215.887453</v>
      </c>
      <c r="AC109" s="130" t="s">
        <v>60</v>
      </c>
      <c r="AD109" s="137" t="s">
        <v>330</v>
      </c>
      <c r="AE109" s="29"/>
      <c r="AF109" s="30"/>
      <c r="AG109" s="30"/>
      <c r="AH109" s="30"/>
    </row>
    <row r="110">
      <c r="A110" s="130" t="s">
        <v>230</v>
      </c>
      <c r="B110" s="130" t="s">
        <v>323</v>
      </c>
      <c r="C110" s="16" t="s">
        <v>87</v>
      </c>
      <c r="D110" s="130" t="s">
        <v>331</v>
      </c>
      <c r="E110" s="130">
        <v>2012.0</v>
      </c>
      <c r="F110" s="130">
        <v>2016.0</v>
      </c>
      <c r="G110" s="130">
        <v>0.0</v>
      </c>
      <c r="H110" s="130">
        <v>35.6</v>
      </c>
      <c r="I110" s="131"/>
      <c r="J110" s="130"/>
      <c r="K110" s="132" t="e">
        <v>#N/A</v>
      </c>
      <c r="L110" s="132" t="e">
        <v>#N/A</v>
      </c>
      <c r="M110" s="130">
        <v>25.0</v>
      </c>
      <c r="N110" s="138"/>
      <c r="O110" s="130" t="s">
        <v>60</v>
      </c>
      <c r="P110" s="135">
        <v>23628.0</v>
      </c>
      <c r="Q110" s="130" t="s">
        <v>234</v>
      </c>
      <c r="R110" s="75">
        <v>2017.0</v>
      </c>
      <c r="S110" s="136">
        <v>0.239</v>
      </c>
      <c r="T110" s="128">
        <f t="shared" si="44"/>
        <v>5647.092</v>
      </c>
      <c r="U110" s="24">
        <f t="shared" si="3"/>
        <v>158.6261798</v>
      </c>
      <c r="V110" s="3">
        <f t="shared" si="28"/>
        <v>0</v>
      </c>
      <c r="W110" s="3">
        <f t="shared" si="29"/>
        <v>0</v>
      </c>
      <c r="X110" s="3">
        <f t="shared" si="30"/>
        <v>0</v>
      </c>
      <c r="Y110" s="25">
        <f t="shared" si="31"/>
        <v>0</v>
      </c>
      <c r="Z110" s="26">
        <f>VLOOKUP(R110,CPI!$A$2:$F$71,6,0)</f>
        <v>1.314109416</v>
      </c>
      <c r="AA110" s="27">
        <f t="shared" si="8"/>
        <v>7420.896769</v>
      </c>
      <c r="AB110" s="27">
        <f t="shared" si="9"/>
        <v>208.4521564</v>
      </c>
      <c r="AC110" s="130" t="s">
        <v>60</v>
      </c>
      <c r="AD110" s="137" t="s">
        <v>330</v>
      </c>
      <c r="AE110" s="29"/>
      <c r="AF110" s="30"/>
      <c r="AG110" s="30"/>
      <c r="AH110" s="30"/>
    </row>
    <row r="111">
      <c r="A111" s="130" t="s">
        <v>230</v>
      </c>
      <c r="B111" s="130" t="s">
        <v>323</v>
      </c>
      <c r="C111" s="36" t="s">
        <v>110</v>
      </c>
      <c r="D111" s="130" t="s">
        <v>332</v>
      </c>
      <c r="E111" s="130">
        <v>2013.0</v>
      </c>
      <c r="F111" s="130">
        <v>2017.0</v>
      </c>
      <c r="G111" s="130">
        <v>0.0</v>
      </c>
      <c r="H111" s="130">
        <v>33.5</v>
      </c>
      <c r="I111" s="131"/>
      <c r="J111" s="130"/>
      <c r="K111" s="132" t="e">
        <v>#N/A</v>
      </c>
      <c r="L111" s="132" t="e">
        <v>#N/A</v>
      </c>
      <c r="M111" s="130">
        <v>24.0</v>
      </c>
      <c r="N111" s="138"/>
      <c r="O111" s="130" t="s">
        <v>60</v>
      </c>
      <c r="P111" s="135">
        <v>21938.0</v>
      </c>
      <c r="Q111" s="130" t="s">
        <v>234</v>
      </c>
      <c r="R111" s="130">
        <v>2012.0</v>
      </c>
      <c r="S111" s="136">
        <v>0.2808</v>
      </c>
      <c r="T111" s="128">
        <f t="shared" si="44"/>
        <v>6160.1904</v>
      </c>
      <c r="U111" s="24">
        <f t="shared" si="3"/>
        <v>183.8862806</v>
      </c>
      <c r="V111" s="3">
        <f t="shared" si="28"/>
        <v>0</v>
      </c>
      <c r="W111" s="3">
        <f t="shared" si="29"/>
        <v>0</v>
      </c>
      <c r="X111" s="3">
        <f t="shared" si="30"/>
        <v>0</v>
      </c>
      <c r="Y111" s="25">
        <f t="shared" si="31"/>
        <v>0</v>
      </c>
      <c r="Z111" s="26">
        <f>VLOOKUP(R111,CPI!$A$2:$F$71,6,0)</f>
        <v>1.402974381</v>
      </c>
      <c r="AA111" s="27">
        <f t="shared" si="8"/>
        <v>8642.589312</v>
      </c>
      <c r="AB111" s="27">
        <f t="shared" si="9"/>
        <v>257.9877407</v>
      </c>
      <c r="AC111" s="130" t="s">
        <v>60</v>
      </c>
      <c r="AD111" s="137" t="s">
        <v>330</v>
      </c>
      <c r="AE111" s="29"/>
      <c r="AF111" s="30"/>
      <c r="AG111" s="30"/>
      <c r="AH111" s="30"/>
    </row>
    <row r="112">
      <c r="A112" s="123" t="s">
        <v>230</v>
      </c>
      <c r="B112" s="123" t="s">
        <v>323</v>
      </c>
      <c r="C112" s="36" t="s">
        <v>84</v>
      </c>
      <c r="D112" s="123" t="s">
        <v>319</v>
      </c>
      <c r="E112" s="75">
        <v>2014.0</v>
      </c>
      <c r="F112" s="152">
        <v>2021.0</v>
      </c>
      <c r="G112" s="75">
        <v>0.0</v>
      </c>
      <c r="H112" s="75">
        <v>22.7</v>
      </c>
      <c r="I112" s="124">
        <f>J112/H112</f>
        <v>1</v>
      </c>
      <c r="J112" s="75">
        <f>H112</f>
        <v>22.7</v>
      </c>
      <c r="K112" s="125">
        <v>0.0</v>
      </c>
      <c r="L112" s="125">
        <v>0.0</v>
      </c>
      <c r="M112" s="75">
        <v>18.0</v>
      </c>
      <c r="N112" s="152">
        <v>117.0</v>
      </c>
      <c r="O112" s="123" t="s">
        <v>60</v>
      </c>
      <c r="P112" s="126">
        <v>16393.0</v>
      </c>
      <c r="Q112" s="123" t="s">
        <v>234</v>
      </c>
      <c r="R112" s="75">
        <v>2012.0</v>
      </c>
      <c r="S112" s="136">
        <v>0.2808</v>
      </c>
      <c r="T112" s="128">
        <f>P112*S112</f>
        <v>4603.1544</v>
      </c>
      <c r="U112" s="24">
        <f t="shared" si="3"/>
        <v>202.7821322</v>
      </c>
      <c r="V112" s="3">
        <f t="shared" si="28"/>
        <v>0</v>
      </c>
      <c r="W112" s="3">
        <f t="shared" si="29"/>
        <v>0</v>
      </c>
      <c r="X112" s="3">
        <f t="shared" si="30"/>
        <v>0</v>
      </c>
      <c r="Y112" s="25">
        <f t="shared" si="31"/>
        <v>0</v>
      </c>
      <c r="Z112" s="26">
        <f>VLOOKUP(R112,CPI!$A$2:$F$71,6,0)</f>
        <v>1.402974381</v>
      </c>
      <c r="AA112" s="27">
        <f t="shared" si="8"/>
        <v>6458.107694</v>
      </c>
      <c r="AB112" s="27">
        <f t="shared" si="9"/>
        <v>284.4981363</v>
      </c>
      <c r="AC112" s="123" t="s">
        <v>60</v>
      </c>
      <c r="AD112" s="129" t="s">
        <v>330</v>
      </c>
      <c r="AE112" s="29"/>
      <c r="AF112" s="30"/>
      <c r="AG112" s="30"/>
      <c r="AH112" s="30"/>
    </row>
    <row r="113">
      <c r="A113" s="130" t="s">
        <v>230</v>
      </c>
      <c r="B113" s="130" t="s">
        <v>323</v>
      </c>
      <c r="C113" s="171" t="s">
        <v>333</v>
      </c>
      <c r="D113" s="130" t="s">
        <v>334</v>
      </c>
      <c r="E113" s="130">
        <v>2017.0</v>
      </c>
      <c r="F113" s="130">
        <v>2021.0</v>
      </c>
      <c r="G113" s="130">
        <v>0.0</v>
      </c>
      <c r="H113" s="130">
        <v>9.93</v>
      </c>
      <c r="I113" s="131">
        <v>0.5438066465</v>
      </c>
      <c r="J113" s="130">
        <v>5.4</v>
      </c>
      <c r="K113" s="132">
        <v>0.0</v>
      </c>
      <c r="L113" s="132">
        <v>0.0</v>
      </c>
      <c r="M113" s="130">
        <v>5.0</v>
      </c>
      <c r="N113" s="133">
        <v>117.0</v>
      </c>
      <c r="O113" s="130" t="s">
        <v>60</v>
      </c>
      <c r="P113" s="140">
        <v>6111.0</v>
      </c>
      <c r="Q113" s="130" t="s">
        <v>234</v>
      </c>
      <c r="R113" s="130">
        <v>2017.0</v>
      </c>
      <c r="S113" s="136">
        <v>0.239</v>
      </c>
      <c r="T113" s="128">
        <f t="shared" ref="T113:T114" si="45">S113*P113</f>
        <v>1460.529</v>
      </c>
      <c r="U113" s="24">
        <f t="shared" si="3"/>
        <v>147.0824773</v>
      </c>
      <c r="V113" s="3">
        <f t="shared" si="28"/>
        <v>0</v>
      </c>
      <c r="W113" s="3">
        <f t="shared" si="29"/>
        <v>0</v>
      </c>
      <c r="X113" s="3">
        <f t="shared" si="30"/>
        <v>0</v>
      </c>
      <c r="Y113" s="25">
        <f t="shared" si="31"/>
        <v>0</v>
      </c>
      <c r="Z113" s="26">
        <f>VLOOKUP(R113,CPI!$A$2:$F$71,6,0)</f>
        <v>1.314109416</v>
      </c>
      <c r="AA113" s="27">
        <f t="shared" si="8"/>
        <v>1919.294911</v>
      </c>
      <c r="AB113" s="27">
        <f t="shared" si="9"/>
        <v>193.2824684</v>
      </c>
      <c r="AC113" s="130" t="s">
        <v>60</v>
      </c>
      <c r="AD113" s="137" t="s">
        <v>335</v>
      </c>
      <c r="AE113" s="29"/>
      <c r="AF113" s="30"/>
      <c r="AG113" s="30"/>
      <c r="AH113" s="30"/>
    </row>
    <row r="114">
      <c r="A114" s="130" t="s">
        <v>230</v>
      </c>
      <c r="B114" s="130" t="s">
        <v>323</v>
      </c>
      <c r="C114" s="36" t="s">
        <v>54</v>
      </c>
      <c r="D114" s="130" t="s">
        <v>336</v>
      </c>
      <c r="E114" s="130">
        <v>2017.0</v>
      </c>
      <c r="F114" s="130">
        <v>2021.0</v>
      </c>
      <c r="G114" s="130">
        <v>0.0</v>
      </c>
      <c r="H114" s="130">
        <v>14.72</v>
      </c>
      <c r="I114" s="131">
        <v>0.7826086957</v>
      </c>
      <c r="J114" s="130">
        <v>11.52</v>
      </c>
      <c r="K114" s="132">
        <v>0.0</v>
      </c>
      <c r="L114" s="132">
        <v>0.0</v>
      </c>
      <c r="M114" s="130">
        <v>11.0</v>
      </c>
      <c r="N114" s="138"/>
      <c r="O114" s="130" t="s">
        <v>60</v>
      </c>
      <c r="P114" s="135">
        <v>9513.0</v>
      </c>
      <c r="Q114" s="130" t="s">
        <v>234</v>
      </c>
      <c r="R114" s="130">
        <v>2017.0</v>
      </c>
      <c r="S114" s="136">
        <v>0.239</v>
      </c>
      <c r="T114" s="128">
        <f t="shared" si="45"/>
        <v>2273.607</v>
      </c>
      <c r="U114" s="24">
        <f t="shared" si="3"/>
        <v>154.4569973</v>
      </c>
      <c r="V114" s="3">
        <f t="shared" si="28"/>
        <v>0</v>
      </c>
      <c r="W114" s="3">
        <f t="shared" si="29"/>
        <v>0</v>
      </c>
      <c r="X114" s="3">
        <f t="shared" si="30"/>
        <v>0</v>
      </c>
      <c r="Y114" s="25">
        <f t="shared" si="31"/>
        <v>0</v>
      </c>
      <c r="Z114" s="26">
        <f>VLOOKUP(R114,CPI!$A$2:$F$71,6,0)</f>
        <v>1.314109416</v>
      </c>
      <c r="AA114" s="27">
        <f t="shared" si="8"/>
        <v>2987.768367</v>
      </c>
      <c r="AB114" s="27">
        <f t="shared" si="9"/>
        <v>202.9733945</v>
      </c>
      <c r="AC114" s="130" t="s">
        <v>60</v>
      </c>
      <c r="AD114" s="137" t="s">
        <v>337</v>
      </c>
      <c r="AE114" s="29"/>
      <c r="AF114" s="30"/>
      <c r="AG114" s="30"/>
      <c r="AH114" s="30"/>
    </row>
    <row r="115">
      <c r="A115" s="123" t="s">
        <v>230</v>
      </c>
      <c r="B115" s="123" t="s">
        <v>323</v>
      </c>
      <c r="C115" s="36" t="s">
        <v>80</v>
      </c>
      <c r="D115" s="123" t="s">
        <v>338</v>
      </c>
      <c r="E115" s="75">
        <v>2017.0</v>
      </c>
      <c r="F115" s="75">
        <v>2021.0</v>
      </c>
      <c r="G115" s="75">
        <v>0.0</v>
      </c>
      <c r="H115" s="75">
        <v>26.5</v>
      </c>
      <c r="I115" s="124">
        <v>1.0</v>
      </c>
      <c r="J115" s="75">
        <v>26.5</v>
      </c>
      <c r="K115" s="125">
        <v>0.0</v>
      </c>
      <c r="L115" s="125">
        <v>0.0</v>
      </c>
      <c r="M115" s="75">
        <v>20.0</v>
      </c>
      <c r="N115" s="75"/>
      <c r="O115" s="123" t="s">
        <v>60</v>
      </c>
      <c r="P115" s="126">
        <v>22360.0</v>
      </c>
      <c r="Q115" s="123" t="s">
        <v>234</v>
      </c>
      <c r="R115" s="75">
        <v>2017.0</v>
      </c>
      <c r="S115" s="136">
        <v>0.239</v>
      </c>
      <c r="T115" s="128">
        <f t="shared" ref="T115:T116" si="46">P115*S115</f>
        <v>5344.04</v>
      </c>
      <c r="U115" s="24">
        <f t="shared" si="3"/>
        <v>201.6618868</v>
      </c>
      <c r="V115" s="3">
        <f t="shared" si="28"/>
        <v>0</v>
      </c>
      <c r="W115" s="3">
        <f t="shared" si="29"/>
        <v>0</v>
      </c>
      <c r="X115" s="3">
        <f t="shared" si="30"/>
        <v>0</v>
      </c>
      <c r="Y115" s="25">
        <f t="shared" si="31"/>
        <v>0</v>
      </c>
      <c r="Z115" s="26">
        <f>VLOOKUP(R115,CPI!$A$2:$F$71,6,0)</f>
        <v>1.314109416</v>
      </c>
      <c r="AA115" s="27">
        <f t="shared" si="8"/>
        <v>7022.653282</v>
      </c>
      <c r="AB115" s="27">
        <f t="shared" si="9"/>
        <v>265.0057842</v>
      </c>
      <c r="AC115" s="123" t="s">
        <v>60</v>
      </c>
      <c r="AD115" s="129" t="s">
        <v>337</v>
      </c>
      <c r="AE115" s="29"/>
      <c r="AF115" s="30"/>
      <c r="AG115" s="30"/>
      <c r="AH115" s="30"/>
    </row>
    <row r="116">
      <c r="A116" s="123" t="s">
        <v>230</v>
      </c>
      <c r="B116" s="123" t="s">
        <v>323</v>
      </c>
      <c r="C116" s="36" t="s">
        <v>228</v>
      </c>
      <c r="D116" s="123" t="s">
        <v>263</v>
      </c>
      <c r="E116" s="75">
        <v>2017.0</v>
      </c>
      <c r="F116" s="75">
        <v>2021.0</v>
      </c>
      <c r="G116" s="75">
        <v>0.0</v>
      </c>
      <c r="H116" s="75">
        <v>21.6</v>
      </c>
      <c r="I116" s="124">
        <v>1.0</v>
      </c>
      <c r="J116" s="75">
        <v>21.6</v>
      </c>
      <c r="K116" s="125">
        <v>0.0</v>
      </c>
      <c r="L116" s="125">
        <v>0.0</v>
      </c>
      <c r="M116" s="75">
        <v>16.0</v>
      </c>
      <c r="N116" s="75"/>
      <c r="O116" s="123" t="s">
        <v>60</v>
      </c>
      <c r="P116" s="126">
        <v>18132.0</v>
      </c>
      <c r="Q116" s="123" t="s">
        <v>234</v>
      </c>
      <c r="R116" s="75">
        <v>2017.0</v>
      </c>
      <c r="S116" s="136">
        <v>0.239</v>
      </c>
      <c r="T116" s="128">
        <f t="shared" si="46"/>
        <v>4333.548</v>
      </c>
      <c r="U116" s="24">
        <f t="shared" si="3"/>
        <v>200.6272222</v>
      </c>
      <c r="V116" s="3">
        <f t="shared" si="28"/>
        <v>0</v>
      </c>
      <c r="W116" s="3">
        <f t="shared" si="29"/>
        <v>0</v>
      </c>
      <c r="X116" s="3">
        <f t="shared" si="30"/>
        <v>0</v>
      </c>
      <c r="Y116" s="25">
        <f t="shared" si="31"/>
        <v>0</v>
      </c>
      <c r="Z116" s="26">
        <f>VLOOKUP(R116,CPI!$A$2:$F$71,6,0)</f>
        <v>1.314109416</v>
      </c>
      <c r="AA116" s="27">
        <f t="shared" si="8"/>
        <v>5694.756231</v>
      </c>
      <c r="AB116" s="27">
        <f t="shared" si="9"/>
        <v>263.6461218</v>
      </c>
      <c r="AC116" s="123" t="s">
        <v>60</v>
      </c>
      <c r="AD116" s="129" t="s">
        <v>337</v>
      </c>
      <c r="AE116" s="29"/>
      <c r="AF116" s="30"/>
      <c r="AG116" s="30"/>
      <c r="AH116" s="30"/>
    </row>
    <row r="117">
      <c r="A117" s="130" t="s">
        <v>230</v>
      </c>
      <c r="B117" s="130" t="s">
        <v>323</v>
      </c>
      <c r="C117" s="36" t="s">
        <v>110</v>
      </c>
      <c r="D117" s="130" t="s">
        <v>339</v>
      </c>
      <c r="E117" s="130">
        <v>2018.0</v>
      </c>
      <c r="F117" s="130">
        <v>2022.0</v>
      </c>
      <c r="G117" s="130">
        <v>0.0</v>
      </c>
      <c r="H117" s="130">
        <v>14.26</v>
      </c>
      <c r="I117" s="131">
        <v>0.1444600281</v>
      </c>
      <c r="J117" s="130">
        <v>2.06</v>
      </c>
      <c r="K117" s="132">
        <v>0.0</v>
      </c>
      <c r="L117" s="132">
        <v>0.0</v>
      </c>
      <c r="M117" s="130">
        <v>8.0</v>
      </c>
      <c r="N117" s="138"/>
      <c r="O117" s="130" t="s">
        <v>60</v>
      </c>
      <c r="P117" s="135">
        <v>6831.0</v>
      </c>
      <c r="Q117" s="130" t="s">
        <v>234</v>
      </c>
      <c r="R117" s="130">
        <v>2017.0</v>
      </c>
      <c r="S117" s="136">
        <v>0.239</v>
      </c>
      <c r="T117" s="128">
        <f>S117*P117</f>
        <v>1632.609</v>
      </c>
      <c r="U117" s="24">
        <f t="shared" si="3"/>
        <v>114.4887097</v>
      </c>
      <c r="V117" s="3">
        <f t="shared" si="28"/>
        <v>0</v>
      </c>
      <c r="W117" s="3">
        <f t="shared" si="29"/>
        <v>0</v>
      </c>
      <c r="X117" s="3">
        <f t="shared" si="30"/>
        <v>0</v>
      </c>
      <c r="Y117" s="25">
        <f t="shared" si="31"/>
        <v>0</v>
      </c>
      <c r="Z117" s="26">
        <f>VLOOKUP(R117,CPI!$A$2:$F$71,6,0)</f>
        <v>1.314109416</v>
      </c>
      <c r="AA117" s="27">
        <f t="shared" si="8"/>
        <v>2145.426859</v>
      </c>
      <c r="AB117" s="27">
        <f t="shared" si="9"/>
        <v>150.4506914</v>
      </c>
      <c r="AC117" s="130" t="s">
        <v>60</v>
      </c>
      <c r="AD117" s="137" t="s">
        <v>337</v>
      </c>
      <c r="AE117" s="29"/>
      <c r="AF117" s="30"/>
      <c r="AG117" s="30"/>
      <c r="AH117" s="30"/>
    </row>
    <row r="118">
      <c r="A118" s="123" t="s">
        <v>230</v>
      </c>
      <c r="B118" s="123" t="s">
        <v>323</v>
      </c>
      <c r="C118" s="36" t="s">
        <v>84</v>
      </c>
      <c r="D118" s="123" t="s">
        <v>340</v>
      </c>
      <c r="E118" s="75">
        <v>2018.0</v>
      </c>
      <c r="F118" s="75">
        <v>2022.0</v>
      </c>
      <c r="G118" s="75">
        <v>0.0</v>
      </c>
      <c r="H118" s="75">
        <v>8.43</v>
      </c>
      <c r="I118" s="124">
        <v>1.0</v>
      </c>
      <c r="J118" s="75">
        <v>8.43</v>
      </c>
      <c r="K118" s="125">
        <v>0.0</v>
      </c>
      <c r="L118" s="125">
        <v>0.0</v>
      </c>
      <c r="M118" s="75">
        <v>7.0</v>
      </c>
      <c r="N118" s="75"/>
      <c r="O118" s="123" t="s">
        <v>60</v>
      </c>
      <c r="P118" s="126">
        <v>6727.0</v>
      </c>
      <c r="Q118" s="123" t="s">
        <v>234</v>
      </c>
      <c r="R118" s="75">
        <v>2017.0</v>
      </c>
      <c r="S118" s="136">
        <v>0.239</v>
      </c>
      <c r="T118" s="128">
        <f t="shared" ref="T118:T119" si="47">P118*S118</f>
        <v>1607.753</v>
      </c>
      <c r="U118" s="24">
        <f t="shared" si="3"/>
        <v>190.7180308</v>
      </c>
      <c r="V118" s="3">
        <f t="shared" si="28"/>
        <v>0</v>
      </c>
      <c r="W118" s="3">
        <f t="shared" si="29"/>
        <v>0</v>
      </c>
      <c r="X118" s="3">
        <f t="shared" si="30"/>
        <v>0</v>
      </c>
      <c r="Y118" s="25">
        <f t="shared" si="31"/>
        <v>0</v>
      </c>
      <c r="Z118" s="26">
        <f>VLOOKUP(R118,CPI!$A$2:$F$71,6,0)</f>
        <v>1.314109416</v>
      </c>
      <c r="AA118" s="27">
        <f t="shared" si="8"/>
        <v>2112.763356</v>
      </c>
      <c r="AB118" s="27">
        <f t="shared" si="9"/>
        <v>250.6243601</v>
      </c>
      <c r="AC118" s="123" t="s">
        <v>60</v>
      </c>
      <c r="AD118" s="129" t="s">
        <v>337</v>
      </c>
      <c r="AE118" s="29"/>
      <c r="AF118" s="30"/>
      <c r="AG118" s="30"/>
      <c r="AH118" s="30"/>
    </row>
    <row r="119">
      <c r="A119" s="123" t="s">
        <v>230</v>
      </c>
      <c r="B119" s="123" t="s">
        <v>323</v>
      </c>
      <c r="C119" s="36" t="s">
        <v>80</v>
      </c>
      <c r="D119" s="123" t="s">
        <v>341</v>
      </c>
      <c r="E119" s="75">
        <v>2018.0</v>
      </c>
      <c r="F119" s="75">
        <v>2022.0</v>
      </c>
      <c r="G119" s="75">
        <v>0.0</v>
      </c>
      <c r="H119" s="75">
        <v>10.05</v>
      </c>
      <c r="I119" s="124">
        <v>1.0</v>
      </c>
      <c r="J119" s="75">
        <v>10.05</v>
      </c>
      <c r="K119" s="125">
        <v>0.0</v>
      </c>
      <c r="L119" s="125">
        <v>0.0</v>
      </c>
      <c r="M119" s="75">
        <v>7.0</v>
      </c>
      <c r="N119" s="75"/>
      <c r="O119" s="123" t="s">
        <v>60</v>
      </c>
      <c r="P119" s="126">
        <v>7565.0</v>
      </c>
      <c r="Q119" s="123" t="s">
        <v>234</v>
      </c>
      <c r="R119" s="75">
        <v>2017.0</v>
      </c>
      <c r="S119" s="136">
        <v>0.239</v>
      </c>
      <c r="T119" s="128">
        <f t="shared" si="47"/>
        <v>1808.035</v>
      </c>
      <c r="U119" s="24">
        <f t="shared" si="3"/>
        <v>179.9039801</v>
      </c>
      <c r="V119" s="3">
        <f t="shared" si="28"/>
        <v>0</v>
      </c>
      <c r="W119" s="3">
        <f t="shared" si="29"/>
        <v>0</v>
      </c>
      <c r="X119" s="3">
        <f t="shared" si="30"/>
        <v>0</v>
      </c>
      <c r="Y119" s="25">
        <f t="shared" si="31"/>
        <v>0</v>
      </c>
      <c r="Z119" s="26">
        <f>VLOOKUP(R119,CPI!$A$2:$F$71,6,0)</f>
        <v>1.314109416</v>
      </c>
      <c r="AA119" s="27">
        <f t="shared" si="8"/>
        <v>2375.955818</v>
      </c>
      <c r="AB119" s="27">
        <f t="shared" si="9"/>
        <v>236.4135142</v>
      </c>
      <c r="AC119" s="123" t="s">
        <v>60</v>
      </c>
      <c r="AD119" s="129" t="s">
        <v>337</v>
      </c>
      <c r="AE119" s="29"/>
      <c r="AF119" s="30"/>
      <c r="AG119" s="30"/>
      <c r="AH119" s="30"/>
    </row>
    <row r="120">
      <c r="A120" s="130" t="s">
        <v>230</v>
      </c>
      <c r="B120" s="130" t="s">
        <v>323</v>
      </c>
      <c r="C120" s="36" t="s">
        <v>80</v>
      </c>
      <c r="D120" s="130" t="s">
        <v>342</v>
      </c>
      <c r="E120" s="130">
        <v>2018.0</v>
      </c>
      <c r="F120" s="130">
        <v>2022.0</v>
      </c>
      <c r="G120" s="130">
        <v>0.0</v>
      </c>
      <c r="H120" s="130">
        <v>12.15</v>
      </c>
      <c r="I120" s="131">
        <v>1.0</v>
      </c>
      <c r="J120" s="130">
        <v>12.15</v>
      </c>
      <c r="K120" s="132">
        <v>0.0</v>
      </c>
      <c r="L120" s="132">
        <v>0.0</v>
      </c>
      <c r="M120" s="130">
        <v>5.0</v>
      </c>
      <c r="N120" s="138"/>
      <c r="O120" s="130" t="s">
        <v>60</v>
      </c>
      <c r="P120" s="135">
        <v>6140.0</v>
      </c>
      <c r="Q120" s="130" t="s">
        <v>234</v>
      </c>
      <c r="R120" s="130">
        <v>2017.0</v>
      </c>
      <c r="S120" s="136">
        <v>0.239</v>
      </c>
      <c r="T120" s="128">
        <f t="shared" ref="T120:T121" si="48">S120*P120</f>
        <v>1467.46</v>
      </c>
      <c r="U120" s="24">
        <f t="shared" si="3"/>
        <v>120.7786008</v>
      </c>
      <c r="V120" s="3">
        <f t="shared" si="28"/>
        <v>0</v>
      </c>
      <c r="W120" s="3">
        <f t="shared" si="29"/>
        <v>0</v>
      </c>
      <c r="X120" s="3">
        <f t="shared" si="30"/>
        <v>0</v>
      </c>
      <c r="Y120" s="25">
        <f t="shared" si="31"/>
        <v>0</v>
      </c>
      <c r="Z120" s="26">
        <f>VLOOKUP(R120,CPI!$A$2:$F$71,6,0)</f>
        <v>1.314109416</v>
      </c>
      <c r="AA120" s="27">
        <f t="shared" si="8"/>
        <v>1928.403003</v>
      </c>
      <c r="AB120" s="27">
        <f t="shared" si="9"/>
        <v>158.7162966</v>
      </c>
      <c r="AC120" s="130" t="s">
        <v>60</v>
      </c>
      <c r="AD120" s="137" t="s">
        <v>337</v>
      </c>
      <c r="AE120" s="29"/>
      <c r="AF120" s="30"/>
      <c r="AG120" s="30"/>
      <c r="AH120" s="30"/>
    </row>
    <row r="121">
      <c r="A121" s="130" t="s">
        <v>230</v>
      </c>
      <c r="B121" s="130" t="s">
        <v>323</v>
      </c>
      <c r="C121" s="36" t="s">
        <v>84</v>
      </c>
      <c r="D121" s="130" t="s">
        <v>343</v>
      </c>
      <c r="E121" s="130">
        <v>2019.0</v>
      </c>
      <c r="F121" s="130">
        <v>2022.0</v>
      </c>
      <c r="G121" s="130">
        <v>0.0</v>
      </c>
      <c r="H121" s="130">
        <v>3.65</v>
      </c>
      <c r="I121" s="131">
        <v>0.4849315068</v>
      </c>
      <c r="J121" s="130">
        <v>1.77</v>
      </c>
      <c r="K121" s="132">
        <v>0.0</v>
      </c>
      <c r="L121" s="132">
        <v>0.0</v>
      </c>
      <c r="M121" s="130">
        <v>2.0</v>
      </c>
      <c r="N121" s="138"/>
      <c r="O121" s="130" t="s">
        <v>60</v>
      </c>
      <c r="P121" s="135">
        <v>1409.0</v>
      </c>
      <c r="Q121" s="130" t="s">
        <v>234</v>
      </c>
      <c r="R121" s="130">
        <v>2017.0</v>
      </c>
      <c r="S121" s="136">
        <v>0.239</v>
      </c>
      <c r="T121" s="128">
        <f t="shared" si="48"/>
        <v>336.751</v>
      </c>
      <c r="U121" s="24">
        <f t="shared" si="3"/>
        <v>92.26054795</v>
      </c>
      <c r="V121" s="3">
        <f t="shared" si="28"/>
        <v>0</v>
      </c>
      <c r="W121" s="3">
        <f t="shared" si="29"/>
        <v>0</v>
      </c>
      <c r="X121" s="3">
        <f t="shared" si="30"/>
        <v>0</v>
      </c>
      <c r="Y121" s="25">
        <f t="shared" si="31"/>
        <v>0</v>
      </c>
      <c r="Z121" s="26">
        <f>VLOOKUP(R121,CPI!$A$2:$F$71,6,0)</f>
        <v>1.314109416</v>
      </c>
      <c r="AA121" s="27">
        <f t="shared" si="8"/>
        <v>442.5276599</v>
      </c>
      <c r="AB121" s="27">
        <f t="shared" si="9"/>
        <v>121.2404548</v>
      </c>
      <c r="AC121" s="130" t="s">
        <v>60</v>
      </c>
      <c r="AD121" s="137" t="s">
        <v>337</v>
      </c>
      <c r="AE121" s="29"/>
      <c r="AF121" s="30"/>
      <c r="AG121" s="30"/>
      <c r="AH121" s="30"/>
    </row>
    <row r="122">
      <c r="A122" s="114" t="s">
        <v>230</v>
      </c>
      <c r="B122" s="114" t="s">
        <v>323</v>
      </c>
      <c r="C122" s="171" t="s">
        <v>336</v>
      </c>
      <c r="D122" s="115" t="s">
        <v>344</v>
      </c>
      <c r="E122" s="116">
        <v>2021.0</v>
      </c>
      <c r="F122" s="116">
        <v>2025.0</v>
      </c>
      <c r="G122" s="116">
        <v>0.0</v>
      </c>
      <c r="H122" s="116">
        <v>13.99</v>
      </c>
      <c r="I122" s="117">
        <v>0.98</v>
      </c>
      <c r="J122" s="116">
        <v>13.78</v>
      </c>
      <c r="K122" s="114"/>
      <c r="L122" s="114"/>
      <c r="M122" s="116">
        <v>11.0</v>
      </c>
      <c r="N122" s="116">
        <v>117.0</v>
      </c>
      <c r="O122" s="114"/>
      <c r="P122" s="140">
        <v>12342.0</v>
      </c>
      <c r="Q122" s="114" t="s">
        <v>234</v>
      </c>
      <c r="R122" s="115">
        <v>2021.0</v>
      </c>
      <c r="S122" s="136">
        <v>0.239000000000001</v>
      </c>
      <c r="T122" s="118">
        <f t="shared" ref="T122:T136" si="49">P122*S122</f>
        <v>2949.738</v>
      </c>
      <c r="U122" s="24">
        <f t="shared" si="3"/>
        <v>210.8461758</v>
      </c>
      <c r="V122" s="3">
        <f t="shared" si="28"/>
        <v>0</v>
      </c>
      <c r="W122" s="3">
        <f t="shared" si="29"/>
        <v>0</v>
      </c>
      <c r="X122" s="3">
        <f t="shared" si="30"/>
        <v>0</v>
      </c>
      <c r="Y122" s="25">
        <f t="shared" si="31"/>
        <v>0</v>
      </c>
      <c r="Z122" s="26">
        <f>VLOOKUP(R122,CPI!$A$2:$F$71,6,0)</f>
        <v>1.188745987</v>
      </c>
      <c r="AA122" s="27">
        <f t="shared" si="8"/>
        <v>3506.489209</v>
      </c>
      <c r="AB122" s="27">
        <f t="shared" si="9"/>
        <v>250.6425453</v>
      </c>
      <c r="AC122" s="114"/>
      <c r="AD122" s="119" t="s">
        <v>345</v>
      </c>
      <c r="AE122" s="164"/>
      <c r="AF122" s="165"/>
      <c r="AG122" s="165"/>
      <c r="AH122" s="165"/>
    </row>
    <row r="123">
      <c r="A123" s="114" t="s">
        <v>230</v>
      </c>
      <c r="B123" s="114" t="s">
        <v>346</v>
      </c>
      <c r="C123" s="16" t="s">
        <v>57</v>
      </c>
      <c r="D123" s="115" t="s">
        <v>232</v>
      </c>
      <c r="E123" s="116">
        <v>2019.0</v>
      </c>
      <c r="F123" s="114"/>
      <c r="G123" s="116">
        <v>0.0</v>
      </c>
      <c r="H123" s="116">
        <v>34.237</v>
      </c>
      <c r="I123" s="117">
        <v>0.92</v>
      </c>
      <c r="J123" s="116">
        <v>31.635</v>
      </c>
      <c r="K123" s="114"/>
      <c r="L123" s="114"/>
      <c r="M123" s="116">
        <v>29.0</v>
      </c>
      <c r="N123" s="116">
        <v>117.0</v>
      </c>
      <c r="O123" s="114"/>
      <c r="P123" s="140">
        <v>23297.0</v>
      </c>
      <c r="Q123" s="114" t="s">
        <v>234</v>
      </c>
      <c r="R123" s="115">
        <v>2021.0</v>
      </c>
      <c r="S123" s="136">
        <v>0.239</v>
      </c>
      <c r="T123" s="118">
        <f t="shared" si="49"/>
        <v>5567.983</v>
      </c>
      <c r="U123" s="24">
        <f t="shared" si="3"/>
        <v>162.6305751</v>
      </c>
      <c r="V123" s="3">
        <f t="shared" si="28"/>
        <v>0</v>
      </c>
      <c r="W123" s="3">
        <f t="shared" si="29"/>
        <v>0</v>
      </c>
      <c r="X123" s="3">
        <f t="shared" si="30"/>
        <v>0</v>
      </c>
      <c r="Y123" s="25">
        <f t="shared" si="31"/>
        <v>0</v>
      </c>
      <c r="Z123" s="26">
        <f>VLOOKUP(R123,CPI!$A$2:$F$71,6,0)</f>
        <v>1.188745987</v>
      </c>
      <c r="AA123" s="27">
        <f t="shared" si="8"/>
        <v>6618.917445</v>
      </c>
      <c r="AB123" s="27">
        <f t="shared" si="9"/>
        <v>193.3264435</v>
      </c>
      <c r="AC123" s="72" t="s">
        <v>36</v>
      </c>
      <c r="AD123" s="119" t="s">
        <v>347</v>
      </c>
      <c r="AE123" s="173"/>
      <c r="AF123" s="174"/>
      <c r="AG123" s="174"/>
      <c r="AH123" s="174"/>
    </row>
    <row r="124">
      <c r="A124" s="114" t="s">
        <v>230</v>
      </c>
      <c r="B124" s="114" t="s">
        <v>346</v>
      </c>
      <c r="C124" s="16" t="s">
        <v>54</v>
      </c>
      <c r="D124" s="115" t="s">
        <v>348</v>
      </c>
      <c r="E124" s="116">
        <v>2021.0</v>
      </c>
      <c r="F124" s="114"/>
      <c r="G124" s="116">
        <v>0.0</v>
      </c>
      <c r="H124" s="116">
        <v>19.79</v>
      </c>
      <c r="I124" s="117">
        <v>1.0</v>
      </c>
      <c r="J124" s="116">
        <v>19.79</v>
      </c>
      <c r="K124" s="114"/>
      <c r="L124" s="114"/>
      <c r="M124" s="116">
        <v>15.0</v>
      </c>
      <c r="N124" s="116">
        <v>117.0</v>
      </c>
      <c r="O124" s="114"/>
      <c r="P124" s="140">
        <v>14864.0</v>
      </c>
      <c r="Q124" s="114" t="s">
        <v>234</v>
      </c>
      <c r="R124" s="115">
        <v>2021.0</v>
      </c>
      <c r="S124" s="136">
        <v>0.239</v>
      </c>
      <c r="T124" s="118">
        <f t="shared" si="49"/>
        <v>3552.496</v>
      </c>
      <c r="U124" s="24">
        <f t="shared" si="3"/>
        <v>179.5096513</v>
      </c>
      <c r="V124" s="3">
        <f t="shared" si="28"/>
        <v>0</v>
      </c>
      <c r="W124" s="3">
        <f t="shared" si="29"/>
        <v>0</v>
      </c>
      <c r="X124" s="3">
        <f t="shared" si="30"/>
        <v>0</v>
      </c>
      <c r="Y124" s="25">
        <f t="shared" si="31"/>
        <v>0</v>
      </c>
      <c r="Z124" s="26">
        <f>VLOOKUP(R124,CPI!$A$2:$F$71,6,0)</f>
        <v>1.188745987</v>
      </c>
      <c r="AA124" s="27">
        <f t="shared" si="8"/>
        <v>4223.015363</v>
      </c>
      <c r="AB124" s="27">
        <f t="shared" si="9"/>
        <v>213.3913776</v>
      </c>
      <c r="AC124" s="114"/>
      <c r="AD124" s="119" t="s">
        <v>349</v>
      </c>
      <c r="AE124" s="173"/>
      <c r="AF124" s="174"/>
      <c r="AG124" s="174"/>
      <c r="AH124" s="174"/>
    </row>
    <row r="125">
      <c r="A125" s="114" t="s">
        <v>230</v>
      </c>
      <c r="B125" s="114" t="s">
        <v>350</v>
      </c>
      <c r="C125" s="115" t="s">
        <v>351</v>
      </c>
      <c r="D125" s="115" t="s">
        <v>352</v>
      </c>
      <c r="E125" s="116">
        <v>2016.0</v>
      </c>
      <c r="F125" s="116">
        <v>2019.0</v>
      </c>
      <c r="G125" s="116">
        <v>0.0</v>
      </c>
      <c r="H125" s="116">
        <v>58.6</v>
      </c>
      <c r="I125" s="117">
        <v>0.65</v>
      </c>
      <c r="J125" s="116">
        <v>37.9</v>
      </c>
      <c r="K125" s="114"/>
      <c r="L125" s="114"/>
      <c r="M125" s="116">
        <v>13.0</v>
      </c>
      <c r="N125" s="116">
        <v>184.0</v>
      </c>
      <c r="O125" s="114"/>
      <c r="P125" s="140">
        <v>34700.0</v>
      </c>
      <c r="Q125" s="114" t="s">
        <v>234</v>
      </c>
      <c r="R125" s="115">
        <v>2018.0</v>
      </c>
      <c r="S125" s="85">
        <v>0.237</v>
      </c>
      <c r="T125" s="118">
        <f t="shared" si="49"/>
        <v>8223.9</v>
      </c>
      <c r="U125" s="24">
        <f t="shared" si="3"/>
        <v>140.3395904</v>
      </c>
      <c r="V125" s="3">
        <f t="shared" si="28"/>
        <v>0</v>
      </c>
      <c r="W125" s="3">
        <f t="shared" si="29"/>
        <v>0</v>
      </c>
      <c r="X125" s="3">
        <f t="shared" si="30"/>
        <v>0</v>
      </c>
      <c r="Y125" s="25">
        <f t="shared" si="31"/>
        <v>0</v>
      </c>
      <c r="Z125" s="26">
        <f>VLOOKUP(R125,CPI!$A$2:$F$71,6,0)</f>
        <v>1.28277786</v>
      </c>
      <c r="AA125" s="27">
        <f t="shared" si="8"/>
        <v>10549.43684</v>
      </c>
      <c r="AB125" s="27">
        <f t="shared" si="9"/>
        <v>180.0245195</v>
      </c>
      <c r="AC125" s="114"/>
      <c r="AD125" s="119" t="s">
        <v>353</v>
      </c>
      <c r="AE125" s="164"/>
      <c r="AF125" s="165"/>
      <c r="AG125" s="165"/>
      <c r="AH125" s="165"/>
    </row>
    <row r="126">
      <c r="A126" s="114" t="s">
        <v>230</v>
      </c>
      <c r="B126" s="114" t="s">
        <v>350</v>
      </c>
      <c r="C126" s="115" t="s">
        <v>57</v>
      </c>
      <c r="D126" s="115" t="s">
        <v>354</v>
      </c>
      <c r="E126" s="116">
        <v>2013.0</v>
      </c>
      <c r="F126" s="116">
        <v>2020.0</v>
      </c>
      <c r="G126" s="116">
        <v>0.0</v>
      </c>
      <c r="H126" s="116">
        <v>13.0</v>
      </c>
      <c r="I126" s="117">
        <v>0.43</v>
      </c>
      <c r="J126" s="116">
        <v>5.6</v>
      </c>
      <c r="K126" s="114"/>
      <c r="L126" s="114"/>
      <c r="M126" s="116">
        <v>10.0</v>
      </c>
      <c r="N126" s="116">
        <v>117.0</v>
      </c>
      <c r="O126" s="114"/>
      <c r="P126" s="140">
        <v>5820.0</v>
      </c>
      <c r="Q126" s="114" t="s">
        <v>234</v>
      </c>
      <c r="R126" s="115">
        <v>2017.0</v>
      </c>
      <c r="S126" s="85">
        <v>0.239</v>
      </c>
      <c r="T126" s="118">
        <f t="shared" si="49"/>
        <v>1390.98</v>
      </c>
      <c r="U126" s="24">
        <f t="shared" si="3"/>
        <v>106.9984615</v>
      </c>
      <c r="V126" s="3">
        <f t="shared" si="28"/>
        <v>0</v>
      </c>
      <c r="W126" s="3">
        <f t="shared" si="29"/>
        <v>0</v>
      </c>
      <c r="X126" s="3">
        <f t="shared" si="30"/>
        <v>0</v>
      </c>
      <c r="Y126" s="25">
        <f t="shared" si="31"/>
        <v>0</v>
      </c>
      <c r="Z126" s="26">
        <f>VLOOKUP(R126,CPI!$A$2:$F$71,6,0)</f>
        <v>1.314109416</v>
      </c>
      <c r="AA126" s="27">
        <f t="shared" si="8"/>
        <v>1827.899915</v>
      </c>
      <c r="AB126" s="27">
        <f t="shared" si="9"/>
        <v>140.6076858</v>
      </c>
      <c r="AC126" s="114"/>
      <c r="AD126" s="161" t="s">
        <v>355</v>
      </c>
      <c r="AE126" s="164"/>
      <c r="AF126" s="165"/>
      <c r="AG126" s="165"/>
      <c r="AH126" s="165"/>
    </row>
    <row r="127">
      <c r="A127" s="114" t="s">
        <v>230</v>
      </c>
      <c r="B127" s="114" t="s">
        <v>350</v>
      </c>
      <c r="C127" s="115" t="s">
        <v>239</v>
      </c>
      <c r="D127" s="115" t="s">
        <v>356</v>
      </c>
      <c r="E127" s="116">
        <v>2013.0</v>
      </c>
      <c r="F127" s="116">
        <v>2020.0</v>
      </c>
      <c r="G127" s="116">
        <v>0.0</v>
      </c>
      <c r="H127" s="116">
        <v>10.9</v>
      </c>
      <c r="I127" s="117">
        <v>1.0</v>
      </c>
      <c r="J127" s="116">
        <v>10.9</v>
      </c>
      <c r="K127" s="114"/>
      <c r="L127" s="114"/>
      <c r="M127" s="116">
        <v>5.0</v>
      </c>
      <c r="N127" s="116">
        <v>138.0</v>
      </c>
      <c r="O127" s="114"/>
      <c r="P127" s="140">
        <v>5520.0</v>
      </c>
      <c r="Q127" s="114" t="s">
        <v>234</v>
      </c>
      <c r="R127" s="115">
        <v>2017.0</v>
      </c>
      <c r="S127" s="85">
        <v>0.239</v>
      </c>
      <c r="T127" s="118">
        <f t="shared" si="49"/>
        <v>1319.28</v>
      </c>
      <c r="U127" s="24">
        <f t="shared" si="3"/>
        <v>121.0348624</v>
      </c>
      <c r="V127" s="3">
        <f t="shared" si="28"/>
        <v>0</v>
      </c>
      <c r="W127" s="3">
        <f t="shared" si="29"/>
        <v>0</v>
      </c>
      <c r="X127" s="3">
        <f t="shared" si="30"/>
        <v>0</v>
      </c>
      <c r="Y127" s="25">
        <f t="shared" si="31"/>
        <v>0</v>
      </c>
      <c r="Z127" s="26">
        <f>VLOOKUP(R127,CPI!$A$2:$F$71,6,0)</f>
        <v>1.314109416</v>
      </c>
      <c r="AA127" s="27">
        <f t="shared" si="8"/>
        <v>1733.67827</v>
      </c>
      <c r="AB127" s="27">
        <f t="shared" si="9"/>
        <v>159.0530523</v>
      </c>
      <c r="AC127" s="114"/>
      <c r="AD127" s="161" t="s">
        <v>355</v>
      </c>
      <c r="AE127" s="164"/>
      <c r="AF127" s="165"/>
      <c r="AG127" s="165"/>
      <c r="AH127" s="165"/>
    </row>
    <row r="128">
      <c r="A128" s="114" t="s">
        <v>230</v>
      </c>
      <c r="B128" s="114" t="s">
        <v>350</v>
      </c>
      <c r="C128" s="115" t="s">
        <v>87</v>
      </c>
      <c r="D128" s="115" t="s">
        <v>357</v>
      </c>
      <c r="E128" s="116">
        <v>2013.0</v>
      </c>
      <c r="F128" s="116">
        <v>2020.0</v>
      </c>
      <c r="G128" s="116">
        <v>0.0</v>
      </c>
      <c r="H128" s="116">
        <v>15.0</v>
      </c>
      <c r="I128" s="117">
        <v>0.6</v>
      </c>
      <c r="J128" s="116">
        <v>9.0</v>
      </c>
      <c r="K128" s="114"/>
      <c r="L128" s="114"/>
      <c r="M128" s="116">
        <v>9.0</v>
      </c>
      <c r="N128" s="116">
        <v>117.0</v>
      </c>
      <c r="O128" s="114"/>
      <c r="P128" s="140">
        <v>7030.0</v>
      </c>
      <c r="Q128" s="114" t="s">
        <v>234</v>
      </c>
      <c r="R128" s="115">
        <v>2017.0</v>
      </c>
      <c r="S128" s="85">
        <v>0.239</v>
      </c>
      <c r="T128" s="118">
        <f t="shared" si="49"/>
        <v>1680.17</v>
      </c>
      <c r="U128" s="24">
        <f t="shared" si="3"/>
        <v>112.0113333</v>
      </c>
      <c r="V128" s="3">
        <f t="shared" si="28"/>
        <v>0</v>
      </c>
      <c r="W128" s="3">
        <f t="shared" si="29"/>
        <v>0</v>
      </c>
      <c r="X128" s="3">
        <f t="shared" si="30"/>
        <v>0</v>
      </c>
      <c r="Y128" s="25">
        <f t="shared" si="31"/>
        <v>0</v>
      </c>
      <c r="Z128" s="26">
        <f>VLOOKUP(R128,CPI!$A$2:$F$71,6,0)</f>
        <v>1.314109416</v>
      </c>
      <c r="AA128" s="27">
        <f t="shared" si="8"/>
        <v>2207.927217</v>
      </c>
      <c r="AB128" s="27">
        <f t="shared" si="9"/>
        <v>147.1951478</v>
      </c>
      <c r="AC128" s="114"/>
      <c r="AD128" s="161" t="s">
        <v>355</v>
      </c>
      <c r="AE128" s="164"/>
      <c r="AF128" s="165"/>
      <c r="AG128" s="165"/>
      <c r="AH128" s="165"/>
    </row>
    <row r="129">
      <c r="A129" s="114" t="s">
        <v>230</v>
      </c>
      <c r="B129" s="114" t="s">
        <v>350</v>
      </c>
      <c r="C129" s="115" t="s">
        <v>110</v>
      </c>
      <c r="D129" s="115" t="s">
        <v>358</v>
      </c>
      <c r="E129" s="116">
        <v>2013.0</v>
      </c>
      <c r="F129" s="116">
        <v>2020.0</v>
      </c>
      <c r="G129" s="116">
        <v>0.0</v>
      </c>
      <c r="H129" s="116">
        <v>21.3</v>
      </c>
      <c r="I129" s="117">
        <v>1.0</v>
      </c>
      <c r="J129" s="116">
        <v>21.3</v>
      </c>
      <c r="K129" s="114"/>
      <c r="L129" s="114"/>
      <c r="M129" s="116">
        <v>13.0</v>
      </c>
      <c r="N129" s="116">
        <v>117.0</v>
      </c>
      <c r="O129" s="114"/>
      <c r="P129" s="140">
        <v>10220.0</v>
      </c>
      <c r="Q129" s="114" t="s">
        <v>234</v>
      </c>
      <c r="R129" s="115">
        <v>2017.0</v>
      </c>
      <c r="S129" s="85">
        <v>0.239</v>
      </c>
      <c r="T129" s="118">
        <f t="shared" si="49"/>
        <v>2442.58</v>
      </c>
      <c r="U129" s="24">
        <f t="shared" si="3"/>
        <v>114.6751174</v>
      </c>
      <c r="V129" s="3">
        <f t="shared" si="28"/>
        <v>0</v>
      </c>
      <c r="W129" s="3">
        <f t="shared" si="29"/>
        <v>0</v>
      </c>
      <c r="X129" s="3">
        <f t="shared" si="30"/>
        <v>0</v>
      </c>
      <c r="Y129" s="25">
        <f t="shared" si="31"/>
        <v>0</v>
      </c>
      <c r="Z129" s="26">
        <f>VLOOKUP(R129,CPI!$A$2:$F$71,6,0)</f>
        <v>1.314109416</v>
      </c>
      <c r="AA129" s="27">
        <f t="shared" si="8"/>
        <v>3209.817377</v>
      </c>
      <c r="AB129" s="27">
        <f t="shared" si="9"/>
        <v>150.6956515</v>
      </c>
      <c r="AC129" s="114"/>
      <c r="AD129" s="161" t="s">
        <v>355</v>
      </c>
      <c r="AE129" s="164"/>
      <c r="AF129" s="165"/>
      <c r="AG129" s="165"/>
      <c r="AH129" s="165"/>
    </row>
    <row r="130">
      <c r="A130" s="114" t="s">
        <v>230</v>
      </c>
      <c r="B130" s="114" t="s">
        <v>350</v>
      </c>
      <c r="C130" s="114" t="s">
        <v>228</v>
      </c>
      <c r="D130" s="114" t="s">
        <v>228</v>
      </c>
      <c r="E130" s="116">
        <v>2013.0</v>
      </c>
      <c r="F130" s="116">
        <v>2020.0</v>
      </c>
      <c r="G130" s="116">
        <v>0.0</v>
      </c>
      <c r="H130" s="116">
        <v>38.6</v>
      </c>
      <c r="I130" s="117">
        <v>1.0</v>
      </c>
      <c r="J130" s="116">
        <v>38.6</v>
      </c>
      <c r="K130" s="114"/>
      <c r="L130" s="114"/>
      <c r="M130" s="116">
        <v>31.0</v>
      </c>
      <c r="N130" s="116">
        <v>138.0</v>
      </c>
      <c r="O130" s="114"/>
      <c r="P130" s="140">
        <v>27010.0</v>
      </c>
      <c r="Q130" s="114" t="s">
        <v>234</v>
      </c>
      <c r="R130" s="115">
        <v>2017.0</v>
      </c>
      <c r="S130" s="85">
        <v>0.239</v>
      </c>
      <c r="T130" s="118">
        <f t="shared" si="49"/>
        <v>6455.39</v>
      </c>
      <c r="U130" s="24">
        <f t="shared" si="3"/>
        <v>167.2380829</v>
      </c>
      <c r="V130" s="3">
        <f t="shared" si="28"/>
        <v>0</v>
      </c>
      <c r="W130" s="3">
        <f t="shared" si="29"/>
        <v>0</v>
      </c>
      <c r="X130" s="3">
        <f t="shared" si="30"/>
        <v>0</v>
      </c>
      <c r="Y130" s="25">
        <f t="shared" si="31"/>
        <v>0</v>
      </c>
      <c r="Z130" s="26">
        <f>VLOOKUP(R130,CPI!$A$2:$F$71,6,0)</f>
        <v>1.314109416</v>
      </c>
      <c r="AA130" s="27">
        <f t="shared" si="8"/>
        <v>8483.088782</v>
      </c>
      <c r="AB130" s="27">
        <f t="shared" si="9"/>
        <v>219.7691394</v>
      </c>
      <c r="AC130" s="114"/>
      <c r="AD130" s="161" t="s">
        <v>355</v>
      </c>
      <c r="AE130" s="164"/>
      <c r="AF130" s="165"/>
      <c r="AG130" s="165"/>
      <c r="AH130" s="165"/>
    </row>
    <row r="131">
      <c r="A131" s="114" t="s">
        <v>230</v>
      </c>
      <c r="B131" s="114" t="s">
        <v>350</v>
      </c>
      <c r="C131" s="115" t="s">
        <v>84</v>
      </c>
      <c r="D131" s="115" t="s">
        <v>359</v>
      </c>
      <c r="E131" s="116">
        <v>2015.0</v>
      </c>
      <c r="F131" s="116">
        <v>2020.0</v>
      </c>
      <c r="G131" s="116">
        <v>0.0</v>
      </c>
      <c r="H131" s="116">
        <v>49.0</v>
      </c>
      <c r="I131" s="117">
        <v>0.68</v>
      </c>
      <c r="J131" s="116">
        <v>33.2</v>
      </c>
      <c r="K131" s="114"/>
      <c r="L131" s="114"/>
      <c r="M131" s="116">
        <v>39.0</v>
      </c>
      <c r="N131" s="116">
        <v>184.0</v>
      </c>
      <c r="O131" s="114"/>
      <c r="P131" s="140">
        <v>32480.0</v>
      </c>
      <c r="Q131" s="114" t="s">
        <v>234</v>
      </c>
      <c r="R131" s="115">
        <v>2018.0</v>
      </c>
      <c r="S131" s="85">
        <v>0.237</v>
      </c>
      <c r="T131" s="118">
        <f t="shared" si="49"/>
        <v>7697.76</v>
      </c>
      <c r="U131" s="24">
        <f t="shared" si="3"/>
        <v>157.0971429</v>
      </c>
      <c r="V131" s="3">
        <f t="shared" si="28"/>
        <v>0</v>
      </c>
      <c r="W131" s="3">
        <f t="shared" si="29"/>
        <v>0</v>
      </c>
      <c r="X131" s="3">
        <f t="shared" si="30"/>
        <v>0</v>
      </c>
      <c r="Y131" s="25">
        <f t="shared" si="31"/>
        <v>0</v>
      </c>
      <c r="Z131" s="26">
        <f>VLOOKUP(R131,CPI!$A$2:$F$71,6,0)</f>
        <v>1.28277786</v>
      </c>
      <c r="AA131" s="27">
        <f t="shared" si="8"/>
        <v>9874.516097</v>
      </c>
      <c r="AB131" s="27">
        <f t="shared" si="9"/>
        <v>201.5207367</v>
      </c>
      <c r="AC131" s="114"/>
      <c r="AD131" s="161" t="s">
        <v>355</v>
      </c>
      <c r="AE131" s="164"/>
      <c r="AF131" s="165"/>
      <c r="AG131" s="165"/>
      <c r="AH131" s="165"/>
    </row>
    <row r="132">
      <c r="A132" s="22" t="s">
        <v>230</v>
      </c>
      <c r="B132" s="22" t="s">
        <v>350</v>
      </c>
      <c r="C132" s="36" t="s">
        <v>239</v>
      </c>
      <c r="D132" s="22" t="s">
        <v>360</v>
      </c>
      <c r="E132" s="17">
        <v>2016.0</v>
      </c>
      <c r="F132" s="176">
        <v>2020.0</v>
      </c>
      <c r="G132" s="17">
        <v>0.0</v>
      </c>
      <c r="H132" s="17">
        <v>26.7</v>
      </c>
      <c r="I132" s="19">
        <f t="shared" ref="I132:I134" si="50">J132/H132</f>
        <v>0.3895131086</v>
      </c>
      <c r="J132" s="17">
        <v>10.4</v>
      </c>
      <c r="K132" s="177">
        <v>16.554</v>
      </c>
      <c r="L132" s="177">
        <v>0.0</v>
      </c>
      <c r="M132" s="17">
        <v>9.0</v>
      </c>
      <c r="N132" s="176">
        <v>138.0</v>
      </c>
      <c r="O132" s="22" t="s">
        <v>60</v>
      </c>
      <c r="P132" s="23">
        <v>13156.0</v>
      </c>
      <c r="Q132" s="22" t="s">
        <v>234</v>
      </c>
      <c r="R132" s="17">
        <v>2016.0</v>
      </c>
      <c r="S132" s="136">
        <v>0.251</v>
      </c>
      <c r="T132" s="3">
        <f t="shared" si="49"/>
        <v>3302.156</v>
      </c>
      <c r="U132" s="24">
        <f t="shared" si="3"/>
        <v>123.6762547</v>
      </c>
      <c r="V132" s="3">
        <f t="shared" si="28"/>
        <v>0</v>
      </c>
      <c r="W132" s="3">
        <f t="shared" si="29"/>
        <v>0</v>
      </c>
      <c r="X132" s="3">
        <f t="shared" si="30"/>
        <v>0</v>
      </c>
      <c r="Y132" s="25">
        <f t="shared" si="31"/>
        <v>0</v>
      </c>
      <c r="Z132" s="26">
        <f>VLOOKUP(R132,CPI!$A$2:$F$71,6,0)</f>
        <v>1.342104605</v>
      </c>
      <c r="AA132" s="27">
        <f t="shared" si="8"/>
        <v>4431.838775</v>
      </c>
      <c r="AB132" s="27">
        <f t="shared" si="9"/>
        <v>165.986471</v>
      </c>
      <c r="AC132" s="26" t="s">
        <v>60</v>
      </c>
      <c r="AD132" s="129" t="s">
        <v>361</v>
      </c>
      <c r="AE132" s="178"/>
      <c r="AF132" s="172"/>
      <c r="AG132" s="172"/>
      <c r="AH132" s="172"/>
    </row>
    <row r="133">
      <c r="A133" s="22" t="s">
        <v>230</v>
      </c>
      <c r="B133" s="22" t="s">
        <v>350</v>
      </c>
      <c r="C133" s="22" t="s">
        <v>253</v>
      </c>
      <c r="D133" s="22" t="s">
        <v>362</v>
      </c>
      <c r="E133" s="17">
        <v>2016.0</v>
      </c>
      <c r="F133" s="17">
        <v>2020.0</v>
      </c>
      <c r="G133" s="17">
        <v>0.0</v>
      </c>
      <c r="H133" s="17">
        <v>22.2</v>
      </c>
      <c r="I133" s="19">
        <f t="shared" si="50"/>
        <v>1</v>
      </c>
      <c r="J133" s="17">
        <v>22.2</v>
      </c>
      <c r="K133" s="177">
        <v>0.0</v>
      </c>
      <c r="L133" s="177">
        <v>0.0</v>
      </c>
      <c r="M133" s="17">
        <v>13.0</v>
      </c>
      <c r="N133" s="17"/>
      <c r="O133" s="22" t="s">
        <v>60</v>
      </c>
      <c r="P133" s="23">
        <v>20253.0923</v>
      </c>
      <c r="Q133" s="22" t="s">
        <v>234</v>
      </c>
      <c r="R133" s="17">
        <v>2017.0</v>
      </c>
      <c r="S133" s="136">
        <v>0.239</v>
      </c>
      <c r="T133" s="3">
        <f t="shared" si="49"/>
        <v>4840.48906</v>
      </c>
      <c r="U133" s="24">
        <f t="shared" si="3"/>
        <v>218.0400477</v>
      </c>
      <c r="V133" s="3">
        <f t="shared" si="28"/>
        <v>0</v>
      </c>
      <c r="W133" s="3">
        <f t="shared" si="29"/>
        <v>0</v>
      </c>
      <c r="X133" s="3">
        <f t="shared" si="30"/>
        <v>0</v>
      </c>
      <c r="Y133" s="25">
        <f t="shared" si="31"/>
        <v>0</v>
      </c>
      <c r="Z133" s="26">
        <f>VLOOKUP(R133,CPI!$A$2:$F$71,6,0)</f>
        <v>1.314109416</v>
      </c>
      <c r="AA133" s="27">
        <f t="shared" si="8"/>
        <v>6360.93225</v>
      </c>
      <c r="AB133" s="27">
        <f t="shared" si="9"/>
        <v>286.5284797</v>
      </c>
      <c r="AC133" s="26" t="s">
        <v>60</v>
      </c>
      <c r="AD133" s="129" t="s">
        <v>363</v>
      </c>
      <c r="AE133" s="178"/>
      <c r="AF133" s="172"/>
      <c r="AG133" s="172"/>
      <c r="AH133" s="172"/>
    </row>
    <row r="134">
      <c r="A134" s="123" t="s">
        <v>230</v>
      </c>
      <c r="B134" s="123" t="s">
        <v>350</v>
      </c>
      <c r="C134" s="36" t="s">
        <v>236</v>
      </c>
      <c r="D134" s="123" t="s">
        <v>364</v>
      </c>
      <c r="E134" s="75">
        <v>2019.0</v>
      </c>
      <c r="F134" s="75">
        <v>2024.0</v>
      </c>
      <c r="G134" s="75">
        <v>0.0</v>
      </c>
      <c r="H134" s="75">
        <v>28.85</v>
      </c>
      <c r="I134" s="124">
        <f t="shared" si="50"/>
        <v>0.9116117851</v>
      </c>
      <c r="J134" s="75">
        <v>26.3</v>
      </c>
      <c r="K134" s="125">
        <v>0.0</v>
      </c>
      <c r="L134" s="125">
        <v>0.0</v>
      </c>
      <c r="M134" s="75">
        <v>19.0</v>
      </c>
      <c r="N134" s="75"/>
      <c r="O134" s="123" t="s">
        <v>60</v>
      </c>
      <c r="P134" s="126">
        <v>23644.0</v>
      </c>
      <c r="Q134" s="123" t="s">
        <v>234</v>
      </c>
      <c r="R134" s="75">
        <v>2019.0</v>
      </c>
      <c r="S134" s="136">
        <v>0.238</v>
      </c>
      <c r="T134" s="128">
        <f t="shared" si="49"/>
        <v>5627.272</v>
      </c>
      <c r="U134" s="24">
        <f t="shared" si="3"/>
        <v>195.0527556</v>
      </c>
      <c r="V134" s="3">
        <f t="shared" si="28"/>
        <v>0</v>
      </c>
      <c r="W134" s="3">
        <f t="shared" si="29"/>
        <v>0</v>
      </c>
      <c r="X134" s="3">
        <f t="shared" si="30"/>
        <v>0</v>
      </c>
      <c r="Y134" s="25">
        <f t="shared" si="31"/>
        <v>0</v>
      </c>
      <c r="Z134" s="26">
        <f>VLOOKUP(R134,CPI!$A$2:$F$71,6,0)</f>
        <v>1.259947899</v>
      </c>
      <c r="AA134" s="27">
        <f t="shared" si="8"/>
        <v>7090.069533</v>
      </c>
      <c r="AB134" s="27">
        <f t="shared" si="9"/>
        <v>245.7563096</v>
      </c>
      <c r="AC134" s="123" t="s">
        <v>60</v>
      </c>
      <c r="AD134" s="129" t="s">
        <v>365</v>
      </c>
      <c r="AE134" s="179"/>
      <c r="AF134" s="174"/>
      <c r="AG134" s="174"/>
      <c r="AH134" s="174"/>
    </row>
    <row r="135">
      <c r="A135" s="123" t="s">
        <v>230</v>
      </c>
      <c r="B135" s="123" t="s">
        <v>350</v>
      </c>
      <c r="C135" s="36" t="s">
        <v>121</v>
      </c>
      <c r="D135" s="123" t="s">
        <v>366</v>
      </c>
      <c r="E135" s="75">
        <v>2019.0</v>
      </c>
      <c r="F135" s="75">
        <v>2024.0</v>
      </c>
      <c r="G135" s="75">
        <v>0.0</v>
      </c>
      <c r="H135" s="75">
        <v>27.6</v>
      </c>
      <c r="I135" s="124">
        <v>1.0</v>
      </c>
      <c r="J135" s="75">
        <v>27.6</v>
      </c>
      <c r="K135" s="125">
        <v>0.0</v>
      </c>
      <c r="L135" s="125">
        <v>0.0</v>
      </c>
      <c r="M135" s="75">
        <v>17.0</v>
      </c>
      <c r="N135" s="75"/>
      <c r="O135" s="123" t="s">
        <v>60</v>
      </c>
      <c r="P135" s="126">
        <v>20014.0</v>
      </c>
      <c r="Q135" s="123" t="s">
        <v>234</v>
      </c>
      <c r="R135" s="75">
        <v>2019.0</v>
      </c>
      <c r="S135" s="136">
        <v>0.238</v>
      </c>
      <c r="T135" s="128">
        <f t="shared" si="49"/>
        <v>4763.332</v>
      </c>
      <c r="U135" s="24">
        <f t="shared" si="3"/>
        <v>172.5844928</v>
      </c>
      <c r="V135" s="3">
        <f t="shared" si="28"/>
        <v>0</v>
      </c>
      <c r="W135" s="3">
        <f t="shared" si="29"/>
        <v>0</v>
      </c>
      <c r="X135" s="3">
        <f t="shared" si="30"/>
        <v>0</v>
      </c>
      <c r="Y135" s="25">
        <f t="shared" si="31"/>
        <v>0</v>
      </c>
      <c r="Z135" s="26">
        <f>VLOOKUP(R135,CPI!$A$2:$F$71,6,0)</f>
        <v>1.259947899</v>
      </c>
      <c r="AA135" s="27">
        <f t="shared" si="8"/>
        <v>6001.550145</v>
      </c>
      <c r="AB135" s="27">
        <f t="shared" si="9"/>
        <v>217.447469</v>
      </c>
      <c r="AC135" s="123" t="s">
        <v>60</v>
      </c>
      <c r="AD135" s="129" t="s">
        <v>365</v>
      </c>
      <c r="AE135" s="29"/>
      <c r="AF135" s="30"/>
      <c r="AG135" s="30"/>
      <c r="AH135" s="30"/>
    </row>
    <row r="136">
      <c r="A136" s="123" t="s">
        <v>230</v>
      </c>
      <c r="B136" s="123" t="s">
        <v>350</v>
      </c>
      <c r="C136" s="36" t="s">
        <v>351</v>
      </c>
      <c r="D136" s="123" t="s">
        <v>367</v>
      </c>
      <c r="E136" s="75">
        <v>2019.0</v>
      </c>
      <c r="F136" s="75">
        <v>2024.0</v>
      </c>
      <c r="G136" s="75">
        <v>0.0</v>
      </c>
      <c r="H136" s="75">
        <f>11.01+3.28</f>
        <v>14.29</v>
      </c>
      <c r="I136" s="124">
        <v>1.0</v>
      </c>
      <c r="J136" s="75">
        <v>14.29</v>
      </c>
      <c r="K136" s="125">
        <v>0.0</v>
      </c>
      <c r="L136" s="125">
        <v>0.0</v>
      </c>
      <c r="M136" s="75">
        <v>7.0</v>
      </c>
      <c r="N136" s="75"/>
      <c r="O136" s="123" t="s">
        <v>60</v>
      </c>
      <c r="P136" s="126">
        <v>14656.0</v>
      </c>
      <c r="Q136" s="123" t="s">
        <v>234</v>
      </c>
      <c r="R136" s="75">
        <v>2019.0</v>
      </c>
      <c r="S136" s="136">
        <v>0.238</v>
      </c>
      <c r="T136" s="128">
        <f t="shared" si="49"/>
        <v>3488.128</v>
      </c>
      <c r="U136" s="24">
        <f t="shared" si="3"/>
        <v>244.0957313</v>
      </c>
      <c r="V136" s="3">
        <f t="shared" si="28"/>
        <v>0</v>
      </c>
      <c r="W136" s="3">
        <f t="shared" si="29"/>
        <v>0</v>
      </c>
      <c r="X136" s="3">
        <f t="shared" si="30"/>
        <v>0</v>
      </c>
      <c r="Y136" s="25">
        <f t="shared" si="31"/>
        <v>0</v>
      </c>
      <c r="Z136" s="26">
        <f>VLOOKUP(R136,CPI!$A$2:$F$71,6,0)</f>
        <v>1.259947899</v>
      </c>
      <c r="AA136" s="27">
        <f t="shared" si="8"/>
        <v>4394.859545</v>
      </c>
      <c r="AB136" s="27">
        <f t="shared" si="9"/>
        <v>307.5479038</v>
      </c>
      <c r="AC136" s="123" t="s">
        <v>60</v>
      </c>
      <c r="AD136" s="129" t="s">
        <v>365</v>
      </c>
      <c r="AE136" s="29"/>
      <c r="AF136" s="30"/>
      <c r="AG136" s="30"/>
      <c r="AH136" s="30"/>
    </row>
    <row r="137">
      <c r="A137" s="6" t="s">
        <v>230</v>
      </c>
      <c r="B137" s="6" t="s">
        <v>350</v>
      </c>
      <c r="C137" s="16" t="s">
        <v>288</v>
      </c>
      <c r="D137" s="6" t="s">
        <v>368</v>
      </c>
      <c r="E137" s="6">
        <v>2019.0</v>
      </c>
      <c r="F137" s="6">
        <v>2024.0</v>
      </c>
      <c r="G137" s="69">
        <v>0.0</v>
      </c>
      <c r="H137" s="69">
        <v>42.87</v>
      </c>
      <c r="I137" s="117">
        <v>1.0</v>
      </c>
      <c r="J137" s="69">
        <v>42.87</v>
      </c>
      <c r="K137" s="72"/>
      <c r="L137" s="72"/>
      <c r="M137" s="69">
        <v>12.0</v>
      </c>
      <c r="N137" s="69">
        <v>184.0</v>
      </c>
      <c r="O137" s="72"/>
      <c r="P137" s="140">
        <v>35518.0</v>
      </c>
      <c r="Q137" s="72" t="s">
        <v>234</v>
      </c>
      <c r="R137" s="6">
        <v>2019.0</v>
      </c>
      <c r="S137" s="136">
        <v>0.238</v>
      </c>
      <c r="T137" s="148">
        <f t="shared" ref="T137:T138" si="51">S137*P137</f>
        <v>8453.284</v>
      </c>
      <c r="U137" s="24">
        <f t="shared" si="3"/>
        <v>197.1841381</v>
      </c>
      <c r="V137" s="3">
        <f t="shared" si="28"/>
        <v>0</v>
      </c>
      <c r="W137" s="3">
        <f t="shared" si="29"/>
        <v>0</v>
      </c>
      <c r="X137" s="3">
        <f t="shared" si="30"/>
        <v>0</v>
      </c>
      <c r="Y137" s="25">
        <f t="shared" si="31"/>
        <v>0</v>
      </c>
      <c r="Z137" s="26">
        <f>VLOOKUP(R137,CPI!$A$2:$F$71,6,0)</f>
        <v>1.259947899</v>
      </c>
      <c r="AA137" s="27">
        <f t="shared" si="8"/>
        <v>10650.69741</v>
      </c>
      <c r="AB137" s="27">
        <f t="shared" si="9"/>
        <v>248.4417405</v>
      </c>
      <c r="AC137" s="6" t="s">
        <v>60</v>
      </c>
      <c r="AD137" s="149" t="s">
        <v>369</v>
      </c>
      <c r="AE137" s="179"/>
      <c r="AF137" s="60"/>
      <c r="AG137" s="60"/>
      <c r="AH137" s="60"/>
    </row>
    <row r="138">
      <c r="A138" s="6" t="s">
        <v>230</v>
      </c>
      <c r="B138" s="6" t="s">
        <v>350</v>
      </c>
      <c r="C138" s="16" t="s">
        <v>295</v>
      </c>
      <c r="D138" s="6" t="s">
        <v>370</v>
      </c>
      <c r="E138" s="6">
        <v>2019.0</v>
      </c>
      <c r="F138" s="6">
        <v>2024.0</v>
      </c>
      <c r="G138" s="6">
        <v>0.0</v>
      </c>
      <c r="H138" s="69">
        <v>24.86</v>
      </c>
      <c r="I138" s="117">
        <v>0.7</v>
      </c>
      <c r="J138" s="69">
        <v>17.35</v>
      </c>
      <c r="K138" s="72"/>
      <c r="L138" s="72"/>
      <c r="M138" s="69">
        <v>17.0</v>
      </c>
      <c r="N138" s="69">
        <v>117.0</v>
      </c>
      <c r="O138" s="72"/>
      <c r="P138" s="140">
        <v>16587.0</v>
      </c>
      <c r="Q138" s="72" t="s">
        <v>234</v>
      </c>
      <c r="R138" s="6">
        <v>2019.0</v>
      </c>
      <c r="S138" s="136">
        <v>0.238</v>
      </c>
      <c r="T138" s="148">
        <f t="shared" si="51"/>
        <v>3947.706</v>
      </c>
      <c r="U138" s="24">
        <f t="shared" si="3"/>
        <v>158.797506</v>
      </c>
      <c r="V138" s="3">
        <f t="shared" si="28"/>
        <v>0</v>
      </c>
      <c r="W138" s="3">
        <f t="shared" si="29"/>
        <v>0</v>
      </c>
      <c r="X138" s="3">
        <f t="shared" si="30"/>
        <v>0</v>
      </c>
      <c r="Y138" s="25">
        <f t="shared" si="31"/>
        <v>0</v>
      </c>
      <c r="Z138" s="26">
        <f>VLOOKUP(R138,CPI!$A$2:$F$71,6,0)</f>
        <v>1.259947899</v>
      </c>
      <c r="AA138" s="27">
        <f t="shared" si="8"/>
        <v>4973.90388</v>
      </c>
      <c r="AB138" s="27">
        <f t="shared" si="9"/>
        <v>200.0765841</v>
      </c>
      <c r="AC138" s="6" t="s">
        <v>60</v>
      </c>
      <c r="AD138" s="182" t="s">
        <v>365</v>
      </c>
      <c r="AE138" s="179"/>
      <c r="AF138" s="60"/>
      <c r="AG138" s="60"/>
      <c r="AH138" s="60"/>
    </row>
    <row r="139">
      <c r="A139" s="123" t="s">
        <v>230</v>
      </c>
      <c r="B139" s="123" t="s">
        <v>350</v>
      </c>
      <c r="C139" s="16" t="s">
        <v>371</v>
      </c>
      <c r="D139" s="123" t="s">
        <v>372</v>
      </c>
      <c r="E139" s="75">
        <v>2019.0</v>
      </c>
      <c r="F139" s="75">
        <v>2024.0</v>
      </c>
      <c r="G139" s="75">
        <v>0.0</v>
      </c>
      <c r="H139" s="75">
        <v>24.78</v>
      </c>
      <c r="I139" s="124">
        <v>1.0</v>
      </c>
      <c r="J139" s="75">
        <v>24.78</v>
      </c>
      <c r="K139" s="125">
        <v>0.0</v>
      </c>
      <c r="L139" s="125">
        <v>0.0</v>
      </c>
      <c r="M139" s="75">
        <v>24.0</v>
      </c>
      <c r="N139" s="152">
        <v>117.0</v>
      </c>
      <c r="O139" s="123" t="s">
        <v>60</v>
      </c>
      <c r="P139" s="126">
        <v>19112.0</v>
      </c>
      <c r="Q139" s="123" t="s">
        <v>234</v>
      </c>
      <c r="R139" s="69">
        <v>2019.0</v>
      </c>
      <c r="S139" s="136">
        <v>0.238</v>
      </c>
      <c r="T139" s="128">
        <f t="shared" ref="T139:T147" si="52">P139*S139</f>
        <v>4548.656</v>
      </c>
      <c r="U139" s="24">
        <f t="shared" si="3"/>
        <v>183.5615819</v>
      </c>
      <c r="V139" s="3">
        <f t="shared" si="28"/>
        <v>0</v>
      </c>
      <c r="W139" s="3">
        <f t="shared" si="29"/>
        <v>0</v>
      </c>
      <c r="X139" s="3">
        <f t="shared" si="30"/>
        <v>0</v>
      </c>
      <c r="Y139" s="25">
        <f t="shared" si="31"/>
        <v>0</v>
      </c>
      <c r="Z139" s="26">
        <f>VLOOKUP(R139,CPI!$A$2:$F$71,6,0)</f>
        <v>1.259947899</v>
      </c>
      <c r="AA139" s="27">
        <f t="shared" si="8"/>
        <v>5731.06957</v>
      </c>
      <c r="AB139" s="27">
        <f t="shared" si="9"/>
        <v>231.2780295</v>
      </c>
      <c r="AC139" s="123" t="s">
        <v>60</v>
      </c>
      <c r="AD139" s="129" t="s">
        <v>365</v>
      </c>
      <c r="AE139" s="179"/>
      <c r="AF139" s="174"/>
      <c r="AG139" s="174"/>
      <c r="AH139" s="174"/>
    </row>
    <row r="140">
      <c r="A140" s="123" t="s">
        <v>230</v>
      </c>
      <c r="B140" s="123" t="s">
        <v>350</v>
      </c>
      <c r="C140" s="36" t="s">
        <v>243</v>
      </c>
      <c r="D140" s="123" t="s">
        <v>373</v>
      </c>
      <c r="E140" s="75">
        <v>2019.0</v>
      </c>
      <c r="F140" s="75">
        <v>2024.0</v>
      </c>
      <c r="G140" s="75">
        <v>0.0</v>
      </c>
      <c r="H140" s="75">
        <f>6.51+1.32</f>
        <v>7.83</v>
      </c>
      <c r="I140" s="124">
        <f t="shared" ref="I140:I141" si="53">J140/H140</f>
        <v>1</v>
      </c>
      <c r="J140" s="75">
        <f>H140</f>
        <v>7.83</v>
      </c>
      <c r="K140" s="125">
        <v>0.0</v>
      </c>
      <c r="L140" s="125">
        <v>0.0</v>
      </c>
      <c r="M140" s="75">
        <v>7.0</v>
      </c>
      <c r="N140" s="75"/>
      <c r="O140" s="123" t="s">
        <v>60</v>
      </c>
      <c r="P140" s="126">
        <v>7452.0</v>
      </c>
      <c r="Q140" s="123" t="s">
        <v>234</v>
      </c>
      <c r="R140" s="75">
        <v>2019.0</v>
      </c>
      <c r="S140" s="183">
        <f>S130</f>
        <v>0.239</v>
      </c>
      <c r="T140" s="128">
        <f t="shared" si="52"/>
        <v>1781.028</v>
      </c>
      <c r="U140" s="24">
        <f t="shared" si="3"/>
        <v>227.462069</v>
      </c>
      <c r="V140" s="3">
        <f t="shared" si="28"/>
        <v>0</v>
      </c>
      <c r="W140" s="3">
        <f t="shared" si="29"/>
        <v>0</v>
      </c>
      <c r="X140" s="3">
        <f t="shared" si="30"/>
        <v>0</v>
      </c>
      <c r="Y140" s="25">
        <f t="shared" si="31"/>
        <v>0</v>
      </c>
      <c r="Z140" s="26">
        <f>VLOOKUP(R140,CPI!$A$2:$F$71,6,0)</f>
        <v>1.259947899</v>
      </c>
      <c r="AA140" s="27">
        <f t="shared" si="8"/>
        <v>2244.002487</v>
      </c>
      <c r="AB140" s="27">
        <f t="shared" si="9"/>
        <v>286.5903559</v>
      </c>
      <c r="AC140" s="123" t="s">
        <v>60</v>
      </c>
      <c r="AD140" s="129" t="s">
        <v>365</v>
      </c>
      <c r="AE140" s="29"/>
      <c r="AF140" s="30"/>
      <c r="AG140" s="30"/>
      <c r="AH140" s="30"/>
    </row>
    <row r="141">
      <c r="A141" s="123" t="s">
        <v>230</v>
      </c>
      <c r="B141" s="123" t="s">
        <v>350</v>
      </c>
      <c r="C141" s="36" t="s">
        <v>239</v>
      </c>
      <c r="D141" s="123" t="s">
        <v>374</v>
      </c>
      <c r="E141" s="75">
        <v>2019.0</v>
      </c>
      <c r="F141" s="152">
        <v>2025.0</v>
      </c>
      <c r="G141" s="75">
        <v>0.0</v>
      </c>
      <c r="H141" s="75">
        <v>5.5</v>
      </c>
      <c r="I141" s="124">
        <f t="shared" si="53"/>
        <v>1</v>
      </c>
      <c r="J141" s="75">
        <v>5.5</v>
      </c>
      <c r="K141" s="125">
        <v>0.0</v>
      </c>
      <c r="L141" s="125">
        <v>0.0</v>
      </c>
      <c r="M141" s="75">
        <v>4.0</v>
      </c>
      <c r="N141" s="152">
        <v>138.0</v>
      </c>
      <c r="O141" s="123" t="s">
        <v>60</v>
      </c>
      <c r="P141" s="126">
        <v>3716.0</v>
      </c>
      <c r="Q141" s="123" t="s">
        <v>234</v>
      </c>
      <c r="R141" s="75">
        <v>2019.0</v>
      </c>
      <c r="S141" s="136">
        <v>0.238</v>
      </c>
      <c r="T141" s="128">
        <f t="shared" si="52"/>
        <v>884.408</v>
      </c>
      <c r="U141" s="24">
        <f t="shared" si="3"/>
        <v>160.8014545</v>
      </c>
      <c r="V141" s="3">
        <f t="shared" si="28"/>
        <v>0</v>
      </c>
      <c r="W141" s="3">
        <f t="shared" si="29"/>
        <v>0</v>
      </c>
      <c r="X141" s="3">
        <f t="shared" si="30"/>
        <v>0</v>
      </c>
      <c r="Y141" s="25">
        <f t="shared" si="31"/>
        <v>0</v>
      </c>
      <c r="Z141" s="26">
        <f>VLOOKUP(R141,CPI!$A$2:$F$71,6,0)</f>
        <v>1.259947899</v>
      </c>
      <c r="AA141" s="27">
        <f t="shared" si="8"/>
        <v>1114.308001</v>
      </c>
      <c r="AB141" s="27">
        <f t="shared" si="9"/>
        <v>202.6014548</v>
      </c>
      <c r="AC141" s="123" t="s">
        <v>60</v>
      </c>
      <c r="AD141" s="129" t="s">
        <v>365</v>
      </c>
      <c r="AE141" s="29"/>
      <c r="AF141" s="30"/>
      <c r="AG141" s="30"/>
      <c r="AH141" s="30"/>
    </row>
    <row r="142">
      <c r="A142" s="114" t="s">
        <v>230</v>
      </c>
      <c r="B142" s="114" t="s">
        <v>350</v>
      </c>
      <c r="C142" s="115" t="s">
        <v>87</v>
      </c>
      <c r="D142" s="115" t="s">
        <v>375</v>
      </c>
      <c r="E142" s="116">
        <v>2015.0</v>
      </c>
      <c r="F142" s="114"/>
      <c r="G142" s="116">
        <v>0.0</v>
      </c>
      <c r="H142" s="116">
        <v>12.6</v>
      </c>
      <c r="I142" s="117">
        <v>0.57</v>
      </c>
      <c r="J142" s="116">
        <v>7.2</v>
      </c>
      <c r="K142" s="114"/>
      <c r="L142" s="114"/>
      <c r="M142" s="116">
        <v>9.0</v>
      </c>
      <c r="N142" s="116">
        <v>117.0</v>
      </c>
      <c r="O142" s="114"/>
      <c r="P142" s="140">
        <v>6240.0</v>
      </c>
      <c r="Q142" s="114" t="s">
        <v>234</v>
      </c>
      <c r="R142" s="115">
        <v>2015.0</v>
      </c>
      <c r="S142" s="85">
        <v>0.258</v>
      </c>
      <c r="T142" s="118">
        <f t="shared" si="52"/>
        <v>1609.92</v>
      </c>
      <c r="U142" s="24">
        <f t="shared" si="3"/>
        <v>127.7714286</v>
      </c>
      <c r="V142" s="3">
        <f t="shared" si="28"/>
        <v>0</v>
      </c>
      <c r="W142" s="3">
        <f t="shared" si="29"/>
        <v>0</v>
      </c>
      <c r="X142" s="3">
        <f t="shared" si="30"/>
        <v>0</v>
      </c>
      <c r="Y142" s="25">
        <f t="shared" si="31"/>
        <v>0</v>
      </c>
      <c r="Z142" s="26">
        <f>VLOOKUP(R142,CPI!$A$2:$F$71,6,0)</f>
        <v>1.359035428</v>
      </c>
      <c r="AA142" s="27">
        <f t="shared" si="8"/>
        <v>2187.938316</v>
      </c>
      <c r="AB142" s="27">
        <f t="shared" si="9"/>
        <v>173.6458981</v>
      </c>
      <c r="AC142" s="114"/>
      <c r="AD142" s="161" t="s">
        <v>355</v>
      </c>
      <c r="AE142" s="164"/>
      <c r="AF142" s="165"/>
      <c r="AG142" s="165"/>
      <c r="AH142" s="165"/>
    </row>
    <row r="143">
      <c r="A143" s="114" t="s">
        <v>230</v>
      </c>
      <c r="B143" s="114" t="s">
        <v>350</v>
      </c>
      <c r="C143" s="115" t="s">
        <v>121</v>
      </c>
      <c r="D143" s="115" t="s">
        <v>376</v>
      </c>
      <c r="E143" s="116">
        <v>2021.0</v>
      </c>
      <c r="F143" s="116"/>
      <c r="G143" s="116">
        <v>0.0</v>
      </c>
      <c r="H143" s="116">
        <v>26.14</v>
      </c>
      <c r="I143" s="117">
        <v>0.79</v>
      </c>
      <c r="J143" s="116">
        <v>20.64</v>
      </c>
      <c r="K143" s="114"/>
      <c r="L143" s="114"/>
      <c r="M143" s="116">
        <v>9.0</v>
      </c>
      <c r="N143" s="116">
        <v>184.0</v>
      </c>
      <c r="O143" s="114"/>
      <c r="P143" s="140">
        <v>17151.0</v>
      </c>
      <c r="Q143" s="114" t="s">
        <v>234</v>
      </c>
      <c r="R143" s="115">
        <v>2021.0</v>
      </c>
      <c r="S143" s="136">
        <v>0.239000000000001</v>
      </c>
      <c r="T143" s="118">
        <f t="shared" si="52"/>
        <v>4099.089</v>
      </c>
      <c r="U143" s="24">
        <f t="shared" si="3"/>
        <v>156.8128921</v>
      </c>
      <c r="V143" s="3">
        <f t="shared" si="28"/>
        <v>0</v>
      </c>
      <c r="W143" s="3">
        <f t="shared" si="29"/>
        <v>0</v>
      </c>
      <c r="X143" s="3">
        <f t="shared" si="30"/>
        <v>0</v>
      </c>
      <c r="Y143" s="25">
        <f t="shared" si="31"/>
        <v>0</v>
      </c>
      <c r="Z143" s="26">
        <f>VLOOKUP(R143,CPI!$A$2:$F$71,6,0)</f>
        <v>1.188745987</v>
      </c>
      <c r="AA143" s="27">
        <f t="shared" si="8"/>
        <v>4872.775598</v>
      </c>
      <c r="AB143" s="27">
        <f t="shared" si="9"/>
        <v>186.4106962</v>
      </c>
      <c r="AC143" s="114"/>
      <c r="AD143" s="119" t="s">
        <v>377</v>
      </c>
      <c r="AE143" s="184" t="s">
        <v>378</v>
      </c>
      <c r="AF143" s="165"/>
      <c r="AG143" s="165"/>
      <c r="AH143" s="165"/>
    </row>
    <row r="144">
      <c r="A144" s="72" t="s">
        <v>230</v>
      </c>
      <c r="B144" s="72" t="s">
        <v>350</v>
      </c>
      <c r="C144" s="115" t="s">
        <v>243</v>
      </c>
      <c r="D144" s="115" t="s">
        <v>379</v>
      </c>
      <c r="E144" s="69">
        <v>2021.0</v>
      </c>
      <c r="F144" s="69"/>
      <c r="G144" s="69">
        <v>0.0</v>
      </c>
      <c r="H144" s="69">
        <v>29.1</v>
      </c>
      <c r="I144" s="117">
        <v>1.0</v>
      </c>
      <c r="J144" s="69">
        <v>29.1</v>
      </c>
      <c r="K144" s="72"/>
      <c r="L144" s="72"/>
      <c r="M144" s="69">
        <v>25.0</v>
      </c>
      <c r="N144" s="69">
        <v>138.0</v>
      </c>
      <c r="O144" s="72"/>
      <c r="P144" s="140">
        <v>23757.0</v>
      </c>
      <c r="Q144" s="72" t="s">
        <v>234</v>
      </c>
      <c r="R144" s="130">
        <v>2019.0</v>
      </c>
      <c r="S144" s="136">
        <v>0.238</v>
      </c>
      <c r="T144" s="3">
        <f t="shared" si="52"/>
        <v>5654.166</v>
      </c>
      <c r="U144" s="24">
        <f t="shared" si="3"/>
        <v>194.3012371</v>
      </c>
      <c r="V144" s="3">
        <f t="shared" si="28"/>
        <v>0</v>
      </c>
      <c r="W144" s="3">
        <f t="shared" si="29"/>
        <v>0</v>
      </c>
      <c r="X144" s="3">
        <f t="shared" si="30"/>
        <v>0</v>
      </c>
      <c r="Y144" s="25">
        <f t="shared" si="31"/>
        <v>0</v>
      </c>
      <c r="Z144" s="26">
        <f>VLOOKUP(R144,CPI!$A$2:$F$71,6,0)</f>
        <v>1.259947899</v>
      </c>
      <c r="AA144" s="27">
        <f t="shared" si="8"/>
        <v>7123.954572</v>
      </c>
      <c r="AB144" s="27">
        <f t="shared" si="9"/>
        <v>244.8094355</v>
      </c>
      <c r="AC144" s="2" t="s">
        <v>60</v>
      </c>
      <c r="AD144" s="79" t="s">
        <v>380</v>
      </c>
      <c r="AE144" s="185" t="s">
        <v>381</v>
      </c>
      <c r="AF144" s="60"/>
      <c r="AG144" s="60"/>
      <c r="AH144" s="60"/>
    </row>
    <row r="145">
      <c r="A145" s="114" t="s">
        <v>230</v>
      </c>
      <c r="B145" s="114" t="s">
        <v>350</v>
      </c>
      <c r="C145" s="114" t="s">
        <v>382</v>
      </c>
      <c r="D145" s="114" t="s">
        <v>382</v>
      </c>
      <c r="E145" s="116">
        <v>2021.0</v>
      </c>
      <c r="F145" s="114"/>
      <c r="G145" s="116">
        <v>1.0</v>
      </c>
      <c r="H145" s="116">
        <v>38.7</v>
      </c>
      <c r="I145" s="117">
        <v>0.27</v>
      </c>
      <c r="J145" s="116">
        <v>10.42</v>
      </c>
      <c r="K145" s="114"/>
      <c r="L145" s="114"/>
      <c r="M145" s="116">
        <v>7.0</v>
      </c>
      <c r="N145" s="116">
        <v>184.0</v>
      </c>
      <c r="O145" s="114"/>
      <c r="P145" s="140">
        <v>12903.0</v>
      </c>
      <c r="Q145" s="114" t="s">
        <v>234</v>
      </c>
      <c r="R145" s="115">
        <v>2021.0</v>
      </c>
      <c r="S145" s="136">
        <v>0.239000000000001</v>
      </c>
      <c r="T145" s="118">
        <f t="shared" si="52"/>
        <v>3083.817</v>
      </c>
      <c r="U145" s="24">
        <f t="shared" si="3"/>
        <v>79.6851938</v>
      </c>
      <c r="V145" s="3">
        <f t="shared" si="28"/>
        <v>0</v>
      </c>
      <c r="W145" s="3">
        <f t="shared" si="29"/>
        <v>0</v>
      </c>
      <c r="X145" s="3">
        <f t="shared" si="30"/>
        <v>0</v>
      </c>
      <c r="Y145" s="25">
        <f t="shared" si="31"/>
        <v>0</v>
      </c>
      <c r="Z145" s="26">
        <f>VLOOKUP(R145,CPI!$A$2:$F$71,6,0)</f>
        <v>1.188745987</v>
      </c>
      <c r="AA145" s="27">
        <f t="shared" si="8"/>
        <v>3665.875082</v>
      </c>
      <c r="AB145" s="27">
        <f t="shared" si="9"/>
        <v>94.72545432</v>
      </c>
      <c r="AC145" s="114"/>
      <c r="AD145" s="119" t="s">
        <v>383</v>
      </c>
      <c r="AE145" s="164"/>
      <c r="AF145" s="165"/>
      <c r="AG145" s="165"/>
      <c r="AH145" s="165"/>
    </row>
    <row r="146">
      <c r="A146" s="114" t="s">
        <v>230</v>
      </c>
      <c r="B146" s="114" t="s">
        <v>350</v>
      </c>
      <c r="C146" s="114" t="s">
        <v>384</v>
      </c>
      <c r="D146" s="114" t="s">
        <v>384</v>
      </c>
      <c r="E146" s="116">
        <v>2022.0</v>
      </c>
      <c r="F146" s="114"/>
      <c r="G146" s="116">
        <v>1.0</v>
      </c>
      <c r="H146" s="116">
        <v>59.0</v>
      </c>
      <c r="I146" s="117">
        <v>0.17</v>
      </c>
      <c r="J146" s="116">
        <v>9.85</v>
      </c>
      <c r="K146" s="114"/>
      <c r="L146" s="114"/>
      <c r="M146" s="116">
        <v>13.0</v>
      </c>
      <c r="N146" s="116">
        <v>184.0</v>
      </c>
      <c r="O146" s="114"/>
      <c r="P146" s="140">
        <v>22600.0</v>
      </c>
      <c r="Q146" s="114" t="s">
        <v>234</v>
      </c>
      <c r="R146" s="115">
        <v>2021.0</v>
      </c>
      <c r="S146" s="136">
        <v>0.239000000000001</v>
      </c>
      <c r="T146" s="118">
        <f t="shared" si="52"/>
        <v>5401.4</v>
      </c>
      <c r="U146" s="24">
        <f t="shared" si="3"/>
        <v>91.54915254</v>
      </c>
      <c r="V146" s="3">
        <f t="shared" si="28"/>
        <v>0</v>
      </c>
      <c r="W146" s="3">
        <f t="shared" si="29"/>
        <v>0</v>
      </c>
      <c r="X146" s="3">
        <f t="shared" si="30"/>
        <v>0</v>
      </c>
      <c r="Y146" s="25">
        <f t="shared" si="31"/>
        <v>0</v>
      </c>
      <c r="Z146" s="26">
        <f>VLOOKUP(R146,CPI!$A$2:$F$71,6,0)</f>
        <v>1.188745987</v>
      </c>
      <c r="AA146" s="27">
        <f t="shared" si="8"/>
        <v>6420.892572</v>
      </c>
      <c r="AB146" s="27">
        <f t="shared" si="9"/>
        <v>108.8286877</v>
      </c>
      <c r="AC146" s="114"/>
      <c r="AD146" s="119" t="s">
        <v>385</v>
      </c>
      <c r="AE146" s="167" t="s">
        <v>386</v>
      </c>
      <c r="AF146" s="168"/>
      <c r="AG146" s="168"/>
      <c r="AH146" s="169"/>
    </row>
    <row r="147">
      <c r="A147" s="72" t="s">
        <v>230</v>
      </c>
      <c r="B147" s="72" t="s">
        <v>387</v>
      </c>
      <c r="C147" s="72" t="s">
        <v>388</v>
      </c>
      <c r="D147" s="72" t="s">
        <v>388</v>
      </c>
      <c r="E147" s="69">
        <v>2012.0</v>
      </c>
      <c r="F147" s="69">
        <v>2016.0</v>
      </c>
      <c r="G147" s="69">
        <v>0.0</v>
      </c>
      <c r="H147" s="69">
        <v>50.93</v>
      </c>
      <c r="I147" s="117">
        <v>0.86</v>
      </c>
      <c r="J147" s="69">
        <v>43.622</v>
      </c>
      <c r="K147" s="72"/>
      <c r="L147" s="72"/>
      <c r="M147" s="69">
        <v>33.0</v>
      </c>
      <c r="N147" s="69">
        <v>117.0</v>
      </c>
      <c r="O147" s="72"/>
      <c r="P147" s="140">
        <v>34163.0</v>
      </c>
      <c r="Q147" s="72" t="s">
        <v>234</v>
      </c>
      <c r="R147" s="115">
        <v>2014.0</v>
      </c>
      <c r="S147" s="136">
        <v>0.266</v>
      </c>
      <c r="T147" s="118">
        <f t="shared" si="52"/>
        <v>9087.358</v>
      </c>
      <c r="U147" s="24">
        <f t="shared" si="3"/>
        <v>178.4283919</v>
      </c>
      <c r="V147" s="3">
        <f t="shared" si="28"/>
        <v>0</v>
      </c>
      <c r="W147" s="3">
        <f t="shared" si="29"/>
        <v>0</v>
      </c>
      <c r="X147" s="3">
        <f t="shared" si="30"/>
        <v>0</v>
      </c>
      <c r="Y147" s="25">
        <f t="shared" si="31"/>
        <v>0</v>
      </c>
      <c r="Z147" s="26">
        <f>VLOOKUP(R147,CPI!$A$2:$F$71,6,0)</f>
        <v>1.360648571</v>
      </c>
      <c r="AA147" s="27">
        <f t="shared" si="8"/>
        <v>12364.70067</v>
      </c>
      <c r="AB147" s="27">
        <f t="shared" si="9"/>
        <v>242.7783364</v>
      </c>
      <c r="AC147" s="72"/>
      <c r="AD147" s="182" t="s">
        <v>389</v>
      </c>
      <c r="AE147" s="186"/>
      <c r="AF147" s="187"/>
      <c r="AG147" s="187"/>
      <c r="AH147" s="187"/>
    </row>
    <row r="148">
      <c r="A148" s="130" t="s">
        <v>230</v>
      </c>
      <c r="B148" s="130" t="s">
        <v>387</v>
      </c>
      <c r="C148" s="36" t="s">
        <v>84</v>
      </c>
      <c r="D148" s="130" t="s">
        <v>319</v>
      </c>
      <c r="E148" s="130">
        <v>2013.0</v>
      </c>
      <c r="F148" s="130">
        <v>2017.0</v>
      </c>
      <c r="G148" s="130">
        <v>0.0</v>
      </c>
      <c r="H148" s="130">
        <v>40.0</v>
      </c>
      <c r="I148" s="131"/>
      <c r="J148" s="130"/>
      <c r="K148" s="132" t="e">
        <v>#N/A</v>
      </c>
      <c r="L148" s="132" t="e">
        <v>#N/A</v>
      </c>
      <c r="M148" s="130">
        <v>25.0</v>
      </c>
      <c r="N148" s="138"/>
      <c r="O148" s="130" t="s">
        <v>42</v>
      </c>
      <c r="P148" s="135">
        <v>20046.0</v>
      </c>
      <c r="Q148" s="130" t="s">
        <v>234</v>
      </c>
      <c r="R148" s="130">
        <v>2013.0</v>
      </c>
      <c r="S148" s="136">
        <v>0.273</v>
      </c>
      <c r="T148" s="128">
        <f t="shared" ref="T148:T149" si="54">S148*P148</f>
        <v>5472.558</v>
      </c>
      <c r="U148" s="24">
        <f t="shared" si="3"/>
        <v>136.81395</v>
      </c>
      <c r="V148" s="3">
        <f t="shared" si="28"/>
        <v>0</v>
      </c>
      <c r="W148" s="3">
        <f t="shared" si="29"/>
        <v>0</v>
      </c>
      <c r="X148" s="3">
        <f t="shared" si="30"/>
        <v>0</v>
      </c>
      <c r="Y148" s="25">
        <f t="shared" si="31"/>
        <v>0</v>
      </c>
      <c r="Z148" s="26">
        <f>VLOOKUP(R148,CPI!$A$2:$F$71,6,0)</f>
        <v>1.382720845</v>
      </c>
      <c r="AA148" s="27">
        <f t="shared" si="8"/>
        <v>7567.020025</v>
      </c>
      <c r="AB148" s="27">
        <f t="shared" si="9"/>
        <v>189.1755006</v>
      </c>
      <c r="AC148" s="130" t="s">
        <v>42</v>
      </c>
      <c r="AD148" s="137" t="s">
        <v>390</v>
      </c>
      <c r="AE148" s="29"/>
      <c r="AF148" s="30"/>
      <c r="AG148" s="30"/>
      <c r="AH148" s="30"/>
    </row>
    <row r="149">
      <c r="A149" s="130" t="s">
        <v>230</v>
      </c>
      <c r="B149" s="130" t="s">
        <v>387</v>
      </c>
      <c r="C149" s="36" t="s">
        <v>110</v>
      </c>
      <c r="D149" s="130" t="s">
        <v>332</v>
      </c>
      <c r="E149" s="130">
        <v>2013.0</v>
      </c>
      <c r="F149" s="130">
        <v>2018.0</v>
      </c>
      <c r="G149" s="130">
        <v>0.0</v>
      </c>
      <c r="H149" s="130">
        <v>15.77</v>
      </c>
      <c r="I149" s="131">
        <v>0.7006975269</v>
      </c>
      <c r="J149" s="130">
        <v>11.05</v>
      </c>
      <c r="K149" s="132">
        <v>4.731</v>
      </c>
      <c r="L149" s="132">
        <v>0.0</v>
      </c>
      <c r="M149" s="130">
        <v>9.0</v>
      </c>
      <c r="N149" s="138"/>
      <c r="O149" s="130" t="s">
        <v>60</v>
      </c>
      <c r="P149" s="135">
        <v>8805.0</v>
      </c>
      <c r="Q149" s="130" t="s">
        <v>234</v>
      </c>
      <c r="R149" s="130">
        <v>2013.0</v>
      </c>
      <c r="S149" s="136">
        <v>0.273</v>
      </c>
      <c r="T149" s="128">
        <f t="shared" si="54"/>
        <v>2403.765</v>
      </c>
      <c r="U149" s="24">
        <f t="shared" si="3"/>
        <v>152.4264426</v>
      </c>
      <c r="V149" s="3">
        <f t="shared" si="28"/>
        <v>0</v>
      </c>
      <c r="W149" s="3">
        <f t="shared" si="29"/>
        <v>0</v>
      </c>
      <c r="X149" s="3">
        <f t="shared" si="30"/>
        <v>0</v>
      </c>
      <c r="Y149" s="25">
        <f t="shared" si="31"/>
        <v>0</v>
      </c>
      <c r="Z149" s="26">
        <f>VLOOKUP(R149,CPI!$A$2:$F$71,6,0)</f>
        <v>1.382720845</v>
      </c>
      <c r="AA149" s="27">
        <f t="shared" si="8"/>
        <v>3323.735973</v>
      </c>
      <c r="AB149" s="27">
        <f t="shared" si="9"/>
        <v>210.7632196</v>
      </c>
      <c r="AC149" s="130" t="s">
        <v>60</v>
      </c>
      <c r="AD149" s="137" t="s">
        <v>391</v>
      </c>
      <c r="AE149" s="29"/>
      <c r="AF149" s="30"/>
      <c r="AG149" s="30"/>
      <c r="AH149" s="30"/>
    </row>
    <row r="150">
      <c r="A150" s="123" t="s">
        <v>230</v>
      </c>
      <c r="B150" s="123" t="s">
        <v>387</v>
      </c>
      <c r="C150" s="16" t="s">
        <v>239</v>
      </c>
      <c r="D150" s="123" t="s">
        <v>239</v>
      </c>
      <c r="E150" s="75">
        <v>2014.0</v>
      </c>
      <c r="F150" s="75">
        <v>2020.0</v>
      </c>
      <c r="G150" s="75">
        <v>0.0</v>
      </c>
      <c r="H150" s="75">
        <v>44.09</v>
      </c>
      <c r="I150" s="124">
        <v>0.811521887</v>
      </c>
      <c r="J150" s="75">
        <v>35.78</v>
      </c>
      <c r="K150" s="125">
        <v>7.06</v>
      </c>
      <c r="L150" s="125">
        <v>1.3171</v>
      </c>
      <c r="M150" s="75">
        <v>27.0</v>
      </c>
      <c r="N150" s="75"/>
      <c r="O150" s="123" t="s">
        <v>60</v>
      </c>
      <c r="P150" s="126">
        <v>31098.0</v>
      </c>
      <c r="Q150" s="123" t="s">
        <v>234</v>
      </c>
      <c r="R150" s="75">
        <v>2018.0</v>
      </c>
      <c r="S150" s="136">
        <v>0.237</v>
      </c>
      <c r="T150" s="128">
        <f>P150*S150</f>
        <v>7370.226</v>
      </c>
      <c r="U150" s="24">
        <f t="shared" si="3"/>
        <v>167.1632116</v>
      </c>
      <c r="V150" s="3">
        <f t="shared" si="28"/>
        <v>0</v>
      </c>
      <c r="W150" s="3">
        <f t="shared" si="29"/>
        <v>0</v>
      </c>
      <c r="X150" s="3">
        <f t="shared" si="30"/>
        <v>0</v>
      </c>
      <c r="Y150" s="25">
        <f t="shared" si="31"/>
        <v>0</v>
      </c>
      <c r="Z150" s="26">
        <f>VLOOKUP(R150,CPI!$A$2:$F$71,6,0)</f>
        <v>1.28277786</v>
      </c>
      <c r="AA150" s="27">
        <f t="shared" si="8"/>
        <v>9454.362733</v>
      </c>
      <c r="AB150" s="27">
        <f t="shared" si="9"/>
        <v>214.4332668</v>
      </c>
      <c r="AC150" s="123" t="s">
        <v>60</v>
      </c>
      <c r="AD150" s="129" t="s">
        <v>391</v>
      </c>
      <c r="AE150" s="29"/>
      <c r="AF150" s="30"/>
      <c r="AG150" s="30"/>
      <c r="AH150" s="30"/>
    </row>
    <row r="151">
      <c r="A151" s="130" t="s">
        <v>230</v>
      </c>
      <c r="B151" s="130" t="s">
        <v>387</v>
      </c>
      <c r="C151" s="36" t="s">
        <v>80</v>
      </c>
      <c r="D151" s="130" t="s">
        <v>392</v>
      </c>
      <c r="E151" s="130">
        <v>2016.0</v>
      </c>
      <c r="F151" s="130">
        <v>2020.0</v>
      </c>
      <c r="G151" s="130">
        <v>0.0</v>
      </c>
      <c r="H151" s="130">
        <v>13.99</v>
      </c>
      <c r="I151" s="131">
        <v>0.6383130808</v>
      </c>
      <c r="J151" s="130">
        <v>8.93</v>
      </c>
      <c r="K151" s="132">
        <v>0.0</v>
      </c>
      <c r="L151" s="132">
        <v>0.0</v>
      </c>
      <c r="M151" s="130">
        <v>7.0</v>
      </c>
      <c r="N151" s="133">
        <v>117.0</v>
      </c>
      <c r="O151" s="134" t="s">
        <v>60</v>
      </c>
      <c r="P151" s="135">
        <v>7474.0</v>
      </c>
      <c r="Q151" s="130" t="s">
        <v>234</v>
      </c>
      <c r="R151" s="130">
        <v>2018.0</v>
      </c>
      <c r="S151" s="136">
        <v>0.237</v>
      </c>
      <c r="T151" s="128">
        <f t="shared" ref="T151:T152" si="55">S151*P151</f>
        <v>1771.338</v>
      </c>
      <c r="U151" s="24">
        <f t="shared" si="3"/>
        <v>126.6145818</v>
      </c>
      <c r="V151" s="3">
        <f t="shared" si="28"/>
        <v>0</v>
      </c>
      <c r="W151" s="3">
        <f t="shared" si="29"/>
        <v>0</v>
      </c>
      <c r="X151" s="3">
        <f t="shared" si="30"/>
        <v>0</v>
      </c>
      <c r="Y151" s="25">
        <f t="shared" si="31"/>
        <v>0</v>
      </c>
      <c r="Z151" s="26">
        <f>VLOOKUP(R151,CPI!$A$2:$F$71,6,0)</f>
        <v>1.28277786</v>
      </c>
      <c r="AA151" s="27">
        <f t="shared" si="8"/>
        <v>2272.233168</v>
      </c>
      <c r="AB151" s="27">
        <f t="shared" si="9"/>
        <v>162.4183823</v>
      </c>
      <c r="AC151" s="130" t="s">
        <v>60</v>
      </c>
      <c r="AD151" s="137" t="s">
        <v>391</v>
      </c>
      <c r="AE151" s="29"/>
      <c r="AF151" s="30"/>
      <c r="AG151" s="30"/>
      <c r="AH151" s="30"/>
    </row>
    <row r="152">
      <c r="A152" s="130" t="s">
        <v>230</v>
      </c>
      <c r="B152" s="130" t="s">
        <v>387</v>
      </c>
      <c r="C152" s="36" t="s">
        <v>253</v>
      </c>
      <c r="D152" s="130" t="s">
        <v>393</v>
      </c>
      <c r="E152" s="130">
        <v>2016.0</v>
      </c>
      <c r="F152" s="130">
        <v>2020.0</v>
      </c>
      <c r="G152" s="130">
        <v>0.0</v>
      </c>
      <c r="H152" s="130">
        <v>10.77</v>
      </c>
      <c r="I152" s="131"/>
      <c r="J152" s="130"/>
      <c r="K152" s="132" t="e">
        <v>#N/A</v>
      </c>
      <c r="L152" s="132" t="e">
        <v>#N/A</v>
      </c>
      <c r="M152" s="130">
        <v>5.0</v>
      </c>
      <c r="N152" s="138"/>
      <c r="O152" s="130" t="s">
        <v>42</v>
      </c>
      <c r="P152" s="135">
        <v>5613.0</v>
      </c>
      <c r="Q152" s="130" t="s">
        <v>234</v>
      </c>
      <c r="R152" s="130">
        <v>2013.0</v>
      </c>
      <c r="S152" s="136">
        <v>0.273</v>
      </c>
      <c r="T152" s="128">
        <f t="shared" si="55"/>
        <v>1532.349</v>
      </c>
      <c r="U152" s="24">
        <f t="shared" si="3"/>
        <v>142.2793872</v>
      </c>
      <c r="V152" s="3">
        <f t="shared" si="28"/>
        <v>0</v>
      </c>
      <c r="W152" s="3">
        <f t="shared" si="29"/>
        <v>0</v>
      </c>
      <c r="X152" s="3">
        <f t="shared" si="30"/>
        <v>0</v>
      </c>
      <c r="Y152" s="25">
        <f t="shared" si="31"/>
        <v>0</v>
      </c>
      <c r="Z152" s="26">
        <f>VLOOKUP(R152,CPI!$A$2:$F$71,6,0)</f>
        <v>1.382720845</v>
      </c>
      <c r="AA152" s="27">
        <f t="shared" si="8"/>
        <v>2118.810905</v>
      </c>
      <c r="AB152" s="27">
        <f t="shared" si="9"/>
        <v>196.7326745</v>
      </c>
      <c r="AC152" s="130" t="s">
        <v>42</v>
      </c>
      <c r="AD152" s="137" t="s">
        <v>390</v>
      </c>
      <c r="AE152" s="29"/>
      <c r="AF152" s="30"/>
      <c r="AG152" s="30"/>
      <c r="AH152" s="30"/>
    </row>
    <row r="153">
      <c r="A153" s="123" t="s">
        <v>230</v>
      </c>
      <c r="B153" s="123" t="s">
        <v>387</v>
      </c>
      <c r="C153" s="36" t="s">
        <v>84</v>
      </c>
      <c r="D153" s="123" t="s">
        <v>394</v>
      </c>
      <c r="E153" s="75">
        <v>2019.0</v>
      </c>
      <c r="F153" s="75">
        <v>2024.0</v>
      </c>
      <c r="G153" s="69">
        <v>0.0</v>
      </c>
      <c r="H153" s="69">
        <v>8.95</v>
      </c>
      <c r="I153" s="117">
        <v>1.0</v>
      </c>
      <c r="J153" s="69">
        <v>8.95</v>
      </c>
      <c r="K153" s="72"/>
      <c r="L153" s="72"/>
      <c r="M153" s="69">
        <v>7.0</v>
      </c>
      <c r="N153" s="69">
        <v>117.0</v>
      </c>
      <c r="O153" s="72"/>
      <c r="P153" s="140">
        <v>8900.0</v>
      </c>
      <c r="Q153" s="72" t="s">
        <v>234</v>
      </c>
      <c r="R153" s="115">
        <v>2021.0</v>
      </c>
      <c r="S153" s="136">
        <v>0.239</v>
      </c>
      <c r="T153" s="118">
        <f t="shared" ref="T153:T163" si="56">P153*S153</f>
        <v>2127.1</v>
      </c>
      <c r="U153" s="24">
        <f t="shared" si="3"/>
        <v>237.6648045</v>
      </c>
      <c r="V153" s="3">
        <f t="shared" si="28"/>
        <v>0</v>
      </c>
      <c r="W153" s="3">
        <f t="shared" si="29"/>
        <v>0</v>
      </c>
      <c r="X153" s="3">
        <f t="shared" si="30"/>
        <v>0</v>
      </c>
      <c r="Y153" s="25">
        <f t="shared" si="31"/>
        <v>0</v>
      </c>
      <c r="Z153" s="26">
        <f>VLOOKUP(R153,CPI!$A$2:$F$71,6,0)</f>
        <v>1.188745987</v>
      </c>
      <c r="AA153" s="27">
        <f t="shared" si="8"/>
        <v>2528.581588</v>
      </c>
      <c r="AB153" s="27">
        <f t="shared" si="9"/>
        <v>282.5230825</v>
      </c>
      <c r="AC153" s="72" t="s">
        <v>36</v>
      </c>
      <c r="AD153" s="79" t="s">
        <v>395</v>
      </c>
      <c r="AE153" s="29"/>
      <c r="AF153" s="30"/>
      <c r="AG153" s="30"/>
      <c r="AH153" s="30"/>
    </row>
    <row r="154">
      <c r="A154" s="123" t="s">
        <v>230</v>
      </c>
      <c r="B154" s="123" t="s">
        <v>387</v>
      </c>
      <c r="C154" s="36" t="s">
        <v>84</v>
      </c>
      <c r="D154" s="123" t="s">
        <v>396</v>
      </c>
      <c r="E154" s="75">
        <v>2019.0</v>
      </c>
      <c r="F154" s="75">
        <v>2024.0</v>
      </c>
      <c r="G154" s="75">
        <v>0.0</v>
      </c>
      <c r="H154" s="75">
        <v>28.96</v>
      </c>
      <c r="I154" s="124">
        <v>0.6256906077</v>
      </c>
      <c r="J154" s="75">
        <v>18.12</v>
      </c>
      <c r="K154" s="125">
        <v>0.0</v>
      </c>
      <c r="L154" s="125">
        <v>0.0</v>
      </c>
      <c r="M154" s="75">
        <v>19.0</v>
      </c>
      <c r="N154" s="75"/>
      <c r="O154" s="123" t="s">
        <v>60</v>
      </c>
      <c r="P154" s="126">
        <v>20334.0</v>
      </c>
      <c r="Q154" s="123" t="s">
        <v>234</v>
      </c>
      <c r="R154" s="75">
        <v>2018.0</v>
      </c>
      <c r="S154" s="136">
        <v>0.237</v>
      </c>
      <c r="T154" s="128">
        <f t="shared" si="56"/>
        <v>4819.158</v>
      </c>
      <c r="U154" s="24">
        <f t="shared" si="3"/>
        <v>166.4073895</v>
      </c>
      <c r="V154" s="3">
        <f t="shared" si="28"/>
        <v>0</v>
      </c>
      <c r="W154" s="3">
        <f t="shared" si="29"/>
        <v>0</v>
      </c>
      <c r="X154" s="3">
        <f t="shared" si="30"/>
        <v>0</v>
      </c>
      <c r="Y154" s="25">
        <f t="shared" si="31"/>
        <v>0</v>
      </c>
      <c r="Z154" s="26">
        <f>VLOOKUP(R154,CPI!$A$2:$F$71,6,0)</f>
        <v>1.28277786</v>
      </c>
      <c r="AA154" s="27">
        <f t="shared" si="8"/>
        <v>6181.909184</v>
      </c>
      <c r="AB154" s="27">
        <f t="shared" si="9"/>
        <v>213.4637149</v>
      </c>
      <c r="AC154" s="123" t="s">
        <v>60</v>
      </c>
      <c r="AD154" s="129" t="s">
        <v>391</v>
      </c>
      <c r="AE154" s="29"/>
      <c r="AF154" s="30"/>
      <c r="AG154" s="30"/>
      <c r="AH154" s="30"/>
    </row>
    <row r="155">
      <c r="A155" s="114" t="s">
        <v>230</v>
      </c>
      <c r="B155" s="114" t="s">
        <v>387</v>
      </c>
      <c r="C155" s="16" t="s">
        <v>351</v>
      </c>
      <c r="D155" s="115" t="s">
        <v>397</v>
      </c>
      <c r="E155" s="82">
        <v>2020.0</v>
      </c>
      <c r="F155" s="116">
        <v>2025.0</v>
      </c>
      <c r="G155" s="116">
        <v>0.0</v>
      </c>
      <c r="H155" s="116">
        <v>10.61</v>
      </c>
      <c r="I155" s="117">
        <v>1.0</v>
      </c>
      <c r="J155" s="116">
        <v>10.61</v>
      </c>
      <c r="K155" s="114"/>
      <c r="L155" s="114"/>
      <c r="M155" s="116">
        <v>8.0</v>
      </c>
      <c r="N155" s="116">
        <v>117.0</v>
      </c>
      <c r="O155" s="114"/>
      <c r="P155" s="140">
        <v>9966.0</v>
      </c>
      <c r="Q155" s="114" t="s">
        <v>234</v>
      </c>
      <c r="R155" s="115">
        <v>2023.0</v>
      </c>
      <c r="S155" s="136">
        <v>0.239000000000001</v>
      </c>
      <c r="T155" s="118">
        <f t="shared" si="56"/>
        <v>2381.874</v>
      </c>
      <c r="U155" s="24">
        <f t="shared" si="3"/>
        <v>224.4933082</v>
      </c>
      <c r="V155" s="3">
        <f t="shared" si="28"/>
        <v>0</v>
      </c>
      <c r="W155" s="3">
        <f t="shared" si="29"/>
        <v>0</v>
      </c>
      <c r="X155" s="3">
        <f t="shared" si="30"/>
        <v>0</v>
      </c>
      <c r="Y155" s="25">
        <f t="shared" si="31"/>
        <v>0</v>
      </c>
      <c r="Z155" s="26">
        <f>VLOOKUP(R155,CPI!$A$2:$F$71,6,0)</f>
        <v>1.057145998</v>
      </c>
      <c r="AA155" s="27">
        <f t="shared" si="8"/>
        <v>2517.988568</v>
      </c>
      <c r="AB155" s="27">
        <f t="shared" si="9"/>
        <v>237.3222024</v>
      </c>
      <c r="AC155" s="114"/>
      <c r="AD155" s="188" t="s">
        <v>398</v>
      </c>
      <c r="AE155" s="164"/>
      <c r="AF155" s="165"/>
      <c r="AG155" s="165"/>
      <c r="AH155" s="165"/>
    </row>
    <row r="156">
      <c r="A156" s="114" t="s">
        <v>230</v>
      </c>
      <c r="B156" s="114" t="s">
        <v>387</v>
      </c>
      <c r="C156" s="36" t="s">
        <v>110</v>
      </c>
      <c r="D156" s="114" t="s">
        <v>399</v>
      </c>
      <c r="E156" s="116">
        <v>2021.0</v>
      </c>
      <c r="F156" s="116">
        <v>2026.0</v>
      </c>
      <c r="G156" s="116">
        <v>0.0</v>
      </c>
      <c r="H156" s="116">
        <v>10.9</v>
      </c>
      <c r="I156" s="117">
        <v>1.0</v>
      </c>
      <c r="J156" s="116">
        <v>10.9</v>
      </c>
      <c r="K156" s="114"/>
      <c r="L156" s="114"/>
      <c r="M156" s="116">
        <v>9.0</v>
      </c>
      <c r="N156" s="116">
        <v>117.0</v>
      </c>
      <c r="O156" s="114"/>
      <c r="P156" s="140">
        <v>10603.0</v>
      </c>
      <c r="Q156" s="114" t="s">
        <v>234</v>
      </c>
      <c r="R156" s="115">
        <v>2021.0</v>
      </c>
      <c r="S156" s="136">
        <v>0.239000000000001</v>
      </c>
      <c r="T156" s="118">
        <f t="shared" si="56"/>
        <v>2534.117</v>
      </c>
      <c r="U156" s="24">
        <f t="shared" si="3"/>
        <v>232.4877982</v>
      </c>
      <c r="V156" s="3">
        <f t="shared" si="28"/>
        <v>0</v>
      </c>
      <c r="W156" s="3">
        <f t="shared" si="29"/>
        <v>0</v>
      </c>
      <c r="X156" s="3">
        <f t="shared" si="30"/>
        <v>0</v>
      </c>
      <c r="Y156" s="25">
        <f t="shared" si="31"/>
        <v>0</v>
      </c>
      <c r="Z156" s="26">
        <f>VLOOKUP(R156,CPI!$A$2:$F$71,6,0)</f>
        <v>1.188745987</v>
      </c>
      <c r="AA156" s="27">
        <f t="shared" si="8"/>
        <v>3012.421413</v>
      </c>
      <c r="AB156" s="27">
        <f t="shared" si="9"/>
        <v>276.368937</v>
      </c>
      <c r="AC156" s="114"/>
      <c r="AD156" s="119" t="s">
        <v>400</v>
      </c>
      <c r="AE156" s="184" t="s">
        <v>401</v>
      </c>
      <c r="AF156" s="165"/>
      <c r="AG156" s="165"/>
      <c r="AH156" s="165"/>
    </row>
    <row r="157">
      <c r="A157" s="114" t="s">
        <v>230</v>
      </c>
      <c r="B157" s="114" t="s">
        <v>387</v>
      </c>
      <c r="C157" s="16" t="s">
        <v>121</v>
      </c>
      <c r="D157" s="115" t="s">
        <v>402</v>
      </c>
      <c r="E157" s="116">
        <v>2022.0</v>
      </c>
      <c r="F157" s="116">
        <v>2026.0</v>
      </c>
      <c r="G157" s="116">
        <v>0.0</v>
      </c>
      <c r="H157" s="116">
        <v>14.18</v>
      </c>
      <c r="I157" s="117">
        <v>1.0</v>
      </c>
      <c r="J157" s="116">
        <v>14.18</v>
      </c>
      <c r="K157" s="114"/>
      <c r="L157" s="114"/>
      <c r="M157" s="116">
        <v>9.0</v>
      </c>
      <c r="N157" s="116">
        <v>117.0</v>
      </c>
      <c r="O157" s="114"/>
      <c r="P157" s="140">
        <v>12256.96</v>
      </c>
      <c r="Q157" s="114" t="s">
        <v>234</v>
      </c>
      <c r="R157" s="115">
        <v>2024.0</v>
      </c>
      <c r="S157" s="136">
        <v>0.239000000000001</v>
      </c>
      <c r="T157" s="118">
        <f t="shared" si="56"/>
        <v>2929.41344</v>
      </c>
      <c r="U157" s="24">
        <f t="shared" si="3"/>
        <v>206.5876897</v>
      </c>
      <c r="V157" s="3">
        <f t="shared" si="28"/>
        <v>0</v>
      </c>
      <c r="W157" s="3">
        <f t="shared" si="29"/>
        <v>0</v>
      </c>
      <c r="X157" s="3">
        <f t="shared" si="30"/>
        <v>0</v>
      </c>
      <c r="Y157" s="25">
        <f t="shared" si="31"/>
        <v>0</v>
      </c>
      <c r="Z157" s="26">
        <f>VLOOKUP(R157,CPI!$A$2:$F$71,6,0)</f>
        <v>1</v>
      </c>
      <c r="AA157" s="27">
        <f t="shared" si="8"/>
        <v>2929.41344</v>
      </c>
      <c r="AB157" s="27">
        <f t="shared" si="9"/>
        <v>206.5876897</v>
      </c>
      <c r="AC157" s="114"/>
      <c r="AD157" s="119" t="s">
        <v>403</v>
      </c>
      <c r="AE157" s="164"/>
      <c r="AF157" s="165"/>
      <c r="AG157" s="189"/>
      <c r="AH157" s="165"/>
    </row>
    <row r="158">
      <c r="A158" s="114" t="s">
        <v>230</v>
      </c>
      <c r="B158" s="114" t="s">
        <v>387</v>
      </c>
      <c r="C158" s="115" t="s">
        <v>260</v>
      </c>
      <c r="D158" s="115" t="s">
        <v>261</v>
      </c>
      <c r="E158" s="116">
        <v>2021.0</v>
      </c>
      <c r="F158" s="116">
        <v>2027.0</v>
      </c>
      <c r="G158" s="116">
        <v>1.0</v>
      </c>
      <c r="H158" s="116">
        <v>38.73</v>
      </c>
      <c r="I158" s="117">
        <v>0.92</v>
      </c>
      <c r="J158" s="116">
        <v>35.463</v>
      </c>
      <c r="K158" s="114"/>
      <c r="L158" s="114"/>
      <c r="M158" s="116">
        <v>14.0</v>
      </c>
      <c r="N158" s="116">
        <v>138.0</v>
      </c>
      <c r="O158" s="114"/>
      <c r="P158" s="140">
        <v>27398.0</v>
      </c>
      <c r="Q158" s="114" t="s">
        <v>234</v>
      </c>
      <c r="R158" s="115">
        <v>2021.0</v>
      </c>
      <c r="S158" s="136">
        <v>0.239000000000001</v>
      </c>
      <c r="T158" s="118">
        <f t="shared" si="56"/>
        <v>6548.122</v>
      </c>
      <c r="U158" s="24">
        <f t="shared" si="3"/>
        <v>169.071056</v>
      </c>
      <c r="V158" s="3">
        <f t="shared" si="28"/>
        <v>0</v>
      </c>
      <c r="W158" s="3">
        <f t="shared" si="29"/>
        <v>0</v>
      </c>
      <c r="X158" s="3">
        <f t="shared" si="30"/>
        <v>0</v>
      </c>
      <c r="Y158" s="25">
        <f t="shared" si="31"/>
        <v>0</v>
      </c>
      <c r="Z158" s="26">
        <f>VLOOKUP(R158,CPI!$A$2:$F$71,6,0)</f>
        <v>1.188745987</v>
      </c>
      <c r="AA158" s="27">
        <f t="shared" si="8"/>
        <v>7784.053748</v>
      </c>
      <c r="AB158" s="27">
        <f t="shared" si="9"/>
        <v>200.9825393</v>
      </c>
      <c r="AC158" s="114"/>
      <c r="AD158" s="119" t="s">
        <v>404</v>
      </c>
      <c r="AE158" s="184" t="s">
        <v>405</v>
      </c>
      <c r="AF158" s="165"/>
      <c r="AG158" s="165"/>
      <c r="AH158" s="165"/>
    </row>
    <row r="159">
      <c r="A159" s="114" t="s">
        <v>230</v>
      </c>
      <c r="B159" s="114" t="s">
        <v>387</v>
      </c>
      <c r="C159" s="114" t="s">
        <v>295</v>
      </c>
      <c r="D159" s="114" t="s">
        <v>295</v>
      </c>
      <c r="E159" s="116">
        <v>2021.0</v>
      </c>
      <c r="F159" s="116">
        <v>2027.0</v>
      </c>
      <c r="G159" s="116">
        <v>1.0</v>
      </c>
      <c r="H159" s="116">
        <v>51.789</v>
      </c>
      <c r="I159" s="117">
        <v>0.98</v>
      </c>
      <c r="J159" s="116">
        <v>50.529</v>
      </c>
      <c r="K159" s="114"/>
      <c r="L159" s="114"/>
      <c r="M159" s="116">
        <v>14.0</v>
      </c>
      <c r="N159" s="116">
        <v>138.0</v>
      </c>
      <c r="O159" s="114"/>
      <c r="P159" s="140">
        <v>34587.0</v>
      </c>
      <c r="Q159" s="114" t="s">
        <v>234</v>
      </c>
      <c r="R159" s="115">
        <v>2021.0</v>
      </c>
      <c r="S159" s="136">
        <v>0.239000000000001</v>
      </c>
      <c r="T159" s="118">
        <f t="shared" si="56"/>
        <v>8266.293</v>
      </c>
      <c r="U159" s="24">
        <f t="shared" si="3"/>
        <v>159.614841</v>
      </c>
      <c r="V159" s="3">
        <f t="shared" si="28"/>
        <v>0</v>
      </c>
      <c r="W159" s="3">
        <f t="shared" si="29"/>
        <v>0</v>
      </c>
      <c r="X159" s="3">
        <f t="shared" si="30"/>
        <v>0</v>
      </c>
      <c r="Y159" s="25">
        <f t="shared" si="31"/>
        <v>0</v>
      </c>
      <c r="Z159" s="26">
        <f>VLOOKUP(R159,CPI!$A$2:$F$71,6,0)</f>
        <v>1.188745987</v>
      </c>
      <c r="AA159" s="27">
        <f t="shared" si="8"/>
        <v>9826.522628</v>
      </c>
      <c r="AB159" s="27">
        <f t="shared" si="9"/>
        <v>189.7415016</v>
      </c>
      <c r="AC159" s="114"/>
      <c r="AD159" s="119" t="s">
        <v>406</v>
      </c>
      <c r="AE159" s="167" t="s">
        <v>407</v>
      </c>
      <c r="AF159" s="168"/>
      <c r="AG159" s="168"/>
      <c r="AH159" s="169"/>
    </row>
    <row r="160">
      <c r="A160" s="114" t="s">
        <v>230</v>
      </c>
      <c r="B160" s="114" t="s">
        <v>387</v>
      </c>
      <c r="C160" s="114" t="s">
        <v>54</v>
      </c>
      <c r="D160" s="114" t="s">
        <v>54</v>
      </c>
      <c r="E160" s="116">
        <v>2000.0</v>
      </c>
      <c r="F160" s="114"/>
      <c r="G160" s="116">
        <v>0.0</v>
      </c>
      <c r="H160" s="116">
        <v>19.15</v>
      </c>
      <c r="I160" s="114"/>
      <c r="J160" s="114"/>
      <c r="K160" s="114"/>
      <c r="L160" s="114"/>
      <c r="M160" s="116">
        <v>18.0</v>
      </c>
      <c r="N160" s="116">
        <v>120.0</v>
      </c>
      <c r="O160" s="114"/>
      <c r="P160" s="140">
        <v>4300.0</v>
      </c>
      <c r="Q160" s="114" t="s">
        <v>234</v>
      </c>
      <c r="R160" s="115">
        <v>2000.0</v>
      </c>
      <c r="S160" s="85">
        <v>0.367</v>
      </c>
      <c r="T160" s="118">
        <f t="shared" si="56"/>
        <v>1578.1</v>
      </c>
      <c r="U160" s="24">
        <f t="shared" si="3"/>
        <v>82.4073107</v>
      </c>
      <c r="V160" s="3">
        <f t="shared" si="28"/>
        <v>0</v>
      </c>
      <c r="W160" s="3">
        <f t="shared" si="29"/>
        <v>0</v>
      </c>
      <c r="X160" s="3">
        <f t="shared" si="30"/>
        <v>0</v>
      </c>
      <c r="Y160" s="25">
        <f t="shared" si="31"/>
        <v>0</v>
      </c>
      <c r="Z160" s="26">
        <f>VLOOKUP(R160,CPI!$A$2:$F$71,6,0)</f>
        <v>1.870583624</v>
      </c>
      <c r="AA160" s="27">
        <f t="shared" si="8"/>
        <v>2951.968017</v>
      </c>
      <c r="AB160" s="27">
        <f t="shared" si="9"/>
        <v>154.1497659</v>
      </c>
      <c r="AC160" s="114"/>
      <c r="AD160" s="119" t="s">
        <v>408</v>
      </c>
      <c r="AE160" s="167" t="s">
        <v>409</v>
      </c>
      <c r="AF160" s="168"/>
      <c r="AG160" s="168"/>
      <c r="AH160" s="169"/>
    </row>
    <row r="161">
      <c r="A161" s="114" t="s">
        <v>230</v>
      </c>
      <c r="B161" s="114" t="s">
        <v>387</v>
      </c>
      <c r="C161" s="115" t="s">
        <v>57</v>
      </c>
      <c r="D161" s="115" t="s">
        <v>410</v>
      </c>
      <c r="E161" s="116">
        <v>2007.0</v>
      </c>
      <c r="F161" s="114"/>
      <c r="G161" s="116">
        <v>0.0</v>
      </c>
      <c r="H161" s="116">
        <v>15.5</v>
      </c>
      <c r="I161" s="114"/>
      <c r="J161" s="114"/>
      <c r="K161" s="114"/>
      <c r="L161" s="114"/>
      <c r="M161" s="116">
        <v>9.0</v>
      </c>
      <c r="N161" s="116">
        <v>117.0</v>
      </c>
      <c r="O161" s="114"/>
      <c r="P161" s="140">
        <v>5014.0</v>
      </c>
      <c r="Q161" s="114" t="s">
        <v>234</v>
      </c>
      <c r="R161" s="115">
        <v>2007.0</v>
      </c>
      <c r="S161" s="85">
        <v>0.333</v>
      </c>
      <c r="T161" s="118">
        <f t="shared" si="56"/>
        <v>1669.662</v>
      </c>
      <c r="U161" s="24">
        <f t="shared" si="3"/>
        <v>107.720129</v>
      </c>
      <c r="V161" s="3">
        <f t="shared" si="28"/>
        <v>0</v>
      </c>
      <c r="W161" s="3">
        <f t="shared" si="29"/>
        <v>0</v>
      </c>
      <c r="X161" s="3">
        <f t="shared" si="30"/>
        <v>0</v>
      </c>
      <c r="Y161" s="25">
        <f t="shared" si="31"/>
        <v>0</v>
      </c>
      <c r="Z161" s="26">
        <f>VLOOKUP(R161,CPI!$A$2:$F$71,6,0)</f>
        <v>1.553541974</v>
      </c>
      <c r="AA161" s="27">
        <f t="shared" si="8"/>
        <v>2593.89</v>
      </c>
      <c r="AB161" s="27">
        <f t="shared" si="9"/>
        <v>167.3477419</v>
      </c>
      <c r="AC161" s="114"/>
      <c r="AD161" s="119" t="s">
        <v>411</v>
      </c>
      <c r="AE161" s="164"/>
      <c r="AF161" s="165"/>
      <c r="AG161" s="165"/>
      <c r="AH161" s="165"/>
    </row>
    <row r="162">
      <c r="A162" s="114" t="s">
        <v>230</v>
      </c>
      <c r="B162" s="114" t="s">
        <v>387</v>
      </c>
      <c r="C162" s="115" t="s">
        <v>57</v>
      </c>
      <c r="D162" s="115" t="s">
        <v>232</v>
      </c>
      <c r="E162" s="116">
        <v>2007.0</v>
      </c>
      <c r="F162" s="114"/>
      <c r="G162" s="116">
        <v>0.0</v>
      </c>
      <c r="H162" s="116">
        <v>16.5</v>
      </c>
      <c r="I162" s="114"/>
      <c r="J162" s="114"/>
      <c r="K162" s="114"/>
      <c r="L162" s="114"/>
      <c r="M162" s="116">
        <v>14.0</v>
      </c>
      <c r="N162" s="116">
        <v>117.0</v>
      </c>
      <c r="O162" s="114"/>
      <c r="P162" s="140">
        <v>7500.0</v>
      </c>
      <c r="Q162" s="114" t="s">
        <v>234</v>
      </c>
      <c r="R162" s="115">
        <v>2007.0</v>
      </c>
      <c r="S162" s="85">
        <v>0.333</v>
      </c>
      <c r="T162" s="118">
        <f t="shared" si="56"/>
        <v>2497.5</v>
      </c>
      <c r="U162" s="24">
        <f t="shared" si="3"/>
        <v>151.3636364</v>
      </c>
      <c r="V162" s="3">
        <f t="shared" si="28"/>
        <v>0</v>
      </c>
      <c r="W162" s="3">
        <f t="shared" si="29"/>
        <v>0</v>
      </c>
      <c r="X162" s="3">
        <f t="shared" si="30"/>
        <v>0</v>
      </c>
      <c r="Y162" s="25">
        <f t="shared" si="31"/>
        <v>0</v>
      </c>
      <c r="Z162" s="26">
        <f>VLOOKUP(R162,CPI!$A$2:$F$71,6,0)</f>
        <v>1.553541974</v>
      </c>
      <c r="AA162" s="27">
        <f t="shared" si="8"/>
        <v>3879.97108</v>
      </c>
      <c r="AB162" s="27">
        <f t="shared" si="9"/>
        <v>235.1497624</v>
      </c>
      <c r="AC162" s="114"/>
      <c r="AD162" s="119" t="s">
        <v>411</v>
      </c>
      <c r="AE162" s="164"/>
      <c r="AF162" s="165"/>
      <c r="AG162" s="165"/>
      <c r="AH162" s="165"/>
    </row>
    <row r="163">
      <c r="A163" s="114" t="s">
        <v>230</v>
      </c>
      <c r="B163" s="114" t="s">
        <v>387</v>
      </c>
      <c r="C163" s="114" t="s">
        <v>87</v>
      </c>
      <c r="D163" s="114" t="s">
        <v>87</v>
      </c>
      <c r="E163" s="116">
        <v>2007.0</v>
      </c>
      <c r="F163" s="114"/>
      <c r="G163" s="116">
        <v>0.0</v>
      </c>
      <c r="H163" s="116">
        <v>39.1</v>
      </c>
      <c r="I163" s="114"/>
      <c r="J163" s="114"/>
      <c r="K163" s="114"/>
      <c r="L163" s="114"/>
      <c r="M163" s="116">
        <v>29.0</v>
      </c>
      <c r="N163" s="116">
        <v>120.0</v>
      </c>
      <c r="O163" s="114"/>
      <c r="P163" s="140">
        <v>13800.0</v>
      </c>
      <c r="Q163" s="114" t="s">
        <v>234</v>
      </c>
      <c r="R163" s="115">
        <v>2007.0</v>
      </c>
      <c r="S163" s="85">
        <v>0.333</v>
      </c>
      <c r="T163" s="118">
        <f t="shared" si="56"/>
        <v>4595.4</v>
      </c>
      <c r="U163" s="24">
        <f t="shared" si="3"/>
        <v>117.5294118</v>
      </c>
      <c r="V163" s="3">
        <f t="shared" si="28"/>
        <v>0</v>
      </c>
      <c r="W163" s="3">
        <f t="shared" si="29"/>
        <v>0</v>
      </c>
      <c r="X163" s="3">
        <f t="shared" si="30"/>
        <v>0</v>
      </c>
      <c r="Y163" s="25">
        <f t="shared" si="31"/>
        <v>0</v>
      </c>
      <c r="Z163" s="26">
        <f>VLOOKUP(R163,CPI!$A$2:$F$71,6,0)</f>
        <v>1.553541974</v>
      </c>
      <c r="AA163" s="27">
        <f t="shared" si="8"/>
        <v>7139.146788</v>
      </c>
      <c r="AB163" s="27">
        <f t="shared" si="9"/>
        <v>182.5868744</v>
      </c>
      <c r="AC163" s="114"/>
      <c r="AD163" s="119" t="s">
        <v>412</v>
      </c>
      <c r="AE163" s="164"/>
      <c r="AF163" s="165"/>
      <c r="AG163" s="165"/>
      <c r="AH163" s="165"/>
    </row>
    <row r="164">
      <c r="A164" s="130" t="s">
        <v>230</v>
      </c>
      <c r="B164" s="130" t="s">
        <v>387</v>
      </c>
      <c r="C164" s="36" t="s">
        <v>80</v>
      </c>
      <c r="D164" s="72" t="s">
        <v>413</v>
      </c>
      <c r="E164" s="69">
        <v>2013.0</v>
      </c>
      <c r="F164" s="72"/>
      <c r="G164" s="69">
        <v>0.0</v>
      </c>
      <c r="H164" s="69">
        <v>12.1</v>
      </c>
      <c r="I164" s="117">
        <v>0.98</v>
      </c>
      <c r="J164" s="69">
        <v>11.9</v>
      </c>
      <c r="K164" s="72"/>
      <c r="L164" s="72"/>
      <c r="M164" s="69">
        <v>5.0</v>
      </c>
      <c r="N164" s="70">
        <v>117.0</v>
      </c>
      <c r="O164" s="72"/>
      <c r="P164" s="140">
        <v>5563.0</v>
      </c>
      <c r="Q164" s="72" t="s">
        <v>234</v>
      </c>
      <c r="R164" s="130">
        <v>2013.0</v>
      </c>
      <c r="S164" s="136">
        <v>0.273</v>
      </c>
      <c r="T164" s="128">
        <f>S164*P164</f>
        <v>1518.699</v>
      </c>
      <c r="U164" s="24">
        <f t="shared" si="3"/>
        <v>125.512314</v>
      </c>
      <c r="V164" s="3">
        <f t="shared" si="28"/>
        <v>0</v>
      </c>
      <c r="W164" s="3">
        <f t="shared" si="29"/>
        <v>0</v>
      </c>
      <c r="X164" s="3">
        <f t="shared" si="30"/>
        <v>0</v>
      </c>
      <c r="Y164" s="25">
        <f t="shared" si="31"/>
        <v>0</v>
      </c>
      <c r="Z164" s="26">
        <f>VLOOKUP(R164,CPI!$A$2:$F$71,6,0)</f>
        <v>1.382720845</v>
      </c>
      <c r="AA164" s="27">
        <f t="shared" si="8"/>
        <v>2099.936765</v>
      </c>
      <c r="AB164" s="27">
        <f t="shared" si="9"/>
        <v>173.548493</v>
      </c>
      <c r="AC164" s="130" t="s">
        <v>42</v>
      </c>
      <c r="AD164" s="137" t="s">
        <v>390</v>
      </c>
      <c r="AE164" s="29"/>
      <c r="AF164" s="30"/>
      <c r="AG164" s="30"/>
      <c r="AH164" s="30"/>
    </row>
    <row r="165">
      <c r="A165" s="114" t="s">
        <v>230</v>
      </c>
      <c r="B165" s="114" t="s">
        <v>387</v>
      </c>
      <c r="C165" s="171" t="s">
        <v>414</v>
      </c>
      <c r="D165" s="114" t="s">
        <v>415</v>
      </c>
      <c r="E165" s="116">
        <v>2018.0</v>
      </c>
      <c r="F165" s="114"/>
      <c r="G165" s="116">
        <v>0.0</v>
      </c>
      <c r="H165" s="116">
        <v>4.6</v>
      </c>
      <c r="I165" s="114"/>
      <c r="J165" s="114"/>
      <c r="K165" s="114"/>
      <c r="L165" s="114"/>
      <c r="M165" s="116">
        <v>2.0</v>
      </c>
      <c r="N165" s="116">
        <v>117.0</v>
      </c>
      <c r="O165" s="114"/>
      <c r="P165" s="140">
        <v>3500.0</v>
      </c>
      <c r="Q165" s="114" t="s">
        <v>234</v>
      </c>
      <c r="R165" s="115">
        <v>2018.0</v>
      </c>
      <c r="S165" s="85">
        <v>0.237</v>
      </c>
      <c r="T165" s="118">
        <f t="shared" ref="T165:T171" si="57">P165*S165</f>
        <v>829.5</v>
      </c>
      <c r="U165" s="24">
        <f t="shared" si="3"/>
        <v>180.326087</v>
      </c>
      <c r="V165" s="3">
        <f t="shared" si="28"/>
        <v>0</v>
      </c>
      <c r="W165" s="3">
        <f t="shared" si="29"/>
        <v>0</v>
      </c>
      <c r="X165" s="3">
        <f t="shared" si="30"/>
        <v>0</v>
      </c>
      <c r="Y165" s="25">
        <f t="shared" si="31"/>
        <v>0</v>
      </c>
      <c r="Z165" s="26">
        <f>VLOOKUP(R165,CPI!$A$2:$F$71,6,0)</f>
        <v>1.28277786</v>
      </c>
      <c r="AA165" s="27">
        <f t="shared" si="8"/>
        <v>1064.064235</v>
      </c>
      <c r="AB165" s="27">
        <f t="shared" si="9"/>
        <v>231.3183119</v>
      </c>
      <c r="AC165" s="114"/>
      <c r="AD165" s="161" t="s">
        <v>416</v>
      </c>
      <c r="AE165" s="164"/>
      <c r="AF165" s="165"/>
      <c r="AG165" s="165"/>
      <c r="AH165" s="165"/>
    </row>
    <row r="166">
      <c r="A166" s="114" t="s">
        <v>230</v>
      </c>
      <c r="B166" s="114" t="s">
        <v>387</v>
      </c>
      <c r="C166" s="114" t="s">
        <v>417</v>
      </c>
      <c r="D166" s="114" t="s">
        <v>417</v>
      </c>
      <c r="E166" s="116">
        <v>2020.0</v>
      </c>
      <c r="F166" s="114"/>
      <c r="G166" s="116">
        <v>0.0</v>
      </c>
      <c r="H166" s="116">
        <v>37.353</v>
      </c>
      <c r="I166" s="117">
        <v>0.28</v>
      </c>
      <c r="J166" s="116">
        <v>10.386</v>
      </c>
      <c r="K166" s="114"/>
      <c r="L166" s="114"/>
      <c r="M166" s="116">
        <v>9.0</v>
      </c>
      <c r="N166" s="116">
        <v>92.0</v>
      </c>
      <c r="O166" s="114"/>
      <c r="P166" s="140">
        <v>8642.0</v>
      </c>
      <c r="Q166" s="114" t="s">
        <v>234</v>
      </c>
      <c r="R166" s="115">
        <v>2020.0</v>
      </c>
      <c r="S166" s="136">
        <v>0.239</v>
      </c>
      <c r="T166" s="118">
        <f t="shared" si="57"/>
        <v>2065.438</v>
      </c>
      <c r="U166" s="24">
        <f t="shared" si="3"/>
        <v>55.29510347</v>
      </c>
      <c r="V166" s="3">
        <f t="shared" si="28"/>
        <v>0</v>
      </c>
      <c r="W166" s="3">
        <f t="shared" si="29"/>
        <v>0</v>
      </c>
      <c r="X166" s="3">
        <f t="shared" si="30"/>
        <v>0</v>
      </c>
      <c r="Y166" s="25">
        <f t="shared" si="31"/>
        <v>0</v>
      </c>
      <c r="Z166" s="26">
        <f>VLOOKUP(R166,CPI!$A$2:$F$71,6,0)</f>
        <v>1.244593545</v>
      </c>
      <c r="AA166" s="27">
        <f t="shared" si="8"/>
        <v>2570.630803</v>
      </c>
      <c r="AB166" s="27">
        <f t="shared" si="9"/>
        <v>68.81992886</v>
      </c>
      <c r="AC166" s="114"/>
      <c r="AD166" s="119" t="s">
        <v>418</v>
      </c>
      <c r="AE166" s="190" t="s">
        <v>419</v>
      </c>
      <c r="AF166" s="191" t="s">
        <v>420</v>
      </c>
      <c r="AG166" s="165"/>
      <c r="AH166" s="165"/>
    </row>
    <row r="167">
      <c r="A167" s="114" t="s">
        <v>230</v>
      </c>
      <c r="B167" s="114" t="s">
        <v>387</v>
      </c>
      <c r="C167" s="171" t="s">
        <v>414</v>
      </c>
      <c r="D167" s="114" t="s">
        <v>414</v>
      </c>
      <c r="E167" s="116">
        <v>2020.0</v>
      </c>
      <c r="F167" s="114"/>
      <c r="G167" s="116">
        <v>0.0</v>
      </c>
      <c r="H167" s="116">
        <v>28.22</v>
      </c>
      <c r="I167" s="117">
        <v>0.21</v>
      </c>
      <c r="J167" s="116">
        <v>5.8</v>
      </c>
      <c r="K167" s="114"/>
      <c r="L167" s="114"/>
      <c r="M167" s="116">
        <v>7.0</v>
      </c>
      <c r="N167" s="116">
        <v>117.0</v>
      </c>
      <c r="O167" s="114"/>
      <c r="P167" s="140">
        <v>6892.0</v>
      </c>
      <c r="Q167" s="114" t="s">
        <v>234</v>
      </c>
      <c r="R167" s="115">
        <v>2020.0</v>
      </c>
      <c r="S167" s="136">
        <v>0.239</v>
      </c>
      <c r="T167" s="118">
        <f t="shared" si="57"/>
        <v>1647.188</v>
      </c>
      <c r="U167" s="24">
        <f t="shared" si="3"/>
        <v>58.36952516</v>
      </c>
      <c r="V167" s="3">
        <f t="shared" si="28"/>
        <v>0</v>
      </c>
      <c r="W167" s="3">
        <f t="shared" si="29"/>
        <v>0</v>
      </c>
      <c r="X167" s="3">
        <f t="shared" si="30"/>
        <v>0</v>
      </c>
      <c r="Y167" s="25">
        <f t="shared" si="31"/>
        <v>0</v>
      </c>
      <c r="Z167" s="26">
        <f>VLOOKUP(R167,CPI!$A$2:$F$71,6,0)</f>
        <v>1.244593545</v>
      </c>
      <c r="AA167" s="27">
        <f t="shared" si="8"/>
        <v>2050.079552</v>
      </c>
      <c r="AB167" s="27">
        <f t="shared" si="9"/>
        <v>72.64633424</v>
      </c>
      <c r="AC167" s="114"/>
      <c r="AD167" s="119" t="s">
        <v>421</v>
      </c>
      <c r="AE167" s="167" t="s">
        <v>422</v>
      </c>
      <c r="AF167" s="168"/>
      <c r="AG167" s="168"/>
      <c r="AH167" s="169"/>
    </row>
    <row r="168">
      <c r="A168" s="114" t="s">
        <v>230</v>
      </c>
      <c r="B168" s="114" t="s">
        <v>387</v>
      </c>
      <c r="C168" s="115" t="s">
        <v>260</v>
      </c>
      <c r="D168" s="115" t="s">
        <v>423</v>
      </c>
      <c r="E168" s="116">
        <v>2021.0</v>
      </c>
      <c r="F168" s="114"/>
      <c r="G168" s="116">
        <v>1.0</v>
      </c>
      <c r="H168" s="116">
        <v>32.8</v>
      </c>
      <c r="I168" s="117">
        <v>0.93</v>
      </c>
      <c r="J168" s="116">
        <v>30.5</v>
      </c>
      <c r="K168" s="114"/>
      <c r="L168" s="114"/>
      <c r="M168" s="116">
        <v>11.0</v>
      </c>
      <c r="N168" s="116">
        <v>138.0</v>
      </c>
      <c r="O168" s="114"/>
      <c r="P168" s="140">
        <v>22659.0</v>
      </c>
      <c r="Q168" s="114" t="s">
        <v>234</v>
      </c>
      <c r="R168" s="115">
        <v>2021.0</v>
      </c>
      <c r="S168" s="136">
        <v>0.239000000000001</v>
      </c>
      <c r="T168" s="118">
        <f t="shared" si="57"/>
        <v>5415.501</v>
      </c>
      <c r="U168" s="24">
        <f t="shared" si="3"/>
        <v>165.1067378</v>
      </c>
      <c r="V168" s="3">
        <f t="shared" si="28"/>
        <v>0</v>
      </c>
      <c r="W168" s="3">
        <f t="shared" si="29"/>
        <v>0</v>
      </c>
      <c r="X168" s="3">
        <f t="shared" si="30"/>
        <v>0</v>
      </c>
      <c r="Y168" s="25">
        <f t="shared" si="31"/>
        <v>0</v>
      </c>
      <c r="Z168" s="26">
        <f>VLOOKUP(R168,CPI!$A$2:$F$71,6,0)</f>
        <v>1.188745987</v>
      </c>
      <c r="AA168" s="27">
        <f t="shared" si="8"/>
        <v>6437.655079</v>
      </c>
      <c r="AB168" s="27">
        <f t="shared" si="9"/>
        <v>196.2699719</v>
      </c>
      <c r="AC168" s="114"/>
      <c r="AD168" s="119" t="s">
        <v>424</v>
      </c>
      <c r="AE168" s="164"/>
      <c r="AF168" s="165"/>
      <c r="AG168" s="165"/>
      <c r="AH168" s="165"/>
    </row>
    <row r="169">
      <c r="A169" s="114" t="s">
        <v>230</v>
      </c>
      <c r="B169" s="114" t="s">
        <v>387</v>
      </c>
      <c r="C169" s="16" t="s">
        <v>425</v>
      </c>
      <c r="D169" s="115" t="s">
        <v>426</v>
      </c>
      <c r="E169" s="116">
        <v>2021.0</v>
      </c>
      <c r="F169" s="114"/>
      <c r="G169" s="116">
        <v>0.0</v>
      </c>
      <c r="H169" s="116">
        <v>18.9</v>
      </c>
      <c r="I169" s="117">
        <v>1.0</v>
      </c>
      <c r="J169" s="116">
        <v>18.9</v>
      </c>
      <c r="K169" s="114"/>
      <c r="L169" s="114"/>
      <c r="M169" s="116">
        <v>12.0</v>
      </c>
      <c r="N169" s="116">
        <v>117.0</v>
      </c>
      <c r="O169" s="114"/>
      <c r="P169" s="140">
        <v>15364.0</v>
      </c>
      <c r="Q169" s="114" t="s">
        <v>234</v>
      </c>
      <c r="R169" s="115">
        <v>2021.0</v>
      </c>
      <c r="S169" s="136">
        <v>0.239000000000001</v>
      </c>
      <c r="T169" s="118">
        <f t="shared" si="57"/>
        <v>3671.996</v>
      </c>
      <c r="U169" s="24">
        <f t="shared" si="3"/>
        <v>194.2855026</v>
      </c>
      <c r="V169" s="3">
        <f t="shared" si="28"/>
        <v>0</v>
      </c>
      <c r="W169" s="3">
        <f t="shared" si="29"/>
        <v>0</v>
      </c>
      <c r="X169" s="3">
        <f t="shared" si="30"/>
        <v>0</v>
      </c>
      <c r="Y169" s="25">
        <f t="shared" si="31"/>
        <v>0</v>
      </c>
      <c r="Z169" s="26">
        <f>VLOOKUP(R169,CPI!$A$2:$F$71,6,0)</f>
        <v>1.188745987</v>
      </c>
      <c r="AA169" s="27">
        <f t="shared" si="8"/>
        <v>4365.070508</v>
      </c>
      <c r="AB169" s="27">
        <f t="shared" si="9"/>
        <v>230.9561115</v>
      </c>
      <c r="AC169" s="114"/>
      <c r="AD169" s="119" t="s">
        <v>427</v>
      </c>
      <c r="AE169" s="164"/>
      <c r="AF169" s="165"/>
      <c r="AG169" s="165"/>
      <c r="AH169" s="165"/>
    </row>
    <row r="170">
      <c r="A170" s="72" t="s">
        <v>230</v>
      </c>
      <c r="B170" s="72" t="s">
        <v>387</v>
      </c>
      <c r="C170" s="36" t="s">
        <v>253</v>
      </c>
      <c r="D170" s="115" t="s">
        <v>362</v>
      </c>
      <c r="E170" s="69">
        <v>2021.0</v>
      </c>
      <c r="F170" s="72"/>
      <c r="G170" s="69">
        <v>0.0</v>
      </c>
      <c r="H170" s="69">
        <v>32.3</v>
      </c>
      <c r="I170" s="192"/>
      <c r="J170" s="72"/>
      <c r="K170" s="72"/>
      <c r="L170" s="72"/>
      <c r="M170" s="69">
        <v>26.0</v>
      </c>
      <c r="N170" s="69">
        <v>117.0</v>
      </c>
      <c r="O170" s="72"/>
      <c r="P170" s="140">
        <v>21100.0</v>
      </c>
      <c r="Q170" s="72" t="s">
        <v>234</v>
      </c>
      <c r="R170" s="115">
        <v>2021.0</v>
      </c>
      <c r="S170" s="136">
        <v>0.239</v>
      </c>
      <c r="T170" s="118">
        <f t="shared" si="57"/>
        <v>5042.9</v>
      </c>
      <c r="U170" s="24">
        <f t="shared" si="3"/>
        <v>156.126935</v>
      </c>
      <c r="V170" s="3">
        <f t="shared" si="28"/>
        <v>0</v>
      </c>
      <c r="W170" s="3">
        <f t="shared" si="29"/>
        <v>0</v>
      </c>
      <c r="X170" s="3">
        <f t="shared" si="30"/>
        <v>0</v>
      </c>
      <c r="Y170" s="25">
        <f t="shared" si="31"/>
        <v>0</v>
      </c>
      <c r="Z170" s="26">
        <f>VLOOKUP(R170,CPI!$A$2:$F$71,6,0)</f>
        <v>1.188745987</v>
      </c>
      <c r="AA170" s="27">
        <f t="shared" si="8"/>
        <v>5994.727136</v>
      </c>
      <c r="AB170" s="27">
        <f t="shared" si="9"/>
        <v>185.5952674</v>
      </c>
      <c r="AC170" s="72" t="s">
        <v>36</v>
      </c>
      <c r="AD170" s="79" t="s">
        <v>428</v>
      </c>
      <c r="AE170" s="186"/>
      <c r="AF170" s="187"/>
      <c r="AG170" s="187"/>
      <c r="AH170" s="187"/>
    </row>
    <row r="171">
      <c r="A171" s="114" t="s">
        <v>230</v>
      </c>
      <c r="B171" s="114" t="s">
        <v>387</v>
      </c>
      <c r="C171" s="171" t="s">
        <v>80</v>
      </c>
      <c r="D171" s="114" t="s">
        <v>342</v>
      </c>
      <c r="E171" s="116">
        <v>2022.0</v>
      </c>
      <c r="F171" s="114"/>
      <c r="G171" s="116">
        <v>0.0</v>
      </c>
      <c r="H171" s="116">
        <v>6.7</v>
      </c>
      <c r="I171" s="114"/>
      <c r="J171" s="114"/>
      <c r="K171" s="114"/>
      <c r="L171" s="114"/>
      <c r="M171" s="116">
        <v>3.0</v>
      </c>
      <c r="N171" s="116">
        <v>117.0</v>
      </c>
      <c r="O171" s="114"/>
      <c r="P171" s="140">
        <v>4469.0</v>
      </c>
      <c r="Q171" s="114" t="s">
        <v>234</v>
      </c>
      <c r="R171" s="115">
        <v>2021.0</v>
      </c>
      <c r="S171" s="136">
        <v>0.239000000000001</v>
      </c>
      <c r="T171" s="118">
        <f t="shared" si="57"/>
        <v>1068.091</v>
      </c>
      <c r="U171" s="24">
        <f t="shared" si="3"/>
        <v>159.4165672</v>
      </c>
      <c r="V171" s="3">
        <f t="shared" si="28"/>
        <v>0</v>
      </c>
      <c r="W171" s="3">
        <f t="shared" si="29"/>
        <v>0</v>
      </c>
      <c r="X171" s="3">
        <f t="shared" si="30"/>
        <v>0</v>
      </c>
      <c r="Y171" s="25">
        <f t="shared" si="31"/>
        <v>0</v>
      </c>
      <c r="Z171" s="26">
        <f>VLOOKUP(R171,CPI!$A$2:$F$71,6,0)</f>
        <v>1.188745987</v>
      </c>
      <c r="AA171" s="27">
        <f t="shared" si="8"/>
        <v>1269.68889</v>
      </c>
      <c r="AB171" s="27">
        <f t="shared" si="9"/>
        <v>189.5058044</v>
      </c>
      <c r="AC171" s="114"/>
      <c r="AD171" s="119" t="s">
        <v>429</v>
      </c>
      <c r="AE171" s="164"/>
      <c r="AF171" s="165"/>
      <c r="AG171" s="165"/>
      <c r="AH171" s="165"/>
    </row>
    <row r="172">
      <c r="A172" s="130" t="s">
        <v>230</v>
      </c>
      <c r="B172" s="130" t="s">
        <v>387</v>
      </c>
      <c r="C172" s="36" t="s">
        <v>110</v>
      </c>
      <c r="D172" s="130" t="s">
        <v>358</v>
      </c>
      <c r="E172" s="130"/>
      <c r="F172" s="130"/>
      <c r="G172" s="130">
        <v>0.0</v>
      </c>
      <c r="H172" s="130">
        <v>32.6</v>
      </c>
      <c r="I172" s="131">
        <v>0.6340490798</v>
      </c>
      <c r="J172" s="130">
        <v>20.67</v>
      </c>
      <c r="K172" s="132">
        <v>0.0</v>
      </c>
      <c r="L172" s="132">
        <v>0.0</v>
      </c>
      <c r="M172" s="130">
        <v>14.0</v>
      </c>
      <c r="N172" s="138"/>
      <c r="O172" s="130" t="s">
        <v>60</v>
      </c>
      <c r="P172" s="135">
        <v>18068.0</v>
      </c>
      <c r="Q172" s="130" t="s">
        <v>234</v>
      </c>
      <c r="R172" s="130">
        <v>2018.0</v>
      </c>
      <c r="S172" s="136">
        <v>0.237</v>
      </c>
      <c r="T172" s="128">
        <f>S172*P172</f>
        <v>4282.116</v>
      </c>
      <c r="U172" s="24">
        <f t="shared" si="3"/>
        <v>131.3532515</v>
      </c>
      <c r="V172" s="3">
        <f t="shared" si="28"/>
        <v>0</v>
      </c>
      <c r="W172" s="3">
        <f t="shared" si="29"/>
        <v>0</v>
      </c>
      <c r="X172" s="3">
        <f t="shared" si="30"/>
        <v>0</v>
      </c>
      <c r="Y172" s="25">
        <f t="shared" si="31"/>
        <v>0</v>
      </c>
      <c r="Z172" s="26">
        <f>VLOOKUP(R172,CPI!$A$2:$F$71,6,0)</f>
        <v>1.28277786</v>
      </c>
      <c r="AA172" s="27">
        <f t="shared" si="8"/>
        <v>5493.003597</v>
      </c>
      <c r="AB172" s="27">
        <f t="shared" si="9"/>
        <v>168.4970429</v>
      </c>
      <c r="AC172" s="130" t="s">
        <v>60</v>
      </c>
      <c r="AD172" s="137" t="s">
        <v>391</v>
      </c>
      <c r="AE172" s="34"/>
      <c r="AF172" s="34"/>
      <c r="AG172" s="34"/>
      <c r="AH172" s="34"/>
    </row>
    <row r="173">
      <c r="A173" s="114" t="s">
        <v>230</v>
      </c>
      <c r="B173" s="114" t="s">
        <v>430</v>
      </c>
      <c r="C173" s="115" t="s">
        <v>57</v>
      </c>
      <c r="D173" s="115" t="s">
        <v>354</v>
      </c>
      <c r="E173" s="116">
        <v>2010.0</v>
      </c>
      <c r="F173" s="116">
        <v>2021.0</v>
      </c>
      <c r="G173" s="116">
        <v>0.0</v>
      </c>
      <c r="H173" s="116">
        <v>13.2</v>
      </c>
      <c r="I173" s="117">
        <v>0.14</v>
      </c>
      <c r="J173" s="116">
        <v>1.8</v>
      </c>
      <c r="K173" s="114"/>
      <c r="L173" s="114"/>
      <c r="M173" s="116">
        <v>3.0</v>
      </c>
      <c r="N173" s="116">
        <v>117.0</v>
      </c>
      <c r="O173" s="114" t="s">
        <v>60</v>
      </c>
      <c r="P173" s="140">
        <v>7200.0</v>
      </c>
      <c r="Q173" s="114" t="s">
        <v>234</v>
      </c>
      <c r="R173" s="115">
        <v>2016.0</v>
      </c>
      <c r="S173" s="85">
        <v>0.251</v>
      </c>
      <c r="T173" s="118">
        <f t="shared" ref="T173:T174" si="58">P173*S173</f>
        <v>1807.2</v>
      </c>
      <c r="U173" s="24">
        <f t="shared" si="3"/>
        <v>136.9090909</v>
      </c>
      <c r="V173" s="3">
        <f t="shared" si="28"/>
        <v>0</v>
      </c>
      <c r="W173" s="3">
        <f t="shared" si="29"/>
        <v>0</v>
      </c>
      <c r="X173" s="3">
        <f t="shared" si="30"/>
        <v>0</v>
      </c>
      <c r="Y173" s="25">
        <f t="shared" si="31"/>
        <v>0</v>
      </c>
      <c r="Z173" s="26">
        <f>VLOOKUP(R173,CPI!$A$2:$F$71,6,0)</f>
        <v>1.342104605</v>
      </c>
      <c r="AA173" s="27">
        <f t="shared" si="8"/>
        <v>2425.451443</v>
      </c>
      <c r="AB173" s="27">
        <f t="shared" si="9"/>
        <v>183.7463214</v>
      </c>
      <c r="AC173" s="114" t="s">
        <v>60</v>
      </c>
      <c r="AD173" s="119" t="s">
        <v>431</v>
      </c>
      <c r="AE173" s="7"/>
      <c r="AF173" s="7"/>
      <c r="AG173" s="7"/>
      <c r="AH173" s="7"/>
    </row>
    <row r="174">
      <c r="A174" s="114" t="s">
        <v>230</v>
      </c>
      <c r="B174" s="114" t="s">
        <v>430</v>
      </c>
      <c r="C174" s="114" t="s">
        <v>110</v>
      </c>
      <c r="D174" s="114" t="s">
        <v>110</v>
      </c>
      <c r="E174" s="116">
        <v>2010.0</v>
      </c>
      <c r="F174" s="116">
        <v>2022.0</v>
      </c>
      <c r="G174" s="114">
        <v>0.0</v>
      </c>
      <c r="H174" s="114">
        <v>24.484</v>
      </c>
      <c r="I174" s="116">
        <v>1.0</v>
      </c>
      <c r="J174" s="116">
        <v>24.484</v>
      </c>
      <c r="K174" s="114"/>
      <c r="L174" s="114"/>
      <c r="M174" s="114">
        <v>18.0</v>
      </c>
      <c r="N174" s="116">
        <v>117.0</v>
      </c>
      <c r="O174" s="114" t="s">
        <v>36</v>
      </c>
      <c r="P174" s="140">
        <v>18217.0</v>
      </c>
      <c r="Q174" s="114" t="s">
        <v>234</v>
      </c>
      <c r="R174" s="115">
        <v>2016.0</v>
      </c>
      <c r="S174" s="85">
        <v>0.251</v>
      </c>
      <c r="T174" s="118">
        <f t="shared" si="58"/>
        <v>4572.467</v>
      </c>
      <c r="U174" s="24">
        <f t="shared" si="3"/>
        <v>186.7532674</v>
      </c>
      <c r="V174" s="3">
        <f t="shared" si="28"/>
        <v>0</v>
      </c>
      <c r="W174" s="3">
        <f t="shared" si="29"/>
        <v>0</v>
      </c>
      <c r="X174" s="3">
        <f t="shared" si="30"/>
        <v>0</v>
      </c>
      <c r="Y174" s="25">
        <f t="shared" si="31"/>
        <v>0</v>
      </c>
      <c r="Z174" s="26">
        <f>VLOOKUP(R174,CPI!$A$2:$F$71,6,0)</f>
        <v>1.342104605</v>
      </c>
      <c r="AA174" s="27">
        <f t="shared" si="8"/>
        <v>6136.729018</v>
      </c>
      <c r="AB174" s="27">
        <f t="shared" si="9"/>
        <v>250.6424203</v>
      </c>
      <c r="AC174" s="114" t="s">
        <v>36</v>
      </c>
      <c r="AD174" s="119" t="s">
        <v>432</v>
      </c>
      <c r="AE174" s="173"/>
      <c r="AF174" s="174"/>
      <c r="AG174" s="174"/>
      <c r="AH174" s="174"/>
    </row>
    <row r="175">
      <c r="A175" s="130" t="s">
        <v>230</v>
      </c>
      <c r="B175" s="130" t="s">
        <v>433</v>
      </c>
      <c r="C175" s="36" t="s">
        <v>57</v>
      </c>
      <c r="D175" s="130" t="s">
        <v>232</v>
      </c>
      <c r="E175" s="69">
        <v>2021.0</v>
      </c>
      <c r="F175" s="69">
        <v>2026.0</v>
      </c>
      <c r="G175" s="69">
        <v>0.0</v>
      </c>
      <c r="H175" s="69">
        <v>57.46</v>
      </c>
      <c r="I175" s="117">
        <v>0.86</v>
      </c>
      <c r="J175" s="193">
        <v>49.4</v>
      </c>
      <c r="K175" s="72"/>
      <c r="L175" s="72"/>
      <c r="M175" s="69">
        <v>25.0</v>
      </c>
      <c r="N175" s="69">
        <v>117.0</v>
      </c>
      <c r="O175" s="72"/>
      <c r="P175" s="73">
        <v>37976.0</v>
      </c>
      <c r="Q175" s="72" t="s">
        <v>234</v>
      </c>
      <c r="R175" s="138">
        <v>2019.0</v>
      </c>
      <c r="S175" s="136">
        <v>0.238</v>
      </c>
      <c r="T175" s="194">
        <f t="shared" ref="T175:T181" si="59">S175*P175</f>
        <v>9038.288</v>
      </c>
      <c r="U175" s="24">
        <f t="shared" si="3"/>
        <v>157.2970414</v>
      </c>
      <c r="V175" s="3">
        <f t="shared" si="28"/>
        <v>0</v>
      </c>
      <c r="W175" s="3">
        <f t="shared" si="29"/>
        <v>0</v>
      </c>
      <c r="X175" s="3">
        <f t="shared" si="30"/>
        <v>0</v>
      </c>
      <c r="Y175" s="25">
        <f t="shared" si="31"/>
        <v>0</v>
      </c>
      <c r="Z175" s="26">
        <f>VLOOKUP(R175,CPI!$A$2:$F$71,6,0)</f>
        <v>1.259947899</v>
      </c>
      <c r="AA175" s="27">
        <f t="shared" si="8"/>
        <v>11387.77198</v>
      </c>
      <c r="AB175" s="27">
        <f t="shared" si="9"/>
        <v>198.1860768</v>
      </c>
      <c r="AC175" s="130" t="s">
        <v>60</v>
      </c>
      <c r="AD175" s="195" t="s">
        <v>434</v>
      </c>
      <c r="AE175" s="29"/>
      <c r="AF175" s="30"/>
      <c r="AG175" s="30"/>
      <c r="AH175" s="30"/>
    </row>
    <row r="176">
      <c r="A176" s="130" t="s">
        <v>230</v>
      </c>
      <c r="B176" s="130" t="s">
        <v>433</v>
      </c>
      <c r="C176" s="36" t="s">
        <v>57</v>
      </c>
      <c r="D176" s="130" t="s">
        <v>354</v>
      </c>
      <c r="E176" s="69">
        <v>2021.0</v>
      </c>
      <c r="F176" s="69">
        <v>2026.0</v>
      </c>
      <c r="G176" s="69">
        <v>0.0</v>
      </c>
      <c r="H176" s="69">
        <v>51.5</v>
      </c>
      <c r="I176" s="117">
        <v>1.0</v>
      </c>
      <c r="J176" s="193">
        <v>51.5</v>
      </c>
      <c r="K176" s="72"/>
      <c r="L176" s="72"/>
      <c r="M176" s="69">
        <v>20.0</v>
      </c>
      <c r="N176" s="69">
        <v>117.0</v>
      </c>
      <c r="O176" s="72"/>
      <c r="P176" s="73">
        <v>36807.0</v>
      </c>
      <c r="Q176" s="130" t="s">
        <v>234</v>
      </c>
      <c r="R176" s="138">
        <v>2019.0</v>
      </c>
      <c r="S176" s="136">
        <v>0.238</v>
      </c>
      <c r="T176" s="194">
        <f t="shared" si="59"/>
        <v>8760.066</v>
      </c>
      <c r="U176" s="24">
        <f t="shared" si="3"/>
        <v>170.0983689</v>
      </c>
      <c r="V176" s="3">
        <f t="shared" si="28"/>
        <v>0</v>
      </c>
      <c r="W176" s="3">
        <f t="shared" si="29"/>
        <v>0</v>
      </c>
      <c r="X176" s="3">
        <f t="shared" si="30"/>
        <v>0</v>
      </c>
      <c r="Y176" s="25">
        <f t="shared" si="31"/>
        <v>0</v>
      </c>
      <c r="Z176" s="26">
        <f>VLOOKUP(R176,CPI!$A$2:$F$71,6,0)</f>
        <v>1.259947899</v>
      </c>
      <c r="AA176" s="27">
        <f t="shared" si="8"/>
        <v>11037.22675</v>
      </c>
      <c r="AB176" s="27">
        <f t="shared" si="9"/>
        <v>214.3150825</v>
      </c>
      <c r="AC176" s="130" t="s">
        <v>60</v>
      </c>
      <c r="AD176" s="196" t="s">
        <v>435</v>
      </c>
      <c r="AE176" s="29"/>
      <c r="AF176" s="30"/>
      <c r="AG176" s="30"/>
      <c r="AH176" s="30"/>
    </row>
    <row r="177">
      <c r="A177" s="130" t="s">
        <v>230</v>
      </c>
      <c r="B177" s="130" t="s">
        <v>433</v>
      </c>
      <c r="C177" s="36" t="s">
        <v>57</v>
      </c>
      <c r="D177" s="130" t="s">
        <v>436</v>
      </c>
      <c r="E177" s="138">
        <v>2022.0</v>
      </c>
      <c r="F177" s="138">
        <v>2027.0</v>
      </c>
      <c r="G177" s="138">
        <v>0.0</v>
      </c>
      <c r="H177" s="138">
        <v>25.56</v>
      </c>
      <c r="I177" s="197">
        <f>J177/H177</f>
        <v>1</v>
      </c>
      <c r="J177" s="198">
        <v>25.56</v>
      </c>
      <c r="K177" s="199">
        <v>0.0</v>
      </c>
      <c r="L177" s="199">
        <v>0.0</v>
      </c>
      <c r="M177" s="138">
        <v>10.0</v>
      </c>
      <c r="N177" s="138"/>
      <c r="O177" s="130" t="s">
        <v>60</v>
      </c>
      <c r="P177" s="200">
        <v>17499.0</v>
      </c>
      <c r="Q177" s="130" t="s">
        <v>234</v>
      </c>
      <c r="R177" s="138">
        <v>2019.0</v>
      </c>
      <c r="S177" s="136">
        <v>0.238</v>
      </c>
      <c r="T177" s="194">
        <f t="shared" si="59"/>
        <v>4164.762</v>
      </c>
      <c r="U177" s="24">
        <f t="shared" si="3"/>
        <v>162.9406103</v>
      </c>
      <c r="V177" s="3">
        <f t="shared" si="28"/>
        <v>0</v>
      </c>
      <c r="W177" s="3">
        <f t="shared" si="29"/>
        <v>0</v>
      </c>
      <c r="X177" s="3">
        <f t="shared" si="30"/>
        <v>0</v>
      </c>
      <c r="Y177" s="25">
        <f t="shared" si="31"/>
        <v>0</v>
      </c>
      <c r="Z177" s="26">
        <f>VLOOKUP(R177,CPI!$A$2:$F$71,6,0)</f>
        <v>1.259947899</v>
      </c>
      <c r="AA177" s="27">
        <f t="shared" si="8"/>
        <v>5247.383131</v>
      </c>
      <c r="AB177" s="27">
        <f t="shared" si="9"/>
        <v>205.2966796</v>
      </c>
      <c r="AC177" s="130" t="s">
        <v>60</v>
      </c>
      <c r="AD177" s="196" t="s">
        <v>435</v>
      </c>
      <c r="AE177" s="29"/>
      <c r="AF177" s="30"/>
      <c r="AG177" s="30"/>
      <c r="AH177" s="30"/>
    </row>
    <row r="178">
      <c r="A178" s="72" t="s">
        <v>230</v>
      </c>
      <c r="B178" s="72" t="s">
        <v>433</v>
      </c>
      <c r="C178" s="16" t="s">
        <v>54</v>
      </c>
      <c r="D178" s="115" t="s">
        <v>437</v>
      </c>
      <c r="E178" s="69">
        <v>2022.0</v>
      </c>
      <c r="F178" s="69">
        <v>2027.0</v>
      </c>
      <c r="G178" s="69">
        <v>0.0</v>
      </c>
      <c r="H178" s="69">
        <v>17.5</v>
      </c>
      <c r="I178" s="117">
        <v>0.96</v>
      </c>
      <c r="J178" s="193">
        <v>16.8</v>
      </c>
      <c r="K178" s="72"/>
      <c r="L178" s="72"/>
      <c r="M178" s="69">
        <v>9.0</v>
      </c>
      <c r="N178" s="69">
        <v>117.0</v>
      </c>
      <c r="O178" s="72"/>
      <c r="P178" s="73">
        <v>14690.0</v>
      </c>
      <c r="Q178" s="72" t="s">
        <v>234</v>
      </c>
      <c r="R178" s="138">
        <v>2019.0</v>
      </c>
      <c r="S178" s="136">
        <v>0.238</v>
      </c>
      <c r="T178" s="194">
        <f t="shared" si="59"/>
        <v>3496.22</v>
      </c>
      <c r="U178" s="24">
        <f t="shared" si="3"/>
        <v>199.784</v>
      </c>
      <c r="V178" s="3">
        <f t="shared" si="28"/>
        <v>0</v>
      </c>
      <c r="W178" s="3">
        <f t="shared" si="29"/>
        <v>0</v>
      </c>
      <c r="X178" s="3">
        <f t="shared" si="30"/>
        <v>0</v>
      </c>
      <c r="Y178" s="25">
        <f t="shared" si="31"/>
        <v>0</v>
      </c>
      <c r="Z178" s="26">
        <f>VLOOKUP(R178,CPI!$A$2:$F$71,6,0)</f>
        <v>1.259947899</v>
      </c>
      <c r="AA178" s="27">
        <f t="shared" si="8"/>
        <v>4405.055043</v>
      </c>
      <c r="AB178" s="27">
        <f t="shared" si="9"/>
        <v>251.717431</v>
      </c>
      <c r="AC178" s="72" t="s">
        <v>36</v>
      </c>
      <c r="AD178" s="79" t="s">
        <v>438</v>
      </c>
      <c r="AE178" s="29"/>
      <c r="AF178" s="30"/>
      <c r="AG178" s="30"/>
      <c r="AH178" s="30"/>
    </row>
    <row r="179">
      <c r="A179" s="130" t="s">
        <v>230</v>
      </c>
      <c r="B179" s="130" t="s">
        <v>433</v>
      </c>
      <c r="C179" s="36" t="s">
        <v>57</v>
      </c>
      <c r="D179" s="130" t="s">
        <v>410</v>
      </c>
      <c r="E179" s="138">
        <v>2023.0</v>
      </c>
      <c r="F179" s="138">
        <v>2028.0</v>
      </c>
      <c r="G179" s="138">
        <v>0.0</v>
      </c>
      <c r="H179" s="138">
        <v>10.9</v>
      </c>
      <c r="I179" s="197">
        <f t="shared" ref="I179:I181" si="60">J179/H179</f>
        <v>0.3486238532</v>
      </c>
      <c r="J179" s="198">
        <v>3.8</v>
      </c>
      <c r="K179" s="199">
        <v>0.0</v>
      </c>
      <c r="L179" s="199">
        <v>0.0</v>
      </c>
      <c r="M179" s="138">
        <v>4.0</v>
      </c>
      <c r="N179" s="138"/>
      <c r="O179" s="130" t="s">
        <v>60</v>
      </c>
      <c r="P179" s="200">
        <v>6055.0</v>
      </c>
      <c r="Q179" s="130" t="s">
        <v>234</v>
      </c>
      <c r="R179" s="138">
        <v>2019.0</v>
      </c>
      <c r="S179" s="136">
        <v>0.238</v>
      </c>
      <c r="T179" s="194">
        <f t="shared" si="59"/>
        <v>1441.09</v>
      </c>
      <c r="U179" s="24">
        <f t="shared" si="3"/>
        <v>132.2100917</v>
      </c>
      <c r="V179" s="3">
        <f t="shared" si="28"/>
        <v>0</v>
      </c>
      <c r="W179" s="3">
        <f t="shared" si="29"/>
        <v>0</v>
      </c>
      <c r="X179" s="3">
        <f t="shared" si="30"/>
        <v>0</v>
      </c>
      <c r="Y179" s="25">
        <f t="shared" si="31"/>
        <v>0</v>
      </c>
      <c r="Z179" s="26">
        <f>VLOOKUP(R179,CPI!$A$2:$F$71,6,0)</f>
        <v>1.259947899</v>
      </c>
      <c r="AA179" s="27">
        <f t="shared" si="8"/>
        <v>1815.698318</v>
      </c>
      <c r="AB179" s="27">
        <f t="shared" si="9"/>
        <v>166.5778273</v>
      </c>
      <c r="AC179" s="130" t="s">
        <v>60</v>
      </c>
      <c r="AD179" s="196" t="s">
        <v>435</v>
      </c>
      <c r="AE179" s="29"/>
      <c r="AF179" s="30"/>
      <c r="AG179" s="30"/>
      <c r="AH179" s="30"/>
    </row>
    <row r="180">
      <c r="A180" s="130" t="s">
        <v>230</v>
      </c>
      <c r="B180" s="130" t="s">
        <v>433</v>
      </c>
      <c r="C180" s="36" t="s">
        <v>87</v>
      </c>
      <c r="D180" s="130" t="s">
        <v>331</v>
      </c>
      <c r="E180" s="138">
        <v>2023.0</v>
      </c>
      <c r="F180" s="138">
        <v>2028.0</v>
      </c>
      <c r="G180" s="138">
        <v>0.0</v>
      </c>
      <c r="H180" s="138">
        <v>50.14</v>
      </c>
      <c r="I180" s="197">
        <f t="shared" si="60"/>
        <v>1</v>
      </c>
      <c r="J180" s="198">
        <v>50.14</v>
      </c>
      <c r="K180" s="199">
        <v>0.0</v>
      </c>
      <c r="L180" s="199">
        <v>0.0</v>
      </c>
      <c r="M180" s="138">
        <v>18.0</v>
      </c>
      <c r="N180" s="138"/>
      <c r="O180" s="130" t="s">
        <v>60</v>
      </c>
      <c r="P180" s="200">
        <v>32178.0</v>
      </c>
      <c r="Q180" s="130" t="s">
        <v>234</v>
      </c>
      <c r="R180" s="138">
        <v>2019.0</v>
      </c>
      <c r="S180" s="136">
        <v>0.238</v>
      </c>
      <c r="T180" s="194">
        <f t="shared" si="59"/>
        <v>7658.364</v>
      </c>
      <c r="U180" s="24">
        <f t="shared" si="3"/>
        <v>152.7396091</v>
      </c>
      <c r="V180" s="3">
        <f t="shared" si="28"/>
        <v>0</v>
      </c>
      <c r="W180" s="3">
        <f t="shared" si="29"/>
        <v>0</v>
      </c>
      <c r="X180" s="3">
        <f t="shared" si="30"/>
        <v>0</v>
      </c>
      <c r="Y180" s="25">
        <f t="shared" si="31"/>
        <v>0</v>
      </c>
      <c r="Z180" s="26">
        <f>VLOOKUP(R180,CPI!$A$2:$F$71,6,0)</f>
        <v>1.259947899</v>
      </c>
      <c r="AA180" s="27">
        <f t="shared" si="8"/>
        <v>9649.139631</v>
      </c>
      <c r="AB180" s="27">
        <f t="shared" si="9"/>
        <v>192.4439496</v>
      </c>
      <c r="AC180" s="130" t="s">
        <v>60</v>
      </c>
      <c r="AD180" s="149" t="s">
        <v>434</v>
      </c>
      <c r="AE180" s="29"/>
      <c r="AF180" s="30"/>
      <c r="AG180" s="30"/>
      <c r="AH180" s="30"/>
    </row>
    <row r="181">
      <c r="A181" s="130" t="s">
        <v>230</v>
      </c>
      <c r="B181" s="130" t="s">
        <v>433</v>
      </c>
      <c r="C181" s="36" t="s">
        <v>87</v>
      </c>
      <c r="D181" s="130" t="s">
        <v>439</v>
      </c>
      <c r="E181" s="138">
        <v>2024.0</v>
      </c>
      <c r="F181" s="138">
        <v>2028.0</v>
      </c>
      <c r="G181" s="138">
        <v>0.0</v>
      </c>
      <c r="H181" s="138">
        <v>1.8</v>
      </c>
      <c r="I181" s="197">
        <f t="shared" si="60"/>
        <v>1</v>
      </c>
      <c r="J181" s="198">
        <v>1.8</v>
      </c>
      <c r="K181" s="199">
        <v>0.0</v>
      </c>
      <c r="L181" s="199">
        <v>0.0</v>
      </c>
      <c r="M181" s="138">
        <v>1.0</v>
      </c>
      <c r="N181" s="138"/>
      <c r="O181" s="130" t="s">
        <v>60</v>
      </c>
      <c r="P181" s="200">
        <v>1297.0</v>
      </c>
      <c r="Q181" s="130" t="s">
        <v>234</v>
      </c>
      <c r="R181" s="138">
        <v>2019.0</v>
      </c>
      <c r="S181" s="136">
        <v>0.238</v>
      </c>
      <c r="T181" s="194">
        <f t="shared" si="59"/>
        <v>308.686</v>
      </c>
      <c r="U181" s="24">
        <f t="shared" si="3"/>
        <v>171.4922222</v>
      </c>
      <c r="V181" s="3">
        <f t="shared" si="28"/>
        <v>0</v>
      </c>
      <c r="W181" s="3">
        <f t="shared" si="29"/>
        <v>0</v>
      </c>
      <c r="X181" s="3">
        <f t="shared" si="30"/>
        <v>0</v>
      </c>
      <c r="Y181" s="25">
        <f t="shared" si="31"/>
        <v>0</v>
      </c>
      <c r="Z181" s="26">
        <f>VLOOKUP(R181,CPI!$A$2:$F$71,6,0)</f>
        <v>1.259947899</v>
      </c>
      <c r="AA181" s="27">
        <f t="shared" si="8"/>
        <v>388.9282771</v>
      </c>
      <c r="AB181" s="27">
        <f t="shared" si="9"/>
        <v>216.0712651</v>
      </c>
      <c r="AC181" s="130" t="s">
        <v>60</v>
      </c>
      <c r="AD181" s="196" t="s">
        <v>435</v>
      </c>
      <c r="AE181" s="29"/>
      <c r="AF181" s="30"/>
      <c r="AG181" s="30"/>
      <c r="AH181" s="30"/>
    </row>
    <row r="182">
      <c r="A182" s="114" t="s">
        <v>230</v>
      </c>
      <c r="B182" s="114" t="s">
        <v>440</v>
      </c>
      <c r="C182" s="114" t="s">
        <v>441</v>
      </c>
      <c r="D182" s="114" t="s">
        <v>441</v>
      </c>
      <c r="E182" s="116">
        <v>2007.0</v>
      </c>
      <c r="F182" s="116">
        <v>2011.0</v>
      </c>
      <c r="G182" s="116">
        <v>0.0</v>
      </c>
      <c r="H182" s="116">
        <v>32.16</v>
      </c>
      <c r="I182" s="117">
        <v>1.0</v>
      </c>
      <c r="J182" s="116">
        <v>32.16</v>
      </c>
      <c r="K182" s="114"/>
      <c r="L182" s="114"/>
      <c r="M182" s="116">
        <v>21.0</v>
      </c>
      <c r="N182" s="116">
        <v>78.0</v>
      </c>
      <c r="O182" s="114"/>
      <c r="P182" s="140">
        <v>14519.0</v>
      </c>
      <c r="Q182" s="114" t="s">
        <v>234</v>
      </c>
      <c r="R182" s="115">
        <v>2009.0</v>
      </c>
      <c r="S182" s="85">
        <v>0.317</v>
      </c>
      <c r="T182" s="118">
        <f t="shared" ref="T182:T205" si="61">P182*S182</f>
        <v>4602.523</v>
      </c>
      <c r="U182" s="24">
        <f t="shared" si="3"/>
        <v>143.1132774</v>
      </c>
      <c r="V182" s="3">
        <f t="shared" si="28"/>
        <v>0</v>
      </c>
      <c r="W182" s="3">
        <f t="shared" si="29"/>
        <v>0</v>
      </c>
      <c r="X182" s="3">
        <f t="shared" si="30"/>
        <v>0</v>
      </c>
      <c r="Y182" s="25">
        <f t="shared" si="31"/>
        <v>0</v>
      </c>
      <c r="Z182" s="26">
        <f>VLOOKUP(R182,CPI!$A$2:$F$71,6,0)</f>
        <v>1.501440311</v>
      </c>
      <c r="AA182" s="27">
        <f t="shared" si="8"/>
        <v>6910.413564</v>
      </c>
      <c r="AB182" s="27">
        <f t="shared" si="9"/>
        <v>214.8760437</v>
      </c>
      <c r="AC182" s="114"/>
      <c r="AD182" s="161" t="s">
        <v>442</v>
      </c>
      <c r="AE182" s="173"/>
      <c r="AF182" s="174"/>
      <c r="AG182" s="174"/>
      <c r="AH182" s="174"/>
    </row>
    <row r="183">
      <c r="A183" s="114" t="s">
        <v>230</v>
      </c>
      <c r="B183" s="114" t="s">
        <v>440</v>
      </c>
      <c r="C183" s="115" t="s">
        <v>54</v>
      </c>
      <c r="D183" s="115" t="s">
        <v>348</v>
      </c>
      <c r="E183" s="116">
        <v>2014.0</v>
      </c>
      <c r="F183" s="116">
        <v>2021.0</v>
      </c>
      <c r="G183" s="116">
        <v>0.0</v>
      </c>
      <c r="H183" s="116">
        <v>32.41</v>
      </c>
      <c r="I183" s="117">
        <v>0.78</v>
      </c>
      <c r="J183" s="116">
        <v>25.3</v>
      </c>
      <c r="K183" s="114"/>
      <c r="L183" s="114"/>
      <c r="M183" s="116">
        <v>17.0</v>
      </c>
      <c r="N183" s="116">
        <v>117.0</v>
      </c>
      <c r="O183" s="114"/>
      <c r="P183" s="140">
        <v>20671.0</v>
      </c>
      <c r="Q183" s="114" t="s">
        <v>234</v>
      </c>
      <c r="R183" s="115">
        <v>2018.0</v>
      </c>
      <c r="S183" s="85">
        <v>0.237</v>
      </c>
      <c r="T183" s="118">
        <f t="shared" si="61"/>
        <v>4899.027</v>
      </c>
      <c r="U183" s="24">
        <f t="shared" si="3"/>
        <v>151.1578834</v>
      </c>
      <c r="V183" s="3">
        <f t="shared" si="28"/>
        <v>0</v>
      </c>
      <c r="W183" s="3">
        <f t="shared" si="29"/>
        <v>0</v>
      </c>
      <c r="X183" s="3">
        <f t="shared" si="30"/>
        <v>0</v>
      </c>
      <c r="Y183" s="25">
        <f t="shared" si="31"/>
        <v>0</v>
      </c>
      <c r="Z183" s="26">
        <f>VLOOKUP(R183,CPI!$A$2:$F$71,6,0)</f>
        <v>1.28277786</v>
      </c>
      <c r="AA183" s="27">
        <f t="shared" si="8"/>
        <v>6284.363369</v>
      </c>
      <c r="AB183" s="27">
        <f t="shared" si="9"/>
        <v>193.9019861</v>
      </c>
      <c r="AC183" s="114"/>
      <c r="AD183" s="119" t="s">
        <v>443</v>
      </c>
      <c r="AE183" s="164"/>
      <c r="AF183" s="165"/>
      <c r="AG183" s="165"/>
      <c r="AH183" s="165"/>
    </row>
    <row r="184">
      <c r="A184" s="114" t="s">
        <v>230</v>
      </c>
      <c r="B184" s="114" t="s">
        <v>440</v>
      </c>
      <c r="C184" s="16" t="s">
        <v>87</v>
      </c>
      <c r="D184" s="115" t="s">
        <v>331</v>
      </c>
      <c r="E184" s="116">
        <v>2016.0</v>
      </c>
      <c r="F184" s="116">
        <v>2022.0</v>
      </c>
      <c r="G184" s="116">
        <v>0.0</v>
      </c>
      <c r="H184" s="116">
        <v>69.5</v>
      </c>
      <c r="I184" s="117">
        <v>0.86</v>
      </c>
      <c r="J184" s="116">
        <v>59.5</v>
      </c>
      <c r="K184" s="114"/>
      <c r="L184" s="114"/>
      <c r="M184" s="116">
        <v>37.0</v>
      </c>
      <c r="N184" s="116">
        <v>117.0</v>
      </c>
      <c r="O184" s="114"/>
      <c r="P184" s="140">
        <v>42572.0</v>
      </c>
      <c r="Q184" s="114" t="s">
        <v>234</v>
      </c>
      <c r="R184" s="115">
        <v>2019.0</v>
      </c>
      <c r="S184" s="136">
        <v>0.238</v>
      </c>
      <c r="T184" s="118">
        <f t="shared" si="61"/>
        <v>10132.136</v>
      </c>
      <c r="U184" s="24">
        <f t="shared" si="3"/>
        <v>145.7861295</v>
      </c>
      <c r="V184" s="3">
        <f t="shared" si="28"/>
        <v>0</v>
      </c>
      <c r="W184" s="3">
        <f t="shared" si="29"/>
        <v>0</v>
      </c>
      <c r="X184" s="3">
        <f t="shared" si="30"/>
        <v>0</v>
      </c>
      <c r="Y184" s="25">
        <f t="shared" si="31"/>
        <v>0</v>
      </c>
      <c r="Z184" s="26">
        <f>VLOOKUP(R184,CPI!$A$2:$F$71,6,0)</f>
        <v>1.259947899</v>
      </c>
      <c r="AA184" s="27">
        <f t="shared" si="8"/>
        <v>12765.96347</v>
      </c>
      <c r="AB184" s="27">
        <f t="shared" si="9"/>
        <v>183.6829276</v>
      </c>
      <c r="AC184" s="114"/>
      <c r="AD184" s="119" t="s">
        <v>444</v>
      </c>
      <c r="AE184" s="164"/>
      <c r="AF184" s="165"/>
      <c r="AG184" s="165"/>
      <c r="AH184" s="165"/>
    </row>
    <row r="185">
      <c r="A185" s="114" t="s">
        <v>230</v>
      </c>
      <c r="B185" s="114" t="s">
        <v>440</v>
      </c>
      <c r="C185" s="114" t="s">
        <v>292</v>
      </c>
      <c r="D185" s="114" t="s">
        <v>292</v>
      </c>
      <c r="E185" s="116">
        <v>2021.0</v>
      </c>
      <c r="F185" s="116">
        <v>2026.0</v>
      </c>
      <c r="G185" s="116">
        <v>0.0</v>
      </c>
      <c r="H185" s="116">
        <v>36.4</v>
      </c>
      <c r="I185" s="117">
        <v>0.66</v>
      </c>
      <c r="J185" s="116">
        <v>24.0</v>
      </c>
      <c r="K185" s="114"/>
      <c r="L185" s="114"/>
      <c r="M185" s="116">
        <v>18.0</v>
      </c>
      <c r="N185" s="116">
        <v>117.0</v>
      </c>
      <c r="O185" s="114"/>
      <c r="P185" s="140">
        <v>26060.0</v>
      </c>
      <c r="Q185" s="114" t="s">
        <v>234</v>
      </c>
      <c r="R185" s="115">
        <v>2021.0</v>
      </c>
      <c r="S185" s="136">
        <v>0.239</v>
      </c>
      <c r="T185" s="118">
        <f t="shared" si="61"/>
        <v>6228.34</v>
      </c>
      <c r="U185" s="24">
        <f t="shared" si="3"/>
        <v>171.1082418</v>
      </c>
      <c r="V185" s="3">
        <f t="shared" si="28"/>
        <v>0</v>
      </c>
      <c r="W185" s="3">
        <f t="shared" si="29"/>
        <v>0</v>
      </c>
      <c r="X185" s="3">
        <f t="shared" si="30"/>
        <v>0</v>
      </c>
      <c r="Y185" s="25">
        <f t="shared" si="31"/>
        <v>0</v>
      </c>
      <c r="Z185" s="26">
        <f>VLOOKUP(R185,CPI!$A$2:$F$71,6,0)</f>
        <v>1.188745987</v>
      </c>
      <c r="AA185" s="27">
        <f t="shared" si="8"/>
        <v>7403.914178</v>
      </c>
      <c r="AB185" s="27">
        <f t="shared" si="9"/>
        <v>203.4042357</v>
      </c>
      <c r="AC185" s="72" t="s">
        <v>36</v>
      </c>
      <c r="AD185" s="119" t="s">
        <v>445</v>
      </c>
      <c r="AE185" s="173"/>
      <c r="AF185" s="174"/>
      <c r="AG185" s="174"/>
      <c r="AH185" s="174"/>
    </row>
    <row r="186">
      <c r="A186" s="114" t="s">
        <v>230</v>
      </c>
      <c r="B186" s="114" t="s">
        <v>440</v>
      </c>
      <c r="C186" s="115" t="s">
        <v>54</v>
      </c>
      <c r="D186" s="115" t="s">
        <v>326</v>
      </c>
      <c r="E186" s="114">
        <v>2021.0</v>
      </c>
      <c r="F186" s="114">
        <v>2026.0</v>
      </c>
      <c r="G186" s="114">
        <v>0.0</v>
      </c>
      <c r="H186" s="114">
        <v>23.5</v>
      </c>
      <c r="I186" s="114">
        <v>0.54</v>
      </c>
      <c r="J186" s="114">
        <v>12.7</v>
      </c>
      <c r="K186" s="114"/>
      <c r="L186" s="114"/>
      <c r="M186" s="114">
        <v>10.0</v>
      </c>
      <c r="N186" s="116">
        <v>117.0</v>
      </c>
      <c r="O186" s="114"/>
      <c r="P186" s="114">
        <v>12228.0</v>
      </c>
      <c r="Q186" s="114" t="s">
        <v>234</v>
      </c>
      <c r="R186" s="115">
        <v>2021.0</v>
      </c>
      <c r="S186" s="136">
        <v>0.239</v>
      </c>
      <c r="T186" s="118">
        <f t="shared" si="61"/>
        <v>2922.492</v>
      </c>
      <c r="U186" s="24">
        <f t="shared" si="3"/>
        <v>124.3613617</v>
      </c>
      <c r="V186" s="3">
        <f t="shared" si="28"/>
        <v>0</v>
      </c>
      <c r="W186" s="3">
        <f t="shared" si="29"/>
        <v>0</v>
      </c>
      <c r="X186" s="3">
        <f t="shared" si="30"/>
        <v>0</v>
      </c>
      <c r="Y186" s="25">
        <f t="shared" si="31"/>
        <v>0</v>
      </c>
      <c r="Z186" s="26">
        <f>VLOOKUP(R186,CPI!$A$2:$F$71,6,0)</f>
        <v>1.188745987</v>
      </c>
      <c r="AA186" s="27">
        <f t="shared" si="8"/>
        <v>3474.100636</v>
      </c>
      <c r="AB186" s="27">
        <f t="shared" si="9"/>
        <v>147.8340696</v>
      </c>
      <c r="AC186" s="114"/>
      <c r="AD186" s="119" t="s">
        <v>446</v>
      </c>
      <c r="AE186" s="167" t="s">
        <v>447</v>
      </c>
      <c r="AF186" s="168"/>
      <c r="AG186" s="168"/>
      <c r="AH186" s="169"/>
    </row>
    <row r="187">
      <c r="A187" s="114" t="s">
        <v>230</v>
      </c>
      <c r="B187" s="114" t="s">
        <v>440</v>
      </c>
      <c r="C187" s="16" t="s">
        <v>110</v>
      </c>
      <c r="D187" s="115" t="s">
        <v>332</v>
      </c>
      <c r="E187" s="116">
        <v>2021.0</v>
      </c>
      <c r="F187" s="116">
        <v>2026.0</v>
      </c>
      <c r="G187" s="116">
        <v>0.0</v>
      </c>
      <c r="H187" s="116">
        <v>55.91</v>
      </c>
      <c r="I187" s="117">
        <v>0.88</v>
      </c>
      <c r="J187" s="116">
        <v>49.1</v>
      </c>
      <c r="K187" s="114"/>
      <c r="L187" s="114"/>
      <c r="M187" s="116">
        <v>33.0</v>
      </c>
      <c r="N187" s="116">
        <v>117.0</v>
      </c>
      <c r="O187" s="114"/>
      <c r="P187" s="140">
        <v>44601.0</v>
      </c>
      <c r="Q187" s="114" t="s">
        <v>234</v>
      </c>
      <c r="R187" s="115">
        <v>2021.0</v>
      </c>
      <c r="S187" s="136">
        <v>0.239</v>
      </c>
      <c r="T187" s="118">
        <f t="shared" si="61"/>
        <v>10659.639</v>
      </c>
      <c r="U187" s="24">
        <f t="shared" si="3"/>
        <v>190.6571096</v>
      </c>
      <c r="V187" s="3">
        <f t="shared" si="28"/>
        <v>0</v>
      </c>
      <c r="W187" s="3">
        <f t="shared" si="29"/>
        <v>0</v>
      </c>
      <c r="X187" s="3">
        <f t="shared" si="30"/>
        <v>0</v>
      </c>
      <c r="Y187" s="25">
        <f t="shared" si="31"/>
        <v>0</v>
      </c>
      <c r="Z187" s="26">
        <f>VLOOKUP(R187,CPI!$A$2:$F$71,6,0)</f>
        <v>1.188745987</v>
      </c>
      <c r="AA187" s="27">
        <f t="shared" si="8"/>
        <v>12671.60308</v>
      </c>
      <c r="AB187" s="27">
        <f t="shared" si="9"/>
        <v>226.6428739</v>
      </c>
      <c r="AC187" s="114"/>
      <c r="AD187" s="119" t="s">
        <v>448</v>
      </c>
      <c r="AE187" s="190" t="s">
        <v>446</v>
      </c>
      <c r="AF187" s="201" t="s">
        <v>447</v>
      </c>
      <c r="AG187" s="168"/>
      <c r="AH187" s="169"/>
    </row>
    <row r="188">
      <c r="A188" s="114" t="s">
        <v>230</v>
      </c>
      <c r="B188" s="114" t="s">
        <v>449</v>
      </c>
      <c r="C188" s="115" t="s">
        <v>57</v>
      </c>
      <c r="D188" s="115" t="s">
        <v>232</v>
      </c>
      <c r="E188" s="116">
        <v>2009.0</v>
      </c>
      <c r="F188" s="116">
        <v>2017.0</v>
      </c>
      <c r="G188" s="116">
        <v>0.0</v>
      </c>
      <c r="H188" s="116">
        <v>24.6</v>
      </c>
      <c r="I188" s="117">
        <v>1.0</v>
      </c>
      <c r="J188" s="116">
        <v>24.6</v>
      </c>
      <c r="K188" s="114"/>
      <c r="L188" s="114"/>
      <c r="M188" s="116">
        <v>21.0</v>
      </c>
      <c r="N188" s="116">
        <v>117.0</v>
      </c>
      <c r="O188" s="114"/>
      <c r="P188" s="140">
        <v>17337.0</v>
      </c>
      <c r="Q188" s="114" t="s">
        <v>234</v>
      </c>
      <c r="R188" s="115">
        <v>2013.0</v>
      </c>
      <c r="S188" s="85">
        <v>0.273</v>
      </c>
      <c r="T188" s="118">
        <f t="shared" si="61"/>
        <v>4733.001</v>
      </c>
      <c r="U188" s="24">
        <f t="shared" si="3"/>
        <v>192.3984146</v>
      </c>
      <c r="V188" s="3">
        <f t="shared" si="28"/>
        <v>0</v>
      </c>
      <c r="W188" s="3">
        <f t="shared" si="29"/>
        <v>0</v>
      </c>
      <c r="X188" s="3">
        <f t="shared" si="30"/>
        <v>0</v>
      </c>
      <c r="Y188" s="25">
        <f t="shared" si="31"/>
        <v>0</v>
      </c>
      <c r="Z188" s="26">
        <f>VLOOKUP(R188,CPI!$A$2:$F$71,6,0)</f>
        <v>1.382720845</v>
      </c>
      <c r="AA188" s="27">
        <f t="shared" si="8"/>
        <v>6544.419144</v>
      </c>
      <c r="AB188" s="27">
        <f t="shared" si="9"/>
        <v>266.0332986</v>
      </c>
      <c r="AC188" s="114"/>
      <c r="AD188" s="161" t="s">
        <v>450</v>
      </c>
      <c r="AE188" s="164"/>
      <c r="AF188" s="165"/>
      <c r="AG188" s="165"/>
      <c r="AH188" s="165"/>
    </row>
    <row r="189">
      <c r="A189" s="123" t="s">
        <v>230</v>
      </c>
      <c r="B189" s="123" t="s">
        <v>449</v>
      </c>
      <c r="C189" s="36" t="s">
        <v>80</v>
      </c>
      <c r="D189" s="123" t="s">
        <v>80</v>
      </c>
      <c r="E189" s="75">
        <v>2015.0</v>
      </c>
      <c r="F189" s="75">
        <v>2019.0</v>
      </c>
      <c r="G189" s="75">
        <v>0.0</v>
      </c>
      <c r="H189" s="75">
        <v>40.5</v>
      </c>
      <c r="I189" s="124">
        <v>0.7901234568</v>
      </c>
      <c r="J189" s="75">
        <v>32.0</v>
      </c>
      <c r="K189" s="125">
        <v>0.455</v>
      </c>
      <c r="L189" s="125">
        <v>8.05</v>
      </c>
      <c r="M189" s="75">
        <v>20.0</v>
      </c>
      <c r="N189" s="75"/>
      <c r="O189" s="123" t="s">
        <v>60</v>
      </c>
      <c r="P189" s="126">
        <v>27716.0</v>
      </c>
      <c r="Q189" s="123" t="s">
        <v>234</v>
      </c>
      <c r="R189" s="75">
        <v>2015.0</v>
      </c>
      <c r="S189" s="136">
        <v>0.258</v>
      </c>
      <c r="T189" s="128">
        <f t="shared" si="61"/>
        <v>7150.728</v>
      </c>
      <c r="U189" s="24">
        <f t="shared" si="3"/>
        <v>176.5611852</v>
      </c>
      <c r="V189" s="3">
        <f t="shared" si="28"/>
        <v>0</v>
      </c>
      <c r="W189" s="3">
        <f t="shared" si="29"/>
        <v>0</v>
      </c>
      <c r="X189" s="3">
        <f t="shared" si="30"/>
        <v>0</v>
      </c>
      <c r="Y189" s="25">
        <f t="shared" si="31"/>
        <v>0</v>
      </c>
      <c r="Z189" s="26">
        <f>VLOOKUP(R189,CPI!$A$2:$F$71,6,0)</f>
        <v>1.359035428</v>
      </c>
      <c r="AA189" s="27">
        <f t="shared" si="8"/>
        <v>9718.092687</v>
      </c>
      <c r="AB189" s="27">
        <f t="shared" si="9"/>
        <v>239.9529058</v>
      </c>
      <c r="AC189" s="123" t="s">
        <v>60</v>
      </c>
      <c r="AD189" s="129" t="s">
        <v>451</v>
      </c>
      <c r="AE189" s="29"/>
      <c r="AF189" s="30"/>
      <c r="AG189" s="30"/>
      <c r="AH189" s="30"/>
    </row>
    <row r="190">
      <c r="A190" s="114" t="s">
        <v>230</v>
      </c>
      <c r="B190" s="114" t="s">
        <v>449</v>
      </c>
      <c r="C190" s="115" t="s">
        <v>57</v>
      </c>
      <c r="D190" s="114" t="s">
        <v>310</v>
      </c>
      <c r="E190" s="116">
        <v>2015.0</v>
      </c>
      <c r="F190" s="116">
        <v>2020.0</v>
      </c>
      <c r="G190" s="116">
        <v>0.0</v>
      </c>
      <c r="H190" s="116">
        <v>4.924</v>
      </c>
      <c r="I190" s="117">
        <v>1.0</v>
      </c>
      <c r="J190" s="116">
        <v>4.924</v>
      </c>
      <c r="K190" s="114"/>
      <c r="L190" s="114"/>
      <c r="M190" s="116">
        <v>4.0</v>
      </c>
      <c r="N190" s="116">
        <v>117.0</v>
      </c>
      <c r="O190" s="114"/>
      <c r="P190" s="140">
        <v>2883.0</v>
      </c>
      <c r="Q190" s="114" t="s">
        <v>234</v>
      </c>
      <c r="R190" s="115">
        <v>2018.0</v>
      </c>
      <c r="S190" s="85">
        <v>0.237</v>
      </c>
      <c r="T190" s="118">
        <f t="shared" si="61"/>
        <v>683.271</v>
      </c>
      <c r="U190" s="24">
        <f t="shared" si="3"/>
        <v>138.7634037</v>
      </c>
      <c r="V190" s="3">
        <f t="shared" si="28"/>
        <v>0</v>
      </c>
      <c r="W190" s="3">
        <f t="shared" si="29"/>
        <v>0</v>
      </c>
      <c r="X190" s="3">
        <f t="shared" si="30"/>
        <v>0</v>
      </c>
      <c r="Y190" s="25">
        <f t="shared" si="31"/>
        <v>0</v>
      </c>
      <c r="Z190" s="26">
        <f>VLOOKUP(R190,CPI!$A$2:$F$71,6,0)</f>
        <v>1.28277786</v>
      </c>
      <c r="AA190" s="27">
        <f t="shared" si="8"/>
        <v>876.4849109</v>
      </c>
      <c r="AB190" s="27">
        <f t="shared" si="9"/>
        <v>178.002622</v>
      </c>
      <c r="AC190" s="114"/>
      <c r="AD190" s="119" t="s">
        <v>452</v>
      </c>
      <c r="AE190" s="164"/>
      <c r="AF190" s="165"/>
      <c r="AG190" s="165"/>
      <c r="AH190" s="165"/>
    </row>
    <row r="191">
      <c r="A191" s="123" t="s">
        <v>230</v>
      </c>
      <c r="B191" s="123" t="s">
        <v>449</v>
      </c>
      <c r="C191" s="16" t="s">
        <v>110</v>
      </c>
      <c r="D191" s="123" t="s">
        <v>332</v>
      </c>
      <c r="E191" s="75">
        <v>2017.0</v>
      </c>
      <c r="F191" s="75">
        <v>2021.0</v>
      </c>
      <c r="G191" s="75">
        <v>0.0</v>
      </c>
      <c r="H191" s="75">
        <v>24.2</v>
      </c>
      <c r="I191" s="124">
        <v>1.0</v>
      </c>
      <c r="J191" s="75">
        <v>24.2</v>
      </c>
      <c r="K191" s="125">
        <v>0.0</v>
      </c>
      <c r="L191" s="125">
        <v>0.0</v>
      </c>
      <c r="M191" s="75">
        <v>21.0</v>
      </c>
      <c r="N191" s="75"/>
      <c r="O191" s="123" t="s">
        <v>60</v>
      </c>
      <c r="P191" s="126">
        <v>18436.0</v>
      </c>
      <c r="Q191" s="123" t="s">
        <v>234</v>
      </c>
      <c r="R191" s="75">
        <v>2015.0</v>
      </c>
      <c r="S191" s="136">
        <v>0.258</v>
      </c>
      <c r="T191" s="128">
        <f t="shared" si="61"/>
        <v>4756.488</v>
      </c>
      <c r="U191" s="24">
        <f t="shared" si="3"/>
        <v>196.5490909</v>
      </c>
      <c r="V191" s="3">
        <f t="shared" si="28"/>
        <v>0</v>
      </c>
      <c r="W191" s="3">
        <f t="shared" si="29"/>
        <v>0</v>
      </c>
      <c r="X191" s="3">
        <f t="shared" si="30"/>
        <v>0</v>
      </c>
      <c r="Y191" s="25">
        <f t="shared" si="31"/>
        <v>0</v>
      </c>
      <c r="Z191" s="26">
        <f>VLOOKUP(R191,CPI!$A$2:$F$71,6,0)</f>
        <v>1.359035428</v>
      </c>
      <c r="AA191" s="27">
        <f t="shared" si="8"/>
        <v>6464.235704</v>
      </c>
      <c r="AB191" s="27">
        <f t="shared" si="9"/>
        <v>267.1171779</v>
      </c>
      <c r="AC191" s="123" t="s">
        <v>60</v>
      </c>
      <c r="AD191" s="129" t="s">
        <v>451</v>
      </c>
      <c r="AE191" s="29"/>
      <c r="AF191" s="30"/>
      <c r="AG191" s="30"/>
      <c r="AH191" s="30"/>
    </row>
    <row r="192">
      <c r="A192" s="114" t="s">
        <v>230</v>
      </c>
      <c r="B192" s="114" t="s">
        <v>449</v>
      </c>
      <c r="C192" s="16" t="s">
        <v>54</v>
      </c>
      <c r="D192" s="114" t="s">
        <v>453</v>
      </c>
      <c r="E192" s="116">
        <v>2020.0</v>
      </c>
      <c r="F192" s="114"/>
      <c r="G192" s="116">
        <v>0.0</v>
      </c>
      <c r="H192" s="116">
        <v>16.88</v>
      </c>
      <c r="I192" s="117">
        <v>1.0</v>
      </c>
      <c r="J192" s="116">
        <v>16.88</v>
      </c>
      <c r="K192" s="114"/>
      <c r="L192" s="114"/>
      <c r="M192" s="116">
        <v>12.0</v>
      </c>
      <c r="N192" s="116">
        <v>117.0</v>
      </c>
      <c r="O192" s="114"/>
      <c r="P192" s="140">
        <v>12706.0</v>
      </c>
      <c r="Q192" s="114" t="s">
        <v>234</v>
      </c>
      <c r="R192" s="115">
        <v>2020.0</v>
      </c>
      <c r="S192" s="136">
        <v>0.239</v>
      </c>
      <c r="T192" s="118">
        <f t="shared" si="61"/>
        <v>3036.734</v>
      </c>
      <c r="U192" s="24">
        <f t="shared" si="3"/>
        <v>179.9013033</v>
      </c>
      <c r="V192" s="3">
        <f t="shared" si="28"/>
        <v>0</v>
      </c>
      <c r="W192" s="3">
        <f t="shared" si="29"/>
        <v>0</v>
      </c>
      <c r="X192" s="3">
        <f t="shared" si="30"/>
        <v>0</v>
      </c>
      <c r="Y192" s="25">
        <f t="shared" si="31"/>
        <v>0</v>
      </c>
      <c r="Z192" s="26">
        <f>VLOOKUP(R192,CPI!$A$2:$F$71,6,0)</f>
        <v>1.244593545</v>
      </c>
      <c r="AA192" s="27">
        <f t="shared" si="8"/>
        <v>3779.499535</v>
      </c>
      <c r="AB192" s="27">
        <f t="shared" si="9"/>
        <v>223.9040009</v>
      </c>
      <c r="AC192" s="114"/>
      <c r="AD192" s="119" t="s">
        <v>454</v>
      </c>
      <c r="AE192" s="184" t="s">
        <v>455</v>
      </c>
      <c r="AF192" s="174"/>
      <c r="AG192" s="174"/>
      <c r="AH192" s="174"/>
    </row>
    <row r="193">
      <c r="A193" s="72" t="s">
        <v>230</v>
      </c>
      <c r="B193" s="72" t="s">
        <v>449</v>
      </c>
      <c r="C193" s="16" t="s">
        <v>84</v>
      </c>
      <c r="D193" s="115" t="s">
        <v>319</v>
      </c>
      <c r="E193" s="69">
        <v>2020.0</v>
      </c>
      <c r="F193" s="72"/>
      <c r="G193" s="69">
        <v>0.0</v>
      </c>
      <c r="H193" s="69">
        <v>27.7</v>
      </c>
      <c r="I193" s="117">
        <v>1.0</v>
      </c>
      <c r="J193" s="69">
        <v>27.7</v>
      </c>
      <c r="K193" s="72"/>
      <c r="L193" s="72"/>
      <c r="M193" s="69">
        <v>20.0</v>
      </c>
      <c r="N193" s="69">
        <v>117.0</v>
      </c>
      <c r="O193" s="72"/>
      <c r="P193" s="140">
        <v>21786.0</v>
      </c>
      <c r="Q193" s="72" t="s">
        <v>234</v>
      </c>
      <c r="R193" s="115">
        <v>2020.0</v>
      </c>
      <c r="S193" s="136">
        <v>0.239</v>
      </c>
      <c r="T193" s="118">
        <f t="shared" si="61"/>
        <v>5206.854</v>
      </c>
      <c r="U193" s="24">
        <f t="shared" si="3"/>
        <v>187.9730686</v>
      </c>
      <c r="V193" s="3">
        <f t="shared" si="28"/>
        <v>0</v>
      </c>
      <c r="W193" s="3">
        <f t="shared" si="29"/>
        <v>0</v>
      </c>
      <c r="X193" s="3">
        <f t="shared" si="30"/>
        <v>0</v>
      </c>
      <c r="Y193" s="25">
        <f t="shared" si="31"/>
        <v>0</v>
      </c>
      <c r="Z193" s="26">
        <f>VLOOKUP(R193,CPI!$A$2:$F$71,6,0)</f>
        <v>1.244593545</v>
      </c>
      <c r="AA193" s="27">
        <f t="shared" si="8"/>
        <v>6480.416879</v>
      </c>
      <c r="AB193" s="27">
        <f t="shared" si="9"/>
        <v>233.9500678</v>
      </c>
      <c r="AC193" s="72" t="s">
        <v>36</v>
      </c>
      <c r="AD193" s="79" t="s">
        <v>456</v>
      </c>
      <c r="AE193" s="186"/>
      <c r="AF193" s="187"/>
      <c r="AG193" s="187"/>
      <c r="AH193" s="187"/>
    </row>
    <row r="194">
      <c r="A194" s="114" t="s">
        <v>230</v>
      </c>
      <c r="B194" s="114" t="s">
        <v>449</v>
      </c>
      <c r="C194" s="36" t="s">
        <v>80</v>
      </c>
      <c r="D194" s="114" t="s">
        <v>457</v>
      </c>
      <c r="E194" s="116">
        <v>2020.0</v>
      </c>
      <c r="F194" s="114"/>
      <c r="G194" s="116">
        <v>0.0</v>
      </c>
      <c r="H194" s="116">
        <v>5.29</v>
      </c>
      <c r="I194" s="117">
        <v>1.0</v>
      </c>
      <c r="J194" s="116">
        <v>5.29</v>
      </c>
      <c r="K194" s="114"/>
      <c r="L194" s="114"/>
      <c r="M194" s="116">
        <v>6.0</v>
      </c>
      <c r="N194" s="116">
        <v>117.0</v>
      </c>
      <c r="O194" s="114"/>
      <c r="P194" s="140">
        <v>4083.0</v>
      </c>
      <c r="Q194" s="114" t="s">
        <v>234</v>
      </c>
      <c r="R194" s="115">
        <v>2020.0</v>
      </c>
      <c r="S194" s="136">
        <v>0.239</v>
      </c>
      <c r="T194" s="118">
        <f t="shared" si="61"/>
        <v>975.837</v>
      </c>
      <c r="U194" s="24">
        <f t="shared" si="3"/>
        <v>184.468242</v>
      </c>
      <c r="V194" s="3">
        <f t="shared" si="28"/>
        <v>0</v>
      </c>
      <c r="W194" s="3">
        <f t="shared" si="29"/>
        <v>0</v>
      </c>
      <c r="X194" s="3">
        <f t="shared" si="30"/>
        <v>0</v>
      </c>
      <c r="Y194" s="25">
        <f t="shared" si="31"/>
        <v>0</v>
      </c>
      <c r="Z194" s="26">
        <f>VLOOKUP(R194,CPI!$A$2:$F$71,6,0)</f>
        <v>1.244593545</v>
      </c>
      <c r="AA194" s="27">
        <f t="shared" si="8"/>
        <v>1214.520431</v>
      </c>
      <c r="AB194" s="27">
        <f t="shared" si="9"/>
        <v>229.5879832</v>
      </c>
      <c r="AC194" s="114"/>
      <c r="AD194" s="119" t="s">
        <v>454</v>
      </c>
      <c r="AE194" s="184" t="s">
        <v>455</v>
      </c>
      <c r="AF194" s="165"/>
      <c r="AG194" s="165"/>
      <c r="AH194" s="165"/>
    </row>
    <row r="195">
      <c r="A195" s="114" t="s">
        <v>230</v>
      </c>
      <c r="B195" s="114" t="s">
        <v>449</v>
      </c>
      <c r="C195" s="115" t="s">
        <v>458</v>
      </c>
      <c r="D195" s="114" t="s">
        <v>459</v>
      </c>
      <c r="E195" s="116">
        <v>2021.0</v>
      </c>
      <c r="F195" s="114"/>
      <c r="G195" s="116">
        <v>0.0</v>
      </c>
      <c r="H195" s="116">
        <v>62.4</v>
      </c>
      <c r="I195" s="117">
        <v>0.76</v>
      </c>
      <c r="J195" s="116">
        <v>47.2</v>
      </c>
      <c r="K195" s="114"/>
      <c r="L195" s="114"/>
      <c r="M195" s="116">
        <v>15.0</v>
      </c>
      <c r="N195" s="116">
        <v>138.0</v>
      </c>
      <c r="O195" s="114"/>
      <c r="P195" s="140">
        <v>39890.0</v>
      </c>
      <c r="Q195" s="114" t="s">
        <v>234</v>
      </c>
      <c r="R195" s="115">
        <v>2021.0</v>
      </c>
      <c r="S195" s="136">
        <v>0.239</v>
      </c>
      <c r="T195" s="118">
        <f t="shared" si="61"/>
        <v>9533.71</v>
      </c>
      <c r="U195" s="24">
        <f t="shared" si="3"/>
        <v>152.7838141</v>
      </c>
      <c r="V195" s="3">
        <f t="shared" si="28"/>
        <v>0</v>
      </c>
      <c r="W195" s="3">
        <f t="shared" si="29"/>
        <v>0</v>
      </c>
      <c r="X195" s="3">
        <f t="shared" si="30"/>
        <v>0</v>
      </c>
      <c r="Y195" s="25">
        <f t="shared" si="31"/>
        <v>0</v>
      </c>
      <c r="Z195" s="26">
        <f>VLOOKUP(R195,CPI!$A$2:$F$71,6,0)</f>
        <v>1.188745987</v>
      </c>
      <c r="AA195" s="27">
        <f t="shared" si="8"/>
        <v>11333.1595</v>
      </c>
      <c r="AB195" s="27">
        <f t="shared" si="9"/>
        <v>181.6211458</v>
      </c>
      <c r="AC195" s="114"/>
      <c r="AD195" s="161" t="s">
        <v>460</v>
      </c>
      <c r="AE195" s="164"/>
      <c r="AF195" s="165"/>
      <c r="AG195" s="165"/>
      <c r="AH195" s="165"/>
    </row>
    <row r="196">
      <c r="A196" s="22" t="s">
        <v>230</v>
      </c>
      <c r="B196" s="22" t="s">
        <v>461</v>
      </c>
      <c r="C196" s="36" t="s">
        <v>236</v>
      </c>
      <c r="D196" s="22" t="s">
        <v>364</v>
      </c>
      <c r="E196" s="17">
        <v>2013.0</v>
      </c>
      <c r="F196" s="17">
        <v>2017.0</v>
      </c>
      <c r="G196" s="17">
        <v>0.0</v>
      </c>
      <c r="H196" s="17">
        <v>27.03</v>
      </c>
      <c r="I196" s="19">
        <f>J196/H196</f>
        <v>1</v>
      </c>
      <c r="J196" s="17">
        <f>H196</f>
        <v>27.03</v>
      </c>
      <c r="K196" s="177">
        <v>0.0</v>
      </c>
      <c r="L196" s="177">
        <v>0.0</v>
      </c>
      <c r="M196" s="17">
        <v>11.0</v>
      </c>
      <c r="N196" s="17"/>
      <c r="O196" s="22" t="s">
        <v>42</v>
      </c>
      <c r="P196" s="23">
        <v>19038.0</v>
      </c>
      <c r="Q196" s="22" t="s">
        <v>234</v>
      </c>
      <c r="R196" s="17">
        <v>2013.0</v>
      </c>
      <c r="S196" s="136">
        <v>0.273</v>
      </c>
      <c r="T196" s="3">
        <f t="shared" si="61"/>
        <v>5197.374</v>
      </c>
      <c r="U196" s="24">
        <f t="shared" si="3"/>
        <v>192.281687</v>
      </c>
      <c r="V196" s="3">
        <f t="shared" si="28"/>
        <v>0</v>
      </c>
      <c r="W196" s="3">
        <f t="shared" si="29"/>
        <v>0</v>
      </c>
      <c r="X196" s="3">
        <f t="shared" si="30"/>
        <v>0</v>
      </c>
      <c r="Y196" s="25">
        <f t="shared" si="31"/>
        <v>0</v>
      </c>
      <c r="Z196" s="26">
        <f>VLOOKUP(R196,CPI!$A$2:$F$71,6,0)</f>
        <v>1.382720845</v>
      </c>
      <c r="AA196" s="27">
        <f t="shared" si="8"/>
        <v>7186.517372</v>
      </c>
      <c r="AB196" s="27">
        <f t="shared" si="9"/>
        <v>265.8718968</v>
      </c>
      <c r="AC196" s="26" t="s">
        <v>42</v>
      </c>
      <c r="AD196" s="129" t="s">
        <v>462</v>
      </c>
      <c r="AE196" s="178"/>
      <c r="AF196" s="172"/>
      <c r="AG196" s="172"/>
      <c r="AH196" s="172"/>
    </row>
    <row r="197">
      <c r="A197" s="114" t="s">
        <v>230</v>
      </c>
      <c r="B197" s="114" t="s">
        <v>461</v>
      </c>
      <c r="C197" s="115" t="s">
        <v>267</v>
      </c>
      <c r="D197" s="115" t="s">
        <v>463</v>
      </c>
      <c r="E197" s="116">
        <v>2012.0</v>
      </c>
      <c r="F197" s="116">
        <v>2018.0</v>
      </c>
      <c r="G197" s="116">
        <v>0.0</v>
      </c>
      <c r="H197" s="116">
        <v>54.4</v>
      </c>
      <c r="I197" s="117">
        <v>0.4</v>
      </c>
      <c r="J197" s="116">
        <v>21.9</v>
      </c>
      <c r="K197" s="114"/>
      <c r="L197" s="114"/>
      <c r="M197" s="116">
        <v>13.0</v>
      </c>
      <c r="N197" s="116">
        <v>117.0</v>
      </c>
      <c r="O197" s="114"/>
      <c r="P197" s="140">
        <v>18913.0</v>
      </c>
      <c r="Q197" s="114" t="s">
        <v>234</v>
      </c>
      <c r="R197" s="115">
        <v>2015.0</v>
      </c>
      <c r="S197" s="85">
        <v>0.258</v>
      </c>
      <c r="T197" s="118">
        <f t="shared" si="61"/>
        <v>4879.554</v>
      </c>
      <c r="U197" s="24">
        <f t="shared" si="3"/>
        <v>89.69768382</v>
      </c>
      <c r="V197" s="3">
        <f t="shared" si="28"/>
        <v>0</v>
      </c>
      <c r="W197" s="3">
        <f t="shared" si="29"/>
        <v>0</v>
      </c>
      <c r="X197" s="3">
        <f t="shared" si="30"/>
        <v>0</v>
      </c>
      <c r="Y197" s="25">
        <f t="shared" si="31"/>
        <v>0</v>
      </c>
      <c r="Z197" s="26">
        <f>VLOOKUP(R197,CPI!$A$2:$F$71,6,0)</f>
        <v>1.359035428</v>
      </c>
      <c r="AA197" s="27">
        <f t="shared" si="8"/>
        <v>6631.486758</v>
      </c>
      <c r="AB197" s="27">
        <f t="shared" si="9"/>
        <v>121.9023301</v>
      </c>
      <c r="AC197" s="114"/>
      <c r="AD197" s="119" t="s">
        <v>464</v>
      </c>
      <c r="AE197" s="167" t="s">
        <v>465</v>
      </c>
      <c r="AF197" s="168"/>
      <c r="AG197" s="168"/>
      <c r="AH197" s="169"/>
    </row>
    <row r="198">
      <c r="A198" s="114" t="s">
        <v>230</v>
      </c>
      <c r="B198" s="114" t="s">
        <v>461</v>
      </c>
      <c r="C198" s="115" t="s">
        <v>267</v>
      </c>
      <c r="D198" s="114" t="s">
        <v>466</v>
      </c>
      <c r="E198" s="116">
        <v>2012.0</v>
      </c>
      <c r="F198" s="116">
        <v>2018.0</v>
      </c>
      <c r="G198" s="116">
        <v>0.0</v>
      </c>
      <c r="H198" s="116">
        <v>21.6</v>
      </c>
      <c r="I198" s="117">
        <v>0.92</v>
      </c>
      <c r="J198" s="116">
        <v>19.9</v>
      </c>
      <c r="K198" s="114"/>
      <c r="L198" s="114"/>
      <c r="M198" s="116">
        <v>5.0</v>
      </c>
      <c r="N198" s="116">
        <v>117.0</v>
      </c>
      <c r="O198" s="114"/>
      <c r="P198" s="140">
        <v>7802.0</v>
      </c>
      <c r="Q198" s="114" t="s">
        <v>234</v>
      </c>
      <c r="R198" s="115">
        <v>2015.0</v>
      </c>
      <c r="S198" s="85">
        <v>0.258</v>
      </c>
      <c r="T198" s="118">
        <f t="shared" si="61"/>
        <v>2012.916</v>
      </c>
      <c r="U198" s="24">
        <f t="shared" si="3"/>
        <v>93.19055556</v>
      </c>
      <c r="V198" s="3">
        <f t="shared" si="28"/>
        <v>0</v>
      </c>
      <c r="W198" s="3">
        <f t="shared" si="29"/>
        <v>0</v>
      </c>
      <c r="X198" s="3">
        <f t="shared" si="30"/>
        <v>0</v>
      </c>
      <c r="Y198" s="25">
        <f t="shared" si="31"/>
        <v>0</v>
      </c>
      <c r="Z198" s="26">
        <f>VLOOKUP(R198,CPI!$A$2:$F$71,6,0)</f>
        <v>1.359035428</v>
      </c>
      <c r="AA198" s="27">
        <f t="shared" si="8"/>
        <v>2735.624157</v>
      </c>
      <c r="AB198" s="27">
        <f t="shared" si="9"/>
        <v>126.6492665</v>
      </c>
      <c r="AC198" s="114"/>
      <c r="AD198" s="119" t="s">
        <v>464</v>
      </c>
      <c r="AE198" s="167" t="s">
        <v>467</v>
      </c>
      <c r="AF198" s="168"/>
      <c r="AG198" s="168"/>
      <c r="AH198" s="169"/>
    </row>
    <row r="199">
      <c r="A199" s="114" t="s">
        <v>230</v>
      </c>
      <c r="B199" s="114" t="s">
        <v>461</v>
      </c>
      <c r="C199" s="16" t="s">
        <v>468</v>
      </c>
      <c r="D199" s="114" t="s">
        <v>468</v>
      </c>
      <c r="E199" s="116">
        <v>2012.0</v>
      </c>
      <c r="F199" s="116">
        <v>2018.0</v>
      </c>
      <c r="G199" s="116">
        <v>0.0</v>
      </c>
      <c r="H199" s="116">
        <v>61.6</v>
      </c>
      <c r="I199" s="117">
        <v>0.69</v>
      </c>
      <c r="J199" s="116">
        <v>42.5</v>
      </c>
      <c r="K199" s="114"/>
      <c r="L199" s="114"/>
      <c r="M199" s="116">
        <v>14.0</v>
      </c>
      <c r="N199" s="116">
        <v>117.0</v>
      </c>
      <c r="O199" s="114"/>
      <c r="P199" s="140">
        <v>29133.0</v>
      </c>
      <c r="Q199" s="114" t="s">
        <v>234</v>
      </c>
      <c r="R199" s="115">
        <v>2015.0</v>
      </c>
      <c r="S199" s="85">
        <v>0.258</v>
      </c>
      <c r="T199" s="118">
        <f t="shared" si="61"/>
        <v>7516.314</v>
      </c>
      <c r="U199" s="24">
        <f t="shared" si="3"/>
        <v>122.0180844</v>
      </c>
      <c r="V199" s="3">
        <f t="shared" si="28"/>
        <v>0</v>
      </c>
      <c r="W199" s="3">
        <f t="shared" si="29"/>
        <v>0</v>
      </c>
      <c r="X199" s="3">
        <f t="shared" si="30"/>
        <v>0</v>
      </c>
      <c r="Y199" s="25">
        <f t="shared" si="31"/>
        <v>0</v>
      </c>
      <c r="Z199" s="26">
        <f>VLOOKUP(R199,CPI!$A$2:$F$71,6,0)</f>
        <v>1.359035428</v>
      </c>
      <c r="AA199" s="27">
        <f t="shared" si="8"/>
        <v>10214.93701</v>
      </c>
      <c r="AB199" s="27">
        <f t="shared" si="9"/>
        <v>165.8268996</v>
      </c>
      <c r="AC199" s="114"/>
      <c r="AD199" s="119" t="s">
        <v>464</v>
      </c>
      <c r="AE199" s="167" t="s">
        <v>469</v>
      </c>
      <c r="AF199" s="168"/>
      <c r="AG199" s="168"/>
      <c r="AH199" s="169"/>
    </row>
    <row r="200">
      <c r="A200" s="114" t="s">
        <v>230</v>
      </c>
      <c r="B200" s="114" t="s">
        <v>461</v>
      </c>
      <c r="C200" s="16" t="s">
        <v>110</v>
      </c>
      <c r="D200" s="114" t="s">
        <v>470</v>
      </c>
      <c r="E200" s="116">
        <v>2012.0</v>
      </c>
      <c r="F200" s="116">
        <v>2018.0</v>
      </c>
      <c r="G200" s="116">
        <v>0.0</v>
      </c>
      <c r="H200" s="116">
        <v>12.5</v>
      </c>
      <c r="I200" s="117">
        <v>0.96</v>
      </c>
      <c r="J200" s="116">
        <v>12.01</v>
      </c>
      <c r="K200" s="114"/>
      <c r="L200" s="114"/>
      <c r="M200" s="116">
        <v>6.0</v>
      </c>
      <c r="N200" s="116">
        <v>68.0</v>
      </c>
      <c r="O200" s="114"/>
      <c r="P200" s="140">
        <v>7849.42</v>
      </c>
      <c r="Q200" s="114" t="s">
        <v>234</v>
      </c>
      <c r="R200" s="115">
        <v>2015.0</v>
      </c>
      <c r="S200" s="85">
        <v>0.258</v>
      </c>
      <c r="T200" s="118">
        <f t="shared" si="61"/>
        <v>2025.15036</v>
      </c>
      <c r="U200" s="24">
        <f t="shared" si="3"/>
        <v>162.0120288</v>
      </c>
      <c r="V200" s="3">
        <f t="shared" si="28"/>
        <v>0</v>
      </c>
      <c r="W200" s="3">
        <f t="shared" si="29"/>
        <v>0</v>
      </c>
      <c r="X200" s="3">
        <f t="shared" si="30"/>
        <v>0</v>
      </c>
      <c r="Y200" s="25">
        <f t="shared" si="31"/>
        <v>0</v>
      </c>
      <c r="Z200" s="26">
        <f>VLOOKUP(R200,CPI!$A$2:$F$71,6,0)</f>
        <v>1.359035428</v>
      </c>
      <c r="AA200" s="27">
        <f t="shared" si="8"/>
        <v>2752.251086</v>
      </c>
      <c r="AB200" s="27">
        <f t="shared" si="9"/>
        <v>220.1800869</v>
      </c>
      <c r="AC200" s="114"/>
      <c r="AD200" s="161" t="s">
        <v>471</v>
      </c>
      <c r="AE200" s="164"/>
      <c r="AF200" s="165"/>
      <c r="AG200" s="165"/>
      <c r="AH200" s="165"/>
    </row>
    <row r="201">
      <c r="A201" s="123" t="s">
        <v>230</v>
      </c>
      <c r="B201" s="123" t="s">
        <v>461</v>
      </c>
      <c r="C201" s="36" t="s">
        <v>267</v>
      </c>
      <c r="D201" s="123" t="s">
        <v>472</v>
      </c>
      <c r="E201" s="75">
        <v>2017.0</v>
      </c>
      <c r="F201" s="75">
        <v>2021.0</v>
      </c>
      <c r="G201" s="75">
        <v>0.0</v>
      </c>
      <c r="H201" s="75">
        <v>11.6</v>
      </c>
      <c r="I201" s="124">
        <v>1.0</v>
      </c>
      <c r="J201" s="75">
        <v>11.6</v>
      </c>
      <c r="K201" s="125">
        <v>0.0</v>
      </c>
      <c r="L201" s="125">
        <v>0.0</v>
      </c>
      <c r="M201" s="75">
        <v>7.0</v>
      </c>
      <c r="N201" s="75"/>
      <c r="O201" s="123" t="s">
        <v>60</v>
      </c>
      <c r="P201" s="126">
        <v>9494.0</v>
      </c>
      <c r="Q201" s="123" t="s">
        <v>234</v>
      </c>
      <c r="R201" s="75">
        <v>2017.0</v>
      </c>
      <c r="S201" s="136">
        <v>0.239</v>
      </c>
      <c r="T201" s="128">
        <f t="shared" si="61"/>
        <v>2269.066</v>
      </c>
      <c r="U201" s="24">
        <f t="shared" si="3"/>
        <v>195.6091379</v>
      </c>
      <c r="V201" s="3">
        <f t="shared" si="28"/>
        <v>0</v>
      </c>
      <c r="W201" s="3">
        <f t="shared" si="29"/>
        <v>0</v>
      </c>
      <c r="X201" s="3">
        <f t="shared" si="30"/>
        <v>0</v>
      </c>
      <c r="Y201" s="25">
        <f t="shared" si="31"/>
        <v>0</v>
      </c>
      <c r="Z201" s="26">
        <f>VLOOKUP(R201,CPI!$A$2:$F$71,6,0)</f>
        <v>1.314109416</v>
      </c>
      <c r="AA201" s="27">
        <f t="shared" si="8"/>
        <v>2981.800996</v>
      </c>
      <c r="AB201" s="27">
        <f t="shared" si="9"/>
        <v>257.05181</v>
      </c>
      <c r="AC201" s="123" t="s">
        <v>60</v>
      </c>
      <c r="AD201" s="129" t="s">
        <v>473</v>
      </c>
      <c r="AE201" s="29"/>
      <c r="AF201" s="30"/>
      <c r="AG201" s="30"/>
      <c r="AH201" s="30"/>
    </row>
    <row r="202">
      <c r="A202" s="72" t="s">
        <v>230</v>
      </c>
      <c r="B202" s="72" t="s">
        <v>461</v>
      </c>
      <c r="C202" s="36" t="s">
        <v>302</v>
      </c>
      <c r="D202" s="72" t="s">
        <v>302</v>
      </c>
      <c r="E202" s="69">
        <v>2017.0</v>
      </c>
      <c r="F202" s="69">
        <v>2021.0</v>
      </c>
      <c r="G202" s="69">
        <v>1.0</v>
      </c>
      <c r="H202" s="69">
        <v>31.0</v>
      </c>
      <c r="I202" s="117">
        <v>1.0</v>
      </c>
      <c r="J202" s="69">
        <v>31.0</v>
      </c>
      <c r="K202" s="72"/>
      <c r="L202" s="72"/>
      <c r="M202" s="69">
        <v>6.0</v>
      </c>
      <c r="N202" s="69">
        <v>184.0</v>
      </c>
      <c r="O202" s="72"/>
      <c r="P202" s="140">
        <v>26400.0</v>
      </c>
      <c r="Q202" s="72" t="s">
        <v>234</v>
      </c>
      <c r="R202" s="115">
        <v>2020.0</v>
      </c>
      <c r="S202" s="136">
        <v>0.239</v>
      </c>
      <c r="T202" s="118">
        <f t="shared" si="61"/>
        <v>6309.6</v>
      </c>
      <c r="U202" s="24">
        <f t="shared" si="3"/>
        <v>203.5354839</v>
      </c>
      <c r="V202" s="3">
        <f t="shared" si="28"/>
        <v>0</v>
      </c>
      <c r="W202" s="3">
        <f t="shared" si="29"/>
        <v>0</v>
      </c>
      <c r="X202" s="3">
        <f t="shared" si="30"/>
        <v>0</v>
      </c>
      <c r="Y202" s="25">
        <f t="shared" si="31"/>
        <v>0</v>
      </c>
      <c r="Z202" s="26">
        <f>VLOOKUP(R202,CPI!$A$2:$F$71,6,0)</f>
        <v>1.244593545</v>
      </c>
      <c r="AA202" s="27">
        <f t="shared" si="8"/>
        <v>7852.887432</v>
      </c>
      <c r="AB202" s="27">
        <f t="shared" si="9"/>
        <v>253.3189494</v>
      </c>
      <c r="AC202" s="72" t="s">
        <v>36</v>
      </c>
      <c r="AD202" s="79" t="s">
        <v>474</v>
      </c>
      <c r="AE202" s="202"/>
      <c r="AF202" s="187"/>
      <c r="AG202" s="187"/>
      <c r="AH202" s="187"/>
    </row>
    <row r="203">
      <c r="A203" s="72" t="s">
        <v>230</v>
      </c>
      <c r="B203" s="72" t="s">
        <v>461</v>
      </c>
      <c r="C203" s="115" t="s">
        <v>239</v>
      </c>
      <c r="D203" s="72" t="s">
        <v>239</v>
      </c>
      <c r="E203" s="69">
        <v>2017.0</v>
      </c>
      <c r="F203" s="69">
        <v>2022.0</v>
      </c>
      <c r="G203" s="69">
        <v>0.0</v>
      </c>
      <c r="H203" s="69">
        <v>19.41</v>
      </c>
      <c r="I203" s="117">
        <v>1.0</v>
      </c>
      <c r="J203" s="69">
        <v>19.41</v>
      </c>
      <c r="K203" s="72"/>
      <c r="L203" s="72"/>
      <c r="M203" s="69">
        <v>14.0</v>
      </c>
      <c r="N203" s="69">
        <v>117.0</v>
      </c>
      <c r="O203" s="72"/>
      <c r="P203" s="140">
        <v>23143.0</v>
      </c>
      <c r="Q203" s="72" t="s">
        <v>234</v>
      </c>
      <c r="R203" s="115">
        <v>2020.0</v>
      </c>
      <c r="S203" s="136">
        <v>0.239</v>
      </c>
      <c r="T203" s="118">
        <f t="shared" si="61"/>
        <v>5531.177</v>
      </c>
      <c r="U203" s="24">
        <f t="shared" si="3"/>
        <v>284.9653272</v>
      </c>
      <c r="V203" s="3">
        <f t="shared" si="28"/>
        <v>0</v>
      </c>
      <c r="W203" s="3">
        <f t="shared" si="29"/>
        <v>0</v>
      </c>
      <c r="X203" s="3">
        <f t="shared" si="30"/>
        <v>0</v>
      </c>
      <c r="Y203" s="25">
        <f t="shared" si="31"/>
        <v>0</v>
      </c>
      <c r="Z203" s="26">
        <f>VLOOKUP(R203,CPI!$A$2:$F$71,6,0)</f>
        <v>1.244593545</v>
      </c>
      <c r="AA203" s="27">
        <f t="shared" si="8"/>
        <v>6884.067191</v>
      </c>
      <c r="AB203" s="27">
        <f t="shared" si="9"/>
        <v>354.6660067</v>
      </c>
      <c r="AC203" s="72" t="s">
        <v>36</v>
      </c>
      <c r="AD203" s="79" t="s">
        <v>475</v>
      </c>
      <c r="AE203" s="186"/>
      <c r="AF203" s="187"/>
      <c r="AG203" s="187"/>
      <c r="AH203" s="187"/>
    </row>
    <row r="204">
      <c r="A204" s="123" t="s">
        <v>230</v>
      </c>
      <c r="B204" s="123" t="s">
        <v>461</v>
      </c>
      <c r="C204" s="36" t="s">
        <v>84</v>
      </c>
      <c r="D204" s="123" t="s">
        <v>476</v>
      </c>
      <c r="E204" s="75">
        <v>2018.0</v>
      </c>
      <c r="F204" s="75">
        <v>2022.0</v>
      </c>
      <c r="G204" s="75">
        <v>0.0</v>
      </c>
      <c r="H204" s="75">
        <v>9.7</v>
      </c>
      <c r="I204" s="124">
        <v>1.0</v>
      </c>
      <c r="J204" s="75">
        <v>9.7</v>
      </c>
      <c r="K204" s="125">
        <v>0.0</v>
      </c>
      <c r="L204" s="125">
        <v>0.0</v>
      </c>
      <c r="M204" s="75">
        <v>6.0</v>
      </c>
      <c r="N204" s="75"/>
      <c r="O204" s="123" t="s">
        <v>60</v>
      </c>
      <c r="P204" s="126">
        <v>7862.0</v>
      </c>
      <c r="Q204" s="123" t="s">
        <v>234</v>
      </c>
      <c r="R204" s="75">
        <v>2017.0</v>
      </c>
      <c r="S204" s="136">
        <v>0.239</v>
      </c>
      <c r="T204" s="128">
        <f t="shared" si="61"/>
        <v>1879.018</v>
      </c>
      <c r="U204" s="24">
        <f t="shared" si="3"/>
        <v>193.7131959</v>
      </c>
      <c r="V204" s="3">
        <f t="shared" si="28"/>
        <v>0</v>
      </c>
      <c r="W204" s="3">
        <f t="shared" si="29"/>
        <v>0</v>
      </c>
      <c r="X204" s="3">
        <f t="shared" si="30"/>
        <v>0</v>
      </c>
      <c r="Y204" s="25">
        <f t="shared" si="31"/>
        <v>0</v>
      </c>
      <c r="Z204" s="26">
        <f>VLOOKUP(R204,CPI!$A$2:$F$71,6,0)</f>
        <v>1.314109416</v>
      </c>
      <c r="AA204" s="27">
        <f t="shared" si="8"/>
        <v>2469.235246</v>
      </c>
      <c r="AB204" s="27">
        <f t="shared" si="9"/>
        <v>254.5603347</v>
      </c>
      <c r="AC204" s="123" t="s">
        <v>60</v>
      </c>
      <c r="AD204" s="129" t="s">
        <v>473</v>
      </c>
      <c r="AE204" s="29"/>
      <c r="AF204" s="30"/>
      <c r="AG204" s="30"/>
      <c r="AH204" s="30"/>
    </row>
    <row r="205">
      <c r="A205" s="123" t="s">
        <v>230</v>
      </c>
      <c r="B205" s="123" t="s">
        <v>461</v>
      </c>
      <c r="C205" s="36" t="s">
        <v>228</v>
      </c>
      <c r="D205" s="123" t="s">
        <v>477</v>
      </c>
      <c r="E205" s="75">
        <v>2018.0</v>
      </c>
      <c r="F205" s="75">
        <v>2022.0</v>
      </c>
      <c r="G205" s="75">
        <v>0.0</v>
      </c>
      <c r="H205" s="75">
        <v>21.8</v>
      </c>
      <c r="I205" s="124">
        <v>1.0</v>
      </c>
      <c r="J205" s="75">
        <v>21.8</v>
      </c>
      <c r="K205" s="125">
        <v>0.0</v>
      </c>
      <c r="L205" s="125">
        <v>0.0</v>
      </c>
      <c r="M205" s="75">
        <v>11.0</v>
      </c>
      <c r="N205" s="75"/>
      <c r="O205" s="123" t="s">
        <v>60</v>
      </c>
      <c r="P205" s="126">
        <v>16235.0</v>
      </c>
      <c r="Q205" s="123" t="s">
        <v>234</v>
      </c>
      <c r="R205" s="75">
        <v>2017.0</v>
      </c>
      <c r="S205" s="136">
        <v>0.239</v>
      </c>
      <c r="T205" s="128">
        <f t="shared" si="61"/>
        <v>3880.165</v>
      </c>
      <c r="U205" s="24">
        <f t="shared" si="3"/>
        <v>177.9892202</v>
      </c>
      <c r="V205" s="3">
        <f t="shared" si="28"/>
        <v>0</v>
      </c>
      <c r="W205" s="3">
        <f t="shared" si="29"/>
        <v>0</v>
      </c>
      <c r="X205" s="3">
        <f t="shared" si="30"/>
        <v>0</v>
      </c>
      <c r="Y205" s="25">
        <f t="shared" si="31"/>
        <v>0</v>
      </c>
      <c r="Z205" s="26">
        <f>VLOOKUP(R205,CPI!$A$2:$F$71,6,0)</f>
        <v>1.314109416</v>
      </c>
      <c r="AA205" s="27">
        <f t="shared" si="8"/>
        <v>5098.961361</v>
      </c>
      <c r="AB205" s="27">
        <f t="shared" si="9"/>
        <v>233.8973102</v>
      </c>
      <c r="AC205" s="123" t="s">
        <v>60</v>
      </c>
      <c r="AD205" s="129" t="s">
        <v>473</v>
      </c>
      <c r="AE205" s="29"/>
      <c r="AF205" s="30"/>
      <c r="AG205" s="30"/>
      <c r="AH205" s="30"/>
    </row>
    <row r="206">
      <c r="A206" s="130" t="s">
        <v>230</v>
      </c>
      <c r="B206" s="130" t="s">
        <v>461</v>
      </c>
      <c r="C206" s="16" t="s">
        <v>87</v>
      </c>
      <c r="D206" s="130" t="s">
        <v>478</v>
      </c>
      <c r="E206" s="130">
        <v>2019.0</v>
      </c>
      <c r="F206" s="130">
        <v>2022.0</v>
      </c>
      <c r="G206" s="130">
        <v>0.0</v>
      </c>
      <c r="H206" s="130">
        <v>9.6</v>
      </c>
      <c r="I206" s="131">
        <v>1.0</v>
      </c>
      <c r="J206" s="130">
        <v>9.6</v>
      </c>
      <c r="K206" s="132">
        <v>0.0</v>
      </c>
      <c r="L206" s="132">
        <v>0.0</v>
      </c>
      <c r="M206" s="130">
        <v>4.0</v>
      </c>
      <c r="N206" s="138"/>
      <c r="O206" s="130" t="s">
        <v>60</v>
      </c>
      <c r="P206" s="135">
        <v>5698.0</v>
      </c>
      <c r="Q206" s="130" t="s">
        <v>234</v>
      </c>
      <c r="R206" s="130">
        <v>2017.0</v>
      </c>
      <c r="S206" s="136">
        <v>0.239</v>
      </c>
      <c r="T206" s="128">
        <f>S206*P206</f>
        <v>1361.822</v>
      </c>
      <c r="U206" s="24">
        <f t="shared" si="3"/>
        <v>141.8564583</v>
      </c>
      <c r="V206" s="3">
        <f t="shared" si="28"/>
        <v>0</v>
      </c>
      <c r="W206" s="3">
        <f t="shared" si="29"/>
        <v>0</v>
      </c>
      <c r="X206" s="3">
        <f t="shared" si="30"/>
        <v>0</v>
      </c>
      <c r="Y206" s="25">
        <f t="shared" si="31"/>
        <v>0</v>
      </c>
      <c r="Z206" s="26">
        <f>VLOOKUP(R206,CPI!$A$2:$F$71,6,0)</f>
        <v>1.314109416</v>
      </c>
      <c r="AA206" s="27">
        <f t="shared" si="8"/>
        <v>1789.583113</v>
      </c>
      <c r="AB206" s="27">
        <f t="shared" si="9"/>
        <v>186.4149076</v>
      </c>
      <c r="AC206" s="130" t="s">
        <v>60</v>
      </c>
      <c r="AD206" s="137" t="s">
        <v>473</v>
      </c>
      <c r="AE206" s="29"/>
      <c r="AF206" s="30"/>
      <c r="AG206" s="30"/>
      <c r="AH206" s="30"/>
    </row>
    <row r="207">
      <c r="A207" s="72" t="s">
        <v>230</v>
      </c>
      <c r="B207" s="72" t="s">
        <v>461</v>
      </c>
      <c r="C207" s="72" t="s">
        <v>351</v>
      </c>
      <c r="D207" s="72" t="s">
        <v>351</v>
      </c>
      <c r="E207" s="69">
        <v>2017.0</v>
      </c>
      <c r="F207" s="69">
        <v>2023.0</v>
      </c>
      <c r="G207" s="69">
        <v>1.0</v>
      </c>
      <c r="H207" s="69">
        <v>62.5</v>
      </c>
      <c r="I207" s="117">
        <v>1.0</v>
      </c>
      <c r="J207" s="69">
        <v>62.5</v>
      </c>
      <c r="K207" s="72"/>
      <c r="L207" s="72"/>
      <c r="M207" s="69">
        <v>9.0</v>
      </c>
      <c r="N207" s="69">
        <v>184.0</v>
      </c>
      <c r="O207" s="72"/>
      <c r="P207" s="140">
        <v>48600.0</v>
      </c>
      <c r="Q207" s="72" t="s">
        <v>234</v>
      </c>
      <c r="R207" s="115">
        <v>2020.0</v>
      </c>
      <c r="S207" s="136">
        <v>0.239</v>
      </c>
      <c r="T207" s="118">
        <f t="shared" ref="T207:T224" si="62">P207*S207</f>
        <v>11615.4</v>
      </c>
      <c r="U207" s="24">
        <f t="shared" si="3"/>
        <v>185.8464</v>
      </c>
      <c r="V207" s="3">
        <f t="shared" si="28"/>
        <v>0</v>
      </c>
      <c r="W207" s="3">
        <f t="shared" si="29"/>
        <v>0</v>
      </c>
      <c r="X207" s="3">
        <f t="shared" si="30"/>
        <v>0</v>
      </c>
      <c r="Y207" s="25">
        <f t="shared" si="31"/>
        <v>0</v>
      </c>
      <c r="Z207" s="26">
        <f>VLOOKUP(R207,CPI!$A$2:$F$71,6,0)</f>
        <v>1.244593545</v>
      </c>
      <c r="AA207" s="27">
        <f t="shared" si="8"/>
        <v>14456.45186</v>
      </c>
      <c r="AB207" s="27">
        <f t="shared" si="9"/>
        <v>231.3032298</v>
      </c>
      <c r="AC207" s="72" t="s">
        <v>36</v>
      </c>
      <c r="AD207" s="79" t="s">
        <v>479</v>
      </c>
      <c r="AE207" s="167" t="s">
        <v>480</v>
      </c>
      <c r="AF207" s="168"/>
      <c r="AG207" s="168"/>
      <c r="AH207" s="169"/>
    </row>
    <row r="208">
      <c r="A208" s="72" t="s">
        <v>230</v>
      </c>
      <c r="B208" s="72" t="s">
        <v>461</v>
      </c>
      <c r="C208" s="115" t="s">
        <v>243</v>
      </c>
      <c r="D208" s="72" t="s">
        <v>256</v>
      </c>
      <c r="E208" s="69">
        <v>2017.0</v>
      </c>
      <c r="F208" s="69">
        <v>2023.0</v>
      </c>
      <c r="G208" s="69">
        <v>0.0</v>
      </c>
      <c r="H208" s="69">
        <v>20.0</v>
      </c>
      <c r="I208" s="117">
        <v>0.57</v>
      </c>
      <c r="J208" s="69">
        <v>11.3</v>
      </c>
      <c r="K208" s="72"/>
      <c r="L208" s="72"/>
      <c r="M208" s="69">
        <v>9.0</v>
      </c>
      <c r="N208" s="70">
        <v>138.0</v>
      </c>
      <c r="O208" s="72"/>
      <c r="P208" s="140">
        <v>15083.0</v>
      </c>
      <c r="Q208" s="72" t="s">
        <v>234</v>
      </c>
      <c r="R208" s="115">
        <v>2020.0</v>
      </c>
      <c r="S208" s="136">
        <v>0.239</v>
      </c>
      <c r="T208" s="118">
        <f t="shared" si="62"/>
        <v>3604.837</v>
      </c>
      <c r="U208" s="24">
        <f t="shared" si="3"/>
        <v>180.24185</v>
      </c>
      <c r="V208" s="3">
        <f t="shared" si="28"/>
        <v>0</v>
      </c>
      <c r="W208" s="3">
        <f t="shared" si="29"/>
        <v>0</v>
      </c>
      <c r="X208" s="3">
        <f t="shared" si="30"/>
        <v>0</v>
      </c>
      <c r="Y208" s="25">
        <f t="shared" si="31"/>
        <v>0</v>
      </c>
      <c r="Z208" s="26">
        <f>VLOOKUP(R208,CPI!$A$2:$F$71,6,0)</f>
        <v>1.244593545</v>
      </c>
      <c r="AA208" s="27">
        <f t="shared" si="8"/>
        <v>4486.556861</v>
      </c>
      <c r="AB208" s="27">
        <f t="shared" si="9"/>
        <v>224.3278431</v>
      </c>
      <c r="AC208" s="115" t="s">
        <v>60</v>
      </c>
      <c r="AD208" s="182" t="s">
        <v>481</v>
      </c>
      <c r="AE208" s="72"/>
      <c r="AF208" s="72"/>
      <c r="AG208" s="72"/>
      <c r="AH208" s="72"/>
    </row>
    <row r="209">
      <c r="A209" s="72" t="s">
        <v>230</v>
      </c>
      <c r="B209" s="72" t="s">
        <v>461</v>
      </c>
      <c r="C209" s="115" t="s">
        <v>287</v>
      </c>
      <c r="D209" s="72" t="s">
        <v>287</v>
      </c>
      <c r="E209" s="69">
        <v>2018.0</v>
      </c>
      <c r="F209" s="69">
        <v>2023.0</v>
      </c>
      <c r="G209" s="69">
        <v>0.0</v>
      </c>
      <c r="H209" s="69">
        <v>37.6</v>
      </c>
      <c r="I209" s="117">
        <v>1.0</v>
      </c>
      <c r="J209" s="69">
        <v>37.6</v>
      </c>
      <c r="K209" s="72"/>
      <c r="L209" s="72"/>
      <c r="M209" s="69">
        <v>25.0</v>
      </c>
      <c r="N209" s="69">
        <v>138.0</v>
      </c>
      <c r="O209" s="72"/>
      <c r="P209" s="140">
        <v>37500.0</v>
      </c>
      <c r="Q209" s="72" t="s">
        <v>234</v>
      </c>
      <c r="R209" s="115">
        <v>2020.0</v>
      </c>
      <c r="S209" s="136">
        <v>0.239</v>
      </c>
      <c r="T209" s="118">
        <f t="shared" si="62"/>
        <v>8962.5</v>
      </c>
      <c r="U209" s="24">
        <f t="shared" si="3"/>
        <v>238.3643617</v>
      </c>
      <c r="V209" s="3">
        <f t="shared" si="28"/>
        <v>0</v>
      </c>
      <c r="W209" s="3">
        <f t="shared" si="29"/>
        <v>0</v>
      </c>
      <c r="X209" s="3">
        <f t="shared" si="30"/>
        <v>0</v>
      </c>
      <c r="Y209" s="25">
        <f t="shared" si="31"/>
        <v>0</v>
      </c>
      <c r="Z209" s="26">
        <f>VLOOKUP(R209,CPI!$A$2:$F$71,6,0)</f>
        <v>1.244593545</v>
      </c>
      <c r="AA209" s="27">
        <f t="shared" si="8"/>
        <v>11154.66965</v>
      </c>
      <c r="AB209" s="27">
        <f t="shared" si="9"/>
        <v>296.666746</v>
      </c>
      <c r="AC209" s="72" t="s">
        <v>36</v>
      </c>
      <c r="AD209" s="79" t="s">
        <v>482</v>
      </c>
      <c r="AE209" s="186"/>
      <c r="AF209" s="187"/>
      <c r="AG209" s="187"/>
      <c r="AH209" s="187"/>
    </row>
    <row r="210">
      <c r="A210" s="114" t="s">
        <v>230</v>
      </c>
      <c r="B210" s="114" t="s">
        <v>461</v>
      </c>
      <c r="C210" s="115" t="s">
        <v>87</v>
      </c>
      <c r="D210" s="115" t="s">
        <v>331</v>
      </c>
      <c r="E210" s="116">
        <v>2000.0</v>
      </c>
      <c r="F210" s="114"/>
      <c r="G210" s="116">
        <v>0.0</v>
      </c>
      <c r="H210" s="116">
        <v>35.86</v>
      </c>
      <c r="I210" s="117">
        <v>1.0</v>
      </c>
      <c r="J210" s="116">
        <v>35.86</v>
      </c>
      <c r="K210" s="114"/>
      <c r="L210" s="114"/>
      <c r="M210" s="116">
        <v>18.0</v>
      </c>
      <c r="N210" s="116">
        <v>117.0</v>
      </c>
      <c r="O210" s="114"/>
      <c r="P210" s="140">
        <v>15300.0</v>
      </c>
      <c r="Q210" s="114" t="s">
        <v>234</v>
      </c>
      <c r="R210" s="115">
        <v>2000.0</v>
      </c>
      <c r="S210" s="85">
        <v>0.367</v>
      </c>
      <c r="T210" s="118">
        <f t="shared" si="62"/>
        <v>5615.1</v>
      </c>
      <c r="U210" s="24">
        <f t="shared" si="3"/>
        <v>156.5839375</v>
      </c>
      <c r="V210" s="3">
        <f t="shared" si="28"/>
        <v>0</v>
      </c>
      <c r="W210" s="3">
        <f t="shared" si="29"/>
        <v>0</v>
      </c>
      <c r="X210" s="3">
        <f t="shared" si="30"/>
        <v>0</v>
      </c>
      <c r="Y210" s="25">
        <f t="shared" si="31"/>
        <v>0</v>
      </c>
      <c r="Z210" s="26">
        <f>VLOOKUP(R210,CPI!$A$2:$F$71,6,0)</f>
        <v>1.870583624</v>
      </c>
      <c r="AA210" s="27">
        <f t="shared" si="8"/>
        <v>10503.51411</v>
      </c>
      <c r="AB210" s="27">
        <f t="shared" si="9"/>
        <v>292.9033493</v>
      </c>
      <c r="AC210" s="114"/>
      <c r="AD210" s="119" t="s">
        <v>483</v>
      </c>
      <c r="AE210" s="164"/>
      <c r="AF210" s="165"/>
      <c r="AG210" s="165"/>
      <c r="AH210" s="165"/>
    </row>
    <row r="211">
      <c r="A211" s="114" t="s">
        <v>230</v>
      </c>
      <c r="B211" s="114" t="s">
        <v>461</v>
      </c>
      <c r="C211" s="115" t="s">
        <v>80</v>
      </c>
      <c r="D211" s="115" t="s">
        <v>255</v>
      </c>
      <c r="E211" s="116">
        <v>2006.0</v>
      </c>
      <c r="F211" s="114"/>
      <c r="G211" s="116">
        <v>0.0</v>
      </c>
      <c r="H211" s="116">
        <v>24.3</v>
      </c>
      <c r="I211" s="117">
        <v>0.87</v>
      </c>
      <c r="J211" s="116">
        <v>21.2</v>
      </c>
      <c r="K211" s="114"/>
      <c r="L211" s="114"/>
      <c r="M211" s="116">
        <v>22.0</v>
      </c>
      <c r="N211" s="116">
        <v>68.0</v>
      </c>
      <c r="O211" s="114"/>
      <c r="P211" s="140">
        <v>11529.0</v>
      </c>
      <c r="Q211" s="114" t="s">
        <v>234</v>
      </c>
      <c r="R211" s="115">
        <v>2006.0</v>
      </c>
      <c r="S211" s="85">
        <v>0.349</v>
      </c>
      <c r="T211" s="118">
        <f t="shared" si="62"/>
        <v>4023.621</v>
      </c>
      <c r="U211" s="24">
        <f t="shared" si="3"/>
        <v>165.5811111</v>
      </c>
      <c r="V211" s="3">
        <f t="shared" si="28"/>
        <v>0</v>
      </c>
      <c r="W211" s="3">
        <f t="shared" si="29"/>
        <v>0</v>
      </c>
      <c r="X211" s="3">
        <f t="shared" si="30"/>
        <v>0</v>
      </c>
      <c r="Y211" s="25">
        <f t="shared" si="31"/>
        <v>0</v>
      </c>
      <c r="Z211" s="26">
        <f>VLOOKUP(R211,CPI!$A$2:$F$71,6,0)</f>
        <v>1.597790179</v>
      </c>
      <c r="AA211" s="27">
        <f t="shared" si="8"/>
        <v>6428.902116</v>
      </c>
      <c r="AB211" s="27">
        <f t="shared" si="9"/>
        <v>264.5638731</v>
      </c>
      <c r="AC211" s="114"/>
      <c r="AD211" s="161" t="s">
        <v>484</v>
      </c>
      <c r="AE211" s="164"/>
      <c r="AF211" s="165"/>
      <c r="AG211" s="165"/>
      <c r="AH211" s="165"/>
    </row>
    <row r="212">
      <c r="A212" s="114" t="s">
        <v>230</v>
      </c>
      <c r="B212" s="114" t="s">
        <v>461</v>
      </c>
      <c r="C212" s="16" t="s">
        <v>485</v>
      </c>
      <c r="D212" s="114" t="s">
        <v>486</v>
      </c>
      <c r="E212" s="116">
        <v>2007.0</v>
      </c>
      <c r="F212" s="114"/>
      <c r="G212" s="116">
        <v>0.0</v>
      </c>
      <c r="H212" s="116">
        <v>28.55</v>
      </c>
      <c r="I212" s="114"/>
      <c r="J212" s="114"/>
      <c r="K212" s="114"/>
      <c r="L212" s="114"/>
      <c r="M212" s="116">
        <v>22.0</v>
      </c>
      <c r="N212" s="116">
        <v>138.0</v>
      </c>
      <c r="O212" s="114"/>
      <c r="P212" s="140">
        <v>14729.0</v>
      </c>
      <c r="Q212" s="114" t="s">
        <v>234</v>
      </c>
      <c r="R212" s="115">
        <v>2007.0</v>
      </c>
      <c r="S212" s="85">
        <v>0.333</v>
      </c>
      <c r="T212" s="118">
        <f t="shared" si="62"/>
        <v>4904.757</v>
      </c>
      <c r="U212" s="24">
        <f t="shared" si="3"/>
        <v>171.7953415</v>
      </c>
      <c r="V212" s="3">
        <f t="shared" si="28"/>
        <v>0</v>
      </c>
      <c r="W212" s="3">
        <f t="shared" si="29"/>
        <v>0</v>
      </c>
      <c r="X212" s="3">
        <f t="shared" si="30"/>
        <v>0</v>
      </c>
      <c r="Y212" s="25">
        <f t="shared" si="31"/>
        <v>0</v>
      </c>
      <c r="Z212" s="26">
        <f>VLOOKUP(R212,CPI!$A$2:$F$71,6,0)</f>
        <v>1.553541974</v>
      </c>
      <c r="AA212" s="27">
        <f t="shared" si="8"/>
        <v>7619.745872</v>
      </c>
      <c r="AB212" s="27">
        <f t="shared" si="9"/>
        <v>266.891274</v>
      </c>
      <c r="AC212" s="114"/>
      <c r="AD212" s="161" t="s">
        <v>487</v>
      </c>
      <c r="AE212" s="164"/>
      <c r="AF212" s="165"/>
      <c r="AG212" s="165"/>
      <c r="AH212" s="165"/>
    </row>
    <row r="213">
      <c r="A213" s="114" t="s">
        <v>230</v>
      </c>
      <c r="B213" s="114" t="s">
        <v>461</v>
      </c>
      <c r="C213" s="115" t="s">
        <v>80</v>
      </c>
      <c r="D213" s="115" t="s">
        <v>488</v>
      </c>
      <c r="E213" s="116">
        <v>2009.0</v>
      </c>
      <c r="F213" s="114"/>
      <c r="G213" s="116">
        <v>0.0</v>
      </c>
      <c r="H213" s="116">
        <v>17.6</v>
      </c>
      <c r="I213" s="117">
        <v>1.0</v>
      </c>
      <c r="J213" s="116">
        <v>17.6</v>
      </c>
      <c r="K213" s="114"/>
      <c r="L213" s="114"/>
      <c r="M213" s="114"/>
      <c r="N213" s="116">
        <v>102.0</v>
      </c>
      <c r="O213" s="114"/>
      <c r="P213" s="140">
        <v>7156.0</v>
      </c>
      <c r="Q213" s="114" t="s">
        <v>234</v>
      </c>
      <c r="R213" s="115">
        <v>2009.0</v>
      </c>
      <c r="S213" s="85">
        <v>0.317</v>
      </c>
      <c r="T213" s="118">
        <f t="shared" si="62"/>
        <v>2268.452</v>
      </c>
      <c r="U213" s="24">
        <f t="shared" si="3"/>
        <v>128.8893182</v>
      </c>
      <c r="V213" s="3">
        <f t="shared" si="28"/>
        <v>0</v>
      </c>
      <c r="W213" s="3">
        <f t="shared" si="29"/>
        <v>0</v>
      </c>
      <c r="X213" s="3">
        <f t="shared" si="30"/>
        <v>0</v>
      </c>
      <c r="Y213" s="25">
        <f t="shared" si="31"/>
        <v>0</v>
      </c>
      <c r="Z213" s="26">
        <f>VLOOKUP(R213,CPI!$A$2:$F$71,6,0)</f>
        <v>1.501440311</v>
      </c>
      <c r="AA213" s="27">
        <f t="shared" si="8"/>
        <v>3405.945276</v>
      </c>
      <c r="AB213" s="27">
        <f t="shared" si="9"/>
        <v>193.519618</v>
      </c>
      <c r="AC213" s="114"/>
      <c r="AD213" s="119" t="s">
        <v>489</v>
      </c>
      <c r="AE213" s="164"/>
      <c r="AF213" s="165"/>
      <c r="AG213" s="165"/>
      <c r="AH213" s="165"/>
    </row>
    <row r="214">
      <c r="A214" s="114" t="s">
        <v>230</v>
      </c>
      <c r="B214" s="114" t="s">
        <v>461</v>
      </c>
      <c r="C214" s="114" t="s">
        <v>253</v>
      </c>
      <c r="D214" s="114" t="s">
        <v>253</v>
      </c>
      <c r="E214" s="116">
        <v>2009.0</v>
      </c>
      <c r="F214" s="114"/>
      <c r="G214" s="116">
        <v>0.0</v>
      </c>
      <c r="H214" s="116">
        <v>18.3</v>
      </c>
      <c r="I214" s="117">
        <v>1.0</v>
      </c>
      <c r="J214" s="116">
        <v>18.3</v>
      </c>
      <c r="K214" s="114"/>
      <c r="L214" s="114"/>
      <c r="M214" s="114"/>
      <c r="N214" s="116">
        <v>117.0</v>
      </c>
      <c r="O214" s="114"/>
      <c r="P214" s="140">
        <v>7750.0</v>
      </c>
      <c r="Q214" s="114" t="s">
        <v>234</v>
      </c>
      <c r="R214" s="115">
        <v>2009.0</v>
      </c>
      <c r="S214" s="85">
        <v>0.317</v>
      </c>
      <c r="T214" s="118">
        <f t="shared" si="62"/>
        <v>2456.75</v>
      </c>
      <c r="U214" s="24">
        <f t="shared" si="3"/>
        <v>134.2486339</v>
      </c>
      <c r="V214" s="3">
        <f t="shared" si="28"/>
        <v>0</v>
      </c>
      <c r="W214" s="3">
        <f t="shared" si="29"/>
        <v>0</v>
      </c>
      <c r="X214" s="3">
        <f t="shared" si="30"/>
        <v>0</v>
      </c>
      <c r="Y214" s="25">
        <f t="shared" si="31"/>
        <v>0</v>
      </c>
      <c r="Z214" s="26">
        <f>VLOOKUP(R214,CPI!$A$2:$F$71,6,0)</f>
        <v>1.501440311</v>
      </c>
      <c r="AA214" s="27">
        <f t="shared" si="8"/>
        <v>3688.663484</v>
      </c>
      <c r="AB214" s="27">
        <f t="shared" si="9"/>
        <v>201.5663106</v>
      </c>
      <c r="AC214" s="114"/>
      <c r="AD214" s="119" t="s">
        <v>489</v>
      </c>
      <c r="AE214" s="164"/>
      <c r="AF214" s="165"/>
      <c r="AG214" s="165"/>
      <c r="AH214" s="165"/>
    </row>
    <row r="215">
      <c r="A215" s="114" t="s">
        <v>230</v>
      </c>
      <c r="B215" s="114" t="s">
        <v>461</v>
      </c>
      <c r="C215" s="115" t="s">
        <v>228</v>
      </c>
      <c r="D215" s="114" t="s">
        <v>228</v>
      </c>
      <c r="E215" s="116">
        <v>2012.0</v>
      </c>
      <c r="F215" s="114"/>
      <c r="G215" s="116">
        <v>0.0</v>
      </c>
      <c r="H215" s="116">
        <v>17.6</v>
      </c>
      <c r="I215" s="117">
        <v>1.0</v>
      </c>
      <c r="J215" s="116">
        <v>17.6</v>
      </c>
      <c r="K215" s="114"/>
      <c r="L215" s="114"/>
      <c r="M215" s="114"/>
      <c r="N215" s="116">
        <v>117.0</v>
      </c>
      <c r="O215" s="114"/>
      <c r="P215" s="140">
        <v>9230.0</v>
      </c>
      <c r="Q215" s="114" t="s">
        <v>234</v>
      </c>
      <c r="R215" s="115">
        <v>2012.0</v>
      </c>
      <c r="S215" s="85">
        <v>0.281</v>
      </c>
      <c r="T215" s="118">
        <f t="shared" si="62"/>
        <v>2593.63</v>
      </c>
      <c r="U215" s="24">
        <f t="shared" si="3"/>
        <v>147.3653409</v>
      </c>
      <c r="V215" s="3">
        <f t="shared" si="28"/>
        <v>0</v>
      </c>
      <c r="W215" s="3">
        <f t="shared" si="29"/>
        <v>0</v>
      </c>
      <c r="X215" s="3">
        <f t="shared" si="30"/>
        <v>0</v>
      </c>
      <c r="Y215" s="25">
        <f t="shared" si="31"/>
        <v>0</v>
      </c>
      <c r="Z215" s="26">
        <f>VLOOKUP(R215,CPI!$A$2:$F$71,6,0)</f>
        <v>1.402974381</v>
      </c>
      <c r="AA215" s="27">
        <f t="shared" si="8"/>
        <v>3638.796443</v>
      </c>
      <c r="AB215" s="27">
        <f t="shared" si="9"/>
        <v>206.7497979</v>
      </c>
      <c r="AC215" s="114"/>
      <c r="AD215" s="161" t="s">
        <v>490</v>
      </c>
      <c r="AE215" s="164"/>
      <c r="AF215" s="165"/>
      <c r="AG215" s="165"/>
      <c r="AH215" s="165"/>
    </row>
    <row r="216">
      <c r="A216" s="114" t="s">
        <v>230</v>
      </c>
      <c r="B216" s="114" t="s">
        <v>461</v>
      </c>
      <c r="C216" s="114" t="s">
        <v>292</v>
      </c>
      <c r="D216" s="114" t="s">
        <v>292</v>
      </c>
      <c r="E216" s="116">
        <v>2019.0</v>
      </c>
      <c r="F216" s="114"/>
      <c r="G216" s="116">
        <v>0.0</v>
      </c>
      <c r="H216" s="116">
        <v>44.2</v>
      </c>
      <c r="I216" s="117">
        <v>1.0</v>
      </c>
      <c r="J216" s="116">
        <v>44.2</v>
      </c>
      <c r="K216" s="114"/>
      <c r="L216" s="114"/>
      <c r="M216" s="116">
        <v>32.0</v>
      </c>
      <c r="N216" s="116">
        <v>184.0</v>
      </c>
      <c r="O216" s="114"/>
      <c r="P216" s="140">
        <v>45521.0</v>
      </c>
      <c r="Q216" s="114" t="s">
        <v>234</v>
      </c>
      <c r="R216" s="115">
        <v>2019.0</v>
      </c>
      <c r="S216" s="136">
        <v>0.238</v>
      </c>
      <c r="T216" s="118">
        <f t="shared" si="62"/>
        <v>10833.998</v>
      </c>
      <c r="U216" s="24">
        <f t="shared" si="3"/>
        <v>245.1130769</v>
      </c>
      <c r="V216" s="3">
        <f t="shared" si="28"/>
        <v>0</v>
      </c>
      <c r="W216" s="3">
        <f t="shared" si="29"/>
        <v>0</v>
      </c>
      <c r="X216" s="3">
        <f t="shared" si="30"/>
        <v>0</v>
      </c>
      <c r="Y216" s="25">
        <f t="shared" si="31"/>
        <v>0</v>
      </c>
      <c r="Z216" s="26">
        <f>VLOOKUP(R216,CPI!$A$2:$F$71,6,0)</f>
        <v>1.259947899</v>
      </c>
      <c r="AA216" s="27">
        <f t="shared" si="8"/>
        <v>13650.27302</v>
      </c>
      <c r="AB216" s="27">
        <f t="shared" si="9"/>
        <v>308.8297063</v>
      </c>
      <c r="AC216" s="114"/>
      <c r="AD216" s="119" t="s">
        <v>491</v>
      </c>
      <c r="AE216" s="164"/>
      <c r="AF216" s="165"/>
      <c r="AG216" s="165"/>
      <c r="AH216" s="165"/>
    </row>
    <row r="217">
      <c r="A217" s="114" t="s">
        <v>230</v>
      </c>
      <c r="B217" s="114" t="s">
        <v>461</v>
      </c>
      <c r="C217" s="115" t="s">
        <v>236</v>
      </c>
      <c r="D217" s="115" t="s">
        <v>492</v>
      </c>
      <c r="E217" s="116">
        <v>2019.0</v>
      </c>
      <c r="F217" s="114"/>
      <c r="G217" s="116">
        <v>0.0</v>
      </c>
      <c r="H217" s="116">
        <v>33.5</v>
      </c>
      <c r="I217" s="117">
        <v>1.0</v>
      </c>
      <c r="J217" s="116">
        <v>33.5</v>
      </c>
      <c r="K217" s="114"/>
      <c r="L217" s="114"/>
      <c r="M217" s="116">
        <v>23.0</v>
      </c>
      <c r="N217" s="116">
        <v>184.0</v>
      </c>
      <c r="O217" s="114"/>
      <c r="P217" s="140">
        <v>41085.0</v>
      </c>
      <c r="Q217" s="114" t="s">
        <v>234</v>
      </c>
      <c r="R217" s="115">
        <v>2019.0</v>
      </c>
      <c r="S217" s="136">
        <v>0.238</v>
      </c>
      <c r="T217" s="118">
        <f t="shared" si="62"/>
        <v>9778.23</v>
      </c>
      <c r="U217" s="24">
        <f t="shared" si="3"/>
        <v>291.8874627</v>
      </c>
      <c r="V217" s="3">
        <f t="shared" si="28"/>
        <v>0</v>
      </c>
      <c r="W217" s="3">
        <f t="shared" si="29"/>
        <v>0</v>
      </c>
      <c r="X217" s="3">
        <f t="shared" si="30"/>
        <v>0</v>
      </c>
      <c r="Y217" s="25">
        <f t="shared" si="31"/>
        <v>0</v>
      </c>
      <c r="Z217" s="26">
        <f>VLOOKUP(R217,CPI!$A$2:$F$71,6,0)</f>
        <v>1.259947899</v>
      </c>
      <c r="AA217" s="27">
        <f t="shared" si="8"/>
        <v>12320.06034</v>
      </c>
      <c r="AB217" s="27">
        <f t="shared" si="9"/>
        <v>367.7629953</v>
      </c>
      <c r="AC217" s="114"/>
      <c r="AD217" s="119" t="s">
        <v>493</v>
      </c>
      <c r="AE217" s="29"/>
      <c r="AF217" s="30"/>
      <c r="AG217" s="30"/>
      <c r="AH217" s="30"/>
    </row>
    <row r="218">
      <c r="A218" s="114" t="s">
        <v>230</v>
      </c>
      <c r="B218" s="114" t="s">
        <v>461</v>
      </c>
      <c r="C218" s="115" t="s">
        <v>351</v>
      </c>
      <c r="D218" s="114" t="s">
        <v>494</v>
      </c>
      <c r="E218" s="116">
        <v>2020.0</v>
      </c>
      <c r="F218" s="114"/>
      <c r="G218" s="116">
        <v>1.0</v>
      </c>
      <c r="H218" s="116">
        <v>79.0</v>
      </c>
      <c r="I218" s="117">
        <v>1.0</v>
      </c>
      <c r="J218" s="116">
        <v>79.0</v>
      </c>
      <c r="K218" s="114"/>
      <c r="L218" s="114"/>
      <c r="M218" s="114"/>
      <c r="N218" s="116">
        <v>184.0</v>
      </c>
      <c r="O218" s="114"/>
      <c r="P218" s="140">
        <v>48600.0</v>
      </c>
      <c r="Q218" s="114" t="s">
        <v>234</v>
      </c>
      <c r="R218" s="115">
        <v>2020.0</v>
      </c>
      <c r="S218" s="136">
        <v>0.239</v>
      </c>
      <c r="T218" s="118">
        <f t="shared" si="62"/>
        <v>11615.4</v>
      </c>
      <c r="U218" s="24">
        <f t="shared" si="3"/>
        <v>147.0303797</v>
      </c>
      <c r="V218" s="3">
        <f t="shared" si="28"/>
        <v>0</v>
      </c>
      <c r="W218" s="3">
        <f t="shared" si="29"/>
        <v>0</v>
      </c>
      <c r="X218" s="3">
        <f t="shared" si="30"/>
        <v>0</v>
      </c>
      <c r="Y218" s="25">
        <f t="shared" si="31"/>
        <v>0</v>
      </c>
      <c r="Z218" s="26">
        <f>VLOOKUP(R218,CPI!$A$2:$F$71,6,0)</f>
        <v>1.244593545</v>
      </c>
      <c r="AA218" s="27">
        <f t="shared" si="8"/>
        <v>14456.45186</v>
      </c>
      <c r="AB218" s="27">
        <f t="shared" si="9"/>
        <v>182.9930616</v>
      </c>
      <c r="AC218" s="114"/>
      <c r="AD218" s="119" t="s">
        <v>495</v>
      </c>
      <c r="AE218" s="164"/>
      <c r="AF218" s="165"/>
      <c r="AG218" s="165"/>
      <c r="AH218" s="165"/>
    </row>
    <row r="219">
      <c r="A219" s="114" t="s">
        <v>230</v>
      </c>
      <c r="B219" s="114" t="s">
        <v>461</v>
      </c>
      <c r="C219" s="115" t="s">
        <v>302</v>
      </c>
      <c r="D219" s="115" t="s">
        <v>496</v>
      </c>
      <c r="E219" s="116">
        <v>2020.0</v>
      </c>
      <c r="F219" s="114"/>
      <c r="G219" s="116">
        <v>1.0</v>
      </c>
      <c r="H219" s="116">
        <v>39.0</v>
      </c>
      <c r="I219" s="117">
        <v>1.0</v>
      </c>
      <c r="J219" s="116">
        <v>39.0</v>
      </c>
      <c r="K219" s="114"/>
      <c r="L219" s="114"/>
      <c r="M219" s="114"/>
      <c r="N219" s="116">
        <v>184.0</v>
      </c>
      <c r="O219" s="114"/>
      <c r="P219" s="140">
        <v>32500.0</v>
      </c>
      <c r="Q219" s="114" t="s">
        <v>234</v>
      </c>
      <c r="R219" s="115">
        <v>2020.0</v>
      </c>
      <c r="S219" s="136">
        <v>0.239</v>
      </c>
      <c r="T219" s="118">
        <f t="shared" si="62"/>
        <v>7767.5</v>
      </c>
      <c r="U219" s="24">
        <f t="shared" si="3"/>
        <v>199.1666667</v>
      </c>
      <c r="V219" s="3">
        <f t="shared" si="28"/>
        <v>0</v>
      </c>
      <c r="W219" s="3">
        <f t="shared" si="29"/>
        <v>0</v>
      </c>
      <c r="X219" s="3">
        <f t="shared" si="30"/>
        <v>0</v>
      </c>
      <c r="Y219" s="25">
        <f t="shared" si="31"/>
        <v>0</v>
      </c>
      <c r="Z219" s="26">
        <f>VLOOKUP(R219,CPI!$A$2:$F$71,6,0)</f>
        <v>1.244593545</v>
      </c>
      <c r="AA219" s="27">
        <f t="shared" si="8"/>
        <v>9667.380362</v>
      </c>
      <c r="AB219" s="27">
        <f t="shared" si="9"/>
        <v>247.8815477</v>
      </c>
      <c r="AC219" s="114"/>
      <c r="AD219" s="119" t="s">
        <v>495</v>
      </c>
      <c r="AE219" s="164"/>
      <c r="AF219" s="165"/>
      <c r="AG219" s="165"/>
      <c r="AH219" s="165"/>
    </row>
    <row r="220">
      <c r="A220" s="114" t="s">
        <v>230</v>
      </c>
      <c r="B220" s="114" t="s">
        <v>461</v>
      </c>
      <c r="C220" s="114" t="s">
        <v>290</v>
      </c>
      <c r="D220" s="114" t="s">
        <v>290</v>
      </c>
      <c r="E220" s="116">
        <v>2020.0</v>
      </c>
      <c r="F220" s="114"/>
      <c r="G220" s="116">
        <v>1.0</v>
      </c>
      <c r="H220" s="116">
        <v>107.0</v>
      </c>
      <c r="I220" s="117">
        <v>1.0</v>
      </c>
      <c r="J220" s="116">
        <v>107.0</v>
      </c>
      <c r="K220" s="114"/>
      <c r="L220" s="114"/>
      <c r="M220" s="114"/>
      <c r="N220" s="116">
        <v>184.0</v>
      </c>
      <c r="O220" s="114"/>
      <c r="P220" s="140">
        <v>95300.0</v>
      </c>
      <c r="Q220" s="114" t="s">
        <v>234</v>
      </c>
      <c r="R220" s="115">
        <v>2020.0</v>
      </c>
      <c r="S220" s="136">
        <v>0.239</v>
      </c>
      <c r="T220" s="118">
        <f t="shared" si="62"/>
        <v>22776.7</v>
      </c>
      <c r="U220" s="24">
        <f t="shared" si="3"/>
        <v>212.8663551</v>
      </c>
      <c r="V220" s="3">
        <f t="shared" si="28"/>
        <v>0</v>
      </c>
      <c r="W220" s="3">
        <f t="shared" si="29"/>
        <v>0</v>
      </c>
      <c r="X220" s="3">
        <f t="shared" si="30"/>
        <v>0</v>
      </c>
      <c r="Y220" s="25">
        <f t="shared" si="31"/>
        <v>0</v>
      </c>
      <c r="Z220" s="26">
        <f>VLOOKUP(R220,CPI!$A$2:$F$71,6,0)</f>
        <v>1.244593545</v>
      </c>
      <c r="AA220" s="27">
        <f t="shared" si="8"/>
        <v>28347.7338</v>
      </c>
      <c r="AB220" s="27">
        <f t="shared" si="9"/>
        <v>264.9320916</v>
      </c>
      <c r="AC220" s="114"/>
      <c r="AD220" s="161" t="s">
        <v>495</v>
      </c>
      <c r="AE220" s="164"/>
      <c r="AF220" s="165"/>
      <c r="AG220" s="165"/>
      <c r="AH220" s="165"/>
    </row>
    <row r="221">
      <c r="A221" s="114" t="s">
        <v>230</v>
      </c>
      <c r="B221" s="114" t="s">
        <v>461</v>
      </c>
      <c r="C221" s="115" t="s">
        <v>351</v>
      </c>
      <c r="D221" s="114" t="s">
        <v>497</v>
      </c>
      <c r="E221" s="116">
        <v>2021.0</v>
      </c>
      <c r="F221" s="114"/>
      <c r="G221" s="116">
        <v>1.0</v>
      </c>
      <c r="H221" s="116">
        <v>41.1</v>
      </c>
      <c r="I221" s="117">
        <v>1.0</v>
      </c>
      <c r="J221" s="116">
        <v>41.1</v>
      </c>
      <c r="K221" s="114"/>
      <c r="L221" s="114"/>
      <c r="M221" s="116">
        <v>10.0</v>
      </c>
      <c r="N221" s="116">
        <v>184.0</v>
      </c>
      <c r="O221" s="114"/>
      <c r="P221" s="140">
        <v>38130.0</v>
      </c>
      <c r="Q221" s="114" t="s">
        <v>234</v>
      </c>
      <c r="R221" s="115">
        <v>2021.0</v>
      </c>
      <c r="S221" s="136">
        <v>0.239000000000001</v>
      </c>
      <c r="T221" s="118">
        <f t="shared" si="62"/>
        <v>9113.07</v>
      </c>
      <c r="U221" s="24">
        <f t="shared" si="3"/>
        <v>221.7291971</v>
      </c>
      <c r="V221" s="3">
        <f t="shared" si="28"/>
        <v>0</v>
      </c>
      <c r="W221" s="3">
        <f t="shared" si="29"/>
        <v>0</v>
      </c>
      <c r="X221" s="3">
        <f t="shared" si="30"/>
        <v>0</v>
      </c>
      <c r="Y221" s="25">
        <f t="shared" si="31"/>
        <v>0</v>
      </c>
      <c r="Z221" s="26">
        <f>VLOOKUP(R221,CPI!$A$2:$F$71,6,0)</f>
        <v>1.188745987</v>
      </c>
      <c r="AA221" s="27">
        <f t="shared" si="8"/>
        <v>10833.12539</v>
      </c>
      <c r="AB221" s="27">
        <f t="shared" si="9"/>
        <v>263.5796932</v>
      </c>
      <c r="AC221" s="114"/>
      <c r="AD221" s="119" t="s">
        <v>498</v>
      </c>
      <c r="AE221" s="164"/>
      <c r="AF221" s="165"/>
      <c r="AG221" s="165"/>
      <c r="AH221" s="165"/>
    </row>
    <row r="222">
      <c r="A222" s="114" t="s">
        <v>230</v>
      </c>
      <c r="B222" s="114" t="s">
        <v>461</v>
      </c>
      <c r="C222" s="115" t="s">
        <v>243</v>
      </c>
      <c r="D222" s="114" t="s">
        <v>499</v>
      </c>
      <c r="E222" s="116">
        <v>2021.0</v>
      </c>
      <c r="F222" s="114"/>
      <c r="G222" s="116">
        <v>0.0</v>
      </c>
      <c r="H222" s="116">
        <v>18.0</v>
      </c>
      <c r="I222" s="117">
        <v>1.0</v>
      </c>
      <c r="J222" s="116">
        <v>18.0</v>
      </c>
      <c r="K222" s="114"/>
      <c r="L222" s="114"/>
      <c r="M222" s="116">
        <v>7.0</v>
      </c>
      <c r="N222" s="116">
        <v>138.0</v>
      </c>
      <c r="O222" s="114"/>
      <c r="P222" s="140">
        <v>16576.0</v>
      </c>
      <c r="Q222" s="114" t="s">
        <v>234</v>
      </c>
      <c r="R222" s="115">
        <v>2021.0</v>
      </c>
      <c r="S222" s="136">
        <v>0.239000000000001</v>
      </c>
      <c r="T222" s="118">
        <f t="shared" si="62"/>
        <v>3961.664</v>
      </c>
      <c r="U222" s="24">
        <f t="shared" si="3"/>
        <v>220.0924444</v>
      </c>
      <c r="V222" s="3">
        <f t="shared" si="28"/>
        <v>0</v>
      </c>
      <c r="W222" s="3">
        <f t="shared" si="29"/>
        <v>0</v>
      </c>
      <c r="X222" s="3">
        <f t="shared" si="30"/>
        <v>0</v>
      </c>
      <c r="Y222" s="25">
        <f t="shared" si="31"/>
        <v>0</v>
      </c>
      <c r="Z222" s="26">
        <f>VLOOKUP(R222,CPI!$A$2:$F$71,6,0)</f>
        <v>1.188745987</v>
      </c>
      <c r="AA222" s="27">
        <f t="shared" si="8"/>
        <v>4709.41218</v>
      </c>
      <c r="AB222" s="27">
        <f t="shared" si="9"/>
        <v>261.63401</v>
      </c>
      <c r="AC222" s="114"/>
      <c r="AD222" s="119" t="s">
        <v>500</v>
      </c>
      <c r="AE222" s="167" t="s">
        <v>501</v>
      </c>
      <c r="AF222" s="168"/>
      <c r="AG222" s="168"/>
      <c r="AH222" s="169"/>
    </row>
    <row r="223">
      <c r="A223" s="114" t="s">
        <v>230</v>
      </c>
      <c r="B223" s="114" t="s">
        <v>502</v>
      </c>
      <c r="C223" s="114" t="s">
        <v>57</v>
      </c>
      <c r="D223" s="114" t="s">
        <v>57</v>
      </c>
      <c r="E223" s="116">
        <v>2020.0</v>
      </c>
      <c r="F223" s="114"/>
      <c r="G223" s="116">
        <v>0.0</v>
      </c>
      <c r="H223" s="116">
        <v>29.27</v>
      </c>
      <c r="I223" s="117">
        <v>0.06</v>
      </c>
      <c r="J223" s="116">
        <v>1.9</v>
      </c>
      <c r="K223" s="114"/>
      <c r="L223" s="114"/>
      <c r="M223" s="116">
        <v>13.0</v>
      </c>
      <c r="N223" s="116"/>
      <c r="O223" s="114"/>
      <c r="P223" s="140">
        <v>8299.0</v>
      </c>
      <c r="Q223" s="114" t="s">
        <v>234</v>
      </c>
      <c r="R223" s="115">
        <v>2020.0</v>
      </c>
      <c r="S223" s="136">
        <v>0.239</v>
      </c>
      <c r="T223" s="118">
        <f t="shared" si="62"/>
        <v>1983.461</v>
      </c>
      <c r="U223" s="24">
        <f t="shared" si="3"/>
        <v>67.76429792</v>
      </c>
      <c r="V223" s="3">
        <f t="shared" si="28"/>
        <v>0</v>
      </c>
      <c r="W223" s="3">
        <f t="shared" si="29"/>
        <v>0</v>
      </c>
      <c r="X223" s="3">
        <f t="shared" si="30"/>
        <v>0</v>
      </c>
      <c r="Y223" s="25">
        <f t="shared" si="31"/>
        <v>0</v>
      </c>
      <c r="Z223" s="26">
        <f>VLOOKUP(R223,CPI!$A$2:$F$71,6,0)</f>
        <v>1.244593545</v>
      </c>
      <c r="AA223" s="27">
        <f t="shared" si="8"/>
        <v>2468.602758</v>
      </c>
      <c r="AB223" s="27">
        <f t="shared" si="9"/>
        <v>84.33900777</v>
      </c>
      <c r="AC223" s="72" t="s">
        <v>36</v>
      </c>
      <c r="AD223" s="119" t="s">
        <v>503</v>
      </c>
      <c r="AE223" s="7"/>
      <c r="AF223" s="7"/>
      <c r="AG223" s="7"/>
      <c r="AH223" s="7"/>
    </row>
    <row r="224">
      <c r="A224" s="22" t="s">
        <v>230</v>
      </c>
      <c r="B224" s="22" t="s">
        <v>504</v>
      </c>
      <c r="C224" s="16" t="s">
        <v>57</v>
      </c>
      <c r="D224" s="22" t="s">
        <v>232</v>
      </c>
      <c r="E224" s="17">
        <v>2013.0</v>
      </c>
      <c r="F224" s="17">
        <v>2017.0</v>
      </c>
      <c r="G224" s="17">
        <v>0.0</v>
      </c>
      <c r="H224" s="17">
        <v>34.3</v>
      </c>
      <c r="I224" s="19">
        <f>J224/H224</f>
        <v>0.8454810496</v>
      </c>
      <c r="J224" s="17">
        <v>29.0</v>
      </c>
      <c r="K224" s="177">
        <v>5.14</v>
      </c>
      <c r="L224" s="177">
        <v>0.348</v>
      </c>
      <c r="M224" s="17">
        <v>25.0</v>
      </c>
      <c r="N224" s="17"/>
      <c r="O224" s="22" t="s">
        <v>42</v>
      </c>
      <c r="P224" s="23">
        <v>19370.0</v>
      </c>
      <c r="Q224" s="22" t="s">
        <v>234</v>
      </c>
      <c r="R224" s="17">
        <v>2010.0</v>
      </c>
      <c r="S224" s="136">
        <v>0.3</v>
      </c>
      <c r="T224" s="3">
        <f t="shared" si="62"/>
        <v>5811</v>
      </c>
      <c r="U224" s="24">
        <f t="shared" si="3"/>
        <v>169.4169096</v>
      </c>
      <c r="V224" s="3">
        <f t="shared" si="28"/>
        <v>0</v>
      </c>
      <c r="W224" s="3">
        <f t="shared" si="29"/>
        <v>0</v>
      </c>
      <c r="X224" s="3">
        <f t="shared" si="30"/>
        <v>0</v>
      </c>
      <c r="Y224" s="25">
        <f t="shared" si="31"/>
        <v>0</v>
      </c>
      <c r="Z224" s="26">
        <f>VLOOKUP(R224,CPI!$A$2:$F$71,6,0)</f>
        <v>1.477209983</v>
      </c>
      <c r="AA224" s="27">
        <f t="shared" si="8"/>
        <v>8584.06721</v>
      </c>
      <c r="AB224" s="27">
        <f t="shared" si="9"/>
        <v>250.2643501</v>
      </c>
      <c r="AC224" s="26" t="s">
        <v>42</v>
      </c>
      <c r="AD224" s="129" t="s">
        <v>505</v>
      </c>
      <c r="AE224" s="178"/>
      <c r="AF224" s="172"/>
      <c r="AG224" s="172"/>
      <c r="AH224" s="172"/>
    </row>
    <row r="225">
      <c r="A225" s="130" t="s">
        <v>230</v>
      </c>
      <c r="B225" s="130" t="s">
        <v>504</v>
      </c>
      <c r="C225" s="16" t="s">
        <v>506</v>
      </c>
      <c r="D225" s="130" t="s">
        <v>507</v>
      </c>
      <c r="E225" s="130">
        <v>2016.0</v>
      </c>
      <c r="F225" s="130">
        <v>2020.0</v>
      </c>
      <c r="G225" s="130">
        <v>0.0</v>
      </c>
      <c r="H225" s="130">
        <v>28.5</v>
      </c>
      <c r="I225" s="131">
        <v>0.5298245614</v>
      </c>
      <c r="J225" s="130">
        <v>15.1</v>
      </c>
      <c r="K225" s="132">
        <v>0.0</v>
      </c>
      <c r="L225" s="132">
        <v>0.0</v>
      </c>
      <c r="M225" s="130">
        <v>12.0</v>
      </c>
      <c r="N225" s="138"/>
      <c r="O225" s="130" t="s">
        <v>60</v>
      </c>
      <c r="P225" s="135">
        <v>15479.0</v>
      </c>
      <c r="Q225" s="130" t="s">
        <v>234</v>
      </c>
      <c r="R225" s="130">
        <v>2016.0</v>
      </c>
      <c r="S225" s="136">
        <v>0.251</v>
      </c>
      <c r="T225" s="128">
        <f>S225*P225</f>
        <v>3885.229</v>
      </c>
      <c r="U225" s="24">
        <f t="shared" si="3"/>
        <v>136.3238246</v>
      </c>
      <c r="V225" s="3">
        <f t="shared" si="28"/>
        <v>0</v>
      </c>
      <c r="W225" s="3">
        <f t="shared" si="29"/>
        <v>0</v>
      </c>
      <c r="X225" s="3">
        <f t="shared" si="30"/>
        <v>0</v>
      </c>
      <c r="Y225" s="25">
        <f t="shared" si="31"/>
        <v>0</v>
      </c>
      <c r="Z225" s="26">
        <f>VLOOKUP(R225,CPI!$A$2:$F$71,6,0)</f>
        <v>1.342104605</v>
      </c>
      <c r="AA225" s="27">
        <f t="shared" si="8"/>
        <v>5214.383733</v>
      </c>
      <c r="AB225" s="27">
        <f t="shared" si="9"/>
        <v>182.9608328</v>
      </c>
      <c r="AC225" s="130" t="s">
        <v>60</v>
      </c>
      <c r="AD225" s="137" t="s">
        <v>508</v>
      </c>
      <c r="AE225" s="29"/>
      <c r="AF225" s="30"/>
      <c r="AG225" s="30"/>
      <c r="AH225" s="30"/>
    </row>
    <row r="226">
      <c r="A226" s="114" t="s">
        <v>230</v>
      </c>
      <c r="B226" s="114" t="s">
        <v>504</v>
      </c>
      <c r="C226" s="115" t="s">
        <v>54</v>
      </c>
      <c r="D226" s="115" t="s">
        <v>348</v>
      </c>
      <c r="E226" s="114"/>
      <c r="F226" s="114">
        <v>2021.0</v>
      </c>
      <c r="G226" s="114">
        <v>0.0</v>
      </c>
      <c r="H226" s="114">
        <v>27.6</v>
      </c>
      <c r="I226" s="117">
        <v>1.0</v>
      </c>
      <c r="J226" s="114">
        <v>27.6</v>
      </c>
      <c r="K226" s="114"/>
      <c r="L226" s="114"/>
      <c r="M226" s="114">
        <v>24.0</v>
      </c>
      <c r="N226" s="116">
        <v>117.0</v>
      </c>
      <c r="O226" s="114"/>
      <c r="P226" s="140">
        <v>19459.0</v>
      </c>
      <c r="Q226" s="114" t="s">
        <v>234</v>
      </c>
      <c r="R226" s="115">
        <v>2021.0</v>
      </c>
      <c r="S226" s="136">
        <v>0.239000000000001</v>
      </c>
      <c r="T226" s="118">
        <f t="shared" ref="T226:T233" si="63">P226*S226</f>
        <v>4650.701</v>
      </c>
      <c r="U226" s="24">
        <f t="shared" si="3"/>
        <v>168.5036594</v>
      </c>
      <c r="V226" s="3">
        <f t="shared" si="28"/>
        <v>0</v>
      </c>
      <c r="W226" s="3">
        <f t="shared" si="29"/>
        <v>0</v>
      </c>
      <c r="X226" s="3">
        <f t="shared" si="30"/>
        <v>0</v>
      </c>
      <c r="Y226" s="25">
        <f t="shared" si="31"/>
        <v>0</v>
      </c>
      <c r="Z226" s="26">
        <f>VLOOKUP(R226,CPI!$A$2:$F$71,6,0)</f>
        <v>1.188745987</v>
      </c>
      <c r="AA226" s="27">
        <f t="shared" si="8"/>
        <v>5528.502149</v>
      </c>
      <c r="AB226" s="27">
        <f t="shared" si="9"/>
        <v>200.3080489</v>
      </c>
      <c r="AC226" s="114"/>
      <c r="AD226" s="119" t="s">
        <v>509</v>
      </c>
      <c r="AE226" s="164"/>
      <c r="AF226" s="165"/>
      <c r="AG226" s="165"/>
      <c r="AH226" s="165"/>
    </row>
    <row r="227">
      <c r="A227" s="123" t="s">
        <v>230</v>
      </c>
      <c r="B227" s="123" t="s">
        <v>504</v>
      </c>
      <c r="C227" s="36" t="s">
        <v>54</v>
      </c>
      <c r="D227" s="123" t="s">
        <v>326</v>
      </c>
      <c r="E227" s="75">
        <v>2017.0</v>
      </c>
      <c r="F227" s="75">
        <v>2022.0</v>
      </c>
      <c r="G227" s="75">
        <v>0.0</v>
      </c>
      <c r="H227" s="75">
        <v>12.8</v>
      </c>
      <c r="I227" s="124">
        <v>0.8125</v>
      </c>
      <c r="J227" s="75">
        <v>10.4</v>
      </c>
      <c r="K227" s="125">
        <v>2.27</v>
      </c>
      <c r="L227" s="125">
        <v>0.162</v>
      </c>
      <c r="M227" s="75">
        <v>8.0</v>
      </c>
      <c r="N227" s="75"/>
      <c r="O227" s="123" t="s">
        <v>60</v>
      </c>
      <c r="P227" s="126">
        <v>8475.0</v>
      </c>
      <c r="Q227" s="123" t="s">
        <v>234</v>
      </c>
      <c r="R227" s="75">
        <v>2016.0</v>
      </c>
      <c r="S227" s="136">
        <v>0.251</v>
      </c>
      <c r="T227" s="128">
        <f t="shared" si="63"/>
        <v>2127.225</v>
      </c>
      <c r="U227" s="24">
        <f t="shared" si="3"/>
        <v>166.1894531</v>
      </c>
      <c r="V227" s="3">
        <f t="shared" si="28"/>
        <v>0</v>
      </c>
      <c r="W227" s="3">
        <f t="shared" si="29"/>
        <v>0</v>
      </c>
      <c r="X227" s="3">
        <f t="shared" si="30"/>
        <v>0</v>
      </c>
      <c r="Y227" s="25">
        <f t="shared" si="31"/>
        <v>0</v>
      </c>
      <c r="Z227" s="26">
        <f>VLOOKUP(R227,CPI!$A$2:$F$71,6,0)</f>
        <v>1.342104605</v>
      </c>
      <c r="AA227" s="27">
        <f t="shared" si="8"/>
        <v>2854.958469</v>
      </c>
      <c r="AB227" s="27">
        <f t="shared" si="9"/>
        <v>223.0436304</v>
      </c>
      <c r="AC227" s="123" t="s">
        <v>60</v>
      </c>
      <c r="AD227" s="129" t="s">
        <v>508</v>
      </c>
      <c r="AE227" s="29"/>
      <c r="AF227" s="30"/>
      <c r="AG227" s="30"/>
      <c r="AH227" s="30"/>
    </row>
    <row r="228">
      <c r="A228" s="123" t="s">
        <v>230</v>
      </c>
      <c r="B228" s="123" t="s">
        <v>504</v>
      </c>
      <c r="C228" s="16" t="s">
        <v>87</v>
      </c>
      <c r="D228" s="123" t="s">
        <v>331</v>
      </c>
      <c r="E228" s="75">
        <v>2018.0</v>
      </c>
      <c r="F228" s="75">
        <v>2023.0</v>
      </c>
      <c r="G228" s="75">
        <v>0.0</v>
      </c>
      <c r="H228" s="75">
        <v>43.135</v>
      </c>
      <c r="I228" s="124">
        <v>1.0</v>
      </c>
      <c r="J228" s="75">
        <v>43.135</v>
      </c>
      <c r="K228" s="125">
        <v>0.0</v>
      </c>
      <c r="L228" s="125">
        <v>0.0</v>
      </c>
      <c r="M228" s="75">
        <v>29.0</v>
      </c>
      <c r="N228" s="75"/>
      <c r="O228" s="123" t="s">
        <v>42</v>
      </c>
      <c r="P228" s="126">
        <v>31545.0</v>
      </c>
      <c r="Q228" s="123" t="s">
        <v>234</v>
      </c>
      <c r="R228" s="75">
        <v>2017.0</v>
      </c>
      <c r="S228" s="136">
        <v>0.239</v>
      </c>
      <c r="T228" s="128">
        <f t="shared" si="63"/>
        <v>7539.255</v>
      </c>
      <c r="U228" s="24">
        <f t="shared" si="3"/>
        <v>174.782775</v>
      </c>
      <c r="V228" s="3">
        <f t="shared" si="28"/>
        <v>0</v>
      </c>
      <c r="W228" s="3">
        <f t="shared" si="29"/>
        <v>0</v>
      </c>
      <c r="X228" s="3">
        <f t="shared" si="30"/>
        <v>0</v>
      </c>
      <c r="Y228" s="25">
        <f t="shared" si="31"/>
        <v>0</v>
      </c>
      <c r="Z228" s="26">
        <f>VLOOKUP(R228,CPI!$A$2:$F$71,6,0)</f>
        <v>1.314109416</v>
      </c>
      <c r="AA228" s="27">
        <f t="shared" si="8"/>
        <v>9907.405984</v>
      </c>
      <c r="AB228" s="27">
        <f t="shared" si="9"/>
        <v>229.6836904</v>
      </c>
      <c r="AC228" s="123" t="s">
        <v>42</v>
      </c>
      <c r="AD228" s="129" t="s">
        <v>510</v>
      </c>
      <c r="AE228" s="29"/>
      <c r="AF228" s="30"/>
      <c r="AG228" s="30"/>
      <c r="AH228" s="30"/>
    </row>
    <row r="229">
      <c r="A229" s="72" t="s">
        <v>230</v>
      </c>
      <c r="B229" s="72" t="s">
        <v>504</v>
      </c>
      <c r="C229" s="115" t="s">
        <v>511</v>
      </c>
      <c r="D229" s="115" t="s">
        <v>512</v>
      </c>
      <c r="E229" s="69">
        <v>2021.0</v>
      </c>
      <c r="F229" s="72"/>
      <c r="G229" s="69">
        <v>0.0</v>
      </c>
      <c r="H229" s="69">
        <v>30.32</v>
      </c>
      <c r="I229" s="117">
        <v>0.75</v>
      </c>
      <c r="J229" s="69">
        <v>22.64</v>
      </c>
      <c r="K229" s="72"/>
      <c r="L229" s="72"/>
      <c r="M229" s="69">
        <v>13.0</v>
      </c>
      <c r="N229" s="69">
        <v>117.0</v>
      </c>
      <c r="O229" s="72"/>
      <c r="P229" s="140">
        <v>17252.45</v>
      </c>
      <c r="Q229" s="72" t="s">
        <v>234</v>
      </c>
      <c r="R229" s="115">
        <v>2021.0</v>
      </c>
      <c r="S229" s="136">
        <v>0.239</v>
      </c>
      <c r="T229" s="118">
        <f t="shared" si="63"/>
        <v>4123.33555</v>
      </c>
      <c r="U229" s="24">
        <f t="shared" si="3"/>
        <v>135.9939166</v>
      </c>
      <c r="V229" s="3">
        <f t="shared" si="28"/>
        <v>0</v>
      </c>
      <c r="W229" s="3">
        <f t="shared" si="29"/>
        <v>0</v>
      </c>
      <c r="X229" s="3">
        <f t="shared" si="30"/>
        <v>0</v>
      </c>
      <c r="Y229" s="25">
        <f t="shared" si="31"/>
        <v>0</v>
      </c>
      <c r="Z229" s="26">
        <f>VLOOKUP(R229,CPI!$A$2:$F$71,6,0)</f>
        <v>1.188745987</v>
      </c>
      <c r="AA229" s="27">
        <f t="shared" si="8"/>
        <v>4901.598587</v>
      </c>
      <c r="AB229" s="27">
        <f t="shared" si="9"/>
        <v>161.6622225</v>
      </c>
      <c r="AC229" s="72" t="s">
        <v>36</v>
      </c>
      <c r="AD229" s="79" t="s">
        <v>513</v>
      </c>
      <c r="AE229" s="186"/>
      <c r="AF229" s="187"/>
      <c r="AG229" s="187"/>
      <c r="AH229" s="187"/>
    </row>
    <row r="230">
      <c r="A230" s="123" t="s">
        <v>230</v>
      </c>
      <c r="B230" s="123" t="s">
        <v>514</v>
      </c>
      <c r="C230" s="36" t="s">
        <v>57</v>
      </c>
      <c r="D230" s="123" t="s">
        <v>232</v>
      </c>
      <c r="E230" s="75">
        <v>2007.0</v>
      </c>
      <c r="F230" s="75">
        <v>2012.0</v>
      </c>
      <c r="G230" s="75">
        <v>0.0</v>
      </c>
      <c r="H230" s="75">
        <v>48.0</v>
      </c>
      <c r="I230" s="155"/>
      <c r="J230" s="123"/>
      <c r="K230" s="125" t="e">
        <v>#N/A</v>
      </c>
      <c r="L230" s="125" t="e">
        <v>#N/A</v>
      </c>
      <c r="M230" s="75">
        <v>31.0</v>
      </c>
      <c r="N230" s="75"/>
      <c r="O230" s="123" t="s">
        <v>60</v>
      </c>
      <c r="P230" s="126">
        <f>(137.86+82.9)*10^2</f>
        <v>22076</v>
      </c>
      <c r="Q230" s="123" t="s">
        <v>234</v>
      </c>
      <c r="R230" s="75">
        <v>2007.0</v>
      </c>
      <c r="S230" s="136">
        <v>0.333</v>
      </c>
      <c r="T230" s="128">
        <f t="shared" si="63"/>
        <v>7351.308</v>
      </c>
      <c r="U230" s="24">
        <f t="shared" si="3"/>
        <v>153.15225</v>
      </c>
      <c r="V230" s="3">
        <f t="shared" si="28"/>
        <v>0</v>
      </c>
      <c r="W230" s="3">
        <f t="shared" si="29"/>
        <v>0</v>
      </c>
      <c r="X230" s="3">
        <f t="shared" si="30"/>
        <v>0</v>
      </c>
      <c r="Y230" s="25">
        <f t="shared" si="31"/>
        <v>0</v>
      </c>
      <c r="Z230" s="26">
        <f>VLOOKUP(R230,CPI!$A$2:$F$71,6,0)</f>
        <v>1.553541974</v>
      </c>
      <c r="AA230" s="27">
        <f t="shared" si="8"/>
        <v>11420.56554</v>
      </c>
      <c r="AB230" s="27">
        <f t="shared" si="9"/>
        <v>237.9284488</v>
      </c>
      <c r="AC230" s="123" t="s">
        <v>60</v>
      </c>
      <c r="AD230" s="154" t="s">
        <v>515</v>
      </c>
      <c r="AE230" s="179"/>
      <c r="AF230" s="174"/>
      <c r="AG230" s="174"/>
      <c r="AH230" s="174"/>
    </row>
    <row r="231">
      <c r="A231" s="114" t="s">
        <v>230</v>
      </c>
      <c r="B231" s="72" t="s">
        <v>514</v>
      </c>
      <c r="C231" s="115" t="s">
        <v>84</v>
      </c>
      <c r="D231" s="115" t="s">
        <v>319</v>
      </c>
      <c r="E231" s="116">
        <v>2014.0</v>
      </c>
      <c r="F231" s="116">
        <v>2020.0</v>
      </c>
      <c r="G231" s="116">
        <v>0.0</v>
      </c>
      <c r="H231" s="116">
        <v>51.6</v>
      </c>
      <c r="I231" s="117">
        <v>1.0</v>
      </c>
      <c r="J231" s="116">
        <v>51.6</v>
      </c>
      <c r="K231" s="114"/>
      <c r="L231" s="114"/>
      <c r="M231" s="116">
        <v>36.0</v>
      </c>
      <c r="N231" s="116">
        <v>117.0</v>
      </c>
      <c r="O231" s="114"/>
      <c r="P231" s="140">
        <v>36064.0</v>
      </c>
      <c r="Q231" s="114" t="s">
        <v>234</v>
      </c>
      <c r="R231" s="115">
        <v>2017.0</v>
      </c>
      <c r="S231" s="85">
        <v>0.239</v>
      </c>
      <c r="T231" s="118">
        <f t="shared" si="63"/>
        <v>8619.296</v>
      </c>
      <c r="U231" s="24">
        <f t="shared" si="3"/>
        <v>167.0406202</v>
      </c>
      <c r="V231" s="3">
        <f t="shared" si="28"/>
        <v>0</v>
      </c>
      <c r="W231" s="3">
        <f t="shared" si="29"/>
        <v>0</v>
      </c>
      <c r="X231" s="3">
        <f t="shared" si="30"/>
        <v>0</v>
      </c>
      <c r="Y231" s="25">
        <f t="shared" si="31"/>
        <v>0</v>
      </c>
      <c r="Z231" s="26">
        <f>VLOOKUP(R231,CPI!$A$2:$F$71,6,0)</f>
        <v>1.314109416</v>
      </c>
      <c r="AA231" s="27">
        <f t="shared" si="8"/>
        <v>11326.69803</v>
      </c>
      <c r="AB231" s="27">
        <f t="shared" si="9"/>
        <v>219.5096518</v>
      </c>
      <c r="AC231" s="114"/>
      <c r="AD231" s="119" t="s">
        <v>516</v>
      </c>
      <c r="AE231" s="164"/>
      <c r="AF231" s="165"/>
      <c r="AG231" s="165"/>
      <c r="AH231" s="165"/>
    </row>
    <row r="232">
      <c r="A232" s="114" t="s">
        <v>230</v>
      </c>
      <c r="B232" s="114" t="s">
        <v>514</v>
      </c>
      <c r="C232" s="115" t="s">
        <v>517</v>
      </c>
      <c r="D232" s="114" t="s">
        <v>518</v>
      </c>
      <c r="E232" s="116">
        <v>2016.0</v>
      </c>
      <c r="F232" s="116">
        <v>2020.0</v>
      </c>
      <c r="G232" s="116">
        <v>0.0</v>
      </c>
      <c r="H232" s="116">
        <v>14.26</v>
      </c>
      <c r="I232" s="117">
        <v>0.3</v>
      </c>
      <c r="J232" s="116">
        <v>4.32</v>
      </c>
      <c r="K232" s="114"/>
      <c r="L232" s="114"/>
      <c r="M232" s="116">
        <v>6.0</v>
      </c>
      <c r="N232" s="116">
        <v>78.0</v>
      </c>
      <c r="O232" s="114"/>
      <c r="P232" s="140">
        <v>4590.0</v>
      </c>
      <c r="Q232" s="114" t="s">
        <v>234</v>
      </c>
      <c r="R232" s="115">
        <v>2018.0</v>
      </c>
      <c r="S232" s="85">
        <v>0.237</v>
      </c>
      <c r="T232" s="118">
        <f t="shared" si="63"/>
        <v>1087.83</v>
      </c>
      <c r="U232" s="24">
        <f t="shared" si="3"/>
        <v>76.28541374</v>
      </c>
      <c r="V232" s="3">
        <f t="shared" si="28"/>
        <v>0</v>
      </c>
      <c r="W232" s="3">
        <f t="shared" si="29"/>
        <v>0</v>
      </c>
      <c r="X232" s="3">
        <f t="shared" si="30"/>
        <v>0</v>
      </c>
      <c r="Y232" s="25">
        <f t="shared" si="31"/>
        <v>0</v>
      </c>
      <c r="Z232" s="26">
        <f>VLOOKUP(R232,CPI!$A$2:$F$71,6,0)</f>
        <v>1.28277786</v>
      </c>
      <c r="AA232" s="27">
        <f t="shared" si="8"/>
        <v>1395.444239</v>
      </c>
      <c r="AB232" s="27">
        <f t="shared" si="9"/>
        <v>97.85723977</v>
      </c>
      <c r="AC232" s="114"/>
      <c r="AD232" s="119" t="s">
        <v>519</v>
      </c>
      <c r="AE232" s="164"/>
      <c r="AF232" s="165"/>
      <c r="AG232" s="165"/>
      <c r="AH232" s="165"/>
    </row>
    <row r="233">
      <c r="A233" s="114" t="s">
        <v>230</v>
      </c>
      <c r="B233" s="72" t="s">
        <v>514</v>
      </c>
      <c r="C233" s="115" t="s">
        <v>517</v>
      </c>
      <c r="D233" s="72" t="s">
        <v>520</v>
      </c>
      <c r="E233" s="116">
        <v>2016.0</v>
      </c>
      <c r="F233" s="116">
        <v>2020.0</v>
      </c>
      <c r="G233" s="116">
        <v>0.0</v>
      </c>
      <c r="H233" s="116">
        <v>20.72</v>
      </c>
      <c r="I233" s="117">
        <v>0.42</v>
      </c>
      <c r="J233" s="116">
        <v>8.64</v>
      </c>
      <c r="K233" s="114"/>
      <c r="L233" s="114"/>
      <c r="M233" s="116">
        <v>6.0</v>
      </c>
      <c r="N233" s="116">
        <v>78.0</v>
      </c>
      <c r="O233" s="114"/>
      <c r="P233" s="140">
        <v>6740.0</v>
      </c>
      <c r="Q233" s="114" t="s">
        <v>234</v>
      </c>
      <c r="R233" s="115">
        <v>2018.0</v>
      </c>
      <c r="S233" s="85">
        <v>0.237</v>
      </c>
      <c r="T233" s="118">
        <f t="shared" si="63"/>
        <v>1597.38</v>
      </c>
      <c r="U233" s="24">
        <f t="shared" si="3"/>
        <v>77.09362934</v>
      </c>
      <c r="V233" s="3">
        <f t="shared" si="28"/>
        <v>0</v>
      </c>
      <c r="W233" s="3">
        <f t="shared" si="29"/>
        <v>0</v>
      </c>
      <c r="X233" s="3">
        <f t="shared" si="30"/>
        <v>0</v>
      </c>
      <c r="Y233" s="25">
        <f t="shared" si="31"/>
        <v>0</v>
      </c>
      <c r="Z233" s="26">
        <f>VLOOKUP(R233,CPI!$A$2:$F$71,6,0)</f>
        <v>1.28277786</v>
      </c>
      <c r="AA233" s="27">
        <f t="shared" si="8"/>
        <v>2049.083697</v>
      </c>
      <c r="AB233" s="27">
        <f t="shared" si="9"/>
        <v>98.89400084</v>
      </c>
      <c r="AC233" s="114"/>
      <c r="AD233" s="119" t="s">
        <v>519</v>
      </c>
      <c r="AE233" s="164"/>
      <c r="AF233" s="165"/>
      <c r="AG233" s="165"/>
      <c r="AH233" s="165"/>
    </row>
    <row r="234">
      <c r="A234" s="130" t="s">
        <v>230</v>
      </c>
      <c r="B234" s="130" t="s">
        <v>514</v>
      </c>
      <c r="C234" s="36" t="s">
        <v>54</v>
      </c>
      <c r="D234" s="130" t="s">
        <v>437</v>
      </c>
      <c r="E234" s="130">
        <v>2017.0</v>
      </c>
      <c r="F234" s="130">
        <v>2020.0</v>
      </c>
      <c r="G234" s="130">
        <v>0.0</v>
      </c>
      <c r="H234" s="130">
        <v>1.6</v>
      </c>
      <c r="I234" s="131"/>
      <c r="J234" s="130"/>
      <c r="K234" s="132" t="e">
        <v>#N/A</v>
      </c>
      <c r="L234" s="132" t="e">
        <v>#N/A</v>
      </c>
      <c r="M234" s="130">
        <v>1.0</v>
      </c>
      <c r="N234" s="138"/>
      <c r="O234" s="130" t="s">
        <v>60</v>
      </c>
      <c r="P234" s="135">
        <v>988.0</v>
      </c>
      <c r="Q234" s="130" t="s">
        <v>234</v>
      </c>
      <c r="R234" s="130">
        <v>2016.0</v>
      </c>
      <c r="S234" s="136">
        <v>0.251</v>
      </c>
      <c r="T234" s="128">
        <f t="shared" ref="T234:T235" si="64">S234*P234</f>
        <v>247.988</v>
      </c>
      <c r="U234" s="24">
        <f t="shared" si="3"/>
        <v>154.9925</v>
      </c>
      <c r="V234" s="3">
        <f t="shared" si="28"/>
        <v>0</v>
      </c>
      <c r="W234" s="3">
        <f t="shared" si="29"/>
        <v>0</v>
      </c>
      <c r="X234" s="3">
        <f t="shared" si="30"/>
        <v>0</v>
      </c>
      <c r="Y234" s="25">
        <f t="shared" si="31"/>
        <v>0</v>
      </c>
      <c r="Z234" s="26">
        <f>VLOOKUP(R234,CPI!$A$2:$F$71,6,0)</f>
        <v>1.342104605</v>
      </c>
      <c r="AA234" s="27">
        <f t="shared" si="8"/>
        <v>332.8258369</v>
      </c>
      <c r="AB234" s="27">
        <f t="shared" si="9"/>
        <v>208.016148</v>
      </c>
      <c r="AC234" s="130" t="s">
        <v>60</v>
      </c>
      <c r="AD234" s="137" t="s">
        <v>521</v>
      </c>
      <c r="AE234" s="29"/>
      <c r="AF234" s="30"/>
      <c r="AG234" s="30"/>
      <c r="AH234" s="30"/>
    </row>
    <row r="235">
      <c r="A235" s="130" t="s">
        <v>230</v>
      </c>
      <c r="B235" s="130" t="s">
        <v>514</v>
      </c>
      <c r="C235" s="36" t="s">
        <v>84</v>
      </c>
      <c r="D235" s="130" t="s">
        <v>522</v>
      </c>
      <c r="E235" s="130">
        <v>2017.0</v>
      </c>
      <c r="F235" s="130">
        <v>2020.0</v>
      </c>
      <c r="G235" s="130">
        <v>0.0</v>
      </c>
      <c r="H235" s="130">
        <v>3.2</v>
      </c>
      <c r="I235" s="131"/>
      <c r="J235" s="130"/>
      <c r="K235" s="132" t="e">
        <v>#N/A</v>
      </c>
      <c r="L235" s="132" t="e">
        <v>#N/A</v>
      </c>
      <c r="M235" s="130">
        <v>2.0</v>
      </c>
      <c r="N235" s="138"/>
      <c r="O235" s="130" t="s">
        <v>60</v>
      </c>
      <c r="P235" s="135">
        <v>1754.0</v>
      </c>
      <c r="Q235" s="130" t="s">
        <v>234</v>
      </c>
      <c r="R235" s="130">
        <v>2016.0</v>
      </c>
      <c r="S235" s="136">
        <v>0.251</v>
      </c>
      <c r="T235" s="128">
        <f t="shared" si="64"/>
        <v>440.254</v>
      </c>
      <c r="U235" s="24">
        <f t="shared" si="3"/>
        <v>137.579375</v>
      </c>
      <c r="V235" s="3">
        <f t="shared" si="28"/>
        <v>0</v>
      </c>
      <c r="W235" s="3">
        <f t="shared" si="29"/>
        <v>0</v>
      </c>
      <c r="X235" s="3">
        <f t="shared" si="30"/>
        <v>0</v>
      </c>
      <c r="Y235" s="25">
        <f t="shared" si="31"/>
        <v>0</v>
      </c>
      <c r="Z235" s="26">
        <f>VLOOKUP(R235,CPI!$A$2:$F$71,6,0)</f>
        <v>1.342104605</v>
      </c>
      <c r="AA235" s="27">
        <f t="shared" si="8"/>
        <v>590.8669209</v>
      </c>
      <c r="AB235" s="27">
        <f t="shared" si="9"/>
        <v>184.6459128</v>
      </c>
      <c r="AC235" s="130" t="s">
        <v>60</v>
      </c>
      <c r="AD235" s="137" t="s">
        <v>521</v>
      </c>
      <c r="AE235" s="29"/>
      <c r="AF235" s="30"/>
      <c r="AG235" s="30"/>
      <c r="AH235" s="30"/>
    </row>
    <row r="236">
      <c r="A236" s="72" t="s">
        <v>230</v>
      </c>
      <c r="B236" s="72" t="s">
        <v>514</v>
      </c>
      <c r="C236" s="115" t="s">
        <v>87</v>
      </c>
      <c r="D236" s="115" t="s">
        <v>331</v>
      </c>
      <c r="E236" s="69">
        <v>2017.0</v>
      </c>
      <c r="F236" s="69">
        <v>2021.0</v>
      </c>
      <c r="G236" s="69">
        <v>0.0</v>
      </c>
      <c r="H236" s="69">
        <v>52.9</v>
      </c>
      <c r="I236" s="117">
        <v>1.0</v>
      </c>
      <c r="J236" s="69">
        <v>52.9</v>
      </c>
      <c r="K236" s="72"/>
      <c r="L236" s="72"/>
      <c r="M236" s="69">
        <v>35.0</v>
      </c>
      <c r="N236" s="69">
        <v>117.0</v>
      </c>
      <c r="O236" s="72"/>
      <c r="P236" s="140">
        <v>42062.0</v>
      </c>
      <c r="Q236" s="72" t="s">
        <v>234</v>
      </c>
      <c r="R236" s="115">
        <v>2020.0</v>
      </c>
      <c r="S236" s="136">
        <v>0.239</v>
      </c>
      <c r="T236" s="118">
        <f>P236*S236</f>
        <v>10052.818</v>
      </c>
      <c r="U236" s="24">
        <f t="shared" si="3"/>
        <v>190.0343667</v>
      </c>
      <c r="V236" s="3">
        <f t="shared" si="28"/>
        <v>0</v>
      </c>
      <c r="W236" s="3">
        <f t="shared" si="29"/>
        <v>0</v>
      </c>
      <c r="X236" s="3">
        <f t="shared" si="30"/>
        <v>0</v>
      </c>
      <c r="Y236" s="25">
        <f t="shared" si="31"/>
        <v>0</v>
      </c>
      <c r="Z236" s="26">
        <f>VLOOKUP(R236,CPI!$A$2:$F$71,6,0)</f>
        <v>1.244593545</v>
      </c>
      <c r="AA236" s="27">
        <f t="shared" si="8"/>
        <v>12511.67239</v>
      </c>
      <c r="AB236" s="27">
        <f t="shared" si="9"/>
        <v>236.5155462</v>
      </c>
      <c r="AC236" s="72" t="s">
        <v>36</v>
      </c>
      <c r="AD236" s="79" t="s">
        <v>523</v>
      </c>
      <c r="AE236" s="186"/>
      <c r="AF236" s="187"/>
      <c r="AG236" s="187"/>
      <c r="AH236" s="187"/>
    </row>
    <row r="237">
      <c r="A237" s="130" t="s">
        <v>230</v>
      </c>
      <c r="B237" s="130" t="s">
        <v>514</v>
      </c>
      <c r="C237" s="130" t="s">
        <v>228</v>
      </c>
      <c r="D237" s="130" t="s">
        <v>228</v>
      </c>
      <c r="E237" s="130">
        <v>2017.0</v>
      </c>
      <c r="F237" s="130">
        <v>2021.0</v>
      </c>
      <c r="G237" s="130">
        <v>0.0</v>
      </c>
      <c r="H237" s="130">
        <v>45.0</v>
      </c>
      <c r="I237" s="131"/>
      <c r="J237" s="130"/>
      <c r="K237" s="132" t="e">
        <v>#N/A</v>
      </c>
      <c r="L237" s="132" t="e">
        <v>#N/A</v>
      </c>
      <c r="M237" s="130">
        <v>22.0</v>
      </c>
      <c r="N237" s="138"/>
      <c r="O237" s="130" t="s">
        <v>60</v>
      </c>
      <c r="P237" s="135">
        <v>28997.0</v>
      </c>
      <c r="Q237" s="130" t="s">
        <v>234</v>
      </c>
      <c r="R237" s="130">
        <v>2016.0</v>
      </c>
      <c r="S237" s="136">
        <v>0.251</v>
      </c>
      <c r="T237" s="128">
        <f>S237*P237</f>
        <v>7278.247</v>
      </c>
      <c r="U237" s="24">
        <f t="shared" si="3"/>
        <v>161.7388222</v>
      </c>
      <c r="V237" s="3">
        <f t="shared" si="28"/>
        <v>0</v>
      </c>
      <c r="W237" s="3">
        <f t="shared" si="29"/>
        <v>0</v>
      </c>
      <c r="X237" s="3">
        <f t="shared" si="30"/>
        <v>0</v>
      </c>
      <c r="Y237" s="25">
        <f t="shared" si="31"/>
        <v>0</v>
      </c>
      <c r="Z237" s="26">
        <f>VLOOKUP(R237,CPI!$A$2:$F$71,6,0)</f>
        <v>1.342104605</v>
      </c>
      <c r="AA237" s="27">
        <f t="shared" si="8"/>
        <v>9768.168817</v>
      </c>
      <c r="AB237" s="27">
        <f t="shared" si="9"/>
        <v>217.0704182</v>
      </c>
      <c r="AC237" s="130" t="s">
        <v>60</v>
      </c>
      <c r="AD237" s="137" t="s">
        <v>521</v>
      </c>
      <c r="AE237" s="29"/>
      <c r="AF237" s="30"/>
      <c r="AG237" s="30"/>
      <c r="AH237" s="30"/>
    </row>
    <row r="238">
      <c r="A238" s="114" t="s">
        <v>230</v>
      </c>
      <c r="B238" s="72" t="s">
        <v>514</v>
      </c>
      <c r="C238" s="72" t="s">
        <v>524</v>
      </c>
      <c r="D238" s="72" t="s">
        <v>524</v>
      </c>
      <c r="E238" s="114"/>
      <c r="F238" s="116">
        <v>2021.0</v>
      </c>
      <c r="G238" s="116">
        <v>0.0</v>
      </c>
      <c r="H238" s="116">
        <v>23.508</v>
      </c>
      <c r="I238" s="117">
        <v>1.0</v>
      </c>
      <c r="J238" s="116">
        <v>23.508</v>
      </c>
      <c r="K238" s="114"/>
      <c r="L238" s="114"/>
      <c r="M238" s="116">
        <v>11.0</v>
      </c>
      <c r="N238" s="116">
        <v>117.0</v>
      </c>
      <c r="O238" s="114"/>
      <c r="P238" s="140">
        <v>13298.0</v>
      </c>
      <c r="Q238" s="114" t="s">
        <v>234</v>
      </c>
      <c r="R238" s="115">
        <v>2021.0</v>
      </c>
      <c r="S238" s="136">
        <v>0.239000000000001</v>
      </c>
      <c r="T238" s="118">
        <f t="shared" ref="T238:T281" si="65">P238*S238</f>
        <v>3178.222</v>
      </c>
      <c r="U238" s="24">
        <f t="shared" si="3"/>
        <v>135.1974647</v>
      </c>
      <c r="V238" s="3">
        <f t="shared" si="28"/>
        <v>0</v>
      </c>
      <c r="W238" s="3">
        <f t="shared" si="29"/>
        <v>0</v>
      </c>
      <c r="X238" s="3">
        <f t="shared" si="30"/>
        <v>0</v>
      </c>
      <c r="Y238" s="25">
        <f t="shared" si="31"/>
        <v>0</v>
      </c>
      <c r="Z238" s="26">
        <f>VLOOKUP(R238,CPI!$A$2:$F$71,6,0)</f>
        <v>1.188745987</v>
      </c>
      <c r="AA238" s="27">
        <f t="shared" si="8"/>
        <v>3778.098647</v>
      </c>
      <c r="AB238" s="27">
        <f t="shared" si="9"/>
        <v>160.7154436</v>
      </c>
      <c r="AC238" s="114"/>
      <c r="AD238" s="119" t="s">
        <v>525</v>
      </c>
      <c r="AE238" s="164"/>
      <c r="AF238" s="165"/>
      <c r="AG238" s="165"/>
      <c r="AH238" s="165"/>
    </row>
    <row r="239">
      <c r="A239" s="114" t="s">
        <v>230</v>
      </c>
      <c r="B239" s="114" t="s">
        <v>514</v>
      </c>
      <c r="C239" s="114" t="s">
        <v>526</v>
      </c>
      <c r="D239" s="114" t="s">
        <v>526</v>
      </c>
      <c r="E239" s="114"/>
      <c r="F239" s="116">
        <v>2021.0</v>
      </c>
      <c r="G239" s="116">
        <v>0.0</v>
      </c>
      <c r="H239" s="116">
        <v>48.18</v>
      </c>
      <c r="I239" s="117">
        <v>0.31</v>
      </c>
      <c r="J239" s="116">
        <v>14.81</v>
      </c>
      <c r="K239" s="114"/>
      <c r="L239" s="114"/>
      <c r="M239" s="116">
        <v>12.0</v>
      </c>
      <c r="N239" s="116">
        <v>78.0</v>
      </c>
      <c r="O239" s="114"/>
      <c r="P239" s="140">
        <v>13611.0</v>
      </c>
      <c r="Q239" s="114" t="s">
        <v>234</v>
      </c>
      <c r="R239" s="115">
        <v>2021.0</v>
      </c>
      <c r="S239" s="136">
        <v>0.239000000000001</v>
      </c>
      <c r="T239" s="118">
        <f t="shared" si="65"/>
        <v>3253.029</v>
      </c>
      <c r="U239" s="24">
        <f t="shared" si="3"/>
        <v>67.51824408</v>
      </c>
      <c r="V239" s="3">
        <f t="shared" si="28"/>
        <v>0</v>
      </c>
      <c r="W239" s="3">
        <f t="shared" si="29"/>
        <v>0</v>
      </c>
      <c r="X239" s="3">
        <f t="shared" si="30"/>
        <v>0</v>
      </c>
      <c r="Y239" s="25">
        <f t="shared" si="31"/>
        <v>0</v>
      </c>
      <c r="Z239" s="26">
        <f>VLOOKUP(R239,CPI!$A$2:$F$71,6,0)</f>
        <v>1.188745987</v>
      </c>
      <c r="AA239" s="27">
        <f t="shared" si="8"/>
        <v>3867.025168</v>
      </c>
      <c r="AB239" s="27">
        <f t="shared" si="9"/>
        <v>80.26204168</v>
      </c>
      <c r="AC239" s="114"/>
      <c r="AD239" s="119" t="s">
        <v>527</v>
      </c>
      <c r="AE239" s="164"/>
      <c r="AF239" s="165"/>
      <c r="AG239" s="165"/>
      <c r="AH239" s="165"/>
    </row>
    <row r="240">
      <c r="A240" s="72" t="s">
        <v>230</v>
      </c>
      <c r="B240" s="72" t="s">
        <v>514</v>
      </c>
      <c r="C240" s="115" t="s">
        <v>239</v>
      </c>
      <c r="D240" s="115" t="s">
        <v>356</v>
      </c>
      <c r="E240" s="72"/>
      <c r="F240" s="72">
        <v>2021.0</v>
      </c>
      <c r="G240" s="72">
        <v>0.0</v>
      </c>
      <c r="H240" s="72">
        <v>15.184</v>
      </c>
      <c r="I240" s="117">
        <v>1.0</v>
      </c>
      <c r="J240" s="72">
        <v>15.184</v>
      </c>
      <c r="K240" s="72"/>
      <c r="L240" s="72"/>
      <c r="M240" s="72">
        <v>12.0</v>
      </c>
      <c r="N240" s="69">
        <v>138.0</v>
      </c>
      <c r="O240" s="72"/>
      <c r="P240" s="140">
        <v>15702.0</v>
      </c>
      <c r="Q240" s="72" t="s">
        <v>234</v>
      </c>
      <c r="R240" s="115">
        <v>2021.0</v>
      </c>
      <c r="S240" s="136">
        <v>0.239</v>
      </c>
      <c r="T240" s="118">
        <f t="shared" si="65"/>
        <v>3752.778</v>
      </c>
      <c r="U240" s="24">
        <f t="shared" si="3"/>
        <v>247.153451</v>
      </c>
      <c r="V240" s="3">
        <f t="shared" si="28"/>
        <v>0</v>
      </c>
      <c r="W240" s="3">
        <f t="shared" si="29"/>
        <v>0</v>
      </c>
      <c r="X240" s="3">
        <f t="shared" si="30"/>
        <v>0</v>
      </c>
      <c r="Y240" s="25">
        <f t="shared" si="31"/>
        <v>0</v>
      </c>
      <c r="Z240" s="26">
        <f>VLOOKUP(R240,CPI!$A$2:$F$71,6,0)</f>
        <v>1.188745987</v>
      </c>
      <c r="AA240" s="27">
        <f t="shared" si="8"/>
        <v>4461.099786</v>
      </c>
      <c r="AB240" s="27">
        <f t="shared" si="9"/>
        <v>293.802673</v>
      </c>
      <c r="AC240" s="72" t="s">
        <v>36</v>
      </c>
      <c r="AD240" s="79" t="s">
        <v>528</v>
      </c>
      <c r="AE240" s="186"/>
      <c r="AF240" s="187"/>
      <c r="AG240" s="187"/>
      <c r="AH240" s="187"/>
    </row>
    <row r="241">
      <c r="A241" s="114" t="s">
        <v>230</v>
      </c>
      <c r="B241" s="72" t="s">
        <v>514</v>
      </c>
      <c r="C241" s="115" t="s">
        <v>80</v>
      </c>
      <c r="D241" s="115" t="s">
        <v>255</v>
      </c>
      <c r="E241" s="114"/>
      <c r="F241" s="116">
        <v>2021.0</v>
      </c>
      <c r="G241" s="116">
        <v>0.0</v>
      </c>
      <c r="H241" s="116">
        <v>26.955</v>
      </c>
      <c r="I241" s="117">
        <v>1.0</v>
      </c>
      <c r="J241" s="116">
        <v>26.955</v>
      </c>
      <c r="K241" s="114"/>
      <c r="L241" s="114"/>
      <c r="M241" s="116">
        <v>19.0</v>
      </c>
      <c r="N241" s="116">
        <v>117.0</v>
      </c>
      <c r="O241" s="114"/>
      <c r="P241" s="140">
        <v>17830.0</v>
      </c>
      <c r="Q241" s="114" t="s">
        <v>234</v>
      </c>
      <c r="R241" s="115">
        <v>2021.0</v>
      </c>
      <c r="S241" s="136">
        <v>0.239000000000001</v>
      </c>
      <c r="T241" s="118">
        <f t="shared" si="65"/>
        <v>4261.37</v>
      </c>
      <c r="U241" s="24">
        <f t="shared" si="3"/>
        <v>158.0920052</v>
      </c>
      <c r="V241" s="3">
        <f t="shared" si="28"/>
        <v>0</v>
      </c>
      <c r="W241" s="3">
        <f t="shared" si="29"/>
        <v>0</v>
      </c>
      <c r="X241" s="3">
        <f t="shared" si="30"/>
        <v>0</v>
      </c>
      <c r="Y241" s="25">
        <f t="shared" si="31"/>
        <v>0</v>
      </c>
      <c r="Z241" s="26">
        <f>VLOOKUP(R241,CPI!$A$2:$F$71,6,0)</f>
        <v>1.188745987</v>
      </c>
      <c r="AA241" s="27">
        <f t="shared" si="8"/>
        <v>5065.686485</v>
      </c>
      <c r="AB241" s="27">
        <f t="shared" si="9"/>
        <v>187.9312367</v>
      </c>
      <c r="AC241" s="114"/>
      <c r="AD241" s="119" t="s">
        <v>529</v>
      </c>
      <c r="AE241" s="164"/>
      <c r="AF241" s="165"/>
      <c r="AG241" s="165"/>
      <c r="AH241" s="165"/>
    </row>
    <row r="242">
      <c r="A242" s="72" t="s">
        <v>230</v>
      </c>
      <c r="B242" s="72" t="s">
        <v>514</v>
      </c>
      <c r="C242" s="115" t="s">
        <v>110</v>
      </c>
      <c r="D242" s="115" t="s">
        <v>358</v>
      </c>
      <c r="E242" s="69">
        <v>2017.0</v>
      </c>
      <c r="F242" s="69">
        <v>2022.0</v>
      </c>
      <c r="G242" s="69">
        <v>0.0</v>
      </c>
      <c r="H242" s="69">
        <v>23.9</v>
      </c>
      <c r="I242" s="117">
        <v>1.0</v>
      </c>
      <c r="J242" s="69">
        <v>23.9</v>
      </c>
      <c r="K242" s="72"/>
      <c r="L242" s="72"/>
      <c r="M242" s="69">
        <v>15.0</v>
      </c>
      <c r="N242" s="69">
        <v>117.0</v>
      </c>
      <c r="O242" s="72"/>
      <c r="P242" s="140">
        <v>20686.0</v>
      </c>
      <c r="Q242" s="72" t="s">
        <v>234</v>
      </c>
      <c r="R242" s="115">
        <v>2020.0</v>
      </c>
      <c r="S242" s="136">
        <v>0.239</v>
      </c>
      <c r="T242" s="118">
        <f t="shared" si="65"/>
        <v>4943.954</v>
      </c>
      <c r="U242" s="24">
        <f t="shared" si="3"/>
        <v>206.86</v>
      </c>
      <c r="V242" s="3">
        <f t="shared" si="28"/>
        <v>0</v>
      </c>
      <c r="W242" s="3">
        <f t="shared" si="29"/>
        <v>0</v>
      </c>
      <c r="X242" s="3">
        <f t="shared" si="30"/>
        <v>0</v>
      </c>
      <c r="Y242" s="25">
        <f t="shared" si="31"/>
        <v>0</v>
      </c>
      <c r="Z242" s="26">
        <f>VLOOKUP(R242,CPI!$A$2:$F$71,6,0)</f>
        <v>1.244593545</v>
      </c>
      <c r="AA242" s="27">
        <f t="shared" si="8"/>
        <v>6153.213236</v>
      </c>
      <c r="AB242" s="27">
        <f t="shared" si="9"/>
        <v>257.4566207</v>
      </c>
      <c r="AC242" s="72" t="s">
        <v>36</v>
      </c>
      <c r="AD242" s="79" t="s">
        <v>530</v>
      </c>
      <c r="AE242" s="186"/>
      <c r="AF242" s="187"/>
      <c r="AG242" s="187"/>
      <c r="AH242" s="187"/>
    </row>
    <row r="243">
      <c r="A243" s="72" t="s">
        <v>230</v>
      </c>
      <c r="B243" s="72" t="s">
        <v>514</v>
      </c>
      <c r="C243" s="115" t="s">
        <v>80</v>
      </c>
      <c r="D243" s="115" t="s">
        <v>265</v>
      </c>
      <c r="E243" s="69">
        <v>2017.0</v>
      </c>
      <c r="F243" s="69">
        <v>2022.0</v>
      </c>
      <c r="G243" s="69">
        <v>0.0</v>
      </c>
      <c r="H243" s="69">
        <v>8.366</v>
      </c>
      <c r="I243" s="117">
        <v>1.0</v>
      </c>
      <c r="J243" s="69">
        <v>8.366</v>
      </c>
      <c r="K243" s="72"/>
      <c r="L243" s="72"/>
      <c r="M243" s="69">
        <v>5.0</v>
      </c>
      <c r="N243" s="69">
        <v>117.0</v>
      </c>
      <c r="O243" s="72"/>
      <c r="P243" s="140">
        <v>6226.0</v>
      </c>
      <c r="Q243" s="72" t="s">
        <v>234</v>
      </c>
      <c r="R243" s="115">
        <v>2020.0</v>
      </c>
      <c r="S243" s="136">
        <v>0.239</v>
      </c>
      <c r="T243" s="118">
        <f t="shared" si="65"/>
        <v>1488.014</v>
      </c>
      <c r="U243" s="24">
        <f t="shared" si="3"/>
        <v>177.8644514</v>
      </c>
      <c r="V243" s="3">
        <f t="shared" si="28"/>
        <v>0</v>
      </c>
      <c r="W243" s="3">
        <f t="shared" si="29"/>
        <v>0</v>
      </c>
      <c r="X243" s="3">
        <f t="shared" si="30"/>
        <v>0</v>
      </c>
      <c r="Y243" s="25">
        <f t="shared" si="31"/>
        <v>0</v>
      </c>
      <c r="Z243" s="26">
        <f>VLOOKUP(R243,CPI!$A$2:$F$71,6,0)</f>
        <v>1.244593545</v>
      </c>
      <c r="AA243" s="27">
        <f t="shared" si="8"/>
        <v>1851.972619</v>
      </c>
      <c r="AB243" s="27">
        <f t="shared" si="9"/>
        <v>221.3689481</v>
      </c>
      <c r="AC243" s="72" t="s">
        <v>36</v>
      </c>
      <c r="AD243" s="79" t="s">
        <v>531</v>
      </c>
      <c r="AE243" s="186"/>
      <c r="AF243" s="187"/>
      <c r="AG243" s="187"/>
      <c r="AH243" s="187"/>
    </row>
    <row r="244">
      <c r="A244" s="123" t="s">
        <v>230</v>
      </c>
      <c r="B244" s="123" t="s">
        <v>514</v>
      </c>
      <c r="C244" s="36" t="s">
        <v>253</v>
      </c>
      <c r="D244" s="123" t="s">
        <v>362</v>
      </c>
      <c r="E244" s="75">
        <v>2017.0</v>
      </c>
      <c r="F244" s="75">
        <v>2022.0</v>
      </c>
      <c r="G244" s="75">
        <v>0.0</v>
      </c>
      <c r="H244" s="75">
        <v>17.8</v>
      </c>
      <c r="I244" s="155"/>
      <c r="J244" s="123"/>
      <c r="K244" s="125" t="e">
        <v>#N/A</v>
      </c>
      <c r="L244" s="125" t="e">
        <v>#N/A</v>
      </c>
      <c r="M244" s="75">
        <v>14.0</v>
      </c>
      <c r="N244" s="75"/>
      <c r="O244" s="123" t="s">
        <v>60</v>
      </c>
      <c r="P244" s="126">
        <v>15657.0</v>
      </c>
      <c r="Q244" s="123" t="s">
        <v>234</v>
      </c>
      <c r="R244" s="75">
        <v>2016.0</v>
      </c>
      <c r="S244" s="136">
        <v>0.251</v>
      </c>
      <c r="T244" s="128">
        <f t="shared" si="65"/>
        <v>3929.907</v>
      </c>
      <c r="U244" s="24">
        <f t="shared" si="3"/>
        <v>220.7812921</v>
      </c>
      <c r="V244" s="3">
        <f t="shared" si="28"/>
        <v>0</v>
      </c>
      <c r="W244" s="3">
        <f t="shared" si="29"/>
        <v>0</v>
      </c>
      <c r="X244" s="3">
        <f t="shared" si="30"/>
        <v>0</v>
      </c>
      <c r="Y244" s="25">
        <f t="shared" si="31"/>
        <v>0</v>
      </c>
      <c r="Z244" s="26">
        <f>VLOOKUP(R244,CPI!$A$2:$F$71,6,0)</f>
        <v>1.342104605</v>
      </c>
      <c r="AA244" s="27">
        <f t="shared" si="8"/>
        <v>5274.346283</v>
      </c>
      <c r="AB244" s="27">
        <f t="shared" si="9"/>
        <v>296.3115889</v>
      </c>
      <c r="AC244" s="123" t="s">
        <v>60</v>
      </c>
      <c r="AD244" s="129" t="s">
        <v>521</v>
      </c>
      <c r="AE244" s="29"/>
      <c r="AF244" s="30"/>
      <c r="AG244" s="30"/>
      <c r="AH244" s="30"/>
    </row>
    <row r="245">
      <c r="A245" s="72" t="s">
        <v>230</v>
      </c>
      <c r="B245" s="72" t="s">
        <v>514</v>
      </c>
      <c r="C245" s="16" t="s">
        <v>243</v>
      </c>
      <c r="D245" s="115" t="s">
        <v>379</v>
      </c>
      <c r="E245" s="69">
        <v>2018.0</v>
      </c>
      <c r="F245" s="69">
        <v>2022.0</v>
      </c>
      <c r="G245" s="69">
        <v>0.0</v>
      </c>
      <c r="H245" s="69">
        <v>17.1</v>
      </c>
      <c r="I245" s="117">
        <v>1.0</v>
      </c>
      <c r="J245" s="69">
        <v>17.1</v>
      </c>
      <c r="K245" s="72"/>
      <c r="L245" s="72"/>
      <c r="M245" s="69">
        <v>9.0</v>
      </c>
      <c r="N245" s="69">
        <v>138.0</v>
      </c>
      <c r="O245" s="72"/>
      <c r="P245" s="140">
        <v>13526.0</v>
      </c>
      <c r="Q245" s="72" t="s">
        <v>234</v>
      </c>
      <c r="R245" s="115">
        <v>2020.0</v>
      </c>
      <c r="S245" s="136">
        <v>0.239</v>
      </c>
      <c r="T245" s="118">
        <f t="shared" si="65"/>
        <v>3232.714</v>
      </c>
      <c r="U245" s="24">
        <f t="shared" si="3"/>
        <v>189.0476023</v>
      </c>
      <c r="V245" s="3">
        <f t="shared" si="28"/>
        <v>0</v>
      </c>
      <c r="W245" s="3">
        <f t="shared" si="29"/>
        <v>0</v>
      </c>
      <c r="X245" s="3">
        <f t="shared" si="30"/>
        <v>0</v>
      </c>
      <c r="Y245" s="25">
        <f t="shared" si="31"/>
        <v>0</v>
      </c>
      <c r="Z245" s="26">
        <f>VLOOKUP(R245,CPI!$A$2:$F$71,6,0)</f>
        <v>1.244593545</v>
      </c>
      <c r="AA245" s="27">
        <f t="shared" si="8"/>
        <v>4023.414978</v>
      </c>
      <c r="AB245" s="27">
        <f t="shared" si="9"/>
        <v>235.2874256</v>
      </c>
      <c r="AC245" s="72" t="s">
        <v>36</v>
      </c>
      <c r="AD245" s="79" t="s">
        <v>532</v>
      </c>
      <c r="AE245" s="186"/>
      <c r="AF245" s="187"/>
      <c r="AG245" s="187"/>
      <c r="AH245" s="187"/>
    </row>
    <row r="246">
      <c r="A246" s="114" t="s">
        <v>230</v>
      </c>
      <c r="B246" s="72" t="s">
        <v>514</v>
      </c>
      <c r="C246" s="72" t="s">
        <v>533</v>
      </c>
      <c r="D246" s="72" t="s">
        <v>533</v>
      </c>
      <c r="E246" s="116">
        <v>2019.0</v>
      </c>
      <c r="F246" s="116">
        <v>2022.0</v>
      </c>
      <c r="G246" s="116">
        <v>0.0</v>
      </c>
      <c r="H246" s="116">
        <v>59.1316</v>
      </c>
      <c r="I246" s="117">
        <v>0.79</v>
      </c>
      <c r="J246" s="116">
        <v>46.5</v>
      </c>
      <c r="K246" s="114"/>
      <c r="L246" s="114"/>
      <c r="M246" s="116">
        <v>15.0</v>
      </c>
      <c r="N246" s="116">
        <v>138.0</v>
      </c>
      <c r="O246" s="114"/>
      <c r="P246" s="140">
        <v>43206.0</v>
      </c>
      <c r="Q246" s="114" t="s">
        <v>234</v>
      </c>
      <c r="R246" s="115">
        <v>2021.0</v>
      </c>
      <c r="S246" s="136">
        <v>0.239000000000001</v>
      </c>
      <c r="T246" s="118">
        <f t="shared" si="65"/>
        <v>10326.234</v>
      </c>
      <c r="U246" s="24">
        <f t="shared" si="3"/>
        <v>174.6313984</v>
      </c>
      <c r="V246" s="3">
        <f t="shared" si="28"/>
        <v>0</v>
      </c>
      <c r="W246" s="3">
        <f t="shared" si="29"/>
        <v>0</v>
      </c>
      <c r="X246" s="3">
        <f t="shared" si="30"/>
        <v>0</v>
      </c>
      <c r="Y246" s="25">
        <f t="shared" si="31"/>
        <v>0</v>
      </c>
      <c r="Z246" s="26">
        <f>VLOOKUP(R246,CPI!$A$2:$F$71,6,0)</f>
        <v>1.188745987</v>
      </c>
      <c r="AA246" s="27">
        <f t="shared" si="8"/>
        <v>12275.26922</v>
      </c>
      <c r="AB246" s="27">
        <f t="shared" si="9"/>
        <v>207.592374</v>
      </c>
      <c r="AC246" s="114"/>
      <c r="AD246" s="119" t="s">
        <v>534</v>
      </c>
      <c r="AE246" s="164"/>
      <c r="AF246" s="165"/>
      <c r="AG246" s="165"/>
      <c r="AH246" s="165"/>
    </row>
    <row r="247">
      <c r="A247" s="114" t="s">
        <v>230</v>
      </c>
      <c r="B247" s="72" t="s">
        <v>514</v>
      </c>
      <c r="C247" s="115" t="s">
        <v>87</v>
      </c>
      <c r="D247" s="72" t="s">
        <v>535</v>
      </c>
      <c r="E247" s="116">
        <v>2020.0</v>
      </c>
      <c r="F247" s="116">
        <v>2022.0</v>
      </c>
      <c r="G247" s="116">
        <v>0.0</v>
      </c>
      <c r="H247" s="116">
        <v>4.7</v>
      </c>
      <c r="I247" s="117">
        <v>1.0</v>
      </c>
      <c r="J247" s="116">
        <v>4.7</v>
      </c>
      <c r="K247" s="114"/>
      <c r="L247" s="114"/>
      <c r="M247" s="116">
        <v>4.0</v>
      </c>
      <c r="N247" s="116">
        <v>117.0</v>
      </c>
      <c r="O247" s="114"/>
      <c r="P247" s="140">
        <v>10870.0</v>
      </c>
      <c r="Q247" s="114" t="s">
        <v>234</v>
      </c>
      <c r="R247" s="115">
        <v>2020.0</v>
      </c>
      <c r="S247" s="136">
        <v>0.239</v>
      </c>
      <c r="T247" s="118">
        <f t="shared" si="65"/>
        <v>2597.93</v>
      </c>
      <c r="U247" s="24">
        <f t="shared" si="3"/>
        <v>552.7510638</v>
      </c>
      <c r="V247" s="3">
        <f t="shared" si="28"/>
        <v>0</v>
      </c>
      <c r="W247" s="3">
        <f t="shared" si="29"/>
        <v>0</v>
      </c>
      <c r="X247" s="3">
        <f t="shared" si="30"/>
        <v>0</v>
      </c>
      <c r="Y247" s="25">
        <f t="shared" si="31"/>
        <v>0</v>
      </c>
      <c r="Z247" s="26">
        <f>VLOOKUP(R247,CPI!$A$2:$F$71,6,0)</f>
        <v>1.244593545</v>
      </c>
      <c r="AA247" s="27">
        <f t="shared" si="8"/>
        <v>3233.366909</v>
      </c>
      <c r="AB247" s="27">
        <f t="shared" si="9"/>
        <v>687.9504061</v>
      </c>
      <c r="AC247" s="114"/>
      <c r="AD247" s="119" t="s">
        <v>536</v>
      </c>
      <c r="AE247" s="164"/>
      <c r="AF247" s="165"/>
      <c r="AG247" s="165"/>
      <c r="AH247" s="165"/>
    </row>
    <row r="248">
      <c r="A248" s="114" t="s">
        <v>230</v>
      </c>
      <c r="B248" s="72" t="s">
        <v>514</v>
      </c>
      <c r="C248" s="115" t="s">
        <v>54</v>
      </c>
      <c r="D248" s="115" t="s">
        <v>537</v>
      </c>
      <c r="E248" s="116">
        <v>2008.0</v>
      </c>
      <c r="F248" s="114"/>
      <c r="G248" s="116">
        <v>0.0</v>
      </c>
      <c r="H248" s="116">
        <v>18.2</v>
      </c>
      <c r="I248" s="117">
        <v>1.0</v>
      </c>
      <c r="J248" s="116">
        <v>18.2</v>
      </c>
      <c r="K248" s="114"/>
      <c r="L248" s="114"/>
      <c r="M248" s="116">
        <v>13.0</v>
      </c>
      <c r="N248" s="116">
        <v>117.0</v>
      </c>
      <c r="O248" s="114"/>
      <c r="P248" s="140">
        <v>10500.0</v>
      </c>
      <c r="Q248" s="114" t="s">
        <v>234</v>
      </c>
      <c r="R248" s="115">
        <v>2008.0</v>
      </c>
      <c r="S248" s="85">
        <v>0.315</v>
      </c>
      <c r="T248" s="118">
        <f t="shared" si="65"/>
        <v>3307.5</v>
      </c>
      <c r="U248" s="24">
        <f t="shared" si="3"/>
        <v>181.7307692</v>
      </c>
      <c r="V248" s="3">
        <f t="shared" si="28"/>
        <v>0</v>
      </c>
      <c r="W248" s="3">
        <f t="shared" si="29"/>
        <v>0</v>
      </c>
      <c r="X248" s="3">
        <f t="shared" si="30"/>
        <v>0</v>
      </c>
      <c r="Y248" s="25">
        <f t="shared" si="31"/>
        <v>0</v>
      </c>
      <c r="Z248" s="26">
        <f>VLOOKUP(R248,CPI!$A$2:$F$71,6,0)</f>
        <v>1.496098522</v>
      </c>
      <c r="AA248" s="27">
        <f t="shared" si="8"/>
        <v>4948.34586</v>
      </c>
      <c r="AB248" s="27">
        <f t="shared" si="9"/>
        <v>271.8871352</v>
      </c>
      <c r="AC248" s="114"/>
      <c r="AD248" s="161" t="s">
        <v>538</v>
      </c>
      <c r="AE248" s="164"/>
      <c r="AF248" s="165"/>
      <c r="AG248" s="165"/>
      <c r="AH248" s="165"/>
    </row>
    <row r="249">
      <c r="A249" s="114" t="s">
        <v>230</v>
      </c>
      <c r="B249" s="72" t="s">
        <v>514</v>
      </c>
      <c r="C249" s="115" t="s">
        <v>110</v>
      </c>
      <c r="D249" s="115" t="s">
        <v>332</v>
      </c>
      <c r="E249" s="116">
        <v>2013.0</v>
      </c>
      <c r="F249" s="114"/>
      <c r="G249" s="116">
        <v>0.0</v>
      </c>
      <c r="H249" s="116">
        <v>20.8</v>
      </c>
      <c r="I249" s="117">
        <v>1.0</v>
      </c>
      <c r="J249" s="116">
        <v>20.8</v>
      </c>
      <c r="K249" s="114"/>
      <c r="L249" s="114"/>
      <c r="M249" s="116">
        <v>18.0</v>
      </c>
      <c r="N249" s="116">
        <v>117.0</v>
      </c>
      <c r="O249" s="114"/>
      <c r="P249" s="140">
        <v>14350.0</v>
      </c>
      <c r="Q249" s="114" t="s">
        <v>234</v>
      </c>
      <c r="R249" s="115">
        <v>2013.0</v>
      </c>
      <c r="S249" s="85">
        <v>0.273</v>
      </c>
      <c r="T249" s="118">
        <f t="shared" si="65"/>
        <v>3917.55</v>
      </c>
      <c r="U249" s="24">
        <f t="shared" si="3"/>
        <v>188.34375</v>
      </c>
      <c r="V249" s="3">
        <f t="shared" si="28"/>
        <v>0</v>
      </c>
      <c r="W249" s="3">
        <f t="shared" si="29"/>
        <v>0</v>
      </c>
      <c r="X249" s="3">
        <f t="shared" si="30"/>
        <v>0</v>
      </c>
      <c r="Y249" s="25">
        <f t="shared" si="31"/>
        <v>0</v>
      </c>
      <c r="Z249" s="26">
        <f>VLOOKUP(R249,CPI!$A$2:$F$71,6,0)</f>
        <v>1.382720845</v>
      </c>
      <c r="AA249" s="27">
        <f t="shared" si="8"/>
        <v>5416.878048</v>
      </c>
      <c r="AB249" s="27">
        <f t="shared" si="9"/>
        <v>260.4268292</v>
      </c>
      <c r="AC249" s="114"/>
      <c r="AD249" s="119" t="s">
        <v>539</v>
      </c>
      <c r="AE249" s="164"/>
      <c r="AF249" s="165"/>
      <c r="AG249" s="165"/>
      <c r="AH249" s="165"/>
    </row>
    <row r="250">
      <c r="A250" s="114" t="s">
        <v>230</v>
      </c>
      <c r="B250" s="114" t="s">
        <v>514</v>
      </c>
      <c r="C250" s="115" t="s">
        <v>54</v>
      </c>
      <c r="D250" s="115" t="s">
        <v>326</v>
      </c>
      <c r="E250" s="116">
        <v>2014.0</v>
      </c>
      <c r="F250" s="114"/>
      <c r="G250" s="116">
        <v>0.0</v>
      </c>
      <c r="H250" s="116">
        <v>11.281</v>
      </c>
      <c r="I250" s="117">
        <v>1.0</v>
      </c>
      <c r="J250" s="116">
        <v>11.281</v>
      </c>
      <c r="K250" s="114"/>
      <c r="L250" s="114"/>
      <c r="M250" s="116">
        <v>9.0</v>
      </c>
      <c r="N250" s="116">
        <v>117.0</v>
      </c>
      <c r="O250" s="114"/>
      <c r="P250" s="140">
        <v>7900.0</v>
      </c>
      <c r="Q250" s="114" t="s">
        <v>234</v>
      </c>
      <c r="R250" s="115">
        <v>2014.0</v>
      </c>
      <c r="S250" s="85">
        <v>0.266</v>
      </c>
      <c r="T250" s="118">
        <f t="shared" si="65"/>
        <v>2101.4</v>
      </c>
      <c r="U250" s="24">
        <f t="shared" si="3"/>
        <v>186.2778123</v>
      </c>
      <c r="V250" s="3">
        <f t="shared" si="28"/>
        <v>0</v>
      </c>
      <c r="W250" s="3">
        <f t="shared" si="29"/>
        <v>0</v>
      </c>
      <c r="X250" s="3">
        <f t="shared" si="30"/>
        <v>0</v>
      </c>
      <c r="Y250" s="25">
        <f t="shared" si="31"/>
        <v>0</v>
      </c>
      <c r="Z250" s="26">
        <f>VLOOKUP(R250,CPI!$A$2:$F$71,6,0)</f>
        <v>1.360648571</v>
      </c>
      <c r="AA250" s="27">
        <f t="shared" si="8"/>
        <v>2859.266906</v>
      </c>
      <c r="AB250" s="27">
        <f t="shared" si="9"/>
        <v>253.458639</v>
      </c>
      <c r="AC250" s="114"/>
      <c r="AD250" s="119" t="s">
        <v>540</v>
      </c>
      <c r="AE250" s="167" t="s">
        <v>541</v>
      </c>
      <c r="AF250" s="168"/>
      <c r="AG250" s="168"/>
      <c r="AH250" s="169"/>
    </row>
    <row r="251">
      <c r="A251" s="114" t="s">
        <v>230</v>
      </c>
      <c r="B251" s="72" t="s">
        <v>514</v>
      </c>
      <c r="C251" s="115" t="s">
        <v>54</v>
      </c>
      <c r="D251" s="115" t="s">
        <v>542</v>
      </c>
      <c r="E251" s="116">
        <v>2017.0</v>
      </c>
      <c r="F251" s="116"/>
      <c r="G251" s="116">
        <v>0.0</v>
      </c>
      <c r="H251" s="116">
        <v>30.5</v>
      </c>
      <c r="I251" s="117">
        <v>1.0</v>
      </c>
      <c r="J251" s="116">
        <v>30.5</v>
      </c>
      <c r="K251" s="114"/>
      <c r="L251" s="114"/>
      <c r="M251" s="116">
        <v>24.0</v>
      </c>
      <c r="N251" s="116">
        <v>117.0</v>
      </c>
      <c r="O251" s="114"/>
      <c r="P251" s="140">
        <v>17783.0</v>
      </c>
      <c r="Q251" s="114" t="s">
        <v>234</v>
      </c>
      <c r="R251" s="115">
        <v>2017.0</v>
      </c>
      <c r="S251" s="85">
        <v>0.239</v>
      </c>
      <c r="T251" s="118">
        <f t="shared" si="65"/>
        <v>4250.137</v>
      </c>
      <c r="U251" s="24">
        <f t="shared" si="3"/>
        <v>139.3487541</v>
      </c>
      <c r="V251" s="3">
        <f t="shared" si="28"/>
        <v>0</v>
      </c>
      <c r="W251" s="3">
        <f t="shared" si="29"/>
        <v>0</v>
      </c>
      <c r="X251" s="3">
        <f t="shared" si="30"/>
        <v>0</v>
      </c>
      <c r="Y251" s="25">
        <f t="shared" si="31"/>
        <v>0</v>
      </c>
      <c r="Z251" s="26">
        <f>VLOOKUP(R251,CPI!$A$2:$F$71,6,0)</f>
        <v>1.314109416</v>
      </c>
      <c r="AA251" s="27">
        <f t="shared" si="8"/>
        <v>5585.14505</v>
      </c>
      <c r="AB251" s="27">
        <f t="shared" si="9"/>
        <v>183.1195098</v>
      </c>
      <c r="AC251" s="114"/>
      <c r="AD251" s="161" t="s">
        <v>543</v>
      </c>
      <c r="AE251" s="164"/>
      <c r="AF251" s="165"/>
      <c r="AG251" s="165"/>
      <c r="AH251" s="165"/>
    </row>
    <row r="252">
      <c r="A252" s="114" t="s">
        <v>230</v>
      </c>
      <c r="B252" s="72" t="s">
        <v>514</v>
      </c>
      <c r="C252" s="115" t="s">
        <v>84</v>
      </c>
      <c r="D252" s="115" t="s">
        <v>544</v>
      </c>
      <c r="E252" s="116">
        <v>2020.0</v>
      </c>
      <c r="F252" s="114"/>
      <c r="G252" s="116">
        <v>0.0</v>
      </c>
      <c r="H252" s="116">
        <v>4.95</v>
      </c>
      <c r="I252" s="117">
        <v>1.0</v>
      </c>
      <c r="J252" s="116">
        <v>4.95</v>
      </c>
      <c r="K252" s="114"/>
      <c r="L252" s="114"/>
      <c r="M252" s="116">
        <v>2.0</v>
      </c>
      <c r="N252" s="116">
        <v>117.0</v>
      </c>
      <c r="O252" s="114"/>
      <c r="P252" s="140">
        <v>3038.0</v>
      </c>
      <c r="Q252" s="114" t="s">
        <v>234</v>
      </c>
      <c r="R252" s="115">
        <v>2020.0</v>
      </c>
      <c r="S252" s="136">
        <v>0.239</v>
      </c>
      <c r="T252" s="118">
        <f t="shared" si="65"/>
        <v>726.082</v>
      </c>
      <c r="U252" s="24">
        <f t="shared" si="3"/>
        <v>146.6832323</v>
      </c>
      <c r="V252" s="3">
        <f t="shared" si="28"/>
        <v>0</v>
      </c>
      <c r="W252" s="3">
        <f t="shared" si="29"/>
        <v>0</v>
      </c>
      <c r="X252" s="3">
        <f t="shared" si="30"/>
        <v>0</v>
      </c>
      <c r="Y252" s="25">
        <f t="shared" si="31"/>
        <v>0</v>
      </c>
      <c r="Z252" s="26">
        <f>VLOOKUP(R252,CPI!$A$2:$F$71,6,0)</f>
        <v>1.244593545</v>
      </c>
      <c r="AA252" s="27">
        <f t="shared" si="8"/>
        <v>903.6769704</v>
      </c>
      <c r="AB252" s="27">
        <f t="shared" si="9"/>
        <v>182.5610041</v>
      </c>
      <c r="AC252" s="114"/>
      <c r="AD252" s="119" t="s">
        <v>545</v>
      </c>
      <c r="AE252" s="164"/>
      <c r="AF252" s="165"/>
      <c r="AG252" s="165"/>
      <c r="AH252" s="165"/>
    </row>
    <row r="253">
      <c r="A253" s="114" t="s">
        <v>230</v>
      </c>
      <c r="B253" s="72" t="s">
        <v>514</v>
      </c>
      <c r="C253" s="115" t="s">
        <v>239</v>
      </c>
      <c r="D253" s="115" t="s">
        <v>360</v>
      </c>
      <c r="E253" s="116">
        <v>2022.0</v>
      </c>
      <c r="F253" s="114"/>
      <c r="G253" s="116">
        <v>0.0</v>
      </c>
      <c r="H253" s="116">
        <v>13.33</v>
      </c>
      <c r="I253" s="117">
        <v>1.0</v>
      </c>
      <c r="J253" s="116">
        <v>13.33</v>
      </c>
      <c r="K253" s="114"/>
      <c r="L253" s="114"/>
      <c r="M253" s="116">
        <v>10.0</v>
      </c>
      <c r="N253" s="116">
        <v>138.0</v>
      </c>
      <c r="O253" s="114"/>
      <c r="P253" s="140">
        <v>10508.0</v>
      </c>
      <c r="Q253" s="114" t="s">
        <v>234</v>
      </c>
      <c r="R253" s="115">
        <v>2021.0</v>
      </c>
      <c r="S253" s="136">
        <v>0.239000000000001</v>
      </c>
      <c r="T253" s="118">
        <f t="shared" si="65"/>
        <v>2511.412</v>
      </c>
      <c r="U253" s="24">
        <f t="shared" si="3"/>
        <v>188.4030008</v>
      </c>
      <c r="V253" s="3">
        <f t="shared" si="28"/>
        <v>0</v>
      </c>
      <c r="W253" s="3">
        <f t="shared" si="29"/>
        <v>0</v>
      </c>
      <c r="X253" s="3">
        <f t="shared" si="30"/>
        <v>0</v>
      </c>
      <c r="Y253" s="25">
        <f t="shared" si="31"/>
        <v>0</v>
      </c>
      <c r="Z253" s="26">
        <f>VLOOKUP(R253,CPI!$A$2:$F$71,6,0)</f>
        <v>1.188745987</v>
      </c>
      <c r="AA253" s="27">
        <f t="shared" si="8"/>
        <v>2985.430936</v>
      </c>
      <c r="AB253" s="27">
        <f t="shared" si="9"/>
        <v>223.963311</v>
      </c>
      <c r="AC253" s="114"/>
      <c r="AD253" s="119" t="s">
        <v>546</v>
      </c>
      <c r="AE253" s="164"/>
      <c r="AF253" s="165"/>
      <c r="AG253" s="165"/>
      <c r="AH253" s="165"/>
    </row>
    <row r="254">
      <c r="A254" s="114" t="s">
        <v>230</v>
      </c>
      <c r="B254" s="114" t="s">
        <v>547</v>
      </c>
      <c r="C254" s="171" t="s">
        <v>57</v>
      </c>
      <c r="D254" s="115" t="s">
        <v>232</v>
      </c>
      <c r="E254" s="116">
        <v>2005.0</v>
      </c>
      <c r="F254" s="114"/>
      <c r="G254" s="116">
        <v>0.0</v>
      </c>
      <c r="H254" s="116">
        <v>14.4</v>
      </c>
      <c r="I254" s="117">
        <v>1.0</v>
      </c>
      <c r="J254" s="116">
        <v>14.4</v>
      </c>
      <c r="K254" s="114"/>
      <c r="L254" s="114"/>
      <c r="M254" s="116">
        <v>16.0</v>
      </c>
      <c r="N254" s="116">
        <v>117.0</v>
      </c>
      <c r="O254" s="114"/>
      <c r="P254" s="140">
        <v>5890.0</v>
      </c>
      <c r="Q254" s="114" t="s">
        <v>234</v>
      </c>
      <c r="R254" s="115">
        <v>2005.0</v>
      </c>
      <c r="S254" s="85">
        <v>0.352</v>
      </c>
      <c r="T254" s="118">
        <f t="shared" si="65"/>
        <v>2073.28</v>
      </c>
      <c r="U254" s="24">
        <f t="shared" si="3"/>
        <v>143.9777778</v>
      </c>
      <c r="V254" s="3">
        <f t="shared" si="28"/>
        <v>0</v>
      </c>
      <c r="W254" s="3">
        <f t="shared" si="29"/>
        <v>0</v>
      </c>
      <c r="X254" s="3">
        <f t="shared" si="30"/>
        <v>0</v>
      </c>
      <c r="Y254" s="25">
        <f t="shared" si="31"/>
        <v>0</v>
      </c>
      <c r="Z254" s="26">
        <f>VLOOKUP(R254,CPI!$A$2:$F$71,6,0)</f>
        <v>1.649331797</v>
      </c>
      <c r="AA254" s="27">
        <f t="shared" si="8"/>
        <v>3419.526629</v>
      </c>
      <c r="AB254" s="27">
        <f t="shared" si="9"/>
        <v>237.467127</v>
      </c>
      <c r="AC254" s="115" t="s">
        <v>60</v>
      </c>
      <c r="AD254" s="119" t="s">
        <v>548</v>
      </c>
      <c r="AE254" s="164"/>
      <c r="AF254" s="165"/>
      <c r="AG254" s="165"/>
      <c r="AH254" s="165"/>
    </row>
    <row r="255">
      <c r="A255" s="114" t="s">
        <v>230</v>
      </c>
      <c r="B255" s="114" t="s">
        <v>547</v>
      </c>
      <c r="C255" s="171" t="s">
        <v>57</v>
      </c>
      <c r="D255" s="115" t="s">
        <v>549</v>
      </c>
      <c r="E255" s="116">
        <v>2016.0</v>
      </c>
      <c r="F255" s="114"/>
      <c r="G255" s="116">
        <v>0.0</v>
      </c>
      <c r="H255" s="116">
        <v>2.6</v>
      </c>
      <c r="I255" s="117">
        <v>1.0</v>
      </c>
      <c r="J255" s="116">
        <v>2.6</v>
      </c>
      <c r="K255" s="114"/>
      <c r="L255" s="114"/>
      <c r="M255" s="116">
        <v>2.0</v>
      </c>
      <c r="N255" s="116">
        <v>117.0</v>
      </c>
      <c r="O255" s="114"/>
      <c r="P255" s="140">
        <v>1750.0</v>
      </c>
      <c r="Q255" s="114" t="s">
        <v>234</v>
      </c>
      <c r="R255" s="115">
        <v>2016.0</v>
      </c>
      <c r="S255" s="85">
        <v>0.251</v>
      </c>
      <c r="T255" s="118">
        <f t="shared" si="65"/>
        <v>439.25</v>
      </c>
      <c r="U255" s="24">
        <f t="shared" si="3"/>
        <v>168.9423077</v>
      </c>
      <c r="V255" s="3">
        <f t="shared" si="28"/>
        <v>0</v>
      </c>
      <c r="W255" s="3">
        <f t="shared" si="29"/>
        <v>0</v>
      </c>
      <c r="X255" s="3">
        <f t="shared" si="30"/>
        <v>0</v>
      </c>
      <c r="Y255" s="25">
        <f t="shared" si="31"/>
        <v>0</v>
      </c>
      <c r="Z255" s="26">
        <f>VLOOKUP(R255,CPI!$A$2:$F$71,6,0)</f>
        <v>1.342104605</v>
      </c>
      <c r="AA255" s="27">
        <f t="shared" si="8"/>
        <v>589.5194479</v>
      </c>
      <c r="AB255" s="27">
        <f t="shared" si="9"/>
        <v>226.7382492</v>
      </c>
      <c r="AC255" s="115" t="s">
        <v>60</v>
      </c>
      <c r="AD255" s="161" t="s">
        <v>550</v>
      </c>
      <c r="AE255" s="173"/>
      <c r="AF255" s="174"/>
      <c r="AG255" s="174"/>
      <c r="AH255" s="174"/>
    </row>
    <row r="256">
      <c r="A256" s="114" t="s">
        <v>230</v>
      </c>
      <c r="B256" s="114" t="s">
        <v>547</v>
      </c>
      <c r="C256" s="115" t="s">
        <v>54</v>
      </c>
      <c r="D256" s="115" t="s">
        <v>551</v>
      </c>
      <c r="E256" s="116">
        <v>2016.0</v>
      </c>
      <c r="F256" s="114"/>
      <c r="G256" s="116">
        <v>0.0</v>
      </c>
      <c r="H256" s="116">
        <v>14.1</v>
      </c>
      <c r="I256" s="117">
        <v>1.0</v>
      </c>
      <c r="J256" s="116">
        <v>14.1</v>
      </c>
      <c r="K256" s="114"/>
      <c r="L256" s="114"/>
      <c r="M256" s="116">
        <v>11.0</v>
      </c>
      <c r="N256" s="116">
        <v>117.0</v>
      </c>
      <c r="O256" s="114"/>
      <c r="P256" s="140">
        <v>8750.0</v>
      </c>
      <c r="Q256" s="114" t="s">
        <v>234</v>
      </c>
      <c r="R256" s="115">
        <v>2016.0</v>
      </c>
      <c r="S256" s="85">
        <v>0.251</v>
      </c>
      <c r="T256" s="118">
        <f t="shared" si="65"/>
        <v>2196.25</v>
      </c>
      <c r="U256" s="24">
        <f t="shared" si="3"/>
        <v>155.7624113</v>
      </c>
      <c r="V256" s="3">
        <f t="shared" si="28"/>
        <v>0</v>
      </c>
      <c r="W256" s="3">
        <f t="shared" si="29"/>
        <v>0</v>
      </c>
      <c r="X256" s="3">
        <f t="shared" si="30"/>
        <v>0</v>
      </c>
      <c r="Y256" s="25">
        <f t="shared" si="31"/>
        <v>0</v>
      </c>
      <c r="Z256" s="26">
        <f>VLOOKUP(R256,CPI!$A$2:$F$71,6,0)</f>
        <v>1.342104605</v>
      </c>
      <c r="AA256" s="27">
        <f t="shared" si="8"/>
        <v>2947.597239</v>
      </c>
      <c r="AB256" s="27">
        <f t="shared" si="9"/>
        <v>209.0494496</v>
      </c>
      <c r="AC256" s="115" t="s">
        <v>60</v>
      </c>
      <c r="AD256" s="161" t="s">
        <v>550</v>
      </c>
      <c r="AE256" s="173"/>
      <c r="AF256" s="174"/>
      <c r="AG256" s="174"/>
      <c r="AH256" s="174"/>
    </row>
    <row r="257">
      <c r="A257" s="114" t="s">
        <v>230</v>
      </c>
      <c r="B257" s="114" t="s">
        <v>547</v>
      </c>
      <c r="C257" s="16" t="s">
        <v>110</v>
      </c>
      <c r="D257" s="115" t="s">
        <v>332</v>
      </c>
      <c r="E257" s="116">
        <v>2016.0</v>
      </c>
      <c r="F257" s="114"/>
      <c r="G257" s="116">
        <v>0.0</v>
      </c>
      <c r="H257" s="116">
        <v>32.2</v>
      </c>
      <c r="I257" s="117">
        <v>1.0</v>
      </c>
      <c r="J257" s="116">
        <v>32.2</v>
      </c>
      <c r="K257" s="114"/>
      <c r="L257" s="114"/>
      <c r="M257" s="116">
        <v>27.0</v>
      </c>
      <c r="N257" s="116"/>
      <c r="O257" s="114"/>
      <c r="P257" s="140">
        <v>23760.0</v>
      </c>
      <c r="Q257" s="114" t="s">
        <v>234</v>
      </c>
      <c r="R257" s="115">
        <v>2016.0</v>
      </c>
      <c r="S257" s="85">
        <v>0.251</v>
      </c>
      <c r="T257" s="118">
        <f t="shared" si="65"/>
        <v>5963.76</v>
      </c>
      <c r="U257" s="24">
        <f t="shared" si="3"/>
        <v>185.2099379</v>
      </c>
      <c r="V257" s="3">
        <f t="shared" si="28"/>
        <v>0</v>
      </c>
      <c r="W257" s="3">
        <f t="shared" si="29"/>
        <v>0</v>
      </c>
      <c r="X257" s="3">
        <f t="shared" si="30"/>
        <v>0</v>
      </c>
      <c r="Y257" s="25">
        <f t="shared" si="31"/>
        <v>0</v>
      </c>
      <c r="Z257" s="26">
        <f>VLOOKUP(R257,CPI!$A$2:$F$71,6,0)</f>
        <v>1.342104605</v>
      </c>
      <c r="AA257" s="27">
        <f t="shared" si="8"/>
        <v>8003.989761</v>
      </c>
      <c r="AB257" s="27">
        <f t="shared" si="9"/>
        <v>248.5711106</v>
      </c>
      <c r="AC257" s="115" t="s">
        <v>60</v>
      </c>
      <c r="AD257" s="161" t="s">
        <v>550</v>
      </c>
      <c r="AE257" s="164"/>
      <c r="AF257" s="165"/>
      <c r="AG257" s="165"/>
      <c r="AH257" s="165"/>
    </row>
    <row r="258">
      <c r="A258" s="114" t="s">
        <v>230</v>
      </c>
      <c r="B258" s="114" t="s">
        <v>547</v>
      </c>
      <c r="C258" s="16" t="s">
        <v>84</v>
      </c>
      <c r="D258" s="115" t="s">
        <v>319</v>
      </c>
      <c r="E258" s="116">
        <v>2016.0</v>
      </c>
      <c r="F258" s="114"/>
      <c r="G258" s="116">
        <v>0.0</v>
      </c>
      <c r="H258" s="116">
        <v>36.1</v>
      </c>
      <c r="I258" s="117">
        <v>1.0</v>
      </c>
      <c r="J258" s="116">
        <v>36.1</v>
      </c>
      <c r="K258" s="114"/>
      <c r="L258" s="114"/>
      <c r="M258" s="116">
        <v>25.0</v>
      </c>
      <c r="N258" s="116"/>
      <c r="O258" s="114"/>
      <c r="P258" s="140">
        <v>22230.0</v>
      </c>
      <c r="Q258" s="114" t="s">
        <v>234</v>
      </c>
      <c r="R258" s="115">
        <v>2016.0</v>
      </c>
      <c r="S258" s="85">
        <v>0.251</v>
      </c>
      <c r="T258" s="118">
        <f t="shared" si="65"/>
        <v>5579.73</v>
      </c>
      <c r="U258" s="24">
        <f t="shared" si="3"/>
        <v>154.5631579</v>
      </c>
      <c r="V258" s="3">
        <f t="shared" si="28"/>
        <v>0</v>
      </c>
      <c r="W258" s="3">
        <f t="shared" si="29"/>
        <v>0</v>
      </c>
      <c r="X258" s="3">
        <f t="shared" si="30"/>
        <v>0</v>
      </c>
      <c r="Y258" s="25">
        <f t="shared" si="31"/>
        <v>0</v>
      </c>
      <c r="Z258" s="26">
        <f>VLOOKUP(R258,CPI!$A$2:$F$71,6,0)</f>
        <v>1.342104605</v>
      </c>
      <c r="AA258" s="27">
        <f t="shared" si="8"/>
        <v>7488.581329</v>
      </c>
      <c r="AB258" s="27">
        <f t="shared" si="9"/>
        <v>207.439926</v>
      </c>
      <c r="AC258" s="115" t="s">
        <v>60</v>
      </c>
      <c r="AD258" s="161" t="s">
        <v>550</v>
      </c>
      <c r="AE258" s="164"/>
      <c r="AF258" s="165"/>
      <c r="AG258" s="165"/>
      <c r="AH258" s="165"/>
    </row>
    <row r="259">
      <c r="A259" s="114" t="s">
        <v>230</v>
      </c>
      <c r="B259" s="114" t="s">
        <v>547</v>
      </c>
      <c r="C259" s="171" t="s">
        <v>54</v>
      </c>
      <c r="D259" s="115" t="s">
        <v>348</v>
      </c>
      <c r="E259" s="116">
        <v>2021.0</v>
      </c>
      <c r="F259" s="114"/>
      <c r="G259" s="116">
        <v>0.0</v>
      </c>
      <c r="H259" s="116">
        <v>28.7</v>
      </c>
      <c r="I259" s="117">
        <v>1.0</v>
      </c>
      <c r="J259" s="116">
        <v>28.7</v>
      </c>
      <c r="K259" s="114"/>
      <c r="L259" s="114"/>
      <c r="M259" s="116">
        <v>19.0</v>
      </c>
      <c r="N259" s="116">
        <v>117.0</v>
      </c>
      <c r="O259" s="114"/>
      <c r="P259" s="73">
        <v>20488.0</v>
      </c>
      <c r="Q259" s="114" t="s">
        <v>234</v>
      </c>
      <c r="R259" s="115">
        <v>2021.0</v>
      </c>
      <c r="S259" s="136">
        <v>0.239</v>
      </c>
      <c r="T259" s="118">
        <f t="shared" si="65"/>
        <v>4896.632</v>
      </c>
      <c r="U259" s="24">
        <f t="shared" si="3"/>
        <v>170.6143554</v>
      </c>
      <c r="V259" s="3">
        <f t="shared" si="28"/>
        <v>0</v>
      </c>
      <c r="W259" s="3">
        <f t="shared" si="29"/>
        <v>0</v>
      </c>
      <c r="X259" s="3">
        <f t="shared" si="30"/>
        <v>0</v>
      </c>
      <c r="Y259" s="25">
        <f t="shared" si="31"/>
        <v>0</v>
      </c>
      <c r="Z259" s="26">
        <f>VLOOKUP(R259,CPI!$A$2:$F$71,6,0)</f>
        <v>1.188745987</v>
      </c>
      <c r="AA259" s="27">
        <f t="shared" si="8"/>
        <v>5820.851638</v>
      </c>
      <c r="AB259" s="27">
        <f t="shared" si="9"/>
        <v>202.8171302</v>
      </c>
      <c r="AC259" s="72" t="s">
        <v>36</v>
      </c>
      <c r="AD259" s="119" t="s">
        <v>552</v>
      </c>
      <c r="AE259" s="164" t="s">
        <v>553</v>
      </c>
      <c r="AF259" s="165"/>
      <c r="AG259" s="165"/>
      <c r="AH259" s="165"/>
    </row>
    <row r="260">
      <c r="A260" s="114" t="s">
        <v>230</v>
      </c>
      <c r="B260" s="114" t="s">
        <v>547</v>
      </c>
      <c r="C260" s="16" t="s">
        <v>87</v>
      </c>
      <c r="D260" s="115" t="s">
        <v>357</v>
      </c>
      <c r="E260" s="116">
        <v>2021.0</v>
      </c>
      <c r="F260" s="114"/>
      <c r="G260" s="116">
        <v>0.0</v>
      </c>
      <c r="H260" s="116">
        <v>32.18</v>
      </c>
      <c r="I260" s="117">
        <v>1.0</v>
      </c>
      <c r="J260" s="116">
        <v>32.2</v>
      </c>
      <c r="K260" s="114"/>
      <c r="L260" s="114"/>
      <c r="M260" s="116">
        <v>31.0</v>
      </c>
      <c r="N260" s="116">
        <v>117.0</v>
      </c>
      <c r="O260" s="114"/>
      <c r="P260" s="73">
        <v>26700.0</v>
      </c>
      <c r="Q260" s="114" t="s">
        <v>234</v>
      </c>
      <c r="R260" s="115">
        <v>2021.0</v>
      </c>
      <c r="S260" s="136">
        <v>0.239</v>
      </c>
      <c r="T260" s="118">
        <f t="shared" si="65"/>
        <v>6381.3</v>
      </c>
      <c r="U260" s="24">
        <f t="shared" si="3"/>
        <v>198.3001865</v>
      </c>
      <c r="V260" s="3">
        <f t="shared" si="28"/>
        <v>0</v>
      </c>
      <c r="W260" s="3">
        <f t="shared" si="29"/>
        <v>0</v>
      </c>
      <c r="X260" s="3">
        <f t="shared" si="30"/>
        <v>0</v>
      </c>
      <c r="Y260" s="25">
        <f t="shared" si="31"/>
        <v>0</v>
      </c>
      <c r="Z260" s="26">
        <f>VLOOKUP(R260,CPI!$A$2:$F$71,6,0)</f>
        <v>1.188745987</v>
      </c>
      <c r="AA260" s="27">
        <f t="shared" si="8"/>
        <v>7585.744765</v>
      </c>
      <c r="AB260" s="27">
        <f t="shared" si="9"/>
        <v>235.7285508</v>
      </c>
      <c r="AC260" s="72" t="s">
        <v>36</v>
      </c>
      <c r="AD260" s="119" t="s">
        <v>554</v>
      </c>
      <c r="AE260" s="164"/>
      <c r="AF260" s="165"/>
      <c r="AG260" s="165"/>
      <c r="AH260" s="165"/>
    </row>
    <row r="261">
      <c r="A261" s="123" t="s">
        <v>230</v>
      </c>
      <c r="B261" s="123" t="s">
        <v>555</v>
      </c>
      <c r="C261" s="36" t="s">
        <v>57</v>
      </c>
      <c r="D261" s="123" t="s">
        <v>556</v>
      </c>
      <c r="E261" s="75">
        <v>2012.0</v>
      </c>
      <c r="F261" s="142">
        <v>2016.0</v>
      </c>
      <c r="G261" s="75">
        <v>0.0</v>
      </c>
      <c r="H261" s="75">
        <v>24.58</v>
      </c>
      <c r="I261" s="124">
        <v>1.0</v>
      </c>
      <c r="J261" s="75">
        <v>24.58</v>
      </c>
      <c r="K261" s="125">
        <v>0.0</v>
      </c>
      <c r="L261" s="125">
        <v>0.0</v>
      </c>
      <c r="M261" s="75">
        <v>26.0</v>
      </c>
      <c r="N261" s="152">
        <v>117.0</v>
      </c>
      <c r="O261" s="123" t="s">
        <v>59</v>
      </c>
      <c r="P261" s="126">
        <v>16496.0</v>
      </c>
      <c r="Q261" s="123" t="s">
        <v>234</v>
      </c>
      <c r="R261" s="75">
        <v>2012.0</v>
      </c>
      <c r="S261" s="136">
        <v>0.2808</v>
      </c>
      <c r="T261" s="128">
        <f t="shared" si="65"/>
        <v>4632.0768</v>
      </c>
      <c r="U261" s="24">
        <f t="shared" si="3"/>
        <v>188.4490155</v>
      </c>
      <c r="V261" s="3">
        <f t="shared" si="28"/>
        <v>0</v>
      </c>
      <c r="W261" s="3">
        <f t="shared" si="29"/>
        <v>0</v>
      </c>
      <c r="X261" s="3">
        <f t="shared" si="30"/>
        <v>0</v>
      </c>
      <c r="Y261" s="25">
        <f t="shared" si="31"/>
        <v>0</v>
      </c>
      <c r="Z261" s="26">
        <f>VLOOKUP(R261,CPI!$A$2:$F$71,6,0)</f>
        <v>1.402974381</v>
      </c>
      <c r="AA261" s="27">
        <f t="shared" si="8"/>
        <v>6498.685081</v>
      </c>
      <c r="AB261" s="27">
        <f t="shared" si="9"/>
        <v>264.3891408</v>
      </c>
      <c r="AC261" s="123" t="s">
        <v>42</v>
      </c>
      <c r="AD261" s="129" t="s">
        <v>557</v>
      </c>
      <c r="AE261" s="29"/>
      <c r="AF261" s="30"/>
      <c r="AG261" s="30"/>
      <c r="AH261" s="30"/>
    </row>
    <row r="262">
      <c r="A262" s="72" t="s">
        <v>230</v>
      </c>
      <c r="B262" s="72" t="s">
        <v>555</v>
      </c>
      <c r="C262" s="115" t="s">
        <v>87</v>
      </c>
      <c r="D262" s="115" t="s">
        <v>331</v>
      </c>
      <c r="E262" s="69">
        <v>2014.0</v>
      </c>
      <c r="F262" s="69">
        <v>2019.0</v>
      </c>
      <c r="G262" s="69">
        <v>0.0</v>
      </c>
      <c r="H262" s="69">
        <v>37.2</v>
      </c>
      <c r="I262" s="117">
        <v>0.89</v>
      </c>
      <c r="J262" s="69">
        <v>32.97</v>
      </c>
      <c r="K262" s="72"/>
      <c r="L262" s="72"/>
      <c r="M262" s="69">
        <v>33.0</v>
      </c>
      <c r="N262" s="69">
        <v>117.0</v>
      </c>
      <c r="O262" s="72"/>
      <c r="P262" s="140">
        <v>26102.0</v>
      </c>
      <c r="Q262" s="72" t="s">
        <v>234</v>
      </c>
      <c r="R262" s="115">
        <v>2017.0</v>
      </c>
      <c r="S262" s="136">
        <v>0.239</v>
      </c>
      <c r="T262" s="118">
        <f t="shared" si="65"/>
        <v>6238.378</v>
      </c>
      <c r="U262" s="24">
        <f t="shared" si="3"/>
        <v>167.6983333</v>
      </c>
      <c r="V262" s="3">
        <f t="shared" si="28"/>
        <v>0</v>
      </c>
      <c r="W262" s="3">
        <f t="shared" si="29"/>
        <v>0</v>
      </c>
      <c r="X262" s="3">
        <f t="shared" si="30"/>
        <v>0</v>
      </c>
      <c r="Y262" s="25">
        <f t="shared" si="31"/>
        <v>0</v>
      </c>
      <c r="Z262" s="26">
        <f>VLOOKUP(R262,CPI!$A$2:$F$71,6,0)</f>
        <v>1.314109416</v>
      </c>
      <c r="AA262" s="27">
        <f t="shared" si="8"/>
        <v>8197.911269</v>
      </c>
      <c r="AB262" s="27">
        <f t="shared" si="9"/>
        <v>220.3739588</v>
      </c>
      <c r="AC262" s="72" t="s">
        <v>36</v>
      </c>
      <c r="AD262" s="79" t="s">
        <v>558</v>
      </c>
      <c r="AE262" s="186"/>
      <c r="AF262" s="187"/>
      <c r="AG262" s="187"/>
      <c r="AH262" s="187"/>
    </row>
    <row r="263">
      <c r="A263" s="123" t="s">
        <v>230</v>
      </c>
      <c r="B263" s="123" t="s">
        <v>555</v>
      </c>
      <c r="C263" s="36" t="s">
        <v>110</v>
      </c>
      <c r="D263" s="123" t="s">
        <v>332</v>
      </c>
      <c r="E263" s="75">
        <v>2015.0</v>
      </c>
      <c r="F263" s="75">
        <v>2020.0</v>
      </c>
      <c r="G263" s="75">
        <v>0.0</v>
      </c>
      <c r="H263" s="75">
        <v>36.0</v>
      </c>
      <c r="I263" s="124">
        <v>1.0</v>
      </c>
      <c r="J263" s="75">
        <v>36.0</v>
      </c>
      <c r="K263" s="125">
        <v>0.0</v>
      </c>
      <c r="L263" s="125">
        <v>0.0</v>
      </c>
      <c r="M263" s="75">
        <v>28.0</v>
      </c>
      <c r="N263" s="152">
        <v>117.0</v>
      </c>
      <c r="O263" s="123" t="s">
        <v>60</v>
      </c>
      <c r="P263" s="126">
        <v>24289.0</v>
      </c>
      <c r="Q263" s="123" t="s">
        <v>234</v>
      </c>
      <c r="R263" s="75">
        <v>2014.0</v>
      </c>
      <c r="S263" s="136">
        <v>0.266</v>
      </c>
      <c r="T263" s="128">
        <f t="shared" si="65"/>
        <v>6460.874</v>
      </c>
      <c r="U263" s="24">
        <f t="shared" si="3"/>
        <v>179.4687222</v>
      </c>
      <c r="V263" s="3">
        <f t="shared" si="28"/>
        <v>0</v>
      </c>
      <c r="W263" s="3">
        <f t="shared" si="29"/>
        <v>0</v>
      </c>
      <c r="X263" s="3">
        <f t="shared" si="30"/>
        <v>0</v>
      </c>
      <c r="Y263" s="25">
        <f t="shared" si="31"/>
        <v>0</v>
      </c>
      <c r="Z263" s="26">
        <f>VLOOKUP(R263,CPI!$A$2:$F$71,6,0)</f>
        <v>1.360648571</v>
      </c>
      <c r="AA263" s="27">
        <f t="shared" si="8"/>
        <v>8790.978973</v>
      </c>
      <c r="AB263" s="27">
        <f t="shared" si="9"/>
        <v>244.1938604</v>
      </c>
      <c r="AC263" s="123" t="s">
        <v>60</v>
      </c>
      <c r="AD263" s="129" t="s">
        <v>559</v>
      </c>
      <c r="AE263" s="29"/>
      <c r="AF263" s="30"/>
      <c r="AG263" s="30"/>
      <c r="AH263" s="30"/>
    </row>
    <row r="264">
      <c r="A264" s="72" t="s">
        <v>230</v>
      </c>
      <c r="B264" s="72" t="s">
        <v>555</v>
      </c>
      <c r="C264" s="36" t="s">
        <v>54</v>
      </c>
      <c r="D264" s="72" t="s">
        <v>315</v>
      </c>
      <c r="E264" s="70">
        <v>2020.0</v>
      </c>
      <c r="F264" s="69">
        <v>2024.0</v>
      </c>
      <c r="G264" s="69">
        <v>0.0</v>
      </c>
      <c r="H264" s="69">
        <v>14.5</v>
      </c>
      <c r="I264" s="117">
        <v>1.0</v>
      </c>
      <c r="J264" s="69">
        <v>14.5</v>
      </c>
      <c r="K264" s="72"/>
      <c r="L264" s="72"/>
      <c r="M264" s="69">
        <v>11.0</v>
      </c>
      <c r="N264" s="69">
        <v>117.0</v>
      </c>
      <c r="O264" s="72"/>
      <c r="P264" s="140">
        <v>9702.0</v>
      </c>
      <c r="Q264" s="72" t="s">
        <v>234</v>
      </c>
      <c r="R264" s="75">
        <v>2020.0</v>
      </c>
      <c r="S264" s="136">
        <v>0.239</v>
      </c>
      <c r="T264" s="128">
        <f t="shared" si="65"/>
        <v>2318.778</v>
      </c>
      <c r="U264" s="24">
        <f t="shared" si="3"/>
        <v>159.9157241</v>
      </c>
      <c r="V264" s="3">
        <f t="shared" si="28"/>
        <v>0</v>
      </c>
      <c r="W264" s="3">
        <f t="shared" si="29"/>
        <v>0</v>
      </c>
      <c r="X264" s="3">
        <f t="shared" si="30"/>
        <v>0</v>
      </c>
      <c r="Y264" s="25">
        <f t="shared" si="31"/>
        <v>0</v>
      </c>
      <c r="Z264" s="26">
        <f>VLOOKUP(R264,CPI!$A$2:$F$71,6,0)</f>
        <v>1.244593545</v>
      </c>
      <c r="AA264" s="27">
        <f t="shared" si="8"/>
        <v>2885.936131</v>
      </c>
      <c r="AB264" s="27">
        <f t="shared" si="9"/>
        <v>199.030078</v>
      </c>
      <c r="AC264" s="115" t="s">
        <v>36</v>
      </c>
      <c r="AD264" s="79" t="s">
        <v>560</v>
      </c>
      <c r="AE264" s="186"/>
      <c r="AF264" s="187"/>
      <c r="AG264" s="187"/>
      <c r="AH264" s="187"/>
    </row>
    <row r="265">
      <c r="A265" s="72" t="s">
        <v>230</v>
      </c>
      <c r="B265" s="72" t="s">
        <v>555</v>
      </c>
      <c r="C265" s="36" t="s">
        <v>87</v>
      </c>
      <c r="D265" s="72" t="s">
        <v>321</v>
      </c>
      <c r="E265" s="70">
        <v>2020.0</v>
      </c>
      <c r="F265" s="69">
        <v>2024.0</v>
      </c>
      <c r="G265" s="69">
        <v>0.0</v>
      </c>
      <c r="H265" s="69">
        <v>11.25</v>
      </c>
      <c r="I265" s="117">
        <v>1.0</v>
      </c>
      <c r="J265" s="69">
        <v>11.25</v>
      </c>
      <c r="K265" s="72"/>
      <c r="L265" s="72"/>
      <c r="M265" s="69">
        <v>8.0</v>
      </c>
      <c r="N265" s="69">
        <v>117.0</v>
      </c>
      <c r="O265" s="72"/>
      <c r="P265" s="140">
        <v>9103.0</v>
      </c>
      <c r="Q265" s="72" t="s">
        <v>234</v>
      </c>
      <c r="R265" s="75">
        <v>2020.0</v>
      </c>
      <c r="S265" s="136">
        <v>0.239</v>
      </c>
      <c r="T265" s="128">
        <f t="shared" si="65"/>
        <v>2175.617</v>
      </c>
      <c r="U265" s="24">
        <f t="shared" si="3"/>
        <v>193.3881778</v>
      </c>
      <c r="V265" s="3">
        <f t="shared" si="28"/>
        <v>0</v>
      </c>
      <c r="W265" s="3">
        <f t="shared" si="29"/>
        <v>0</v>
      </c>
      <c r="X265" s="3">
        <f t="shared" si="30"/>
        <v>0</v>
      </c>
      <c r="Y265" s="25">
        <f t="shared" si="31"/>
        <v>0</v>
      </c>
      <c r="Z265" s="26">
        <f>VLOOKUP(R265,CPI!$A$2:$F$71,6,0)</f>
        <v>1.244593545</v>
      </c>
      <c r="AA265" s="27">
        <f t="shared" si="8"/>
        <v>2707.758875</v>
      </c>
      <c r="AB265" s="27">
        <f t="shared" si="9"/>
        <v>240.6896778</v>
      </c>
      <c r="AC265" s="115" t="s">
        <v>36</v>
      </c>
      <c r="AD265" s="79" t="s">
        <v>561</v>
      </c>
      <c r="AE265" s="186"/>
      <c r="AF265" s="187"/>
      <c r="AG265" s="187"/>
      <c r="AH265" s="187"/>
    </row>
    <row r="266">
      <c r="A266" s="114" t="s">
        <v>230</v>
      </c>
      <c r="B266" s="114" t="s">
        <v>555</v>
      </c>
      <c r="C266" s="114" t="s">
        <v>562</v>
      </c>
      <c r="D266" s="114" t="s">
        <v>562</v>
      </c>
      <c r="E266" s="116">
        <v>2018.0</v>
      </c>
      <c r="F266" s="114"/>
      <c r="G266" s="116">
        <v>0.0</v>
      </c>
      <c r="H266" s="116">
        <v>63.1</v>
      </c>
      <c r="I266" s="117">
        <v>0.19</v>
      </c>
      <c r="J266" s="116">
        <v>11.94</v>
      </c>
      <c r="K266" s="114"/>
      <c r="L266" s="114"/>
      <c r="M266" s="116">
        <v>19.0</v>
      </c>
      <c r="N266" s="116">
        <v>117.0</v>
      </c>
      <c r="O266" s="114"/>
      <c r="P266" s="140">
        <v>22190.0</v>
      </c>
      <c r="Q266" s="114" t="s">
        <v>234</v>
      </c>
      <c r="R266" s="75">
        <v>2020.0</v>
      </c>
      <c r="S266" s="136">
        <v>0.239</v>
      </c>
      <c r="T266" s="128">
        <f t="shared" si="65"/>
        <v>5303.41</v>
      </c>
      <c r="U266" s="24">
        <f t="shared" si="3"/>
        <v>84.04770206</v>
      </c>
      <c r="V266" s="3">
        <f t="shared" si="28"/>
        <v>0</v>
      </c>
      <c r="W266" s="3">
        <f t="shared" si="29"/>
        <v>0</v>
      </c>
      <c r="X266" s="3">
        <f t="shared" si="30"/>
        <v>0</v>
      </c>
      <c r="Y266" s="25">
        <f t="shared" si="31"/>
        <v>0</v>
      </c>
      <c r="Z266" s="26">
        <f>VLOOKUP(R266,CPI!$A$2:$F$71,6,0)</f>
        <v>1.244593545</v>
      </c>
      <c r="AA266" s="27">
        <f t="shared" si="8"/>
        <v>6600.589853</v>
      </c>
      <c r="AB266" s="27">
        <f t="shared" si="9"/>
        <v>104.6052275</v>
      </c>
      <c r="AC266" s="115" t="s">
        <v>36</v>
      </c>
      <c r="AD266" s="119" t="s">
        <v>563</v>
      </c>
      <c r="AE266" s="164"/>
      <c r="AF266" s="165"/>
      <c r="AG266" s="165"/>
      <c r="AH266" s="165"/>
    </row>
    <row r="267">
      <c r="A267" s="114" t="s">
        <v>230</v>
      </c>
      <c r="B267" s="114" t="s">
        <v>555</v>
      </c>
      <c r="C267" s="115" t="s">
        <v>57</v>
      </c>
      <c r="D267" s="114" t="s">
        <v>564</v>
      </c>
      <c r="E267" s="116">
        <v>2019.0</v>
      </c>
      <c r="F267" s="114"/>
      <c r="G267" s="116">
        <v>0.0</v>
      </c>
      <c r="H267" s="116">
        <v>4.54</v>
      </c>
      <c r="I267" s="117">
        <v>1.0</v>
      </c>
      <c r="J267" s="116">
        <v>4.54</v>
      </c>
      <c r="K267" s="114"/>
      <c r="L267" s="114"/>
      <c r="M267" s="116">
        <v>3.0</v>
      </c>
      <c r="N267" s="116">
        <v>117.0</v>
      </c>
      <c r="O267" s="114"/>
      <c r="P267" s="140">
        <v>4257.0</v>
      </c>
      <c r="Q267" s="114" t="s">
        <v>234</v>
      </c>
      <c r="R267" s="115">
        <v>2019.0</v>
      </c>
      <c r="S267" s="136">
        <v>0.238</v>
      </c>
      <c r="T267" s="118">
        <f t="shared" si="65"/>
        <v>1013.166</v>
      </c>
      <c r="U267" s="24">
        <f t="shared" si="3"/>
        <v>223.1643172</v>
      </c>
      <c r="V267" s="3">
        <f t="shared" si="28"/>
        <v>0</v>
      </c>
      <c r="W267" s="3">
        <f t="shared" si="29"/>
        <v>0</v>
      </c>
      <c r="X267" s="3">
        <f t="shared" si="30"/>
        <v>0</v>
      </c>
      <c r="Y267" s="25">
        <f t="shared" si="31"/>
        <v>0</v>
      </c>
      <c r="Z267" s="26">
        <f>VLOOKUP(R267,CPI!$A$2:$F$71,6,0)</f>
        <v>1.259947899</v>
      </c>
      <c r="AA267" s="27">
        <f t="shared" si="8"/>
        <v>1276.536373</v>
      </c>
      <c r="AB267" s="27">
        <f t="shared" si="9"/>
        <v>281.1754126</v>
      </c>
      <c r="AC267" s="114"/>
      <c r="AD267" s="119" t="s">
        <v>565</v>
      </c>
      <c r="AE267" s="164"/>
      <c r="AF267" s="165"/>
      <c r="AG267" s="165"/>
      <c r="AH267" s="165"/>
    </row>
    <row r="268">
      <c r="A268" s="72" t="s">
        <v>230</v>
      </c>
      <c r="B268" s="72" t="s">
        <v>555</v>
      </c>
      <c r="C268" s="16" t="s">
        <v>84</v>
      </c>
      <c r="D268" s="115" t="s">
        <v>319</v>
      </c>
      <c r="E268" s="69">
        <v>2020.0</v>
      </c>
      <c r="F268" s="72"/>
      <c r="G268" s="69">
        <v>0.0</v>
      </c>
      <c r="H268" s="69">
        <v>40.22</v>
      </c>
      <c r="I268" s="117">
        <v>1.0</v>
      </c>
      <c r="J268" s="69">
        <v>40.22</v>
      </c>
      <c r="K268" s="72"/>
      <c r="L268" s="72"/>
      <c r="M268" s="69">
        <v>33.0</v>
      </c>
      <c r="N268" s="69">
        <v>117.0</v>
      </c>
      <c r="O268" s="72"/>
      <c r="P268" s="140">
        <v>30638.0</v>
      </c>
      <c r="Q268" s="72" t="s">
        <v>234</v>
      </c>
      <c r="R268" s="115">
        <v>2020.0</v>
      </c>
      <c r="S268" s="136">
        <v>0.239</v>
      </c>
      <c r="T268" s="118">
        <f t="shared" si="65"/>
        <v>7322.482</v>
      </c>
      <c r="U268" s="24">
        <f t="shared" si="3"/>
        <v>182.0607161</v>
      </c>
      <c r="V268" s="3">
        <f t="shared" si="28"/>
        <v>0</v>
      </c>
      <c r="W268" s="3">
        <f t="shared" si="29"/>
        <v>0</v>
      </c>
      <c r="X268" s="3">
        <f t="shared" si="30"/>
        <v>0</v>
      </c>
      <c r="Y268" s="25">
        <f t="shared" si="31"/>
        <v>0</v>
      </c>
      <c r="Z268" s="26">
        <f>VLOOKUP(R268,CPI!$A$2:$F$71,6,0)</f>
        <v>1.244593545</v>
      </c>
      <c r="AA268" s="27">
        <f t="shared" si="8"/>
        <v>9113.513831</v>
      </c>
      <c r="AB268" s="27">
        <f t="shared" si="9"/>
        <v>226.591592</v>
      </c>
      <c r="AC268" s="72" t="s">
        <v>36</v>
      </c>
      <c r="AD268" s="79" t="s">
        <v>566</v>
      </c>
      <c r="AE268" s="186"/>
      <c r="AF268" s="187"/>
      <c r="AG268" s="187"/>
      <c r="AH268" s="187"/>
    </row>
    <row r="269">
      <c r="A269" s="114" t="s">
        <v>230</v>
      </c>
      <c r="B269" s="114" t="s">
        <v>555</v>
      </c>
      <c r="C269" s="115" t="s">
        <v>54</v>
      </c>
      <c r="D269" s="114" t="s">
        <v>313</v>
      </c>
      <c r="E269" s="116">
        <v>2021.0</v>
      </c>
      <c r="F269" s="114"/>
      <c r="G269" s="116">
        <v>0.0</v>
      </c>
      <c r="H269" s="116">
        <v>12.7</v>
      </c>
      <c r="I269" s="117">
        <v>1.0</v>
      </c>
      <c r="J269" s="116">
        <v>12.7</v>
      </c>
      <c r="K269" s="114"/>
      <c r="L269" s="114"/>
      <c r="M269" s="116">
        <v>8.0</v>
      </c>
      <c r="N269" s="116">
        <v>117.0</v>
      </c>
      <c r="O269" s="114"/>
      <c r="P269" s="140">
        <v>8965.0</v>
      </c>
      <c r="Q269" s="114" t="s">
        <v>234</v>
      </c>
      <c r="R269" s="115">
        <v>2021.0</v>
      </c>
      <c r="S269" s="136">
        <v>0.239000000000001</v>
      </c>
      <c r="T269" s="118">
        <f t="shared" si="65"/>
        <v>2142.635</v>
      </c>
      <c r="U269" s="24">
        <f t="shared" si="3"/>
        <v>168.7114173</v>
      </c>
      <c r="V269" s="3">
        <f t="shared" si="28"/>
        <v>0</v>
      </c>
      <c r="W269" s="3">
        <f t="shared" si="29"/>
        <v>0</v>
      </c>
      <c r="X269" s="3">
        <f t="shared" si="30"/>
        <v>0</v>
      </c>
      <c r="Y269" s="25">
        <f t="shared" si="31"/>
        <v>0</v>
      </c>
      <c r="Z269" s="26">
        <f>VLOOKUP(R269,CPI!$A$2:$F$71,6,0)</f>
        <v>1.188745987</v>
      </c>
      <c r="AA269" s="27">
        <f t="shared" si="8"/>
        <v>2547.048757</v>
      </c>
      <c r="AB269" s="27">
        <f t="shared" si="9"/>
        <v>200.5550202</v>
      </c>
      <c r="AC269" s="114"/>
      <c r="AD269" s="119" t="s">
        <v>567</v>
      </c>
      <c r="AE269" s="164"/>
      <c r="AF269" s="165"/>
      <c r="AG269" s="165"/>
      <c r="AH269" s="165"/>
    </row>
    <row r="270">
      <c r="A270" s="72" t="s">
        <v>230</v>
      </c>
      <c r="B270" s="72" t="s">
        <v>555</v>
      </c>
      <c r="C270" s="115" t="s">
        <v>80</v>
      </c>
      <c r="D270" s="115" t="s">
        <v>255</v>
      </c>
      <c r="E270" s="70">
        <v>2021.0</v>
      </c>
      <c r="F270" s="72"/>
      <c r="G270" s="69">
        <v>0.0</v>
      </c>
      <c r="H270" s="69">
        <v>27.5</v>
      </c>
      <c r="I270" s="117">
        <v>1.0</v>
      </c>
      <c r="J270" s="69">
        <v>27.5</v>
      </c>
      <c r="K270" s="72"/>
      <c r="L270" s="72"/>
      <c r="M270" s="69">
        <v>17.0</v>
      </c>
      <c r="N270" s="69">
        <v>117.0</v>
      </c>
      <c r="O270" s="72"/>
      <c r="P270" s="140">
        <v>20983.6</v>
      </c>
      <c r="Q270" s="72" t="s">
        <v>234</v>
      </c>
      <c r="R270" s="115">
        <v>2021.0</v>
      </c>
      <c r="S270" s="136">
        <v>0.239</v>
      </c>
      <c r="T270" s="118">
        <f t="shared" si="65"/>
        <v>5015.0804</v>
      </c>
      <c r="U270" s="24">
        <f t="shared" si="3"/>
        <v>182.36656</v>
      </c>
      <c r="V270" s="3">
        <f t="shared" si="28"/>
        <v>0</v>
      </c>
      <c r="W270" s="3">
        <f t="shared" si="29"/>
        <v>0</v>
      </c>
      <c r="X270" s="3">
        <f t="shared" si="30"/>
        <v>0</v>
      </c>
      <c r="Y270" s="25">
        <f t="shared" si="31"/>
        <v>0</v>
      </c>
      <c r="Z270" s="26">
        <f>VLOOKUP(R270,CPI!$A$2:$F$71,6,0)</f>
        <v>1.188745987</v>
      </c>
      <c r="AA270" s="27">
        <f t="shared" si="8"/>
        <v>5961.656698</v>
      </c>
      <c r="AB270" s="27">
        <f t="shared" si="9"/>
        <v>216.7875163</v>
      </c>
      <c r="AC270" s="115" t="s">
        <v>36</v>
      </c>
      <c r="AD270" s="79" t="s">
        <v>568</v>
      </c>
      <c r="AE270" s="186"/>
      <c r="AF270" s="187"/>
      <c r="AG270" s="187"/>
      <c r="AH270" s="187"/>
    </row>
    <row r="271">
      <c r="A271" s="114" t="s">
        <v>230</v>
      </c>
      <c r="B271" s="72" t="s">
        <v>555</v>
      </c>
      <c r="C271" s="36" t="s">
        <v>80</v>
      </c>
      <c r="D271" s="72" t="s">
        <v>457</v>
      </c>
      <c r="E271" s="116">
        <v>2021.0</v>
      </c>
      <c r="F271" s="114"/>
      <c r="G271" s="116">
        <v>0.0</v>
      </c>
      <c r="H271" s="116">
        <v>10.0</v>
      </c>
      <c r="I271" s="117">
        <v>1.0</v>
      </c>
      <c r="J271" s="116">
        <v>10.0</v>
      </c>
      <c r="K271" s="114"/>
      <c r="L271" s="114"/>
      <c r="M271" s="116">
        <v>4.0</v>
      </c>
      <c r="N271" s="116">
        <v>117.0</v>
      </c>
      <c r="O271" s="114"/>
      <c r="P271" s="140">
        <v>6887.0</v>
      </c>
      <c r="Q271" s="114" t="s">
        <v>234</v>
      </c>
      <c r="R271" s="75">
        <v>2020.0</v>
      </c>
      <c r="S271" s="136">
        <v>0.239</v>
      </c>
      <c r="T271" s="128">
        <f t="shared" si="65"/>
        <v>1645.993</v>
      </c>
      <c r="U271" s="24">
        <f t="shared" si="3"/>
        <v>164.5993</v>
      </c>
      <c r="V271" s="3">
        <f t="shared" si="28"/>
        <v>0</v>
      </c>
      <c r="W271" s="3">
        <f t="shared" si="29"/>
        <v>0</v>
      </c>
      <c r="X271" s="3">
        <f t="shared" si="30"/>
        <v>0</v>
      </c>
      <c r="Y271" s="25">
        <f t="shared" si="31"/>
        <v>0</v>
      </c>
      <c r="Z271" s="26">
        <f>VLOOKUP(R271,CPI!$A$2:$F$71,6,0)</f>
        <v>1.244593545</v>
      </c>
      <c r="AA271" s="27">
        <f t="shared" si="8"/>
        <v>2048.592263</v>
      </c>
      <c r="AB271" s="27">
        <f t="shared" si="9"/>
        <v>204.8592263</v>
      </c>
      <c r="AC271" s="123" t="s">
        <v>42</v>
      </c>
      <c r="AD271" s="119" t="s">
        <v>569</v>
      </c>
      <c r="AE271" s="164"/>
      <c r="AF271" s="165"/>
      <c r="AG271" s="165"/>
      <c r="AH271" s="165"/>
    </row>
    <row r="272">
      <c r="A272" s="72" t="s">
        <v>230</v>
      </c>
      <c r="B272" s="72" t="s">
        <v>555</v>
      </c>
      <c r="C272" s="115" t="s">
        <v>110</v>
      </c>
      <c r="D272" s="72" t="s">
        <v>322</v>
      </c>
      <c r="E272" s="70">
        <v>2022.0</v>
      </c>
      <c r="F272" s="72"/>
      <c r="G272" s="69">
        <v>0.0</v>
      </c>
      <c r="H272" s="69">
        <v>13.97</v>
      </c>
      <c r="I272" s="117">
        <v>0.47</v>
      </c>
      <c r="J272" s="69">
        <v>6.55</v>
      </c>
      <c r="K272" s="72"/>
      <c r="L272" s="72"/>
      <c r="M272" s="69">
        <v>8.0</v>
      </c>
      <c r="N272" s="69">
        <v>117.0</v>
      </c>
      <c r="O272" s="72"/>
      <c r="P272" s="140">
        <v>7396.0</v>
      </c>
      <c r="Q272" s="72" t="s">
        <v>234</v>
      </c>
      <c r="R272" s="75">
        <v>2020.0</v>
      </c>
      <c r="S272" s="136">
        <v>0.239</v>
      </c>
      <c r="T272" s="128">
        <f t="shared" si="65"/>
        <v>1767.644</v>
      </c>
      <c r="U272" s="24">
        <f t="shared" si="3"/>
        <v>126.5314245</v>
      </c>
      <c r="V272" s="3">
        <f t="shared" si="28"/>
        <v>0</v>
      </c>
      <c r="W272" s="3">
        <f t="shared" si="29"/>
        <v>0</v>
      </c>
      <c r="X272" s="3">
        <f t="shared" si="30"/>
        <v>0</v>
      </c>
      <c r="Y272" s="25">
        <f t="shared" si="31"/>
        <v>0</v>
      </c>
      <c r="Z272" s="26">
        <f>VLOOKUP(R272,CPI!$A$2:$F$71,6,0)</f>
        <v>1.244593545</v>
      </c>
      <c r="AA272" s="27">
        <f t="shared" si="8"/>
        <v>2199.998312</v>
      </c>
      <c r="AB272" s="27">
        <f t="shared" si="9"/>
        <v>157.4801942</v>
      </c>
      <c r="AC272" s="115" t="s">
        <v>36</v>
      </c>
      <c r="AD272" s="79" t="s">
        <v>570</v>
      </c>
      <c r="AE272" s="186"/>
      <c r="AF272" s="187"/>
      <c r="AG272" s="187"/>
      <c r="AH272" s="187"/>
    </row>
    <row r="273">
      <c r="A273" s="123" t="s">
        <v>230</v>
      </c>
      <c r="B273" s="123" t="s">
        <v>555</v>
      </c>
      <c r="C273" s="36" t="s">
        <v>228</v>
      </c>
      <c r="D273" s="123" t="s">
        <v>263</v>
      </c>
      <c r="E273" s="142" t="s">
        <v>571</v>
      </c>
      <c r="F273" s="123"/>
      <c r="G273" s="75">
        <v>0.0</v>
      </c>
      <c r="H273" s="75">
        <v>21.0</v>
      </c>
      <c r="I273" s="124">
        <v>1.0</v>
      </c>
      <c r="J273" s="75">
        <v>21.0</v>
      </c>
      <c r="K273" s="125">
        <v>0.0</v>
      </c>
      <c r="L273" s="125">
        <v>0.0</v>
      </c>
      <c r="M273" s="75">
        <v>17.0</v>
      </c>
      <c r="N273" s="75"/>
      <c r="O273" s="123" t="s">
        <v>60</v>
      </c>
      <c r="P273" s="126">
        <f>16.881*10^3</f>
        <v>16881</v>
      </c>
      <c r="Q273" s="123" t="s">
        <v>234</v>
      </c>
      <c r="R273" s="75">
        <v>2020.0</v>
      </c>
      <c r="S273" s="136">
        <v>0.239</v>
      </c>
      <c r="T273" s="128">
        <f t="shared" si="65"/>
        <v>4034.559</v>
      </c>
      <c r="U273" s="24">
        <f t="shared" si="3"/>
        <v>192.1218571</v>
      </c>
      <c r="V273" s="3">
        <f t="shared" si="28"/>
        <v>0</v>
      </c>
      <c r="W273" s="3">
        <f t="shared" si="29"/>
        <v>0</v>
      </c>
      <c r="X273" s="3">
        <f t="shared" si="30"/>
        <v>0</v>
      </c>
      <c r="Y273" s="25">
        <f t="shared" si="31"/>
        <v>0</v>
      </c>
      <c r="Z273" s="26">
        <f>VLOOKUP(R273,CPI!$A$2:$F$71,6,0)</f>
        <v>1.244593545</v>
      </c>
      <c r="AA273" s="27">
        <f t="shared" si="8"/>
        <v>5021.386089</v>
      </c>
      <c r="AB273" s="27">
        <f t="shared" si="9"/>
        <v>239.1136233</v>
      </c>
      <c r="AC273" s="123" t="s">
        <v>60</v>
      </c>
      <c r="AD273" s="129" t="s">
        <v>572</v>
      </c>
      <c r="AE273" s="29"/>
      <c r="AF273" s="30"/>
      <c r="AG273" s="30"/>
      <c r="AH273" s="30"/>
    </row>
    <row r="274">
      <c r="A274" s="123" t="s">
        <v>230</v>
      </c>
      <c r="B274" s="123" t="s">
        <v>555</v>
      </c>
      <c r="C274" s="36" t="s">
        <v>243</v>
      </c>
      <c r="D274" s="123" t="s">
        <v>379</v>
      </c>
      <c r="E274" s="142" t="s">
        <v>571</v>
      </c>
      <c r="F274" s="123"/>
      <c r="G274" s="75">
        <v>0.0</v>
      </c>
      <c r="H274" s="75">
        <v>23.0</v>
      </c>
      <c r="I274" s="124">
        <v>1.0</v>
      </c>
      <c r="J274" s="75">
        <v>23.0</v>
      </c>
      <c r="K274" s="125">
        <v>0.0</v>
      </c>
      <c r="L274" s="125">
        <v>0.0</v>
      </c>
      <c r="M274" s="75">
        <v>12.0</v>
      </c>
      <c r="N274" s="75"/>
      <c r="O274" s="123" t="s">
        <v>60</v>
      </c>
      <c r="P274" s="126">
        <f>16.201*10^3</f>
        <v>16201</v>
      </c>
      <c r="Q274" s="123" t="s">
        <v>234</v>
      </c>
      <c r="R274" s="75">
        <v>2020.0</v>
      </c>
      <c r="S274" s="136">
        <v>0.239</v>
      </c>
      <c r="T274" s="128">
        <f t="shared" si="65"/>
        <v>3872.039</v>
      </c>
      <c r="U274" s="24">
        <f t="shared" si="3"/>
        <v>168.3495217</v>
      </c>
      <c r="V274" s="3">
        <f t="shared" si="28"/>
        <v>0</v>
      </c>
      <c r="W274" s="3">
        <f t="shared" si="29"/>
        <v>0</v>
      </c>
      <c r="X274" s="3">
        <f t="shared" si="30"/>
        <v>0</v>
      </c>
      <c r="Y274" s="25">
        <f t="shared" si="31"/>
        <v>0</v>
      </c>
      <c r="Z274" s="26">
        <f>VLOOKUP(R274,CPI!$A$2:$F$71,6,0)</f>
        <v>1.244593545</v>
      </c>
      <c r="AA274" s="27">
        <f t="shared" si="8"/>
        <v>4819.114746</v>
      </c>
      <c r="AB274" s="27">
        <f t="shared" si="9"/>
        <v>209.5267281</v>
      </c>
      <c r="AC274" s="123" t="s">
        <v>60</v>
      </c>
      <c r="AD274" s="129" t="s">
        <v>572</v>
      </c>
      <c r="AE274" s="29"/>
      <c r="AF274" s="30"/>
      <c r="AG274" s="30"/>
      <c r="AH274" s="30"/>
    </row>
    <row r="275">
      <c r="A275" s="114" t="s">
        <v>230</v>
      </c>
      <c r="B275" s="114" t="s">
        <v>573</v>
      </c>
      <c r="C275" s="114" t="s">
        <v>54</v>
      </c>
      <c r="D275" s="114" t="s">
        <v>54</v>
      </c>
      <c r="E275" s="116">
        <v>2020.0</v>
      </c>
      <c r="F275" s="114"/>
      <c r="G275" s="116">
        <v>0.0</v>
      </c>
      <c r="H275" s="116">
        <v>27.3</v>
      </c>
      <c r="I275" s="117">
        <v>1.0</v>
      </c>
      <c r="J275" s="116">
        <v>27.3</v>
      </c>
      <c r="K275" s="114"/>
      <c r="L275" s="114"/>
      <c r="M275" s="116">
        <v>24.0</v>
      </c>
      <c r="N275" s="116">
        <v>117.0</v>
      </c>
      <c r="O275" s="114"/>
      <c r="P275" s="140">
        <v>20304.0</v>
      </c>
      <c r="Q275" s="114" t="s">
        <v>234</v>
      </c>
      <c r="R275" s="115">
        <v>2020.0</v>
      </c>
      <c r="S275" s="136">
        <v>0.239</v>
      </c>
      <c r="T275" s="118">
        <f t="shared" si="65"/>
        <v>4852.656</v>
      </c>
      <c r="U275" s="24">
        <f t="shared" si="3"/>
        <v>177.752967</v>
      </c>
      <c r="V275" s="3">
        <f t="shared" si="28"/>
        <v>0</v>
      </c>
      <c r="W275" s="3">
        <f t="shared" si="29"/>
        <v>0</v>
      </c>
      <c r="X275" s="3">
        <f t="shared" si="30"/>
        <v>0</v>
      </c>
      <c r="Y275" s="25">
        <f t="shared" si="31"/>
        <v>0</v>
      </c>
      <c r="Z275" s="26">
        <f>VLOOKUP(R275,CPI!$A$2:$F$71,6,0)</f>
        <v>1.244593545</v>
      </c>
      <c r="AA275" s="27">
        <f t="shared" si="8"/>
        <v>6039.584334</v>
      </c>
      <c r="AB275" s="27">
        <f t="shared" si="9"/>
        <v>221.2301954</v>
      </c>
      <c r="AC275" s="114"/>
      <c r="AD275" s="119" t="s">
        <v>574</v>
      </c>
      <c r="AE275" s="164"/>
      <c r="AF275" s="165"/>
      <c r="AG275" s="165"/>
      <c r="AH275" s="165"/>
    </row>
    <row r="276">
      <c r="A276" s="114" t="s">
        <v>230</v>
      </c>
      <c r="B276" s="114" t="s">
        <v>575</v>
      </c>
      <c r="C276" s="114" t="s">
        <v>57</v>
      </c>
      <c r="D276" s="114" t="s">
        <v>57</v>
      </c>
      <c r="E276" s="116">
        <v>2018.0</v>
      </c>
      <c r="F276" s="114"/>
      <c r="G276" s="116">
        <v>0.0</v>
      </c>
      <c r="H276" s="116">
        <v>58.0</v>
      </c>
      <c r="I276" s="114"/>
      <c r="J276" s="114"/>
      <c r="K276" s="114"/>
      <c r="L276" s="114"/>
      <c r="M276" s="116">
        <v>26.0</v>
      </c>
      <c r="N276" s="116"/>
      <c r="O276" s="114"/>
      <c r="P276" s="140">
        <v>40000.0</v>
      </c>
      <c r="Q276" s="114" t="s">
        <v>234</v>
      </c>
      <c r="R276" s="115">
        <v>2018.0</v>
      </c>
      <c r="S276" s="85">
        <v>0.237</v>
      </c>
      <c r="T276" s="118">
        <f t="shared" si="65"/>
        <v>9480</v>
      </c>
      <c r="U276" s="24">
        <f t="shared" si="3"/>
        <v>163.4482759</v>
      </c>
      <c r="V276" s="3">
        <f t="shared" si="28"/>
        <v>0</v>
      </c>
      <c r="W276" s="3">
        <f t="shared" si="29"/>
        <v>0</v>
      </c>
      <c r="X276" s="3">
        <f t="shared" si="30"/>
        <v>0</v>
      </c>
      <c r="Y276" s="25">
        <f t="shared" si="31"/>
        <v>0</v>
      </c>
      <c r="Z276" s="26">
        <f>VLOOKUP(R276,CPI!$A$2:$F$71,6,0)</f>
        <v>1.28277786</v>
      </c>
      <c r="AA276" s="27">
        <f t="shared" si="8"/>
        <v>12160.73411</v>
      </c>
      <c r="AB276" s="27">
        <f t="shared" si="9"/>
        <v>209.6678295</v>
      </c>
      <c r="AC276" s="114"/>
      <c r="AD276" s="119" t="s">
        <v>576</v>
      </c>
      <c r="AE276" s="164"/>
      <c r="AF276" s="165"/>
      <c r="AG276" s="165"/>
      <c r="AH276" s="165"/>
    </row>
    <row r="277">
      <c r="A277" s="114" t="s">
        <v>230</v>
      </c>
      <c r="B277" s="114" t="s">
        <v>577</v>
      </c>
      <c r="C277" s="16" t="s">
        <v>578</v>
      </c>
      <c r="D277" s="114" t="s">
        <v>579</v>
      </c>
      <c r="E277" s="116">
        <v>2020.0</v>
      </c>
      <c r="F277" s="114"/>
      <c r="G277" s="116">
        <v>1.0</v>
      </c>
      <c r="H277" s="116">
        <v>35.01</v>
      </c>
      <c r="I277" s="117">
        <v>0.0</v>
      </c>
      <c r="J277" s="116">
        <v>0.0</v>
      </c>
      <c r="K277" s="114"/>
      <c r="L277" s="114"/>
      <c r="M277" s="116">
        <v>8.0</v>
      </c>
      <c r="N277" s="116">
        <v>184.0</v>
      </c>
      <c r="O277" s="114"/>
      <c r="P277" s="140">
        <v>17000.0</v>
      </c>
      <c r="Q277" s="114" t="s">
        <v>234</v>
      </c>
      <c r="R277" s="115">
        <v>2020.0</v>
      </c>
      <c r="S277" s="136">
        <v>0.239</v>
      </c>
      <c r="T277" s="118">
        <f t="shared" si="65"/>
        <v>4063</v>
      </c>
      <c r="U277" s="24">
        <f t="shared" si="3"/>
        <v>116.0525564</v>
      </c>
      <c r="V277" s="3">
        <f t="shared" si="28"/>
        <v>0</v>
      </c>
      <c r="W277" s="3">
        <f t="shared" si="29"/>
        <v>0</v>
      </c>
      <c r="X277" s="3">
        <f t="shared" si="30"/>
        <v>0</v>
      </c>
      <c r="Y277" s="25">
        <f t="shared" si="31"/>
        <v>0</v>
      </c>
      <c r="Z277" s="26">
        <f>VLOOKUP(R277,CPI!$A$2:$F$71,6,0)</f>
        <v>1.244593545</v>
      </c>
      <c r="AA277" s="27">
        <f t="shared" si="8"/>
        <v>5056.783574</v>
      </c>
      <c r="AB277" s="27">
        <f t="shared" si="9"/>
        <v>144.4382626</v>
      </c>
      <c r="AC277" s="72" t="s">
        <v>36</v>
      </c>
      <c r="AD277" s="119" t="s">
        <v>580</v>
      </c>
      <c r="AE277" s="173"/>
      <c r="AF277" s="174"/>
      <c r="AG277" s="174"/>
      <c r="AH277" s="174"/>
    </row>
    <row r="278">
      <c r="A278" s="114" t="s">
        <v>230</v>
      </c>
      <c r="B278" s="114" t="s">
        <v>581</v>
      </c>
      <c r="C278" s="115" t="s">
        <v>87</v>
      </c>
      <c r="D278" s="115" t="s">
        <v>331</v>
      </c>
      <c r="E278" s="114"/>
      <c r="F278" s="116">
        <v>2022.0</v>
      </c>
      <c r="G278" s="116">
        <v>0.0</v>
      </c>
      <c r="H278" s="116">
        <v>21.57</v>
      </c>
      <c r="I278" s="116">
        <v>1.0</v>
      </c>
      <c r="J278" s="116">
        <v>21.6</v>
      </c>
      <c r="K278" s="114"/>
      <c r="L278" s="114"/>
      <c r="M278" s="116">
        <v>13.0</v>
      </c>
      <c r="N278" s="116">
        <v>117.0</v>
      </c>
      <c r="O278" s="114"/>
      <c r="P278" s="116">
        <v>13446.0</v>
      </c>
      <c r="Q278" s="114" t="s">
        <v>234</v>
      </c>
      <c r="R278" s="115">
        <v>2021.0</v>
      </c>
      <c r="S278" s="136">
        <v>0.239</v>
      </c>
      <c r="T278" s="118">
        <f t="shared" si="65"/>
        <v>3213.594</v>
      </c>
      <c r="U278" s="24">
        <f t="shared" si="3"/>
        <v>148.9844228</v>
      </c>
      <c r="V278" s="3">
        <f t="shared" si="28"/>
        <v>0</v>
      </c>
      <c r="W278" s="3">
        <f t="shared" si="29"/>
        <v>0</v>
      </c>
      <c r="X278" s="3">
        <f t="shared" si="30"/>
        <v>0</v>
      </c>
      <c r="Y278" s="25">
        <f t="shared" si="31"/>
        <v>0</v>
      </c>
      <c r="Z278" s="26">
        <f>VLOOKUP(R278,CPI!$A$2:$F$71,6,0)</f>
        <v>1.188745987</v>
      </c>
      <c r="AA278" s="27">
        <f t="shared" si="8"/>
        <v>3820.14697</v>
      </c>
      <c r="AB278" s="27">
        <f t="shared" si="9"/>
        <v>177.1046347</v>
      </c>
      <c r="AC278" s="114"/>
      <c r="AD278" s="119" t="s">
        <v>582</v>
      </c>
      <c r="AE278" s="184" t="s">
        <v>583</v>
      </c>
      <c r="AF278" s="165"/>
      <c r="AG278" s="165"/>
      <c r="AH278" s="165"/>
    </row>
    <row r="279">
      <c r="A279" s="114" t="s">
        <v>230</v>
      </c>
      <c r="B279" s="114" t="s">
        <v>581</v>
      </c>
      <c r="C279" s="114" t="s">
        <v>54</v>
      </c>
      <c r="D279" s="114" t="s">
        <v>54</v>
      </c>
      <c r="E279" s="116">
        <v>2021.0</v>
      </c>
      <c r="F279" s="114"/>
      <c r="G279" s="116">
        <v>0.0</v>
      </c>
      <c r="H279" s="116">
        <v>36.39</v>
      </c>
      <c r="I279" s="117">
        <v>0.95</v>
      </c>
      <c r="J279" s="116">
        <v>34.6</v>
      </c>
      <c r="K279" s="114"/>
      <c r="L279" s="114"/>
      <c r="M279" s="116">
        <v>18.0</v>
      </c>
      <c r="N279" s="116">
        <v>117.0</v>
      </c>
      <c r="O279" s="114"/>
      <c r="P279" s="140">
        <v>22800.0</v>
      </c>
      <c r="Q279" s="114" t="s">
        <v>234</v>
      </c>
      <c r="R279" s="115">
        <v>2021.0</v>
      </c>
      <c r="S279" s="136">
        <v>0.239</v>
      </c>
      <c r="T279" s="118">
        <f t="shared" si="65"/>
        <v>5449.2</v>
      </c>
      <c r="U279" s="24">
        <f t="shared" si="3"/>
        <v>149.7444353</v>
      </c>
      <c r="V279" s="3">
        <f t="shared" si="28"/>
        <v>0</v>
      </c>
      <c r="W279" s="3">
        <f t="shared" si="29"/>
        <v>0</v>
      </c>
      <c r="X279" s="3">
        <f t="shared" si="30"/>
        <v>0</v>
      </c>
      <c r="Y279" s="25">
        <f t="shared" si="31"/>
        <v>0</v>
      </c>
      <c r="Z279" s="26">
        <f>VLOOKUP(R279,CPI!$A$2:$F$71,6,0)</f>
        <v>1.188745987</v>
      </c>
      <c r="AA279" s="27">
        <f t="shared" si="8"/>
        <v>6477.71463</v>
      </c>
      <c r="AB279" s="27">
        <f t="shared" si="9"/>
        <v>178.0080965</v>
      </c>
      <c r="AC279" s="114"/>
      <c r="AD279" s="119" t="s">
        <v>584</v>
      </c>
      <c r="AE279" s="164"/>
      <c r="AF279" s="165"/>
      <c r="AG279" s="165"/>
      <c r="AH279" s="165"/>
    </row>
    <row r="280">
      <c r="A280" s="114" t="s">
        <v>230</v>
      </c>
      <c r="B280" s="114" t="s">
        <v>581</v>
      </c>
      <c r="C280" s="115" t="s">
        <v>110</v>
      </c>
      <c r="D280" s="115" t="s">
        <v>332</v>
      </c>
      <c r="E280" s="116">
        <v>2021.0</v>
      </c>
      <c r="F280" s="114"/>
      <c r="G280" s="116">
        <v>0.0</v>
      </c>
      <c r="H280" s="116">
        <v>40.3</v>
      </c>
      <c r="I280" s="116">
        <v>1.0</v>
      </c>
      <c r="J280" s="116">
        <v>40.3</v>
      </c>
      <c r="K280" s="114"/>
      <c r="L280" s="114"/>
      <c r="M280" s="116">
        <v>33.0</v>
      </c>
      <c r="N280" s="116">
        <v>138.0</v>
      </c>
      <c r="O280" s="114"/>
      <c r="P280" s="116">
        <v>39900.0</v>
      </c>
      <c r="Q280" s="114" t="s">
        <v>234</v>
      </c>
      <c r="R280" s="115">
        <v>2021.0</v>
      </c>
      <c r="S280" s="136">
        <v>0.239000000000001</v>
      </c>
      <c r="T280" s="118">
        <f t="shared" si="65"/>
        <v>9536.1</v>
      </c>
      <c r="U280" s="24">
        <f t="shared" si="3"/>
        <v>236.6277916</v>
      </c>
      <c r="V280" s="3">
        <f t="shared" si="28"/>
        <v>0</v>
      </c>
      <c r="W280" s="3">
        <f t="shared" si="29"/>
        <v>0</v>
      </c>
      <c r="X280" s="3">
        <f t="shared" si="30"/>
        <v>0</v>
      </c>
      <c r="Y280" s="25">
        <f t="shared" si="31"/>
        <v>0</v>
      </c>
      <c r="Z280" s="26">
        <f>VLOOKUP(R280,CPI!$A$2:$F$71,6,0)</f>
        <v>1.188745987</v>
      </c>
      <c r="AA280" s="27">
        <f t="shared" si="8"/>
        <v>11336.0006</v>
      </c>
      <c r="AB280" s="27">
        <f t="shared" si="9"/>
        <v>281.2903375</v>
      </c>
      <c r="AC280" s="114"/>
      <c r="AD280" s="119" t="s">
        <v>585</v>
      </c>
      <c r="AE280" s="173"/>
      <c r="AF280" s="174"/>
      <c r="AG280" s="174"/>
      <c r="AH280" s="174"/>
    </row>
    <row r="281">
      <c r="A281" s="123" t="s">
        <v>230</v>
      </c>
      <c r="B281" s="123" t="s">
        <v>586</v>
      </c>
      <c r="C281" s="36" t="s">
        <v>57</v>
      </c>
      <c r="D281" s="123" t="s">
        <v>587</v>
      </c>
      <c r="E281" s="75">
        <v>2010.0</v>
      </c>
      <c r="F281" s="75">
        <v>2014.0</v>
      </c>
      <c r="G281" s="75">
        <v>0.0</v>
      </c>
      <c r="H281" s="75">
        <v>42.1</v>
      </c>
      <c r="I281" s="124">
        <v>0.6983372922</v>
      </c>
      <c r="J281" s="75">
        <v>29.4</v>
      </c>
      <c r="K281" s="125">
        <v>12.09</v>
      </c>
      <c r="L281" s="125">
        <v>0.961</v>
      </c>
      <c r="M281" s="75">
        <v>31.0</v>
      </c>
      <c r="N281" s="75"/>
      <c r="O281" s="123" t="s">
        <v>60</v>
      </c>
      <c r="P281" s="126">
        <f>231.37*10^2</f>
        <v>23137</v>
      </c>
      <c r="Q281" s="123" t="s">
        <v>234</v>
      </c>
      <c r="R281" s="130">
        <v>2010.0</v>
      </c>
      <c r="S281" s="136">
        <v>0.3</v>
      </c>
      <c r="T281" s="128">
        <f t="shared" si="65"/>
        <v>6941.1</v>
      </c>
      <c r="U281" s="24">
        <f t="shared" si="3"/>
        <v>164.871734</v>
      </c>
      <c r="V281" s="3">
        <f t="shared" si="28"/>
        <v>0</v>
      </c>
      <c r="W281" s="3">
        <f t="shared" si="29"/>
        <v>0</v>
      </c>
      <c r="X281" s="3">
        <f t="shared" si="30"/>
        <v>0</v>
      </c>
      <c r="Y281" s="25">
        <f t="shared" si="31"/>
        <v>0</v>
      </c>
      <c r="Z281" s="26">
        <f>VLOOKUP(R281,CPI!$A$2:$F$71,6,0)</f>
        <v>1.477209983</v>
      </c>
      <c r="AA281" s="27">
        <f t="shared" si="8"/>
        <v>10253.46221</v>
      </c>
      <c r="AB281" s="27">
        <f t="shared" si="9"/>
        <v>243.5501713</v>
      </c>
      <c r="AC281" s="123" t="s">
        <v>42</v>
      </c>
      <c r="AD281" s="129" t="s">
        <v>588</v>
      </c>
      <c r="AE281" s="29"/>
      <c r="AF281" s="30"/>
      <c r="AG281" s="30"/>
      <c r="AH281" s="30"/>
    </row>
    <row r="282">
      <c r="A282" s="130" t="s">
        <v>230</v>
      </c>
      <c r="B282" s="130" t="s">
        <v>586</v>
      </c>
      <c r="C282" s="36" t="s">
        <v>57</v>
      </c>
      <c r="D282" s="130" t="s">
        <v>589</v>
      </c>
      <c r="E282" s="130">
        <v>2013.0</v>
      </c>
      <c r="F282" s="130">
        <v>2015.0</v>
      </c>
      <c r="G282" s="130">
        <v>0.0</v>
      </c>
      <c r="H282" s="130">
        <v>5.2</v>
      </c>
      <c r="I282" s="131"/>
      <c r="J282" s="130"/>
      <c r="K282" s="132" t="e">
        <v>#N/A</v>
      </c>
      <c r="L282" s="132" t="e">
        <v>#N/A</v>
      </c>
      <c r="M282" s="130">
        <v>4.0</v>
      </c>
      <c r="N282" s="138"/>
      <c r="O282" s="130" t="s">
        <v>60</v>
      </c>
      <c r="P282" s="135">
        <v>3306.0</v>
      </c>
      <c r="Q282" s="130" t="s">
        <v>234</v>
      </c>
      <c r="R282" s="130">
        <v>2013.0</v>
      </c>
      <c r="S282" s="136">
        <v>0.273</v>
      </c>
      <c r="T282" s="128">
        <f t="shared" ref="T282:T283" si="66">S282*P282</f>
        <v>902.538</v>
      </c>
      <c r="U282" s="24">
        <f t="shared" si="3"/>
        <v>173.565</v>
      </c>
      <c r="V282" s="3">
        <f t="shared" si="28"/>
        <v>0</v>
      </c>
      <c r="W282" s="3">
        <f t="shared" si="29"/>
        <v>0</v>
      </c>
      <c r="X282" s="3">
        <f t="shared" si="30"/>
        <v>0</v>
      </c>
      <c r="Y282" s="25">
        <f t="shared" si="31"/>
        <v>0</v>
      </c>
      <c r="Z282" s="26">
        <f>VLOOKUP(R282,CPI!$A$2:$F$71,6,0)</f>
        <v>1.382720845</v>
      </c>
      <c r="AA282" s="27">
        <f t="shared" si="8"/>
        <v>1247.958106</v>
      </c>
      <c r="AB282" s="27">
        <f t="shared" si="9"/>
        <v>239.9919435</v>
      </c>
      <c r="AC282" s="130" t="s">
        <v>60</v>
      </c>
      <c r="AD282" s="137" t="s">
        <v>590</v>
      </c>
      <c r="AE282" s="29"/>
      <c r="AF282" s="30"/>
      <c r="AG282" s="30"/>
      <c r="AH282" s="30"/>
    </row>
    <row r="283">
      <c r="A283" s="130" t="s">
        <v>230</v>
      </c>
      <c r="B283" s="130" t="s">
        <v>586</v>
      </c>
      <c r="C283" s="36" t="s">
        <v>57</v>
      </c>
      <c r="D283" s="130" t="s">
        <v>591</v>
      </c>
      <c r="E283" s="130">
        <v>2013.0</v>
      </c>
      <c r="F283" s="130">
        <v>2015.0</v>
      </c>
      <c r="G283" s="130">
        <v>0.0</v>
      </c>
      <c r="H283" s="130">
        <v>7.3</v>
      </c>
      <c r="I283" s="131"/>
      <c r="J283" s="130"/>
      <c r="K283" s="132" t="e">
        <v>#N/A</v>
      </c>
      <c r="L283" s="132" t="e">
        <v>#N/A</v>
      </c>
      <c r="M283" s="130">
        <v>3.0</v>
      </c>
      <c r="N283" s="138"/>
      <c r="O283" s="130" t="s">
        <v>60</v>
      </c>
      <c r="P283" s="135">
        <v>2395.0</v>
      </c>
      <c r="Q283" s="130" t="s">
        <v>234</v>
      </c>
      <c r="R283" s="130">
        <v>2013.0</v>
      </c>
      <c r="S283" s="136">
        <v>0.273</v>
      </c>
      <c r="T283" s="128">
        <f t="shared" si="66"/>
        <v>653.835</v>
      </c>
      <c r="U283" s="24">
        <f t="shared" si="3"/>
        <v>89.56643836</v>
      </c>
      <c r="V283" s="3">
        <f t="shared" si="28"/>
        <v>0</v>
      </c>
      <c r="W283" s="3">
        <f t="shared" si="29"/>
        <v>0</v>
      </c>
      <c r="X283" s="3">
        <f t="shared" si="30"/>
        <v>0</v>
      </c>
      <c r="Y283" s="25">
        <f t="shared" si="31"/>
        <v>0</v>
      </c>
      <c r="Z283" s="26">
        <f>VLOOKUP(R283,CPI!$A$2:$F$71,6,0)</f>
        <v>1.382720845</v>
      </c>
      <c r="AA283" s="27">
        <f t="shared" si="8"/>
        <v>904.071284</v>
      </c>
      <c r="AB283" s="27">
        <f t="shared" si="9"/>
        <v>123.8453814</v>
      </c>
      <c r="AC283" s="130" t="s">
        <v>60</v>
      </c>
      <c r="AD283" s="137" t="s">
        <v>590</v>
      </c>
      <c r="AE283" s="29"/>
      <c r="AF283" s="30"/>
      <c r="AG283" s="30"/>
      <c r="AH283" s="30"/>
    </row>
    <row r="284">
      <c r="A284" s="72" t="s">
        <v>230</v>
      </c>
      <c r="B284" s="72" t="s">
        <v>586</v>
      </c>
      <c r="C284" s="115" t="s">
        <v>87</v>
      </c>
      <c r="D284" s="115" t="s">
        <v>357</v>
      </c>
      <c r="E284" s="69">
        <v>2013.0</v>
      </c>
      <c r="F284" s="69">
        <v>2018.0</v>
      </c>
      <c r="G284" s="69">
        <v>0.0</v>
      </c>
      <c r="H284" s="69">
        <v>4.0</v>
      </c>
      <c r="I284" s="192"/>
      <c r="J284" s="72"/>
      <c r="K284" s="72"/>
      <c r="L284" s="72"/>
      <c r="M284" s="69">
        <v>3.0</v>
      </c>
      <c r="N284" s="69">
        <v>117.0</v>
      </c>
      <c r="O284" s="72"/>
      <c r="P284" s="140">
        <v>2493.0</v>
      </c>
      <c r="Q284" s="72" t="s">
        <v>234</v>
      </c>
      <c r="R284" s="115">
        <v>2016.0</v>
      </c>
      <c r="S284" s="136">
        <v>0.251</v>
      </c>
      <c r="T284" s="118">
        <f>P284*S284</f>
        <v>625.743</v>
      </c>
      <c r="U284" s="24">
        <f t="shared" si="3"/>
        <v>156.43575</v>
      </c>
      <c r="V284" s="3">
        <f t="shared" si="28"/>
        <v>0</v>
      </c>
      <c r="W284" s="3">
        <f t="shared" si="29"/>
        <v>0</v>
      </c>
      <c r="X284" s="3">
        <f t="shared" si="30"/>
        <v>0</v>
      </c>
      <c r="Y284" s="25">
        <f t="shared" si="31"/>
        <v>0</v>
      </c>
      <c r="Z284" s="26">
        <f>VLOOKUP(R284,CPI!$A$2:$F$71,6,0)</f>
        <v>1.342104605</v>
      </c>
      <c r="AA284" s="27">
        <f t="shared" si="8"/>
        <v>839.812562</v>
      </c>
      <c r="AB284" s="27">
        <f t="shared" si="9"/>
        <v>209.9531405</v>
      </c>
      <c r="AC284" s="72"/>
      <c r="AD284" s="79" t="s">
        <v>588</v>
      </c>
      <c r="AE284" s="186"/>
      <c r="AF284" s="187"/>
      <c r="AG284" s="187"/>
      <c r="AH284" s="187"/>
    </row>
    <row r="285">
      <c r="A285" s="130" t="s">
        <v>230</v>
      </c>
      <c r="B285" s="130" t="s">
        <v>586</v>
      </c>
      <c r="C285" s="16" t="s">
        <v>54</v>
      </c>
      <c r="D285" s="130" t="s">
        <v>326</v>
      </c>
      <c r="E285" s="130">
        <v>2017.0</v>
      </c>
      <c r="F285" s="130">
        <v>2019.0</v>
      </c>
      <c r="G285" s="130">
        <v>0.0</v>
      </c>
      <c r="H285" s="130">
        <v>9.2</v>
      </c>
      <c r="I285" s="131">
        <v>1.0</v>
      </c>
      <c r="J285" s="130">
        <v>9.2</v>
      </c>
      <c r="K285" s="132">
        <v>0.0</v>
      </c>
      <c r="L285" s="132">
        <v>0.0</v>
      </c>
      <c r="M285" s="130">
        <v>8.0</v>
      </c>
      <c r="N285" s="138"/>
      <c r="O285" s="130" t="s">
        <v>60</v>
      </c>
      <c r="P285" s="135">
        <v>5326.0</v>
      </c>
      <c r="Q285" s="130" t="s">
        <v>234</v>
      </c>
      <c r="R285" s="130">
        <v>2013.0</v>
      </c>
      <c r="S285" s="136">
        <v>0.273</v>
      </c>
      <c r="T285" s="128">
        <f>S285*P285</f>
        <v>1453.998</v>
      </c>
      <c r="U285" s="24">
        <f t="shared" si="3"/>
        <v>158.0432609</v>
      </c>
      <c r="V285" s="3">
        <f t="shared" si="28"/>
        <v>0</v>
      </c>
      <c r="W285" s="3">
        <f t="shared" si="29"/>
        <v>0</v>
      </c>
      <c r="X285" s="3">
        <f t="shared" si="30"/>
        <v>0</v>
      </c>
      <c r="Y285" s="25">
        <f t="shared" si="31"/>
        <v>0</v>
      </c>
      <c r="Z285" s="26">
        <f>VLOOKUP(R285,CPI!$A$2:$F$71,6,0)</f>
        <v>1.382720845</v>
      </c>
      <c r="AA285" s="27">
        <f t="shared" si="8"/>
        <v>2010.473344</v>
      </c>
      <c r="AB285" s="27">
        <f t="shared" si="9"/>
        <v>218.5297113</v>
      </c>
      <c r="AC285" s="130" t="s">
        <v>60</v>
      </c>
      <c r="AD285" s="137" t="s">
        <v>590</v>
      </c>
      <c r="AE285" s="29"/>
      <c r="AF285" s="30"/>
      <c r="AG285" s="30"/>
      <c r="AH285" s="30"/>
    </row>
    <row r="286">
      <c r="A286" s="114" t="s">
        <v>230</v>
      </c>
      <c r="B286" s="72" t="s">
        <v>586</v>
      </c>
      <c r="C286" s="115" t="s">
        <v>87</v>
      </c>
      <c r="D286" s="115" t="s">
        <v>331</v>
      </c>
      <c r="E286" s="116">
        <v>2017.0</v>
      </c>
      <c r="F286" s="114"/>
      <c r="G286" s="116">
        <v>0.0</v>
      </c>
      <c r="H286" s="116">
        <v>19.5</v>
      </c>
      <c r="I286" s="114"/>
      <c r="J286" s="114"/>
      <c r="K286" s="114"/>
      <c r="L286" s="114"/>
      <c r="M286" s="114"/>
      <c r="N286" s="116">
        <v>117.0</v>
      </c>
      <c r="O286" s="114"/>
      <c r="P286" s="140">
        <v>13057.0</v>
      </c>
      <c r="Q286" s="114" t="s">
        <v>234</v>
      </c>
      <c r="R286" s="115">
        <v>2017.0</v>
      </c>
      <c r="S286" s="85">
        <v>0.239</v>
      </c>
      <c r="T286" s="118">
        <f t="shared" ref="T286:T295" si="67">P286*S286</f>
        <v>3120.623</v>
      </c>
      <c r="U286" s="24">
        <f t="shared" si="3"/>
        <v>160.0319487</v>
      </c>
      <c r="V286" s="3">
        <f t="shared" si="28"/>
        <v>0</v>
      </c>
      <c r="W286" s="3">
        <f t="shared" si="29"/>
        <v>0</v>
      </c>
      <c r="X286" s="3">
        <f t="shared" si="30"/>
        <v>0</v>
      </c>
      <c r="Y286" s="25">
        <f t="shared" si="31"/>
        <v>0</v>
      </c>
      <c r="Z286" s="26">
        <f>VLOOKUP(R286,CPI!$A$2:$F$71,6,0)</f>
        <v>1.314109416</v>
      </c>
      <c r="AA286" s="27">
        <f t="shared" si="8"/>
        <v>4100.840067</v>
      </c>
      <c r="AB286" s="27">
        <f t="shared" si="9"/>
        <v>210.2994906</v>
      </c>
      <c r="AC286" s="114"/>
      <c r="AD286" s="119" t="s">
        <v>588</v>
      </c>
      <c r="AE286" s="164"/>
      <c r="AF286" s="165"/>
      <c r="AG286" s="165"/>
      <c r="AH286" s="165"/>
    </row>
    <row r="287">
      <c r="A287" s="72" t="s">
        <v>230</v>
      </c>
      <c r="B287" s="72" t="s">
        <v>586</v>
      </c>
      <c r="C287" s="115" t="s">
        <v>57</v>
      </c>
      <c r="D287" s="72" t="s">
        <v>592</v>
      </c>
      <c r="E287" s="69">
        <v>2020.0</v>
      </c>
      <c r="F287" s="72"/>
      <c r="G287" s="69">
        <v>0.0</v>
      </c>
      <c r="H287" s="69">
        <v>7.594</v>
      </c>
      <c r="I287" s="117">
        <v>1.0</v>
      </c>
      <c r="J287" s="69">
        <v>7.594</v>
      </c>
      <c r="K287" s="72"/>
      <c r="L287" s="72"/>
      <c r="M287" s="69">
        <v>7.0</v>
      </c>
      <c r="N287" s="69">
        <v>117.0</v>
      </c>
      <c r="O287" s="72"/>
      <c r="P287" s="140">
        <v>8940.0</v>
      </c>
      <c r="Q287" s="72" t="s">
        <v>234</v>
      </c>
      <c r="R287" s="115">
        <v>2020.0</v>
      </c>
      <c r="S287" s="136">
        <v>0.239</v>
      </c>
      <c r="T287" s="118">
        <f t="shared" si="67"/>
        <v>2136.66</v>
      </c>
      <c r="U287" s="24">
        <f t="shared" si="3"/>
        <v>281.3616013</v>
      </c>
      <c r="V287" s="3">
        <f t="shared" si="28"/>
        <v>0</v>
      </c>
      <c r="W287" s="3">
        <f t="shared" si="29"/>
        <v>0</v>
      </c>
      <c r="X287" s="3">
        <f t="shared" si="30"/>
        <v>0</v>
      </c>
      <c r="Y287" s="25">
        <f t="shared" si="31"/>
        <v>0</v>
      </c>
      <c r="Z287" s="26">
        <f>VLOOKUP(R287,CPI!$A$2:$F$71,6,0)</f>
        <v>1.244593545</v>
      </c>
      <c r="AA287" s="27">
        <f t="shared" si="8"/>
        <v>2659.273244</v>
      </c>
      <c r="AB287" s="27">
        <f t="shared" si="9"/>
        <v>350.1808328</v>
      </c>
      <c r="AC287" s="72" t="s">
        <v>36</v>
      </c>
      <c r="AD287" s="79" t="s">
        <v>593</v>
      </c>
      <c r="AE287" s="186"/>
      <c r="AF287" s="187"/>
      <c r="AG287" s="187"/>
      <c r="AH287" s="187"/>
    </row>
    <row r="288">
      <c r="A288" s="72" t="s">
        <v>230</v>
      </c>
      <c r="B288" s="72" t="s">
        <v>586</v>
      </c>
      <c r="C288" s="72" t="s">
        <v>110</v>
      </c>
      <c r="D288" s="72" t="s">
        <v>110</v>
      </c>
      <c r="E288" s="69">
        <v>2020.0</v>
      </c>
      <c r="F288" s="72"/>
      <c r="G288" s="69">
        <v>0.0</v>
      </c>
      <c r="H288" s="69">
        <v>43.5</v>
      </c>
      <c r="I288" s="117">
        <v>1.0</v>
      </c>
      <c r="J288" s="69">
        <v>43.5</v>
      </c>
      <c r="K288" s="72"/>
      <c r="L288" s="72"/>
      <c r="M288" s="69">
        <v>26.0</v>
      </c>
      <c r="N288" s="69">
        <v>117.0</v>
      </c>
      <c r="O288" s="72"/>
      <c r="P288" s="140">
        <v>30302.0</v>
      </c>
      <c r="Q288" s="72" t="s">
        <v>234</v>
      </c>
      <c r="R288" s="115">
        <v>2020.0</v>
      </c>
      <c r="S288" s="136">
        <v>0.239</v>
      </c>
      <c r="T288" s="118">
        <f t="shared" si="67"/>
        <v>7242.178</v>
      </c>
      <c r="U288" s="24">
        <f t="shared" si="3"/>
        <v>166.4868506</v>
      </c>
      <c r="V288" s="3">
        <f t="shared" si="28"/>
        <v>0</v>
      </c>
      <c r="W288" s="3">
        <f t="shared" si="29"/>
        <v>0</v>
      </c>
      <c r="X288" s="3">
        <f t="shared" si="30"/>
        <v>0</v>
      </c>
      <c r="Y288" s="25">
        <f t="shared" si="31"/>
        <v>0</v>
      </c>
      <c r="Z288" s="26">
        <f>VLOOKUP(R288,CPI!$A$2:$F$71,6,0)</f>
        <v>1.244593545</v>
      </c>
      <c r="AA288" s="27">
        <f t="shared" si="8"/>
        <v>9013.567991</v>
      </c>
      <c r="AB288" s="27">
        <f t="shared" si="9"/>
        <v>207.2084596</v>
      </c>
      <c r="AC288" s="72"/>
      <c r="AD288" s="79" t="s">
        <v>588</v>
      </c>
      <c r="AE288" s="186"/>
      <c r="AF288" s="187"/>
      <c r="AG288" s="187"/>
      <c r="AH288" s="187"/>
    </row>
    <row r="289">
      <c r="A289" s="72" t="s">
        <v>230</v>
      </c>
      <c r="B289" s="72" t="s">
        <v>586</v>
      </c>
      <c r="C289" s="72" t="s">
        <v>84</v>
      </c>
      <c r="D289" s="72" t="s">
        <v>84</v>
      </c>
      <c r="E289" s="69">
        <v>2020.0</v>
      </c>
      <c r="F289" s="72"/>
      <c r="G289" s="69">
        <v>0.0</v>
      </c>
      <c r="H289" s="69">
        <v>26.45</v>
      </c>
      <c r="I289" s="117">
        <v>1.0</v>
      </c>
      <c r="J289" s="69">
        <v>26.45</v>
      </c>
      <c r="K289" s="72"/>
      <c r="L289" s="72"/>
      <c r="M289" s="69">
        <v>22.0</v>
      </c>
      <c r="N289" s="69">
        <v>117.0</v>
      </c>
      <c r="O289" s="72"/>
      <c r="P289" s="140">
        <v>22848.0</v>
      </c>
      <c r="Q289" s="72" t="s">
        <v>234</v>
      </c>
      <c r="R289" s="115">
        <v>2020.0</v>
      </c>
      <c r="S289" s="136">
        <v>0.239</v>
      </c>
      <c r="T289" s="118">
        <f t="shared" si="67"/>
        <v>5460.672</v>
      </c>
      <c r="U289" s="24">
        <f t="shared" si="3"/>
        <v>206.4526276</v>
      </c>
      <c r="V289" s="3">
        <f t="shared" si="28"/>
        <v>0</v>
      </c>
      <c r="W289" s="3">
        <f t="shared" si="29"/>
        <v>0</v>
      </c>
      <c r="X289" s="3">
        <f t="shared" si="30"/>
        <v>0</v>
      </c>
      <c r="Y289" s="25">
        <f t="shared" si="31"/>
        <v>0</v>
      </c>
      <c r="Z289" s="26">
        <f>VLOOKUP(R289,CPI!$A$2:$F$71,6,0)</f>
        <v>1.244593545</v>
      </c>
      <c r="AA289" s="27">
        <f t="shared" si="8"/>
        <v>6796.317123</v>
      </c>
      <c r="AB289" s="27">
        <f t="shared" si="9"/>
        <v>256.9496077</v>
      </c>
      <c r="AC289" s="72"/>
      <c r="AD289" s="79" t="s">
        <v>588</v>
      </c>
      <c r="AE289" s="186"/>
      <c r="AF289" s="187"/>
      <c r="AG289" s="187"/>
      <c r="AH289" s="187"/>
    </row>
    <row r="290">
      <c r="A290" s="72" t="s">
        <v>230</v>
      </c>
      <c r="B290" s="72" t="s">
        <v>586</v>
      </c>
      <c r="C290" s="72" t="s">
        <v>80</v>
      </c>
      <c r="D290" s="72" t="s">
        <v>80</v>
      </c>
      <c r="E290" s="69">
        <v>2020.0</v>
      </c>
      <c r="F290" s="72"/>
      <c r="G290" s="69">
        <v>0.0</v>
      </c>
      <c r="H290" s="69">
        <v>25.61</v>
      </c>
      <c r="I290" s="117">
        <v>0.59</v>
      </c>
      <c r="J290" s="69">
        <v>15.01</v>
      </c>
      <c r="K290" s="72"/>
      <c r="L290" s="72"/>
      <c r="M290" s="69">
        <v>8.0</v>
      </c>
      <c r="N290" s="69">
        <v>117.0</v>
      </c>
      <c r="O290" s="72"/>
      <c r="P290" s="140">
        <v>14171.0</v>
      </c>
      <c r="Q290" s="72" t="s">
        <v>234</v>
      </c>
      <c r="R290" s="115">
        <v>2020.0</v>
      </c>
      <c r="S290" s="136">
        <v>0.239</v>
      </c>
      <c r="T290" s="118">
        <f t="shared" si="67"/>
        <v>3386.869</v>
      </c>
      <c r="U290" s="24">
        <f t="shared" si="3"/>
        <v>132.247911</v>
      </c>
      <c r="V290" s="3">
        <f t="shared" si="28"/>
        <v>0</v>
      </c>
      <c r="W290" s="3">
        <f t="shared" si="29"/>
        <v>0</v>
      </c>
      <c r="X290" s="3">
        <f t="shared" si="30"/>
        <v>0</v>
      </c>
      <c r="Y290" s="25">
        <f t="shared" si="31"/>
        <v>0</v>
      </c>
      <c r="Z290" s="26">
        <f>VLOOKUP(R290,CPI!$A$2:$F$71,6,0)</f>
        <v>1.244593545</v>
      </c>
      <c r="AA290" s="27">
        <f t="shared" si="8"/>
        <v>4215.275295</v>
      </c>
      <c r="AB290" s="27">
        <f t="shared" si="9"/>
        <v>164.5948963</v>
      </c>
      <c r="AC290" s="72"/>
      <c r="AD290" s="79" t="s">
        <v>588</v>
      </c>
      <c r="AE290" s="205" t="s">
        <v>594</v>
      </c>
      <c r="AF290" s="168"/>
      <c r="AG290" s="168"/>
      <c r="AH290" s="169"/>
    </row>
    <row r="291">
      <c r="A291" s="72" t="s">
        <v>230</v>
      </c>
      <c r="B291" s="72" t="s">
        <v>595</v>
      </c>
      <c r="C291" s="16" t="s">
        <v>57</v>
      </c>
      <c r="D291" s="115" t="s">
        <v>232</v>
      </c>
      <c r="E291" s="72"/>
      <c r="F291" s="70">
        <v>2019.0</v>
      </c>
      <c r="G291" s="69">
        <v>0.0</v>
      </c>
      <c r="H291" s="69">
        <v>25.9</v>
      </c>
      <c r="I291" s="117">
        <v>1.0</v>
      </c>
      <c r="J291" s="193">
        <v>25.9</v>
      </c>
      <c r="K291" s="72"/>
      <c r="L291" s="72"/>
      <c r="M291" s="69">
        <v>20.0</v>
      </c>
      <c r="N291" s="70">
        <v>138.0</v>
      </c>
      <c r="O291" s="72"/>
      <c r="P291" s="140">
        <v>19816.0</v>
      </c>
      <c r="Q291" s="72" t="s">
        <v>234</v>
      </c>
      <c r="R291" s="115">
        <v>2019.0</v>
      </c>
      <c r="S291" s="136">
        <v>0.238</v>
      </c>
      <c r="T291" s="118">
        <f t="shared" si="67"/>
        <v>4716.208</v>
      </c>
      <c r="U291" s="24">
        <f t="shared" si="3"/>
        <v>182.092973</v>
      </c>
      <c r="V291" s="3">
        <f t="shared" si="28"/>
        <v>0</v>
      </c>
      <c r="W291" s="3">
        <f t="shared" si="29"/>
        <v>0</v>
      </c>
      <c r="X291" s="3">
        <f t="shared" si="30"/>
        <v>0</v>
      </c>
      <c r="Y291" s="25">
        <f t="shared" si="31"/>
        <v>0</v>
      </c>
      <c r="Z291" s="26">
        <f>VLOOKUP(R291,CPI!$A$2:$F$71,6,0)</f>
        <v>1.259947899</v>
      </c>
      <c r="AA291" s="27">
        <f t="shared" si="8"/>
        <v>5942.176361</v>
      </c>
      <c r="AB291" s="27">
        <f t="shared" si="9"/>
        <v>229.4276587</v>
      </c>
      <c r="AC291" s="72" t="s">
        <v>36</v>
      </c>
      <c r="AD291" s="79" t="s">
        <v>596</v>
      </c>
      <c r="AE291" s="186"/>
      <c r="AF291" s="187"/>
      <c r="AG291" s="187"/>
      <c r="AH291" s="187"/>
    </row>
    <row r="292">
      <c r="A292" s="114" t="s">
        <v>230</v>
      </c>
      <c r="B292" s="72" t="s">
        <v>595</v>
      </c>
      <c r="C292" s="115" t="s">
        <v>110</v>
      </c>
      <c r="D292" s="115" t="s">
        <v>332</v>
      </c>
      <c r="E292" s="116">
        <v>2019.0</v>
      </c>
      <c r="F292" s="114"/>
      <c r="G292" s="116">
        <v>0.0</v>
      </c>
      <c r="H292" s="116">
        <v>26.8</v>
      </c>
      <c r="I292" s="117">
        <v>0.6</v>
      </c>
      <c r="J292" s="116">
        <v>16.0</v>
      </c>
      <c r="K292" s="114"/>
      <c r="L292" s="114"/>
      <c r="M292" s="116">
        <v>11.0</v>
      </c>
      <c r="N292" s="116"/>
      <c r="O292" s="114"/>
      <c r="P292" s="140">
        <v>17062.0</v>
      </c>
      <c r="Q292" s="114" t="s">
        <v>234</v>
      </c>
      <c r="R292" s="115">
        <v>2019.0</v>
      </c>
      <c r="S292" s="136">
        <v>0.238</v>
      </c>
      <c r="T292" s="118">
        <f t="shared" si="67"/>
        <v>4060.756</v>
      </c>
      <c r="U292" s="24">
        <f t="shared" si="3"/>
        <v>151.5207463</v>
      </c>
      <c r="V292" s="3">
        <f t="shared" si="28"/>
        <v>0</v>
      </c>
      <c r="W292" s="3">
        <f t="shared" si="29"/>
        <v>0</v>
      </c>
      <c r="X292" s="3">
        <f t="shared" si="30"/>
        <v>0</v>
      </c>
      <c r="Y292" s="25">
        <f t="shared" si="31"/>
        <v>0</v>
      </c>
      <c r="Z292" s="26">
        <f>VLOOKUP(R292,CPI!$A$2:$F$71,6,0)</f>
        <v>1.259947899</v>
      </c>
      <c r="AA292" s="27">
        <f t="shared" si="8"/>
        <v>5116.34099</v>
      </c>
      <c r="AB292" s="27">
        <f t="shared" si="9"/>
        <v>190.9082459</v>
      </c>
      <c r="AC292" s="114"/>
      <c r="AD292" s="119" t="s">
        <v>597</v>
      </c>
      <c r="AE292" s="164"/>
      <c r="AF292" s="165"/>
      <c r="AG292" s="165"/>
      <c r="AH292" s="165"/>
    </row>
    <row r="293">
      <c r="A293" s="72" t="s">
        <v>230</v>
      </c>
      <c r="B293" s="72" t="s">
        <v>595</v>
      </c>
      <c r="C293" s="16" t="s">
        <v>54</v>
      </c>
      <c r="D293" s="115" t="s">
        <v>348</v>
      </c>
      <c r="E293" s="69">
        <v>2021.0</v>
      </c>
      <c r="F293" s="72"/>
      <c r="G293" s="69">
        <v>0.0</v>
      </c>
      <c r="H293" s="69">
        <v>9.6</v>
      </c>
      <c r="I293" s="117">
        <v>1.0</v>
      </c>
      <c r="J293" s="193">
        <v>9.6</v>
      </c>
      <c r="K293" s="72"/>
      <c r="L293" s="72"/>
      <c r="M293" s="69">
        <v>9.0</v>
      </c>
      <c r="N293" s="69">
        <v>138.0</v>
      </c>
      <c r="O293" s="72"/>
      <c r="P293" s="140">
        <v>8960.0</v>
      </c>
      <c r="Q293" s="72" t="s">
        <v>234</v>
      </c>
      <c r="R293" s="115">
        <v>2021.0</v>
      </c>
      <c r="S293" s="136">
        <v>0.239</v>
      </c>
      <c r="T293" s="118">
        <f t="shared" si="67"/>
        <v>2141.44</v>
      </c>
      <c r="U293" s="24">
        <f t="shared" si="3"/>
        <v>223.0666667</v>
      </c>
      <c r="V293" s="3">
        <f t="shared" si="28"/>
        <v>0</v>
      </c>
      <c r="W293" s="3">
        <f t="shared" si="29"/>
        <v>0</v>
      </c>
      <c r="X293" s="3">
        <f t="shared" si="30"/>
        <v>0</v>
      </c>
      <c r="Y293" s="25">
        <f t="shared" si="31"/>
        <v>0</v>
      </c>
      <c r="Z293" s="26">
        <f>VLOOKUP(R293,CPI!$A$2:$F$71,6,0)</f>
        <v>1.188745987</v>
      </c>
      <c r="AA293" s="27">
        <f t="shared" si="8"/>
        <v>2545.628206</v>
      </c>
      <c r="AB293" s="27">
        <f t="shared" si="9"/>
        <v>265.1696048</v>
      </c>
      <c r="AC293" s="72" t="s">
        <v>36</v>
      </c>
      <c r="AD293" s="79" t="s">
        <v>598</v>
      </c>
      <c r="AE293" s="186"/>
      <c r="AF293" s="187"/>
      <c r="AG293" s="187"/>
      <c r="AH293" s="187"/>
    </row>
    <row r="294">
      <c r="A294" s="114" t="s">
        <v>230</v>
      </c>
      <c r="B294" s="114" t="s">
        <v>599</v>
      </c>
      <c r="C294" s="114" t="s">
        <v>54</v>
      </c>
      <c r="D294" s="114" t="s">
        <v>54</v>
      </c>
      <c r="E294" s="116">
        <v>2022.0</v>
      </c>
      <c r="F294" s="114"/>
      <c r="G294" s="116">
        <v>0.0</v>
      </c>
      <c r="H294" s="116">
        <v>18.216</v>
      </c>
      <c r="I294" s="117">
        <v>1.0</v>
      </c>
      <c r="J294" s="116">
        <v>18.216</v>
      </c>
      <c r="K294" s="114"/>
      <c r="L294" s="114"/>
      <c r="M294" s="116">
        <v>15.0</v>
      </c>
      <c r="N294" s="116">
        <v>117.0</v>
      </c>
      <c r="O294" s="114"/>
      <c r="P294" s="140">
        <v>14832.21</v>
      </c>
      <c r="Q294" s="114" t="s">
        <v>234</v>
      </c>
      <c r="R294" s="115">
        <v>2021.0</v>
      </c>
      <c r="S294" s="136">
        <v>0.239000000000001</v>
      </c>
      <c r="T294" s="118">
        <f t="shared" si="67"/>
        <v>3544.89819</v>
      </c>
      <c r="U294" s="24">
        <f t="shared" si="3"/>
        <v>194.6035458</v>
      </c>
      <c r="V294" s="3">
        <f t="shared" si="28"/>
        <v>0</v>
      </c>
      <c r="W294" s="3">
        <f t="shared" si="29"/>
        <v>0</v>
      </c>
      <c r="X294" s="3">
        <f t="shared" si="30"/>
        <v>0</v>
      </c>
      <c r="Y294" s="25">
        <f t="shared" si="31"/>
        <v>0</v>
      </c>
      <c r="Z294" s="26">
        <f>VLOOKUP(R294,CPI!$A$2:$F$71,6,0)</f>
        <v>1.188745987</v>
      </c>
      <c r="AA294" s="27">
        <f t="shared" si="8"/>
        <v>4213.983496</v>
      </c>
      <c r="AB294" s="27">
        <f t="shared" si="9"/>
        <v>231.334184</v>
      </c>
      <c r="AC294" s="114"/>
      <c r="AD294" s="119" t="s">
        <v>600</v>
      </c>
      <c r="AE294" s="164"/>
      <c r="AF294" s="165"/>
      <c r="AG294" s="165"/>
      <c r="AH294" s="165"/>
    </row>
    <row r="295">
      <c r="A295" s="66" t="s">
        <v>230</v>
      </c>
      <c r="B295" s="114" t="s">
        <v>601</v>
      </c>
      <c r="C295" s="16" t="s">
        <v>34</v>
      </c>
      <c r="D295" s="114" t="s">
        <v>602</v>
      </c>
      <c r="E295" s="116">
        <v>2009.0</v>
      </c>
      <c r="F295" s="116">
        <v>2016.0</v>
      </c>
      <c r="G295" s="116">
        <v>0.0</v>
      </c>
      <c r="H295" s="116">
        <v>50.6</v>
      </c>
      <c r="I295" s="117">
        <v>1.0</v>
      </c>
      <c r="J295" s="116">
        <v>50.6</v>
      </c>
      <c r="K295" s="114"/>
      <c r="L295" s="114"/>
      <c r="M295" s="116">
        <v>50.0</v>
      </c>
      <c r="N295" s="116">
        <v>117.0</v>
      </c>
      <c r="O295" s="114"/>
      <c r="P295" s="140">
        <v>27440.0</v>
      </c>
      <c r="Q295" s="114" t="s">
        <v>234</v>
      </c>
      <c r="R295" s="115">
        <v>2013.0</v>
      </c>
      <c r="S295" s="85">
        <v>0.273</v>
      </c>
      <c r="T295" s="118">
        <f t="shared" si="67"/>
        <v>7491.12</v>
      </c>
      <c r="U295" s="24">
        <f t="shared" si="3"/>
        <v>148.0458498</v>
      </c>
      <c r="V295" s="3">
        <f t="shared" si="28"/>
        <v>0</v>
      </c>
      <c r="W295" s="3">
        <f t="shared" si="29"/>
        <v>0</v>
      </c>
      <c r="X295" s="3">
        <f t="shared" si="30"/>
        <v>0</v>
      </c>
      <c r="Y295" s="25">
        <f t="shared" si="31"/>
        <v>0</v>
      </c>
      <c r="Z295" s="26">
        <f>VLOOKUP(R295,CPI!$A$2:$F$71,6,0)</f>
        <v>1.382720845</v>
      </c>
      <c r="AA295" s="27">
        <f t="shared" si="8"/>
        <v>10358.12778</v>
      </c>
      <c r="AB295" s="27">
        <f t="shared" si="9"/>
        <v>204.7060826</v>
      </c>
      <c r="AC295" s="114"/>
      <c r="AD295" s="161" t="s">
        <v>603</v>
      </c>
      <c r="AE295" s="164"/>
      <c r="AF295" s="165"/>
      <c r="AG295" s="165"/>
      <c r="AH295" s="165"/>
    </row>
    <row r="296">
      <c r="A296" s="130" t="s">
        <v>230</v>
      </c>
      <c r="B296" s="130" t="s">
        <v>601</v>
      </c>
      <c r="C296" s="36" t="s">
        <v>54</v>
      </c>
      <c r="D296" s="130" t="s">
        <v>313</v>
      </c>
      <c r="E296" s="130">
        <v>2015.0</v>
      </c>
      <c r="F296" s="130">
        <v>2018.0</v>
      </c>
      <c r="G296" s="130">
        <v>0.0</v>
      </c>
      <c r="H296" s="130">
        <v>8.5</v>
      </c>
      <c r="I296" s="131">
        <v>1.0</v>
      </c>
      <c r="J296" s="130">
        <v>8.5</v>
      </c>
      <c r="K296" s="132">
        <v>0.0</v>
      </c>
      <c r="L296" s="132">
        <v>0.0</v>
      </c>
      <c r="M296" s="130">
        <v>7.0</v>
      </c>
      <c r="N296" s="138"/>
      <c r="O296" s="130" t="s">
        <v>60</v>
      </c>
      <c r="P296" s="135">
        <v>3930.0</v>
      </c>
      <c r="Q296" s="130" t="s">
        <v>234</v>
      </c>
      <c r="R296" s="130">
        <v>2015.0</v>
      </c>
      <c r="S296" s="136">
        <v>0.258</v>
      </c>
      <c r="T296" s="128">
        <f>S296*P296</f>
        <v>1013.94</v>
      </c>
      <c r="U296" s="24">
        <f t="shared" si="3"/>
        <v>119.2870588</v>
      </c>
      <c r="V296" s="3">
        <f t="shared" si="28"/>
        <v>0</v>
      </c>
      <c r="W296" s="3">
        <f t="shared" si="29"/>
        <v>0</v>
      </c>
      <c r="X296" s="3">
        <f t="shared" si="30"/>
        <v>0</v>
      </c>
      <c r="Y296" s="25">
        <f t="shared" si="31"/>
        <v>0</v>
      </c>
      <c r="Z296" s="26">
        <f>VLOOKUP(R296,CPI!$A$2:$F$71,6,0)</f>
        <v>1.359035428</v>
      </c>
      <c r="AA296" s="27">
        <f t="shared" si="8"/>
        <v>1377.980382</v>
      </c>
      <c r="AB296" s="27">
        <f t="shared" si="9"/>
        <v>162.115339</v>
      </c>
      <c r="AC296" s="130" t="s">
        <v>60</v>
      </c>
      <c r="AD296" s="137" t="s">
        <v>604</v>
      </c>
      <c r="AE296" s="34"/>
      <c r="AF296" s="34"/>
      <c r="AG296" s="34"/>
      <c r="AH296" s="34"/>
    </row>
    <row r="297">
      <c r="A297" s="123" t="s">
        <v>230</v>
      </c>
      <c r="B297" s="123" t="s">
        <v>601</v>
      </c>
      <c r="C297" s="16" t="s">
        <v>110</v>
      </c>
      <c r="D297" s="123" t="s">
        <v>332</v>
      </c>
      <c r="E297" s="75">
        <v>2016.0</v>
      </c>
      <c r="F297" s="75">
        <v>2021.0</v>
      </c>
      <c r="G297" s="75">
        <v>0.0</v>
      </c>
      <c r="H297" s="75">
        <v>38.2</v>
      </c>
      <c r="I297" s="124">
        <v>0.8429319372</v>
      </c>
      <c r="J297" s="75">
        <v>32.2</v>
      </c>
      <c r="K297" s="125">
        <v>0.0</v>
      </c>
      <c r="L297" s="125">
        <v>0.0</v>
      </c>
      <c r="M297" s="75">
        <v>29.0</v>
      </c>
      <c r="N297" s="75"/>
      <c r="O297" s="123" t="s">
        <v>60</v>
      </c>
      <c r="P297" s="126">
        <v>28650.0</v>
      </c>
      <c r="Q297" s="123" t="s">
        <v>234</v>
      </c>
      <c r="R297" s="75">
        <v>2015.0</v>
      </c>
      <c r="S297" s="136">
        <v>0.258</v>
      </c>
      <c r="T297" s="128">
        <f>P297*S297</f>
        <v>7391.7</v>
      </c>
      <c r="U297" s="24">
        <f t="shared" si="3"/>
        <v>193.5</v>
      </c>
      <c r="V297" s="3">
        <f t="shared" si="28"/>
        <v>0</v>
      </c>
      <c r="W297" s="3">
        <f t="shared" si="29"/>
        <v>0</v>
      </c>
      <c r="X297" s="3">
        <f t="shared" si="30"/>
        <v>0</v>
      </c>
      <c r="Y297" s="25">
        <f t="shared" si="31"/>
        <v>0</v>
      </c>
      <c r="Z297" s="26">
        <f>VLOOKUP(R297,CPI!$A$2:$F$71,6,0)</f>
        <v>1.359035428</v>
      </c>
      <c r="AA297" s="27">
        <f t="shared" si="8"/>
        <v>10045.58217</v>
      </c>
      <c r="AB297" s="27">
        <f t="shared" si="9"/>
        <v>262.9733553</v>
      </c>
      <c r="AC297" s="123" t="s">
        <v>60</v>
      </c>
      <c r="AD297" s="129" t="s">
        <v>604</v>
      </c>
      <c r="AE297" s="29"/>
      <c r="AF297" s="30"/>
      <c r="AG297" s="30"/>
      <c r="AH297" s="30"/>
    </row>
    <row r="298">
      <c r="A298" s="130" t="s">
        <v>230</v>
      </c>
      <c r="B298" s="130" t="s">
        <v>601</v>
      </c>
      <c r="C298" s="36" t="s">
        <v>57</v>
      </c>
      <c r="D298" s="130" t="s">
        <v>605</v>
      </c>
      <c r="E298" s="130">
        <v>2018.0</v>
      </c>
      <c r="F298" s="130">
        <v>2021.0</v>
      </c>
      <c r="G298" s="130">
        <v>0.0</v>
      </c>
      <c r="H298" s="130">
        <v>4.1</v>
      </c>
      <c r="I298" s="131">
        <v>1.0</v>
      </c>
      <c r="J298" s="130">
        <v>4.1</v>
      </c>
      <c r="K298" s="132">
        <v>0.0</v>
      </c>
      <c r="L298" s="132">
        <v>0.0</v>
      </c>
      <c r="M298" s="130">
        <v>2.0</v>
      </c>
      <c r="N298" s="138"/>
      <c r="O298" s="130" t="s">
        <v>60</v>
      </c>
      <c r="P298" s="135">
        <v>2040.0</v>
      </c>
      <c r="Q298" s="130" t="s">
        <v>234</v>
      </c>
      <c r="R298" s="130">
        <v>2015.0</v>
      </c>
      <c r="S298" s="136">
        <v>0.258</v>
      </c>
      <c r="T298" s="128">
        <f>S298*P298</f>
        <v>526.32</v>
      </c>
      <c r="U298" s="24">
        <f t="shared" si="3"/>
        <v>128.3707317</v>
      </c>
      <c r="V298" s="3">
        <f t="shared" si="28"/>
        <v>0</v>
      </c>
      <c r="W298" s="3">
        <f t="shared" si="29"/>
        <v>0</v>
      </c>
      <c r="X298" s="3">
        <f t="shared" si="30"/>
        <v>0</v>
      </c>
      <c r="Y298" s="25">
        <f t="shared" si="31"/>
        <v>0</v>
      </c>
      <c r="Z298" s="26">
        <f>VLOOKUP(R298,CPI!$A$2:$F$71,6,0)</f>
        <v>1.359035428</v>
      </c>
      <c r="AA298" s="27">
        <f t="shared" si="8"/>
        <v>715.2875264</v>
      </c>
      <c r="AB298" s="27">
        <f t="shared" si="9"/>
        <v>174.4603723</v>
      </c>
      <c r="AC298" s="130" t="s">
        <v>60</v>
      </c>
      <c r="AD298" s="137" t="s">
        <v>604</v>
      </c>
      <c r="AE298" s="29"/>
      <c r="AF298" s="30"/>
      <c r="AG298" s="30"/>
      <c r="AH298" s="30"/>
    </row>
    <row r="299">
      <c r="A299" s="72" t="s">
        <v>230</v>
      </c>
      <c r="B299" s="72" t="s">
        <v>601</v>
      </c>
      <c r="C299" s="72" t="s">
        <v>87</v>
      </c>
      <c r="D299" s="72" t="s">
        <v>87</v>
      </c>
      <c r="E299" s="72"/>
      <c r="F299" s="69">
        <v>2021.0</v>
      </c>
      <c r="G299" s="69">
        <v>0.0</v>
      </c>
      <c r="H299" s="69">
        <v>28.5</v>
      </c>
      <c r="I299" s="117">
        <v>1.0</v>
      </c>
      <c r="J299" s="69">
        <v>28.5</v>
      </c>
      <c r="K299" s="72"/>
      <c r="L299" s="72"/>
      <c r="M299" s="69">
        <v>22.0</v>
      </c>
      <c r="N299" s="69">
        <v>117.0</v>
      </c>
      <c r="O299" s="72"/>
      <c r="P299" s="140">
        <v>22347.0</v>
      </c>
      <c r="Q299" s="72" t="s">
        <v>234</v>
      </c>
      <c r="R299" s="115">
        <v>2021.0</v>
      </c>
      <c r="S299" s="136">
        <v>0.239</v>
      </c>
      <c r="T299" s="118">
        <f t="shared" ref="T299:T304" si="68">P299*S299</f>
        <v>5340.933</v>
      </c>
      <c r="U299" s="24">
        <f t="shared" si="3"/>
        <v>187.4011579</v>
      </c>
      <c r="V299" s="3">
        <f t="shared" si="28"/>
        <v>0</v>
      </c>
      <c r="W299" s="3">
        <f t="shared" si="29"/>
        <v>0</v>
      </c>
      <c r="X299" s="3">
        <f t="shared" si="30"/>
        <v>0</v>
      </c>
      <c r="Y299" s="25">
        <f t="shared" si="31"/>
        <v>0</v>
      </c>
      <c r="Z299" s="26">
        <f>VLOOKUP(R299,CPI!$A$2:$F$71,6,0)</f>
        <v>1.188745987</v>
      </c>
      <c r="AA299" s="27">
        <f t="shared" si="8"/>
        <v>6349.012669</v>
      </c>
      <c r="AB299" s="27">
        <f t="shared" si="9"/>
        <v>222.7723743</v>
      </c>
      <c r="AC299" s="72" t="s">
        <v>36</v>
      </c>
      <c r="AD299" s="79" t="s">
        <v>606</v>
      </c>
      <c r="AE299" s="186"/>
      <c r="AF299" s="187"/>
      <c r="AG299" s="187"/>
      <c r="AH299" s="187"/>
    </row>
    <row r="300">
      <c r="A300" s="66" t="s">
        <v>230</v>
      </c>
      <c r="B300" s="114" t="s">
        <v>601</v>
      </c>
      <c r="C300" s="115" t="s">
        <v>57</v>
      </c>
      <c r="D300" s="114" t="s">
        <v>333</v>
      </c>
      <c r="E300" s="116">
        <v>2021.0</v>
      </c>
      <c r="F300" s="114"/>
      <c r="G300" s="116">
        <v>0.0</v>
      </c>
      <c r="H300" s="116">
        <v>16.973</v>
      </c>
      <c r="I300" s="117">
        <v>0.8</v>
      </c>
      <c r="J300" s="116">
        <v>13.528</v>
      </c>
      <c r="K300" s="114"/>
      <c r="L300" s="114"/>
      <c r="M300" s="116">
        <v>8.0</v>
      </c>
      <c r="N300" s="116">
        <v>117.0</v>
      </c>
      <c r="O300" s="114"/>
      <c r="P300" s="140">
        <v>10341.0</v>
      </c>
      <c r="Q300" s="114" t="s">
        <v>234</v>
      </c>
      <c r="R300" s="115">
        <v>2021.0</v>
      </c>
      <c r="S300" s="136">
        <v>0.239000000000001</v>
      </c>
      <c r="T300" s="118">
        <f t="shared" si="68"/>
        <v>2471.499</v>
      </c>
      <c r="U300" s="24">
        <f t="shared" si="3"/>
        <v>145.6135627</v>
      </c>
      <c r="V300" s="3">
        <f t="shared" si="28"/>
        <v>0</v>
      </c>
      <c r="W300" s="3">
        <f t="shared" si="29"/>
        <v>0</v>
      </c>
      <c r="X300" s="3">
        <f t="shared" si="30"/>
        <v>0</v>
      </c>
      <c r="Y300" s="25">
        <f t="shared" si="31"/>
        <v>0</v>
      </c>
      <c r="Z300" s="26">
        <f>VLOOKUP(R300,CPI!$A$2:$F$71,6,0)</f>
        <v>1.188745987</v>
      </c>
      <c r="AA300" s="27">
        <f t="shared" si="8"/>
        <v>2937.984517</v>
      </c>
      <c r="AB300" s="27">
        <f t="shared" si="9"/>
        <v>173.0975383</v>
      </c>
      <c r="AC300" s="114"/>
      <c r="AD300" s="119" t="s">
        <v>607</v>
      </c>
      <c r="AE300" s="164"/>
      <c r="AF300" s="165"/>
      <c r="AG300" s="165"/>
      <c r="AH300" s="165"/>
    </row>
    <row r="301">
      <c r="A301" s="72" t="s">
        <v>230</v>
      </c>
      <c r="B301" s="72" t="s">
        <v>601</v>
      </c>
      <c r="C301" s="115" t="s">
        <v>54</v>
      </c>
      <c r="D301" s="72" t="s">
        <v>315</v>
      </c>
      <c r="E301" s="69">
        <v>2021.0</v>
      </c>
      <c r="F301" s="72"/>
      <c r="G301" s="69">
        <v>0.0</v>
      </c>
      <c r="H301" s="69">
        <v>10.42</v>
      </c>
      <c r="I301" s="117">
        <v>1.0</v>
      </c>
      <c r="J301" s="69">
        <v>10.42</v>
      </c>
      <c r="K301" s="72"/>
      <c r="L301" s="72"/>
      <c r="M301" s="69">
        <v>9.0</v>
      </c>
      <c r="N301" s="69">
        <v>117.0</v>
      </c>
      <c r="O301" s="72"/>
      <c r="P301" s="140">
        <v>10301.0</v>
      </c>
      <c r="Q301" s="72" t="s">
        <v>234</v>
      </c>
      <c r="R301" s="115">
        <v>2021.0</v>
      </c>
      <c r="S301" s="136">
        <v>0.239</v>
      </c>
      <c r="T301" s="118">
        <f t="shared" si="68"/>
        <v>2461.939</v>
      </c>
      <c r="U301" s="24">
        <f t="shared" si="3"/>
        <v>236.2705374</v>
      </c>
      <c r="V301" s="3">
        <f t="shared" si="28"/>
        <v>0</v>
      </c>
      <c r="W301" s="3">
        <f t="shared" si="29"/>
        <v>0</v>
      </c>
      <c r="X301" s="3">
        <f t="shared" si="30"/>
        <v>0</v>
      </c>
      <c r="Y301" s="25">
        <f t="shared" si="31"/>
        <v>0</v>
      </c>
      <c r="Z301" s="26">
        <f>VLOOKUP(R301,CPI!$A$2:$F$71,6,0)</f>
        <v>1.188745987</v>
      </c>
      <c r="AA301" s="27">
        <f t="shared" si="8"/>
        <v>2926.620106</v>
      </c>
      <c r="AB301" s="27">
        <f t="shared" si="9"/>
        <v>280.8656531</v>
      </c>
      <c r="AC301" s="72" t="s">
        <v>36</v>
      </c>
      <c r="AD301" s="79" t="s">
        <v>608</v>
      </c>
      <c r="AE301" s="186"/>
      <c r="AF301" s="187"/>
      <c r="AG301" s="187"/>
      <c r="AH301" s="187"/>
    </row>
    <row r="302">
      <c r="A302" s="123" t="s">
        <v>230</v>
      </c>
      <c r="B302" s="123" t="s">
        <v>609</v>
      </c>
      <c r="C302" s="36" t="s">
        <v>57</v>
      </c>
      <c r="D302" s="123" t="s">
        <v>232</v>
      </c>
      <c r="E302" s="75">
        <v>2000.0</v>
      </c>
      <c r="F302" s="75">
        <v>2005.0</v>
      </c>
      <c r="G302" s="75">
        <v>0.0</v>
      </c>
      <c r="H302" s="75">
        <v>21.72</v>
      </c>
      <c r="I302" s="124">
        <v>0.6597605893</v>
      </c>
      <c r="J302" s="75">
        <v>14.33</v>
      </c>
      <c r="K302" s="125">
        <v>6.05</v>
      </c>
      <c r="L302" s="125">
        <v>1.552</v>
      </c>
      <c r="M302" s="75">
        <v>16.0</v>
      </c>
      <c r="N302" s="75"/>
      <c r="O302" s="123" t="s">
        <v>42</v>
      </c>
      <c r="P302" s="126">
        <f>8.5*10^3</f>
        <v>8500</v>
      </c>
      <c r="Q302" s="123" t="s">
        <v>234</v>
      </c>
      <c r="R302" s="75">
        <v>2000.0</v>
      </c>
      <c r="S302" s="136">
        <v>0.367</v>
      </c>
      <c r="T302" s="128">
        <f t="shared" si="68"/>
        <v>3119.5</v>
      </c>
      <c r="U302" s="24">
        <f t="shared" si="3"/>
        <v>143.6233886</v>
      </c>
      <c r="V302" s="3">
        <f t="shared" si="28"/>
        <v>0</v>
      </c>
      <c r="W302" s="3">
        <f t="shared" si="29"/>
        <v>0</v>
      </c>
      <c r="X302" s="3">
        <f t="shared" si="30"/>
        <v>0</v>
      </c>
      <c r="Y302" s="25">
        <f t="shared" si="31"/>
        <v>0</v>
      </c>
      <c r="Z302" s="26">
        <f>VLOOKUP(R302,CPI!$A$2:$F$71,6,0)</f>
        <v>1.870583624</v>
      </c>
      <c r="AA302" s="27">
        <f t="shared" si="8"/>
        <v>5835.285614</v>
      </c>
      <c r="AB302" s="27">
        <f t="shared" si="9"/>
        <v>268.6595587</v>
      </c>
      <c r="AC302" s="123" t="s">
        <v>42</v>
      </c>
      <c r="AD302" s="129" t="s">
        <v>610</v>
      </c>
      <c r="AE302" s="29"/>
      <c r="AF302" s="30"/>
      <c r="AG302" s="30"/>
      <c r="AH302" s="30"/>
    </row>
    <row r="303">
      <c r="A303" s="114" t="s">
        <v>230</v>
      </c>
      <c r="B303" s="72" t="s">
        <v>609</v>
      </c>
      <c r="C303" s="115" t="s">
        <v>611</v>
      </c>
      <c r="D303" s="115" t="s">
        <v>612</v>
      </c>
      <c r="E303" s="116">
        <v>2012.0</v>
      </c>
      <c r="F303" s="116">
        <v>2014.0</v>
      </c>
      <c r="G303" s="116">
        <v>0.0</v>
      </c>
      <c r="H303" s="116">
        <v>45.2</v>
      </c>
      <c r="I303" s="117">
        <v>0.27</v>
      </c>
      <c r="J303" s="116">
        <v>12.2</v>
      </c>
      <c r="K303" s="114"/>
      <c r="L303" s="114"/>
      <c r="M303" s="116">
        <v>17.0</v>
      </c>
      <c r="N303" s="116">
        <v>78.0</v>
      </c>
      <c r="O303" s="114"/>
      <c r="P303" s="140">
        <v>14379.0</v>
      </c>
      <c r="Q303" s="114" t="s">
        <v>234</v>
      </c>
      <c r="R303" s="115">
        <v>2021.0</v>
      </c>
      <c r="S303" s="136">
        <v>0.239000000000001</v>
      </c>
      <c r="T303" s="118">
        <f t="shared" si="68"/>
        <v>3436.581</v>
      </c>
      <c r="U303" s="24">
        <f t="shared" si="3"/>
        <v>76.0305531</v>
      </c>
      <c r="V303" s="3">
        <f t="shared" si="28"/>
        <v>0</v>
      </c>
      <c r="W303" s="3">
        <f t="shared" si="29"/>
        <v>0</v>
      </c>
      <c r="X303" s="3">
        <f t="shared" si="30"/>
        <v>0</v>
      </c>
      <c r="Y303" s="25">
        <f t="shared" si="31"/>
        <v>0</v>
      </c>
      <c r="Z303" s="26">
        <f>VLOOKUP(R303,CPI!$A$2:$F$71,6,0)</f>
        <v>1.188745987</v>
      </c>
      <c r="AA303" s="27">
        <f t="shared" si="8"/>
        <v>4085.221872</v>
      </c>
      <c r="AB303" s="27">
        <f t="shared" si="9"/>
        <v>90.38101486</v>
      </c>
      <c r="AC303" s="114"/>
      <c r="AD303" s="119" t="s">
        <v>613</v>
      </c>
      <c r="AE303" s="167" t="s">
        <v>614</v>
      </c>
      <c r="AF303" s="168"/>
      <c r="AG303" s="168"/>
      <c r="AH303" s="169"/>
    </row>
    <row r="304">
      <c r="A304" s="114" t="s">
        <v>230</v>
      </c>
      <c r="B304" s="72" t="s">
        <v>609</v>
      </c>
      <c r="C304" s="115" t="s">
        <v>110</v>
      </c>
      <c r="D304" s="115" t="s">
        <v>332</v>
      </c>
      <c r="E304" s="116">
        <v>2004.0</v>
      </c>
      <c r="F304" s="116">
        <v>2015.0</v>
      </c>
      <c r="G304" s="116">
        <v>0.0</v>
      </c>
      <c r="H304" s="116">
        <v>43.9</v>
      </c>
      <c r="I304" s="117">
        <v>0.95</v>
      </c>
      <c r="J304" s="116">
        <v>41.7</v>
      </c>
      <c r="K304" s="114"/>
      <c r="L304" s="114"/>
      <c r="M304" s="114"/>
      <c r="N304" s="116">
        <v>117.0</v>
      </c>
      <c r="O304" s="114"/>
      <c r="P304" s="140">
        <v>20070.0</v>
      </c>
      <c r="Q304" s="114" t="s">
        <v>234</v>
      </c>
      <c r="R304" s="115">
        <v>2010.0</v>
      </c>
      <c r="S304" s="85">
        <v>0.3</v>
      </c>
      <c r="T304" s="118">
        <f t="shared" si="68"/>
        <v>6021</v>
      </c>
      <c r="U304" s="24">
        <f t="shared" si="3"/>
        <v>137.1526196</v>
      </c>
      <c r="V304" s="3">
        <f t="shared" si="28"/>
        <v>0</v>
      </c>
      <c r="W304" s="3">
        <f t="shared" si="29"/>
        <v>0</v>
      </c>
      <c r="X304" s="3">
        <f t="shared" si="30"/>
        <v>0</v>
      </c>
      <c r="Y304" s="25">
        <f t="shared" si="31"/>
        <v>0</v>
      </c>
      <c r="Z304" s="26">
        <f>VLOOKUP(R304,CPI!$A$2:$F$71,6,0)</f>
        <v>1.477209983</v>
      </c>
      <c r="AA304" s="27">
        <f t="shared" si="8"/>
        <v>8894.281306</v>
      </c>
      <c r="AB304" s="27">
        <f t="shared" si="9"/>
        <v>202.6032188</v>
      </c>
      <c r="AC304" s="114"/>
      <c r="AD304" s="119" t="s">
        <v>615</v>
      </c>
      <c r="AE304" s="167" t="s">
        <v>328</v>
      </c>
      <c r="AF304" s="168"/>
      <c r="AG304" s="168"/>
      <c r="AH304" s="169"/>
    </row>
    <row r="305">
      <c r="A305" s="130" t="s">
        <v>230</v>
      </c>
      <c r="B305" s="130" t="s">
        <v>609</v>
      </c>
      <c r="C305" s="16" t="s">
        <v>87</v>
      </c>
      <c r="D305" s="130" t="s">
        <v>616</v>
      </c>
      <c r="E305" s="130">
        <v>2015.0</v>
      </c>
      <c r="F305" s="130">
        <v>2017.0</v>
      </c>
      <c r="G305" s="130">
        <v>0.0</v>
      </c>
      <c r="H305" s="130">
        <v>6.6</v>
      </c>
      <c r="I305" s="131">
        <v>1.0</v>
      </c>
      <c r="J305" s="130">
        <v>6.6</v>
      </c>
      <c r="K305" s="132">
        <v>0.0</v>
      </c>
      <c r="L305" s="132">
        <v>0.0</v>
      </c>
      <c r="M305" s="130">
        <v>2.0</v>
      </c>
      <c r="N305" s="138"/>
      <c r="O305" s="130" t="s">
        <v>60</v>
      </c>
      <c r="P305" s="135">
        <v>3370.0</v>
      </c>
      <c r="Q305" s="130" t="s">
        <v>234</v>
      </c>
      <c r="R305" s="130">
        <v>2015.0</v>
      </c>
      <c r="S305" s="136">
        <v>0.258</v>
      </c>
      <c r="T305" s="128">
        <f>S305*P305</f>
        <v>869.46</v>
      </c>
      <c r="U305" s="24">
        <f t="shared" si="3"/>
        <v>131.7363636</v>
      </c>
      <c r="V305" s="3">
        <f t="shared" si="28"/>
        <v>0</v>
      </c>
      <c r="W305" s="3">
        <f t="shared" si="29"/>
        <v>0</v>
      </c>
      <c r="X305" s="3">
        <f t="shared" si="30"/>
        <v>0</v>
      </c>
      <c r="Y305" s="25">
        <f t="shared" si="31"/>
        <v>0</v>
      </c>
      <c r="Z305" s="26">
        <f>VLOOKUP(R305,CPI!$A$2:$F$71,6,0)</f>
        <v>1.359035428</v>
      </c>
      <c r="AA305" s="27">
        <f t="shared" si="8"/>
        <v>1181.626943</v>
      </c>
      <c r="AB305" s="27">
        <f t="shared" si="9"/>
        <v>179.0343853</v>
      </c>
      <c r="AC305" s="130" t="s">
        <v>60</v>
      </c>
      <c r="AD305" s="137" t="s">
        <v>617</v>
      </c>
      <c r="AE305" s="29"/>
      <c r="AF305" s="30"/>
      <c r="AG305" s="30"/>
      <c r="AH305" s="30"/>
    </row>
    <row r="306">
      <c r="A306" s="72" t="s">
        <v>230</v>
      </c>
      <c r="B306" s="72" t="s">
        <v>609</v>
      </c>
      <c r="C306" s="16" t="s">
        <v>253</v>
      </c>
      <c r="D306" s="115" t="s">
        <v>618</v>
      </c>
      <c r="E306" s="69">
        <v>2016.0</v>
      </c>
      <c r="F306" s="69">
        <v>2020.0</v>
      </c>
      <c r="G306" s="69">
        <v>0.0</v>
      </c>
      <c r="H306" s="69">
        <v>19.677</v>
      </c>
      <c r="I306" s="117">
        <v>1.0</v>
      </c>
      <c r="J306" s="69">
        <v>19.677</v>
      </c>
      <c r="K306" s="72"/>
      <c r="L306" s="72"/>
      <c r="M306" s="69">
        <v>16.0</v>
      </c>
      <c r="N306" s="69">
        <v>117.0</v>
      </c>
      <c r="O306" s="72"/>
      <c r="P306" s="140">
        <v>21250.0</v>
      </c>
      <c r="Q306" s="72" t="s">
        <v>234</v>
      </c>
      <c r="R306" s="75">
        <v>2018.0</v>
      </c>
      <c r="S306" s="136">
        <v>0.237</v>
      </c>
      <c r="T306" s="118">
        <f t="shared" ref="T306:T372" si="69">P306*S306</f>
        <v>5036.25</v>
      </c>
      <c r="U306" s="24">
        <f t="shared" si="3"/>
        <v>255.9460284</v>
      </c>
      <c r="V306" s="3">
        <f t="shared" si="28"/>
        <v>0</v>
      </c>
      <c r="W306" s="3">
        <f t="shared" si="29"/>
        <v>0</v>
      </c>
      <c r="X306" s="3">
        <f t="shared" si="30"/>
        <v>0</v>
      </c>
      <c r="Y306" s="25">
        <f t="shared" si="31"/>
        <v>0</v>
      </c>
      <c r="Z306" s="26">
        <f>VLOOKUP(R306,CPI!$A$2:$F$71,6,0)</f>
        <v>1.28277786</v>
      </c>
      <c r="AA306" s="27">
        <f t="shared" si="8"/>
        <v>6460.389996</v>
      </c>
      <c r="AB306" s="27">
        <f t="shared" si="9"/>
        <v>328.3218984</v>
      </c>
      <c r="AC306" s="72" t="s">
        <v>36</v>
      </c>
      <c r="AD306" s="79" t="s">
        <v>619</v>
      </c>
      <c r="AE306" s="186"/>
      <c r="AF306" s="187"/>
      <c r="AG306" s="187"/>
      <c r="AH306" s="187"/>
    </row>
    <row r="307">
      <c r="A307" s="123" t="s">
        <v>230</v>
      </c>
      <c r="B307" s="123" t="s">
        <v>609</v>
      </c>
      <c r="C307" s="36" t="s">
        <v>54</v>
      </c>
      <c r="D307" s="123" t="s">
        <v>313</v>
      </c>
      <c r="E307" s="75">
        <v>2017.0</v>
      </c>
      <c r="F307" s="75">
        <v>2020.0</v>
      </c>
      <c r="G307" s="75">
        <v>0.0</v>
      </c>
      <c r="H307" s="75">
        <v>5.6</v>
      </c>
      <c r="I307" s="124">
        <v>1.0</v>
      </c>
      <c r="J307" s="75">
        <v>5.6</v>
      </c>
      <c r="K307" s="125">
        <v>0.0</v>
      </c>
      <c r="L307" s="125">
        <v>0.0</v>
      </c>
      <c r="M307" s="75">
        <v>4.0</v>
      </c>
      <c r="N307" s="75"/>
      <c r="O307" s="123" t="s">
        <v>60</v>
      </c>
      <c r="P307" s="126">
        <v>4280.0</v>
      </c>
      <c r="Q307" s="123" t="s">
        <v>234</v>
      </c>
      <c r="R307" s="75">
        <v>2015.0</v>
      </c>
      <c r="S307" s="136">
        <v>0.258</v>
      </c>
      <c r="T307" s="128">
        <f t="shared" si="69"/>
        <v>1104.24</v>
      </c>
      <c r="U307" s="24">
        <f t="shared" si="3"/>
        <v>197.1857143</v>
      </c>
      <c r="V307" s="3">
        <f t="shared" si="28"/>
        <v>0</v>
      </c>
      <c r="W307" s="3">
        <f t="shared" si="29"/>
        <v>0</v>
      </c>
      <c r="X307" s="3">
        <f t="shared" si="30"/>
        <v>0</v>
      </c>
      <c r="Y307" s="25">
        <f t="shared" si="31"/>
        <v>0</v>
      </c>
      <c r="Z307" s="26">
        <f>VLOOKUP(R307,CPI!$A$2:$F$71,6,0)</f>
        <v>1.359035428</v>
      </c>
      <c r="AA307" s="27">
        <f t="shared" si="8"/>
        <v>1500.701281</v>
      </c>
      <c r="AB307" s="27">
        <f t="shared" si="9"/>
        <v>267.9823716</v>
      </c>
      <c r="AC307" s="123" t="s">
        <v>60</v>
      </c>
      <c r="AD307" s="129" t="s">
        <v>617</v>
      </c>
      <c r="AE307" s="29"/>
      <c r="AF307" s="30"/>
      <c r="AG307" s="30"/>
      <c r="AH307" s="30"/>
    </row>
    <row r="308">
      <c r="A308" s="123" t="s">
        <v>230</v>
      </c>
      <c r="B308" s="123" t="s">
        <v>609</v>
      </c>
      <c r="C308" s="115" t="s">
        <v>611</v>
      </c>
      <c r="D308" s="123" t="s">
        <v>620</v>
      </c>
      <c r="E308" s="75">
        <v>2017.0</v>
      </c>
      <c r="F308" s="75">
        <v>2020.0</v>
      </c>
      <c r="G308" s="75">
        <v>0.0</v>
      </c>
      <c r="H308" s="75">
        <v>2.5</v>
      </c>
      <c r="I308" s="124">
        <v>1.0</v>
      </c>
      <c r="J308" s="75">
        <v>2.5</v>
      </c>
      <c r="K308" s="125">
        <v>0.0</v>
      </c>
      <c r="L308" s="125">
        <v>0.0</v>
      </c>
      <c r="M308" s="75">
        <v>2.0</v>
      </c>
      <c r="N308" s="75"/>
      <c r="O308" s="123" t="s">
        <v>60</v>
      </c>
      <c r="P308" s="126">
        <v>1711.0</v>
      </c>
      <c r="Q308" s="123" t="s">
        <v>234</v>
      </c>
      <c r="R308" s="75">
        <v>2016.0</v>
      </c>
      <c r="S308" s="136">
        <v>0.251</v>
      </c>
      <c r="T308" s="128">
        <f t="shared" si="69"/>
        <v>429.461</v>
      </c>
      <c r="U308" s="24">
        <f t="shared" si="3"/>
        <v>171.7844</v>
      </c>
      <c r="V308" s="3">
        <f t="shared" si="28"/>
        <v>0</v>
      </c>
      <c r="W308" s="3">
        <f t="shared" si="29"/>
        <v>0</v>
      </c>
      <c r="X308" s="3">
        <f t="shared" si="30"/>
        <v>0</v>
      </c>
      <c r="Y308" s="25">
        <f t="shared" si="31"/>
        <v>0</v>
      </c>
      <c r="Z308" s="26">
        <f>VLOOKUP(R308,CPI!$A$2:$F$71,6,0)</f>
        <v>1.342104605</v>
      </c>
      <c r="AA308" s="27">
        <f t="shared" si="8"/>
        <v>576.3815859</v>
      </c>
      <c r="AB308" s="27">
        <f t="shared" si="9"/>
        <v>230.5526344</v>
      </c>
      <c r="AC308" s="123" t="s">
        <v>60</v>
      </c>
      <c r="AD308" s="129" t="s">
        <v>621</v>
      </c>
      <c r="AE308" s="29"/>
      <c r="AF308" s="30"/>
      <c r="AG308" s="30"/>
      <c r="AH308" s="30"/>
    </row>
    <row r="309">
      <c r="A309" s="72" t="s">
        <v>230</v>
      </c>
      <c r="B309" s="72" t="s">
        <v>609</v>
      </c>
      <c r="C309" s="16" t="s">
        <v>292</v>
      </c>
      <c r="D309" s="115" t="s">
        <v>622</v>
      </c>
      <c r="E309" s="69">
        <v>2018.0</v>
      </c>
      <c r="F309" s="69">
        <v>2021.0</v>
      </c>
      <c r="G309" s="69">
        <v>0.0</v>
      </c>
      <c r="H309" s="69">
        <v>27.0</v>
      </c>
      <c r="I309" s="117">
        <v>0.95</v>
      </c>
      <c r="J309" s="69">
        <v>25.6</v>
      </c>
      <c r="K309" s="72"/>
      <c r="L309" s="72"/>
      <c r="M309" s="69">
        <v>20.0</v>
      </c>
      <c r="N309" s="69">
        <v>117.0</v>
      </c>
      <c r="O309" s="72"/>
      <c r="P309" s="140">
        <v>21039.19</v>
      </c>
      <c r="Q309" s="72" t="s">
        <v>234</v>
      </c>
      <c r="R309" s="115">
        <v>2020.0</v>
      </c>
      <c r="S309" s="136">
        <v>0.239</v>
      </c>
      <c r="T309" s="118">
        <f t="shared" si="69"/>
        <v>5028.36641</v>
      </c>
      <c r="U309" s="24">
        <f t="shared" si="3"/>
        <v>186.235793</v>
      </c>
      <c r="V309" s="3">
        <f t="shared" si="28"/>
        <v>0</v>
      </c>
      <c r="W309" s="3">
        <f t="shared" si="29"/>
        <v>0</v>
      </c>
      <c r="X309" s="3">
        <f t="shared" si="30"/>
        <v>0</v>
      </c>
      <c r="Y309" s="25">
        <f t="shared" si="31"/>
        <v>0</v>
      </c>
      <c r="Z309" s="26">
        <f>VLOOKUP(R309,CPI!$A$2:$F$71,6,0)</f>
        <v>1.244593545</v>
      </c>
      <c r="AA309" s="27">
        <f t="shared" si="8"/>
        <v>6258.272376</v>
      </c>
      <c r="AB309" s="27">
        <f t="shared" si="9"/>
        <v>231.7878658</v>
      </c>
      <c r="AC309" s="72" t="s">
        <v>36</v>
      </c>
      <c r="AD309" s="79" t="s">
        <v>623</v>
      </c>
      <c r="AE309" s="186"/>
      <c r="AF309" s="187"/>
      <c r="AG309" s="187"/>
      <c r="AH309" s="187"/>
    </row>
    <row r="310">
      <c r="A310" s="114" t="s">
        <v>230</v>
      </c>
      <c r="B310" s="72" t="s">
        <v>609</v>
      </c>
      <c r="C310" s="171" t="s">
        <v>624</v>
      </c>
      <c r="D310" s="115" t="s">
        <v>625</v>
      </c>
      <c r="E310" s="116">
        <v>2018.0</v>
      </c>
      <c r="F310" s="116">
        <v>2022.0</v>
      </c>
      <c r="G310" s="116">
        <v>0.0</v>
      </c>
      <c r="H310" s="116">
        <v>32.95</v>
      </c>
      <c r="I310" s="117">
        <v>0.0</v>
      </c>
      <c r="J310" s="116">
        <v>0.0</v>
      </c>
      <c r="K310" s="114"/>
      <c r="L310" s="114"/>
      <c r="M310" s="116">
        <v>6.0</v>
      </c>
      <c r="N310" s="116">
        <v>92.0</v>
      </c>
      <c r="O310" s="114"/>
      <c r="P310" s="140">
        <v>9399.67</v>
      </c>
      <c r="Q310" s="114" t="s">
        <v>234</v>
      </c>
      <c r="R310" s="115">
        <v>2013.0</v>
      </c>
      <c r="S310" s="85">
        <v>0.273</v>
      </c>
      <c r="T310" s="118">
        <f t="shared" si="69"/>
        <v>2566.10991</v>
      </c>
      <c r="U310" s="24">
        <f t="shared" si="3"/>
        <v>77.8789047</v>
      </c>
      <c r="V310" s="3">
        <f t="shared" si="28"/>
        <v>0</v>
      </c>
      <c r="W310" s="3">
        <f t="shared" si="29"/>
        <v>0</v>
      </c>
      <c r="X310" s="3">
        <f t="shared" si="30"/>
        <v>0</v>
      </c>
      <c r="Y310" s="25">
        <f t="shared" si="31"/>
        <v>0</v>
      </c>
      <c r="Z310" s="26">
        <f>VLOOKUP(R310,CPI!$A$2:$F$71,6,0)</f>
        <v>1.382720845</v>
      </c>
      <c r="AA310" s="27">
        <f t="shared" si="8"/>
        <v>3548.213664</v>
      </c>
      <c r="AB310" s="27">
        <f t="shared" si="9"/>
        <v>107.684785</v>
      </c>
      <c r="AC310" s="114"/>
      <c r="AD310" s="119" t="s">
        <v>626</v>
      </c>
      <c r="AE310" s="167" t="s">
        <v>627</v>
      </c>
      <c r="AF310" s="168"/>
      <c r="AG310" s="168"/>
      <c r="AH310" s="169"/>
    </row>
    <row r="311">
      <c r="A311" s="72" t="s">
        <v>230</v>
      </c>
      <c r="B311" s="72" t="s">
        <v>609</v>
      </c>
      <c r="C311" s="72" t="s">
        <v>80</v>
      </c>
      <c r="D311" s="72" t="s">
        <v>80</v>
      </c>
      <c r="E311" s="69">
        <v>2019.0</v>
      </c>
      <c r="F311" s="69">
        <v>2023.0</v>
      </c>
      <c r="G311" s="69">
        <v>0.0</v>
      </c>
      <c r="H311" s="69">
        <v>32.365</v>
      </c>
      <c r="I311" s="117">
        <v>1.0</v>
      </c>
      <c r="J311" s="69">
        <v>32.365</v>
      </c>
      <c r="K311" s="72"/>
      <c r="L311" s="72"/>
      <c r="M311" s="69">
        <v>19.0</v>
      </c>
      <c r="N311" s="69">
        <v>117.0</v>
      </c>
      <c r="O311" s="72"/>
      <c r="P311" s="140">
        <v>32870.0</v>
      </c>
      <c r="Q311" s="72" t="s">
        <v>234</v>
      </c>
      <c r="R311" s="115">
        <v>2021.0</v>
      </c>
      <c r="S311" s="136">
        <v>0.239</v>
      </c>
      <c r="T311" s="118">
        <f t="shared" si="69"/>
        <v>7855.93</v>
      </c>
      <c r="U311" s="24">
        <f t="shared" si="3"/>
        <v>242.7291828</v>
      </c>
      <c r="V311" s="3">
        <f t="shared" si="28"/>
        <v>0</v>
      </c>
      <c r="W311" s="3">
        <f t="shared" si="29"/>
        <v>0</v>
      </c>
      <c r="X311" s="3">
        <f t="shared" si="30"/>
        <v>0</v>
      </c>
      <c r="Y311" s="25">
        <f t="shared" si="31"/>
        <v>0</v>
      </c>
      <c r="Z311" s="26">
        <f>VLOOKUP(R311,CPI!$A$2:$F$71,6,0)</f>
        <v>1.188745987</v>
      </c>
      <c r="AA311" s="27">
        <f t="shared" si="8"/>
        <v>9338.705259</v>
      </c>
      <c r="AB311" s="27">
        <f t="shared" si="9"/>
        <v>288.5433418</v>
      </c>
      <c r="AC311" s="72" t="s">
        <v>36</v>
      </c>
      <c r="AD311" s="79" t="s">
        <v>628</v>
      </c>
      <c r="AE311" s="72"/>
      <c r="AF311" s="72"/>
      <c r="AG311" s="72"/>
      <c r="AH311" s="72"/>
    </row>
    <row r="312">
      <c r="A312" s="72" t="s">
        <v>230</v>
      </c>
      <c r="B312" s="72" t="s">
        <v>609</v>
      </c>
      <c r="C312" s="16" t="s">
        <v>239</v>
      </c>
      <c r="D312" s="115" t="s">
        <v>360</v>
      </c>
      <c r="E312" s="69">
        <v>2020.0</v>
      </c>
      <c r="F312" s="69">
        <v>2023.0</v>
      </c>
      <c r="G312" s="69">
        <v>0.0</v>
      </c>
      <c r="H312" s="69">
        <v>13.33</v>
      </c>
      <c r="I312" s="117">
        <v>1.0</v>
      </c>
      <c r="J312" s="69">
        <v>13.33</v>
      </c>
      <c r="K312" s="72"/>
      <c r="L312" s="72"/>
      <c r="M312" s="69">
        <v>10.0</v>
      </c>
      <c r="N312" s="69">
        <v>138.0</v>
      </c>
      <c r="O312" s="72"/>
      <c r="P312" s="140">
        <v>10508.0</v>
      </c>
      <c r="Q312" s="72" t="s">
        <v>234</v>
      </c>
      <c r="R312" s="115">
        <v>2021.0</v>
      </c>
      <c r="S312" s="136">
        <v>0.239</v>
      </c>
      <c r="T312" s="118">
        <f t="shared" si="69"/>
        <v>2511.412</v>
      </c>
      <c r="U312" s="24">
        <f t="shared" si="3"/>
        <v>188.4030008</v>
      </c>
      <c r="V312" s="3">
        <f t="shared" si="28"/>
        <v>0</v>
      </c>
      <c r="W312" s="3">
        <f t="shared" si="29"/>
        <v>0</v>
      </c>
      <c r="X312" s="3">
        <f t="shared" si="30"/>
        <v>0</v>
      </c>
      <c r="Y312" s="25">
        <f t="shared" si="31"/>
        <v>0</v>
      </c>
      <c r="Z312" s="26">
        <f>VLOOKUP(R312,CPI!$A$2:$F$71,6,0)</f>
        <v>1.188745987</v>
      </c>
      <c r="AA312" s="27">
        <f t="shared" si="8"/>
        <v>2985.430936</v>
      </c>
      <c r="AB312" s="27">
        <f t="shared" si="9"/>
        <v>223.963311</v>
      </c>
      <c r="AC312" s="72" t="s">
        <v>36</v>
      </c>
      <c r="AD312" s="79" t="s">
        <v>546</v>
      </c>
      <c r="AE312" s="186"/>
      <c r="AF312" s="187"/>
      <c r="AG312" s="187"/>
      <c r="AH312" s="187"/>
    </row>
    <row r="313">
      <c r="A313" s="72" t="s">
        <v>230</v>
      </c>
      <c r="B313" s="72" t="s">
        <v>609</v>
      </c>
      <c r="C313" s="115" t="s">
        <v>110</v>
      </c>
      <c r="D313" s="115" t="s">
        <v>358</v>
      </c>
      <c r="E313" s="69">
        <v>2021.0</v>
      </c>
      <c r="F313" s="69">
        <v>2025.0</v>
      </c>
      <c r="G313" s="69">
        <v>0.0</v>
      </c>
      <c r="H313" s="69">
        <v>10.0</v>
      </c>
      <c r="I313" s="117">
        <v>1.0</v>
      </c>
      <c r="J313" s="69">
        <v>10.0</v>
      </c>
      <c r="K313" s="72"/>
      <c r="L313" s="72"/>
      <c r="M313" s="69">
        <v>6.0</v>
      </c>
      <c r="N313" s="69">
        <v>117.0</v>
      </c>
      <c r="O313" s="72"/>
      <c r="P313" s="140">
        <v>8810.0</v>
      </c>
      <c r="Q313" s="72" t="s">
        <v>234</v>
      </c>
      <c r="R313" s="115">
        <v>2021.0</v>
      </c>
      <c r="S313" s="136">
        <v>0.239</v>
      </c>
      <c r="T313" s="118">
        <f t="shared" si="69"/>
        <v>2105.59</v>
      </c>
      <c r="U313" s="24">
        <f t="shared" si="3"/>
        <v>210.559</v>
      </c>
      <c r="V313" s="3">
        <f t="shared" si="28"/>
        <v>0</v>
      </c>
      <c r="W313" s="3">
        <f t="shared" si="29"/>
        <v>0</v>
      </c>
      <c r="X313" s="3">
        <f t="shared" si="30"/>
        <v>0</v>
      </c>
      <c r="Y313" s="25">
        <f t="shared" si="31"/>
        <v>0</v>
      </c>
      <c r="Z313" s="26">
        <f>VLOOKUP(R313,CPI!$A$2:$F$71,6,0)</f>
        <v>1.188745987</v>
      </c>
      <c r="AA313" s="27">
        <f t="shared" si="8"/>
        <v>2503.011662</v>
      </c>
      <c r="AB313" s="27">
        <f t="shared" si="9"/>
        <v>250.3011662</v>
      </c>
      <c r="AC313" s="72" t="s">
        <v>36</v>
      </c>
      <c r="AD313" s="79" t="s">
        <v>629</v>
      </c>
      <c r="AE313" s="186"/>
      <c r="AF313" s="187"/>
      <c r="AG313" s="187"/>
      <c r="AH313" s="187"/>
    </row>
    <row r="314">
      <c r="A314" s="114" t="s">
        <v>230</v>
      </c>
      <c r="B314" s="114" t="s">
        <v>609</v>
      </c>
      <c r="C314" s="115" t="s">
        <v>54</v>
      </c>
      <c r="D314" s="115" t="s">
        <v>348</v>
      </c>
      <c r="E314" s="116">
        <v>2005.0</v>
      </c>
      <c r="F314" s="114"/>
      <c r="G314" s="116">
        <v>0.0</v>
      </c>
      <c r="H314" s="116">
        <v>21.63</v>
      </c>
      <c r="I314" s="117">
        <v>0.88</v>
      </c>
      <c r="J314" s="116">
        <v>19.11</v>
      </c>
      <c r="K314" s="114"/>
      <c r="L314" s="114"/>
      <c r="M314" s="116">
        <v>18.0</v>
      </c>
      <c r="N314" s="116">
        <v>138.0</v>
      </c>
      <c r="O314" s="114"/>
      <c r="P314" s="140">
        <v>10450.0</v>
      </c>
      <c r="Q314" s="114" t="s">
        <v>234</v>
      </c>
      <c r="R314" s="115">
        <v>2005.0</v>
      </c>
      <c r="S314" s="85">
        <v>0.352</v>
      </c>
      <c r="T314" s="118">
        <f t="shared" si="69"/>
        <v>3678.4</v>
      </c>
      <c r="U314" s="24">
        <f t="shared" si="3"/>
        <v>170.0601017</v>
      </c>
      <c r="V314" s="3">
        <f t="shared" si="28"/>
        <v>0</v>
      </c>
      <c r="W314" s="3">
        <f t="shared" si="29"/>
        <v>0</v>
      </c>
      <c r="X314" s="3">
        <f t="shared" si="30"/>
        <v>0</v>
      </c>
      <c r="Y314" s="25">
        <f t="shared" si="31"/>
        <v>0</v>
      </c>
      <c r="Z314" s="26">
        <f>VLOOKUP(R314,CPI!$A$2:$F$71,6,0)</f>
        <v>1.649331797</v>
      </c>
      <c r="AA314" s="27">
        <f t="shared" si="8"/>
        <v>6066.902083</v>
      </c>
      <c r="AB314" s="27">
        <f t="shared" si="9"/>
        <v>280.4855332</v>
      </c>
      <c r="AC314" s="114"/>
      <c r="AD314" s="119" t="s">
        <v>630</v>
      </c>
      <c r="AE314" s="167" t="s">
        <v>631</v>
      </c>
      <c r="AF314" s="168"/>
      <c r="AG314" s="168"/>
      <c r="AH314" s="169"/>
    </row>
    <row r="315">
      <c r="A315" s="72" t="s">
        <v>230</v>
      </c>
      <c r="B315" s="72" t="s">
        <v>609</v>
      </c>
      <c r="C315" s="72" t="s">
        <v>228</v>
      </c>
      <c r="D315" s="72" t="s">
        <v>228</v>
      </c>
      <c r="E315" s="69">
        <v>2019.0</v>
      </c>
      <c r="F315" s="72"/>
      <c r="G315" s="69">
        <v>0.0</v>
      </c>
      <c r="H315" s="69">
        <v>35.49</v>
      </c>
      <c r="I315" s="117">
        <v>1.0</v>
      </c>
      <c r="J315" s="69">
        <v>35.49</v>
      </c>
      <c r="K315" s="72"/>
      <c r="L315" s="72"/>
      <c r="M315" s="69">
        <v>27.0</v>
      </c>
      <c r="N315" s="69">
        <v>117.0</v>
      </c>
      <c r="O315" s="72"/>
      <c r="P315" s="140">
        <v>30186.0</v>
      </c>
      <c r="Q315" s="72" t="s">
        <v>234</v>
      </c>
      <c r="R315" s="69">
        <v>2019.0</v>
      </c>
      <c r="S315" s="136">
        <v>0.238</v>
      </c>
      <c r="T315" s="118">
        <f t="shared" si="69"/>
        <v>7184.268</v>
      </c>
      <c r="U315" s="24">
        <f t="shared" si="3"/>
        <v>202.4307692</v>
      </c>
      <c r="V315" s="3">
        <f t="shared" si="28"/>
        <v>0</v>
      </c>
      <c r="W315" s="3">
        <f t="shared" si="29"/>
        <v>0</v>
      </c>
      <c r="X315" s="3">
        <f t="shared" si="30"/>
        <v>0</v>
      </c>
      <c r="Y315" s="25">
        <f t="shared" si="31"/>
        <v>0</v>
      </c>
      <c r="Z315" s="26">
        <f>VLOOKUP(R315,CPI!$A$2:$F$71,6,0)</f>
        <v>1.259947899</v>
      </c>
      <c r="AA315" s="27">
        <f t="shared" si="8"/>
        <v>9051.803372</v>
      </c>
      <c r="AB315" s="27">
        <f t="shared" si="9"/>
        <v>255.0522224</v>
      </c>
      <c r="AC315" s="72" t="s">
        <v>36</v>
      </c>
      <c r="AD315" s="79" t="s">
        <v>632</v>
      </c>
      <c r="AE315" s="186"/>
      <c r="AF315" s="187"/>
      <c r="AG315" s="187"/>
      <c r="AH315" s="187"/>
    </row>
    <row r="316">
      <c r="A316" s="72" t="s">
        <v>230</v>
      </c>
      <c r="B316" s="72" t="s">
        <v>609</v>
      </c>
      <c r="C316" s="36" t="s">
        <v>57</v>
      </c>
      <c r="D316" s="72" t="s">
        <v>633</v>
      </c>
      <c r="E316" s="69">
        <v>2021.0</v>
      </c>
      <c r="F316" s="72"/>
      <c r="G316" s="69">
        <v>0.0</v>
      </c>
      <c r="H316" s="69">
        <v>6.54</v>
      </c>
      <c r="I316" s="117">
        <v>0.92</v>
      </c>
      <c r="J316" s="69">
        <v>6.04</v>
      </c>
      <c r="K316" s="72"/>
      <c r="L316" s="72"/>
      <c r="M316" s="69">
        <v>5.0</v>
      </c>
      <c r="N316" s="69">
        <v>138.0</v>
      </c>
      <c r="O316" s="72"/>
      <c r="P316" s="140">
        <v>8180.0</v>
      </c>
      <c r="Q316" s="72" t="s">
        <v>234</v>
      </c>
      <c r="R316" s="115">
        <v>2021.0</v>
      </c>
      <c r="S316" s="136">
        <v>0.239</v>
      </c>
      <c r="T316" s="118">
        <f t="shared" si="69"/>
        <v>1955.02</v>
      </c>
      <c r="U316" s="24">
        <f t="shared" si="3"/>
        <v>298.9327217</v>
      </c>
      <c r="V316" s="3">
        <f t="shared" si="28"/>
        <v>0</v>
      </c>
      <c r="W316" s="3">
        <f t="shared" si="29"/>
        <v>0</v>
      </c>
      <c r="X316" s="3">
        <f t="shared" si="30"/>
        <v>0</v>
      </c>
      <c r="Y316" s="25">
        <f t="shared" si="31"/>
        <v>0</v>
      </c>
      <c r="Z316" s="26">
        <f>VLOOKUP(R316,CPI!$A$2:$F$71,6,0)</f>
        <v>1.188745987</v>
      </c>
      <c r="AA316" s="27">
        <f t="shared" si="8"/>
        <v>2324.022179</v>
      </c>
      <c r="AB316" s="27">
        <f t="shared" si="9"/>
        <v>355.3550732</v>
      </c>
      <c r="AC316" s="72" t="s">
        <v>36</v>
      </c>
      <c r="AD316" s="79" t="s">
        <v>634</v>
      </c>
      <c r="AE316" s="186"/>
      <c r="AF316" s="187"/>
      <c r="AG316" s="187"/>
      <c r="AH316" s="187"/>
    </row>
    <row r="317">
      <c r="A317" s="72" t="s">
        <v>230</v>
      </c>
      <c r="B317" s="72" t="s">
        <v>609</v>
      </c>
      <c r="C317" s="72" t="s">
        <v>84</v>
      </c>
      <c r="D317" s="72" t="s">
        <v>84</v>
      </c>
      <c r="E317" s="69">
        <v>2021.0</v>
      </c>
      <c r="F317" s="72"/>
      <c r="G317" s="69">
        <v>0.0</v>
      </c>
      <c r="H317" s="69">
        <v>37.4</v>
      </c>
      <c r="I317" s="117">
        <v>1.0</v>
      </c>
      <c r="J317" s="69">
        <v>37.4</v>
      </c>
      <c r="K317" s="72"/>
      <c r="L317" s="72"/>
      <c r="M317" s="69">
        <v>30.0</v>
      </c>
      <c r="N317" s="69">
        <v>138.0</v>
      </c>
      <c r="O317" s="72"/>
      <c r="P317" s="140">
        <v>33458.0</v>
      </c>
      <c r="Q317" s="72" t="s">
        <v>234</v>
      </c>
      <c r="R317" s="115">
        <v>2021.0</v>
      </c>
      <c r="S317" s="136">
        <v>0.239</v>
      </c>
      <c r="T317" s="118">
        <f t="shared" si="69"/>
        <v>7996.462</v>
      </c>
      <c r="U317" s="24">
        <f t="shared" si="3"/>
        <v>213.8091444</v>
      </c>
      <c r="V317" s="3">
        <f t="shared" si="28"/>
        <v>0</v>
      </c>
      <c r="W317" s="3">
        <f t="shared" si="29"/>
        <v>0</v>
      </c>
      <c r="X317" s="3">
        <f t="shared" si="30"/>
        <v>0</v>
      </c>
      <c r="Y317" s="25">
        <f t="shared" si="31"/>
        <v>0</v>
      </c>
      <c r="Z317" s="26">
        <f>VLOOKUP(R317,CPI!$A$2:$F$71,6,0)</f>
        <v>1.188745987</v>
      </c>
      <c r="AA317" s="27">
        <f t="shared" si="8"/>
        <v>9505.76211</v>
      </c>
      <c r="AB317" s="27">
        <f t="shared" si="9"/>
        <v>254.1647623</v>
      </c>
      <c r="AC317" s="72" t="s">
        <v>36</v>
      </c>
      <c r="AD317" s="79" t="s">
        <v>635</v>
      </c>
      <c r="AE317" s="186"/>
      <c r="AF317" s="187"/>
      <c r="AG317" s="187"/>
      <c r="AH317" s="187"/>
    </row>
    <row r="318">
      <c r="A318" s="114" t="s">
        <v>230</v>
      </c>
      <c r="B318" s="72" t="s">
        <v>609</v>
      </c>
      <c r="C318" s="171" t="s">
        <v>636</v>
      </c>
      <c r="D318" s="72" t="s">
        <v>637</v>
      </c>
      <c r="E318" s="116">
        <v>2021.0</v>
      </c>
      <c r="F318" s="114"/>
      <c r="G318" s="82">
        <v>1.0</v>
      </c>
      <c r="H318" s="116">
        <v>27.49</v>
      </c>
      <c r="I318" s="117">
        <v>0.0</v>
      </c>
      <c r="J318" s="116">
        <v>0.0</v>
      </c>
      <c r="K318" s="114"/>
      <c r="L318" s="114"/>
      <c r="M318" s="116">
        <v>8.0</v>
      </c>
      <c r="N318" s="116">
        <v>117.0</v>
      </c>
      <c r="O318" s="114"/>
      <c r="P318" s="140">
        <v>6337.0</v>
      </c>
      <c r="Q318" s="114" t="s">
        <v>234</v>
      </c>
      <c r="R318" s="115">
        <v>2021.0</v>
      </c>
      <c r="S318" s="136">
        <v>0.239000000000001</v>
      </c>
      <c r="T318" s="118">
        <f t="shared" si="69"/>
        <v>1514.543</v>
      </c>
      <c r="U318" s="24">
        <f t="shared" si="3"/>
        <v>55.09432521</v>
      </c>
      <c r="V318" s="3">
        <f t="shared" si="28"/>
        <v>0</v>
      </c>
      <c r="W318" s="3">
        <f t="shared" si="29"/>
        <v>0</v>
      </c>
      <c r="X318" s="3">
        <f t="shared" si="30"/>
        <v>0</v>
      </c>
      <c r="Y318" s="25">
        <f t="shared" si="31"/>
        <v>0</v>
      </c>
      <c r="Z318" s="26">
        <f>VLOOKUP(R318,CPI!$A$2:$F$71,6,0)</f>
        <v>1.188745987</v>
      </c>
      <c r="AA318" s="27">
        <f t="shared" si="8"/>
        <v>1800.406913</v>
      </c>
      <c r="AB318" s="27">
        <f t="shared" si="9"/>
        <v>65.49315798</v>
      </c>
      <c r="AC318" s="114"/>
      <c r="AD318" s="119" t="s">
        <v>638</v>
      </c>
      <c r="AE318" s="164"/>
      <c r="AF318" s="165"/>
      <c r="AG318" s="165"/>
      <c r="AH318" s="165"/>
    </row>
    <row r="319">
      <c r="A319" s="114" t="s">
        <v>230</v>
      </c>
      <c r="B319" s="72" t="s">
        <v>609</v>
      </c>
      <c r="C319" s="171" t="s">
        <v>636</v>
      </c>
      <c r="D319" s="72" t="s">
        <v>639</v>
      </c>
      <c r="E319" s="116">
        <v>2021.0</v>
      </c>
      <c r="F319" s="114"/>
      <c r="G319" s="82">
        <v>1.0</v>
      </c>
      <c r="H319" s="116">
        <v>26.5</v>
      </c>
      <c r="I319" s="117">
        <v>0.52</v>
      </c>
      <c r="J319" s="116">
        <v>13.71</v>
      </c>
      <c r="K319" s="114"/>
      <c r="L319" s="114"/>
      <c r="M319" s="116">
        <v>8.0</v>
      </c>
      <c r="N319" s="116">
        <v>117.0</v>
      </c>
      <c r="O319" s="114"/>
      <c r="P319" s="140">
        <v>14698.0</v>
      </c>
      <c r="Q319" s="114" t="s">
        <v>234</v>
      </c>
      <c r="R319" s="115">
        <v>2021.0</v>
      </c>
      <c r="S319" s="136">
        <v>0.239000000000002</v>
      </c>
      <c r="T319" s="118">
        <f t="shared" si="69"/>
        <v>3512.822</v>
      </c>
      <c r="U319" s="24">
        <f t="shared" si="3"/>
        <v>132.5593208</v>
      </c>
      <c r="V319" s="3">
        <f t="shared" si="28"/>
        <v>0</v>
      </c>
      <c r="W319" s="3">
        <f t="shared" si="29"/>
        <v>0</v>
      </c>
      <c r="X319" s="3">
        <f t="shared" si="30"/>
        <v>0</v>
      </c>
      <c r="Y319" s="25">
        <f t="shared" si="31"/>
        <v>0</v>
      </c>
      <c r="Z319" s="26">
        <f>VLOOKUP(R319,CPI!$A$2:$F$71,6,0)</f>
        <v>1.188745987</v>
      </c>
      <c r="AA319" s="27">
        <f t="shared" si="8"/>
        <v>4175.853054</v>
      </c>
      <c r="AB319" s="27">
        <f t="shared" si="9"/>
        <v>157.5793605</v>
      </c>
      <c r="AC319" s="114"/>
      <c r="AD319" s="119" t="s">
        <v>640</v>
      </c>
      <c r="AE319" s="167" t="s">
        <v>641</v>
      </c>
      <c r="AF319" s="168"/>
      <c r="AG319" s="168"/>
      <c r="AH319" s="169"/>
    </row>
    <row r="320">
      <c r="A320" s="114" t="s">
        <v>230</v>
      </c>
      <c r="B320" s="72" t="s">
        <v>609</v>
      </c>
      <c r="C320" s="72" t="s">
        <v>642</v>
      </c>
      <c r="D320" s="72" t="s">
        <v>642</v>
      </c>
      <c r="E320" s="116">
        <v>2021.0</v>
      </c>
      <c r="F320" s="114"/>
      <c r="G320" s="116">
        <v>0.0</v>
      </c>
      <c r="H320" s="116">
        <v>42.4</v>
      </c>
      <c r="I320" s="114"/>
      <c r="J320" s="114"/>
      <c r="K320" s="114"/>
      <c r="L320" s="114"/>
      <c r="M320" s="116">
        <v>11.0</v>
      </c>
      <c r="N320" s="116">
        <v>117.0</v>
      </c>
      <c r="O320" s="114"/>
      <c r="P320" s="140">
        <v>14980.0</v>
      </c>
      <c r="Q320" s="114" t="s">
        <v>234</v>
      </c>
      <c r="R320" s="115">
        <v>2021.0</v>
      </c>
      <c r="S320" s="136">
        <v>0.239000000000002</v>
      </c>
      <c r="T320" s="118">
        <f t="shared" si="69"/>
        <v>3580.22</v>
      </c>
      <c r="U320" s="24">
        <f t="shared" si="3"/>
        <v>84.43915094</v>
      </c>
      <c r="V320" s="3">
        <f t="shared" si="28"/>
        <v>0</v>
      </c>
      <c r="W320" s="3">
        <f t="shared" si="29"/>
        <v>0</v>
      </c>
      <c r="X320" s="3">
        <f t="shared" si="30"/>
        <v>0</v>
      </c>
      <c r="Y320" s="25">
        <f t="shared" si="31"/>
        <v>0</v>
      </c>
      <c r="Z320" s="26">
        <f>VLOOKUP(R320,CPI!$A$2:$F$71,6,0)</f>
        <v>1.188745987</v>
      </c>
      <c r="AA320" s="27">
        <f t="shared" si="8"/>
        <v>4255.972156</v>
      </c>
      <c r="AB320" s="27">
        <f t="shared" si="9"/>
        <v>100.3767018</v>
      </c>
      <c r="AC320" s="114"/>
      <c r="AD320" s="119" t="s">
        <v>643</v>
      </c>
      <c r="AE320" s="114"/>
      <c r="AF320" s="114"/>
      <c r="AG320" s="114"/>
      <c r="AH320" s="114"/>
    </row>
    <row r="321">
      <c r="A321" s="114" t="s">
        <v>230</v>
      </c>
      <c r="B321" s="72" t="s">
        <v>609</v>
      </c>
      <c r="C321" s="171" t="s">
        <v>624</v>
      </c>
      <c r="D321" s="115" t="s">
        <v>644</v>
      </c>
      <c r="E321" s="116">
        <v>2021.0</v>
      </c>
      <c r="F321" s="114"/>
      <c r="G321" s="116">
        <v>0.0</v>
      </c>
      <c r="H321" s="116">
        <v>5.671</v>
      </c>
      <c r="I321" s="117">
        <v>0.46</v>
      </c>
      <c r="J321" s="116">
        <v>2.63</v>
      </c>
      <c r="K321" s="114"/>
      <c r="L321" s="114"/>
      <c r="M321" s="116">
        <v>2.0</v>
      </c>
      <c r="N321" s="116">
        <v>92.0</v>
      </c>
      <c r="O321" s="114"/>
      <c r="P321" s="140">
        <v>3435.0</v>
      </c>
      <c r="Q321" s="114" t="s">
        <v>234</v>
      </c>
      <c r="R321" s="115">
        <v>2021.0</v>
      </c>
      <c r="S321" s="136">
        <v>0.239000000000002</v>
      </c>
      <c r="T321" s="118">
        <f t="shared" si="69"/>
        <v>820.965</v>
      </c>
      <c r="U321" s="24">
        <f t="shared" si="3"/>
        <v>144.7654735</v>
      </c>
      <c r="V321" s="3">
        <f t="shared" si="28"/>
        <v>0</v>
      </c>
      <c r="W321" s="3">
        <f t="shared" si="29"/>
        <v>0</v>
      </c>
      <c r="X321" s="3">
        <f t="shared" si="30"/>
        <v>0</v>
      </c>
      <c r="Y321" s="25">
        <f t="shared" si="31"/>
        <v>0</v>
      </c>
      <c r="Z321" s="26">
        <f>VLOOKUP(R321,CPI!$A$2:$F$71,6,0)</f>
        <v>1.188745987</v>
      </c>
      <c r="AA321" s="27">
        <f t="shared" si="8"/>
        <v>975.9188489</v>
      </c>
      <c r="AB321" s="27">
        <f t="shared" si="9"/>
        <v>172.0893756</v>
      </c>
      <c r="AC321" s="114"/>
      <c r="AD321" s="119" t="s">
        <v>645</v>
      </c>
      <c r="AE321" s="119" t="s">
        <v>627</v>
      </c>
    </row>
    <row r="322">
      <c r="A322" s="114" t="s">
        <v>230</v>
      </c>
      <c r="B322" s="72" t="s">
        <v>609</v>
      </c>
      <c r="C322" s="72" t="s">
        <v>646</v>
      </c>
      <c r="D322" s="72" t="s">
        <v>646</v>
      </c>
      <c r="E322" s="116">
        <v>2021.0</v>
      </c>
      <c r="F322" s="114"/>
      <c r="G322" s="116">
        <v>0.0</v>
      </c>
      <c r="H322" s="116">
        <v>53.75</v>
      </c>
      <c r="I322" s="117">
        <v>0.57</v>
      </c>
      <c r="J322" s="116">
        <v>30.66</v>
      </c>
      <c r="K322" s="114"/>
      <c r="L322" s="114"/>
      <c r="M322" s="116">
        <v>16.0</v>
      </c>
      <c r="N322" s="116">
        <v>138.0</v>
      </c>
      <c r="O322" s="114"/>
      <c r="P322" s="140">
        <v>26852.0</v>
      </c>
      <c r="Q322" s="114" t="s">
        <v>234</v>
      </c>
      <c r="R322" s="115">
        <v>2021.0</v>
      </c>
      <c r="S322" s="136">
        <v>0.239000000000002</v>
      </c>
      <c r="T322" s="118">
        <f t="shared" si="69"/>
        <v>6417.628</v>
      </c>
      <c r="U322" s="24">
        <f t="shared" si="3"/>
        <v>119.3977302</v>
      </c>
      <c r="V322" s="3">
        <f t="shared" si="28"/>
        <v>0</v>
      </c>
      <c r="W322" s="3">
        <f t="shared" si="29"/>
        <v>0</v>
      </c>
      <c r="X322" s="3">
        <f t="shared" si="30"/>
        <v>0</v>
      </c>
      <c r="Y322" s="25">
        <f t="shared" si="31"/>
        <v>0</v>
      </c>
      <c r="Z322" s="26">
        <f>VLOOKUP(R322,CPI!$A$2:$F$71,6,0)</f>
        <v>1.188745987</v>
      </c>
      <c r="AA322" s="27">
        <f t="shared" si="8"/>
        <v>7628.929529</v>
      </c>
      <c r="AB322" s="27">
        <f t="shared" si="9"/>
        <v>141.9335726</v>
      </c>
      <c r="AC322" s="114"/>
      <c r="AD322" s="119" t="s">
        <v>647</v>
      </c>
      <c r="AE322" s="119" t="s">
        <v>648</v>
      </c>
    </row>
    <row r="323">
      <c r="A323" s="114" t="s">
        <v>230</v>
      </c>
      <c r="B323" s="114" t="s">
        <v>609</v>
      </c>
      <c r="C323" s="114" t="s">
        <v>649</v>
      </c>
      <c r="D323" s="114" t="s">
        <v>649</v>
      </c>
      <c r="E323" s="116">
        <v>2021.0</v>
      </c>
      <c r="F323" s="114"/>
      <c r="G323" s="116">
        <v>0.0</v>
      </c>
      <c r="H323" s="116">
        <v>26.313</v>
      </c>
      <c r="I323" s="117">
        <v>0.62</v>
      </c>
      <c r="J323" s="116">
        <v>16.26</v>
      </c>
      <c r="K323" s="114"/>
      <c r="L323" s="114"/>
      <c r="M323" s="116">
        <v>13.0</v>
      </c>
      <c r="N323" s="116">
        <v>117.0</v>
      </c>
      <c r="O323" s="114"/>
      <c r="P323" s="140">
        <v>20799.0</v>
      </c>
      <c r="Q323" s="114" t="s">
        <v>234</v>
      </c>
      <c r="R323" s="115">
        <v>2021.0</v>
      </c>
      <c r="S323" s="136">
        <v>0.239000000000002</v>
      </c>
      <c r="T323" s="118">
        <f t="shared" si="69"/>
        <v>4970.961</v>
      </c>
      <c r="U323" s="24">
        <f t="shared" si="3"/>
        <v>188.9165432</v>
      </c>
      <c r="V323" s="3">
        <f t="shared" si="28"/>
        <v>0</v>
      </c>
      <c r="W323" s="3">
        <f t="shared" si="29"/>
        <v>0</v>
      </c>
      <c r="X323" s="3">
        <f t="shared" si="30"/>
        <v>0</v>
      </c>
      <c r="Y323" s="25">
        <f t="shared" si="31"/>
        <v>0</v>
      </c>
      <c r="Z323" s="26">
        <f>VLOOKUP(R323,CPI!$A$2:$F$71,6,0)</f>
        <v>1.188745987</v>
      </c>
      <c r="AA323" s="27">
        <f t="shared" si="8"/>
        <v>5909.209938</v>
      </c>
      <c r="AB323" s="27">
        <f t="shared" si="9"/>
        <v>224.5737825</v>
      </c>
      <c r="AC323" s="114"/>
      <c r="AD323" s="119" t="s">
        <v>650</v>
      </c>
      <c r="AE323" s="119" t="s">
        <v>651</v>
      </c>
    </row>
    <row r="324">
      <c r="A324" s="114" t="s">
        <v>230</v>
      </c>
      <c r="B324" s="72" t="s">
        <v>609</v>
      </c>
      <c r="C324" s="171" t="s">
        <v>624</v>
      </c>
      <c r="D324" s="115" t="s">
        <v>652</v>
      </c>
      <c r="E324" s="116">
        <v>2022.0</v>
      </c>
      <c r="F324" s="114"/>
      <c r="G324" s="116">
        <v>0.0</v>
      </c>
      <c r="H324" s="116">
        <v>13.28</v>
      </c>
      <c r="I324" s="114"/>
      <c r="J324" s="114"/>
      <c r="K324" s="114"/>
      <c r="L324" s="114"/>
      <c r="M324" s="116">
        <v>6.0</v>
      </c>
      <c r="N324" s="116">
        <v>92.0</v>
      </c>
      <c r="O324" s="114"/>
      <c r="P324" s="140">
        <v>4420.0</v>
      </c>
      <c r="Q324" s="114" t="s">
        <v>234</v>
      </c>
      <c r="R324" s="115">
        <v>2021.0</v>
      </c>
      <c r="S324" s="136">
        <v>0.239000000000001</v>
      </c>
      <c r="T324" s="118">
        <f t="shared" si="69"/>
        <v>1056.38</v>
      </c>
      <c r="U324" s="24">
        <f t="shared" si="3"/>
        <v>79.54668675</v>
      </c>
      <c r="V324" s="3">
        <f t="shared" si="28"/>
        <v>0</v>
      </c>
      <c r="W324" s="3">
        <f t="shared" si="29"/>
        <v>0</v>
      </c>
      <c r="X324" s="3">
        <f t="shared" si="30"/>
        <v>0</v>
      </c>
      <c r="Y324" s="25">
        <f t="shared" si="31"/>
        <v>0</v>
      </c>
      <c r="Z324" s="26">
        <f>VLOOKUP(R324,CPI!$A$2:$F$71,6,0)</f>
        <v>1.188745987</v>
      </c>
      <c r="AA324" s="27">
        <f t="shared" si="8"/>
        <v>1255.767485</v>
      </c>
      <c r="AB324" s="27">
        <f t="shared" si="9"/>
        <v>94.56080462</v>
      </c>
      <c r="AC324" s="114"/>
      <c r="AD324" s="119" t="s">
        <v>653</v>
      </c>
      <c r="AE324" s="119" t="s">
        <v>627</v>
      </c>
    </row>
    <row r="325">
      <c r="A325" s="114" t="s">
        <v>230</v>
      </c>
      <c r="B325" s="72" t="s">
        <v>609</v>
      </c>
      <c r="C325" s="115" t="s">
        <v>611</v>
      </c>
      <c r="D325" s="115" t="s">
        <v>612</v>
      </c>
      <c r="E325" s="116">
        <v>2022.0</v>
      </c>
      <c r="F325" s="114"/>
      <c r="G325" s="116">
        <v>0.0</v>
      </c>
      <c r="H325" s="116">
        <v>24.0</v>
      </c>
      <c r="I325" s="114"/>
      <c r="J325" s="114"/>
      <c r="K325" s="114"/>
      <c r="L325" s="114"/>
      <c r="M325" s="116">
        <v>8.0</v>
      </c>
      <c r="N325" s="116">
        <v>78.0</v>
      </c>
      <c r="O325" s="114"/>
      <c r="P325" s="140">
        <v>6830.0</v>
      </c>
      <c r="Q325" s="114" t="s">
        <v>234</v>
      </c>
      <c r="R325" s="115">
        <v>2021.0</v>
      </c>
      <c r="S325" s="136">
        <v>0.239000000000001</v>
      </c>
      <c r="T325" s="118">
        <f t="shared" si="69"/>
        <v>1632.37</v>
      </c>
      <c r="U325" s="24">
        <f t="shared" si="3"/>
        <v>68.01541667</v>
      </c>
      <c r="V325" s="3">
        <f t="shared" si="28"/>
        <v>0</v>
      </c>
      <c r="W325" s="3">
        <f t="shared" si="29"/>
        <v>0</v>
      </c>
      <c r="X325" s="3">
        <f t="shared" si="30"/>
        <v>0</v>
      </c>
      <c r="Y325" s="25">
        <f t="shared" si="31"/>
        <v>0</v>
      </c>
      <c r="Z325" s="26">
        <f>VLOOKUP(R325,CPI!$A$2:$F$71,6,0)</f>
        <v>1.188745987</v>
      </c>
      <c r="AA325" s="27">
        <f t="shared" si="8"/>
        <v>1940.473286</v>
      </c>
      <c r="AB325" s="27">
        <f t="shared" si="9"/>
        <v>80.85305359</v>
      </c>
      <c r="AC325" s="114"/>
      <c r="AD325" s="119" t="s">
        <v>654</v>
      </c>
      <c r="AE325" s="114"/>
      <c r="AF325" s="114"/>
      <c r="AG325" s="114"/>
      <c r="AH325" s="114"/>
    </row>
    <row r="326">
      <c r="A326" s="114" t="s">
        <v>230</v>
      </c>
      <c r="B326" s="114" t="s">
        <v>655</v>
      </c>
      <c r="C326" s="16" t="s">
        <v>57</v>
      </c>
      <c r="D326" s="115" t="s">
        <v>232</v>
      </c>
      <c r="E326" s="116">
        <v>2011.0</v>
      </c>
      <c r="F326" s="116">
        <v>2016.0</v>
      </c>
      <c r="G326" s="116">
        <v>0.0</v>
      </c>
      <c r="H326" s="116">
        <v>32.1</v>
      </c>
      <c r="I326" s="117">
        <v>1.0</v>
      </c>
      <c r="J326" s="116">
        <v>32.1</v>
      </c>
      <c r="K326" s="114"/>
      <c r="L326" s="114"/>
      <c r="M326" s="116">
        <v>25.0</v>
      </c>
      <c r="N326" s="116">
        <v>117.0</v>
      </c>
      <c r="O326" s="114"/>
      <c r="P326" s="140">
        <v>19800.0</v>
      </c>
      <c r="Q326" s="114" t="s">
        <v>234</v>
      </c>
      <c r="R326" s="115">
        <v>2014.0</v>
      </c>
      <c r="S326" s="85">
        <v>0.266</v>
      </c>
      <c r="T326" s="118">
        <f t="shared" si="69"/>
        <v>5266.8</v>
      </c>
      <c r="U326" s="24">
        <f t="shared" si="3"/>
        <v>164.0747664</v>
      </c>
      <c r="V326" s="3">
        <f t="shared" si="28"/>
        <v>0</v>
      </c>
      <c r="W326" s="3">
        <f t="shared" si="29"/>
        <v>0</v>
      </c>
      <c r="X326" s="3">
        <f t="shared" si="30"/>
        <v>0</v>
      </c>
      <c r="Y326" s="25">
        <f t="shared" si="31"/>
        <v>0</v>
      </c>
      <c r="Z326" s="26">
        <f>VLOOKUP(R326,CPI!$A$2:$F$71,6,0)</f>
        <v>1.360648571</v>
      </c>
      <c r="AA326" s="27">
        <f t="shared" si="8"/>
        <v>7166.263891</v>
      </c>
      <c r="AB326" s="27">
        <f t="shared" si="9"/>
        <v>223.2480963</v>
      </c>
      <c r="AC326" s="114"/>
      <c r="AD326" s="119" t="s">
        <v>656</v>
      </c>
      <c r="AE326" s="114"/>
      <c r="AF326" s="114"/>
      <c r="AG326" s="114"/>
      <c r="AH326" s="114"/>
    </row>
    <row r="327">
      <c r="A327" s="114" t="s">
        <v>230</v>
      </c>
      <c r="B327" s="114" t="s">
        <v>655</v>
      </c>
      <c r="C327" s="115" t="s">
        <v>54</v>
      </c>
      <c r="D327" s="115" t="s">
        <v>348</v>
      </c>
      <c r="E327" s="116">
        <v>2014.0</v>
      </c>
      <c r="F327" s="116">
        <v>2017.0</v>
      </c>
      <c r="G327" s="116">
        <v>0.0</v>
      </c>
      <c r="H327" s="116">
        <v>21.2</v>
      </c>
      <c r="I327" s="117">
        <v>1.0</v>
      </c>
      <c r="J327" s="116">
        <v>21.2</v>
      </c>
      <c r="K327" s="114"/>
      <c r="L327" s="114"/>
      <c r="M327" s="116">
        <v>18.0</v>
      </c>
      <c r="N327" s="116">
        <v>117.0</v>
      </c>
      <c r="O327" s="114"/>
      <c r="P327" s="140">
        <v>15540.0</v>
      </c>
      <c r="Q327" s="114" t="s">
        <v>234</v>
      </c>
      <c r="R327" s="115">
        <v>2016.0</v>
      </c>
      <c r="S327" s="85">
        <v>0.251</v>
      </c>
      <c r="T327" s="118">
        <f t="shared" si="69"/>
        <v>3900.54</v>
      </c>
      <c r="U327" s="24">
        <f t="shared" si="3"/>
        <v>183.9877358</v>
      </c>
      <c r="V327" s="3">
        <f t="shared" si="28"/>
        <v>0</v>
      </c>
      <c r="W327" s="3">
        <f t="shared" si="29"/>
        <v>0</v>
      </c>
      <c r="X327" s="3">
        <f t="shared" si="30"/>
        <v>0</v>
      </c>
      <c r="Y327" s="25">
        <f t="shared" si="31"/>
        <v>0</v>
      </c>
      <c r="Z327" s="26">
        <f>VLOOKUP(R327,CPI!$A$2:$F$71,6,0)</f>
        <v>1.342104605</v>
      </c>
      <c r="AA327" s="27">
        <f t="shared" si="8"/>
        <v>5234.932697</v>
      </c>
      <c r="AB327" s="27">
        <f t="shared" si="9"/>
        <v>246.9307876</v>
      </c>
      <c r="AC327" s="114"/>
      <c r="AD327" s="161" t="s">
        <v>657</v>
      </c>
      <c r="AE327" s="114"/>
      <c r="AF327" s="114"/>
      <c r="AG327" s="114"/>
      <c r="AH327" s="114"/>
    </row>
    <row r="328">
      <c r="A328" s="123" t="s">
        <v>230</v>
      </c>
      <c r="B328" s="123" t="s">
        <v>655</v>
      </c>
      <c r="C328" s="16" t="s">
        <v>87</v>
      </c>
      <c r="D328" s="123" t="s">
        <v>658</v>
      </c>
      <c r="E328" s="75">
        <v>2015.0</v>
      </c>
      <c r="F328" s="75">
        <v>2019.0</v>
      </c>
      <c r="G328" s="75">
        <v>0.0</v>
      </c>
      <c r="H328" s="75">
        <v>27.7</v>
      </c>
      <c r="I328" s="124">
        <v>1.0</v>
      </c>
      <c r="J328" s="75">
        <v>27.7</v>
      </c>
      <c r="K328" s="125">
        <v>0.0</v>
      </c>
      <c r="L328" s="125">
        <v>0.0</v>
      </c>
      <c r="M328" s="75">
        <v>23.0</v>
      </c>
      <c r="N328" s="152">
        <v>117.0</v>
      </c>
      <c r="O328" s="123" t="s">
        <v>60</v>
      </c>
      <c r="P328" s="126">
        <v>19343.0</v>
      </c>
      <c r="Q328" s="123" t="s">
        <v>234</v>
      </c>
      <c r="R328" s="75">
        <v>2015.0</v>
      </c>
      <c r="S328" s="136">
        <v>0.258</v>
      </c>
      <c r="T328" s="128">
        <f t="shared" si="69"/>
        <v>4990.494</v>
      </c>
      <c r="U328" s="24">
        <f t="shared" si="3"/>
        <v>180.1622383</v>
      </c>
      <c r="V328" s="3">
        <f t="shared" si="28"/>
        <v>0</v>
      </c>
      <c r="W328" s="3">
        <f t="shared" si="29"/>
        <v>0</v>
      </c>
      <c r="X328" s="3">
        <f t="shared" si="30"/>
        <v>0</v>
      </c>
      <c r="Y328" s="25">
        <f t="shared" si="31"/>
        <v>0</v>
      </c>
      <c r="Z328" s="26">
        <f>VLOOKUP(R328,CPI!$A$2:$F$71,6,0)</f>
        <v>1.359035428</v>
      </c>
      <c r="AA328" s="27">
        <f t="shared" si="8"/>
        <v>6782.258148</v>
      </c>
      <c r="AB328" s="27">
        <f t="shared" si="9"/>
        <v>244.8468646</v>
      </c>
      <c r="AC328" s="123" t="s">
        <v>42</v>
      </c>
      <c r="AD328" s="129" t="s">
        <v>659</v>
      </c>
      <c r="AE328" s="34"/>
      <c r="AF328" s="34"/>
      <c r="AG328" s="34"/>
      <c r="AH328" s="34"/>
    </row>
    <row r="329">
      <c r="A329" s="72" t="s">
        <v>230</v>
      </c>
      <c r="B329" s="72" t="s">
        <v>655</v>
      </c>
      <c r="C329" s="16" t="s">
        <v>110</v>
      </c>
      <c r="D329" s="115" t="s">
        <v>332</v>
      </c>
      <c r="E329" s="72"/>
      <c r="F329" s="69">
        <v>2020.0</v>
      </c>
      <c r="G329" s="69">
        <v>0.0</v>
      </c>
      <c r="H329" s="69">
        <v>24.98</v>
      </c>
      <c r="I329" s="117">
        <v>1.0</v>
      </c>
      <c r="J329" s="69">
        <v>24.98</v>
      </c>
      <c r="K329" s="72"/>
      <c r="L329" s="72"/>
      <c r="M329" s="69">
        <v>19.0</v>
      </c>
      <c r="N329" s="69">
        <v>117.0</v>
      </c>
      <c r="O329" s="72"/>
      <c r="P329" s="140">
        <v>17330.0</v>
      </c>
      <c r="Q329" s="72" t="s">
        <v>234</v>
      </c>
      <c r="R329" s="115">
        <v>2020.0</v>
      </c>
      <c r="S329" s="136">
        <v>0.239</v>
      </c>
      <c r="T329" s="118">
        <f t="shared" si="69"/>
        <v>4141.87</v>
      </c>
      <c r="U329" s="24">
        <f t="shared" si="3"/>
        <v>165.807446</v>
      </c>
      <c r="V329" s="3">
        <f t="shared" si="28"/>
        <v>0</v>
      </c>
      <c r="W329" s="3">
        <f t="shared" si="29"/>
        <v>0</v>
      </c>
      <c r="X329" s="3">
        <f t="shared" si="30"/>
        <v>0</v>
      </c>
      <c r="Y329" s="25">
        <f t="shared" si="31"/>
        <v>0</v>
      </c>
      <c r="Z329" s="26">
        <f>VLOOKUP(R329,CPI!$A$2:$F$71,6,0)</f>
        <v>1.244593545</v>
      </c>
      <c r="AA329" s="27">
        <f t="shared" si="8"/>
        <v>5154.944667</v>
      </c>
      <c r="AB329" s="27">
        <f t="shared" si="9"/>
        <v>206.362877</v>
      </c>
      <c r="AC329" s="72" t="s">
        <v>36</v>
      </c>
      <c r="AD329" s="79" t="s">
        <v>660</v>
      </c>
      <c r="AE329" s="72"/>
      <c r="AF329" s="72"/>
      <c r="AG329" s="72"/>
      <c r="AH329" s="72"/>
    </row>
    <row r="330">
      <c r="A330" s="123" t="s">
        <v>230</v>
      </c>
      <c r="B330" s="123" t="s">
        <v>655</v>
      </c>
      <c r="C330" s="36" t="s">
        <v>54</v>
      </c>
      <c r="D330" s="123" t="s">
        <v>315</v>
      </c>
      <c r="E330" s="75">
        <v>2017.0</v>
      </c>
      <c r="F330" s="75">
        <v>2021.0</v>
      </c>
      <c r="G330" s="75">
        <v>0.0</v>
      </c>
      <c r="H330" s="75">
        <v>6.5</v>
      </c>
      <c r="I330" s="124">
        <v>1.0</v>
      </c>
      <c r="J330" s="75">
        <v>6.5</v>
      </c>
      <c r="K330" s="125">
        <v>0.0</v>
      </c>
      <c r="L330" s="125">
        <v>0.0</v>
      </c>
      <c r="M330" s="75">
        <v>4.0</v>
      </c>
      <c r="N330" s="152">
        <v>117.0</v>
      </c>
      <c r="O330" s="123" t="s">
        <v>42</v>
      </c>
      <c r="P330" s="126">
        <v>4898.0</v>
      </c>
      <c r="Q330" s="123" t="s">
        <v>234</v>
      </c>
      <c r="R330" s="75">
        <v>2017.0</v>
      </c>
      <c r="S330" s="136">
        <v>0.239</v>
      </c>
      <c r="T330" s="128">
        <f t="shared" si="69"/>
        <v>1170.622</v>
      </c>
      <c r="U330" s="24">
        <f t="shared" si="3"/>
        <v>180.0956923</v>
      </c>
      <c r="V330" s="3">
        <f t="shared" si="28"/>
        <v>0</v>
      </c>
      <c r="W330" s="3">
        <f t="shared" si="29"/>
        <v>0</v>
      </c>
      <c r="X330" s="3">
        <f t="shared" si="30"/>
        <v>0</v>
      </c>
      <c r="Y330" s="25">
        <f t="shared" si="31"/>
        <v>0</v>
      </c>
      <c r="Z330" s="26">
        <f>VLOOKUP(R330,CPI!$A$2:$F$71,6,0)</f>
        <v>1.314109416</v>
      </c>
      <c r="AA330" s="27">
        <f t="shared" si="8"/>
        <v>1538.325393</v>
      </c>
      <c r="AB330" s="27">
        <f t="shared" si="9"/>
        <v>236.665445</v>
      </c>
      <c r="AC330" s="123" t="s">
        <v>42</v>
      </c>
      <c r="AD330" s="129" t="s">
        <v>661</v>
      </c>
      <c r="AE330" s="34"/>
      <c r="AF330" s="34"/>
      <c r="AG330" s="34"/>
      <c r="AH330" s="34"/>
    </row>
    <row r="331">
      <c r="A331" s="72" t="s">
        <v>230</v>
      </c>
      <c r="B331" s="72" t="s">
        <v>655</v>
      </c>
      <c r="C331" s="115" t="s">
        <v>84</v>
      </c>
      <c r="D331" s="115" t="s">
        <v>319</v>
      </c>
      <c r="E331" s="72"/>
      <c r="F331" s="69">
        <v>2021.0</v>
      </c>
      <c r="G331" s="69">
        <v>0.0</v>
      </c>
      <c r="H331" s="69">
        <v>20.22</v>
      </c>
      <c r="I331" s="117">
        <v>1.0</v>
      </c>
      <c r="J331" s="69">
        <v>20.22</v>
      </c>
      <c r="K331" s="72"/>
      <c r="L331" s="72"/>
      <c r="M331" s="69">
        <v>17.0</v>
      </c>
      <c r="N331" s="69">
        <v>117.0</v>
      </c>
      <c r="O331" s="72"/>
      <c r="P331" s="140">
        <v>16400.0</v>
      </c>
      <c r="Q331" s="72" t="s">
        <v>234</v>
      </c>
      <c r="R331" s="115">
        <v>2021.0</v>
      </c>
      <c r="S331" s="136">
        <v>0.239</v>
      </c>
      <c r="T331" s="118">
        <f t="shared" si="69"/>
        <v>3919.6</v>
      </c>
      <c r="U331" s="24">
        <f t="shared" si="3"/>
        <v>193.8476756</v>
      </c>
      <c r="V331" s="3">
        <f t="shared" si="28"/>
        <v>0</v>
      </c>
      <c r="W331" s="3">
        <f t="shared" si="29"/>
        <v>0</v>
      </c>
      <c r="X331" s="3">
        <f t="shared" si="30"/>
        <v>0</v>
      </c>
      <c r="Y331" s="25">
        <f t="shared" si="31"/>
        <v>0</v>
      </c>
      <c r="Z331" s="26">
        <f>VLOOKUP(R331,CPI!$A$2:$F$71,6,0)</f>
        <v>1.188745987</v>
      </c>
      <c r="AA331" s="27">
        <f t="shared" si="8"/>
        <v>4659.408769</v>
      </c>
      <c r="AB331" s="27">
        <f t="shared" si="9"/>
        <v>230.4356464</v>
      </c>
      <c r="AC331" s="72" t="s">
        <v>36</v>
      </c>
      <c r="AD331" s="79" t="s">
        <v>662</v>
      </c>
      <c r="AE331" s="72"/>
      <c r="AF331" s="72"/>
      <c r="AG331" s="72"/>
      <c r="AH331" s="72"/>
    </row>
    <row r="332">
      <c r="A332" s="66" t="s">
        <v>230</v>
      </c>
      <c r="B332" s="114" t="s">
        <v>655</v>
      </c>
      <c r="C332" s="114" t="s">
        <v>663</v>
      </c>
      <c r="D332" s="114" t="s">
        <v>663</v>
      </c>
      <c r="E332" s="116">
        <v>2021.0</v>
      </c>
      <c r="F332" s="114"/>
      <c r="G332" s="116">
        <v>0.0</v>
      </c>
      <c r="H332" s="116">
        <v>22.8</v>
      </c>
      <c r="I332" s="114"/>
      <c r="J332" s="114"/>
      <c r="K332" s="114"/>
      <c r="L332" s="114"/>
      <c r="M332" s="116">
        <v>5.0</v>
      </c>
      <c r="N332" s="116"/>
      <c r="O332" s="114"/>
      <c r="P332" s="140">
        <v>8450.0</v>
      </c>
      <c r="Q332" s="114" t="s">
        <v>234</v>
      </c>
      <c r="R332" s="115">
        <v>2021.0</v>
      </c>
      <c r="S332" s="136">
        <v>0.239000000000001</v>
      </c>
      <c r="T332" s="118">
        <f t="shared" si="69"/>
        <v>2019.55</v>
      </c>
      <c r="U332" s="24">
        <f t="shared" si="3"/>
        <v>88.57675439</v>
      </c>
      <c r="V332" s="3">
        <f t="shared" si="28"/>
        <v>0</v>
      </c>
      <c r="W332" s="3">
        <f t="shared" si="29"/>
        <v>0</v>
      </c>
      <c r="X332" s="3">
        <f t="shared" si="30"/>
        <v>0</v>
      </c>
      <c r="Y332" s="25">
        <f t="shared" si="31"/>
        <v>0</v>
      </c>
      <c r="Z332" s="26">
        <f>VLOOKUP(R332,CPI!$A$2:$F$71,6,0)</f>
        <v>1.188745987</v>
      </c>
      <c r="AA332" s="27">
        <f t="shared" si="8"/>
        <v>2400.731957</v>
      </c>
      <c r="AB332" s="27">
        <f t="shared" si="9"/>
        <v>105.2952613</v>
      </c>
      <c r="AC332" s="114"/>
      <c r="AD332" s="119" t="s">
        <v>664</v>
      </c>
      <c r="AE332" s="114"/>
      <c r="AF332" s="114"/>
      <c r="AG332" s="114"/>
      <c r="AH332" s="114"/>
    </row>
    <row r="333">
      <c r="A333" s="66" t="s">
        <v>230</v>
      </c>
      <c r="B333" s="114" t="s">
        <v>655</v>
      </c>
      <c r="C333" s="114" t="s">
        <v>665</v>
      </c>
      <c r="D333" s="114" t="s">
        <v>665</v>
      </c>
      <c r="E333" s="116">
        <v>2021.0</v>
      </c>
      <c r="F333" s="114"/>
      <c r="G333" s="116">
        <v>0.0</v>
      </c>
      <c r="H333" s="116">
        <v>53.2</v>
      </c>
      <c r="I333" s="117">
        <v>0.2</v>
      </c>
      <c r="J333" s="116">
        <v>10.6</v>
      </c>
      <c r="K333" s="114"/>
      <c r="L333" s="114"/>
      <c r="M333" s="116">
        <v>13.0</v>
      </c>
      <c r="N333" s="116">
        <v>117.0</v>
      </c>
      <c r="O333" s="114"/>
      <c r="P333" s="140">
        <v>16500.0</v>
      </c>
      <c r="Q333" s="114" t="s">
        <v>234</v>
      </c>
      <c r="R333" s="115">
        <v>2021.0</v>
      </c>
      <c r="S333" s="136">
        <v>0.239000000000001</v>
      </c>
      <c r="T333" s="118">
        <f t="shared" si="69"/>
        <v>3943.5</v>
      </c>
      <c r="U333" s="24">
        <f t="shared" si="3"/>
        <v>74.12593985</v>
      </c>
      <c r="V333" s="3">
        <f t="shared" si="28"/>
        <v>0</v>
      </c>
      <c r="W333" s="3">
        <f t="shared" si="29"/>
        <v>0</v>
      </c>
      <c r="X333" s="3">
        <f t="shared" si="30"/>
        <v>0</v>
      </c>
      <c r="Y333" s="25">
        <f t="shared" si="31"/>
        <v>0</v>
      </c>
      <c r="Z333" s="26">
        <f>VLOOKUP(R333,CPI!$A$2:$F$71,6,0)</f>
        <v>1.188745987</v>
      </c>
      <c r="AA333" s="27">
        <f t="shared" si="8"/>
        <v>4687.819798</v>
      </c>
      <c r="AB333" s="27">
        <f t="shared" si="9"/>
        <v>88.1169135</v>
      </c>
      <c r="AC333" s="114"/>
      <c r="AD333" s="119" t="s">
        <v>666</v>
      </c>
      <c r="AE333" s="114"/>
      <c r="AF333" s="114"/>
      <c r="AG333" s="114"/>
      <c r="AH333" s="114"/>
    </row>
    <row r="334">
      <c r="A334" s="66" t="s">
        <v>230</v>
      </c>
      <c r="B334" s="114" t="s">
        <v>667</v>
      </c>
      <c r="C334" s="114" t="s">
        <v>57</v>
      </c>
      <c r="D334" s="114" t="s">
        <v>57</v>
      </c>
      <c r="E334" s="116">
        <v>2019.0</v>
      </c>
      <c r="F334" s="114"/>
      <c r="G334" s="116">
        <v>0.0</v>
      </c>
      <c r="H334" s="116">
        <v>39.4</v>
      </c>
      <c r="I334" s="117">
        <v>1.0</v>
      </c>
      <c r="J334" s="116">
        <v>39.4</v>
      </c>
      <c r="K334" s="114"/>
      <c r="L334" s="114"/>
      <c r="M334" s="116">
        <v>28.0</v>
      </c>
      <c r="N334" s="116">
        <v>117.0</v>
      </c>
      <c r="O334" s="114"/>
      <c r="P334" s="140">
        <v>26902.0</v>
      </c>
      <c r="Q334" s="114" t="s">
        <v>234</v>
      </c>
      <c r="R334" s="115">
        <v>2019.0</v>
      </c>
      <c r="S334" s="136">
        <v>0.238</v>
      </c>
      <c r="T334" s="118">
        <f t="shared" si="69"/>
        <v>6402.676</v>
      </c>
      <c r="U334" s="24">
        <f t="shared" si="3"/>
        <v>162.504467</v>
      </c>
      <c r="V334" s="3">
        <f t="shared" si="28"/>
        <v>0</v>
      </c>
      <c r="W334" s="3">
        <f t="shared" si="29"/>
        <v>0</v>
      </c>
      <c r="X334" s="3">
        <f t="shared" si="30"/>
        <v>0</v>
      </c>
      <c r="Y334" s="25">
        <f t="shared" si="31"/>
        <v>0</v>
      </c>
      <c r="Z334" s="26">
        <f>VLOOKUP(R334,CPI!$A$2:$F$71,6,0)</f>
        <v>1.259947899</v>
      </c>
      <c r="AA334" s="27">
        <f t="shared" si="8"/>
        <v>8067.038174</v>
      </c>
      <c r="AB334" s="27">
        <f t="shared" si="9"/>
        <v>204.7471618</v>
      </c>
      <c r="AC334" s="114"/>
      <c r="AD334" s="119" t="s">
        <v>668</v>
      </c>
      <c r="AE334" s="208"/>
      <c r="AF334" s="208"/>
      <c r="AG334" s="208"/>
      <c r="AH334" s="208"/>
    </row>
    <row r="335">
      <c r="A335" s="114" t="s">
        <v>230</v>
      </c>
      <c r="B335" s="114" t="s">
        <v>667</v>
      </c>
      <c r="C335" s="114" t="s">
        <v>54</v>
      </c>
      <c r="D335" s="114" t="s">
        <v>54</v>
      </c>
      <c r="E335" s="116">
        <v>2020.0</v>
      </c>
      <c r="F335" s="114"/>
      <c r="G335" s="116">
        <v>0.0</v>
      </c>
      <c r="H335" s="116">
        <v>20.85</v>
      </c>
      <c r="I335" s="117">
        <v>1.0</v>
      </c>
      <c r="J335" s="116">
        <v>20.85</v>
      </c>
      <c r="K335" s="114"/>
      <c r="L335" s="114"/>
      <c r="M335" s="116">
        <v>17.0</v>
      </c>
      <c r="N335" s="116">
        <v>117.0</v>
      </c>
      <c r="O335" s="114"/>
      <c r="P335" s="140">
        <v>15119.64</v>
      </c>
      <c r="Q335" s="114" t="s">
        <v>234</v>
      </c>
      <c r="R335" s="115">
        <v>2020.0</v>
      </c>
      <c r="S335" s="136">
        <v>0.239</v>
      </c>
      <c r="T335" s="118">
        <f t="shared" si="69"/>
        <v>3613.59396</v>
      </c>
      <c r="U335" s="24">
        <f t="shared" si="3"/>
        <v>173.313859</v>
      </c>
      <c r="V335" s="3">
        <f t="shared" si="28"/>
        <v>0</v>
      </c>
      <c r="W335" s="3">
        <f t="shared" si="29"/>
        <v>0</v>
      </c>
      <c r="X335" s="3">
        <f t="shared" si="30"/>
        <v>0</v>
      </c>
      <c r="Y335" s="25">
        <f t="shared" si="31"/>
        <v>0</v>
      </c>
      <c r="Z335" s="26">
        <f>VLOOKUP(R335,CPI!$A$2:$F$71,6,0)</f>
        <v>1.244593545</v>
      </c>
      <c r="AA335" s="27">
        <f t="shared" si="8"/>
        <v>4497.455717</v>
      </c>
      <c r="AB335" s="27">
        <f t="shared" si="9"/>
        <v>215.7053102</v>
      </c>
      <c r="AC335" s="114"/>
      <c r="AD335" s="119" t="s">
        <v>669</v>
      </c>
      <c r="AE335" s="114"/>
      <c r="AF335" s="114"/>
      <c r="AG335" s="114"/>
      <c r="AH335" s="114"/>
    </row>
    <row r="336">
      <c r="A336" s="114" t="s">
        <v>230</v>
      </c>
      <c r="B336" s="114" t="s">
        <v>670</v>
      </c>
      <c r="C336" s="115" t="s">
        <v>87</v>
      </c>
      <c r="D336" s="115" t="s">
        <v>331</v>
      </c>
      <c r="E336" s="114"/>
      <c r="F336" s="116">
        <v>2019.0</v>
      </c>
      <c r="G336" s="116">
        <v>0.0</v>
      </c>
      <c r="H336" s="116">
        <v>16.73</v>
      </c>
      <c r="I336" s="117">
        <v>1.0</v>
      </c>
      <c r="J336" s="116">
        <v>16.73</v>
      </c>
      <c r="K336" s="114"/>
      <c r="L336" s="114"/>
      <c r="M336" s="116">
        <v>15.0</v>
      </c>
      <c r="N336" s="116">
        <v>117.0</v>
      </c>
      <c r="O336" s="114"/>
      <c r="P336" s="140">
        <v>14870.0</v>
      </c>
      <c r="Q336" s="114" t="s">
        <v>234</v>
      </c>
      <c r="R336" s="115">
        <v>2019.0</v>
      </c>
      <c r="S336" s="136">
        <v>0.238</v>
      </c>
      <c r="T336" s="118">
        <f t="shared" si="69"/>
        <v>3539.06</v>
      </c>
      <c r="U336" s="24">
        <f t="shared" si="3"/>
        <v>211.539749</v>
      </c>
      <c r="V336" s="3">
        <f t="shared" si="28"/>
        <v>0</v>
      </c>
      <c r="W336" s="3">
        <f t="shared" si="29"/>
        <v>0</v>
      </c>
      <c r="X336" s="3">
        <f t="shared" si="30"/>
        <v>0</v>
      </c>
      <c r="Y336" s="25">
        <f t="shared" si="31"/>
        <v>0</v>
      </c>
      <c r="Z336" s="26">
        <f>VLOOKUP(R336,CPI!$A$2:$F$71,6,0)</f>
        <v>1.259947899</v>
      </c>
      <c r="AA336" s="27">
        <f t="shared" si="8"/>
        <v>4459.031211</v>
      </c>
      <c r="AB336" s="27">
        <f t="shared" si="9"/>
        <v>266.5290622</v>
      </c>
      <c r="AC336" s="114"/>
      <c r="AD336" s="119" t="s">
        <v>671</v>
      </c>
      <c r="AE336" s="119" t="s">
        <v>672</v>
      </c>
    </row>
    <row r="337">
      <c r="A337" s="114" t="s">
        <v>230</v>
      </c>
      <c r="B337" s="114" t="s">
        <v>670</v>
      </c>
      <c r="C337" s="209" t="s">
        <v>673</v>
      </c>
      <c r="D337" s="209" t="s">
        <v>673</v>
      </c>
      <c r="E337" s="114"/>
      <c r="F337" s="116">
        <v>2019.0</v>
      </c>
      <c r="G337" s="116">
        <v>0.0</v>
      </c>
      <c r="H337" s="116">
        <v>21.59</v>
      </c>
      <c r="I337" s="117">
        <v>0.04</v>
      </c>
      <c r="J337" s="116">
        <v>0.84</v>
      </c>
      <c r="K337" s="114"/>
      <c r="L337" s="114"/>
      <c r="M337" s="116">
        <v>9.0</v>
      </c>
      <c r="N337" s="116">
        <v>117.0</v>
      </c>
      <c r="O337" s="114"/>
      <c r="P337" s="140">
        <v>7386.0</v>
      </c>
      <c r="Q337" s="114" t="s">
        <v>234</v>
      </c>
      <c r="R337" s="115">
        <v>2019.0</v>
      </c>
      <c r="S337" s="136">
        <v>0.238</v>
      </c>
      <c r="T337" s="118">
        <f t="shared" si="69"/>
        <v>1757.868</v>
      </c>
      <c r="U337" s="24">
        <f t="shared" si="3"/>
        <v>81.42047244</v>
      </c>
      <c r="V337" s="3">
        <f t="shared" si="28"/>
        <v>0</v>
      </c>
      <c r="W337" s="3">
        <f t="shared" si="29"/>
        <v>0</v>
      </c>
      <c r="X337" s="3">
        <f t="shared" si="30"/>
        <v>0</v>
      </c>
      <c r="Y337" s="25">
        <f t="shared" si="31"/>
        <v>0</v>
      </c>
      <c r="Z337" s="26">
        <f>VLOOKUP(R337,CPI!$A$2:$F$71,6,0)</f>
        <v>1.259947899</v>
      </c>
      <c r="AA337" s="27">
        <f t="shared" si="8"/>
        <v>2214.822093</v>
      </c>
      <c r="AB337" s="27">
        <f t="shared" si="9"/>
        <v>102.5855532</v>
      </c>
      <c r="AC337" s="114"/>
      <c r="AD337" s="119" t="s">
        <v>674</v>
      </c>
      <c r="AE337" s="114"/>
      <c r="AF337" s="114"/>
      <c r="AG337" s="114"/>
      <c r="AH337" s="114"/>
    </row>
    <row r="338">
      <c r="A338" s="114" t="s">
        <v>230</v>
      </c>
      <c r="B338" s="114" t="s">
        <v>670</v>
      </c>
      <c r="C338" s="114" t="s">
        <v>675</v>
      </c>
      <c r="D338" s="114" t="s">
        <v>675</v>
      </c>
      <c r="E338" s="116">
        <v>2013.0</v>
      </c>
      <c r="F338" s="116">
        <v>2020.0</v>
      </c>
      <c r="G338" s="116">
        <v>0.0</v>
      </c>
      <c r="H338" s="116">
        <v>100.1</v>
      </c>
      <c r="I338" s="114"/>
      <c r="J338" s="114"/>
      <c r="K338" s="114"/>
      <c r="L338" s="114"/>
      <c r="M338" s="114"/>
      <c r="N338" s="116">
        <v>117.0</v>
      </c>
      <c r="O338" s="114"/>
      <c r="P338" s="140">
        <v>64040.0</v>
      </c>
      <c r="Q338" s="114" t="s">
        <v>234</v>
      </c>
      <c r="R338" s="115">
        <v>2017.0</v>
      </c>
      <c r="S338" s="85">
        <v>0.239</v>
      </c>
      <c r="T338" s="118">
        <f t="shared" si="69"/>
        <v>15305.56</v>
      </c>
      <c r="U338" s="24">
        <f t="shared" si="3"/>
        <v>152.9026973</v>
      </c>
      <c r="V338" s="3">
        <f t="shared" si="28"/>
        <v>0</v>
      </c>
      <c r="W338" s="3">
        <f t="shared" si="29"/>
        <v>0</v>
      </c>
      <c r="X338" s="3">
        <f t="shared" si="30"/>
        <v>0</v>
      </c>
      <c r="Y338" s="25">
        <f t="shared" si="31"/>
        <v>0</v>
      </c>
      <c r="Z338" s="26">
        <f>VLOOKUP(R338,CPI!$A$2:$F$71,6,0)</f>
        <v>1.314109416</v>
      </c>
      <c r="AA338" s="27">
        <f t="shared" si="8"/>
        <v>20113.18051</v>
      </c>
      <c r="AB338" s="27">
        <f t="shared" si="9"/>
        <v>200.9308742</v>
      </c>
      <c r="AC338" s="114"/>
      <c r="AD338" s="161" t="s">
        <v>676</v>
      </c>
      <c r="AE338" s="114"/>
      <c r="AF338" s="114"/>
      <c r="AG338" s="114"/>
      <c r="AH338" s="114"/>
    </row>
    <row r="339">
      <c r="A339" s="114" t="s">
        <v>230</v>
      </c>
      <c r="B339" s="114" t="s">
        <v>670</v>
      </c>
      <c r="C339" s="114" t="s">
        <v>110</v>
      </c>
      <c r="D339" s="114" t="s">
        <v>110</v>
      </c>
      <c r="E339" s="114"/>
      <c r="F339" s="116">
        <v>2021.0</v>
      </c>
      <c r="G339" s="116">
        <v>0.0</v>
      </c>
      <c r="H339" s="116">
        <v>35.95</v>
      </c>
      <c r="I339" s="117">
        <v>0.68</v>
      </c>
      <c r="J339" s="116">
        <v>24.45</v>
      </c>
      <c r="K339" s="114"/>
      <c r="L339" s="114"/>
      <c r="M339" s="116">
        <v>25.0</v>
      </c>
      <c r="N339" s="116">
        <v>117.0</v>
      </c>
      <c r="O339" s="114"/>
      <c r="P339" s="140">
        <v>20560.0</v>
      </c>
      <c r="Q339" s="114" t="s">
        <v>234</v>
      </c>
      <c r="R339" s="115">
        <v>2021.0</v>
      </c>
      <c r="S339" s="136">
        <v>0.239</v>
      </c>
      <c r="T339" s="118">
        <f t="shared" si="69"/>
        <v>4913.84</v>
      </c>
      <c r="U339" s="24">
        <f t="shared" si="3"/>
        <v>136.6853964</v>
      </c>
      <c r="V339" s="3">
        <f t="shared" si="28"/>
        <v>0</v>
      </c>
      <c r="W339" s="3">
        <f t="shared" si="29"/>
        <v>0</v>
      </c>
      <c r="X339" s="3">
        <f t="shared" si="30"/>
        <v>0</v>
      </c>
      <c r="Y339" s="25">
        <f t="shared" si="31"/>
        <v>0</v>
      </c>
      <c r="Z339" s="26">
        <f>VLOOKUP(R339,CPI!$A$2:$F$71,6,0)</f>
        <v>1.188745987</v>
      </c>
      <c r="AA339" s="27">
        <f t="shared" si="8"/>
        <v>5841.307579</v>
      </c>
      <c r="AB339" s="27">
        <f t="shared" si="9"/>
        <v>162.4842164</v>
      </c>
      <c r="AC339" s="114"/>
      <c r="AD339" s="119" t="s">
        <v>677</v>
      </c>
      <c r="AE339" s="114"/>
      <c r="AF339" s="114"/>
      <c r="AG339" s="114"/>
      <c r="AH339" s="114"/>
    </row>
    <row r="340">
      <c r="A340" s="114" t="s">
        <v>230</v>
      </c>
      <c r="B340" s="114" t="s">
        <v>670</v>
      </c>
      <c r="C340" s="115" t="s">
        <v>87</v>
      </c>
      <c r="D340" s="114" t="s">
        <v>321</v>
      </c>
      <c r="E340" s="116">
        <v>2020.0</v>
      </c>
      <c r="F340" s="114"/>
      <c r="G340" s="116">
        <v>0.0</v>
      </c>
      <c r="H340" s="116">
        <v>12.7</v>
      </c>
      <c r="I340" s="117">
        <v>0.17</v>
      </c>
      <c r="J340" s="116">
        <v>2.2</v>
      </c>
      <c r="K340" s="114"/>
      <c r="L340" s="114"/>
      <c r="M340" s="116">
        <v>6.0</v>
      </c>
      <c r="N340" s="116">
        <v>117.0</v>
      </c>
      <c r="O340" s="114"/>
      <c r="P340" s="140">
        <v>5200.0</v>
      </c>
      <c r="Q340" s="114" t="s">
        <v>234</v>
      </c>
      <c r="R340" s="115">
        <v>2020.0</v>
      </c>
      <c r="S340" s="136">
        <v>0.239</v>
      </c>
      <c r="T340" s="118">
        <f t="shared" si="69"/>
        <v>1242.8</v>
      </c>
      <c r="U340" s="24">
        <f t="shared" si="3"/>
        <v>97.85826772</v>
      </c>
      <c r="V340" s="3">
        <f t="shared" si="28"/>
        <v>0</v>
      </c>
      <c r="W340" s="3">
        <f t="shared" si="29"/>
        <v>0</v>
      </c>
      <c r="X340" s="3">
        <f t="shared" si="30"/>
        <v>0</v>
      </c>
      <c r="Y340" s="25">
        <f t="shared" si="31"/>
        <v>0</v>
      </c>
      <c r="Z340" s="26">
        <f>VLOOKUP(R340,CPI!$A$2:$F$71,6,0)</f>
        <v>1.244593545</v>
      </c>
      <c r="AA340" s="27">
        <f t="shared" si="8"/>
        <v>1546.780858</v>
      </c>
      <c r="AB340" s="27">
        <f t="shared" si="9"/>
        <v>121.7937683</v>
      </c>
      <c r="AC340" s="114"/>
      <c r="AD340" s="119" t="s">
        <v>678</v>
      </c>
      <c r="AE340" s="114"/>
      <c r="AF340" s="114"/>
      <c r="AG340" s="114"/>
      <c r="AH340" s="114"/>
    </row>
    <row r="341">
      <c r="A341" s="114" t="s">
        <v>230</v>
      </c>
      <c r="B341" s="114" t="s">
        <v>670</v>
      </c>
      <c r="C341" s="115" t="s">
        <v>87</v>
      </c>
      <c r="D341" s="115" t="s">
        <v>357</v>
      </c>
      <c r="E341" s="116">
        <v>2021.0</v>
      </c>
      <c r="F341" s="114"/>
      <c r="G341" s="116">
        <v>0.0</v>
      </c>
      <c r="H341" s="116">
        <v>9.05</v>
      </c>
      <c r="I341" s="117">
        <v>1.0</v>
      </c>
      <c r="J341" s="116">
        <v>9.05</v>
      </c>
      <c r="K341" s="114"/>
      <c r="L341" s="114"/>
      <c r="M341" s="116">
        <v>5.0</v>
      </c>
      <c r="N341" s="116">
        <v>117.0</v>
      </c>
      <c r="O341" s="114"/>
      <c r="P341" s="140">
        <v>7485.0</v>
      </c>
      <c r="Q341" s="114" t="s">
        <v>234</v>
      </c>
      <c r="R341" s="115">
        <v>2021.0</v>
      </c>
      <c r="S341" s="136">
        <v>0.239000000000001</v>
      </c>
      <c r="T341" s="118">
        <f t="shared" si="69"/>
        <v>1788.915</v>
      </c>
      <c r="U341" s="24">
        <f t="shared" si="3"/>
        <v>197.6701657</v>
      </c>
      <c r="V341" s="3">
        <f t="shared" si="28"/>
        <v>0</v>
      </c>
      <c r="W341" s="3">
        <f t="shared" si="29"/>
        <v>0</v>
      </c>
      <c r="X341" s="3">
        <f t="shared" si="30"/>
        <v>0</v>
      </c>
      <c r="Y341" s="25">
        <f t="shared" si="31"/>
        <v>0</v>
      </c>
      <c r="Z341" s="26">
        <f>VLOOKUP(R341,CPI!$A$2:$F$71,6,0)</f>
        <v>1.188745987</v>
      </c>
      <c r="AA341" s="27">
        <f t="shared" si="8"/>
        <v>2126.565527</v>
      </c>
      <c r="AB341" s="27">
        <f t="shared" si="9"/>
        <v>234.9796162</v>
      </c>
      <c r="AC341" s="114"/>
      <c r="AD341" s="119" t="s">
        <v>679</v>
      </c>
      <c r="AE341" s="114"/>
      <c r="AF341" s="114"/>
      <c r="AG341" s="114"/>
      <c r="AH341" s="114"/>
    </row>
    <row r="342">
      <c r="A342" s="114" t="s">
        <v>230</v>
      </c>
      <c r="B342" s="114" t="s">
        <v>670</v>
      </c>
      <c r="C342" s="115" t="s">
        <v>84</v>
      </c>
      <c r="D342" s="115" t="s">
        <v>319</v>
      </c>
      <c r="E342" s="116">
        <v>2021.0</v>
      </c>
      <c r="F342" s="114"/>
      <c r="G342" s="116">
        <v>0.0</v>
      </c>
      <c r="H342" s="116">
        <v>27.91</v>
      </c>
      <c r="I342" s="117">
        <v>1.0</v>
      </c>
      <c r="J342" s="116">
        <v>27.91</v>
      </c>
      <c r="K342" s="114"/>
      <c r="L342" s="114"/>
      <c r="M342" s="116">
        <v>22.0</v>
      </c>
      <c r="N342" s="116">
        <v>117.0</v>
      </c>
      <c r="O342" s="114"/>
      <c r="P342" s="140">
        <v>19900.0</v>
      </c>
      <c r="Q342" s="114" t="s">
        <v>234</v>
      </c>
      <c r="R342" s="115">
        <v>2021.0</v>
      </c>
      <c r="S342" s="136">
        <v>0.239000000000001</v>
      </c>
      <c r="T342" s="118">
        <f t="shared" si="69"/>
        <v>4756.1</v>
      </c>
      <c r="U342" s="24">
        <f t="shared" si="3"/>
        <v>170.4084558</v>
      </c>
      <c r="V342" s="3">
        <f t="shared" si="28"/>
        <v>0</v>
      </c>
      <c r="W342" s="3">
        <f t="shared" si="29"/>
        <v>0</v>
      </c>
      <c r="X342" s="3">
        <f t="shared" si="30"/>
        <v>0</v>
      </c>
      <c r="Y342" s="25">
        <f t="shared" si="31"/>
        <v>0</v>
      </c>
      <c r="Z342" s="26">
        <f>VLOOKUP(R342,CPI!$A$2:$F$71,6,0)</f>
        <v>1.188745987</v>
      </c>
      <c r="AA342" s="27">
        <f t="shared" si="8"/>
        <v>5653.794787</v>
      </c>
      <c r="AB342" s="27">
        <f t="shared" si="9"/>
        <v>202.5723679</v>
      </c>
      <c r="AC342" s="114"/>
      <c r="AD342" s="119" t="s">
        <v>680</v>
      </c>
      <c r="AE342" s="114"/>
      <c r="AF342" s="114"/>
      <c r="AG342" s="114"/>
      <c r="AH342" s="114"/>
    </row>
    <row r="343">
      <c r="A343" s="66" t="s">
        <v>230</v>
      </c>
      <c r="B343" s="210" t="s">
        <v>681</v>
      </c>
      <c r="C343" s="210" t="s">
        <v>682</v>
      </c>
      <c r="D343" s="210" t="s">
        <v>682</v>
      </c>
      <c r="E343" s="116">
        <v>2020.0</v>
      </c>
      <c r="F343" s="114"/>
      <c r="G343" s="116">
        <v>1.0</v>
      </c>
      <c r="H343" s="116">
        <v>23.8</v>
      </c>
      <c r="I343" s="117">
        <v>0.63</v>
      </c>
      <c r="J343" s="116">
        <v>14.9</v>
      </c>
      <c r="K343" s="114"/>
      <c r="L343" s="114"/>
      <c r="M343" s="114"/>
      <c r="N343" s="116"/>
      <c r="O343" s="114"/>
      <c r="P343" s="140">
        <v>13530.0</v>
      </c>
      <c r="Q343" s="114" t="s">
        <v>234</v>
      </c>
      <c r="R343" s="115">
        <v>2020.0</v>
      </c>
      <c r="S343" s="136">
        <v>0.239</v>
      </c>
      <c r="T343" s="118">
        <f t="shared" si="69"/>
        <v>3233.67</v>
      </c>
      <c r="U343" s="24">
        <f t="shared" si="3"/>
        <v>135.8684874</v>
      </c>
      <c r="V343" s="3">
        <f t="shared" si="28"/>
        <v>0</v>
      </c>
      <c r="W343" s="3">
        <f t="shared" si="29"/>
        <v>0</v>
      </c>
      <c r="X343" s="3">
        <f t="shared" si="30"/>
        <v>0</v>
      </c>
      <c r="Y343" s="25">
        <f t="shared" si="31"/>
        <v>0</v>
      </c>
      <c r="Z343" s="26">
        <f>VLOOKUP(R343,CPI!$A$2:$F$71,6,0)</f>
        <v>1.244593545</v>
      </c>
      <c r="AA343" s="27">
        <f t="shared" si="8"/>
        <v>4024.604809</v>
      </c>
      <c r="AB343" s="27">
        <f t="shared" si="9"/>
        <v>169.1010424</v>
      </c>
      <c r="AC343" s="72" t="s">
        <v>36</v>
      </c>
      <c r="AD343" s="119" t="s">
        <v>683</v>
      </c>
      <c r="AE343" s="7"/>
      <c r="AF343" s="7"/>
      <c r="AG343" s="7"/>
      <c r="AH343" s="7"/>
    </row>
    <row r="344">
      <c r="A344" s="114" t="s">
        <v>230</v>
      </c>
      <c r="B344" s="114" t="s">
        <v>684</v>
      </c>
      <c r="C344" s="114" t="s">
        <v>292</v>
      </c>
      <c r="D344" s="114" t="s">
        <v>292</v>
      </c>
      <c r="E344" s="114"/>
      <c r="F344" s="116">
        <v>2018.0</v>
      </c>
      <c r="G344" s="116">
        <v>0.0</v>
      </c>
      <c r="H344" s="116">
        <v>58.35</v>
      </c>
      <c r="I344" s="117">
        <v>0.1</v>
      </c>
      <c r="J344" s="116">
        <v>5.81</v>
      </c>
      <c r="K344" s="114"/>
      <c r="L344" s="114"/>
      <c r="M344" s="116">
        <v>22.0</v>
      </c>
      <c r="N344" s="116">
        <v>117.0</v>
      </c>
      <c r="O344" s="114"/>
      <c r="P344" s="140">
        <v>19500.0</v>
      </c>
      <c r="Q344" s="114" t="s">
        <v>234</v>
      </c>
      <c r="R344" s="115">
        <v>2018.0</v>
      </c>
      <c r="S344" s="85">
        <v>0.237</v>
      </c>
      <c r="T344" s="118">
        <f t="shared" si="69"/>
        <v>4621.5</v>
      </c>
      <c r="U344" s="24">
        <f t="shared" si="3"/>
        <v>79.20308483</v>
      </c>
      <c r="V344" s="3">
        <f t="shared" si="28"/>
        <v>0</v>
      </c>
      <c r="W344" s="3">
        <f t="shared" si="29"/>
        <v>0</v>
      </c>
      <c r="X344" s="3">
        <f t="shared" si="30"/>
        <v>0</v>
      </c>
      <c r="Y344" s="25">
        <f t="shared" si="31"/>
        <v>0</v>
      </c>
      <c r="Z344" s="26">
        <f>VLOOKUP(R344,CPI!$A$2:$F$71,6,0)</f>
        <v>1.28277786</v>
      </c>
      <c r="AA344" s="27">
        <f t="shared" si="8"/>
        <v>5928.357878</v>
      </c>
      <c r="AB344" s="27">
        <f t="shared" si="9"/>
        <v>101.5999636</v>
      </c>
      <c r="AC344" s="114"/>
      <c r="AD344" s="119" t="s">
        <v>685</v>
      </c>
      <c r="AE344" s="119" t="s">
        <v>686</v>
      </c>
    </row>
    <row r="345">
      <c r="A345" s="114" t="s">
        <v>230</v>
      </c>
      <c r="B345" s="114" t="s">
        <v>684</v>
      </c>
      <c r="C345" s="209" t="s">
        <v>687</v>
      </c>
      <c r="D345" s="209" t="s">
        <v>687</v>
      </c>
      <c r="E345" s="114"/>
      <c r="F345" s="116">
        <v>2020.0</v>
      </c>
      <c r="G345" s="116">
        <v>0.0</v>
      </c>
      <c r="H345" s="116">
        <v>60.0</v>
      </c>
      <c r="I345" s="117">
        <v>0.2</v>
      </c>
      <c r="J345" s="116">
        <v>12.0</v>
      </c>
      <c r="K345" s="114"/>
      <c r="L345" s="114"/>
      <c r="M345" s="116">
        <v>10.0</v>
      </c>
      <c r="N345" s="116">
        <v>117.0</v>
      </c>
      <c r="O345" s="114"/>
      <c r="P345" s="140">
        <v>20763.0</v>
      </c>
      <c r="Q345" s="114" t="s">
        <v>234</v>
      </c>
      <c r="R345" s="115">
        <v>2020.0</v>
      </c>
      <c r="S345" s="85">
        <v>0.239</v>
      </c>
      <c r="T345" s="118">
        <f t="shared" si="69"/>
        <v>4962.357</v>
      </c>
      <c r="U345" s="24">
        <f t="shared" si="3"/>
        <v>82.70595</v>
      </c>
      <c r="V345" s="3">
        <f t="shared" si="28"/>
        <v>0</v>
      </c>
      <c r="W345" s="3">
        <f t="shared" si="29"/>
        <v>0</v>
      </c>
      <c r="X345" s="3">
        <f t="shared" si="30"/>
        <v>0</v>
      </c>
      <c r="Y345" s="25">
        <f t="shared" si="31"/>
        <v>0</v>
      </c>
      <c r="Z345" s="26">
        <f>VLOOKUP(R345,CPI!$A$2:$F$71,6,0)</f>
        <v>1.244593545</v>
      </c>
      <c r="AA345" s="27">
        <f t="shared" si="8"/>
        <v>6176.117491</v>
      </c>
      <c r="AB345" s="27">
        <f t="shared" si="9"/>
        <v>102.9352915</v>
      </c>
      <c r="AC345" s="114"/>
      <c r="AD345" s="119" t="s">
        <v>688</v>
      </c>
      <c r="AE345" s="114"/>
      <c r="AF345" s="114"/>
      <c r="AG345" s="114"/>
      <c r="AH345" s="114"/>
    </row>
    <row r="346">
      <c r="A346" s="66" t="s">
        <v>230</v>
      </c>
      <c r="B346" s="114" t="s">
        <v>684</v>
      </c>
      <c r="C346" s="115" t="s">
        <v>689</v>
      </c>
      <c r="D346" s="115" t="s">
        <v>690</v>
      </c>
      <c r="E346" s="114"/>
      <c r="F346" s="116">
        <v>2021.0</v>
      </c>
      <c r="G346" s="116">
        <v>0.0</v>
      </c>
      <c r="H346" s="116">
        <v>59.97</v>
      </c>
      <c r="I346" s="117">
        <v>1.0</v>
      </c>
      <c r="J346" s="116">
        <v>59.97</v>
      </c>
      <c r="K346" s="114"/>
      <c r="L346" s="114"/>
      <c r="M346" s="116">
        <v>40.0</v>
      </c>
      <c r="N346" s="116">
        <v>117.0</v>
      </c>
      <c r="O346" s="114"/>
      <c r="P346" s="140">
        <v>39990.0</v>
      </c>
      <c r="Q346" s="114" t="s">
        <v>234</v>
      </c>
      <c r="R346" s="115">
        <v>2021.0</v>
      </c>
      <c r="S346" s="136">
        <v>0.239000000000001</v>
      </c>
      <c r="T346" s="118">
        <f t="shared" si="69"/>
        <v>9557.61</v>
      </c>
      <c r="U346" s="24">
        <f t="shared" si="3"/>
        <v>159.3731866</v>
      </c>
      <c r="V346" s="3">
        <f t="shared" si="28"/>
        <v>0</v>
      </c>
      <c r="W346" s="3">
        <f t="shared" si="29"/>
        <v>0</v>
      </c>
      <c r="X346" s="3">
        <f t="shared" si="30"/>
        <v>0</v>
      </c>
      <c r="Y346" s="25">
        <f t="shared" si="31"/>
        <v>0</v>
      </c>
      <c r="Z346" s="26">
        <f>VLOOKUP(R346,CPI!$A$2:$F$71,6,0)</f>
        <v>1.188745987</v>
      </c>
      <c r="AA346" s="27">
        <f t="shared" si="8"/>
        <v>11361.57053</v>
      </c>
      <c r="AB346" s="27">
        <f t="shared" si="9"/>
        <v>189.4542359</v>
      </c>
      <c r="AC346" s="72"/>
      <c r="AD346" s="119" t="s">
        <v>691</v>
      </c>
      <c r="AE346" s="114"/>
      <c r="AF346" s="114"/>
      <c r="AG346" s="114"/>
      <c r="AH346" s="114"/>
    </row>
    <row r="347">
      <c r="A347" s="66" t="s">
        <v>230</v>
      </c>
      <c r="B347" s="114" t="s">
        <v>684</v>
      </c>
      <c r="C347" s="114" t="s">
        <v>243</v>
      </c>
      <c r="D347" s="114" t="s">
        <v>243</v>
      </c>
      <c r="E347" s="114"/>
      <c r="F347" s="116">
        <v>2021.0</v>
      </c>
      <c r="G347" s="116">
        <v>0.0</v>
      </c>
      <c r="H347" s="116">
        <v>61.4</v>
      </c>
      <c r="I347" s="192"/>
      <c r="J347" s="114"/>
      <c r="K347" s="114"/>
      <c r="L347" s="114"/>
      <c r="M347" s="116">
        <v>16.0</v>
      </c>
      <c r="N347" s="116">
        <v>117.0</v>
      </c>
      <c r="O347" s="114"/>
      <c r="P347" s="140">
        <v>32100.0</v>
      </c>
      <c r="Q347" s="114" t="s">
        <v>234</v>
      </c>
      <c r="R347" s="115">
        <v>2021.0</v>
      </c>
      <c r="S347" s="136">
        <v>0.239000000000001</v>
      </c>
      <c r="T347" s="118">
        <f t="shared" si="69"/>
        <v>7671.9</v>
      </c>
      <c r="U347" s="24">
        <f t="shared" si="3"/>
        <v>124.9495114</v>
      </c>
      <c r="V347" s="3">
        <f t="shared" si="28"/>
        <v>0</v>
      </c>
      <c r="W347" s="3">
        <f t="shared" si="29"/>
        <v>0</v>
      </c>
      <c r="X347" s="3">
        <f t="shared" si="30"/>
        <v>0</v>
      </c>
      <c r="Y347" s="25">
        <f t="shared" si="31"/>
        <v>0</v>
      </c>
      <c r="Z347" s="26">
        <f>VLOOKUP(R347,CPI!$A$2:$F$71,6,0)</f>
        <v>1.188745987</v>
      </c>
      <c r="AA347" s="27">
        <f t="shared" si="8"/>
        <v>9119.940335</v>
      </c>
      <c r="AB347" s="27">
        <f t="shared" si="9"/>
        <v>148.5332302</v>
      </c>
      <c r="AC347" s="114"/>
      <c r="AD347" s="119" t="s">
        <v>692</v>
      </c>
      <c r="AE347" s="114"/>
      <c r="AF347" s="114"/>
      <c r="AG347" s="114"/>
      <c r="AH347" s="114"/>
    </row>
    <row r="348">
      <c r="A348" s="66" t="s">
        <v>230</v>
      </c>
      <c r="B348" s="114" t="s">
        <v>684</v>
      </c>
      <c r="C348" s="114" t="s">
        <v>260</v>
      </c>
      <c r="D348" s="114" t="s">
        <v>260</v>
      </c>
      <c r="E348" s="116">
        <v>2021.0</v>
      </c>
      <c r="F348" s="116">
        <v>2026.0</v>
      </c>
      <c r="G348" s="116">
        <v>0.0</v>
      </c>
      <c r="H348" s="116">
        <v>30.8</v>
      </c>
      <c r="I348" s="117">
        <v>1.0</v>
      </c>
      <c r="J348" s="116">
        <v>30.8</v>
      </c>
      <c r="K348" s="114"/>
      <c r="L348" s="114"/>
      <c r="M348" s="116">
        <v>17.0</v>
      </c>
      <c r="N348" s="116">
        <v>117.0</v>
      </c>
      <c r="O348" s="114"/>
      <c r="P348" s="140">
        <v>19478.0</v>
      </c>
      <c r="Q348" s="114" t="s">
        <v>234</v>
      </c>
      <c r="R348" s="115">
        <v>2021.0</v>
      </c>
      <c r="S348" s="136">
        <v>0.239000000000001</v>
      </c>
      <c r="T348" s="118">
        <f t="shared" si="69"/>
        <v>4655.242</v>
      </c>
      <c r="U348" s="24">
        <f t="shared" si="3"/>
        <v>151.1442208</v>
      </c>
      <c r="V348" s="3">
        <f t="shared" si="28"/>
        <v>0</v>
      </c>
      <c r="W348" s="3">
        <f t="shared" si="29"/>
        <v>0</v>
      </c>
      <c r="X348" s="3">
        <f t="shared" si="30"/>
        <v>0</v>
      </c>
      <c r="Y348" s="25">
        <f t="shared" si="31"/>
        <v>0</v>
      </c>
      <c r="Z348" s="26">
        <f>VLOOKUP(R348,CPI!$A$2:$F$71,6,0)</f>
        <v>1.188745987</v>
      </c>
      <c r="AA348" s="27">
        <f t="shared" si="8"/>
        <v>5533.900244</v>
      </c>
      <c r="AB348" s="27">
        <f t="shared" si="9"/>
        <v>179.6720859</v>
      </c>
      <c r="AC348" s="114"/>
      <c r="AD348" s="119" t="s">
        <v>693</v>
      </c>
      <c r="AE348" s="161" t="s">
        <v>694</v>
      </c>
      <c r="AF348" s="114"/>
      <c r="AG348" s="114"/>
      <c r="AH348" s="114"/>
    </row>
    <row r="349">
      <c r="A349" s="66" t="s">
        <v>230</v>
      </c>
      <c r="B349" s="114" t="s">
        <v>684</v>
      </c>
      <c r="C349" s="114" t="s">
        <v>84</v>
      </c>
      <c r="D349" s="114" t="s">
        <v>84</v>
      </c>
      <c r="E349" s="116">
        <v>2021.0</v>
      </c>
      <c r="F349" s="116">
        <v>2026.0</v>
      </c>
      <c r="G349" s="116">
        <v>0.0</v>
      </c>
      <c r="H349" s="116">
        <v>32.7</v>
      </c>
      <c r="I349" s="117">
        <v>1.0</v>
      </c>
      <c r="J349" s="116">
        <v>32.7</v>
      </c>
      <c r="K349" s="114"/>
      <c r="L349" s="114"/>
      <c r="M349" s="116">
        <v>29.0</v>
      </c>
      <c r="N349" s="116">
        <v>117.0</v>
      </c>
      <c r="O349" s="114"/>
      <c r="P349" s="140">
        <v>26030.0</v>
      </c>
      <c r="Q349" s="114" t="s">
        <v>234</v>
      </c>
      <c r="R349" s="115">
        <v>2021.0</v>
      </c>
      <c r="S349" s="136">
        <v>0.239000000000001</v>
      </c>
      <c r="T349" s="118">
        <f t="shared" si="69"/>
        <v>6221.17</v>
      </c>
      <c r="U349" s="24">
        <f t="shared" si="3"/>
        <v>190.2498471</v>
      </c>
      <c r="V349" s="3">
        <f t="shared" si="28"/>
        <v>0</v>
      </c>
      <c r="W349" s="3">
        <f t="shared" si="29"/>
        <v>0</v>
      </c>
      <c r="X349" s="3">
        <f t="shared" si="30"/>
        <v>0</v>
      </c>
      <c r="Y349" s="25">
        <f t="shared" si="31"/>
        <v>0</v>
      </c>
      <c r="Z349" s="26">
        <f>VLOOKUP(R349,CPI!$A$2:$F$71,6,0)</f>
        <v>1.188745987</v>
      </c>
      <c r="AA349" s="27">
        <f t="shared" si="8"/>
        <v>7395.39087</v>
      </c>
      <c r="AB349" s="27">
        <f t="shared" si="9"/>
        <v>226.1587422</v>
      </c>
      <c r="AC349" s="72"/>
      <c r="AD349" s="119" t="s">
        <v>695</v>
      </c>
      <c r="AE349" s="161" t="s">
        <v>694</v>
      </c>
      <c r="AF349" s="114"/>
      <c r="AG349" s="114"/>
      <c r="AH349" s="114"/>
    </row>
    <row r="350">
      <c r="A350" s="66" t="s">
        <v>230</v>
      </c>
      <c r="B350" s="114" t="s">
        <v>684</v>
      </c>
      <c r="C350" s="115" t="s">
        <v>80</v>
      </c>
      <c r="D350" s="115" t="s">
        <v>696</v>
      </c>
      <c r="E350" s="116">
        <v>2021.0</v>
      </c>
      <c r="F350" s="116">
        <v>2026.0</v>
      </c>
      <c r="G350" s="116">
        <v>0.0</v>
      </c>
      <c r="H350" s="116">
        <v>13.85</v>
      </c>
      <c r="I350" s="117">
        <v>1.0</v>
      </c>
      <c r="J350" s="116">
        <v>13.85</v>
      </c>
      <c r="K350" s="114"/>
      <c r="L350" s="114"/>
      <c r="M350" s="116">
        <v>10.0</v>
      </c>
      <c r="N350" s="116">
        <v>117.0</v>
      </c>
      <c r="O350" s="114"/>
      <c r="P350" s="140">
        <v>8302.0</v>
      </c>
      <c r="Q350" s="114" t="s">
        <v>234</v>
      </c>
      <c r="R350" s="115">
        <v>2021.0</v>
      </c>
      <c r="S350" s="136">
        <v>0.239000000000001</v>
      </c>
      <c r="T350" s="118">
        <f t="shared" si="69"/>
        <v>1984.178</v>
      </c>
      <c r="U350" s="24">
        <f t="shared" si="3"/>
        <v>143.2619495</v>
      </c>
      <c r="V350" s="3">
        <f t="shared" si="28"/>
        <v>0</v>
      </c>
      <c r="W350" s="3">
        <f t="shared" si="29"/>
        <v>0</v>
      </c>
      <c r="X350" s="3">
        <f t="shared" si="30"/>
        <v>0</v>
      </c>
      <c r="Y350" s="25">
        <f t="shared" si="31"/>
        <v>0</v>
      </c>
      <c r="Z350" s="26">
        <f>VLOOKUP(R350,CPI!$A$2:$F$71,6,0)</f>
        <v>1.188745987</v>
      </c>
      <c r="AA350" s="27">
        <f t="shared" si="8"/>
        <v>2358.683634</v>
      </c>
      <c r="AB350" s="27">
        <f t="shared" si="9"/>
        <v>170.3020675</v>
      </c>
      <c r="AC350" s="114"/>
      <c r="AD350" s="119" t="s">
        <v>697</v>
      </c>
      <c r="AE350" s="161" t="s">
        <v>694</v>
      </c>
      <c r="AF350" s="114"/>
      <c r="AG350" s="114"/>
      <c r="AH350" s="114"/>
    </row>
    <row r="351">
      <c r="A351" s="114" t="s">
        <v>230</v>
      </c>
      <c r="B351" s="114" t="s">
        <v>684</v>
      </c>
      <c r="C351" s="114" t="s">
        <v>243</v>
      </c>
      <c r="D351" s="114" t="s">
        <v>698</v>
      </c>
      <c r="E351" s="116">
        <v>2021.0</v>
      </c>
      <c r="F351" s="116">
        <v>2026.0</v>
      </c>
      <c r="G351" s="116">
        <v>0.0</v>
      </c>
      <c r="H351" s="116">
        <v>18.8</v>
      </c>
      <c r="I351" s="117">
        <v>1.0</v>
      </c>
      <c r="J351" s="116">
        <v>18.8</v>
      </c>
      <c r="K351" s="114"/>
      <c r="L351" s="114"/>
      <c r="M351" s="116">
        <v>9.0</v>
      </c>
      <c r="N351" s="116">
        <v>117.0</v>
      </c>
      <c r="O351" s="114"/>
      <c r="P351" s="140">
        <v>11492.0</v>
      </c>
      <c r="Q351" s="114" t="s">
        <v>234</v>
      </c>
      <c r="R351" s="115">
        <v>2021.0</v>
      </c>
      <c r="S351" s="136">
        <v>0.239000000000001</v>
      </c>
      <c r="T351" s="118">
        <f t="shared" si="69"/>
        <v>2746.588</v>
      </c>
      <c r="U351" s="24">
        <f t="shared" si="3"/>
        <v>146.0951064</v>
      </c>
      <c r="V351" s="3">
        <f t="shared" si="28"/>
        <v>0</v>
      </c>
      <c r="W351" s="3">
        <f t="shared" si="29"/>
        <v>0</v>
      </c>
      <c r="X351" s="3">
        <f t="shared" si="30"/>
        <v>0</v>
      </c>
      <c r="Y351" s="25">
        <f t="shared" si="31"/>
        <v>0</v>
      </c>
      <c r="Z351" s="26">
        <f>VLOOKUP(R351,CPI!$A$2:$F$71,6,0)</f>
        <v>1.188745987</v>
      </c>
      <c r="AA351" s="27">
        <f t="shared" si="8"/>
        <v>3264.995462</v>
      </c>
      <c r="AB351" s="27">
        <f t="shared" si="9"/>
        <v>173.6699714</v>
      </c>
      <c r="AC351" s="114"/>
      <c r="AD351" s="119" t="s">
        <v>694</v>
      </c>
      <c r="AE351" s="114"/>
      <c r="AF351" s="114"/>
      <c r="AG351" s="114"/>
      <c r="AH351" s="114"/>
    </row>
    <row r="352">
      <c r="A352" s="66" t="s">
        <v>230</v>
      </c>
      <c r="B352" s="114" t="s">
        <v>684</v>
      </c>
      <c r="C352" s="114" t="s">
        <v>253</v>
      </c>
      <c r="D352" s="114" t="s">
        <v>253</v>
      </c>
      <c r="E352" s="116">
        <v>2021.0</v>
      </c>
      <c r="F352" s="116">
        <v>2026.0</v>
      </c>
      <c r="G352" s="116">
        <v>0.0</v>
      </c>
      <c r="H352" s="116">
        <v>16.63</v>
      </c>
      <c r="I352" s="117">
        <v>1.0</v>
      </c>
      <c r="J352" s="116">
        <v>16.63</v>
      </c>
      <c r="K352" s="114"/>
      <c r="L352" s="114"/>
      <c r="M352" s="116">
        <v>13.0</v>
      </c>
      <c r="N352" s="116">
        <v>117.0</v>
      </c>
      <c r="O352" s="114"/>
      <c r="P352" s="140">
        <v>12590.0</v>
      </c>
      <c r="Q352" s="114" t="s">
        <v>234</v>
      </c>
      <c r="R352" s="115">
        <v>2021.0</v>
      </c>
      <c r="S352" s="136">
        <v>0.239000000000001</v>
      </c>
      <c r="T352" s="118">
        <f t="shared" si="69"/>
        <v>3009.01</v>
      </c>
      <c r="U352" s="24">
        <f t="shared" si="3"/>
        <v>180.9386651</v>
      </c>
      <c r="V352" s="3">
        <f t="shared" si="28"/>
        <v>0</v>
      </c>
      <c r="W352" s="3">
        <f t="shared" si="29"/>
        <v>0</v>
      </c>
      <c r="X352" s="3">
        <f t="shared" si="30"/>
        <v>0</v>
      </c>
      <c r="Y352" s="25">
        <f t="shared" si="31"/>
        <v>0</v>
      </c>
      <c r="Z352" s="26">
        <f>VLOOKUP(R352,CPI!$A$2:$F$71,6,0)</f>
        <v>1.188745987</v>
      </c>
      <c r="AA352" s="27">
        <f t="shared" si="8"/>
        <v>3576.948561</v>
      </c>
      <c r="AB352" s="27">
        <f t="shared" si="9"/>
        <v>215.0901119</v>
      </c>
      <c r="AC352" s="72"/>
      <c r="AD352" s="119" t="s">
        <v>699</v>
      </c>
      <c r="AE352" s="161" t="s">
        <v>694</v>
      </c>
      <c r="AF352" s="114"/>
      <c r="AG352" s="114"/>
      <c r="AH352" s="114"/>
    </row>
    <row r="353">
      <c r="A353" s="66" t="s">
        <v>230</v>
      </c>
      <c r="B353" s="114" t="s">
        <v>684</v>
      </c>
      <c r="C353" s="114" t="s">
        <v>87</v>
      </c>
      <c r="D353" s="114" t="s">
        <v>87</v>
      </c>
      <c r="E353" s="116">
        <v>2010.0</v>
      </c>
      <c r="F353" s="114"/>
      <c r="G353" s="116">
        <v>0.0</v>
      </c>
      <c r="H353" s="116">
        <v>25.0</v>
      </c>
      <c r="I353" s="117">
        <v>1.0</v>
      </c>
      <c r="J353" s="116">
        <v>25.0</v>
      </c>
      <c r="K353" s="114"/>
      <c r="L353" s="114"/>
      <c r="M353" s="116">
        <v>22.0</v>
      </c>
      <c r="N353" s="116">
        <v>117.0</v>
      </c>
      <c r="O353" s="114"/>
      <c r="P353" s="140">
        <v>17500.0</v>
      </c>
      <c r="Q353" s="114" t="s">
        <v>234</v>
      </c>
      <c r="R353" s="115">
        <v>2010.0</v>
      </c>
      <c r="S353" s="85">
        <v>0.3</v>
      </c>
      <c r="T353" s="118">
        <f t="shared" si="69"/>
        <v>5250</v>
      </c>
      <c r="U353" s="24">
        <f t="shared" si="3"/>
        <v>210</v>
      </c>
      <c r="V353" s="3">
        <f t="shared" si="28"/>
        <v>0</v>
      </c>
      <c r="W353" s="3">
        <f t="shared" si="29"/>
        <v>0</v>
      </c>
      <c r="X353" s="3">
        <f t="shared" si="30"/>
        <v>0</v>
      </c>
      <c r="Y353" s="25">
        <f t="shared" si="31"/>
        <v>0</v>
      </c>
      <c r="Z353" s="26">
        <f>VLOOKUP(R353,CPI!$A$2:$F$71,6,0)</f>
        <v>1.477209983</v>
      </c>
      <c r="AA353" s="27">
        <f t="shared" si="8"/>
        <v>7755.352409</v>
      </c>
      <c r="AB353" s="27">
        <f t="shared" si="9"/>
        <v>310.2140964</v>
      </c>
      <c r="AC353" s="72"/>
      <c r="AD353" s="119" t="s">
        <v>700</v>
      </c>
      <c r="AE353" s="114"/>
      <c r="AF353" s="114"/>
      <c r="AG353" s="114"/>
      <c r="AH353" s="114"/>
    </row>
    <row r="354">
      <c r="A354" s="114" t="s">
        <v>230</v>
      </c>
      <c r="B354" s="114" t="s">
        <v>684</v>
      </c>
      <c r="C354" s="115" t="s">
        <v>54</v>
      </c>
      <c r="D354" s="114" t="s">
        <v>54</v>
      </c>
      <c r="E354" s="116">
        <v>2019.0</v>
      </c>
      <c r="F354" s="114"/>
      <c r="G354" s="116">
        <v>0.0</v>
      </c>
      <c r="H354" s="116">
        <v>25.0</v>
      </c>
      <c r="I354" s="117">
        <v>1.0</v>
      </c>
      <c r="J354" s="116">
        <v>25.0</v>
      </c>
      <c r="K354" s="114"/>
      <c r="L354" s="114"/>
      <c r="M354" s="116">
        <v>22.0</v>
      </c>
      <c r="N354" s="116">
        <v>117.0</v>
      </c>
      <c r="O354" s="114"/>
      <c r="P354" s="140">
        <v>29376.8</v>
      </c>
      <c r="Q354" s="114" t="s">
        <v>234</v>
      </c>
      <c r="R354" s="115">
        <v>2019.0</v>
      </c>
      <c r="S354" s="136">
        <v>0.238</v>
      </c>
      <c r="T354" s="118">
        <f t="shared" si="69"/>
        <v>6991.6784</v>
      </c>
      <c r="U354" s="24">
        <f t="shared" si="3"/>
        <v>279.667136</v>
      </c>
      <c r="V354" s="3">
        <f t="shared" si="28"/>
        <v>0</v>
      </c>
      <c r="W354" s="3">
        <f t="shared" si="29"/>
        <v>0</v>
      </c>
      <c r="X354" s="3">
        <f t="shared" si="30"/>
        <v>0</v>
      </c>
      <c r="Y354" s="25">
        <f t="shared" si="31"/>
        <v>0</v>
      </c>
      <c r="Z354" s="26">
        <f>VLOOKUP(R354,CPI!$A$2:$F$71,6,0)</f>
        <v>1.259947899</v>
      </c>
      <c r="AA354" s="27">
        <f t="shared" si="8"/>
        <v>8809.15051</v>
      </c>
      <c r="AB354" s="27">
        <f t="shared" si="9"/>
        <v>352.3660204</v>
      </c>
      <c r="AC354" s="114"/>
      <c r="AD354" s="119" t="s">
        <v>701</v>
      </c>
      <c r="AE354" s="208"/>
      <c r="AF354" s="208"/>
      <c r="AG354" s="208"/>
      <c r="AH354" s="208"/>
    </row>
    <row r="355">
      <c r="A355" s="66" t="s">
        <v>230</v>
      </c>
      <c r="B355" s="114" t="s">
        <v>684</v>
      </c>
      <c r="C355" s="115" t="s">
        <v>54</v>
      </c>
      <c r="D355" s="115" t="s">
        <v>702</v>
      </c>
      <c r="E355" s="116">
        <v>2021.0</v>
      </c>
      <c r="F355" s="114"/>
      <c r="G355" s="116">
        <v>0.0</v>
      </c>
      <c r="H355" s="116">
        <v>8.89</v>
      </c>
      <c r="I355" s="117">
        <v>1.0</v>
      </c>
      <c r="J355" s="116">
        <v>8.89</v>
      </c>
      <c r="K355" s="114"/>
      <c r="L355" s="114"/>
      <c r="M355" s="116">
        <v>8.0</v>
      </c>
      <c r="N355" s="116">
        <v>117.0</v>
      </c>
      <c r="O355" s="114"/>
      <c r="P355" s="140">
        <v>6770.0</v>
      </c>
      <c r="Q355" s="114" t="s">
        <v>234</v>
      </c>
      <c r="R355" s="115">
        <v>2021.0</v>
      </c>
      <c r="S355" s="136">
        <v>0.239000000000001</v>
      </c>
      <c r="T355" s="118">
        <f t="shared" si="69"/>
        <v>1618.03</v>
      </c>
      <c r="U355" s="24">
        <f t="shared" si="3"/>
        <v>182.0056243</v>
      </c>
      <c r="V355" s="3">
        <f t="shared" si="28"/>
        <v>0</v>
      </c>
      <c r="W355" s="3">
        <f t="shared" si="29"/>
        <v>0</v>
      </c>
      <c r="X355" s="3">
        <f t="shared" si="30"/>
        <v>0</v>
      </c>
      <c r="Y355" s="25">
        <f t="shared" si="31"/>
        <v>0</v>
      </c>
      <c r="Z355" s="26">
        <f>VLOOKUP(R355,CPI!$A$2:$F$71,6,0)</f>
        <v>1.188745987</v>
      </c>
      <c r="AA355" s="27">
        <f t="shared" si="8"/>
        <v>1923.426669</v>
      </c>
      <c r="AB355" s="27">
        <f t="shared" si="9"/>
        <v>216.3584554</v>
      </c>
      <c r="AC355" s="72"/>
      <c r="AD355" s="119" t="s">
        <v>703</v>
      </c>
      <c r="AE355" s="161" t="s">
        <v>694</v>
      </c>
      <c r="AF355" s="114"/>
      <c r="AG355" s="114"/>
      <c r="AH355" s="114"/>
    </row>
    <row r="356">
      <c r="A356" s="123" t="s">
        <v>230</v>
      </c>
      <c r="B356" s="123" t="s">
        <v>704</v>
      </c>
      <c r="C356" s="36" t="s">
        <v>57</v>
      </c>
      <c r="D356" s="123" t="s">
        <v>705</v>
      </c>
      <c r="E356" s="75">
        <v>1990.0</v>
      </c>
      <c r="F356" s="75">
        <v>1995.0</v>
      </c>
      <c r="G356" s="75">
        <v>0.0</v>
      </c>
      <c r="H356" s="75">
        <v>16.1</v>
      </c>
      <c r="I356" s="155"/>
      <c r="J356" s="123"/>
      <c r="K356" s="125" t="e">
        <v>#N/A</v>
      </c>
      <c r="L356" s="125" t="e">
        <v>#N/A</v>
      </c>
      <c r="M356" s="75">
        <v>13.0</v>
      </c>
      <c r="N356" s="75"/>
      <c r="O356" s="123" t="s">
        <v>74</v>
      </c>
      <c r="P356" s="126">
        <f>5.39*10^3</f>
        <v>5390</v>
      </c>
      <c r="Q356" s="123" t="s">
        <v>234</v>
      </c>
      <c r="R356" s="75">
        <v>1995.0</v>
      </c>
      <c r="S356" s="136">
        <v>0.365</v>
      </c>
      <c r="T356" s="118">
        <f t="shared" si="69"/>
        <v>1967.35</v>
      </c>
      <c r="U356" s="24">
        <f t="shared" si="3"/>
        <v>122.1956522</v>
      </c>
      <c r="V356" s="3">
        <f t="shared" si="28"/>
        <v>0</v>
      </c>
      <c r="W356" s="3">
        <f t="shared" si="29"/>
        <v>0</v>
      </c>
      <c r="X356" s="3">
        <f t="shared" si="30"/>
        <v>0</v>
      </c>
      <c r="Y356" s="25">
        <f t="shared" si="31"/>
        <v>0</v>
      </c>
      <c r="Z356" s="26">
        <f>VLOOKUP(R356,CPI!$A$2:$F$71,6,0)</f>
        <v>2.113612205</v>
      </c>
      <c r="AA356" s="27">
        <f t="shared" si="8"/>
        <v>4158.214971</v>
      </c>
      <c r="AB356" s="27">
        <f t="shared" si="9"/>
        <v>258.2742218</v>
      </c>
      <c r="AC356" s="123" t="s">
        <v>42</v>
      </c>
      <c r="AD356" s="129" t="s">
        <v>706</v>
      </c>
      <c r="AE356" s="34"/>
      <c r="AF356" s="34"/>
      <c r="AG356" s="34"/>
      <c r="AH356" s="34"/>
    </row>
    <row r="357">
      <c r="A357" s="123" t="s">
        <v>230</v>
      </c>
      <c r="B357" s="123" t="s">
        <v>704</v>
      </c>
      <c r="C357" s="36" t="s">
        <v>54</v>
      </c>
      <c r="D357" s="123" t="s">
        <v>348</v>
      </c>
      <c r="E357" s="75">
        <v>1995.0</v>
      </c>
      <c r="F357" s="75">
        <v>1999.0</v>
      </c>
      <c r="G357" s="75">
        <v>0.0</v>
      </c>
      <c r="H357" s="75">
        <v>16.3</v>
      </c>
      <c r="I357" s="124">
        <v>1.0</v>
      </c>
      <c r="J357" s="75">
        <v>16.3</v>
      </c>
      <c r="K357" s="125">
        <v>0.0</v>
      </c>
      <c r="L357" s="125">
        <v>0.0</v>
      </c>
      <c r="M357" s="75">
        <v>12.0</v>
      </c>
      <c r="N357" s="75"/>
      <c r="O357" s="123" t="s">
        <v>74</v>
      </c>
      <c r="P357" s="126">
        <f>12.4*10^3</f>
        <v>12400</v>
      </c>
      <c r="Q357" s="123" t="s">
        <v>234</v>
      </c>
      <c r="R357" s="75">
        <v>1995.0</v>
      </c>
      <c r="S357" s="136">
        <v>0.365</v>
      </c>
      <c r="T357" s="118">
        <f t="shared" si="69"/>
        <v>4526</v>
      </c>
      <c r="U357" s="24">
        <f t="shared" si="3"/>
        <v>277.6687117</v>
      </c>
      <c r="V357" s="3">
        <f t="shared" si="28"/>
        <v>0</v>
      </c>
      <c r="W357" s="3">
        <f t="shared" si="29"/>
        <v>0</v>
      </c>
      <c r="X357" s="3">
        <f t="shared" si="30"/>
        <v>0</v>
      </c>
      <c r="Y357" s="25">
        <f t="shared" si="31"/>
        <v>0</v>
      </c>
      <c r="Z357" s="26">
        <f>VLOOKUP(R357,CPI!$A$2:$F$71,6,0)</f>
        <v>2.113612205</v>
      </c>
      <c r="AA357" s="27">
        <f t="shared" si="8"/>
        <v>9566.208839</v>
      </c>
      <c r="AB357" s="27">
        <f t="shared" si="9"/>
        <v>586.8839778</v>
      </c>
      <c r="AC357" s="123" t="s">
        <v>60</v>
      </c>
      <c r="AD357" s="129" t="s">
        <v>707</v>
      </c>
      <c r="AE357" s="34"/>
      <c r="AF357" s="34"/>
      <c r="AG357" s="34"/>
      <c r="AH357" s="34"/>
    </row>
    <row r="358">
      <c r="A358" s="130" t="s">
        <v>230</v>
      </c>
      <c r="B358" s="130" t="s">
        <v>704</v>
      </c>
      <c r="C358" s="36" t="s">
        <v>87</v>
      </c>
      <c r="D358" s="130" t="s">
        <v>87</v>
      </c>
      <c r="E358" s="130">
        <v>1997.0</v>
      </c>
      <c r="F358" s="130">
        <v>2000.0</v>
      </c>
      <c r="G358" s="130">
        <v>0.0</v>
      </c>
      <c r="H358" s="130">
        <v>24.975</v>
      </c>
      <c r="I358" s="131">
        <v>0.0</v>
      </c>
      <c r="J358" s="130">
        <v>0.0</v>
      </c>
      <c r="K358" s="132">
        <v>21.605</v>
      </c>
      <c r="L358" s="132">
        <v>3.375</v>
      </c>
      <c r="M358" s="130"/>
      <c r="N358" s="138"/>
      <c r="O358" s="130" t="s">
        <v>74</v>
      </c>
      <c r="P358" s="135">
        <f>9.378*10^3</f>
        <v>9378</v>
      </c>
      <c r="Q358" s="130" t="s">
        <v>234</v>
      </c>
      <c r="R358" s="130">
        <v>1998.0</v>
      </c>
      <c r="S358" s="136">
        <v>0.357</v>
      </c>
      <c r="T358" s="128">
        <f t="shared" si="69"/>
        <v>3347.946</v>
      </c>
      <c r="U358" s="24">
        <f t="shared" si="3"/>
        <v>134.0518919</v>
      </c>
      <c r="V358" s="3">
        <f t="shared" si="28"/>
        <v>0</v>
      </c>
      <c r="W358" s="3">
        <f t="shared" si="29"/>
        <v>0</v>
      </c>
      <c r="X358" s="3">
        <f t="shared" si="30"/>
        <v>0</v>
      </c>
      <c r="Y358" s="25">
        <f t="shared" si="31"/>
        <v>0</v>
      </c>
      <c r="Z358" s="26">
        <f>VLOOKUP(R358,CPI!$A$2:$F$71,6,0)</f>
        <v>1.976162577</v>
      </c>
      <c r="AA358" s="27">
        <f t="shared" si="8"/>
        <v>6616.085594</v>
      </c>
      <c r="AB358" s="27">
        <f t="shared" si="9"/>
        <v>264.9083321</v>
      </c>
      <c r="AC358" s="130" t="s">
        <v>60</v>
      </c>
      <c r="AD358" s="137" t="s">
        <v>708</v>
      </c>
      <c r="AE358" s="34"/>
      <c r="AF358" s="34"/>
      <c r="AG358" s="34"/>
      <c r="AH358" s="34"/>
    </row>
    <row r="359">
      <c r="A359" s="130" t="s">
        <v>230</v>
      </c>
      <c r="B359" s="130" t="s">
        <v>704</v>
      </c>
      <c r="C359" s="36" t="s">
        <v>54</v>
      </c>
      <c r="D359" s="130" t="s">
        <v>709</v>
      </c>
      <c r="E359" s="130">
        <v>1999.0</v>
      </c>
      <c r="F359" s="130">
        <v>2000.0</v>
      </c>
      <c r="G359" s="130">
        <v>0.0</v>
      </c>
      <c r="H359" s="130">
        <v>2.72</v>
      </c>
      <c r="I359" s="131">
        <v>0.3198529412</v>
      </c>
      <c r="J359" s="130">
        <v>0.87</v>
      </c>
      <c r="K359" s="132">
        <v>0.305</v>
      </c>
      <c r="L359" s="132">
        <v>1.5718</v>
      </c>
      <c r="M359" s="130">
        <v>1.0</v>
      </c>
      <c r="N359" s="138"/>
      <c r="O359" s="130" t="s">
        <v>74</v>
      </c>
      <c r="P359" s="135">
        <f>0.31477*10^3</f>
        <v>314.77</v>
      </c>
      <c r="Q359" s="130" t="s">
        <v>234</v>
      </c>
      <c r="R359" s="130">
        <v>1999.0</v>
      </c>
      <c r="S359" s="136">
        <v>0.367</v>
      </c>
      <c r="T359" s="128">
        <f t="shared" si="69"/>
        <v>115.52059</v>
      </c>
      <c r="U359" s="24">
        <f t="shared" si="3"/>
        <v>42.47080515</v>
      </c>
      <c r="V359" s="3">
        <f t="shared" si="28"/>
        <v>0</v>
      </c>
      <c r="W359" s="3">
        <f t="shared" si="29"/>
        <v>0</v>
      </c>
      <c r="X359" s="3">
        <f t="shared" si="30"/>
        <v>0</v>
      </c>
      <c r="Y359" s="25">
        <f t="shared" si="31"/>
        <v>0</v>
      </c>
      <c r="Z359" s="26">
        <f>VLOOKUP(R359,CPI!$A$2:$F$71,6,0)</f>
        <v>1.933460384</v>
      </c>
      <c r="AA359" s="27">
        <f t="shared" si="8"/>
        <v>223.3544843</v>
      </c>
      <c r="AB359" s="27">
        <f t="shared" si="9"/>
        <v>82.11561923</v>
      </c>
      <c r="AC359" s="130" t="s">
        <v>60</v>
      </c>
      <c r="AD359" s="137" t="s">
        <v>707</v>
      </c>
      <c r="AE359" s="34"/>
      <c r="AF359" s="34"/>
      <c r="AG359" s="34"/>
      <c r="AH359" s="34"/>
    </row>
    <row r="360">
      <c r="A360" s="130" t="s">
        <v>230</v>
      </c>
      <c r="B360" s="130" t="s">
        <v>704</v>
      </c>
      <c r="C360" s="36" t="s">
        <v>84</v>
      </c>
      <c r="D360" s="130" t="s">
        <v>319</v>
      </c>
      <c r="E360" s="130">
        <v>2000.0</v>
      </c>
      <c r="F360" s="130">
        <v>2002.0</v>
      </c>
      <c r="G360" s="130">
        <v>0.0</v>
      </c>
      <c r="H360" s="130">
        <v>17.206</v>
      </c>
      <c r="I360" s="131">
        <v>0.0</v>
      </c>
      <c r="J360" s="130">
        <v>0.0</v>
      </c>
      <c r="K360" s="132">
        <v>16.7</v>
      </c>
      <c r="L360" s="132">
        <v>0.51</v>
      </c>
      <c r="M360" s="130">
        <v>11.0</v>
      </c>
      <c r="N360" s="138"/>
      <c r="O360" s="130" t="s">
        <v>74</v>
      </c>
      <c r="P360" s="135">
        <f>3.437*10^3</f>
        <v>3437</v>
      </c>
      <c r="Q360" s="130" t="s">
        <v>234</v>
      </c>
      <c r="R360" s="130">
        <v>2001.0</v>
      </c>
      <c r="S360" s="136">
        <v>0.368</v>
      </c>
      <c r="T360" s="128">
        <f t="shared" si="69"/>
        <v>1264.816</v>
      </c>
      <c r="U360" s="24">
        <f t="shared" si="3"/>
        <v>73.51017087</v>
      </c>
      <c r="V360" s="3">
        <f t="shared" si="28"/>
        <v>0</v>
      </c>
      <c r="W360" s="3">
        <f t="shared" si="29"/>
        <v>0</v>
      </c>
      <c r="X360" s="3">
        <f t="shared" si="30"/>
        <v>0</v>
      </c>
      <c r="Y360" s="25">
        <f t="shared" si="31"/>
        <v>0</v>
      </c>
      <c r="Z360" s="26">
        <f>VLOOKUP(R360,CPI!$A$2:$F$71,6,0)</f>
        <v>1.818828346</v>
      </c>
      <c r="AA360" s="27">
        <f t="shared" si="8"/>
        <v>2300.483193</v>
      </c>
      <c r="AB360" s="27">
        <f t="shared" si="9"/>
        <v>133.7023825</v>
      </c>
      <c r="AC360" s="130" t="s">
        <v>60</v>
      </c>
      <c r="AD360" s="211" t="s">
        <v>710</v>
      </c>
      <c r="AE360" s="212"/>
      <c r="AF360" s="34"/>
      <c r="AG360" s="34"/>
      <c r="AH360" s="34"/>
    </row>
    <row r="361">
      <c r="A361" s="123" t="s">
        <v>230</v>
      </c>
      <c r="B361" s="123" t="s">
        <v>704</v>
      </c>
      <c r="C361" s="36" t="s">
        <v>110</v>
      </c>
      <c r="D361" s="123" t="s">
        <v>332</v>
      </c>
      <c r="E361" s="123"/>
      <c r="F361" s="75">
        <v>2005.0</v>
      </c>
      <c r="G361" s="75">
        <v>0.0</v>
      </c>
      <c r="H361" s="75">
        <v>22.032</v>
      </c>
      <c r="I361" s="124">
        <v>0.9432643428</v>
      </c>
      <c r="J361" s="75">
        <v>20.782</v>
      </c>
      <c r="K361" s="125">
        <v>1.285</v>
      </c>
      <c r="L361" s="125">
        <v>0.0368</v>
      </c>
      <c r="M361" s="75">
        <v>9.0</v>
      </c>
      <c r="N361" s="75"/>
      <c r="O361" s="123" t="s">
        <v>74</v>
      </c>
      <c r="P361" s="126">
        <f>12.6*10^3</f>
        <v>12600</v>
      </c>
      <c r="Q361" s="123" t="s">
        <v>234</v>
      </c>
      <c r="R361" s="142">
        <v>2005.0</v>
      </c>
      <c r="S361" s="136">
        <v>0.3519</v>
      </c>
      <c r="T361" s="128">
        <f t="shared" si="69"/>
        <v>4433.94</v>
      </c>
      <c r="U361" s="24">
        <f t="shared" si="3"/>
        <v>201.25</v>
      </c>
      <c r="V361" s="3">
        <f t="shared" si="28"/>
        <v>0</v>
      </c>
      <c r="W361" s="3">
        <f t="shared" si="29"/>
        <v>0</v>
      </c>
      <c r="X361" s="3">
        <f t="shared" si="30"/>
        <v>0</v>
      </c>
      <c r="Y361" s="25">
        <f t="shared" si="31"/>
        <v>0</v>
      </c>
      <c r="Z361" s="26">
        <f>VLOOKUP(R361,CPI!$A$2:$F$71,6,0)</f>
        <v>1.649331797</v>
      </c>
      <c r="AA361" s="27">
        <f t="shared" si="8"/>
        <v>7313.038229</v>
      </c>
      <c r="AB361" s="27">
        <f t="shared" si="9"/>
        <v>331.9280242</v>
      </c>
      <c r="AC361" s="123" t="s">
        <v>60</v>
      </c>
      <c r="AD361" s="129" t="s">
        <v>711</v>
      </c>
      <c r="AE361" s="34"/>
      <c r="AF361" s="34"/>
      <c r="AG361" s="34"/>
      <c r="AH361" s="34"/>
    </row>
    <row r="362">
      <c r="A362" s="130" t="s">
        <v>230</v>
      </c>
      <c r="B362" s="130" t="s">
        <v>704</v>
      </c>
      <c r="C362" s="36" t="s">
        <v>54</v>
      </c>
      <c r="D362" s="130" t="s">
        <v>712</v>
      </c>
      <c r="E362" s="130">
        <v>2001.0</v>
      </c>
      <c r="F362" s="130">
        <v>2006.0</v>
      </c>
      <c r="G362" s="130">
        <v>0.0</v>
      </c>
      <c r="H362" s="130">
        <v>6.155</v>
      </c>
      <c r="I362" s="131">
        <v>1.0</v>
      </c>
      <c r="J362" s="130">
        <v>6.155</v>
      </c>
      <c r="K362" s="132">
        <v>0.0</v>
      </c>
      <c r="L362" s="132">
        <v>0.0</v>
      </c>
      <c r="M362" s="130">
        <v>4.0</v>
      </c>
      <c r="N362" s="138"/>
      <c r="O362" s="130" t="s">
        <v>74</v>
      </c>
      <c r="P362" s="135">
        <f>3.48842*10^3</f>
        <v>3488.42</v>
      </c>
      <c r="Q362" s="130" t="s">
        <v>234</v>
      </c>
      <c r="R362" s="130">
        <v>2004.0</v>
      </c>
      <c r="S362" s="136">
        <v>0.355</v>
      </c>
      <c r="T362" s="128">
        <f t="shared" si="69"/>
        <v>1238.3891</v>
      </c>
      <c r="U362" s="24">
        <f t="shared" si="3"/>
        <v>201.2005037</v>
      </c>
      <c r="V362" s="3">
        <f t="shared" si="28"/>
        <v>0</v>
      </c>
      <c r="W362" s="3">
        <f t="shared" si="29"/>
        <v>0</v>
      </c>
      <c r="X362" s="3">
        <f t="shared" si="30"/>
        <v>0</v>
      </c>
      <c r="Y362" s="25">
        <f t="shared" si="31"/>
        <v>0</v>
      </c>
      <c r="Z362" s="26">
        <f>VLOOKUP(R362,CPI!$A$2:$F$71,6,0)</f>
        <v>1.705211752</v>
      </c>
      <c r="AA362" s="27">
        <f t="shared" si="8"/>
        <v>2111.715647</v>
      </c>
      <c r="AB362" s="27">
        <f t="shared" si="9"/>
        <v>343.0894634</v>
      </c>
      <c r="AC362" s="130" t="s">
        <v>60</v>
      </c>
      <c r="AD362" s="137" t="s">
        <v>707</v>
      </c>
      <c r="AE362" s="29"/>
      <c r="AF362" s="30"/>
      <c r="AG362" s="30"/>
      <c r="AH362" s="30"/>
    </row>
    <row r="363">
      <c r="A363" s="123" t="s">
        <v>230</v>
      </c>
      <c r="B363" s="123" t="s">
        <v>704</v>
      </c>
      <c r="C363" s="36" t="s">
        <v>87</v>
      </c>
      <c r="D363" s="123" t="s">
        <v>713</v>
      </c>
      <c r="E363" s="123"/>
      <c r="F363" s="75">
        <v>2006.0</v>
      </c>
      <c r="G363" s="75">
        <v>0.0</v>
      </c>
      <c r="H363" s="75">
        <v>15.365</v>
      </c>
      <c r="I363" s="124">
        <v>0.128799219</v>
      </c>
      <c r="J363" s="75">
        <v>1.979</v>
      </c>
      <c r="K363" s="125">
        <v>13.395</v>
      </c>
      <c r="L363" s="125">
        <v>0.1306</v>
      </c>
      <c r="M363" s="75">
        <v>10.0</v>
      </c>
      <c r="N363" s="75"/>
      <c r="O363" s="123" t="s">
        <v>74</v>
      </c>
      <c r="P363" s="126">
        <f>3.5*10^3</f>
        <v>3500</v>
      </c>
      <c r="Q363" s="123" t="s">
        <v>234</v>
      </c>
      <c r="R363" s="142">
        <v>2006.0</v>
      </c>
      <c r="S363" s="136">
        <v>0.349</v>
      </c>
      <c r="T363" s="118">
        <f t="shared" si="69"/>
        <v>1221.5</v>
      </c>
      <c r="U363" s="24">
        <f t="shared" si="3"/>
        <v>79.49886105</v>
      </c>
      <c r="V363" s="3">
        <f t="shared" si="28"/>
        <v>0</v>
      </c>
      <c r="W363" s="3">
        <f t="shared" si="29"/>
        <v>0</v>
      </c>
      <c r="X363" s="3">
        <f t="shared" si="30"/>
        <v>0</v>
      </c>
      <c r="Y363" s="25">
        <f t="shared" si="31"/>
        <v>0</v>
      </c>
      <c r="Z363" s="26">
        <f>VLOOKUP(R363,CPI!$A$2:$F$71,6,0)</f>
        <v>1.597790179</v>
      </c>
      <c r="AA363" s="27">
        <f t="shared" si="8"/>
        <v>1951.700703</v>
      </c>
      <c r="AB363" s="27">
        <f t="shared" si="9"/>
        <v>127.0224994</v>
      </c>
      <c r="AC363" s="123" t="s">
        <v>60</v>
      </c>
      <c r="AD363" s="129" t="s">
        <v>708</v>
      </c>
      <c r="AE363" s="29"/>
      <c r="AF363" s="30"/>
      <c r="AG363" s="30"/>
      <c r="AH363" s="30"/>
    </row>
    <row r="364">
      <c r="A364" s="123" t="s">
        <v>230</v>
      </c>
      <c r="B364" s="123" t="s">
        <v>704</v>
      </c>
      <c r="C364" s="36" t="s">
        <v>253</v>
      </c>
      <c r="D364" s="123" t="s">
        <v>362</v>
      </c>
      <c r="E364" s="123"/>
      <c r="F364" s="75">
        <v>2008.0</v>
      </c>
      <c r="G364" s="75">
        <v>0.0</v>
      </c>
      <c r="H364" s="75">
        <v>30.687</v>
      </c>
      <c r="I364" s="124">
        <v>0.4817023495</v>
      </c>
      <c r="J364" s="75">
        <v>14.782</v>
      </c>
      <c r="K364" s="125">
        <v>15.9588</v>
      </c>
      <c r="L364" s="125">
        <v>0.0</v>
      </c>
      <c r="M364" s="75">
        <v>13.0</v>
      </c>
      <c r="N364" s="75"/>
      <c r="O364" s="123" t="s">
        <v>74</v>
      </c>
      <c r="P364" s="126">
        <f>19*10^3</f>
        <v>19000</v>
      </c>
      <c r="Q364" s="123" t="s">
        <v>234</v>
      </c>
      <c r="R364" s="130">
        <v>2008.0</v>
      </c>
      <c r="S364" s="136">
        <v>0.315</v>
      </c>
      <c r="T364" s="128">
        <f t="shared" si="69"/>
        <v>5985</v>
      </c>
      <c r="U364" s="24">
        <f t="shared" si="3"/>
        <v>195.0337276</v>
      </c>
      <c r="V364" s="3">
        <f t="shared" si="28"/>
        <v>0</v>
      </c>
      <c r="W364" s="3">
        <f t="shared" si="29"/>
        <v>0</v>
      </c>
      <c r="X364" s="3">
        <f t="shared" si="30"/>
        <v>0</v>
      </c>
      <c r="Y364" s="25">
        <f t="shared" si="31"/>
        <v>0</v>
      </c>
      <c r="Z364" s="26">
        <f>VLOOKUP(R364,CPI!$A$2:$F$71,6,0)</f>
        <v>1.496098522</v>
      </c>
      <c r="AA364" s="27">
        <f t="shared" si="8"/>
        <v>8954.149652</v>
      </c>
      <c r="AB364" s="27">
        <f t="shared" si="9"/>
        <v>291.7896716</v>
      </c>
      <c r="AC364" s="130" t="s">
        <v>60</v>
      </c>
      <c r="AD364" s="129" t="s">
        <v>714</v>
      </c>
      <c r="AE364" s="29"/>
      <c r="AF364" s="30"/>
      <c r="AG364" s="30"/>
      <c r="AH364" s="30"/>
    </row>
    <row r="365">
      <c r="A365" s="130" t="s">
        <v>230</v>
      </c>
      <c r="B365" s="130" t="s">
        <v>704</v>
      </c>
      <c r="C365" s="36" t="s">
        <v>228</v>
      </c>
      <c r="D365" s="130" t="s">
        <v>263</v>
      </c>
      <c r="E365" s="130">
        <v>2005.0</v>
      </c>
      <c r="F365" s="130">
        <v>2009.0</v>
      </c>
      <c r="G365" s="130">
        <v>0.0</v>
      </c>
      <c r="H365" s="130">
        <v>34.388</v>
      </c>
      <c r="I365" s="131">
        <v>1.0</v>
      </c>
      <c r="J365" s="130">
        <v>34.388</v>
      </c>
      <c r="K365" s="132">
        <v>0.0</v>
      </c>
      <c r="L365" s="132">
        <v>0.0</v>
      </c>
      <c r="M365" s="130">
        <v>28.0</v>
      </c>
      <c r="N365" s="138"/>
      <c r="O365" s="130" t="s">
        <v>74</v>
      </c>
      <c r="P365" s="135">
        <f>18.7*10^3</f>
        <v>18700</v>
      </c>
      <c r="Q365" s="130" t="s">
        <v>234</v>
      </c>
      <c r="R365" s="130">
        <v>2007.0</v>
      </c>
      <c r="S365" s="136">
        <v>0.333</v>
      </c>
      <c r="T365" s="128">
        <f t="shared" si="69"/>
        <v>6227.1</v>
      </c>
      <c r="U365" s="24">
        <f t="shared" si="3"/>
        <v>181.0835175</v>
      </c>
      <c r="V365" s="3">
        <f t="shared" si="28"/>
        <v>0</v>
      </c>
      <c r="W365" s="3">
        <f t="shared" si="29"/>
        <v>0</v>
      </c>
      <c r="X365" s="3">
        <f t="shared" si="30"/>
        <v>0</v>
      </c>
      <c r="Y365" s="25">
        <f t="shared" si="31"/>
        <v>0</v>
      </c>
      <c r="Z365" s="26">
        <f>VLOOKUP(R365,CPI!$A$2:$F$71,6,0)</f>
        <v>1.553541974</v>
      </c>
      <c r="AA365" s="27">
        <f t="shared" si="8"/>
        <v>9674.061227</v>
      </c>
      <c r="AB365" s="27">
        <f t="shared" si="9"/>
        <v>281.3208453</v>
      </c>
      <c r="AC365" s="130" t="s">
        <v>60</v>
      </c>
      <c r="AD365" s="137" t="s">
        <v>715</v>
      </c>
      <c r="AE365" s="29"/>
      <c r="AF365" s="30"/>
      <c r="AG365" s="30"/>
      <c r="AH365" s="30"/>
    </row>
    <row r="366">
      <c r="A366" s="130" t="s">
        <v>230</v>
      </c>
      <c r="B366" s="130" t="s">
        <v>704</v>
      </c>
      <c r="C366" s="36" t="s">
        <v>253</v>
      </c>
      <c r="D366" s="130" t="s">
        <v>393</v>
      </c>
      <c r="E366" s="130">
        <v>2005.0</v>
      </c>
      <c r="F366" s="130">
        <v>2009.0</v>
      </c>
      <c r="G366" s="130">
        <v>0.0</v>
      </c>
      <c r="H366" s="130">
        <v>14.5</v>
      </c>
      <c r="I366" s="131">
        <v>1.0</v>
      </c>
      <c r="J366" s="130">
        <v>14.5</v>
      </c>
      <c r="K366" s="132">
        <v>0.0</v>
      </c>
      <c r="L366" s="132">
        <v>0.0</v>
      </c>
      <c r="M366" s="130">
        <v>10.0</v>
      </c>
      <c r="N366" s="138"/>
      <c r="O366" s="130" t="s">
        <v>74</v>
      </c>
      <c r="P366" s="135">
        <f>8.94*10^3</f>
        <v>8940</v>
      </c>
      <c r="Q366" s="130" t="s">
        <v>234</v>
      </c>
      <c r="R366" s="130">
        <v>2007.0</v>
      </c>
      <c r="S366" s="136">
        <v>0.333</v>
      </c>
      <c r="T366" s="128">
        <f t="shared" si="69"/>
        <v>2977.02</v>
      </c>
      <c r="U366" s="24">
        <f t="shared" si="3"/>
        <v>205.3117241</v>
      </c>
      <c r="V366" s="3">
        <f t="shared" si="28"/>
        <v>0</v>
      </c>
      <c r="W366" s="3">
        <f t="shared" si="29"/>
        <v>0</v>
      </c>
      <c r="X366" s="3">
        <f t="shared" si="30"/>
        <v>0</v>
      </c>
      <c r="Y366" s="25">
        <f t="shared" si="31"/>
        <v>0</v>
      </c>
      <c r="Z366" s="26">
        <f>VLOOKUP(R366,CPI!$A$2:$F$71,6,0)</f>
        <v>1.553541974</v>
      </c>
      <c r="AA366" s="27">
        <f t="shared" si="8"/>
        <v>4624.925528</v>
      </c>
      <c r="AB366" s="27">
        <f t="shared" si="9"/>
        <v>318.9603812</v>
      </c>
      <c r="AC366" s="130" t="s">
        <v>60</v>
      </c>
      <c r="AD366" s="137" t="s">
        <v>714</v>
      </c>
      <c r="AE366" s="29"/>
      <c r="AF366" s="30"/>
      <c r="AG366" s="30"/>
      <c r="AH366" s="30"/>
    </row>
    <row r="367">
      <c r="A367" s="130" t="s">
        <v>230</v>
      </c>
      <c r="B367" s="130" t="s">
        <v>704</v>
      </c>
      <c r="C367" s="36" t="s">
        <v>292</v>
      </c>
      <c r="D367" s="130" t="s">
        <v>622</v>
      </c>
      <c r="E367" s="130">
        <v>2007.0</v>
      </c>
      <c r="F367" s="130">
        <v>2009.0</v>
      </c>
      <c r="G367" s="130">
        <v>0.0</v>
      </c>
      <c r="H367" s="130">
        <v>46.008</v>
      </c>
      <c r="I367" s="131">
        <v>0.4711354547</v>
      </c>
      <c r="J367" s="130">
        <v>21.676</v>
      </c>
      <c r="K367" s="132">
        <v>24.3853</v>
      </c>
      <c r="L367" s="132">
        <v>0.0</v>
      </c>
      <c r="M367" s="130">
        <v>21.0</v>
      </c>
      <c r="N367" s="138"/>
      <c r="O367" s="130" t="s">
        <v>74</v>
      </c>
      <c r="P367" s="135">
        <f>18.95*10^3</f>
        <v>18950</v>
      </c>
      <c r="Q367" s="130" t="s">
        <v>234</v>
      </c>
      <c r="R367" s="130">
        <v>2008.0</v>
      </c>
      <c r="S367" s="136">
        <v>0.315</v>
      </c>
      <c r="T367" s="128">
        <f t="shared" si="69"/>
        <v>5969.25</v>
      </c>
      <c r="U367" s="24">
        <f t="shared" si="3"/>
        <v>129.7437402</v>
      </c>
      <c r="V367" s="3">
        <f t="shared" si="28"/>
        <v>0</v>
      </c>
      <c r="W367" s="3">
        <f t="shared" si="29"/>
        <v>0</v>
      </c>
      <c r="X367" s="3">
        <f t="shared" si="30"/>
        <v>0</v>
      </c>
      <c r="Y367" s="25">
        <f t="shared" si="31"/>
        <v>0</v>
      </c>
      <c r="Z367" s="26">
        <f>VLOOKUP(R367,CPI!$A$2:$F$71,6,0)</f>
        <v>1.496098522</v>
      </c>
      <c r="AA367" s="27">
        <f t="shared" si="8"/>
        <v>8930.5861</v>
      </c>
      <c r="AB367" s="27">
        <f t="shared" si="9"/>
        <v>194.1094179</v>
      </c>
      <c r="AC367" s="130" t="s">
        <v>60</v>
      </c>
      <c r="AD367" s="137" t="s">
        <v>716</v>
      </c>
      <c r="AE367" s="34"/>
      <c r="AF367" s="34"/>
      <c r="AG367" s="34"/>
      <c r="AH367" s="34"/>
    </row>
    <row r="368">
      <c r="A368" s="123" t="s">
        <v>230</v>
      </c>
      <c r="B368" s="123" t="s">
        <v>704</v>
      </c>
      <c r="C368" s="36" t="s">
        <v>243</v>
      </c>
      <c r="D368" s="123" t="s">
        <v>373</v>
      </c>
      <c r="E368" s="123"/>
      <c r="F368" s="75">
        <v>2009.0</v>
      </c>
      <c r="G368" s="75">
        <v>0.0</v>
      </c>
      <c r="H368" s="75">
        <v>14.44</v>
      </c>
      <c r="I368" s="124">
        <f t="shared" ref="I368:I369" si="70">J368/H368</f>
        <v>0.5706371191</v>
      </c>
      <c r="J368" s="75">
        <v>8.24</v>
      </c>
      <c r="K368" s="125">
        <v>6.2092</v>
      </c>
      <c r="L368" s="125">
        <v>0.0</v>
      </c>
      <c r="M368" s="75">
        <v>8.0</v>
      </c>
      <c r="N368" s="75"/>
      <c r="O368" s="123" t="s">
        <v>74</v>
      </c>
      <c r="P368" s="126">
        <f>5.332*10^3</f>
        <v>5332</v>
      </c>
      <c r="Q368" s="123" t="s">
        <v>234</v>
      </c>
      <c r="R368" s="130">
        <v>2009.0</v>
      </c>
      <c r="S368" s="136">
        <v>0.317</v>
      </c>
      <c r="T368" s="118">
        <f t="shared" si="69"/>
        <v>1690.244</v>
      </c>
      <c r="U368" s="24">
        <f t="shared" si="3"/>
        <v>117.0529086</v>
      </c>
      <c r="V368" s="3">
        <f t="shared" si="28"/>
        <v>0</v>
      </c>
      <c r="W368" s="3">
        <f t="shared" si="29"/>
        <v>0</v>
      </c>
      <c r="X368" s="3">
        <f t="shared" si="30"/>
        <v>0</v>
      </c>
      <c r="Y368" s="25">
        <f t="shared" si="31"/>
        <v>0</v>
      </c>
      <c r="Z368" s="26">
        <f>VLOOKUP(R368,CPI!$A$2:$F$71,6,0)</f>
        <v>1.501440311</v>
      </c>
      <c r="AA368" s="27">
        <f t="shared" si="8"/>
        <v>2537.800477</v>
      </c>
      <c r="AB368" s="27">
        <f t="shared" si="9"/>
        <v>175.7479555</v>
      </c>
      <c r="AC368" s="130" t="s">
        <v>60</v>
      </c>
      <c r="AD368" s="129" t="s">
        <v>717</v>
      </c>
      <c r="AE368" s="29"/>
      <c r="AF368" s="30"/>
      <c r="AG368" s="30"/>
      <c r="AH368" s="30"/>
    </row>
    <row r="369">
      <c r="A369" s="123" t="s">
        <v>230</v>
      </c>
      <c r="B369" s="123" t="s">
        <v>704</v>
      </c>
      <c r="C369" s="36" t="s">
        <v>243</v>
      </c>
      <c r="D369" s="123" t="s">
        <v>379</v>
      </c>
      <c r="E369" s="123"/>
      <c r="F369" s="75">
        <v>2009.0</v>
      </c>
      <c r="G369" s="75">
        <v>0.0</v>
      </c>
      <c r="H369" s="75">
        <v>23.22</v>
      </c>
      <c r="I369" s="124">
        <f t="shared" si="70"/>
        <v>1</v>
      </c>
      <c r="J369" s="75">
        <v>23.22</v>
      </c>
      <c r="K369" s="125">
        <v>0.0</v>
      </c>
      <c r="L369" s="125">
        <v>0.0</v>
      </c>
      <c r="M369" s="75">
        <v>22.0</v>
      </c>
      <c r="N369" s="75"/>
      <c r="O369" s="123" t="s">
        <v>42</v>
      </c>
      <c r="P369" s="126">
        <v>14493.0</v>
      </c>
      <c r="Q369" s="123" t="s">
        <v>234</v>
      </c>
      <c r="R369" s="75">
        <v>2001.0</v>
      </c>
      <c r="S369" s="136">
        <v>0.368</v>
      </c>
      <c r="T369" s="128">
        <f t="shared" si="69"/>
        <v>5333.424</v>
      </c>
      <c r="U369" s="24">
        <f t="shared" si="3"/>
        <v>229.6909561</v>
      </c>
      <c r="V369" s="3">
        <f t="shared" si="28"/>
        <v>0</v>
      </c>
      <c r="W369" s="3">
        <f t="shared" si="29"/>
        <v>0</v>
      </c>
      <c r="X369" s="3">
        <f t="shared" si="30"/>
        <v>0</v>
      </c>
      <c r="Y369" s="25">
        <f t="shared" si="31"/>
        <v>0</v>
      </c>
      <c r="Z369" s="26">
        <f>VLOOKUP(R369,CPI!$A$2:$F$71,6,0)</f>
        <v>1.818828346</v>
      </c>
      <c r="AA369" s="27">
        <f t="shared" si="8"/>
        <v>9700.58275</v>
      </c>
      <c r="AB369" s="27">
        <f t="shared" si="9"/>
        <v>417.7684216</v>
      </c>
      <c r="AC369" s="123" t="s">
        <v>42</v>
      </c>
      <c r="AD369" s="129" t="s">
        <v>717</v>
      </c>
      <c r="AE369" s="29"/>
      <c r="AF369" s="30"/>
      <c r="AG369" s="30"/>
      <c r="AH369" s="30"/>
    </row>
    <row r="370">
      <c r="A370" s="130" t="s">
        <v>230</v>
      </c>
      <c r="B370" s="130" t="s">
        <v>704</v>
      </c>
      <c r="C370" s="36" t="s">
        <v>239</v>
      </c>
      <c r="D370" s="130" t="s">
        <v>356</v>
      </c>
      <c r="E370" s="130">
        <v>2005.0</v>
      </c>
      <c r="F370" s="130">
        <v>2010.0</v>
      </c>
      <c r="G370" s="130">
        <v>0.0</v>
      </c>
      <c r="H370" s="130">
        <v>36.221</v>
      </c>
      <c r="I370" s="131">
        <v>1.0</v>
      </c>
      <c r="J370" s="130">
        <v>36.221</v>
      </c>
      <c r="K370" s="132">
        <v>0.0</v>
      </c>
      <c r="L370" s="132">
        <v>0.0</v>
      </c>
      <c r="M370" s="130">
        <v>31.0</v>
      </c>
      <c r="N370" s="133">
        <v>138.0</v>
      </c>
      <c r="O370" s="130" t="s">
        <v>74</v>
      </c>
      <c r="P370" s="135">
        <f>23.784*10^3</f>
        <v>23784</v>
      </c>
      <c r="Q370" s="130" t="s">
        <v>234</v>
      </c>
      <c r="R370" s="130">
        <v>2007.0</v>
      </c>
      <c r="S370" s="136">
        <v>0.333</v>
      </c>
      <c r="T370" s="128">
        <f t="shared" si="69"/>
        <v>7920.072</v>
      </c>
      <c r="U370" s="24">
        <f t="shared" si="3"/>
        <v>218.6596726</v>
      </c>
      <c r="V370" s="3">
        <f t="shared" si="28"/>
        <v>0</v>
      </c>
      <c r="W370" s="3">
        <f t="shared" si="29"/>
        <v>0</v>
      </c>
      <c r="X370" s="3">
        <f t="shared" si="30"/>
        <v>0</v>
      </c>
      <c r="Y370" s="25">
        <f t="shared" si="31"/>
        <v>0</v>
      </c>
      <c r="Z370" s="26">
        <f>VLOOKUP(R370,CPI!$A$2:$F$71,6,0)</f>
        <v>1.553541974</v>
      </c>
      <c r="AA370" s="27">
        <f t="shared" si="8"/>
        <v>12304.16429</v>
      </c>
      <c r="AB370" s="27">
        <f t="shared" si="9"/>
        <v>339.6969794</v>
      </c>
      <c r="AC370" s="130" t="s">
        <v>60</v>
      </c>
      <c r="AD370" s="137" t="s">
        <v>718</v>
      </c>
      <c r="AE370" s="29"/>
      <c r="AF370" s="30"/>
      <c r="AG370" s="30"/>
      <c r="AH370" s="30"/>
    </row>
    <row r="371">
      <c r="A371" s="130" t="s">
        <v>230</v>
      </c>
      <c r="B371" s="130" t="s">
        <v>704</v>
      </c>
      <c r="C371" s="36" t="s">
        <v>54</v>
      </c>
      <c r="D371" s="130" t="s">
        <v>719</v>
      </c>
      <c r="E371" s="130">
        <v>2006.0</v>
      </c>
      <c r="F371" s="130">
        <v>2010.0</v>
      </c>
      <c r="G371" s="130">
        <v>0.0</v>
      </c>
      <c r="H371" s="130">
        <v>30.8</v>
      </c>
      <c r="I371" s="131">
        <f>215/308</f>
        <v>0.6980519481</v>
      </c>
      <c r="J371" s="130">
        <v>21.5</v>
      </c>
      <c r="K371" s="132">
        <v>8.565</v>
      </c>
      <c r="L371" s="132">
        <v>0.983</v>
      </c>
      <c r="M371" s="130">
        <v>10.0</v>
      </c>
      <c r="N371" s="138"/>
      <c r="O371" s="130" t="s">
        <v>59</v>
      </c>
      <c r="P371" s="135">
        <f>11.032*10^3</f>
        <v>11032</v>
      </c>
      <c r="Q371" s="130" t="s">
        <v>234</v>
      </c>
      <c r="R371" s="130">
        <v>2008.0</v>
      </c>
      <c r="S371" s="136">
        <v>0.315</v>
      </c>
      <c r="T371" s="128">
        <f t="shared" si="69"/>
        <v>3475.08</v>
      </c>
      <c r="U371" s="24">
        <f t="shared" si="3"/>
        <v>112.8272727</v>
      </c>
      <c r="V371" s="3">
        <f t="shared" si="28"/>
        <v>0</v>
      </c>
      <c r="W371" s="3">
        <f t="shared" si="29"/>
        <v>0</v>
      </c>
      <c r="X371" s="3">
        <f t="shared" si="30"/>
        <v>0</v>
      </c>
      <c r="Y371" s="25">
        <f t="shared" si="31"/>
        <v>0</v>
      </c>
      <c r="Z371" s="26">
        <f>VLOOKUP(R371,CPI!$A$2:$F$71,6,0)</f>
        <v>1.496098522</v>
      </c>
      <c r="AA371" s="27">
        <f t="shared" si="8"/>
        <v>5199.062051</v>
      </c>
      <c r="AB371" s="27">
        <f t="shared" si="9"/>
        <v>168.8007159</v>
      </c>
      <c r="AC371" s="130" t="s">
        <v>60</v>
      </c>
      <c r="AD371" s="137" t="s">
        <v>707</v>
      </c>
      <c r="AE371" s="29"/>
      <c r="AF371" s="30"/>
      <c r="AG371" s="30"/>
      <c r="AH371" s="30"/>
    </row>
    <row r="372">
      <c r="A372" s="123" t="s">
        <v>230</v>
      </c>
      <c r="B372" s="123" t="s">
        <v>704</v>
      </c>
      <c r="C372" s="36" t="s">
        <v>54</v>
      </c>
      <c r="D372" s="123" t="s">
        <v>720</v>
      </c>
      <c r="E372" s="123"/>
      <c r="F372" s="75">
        <v>2010.0</v>
      </c>
      <c r="G372" s="75">
        <v>0.0</v>
      </c>
      <c r="H372" s="75">
        <v>8.53</v>
      </c>
      <c r="I372" s="155"/>
      <c r="J372" s="123"/>
      <c r="K372" s="125" t="e">
        <v>#N/A</v>
      </c>
      <c r="L372" s="125" t="e">
        <v>#N/A</v>
      </c>
      <c r="M372" s="75">
        <v>3.0</v>
      </c>
      <c r="N372" s="75"/>
      <c r="O372" s="123" t="s">
        <v>74</v>
      </c>
      <c r="P372" s="126">
        <f>2.5*10^3</f>
        <v>2500</v>
      </c>
      <c r="Q372" s="123" t="s">
        <v>234</v>
      </c>
      <c r="R372" s="142">
        <v>2010.0</v>
      </c>
      <c r="S372" s="136">
        <v>0.3</v>
      </c>
      <c r="T372" s="128">
        <f t="shared" si="69"/>
        <v>750</v>
      </c>
      <c r="U372" s="24">
        <f t="shared" si="3"/>
        <v>87.92497069</v>
      </c>
      <c r="V372" s="3">
        <f t="shared" si="28"/>
        <v>0</v>
      </c>
      <c r="W372" s="3">
        <f t="shared" si="29"/>
        <v>0</v>
      </c>
      <c r="X372" s="3">
        <f t="shared" si="30"/>
        <v>0</v>
      </c>
      <c r="Y372" s="25">
        <f t="shared" si="31"/>
        <v>0</v>
      </c>
      <c r="Z372" s="26">
        <f>VLOOKUP(R372,CPI!$A$2:$F$71,6,0)</f>
        <v>1.477209983</v>
      </c>
      <c r="AA372" s="27">
        <f t="shared" si="8"/>
        <v>1107.907487</v>
      </c>
      <c r="AB372" s="27">
        <f t="shared" si="9"/>
        <v>129.8836444</v>
      </c>
      <c r="AC372" s="123" t="s">
        <v>60</v>
      </c>
      <c r="AD372" s="129" t="s">
        <v>707</v>
      </c>
      <c r="AE372" s="29"/>
      <c r="AF372" s="30"/>
      <c r="AG372" s="30"/>
      <c r="AH372" s="30"/>
    </row>
    <row r="373">
      <c r="A373" s="130" t="s">
        <v>230</v>
      </c>
      <c r="B373" s="130" t="s">
        <v>704</v>
      </c>
      <c r="C373" s="130" t="s">
        <v>80</v>
      </c>
      <c r="D373" s="130" t="s">
        <v>80</v>
      </c>
      <c r="E373" s="130">
        <v>2002.0</v>
      </c>
      <c r="F373" s="130">
        <v>2011.0</v>
      </c>
      <c r="G373" s="130">
        <v>0.0</v>
      </c>
      <c r="H373" s="130">
        <v>33.09</v>
      </c>
      <c r="I373" s="131">
        <v>0.6361438501</v>
      </c>
      <c r="J373" s="130">
        <v>21.05</v>
      </c>
      <c r="K373" s="132">
        <v>11.845</v>
      </c>
      <c r="L373" s="132">
        <v>0.3983</v>
      </c>
      <c r="M373" s="130">
        <v>28.0</v>
      </c>
      <c r="N373" s="138"/>
      <c r="O373" s="130" t="s">
        <v>60</v>
      </c>
      <c r="P373" s="135">
        <v>12000.0</v>
      </c>
      <c r="Q373" s="130" t="s">
        <v>234</v>
      </c>
      <c r="R373" s="130">
        <v>2002.0</v>
      </c>
      <c r="S373" s="136">
        <v>0.372</v>
      </c>
      <c r="T373" s="128">
        <f>S373*P373</f>
        <v>4464</v>
      </c>
      <c r="U373" s="24">
        <f t="shared" si="3"/>
        <v>134.9048051</v>
      </c>
      <c r="V373" s="3">
        <f t="shared" si="28"/>
        <v>0</v>
      </c>
      <c r="W373" s="3">
        <f t="shared" si="29"/>
        <v>0</v>
      </c>
      <c r="X373" s="3">
        <f t="shared" si="30"/>
        <v>0</v>
      </c>
      <c r="Y373" s="25">
        <f t="shared" si="31"/>
        <v>0</v>
      </c>
      <c r="Z373" s="26">
        <f>VLOOKUP(R373,CPI!$A$2:$F$71,6,0)</f>
        <v>1.790519733</v>
      </c>
      <c r="AA373" s="27">
        <f t="shared" si="8"/>
        <v>7992.880089</v>
      </c>
      <c r="AB373" s="27">
        <f t="shared" si="9"/>
        <v>241.5497156</v>
      </c>
      <c r="AC373" s="130" t="s">
        <v>42</v>
      </c>
      <c r="AD373" s="137" t="s">
        <v>721</v>
      </c>
      <c r="AE373" s="29"/>
      <c r="AF373" s="30"/>
      <c r="AG373" s="30"/>
      <c r="AH373" s="30"/>
    </row>
    <row r="374">
      <c r="A374" s="130" t="s">
        <v>230</v>
      </c>
      <c r="B374" s="130" t="s">
        <v>704</v>
      </c>
      <c r="C374" s="36" t="s">
        <v>228</v>
      </c>
      <c r="D374" s="130" t="s">
        <v>722</v>
      </c>
      <c r="E374" s="130">
        <v>2009.0</v>
      </c>
      <c r="F374" s="130">
        <v>2011.0</v>
      </c>
      <c r="G374" s="130">
        <v>0.0</v>
      </c>
      <c r="H374" s="130">
        <v>9.978</v>
      </c>
      <c r="I374" s="131">
        <v>0.7025456003</v>
      </c>
      <c r="J374" s="130">
        <v>7.01</v>
      </c>
      <c r="K374" s="132">
        <v>2.515</v>
      </c>
      <c r="L374" s="132">
        <v>0.479</v>
      </c>
      <c r="M374" s="130">
        <v>5.0</v>
      </c>
      <c r="N374" s="138"/>
      <c r="O374" s="130" t="s">
        <v>74</v>
      </c>
      <c r="P374" s="135">
        <f>3.157*10^3</f>
        <v>3157</v>
      </c>
      <c r="Q374" s="130" t="s">
        <v>234</v>
      </c>
      <c r="R374" s="130">
        <v>2010.0</v>
      </c>
      <c r="S374" s="136">
        <v>0.3</v>
      </c>
      <c r="T374" s="128">
        <f t="shared" ref="T374:T377" si="71">P374*S374</f>
        <v>947.1</v>
      </c>
      <c r="U374" s="24">
        <f t="shared" si="3"/>
        <v>94.91882141</v>
      </c>
      <c r="V374" s="3">
        <f t="shared" si="28"/>
        <v>0</v>
      </c>
      <c r="W374" s="3">
        <f t="shared" si="29"/>
        <v>0</v>
      </c>
      <c r="X374" s="3">
        <f t="shared" si="30"/>
        <v>0</v>
      </c>
      <c r="Y374" s="25">
        <f t="shared" si="31"/>
        <v>0</v>
      </c>
      <c r="Z374" s="26">
        <f>VLOOKUP(R374,CPI!$A$2:$F$71,6,0)</f>
        <v>1.477209983</v>
      </c>
      <c r="AA374" s="27">
        <f t="shared" si="8"/>
        <v>1399.065575</v>
      </c>
      <c r="AB374" s="27">
        <f t="shared" si="9"/>
        <v>140.2150305</v>
      </c>
      <c r="AC374" s="130" t="s">
        <v>60</v>
      </c>
      <c r="AD374" s="137" t="s">
        <v>715</v>
      </c>
      <c r="AE374" s="34"/>
      <c r="AF374" s="34"/>
      <c r="AG374" s="34"/>
      <c r="AH374" s="34"/>
    </row>
    <row r="375">
      <c r="A375" s="130" t="s">
        <v>230</v>
      </c>
      <c r="B375" s="130" t="s">
        <v>704</v>
      </c>
      <c r="C375" s="36" t="s">
        <v>253</v>
      </c>
      <c r="D375" s="130" t="s">
        <v>723</v>
      </c>
      <c r="E375" s="130">
        <v>2009.0</v>
      </c>
      <c r="F375" s="130">
        <v>2012.0</v>
      </c>
      <c r="G375" s="130">
        <v>0.0</v>
      </c>
      <c r="H375" s="130">
        <v>5.372</v>
      </c>
      <c r="I375" s="131">
        <v>1.0</v>
      </c>
      <c r="J375" s="130">
        <v>5.372</v>
      </c>
      <c r="K375" s="132">
        <v>0.0</v>
      </c>
      <c r="L375" s="132">
        <v>0.0</v>
      </c>
      <c r="M375" s="130"/>
      <c r="N375" s="138"/>
      <c r="O375" s="130" t="s">
        <v>74</v>
      </c>
      <c r="P375" s="135">
        <f>2.8*10^3</f>
        <v>2800</v>
      </c>
      <c r="Q375" s="130" t="s">
        <v>234</v>
      </c>
      <c r="R375" s="130">
        <v>2010.0</v>
      </c>
      <c r="S375" s="136">
        <v>0.3</v>
      </c>
      <c r="T375" s="128">
        <f t="shared" si="71"/>
        <v>840</v>
      </c>
      <c r="U375" s="24">
        <f t="shared" si="3"/>
        <v>156.366344</v>
      </c>
      <c r="V375" s="3">
        <f t="shared" si="28"/>
        <v>0</v>
      </c>
      <c r="W375" s="3">
        <f t="shared" si="29"/>
        <v>0</v>
      </c>
      <c r="X375" s="3">
        <f t="shared" si="30"/>
        <v>0</v>
      </c>
      <c r="Y375" s="25">
        <f t="shared" si="31"/>
        <v>0</v>
      </c>
      <c r="Z375" s="26">
        <f>VLOOKUP(R375,CPI!$A$2:$F$71,6,0)</f>
        <v>1.477209983</v>
      </c>
      <c r="AA375" s="27">
        <f t="shared" si="8"/>
        <v>1240.856386</v>
      </c>
      <c r="AB375" s="27">
        <f t="shared" si="9"/>
        <v>230.9859243</v>
      </c>
      <c r="AC375" s="130" t="s">
        <v>60</v>
      </c>
      <c r="AD375" s="137" t="s">
        <v>714</v>
      </c>
      <c r="AE375" s="34"/>
      <c r="AF375" s="34"/>
      <c r="AG375" s="34"/>
      <c r="AH375" s="34"/>
    </row>
    <row r="376">
      <c r="A376" s="123" t="s">
        <v>230</v>
      </c>
      <c r="B376" s="123" t="s">
        <v>704</v>
      </c>
      <c r="C376" s="36" t="s">
        <v>292</v>
      </c>
      <c r="D376" s="123" t="s">
        <v>724</v>
      </c>
      <c r="E376" s="123"/>
      <c r="F376" s="75">
        <v>2013.0</v>
      </c>
      <c r="G376" s="75">
        <v>0.0</v>
      </c>
      <c r="H376" s="75">
        <v>22.886</v>
      </c>
      <c r="I376" s="155"/>
      <c r="J376" s="123"/>
      <c r="K376" s="125" t="e">
        <v>#N/A</v>
      </c>
      <c r="L376" s="125" t="e">
        <v>#N/A</v>
      </c>
      <c r="M376" s="75">
        <v>13.0</v>
      </c>
      <c r="N376" s="75"/>
      <c r="O376" s="123" t="s">
        <v>74</v>
      </c>
      <c r="P376" s="126">
        <f>12.965*10^3</f>
        <v>12965</v>
      </c>
      <c r="Q376" s="123" t="s">
        <v>234</v>
      </c>
      <c r="R376" s="130">
        <v>2013.0</v>
      </c>
      <c r="S376" s="136">
        <v>0.273</v>
      </c>
      <c r="T376" s="128">
        <f t="shared" si="71"/>
        <v>3539.445</v>
      </c>
      <c r="U376" s="24">
        <f t="shared" si="3"/>
        <v>154.6554662</v>
      </c>
      <c r="V376" s="3">
        <f t="shared" si="28"/>
        <v>0</v>
      </c>
      <c r="W376" s="3">
        <f t="shared" si="29"/>
        <v>0</v>
      </c>
      <c r="X376" s="3">
        <f t="shared" si="30"/>
        <v>0</v>
      </c>
      <c r="Y376" s="25">
        <f t="shared" si="31"/>
        <v>0</v>
      </c>
      <c r="Z376" s="26">
        <f>VLOOKUP(R376,CPI!$A$2:$F$71,6,0)</f>
        <v>1.382720845</v>
      </c>
      <c r="AA376" s="27">
        <f t="shared" si="8"/>
        <v>4894.064383</v>
      </c>
      <c r="AB376" s="27">
        <f t="shared" si="9"/>
        <v>213.845337</v>
      </c>
      <c r="AC376" s="130" t="s">
        <v>60</v>
      </c>
      <c r="AD376" s="137" t="s">
        <v>716</v>
      </c>
      <c r="AE376" s="130"/>
      <c r="AF376" s="130"/>
      <c r="AG376" s="130"/>
      <c r="AH376" s="130"/>
    </row>
    <row r="377">
      <c r="A377" s="123" t="s">
        <v>230</v>
      </c>
      <c r="B377" s="123" t="s">
        <v>704</v>
      </c>
      <c r="C377" s="36" t="s">
        <v>292</v>
      </c>
      <c r="D377" s="123" t="s">
        <v>725</v>
      </c>
      <c r="E377" s="123"/>
      <c r="F377" s="75">
        <v>2013.0</v>
      </c>
      <c r="G377" s="75">
        <v>0.0</v>
      </c>
      <c r="H377" s="75">
        <v>6.0</v>
      </c>
      <c r="I377" s="124">
        <v>0.0</v>
      </c>
      <c r="J377" s="75">
        <v>0.0</v>
      </c>
      <c r="K377" s="125">
        <v>6.0</v>
      </c>
      <c r="L377" s="125">
        <v>0.0</v>
      </c>
      <c r="M377" s="75">
        <v>3.0</v>
      </c>
      <c r="N377" s="75"/>
      <c r="O377" s="123" t="s">
        <v>74</v>
      </c>
      <c r="P377" s="126">
        <f>1.849*10^3</f>
        <v>1849</v>
      </c>
      <c r="Q377" s="123" t="s">
        <v>234</v>
      </c>
      <c r="R377" s="130">
        <v>2013.0</v>
      </c>
      <c r="S377" s="136">
        <v>0.273</v>
      </c>
      <c r="T377" s="128">
        <f t="shared" si="71"/>
        <v>504.777</v>
      </c>
      <c r="U377" s="24">
        <f t="shared" si="3"/>
        <v>84.1295</v>
      </c>
      <c r="V377" s="3">
        <f t="shared" si="28"/>
        <v>0</v>
      </c>
      <c r="W377" s="3">
        <f t="shared" si="29"/>
        <v>0</v>
      </c>
      <c r="X377" s="3">
        <f t="shared" si="30"/>
        <v>0</v>
      </c>
      <c r="Y377" s="25">
        <f t="shared" si="31"/>
        <v>0</v>
      </c>
      <c r="Z377" s="26">
        <f>VLOOKUP(R377,CPI!$A$2:$F$71,6,0)</f>
        <v>1.382720845</v>
      </c>
      <c r="AA377" s="27">
        <f t="shared" si="8"/>
        <v>697.9656802</v>
      </c>
      <c r="AB377" s="27">
        <f t="shared" si="9"/>
        <v>116.3276134</v>
      </c>
      <c r="AC377" s="130" t="s">
        <v>60</v>
      </c>
      <c r="AD377" s="137" t="s">
        <v>716</v>
      </c>
      <c r="AE377" s="130"/>
      <c r="AF377" s="130"/>
      <c r="AG377" s="130"/>
      <c r="AH377" s="130"/>
    </row>
    <row r="378">
      <c r="A378" s="22" t="s">
        <v>230</v>
      </c>
      <c r="B378" s="22" t="s">
        <v>704</v>
      </c>
      <c r="C378" s="22" t="s">
        <v>283</v>
      </c>
      <c r="D378" s="22" t="s">
        <v>283</v>
      </c>
      <c r="E378" s="17">
        <v>2010.0</v>
      </c>
      <c r="F378" s="17">
        <v>2014.0</v>
      </c>
      <c r="G378" s="17">
        <v>0.0</v>
      </c>
      <c r="H378" s="17">
        <v>58.96</v>
      </c>
      <c r="I378" s="19">
        <f>J378/H378</f>
        <v>0.2321913161</v>
      </c>
      <c r="J378" s="17">
        <v>13.69</v>
      </c>
      <c r="K378" s="213">
        <v>45.3992</v>
      </c>
      <c r="L378" s="213">
        <v>0.0</v>
      </c>
      <c r="M378" s="22"/>
      <c r="N378" s="17"/>
      <c r="O378" s="22" t="s">
        <v>42</v>
      </c>
      <c r="P378" s="23">
        <v>18160.0</v>
      </c>
      <c r="Q378" s="22" t="s">
        <v>234</v>
      </c>
      <c r="R378" s="17">
        <v>2010.0</v>
      </c>
      <c r="S378" s="136">
        <v>0.3</v>
      </c>
      <c r="T378" s="3">
        <f t="shared" ref="T378:T379" si="72">S378*P378</f>
        <v>5448</v>
      </c>
      <c r="U378" s="24">
        <f t="shared" si="3"/>
        <v>92.40162822</v>
      </c>
      <c r="V378" s="3">
        <f t="shared" si="28"/>
        <v>0</v>
      </c>
      <c r="W378" s="3">
        <f t="shared" si="29"/>
        <v>0</v>
      </c>
      <c r="X378" s="3">
        <f t="shared" si="30"/>
        <v>0</v>
      </c>
      <c r="Y378" s="25">
        <f t="shared" si="31"/>
        <v>0</v>
      </c>
      <c r="Z378" s="26">
        <f>VLOOKUP(R378,CPI!$A$2:$F$71,6,0)</f>
        <v>1.477209983</v>
      </c>
      <c r="AA378" s="27">
        <f t="shared" si="8"/>
        <v>8047.839986</v>
      </c>
      <c r="AB378" s="27">
        <f t="shared" si="9"/>
        <v>136.4966076</v>
      </c>
      <c r="AC378" s="26" t="s">
        <v>42</v>
      </c>
      <c r="AD378" s="154" t="s">
        <v>726</v>
      </c>
      <c r="AE378" s="178"/>
      <c r="AF378" s="172"/>
      <c r="AG378" s="172"/>
      <c r="AH378" s="172"/>
    </row>
    <row r="379">
      <c r="A379" s="130" t="s">
        <v>230</v>
      </c>
      <c r="B379" s="130" t="s">
        <v>704</v>
      </c>
      <c r="C379" s="36" t="s">
        <v>292</v>
      </c>
      <c r="D379" s="130" t="s">
        <v>727</v>
      </c>
      <c r="E379" s="130"/>
      <c r="F379" s="130">
        <v>2016.0</v>
      </c>
      <c r="G379" s="130">
        <v>0.0</v>
      </c>
      <c r="H379" s="130">
        <v>9.15</v>
      </c>
      <c r="I379" s="131">
        <v>0.1595628415</v>
      </c>
      <c r="J379" s="130">
        <v>1.46</v>
      </c>
      <c r="K379" s="132">
        <v>7.73</v>
      </c>
      <c r="L379" s="132">
        <v>0.0475</v>
      </c>
      <c r="M379" s="130">
        <v>3.0</v>
      </c>
      <c r="N379" s="138"/>
      <c r="O379" s="130" t="s">
        <v>42</v>
      </c>
      <c r="P379" s="135">
        <v>4371.0</v>
      </c>
      <c r="Q379" s="130" t="s">
        <v>234</v>
      </c>
      <c r="R379" s="130">
        <v>2012.0</v>
      </c>
      <c r="S379" s="136">
        <v>0.2808</v>
      </c>
      <c r="T379" s="128">
        <f t="shared" si="72"/>
        <v>1227.3768</v>
      </c>
      <c r="U379" s="24">
        <f t="shared" si="3"/>
        <v>134.139541</v>
      </c>
      <c r="V379" s="3">
        <f t="shared" si="28"/>
        <v>0</v>
      </c>
      <c r="W379" s="3">
        <f t="shared" si="29"/>
        <v>0</v>
      </c>
      <c r="X379" s="3">
        <f t="shared" si="30"/>
        <v>0</v>
      </c>
      <c r="Y379" s="25">
        <f t="shared" si="31"/>
        <v>0</v>
      </c>
      <c r="Z379" s="26">
        <f>VLOOKUP(R379,CPI!$A$2:$F$71,6,0)</f>
        <v>1.402974381</v>
      </c>
      <c r="AA379" s="27">
        <f t="shared" si="8"/>
        <v>1721.978206</v>
      </c>
      <c r="AB379" s="27">
        <f t="shared" si="9"/>
        <v>188.1943395</v>
      </c>
      <c r="AC379" s="130" t="s">
        <v>42</v>
      </c>
      <c r="AD379" s="137" t="s">
        <v>716</v>
      </c>
      <c r="AE379" s="29"/>
      <c r="AF379" s="30"/>
      <c r="AG379" s="30"/>
      <c r="AH379" s="30"/>
    </row>
    <row r="380">
      <c r="A380" s="72" t="s">
        <v>230</v>
      </c>
      <c r="B380" s="72" t="s">
        <v>704</v>
      </c>
      <c r="C380" s="115" t="s">
        <v>253</v>
      </c>
      <c r="D380" s="115" t="s">
        <v>728</v>
      </c>
      <c r="E380" s="69">
        <v>2013.0</v>
      </c>
      <c r="F380" s="69">
        <v>2017.0</v>
      </c>
      <c r="G380" s="69">
        <v>0.0</v>
      </c>
      <c r="H380" s="69">
        <v>13.828</v>
      </c>
      <c r="I380" s="117">
        <v>1.0</v>
      </c>
      <c r="J380" s="69">
        <v>13.828</v>
      </c>
      <c r="K380" s="72"/>
      <c r="L380" s="72"/>
      <c r="M380" s="69">
        <v>9.0</v>
      </c>
      <c r="N380" s="70">
        <v>138.0</v>
      </c>
      <c r="O380" s="72"/>
      <c r="P380" s="140">
        <v>12713.0</v>
      </c>
      <c r="Q380" s="72" t="s">
        <v>234</v>
      </c>
      <c r="R380" s="115">
        <v>2015.0</v>
      </c>
      <c r="S380" s="136">
        <v>0.258</v>
      </c>
      <c r="T380" s="118">
        <f t="shared" ref="T380:T381" si="73">P380*S380</f>
        <v>3279.954</v>
      </c>
      <c r="U380" s="24">
        <f t="shared" si="3"/>
        <v>237.1965577</v>
      </c>
      <c r="V380" s="3">
        <f t="shared" si="28"/>
        <v>0</v>
      </c>
      <c r="W380" s="3">
        <f t="shared" si="29"/>
        <v>0</v>
      </c>
      <c r="X380" s="3">
        <f t="shared" si="30"/>
        <v>0</v>
      </c>
      <c r="Y380" s="25">
        <f t="shared" si="31"/>
        <v>0</v>
      </c>
      <c r="Z380" s="26">
        <f>VLOOKUP(R380,CPI!$A$2:$F$71,6,0)</f>
        <v>1.359035428</v>
      </c>
      <c r="AA380" s="27">
        <f t="shared" si="8"/>
        <v>4457.573688</v>
      </c>
      <c r="AB380" s="27">
        <f t="shared" si="9"/>
        <v>322.3585253</v>
      </c>
      <c r="AC380" s="130" t="s">
        <v>60</v>
      </c>
      <c r="AD380" s="79" t="s">
        <v>729</v>
      </c>
      <c r="AE380" s="205" t="s">
        <v>730</v>
      </c>
      <c r="AF380" s="168"/>
      <c r="AG380" s="168"/>
      <c r="AH380" s="169"/>
    </row>
    <row r="381">
      <c r="A381" s="130" t="s">
        <v>230</v>
      </c>
      <c r="B381" s="130" t="s">
        <v>704</v>
      </c>
      <c r="C381" s="36" t="s">
        <v>84</v>
      </c>
      <c r="D381" s="130" t="s">
        <v>731</v>
      </c>
      <c r="E381" s="130">
        <v>2014.0</v>
      </c>
      <c r="F381" s="130">
        <v>2018.0</v>
      </c>
      <c r="G381" s="130">
        <v>0.0</v>
      </c>
      <c r="H381" s="130">
        <v>19.628</v>
      </c>
      <c r="I381" s="131">
        <v>0.3946912574</v>
      </c>
      <c r="J381" s="130">
        <v>7.747</v>
      </c>
      <c r="K381" s="132">
        <v>11.9743</v>
      </c>
      <c r="L381" s="132">
        <v>0.0</v>
      </c>
      <c r="M381" s="130">
        <v>9.0</v>
      </c>
      <c r="N381" s="138"/>
      <c r="O381" s="130" t="s">
        <v>74</v>
      </c>
      <c r="P381" s="135">
        <f>10.619*10^3</f>
        <v>10619</v>
      </c>
      <c r="Q381" s="130" t="s">
        <v>234</v>
      </c>
      <c r="R381" s="130">
        <v>2016.0</v>
      </c>
      <c r="S381" s="136">
        <v>0.251</v>
      </c>
      <c r="T381" s="128">
        <f t="shared" si="73"/>
        <v>2665.369</v>
      </c>
      <c r="U381" s="24">
        <f t="shared" si="3"/>
        <v>135.7942225</v>
      </c>
      <c r="V381" s="3">
        <f t="shared" si="28"/>
        <v>0</v>
      </c>
      <c r="W381" s="3">
        <f t="shared" si="29"/>
        <v>0</v>
      </c>
      <c r="X381" s="3">
        <f t="shared" si="30"/>
        <v>0</v>
      </c>
      <c r="Y381" s="25">
        <f t="shared" si="31"/>
        <v>0</v>
      </c>
      <c r="Z381" s="26">
        <f>VLOOKUP(R381,CPI!$A$2:$F$71,6,0)</f>
        <v>1.342104605</v>
      </c>
      <c r="AA381" s="27">
        <f t="shared" si="8"/>
        <v>3577.20401</v>
      </c>
      <c r="AB381" s="27">
        <f t="shared" si="9"/>
        <v>182.2500514</v>
      </c>
      <c r="AC381" s="130" t="s">
        <v>60</v>
      </c>
      <c r="AD381" s="137" t="s">
        <v>710</v>
      </c>
      <c r="AE381" s="29"/>
      <c r="AF381" s="30"/>
      <c r="AG381" s="30"/>
      <c r="AH381" s="30"/>
    </row>
    <row r="382">
      <c r="A382" s="130" t="s">
        <v>230</v>
      </c>
      <c r="B382" s="130" t="s">
        <v>704</v>
      </c>
      <c r="C382" s="36" t="s">
        <v>243</v>
      </c>
      <c r="D382" s="130" t="s">
        <v>732</v>
      </c>
      <c r="E382" s="130">
        <v>2016.0</v>
      </c>
      <c r="F382" s="130">
        <v>2018.0</v>
      </c>
      <c r="G382" s="130">
        <v>0.0</v>
      </c>
      <c r="H382" s="130">
        <v>6.689</v>
      </c>
      <c r="I382" s="131">
        <v>0.0</v>
      </c>
      <c r="J382" s="130">
        <v>0.0</v>
      </c>
      <c r="K382" s="132">
        <v>6.65</v>
      </c>
      <c r="L382" s="132">
        <v>0.04</v>
      </c>
      <c r="M382" s="130">
        <v>6.0</v>
      </c>
      <c r="N382" s="138"/>
      <c r="O382" s="130" t="s">
        <v>42</v>
      </c>
      <c r="P382" s="135">
        <v>3177.0</v>
      </c>
      <c r="Q382" s="130" t="s">
        <v>234</v>
      </c>
      <c r="R382" s="130">
        <v>2015.0</v>
      </c>
      <c r="S382" s="136">
        <v>0.258</v>
      </c>
      <c r="T382" s="128">
        <f>S382*P382</f>
        <v>819.666</v>
      </c>
      <c r="U382" s="24">
        <f t="shared" si="3"/>
        <v>122.539393</v>
      </c>
      <c r="V382" s="3">
        <f t="shared" si="28"/>
        <v>0</v>
      </c>
      <c r="W382" s="3">
        <f t="shared" si="29"/>
        <v>0</v>
      </c>
      <c r="X382" s="3">
        <f t="shared" si="30"/>
        <v>0</v>
      </c>
      <c r="Y382" s="25">
        <f t="shared" si="31"/>
        <v>0</v>
      </c>
      <c r="Z382" s="26">
        <f>VLOOKUP(R382,CPI!$A$2:$F$71,6,0)</f>
        <v>1.359035428</v>
      </c>
      <c r="AA382" s="27">
        <f t="shared" si="8"/>
        <v>1113.955133</v>
      </c>
      <c r="AB382" s="27">
        <f t="shared" si="9"/>
        <v>166.5353764</v>
      </c>
      <c r="AC382" s="130" t="s">
        <v>42</v>
      </c>
      <c r="AD382" s="137" t="s">
        <v>733</v>
      </c>
      <c r="AE382" s="29"/>
      <c r="AF382" s="30"/>
      <c r="AG382" s="30"/>
      <c r="AH382" s="30"/>
    </row>
    <row r="383">
      <c r="A383" s="72" t="s">
        <v>230</v>
      </c>
      <c r="B383" s="72" t="s">
        <v>704</v>
      </c>
      <c r="C383" s="72" t="s">
        <v>267</v>
      </c>
      <c r="D383" s="72" t="s">
        <v>267</v>
      </c>
      <c r="E383" s="69">
        <v>2014.0</v>
      </c>
      <c r="F383" s="69">
        <v>2021.0</v>
      </c>
      <c r="G383" s="69">
        <v>0.0</v>
      </c>
      <c r="H383" s="69">
        <v>38.15</v>
      </c>
      <c r="I383" s="117">
        <v>1.0</v>
      </c>
      <c r="J383" s="69">
        <v>38.15</v>
      </c>
      <c r="K383" s="72"/>
      <c r="L383" s="72"/>
      <c r="M383" s="69">
        <v>31.0</v>
      </c>
      <c r="N383" s="69">
        <v>184.0</v>
      </c>
      <c r="O383" s="72"/>
      <c r="P383" s="140">
        <v>58073.0</v>
      </c>
      <c r="Q383" s="72" t="s">
        <v>234</v>
      </c>
      <c r="R383" s="115">
        <v>2021.0</v>
      </c>
      <c r="S383" s="136">
        <v>0.239</v>
      </c>
      <c r="T383" s="118">
        <f t="shared" ref="T383:T388" si="74">P383*S383</f>
        <v>13879.447</v>
      </c>
      <c r="U383" s="24">
        <f t="shared" si="3"/>
        <v>363.8125033</v>
      </c>
      <c r="V383" s="3">
        <f t="shared" si="28"/>
        <v>0</v>
      </c>
      <c r="W383" s="3">
        <f t="shared" si="29"/>
        <v>0</v>
      </c>
      <c r="X383" s="3">
        <f t="shared" si="30"/>
        <v>0</v>
      </c>
      <c r="Y383" s="25">
        <f t="shared" si="31"/>
        <v>0</v>
      </c>
      <c r="Z383" s="26">
        <f>VLOOKUP(R383,CPI!$A$2:$F$71,6,0)</f>
        <v>1.188745987</v>
      </c>
      <c r="AA383" s="27">
        <f t="shared" si="8"/>
        <v>16499.13692</v>
      </c>
      <c r="AB383" s="27">
        <f t="shared" si="9"/>
        <v>432.4806532</v>
      </c>
      <c r="AC383" s="72" t="s">
        <v>36</v>
      </c>
      <c r="AD383" s="79" t="s">
        <v>735</v>
      </c>
      <c r="AE383" s="186"/>
      <c r="AF383" s="187"/>
      <c r="AG383" s="187"/>
      <c r="AH383" s="187"/>
    </row>
    <row r="384">
      <c r="A384" s="74" t="s">
        <v>230</v>
      </c>
      <c r="B384" s="72" t="s">
        <v>704</v>
      </c>
      <c r="C384" s="72" t="s">
        <v>260</v>
      </c>
      <c r="D384" s="72" t="s">
        <v>260</v>
      </c>
      <c r="E384" s="69">
        <v>2016.0</v>
      </c>
      <c r="F384" s="69">
        <v>2021.0</v>
      </c>
      <c r="G384" s="69">
        <v>0.0</v>
      </c>
      <c r="H384" s="69">
        <v>42.3</v>
      </c>
      <c r="I384" s="117">
        <v>1.0</v>
      </c>
      <c r="J384" s="69">
        <v>42.3</v>
      </c>
      <c r="K384" s="72"/>
      <c r="L384" s="72"/>
      <c r="M384" s="69">
        <v>30.0</v>
      </c>
      <c r="N384" s="69">
        <v>138.0</v>
      </c>
      <c r="O384" s="72"/>
      <c r="P384" s="140">
        <v>47683.0</v>
      </c>
      <c r="Q384" s="72" t="s">
        <v>234</v>
      </c>
      <c r="R384" s="115">
        <v>2019.0</v>
      </c>
      <c r="S384" s="136">
        <v>0.238</v>
      </c>
      <c r="T384" s="118">
        <f t="shared" si="74"/>
        <v>11348.554</v>
      </c>
      <c r="U384" s="24">
        <f t="shared" si="3"/>
        <v>268.2873286</v>
      </c>
      <c r="V384" s="3">
        <f t="shared" si="28"/>
        <v>0</v>
      </c>
      <c r="W384" s="3">
        <f t="shared" si="29"/>
        <v>0</v>
      </c>
      <c r="X384" s="3">
        <f t="shared" si="30"/>
        <v>0</v>
      </c>
      <c r="Y384" s="25">
        <f t="shared" si="31"/>
        <v>0</v>
      </c>
      <c r="Z384" s="26">
        <f>VLOOKUP(R384,CPI!$A$2:$F$71,6,0)</f>
        <v>1.259947899</v>
      </c>
      <c r="AA384" s="27">
        <f t="shared" si="8"/>
        <v>14298.58677</v>
      </c>
      <c r="AB384" s="27">
        <f t="shared" si="9"/>
        <v>338.028056</v>
      </c>
      <c r="AC384" s="72" t="s">
        <v>36</v>
      </c>
      <c r="AD384" s="79" t="s">
        <v>736</v>
      </c>
      <c r="AE384" s="186"/>
      <c r="AF384" s="187"/>
      <c r="AG384" s="187"/>
      <c r="AH384" s="187"/>
    </row>
    <row r="385">
      <c r="A385" s="114" t="s">
        <v>230</v>
      </c>
      <c r="B385" s="114" t="s">
        <v>704</v>
      </c>
      <c r="C385" s="114" t="s">
        <v>351</v>
      </c>
      <c r="D385" s="114" t="s">
        <v>351</v>
      </c>
      <c r="E385" s="116">
        <v>2016.0</v>
      </c>
      <c r="F385" s="116">
        <v>2021.0</v>
      </c>
      <c r="G385" s="116">
        <v>0.0</v>
      </c>
      <c r="H385" s="116">
        <v>36.85</v>
      </c>
      <c r="I385" s="117">
        <v>1.0</v>
      </c>
      <c r="J385" s="116">
        <v>36.85</v>
      </c>
      <c r="K385" s="114"/>
      <c r="L385" s="114"/>
      <c r="M385" s="116">
        <v>26.0</v>
      </c>
      <c r="N385" s="116">
        <v>138.0</v>
      </c>
      <c r="O385" s="114"/>
      <c r="P385" s="140">
        <v>45937.0</v>
      </c>
      <c r="Q385" s="114" t="s">
        <v>234</v>
      </c>
      <c r="R385" s="115">
        <v>2019.0</v>
      </c>
      <c r="S385" s="136">
        <v>0.238</v>
      </c>
      <c r="T385" s="118">
        <f t="shared" si="74"/>
        <v>10933.006</v>
      </c>
      <c r="U385" s="24">
        <f t="shared" si="3"/>
        <v>296.6894437</v>
      </c>
      <c r="V385" s="3">
        <f t="shared" si="28"/>
        <v>0</v>
      </c>
      <c r="W385" s="3">
        <f t="shared" si="29"/>
        <v>0</v>
      </c>
      <c r="X385" s="3">
        <f t="shared" si="30"/>
        <v>0</v>
      </c>
      <c r="Y385" s="25">
        <f t="shared" si="31"/>
        <v>0</v>
      </c>
      <c r="Z385" s="26">
        <f>VLOOKUP(R385,CPI!$A$2:$F$71,6,0)</f>
        <v>1.259947899</v>
      </c>
      <c r="AA385" s="27">
        <f t="shared" si="8"/>
        <v>13775.01794</v>
      </c>
      <c r="AB385" s="27">
        <f t="shared" si="9"/>
        <v>373.8132412</v>
      </c>
      <c r="AC385" s="114"/>
      <c r="AD385" s="119" t="s">
        <v>737</v>
      </c>
      <c r="AE385" s="164"/>
      <c r="AF385" s="165"/>
      <c r="AG385" s="165"/>
      <c r="AH385" s="165"/>
    </row>
    <row r="386">
      <c r="A386" s="123" t="s">
        <v>230</v>
      </c>
      <c r="B386" s="123" t="s">
        <v>704</v>
      </c>
      <c r="C386" s="123" t="s">
        <v>738</v>
      </c>
      <c r="D386" s="123" t="s">
        <v>738</v>
      </c>
      <c r="E386" s="75">
        <v>2019.0</v>
      </c>
      <c r="F386" s="75">
        <v>2025.0</v>
      </c>
      <c r="G386" s="75">
        <v>0.0</v>
      </c>
      <c r="H386" s="75">
        <v>68.6</v>
      </c>
      <c r="I386" s="124">
        <v>0.83</v>
      </c>
      <c r="J386" s="75">
        <v>56.7</v>
      </c>
      <c r="K386" s="125">
        <v>0.0</v>
      </c>
      <c r="L386" s="125">
        <v>0.0</v>
      </c>
      <c r="M386" s="75">
        <v>9.0</v>
      </c>
      <c r="N386" s="75"/>
      <c r="O386" s="123" t="s">
        <v>60</v>
      </c>
      <c r="P386" s="126">
        <v>48054.0</v>
      </c>
      <c r="Q386" s="123" t="s">
        <v>234</v>
      </c>
      <c r="R386" s="75">
        <v>2018.0</v>
      </c>
      <c r="S386" s="136">
        <v>0.237</v>
      </c>
      <c r="T386" s="128">
        <f t="shared" si="74"/>
        <v>11388.798</v>
      </c>
      <c r="U386" s="24">
        <f t="shared" si="3"/>
        <v>166.0174636</v>
      </c>
      <c r="V386" s="3">
        <f t="shared" si="28"/>
        <v>0</v>
      </c>
      <c r="W386" s="3">
        <f t="shared" si="29"/>
        <v>0</v>
      </c>
      <c r="X386" s="3">
        <f t="shared" si="30"/>
        <v>0</v>
      </c>
      <c r="Y386" s="25">
        <f t="shared" si="31"/>
        <v>0</v>
      </c>
      <c r="Z386" s="26">
        <f>VLOOKUP(R386,CPI!$A$2:$F$71,6,0)</f>
        <v>1.28277786</v>
      </c>
      <c r="AA386" s="27">
        <f t="shared" si="8"/>
        <v>14609.29792</v>
      </c>
      <c r="AB386" s="27">
        <f t="shared" si="9"/>
        <v>212.9635266</v>
      </c>
      <c r="AC386" s="123" t="s">
        <v>60</v>
      </c>
      <c r="AD386" s="129" t="s">
        <v>739</v>
      </c>
      <c r="AE386" s="29"/>
      <c r="AF386" s="30"/>
      <c r="AG386" s="30"/>
      <c r="AH386" s="30"/>
    </row>
    <row r="387">
      <c r="A387" s="72" t="s">
        <v>230</v>
      </c>
      <c r="B387" s="72" t="s">
        <v>704</v>
      </c>
      <c r="C387" s="72" t="s">
        <v>740</v>
      </c>
      <c r="D387" s="72" t="s">
        <v>740</v>
      </c>
      <c r="E387" s="69">
        <v>2021.0</v>
      </c>
      <c r="F387" s="69">
        <v>2027.0</v>
      </c>
      <c r="G387" s="69">
        <v>1.0</v>
      </c>
      <c r="H387" s="69">
        <v>41.36</v>
      </c>
      <c r="I387" s="117">
        <v>0.94</v>
      </c>
      <c r="J387" s="69">
        <v>38.68</v>
      </c>
      <c r="K387" s="72"/>
      <c r="L387" s="72"/>
      <c r="M387" s="69">
        <v>17.0</v>
      </c>
      <c r="N387" s="69">
        <v>184.0</v>
      </c>
      <c r="O387" s="72"/>
      <c r="P387" s="140">
        <v>39900.0</v>
      </c>
      <c r="Q387" s="72" t="s">
        <v>234</v>
      </c>
      <c r="R387" s="115">
        <v>2021.0</v>
      </c>
      <c r="S387" s="136">
        <v>0.239</v>
      </c>
      <c r="T387" s="118">
        <f t="shared" si="74"/>
        <v>9536.1</v>
      </c>
      <c r="U387" s="24">
        <f t="shared" si="3"/>
        <v>230.5633462</v>
      </c>
      <c r="V387" s="3">
        <f t="shared" si="28"/>
        <v>0</v>
      </c>
      <c r="W387" s="3">
        <f t="shared" si="29"/>
        <v>0</v>
      </c>
      <c r="X387" s="3">
        <f t="shared" si="30"/>
        <v>0</v>
      </c>
      <c r="Y387" s="25">
        <f t="shared" si="31"/>
        <v>0</v>
      </c>
      <c r="Z387" s="26">
        <f>VLOOKUP(R387,CPI!$A$2:$F$71,6,0)</f>
        <v>1.188745987</v>
      </c>
      <c r="AA387" s="27">
        <f t="shared" si="8"/>
        <v>11336.0006</v>
      </c>
      <c r="AB387" s="27">
        <f t="shared" si="9"/>
        <v>274.0812525</v>
      </c>
      <c r="AC387" s="72" t="s">
        <v>36</v>
      </c>
      <c r="AD387" s="79" t="s">
        <v>741</v>
      </c>
      <c r="AE387" s="205" t="s">
        <v>742</v>
      </c>
      <c r="AF387" s="168"/>
      <c r="AG387" s="168"/>
      <c r="AH387" s="169"/>
    </row>
    <row r="388">
      <c r="A388" s="114" t="s">
        <v>230</v>
      </c>
      <c r="B388" s="114" t="s">
        <v>704</v>
      </c>
      <c r="C388" s="16" t="s">
        <v>287</v>
      </c>
      <c r="D388" s="114" t="s">
        <v>743</v>
      </c>
      <c r="E388" s="116">
        <v>2022.0</v>
      </c>
      <c r="F388" s="116"/>
      <c r="G388" s="116">
        <v>0.0</v>
      </c>
      <c r="H388" s="116">
        <v>17.3</v>
      </c>
      <c r="I388" s="117">
        <v>1.0</v>
      </c>
      <c r="J388" s="116">
        <v>17.3</v>
      </c>
      <c r="K388" s="114"/>
      <c r="L388" s="114"/>
      <c r="M388" s="116">
        <v>6.0</v>
      </c>
      <c r="N388" s="116">
        <v>184.0</v>
      </c>
      <c r="O388" s="114"/>
      <c r="P388" s="140">
        <v>17630.0</v>
      </c>
      <c r="Q388" s="114" t="s">
        <v>234</v>
      </c>
      <c r="R388" s="115">
        <v>2021.0</v>
      </c>
      <c r="S388" s="136">
        <v>0.239000000000002</v>
      </c>
      <c r="T388" s="118">
        <f t="shared" si="74"/>
        <v>4213.57</v>
      </c>
      <c r="U388" s="24">
        <f t="shared" si="3"/>
        <v>243.5589595</v>
      </c>
      <c r="V388" s="3">
        <f t="shared" si="28"/>
        <v>0</v>
      </c>
      <c r="W388" s="3">
        <f t="shared" si="29"/>
        <v>0</v>
      </c>
      <c r="X388" s="3">
        <f t="shared" si="30"/>
        <v>0</v>
      </c>
      <c r="Y388" s="25">
        <f t="shared" si="31"/>
        <v>0</v>
      </c>
      <c r="Z388" s="26">
        <f>VLOOKUP(R388,CPI!$A$2:$F$71,6,0)</f>
        <v>1.188745987</v>
      </c>
      <c r="AA388" s="27">
        <f t="shared" si="8"/>
        <v>5008.864427</v>
      </c>
      <c r="AB388" s="27">
        <f t="shared" si="9"/>
        <v>289.5297357</v>
      </c>
      <c r="AC388" s="114"/>
      <c r="AD388" s="119" t="s">
        <v>744</v>
      </c>
      <c r="AE388" s="164"/>
      <c r="AF388" s="165"/>
      <c r="AG388" s="165"/>
      <c r="AH388" s="165"/>
    </row>
    <row r="389">
      <c r="A389" s="130" t="s">
        <v>230</v>
      </c>
      <c r="B389" s="130" t="s">
        <v>704</v>
      </c>
      <c r="C389" s="130" t="s">
        <v>745</v>
      </c>
      <c r="D389" s="130" t="s">
        <v>745</v>
      </c>
      <c r="E389" s="130"/>
      <c r="F389" s="130"/>
      <c r="G389" s="130">
        <v>0.0</v>
      </c>
      <c r="H389" s="130">
        <v>44.6</v>
      </c>
      <c r="I389" s="131">
        <v>0.59</v>
      </c>
      <c r="J389" s="130">
        <v>26.1</v>
      </c>
      <c r="K389" s="132">
        <v>0.0</v>
      </c>
      <c r="L389" s="132">
        <v>0.0</v>
      </c>
      <c r="M389" s="130">
        <v>8.0</v>
      </c>
      <c r="N389" s="138"/>
      <c r="O389" s="130" t="s">
        <v>60</v>
      </c>
      <c r="P389" s="135">
        <v>26426.0</v>
      </c>
      <c r="Q389" s="130" t="s">
        <v>234</v>
      </c>
      <c r="R389" s="130">
        <v>2018.0</v>
      </c>
      <c r="S389" s="136">
        <v>0.237</v>
      </c>
      <c r="T389" s="128">
        <f>S389*P389</f>
        <v>6262.962</v>
      </c>
      <c r="U389" s="24">
        <f t="shared" si="3"/>
        <v>140.425157</v>
      </c>
      <c r="V389" s="3">
        <f t="shared" si="28"/>
        <v>0</v>
      </c>
      <c r="W389" s="3">
        <f t="shared" si="29"/>
        <v>0</v>
      </c>
      <c r="X389" s="3">
        <f t="shared" si="30"/>
        <v>0</v>
      </c>
      <c r="Y389" s="25">
        <f t="shared" si="31"/>
        <v>0</v>
      </c>
      <c r="Z389" s="26">
        <f>VLOOKUP(R389,CPI!$A$2:$F$71,6,0)</f>
        <v>1.28277786</v>
      </c>
      <c r="AA389" s="27">
        <f t="shared" si="8"/>
        <v>8033.988989</v>
      </c>
      <c r="AB389" s="27">
        <f t="shared" si="9"/>
        <v>180.1342823</v>
      </c>
      <c r="AC389" s="130" t="s">
        <v>60</v>
      </c>
      <c r="AD389" s="137" t="s">
        <v>739</v>
      </c>
      <c r="AE389" s="34"/>
      <c r="AF389" s="34"/>
      <c r="AG389" s="34"/>
      <c r="AH389" s="34"/>
    </row>
    <row r="390">
      <c r="A390" s="123" t="s">
        <v>230</v>
      </c>
      <c r="B390" s="123" t="s">
        <v>704</v>
      </c>
      <c r="C390" s="36" t="s">
        <v>57</v>
      </c>
      <c r="D390" s="123" t="s">
        <v>746</v>
      </c>
      <c r="E390" s="123"/>
      <c r="F390" s="123"/>
      <c r="G390" s="75">
        <v>0.0</v>
      </c>
      <c r="H390" s="75">
        <v>1.2</v>
      </c>
      <c r="I390" s="124">
        <v>0.0</v>
      </c>
      <c r="J390" s="75">
        <v>0.0</v>
      </c>
      <c r="K390" s="125">
        <v>0.0</v>
      </c>
      <c r="L390" s="125">
        <v>0.0</v>
      </c>
      <c r="M390" s="75">
        <v>1.0</v>
      </c>
      <c r="N390" s="75"/>
      <c r="O390" s="123" t="s">
        <v>60</v>
      </c>
      <c r="P390" s="126">
        <f>3.575*10^3</f>
        <v>3575</v>
      </c>
      <c r="Q390" s="123" t="s">
        <v>234</v>
      </c>
      <c r="R390" s="75">
        <v>2018.0</v>
      </c>
      <c r="S390" s="136">
        <v>0.237</v>
      </c>
      <c r="T390" s="128">
        <f t="shared" ref="T390:T401" si="75">P390*S390</f>
        <v>847.275</v>
      </c>
      <c r="U390" s="24">
        <f t="shared" si="3"/>
        <v>706.0625</v>
      </c>
      <c r="V390" s="3">
        <f t="shared" si="28"/>
        <v>0</v>
      </c>
      <c r="W390" s="3">
        <f t="shared" si="29"/>
        <v>0</v>
      </c>
      <c r="X390" s="3">
        <f t="shared" si="30"/>
        <v>0</v>
      </c>
      <c r="Y390" s="25">
        <f t="shared" si="31"/>
        <v>0</v>
      </c>
      <c r="Z390" s="26">
        <f>VLOOKUP(R390,CPI!$A$2:$F$71,6,0)</f>
        <v>1.28277786</v>
      </c>
      <c r="AA390" s="27">
        <f t="shared" si="8"/>
        <v>1086.865611</v>
      </c>
      <c r="AB390" s="27">
        <f t="shared" si="9"/>
        <v>905.7213425</v>
      </c>
      <c r="AC390" s="123" t="s">
        <v>60</v>
      </c>
      <c r="AD390" s="129" t="s">
        <v>739</v>
      </c>
      <c r="AE390" s="34"/>
      <c r="AF390" s="34"/>
      <c r="AG390" s="34"/>
      <c r="AH390" s="34"/>
    </row>
    <row r="391">
      <c r="A391" s="123" t="s">
        <v>230</v>
      </c>
      <c r="B391" s="123" t="s">
        <v>704</v>
      </c>
      <c r="C391" s="36" t="s">
        <v>236</v>
      </c>
      <c r="D391" s="123" t="s">
        <v>747</v>
      </c>
      <c r="E391" s="123"/>
      <c r="F391" s="123"/>
      <c r="G391" s="75">
        <v>0.0</v>
      </c>
      <c r="H391" s="75">
        <v>9.8</v>
      </c>
      <c r="I391" s="124">
        <v>1.0</v>
      </c>
      <c r="J391" s="75">
        <v>9.8</v>
      </c>
      <c r="K391" s="125">
        <v>0.0</v>
      </c>
      <c r="L391" s="125">
        <v>0.0</v>
      </c>
      <c r="M391" s="75">
        <v>5.0</v>
      </c>
      <c r="N391" s="75"/>
      <c r="O391" s="123" t="s">
        <v>60</v>
      </c>
      <c r="P391" s="126">
        <f>12.629*1000</f>
        <v>12629</v>
      </c>
      <c r="Q391" s="123" t="s">
        <v>234</v>
      </c>
      <c r="R391" s="75">
        <v>2018.0</v>
      </c>
      <c r="S391" s="136">
        <v>0.237</v>
      </c>
      <c r="T391" s="128">
        <f t="shared" si="75"/>
        <v>2993.073</v>
      </c>
      <c r="U391" s="24">
        <f t="shared" si="3"/>
        <v>305.4156122</v>
      </c>
      <c r="V391" s="3">
        <f t="shared" si="28"/>
        <v>0</v>
      </c>
      <c r="W391" s="3">
        <f t="shared" si="29"/>
        <v>0</v>
      </c>
      <c r="X391" s="3">
        <f t="shared" si="30"/>
        <v>0</v>
      </c>
      <c r="Y391" s="25">
        <f t="shared" si="31"/>
        <v>0</v>
      </c>
      <c r="Z391" s="26">
        <f>VLOOKUP(R391,CPI!$A$2:$F$71,6,0)</f>
        <v>1.28277786</v>
      </c>
      <c r="AA391" s="27">
        <f t="shared" si="8"/>
        <v>3839.447777</v>
      </c>
      <c r="AB391" s="27">
        <f t="shared" si="9"/>
        <v>391.7803854</v>
      </c>
      <c r="AC391" s="123" t="s">
        <v>60</v>
      </c>
      <c r="AD391" s="129" t="s">
        <v>739</v>
      </c>
      <c r="AE391" s="29"/>
      <c r="AF391" s="30"/>
      <c r="AG391" s="30"/>
      <c r="AH391" s="30"/>
    </row>
    <row r="392">
      <c r="A392" s="123" t="s">
        <v>230</v>
      </c>
      <c r="B392" s="123" t="s">
        <v>704</v>
      </c>
      <c r="C392" s="123" t="s">
        <v>288</v>
      </c>
      <c r="D392" s="123" t="s">
        <v>288</v>
      </c>
      <c r="E392" s="123"/>
      <c r="F392" s="123"/>
      <c r="G392" s="75">
        <v>0.0</v>
      </c>
      <c r="H392" s="75">
        <v>44.5</v>
      </c>
      <c r="I392" s="124">
        <v>1.0</v>
      </c>
      <c r="J392" s="75">
        <v>44.5</v>
      </c>
      <c r="K392" s="125">
        <v>0.0</v>
      </c>
      <c r="L392" s="125">
        <v>0.0</v>
      </c>
      <c r="M392" s="75">
        <v>32.0</v>
      </c>
      <c r="N392" s="75"/>
      <c r="O392" s="123" t="s">
        <v>60</v>
      </c>
      <c r="P392" s="126">
        <f>60.524*1000</f>
        <v>60524</v>
      </c>
      <c r="Q392" s="123" t="s">
        <v>234</v>
      </c>
      <c r="R392" s="75">
        <v>2018.0</v>
      </c>
      <c r="S392" s="136">
        <v>0.237</v>
      </c>
      <c r="T392" s="128">
        <f t="shared" si="75"/>
        <v>14344.188</v>
      </c>
      <c r="U392" s="24">
        <f t="shared" si="3"/>
        <v>322.3413034</v>
      </c>
      <c r="V392" s="3">
        <f t="shared" si="28"/>
        <v>0</v>
      </c>
      <c r="W392" s="3">
        <f t="shared" si="29"/>
        <v>0</v>
      </c>
      <c r="X392" s="3">
        <f t="shared" si="30"/>
        <v>0</v>
      </c>
      <c r="Y392" s="25">
        <f t="shared" si="31"/>
        <v>0</v>
      </c>
      <c r="Z392" s="26">
        <f>VLOOKUP(R392,CPI!$A$2:$F$71,6,0)</f>
        <v>1.28277786</v>
      </c>
      <c r="AA392" s="27">
        <f t="shared" si="8"/>
        <v>18400.40678</v>
      </c>
      <c r="AB392" s="27">
        <f t="shared" si="9"/>
        <v>413.4922872</v>
      </c>
      <c r="AC392" s="123" t="s">
        <v>60</v>
      </c>
      <c r="AD392" s="154" t="s">
        <v>748</v>
      </c>
      <c r="AE392" s="29"/>
      <c r="AF392" s="30"/>
      <c r="AG392" s="30"/>
      <c r="AH392" s="30"/>
    </row>
    <row r="393">
      <c r="A393" s="123" t="s">
        <v>230</v>
      </c>
      <c r="B393" s="123" t="s">
        <v>704</v>
      </c>
      <c r="C393" s="36" t="s">
        <v>749</v>
      </c>
      <c r="D393" s="123" t="s">
        <v>750</v>
      </c>
      <c r="E393" s="123"/>
      <c r="F393" s="123"/>
      <c r="G393" s="75">
        <v>0.0</v>
      </c>
      <c r="H393" s="75">
        <v>19.8</v>
      </c>
      <c r="I393" s="124">
        <v>1.0</v>
      </c>
      <c r="J393" s="75">
        <v>19.8</v>
      </c>
      <c r="K393" s="125">
        <v>0.0</v>
      </c>
      <c r="L393" s="125">
        <v>0.0</v>
      </c>
      <c r="M393" s="75">
        <v>16.0</v>
      </c>
      <c r="N393" s="75"/>
      <c r="O393" s="123" t="s">
        <v>60</v>
      </c>
      <c r="P393" s="126">
        <f>39.354*10^3</f>
        <v>39354</v>
      </c>
      <c r="Q393" s="123" t="s">
        <v>234</v>
      </c>
      <c r="R393" s="75">
        <v>2018.0</v>
      </c>
      <c r="S393" s="136">
        <v>0.237</v>
      </c>
      <c r="T393" s="128">
        <f t="shared" si="75"/>
        <v>9326.898</v>
      </c>
      <c r="U393" s="24">
        <f t="shared" si="3"/>
        <v>471.0554545</v>
      </c>
      <c r="V393" s="3">
        <f t="shared" si="28"/>
        <v>0</v>
      </c>
      <c r="W393" s="3">
        <f t="shared" si="29"/>
        <v>0</v>
      </c>
      <c r="X393" s="3">
        <f t="shared" si="30"/>
        <v>0</v>
      </c>
      <c r="Y393" s="25">
        <f t="shared" si="31"/>
        <v>0</v>
      </c>
      <c r="Z393" s="26">
        <f>VLOOKUP(R393,CPI!$A$2:$F$71,6,0)</f>
        <v>1.28277786</v>
      </c>
      <c r="AA393" s="27">
        <f t="shared" si="8"/>
        <v>11964.33825</v>
      </c>
      <c r="AB393" s="27">
        <f t="shared" si="9"/>
        <v>604.2595078</v>
      </c>
      <c r="AC393" s="123" t="s">
        <v>60</v>
      </c>
      <c r="AD393" s="129" t="s">
        <v>739</v>
      </c>
      <c r="AE393" s="34"/>
      <c r="AF393" s="34"/>
      <c r="AG393" s="34"/>
      <c r="AH393" s="34"/>
    </row>
    <row r="394">
      <c r="A394" s="123" t="s">
        <v>230</v>
      </c>
      <c r="B394" s="123" t="s">
        <v>704</v>
      </c>
      <c r="C394" s="36" t="s">
        <v>468</v>
      </c>
      <c r="D394" s="123" t="s">
        <v>751</v>
      </c>
      <c r="E394" s="123"/>
      <c r="F394" s="123"/>
      <c r="G394" s="75">
        <v>0.0</v>
      </c>
      <c r="H394" s="75">
        <v>28.0</v>
      </c>
      <c r="I394" s="124">
        <v>1.0</v>
      </c>
      <c r="J394" s="75">
        <v>28.0</v>
      </c>
      <c r="K394" s="125">
        <v>0.0</v>
      </c>
      <c r="L394" s="125">
        <v>0.0</v>
      </c>
      <c r="M394" s="75">
        <v>16.0</v>
      </c>
      <c r="N394" s="75"/>
      <c r="O394" s="123" t="s">
        <v>60</v>
      </c>
      <c r="P394" s="157">
        <f>36.956*1000</f>
        <v>36956</v>
      </c>
      <c r="Q394" s="123" t="s">
        <v>234</v>
      </c>
      <c r="R394" s="75">
        <v>2018.0</v>
      </c>
      <c r="S394" s="136">
        <v>0.237</v>
      </c>
      <c r="T394" s="128">
        <f t="shared" si="75"/>
        <v>8758.572</v>
      </c>
      <c r="U394" s="24">
        <f t="shared" si="3"/>
        <v>312.8061429</v>
      </c>
      <c r="V394" s="3">
        <f t="shared" si="28"/>
        <v>0</v>
      </c>
      <c r="W394" s="3">
        <f t="shared" si="29"/>
        <v>0</v>
      </c>
      <c r="X394" s="3">
        <f t="shared" si="30"/>
        <v>0</v>
      </c>
      <c r="Y394" s="25">
        <f t="shared" si="31"/>
        <v>0</v>
      </c>
      <c r="Z394" s="26">
        <f>VLOOKUP(R394,CPI!$A$2:$F$71,6,0)</f>
        <v>1.28277786</v>
      </c>
      <c r="AA394" s="27">
        <f t="shared" si="8"/>
        <v>11235.30224</v>
      </c>
      <c r="AB394" s="27">
        <f t="shared" si="9"/>
        <v>401.2607944</v>
      </c>
      <c r="AC394" s="123" t="s">
        <v>60</v>
      </c>
      <c r="AD394" s="154" t="s">
        <v>752</v>
      </c>
      <c r="AE394" s="29"/>
      <c r="AF394" s="30"/>
      <c r="AG394" s="30"/>
      <c r="AH394" s="30"/>
    </row>
    <row r="395">
      <c r="A395" s="123" t="s">
        <v>230</v>
      </c>
      <c r="B395" s="123" t="s">
        <v>704</v>
      </c>
      <c r="C395" s="36" t="s">
        <v>753</v>
      </c>
      <c r="D395" s="123" t="s">
        <v>754</v>
      </c>
      <c r="E395" s="123"/>
      <c r="F395" s="123"/>
      <c r="G395" s="75">
        <v>0.0</v>
      </c>
      <c r="H395" s="75">
        <v>28.0</v>
      </c>
      <c r="I395" s="124">
        <v>1.0</v>
      </c>
      <c r="J395" s="75">
        <v>28.0</v>
      </c>
      <c r="K395" s="125">
        <v>0.0</v>
      </c>
      <c r="L395" s="125">
        <v>0.0</v>
      </c>
      <c r="M395" s="75">
        <v>22.0</v>
      </c>
      <c r="N395" s="75"/>
      <c r="O395" s="123" t="s">
        <v>60</v>
      </c>
      <c r="P395" s="126">
        <f>33.729*1000</f>
        <v>33729</v>
      </c>
      <c r="Q395" s="123" t="s">
        <v>234</v>
      </c>
      <c r="R395" s="75">
        <v>2018.0</v>
      </c>
      <c r="S395" s="136">
        <v>0.237</v>
      </c>
      <c r="T395" s="128">
        <f t="shared" si="75"/>
        <v>7993.773</v>
      </c>
      <c r="U395" s="24">
        <f t="shared" si="3"/>
        <v>285.4918929</v>
      </c>
      <c r="V395" s="3">
        <f t="shared" si="28"/>
        <v>0</v>
      </c>
      <c r="W395" s="3">
        <f t="shared" si="29"/>
        <v>0</v>
      </c>
      <c r="X395" s="3">
        <f t="shared" si="30"/>
        <v>0</v>
      </c>
      <c r="Y395" s="25">
        <f t="shared" si="31"/>
        <v>0</v>
      </c>
      <c r="Z395" s="26">
        <f>VLOOKUP(R395,CPI!$A$2:$F$71,6,0)</f>
        <v>1.28277786</v>
      </c>
      <c r="AA395" s="27">
        <f t="shared" si="8"/>
        <v>10254.23502</v>
      </c>
      <c r="AB395" s="27">
        <f t="shared" si="9"/>
        <v>366.2226793</v>
      </c>
      <c r="AC395" s="123" t="s">
        <v>60</v>
      </c>
      <c r="AD395" s="129" t="s">
        <v>739</v>
      </c>
      <c r="AE395" s="29"/>
      <c r="AF395" s="30"/>
      <c r="AG395" s="30"/>
      <c r="AH395" s="30"/>
    </row>
    <row r="396">
      <c r="A396" s="66" t="s">
        <v>230</v>
      </c>
      <c r="B396" s="114" t="s">
        <v>755</v>
      </c>
      <c r="C396" s="114" t="s">
        <v>756</v>
      </c>
      <c r="D396" s="114" t="s">
        <v>756</v>
      </c>
      <c r="E396" s="116">
        <v>2016.0</v>
      </c>
      <c r="F396" s="116">
        <v>2021.0</v>
      </c>
      <c r="G396" s="116">
        <v>0.0</v>
      </c>
      <c r="H396" s="116">
        <v>20.3</v>
      </c>
      <c r="I396" s="117">
        <v>0.49</v>
      </c>
      <c r="J396" s="116">
        <v>9.87</v>
      </c>
      <c r="K396" s="114"/>
      <c r="L396" s="114"/>
      <c r="M396" s="116">
        <v>10.0</v>
      </c>
      <c r="N396" s="116">
        <v>117.0</v>
      </c>
      <c r="O396" s="114"/>
      <c r="P396" s="140">
        <v>12790.0</v>
      </c>
      <c r="Q396" s="114" t="s">
        <v>234</v>
      </c>
      <c r="R396" s="115">
        <v>2019.0</v>
      </c>
      <c r="S396" s="136">
        <v>0.238</v>
      </c>
      <c r="T396" s="118">
        <f t="shared" si="75"/>
        <v>3044.02</v>
      </c>
      <c r="U396" s="24">
        <f t="shared" si="3"/>
        <v>149.9517241</v>
      </c>
      <c r="V396" s="3">
        <f t="shared" si="28"/>
        <v>0</v>
      </c>
      <c r="W396" s="3">
        <f t="shared" si="29"/>
        <v>0</v>
      </c>
      <c r="X396" s="3">
        <f t="shared" si="30"/>
        <v>0</v>
      </c>
      <c r="Y396" s="25">
        <f t="shared" si="31"/>
        <v>0</v>
      </c>
      <c r="Z396" s="26">
        <f>VLOOKUP(R396,CPI!$A$2:$F$71,6,0)</f>
        <v>1.259947899</v>
      </c>
      <c r="AA396" s="27">
        <f t="shared" si="8"/>
        <v>3835.306603</v>
      </c>
      <c r="AB396" s="27">
        <f t="shared" si="9"/>
        <v>188.9313598</v>
      </c>
      <c r="AC396" s="72" t="s">
        <v>36</v>
      </c>
      <c r="AD396" s="119" t="s">
        <v>757</v>
      </c>
      <c r="AE396" s="167" t="s">
        <v>758</v>
      </c>
      <c r="AF396" s="168"/>
      <c r="AG396" s="168"/>
      <c r="AH396" s="169"/>
    </row>
    <row r="397">
      <c r="A397" s="114" t="s">
        <v>230</v>
      </c>
      <c r="B397" s="114" t="s">
        <v>755</v>
      </c>
      <c r="C397" s="114" t="s">
        <v>57</v>
      </c>
      <c r="D397" s="114" t="s">
        <v>57</v>
      </c>
      <c r="E397" s="116">
        <v>2016.0</v>
      </c>
      <c r="F397" s="116">
        <v>2021.0</v>
      </c>
      <c r="G397" s="116">
        <v>0.0</v>
      </c>
      <c r="H397" s="116">
        <v>31.3</v>
      </c>
      <c r="I397" s="117">
        <v>1.0</v>
      </c>
      <c r="J397" s="116">
        <v>31.3</v>
      </c>
      <c r="K397" s="114"/>
      <c r="L397" s="114"/>
      <c r="M397" s="116">
        <v>23.0</v>
      </c>
      <c r="N397" s="116">
        <v>117.0</v>
      </c>
      <c r="O397" s="114"/>
      <c r="P397" s="140">
        <v>23873.0</v>
      </c>
      <c r="Q397" s="114" t="s">
        <v>234</v>
      </c>
      <c r="R397" s="115">
        <v>2019.0</v>
      </c>
      <c r="S397" s="136">
        <v>0.238</v>
      </c>
      <c r="T397" s="118">
        <f t="shared" si="75"/>
        <v>5681.774</v>
      </c>
      <c r="U397" s="24">
        <f t="shared" si="3"/>
        <v>181.5263259</v>
      </c>
      <c r="V397" s="3">
        <f t="shared" si="28"/>
        <v>0</v>
      </c>
      <c r="W397" s="3">
        <f t="shared" si="29"/>
        <v>0</v>
      </c>
      <c r="X397" s="3">
        <f t="shared" si="30"/>
        <v>0</v>
      </c>
      <c r="Y397" s="25">
        <f t="shared" si="31"/>
        <v>0</v>
      </c>
      <c r="Z397" s="26">
        <f>VLOOKUP(R397,CPI!$A$2:$F$71,6,0)</f>
        <v>1.259947899</v>
      </c>
      <c r="AA397" s="27">
        <f t="shared" si="8"/>
        <v>7158.739214</v>
      </c>
      <c r="AB397" s="27">
        <f t="shared" si="9"/>
        <v>228.7137129</v>
      </c>
      <c r="AC397" s="114"/>
      <c r="AD397" s="119" t="s">
        <v>759</v>
      </c>
      <c r="AE397" s="164"/>
      <c r="AF397" s="165"/>
      <c r="AG397" s="165"/>
      <c r="AH397" s="165"/>
    </row>
    <row r="398">
      <c r="A398" s="114" t="s">
        <v>230</v>
      </c>
      <c r="B398" s="114" t="s">
        <v>755</v>
      </c>
      <c r="C398" s="114" t="s">
        <v>54</v>
      </c>
      <c r="D398" s="114" t="s">
        <v>54</v>
      </c>
      <c r="E398" s="116">
        <v>2022.0</v>
      </c>
      <c r="F398" s="114"/>
      <c r="G398" s="116">
        <v>0.0</v>
      </c>
      <c r="H398" s="116">
        <v>10.8</v>
      </c>
      <c r="I398" s="117">
        <v>1.0</v>
      </c>
      <c r="J398" s="116">
        <v>10.8</v>
      </c>
      <c r="K398" s="114"/>
      <c r="L398" s="114"/>
      <c r="M398" s="116">
        <v>9.0</v>
      </c>
      <c r="N398" s="116">
        <v>117.0</v>
      </c>
      <c r="O398" s="114"/>
      <c r="P398" s="140">
        <v>10130.0</v>
      </c>
      <c r="Q398" s="114" t="s">
        <v>234</v>
      </c>
      <c r="R398" s="115">
        <v>2021.0</v>
      </c>
      <c r="S398" s="136">
        <v>0.239000000000001</v>
      </c>
      <c r="T398" s="118">
        <f t="shared" si="75"/>
        <v>2421.07</v>
      </c>
      <c r="U398" s="24">
        <f t="shared" si="3"/>
        <v>224.1731481</v>
      </c>
      <c r="V398" s="3">
        <f t="shared" si="28"/>
        <v>0</v>
      </c>
      <c r="W398" s="3">
        <f t="shared" si="29"/>
        <v>0</v>
      </c>
      <c r="X398" s="3">
        <f t="shared" si="30"/>
        <v>0</v>
      </c>
      <c r="Y398" s="25">
        <f t="shared" si="31"/>
        <v>0</v>
      </c>
      <c r="Z398" s="26">
        <f>VLOOKUP(R398,CPI!$A$2:$F$71,6,0)</f>
        <v>1.188745987</v>
      </c>
      <c r="AA398" s="27">
        <f t="shared" si="8"/>
        <v>2878.037246</v>
      </c>
      <c r="AB398" s="27">
        <f t="shared" si="9"/>
        <v>266.4849302</v>
      </c>
      <c r="AC398" s="114"/>
      <c r="AD398" s="119" t="s">
        <v>760</v>
      </c>
      <c r="AE398" s="114"/>
      <c r="AF398" s="114"/>
      <c r="AG398" s="114"/>
      <c r="AH398" s="114"/>
    </row>
    <row r="399">
      <c r="A399" s="114" t="s">
        <v>230</v>
      </c>
      <c r="B399" s="114" t="s">
        <v>761</v>
      </c>
      <c r="C399" s="16" t="s">
        <v>239</v>
      </c>
      <c r="D399" s="115" t="s">
        <v>356</v>
      </c>
      <c r="E399" s="116">
        <v>2012.0</v>
      </c>
      <c r="F399" s="116">
        <v>2020.0</v>
      </c>
      <c r="G399" s="116">
        <v>0.0</v>
      </c>
      <c r="H399" s="116">
        <v>49.9</v>
      </c>
      <c r="I399" s="117">
        <v>1.0</v>
      </c>
      <c r="J399" s="116">
        <v>49.9</v>
      </c>
      <c r="K399" s="114"/>
      <c r="L399" s="114"/>
      <c r="M399" s="116">
        <v>37.0</v>
      </c>
      <c r="N399" s="116">
        <v>117.0</v>
      </c>
      <c r="O399" s="114"/>
      <c r="P399" s="140">
        <v>29710.0</v>
      </c>
      <c r="Q399" s="114" t="s">
        <v>234</v>
      </c>
      <c r="R399" s="115">
        <v>2016.0</v>
      </c>
      <c r="S399" s="85">
        <v>0.251</v>
      </c>
      <c r="T399" s="118">
        <f t="shared" si="75"/>
        <v>7457.21</v>
      </c>
      <c r="U399" s="24">
        <f t="shared" si="3"/>
        <v>149.4430862</v>
      </c>
      <c r="V399" s="3">
        <f t="shared" si="28"/>
        <v>0</v>
      </c>
      <c r="W399" s="3">
        <f t="shared" si="29"/>
        <v>0</v>
      </c>
      <c r="X399" s="3">
        <f t="shared" si="30"/>
        <v>0</v>
      </c>
      <c r="Y399" s="25">
        <f t="shared" si="31"/>
        <v>0</v>
      </c>
      <c r="Z399" s="26">
        <f>VLOOKUP(R399,CPI!$A$2:$F$71,6,0)</f>
        <v>1.342104605</v>
      </c>
      <c r="AA399" s="27">
        <f t="shared" si="8"/>
        <v>10008.35588</v>
      </c>
      <c r="AB399" s="27">
        <f t="shared" si="9"/>
        <v>200.5682542</v>
      </c>
      <c r="AC399" s="114"/>
      <c r="AD399" s="119" t="s">
        <v>762</v>
      </c>
      <c r="AE399" s="164"/>
      <c r="AF399" s="165"/>
      <c r="AG399" s="165"/>
      <c r="AH399" s="165"/>
    </row>
    <row r="400">
      <c r="A400" s="114" t="s">
        <v>230</v>
      </c>
      <c r="B400" s="114" t="s">
        <v>761</v>
      </c>
      <c r="C400" s="16" t="s">
        <v>253</v>
      </c>
      <c r="D400" s="115" t="s">
        <v>362</v>
      </c>
      <c r="E400" s="116">
        <v>2012.0</v>
      </c>
      <c r="F400" s="116">
        <v>2020.0</v>
      </c>
      <c r="G400" s="116">
        <v>0.0</v>
      </c>
      <c r="H400" s="116">
        <v>29.2</v>
      </c>
      <c r="I400" s="117">
        <v>1.0</v>
      </c>
      <c r="J400" s="116">
        <v>29.2</v>
      </c>
      <c r="K400" s="114"/>
      <c r="L400" s="114"/>
      <c r="M400" s="116">
        <v>23.0</v>
      </c>
      <c r="N400" s="116">
        <v>117.0</v>
      </c>
      <c r="O400" s="114"/>
      <c r="P400" s="140">
        <v>17971.0</v>
      </c>
      <c r="Q400" s="114" t="s">
        <v>234</v>
      </c>
      <c r="R400" s="115">
        <v>2016.0</v>
      </c>
      <c r="S400" s="85">
        <v>0.251</v>
      </c>
      <c r="T400" s="118">
        <f t="shared" si="75"/>
        <v>4510.721</v>
      </c>
      <c r="U400" s="24">
        <f t="shared" si="3"/>
        <v>154.4767466</v>
      </c>
      <c r="V400" s="3">
        <f t="shared" si="28"/>
        <v>0</v>
      </c>
      <c r="W400" s="3">
        <f t="shared" si="29"/>
        <v>0</v>
      </c>
      <c r="X400" s="3">
        <f t="shared" si="30"/>
        <v>0</v>
      </c>
      <c r="Y400" s="25">
        <f t="shared" si="31"/>
        <v>0</v>
      </c>
      <c r="Z400" s="26">
        <f>VLOOKUP(R400,CPI!$A$2:$F$71,6,0)</f>
        <v>1.342104605</v>
      </c>
      <c r="AA400" s="27">
        <f t="shared" si="8"/>
        <v>6053.859427</v>
      </c>
      <c r="AB400" s="27">
        <f t="shared" si="9"/>
        <v>207.323953</v>
      </c>
      <c r="AC400" s="114"/>
      <c r="AD400" s="119" t="s">
        <v>762</v>
      </c>
      <c r="AE400" s="164"/>
      <c r="AF400" s="165"/>
      <c r="AG400" s="165"/>
      <c r="AH400" s="165"/>
    </row>
    <row r="401">
      <c r="A401" s="114" t="s">
        <v>230</v>
      </c>
      <c r="B401" s="114" t="s">
        <v>761</v>
      </c>
      <c r="C401" s="115" t="s">
        <v>110</v>
      </c>
      <c r="D401" s="115" t="s">
        <v>332</v>
      </c>
      <c r="E401" s="114"/>
      <c r="F401" s="116">
        <v>2022.0</v>
      </c>
      <c r="G401" s="116">
        <v>0.0</v>
      </c>
      <c r="H401" s="116">
        <v>34.2</v>
      </c>
      <c r="I401" s="117">
        <v>1.0</v>
      </c>
      <c r="J401" s="116">
        <v>34.2</v>
      </c>
      <c r="K401" s="114"/>
      <c r="L401" s="114"/>
      <c r="M401" s="116">
        <v>23.0</v>
      </c>
      <c r="N401" s="116">
        <v>117.0</v>
      </c>
      <c r="O401" s="114"/>
      <c r="P401" s="140">
        <v>16632.0</v>
      </c>
      <c r="Q401" s="114" t="s">
        <v>234</v>
      </c>
      <c r="R401" s="115">
        <v>2021.0</v>
      </c>
      <c r="S401" s="136">
        <v>0.239000000000001</v>
      </c>
      <c r="T401" s="118">
        <f t="shared" si="75"/>
        <v>3975.048</v>
      </c>
      <c r="U401" s="24">
        <f t="shared" si="3"/>
        <v>116.2294737</v>
      </c>
      <c r="V401" s="3">
        <f t="shared" si="28"/>
        <v>0</v>
      </c>
      <c r="W401" s="3">
        <f t="shared" si="29"/>
        <v>0</v>
      </c>
      <c r="X401" s="3">
        <f t="shared" si="30"/>
        <v>0</v>
      </c>
      <c r="Y401" s="25">
        <f t="shared" si="31"/>
        <v>0</v>
      </c>
      <c r="Z401" s="26">
        <f>VLOOKUP(R401,CPI!$A$2:$F$71,6,0)</f>
        <v>1.188745987</v>
      </c>
      <c r="AA401" s="27">
        <f t="shared" si="8"/>
        <v>4725.322357</v>
      </c>
      <c r="AB401" s="27">
        <f t="shared" si="9"/>
        <v>138.1673204</v>
      </c>
      <c r="AC401" s="114"/>
      <c r="AD401" s="119" t="s">
        <v>763</v>
      </c>
      <c r="AE401" s="167" t="s">
        <v>764</v>
      </c>
      <c r="AF401" s="168"/>
      <c r="AG401" s="168"/>
      <c r="AH401" s="169"/>
    </row>
    <row r="402">
      <c r="A402" s="130" t="s">
        <v>230</v>
      </c>
      <c r="B402" s="130" t="s">
        <v>761</v>
      </c>
      <c r="C402" s="16" t="s">
        <v>87</v>
      </c>
      <c r="D402" s="130" t="s">
        <v>331</v>
      </c>
      <c r="E402" s="130">
        <v>2019.0</v>
      </c>
      <c r="F402" s="130">
        <v>2025.0</v>
      </c>
      <c r="G402" s="130">
        <v>0.0</v>
      </c>
      <c r="H402" s="130">
        <v>38.4</v>
      </c>
      <c r="I402" s="131"/>
      <c r="J402" s="130"/>
      <c r="K402" s="132" t="e">
        <v>#N/A</v>
      </c>
      <c r="L402" s="132" t="e">
        <v>#N/A</v>
      </c>
      <c r="M402" s="130">
        <v>28.0</v>
      </c>
      <c r="N402" s="138"/>
      <c r="O402" s="130" t="s">
        <v>60</v>
      </c>
      <c r="P402" s="135">
        <v>23130.0</v>
      </c>
      <c r="Q402" s="130" t="s">
        <v>234</v>
      </c>
      <c r="R402" s="130">
        <v>2019.0</v>
      </c>
      <c r="S402" s="136">
        <v>0.238</v>
      </c>
      <c r="T402" s="128">
        <f>S402*P402</f>
        <v>5504.94</v>
      </c>
      <c r="U402" s="24">
        <f t="shared" si="3"/>
        <v>143.3578125</v>
      </c>
      <c r="V402" s="3">
        <f t="shared" si="28"/>
        <v>0</v>
      </c>
      <c r="W402" s="3">
        <f t="shared" si="29"/>
        <v>0</v>
      </c>
      <c r="X402" s="3">
        <f t="shared" si="30"/>
        <v>0</v>
      </c>
      <c r="Y402" s="25">
        <f t="shared" si="31"/>
        <v>0</v>
      </c>
      <c r="Z402" s="26">
        <f>VLOOKUP(R402,CPI!$A$2:$F$71,6,0)</f>
        <v>1.259947899</v>
      </c>
      <c r="AA402" s="27">
        <f t="shared" si="8"/>
        <v>6935.937587</v>
      </c>
      <c r="AB402" s="27">
        <f t="shared" si="9"/>
        <v>180.6233747</v>
      </c>
      <c r="AC402" s="130" t="s">
        <v>42</v>
      </c>
      <c r="AD402" s="137" t="s">
        <v>765</v>
      </c>
      <c r="AE402" s="6"/>
      <c r="AF402" s="7"/>
      <c r="AG402" s="7"/>
      <c r="AH402" s="7"/>
    </row>
    <row r="403">
      <c r="A403" s="123" t="s">
        <v>230</v>
      </c>
      <c r="B403" s="123" t="s">
        <v>761</v>
      </c>
      <c r="C403" s="16" t="s">
        <v>57</v>
      </c>
      <c r="D403" s="123" t="s">
        <v>605</v>
      </c>
      <c r="E403" s="75">
        <v>2020.0</v>
      </c>
      <c r="F403" s="75">
        <v>2025.0</v>
      </c>
      <c r="G403" s="75">
        <v>0.0</v>
      </c>
      <c r="H403" s="75">
        <v>15.0</v>
      </c>
      <c r="I403" s="124">
        <f>J403/H403</f>
        <v>1</v>
      </c>
      <c r="J403" s="75">
        <v>15.0</v>
      </c>
      <c r="K403" s="125">
        <v>0.0</v>
      </c>
      <c r="L403" s="125">
        <v>0.0</v>
      </c>
      <c r="M403" s="75">
        <v>9.0</v>
      </c>
      <c r="N403" s="152">
        <v>117.0</v>
      </c>
      <c r="O403" s="123" t="s">
        <v>60</v>
      </c>
      <c r="P403" s="126">
        <v>10350.0</v>
      </c>
      <c r="Q403" s="123" t="s">
        <v>234</v>
      </c>
      <c r="R403" s="75">
        <v>2019.0</v>
      </c>
      <c r="S403" s="136">
        <v>0.238</v>
      </c>
      <c r="T403" s="128">
        <f t="shared" ref="T403:T446" si="76">P403*S403</f>
        <v>2463.3</v>
      </c>
      <c r="U403" s="24">
        <f t="shared" si="3"/>
        <v>164.22</v>
      </c>
      <c r="V403" s="3">
        <f t="shared" si="28"/>
        <v>0</v>
      </c>
      <c r="W403" s="3">
        <f t="shared" si="29"/>
        <v>0</v>
      </c>
      <c r="X403" s="3">
        <f t="shared" si="30"/>
        <v>0</v>
      </c>
      <c r="Y403" s="25">
        <f t="shared" si="31"/>
        <v>0</v>
      </c>
      <c r="Z403" s="26">
        <f>VLOOKUP(R403,CPI!$A$2:$F$71,6,0)</f>
        <v>1.259947899</v>
      </c>
      <c r="AA403" s="27">
        <f t="shared" si="8"/>
        <v>3103.629659</v>
      </c>
      <c r="AB403" s="27">
        <f t="shared" si="9"/>
        <v>206.908644</v>
      </c>
      <c r="AC403" s="123" t="s">
        <v>42</v>
      </c>
      <c r="AD403" s="154" t="s">
        <v>766</v>
      </c>
      <c r="AE403" s="15"/>
      <c r="AF403" s="15"/>
      <c r="AG403" s="15"/>
      <c r="AH403" s="15"/>
    </row>
    <row r="404">
      <c r="A404" s="123" t="s">
        <v>230</v>
      </c>
      <c r="B404" s="123" t="s">
        <v>761</v>
      </c>
      <c r="C404" s="16" t="s">
        <v>80</v>
      </c>
      <c r="D404" s="123" t="s">
        <v>255</v>
      </c>
      <c r="E404" s="75">
        <v>2020.0</v>
      </c>
      <c r="F404" s="75">
        <v>2026.0</v>
      </c>
      <c r="G404" s="75">
        <v>0.0</v>
      </c>
      <c r="H404" s="75">
        <v>36.0</v>
      </c>
      <c r="I404" s="155"/>
      <c r="J404" s="123"/>
      <c r="K404" s="125" t="e">
        <v>#N/A</v>
      </c>
      <c r="L404" s="125" t="e">
        <v>#N/A</v>
      </c>
      <c r="M404" s="75">
        <v>32.0</v>
      </c>
      <c r="N404" s="75"/>
      <c r="O404" s="123" t="s">
        <v>60</v>
      </c>
      <c r="P404" s="126">
        <v>26350.0</v>
      </c>
      <c r="Q404" s="123" t="s">
        <v>234</v>
      </c>
      <c r="R404" s="75">
        <v>2019.0</v>
      </c>
      <c r="S404" s="136">
        <v>0.238</v>
      </c>
      <c r="T404" s="128">
        <f t="shared" si="76"/>
        <v>6271.3</v>
      </c>
      <c r="U404" s="24">
        <f t="shared" si="3"/>
        <v>174.2027778</v>
      </c>
      <c r="V404" s="3">
        <f t="shared" si="28"/>
        <v>0</v>
      </c>
      <c r="W404" s="3">
        <f t="shared" si="29"/>
        <v>0</v>
      </c>
      <c r="X404" s="3">
        <f t="shared" si="30"/>
        <v>0</v>
      </c>
      <c r="Y404" s="25">
        <f t="shared" si="31"/>
        <v>0</v>
      </c>
      <c r="Z404" s="26">
        <f>VLOOKUP(R404,CPI!$A$2:$F$71,6,0)</f>
        <v>1.259947899</v>
      </c>
      <c r="AA404" s="27">
        <f t="shared" si="8"/>
        <v>7901.511259</v>
      </c>
      <c r="AB404" s="27">
        <f t="shared" si="9"/>
        <v>219.4864239</v>
      </c>
      <c r="AC404" s="123" t="s">
        <v>42</v>
      </c>
      <c r="AD404" s="129" t="s">
        <v>767</v>
      </c>
      <c r="AE404" s="29"/>
      <c r="AF404" s="30"/>
      <c r="AG404" s="30"/>
      <c r="AH404" s="30"/>
    </row>
    <row r="405">
      <c r="A405" s="114" t="s">
        <v>230</v>
      </c>
      <c r="B405" s="114" t="s">
        <v>761</v>
      </c>
      <c r="C405" s="16" t="s">
        <v>768</v>
      </c>
      <c r="D405" s="115" t="s">
        <v>769</v>
      </c>
      <c r="E405" s="116">
        <v>2005.0</v>
      </c>
      <c r="F405" s="114"/>
      <c r="G405" s="116">
        <v>0.0</v>
      </c>
      <c r="H405" s="116">
        <v>55.07</v>
      </c>
      <c r="I405" s="117">
        <v>1.0</v>
      </c>
      <c r="J405" s="116">
        <v>55.07</v>
      </c>
      <c r="K405" s="114"/>
      <c r="L405" s="114"/>
      <c r="M405" s="116">
        <v>43.0</v>
      </c>
      <c r="N405" s="116">
        <v>117.0</v>
      </c>
      <c r="O405" s="114"/>
      <c r="P405" s="140">
        <v>24685.0</v>
      </c>
      <c r="Q405" s="114" t="s">
        <v>234</v>
      </c>
      <c r="R405" s="115">
        <v>2005.0</v>
      </c>
      <c r="S405" s="85">
        <v>0.352</v>
      </c>
      <c r="T405" s="118">
        <f t="shared" si="76"/>
        <v>8689.12</v>
      </c>
      <c r="U405" s="24">
        <f t="shared" si="3"/>
        <v>157.783185</v>
      </c>
      <c r="V405" s="3">
        <f t="shared" si="28"/>
        <v>0</v>
      </c>
      <c r="W405" s="3">
        <f t="shared" si="29"/>
        <v>0</v>
      </c>
      <c r="X405" s="3">
        <f t="shared" si="30"/>
        <v>0</v>
      </c>
      <c r="Y405" s="25">
        <f t="shared" si="31"/>
        <v>0</v>
      </c>
      <c r="Z405" s="26">
        <f>VLOOKUP(R405,CPI!$A$2:$F$71,6,0)</f>
        <v>1.649331797</v>
      </c>
      <c r="AA405" s="27">
        <f t="shared" si="8"/>
        <v>14331.24191</v>
      </c>
      <c r="AB405" s="27">
        <f t="shared" si="9"/>
        <v>260.2368242</v>
      </c>
      <c r="AC405" s="114"/>
      <c r="AD405" s="119" t="s">
        <v>762</v>
      </c>
      <c r="AE405" s="114"/>
      <c r="AF405" s="114"/>
      <c r="AG405" s="114"/>
      <c r="AH405" s="114"/>
    </row>
    <row r="406">
      <c r="A406" s="123" t="s">
        <v>230</v>
      </c>
      <c r="B406" s="123" t="s">
        <v>761</v>
      </c>
      <c r="C406" s="16" t="s">
        <v>54</v>
      </c>
      <c r="D406" s="123" t="s">
        <v>770</v>
      </c>
      <c r="E406" s="123"/>
      <c r="F406" s="123"/>
      <c r="G406" s="75">
        <v>0.0</v>
      </c>
      <c r="H406" s="75">
        <v>14.3</v>
      </c>
      <c r="I406" s="155"/>
      <c r="J406" s="123"/>
      <c r="K406" s="125" t="e">
        <v>#N/A</v>
      </c>
      <c r="L406" s="125" t="e">
        <v>#N/A</v>
      </c>
      <c r="M406" s="75">
        <v>8.0</v>
      </c>
      <c r="N406" s="75"/>
      <c r="O406" s="123" t="s">
        <v>60</v>
      </c>
      <c r="P406" s="126">
        <v>10170.0</v>
      </c>
      <c r="Q406" s="123" t="s">
        <v>234</v>
      </c>
      <c r="R406" s="75">
        <v>2019.0</v>
      </c>
      <c r="S406" s="136">
        <v>0.238</v>
      </c>
      <c r="T406" s="128">
        <f t="shared" si="76"/>
        <v>2420.46</v>
      </c>
      <c r="U406" s="24">
        <f t="shared" si="3"/>
        <v>169.2629371</v>
      </c>
      <c r="V406" s="3">
        <f t="shared" si="28"/>
        <v>0</v>
      </c>
      <c r="W406" s="3">
        <f t="shared" si="29"/>
        <v>0</v>
      </c>
      <c r="X406" s="3">
        <f t="shared" si="30"/>
        <v>0</v>
      </c>
      <c r="Y406" s="25">
        <f t="shared" si="31"/>
        <v>0</v>
      </c>
      <c r="Z406" s="26">
        <f>VLOOKUP(R406,CPI!$A$2:$F$71,6,0)</f>
        <v>1.259947899</v>
      </c>
      <c r="AA406" s="27">
        <f t="shared" si="8"/>
        <v>3049.653491</v>
      </c>
      <c r="AB406" s="27">
        <f t="shared" si="9"/>
        <v>213.2624819</v>
      </c>
      <c r="AC406" s="123" t="s">
        <v>42</v>
      </c>
      <c r="AD406" s="129" t="s">
        <v>767</v>
      </c>
      <c r="AE406" s="29"/>
      <c r="AF406" s="30"/>
      <c r="AG406" s="30"/>
      <c r="AH406" s="30"/>
    </row>
    <row r="407">
      <c r="A407" s="114" t="s">
        <v>230</v>
      </c>
      <c r="B407" s="114" t="s">
        <v>771</v>
      </c>
      <c r="C407" s="16" t="s">
        <v>34</v>
      </c>
      <c r="D407" s="114" t="s">
        <v>772</v>
      </c>
      <c r="E407" s="116">
        <v>1998.0</v>
      </c>
      <c r="F407" s="116">
        <v>2004.0</v>
      </c>
      <c r="G407" s="116">
        <v>0.0</v>
      </c>
      <c r="H407" s="116">
        <v>21.446</v>
      </c>
      <c r="I407" s="117">
        <v>1.0</v>
      </c>
      <c r="J407" s="116">
        <v>21.446</v>
      </c>
      <c r="K407" s="114"/>
      <c r="L407" s="114"/>
      <c r="M407" s="116">
        <v>19.0</v>
      </c>
      <c r="N407" s="116">
        <v>138.0</v>
      </c>
      <c r="O407" s="114"/>
      <c r="P407" s="140">
        <v>11500.0</v>
      </c>
      <c r="Q407" s="114" t="s">
        <v>234</v>
      </c>
      <c r="R407" s="115">
        <v>2001.0</v>
      </c>
      <c r="S407" s="85">
        <v>0.368</v>
      </c>
      <c r="T407" s="118">
        <f t="shared" si="76"/>
        <v>4232</v>
      </c>
      <c r="U407" s="24">
        <f t="shared" si="3"/>
        <v>197.332836</v>
      </c>
      <c r="V407" s="3">
        <f t="shared" si="28"/>
        <v>0</v>
      </c>
      <c r="W407" s="3">
        <f t="shared" si="29"/>
        <v>0</v>
      </c>
      <c r="X407" s="3">
        <f t="shared" si="30"/>
        <v>0</v>
      </c>
      <c r="Y407" s="25">
        <f t="shared" si="31"/>
        <v>0</v>
      </c>
      <c r="Z407" s="26">
        <f>VLOOKUP(R407,CPI!$A$2:$F$71,6,0)</f>
        <v>1.818828346</v>
      </c>
      <c r="AA407" s="27">
        <f t="shared" si="8"/>
        <v>7697.281558</v>
      </c>
      <c r="AB407" s="27">
        <f t="shared" si="9"/>
        <v>358.9145556</v>
      </c>
      <c r="AC407" s="114"/>
      <c r="AD407" s="161" t="s">
        <v>773</v>
      </c>
      <c r="AE407" s="114"/>
      <c r="AF407" s="114"/>
      <c r="AG407" s="114"/>
      <c r="AH407" s="114"/>
    </row>
    <row r="408">
      <c r="A408" s="22" t="s">
        <v>230</v>
      </c>
      <c r="B408" s="22" t="s">
        <v>771</v>
      </c>
      <c r="C408" s="36" t="s">
        <v>228</v>
      </c>
      <c r="D408" s="22" t="s">
        <v>228</v>
      </c>
      <c r="E408" s="22"/>
      <c r="F408" s="17">
        <v>2016.0</v>
      </c>
      <c r="G408" s="17">
        <v>0.0</v>
      </c>
      <c r="H408" s="17">
        <v>30.2</v>
      </c>
      <c r="I408" s="19">
        <f>J408/H408</f>
        <v>1</v>
      </c>
      <c r="J408" s="17">
        <v>30.2</v>
      </c>
      <c r="K408" s="177">
        <v>0.0</v>
      </c>
      <c r="L408" s="177">
        <v>0.0</v>
      </c>
      <c r="M408" s="17">
        <v>28.0</v>
      </c>
      <c r="N408" s="176"/>
      <c r="O408" s="68" t="s">
        <v>60</v>
      </c>
      <c r="P408" s="23">
        <v>26876.0</v>
      </c>
      <c r="Q408" s="22" t="s">
        <v>234</v>
      </c>
      <c r="R408" s="17">
        <v>2013.0</v>
      </c>
      <c r="S408" s="136">
        <v>0.273</v>
      </c>
      <c r="T408" s="118">
        <f t="shared" si="76"/>
        <v>7337.148</v>
      </c>
      <c r="U408" s="24">
        <f t="shared" si="3"/>
        <v>242.9519205</v>
      </c>
      <c r="V408" s="3">
        <f t="shared" si="28"/>
        <v>0</v>
      </c>
      <c r="W408" s="3">
        <f t="shared" si="29"/>
        <v>0</v>
      </c>
      <c r="X408" s="3">
        <f t="shared" si="30"/>
        <v>0</v>
      </c>
      <c r="Y408" s="25">
        <f t="shared" si="31"/>
        <v>0</v>
      </c>
      <c r="Z408" s="26">
        <f>VLOOKUP(R408,CPI!$A$2:$F$71,6,0)</f>
        <v>1.382720845</v>
      </c>
      <c r="AA408" s="27">
        <f t="shared" si="8"/>
        <v>10145.22749</v>
      </c>
      <c r="AB408" s="27">
        <f t="shared" si="9"/>
        <v>335.934685</v>
      </c>
      <c r="AC408" s="26" t="s">
        <v>60</v>
      </c>
      <c r="AD408" s="129" t="s">
        <v>774</v>
      </c>
      <c r="AE408" s="130"/>
      <c r="AF408" s="130"/>
      <c r="AG408" s="130"/>
      <c r="AH408" s="130"/>
    </row>
    <row r="409">
      <c r="A409" s="114" t="s">
        <v>230</v>
      </c>
      <c r="B409" s="114" t="s">
        <v>771</v>
      </c>
      <c r="C409" s="115" t="s">
        <v>87</v>
      </c>
      <c r="D409" s="115" t="s">
        <v>775</v>
      </c>
      <c r="E409" s="116">
        <v>2011.0</v>
      </c>
      <c r="F409" s="116">
        <v>2020.0</v>
      </c>
      <c r="G409" s="116">
        <v>0.0</v>
      </c>
      <c r="H409" s="116">
        <v>9.4</v>
      </c>
      <c r="I409" s="117">
        <v>0.0</v>
      </c>
      <c r="J409" s="116">
        <v>0.0</v>
      </c>
      <c r="K409" s="114"/>
      <c r="L409" s="114"/>
      <c r="M409" s="116">
        <v>7.0</v>
      </c>
      <c r="N409" s="116">
        <v>117.0</v>
      </c>
      <c r="O409" s="114"/>
      <c r="P409" s="140">
        <v>6800.0</v>
      </c>
      <c r="Q409" s="114" t="s">
        <v>234</v>
      </c>
      <c r="R409" s="115">
        <v>2016.0</v>
      </c>
      <c r="S409" s="85">
        <v>0.251</v>
      </c>
      <c r="T409" s="118">
        <f t="shared" si="76"/>
        <v>1706.8</v>
      </c>
      <c r="U409" s="24">
        <f t="shared" si="3"/>
        <v>181.5744681</v>
      </c>
      <c r="V409" s="3">
        <f t="shared" si="28"/>
        <v>0</v>
      </c>
      <c r="W409" s="3">
        <f t="shared" si="29"/>
        <v>0</v>
      </c>
      <c r="X409" s="3">
        <f t="shared" si="30"/>
        <v>0</v>
      </c>
      <c r="Y409" s="25">
        <f t="shared" si="31"/>
        <v>0</v>
      </c>
      <c r="Z409" s="26">
        <f>VLOOKUP(R409,CPI!$A$2:$F$71,6,0)</f>
        <v>1.342104605</v>
      </c>
      <c r="AA409" s="27">
        <f t="shared" si="8"/>
        <v>2290.70414</v>
      </c>
      <c r="AB409" s="27">
        <f t="shared" si="9"/>
        <v>243.6919298</v>
      </c>
      <c r="AC409" s="114"/>
      <c r="AD409" s="161" t="s">
        <v>776</v>
      </c>
      <c r="AE409" s="164"/>
      <c r="AF409" s="165"/>
      <c r="AG409" s="165"/>
      <c r="AH409" s="165"/>
    </row>
    <row r="410">
      <c r="A410" s="114" t="s">
        <v>230</v>
      </c>
      <c r="B410" s="114" t="s">
        <v>771</v>
      </c>
      <c r="C410" s="114" t="s">
        <v>239</v>
      </c>
      <c r="D410" s="114" t="s">
        <v>239</v>
      </c>
      <c r="E410" s="116">
        <v>2015.0</v>
      </c>
      <c r="F410" s="116">
        <v>2020.0</v>
      </c>
      <c r="G410" s="116">
        <v>0.0</v>
      </c>
      <c r="H410" s="116">
        <v>29.54</v>
      </c>
      <c r="I410" s="117">
        <v>1.0</v>
      </c>
      <c r="J410" s="116">
        <v>29.54</v>
      </c>
      <c r="K410" s="114"/>
      <c r="L410" s="114"/>
      <c r="M410" s="116">
        <v>24.0</v>
      </c>
      <c r="N410" s="116">
        <v>184.0</v>
      </c>
      <c r="O410" s="114"/>
      <c r="P410" s="140">
        <v>28799.0</v>
      </c>
      <c r="Q410" s="114" t="s">
        <v>234</v>
      </c>
      <c r="R410" s="115">
        <v>2018.0</v>
      </c>
      <c r="S410" s="85">
        <v>0.237</v>
      </c>
      <c r="T410" s="118">
        <f t="shared" si="76"/>
        <v>6825.363</v>
      </c>
      <c r="U410" s="24">
        <f t="shared" si="3"/>
        <v>231.0549425</v>
      </c>
      <c r="V410" s="3">
        <f t="shared" si="28"/>
        <v>0</v>
      </c>
      <c r="W410" s="3">
        <f t="shared" si="29"/>
        <v>0</v>
      </c>
      <c r="X410" s="3">
        <f t="shared" si="30"/>
        <v>0</v>
      </c>
      <c r="Y410" s="25">
        <f t="shared" si="31"/>
        <v>0</v>
      </c>
      <c r="Z410" s="26">
        <f>VLOOKUP(R410,CPI!$A$2:$F$71,6,0)</f>
        <v>1.28277786</v>
      </c>
      <c r="AA410" s="27">
        <f t="shared" si="8"/>
        <v>8755.42454</v>
      </c>
      <c r="AB410" s="27">
        <f t="shared" si="9"/>
        <v>296.3921645</v>
      </c>
      <c r="AC410" s="114"/>
      <c r="AD410" s="119" t="s">
        <v>777</v>
      </c>
      <c r="AE410" s="164"/>
      <c r="AF410" s="165"/>
      <c r="AG410" s="165"/>
      <c r="AH410" s="165"/>
    </row>
    <row r="411">
      <c r="A411" s="130" t="s">
        <v>230</v>
      </c>
      <c r="B411" s="130" t="s">
        <v>771</v>
      </c>
      <c r="C411" s="36" t="s">
        <v>80</v>
      </c>
      <c r="D411" s="130" t="s">
        <v>255</v>
      </c>
      <c r="E411" s="130">
        <v>2015.0</v>
      </c>
      <c r="F411" s="130">
        <v>2020.0</v>
      </c>
      <c r="G411" s="130">
        <v>0.0</v>
      </c>
      <c r="H411" s="130">
        <v>37.626</v>
      </c>
      <c r="I411" s="131">
        <v>0.345771541</v>
      </c>
      <c r="J411" s="130">
        <v>13.01</v>
      </c>
      <c r="K411" s="132">
        <v>24.8358</v>
      </c>
      <c r="L411" s="132">
        <v>0.0</v>
      </c>
      <c r="M411" s="130">
        <v>20.0</v>
      </c>
      <c r="N411" s="133">
        <v>138.0</v>
      </c>
      <c r="O411" s="130" t="s">
        <v>60</v>
      </c>
      <c r="P411" s="135">
        <f>16.8*10^3</f>
        <v>16800</v>
      </c>
      <c r="Q411" s="130" t="s">
        <v>234</v>
      </c>
      <c r="R411" s="130">
        <v>2017.0</v>
      </c>
      <c r="S411" s="136">
        <v>0.239</v>
      </c>
      <c r="T411" s="128">
        <f t="shared" si="76"/>
        <v>4015.2</v>
      </c>
      <c r="U411" s="24">
        <f t="shared" si="3"/>
        <v>106.7134428</v>
      </c>
      <c r="V411" s="3">
        <f t="shared" si="28"/>
        <v>0</v>
      </c>
      <c r="W411" s="3">
        <f t="shared" si="29"/>
        <v>0</v>
      </c>
      <c r="X411" s="3">
        <f t="shared" si="30"/>
        <v>0</v>
      </c>
      <c r="Y411" s="25">
        <f t="shared" si="31"/>
        <v>0</v>
      </c>
      <c r="Z411" s="26">
        <f>VLOOKUP(R411,CPI!$A$2:$F$71,6,0)</f>
        <v>1.314109416</v>
      </c>
      <c r="AA411" s="27">
        <f t="shared" si="8"/>
        <v>5276.412126</v>
      </c>
      <c r="AB411" s="27">
        <f t="shared" si="9"/>
        <v>140.23314</v>
      </c>
      <c r="AC411" s="130" t="s">
        <v>60</v>
      </c>
      <c r="AD411" s="137" t="s">
        <v>778</v>
      </c>
      <c r="AE411" s="179"/>
      <c r="AF411" s="174"/>
      <c r="AG411" s="174"/>
      <c r="AH411" s="174"/>
    </row>
    <row r="412">
      <c r="A412" s="123" t="s">
        <v>230</v>
      </c>
      <c r="B412" s="123" t="s">
        <v>771</v>
      </c>
      <c r="C412" s="36" t="s">
        <v>287</v>
      </c>
      <c r="D412" s="123" t="s">
        <v>287</v>
      </c>
      <c r="E412" s="75">
        <v>2017.0</v>
      </c>
      <c r="F412" s="75">
        <v>2022.0</v>
      </c>
      <c r="G412" s="75">
        <v>0.0</v>
      </c>
      <c r="H412" s="75">
        <v>40.0</v>
      </c>
      <c r="I412" s="124">
        <v>1.0</v>
      </c>
      <c r="J412" s="75">
        <v>40.0</v>
      </c>
      <c r="K412" s="125">
        <v>0.0</v>
      </c>
      <c r="L412" s="125">
        <v>0.0</v>
      </c>
      <c r="M412" s="75">
        <v>33.0</v>
      </c>
      <c r="N412" s="75"/>
      <c r="O412" s="123" t="s">
        <v>60</v>
      </c>
      <c r="P412" s="126">
        <v>38140.0</v>
      </c>
      <c r="Q412" s="123" t="s">
        <v>234</v>
      </c>
      <c r="R412" s="75">
        <v>2017.0</v>
      </c>
      <c r="S412" s="136">
        <v>0.239</v>
      </c>
      <c r="T412" s="128">
        <f t="shared" si="76"/>
        <v>9115.46</v>
      </c>
      <c r="U412" s="24">
        <f t="shared" si="3"/>
        <v>227.8865</v>
      </c>
      <c r="V412" s="3">
        <f t="shared" si="28"/>
        <v>0</v>
      </c>
      <c r="W412" s="3">
        <f t="shared" si="29"/>
        <v>0</v>
      </c>
      <c r="X412" s="3">
        <f t="shared" si="30"/>
        <v>0</v>
      </c>
      <c r="Y412" s="25">
        <f t="shared" si="31"/>
        <v>0</v>
      </c>
      <c r="Z412" s="26">
        <f>VLOOKUP(R412,CPI!$A$2:$F$71,6,0)</f>
        <v>1.314109416</v>
      </c>
      <c r="AA412" s="27">
        <f t="shared" si="8"/>
        <v>11978.71182</v>
      </c>
      <c r="AB412" s="27">
        <f t="shared" si="9"/>
        <v>299.4677954</v>
      </c>
      <c r="AC412" s="123" t="s">
        <v>60</v>
      </c>
      <c r="AD412" s="129" t="s">
        <v>778</v>
      </c>
      <c r="AE412" s="29"/>
      <c r="AF412" s="30"/>
      <c r="AG412" s="30"/>
      <c r="AH412" s="30"/>
    </row>
    <row r="413">
      <c r="A413" s="123" t="s">
        <v>230</v>
      </c>
      <c r="B413" s="123" t="s">
        <v>771</v>
      </c>
      <c r="C413" s="36" t="s">
        <v>80</v>
      </c>
      <c r="D413" s="123" t="s">
        <v>779</v>
      </c>
      <c r="E413" s="75">
        <v>2018.0</v>
      </c>
      <c r="F413" s="75">
        <v>2022.0</v>
      </c>
      <c r="G413" s="75">
        <v>0.0</v>
      </c>
      <c r="H413" s="75">
        <v>6.13</v>
      </c>
      <c r="I413" s="124">
        <f>J413/H413</f>
        <v>0.8654159869</v>
      </c>
      <c r="J413" s="75">
        <v>5.305</v>
      </c>
      <c r="K413" s="125">
        <v>0.0</v>
      </c>
      <c r="L413" s="125">
        <v>0.0</v>
      </c>
      <c r="M413" s="75">
        <v>4.0</v>
      </c>
      <c r="N413" s="75"/>
      <c r="O413" s="123" t="s">
        <v>42</v>
      </c>
      <c r="P413" s="126">
        <v>3795.0</v>
      </c>
      <c r="Q413" s="123" t="s">
        <v>234</v>
      </c>
      <c r="R413" s="75">
        <v>2018.0</v>
      </c>
      <c r="S413" s="136">
        <v>0.237</v>
      </c>
      <c r="T413" s="215">
        <f t="shared" si="76"/>
        <v>899.415</v>
      </c>
      <c r="U413" s="24">
        <f t="shared" si="3"/>
        <v>146.723491</v>
      </c>
      <c r="V413" s="3">
        <f t="shared" si="28"/>
        <v>0</v>
      </c>
      <c r="W413" s="3">
        <f t="shared" si="29"/>
        <v>0</v>
      </c>
      <c r="X413" s="3">
        <f t="shared" si="30"/>
        <v>0</v>
      </c>
      <c r="Y413" s="25">
        <f t="shared" si="31"/>
        <v>0</v>
      </c>
      <c r="Z413" s="26">
        <f>VLOOKUP(R413,CPI!$A$2:$F$71,6,0)</f>
        <v>1.28277786</v>
      </c>
      <c r="AA413" s="27">
        <f t="shared" si="8"/>
        <v>1153.749649</v>
      </c>
      <c r="AB413" s="27">
        <f t="shared" si="9"/>
        <v>188.2136458</v>
      </c>
      <c r="AC413" s="130" t="s">
        <v>60</v>
      </c>
      <c r="AD413" s="216" t="s">
        <v>780</v>
      </c>
      <c r="AE413" s="34"/>
      <c r="AF413" s="34"/>
      <c r="AG413" s="34"/>
      <c r="AH413" s="34"/>
    </row>
    <row r="414">
      <c r="A414" s="72" t="s">
        <v>230</v>
      </c>
      <c r="B414" s="72" t="s">
        <v>771</v>
      </c>
      <c r="C414" s="115" t="s">
        <v>287</v>
      </c>
      <c r="D414" s="115" t="s">
        <v>781</v>
      </c>
      <c r="E414" s="70">
        <v>2020.0</v>
      </c>
      <c r="F414" s="69">
        <v>2022.0</v>
      </c>
      <c r="G414" s="69">
        <v>0.0</v>
      </c>
      <c r="H414" s="69">
        <v>8.05</v>
      </c>
      <c r="I414" s="117">
        <v>1.0</v>
      </c>
      <c r="J414" s="69">
        <v>8.05</v>
      </c>
      <c r="K414" s="72"/>
      <c r="L414" s="72"/>
      <c r="M414" s="69">
        <v>6.0</v>
      </c>
      <c r="N414" s="69">
        <v>138.0</v>
      </c>
      <c r="O414" s="72"/>
      <c r="P414" s="140">
        <v>9094.0</v>
      </c>
      <c r="Q414" s="72" t="s">
        <v>234</v>
      </c>
      <c r="R414" s="115">
        <v>2021.0</v>
      </c>
      <c r="S414" s="136">
        <v>0.239</v>
      </c>
      <c r="T414" s="118">
        <f t="shared" si="76"/>
        <v>2173.466</v>
      </c>
      <c r="U414" s="24">
        <f t="shared" si="3"/>
        <v>269.9957764</v>
      </c>
      <c r="V414" s="3">
        <f t="shared" si="28"/>
        <v>0</v>
      </c>
      <c r="W414" s="3">
        <f t="shared" si="29"/>
        <v>0</v>
      </c>
      <c r="X414" s="3">
        <f t="shared" si="30"/>
        <v>0</v>
      </c>
      <c r="Y414" s="25">
        <f t="shared" si="31"/>
        <v>0</v>
      </c>
      <c r="Z414" s="26">
        <f>VLOOKUP(R414,CPI!$A$2:$F$71,6,0)</f>
        <v>1.188745987</v>
      </c>
      <c r="AA414" s="27">
        <f t="shared" si="8"/>
        <v>2583.698985</v>
      </c>
      <c r="AB414" s="27">
        <f t="shared" si="9"/>
        <v>320.9563956</v>
      </c>
      <c r="AC414" s="72"/>
      <c r="AD414" s="217" t="s">
        <v>782</v>
      </c>
      <c r="AE414" s="72"/>
      <c r="AF414" s="72"/>
      <c r="AG414" s="123"/>
      <c r="AH414" s="72"/>
    </row>
    <row r="415">
      <c r="A415" s="114" t="s">
        <v>230</v>
      </c>
      <c r="B415" s="114" t="s">
        <v>771</v>
      </c>
      <c r="C415" s="115" t="s">
        <v>87</v>
      </c>
      <c r="D415" s="115" t="s">
        <v>783</v>
      </c>
      <c r="E415" s="116">
        <v>2020.0</v>
      </c>
      <c r="F415" s="116">
        <v>2022.0</v>
      </c>
      <c r="G415" s="116">
        <v>0.0</v>
      </c>
      <c r="H415" s="116">
        <v>9.35</v>
      </c>
      <c r="I415" s="117">
        <v>0.79</v>
      </c>
      <c r="J415" s="116">
        <v>7.42</v>
      </c>
      <c r="K415" s="114"/>
      <c r="L415" s="114"/>
      <c r="M415" s="116">
        <v>7.0</v>
      </c>
      <c r="N415" s="116">
        <v>117.0</v>
      </c>
      <c r="O415" s="114"/>
      <c r="P415" s="140">
        <v>10785.0</v>
      </c>
      <c r="Q415" s="114" t="s">
        <v>234</v>
      </c>
      <c r="R415" s="115">
        <v>2020.0</v>
      </c>
      <c r="S415" s="136">
        <v>0.239</v>
      </c>
      <c r="T415" s="118">
        <f t="shared" si="76"/>
        <v>2577.615</v>
      </c>
      <c r="U415" s="24">
        <f t="shared" si="3"/>
        <v>275.6807487</v>
      </c>
      <c r="V415" s="3">
        <f t="shared" si="28"/>
        <v>0</v>
      </c>
      <c r="W415" s="3">
        <f t="shared" si="29"/>
        <v>0</v>
      </c>
      <c r="X415" s="3">
        <f t="shared" si="30"/>
        <v>0</v>
      </c>
      <c r="Y415" s="25">
        <f t="shared" si="31"/>
        <v>0</v>
      </c>
      <c r="Z415" s="26">
        <f>VLOOKUP(R415,CPI!$A$2:$F$71,6,0)</f>
        <v>1.244593545</v>
      </c>
      <c r="AA415" s="27">
        <f t="shared" si="8"/>
        <v>3208.082991</v>
      </c>
      <c r="AB415" s="27">
        <f t="shared" si="9"/>
        <v>343.1104803</v>
      </c>
      <c r="AC415" s="114"/>
      <c r="AD415" s="119" t="s">
        <v>784</v>
      </c>
      <c r="AE415" s="114"/>
      <c r="AF415" s="114"/>
      <c r="AG415" s="114"/>
      <c r="AH415" s="114"/>
    </row>
    <row r="416">
      <c r="A416" s="123" t="s">
        <v>230</v>
      </c>
      <c r="B416" s="123" t="s">
        <v>771</v>
      </c>
      <c r="C416" s="36" t="s">
        <v>87</v>
      </c>
      <c r="D416" s="123" t="s">
        <v>785</v>
      </c>
      <c r="E416" s="218"/>
      <c r="F416" s="75">
        <v>2022.0</v>
      </c>
      <c r="G416" s="75">
        <v>0.0</v>
      </c>
      <c r="H416" s="75">
        <v>9.35</v>
      </c>
      <c r="I416" s="124">
        <v>0.7935828877</v>
      </c>
      <c r="J416" s="75">
        <v>7.42</v>
      </c>
      <c r="K416" s="125">
        <v>0.0</v>
      </c>
      <c r="L416" s="125">
        <v>0.0</v>
      </c>
      <c r="M416" s="75">
        <v>7.0</v>
      </c>
      <c r="N416" s="75"/>
      <c r="O416" s="123" t="s">
        <v>60</v>
      </c>
      <c r="P416" s="126">
        <f>10.785*10^3</f>
        <v>10785</v>
      </c>
      <c r="Q416" s="123" t="s">
        <v>234</v>
      </c>
      <c r="R416" s="75">
        <v>2020.0</v>
      </c>
      <c r="S416" s="136">
        <v>0.239</v>
      </c>
      <c r="T416" s="215">
        <f t="shared" si="76"/>
        <v>2577.615</v>
      </c>
      <c r="U416" s="24">
        <f t="shared" si="3"/>
        <v>275.6807487</v>
      </c>
      <c r="V416" s="3">
        <f t="shared" si="28"/>
        <v>0</v>
      </c>
      <c r="W416" s="3">
        <f t="shared" si="29"/>
        <v>0</v>
      </c>
      <c r="X416" s="3">
        <f t="shared" si="30"/>
        <v>0</v>
      </c>
      <c r="Y416" s="25">
        <f t="shared" si="31"/>
        <v>0</v>
      </c>
      <c r="Z416" s="26">
        <f>VLOOKUP(R416,CPI!$A$2:$F$71,6,0)</f>
        <v>1.244593545</v>
      </c>
      <c r="AA416" s="27">
        <f t="shared" si="8"/>
        <v>3208.082991</v>
      </c>
      <c r="AB416" s="27">
        <f t="shared" si="9"/>
        <v>343.1104803</v>
      </c>
      <c r="AC416" s="123" t="s">
        <v>60</v>
      </c>
      <c r="AD416" s="129" t="s">
        <v>778</v>
      </c>
      <c r="AE416" s="29"/>
      <c r="AF416" s="30"/>
      <c r="AG416" s="30"/>
      <c r="AH416" s="30"/>
    </row>
    <row r="417">
      <c r="A417" s="123" t="s">
        <v>230</v>
      </c>
      <c r="B417" s="123" t="s">
        <v>771</v>
      </c>
      <c r="C417" s="36" t="s">
        <v>283</v>
      </c>
      <c r="D417" s="123" t="s">
        <v>283</v>
      </c>
      <c r="E417" s="75">
        <v>2018.0</v>
      </c>
      <c r="F417" s="75">
        <v>2023.0</v>
      </c>
      <c r="G417" s="75">
        <v>0.0</v>
      </c>
      <c r="H417" s="75">
        <v>27.6</v>
      </c>
      <c r="I417" s="124">
        <v>1.0</v>
      </c>
      <c r="J417" s="75">
        <v>27.6</v>
      </c>
      <c r="K417" s="125">
        <v>0.0</v>
      </c>
      <c r="L417" s="125">
        <v>0.0</v>
      </c>
      <c r="M417" s="75">
        <v>24.0</v>
      </c>
      <c r="N417" s="75"/>
      <c r="O417" s="123" t="s">
        <v>42</v>
      </c>
      <c r="P417" s="126">
        <v>27530.0</v>
      </c>
      <c r="Q417" s="123" t="s">
        <v>234</v>
      </c>
      <c r="R417" s="75">
        <v>2017.0</v>
      </c>
      <c r="S417" s="136">
        <v>0.239</v>
      </c>
      <c r="T417" s="128">
        <f t="shared" si="76"/>
        <v>6579.67</v>
      </c>
      <c r="U417" s="24">
        <f t="shared" si="3"/>
        <v>238.3938406</v>
      </c>
      <c r="V417" s="3">
        <f t="shared" si="28"/>
        <v>0</v>
      </c>
      <c r="W417" s="3">
        <f t="shared" si="29"/>
        <v>0</v>
      </c>
      <c r="X417" s="3">
        <f t="shared" si="30"/>
        <v>0</v>
      </c>
      <c r="Y417" s="25">
        <f t="shared" si="31"/>
        <v>0</v>
      </c>
      <c r="Z417" s="26">
        <f>VLOOKUP(R417,CPI!$A$2:$F$71,6,0)</f>
        <v>1.314109416</v>
      </c>
      <c r="AA417" s="27">
        <f t="shared" si="8"/>
        <v>8646.4063</v>
      </c>
      <c r="AB417" s="27">
        <f t="shared" si="9"/>
        <v>313.2755906</v>
      </c>
      <c r="AC417" s="123" t="s">
        <v>60</v>
      </c>
      <c r="AD417" s="129" t="s">
        <v>778</v>
      </c>
      <c r="AE417" s="29"/>
      <c r="AF417" s="30"/>
      <c r="AG417" s="30"/>
      <c r="AH417" s="30"/>
    </row>
    <row r="418">
      <c r="A418" s="72" t="s">
        <v>230</v>
      </c>
      <c r="B418" s="72" t="s">
        <v>771</v>
      </c>
      <c r="C418" s="115" t="s">
        <v>243</v>
      </c>
      <c r="D418" s="115" t="s">
        <v>373</v>
      </c>
      <c r="E418" s="69">
        <v>2019.0</v>
      </c>
      <c r="F418" s="69">
        <v>2024.0</v>
      </c>
      <c r="G418" s="69">
        <v>0.0</v>
      </c>
      <c r="H418" s="69">
        <v>8.023</v>
      </c>
      <c r="I418" s="117">
        <v>1.0</v>
      </c>
      <c r="J418" s="69">
        <v>8.023</v>
      </c>
      <c r="K418" s="72"/>
      <c r="L418" s="72"/>
      <c r="M418" s="69">
        <v>4.0</v>
      </c>
      <c r="N418" s="70">
        <v>138.0</v>
      </c>
      <c r="O418" s="74"/>
      <c r="P418" s="140">
        <v>6316.0</v>
      </c>
      <c r="Q418" s="72" t="s">
        <v>234</v>
      </c>
      <c r="R418" s="115">
        <v>2021.0</v>
      </c>
      <c r="S418" s="136">
        <v>0.239</v>
      </c>
      <c r="T418" s="118">
        <f t="shared" si="76"/>
        <v>1509.524</v>
      </c>
      <c r="U418" s="24">
        <f t="shared" si="3"/>
        <v>188.14957</v>
      </c>
      <c r="V418" s="3">
        <f t="shared" si="28"/>
        <v>0</v>
      </c>
      <c r="W418" s="3">
        <f t="shared" si="29"/>
        <v>0</v>
      </c>
      <c r="X418" s="3">
        <f t="shared" si="30"/>
        <v>0</v>
      </c>
      <c r="Y418" s="25">
        <f t="shared" si="31"/>
        <v>0</v>
      </c>
      <c r="Z418" s="26">
        <f>VLOOKUP(R418,CPI!$A$2:$F$71,6,0)</f>
        <v>1.188745987</v>
      </c>
      <c r="AA418" s="27">
        <f t="shared" si="8"/>
        <v>1794.440597</v>
      </c>
      <c r="AB418" s="27">
        <f t="shared" si="9"/>
        <v>223.6620462</v>
      </c>
      <c r="AC418" s="72" t="s">
        <v>36</v>
      </c>
      <c r="AD418" s="79" t="s">
        <v>786</v>
      </c>
      <c r="AE418" s="72"/>
      <c r="AF418" s="72"/>
      <c r="AG418" s="72"/>
      <c r="AH418" s="72"/>
    </row>
    <row r="419">
      <c r="A419" s="123" t="s">
        <v>230</v>
      </c>
      <c r="B419" s="123" t="s">
        <v>771</v>
      </c>
      <c r="C419" s="36" t="s">
        <v>236</v>
      </c>
      <c r="D419" s="123" t="s">
        <v>787</v>
      </c>
      <c r="E419" s="219">
        <v>2020.0</v>
      </c>
      <c r="F419" s="75">
        <v>2025.0</v>
      </c>
      <c r="G419" s="75">
        <v>0.0</v>
      </c>
      <c r="H419" s="75">
        <v>4.47</v>
      </c>
      <c r="I419" s="124">
        <v>1.0</v>
      </c>
      <c r="J419" s="75">
        <v>4.47</v>
      </c>
      <c r="K419" s="125">
        <v>0.0</v>
      </c>
      <c r="L419" s="125">
        <v>0.0</v>
      </c>
      <c r="M419" s="75">
        <v>3.0</v>
      </c>
      <c r="N419" s="75"/>
      <c r="O419" s="123" t="s">
        <v>60</v>
      </c>
      <c r="P419" s="126">
        <f>4.962*10^3</f>
        <v>4962</v>
      </c>
      <c r="Q419" s="123" t="s">
        <v>234</v>
      </c>
      <c r="R419" s="75">
        <v>2020.0</v>
      </c>
      <c r="S419" s="136">
        <v>0.239</v>
      </c>
      <c r="T419" s="128">
        <f t="shared" si="76"/>
        <v>1185.918</v>
      </c>
      <c r="U419" s="24">
        <f t="shared" si="3"/>
        <v>265.3060403</v>
      </c>
      <c r="V419" s="3">
        <f t="shared" si="28"/>
        <v>0</v>
      </c>
      <c r="W419" s="3">
        <f t="shared" si="29"/>
        <v>0</v>
      </c>
      <c r="X419" s="3">
        <f t="shared" si="30"/>
        <v>0</v>
      </c>
      <c r="Y419" s="25">
        <f t="shared" si="31"/>
        <v>0</v>
      </c>
      <c r="Z419" s="26">
        <f>VLOOKUP(R419,CPI!$A$2:$F$71,6,0)</f>
        <v>1.244593545</v>
      </c>
      <c r="AA419" s="27">
        <f t="shared" si="8"/>
        <v>1475.985888</v>
      </c>
      <c r="AB419" s="27">
        <f t="shared" si="9"/>
        <v>330.1981852</v>
      </c>
      <c r="AC419" s="130" t="s">
        <v>60</v>
      </c>
      <c r="AD419" s="137" t="s">
        <v>778</v>
      </c>
      <c r="AE419" s="34"/>
      <c r="AF419" s="34"/>
      <c r="AG419" s="34"/>
      <c r="AH419" s="34"/>
    </row>
    <row r="420">
      <c r="A420" s="123" t="s">
        <v>230</v>
      </c>
      <c r="B420" s="123" t="s">
        <v>771</v>
      </c>
      <c r="C420" s="36" t="s">
        <v>243</v>
      </c>
      <c r="D420" s="123" t="s">
        <v>788</v>
      </c>
      <c r="E420" s="218"/>
      <c r="F420" s="75">
        <v>2025.0</v>
      </c>
      <c r="G420" s="75">
        <v>0.0</v>
      </c>
      <c r="H420" s="75">
        <v>4.26</v>
      </c>
      <c r="I420" s="124">
        <v>1.0</v>
      </c>
      <c r="J420" s="75">
        <v>4.26</v>
      </c>
      <c r="K420" s="220">
        <v>0.0</v>
      </c>
      <c r="L420" s="220">
        <v>0.0</v>
      </c>
      <c r="M420" s="123"/>
      <c r="N420" s="75"/>
      <c r="O420" s="123" t="s">
        <v>60</v>
      </c>
      <c r="P420" s="126">
        <f>8.318*10^3</f>
        <v>8318</v>
      </c>
      <c r="Q420" s="123" t="s">
        <v>234</v>
      </c>
      <c r="R420" s="75">
        <v>2020.0</v>
      </c>
      <c r="S420" s="136">
        <v>0.239</v>
      </c>
      <c r="T420" s="128">
        <f t="shared" si="76"/>
        <v>1988.002</v>
      </c>
      <c r="U420" s="24">
        <f t="shared" si="3"/>
        <v>466.6671362</v>
      </c>
      <c r="V420" s="3">
        <f t="shared" si="28"/>
        <v>0</v>
      </c>
      <c r="W420" s="3">
        <f t="shared" si="29"/>
        <v>0</v>
      </c>
      <c r="X420" s="3">
        <f t="shared" si="30"/>
        <v>0</v>
      </c>
      <c r="Y420" s="25">
        <f t="shared" si="31"/>
        <v>0</v>
      </c>
      <c r="Z420" s="26">
        <f>VLOOKUP(R420,CPI!$A$2:$F$71,6,0)</f>
        <v>1.244593545</v>
      </c>
      <c r="AA420" s="27">
        <f t="shared" si="8"/>
        <v>2474.254457</v>
      </c>
      <c r="AB420" s="27">
        <f t="shared" si="9"/>
        <v>580.8109054</v>
      </c>
      <c r="AC420" s="123" t="s">
        <v>60</v>
      </c>
      <c r="AD420" s="129" t="s">
        <v>778</v>
      </c>
      <c r="AE420" s="34"/>
      <c r="AF420" s="34"/>
      <c r="AG420" s="34"/>
      <c r="AH420" s="34"/>
    </row>
    <row r="421">
      <c r="A421" s="114" t="s">
        <v>230</v>
      </c>
      <c r="B421" s="114" t="s">
        <v>771</v>
      </c>
      <c r="C421" s="115" t="s">
        <v>84</v>
      </c>
      <c r="D421" s="114" t="s">
        <v>789</v>
      </c>
      <c r="E421" s="116">
        <v>2019.0</v>
      </c>
      <c r="F421" s="114"/>
      <c r="G421" s="116">
        <v>0.0</v>
      </c>
      <c r="H421" s="116">
        <v>2.88</v>
      </c>
      <c r="I421" s="117">
        <v>1.0</v>
      </c>
      <c r="J421" s="116">
        <v>2.88</v>
      </c>
      <c r="K421" s="114"/>
      <c r="L421" s="114"/>
      <c r="M421" s="116">
        <v>3.0</v>
      </c>
      <c r="N421" s="116">
        <v>138.0</v>
      </c>
      <c r="O421" s="114"/>
      <c r="P421" s="140">
        <v>4050.0</v>
      </c>
      <c r="Q421" s="114" t="s">
        <v>234</v>
      </c>
      <c r="R421" s="115">
        <v>2019.0</v>
      </c>
      <c r="S421" s="136">
        <v>0.238</v>
      </c>
      <c r="T421" s="118">
        <f t="shared" si="76"/>
        <v>963.9</v>
      </c>
      <c r="U421" s="24">
        <f t="shared" si="3"/>
        <v>334.6875</v>
      </c>
      <c r="V421" s="3">
        <f t="shared" si="28"/>
        <v>0</v>
      </c>
      <c r="W421" s="3">
        <f t="shared" si="29"/>
        <v>0</v>
      </c>
      <c r="X421" s="3">
        <f t="shared" si="30"/>
        <v>0</v>
      </c>
      <c r="Y421" s="25">
        <f t="shared" si="31"/>
        <v>0</v>
      </c>
      <c r="Z421" s="26">
        <f>VLOOKUP(R421,CPI!$A$2:$F$71,6,0)</f>
        <v>1.259947899</v>
      </c>
      <c r="AA421" s="27">
        <f t="shared" si="8"/>
        <v>1214.46378</v>
      </c>
      <c r="AB421" s="27">
        <f t="shared" si="9"/>
        <v>421.6888124</v>
      </c>
      <c r="AC421" s="114"/>
      <c r="AD421" s="119" t="s">
        <v>790</v>
      </c>
      <c r="AE421" s="164"/>
      <c r="AF421" s="165"/>
      <c r="AG421" s="165"/>
      <c r="AH421" s="165"/>
    </row>
    <row r="422">
      <c r="A422" s="72" t="s">
        <v>230</v>
      </c>
      <c r="B422" s="72" t="s">
        <v>771</v>
      </c>
      <c r="C422" s="115" t="s">
        <v>267</v>
      </c>
      <c r="D422" s="72" t="s">
        <v>267</v>
      </c>
      <c r="E422" s="69">
        <v>2020.0</v>
      </c>
      <c r="F422" s="72"/>
      <c r="G422" s="69">
        <v>0.0</v>
      </c>
      <c r="H422" s="69">
        <v>50.34</v>
      </c>
      <c r="I422" s="117">
        <v>1.0</v>
      </c>
      <c r="J422" s="69">
        <v>50.34</v>
      </c>
      <c r="K422" s="72"/>
      <c r="L422" s="72"/>
      <c r="M422" s="69">
        <v>17.0</v>
      </c>
      <c r="N422" s="69">
        <v>184.0</v>
      </c>
      <c r="O422" s="72"/>
      <c r="P422" s="140">
        <v>41005.0</v>
      </c>
      <c r="Q422" s="72" t="s">
        <v>234</v>
      </c>
      <c r="R422" s="115">
        <v>2020.0</v>
      </c>
      <c r="S422" s="136">
        <v>0.239</v>
      </c>
      <c r="T422" s="118">
        <f t="shared" si="76"/>
        <v>9800.195</v>
      </c>
      <c r="U422" s="24">
        <f t="shared" si="3"/>
        <v>194.6800755</v>
      </c>
      <c r="V422" s="3">
        <f t="shared" si="28"/>
        <v>0</v>
      </c>
      <c r="W422" s="3">
        <f t="shared" si="29"/>
        <v>0</v>
      </c>
      <c r="X422" s="3">
        <f t="shared" si="30"/>
        <v>0</v>
      </c>
      <c r="Y422" s="25">
        <f t="shared" si="31"/>
        <v>0</v>
      </c>
      <c r="Z422" s="26">
        <f>VLOOKUP(R422,CPI!$A$2:$F$71,6,0)</f>
        <v>1.244593545</v>
      </c>
      <c r="AA422" s="27">
        <f t="shared" si="8"/>
        <v>12197.25944</v>
      </c>
      <c r="AB422" s="27">
        <f t="shared" si="9"/>
        <v>242.2975653</v>
      </c>
      <c r="AC422" s="72" t="s">
        <v>36</v>
      </c>
      <c r="AD422" s="79" t="s">
        <v>791</v>
      </c>
      <c r="AE422" s="72"/>
      <c r="AF422" s="72"/>
      <c r="AG422" s="72"/>
      <c r="AH422" s="72"/>
    </row>
    <row r="423">
      <c r="A423" s="114" t="s">
        <v>230</v>
      </c>
      <c r="B423" s="114" t="s">
        <v>771</v>
      </c>
      <c r="C423" s="115" t="s">
        <v>792</v>
      </c>
      <c r="D423" s="114" t="s">
        <v>793</v>
      </c>
      <c r="E423" s="116">
        <v>2021.0</v>
      </c>
      <c r="F423" s="114"/>
      <c r="G423" s="116">
        <v>1.0</v>
      </c>
      <c r="H423" s="116">
        <v>15.15</v>
      </c>
      <c r="I423" s="117">
        <v>1.0</v>
      </c>
      <c r="J423" s="116">
        <v>15.15</v>
      </c>
      <c r="K423" s="114"/>
      <c r="L423" s="114"/>
      <c r="M423" s="116">
        <v>3.0</v>
      </c>
      <c r="N423" s="116">
        <v>184.0</v>
      </c>
      <c r="O423" s="114"/>
      <c r="P423" s="140">
        <v>11900.0</v>
      </c>
      <c r="Q423" s="114" t="s">
        <v>234</v>
      </c>
      <c r="R423" s="115">
        <v>2021.0</v>
      </c>
      <c r="S423" s="136">
        <v>0.239000000000002</v>
      </c>
      <c r="T423" s="118">
        <f t="shared" si="76"/>
        <v>2844.1</v>
      </c>
      <c r="U423" s="24">
        <f t="shared" si="3"/>
        <v>187.7293729</v>
      </c>
      <c r="V423" s="3">
        <f t="shared" si="28"/>
        <v>0</v>
      </c>
      <c r="W423" s="3">
        <f t="shared" si="29"/>
        <v>0</v>
      </c>
      <c r="X423" s="3">
        <f t="shared" si="30"/>
        <v>0</v>
      </c>
      <c r="Y423" s="25">
        <f t="shared" si="31"/>
        <v>0</v>
      </c>
      <c r="Z423" s="26">
        <f>VLOOKUP(R423,CPI!$A$2:$F$71,6,0)</f>
        <v>1.188745987</v>
      </c>
      <c r="AA423" s="27">
        <f t="shared" si="8"/>
        <v>3380.912461</v>
      </c>
      <c r="AB423" s="27">
        <f t="shared" si="9"/>
        <v>223.1625387</v>
      </c>
      <c r="AC423" s="114"/>
      <c r="AD423" s="119" t="s">
        <v>794</v>
      </c>
      <c r="AE423" s="164"/>
      <c r="AF423" s="165"/>
      <c r="AG423" s="165"/>
      <c r="AH423" s="165"/>
    </row>
    <row r="424">
      <c r="A424" s="72" t="s">
        <v>230</v>
      </c>
      <c r="B424" s="72" t="s">
        <v>771</v>
      </c>
      <c r="C424" s="36" t="s">
        <v>236</v>
      </c>
      <c r="D424" s="72" t="s">
        <v>795</v>
      </c>
      <c r="E424" s="70">
        <v>2021.0</v>
      </c>
      <c r="F424" s="74"/>
      <c r="G424" s="69">
        <v>0.0</v>
      </c>
      <c r="H424" s="69">
        <v>19.296</v>
      </c>
      <c r="I424" s="117">
        <v>1.0</v>
      </c>
      <c r="J424" s="69">
        <v>19.296</v>
      </c>
      <c r="K424" s="72"/>
      <c r="L424" s="72"/>
      <c r="M424" s="69">
        <v>11.0</v>
      </c>
      <c r="N424" s="70">
        <v>184.0</v>
      </c>
      <c r="O424" s="72"/>
      <c r="P424" s="140">
        <v>27880.0</v>
      </c>
      <c r="Q424" s="72" t="s">
        <v>234</v>
      </c>
      <c r="R424" s="115">
        <v>2021.0</v>
      </c>
      <c r="S424" s="136">
        <v>0.239</v>
      </c>
      <c r="T424" s="118">
        <f t="shared" si="76"/>
        <v>6663.32</v>
      </c>
      <c r="U424" s="24">
        <f t="shared" si="3"/>
        <v>345.3213101</v>
      </c>
      <c r="V424" s="3">
        <f t="shared" si="28"/>
        <v>0</v>
      </c>
      <c r="W424" s="3">
        <f t="shared" si="29"/>
        <v>0</v>
      </c>
      <c r="X424" s="3">
        <f t="shared" si="30"/>
        <v>0</v>
      </c>
      <c r="Y424" s="25">
        <f t="shared" si="31"/>
        <v>0</v>
      </c>
      <c r="Z424" s="26">
        <f>VLOOKUP(R424,CPI!$A$2:$F$71,6,0)</f>
        <v>1.188745987</v>
      </c>
      <c r="AA424" s="27">
        <f t="shared" si="8"/>
        <v>7920.994908</v>
      </c>
      <c r="AB424" s="27">
        <f t="shared" si="9"/>
        <v>410.4993215</v>
      </c>
      <c r="AC424" s="115" t="s">
        <v>36</v>
      </c>
      <c r="AD424" s="79" t="s">
        <v>796</v>
      </c>
      <c r="AE424" s="72"/>
      <c r="AF424" s="72"/>
      <c r="AG424" s="221"/>
      <c r="AH424" s="72"/>
    </row>
    <row r="425">
      <c r="A425" s="72" t="s">
        <v>230</v>
      </c>
      <c r="B425" s="72" t="s">
        <v>771</v>
      </c>
      <c r="C425" s="72" t="s">
        <v>236</v>
      </c>
      <c r="D425" s="72" t="s">
        <v>236</v>
      </c>
      <c r="E425" s="69">
        <v>2021.0</v>
      </c>
      <c r="F425" s="72"/>
      <c r="G425" s="69">
        <v>0.0</v>
      </c>
      <c r="H425" s="69">
        <v>22.436</v>
      </c>
      <c r="I425" s="117">
        <v>1.0</v>
      </c>
      <c r="J425" s="69">
        <v>22.436</v>
      </c>
      <c r="K425" s="72"/>
      <c r="L425" s="72"/>
      <c r="M425" s="69">
        <v>16.0</v>
      </c>
      <c r="N425" s="70">
        <v>184.0</v>
      </c>
      <c r="O425" s="72"/>
      <c r="P425" s="140">
        <v>23371.0</v>
      </c>
      <c r="Q425" s="72" t="s">
        <v>234</v>
      </c>
      <c r="R425" s="115">
        <v>2021.0</v>
      </c>
      <c r="S425" s="136">
        <v>0.239</v>
      </c>
      <c r="T425" s="118">
        <f t="shared" si="76"/>
        <v>5585.669</v>
      </c>
      <c r="U425" s="24">
        <f t="shared" si="3"/>
        <v>248.9601088</v>
      </c>
      <c r="V425" s="3">
        <f t="shared" si="28"/>
        <v>0</v>
      </c>
      <c r="W425" s="3">
        <f t="shared" si="29"/>
        <v>0</v>
      </c>
      <c r="X425" s="3">
        <f t="shared" si="30"/>
        <v>0</v>
      </c>
      <c r="Y425" s="25">
        <f t="shared" si="31"/>
        <v>0</v>
      </c>
      <c r="Z425" s="26">
        <f>VLOOKUP(R425,CPI!$A$2:$F$71,6,0)</f>
        <v>1.188745987</v>
      </c>
      <c r="AA425" s="27">
        <f t="shared" si="8"/>
        <v>6639.941606</v>
      </c>
      <c r="AB425" s="27">
        <f t="shared" si="9"/>
        <v>295.9503301</v>
      </c>
      <c r="AC425" s="72" t="s">
        <v>36</v>
      </c>
      <c r="AD425" s="79" t="s">
        <v>797</v>
      </c>
      <c r="AE425" s="186"/>
      <c r="AF425" s="187"/>
      <c r="AG425" s="187"/>
      <c r="AH425" s="187"/>
    </row>
    <row r="426">
      <c r="A426" s="114" t="s">
        <v>230</v>
      </c>
      <c r="B426" s="114" t="s">
        <v>771</v>
      </c>
      <c r="C426" s="115" t="s">
        <v>798</v>
      </c>
      <c r="D426" s="114" t="s">
        <v>799</v>
      </c>
      <c r="E426" s="116">
        <v>2021.0</v>
      </c>
      <c r="F426" s="114"/>
      <c r="G426" s="116">
        <v>1.0</v>
      </c>
      <c r="H426" s="116">
        <v>39.4</v>
      </c>
      <c r="I426" s="117">
        <v>1.0</v>
      </c>
      <c r="J426" s="116">
        <v>39.4</v>
      </c>
      <c r="K426" s="114"/>
      <c r="L426" s="114"/>
      <c r="M426" s="116">
        <v>6.0</v>
      </c>
      <c r="N426" s="116">
        <v>184.0</v>
      </c>
      <c r="O426" s="114"/>
      <c r="P426" s="140">
        <v>23620.0</v>
      </c>
      <c r="Q426" s="114" t="s">
        <v>234</v>
      </c>
      <c r="R426" s="115">
        <v>2021.0</v>
      </c>
      <c r="S426" s="136">
        <v>0.239000000000002</v>
      </c>
      <c r="T426" s="118">
        <f t="shared" si="76"/>
        <v>5645.18</v>
      </c>
      <c r="U426" s="24">
        <f t="shared" si="3"/>
        <v>143.2786802</v>
      </c>
      <c r="V426" s="3">
        <f t="shared" si="28"/>
        <v>0</v>
      </c>
      <c r="W426" s="3">
        <f t="shared" si="29"/>
        <v>0</v>
      </c>
      <c r="X426" s="3">
        <f t="shared" si="30"/>
        <v>0</v>
      </c>
      <c r="Y426" s="25">
        <f t="shared" si="31"/>
        <v>0</v>
      </c>
      <c r="Z426" s="26">
        <f>VLOOKUP(R426,CPI!$A$2:$F$71,6,0)</f>
        <v>1.188745987</v>
      </c>
      <c r="AA426" s="27">
        <f t="shared" si="8"/>
        <v>6710.685069</v>
      </c>
      <c r="AB426" s="27">
        <f t="shared" si="9"/>
        <v>170.3219561</v>
      </c>
      <c r="AC426" s="114"/>
      <c r="AD426" s="119" t="s">
        <v>800</v>
      </c>
      <c r="AE426" s="114"/>
      <c r="AF426" s="114"/>
      <c r="AG426" s="114"/>
      <c r="AH426" s="114"/>
    </row>
    <row r="427">
      <c r="A427" s="114" t="s">
        <v>230</v>
      </c>
      <c r="B427" s="114" t="s">
        <v>771</v>
      </c>
      <c r="C427" s="115" t="s">
        <v>798</v>
      </c>
      <c r="D427" s="114" t="s">
        <v>801</v>
      </c>
      <c r="E427" s="116">
        <v>2021.0</v>
      </c>
      <c r="F427" s="114"/>
      <c r="G427" s="116">
        <v>1.0</v>
      </c>
      <c r="H427" s="116">
        <v>58.738</v>
      </c>
      <c r="I427" s="117">
        <v>1.0</v>
      </c>
      <c r="J427" s="116">
        <v>58.738</v>
      </c>
      <c r="K427" s="114"/>
      <c r="L427" s="114"/>
      <c r="M427" s="116">
        <v>11.0</v>
      </c>
      <c r="N427" s="116">
        <v>184.0</v>
      </c>
      <c r="O427" s="114"/>
      <c r="P427" s="140">
        <v>51750.0</v>
      </c>
      <c r="Q427" s="114" t="s">
        <v>234</v>
      </c>
      <c r="R427" s="115">
        <v>2021.0</v>
      </c>
      <c r="S427" s="136">
        <v>0.239000000000002</v>
      </c>
      <c r="T427" s="118">
        <f t="shared" si="76"/>
        <v>12368.25</v>
      </c>
      <c r="U427" s="24">
        <f t="shared" si="3"/>
        <v>210.5664136</v>
      </c>
      <c r="V427" s="3">
        <f t="shared" si="28"/>
        <v>0</v>
      </c>
      <c r="W427" s="3">
        <f t="shared" si="29"/>
        <v>0</v>
      </c>
      <c r="X427" s="3">
        <f t="shared" si="30"/>
        <v>0</v>
      </c>
      <c r="Y427" s="25">
        <f t="shared" si="31"/>
        <v>0</v>
      </c>
      <c r="Z427" s="26">
        <f>VLOOKUP(R427,CPI!$A$2:$F$71,6,0)</f>
        <v>1.188745987</v>
      </c>
      <c r="AA427" s="27">
        <f t="shared" si="8"/>
        <v>14702.70755</v>
      </c>
      <c r="AB427" s="27">
        <f t="shared" si="9"/>
        <v>250.309979</v>
      </c>
      <c r="AC427" s="114"/>
      <c r="AD427" s="119" t="s">
        <v>802</v>
      </c>
      <c r="AE427" s="164"/>
      <c r="AF427" s="165"/>
      <c r="AG427" s="165"/>
      <c r="AH427" s="165"/>
    </row>
    <row r="428">
      <c r="A428" s="72" t="s">
        <v>230</v>
      </c>
      <c r="B428" s="72" t="s">
        <v>771</v>
      </c>
      <c r="C428" s="115" t="s">
        <v>749</v>
      </c>
      <c r="D428" s="115" t="s">
        <v>750</v>
      </c>
      <c r="E428" s="70">
        <v>2022.0</v>
      </c>
      <c r="F428" s="72"/>
      <c r="G428" s="69">
        <v>0.0</v>
      </c>
      <c r="H428" s="69">
        <v>8.43</v>
      </c>
      <c r="I428" s="117">
        <v>1.0</v>
      </c>
      <c r="J428" s="69">
        <v>8.43</v>
      </c>
      <c r="K428" s="72"/>
      <c r="L428" s="72"/>
      <c r="M428" s="69">
        <v>5.0</v>
      </c>
      <c r="N428" s="69">
        <v>184.0</v>
      </c>
      <c r="O428" s="72"/>
      <c r="P428" s="140">
        <v>11206.0</v>
      </c>
      <c r="Q428" s="72" t="s">
        <v>234</v>
      </c>
      <c r="R428" s="115">
        <v>2021.0</v>
      </c>
      <c r="S428" s="136">
        <v>0.239</v>
      </c>
      <c r="T428" s="118">
        <f t="shared" si="76"/>
        <v>2678.234</v>
      </c>
      <c r="U428" s="24">
        <f t="shared" si="3"/>
        <v>317.7027284</v>
      </c>
      <c r="V428" s="3">
        <f t="shared" si="28"/>
        <v>0</v>
      </c>
      <c r="W428" s="3">
        <f t="shared" si="29"/>
        <v>0</v>
      </c>
      <c r="X428" s="3">
        <f t="shared" si="30"/>
        <v>0</v>
      </c>
      <c r="Y428" s="25">
        <f t="shared" si="31"/>
        <v>0</v>
      </c>
      <c r="Z428" s="26">
        <f>VLOOKUP(R428,CPI!$A$2:$F$71,6,0)</f>
        <v>1.188745987</v>
      </c>
      <c r="AA428" s="27">
        <f t="shared" si="8"/>
        <v>3183.739919</v>
      </c>
      <c r="AB428" s="27">
        <f t="shared" si="9"/>
        <v>377.6678433</v>
      </c>
      <c r="AC428" s="72"/>
      <c r="AD428" s="79" t="s">
        <v>803</v>
      </c>
      <c r="AE428" s="205" t="s">
        <v>804</v>
      </c>
      <c r="AF428" s="168"/>
      <c r="AG428" s="168"/>
      <c r="AH428" s="169"/>
    </row>
    <row r="429">
      <c r="A429" s="123" t="s">
        <v>230</v>
      </c>
      <c r="B429" s="123" t="s">
        <v>771</v>
      </c>
      <c r="C429" s="36" t="s">
        <v>292</v>
      </c>
      <c r="D429" s="123" t="s">
        <v>724</v>
      </c>
      <c r="E429" s="142" t="s">
        <v>571</v>
      </c>
      <c r="F429" s="123"/>
      <c r="G429" s="75">
        <v>0.0</v>
      </c>
      <c r="H429" s="75">
        <v>5.58</v>
      </c>
      <c r="I429" s="124">
        <v>1.0</v>
      </c>
      <c r="J429" s="75">
        <v>5.58</v>
      </c>
      <c r="K429" s="125">
        <v>0.0</v>
      </c>
      <c r="L429" s="125">
        <v>0.0</v>
      </c>
      <c r="M429" s="75">
        <v>3.0</v>
      </c>
      <c r="N429" s="75"/>
      <c r="O429" s="123" t="s">
        <v>60</v>
      </c>
      <c r="P429" s="126">
        <f>6.634*10^3</f>
        <v>6634</v>
      </c>
      <c r="Q429" s="123" t="s">
        <v>234</v>
      </c>
      <c r="R429" s="75">
        <v>2020.0</v>
      </c>
      <c r="S429" s="136">
        <v>0.239</v>
      </c>
      <c r="T429" s="128">
        <f t="shared" si="76"/>
        <v>1585.526</v>
      </c>
      <c r="U429" s="24">
        <f t="shared" si="3"/>
        <v>284.1444444</v>
      </c>
      <c r="V429" s="3">
        <f t="shared" si="28"/>
        <v>0</v>
      </c>
      <c r="W429" s="3">
        <f t="shared" si="29"/>
        <v>0</v>
      </c>
      <c r="X429" s="3">
        <f t="shared" si="30"/>
        <v>0</v>
      </c>
      <c r="Y429" s="25">
        <f t="shared" si="31"/>
        <v>0</v>
      </c>
      <c r="Z429" s="26">
        <f>VLOOKUP(R429,CPI!$A$2:$F$71,6,0)</f>
        <v>1.244593545</v>
      </c>
      <c r="AA429" s="27">
        <f t="shared" si="8"/>
        <v>1973.335425</v>
      </c>
      <c r="AB429" s="27">
        <f t="shared" si="9"/>
        <v>353.6443414</v>
      </c>
      <c r="AC429" s="123" t="s">
        <v>60</v>
      </c>
      <c r="AD429" s="129" t="s">
        <v>778</v>
      </c>
      <c r="AE429" s="34"/>
      <c r="AF429" s="34"/>
      <c r="AG429" s="34"/>
      <c r="AH429" s="34"/>
    </row>
    <row r="430">
      <c r="A430" s="123" t="s">
        <v>230</v>
      </c>
      <c r="B430" s="123" t="s">
        <v>771</v>
      </c>
      <c r="C430" s="36" t="s">
        <v>283</v>
      </c>
      <c r="D430" s="123" t="s">
        <v>805</v>
      </c>
      <c r="E430" s="142" t="s">
        <v>571</v>
      </c>
      <c r="F430" s="123"/>
      <c r="G430" s="75">
        <v>0.0</v>
      </c>
      <c r="H430" s="75">
        <v>9.53</v>
      </c>
      <c r="I430" s="124">
        <v>1.0</v>
      </c>
      <c r="J430" s="75">
        <v>9.53</v>
      </c>
      <c r="K430" s="125">
        <v>0.0</v>
      </c>
      <c r="L430" s="125">
        <v>0.0</v>
      </c>
      <c r="M430" s="75">
        <v>7.0</v>
      </c>
      <c r="N430" s="152">
        <v>138.0</v>
      </c>
      <c r="O430" s="123" t="s">
        <v>60</v>
      </c>
      <c r="P430" s="126">
        <f>10.995*10^3</f>
        <v>10995</v>
      </c>
      <c r="Q430" s="123" t="s">
        <v>234</v>
      </c>
      <c r="R430" s="75">
        <v>2020.0</v>
      </c>
      <c r="S430" s="136">
        <v>0.239</v>
      </c>
      <c r="T430" s="128">
        <f t="shared" si="76"/>
        <v>2627.805</v>
      </c>
      <c r="U430" s="24">
        <f t="shared" si="3"/>
        <v>275.7402938</v>
      </c>
      <c r="V430" s="3">
        <f t="shared" si="28"/>
        <v>0</v>
      </c>
      <c r="W430" s="3">
        <f t="shared" si="29"/>
        <v>0</v>
      </c>
      <c r="X430" s="3">
        <f t="shared" si="30"/>
        <v>0</v>
      </c>
      <c r="Y430" s="25">
        <f t="shared" si="31"/>
        <v>0</v>
      </c>
      <c r="Z430" s="26">
        <f>VLOOKUP(R430,CPI!$A$2:$F$71,6,0)</f>
        <v>1.244593545</v>
      </c>
      <c r="AA430" s="27">
        <f t="shared" si="8"/>
        <v>3270.549141</v>
      </c>
      <c r="AB430" s="27">
        <f t="shared" si="9"/>
        <v>343.1845898</v>
      </c>
      <c r="AC430" s="222" t="s">
        <v>60</v>
      </c>
      <c r="AD430" s="223" t="s">
        <v>778</v>
      </c>
      <c r="AE430" s="29"/>
      <c r="AF430" s="30"/>
      <c r="AG430" s="30"/>
      <c r="AH430" s="30"/>
    </row>
    <row r="431">
      <c r="A431" s="123" t="s">
        <v>230</v>
      </c>
      <c r="B431" s="123" t="s">
        <v>771</v>
      </c>
      <c r="C431" s="36" t="s">
        <v>228</v>
      </c>
      <c r="D431" s="123" t="s">
        <v>477</v>
      </c>
      <c r="E431" s="142" t="s">
        <v>571</v>
      </c>
      <c r="F431" s="123"/>
      <c r="G431" s="75">
        <v>0.0</v>
      </c>
      <c r="H431" s="75">
        <v>2.45</v>
      </c>
      <c r="I431" s="124">
        <v>1.0</v>
      </c>
      <c r="J431" s="75">
        <v>2.45</v>
      </c>
      <c r="K431" s="125">
        <v>0.0</v>
      </c>
      <c r="L431" s="125">
        <v>0.0</v>
      </c>
      <c r="M431" s="75">
        <v>2.0</v>
      </c>
      <c r="N431" s="75"/>
      <c r="O431" s="123" t="s">
        <v>60</v>
      </c>
      <c r="P431" s="126">
        <f>2.806*10^3</f>
        <v>2806</v>
      </c>
      <c r="Q431" s="123" t="s">
        <v>234</v>
      </c>
      <c r="R431" s="75">
        <v>2020.0</v>
      </c>
      <c r="S431" s="136">
        <v>0.239</v>
      </c>
      <c r="T431" s="128">
        <f t="shared" si="76"/>
        <v>670.634</v>
      </c>
      <c r="U431" s="24">
        <f t="shared" si="3"/>
        <v>273.7281633</v>
      </c>
      <c r="V431" s="3">
        <f t="shared" si="28"/>
        <v>0</v>
      </c>
      <c r="W431" s="3">
        <f t="shared" si="29"/>
        <v>0</v>
      </c>
      <c r="X431" s="3">
        <f t="shared" si="30"/>
        <v>0</v>
      </c>
      <c r="Y431" s="25">
        <f t="shared" si="31"/>
        <v>0</v>
      </c>
      <c r="Z431" s="26">
        <f>VLOOKUP(R431,CPI!$A$2:$F$71,6,0)</f>
        <v>1.244593545</v>
      </c>
      <c r="AA431" s="27">
        <f t="shared" si="8"/>
        <v>834.6667475</v>
      </c>
      <c r="AB431" s="27">
        <f t="shared" si="9"/>
        <v>340.6803051</v>
      </c>
      <c r="AC431" s="222" t="s">
        <v>60</v>
      </c>
      <c r="AD431" s="223" t="s">
        <v>778</v>
      </c>
      <c r="AE431" s="34"/>
      <c r="AF431" s="34"/>
      <c r="AG431" s="34"/>
      <c r="AH431" s="34"/>
    </row>
    <row r="432">
      <c r="A432" s="22" t="s">
        <v>230</v>
      </c>
      <c r="B432" s="22" t="s">
        <v>771</v>
      </c>
      <c r="C432" s="16" t="s">
        <v>57</v>
      </c>
      <c r="D432" s="22" t="s">
        <v>410</v>
      </c>
      <c r="E432" s="22"/>
      <c r="F432" s="22"/>
      <c r="G432" s="17">
        <v>0.0</v>
      </c>
      <c r="H432" s="17">
        <v>23.5</v>
      </c>
      <c r="I432" s="19">
        <f t="shared" ref="I432:I437" si="77">J432/H432</f>
        <v>0.7787234043</v>
      </c>
      <c r="J432" s="17">
        <v>18.3</v>
      </c>
      <c r="K432" s="177">
        <v>3.43</v>
      </c>
      <c r="L432" s="177">
        <v>1.975</v>
      </c>
      <c r="M432" s="17">
        <v>15.0</v>
      </c>
      <c r="N432" s="176"/>
      <c r="O432" s="68" t="s">
        <v>60</v>
      </c>
      <c r="P432" s="23">
        <v>12126.0</v>
      </c>
      <c r="Q432" s="22" t="s">
        <v>234</v>
      </c>
      <c r="R432" s="130">
        <v>2019.0</v>
      </c>
      <c r="S432" s="136">
        <v>0.238</v>
      </c>
      <c r="T432" s="118">
        <f t="shared" si="76"/>
        <v>2885.988</v>
      </c>
      <c r="U432" s="24">
        <f t="shared" si="3"/>
        <v>122.808</v>
      </c>
      <c r="V432" s="3">
        <f t="shared" si="28"/>
        <v>0</v>
      </c>
      <c r="W432" s="3">
        <f t="shared" si="29"/>
        <v>0</v>
      </c>
      <c r="X432" s="3">
        <f t="shared" si="30"/>
        <v>0</v>
      </c>
      <c r="Y432" s="25">
        <f t="shared" si="31"/>
        <v>0</v>
      </c>
      <c r="Z432" s="26">
        <f>VLOOKUP(R432,CPI!$A$2:$F$71,6,0)</f>
        <v>1.259947899</v>
      </c>
      <c r="AA432" s="27">
        <f t="shared" si="8"/>
        <v>3636.194517</v>
      </c>
      <c r="AB432" s="27">
        <f t="shared" si="9"/>
        <v>154.7316816</v>
      </c>
      <c r="AC432" s="26" t="s">
        <v>60</v>
      </c>
      <c r="AD432" s="129" t="s">
        <v>774</v>
      </c>
      <c r="AE432" s="178"/>
      <c r="AF432" s="172"/>
      <c r="AG432" s="172"/>
      <c r="AH432" s="172"/>
    </row>
    <row r="433">
      <c r="A433" s="22" t="s">
        <v>230</v>
      </c>
      <c r="B433" s="22" t="s">
        <v>771</v>
      </c>
      <c r="C433" s="22" t="s">
        <v>54</v>
      </c>
      <c r="D433" s="22" t="s">
        <v>54</v>
      </c>
      <c r="E433" s="22"/>
      <c r="F433" s="22"/>
      <c r="G433" s="17">
        <v>0.0</v>
      </c>
      <c r="H433" s="17">
        <v>35.8</v>
      </c>
      <c r="I433" s="19">
        <f t="shared" si="77"/>
        <v>1</v>
      </c>
      <c r="J433" s="17">
        <f>H433</f>
        <v>35.8</v>
      </c>
      <c r="K433" s="177">
        <v>0.0</v>
      </c>
      <c r="L433" s="177">
        <v>0.0</v>
      </c>
      <c r="M433" s="17">
        <v>29.0</v>
      </c>
      <c r="N433" s="176"/>
      <c r="O433" s="68" t="s">
        <v>60</v>
      </c>
      <c r="P433" s="23">
        <v>17787.0</v>
      </c>
      <c r="Q433" s="22" t="s">
        <v>234</v>
      </c>
      <c r="R433" s="130">
        <v>2019.0</v>
      </c>
      <c r="S433" s="136">
        <v>0.238</v>
      </c>
      <c r="T433" s="118">
        <f t="shared" si="76"/>
        <v>4233.306</v>
      </c>
      <c r="U433" s="24">
        <f t="shared" si="3"/>
        <v>118.2487709</v>
      </c>
      <c r="V433" s="3">
        <f t="shared" si="28"/>
        <v>0</v>
      </c>
      <c r="W433" s="3">
        <f t="shared" si="29"/>
        <v>0</v>
      </c>
      <c r="X433" s="3">
        <f t="shared" si="30"/>
        <v>0</v>
      </c>
      <c r="Y433" s="25">
        <f t="shared" si="31"/>
        <v>0</v>
      </c>
      <c r="Z433" s="26">
        <f>VLOOKUP(R433,CPI!$A$2:$F$71,6,0)</f>
        <v>1.259947899</v>
      </c>
      <c r="AA433" s="27">
        <f t="shared" si="8"/>
        <v>5333.745</v>
      </c>
      <c r="AB433" s="27">
        <f t="shared" si="9"/>
        <v>148.9872905</v>
      </c>
      <c r="AC433" s="26" t="s">
        <v>60</v>
      </c>
      <c r="AD433" s="129" t="s">
        <v>774</v>
      </c>
      <c r="AE433" s="178"/>
      <c r="AF433" s="172"/>
      <c r="AG433" s="172"/>
      <c r="AH433" s="172"/>
    </row>
    <row r="434">
      <c r="A434" s="22" t="s">
        <v>230</v>
      </c>
      <c r="B434" s="22" t="s">
        <v>771</v>
      </c>
      <c r="C434" s="36" t="s">
        <v>87</v>
      </c>
      <c r="D434" s="22" t="s">
        <v>87</v>
      </c>
      <c r="E434" s="22"/>
      <c r="F434" s="22"/>
      <c r="G434" s="17">
        <v>0.0</v>
      </c>
      <c r="H434" s="17">
        <v>41.5</v>
      </c>
      <c r="I434" s="19">
        <f t="shared" si="77"/>
        <v>0.4462650602</v>
      </c>
      <c r="J434" s="17">
        <v>18.52</v>
      </c>
      <c r="K434" s="177">
        <v>23.24</v>
      </c>
      <c r="L434" s="177">
        <v>0.0</v>
      </c>
      <c r="M434" s="17">
        <v>30.0</v>
      </c>
      <c r="N434" s="176"/>
      <c r="O434" s="68" t="s">
        <v>60</v>
      </c>
      <c r="P434" s="23">
        <v>16858.0</v>
      </c>
      <c r="Q434" s="22" t="s">
        <v>234</v>
      </c>
      <c r="R434" s="130">
        <v>2019.0</v>
      </c>
      <c r="S434" s="136">
        <v>0.238</v>
      </c>
      <c r="T434" s="118">
        <f t="shared" si="76"/>
        <v>4012.204</v>
      </c>
      <c r="U434" s="24">
        <f t="shared" si="3"/>
        <v>96.67961446</v>
      </c>
      <c r="V434" s="3">
        <f t="shared" si="28"/>
        <v>0</v>
      </c>
      <c r="W434" s="3">
        <f t="shared" si="29"/>
        <v>0</v>
      </c>
      <c r="X434" s="3">
        <f t="shared" si="30"/>
        <v>0</v>
      </c>
      <c r="Y434" s="25">
        <f t="shared" si="31"/>
        <v>0</v>
      </c>
      <c r="Z434" s="26">
        <f>VLOOKUP(R434,CPI!$A$2:$F$71,6,0)</f>
        <v>1.259947899</v>
      </c>
      <c r="AA434" s="27">
        <f t="shared" si="8"/>
        <v>5055.168</v>
      </c>
      <c r="AB434" s="27">
        <f t="shared" si="9"/>
        <v>121.8112771</v>
      </c>
      <c r="AC434" s="26" t="s">
        <v>60</v>
      </c>
      <c r="AD434" s="129" t="s">
        <v>774</v>
      </c>
      <c r="AE434" s="130"/>
      <c r="AF434" s="130"/>
      <c r="AG434" s="130"/>
      <c r="AH434" s="130"/>
    </row>
    <row r="435">
      <c r="A435" s="22" t="s">
        <v>230</v>
      </c>
      <c r="B435" s="22" t="s">
        <v>771</v>
      </c>
      <c r="C435" s="16" t="s">
        <v>110</v>
      </c>
      <c r="D435" s="22" t="s">
        <v>358</v>
      </c>
      <c r="E435" s="22"/>
      <c r="F435" s="22"/>
      <c r="G435" s="17">
        <v>0.0</v>
      </c>
      <c r="H435" s="17">
        <v>15.94</v>
      </c>
      <c r="I435" s="19">
        <f t="shared" si="77"/>
        <v>0.3193224592</v>
      </c>
      <c r="J435" s="17">
        <v>5.09</v>
      </c>
      <c r="K435" s="177">
        <v>10.9986</v>
      </c>
      <c r="L435" s="177">
        <v>0.0</v>
      </c>
      <c r="M435" s="17">
        <v>10.0</v>
      </c>
      <c r="N435" s="176"/>
      <c r="O435" s="68" t="s">
        <v>60</v>
      </c>
      <c r="P435" s="23">
        <v>5799.0</v>
      </c>
      <c r="Q435" s="22" t="s">
        <v>234</v>
      </c>
      <c r="R435" s="130">
        <v>2019.0</v>
      </c>
      <c r="S435" s="136">
        <v>0.238</v>
      </c>
      <c r="T435" s="118">
        <f t="shared" si="76"/>
        <v>1380.162</v>
      </c>
      <c r="U435" s="24">
        <f t="shared" si="3"/>
        <v>86.58481807</v>
      </c>
      <c r="V435" s="3">
        <f t="shared" si="28"/>
        <v>0</v>
      </c>
      <c r="W435" s="3">
        <f t="shared" si="29"/>
        <v>0</v>
      </c>
      <c r="X435" s="3">
        <f t="shared" si="30"/>
        <v>0</v>
      </c>
      <c r="Y435" s="25">
        <f t="shared" si="31"/>
        <v>0</v>
      </c>
      <c r="Z435" s="26">
        <f>VLOOKUP(R435,CPI!$A$2:$F$71,6,0)</f>
        <v>1.259947899</v>
      </c>
      <c r="AA435" s="27">
        <f t="shared" si="8"/>
        <v>1738.932212</v>
      </c>
      <c r="AB435" s="27">
        <f t="shared" si="9"/>
        <v>109.0923596</v>
      </c>
      <c r="AC435" s="26" t="s">
        <v>60</v>
      </c>
      <c r="AD435" s="129" t="s">
        <v>774</v>
      </c>
      <c r="AE435" s="178"/>
      <c r="AF435" s="172"/>
      <c r="AG435" s="172"/>
      <c r="AH435" s="172"/>
    </row>
    <row r="436">
      <c r="A436" s="22" t="s">
        <v>230</v>
      </c>
      <c r="B436" s="22" t="s">
        <v>771</v>
      </c>
      <c r="C436" s="36" t="s">
        <v>84</v>
      </c>
      <c r="D436" s="22" t="s">
        <v>84</v>
      </c>
      <c r="E436" s="22"/>
      <c r="F436" s="22"/>
      <c r="G436" s="17">
        <v>0.0</v>
      </c>
      <c r="H436" s="17">
        <v>40.1</v>
      </c>
      <c r="I436" s="19">
        <f t="shared" si="77"/>
        <v>0.8927680798</v>
      </c>
      <c r="J436" s="17">
        <v>35.8</v>
      </c>
      <c r="K436" s="177">
        <v>4.411</v>
      </c>
      <c r="L436" s="177">
        <v>0.0</v>
      </c>
      <c r="M436" s="17">
        <v>27.0</v>
      </c>
      <c r="N436" s="176"/>
      <c r="O436" s="68" t="s">
        <v>60</v>
      </c>
      <c r="P436" s="23">
        <v>20558.0</v>
      </c>
      <c r="Q436" s="22" t="s">
        <v>234</v>
      </c>
      <c r="R436" s="130">
        <v>2019.0</v>
      </c>
      <c r="S436" s="136">
        <v>0.238</v>
      </c>
      <c r="T436" s="118">
        <f t="shared" si="76"/>
        <v>4892.804</v>
      </c>
      <c r="U436" s="24">
        <f t="shared" si="3"/>
        <v>122.0150623</v>
      </c>
      <c r="V436" s="3">
        <f t="shared" si="28"/>
        <v>0</v>
      </c>
      <c r="W436" s="3">
        <f t="shared" si="29"/>
        <v>0</v>
      </c>
      <c r="X436" s="3">
        <f t="shared" si="30"/>
        <v>0</v>
      </c>
      <c r="Y436" s="25">
        <f t="shared" si="31"/>
        <v>0</v>
      </c>
      <c r="Z436" s="26">
        <f>VLOOKUP(R436,CPI!$A$2:$F$71,6,0)</f>
        <v>1.259947899</v>
      </c>
      <c r="AA436" s="27">
        <f t="shared" si="8"/>
        <v>6164.67812</v>
      </c>
      <c r="AB436" s="27">
        <f t="shared" si="9"/>
        <v>153.7326214</v>
      </c>
      <c r="AC436" s="26" t="s">
        <v>60</v>
      </c>
      <c r="AD436" s="129" t="s">
        <v>774</v>
      </c>
      <c r="AE436" s="178"/>
      <c r="AF436" s="172"/>
      <c r="AG436" s="172"/>
      <c r="AH436" s="172"/>
    </row>
    <row r="437">
      <c r="A437" s="22" t="s">
        <v>230</v>
      </c>
      <c r="B437" s="22" t="s">
        <v>771</v>
      </c>
      <c r="C437" s="22" t="s">
        <v>253</v>
      </c>
      <c r="D437" s="22" t="s">
        <v>253</v>
      </c>
      <c r="E437" s="22"/>
      <c r="F437" s="22"/>
      <c r="G437" s="17">
        <v>0.0</v>
      </c>
      <c r="H437" s="17">
        <v>25.33</v>
      </c>
      <c r="I437" s="19">
        <f t="shared" si="77"/>
        <v>1</v>
      </c>
      <c r="J437" s="17">
        <f>H437</f>
        <v>25.33</v>
      </c>
      <c r="K437" s="177">
        <v>0.0</v>
      </c>
      <c r="L437" s="177">
        <v>0.0</v>
      </c>
      <c r="M437" s="17">
        <v>22.0</v>
      </c>
      <c r="N437" s="176"/>
      <c r="O437" s="68" t="s">
        <v>60</v>
      </c>
      <c r="P437" s="23">
        <v>22371.0</v>
      </c>
      <c r="Q437" s="22" t="s">
        <v>234</v>
      </c>
      <c r="R437" s="130">
        <v>2019.0</v>
      </c>
      <c r="S437" s="136">
        <v>0.238</v>
      </c>
      <c r="T437" s="118">
        <f t="shared" si="76"/>
        <v>5324.298</v>
      </c>
      <c r="U437" s="24">
        <f t="shared" si="3"/>
        <v>210.1973154</v>
      </c>
      <c r="V437" s="3">
        <f t="shared" si="28"/>
        <v>0</v>
      </c>
      <c r="W437" s="3">
        <f t="shared" si="29"/>
        <v>0</v>
      </c>
      <c r="X437" s="3">
        <f t="shared" si="30"/>
        <v>0</v>
      </c>
      <c r="Y437" s="25">
        <f t="shared" si="31"/>
        <v>0</v>
      </c>
      <c r="Z437" s="26">
        <f>VLOOKUP(R437,CPI!$A$2:$F$71,6,0)</f>
        <v>1.259947899</v>
      </c>
      <c r="AA437" s="27">
        <f t="shared" si="8"/>
        <v>6708.338078</v>
      </c>
      <c r="AB437" s="27">
        <f t="shared" si="9"/>
        <v>264.8376659</v>
      </c>
      <c r="AC437" s="26" t="s">
        <v>60</v>
      </c>
      <c r="AD437" s="129" t="s">
        <v>774</v>
      </c>
      <c r="AE437" s="178"/>
      <c r="AF437" s="172"/>
      <c r="AG437" s="172"/>
      <c r="AH437" s="172"/>
    </row>
    <row r="438">
      <c r="A438" s="114" t="s">
        <v>230</v>
      </c>
      <c r="B438" s="114" t="s">
        <v>806</v>
      </c>
      <c r="C438" s="114" t="s">
        <v>324</v>
      </c>
      <c r="D438" s="114" t="s">
        <v>324</v>
      </c>
      <c r="E438" s="116">
        <v>2012.0</v>
      </c>
      <c r="F438" s="116">
        <v>2020.0</v>
      </c>
      <c r="G438" s="116">
        <v>0.0</v>
      </c>
      <c r="H438" s="116">
        <v>59.6</v>
      </c>
      <c r="I438" s="117">
        <v>1.0</v>
      </c>
      <c r="J438" s="116">
        <v>59.6</v>
      </c>
      <c r="K438" s="114"/>
      <c r="L438" s="114"/>
      <c r="M438" s="116">
        <v>52.0</v>
      </c>
      <c r="N438" s="116">
        <v>138.0</v>
      </c>
      <c r="O438" s="114"/>
      <c r="P438" s="140">
        <v>42190.0</v>
      </c>
      <c r="Q438" s="114" t="s">
        <v>234</v>
      </c>
      <c r="R438" s="115">
        <v>2016.0</v>
      </c>
      <c r="S438" s="85">
        <v>0.251</v>
      </c>
      <c r="T438" s="118">
        <f t="shared" si="76"/>
        <v>10589.69</v>
      </c>
      <c r="U438" s="24">
        <f t="shared" si="3"/>
        <v>177.6793624</v>
      </c>
      <c r="V438" s="3">
        <f t="shared" si="28"/>
        <v>0</v>
      </c>
      <c r="W438" s="3">
        <f t="shared" si="29"/>
        <v>0</v>
      </c>
      <c r="X438" s="3">
        <f t="shared" si="30"/>
        <v>0</v>
      </c>
      <c r="Y438" s="25">
        <f t="shared" si="31"/>
        <v>0</v>
      </c>
      <c r="Z438" s="26">
        <f>VLOOKUP(R438,CPI!$A$2:$F$71,6,0)</f>
        <v>1.342104605</v>
      </c>
      <c r="AA438" s="27">
        <f t="shared" si="8"/>
        <v>14212.47172</v>
      </c>
      <c r="AB438" s="27">
        <f t="shared" si="9"/>
        <v>238.4642906</v>
      </c>
      <c r="AC438" s="114"/>
      <c r="AD438" s="119" t="s">
        <v>807</v>
      </c>
      <c r="AE438" s="114"/>
      <c r="AF438" s="114"/>
      <c r="AG438" s="114"/>
      <c r="AH438" s="114"/>
    </row>
    <row r="439">
      <c r="A439" s="114" t="s">
        <v>230</v>
      </c>
      <c r="B439" s="114" t="s">
        <v>806</v>
      </c>
      <c r="C439" s="115" t="s">
        <v>57</v>
      </c>
      <c r="D439" s="115" t="s">
        <v>410</v>
      </c>
      <c r="E439" s="116">
        <v>2012.0</v>
      </c>
      <c r="F439" s="116">
        <v>2021.0</v>
      </c>
      <c r="G439" s="116">
        <v>0.0</v>
      </c>
      <c r="H439" s="116">
        <v>12.7</v>
      </c>
      <c r="I439" s="117">
        <v>1.0</v>
      </c>
      <c r="J439" s="116">
        <v>12.7</v>
      </c>
      <c r="K439" s="114"/>
      <c r="L439" s="114"/>
      <c r="M439" s="116">
        <v>7.0</v>
      </c>
      <c r="N439" s="116">
        <v>138.0</v>
      </c>
      <c r="O439" s="114"/>
      <c r="P439" s="140">
        <v>7731.0</v>
      </c>
      <c r="Q439" s="114" t="s">
        <v>234</v>
      </c>
      <c r="R439" s="115">
        <v>2016.0</v>
      </c>
      <c r="S439" s="85">
        <v>0.251</v>
      </c>
      <c r="T439" s="118">
        <f t="shared" si="76"/>
        <v>1940.481</v>
      </c>
      <c r="U439" s="24">
        <f t="shared" si="3"/>
        <v>152.7937795</v>
      </c>
      <c r="V439" s="3">
        <f t="shared" si="28"/>
        <v>0</v>
      </c>
      <c r="W439" s="3">
        <f t="shared" si="29"/>
        <v>0</v>
      </c>
      <c r="X439" s="3">
        <f t="shared" si="30"/>
        <v>0</v>
      </c>
      <c r="Y439" s="25">
        <f t="shared" si="31"/>
        <v>0</v>
      </c>
      <c r="Z439" s="26">
        <f>VLOOKUP(R439,CPI!$A$2:$F$71,6,0)</f>
        <v>1.342104605</v>
      </c>
      <c r="AA439" s="27">
        <f t="shared" si="8"/>
        <v>2604.328487</v>
      </c>
      <c r="AB439" s="27">
        <f t="shared" si="9"/>
        <v>205.0652352</v>
      </c>
      <c r="AC439" s="114"/>
      <c r="AD439" s="119" t="s">
        <v>808</v>
      </c>
      <c r="AE439" s="119" t="s">
        <v>809</v>
      </c>
    </row>
    <row r="440">
      <c r="A440" s="114" t="s">
        <v>230</v>
      </c>
      <c r="B440" s="114" t="s">
        <v>806</v>
      </c>
      <c r="C440" s="115" t="s">
        <v>87</v>
      </c>
      <c r="D440" s="115" t="s">
        <v>357</v>
      </c>
      <c r="E440" s="116">
        <v>2012.0</v>
      </c>
      <c r="F440" s="116">
        <v>2021.0</v>
      </c>
      <c r="G440" s="116">
        <v>0.0</v>
      </c>
      <c r="H440" s="116">
        <v>8.1</v>
      </c>
      <c r="I440" s="117">
        <v>1.0</v>
      </c>
      <c r="J440" s="116">
        <v>8.1</v>
      </c>
      <c r="K440" s="114"/>
      <c r="L440" s="114"/>
      <c r="M440" s="116">
        <v>5.0</v>
      </c>
      <c r="N440" s="116">
        <v>138.0</v>
      </c>
      <c r="O440" s="114"/>
      <c r="P440" s="140">
        <v>5465.0</v>
      </c>
      <c r="Q440" s="114" t="s">
        <v>234</v>
      </c>
      <c r="R440" s="115">
        <v>2016.0</v>
      </c>
      <c r="S440" s="85">
        <v>0.251</v>
      </c>
      <c r="T440" s="118">
        <f t="shared" si="76"/>
        <v>1371.715</v>
      </c>
      <c r="U440" s="24">
        <f t="shared" si="3"/>
        <v>169.3475309</v>
      </c>
      <c r="V440" s="3">
        <f t="shared" si="28"/>
        <v>0</v>
      </c>
      <c r="W440" s="3">
        <f t="shared" si="29"/>
        <v>0</v>
      </c>
      <c r="X440" s="3">
        <f t="shared" si="30"/>
        <v>0</v>
      </c>
      <c r="Y440" s="25">
        <f t="shared" si="31"/>
        <v>0</v>
      </c>
      <c r="Z440" s="26">
        <f>VLOOKUP(R440,CPI!$A$2:$F$71,6,0)</f>
        <v>1.342104605</v>
      </c>
      <c r="AA440" s="27">
        <f t="shared" si="8"/>
        <v>1840.985019</v>
      </c>
      <c r="AB440" s="27">
        <f t="shared" si="9"/>
        <v>227.2821011</v>
      </c>
      <c r="AC440" s="114"/>
      <c r="AD440" s="119" t="s">
        <v>810</v>
      </c>
      <c r="AE440" s="167" t="s">
        <v>809</v>
      </c>
      <c r="AF440" s="168"/>
      <c r="AG440" s="168"/>
      <c r="AH440" s="169"/>
    </row>
    <row r="441">
      <c r="A441" s="114" t="s">
        <v>230</v>
      </c>
      <c r="B441" s="114" t="s">
        <v>806</v>
      </c>
      <c r="C441" s="114" t="s">
        <v>110</v>
      </c>
      <c r="D441" s="114" t="s">
        <v>110</v>
      </c>
      <c r="E441" s="116">
        <v>2020.0</v>
      </c>
      <c r="F441" s="114"/>
      <c r="G441" s="116">
        <v>0.0</v>
      </c>
      <c r="H441" s="116">
        <v>24.4</v>
      </c>
      <c r="I441" s="117">
        <v>1.0</v>
      </c>
      <c r="J441" s="116">
        <v>24.4</v>
      </c>
      <c r="K441" s="114"/>
      <c r="L441" s="114"/>
      <c r="M441" s="116">
        <v>21.0</v>
      </c>
      <c r="N441" s="116"/>
      <c r="O441" s="114"/>
      <c r="P441" s="140">
        <v>17201.0</v>
      </c>
      <c r="Q441" s="114" t="s">
        <v>234</v>
      </c>
      <c r="R441" s="115">
        <v>2020.0</v>
      </c>
      <c r="S441" s="136">
        <v>0.239</v>
      </c>
      <c r="T441" s="118">
        <f t="shared" si="76"/>
        <v>4111.039</v>
      </c>
      <c r="U441" s="24">
        <f t="shared" si="3"/>
        <v>168.4852049</v>
      </c>
      <c r="V441" s="3">
        <f t="shared" si="28"/>
        <v>0</v>
      </c>
      <c r="W441" s="3">
        <f t="shared" si="29"/>
        <v>0</v>
      </c>
      <c r="X441" s="3">
        <f t="shared" si="30"/>
        <v>0</v>
      </c>
      <c r="Y441" s="25">
        <f t="shared" si="31"/>
        <v>0</v>
      </c>
      <c r="Z441" s="26">
        <f>VLOOKUP(R441,CPI!$A$2:$F$71,6,0)</f>
        <v>1.244593545</v>
      </c>
      <c r="AA441" s="27">
        <f t="shared" si="8"/>
        <v>5116.572603</v>
      </c>
      <c r="AB441" s="27">
        <f t="shared" si="9"/>
        <v>209.6955985</v>
      </c>
      <c r="AC441" s="72" t="s">
        <v>36</v>
      </c>
      <c r="AD441" s="119" t="s">
        <v>811</v>
      </c>
      <c r="AE441" s="7"/>
      <c r="AF441" s="7"/>
      <c r="AG441" s="7"/>
      <c r="AH441" s="7"/>
    </row>
    <row r="442">
      <c r="A442" s="114" t="s">
        <v>230</v>
      </c>
      <c r="B442" s="114" t="s">
        <v>806</v>
      </c>
      <c r="C442" s="16" t="s">
        <v>80</v>
      </c>
      <c r="D442" s="115" t="s">
        <v>255</v>
      </c>
      <c r="E442" s="116">
        <v>2020.0</v>
      </c>
      <c r="F442" s="114"/>
      <c r="G442" s="116">
        <v>0.0</v>
      </c>
      <c r="H442" s="116">
        <v>15.76</v>
      </c>
      <c r="I442" s="117">
        <v>1.0</v>
      </c>
      <c r="J442" s="116">
        <v>15.76</v>
      </c>
      <c r="K442" s="114"/>
      <c r="L442" s="114"/>
      <c r="M442" s="116">
        <v>11.0</v>
      </c>
      <c r="N442" s="116"/>
      <c r="O442" s="114"/>
      <c r="P442" s="140">
        <v>10063.0</v>
      </c>
      <c r="Q442" s="114" t="s">
        <v>234</v>
      </c>
      <c r="R442" s="115">
        <v>2020.0</v>
      </c>
      <c r="S442" s="136">
        <v>0.239</v>
      </c>
      <c r="T442" s="118">
        <f t="shared" si="76"/>
        <v>2405.057</v>
      </c>
      <c r="U442" s="24">
        <f t="shared" si="3"/>
        <v>152.6051396</v>
      </c>
      <c r="V442" s="3">
        <f t="shared" si="28"/>
        <v>0</v>
      </c>
      <c r="W442" s="3">
        <f t="shared" si="29"/>
        <v>0</v>
      </c>
      <c r="X442" s="3">
        <f t="shared" si="30"/>
        <v>0</v>
      </c>
      <c r="Y442" s="25">
        <f t="shared" si="31"/>
        <v>0</v>
      </c>
      <c r="Z442" s="26">
        <f>VLOOKUP(R442,CPI!$A$2:$F$71,6,0)</f>
        <v>1.244593545</v>
      </c>
      <c r="AA442" s="27">
        <f t="shared" si="8"/>
        <v>2993.318418</v>
      </c>
      <c r="AB442" s="27">
        <f t="shared" si="9"/>
        <v>189.9313717</v>
      </c>
      <c r="AC442" s="72" t="s">
        <v>36</v>
      </c>
      <c r="AD442" s="119" t="s">
        <v>812</v>
      </c>
      <c r="AE442" s="173"/>
      <c r="AF442" s="174"/>
      <c r="AG442" s="174"/>
      <c r="AH442" s="174"/>
    </row>
    <row r="443">
      <c r="A443" s="114" t="s">
        <v>230</v>
      </c>
      <c r="B443" s="114" t="s">
        <v>813</v>
      </c>
      <c r="C443" s="114" t="s">
        <v>54</v>
      </c>
      <c r="D443" s="114" t="s">
        <v>54</v>
      </c>
      <c r="E443" s="116">
        <v>2009.0</v>
      </c>
      <c r="F443" s="116">
        <v>2014.0</v>
      </c>
      <c r="G443" s="116">
        <v>0.0</v>
      </c>
      <c r="H443" s="116">
        <v>26.557</v>
      </c>
      <c r="I443" s="117">
        <v>0.7</v>
      </c>
      <c r="J443" s="116">
        <v>18.709</v>
      </c>
      <c r="K443" s="114"/>
      <c r="L443" s="114"/>
      <c r="M443" s="116">
        <v>22.0</v>
      </c>
      <c r="N443" s="116">
        <v>117.0</v>
      </c>
      <c r="O443" s="114"/>
      <c r="P443" s="140">
        <v>15600.0</v>
      </c>
      <c r="Q443" s="114" t="s">
        <v>234</v>
      </c>
      <c r="R443" s="115">
        <v>2012.0</v>
      </c>
      <c r="S443" s="85">
        <v>0.281</v>
      </c>
      <c r="T443" s="118">
        <f t="shared" si="76"/>
        <v>4383.6</v>
      </c>
      <c r="U443" s="24">
        <f t="shared" si="3"/>
        <v>165.063825</v>
      </c>
      <c r="V443" s="3">
        <f t="shared" si="28"/>
        <v>0</v>
      </c>
      <c r="W443" s="3">
        <f t="shared" si="29"/>
        <v>0</v>
      </c>
      <c r="X443" s="3">
        <f t="shared" si="30"/>
        <v>0</v>
      </c>
      <c r="Y443" s="25">
        <f t="shared" si="31"/>
        <v>0</v>
      </c>
      <c r="Z443" s="26">
        <f>VLOOKUP(R443,CPI!$A$2:$F$71,6,0)</f>
        <v>1.402974381</v>
      </c>
      <c r="AA443" s="27">
        <f t="shared" si="8"/>
        <v>6150.078496</v>
      </c>
      <c r="AB443" s="27">
        <f t="shared" si="9"/>
        <v>231.5803177</v>
      </c>
      <c r="AC443" s="114"/>
      <c r="AD443" s="119" t="s">
        <v>814</v>
      </c>
      <c r="AE443" s="164"/>
      <c r="AF443" s="165"/>
      <c r="AG443" s="165"/>
      <c r="AH443" s="165"/>
    </row>
    <row r="444">
      <c r="A444" s="114" t="s">
        <v>230</v>
      </c>
      <c r="B444" s="114" t="s">
        <v>813</v>
      </c>
      <c r="C444" s="114" t="s">
        <v>84</v>
      </c>
      <c r="D444" s="114" t="s">
        <v>84</v>
      </c>
      <c r="E444" s="116">
        <v>2020.0</v>
      </c>
      <c r="F444" s="114"/>
      <c r="G444" s="116">
        <v>0.0</v>
      </c>
      <c r="H444" s="116">
        <v>44.1</v>
      </c>
      <c r="I444" s="117">
        <v>0.99</v>
      </c>
      <c r="J444" s="116">
        <v>43.6</v>
      </c>
      <c r="K444" s="114"/>
      <c r="L444" s="114"/>
      <c r="M444" s="116">
        <v>34.0</v>
      </c>
      <c r="N444" s="116">
        <v>117.0</v>
      </c>
      <c r="O444" s="114"/>
      <c r="P444" s="140">
        <v>28308.0</v>
      </c>
      <c r="Q444" s="114" t="s">
        <v>234</v>
      </c>
      <c r="R444" s="115">
        <v>2020.0</v>
      </c>
      <c r="S444" s="136">
        <v>0.239</v>
      </c>
      <c r="T444" s="118">
        <f t="shared" si="76"/>
        <v>6765.612</v>
      </c>
      <c r="U444" s="24">
        <f t="shared" si="3"/>
        <v>153.4152381</v>
      </c>
      <c r="V444" s="3">
        <f t="shared" si="28"/>
        <v>0</v>
      </c>
      <c r="W444" s="3">
        <f t="shared" si="29"/>
        <v>0</v>
      </c>
      <c r="X444" s="3">
        <f t="shared" si="30"/>
        <v>0</v>
      </c>
      <c r="Y444" s="25">
        <f t="shared" si="31"/>
        <v>0</v>
      </c>
      <c r="Z444" s="26">
        <f>VLOOKUP(R444,CPI!$A$2:$F$71,6,0)</f>
        <v>1.244593545</v>
      </c>
      <c r="AA444" s="27">
        <f t="shared" si="8"/>
        <v>8420.437024</v>
      </c>
      <c r="AB444" s="27">
        <f t="shared" si="9"/>
        <v>190.9396151</v>
      </c>
      <c r="AC444" s="114"/>
      <c r="AD444" s="119" t="s">
        <v>815</v>
      </c>
      <c r="AE444" s="164"/>
      <c r="AF444" s="165"/>
      <c r="AG444" s="165"/>
      <c r="AH444" s="165"/>
    </row>
    <row r="445">
      <c r="A445" s="72" t="s">
        <v>230</v>
      </c>
      <c r="B445" s="72" t="s">
        <v>813</v>
      </c>
      <c r="C445" s="72" t="s">
        <v>80</v>
      </c>
      <c r="D445" s="72" t="s">
        <v>80</v>
      </c>
      <c r="E445" s="69">
        <v>2020.0</v>
      </c>
      <c r="F445" s="72"/>
      <c r="G445" s="69">
        <v>0.0</v>
      </c>
      <c r="H445" s="69">
        <v>36.2</v>
      </c>
      <c r="I445" s="117">
        <v>1.0</v>
      </c>
      <c r="J445" s="69">
        <v>36.2</v>
      </c>
      <c r="K445" s="72"/>
      <c r="L445" s="72"/>
      <c r="M445" s="69">
        <v>31.0</v>
      </c>
      <c r="N445" s="69">
        <v>117.0</v>
      </c>
      <c r="O445" s="72"/>
      <c r="P445" s="140">
        <v>23960.0</v>
      </c>
      <c r="Q445" s="72" t="s">
        <v>234</v>
      </c>
      <c r="R445" s="115">
        <v>2020.0</v>
      </c>
      <c r="S445" s="136">
        <v>0.239</v>
      </c>
      <c r="T445" s="118">
        <f t="shared" si="76"/>
        <v>5726.44</v>
      </c>
      <c r="U445" s="24">
        <f t="shared" si="3"/>
        <v>158.1889503</v>
      </c>
      <c r="V445" s="3">
        <f t="shared" si="28"/>
        <v>0</v>
      </c>
      <c r="W445" s="3">
        <f t="shared" si="29"/>
        <v>0</v>
      </c>
      <c r="X445" s="3">
        <f t="shared" si="30"/>
        <v>0</v>
      </c>
      <c r="Y445" s="25">
        <f t="shared" si="31"/>
        <v>0</v>
      </c>
      <c r="Z445" s="26">
        <f>VLOOKUP(R445,CPI!$A$2:$F$71,6,0)</f>
        <v>1.244593545</v>
      </c>
      <c r="AA445" s="27">
        <f t="shared" si="8"/>
        <v>7127.09026</v>
      </c>
      <c r="AB445" s="27">
        <f t="shared" si="9"/>
        <v>196.8809464</v>
      </c>
      <c r="AC445" s="72" t="s">
        <v>36</v>
      </c>
      <c r="AD445" s="79" t="s">
        <v>816</v>
      </c>
      <c r="AE445" s="186"/>
      <c r="AF445" s="187"/>
      <c r="AG445" s="187"/>
      <c r="AH445" s="187"/>
    </row>
    <row r="446">
      <c r="A446" s="72" t="s">
        <v>230</v>
      </c>
      <c r="B446" s="72" t="s">
        <v>813</v>
      </c>
      <c r="C446" s="72" t="s">
        <v>228</v>
      </c>
      <c r="D446" s="72" t="s">
        <v>228</v>
      </c>
      <c r="E446" s="69">
        <v>2021.0</v>
      </c>
      <c r="F446" s="72"/>
      <c r="G446" s="69">
        <v>0.0</v>
      </c>
      <c r="H446" s="69">
        <v>29.6</v>
      </c>
      <c r="I446" s="117">
        <v>1.0</v>
      </c>
      <c r="J446" s="69">
        <v>29.6</v>
      </c>
      <c r="K446" s="72"/>
      <c r="L446" s="72"/>
      <c r="M446" s="69">
        <v>25.0</v>
      </c>
      <c r="N446" s="69">
        <v>117.0</v>
      </c>
      <c r="O446" s="72"/>
      <c r="P446" s="140">
        <v>21993.0</v>
      </c>
      <c r="Q446" s="72" t="s">
        <v>234</v>
      </c>
      <c r="R446" s="115">
        <v>2021.0</v>
      </c>
      <c r="S446" s="136">
        <v>0.239</v>
      </c>
      <c r="T446" s="118">
        <f t="shared" si="76"/>
        <v>5256.327</v>
      </c>
      <c r="U446" s="24">
        <f t="shared" si="3"/>
        <v>177.5786149</v>
      </c>
      <c r="V446" s="3">
        <f t="shared" si="28"/>
        <v>0</v>
      </c>
      <c r="W446" s="3">
        <f t="shared" si="29"/>
        <v>0</v>
      </c>
      <c r="X446" s="3">
        <f t="shared" si="30"/>
        <v>0</v>
      </c>
      <c r="Y446" s="25">
        <f t="shared" si="31"/>
        <v>0</v>
      </c>
      <c r="Z446" s="26">
        <f>VLOOKUP(R446,CPI!$A$2:$F$71,6,0)</f>
        <v>1.188745987</v>
      </c>
      <c r="AA446" s="27">
        <f t="shared" si="8"/>
        <v>6248.437626</v>
      </c>
      <c r="AB446" s="27">
        <f t="shared" si="9"/>
        <v>211.0958657</v>
      </c>
      <c r="AC446" s="72" t="s">
        <v>36</v>
      </c>
      <c r="AD446" s="79" t="s">
        <v>817</v>
      </c>
      <c r="AE446" s="186"/>
      <c r="AF446" s="187"/>
      <c r="AG446" s="187"/>
      <c r="AH446" s="187"/>
    </row>
    <row r="447">
      <c r="A447" s="130" t="s">
        <v>230</v>
      </c>
      <c r="B447" s="130" t="s">
        <v>813</v>
      </c>
      <c r="C447" s="130" t="s">
        <v>243</v>
      </c>
      <c r="D447" s="130" t="s">
        <v>243</v>
      </c>
      <c r="E447" s="130"/>
      <c r="F447" s="130"/>
      <c r="G447" s="130">
        <v>0.0</v>
      </c>
      <c r="H447" s="130">
        <v>35.2</v>
      </c>
      <c r="I447" s="131">
        <v>1.0</v>
      </c>
      <c r="J447" s="130">
        <v>35.2</v>
      </c>
      <c r="K447" s="132">
        <v>0.0</v>
      </c>
      <c r="L447" s="132">
        <v>0.0</v>
      </c>
      <c r="M447" s="130">
        <v>26.0</v>
      </c>
      <c r="N447" s="138"/>
      <c r="O447" s="130" t="s">
        <v>60</v>
      </c>
      <c r="P447" s="135">
        <v>23660.0</v>
      </c>
      <c r="Q447" s="130" t="s">
        <v>234</v>
      </c>
      <c r="R447" s="130">
        <v>2018.0</v>
      </c>
      <c r="S447" s="136">
        <v>0.237</v>
      </c>
      <c r="T447" s="128">
        <f t="shared" ref="T447:T449" si="78">S447*P447</f>
        <v>5607.42</v>
      </c>
      <c r="U447" s="24">
        <f t="shared" si="3"/>
        <v>159.3017045</v>
      </c>
      <c r="V447" s="3">
        <f t="shared" si="28"/>
        <v>0</v>
      </c>
      <c r="W447" s="3">
        <f t="shared" si="29"/>
        <v>0</v>
      </c>
      <c r="X447" s="3">
        <f t="shared" si="30"/>
        <v>0</v>
      </c>
      <c r="Y447" s="25">
        <f t="shared" si="31"/>
        <v>0</v>
      </c>
      <c r="Z447" s="26">
        <f>VLOOKUP(R447,CPI!$A$2:$F$71,6,0)</f>
        <v>1.28277786</v>
      </c>
      <c r="AA447" s="27">
        <f t="shared" si="8"/>
        <v>7193.074226</v>
      </c>
      <c r="AB447" s="27">
        <f t="shared" si="9"/>
        <v>204.3486996</v>
      </c>
      <c r="AC447" s="130" t="s">
        <v>60</v>
      </c>
      <c r="AD447" s="137" t="s">
        <v>818</v>
      </c>
      <c r="AE447" s="29"/>
      <c r="AF447" s="30"/>
      <c r="AG447" s="30"/>
      <c r="AH447" s="30"/>
    </row>
    <row r="448">
      <c r="A448" s="130" t="s">
        <v>230</v>
      </c>
      <c r="B448" s="130" t="s">
        <v>813</v>
      </c>
      <c r="C448" s="130" t="s">
        <v>819</v>
      </c>
      <c r="D448" s="130" t="s">
        <v>819</v>
      </c>
      <c r="E448" s="130"/>
      <c r="F448" s="130"/>
      <c r="G448" s="130">
        <v>0.0</v>
      </c>
      <c r="H448" s="130">
        <v>41.0</v>
      </c>
      <c r="I448" s="131"/>
      <c r="J448" s="130"/>
      <c r="K448" s="132" t="e">
        <v>#N/A</v>
      </c>
      <c r="L448" s="132" t="e">
        <v>#N/A</v>
      </c>
      <c r="M448" s="130">
        <v>27.0</v>
      </c>
      <c r="N448" s="138"/>
      <c r="O448" s="130" t="s">
        <v>60</v>
      </c>
      <c r="P448" s="135">
        <v>27370.0</v>
      </c>
      <c r="Q448" s="130" t="s">
        <v>234</v>
      </c>
      <c r="R448" s="130">
        <v>2018.0</v>
      </c>
      <c r="S448" s="136">
        <v>0.237</v>
      </c>
      <c r="T448" s="128">
        <f t="shared" si="78"/>
        <v>6486.69</v>
      </c>
      <c r="U448" s="24">
        <f t="shared" si="3"/>
        <v>158.2119512</v>
      </c>
      <c r="V448" s="3">
        <f t="shared" si="28"/>
        <v>0</v>
      </c>
      <c r="W448" s="3">
        <f t="shared" si="29"/>
        <v>0</v>
      </c>
      <c r="X448" s="3">
        <f t="shared" si="30"/>
        <v>0</v>
      </c>
      <c r="Y448" s="25">
        <f t="shared" si="31"/>
        <v>0</v>
      </c>
      <c r="Z448" s="26">
        <f>VLOOKUP(R448,CPI!$A$2:$F$71,6,0)</f>
        <v>1.28277786</v>
      </c>
      <c r="AA448" s="27">
        <f t="shared" si="8"/>
        <v>8320.982314</v>
      </c>
      <c r="AB448" s="27">
        <f t="shared" si="9"/>
        <v>202.9507882</v>
      </c>
      <c r="AC448" s="130" t="s">
        <v>60</v>
      </c>
      <c r="AD448" s="137" t="s">
        <v>818</v>
      </c>
      <c r="AE448" s="29"/>
      <c r="AF448" s="30"/>
      <c r="AG448" s="30"/>
      <c r="AH448" s="30"/>
    </row>
    <row r="449">
      <c r="A449" s="130" t="s">
        <v>230</v>
      </c>
      <c r="B449" s="130" t="s">
        <v>820</v>
      </c>
      <c r="C449" s="16" t="s">
        <v>54</v>
      </c>
      <c r="D449" s="130" t="s">
        <v>348</v>
      </c>
      <c r="E449" s="130">
        <v>2012.0</v>
      </c>
      <c r="F449" s="130">
        <v>2016.0</v>
      </c>
      <c r="G449" s="130">
        <v>0.0</v>
      </c>
      <c r="H449" s="130">
        <v>25.1</v>
      </c>
      <c r="I449" s="131"/>
      <c r="J449" s="130"/>
      <c r="K449" s="132" t="e">
        <v>#N/A</v>
      </c>
      <c r="L449" s="132" t="e">
        <v>#N/A</v>
      </c>
      <c r="M449" s="130">
        <v>22.0</v>
      </c>
      <c r="N449" s="138"/>
      <c r="O449" s="130" t="s">
        <v>60</v>
      </c>
      <c r="P449" s="135">
        <v>15139.0</v>
      </c>
      <c r="Q449" s="130" t="s">
        <v>234</v>
      </c>
      <c r="R449" s="130">
        <v>2012.0</v>
      </c>
      <c r="S449" s="136">
        <v>0.2808</v>
      </c>
      <c r="T449" s="128">
        <f t="shared" si="78"/>
        <v>4251.0312</v>
      </c>
      <c r="U449" s="24">
        <f t="shared" si="3"/>
        <v>169.3637928</v>
      </c>
      <c r="V449" s="3">
        <f t="shared" si="28"/>
        <v>0</v>
      </c>
      <c r="W449" s="3">
        <f t="shared" si="29"/>
        <v>0</v>
      </c>
      <c r="X449" s="3">
        <f t="shared" si="30"/>
        <v>0</v>
      </c>
      <c r="Y449" s="25">
        <f t="shared" si="31"/>
        <v>0</v>
      </c>
      <c r="Z449" s="26">
        <f>VLOOKUP(R449,CPI!$A$2:$F$71,6,0)</f>
        <v>1.402974381</v>
      </c>
      <c r="AA449" s="27">
        <f t="shared" si="8"/>
        <v>5964.087866</v>
      </c>
      <c r="AB449" s="27">
        <f t="shared" si="9"/>
        <v>237.6130624</v>
      </c>
      <c r="AC449" s="130" t="s">
        <v>42</v>
      </c>
      <c r="AD449" s="137" t="s">
        <v>821</v>
      </c>
      <c r="AE449" s="34"/>
      <c r="AF449" s="34"/>
      <c r="AG449" s="34"/>
      <c r="AH449" s="34"/>
    </row>
    <row r="450">
      <c r="A450" s="114" t="s">
        <v>230</v>
      </c>
      <c r="B450" s="114" t="s">
        <v>820</v>
      </c>
      <c r="C450" s="114" t="s">
        <v>87</v>
      </c>
      <c r="D450" s="114" t="s">
        <v>87</v>
      </c>
      <c r="E450" s="116">
        <v>2018.0</v>
      </c>
      <c r="F450" s="114"/>
      <c r="G450" s="116">
        <v>0.0</v>
      </c>
      <c r="H450" s="116">
        <v>30.523</v>
      </c>
      <c r="I450" s="117">
        <v>1.0</v>
      </c>
      <c r="J450" s="116">
        <v>30.523</v>
      </c>
      <c r="K450" s="114"/>
      <c r="L450" s="114"/>
      <c r="M450" s="116">
        <v>25.0</v>
      </c>
      <c r="N450" s="116">
        <v>138.0</v>
      </c>
      <c r="O450" s="114"/>
      <c r="P450" s="140">
        <v>24300.0</v>
      </c>
      <c r="Q450" s="114" t="s">
        <v>234</v>
      </c>
      <c r="R450" s="115">
        <v>2018.0</v>
      </c>
      <c r="S450" s="85">
        <v>0.237</v>
      </c>
      <c r="T450" s="118">
        <f t="shared" ref="T450:T456" si="79">P450*S450</f>
        <v>5759.1</v>
      </c>
      <c r="U450" s="24">
        <f t="shared" si="3"/>
        <v>188.680667</v>
      </c>
      <c r="V450" s="3">
        <f t="shared" si="28"/>
        <v>0</v>
      </c>
      <c r="W450" s="3">
        <f t="shared" si="29"/>
        <v>0</v>
      </c>
      <c r="X450" s="3">
        <f t="shared" si="30"/>
        <v>0</v>
      </c>
      <c r="Y450" s="25">
        <f t="shared" si="31"/>
        <v>0</v>
      </c>
      <c r="Z450" s="26">
        <f>VLOOKUP(R450,CPI!$A$2:$F$71,6,0)</f>
        <v>1.28277786</v>
      </c>
      <c r="AA450" s="27">
        <f t="shared" si="8"/>
        <v>7387.645971</v>
      </c>
      <c r="AB450" s="27">
        <f t="shared" si="9"/>
        <v>242.0353822</v>
      </c>
      <c r="AC450" s="114"/>
      <c r="AD450" s="119" t="s">
        <v>822</v>
      </c>
      <c r="AE450" s="164"/>
      <c r="AF450" s="165"/>
      <c r="AG450" s="165"/>
      <c r="AH450" s="165"/>
    </row>
    <row r="451">
      <c r="A451" s="114" t="s">
        <v>230</v>
      </c>
      <c r="B451" s="114" t="s">
        <v>820</v>
      </c>
      <c r="C451" s="114" t="s">
        <v>823</v>
      </c>
      <c r="D451" s="114" t="s">
        <v>823</v>
      </c>
      <c r="E451" s="116">
        <v>2019.0</v>
      </c>
      <c r="F451" s="114"/>
      <c r="G451" s="116">
        <v>0.0</v>
      </c>
      <c r="H451" s="116">
        <v>19.86</v>
      </c>
      <c r="I451" s="117">
        <v>0.05</v>
      </c>
      <c r="J451" s="116">
        <v>0.991</v>
      </c>
      <c r="K451" s="114"/>
      <c r="L451" s="114"/>
      <c r="M451" s="116">
        <v>12.0</v>
      </c>
      <c r="N451" s="116">
        <v>78.0</v>
      </c>
      <c r="O451" s="114"/>
      <c r="P451" s="140">
        <v>8703.0</v>
      </c>
      <c r="Q451" s="114" t="s">
        <v>234</v>
      </c>
      <c r="R451" s="115">
        <v>2019.0</v>
      </c>
      <c r="S451" s="136">
        <v>0.238</v>
      </c>
      <c r="T451" s="118">
        <f t="shared" si="79"/>
        <v>2071.314</v>
      </c>
      <c r="U451" s="24">
        <f t="shared" si="3"/>
        <v>104.2957704</v>
      </c>
      <c r="V451" s="3">
        <f t="shared" si="28"/>
        <v>0</v>
      </c>
      <c r="W451" s="3">
        <f t="shared" si="29"/>
        <v>0</v>
      </c>
      <c r="X451" s="3">
        <f t="shared" si="30"/>
        <v>0</v>
      </c>
      <c r="Y451" s="25">
        <f t="shared" si="31"/>
        <v>0</v>
      </c>
      <c r="Z451" s="26">
        <f>VLOOKUP(R451,CPI!$A$2:$F$71,6,0)</f>
        <v>1.259947899</v>
      </c>
      <c r="AA451" s="27">
        <f t="shared" si="8"/>
        <v>2609.747722</v>
      </c>
      <c r="AB451" s="27">
        <f t="shared" si="9"/>
        <v>131.4072368</v>
      </c>
      <c r="AC451" s="114"/>
      <c r="AD451" s="119" t="s">
        <v>824</v>
      </c>
      <c r="AE451" s="164"/>
      <c r="AF451" s="165"/>
      <c r="AG451" s="165"/>
      <c r="AH451" s="165"/>
    </row>
    <row r="452">
      <c r="A452" s="72" t="s">
        <v>230</v>
      </c>
      <c r="B452" s="72" t="s">
        <v>820</v>
      </c>
      <c r="C452" s="115" t="s">
        <v>57</v>
      </c>
      <c r="D452" s="115" t="s">
        <v>232</v>
      </c>
      <c r="E452" s="69">
        <v>2021.0</v>
      </c>
      <c r="F452" s="72"/>
      <c r="G452" s="69">
        <v>0.0</v>
      </c>
      <c r="H452" s="69">
        <v>28.737</v>
      </c>
      <c r="I452" s="117">
        <v>1.0</v>
      </c>
      <c r="J452" s="69">
        <v>28.737</v>
      </c>
      <c r="K452" s="72"/>
      <c r="L452" s="72"/>
      <c r="M452" s="69">
        <v>24.0</v>
      </c>
      <c r="N452" s="69">
        <v>138.0</v>
      </c>
      <c r="O452" s="72"/>
      <c r="P452" s="140">
        <v>22458.7</v>
      </c>
      <c r="Q452" s="72" t="s">
        <v>234</v>
      </c>
      <c r="R452" s="115">
        <v>2021.0</v>
      </c>
      <c r="S452" s="136">
        <v>0.239</v>
      </c>
      <c r="T452" s="118">
        <f t="shared" si="79"/>
        <v>5367.6293</v>
      </c>
      <c r="U452" s="24">
        <f t="shared" si="3"/>
        <v>186.7846087</v>
      </c>
      <c r="V452" s="3">
        <f t="shared" si="28"/>
        <v>0</v>
      </c>
      <c r="W452" s="3">
        <f t="shared" si="29"/>
        <v>0</v>
      </c>
      <c r="X452" s="3">
        <f t="shared" si="30"/>
        <v>0</v>
      </c>
      <c r="Y452" s="25">
        <f t="shared" si="31"/>
        <v>0</v>
      </c>
      <c r="Z452" s="26">
        <f>VLOOKUP(R452,CPI!$A$2:$F$71,6,0)</f>
        <v>1.188745987</v>
      </c>
      <c r="AA452" s="27">
        <f t="shared" si="8"/>
        <v>6380.747788</v>
      </c>
      <c r="AB452" s="27">
        <f t="shared" si="9"/>
        <v>222.0394539</v>
      </c>
      <c r="AC452" s="72" t="s">
        <v>36</v>
      </c>
      <c r="AD452" s="79" t="s">
        <v>825</v>
      </c>
      <c r="AE452" s="186"/>
      <c r="AF452" s="187"/>
      <c r="AG452" s="187"/>
      <c r="AH452" s="187"/>
    </row>
    <row r="453">
      <c r="A453" s="114" t="s">
        <v>230</v>
      </c>
      <c r="B453" s="114" t="s">
        <v>826</v>
      </c>
      <c r="C453" s="36" t="s">
        <v>827</v>
      </c>
      <c r="D453" s="114" t="s">
        <v>828</v>
      </c>
      <c r="E453" s="116">
        <v>2021.0</v>
      </c>
      <c r="F453" s="114"/>
      <c r="G453" s="116">
        <v>0.0</v>
      </c>
      <c r="H453" s="116">
        <v>6.0</v>
      </c>
      <c r="I453" s="117">
        <v>0.0</v>
      </c>
      <c r="J453" s="116">
        <v>0.0</v>
      </c>
      <c r="K453" s="114"/>
      <c r="L453" s="114"/>
      <c r="M453" s="116">
        <v>1.0</v>
      </c>
      <c r="N453" s="116">
        <v>92.0</v>
      </c>
      <c r="O453" s="114"/>
      <c r="P453" s="140">
        <v>1879.0</v>
      </c>
      <c r="Q453" s="114" t="s">
        <v>234</v>
      </c>
      <c r="R453" s="115">
        <v>2021.0</v>
      </c>
      <c r="S453" s="136">
        <v>0.239000000000001</v>
      </c>
      <c r="T453" s="118">
        <f t="shared" si="79"/>
        <v>449.081</v>
      </c>
      <c r="U453" s="24">
        <f t="shared" si="3"/>
        <v>74.84683333</v>
      </c>
      <c r="V453" s="3">
        <f t="shared" si="28"/>
        <v>0</v>
      </c>
      <c r="W453" s="3">
        <f t="shared" si="29"/>
        <v>0</v>
      </c>
      <c r="X453" s="3">
        <f t="shared" si="30"/>
        <v>0</v>
      </c>
      <c r="Y453" s="25">
        <f t="shared" si="31"/>
        <v>0</v>
      </c>
      <c r="Z453" s="26">
        <f>VLOOKUP(R453,CPI!$A$2:$F$71,6,0)</f>
        <v>1.188745987</v>
      </c>
      <c r="AA453" s="27">
        <f t="shared" si="8"/>
        <v>533.8432364</v>
      </c>
      <c r="AB453" s="27">
        <f t="shared" si="9"/>
        <v>88.97387274</v>
      </c>
      <c r="AC453" s="114"/>
      <c r="AD453" s="119" t="s">
        <v>829</v>
      </c>
      <c r="AE453" s="164"/>
      <c r="AF453" s="165"/>
      <c r="AG453" s="165"/>
      <c r="AH453" s="165"/>
    </row>
    <row r="454">
      <c r="A454" s="114" t="s">
        <v>230</v>
      </c>
      <c r="B454" s="114" t="s">
        <v>826</v>
      </c>
      <c r="C454" s="36" t="s">
        <v>827</v>
      </c>
      <c r="D454" s="114" t="s">
        <v>830</v>
      </c>
      <c r="E454" s="116">
        <v>2021.0</v>
      </c>
      <c r="F454" s="114"/>
      <c r="G454" s="116">
        <v>0.0</v>
      </c>
      <c r="H454" s="116">
        <v>11.75</v>
      </c>
      <c r="I454" s="117">
        <v>0.0</v>
      </c>
      <c r="J454" s="116">
        <v>0.0</v>
      </c>
      <c r="K454" s="114"/>
      <c r="L454" s="114"/>
      <c r="M454" s="116">
        <v>3.0</v>
      </c>
      <c r="N454" s="116">
        <v>92.0</v>
      </c>
      <c r="O454" s="114"/>
      <c r="P454" s="140">
        <v>3996.0</v>
      </c>
      <c r="Q454" s="114" t="s">
        <v>234</v>
      </c>
      <c r="R454" s="115">
        <v>2021.0</v>
      </c>
      <c r="S454" s="136">
        <v>0.239000000000001</v>
      </c>
      <c r="T454" s="118">
        <f t="shared" si="79"/>
        <v>955.044</v>
      </c>
      <c r="U454" s="24">
        <f t="shared" si="3"/>
        <v>81.28034043</v>
      </c>
      <c r="V454" s="3">
        <f t="shared" si="28"/>
        <v>0</v>
      </c>
      <c r="W454" s="3">
        <f t="shared" si="29"/>
        <v>0</v>
      </c>
      <c r="X454" s="3">
        <f t="shared" si="30"/>
        <v>0</v>
      </c>
      <c r="Y454" s="25">
        <f t="shared" si="31"/>
        <v>0</v>
      </c>
      <c r="Z454" s="26">
        <f>VLOOKUP(R454,CPI!$A$2:$F$71,6,0)</f>
        <v>1.188745987</v>
      </c>
      <c r="AA454" s="27">
        <f t="shared" si="8"/>
        <v>1135.304722</v>
      </c>
      <c r="AB454" s="27">
        <f t="shared" si="9"/>
        <v>96.62167847</v>
      </c>
      <c r="AC454" s="114"/>
      <c r="AD454" s="119" t="s">
        <v>829</v>
      </c>
      <c r="AE454" s="164"/>
      <c r="AF454" s="165"/>
      <c r="AG454" s="165"/>
      <c r="AH454" s="165"/>
    </row>
    <row r="455">
      <c r="A455" s="114" t="s">
        <v>230</v>
      </c>
      <c r="B455" s="114" t="s">
        <v>826</v>
      </c>
      <c r="C455" s="36" t="s">
        <v>827</v>
      </c>
      <c r="D455" s="114" t="s">
        <v>827</v>
      </c>
      <c r="E455" s="116">
        <v>2021.0</v>
      </c>
      <c r="F455" s="114"/>
      <c r="G455" s="116">
        <v>0.0</v>
      </c>
      <c r="H455" s="116">
        <v>66.3</v>
      </c>
      <c r="I455" s="117">
        <v>0.28</v>
      </c>
      <c r="J455" s="116">
        <v>18.65</v>
      </c>
      <c r="K455" s="114"/>
      <c r="L455" s="114"/>
      <c r="M455" s="116">
        <v>22.0</v>
      </c>
      <c r="N455" s="116">
        <v>92.0</v>
      </c>
      <c r="O455" s="114"/>
      <c r="P455" s="140">
        <v>30800.0</v>
      </c>
      <c r="Q455" s="114" t="s">
        <v>234</v>
      </c>
      <c r="R455" s="115">
        <v>2021.0</v>
      </c>
      <c r="S455" s="136">
        <v>0.239000000000001</v>
      </c>
      <c r="T455" s="118">
        <f t="shared" si="79"/>
        <v>7361.2</v>
      </c>
      <c r="U455" s="24">
        <f t="shared" si="3"/>
        <v>111.0286576</v>
      </c>
      <c r="V455" s="3">
        <f t="shared" si="28"/>
        <v>0</v>
      </c>
      <c r="W455" s="3">
        <f t="shared" si="29"/>
        <v>0</v>
      </c>
      <c r="X455" s="3">
        <f t="shared" si="30"/>
        <v>0</v>
      </c>
      <c r="Y455" s="25">
        <f t="shared" si="31"/>
        <v>0</v>
      </c>
      <c r="Z455" s="26">
        <f>VLOOKUP(R455,CPI!$A$2:$F$71,6,0)</f>
        <v>1.188745987</v>
      </c>
      <c r="AA455" s="27">
        <f t="shared" si="8"/>
        <v>8750.596957</v>
      </c>
      <c r="AB455" s="27">
        <f t="shared" si="9"/>
        <v>131.9848711</v>
      </c>
      <c r="AC455" s="114"/>
      <c r="AD455" s="119" t="s">
        <v>831</v>
      </c>
      <c r="AF455" s="114"/>
      <c r="AG455" s="114"/>
      <c r="AH455" s="114"/>
    </row>
    <row r="456">
      <c r="A456" s="114" t="s">
        <v>230</v>
      </c>
      <c r="B456" s="114" t="s">
        <v>826</v>
      </c>
      <c r="C456" s="114" t="s">
        <v>819</v>
      </c>
      <c r="D456" s="114" t="s">
        <v>819</v>
      </c>
      <c r="E456" s="116">
        <v>2022.0</v>
      </c>
      <c r="F456" s="114"/>
      <c r="G456" s="116">
        <v>1.0</v>
      </c>
      <c r="H456" s="116">
        <v>52.4</v>
      </c>
      <c r="I456" s="117">
        <v>0.34</v>
      </c>
      <c r="J456" s="116">
        <v>17.8</v>
      </c>
      <c r="K456" s="114"/>
      <c r="L456" s="114"/>
      <c r="M456" s="116">
        <v>15.0</v>
      </c>
      <c r="N456" s="116">
        <v>92.0</v>
      </c>
      <c r="O456" s="114"/>
      <c r="P456" s="140">
        <v>21237.0</v>
      </c>
      <c r="Q456" s="114" t="s">
        <v>234</v>
      </c>
      <c r="R456" s="115">
        <v>2021.0</v>
      </c>
      <c r="S456" s="136">
        <v>0.239000000000001</v>
      </c>
      <c r="T456" s="118">
        <f t="shared" si="79"/>
        <v>5075.643</v>
      </c>
      <c r="U456" s="24">
        <f t="shared" si="3"/>
        <v>96.86341603</v>
      </c>
      <c r="V456" s="3">
        <f t="shared" si="28"/>
        <v>0</v>
      </c>
      <c r="W456" s="3">
        <f t="shared" si="29"/>
        <v>0</v>
      </c>
      <c r="X456" s="3">
        <f t="shared" si="30"/>
        <v>0</v>
      </c>
      <c r="Y456" s="25">
        <f t="shared" si="31"/>
        <v>0</v>
      </c>
      <c r="Z456" s="26">
        <f>VLOOKUP(R456,CPI!$A$2:$F$71,6,0)</f>
        <v>1.188745987</v>
      </c>
      <c r="AA456" s="27">
        <f t="shared" si="8"/>
        <v>6033.650246</v>
      </c>
      <c r="AB456" s="27">
        <f t="shared" si="9"/>
        <v>115.1459971</v>
      </c>
      <c r="AC456" s="114"/>
      <c r="AD456" s="224" t="s">
        <v>832</v>
      </c>
      <c r="AE456" s="225" t="s">
        <v>833</v>
      </c>
      <c r="AF456" s="114"/>
      <c r="AG456" s="114"/>
      <c r="AH456" s="114"/>
    </row>
    <row r="457">
      <c r="A457" s="130" t="s">
        <v>230</v>
      </c>
      <c r="B457" s="130" t="s">
        <v>834</v>
      </c>
      <c r="C457" s="16" t="s">
        <v>835</v>
      </c>
      <c r="D457" s="130" t="s">
        <v>836</v>
      </c>
      <c r="E457" s="130">
        <v>2015.0</v>
      </c>
      <c r="F457" s="130">
        <v>2020.0</v>
      </c>
      <c r="G457" s="130">
        <v>0.0</v>
      </c>
      <c r="H457" s="130">
        <v>43.7</v>
      </c>
      <c r="I457" s="131">
        <v>0.3455377574</v>
      </c>
      <c r="J457" s="130">
        <v>15.1</v>
      </c>
      <c r="K457" s="132">
        <v>0.0</v>
      </c>
      <c r="L457" s="132">
        <v>0.0</v>
      </c>
      <c r="M457" s="130">
        <v>20.0</v>
      </c>
      <c r="N457" s="138"/>
      <c r="O457" s="130" t="s">
        <v>60</v>
      </c>
      <c r="P457" s="135">
        <v>28699.0</v>
      </c>
      <c r="Q457" s="130" t="s">
        <v>234</v>
      </c>
      <c r="R457" s="130">
        <v>2015.0</v>
      </c>
      <c r="S457" s="136">
        <v>0.258</v>
      </c>
      <c r="T457" s="128">
        <f>S457*P457</f>
        <v>7404.342</v>
      </c>
      <c r="U457" s="24">
        <f t="shared" si="3"/>
        <v>169.4357437</v>
      </c>
      <c r="V457" s="3">
        <f t="shared" si="28"/>
        <v>0</v>
      </c>
      <c r="W457" s="3">
        <f t="shared" si="29"/>
        <v>0</v>
      </c>
      <c r="X457" s="3">
        <f t="shared" si="30"/>
        <v>0</v>
      </c>
      <c r="Y457" s="25">
        <f t="shared" si="31"/>
        <v>0</v>
      </c>
      <c r="Z457" s="26">
        <f>VLOOKUP(R457,CPI!$A$2:$F$71,6,0)</f>
        <v>1.359035428</v>
      </c>
      <c r="AA457" s="27">
        <f t="shared" si="8"/>
        <v>10062.7631</v>
      </c>
      <c r="AB457" s="27">
        <f t="shared" si="9"/>
        <v>230.2691784</v>
      </c>
      <c r="AC457" s="130" t="s">
        <v>42</v>
      </c>
      <c r="AD457" s="137" t="s">
        <v>837</v>
      </c>
      <c r="AE457" s="173"/>
      <c r="AF457" s="174"/>
      <c r="AG457" s="174"/>
      <c r="AH457" s="174"/>
    </row>
    <row r="458">
      <c r="A458" s="123" t="s">
        <v>230</v>
      </c>
      <c r="B458" s="123" t="s">
        <v>834</v>
      </c>
      <c r="C458" s="36" t="s">
        <v>838</v>
      </c>
      <c r="D458" s="123" t="s">
        <v>839</v>
      </c>
      <c r="E458" s="75">
        <v>2017.0</v>
      </c>
      <c r="F458" s="75">
        <v>2020.0</v>
      </c>
      <c r="G458" s="75">
        <v>0.0</v>
      </c>
      <c r="H458" s="75">
        <v>20.0</v>
      </c>
      <c r="I458" s="124">
        <v>1.0</v>
      </c>
      <c r="J458" s="75">
        <v>20.0</v>
      </c>
      <c r="K458" s="125">
        <v>0.0</v>
      </c>
      <c r="L458" s="125">
        <v>0.0</v>
      </c>
      <c r="M458" s="75">
        <v>18.0</v>
      </c>
      <c r="N458" s="75"/>
      <c r="O458" s="123" t="s">
        <v>60</v>
      </c>
      <c r="P458" s="126">
        <v>20053.0</v>
      </c>
      <c r="Q458" s="123" t="s">
        <v>234</v>
      </c>
      <c r="R458" s="75">
        <v>2015.0</v>
      </c>
      <c r="S458" s="136">
        <v>0.258</v>
      </c>
      <c r="T458" s="128">
        <f>P458*S458</f>
        <v>5173.674</v>
      </c>
      <c r="U458" s="24">
        <f t="shared" si="3"/>
        <v>258.6837</v>
      </c>
      <c r="V458" s="3">
        <f t="shared" si="28"/>
        <v>0</v>
      </c>
      <c r="W458" s="3">
        <f t="shared" si="29"/>
        <v>0</v>
      </c>
      <c r="X458" s="3">
        <f t="shared" si="30"/>
        <v>0</v>
      </c>
      <c r="Y458" s="25">
        <f t="shared" si="31"/>
        <v>0</v>
      </c>
      <c r="Z458" s="26">
        <f>VLOOKUP(R458,CPI!$A$2:$F$71,6,0)</f>
        <v>1.359035428</v>
      </c>
      <c r="AA458" s="27">
        <f t="shared" si="8"/>
        <v>7031.206258</v>
      </c>
      <c r="AB458" s="27">
        <f t="shared" si="9"/>
        <v>351.5603129</v>
      </c>
      <c r="AC458" s="123" t="s">
        <v>42</v>
      </c>
      <c r="AD458" s="129" t="s">
        <v>840</v>
      </c>
      <c r="AE458" s="34"/>
      <c r="AF458" s="34"/>
      <c r="AG458" s="34"/>
      <c r="AH458" s="34"/>
    </row>
    <row r="459">
      <c r="A459" s="130" t="s">
        <v>230</v>
      </c>
      <c r="B459" s="130" t="s">
        <v>834</v>
      </c>
      <c r="C459" s="16" t="s">
        <v>841</v>
      </c>
      <c r="D459" s="130" t="s">
        <v>842</v>
      </c>
      <c r="E459" s="130">
        <v>2017.0</v>
      </c>
      <c r="F459" s="130">
        <v>2020.0</v>
      </c>
      <c r="G459" s="130">
        <v>0.0</v>
      </c>
      <c r="H459" s="130">
        <v>52.8</v>
      </c>
      <c r="I459" s="131">
        <v>0.3390151515</v>
      </c>
      <c r="J459" s="130">
        <v>17.9</v>
      </c>
      <c r="K459" s="132">
        <v>0.0</v>
      </c>
      <c r="L459" s="132">
        <v>0.0</v>
      </c>
      <c r="M459" s="130">
        <v>5.0</v>
      </c>
      <c r="N459" s="138"/>
      <c r="O459" s="130" t="s">
        <v>60</v>
      </c>
      <c r="P459" s="135">
        <v>29975.0</v>
      </c>
      <c r="Q459" s="130" t="s">
        <v>234</v>
      </c>
      <c r="R459" s="130">
        <v>2015.0</v>
      </c>
      <c r="S459" s="136">
        <v>0.258</v>
      </c>
      <c r="T459" s="128">
        <f>S459*P459</f>
        <v>7733.55</v>
      </c>
      <c r="U459" s="24">
        <f t="shared" si="3"/>
        <v>146.46875</v>
      </c>
      <c r="V459" s="3">
        <f t="shared" si="28"/>
        <v>0</v>
      </c>
      <c r="W459" s="3">
        <f t="shared" si="29"/>
        <v>0</v>
      </c>
      <c r="X459" s="3">
        <f t="shared" si="30"/>
        <v>0</v>
      </c>
      <c r="Y459" s="25">
        <f t="shared" si="31"/>
        <v>0</v>
      </c>
      <c r="Z459" s="26">
        <f>VLOOKUP(R459,CPI!$A$2:$F$71,6,0)</f>
        <v>1.359035428</v>
      </c>
      <c r="AA459" s="27">
        <f t="shared" si="8"/>
        <v>10510.16843</v>
      </c>
      <c r="AB459" s="27">
        <f t="shared" si="9"/>
        <v>199.0562203</v>
      </c>
      <c r="AC459" s="130" t="s">
        <v>42</v>
      </c>
      <c r="AD459" s="137" t="s">
        <v>840</v>
      </c>
      <c r="AE459" s="173"/>
      <c r="AF459" s="174"/>
      <c r="AG459" s="174"/>
      <c r="AH459" s="174"/>
    </row>
    <row r="460">
      <c r="A460" s="72" t="s">
        <v>230</v>
      </c>
      <c r="B460" s="72" t="s">
        <v>834</v>
      </c>
      <c r="C460" s="115" t="s">
        <v>843</v>
      </c>
      <c r="D460" s="115" t="s">
        <v>844</v>
      </c>
      <c r="E460" s="69">
        <v>2018.0</v>
      </c>
      <c r="F460" s="69">
        <v>2022.0</v>
      </c>
      <c r="G460" s="69">
        <v>0.0</v>
      </c>
      <c r="H460" s="69">
        <v>21.22</v>
      </c>
      <c r="I460" s="117">
        <v>1.0</v>
      </c>
      <c r="J460" s="69">
        <v>21.22</v>
      </c>
      <c r="K460" s="72"/>
      <c r="L460" s="72"/>
      <c r="M460" s="69">
        <v>21.0</v>
      </c>
      <c r="N460" s="69">
        <v>117.0</v>
      </c>
      <c r="O460" s="72"/>
      <c r="P460" s="140">
        <v>22069.0</v>
      </c>
      <c r="Q460" s="72" t="s">
        <v>234</v>
      </c>
      <c r="R460" s="115">
        <v>2020.0</v>
      </c>
      <c r="S460" s="136">
        <v>0.239</v>
      </c>
      <c r="T460" s="118">
        <f t="shared" ref="T460:T464" si="80">P460*S460</f>
        <v>5274.491</v>
      </c>
      <c r="U460" s="24">
        <f t="shared" si="3"/>
        <v>248.5622526</v>
      </c>
      <c r="V460" s="3">
        <f t="shared" si="28"/>
        <v>0</v>
      </c>
      <c r="W460" s="3">
        <f t="shared" si="29"/>
        <v>0</v>
      </c>
      <c r="X460" s="3">
        <f t="shared" si="30"/>
        <v>0</v>
      </c>
      <c r="Y460" s="25">
        <f t="shared" si="31"/>
        <v>0</v>
      </c>
      <c r="Z460" s="26">
        <f>VLOOKUP(R460,CPI!$A$2:$F$71,6,0)</f>
        <v>1.244593545</v>
      </c>
      <c r="AA460" s="27">
        <f t="shared" si="8"/>
        <v>6564.597452</v>
      </c>
      <c r="AB460" s="27">
        <f t="shared" si="9"/>
        <v>309.3589751</v>
      </c>
      <c r="AC460" s="72" t="s">
        <v>36</v>
      </c>
      <c r="AD460" s="79" t="s">
        <v>845</v>
      </c>
      <c r="AE460" s="72"/>
      <c r="AF460" s="72"/>
      <c r="AG460" s="72"/>
      <c r="AH460" s="72"/>
    </row>
    <row r="461">
      <c r="A461" s="72" t="s">
        <v>230</v>
      </c>
      <c r="B461" s="72" t="s">
        <v>834</v>
      </c>
      <c r="C461" s="115" t="s">
        <v>846</v>
      </c>
      <c r="D461" s="115" t="s">
        <v>847</v>
      </c>
      <c r="E461" s="69">
        <v>2019.0</v>
      </c>
      <c r="F461" s="72"/>
      <c r="G461" s="69">
        <v>0.0</v>
      </c>
      <c r="H461" s="69">
        <v>22.6</v>
      </c>
      <c r="I461" s="117">
        <v>1.0</v>
      </c>
      <c r="J461" s="69">
        <v>22.6</v>
      </c>
      <c r="K461" s="72"/>
      <c r="L461" s="72"/>
      <c r="M461" s="69">
        <v>21.0</v>
      </c>
      <c r="N461" s="69">
        <v>117.0</v>
      </c>
      <c r="O461" s="72"/>
      <c r="P461" s="140">
        <v>23789.0</v>
      </c>
      <c r="Q461" s="72" t="s">
        <v>234</v>
      </c>
      <c r="R461" s="75">
        <v>2019.0</v>
      </c>
      <c r="S461" s="136">
        <v>0.238</v>
      </c>
      <c r="T461" s="118">
        <f t="shared" si="80"/>
        <v>5661.782</v>
      </c>
      <c r="U461" s="24">
        <f t="shared" si="3"/>
        <v>250.5213274</v>
      </c>
      <c r="V461" s="3">
        <f t="shared" si="28"/>
        <v>0</v>
      </c>
      <c r="W461" s="3">
        <f t="shared" si="29"/>
        <v>0</v>
      </c>
      <c r="X461" s="3">
        <f t="shared" si="30"/>
        <v>0</v>
      </c>
      <c r="Y461" s="25">
        <f t="shared" si="31"/>
        <v>0</v>
      </c>
      <c r="Z461" s="26">
        <f>VLOOKUP(R461,CPI!$A$2:$F$71,6,0)</f>
        <v>1.259947899</v>
      </c>
      <c r="AA461" s="27">
        <f t="shared" si="8"/>
        <v>7133.550335</v>
      </c>
      <c r="AB461" s="27">
        <f t="shared" si="9"/>
        <v>315.6438201</v>
      </c>
      <c r="AC461" s="72" t="s">
        <v>36</v>
      </c>
      <c r="AD461" s="79" t="s">
        <v>848</v>
      </c>
      <c r="AE461" s="114"/>
      <c r="AF461" s="114"/>
      <c r="AG461" s="114"/>
      <c r="AH461" s="114"/>
    </row>
    <row r="462">
      <c r="A462" s="72" t="s">
        <v>230</v>
      </c>
      <c r="B462" s="72" t="s">
        <v>834</v>
      </c>
      <c r="C462" s="115" t="s">
        <v>849</v>
      </c>
      <c r="D462" s="115" t="s">
        <v>850</v>
      </c>
      <c r="E462" s="69">
        <v>2019.0</v>
      </c>
      <c r="F462" s="72"/>
      <c r="G462" s="69">
        <v>0.0</v>
      </c>
      <c r="H462" s="69">
        <v>26.53</v>
      </c>
      <c r="I462" s="117">
        <v>1.0</v>
      </c>
      <c r="J462" s="69">
        <v>26.53</v>
      </c>
      <c r="K462" s="72"/>
      <c r="L462" s="72"/>
      <c r="M462" s="69">
        <v>21.0</v>
      </c>
      <c r="N462" s="69">
        <v>138.0</v>
      </c>
      <c r="O462" s="72"/>
      <c r="P462" s="140">
        <v>26890.0</v>
      </c>
      <c r="Q462" s="72" t="s">
        <v>234</v>
      </c>
      <c r="R462" s="75">
        <v>2019.0</v>
      </c>
      <c r="S462" s="136">
        <v>0.238</v>
      </c>
      <c r="T462" s="118">
        <f t="shared" si="80"/>
        <v>6399.82</v>
      </c>
      <c r="U462" s="24">
        <f t="shared" si="3"/>
        <v>241.2295515</v>
      </c>
      <c r="V462" s="3">
        <f t="shared" si="28"/>
        <v>0</v>
      </c>
      <c r="W462" s="3">
        <f t="shared" si="29"/>
        <v>0</v>
      </c>
      <c r="X462" s="3">
        <f t="shared" si="30"/>
        <v>0</v>
      </c>
      <c r="Y462" s="25">
        <f t="shared" si="31"/>
        <v>0</v>
      </c>
      <c r="Z462" s="26">
        <f>VLOOKUP(R462,CPI!$A$2:$F$71,6,0)</f>
        <v>1.259947899</v>
      </c>
      <c r="AA462" s="27">
        <f t="shared" si="8"/>
        <v>8063.439763</v>
      </c>
      <c r="AB462" s="27">
        <f t="shared" si="9"/>
        <v>303.9366665</v>
      </c>
      <c r="AC462" s="72" t="s">
        <v>36</v>
      </c>
      <c r="AD462" s="79" t="s">
        <v>851</v>
      </c>
      <c r="AE462" s="164"/>
      <c r="AF462" s="165"/>
      <c r="AG462" s="165"/>
      <c r="AH462" s="165"/>
    </row>
    <row r="463">
      <c r="A463" s="114" t="s">
        <v>230</v>
      </c>
      <c r="B463" s="114" t="s">
        <v>834</v>
      </c>
      <c r="C463" s="115" t="s">
        <v>236</v>
      </c>
      <c r="D463" s="115" t="s">
        <v>364</v>
      </c>
      <c r="E463" s="116">
        <v>2020.0</v>
      </c>
      <c r="F463" s="114"/>
      <c r="G463" s="116">
        <v>0.0</v>
      </c>
      <c r="H463" s="116">
        <v>21.2</v>
      </c>
      <c r="I463" s="117">
        <v>1.0</v>
      </c>
      <c r="J463" s="116">
        <v>21.2</v>
      </c>
      <c r="K463" s="114"/>
      <c r="L463" s="114"/>
      <c r="M463" s="116">
        <v>17.0</v>
      </c>
      <c r="N463" s="116"/>
      <c r="O463" s="114"/>
      <c r="P463" s="140">
        <v>23800.11</v>
      </c>
      <c r="Q463" s="114" t="s">
        <v>234</v>
      </c>
      <c r="R463" s="115">
        <v>2020.0</v>
      </c>
      <c r="S463" s="136">
        <v>0.239</v>
      </c>
      <c r="T463" s="118">
        <f t="shared" si="80"/>
        <v>5688.22629</v>
      </c>
      <c r="U463" s="24">
        <f t="shared" si="3"/>
        <v>268.3125608</v>
      </c>
      <c r="V463" s="3">
        <f t="shared" si="28"/>
        <v>0</v>
      </c>
      <c r="W463" s="3">
        <f t="shared" si="29"/>
        <v>0</v>
      </c>
      <c r="X463" s="3">
        <f t="shared" si="30"/>
        <v>0</v>
      </c>
      <c r="Y463" s="25">
        <f t="shared" si="31"/>
        <v>0</v>
      </c>
      <c r="Z463" s="26">
        <f>VLOOKUP(R463,CPI!$A$2:$F$71,6,0)</f>
        <v>1.244593545</v>
      </c>
      <c r="AA463" s="27">
        <f t="shared" si="8"/>
        <v>7079.529724</v>
      </c>
      <c r="AB463" s="27">
        <f t="shared" si="9"/>
        <v>333.9400813</v>
      </c>
      <c r="AC463" s="114"/>
      <c r="AD463" s="119" t="s">
        <v>852</v>
      </c>
      <c r="AE463" s="164"/>
      <c r="AF463" s="165"/>
      <c r="AG463" s="165"/>
      <c r="AH463" s="165"/>
    </row>
    <row r="464">
      <c r="A464" s="72" t="s">
        <v>230</v>
      </c>
      <c r="B464" s="72" t="s">
        <v>834</v>
      </c>
      <c r="C464" s="115" t="s">
        <v>853</v>
      </c>
      <c r="D464" s="115" t="s">
        <v>854</v>
      </c>
      <c r="E464" s="69">
        <v>2021.0</v>
      </c>
      <c r="F464" s="72"/>
      <c r="G464" s="69">
        <v>0.0</v>
      </c>
      <c r="H464" s="69">
        <v>31.6</v>
      </c>
      <c r="I464" s="192"/>
      <c r="J464" s="72"/>
      <c r="K464" s="72"/>
      <c r="L464" s="72"/>
      <c r="M464" s="69">
        <v>22.0</v>
      </c>
      <c r="N464" s="69">
        <v>117.0</v>
      </c>
      <c r="O464" s="72"/>
      <c r="P464" s="140">
        <v>29560.0</v>
      </c>
      <c r="Q464" s="72" t="s">
        <v>234</v>
      </c>
      <c r="R464" s="115">
        <v>2021.0</v>
      </c>
      <c r="S464" s="136">
        <v>0.239</v>
      </c>
      <c r="T464" s="118">
        <f t="shared" si="80"/>
        <v>7064.84</v>
      </c>
      <c r="U464" s="24">
        <f t="shared" si="3"/>
        <v>223.5708861</v>
      </c>
      <c r="V464" s="3">
        <f t="shared" si="28"/>
        <v>0</v>
      </c>
      <c r="W464" s="3">
        <f t="shared" si="29"/>
        <v>0</v>
      </c>
      <c r="X464" s="3">
        <f t="shared" si="30"/>
        <v>0</v>
      </c>
      <c r="Y464" s="25">
        <f t="shared" si="31"/>
        <v>0</v>
      </c>
      <c r="Z464" s="26">
        <f>VLOOKUP(R464,CPI!$A$2:$F$71,6,0)</f>
        <v>1.188745987</v>
      </c>
      <c r="AA464" s="27">
        <f t="shared" si="8"/>
        <v>8398.300196</v>
      </c>
      <c r="AB464" s="27">
        <f t="shared" si="9"/>
        <v>265.7689936</v>
      </c>
      <c r="AC464" s="115" t="s">
        <v>42</v>
      </c>
      <c r="AD464" s="182" t="s">
        <v>855</v>
      </c>
      <c r="AE464" s="114"/>
      <c r="AF464" s="114"/>
      <c r="AG464" s="114"/>
      <c r="AH464" s="114"/>
    </row>
    <row r="465">
      <c r="A465" s="130" t="s">
        <v>230</v>
      </c>
      <c r="B465" s="130" t="s">
        <v>834</v>
      </c>
      <c r="C465" s="36" t="s">
        <v>856</v>
      </c>
      <c r="D465" s="130" t="s">
        <v>857</v>
      </c>
      <c r="E465" s="130"/>
      <c r="F465" s="130"/>
      <c r="G465" s="130">
        <v>0.0</v>
      </c>
      <c r="H465" s="130">
        <v>3.9</v>
      </c>
      <c r="I465" s="131">
        <v>0.0</v>
      </c>
      <c r="J465" s="130">
        <v>0.0</v>
      </c>
      <c r="K465" s="132">
        <v>3.75</v>
      </c>
      <c r="L465" s="132">
        <v>0.15</v>
      </c>
      <c r="M465" s="130">
        <v>3.0</v>
      </c>
      <c r="N465" s="138"/>
      <c r="O465" s="130" t="s">
        <v>60</v>
      </c>
      <c r="P465" s="135">
        <v>1704.0</v>
      </c>
      <c r="Q465" s="130" t="s">
        <v>234</v>
      </c>
      <c r="R465" s="130">
        <v>2015.0</v>
      </c>
      <c r="S465" s="136">
        <v>0.258</v>
      </c>
      <c r="T465" s="128">
        <f>S465*P465</f>
        <v>439.632</v>
      </c>
      <c r="U465" s="24">
        <f t="shared" si="3"/>
        <v>112.7261538</v>
      </c>
      <c r="V465" s="3">
        <f t="shared" si="28"/>
        <v>0</v>
      </c>
      <c r="W465" s="3">
        <f t="shared" si="29"/>
        <v>0</v>
      </c>
      <c r="X465" s="3">
        <f t="shared" si="30"/>
        <v>0</v>
      </c>
      <c r="Y465" s="25">
        <f t="shared" si="31"/>
        <v>0</v>
      </c>
      <c r="Z465" s="26">
        <f>VLOOKUP(R465,CPI!$A$2:$F$71,6,0)</f>
        <v>1.359035428</v>
      </c>
      <c r="AA465" s="27">
        <f t="shared" si="8"/>
        <v>597.4754632</v>
      </c>
      <c r="AB465" s="27">
        <f t="shared" si="9"/>
        <v>153.1988367</v>
      </c>
      <c r="AC465" s="130" t="s">
        <v>42</v>
      </c>
      <c r="AD465" s="137" t="s">
        <v>840</v>
      </c>
      <c r="AE465" s="173"/>
      <c r="AF465" s="174"/>
      <c r="AG465" s="174"/>
      <c r="AH465" s="174"/>
    </row>
    <row r="466">
      <c r="A466" s="66" t="s">
        <v>230</v>
      </c>
      <c r="B466" s="114" t="s">
        <v>858</v>
      </c>
      <c r="C466" s="114" t="s">
        <v>57</v>
      </c>
      <c r="D466" s="114" t="s">
        <v>57</v>
      </c>
      <c r="E466" s="116">
        <v>2014.0</v>
      </c>
      <c r="F466" s="116">
        <v>2019.0</v>
      </c>
      <c r="G466" s="116">
        <v>0.0</v>
      </c>
      <c r="H466" s="116">
        <v>27.615</v>
      </c>
      <c r="I466" s="117">
        <v>1.0</v>
      </c>
      <c r="J466" s="116">
        <v>27.615</v>
      </c>
      <c r="K466" s="114"/>
      <c r="L466" s="114"/>
      <c r="M466" s="116">
        <v>21.0</v>
      </c>
      <c r="N466" s="116">
        <v>138.0</v>
      </c>
      <c r="O466" s="114"/>
      <c r="P466" s="140">
        <v>21694.0</v>
      </c>
      <c r="Q466" s="114" t="s">
        <v>234</v>
      </c>
      <c r="R466" s="115">
        <v>2017.0</v>
      </c>
      <c r="S466" s="85">
        <v>0.239</v>
      </c>
      <c r="T466" s="118">
        <f t="shared" ref="T466:T470" si="81">P466*S466</f>
        <v>5184.866</v>
      </c>
      <c r="U466" s="24">
        <f t="shared" si="3"/>
        <v>187.7554228</v>
      </c>
      <c r="V466" s="3">
        <f t="shared" si="28"/>
        <v>0</v>
      </c>
      <c r="W466" s="3">
        <f t="shared" si="29"/>
        <v>0</v>
      </c>
      <c r="X466" s="3">
        <f t="shared" si="30"/>
        <v>0</v>
      </c>
      <c r="Y466" s="25">
        <f t="shared" si="31"/>
        <v>0</v>
      </c>
      <c r="Z466" s="26">
        <f>VLOOKUP(R466,CPI!$A$2:$F$71,6,0)</f>
        <v>1.314109416</v>
      </c>
      <c r="AA466" s="27">
        <f t="shared" si="8"/>
        <v>6813.48123</v>
      </c>
      <c r="AB466" s="27">
        <f t="shared" si="9"/>
        <v>246.7311689</v>
      </c>
      <c r="AC466" s="114"/>
      <c r="AD466" s="119" t="s">
        <v>859</v>
      </c>
      <c r="AE466" s="167" t="s">
        <v>860</v>
      </c>
      <c r="AF466" s="168"/>
      <c r="AG466" s="168"/>
      <c r="AH466" s="169"/>
    </row>
    <row r="467">
      <c r="A467" s="66" t="s">
        <v>230</v>
      </c>
      <c r="B467" s="114" t="s">
        <v>858</v>
      </c>
      <c r="C467" s="114" t="s">
        <v>54</v>
      </c>
      <c r="D467" s="114" t="s">
        <v>54</v>
      </c>
      <c r="E467" s="114"/>
      <c r="F467" s="116">
        <v>2021.0</v>
      </c>
      <c r="G467" s="116">
        <v>0.0</v>
      </c>
      <c r="H467" s="116">
        <v>19.35</v>
      </c>
      <c r="I467" s="192"/>
      <c r="J467" s="114"/>
      <c r="K467" s="114"/>
      <c r="L467" s="114"/>
      <c r="M467" s="116">
        <v>16.0</v>
      </c>
      <c r="N467" s="116">
        <v>138.0</v>
      </c>
      <c r="O467" s="114"/>
      <c r="P467" s="73">
        <v>16260.0</v>
      </c>
      <c r="Q467" s="114" t="s">
        <v>234</v>
      </c>
      <c r="R467" s="115">
        <v>2021.0</v>
      </c>
      <c r="S467" s="136">
        <v>0.239000000000001</v>
      </c>
      <c r="T467" s="118">
        <f t="shared" si="81"/>
        <v>3886.14</v>
      </c>
      <c r="U467" s="24">
        <f t="shared" si="3"/>
        <v>200.8341085</v>
      </c>
      <c r="V467" s="3">
        <f t="shared" si="28"/>
        <v>0</v>
      </c>
      <c r="W467" s="3">
        <f t="shared" si="29"/>
        <v>0</v>
      </c>
      <c r="X467" s="3">
        <f t="shared" si="30"/>
        <v>0</v>
      </c>
      <c r="Y467" s="25">
        <f t="shared" si="31"/>
        <v>0</v>
      </c>
      <c r="Z467" s="26">
        <f>VLOOKUP(R467,CPI!$A$2:$F$71,6,0)</f>
        <v>1.188745987</v>
      </c>
      <c r="AA467" s="27">
        <f t="shared" si="8"/>
        <v>4619.633329</v>
      </c>
      <c r="AB467" s="27">
        <f t="shared" si="9"/>
        <v>238.7407405</v>
      </c>
      <c r="AC467" s="114"/>
      <c r="AD467" s="119" t="s">
        <v>861</v>
      </c>
      <c r="AE467" s="114"/>
      <c r="AF467" s="114"/>
      <c r="AG467" s="114"/>
      <c r="AH467" s="114"/>
    </row>
    <row r="468">
      <c r="A468" s="66" t="s">
        <v>230</v>
      </c>
      <c r="B468" s="114" t="s">
        <v>858</v>
      </c>
      <c r="C468" s="16" t="s">
        <v>110</v>
      </c>
      <c r="D468" s="115" t="s">
        <v>332</v>
      </c>
      <c r="E468" s="116">
        <v>2018.0</v>
      </c>
      <c r="F468" s="114"/>
      <c r="G468" s="116">
        <v>0.0</v>
      </c>
      <c r="H468" s="116">
        <v>20.556</v>
      </c>
      <c r="I468" s="116">
        <v>1.0</v>
      </c>
      <c r="J468" s="116">
        <v>20.556</v>
      </c>
      <c r="K468" s="114"/>
      <c r="L468" s="114"/>
      <c r="M468" s="116">
        <v>16.0</v>
      </c>
      <c r="N468" s="116">
        <v>138.0</v>
      </c>
      <c r="O468" s="114"/>
      <c r="P468" s="73">
        <v>16787.0</v>
      </c>
      <c r="Q468" s="114" t="s">
        <v>234</v>
      </c>
      <c r="R468" s="115">
        <v>2018.0</v>
      </c>
      <c r="S468" s="85">
        <v>0.237</v>
      </c>
      <c r="T468" s="118">
        <f t="shared" si="81"/>
        <v>3978.519</v>
      </c>
      <c r="U468" s="24">
        <f t="shared" si="3"/>
        <v>193.5453882</v>
      </c>
      <c r="V468" s="3">
        <f t="shared" si="28"/>
        <v>0</v>
      </c>
      <c r="W468" s="3">
        <f t="shared" si="29"/>
        <v>0</v>
      </c>
      <c r="X468" s="3">
        <f t="shared" si="30"/>
        <v>0</v>
      </c>
      <c r="Y468" s="25">
        <f t="shared" si="31"/>
        <v>0</v>
      </c>
      <c r="Z468" s="26">
        <f>VLOOKUP(R468,CPI!$A$2:$F$71,6,0)</f>
        <v>1.28277786</v>
      </c>
      <c r="AA468" s="27">
        <f t="shared" si="8"/>
        <v>5103.556087</v>
      </c>
      <c r="AB468" s="27">
        <f t="shared" si="9"/>
        <v>248.2757388</v>
      </c>
      <c r="AC468" s="72"/>
      <c r="AD468" s="119" t="s">
        <v>862</v>
      </c>
      <c r="AE468" s="114"/>
      <c r="AF468" s="114"/>
      <c r="AG468" s="114"/>
      <c r="AH468" s="114"/>
    </row>
    <row r="469">
      <c r="A469" s="72" t="s">
        <v>230</v>
      </c>
      <c r="B469" s="72" t="s">
        <v>863</v>
      </c>
      <c r="C469" s="115" t="s">
        <v>866</v>
      </c>
      <c r="D469" s="115" t="s">
        <v>866</v>
      </c>
      <c r="E469" s="69">
        <v>2022.0</v>
      </c>
      <c r="F469" s="72"/>
      <c r="G469" s="69">
        <v>0.0</v>
      </c>
      <c r="H469" s="69">
        <v>32.5</v>
      </c>
      <c r="I469" s="117">
        <v>1.0</v>
      </c>
      <c r="J469" s="193">
        <v>32.5</v>
      </c>
      <c r="K469" s="72"/>
      <c r="L469" s="72"/>
      <c r="M469" s="69">
        <v>23.0</v>
      </c>
      <c r="N469" s="69">
        <v>117.0</v>
      </c>
      <c r="O469" s="72"/>
      <c r="P469" s="140">
        <v>26000.0</v>
      </c>
      <c r="Q469" s="72" t="s">
        <v>234</v>
      </c>
      <c r="R469" s="115">
        <v>2021.0</v>
      </c>
      <c r="S469" s="136">
        <v>0.239</v>
      </c>
      <c r="T469" s="118">
        <f t="shared" si="81"/>
        <v>6214</v>
      </c>
      <c r="U469" s="24">
        <f t="shared" si="3"/>
        <v>191.2</v>
      </c>
      <c r="V469" s="3">
        <f t="shared" si="28"/>
        <v>0</v>
      </c>
      <c r="W469" s="3">
        <f t="shared" si="29"/>
        <v>0</v>
      </c>
      <c r="X469" s="3">
        <f t="shared" si="30"/>
        <v>0</v>
      </c>
      <c r="Y469" s="25">
        <f t="shared" si="31"/>
        <v>0</v>
      </c>
      <c r="Z469" s="26">
        <f>VLOOKUP(R469,CPI!$A$2:$F$71,6,0)</f>
        <v>1.188745987</v>
      </c>
      <c r="AA469" s="27">
        <f t="shared" si="8"/>
        <v>7386.867561</v>
      </c>
      <c r="AB469" s="27">
        <f t="shared" si="9"/>
        <v>227.2882326</v>
      </c>
      <c r="AC469" s="72"/>
      <c r="AD469" s="182" t="s">
        <v>867</v>
      </c>
      <c r="AE469" s="72"/>
      <c r="AF469" s="72"/>
      <c r="AG469" s="72"/>
      <c r="AH469" s="72"/>
    </row>
    <row r="470">
      <c r="A470" s="114" t="s">
        <v>230</v>
      </c>
      <c r="B470" s="114" t="s">
        <v>863</v>
      </c>
      <c r="C470" s="115" t="s">
        <v>868</v>
      </c>
      <c r="D470" s="115" t="s">
        <v>869</v>
      </c>
      <c r="E470" s="116">
        <v>2022.0</v>
      </c>
      <c r="F470" s="114"/>
      <c r="G470" s="116">
        <v>0.0</v>
      </c>
      <c r="H470" s="116">
        <v>31.17</v>
      </c>
      <c r="I470" s="117">
        <v>0.09</v>
      </c>
      <c r="J470" s="116">
        <v>2.8</v>
      </c>
      <c r="K470" s="114"/>
      <c r="L470" s="114"/>
      <c r="M470" s="116">
        <v>12.0</v>
      </c>
      <c r="N470" s="116">
        <v>138.0</v>
      </c>
      <c r="O470" s="114"/>
      <c r="P470" s="140">
        <v>12240.0</v>
      </c>
      <c r="Q470" s="114" t="s">
        <v>234</v>
      </c>
      <c r="R470" s="115">
        <v>2021.0</v>
      </c>
      <c r="S470" s="136">
        <v>0.239</v>
      </c>
      <c r="T470" s="118">
        <f t="shared" si="81"/>
        <v>2925.36</v>
      </c>
      <c r="U470" s="24">
        <f t="shared" si="3"/>
        <v>93.85178056</v>
      </c>
      <c r="V470" s="3">
        <f t="shared" si="28"/>
        <v>0</v>
      </c>
      <c r="W470" s="3">
        <f t="shared" si="29"/>
        <v>0</v>
      </c>
      <c r="X470" s="3">
        <f t="shared" si="30"/>
        <v>0</v>
      </c>
      <c r="Y470" s="25">
        <f t="shared" si="31"/>
        <v>0</v>
      </c>
      <c r="Z470" s="26">
        <f>VLOOKUP(R470,CPI!$A$2:$F$71,6,0)</f>
        <v>1.188745987</v>
      </c>
      <c r="AA470" s="27">
        <f t="shared" si="8"/>
        <v>3477.509959</v>
      </c>
      <c r="AB470" s="27">
        <f t="shared" si="9"/>
        <v>111.5659275</v>
      </c>
      <c r="AC470" s="114"/>
      <c r="AD470" s="119" t="s">
        <v>867</v>
      </c>
      <c r="AE470" s="173"/>
      <c r="AF470" s="174"/>
      <c r="AG470" s="174"/>
      <c r="AH470" s="174"/>
    </row>
    <row r="471">
      <c r="A471" s="130" t="s">
        <v>230</v>
      </c>
      <c r="B471" s="130" t="s">
        <v>863</v>
      </c>
      <c r="C471" s="36" t="s">
        <v>506</v>
      </c>
      <c r="D471" s="130" t="s">
        <v>507</v>
      </c>
      <c r="E471" s="138"/>
      <c r="F471" s="138"/>
      <c r="G471" s="138">
        <v>0.0</v>
      </c>
      <c r="H471" s="138">
        <v>53.5</v>
      </c>
      <c r="I471" s="197"/>
      <c r="J471" s="198"/>
      <c r="K471" s="199" t="e">
        <v>#N/A</v>
      </c>
      <c r="L471" s="199" t="e">
        <v>#N/A</v>
      </c>
      <c r="M471" s="138"/>
      <c r="N471" s="138"/>
      <c r="O471" s="130" t="s">
        <v>42</v>
      </c>
      <c r="P471" s="226">
        <v>18606.83</v>
      </c>
      <c r="Q471" s="130" t="s">
        <v>234</v>
      </c>
      <c r="R471" s="138">
        <v>2014.0</v>
      </c>
      <c r="S471" s="136">
        <v>0.266</v>
      </c>
      <c r="T471" s="194">
        <f t="shared" ref="T471:T472" si="82">S471*P471</f>
        <v>4949.41678</v>
      </c>
      <c r="U471" s="24">
        <f t="shared" si="3"/>
        <v>92.51246318</v>
      </c>
      <c r="V471" s="3">
        <f t="shared" si="28"/>
        <v>0</v>
      </c>
      <c r="W471" s="3">
        <f t="shared" si="29"/>
        <v>0</v>
      </c>
      <c r="X471" s="3">
        <f t="shared" si="30"/>
        <v>0</v>
      </c>
      <c r="Y471" s="25">
        <f t="shared" si="31"/>
        <v>0</v>
      </c>
      <c r="Z471" s="26">
        <f>VLOOKUP(R471,CPI!$A$2:$F$71,6,0)</f>
        <v>1.360648571</v>
      </c>
      <c r="AA471" s="27">
        <f t="shared" si="8"/>
        <v>6734.416867</v>
      </c>
      <c r="AB471" s="27">
        <f t="shared" si="9"/>
        <v>125.8769508</v>
      </c>
      <c r="AC471" s="130" t="s">
        <v>42</v>
      </c>
      <c r="AD471" s="196" t="s">
        <v>870</v>
      </c>
      <c r="AE471" s="7"/>
      <c r="AF471" s="6"/>
      <c r="AG471" s="6"/>
      <c r="AH471" s="6"/>
    </row>
    <row r="472">
      <c r="A472" s="130" t="s">
        <v>230</v>
      </c>
      <c r="B472" s="130" t="s">
        <v>863</v>
      </c>
      <c r="C472" s="36" t="s">
        <v>511</v>
      </c>
      <c r="D472" s="130" t="s">
        <v>871</v>
      </c>
      <c r="E472" s="138"/>
      <c r="F472" s="138"/>
      <c r="G472" s="138">
        <v>0.0</v>
      </c>
      <c r="H472" s="138">
        <v>70.299</v>
      </c>
      <c r="I472" s="197"/>
      <c r="J472" s="198"/>
      <c r="K472" s="199" t="e">
        <v>#N/A</v>
      </c>
      <c r="L472" s="199" t="e">
        <v>#N/A</v>
      </c>
      <c r="M472" s="138"/>
      <c r="N472" s="138"/>
      <c r="O472" s="130" t="s">
        <v>42</v>
      </c>
      <c r="P472" s="226">
        <v>26200.0</v>
      </c>
      <c r="Q472" s="130" t="s">
        <v>234</v>
      </c>
      <c r="R472" s="138">
        <v>2014.0</v>
      </c>
      <c r="S472" s="136">
        <v>0.266</v>
      </c>
      <c r="T472" s="194">
        <f t="shared" si="82"/>
        <v>6969.2</v>
      </c>
      <c r="U472" s="24">
        <f t="shared" si="3"/>
        <v>99.13654533</v>
      </c>
      <c r="V472" s="3">
        <f t="shared" si="28"/>
        <v>0</v>
      </c>
      <c r="W472" s="3">
        <f t="shared" si="29"/>
        <v>0</v>
      </c>
      <c r="X472" s="3">
        <f t="shared" si="30"/>
        <v>0</v>
      </c>
      <c r="Y472" s="25">
        <f t="shared" si="31"/>
        <v>0</v>
      </c>
      <c r="Z472" s="26">
        <f>VLOOKUP(R472,CPI!$A$2:$F$71,6,0)</f>
        <v>1.360648571</v>
      </c>
      <c r="AA472" s="27">
        <f t="shared" si="8"/>
        <v>9482.632018</v>
      </c>
      <c r="AB472" s="27">
        <f t="shared" si="9"/>
        <v>134.8899987</v>
      </c>
      <c r="AC472" s="130" t="s">
        <v>42</v>
      </c>
      <c r="AD472" s="196" t="s">
        <v>870</v>
      </c>
      <c r="AE472" s="7"/>
      <c r="AF472" s="7"/>
      <c r="AG472" s="7"/>
      <c r="AH472" s="7"/>
    </row>
    <row r="473">
      <c r="A473" s="123" t="s">
        <v>230</v>
      </c>
      <c r="B473" s="123" t="s">
        <v>872</v>
      </c>
      <c r="C473" s="36" t="s">
        <v>57</v>
      </c>
      <c r="D473" s="123" t="s">
        <v>232</v>
      </c>
      <c r="E473" s="75">
        <v>2000.0</v>
      </c>
      <c r="F473" s="75">
        <v>2003.0</v>
      </c>
      <c r="G473" s="75">
        <v>0.0</v>
      </c>
      <c r="H473" s="75">
        <v>10.234</v>
      </c>
      <c r="I473" s="124">
        <v>0.0</v>
      </c>
      <c r="J473" s="75">
        <v>0.0</v>
      </c>
      <c r="K473" s="125">
        <v>10.23</v>
      </c>
      <c r="L473" s="125">
        <v>0.0</v>
      </c>
      <c r="M473" s="75">
        <v>10.0</v>
      </c>
      <c r="N473" s="152">
        <v>78.0</v>
      </c>
      <c r="O473" s="123" t="s">
        <v>74</v>
      </c>
      <c r="P473" s="126">
        <f>2.199*10^3</f>
        <v>2199</v>
      </c>
      <c r="Q473" s="123" t="s">
        <v>234</v>
      </c>
      <c r="R473" s="75">
        <v>2000.0</v>
      </c>
      <c r="S473" s="136">
        <v>0.367</v>
      </c>
      <c r="T473" s="128">
        <f t="shared" ref="T473:T476" si="83">P473*S473</f>
        <v>807.033</v>
      </c>
      <c r="U473" s="24">
        <f t="shared" si="3"/>
        <v>78.85802228</v>
      </c>
      <c r="V473" s="3">
        <f t="shared" si="28"/>
        <v>0</v>
      </c>
      <c r="W473" s="3">
        <f t="shared" si="29"/>
        <v>0</v>
      </c>
      <c r="X473" s="3">
        <f t="shared" si="30"/>
        <v>0</v>
      </c>
      <c r="Y473" s="25">
        <f t="shared" si="31"/>
        <v>0</v>
      </c>
      <c r="Z473" s="26">
        <f>VLOOKUP(R473,CPI!$A$2:$F$71,6,0)</f>
        <v>1.870583624</v>
      </c>
      <c r="AA473" s="27">
        <f t="shared" si="8"/>
        <v>1509.622714</v>
      </c>
      <c r="AB473" s="27">
        <f t="shared" si="9"/>
        <v>147.5105251</v>
      </c>
      <c r="AC473" s="123" t="s">
        <v>42</v>
      </c>
      <c r="AD473" s="154" t="s">
        <v>873</v>
      </c>
      <c r="AE473" s="178"/>
      <c r="AF473" s="172"/>
      <c r="AG473" s="172"/>
      <c r="AH473" s="172"/>
    </row>
    <row r="474">
      <c r="A474" s="123" t="s">
        <v>230</v>
      </c>
      <c r="B474" s="123" t="s">
        <v>872</v>
      </c>
      <c r="C474" s="36" t="s">
        <v>57</v>
      </c>
      <c r="D474" s="123" t="s">
        <v>410</v>
      </c>
      <c r="E474" s="75">
        <v>2005.0</v>
      </c>
      <c r="F474" s="75">
        <v>2010.0</v>
      </c>
      <c r="G474" s="75">
        <v>0.0</v>
      </c>
      <c r="H474" s="75">
        <v>18.25</v>
      </c>
      <c r="I474" s="124">
        <v>0.0</v>
      </c>
      <c r="J474" s="75">
        <v>0.0</v>
      </c>
      <c r="K474" s="125">
        <v>18.25</v>
      </c>
      <c r="L474" s="125">
        <v>0.0</v>
      </c>
      <c r="M474" s="75">
        <v>16.0</v>
      </c>
      <c r="N474" s="75"/>
      <c r="O474" s="123" t="s">
        <v>42</v>
      </c>
      <c r="P474" s="126">
        <f>4.6498*10^3</f>
        <v>4649.8</v>
      </c>
      <c r="Q474" s="123" t="s">
        <v>234</v>
      </c>
      <c r="R474" s="75">
        <v>2005.0</v>
      </c>
      <c r="S474" s="136">
        <v>0.3519</v>
      </c>
      <c r="T474" s="128">
        <f t="shared" si="83"/>
        <v>1636.26462</v>
      </c>
      <c r="U474" s="24">
        <f t="shared" si="3"/>
        <v>89.65833534</v>
      </c>
      <c r="V474" s="3">
        <f t="shared" si="28"/>
        <v>0</v>
      </c>
      <c r="W474" s="3">
        <f t="shared" si="29"/>
        <v>0</v>
      </c>
      <c r="X474" s="3">
        <f t="shared" si="30"/>
        <v>0</v>
      </c>
      <c r="Y474" s="25">
        <f t="shared" si="31"/>
        <v>0</v>
      </c>
      <c r="Z474" s="26">
        <f>VLOOKUP(R474,CPI!$A$2:$F$71,6,0)</f>
        <v>1.649331797</v>
      </c>
      <c r="AA474" s="27">
        <f t="shared" si="8"/>
        <v>2698.743266</v>
      </c>
      <c r="AB474" s="27">
        <f t="shared" si="9"/>
        <v>147.8763434</v>
      </c>
      <c r="AC474" s="123" t="s">
        <v>42</v>
      </c>
      <c r="AD474" s="154" t="s">
        <v>873</v>
      </c>
      <c r="AE474" s="178"/>
      <c r="AF474" s="172"/>
      <c r="AG474" s="172"/>
      <c r="AH474" s="172"/>
    </row>
    <row r="475">
      <c r="A475" s="123" t="s">
        <v>230</v>
      </c>
      <c r="B475" s="123" t="s">
        <v>872</v>
      </c>
      <c r="C475" s="36" t="s">
        <v>57</v>
      </c>
      <c r="D475" s="123" t="s">
        <v>875</v>
      </c>
      <c r="E475" s="75">
        <v>2011.0</v>
      </c>
      <c r="F475" s="75">
        <v>2013.0</v>
      </c>
      <c r="G475" s="75">
        <v>0.0</v>
      </c>
      <c r="H475" s="75">
        <v>5.7</v>
      </c>
      <c r="I475" s="124">
        <v>0.0</v>
      </c>
      <c r="J475" s="75">
        <v>0.0</v>
      </c>
      <c r="K475" s="125">
        <v>5.7</v>
      </c>
      <c r="L475" s="125">
        <v>0.0</v>
      </c>
      <c r="M475" s="75">
        <v>3.0</v>
      </c>
      <c r="N475" s="75"/>
      <c r="O475" s="123" t="s">
        <v>42</v>
      </c>
      <c r="P475" s="126">
        <f>2.361*10^3</f>
        <v>2361</v>
      </c>
      <c r="Q475" s="123" t="s">
        <v>234</v>
      </c>
      <c r="R475" s="75">
        <v>2011.0</v>
      </c>
      <c r="S475" s="136">
        <v>0.284</v>
      </c>
      <c r="T475" s="128">
        <f t="shared" si="83"/>
        <v>670.524</v>
      </c>
      <c r="U475" s="24">
        <f t="shared" si="3"/>
        <v>117.6357895</v>
      </c>
      <c r="V475" s="3">
        <f t="shared" si="28"/>
        <v>0</v>
      </c>
      <c r="W475" s="3">
        <f t="shared" si="29"/>
        <v>0</v>
      </c>
      <c r="X475" s="3">
        <f t="shared" si="30"/>
        <v>0</v>
      </c>
      <c r="Y475" s="25">
        <f t="shared" si="31"/>
        <v>0</v>
      </c>
      <c r="Z475" s="26">
        <f>VLOOKUP(R475,CPI!$A$2:$F$71,6,0)</f>
        <v>1.432008233</v>
      </c>
      <c r="AA475" s="27">
        <f t="shared" si="8"/>
        <v>960.1958887</v>
      </c>
      <c r="AB475" s="27">
        <f t="shared" si="9"/>
        <v>168.4554191</v>
      </c>
      <c r="AC475" s="123" t="s">
        <v>42</v>
      </c>
      <c r="AD475" s="154" t="s">
        <v>876</v>
      </c>
      <c r="AE475" s="178"/>
      <c r="AF475" s="172"/>
      <c r="AG475" s="172"/>
      <c r="AH475" s="172"/>
    </row>
    <row r="476">
      <c r="A476" s="114" t="s">
        <v>230</v>
      </c>
      <c r="B476" s="114" t="s">
        <v>872</v>
      </c>
      <c r="C476" s="16" t="s">
        <v>87</v>
      </c>
      <c r="D476" s="115" t="s">
        <v>331</v>
      </c>
      <c r="E476" s="116">
        <v>2012.0</v>
      </c>
      <c r="F476" s="116">
        <v>2015.0</v>
      </c>
      <c r="G476" s="116">
        <v>0.0</v>
      </c>
      <c r="H476" s="116">
        <v>27.9</v>
      </c>
      <c r="I476" s="117">
        <v>1.0</v>
      </c>
      <c r="J476" s="116">
        <v>27.9</v>
      </c>
      <c r="K476" s="114"/>
      <c r="L476" s="114"/>
      <c r="M476" s="116">
        <v>23.0</v>
      </c>
      <c r="N476" s="116">
        <v>117.0</v>
      </c>
      <c r="O476" s="114"/>
      <c r="P476" s="140">
        <v>21423.0</v>
      </c>
      <c r="Q476" s="114" t="s">
        <v>234</v>
      </c>
      <c r="R476" s="115">
        <v>2014.0</v>
      </c>
      <c r="S476" s="115">
        <v>0.266</v>
      </c>
      <c r="T476" s="118">
        <f t="shared" si="83"/>
        <v>5698.518</v>
      </c>
      <c r="U476" s="24">
        <f t="shared" si="3"/>
        <v>204.247957</v>
      </c>
      <c r="V476" s="3">
        <f t="shared" si="28"/>
        <v>0</v>
      </c>
      <c r="W476" s="3">
        <f t="shared" si="29"/>
        <v>0</v>
      </c>
      <c r="X476" s="3">
        <f t="shared" si="30"/>
        <v>0</v>
      </c>
      <c r="Y476" s="25">
        <f t="shared" si="31"/>
        <v>0</v>
      </c>
      <c r="Z476" s="26">
        <f>VLOOKUP(R476,CPI!$A$2:$F$71,6,0)</f>
        <v>1.360648571</v>
      </c>
      <c r="AA476" s="27">
        <f t="shared" si="8"/>
        <v>7753.680371</v>
      </c>
      <c r="AB476" s="27">
        <f t="shared" si="9"/>
        <v>277.9096907</v>
      </c>
      <c r="AC476" s="114"/>
      <c r="AD476" s="119" t="s">
        <v>877</v>
      </c>
      <c r="AE476" s="114"/>
      <c r="AF476" s="114"/>
      <c r="AG476" s="114"/>
      <c r="AH476" s="114"/>
    </row>
    <row r="477">
      <c r="A477" s="130" t="s">
        <v>230</v>
      </c>
      <c r="B477" s="130" t="s">
        <v>872</v>
      </c>
      <c r="C477" s="36" t="s">
        <v>57</v>
      </c>
      <c r="D477" s="130" t="s">
        <v>878</v>
      </c>
      <c r="E477" s="130">
        <v>2015.0</v>
      </c>
      <c r="F477" s="130">
        <v>2017.0</v>
      </c>
      <c r="G477" s="130">
        <v>0.0</v>
      </c>
      <c r="H477" s="130">
        <v>3.97</v>
      </c>
      <c r="I477" s="131">
        <v>0.0</v>
      </c>
      <c r="J477" s="130">
        <v>0.0</v>
      </c>
      <c r="K477" s="132">
        <v>3.97</v>
      </c>
      <c r="L477" s="132">
        <v>0.0</v>
      </c>
      <c r="M477" s="130">
        <v>2.0</v>
      </c>
      <c r="N477" s="138"/>
      <c r="O477" s="130" t="s">
        <v>59</v>
      </c>
      <c r="P477" s="135">
        <v>1740.0</v>
      </c>
      <c r="Q477" s="130" t="s">
        <v>234</v>
      </c>
      <c r="R477" s="130">
        <v>2015.0</v>
      </c>
      <c r="S477" s="136">
        <v>0.258</v>
      </c>
      <c r="T477" s="128">
        <f>S477*P477</f>
        <v>448.92</v>
      </c>
      <c r="U477" s="24">
        <f t="shared" si="3"/>
        <v>113.0780856</v>
      </c>
      <c r="V477" s="3">
        <f t="shared" si="28"/>
        <v>0</v>
      </c>
      <c r="W477" s="3">
        <f t="shared" si="29"/>
        <v>0</v>
      </c>
      <c r="X477" s="3">
        <f t="shared" si="30"/>
        <v>0</v>
      </c>
      <c r="Y477" s="25">
        <f t="shared" si="31"/>
        <v>0</v>
      </c>
      <c r="Z477" s="26">
        <f>VLOOKUP(R477,CPI!$A$2:$F$71,6,0)</f>
        <v>1.359035428</v>
      </c>
      <c r="AA477" s="27">
        <f t="shared" si="8"/>
        <v>610.0981843</v>
      </c>
      <c r="AB477" s="27">
        <f t="shared" si="9"/>
        <v>153.6771245</v>
      </c>
      <c r="AC477" s="134" t="s">
        <v>42</v>
      </c>
      <c r="AD477" s="137" t="s">
        <v>879</v>
      </c>
      <c r="AE477" s="178"/>
      <c r="AF477" s="172"/>
      <c r="AG477" s="172"/>
      <c r="AH477" s="172"/>
    </row>
    <row r="478">
      <c r="A478" s="221" t="s">
        <v>230</v>
      </c>
      <c r="B478" s="221" t="s">
        <v>872</v>
      </c>
      <c r="C478" s="36" t="s">
        <v>110</v>
      </c>
      <c r="D478" s="221" t="s">
        <v>880</v>
      </c>
      <c r="E478" s="227">
        <v>2016.0</v>
      </c>
      <c r="F478" s="227">
        <v>2018.0</v>
      </c>
      <c r="G478" s="227">
        <v>0.0</v>
      </c>
      <c r="H478" s="227">
        <v>4.0</v>
      </c>
      <c r="I478" s="228">
        <v>0.85</v>
      </c>
      <c r="J478" s="227">
        <v>3.4</v>
      </c>
      <c r="K478" s="229">
        <v>0.0</v>
      </c>
      <c r="L478" s="229">
        <v>0.0</v>
      </c>
      <c r="M478" s="227">
        <v>2.0</v>
      </c>
      <c r="N478" s="227"/>
      <c r="O478" s="221" t="s">
        <v>60</v>
      </c>
      <c r="P478" s="230">
        <v>2634.0</v>
      </c>
      <c r="Q478" s="221" t="s">
        <v>234</v>
      </c>
      <c r="R478" s="227">
        <v>2015.0</v>
      </c>
      <c r="S478" s="136">
        <v>0.258</v>
      </c>
      <c r="T478" s="128">
        <f t="shared" ref="T478:T491" si="84">P478*S478</f>
        <v>679.572</v>
      </c>
      <c r="U478" s="24">
        <f t="shared" si="3"/>
        <v>169.893</v>
      </c>
      <c r="V478" s="3">
        <f t="shared" si="28"/>
        <v>0</v>
      </c>
      <c r="W478" s="3">
        <f t="shared" si="29"/>
        <v>0</v>
      </c>
      <c r="X478" s="3">
        <f t="shared" si="30"/>
        <v>0</v>
      </c>
      <c r="Y478" s="25">
        <f t="shared" si="31"/>
        <v>0</v>
      </c>
      <c r="Z478" s="26">
        <f>VLOOKUP(R478,CPI!$A$2:$F$71,6,0)</f>
        <v>1.359035428</v>
      </c>
      <c r="AA478" s="27">
        <f t="shared" si="8"/>
        <v>923.5624238</v>
      </c>
      <c r="AB478" s="27">
        <f t="shared" si="9"/>
        <v>230.8906059</v>
      </c>
      <c r="AC478" s="123" t="s">
        <v>60</v>
      </c>
      <c r="AD478" s="223" t="s">
        <v>881</v>
      </c>
      <c r="AE478" s="178"/>
      <c r="AF478" s="172"/>
      <c r="AG478" s="172"/>
      <c r="AH478" s="172"/>
    </row>
    <row r="479">
      <c r="A479" s="123" t="s">
        <v>230</v>
      </c>
      <c r="B479" s="123" t="s">
        <v>872</v>
      </c>
      <c r="C479" s="36" t="s">
        <v>228</v>
      </c>
      <c r="D479" s="123" t="s">
        <v>882</v>
      </c>
      <c r="E479" s="75">
        <v>2016.0</v>
      </c>
      <c r="F479" s="75">
        <v>2020.0</v>
      </c>
      <c r="G479" s="75">
        <v>0.0</v>
      </c>
      <c r="H479" s="75">
        <v>14.2</v>
      </c>
      <c r="I479" s="124">
        <v>1.0</v>
      </c>
      <c r="J479" s="75">
        <v>14.2</v>
      </c>
      <c r="K479" s="125">
        <v>0.0</v>
      </c>
      <c r="L479" s="125">
        <v>0.0</v>
      </c>
      <c r="M479" s="75">
        <v>7.0</v>
      </c>
      <c r="N479" s="75"/>
      <c r="O479" s="123" t="s">
        <v>60</v>
      </c>
      <c r="P479" s="126">
        <v>9600.0</v>
      </c>
      <c r="Q479" s="123" t="s">
        <v>234</v>
      </c>
      <c r="R479" s="75">
        <v>2015.0</v>
      </c>
      <c r="S479" s="136">
        <v>0.258</v>
      </c>
      <c r="T479" s="128">
        <f t="shared" si="84"/>
        <v>2476.8</v>
      </c>
      <c r="U479" s="24">
        <f t="shared" si="3"/>
        <v>174.4225352</v>
      </c>
      <c r="V479" s="3">
        <f t="shared" si="28"/>
        <v>0</v>
      </c>
      <c r="W479" s="3">
        <f t="shared" si="29"/>
        <v>0</v>
      </c>
      <c r="X479" s="3">
        <f t="shared" si="30"/>
        <v>0</v>
      </c>
      <c r="Y479" s="25">
        <f t="shared" si="31"/>
        <v>0</v>
      </c>
      <c r="Z479" s="26">
        <f>VLOOKUP(R479,CPI!$A$2:$F$71,6,0)</f>
        <v>1.359035428</v>
      </c>
      <c r="AA479" s="27">
        <f t="shared" si="8"/>
        <v>3366.058948</v>
      </c>
      <c r="AB479" s="27">
        <f t="shared" si="9"/>
        <v>237.0464048</v>
      </c>
      <c r="AC479" s="123" t="s">
        <v>60</v>
      </c>
      <c r="AD479" s="129" t="s">
        <v>881</v>
      </c>
      <c r="AE479" s="178"/>
      <c r="AF479" s="172"/>
      <c r="AG479" s="172"/>
      <c r="AH479" s="172"/>
    </row>
    <row r="480">
      <c r="A480" s="72" t="s">
        <v>230</v>
      </c>
      <c r="B480" s="72" t="s">
        <v>872</v>
      </c>
      <c r="C480" s="115" t="s">
        <v>243</v>
      </c>
      <c r="D480" s="115" t="s">
        <v>373</v>
      </c>
      <c r="E480" s="69">
        <v>2016.0</v>
      </c>
      <c r="F480" s="69">
        <v>2021.0</v>
      </c>
      <c r="G480" s="69">
        <v>0.0</v>
      </c>
      <c r="H480" s="69">
        <v>17.6</v>
      </c>
      <c r="I480" s="117">
        <v>1.0</v>
      </c>
      <c r="J480" s="69">
        <v>17.6</v>
      </c>
      <c r="K480" s="72"/>
      <c r="L480" s="72"/>
      <c r="M480" s="69">
        <v>12.0</v>
      </c>
      <c r="N480" s="70">
        <v>184.0</v>
      </c>
      <c r="O480" s="72"/>
      <c r="P480" s="140">
        <v>14670.0</v>
      </c>
      <c r="Q480" s="72" t="s">
        <v>234</v>
      </c>
      <c r="R480" s="75">
        <v>2018.0</v>
      </c>
      <c r="S480" s="136">
        <v>0.237</v>
      </c>
      <c r="T480" s="118">
        <f t="shared" si="84"/>
        <v>3476.79</v>
      </c>
      <c r="U480" s="24">
        <f t="shared" si="3"/>
        <v>197.5448864</v>
      </c>
      <c r="V480" s="3">
        <f t="shared" si="28"/>
        <v>0</v>
      </c>
      <c r="W480" s="3">
        <f t="shared" si="29"/>
        <v>0</v>
      </c>
      <c r="X480" s="3">
        <f t="shared" si="30"/>
        <v>0</v>
      </c>
      <c r="Y480" s="25">
        <f t="shared" si="31"/>
        <v>0</v>
      </c>
      <c r="Z480" s="26">
        <f>VLOOKUP(R480,CPI!$A$2:$F$71,6,0)</f>
        <v>1.28277786</v>
      </c>
      <c r="AA480" s="27">
        <f t="shared" si="8"/>
        <v>4459.949235</v>
      </c>
      <c r="AB480" s="27">
        <f t="shared" si="9"/>
        <v>253.4062065</v>
      </c>
      <c r="AC480" s="72" t="s">
        <v>36</v>
      </c>
      <c r="AD480" s="79" t="s">
        <v>883</v>
      </c>
      <c r="AE480" s="164"/>
      <c r="AF480" s="187"/>
      <c r="AG480" s="187"/>
      <c r="AH480" s="187"/>
    </row>
    <row r="481">
      <c r="A481" s="123" t="s">
        <v>230</v>
      </c>
      <c r="B481" s="123" t="s">
        <v>872</v>
      </c>
      <c r="C481" s="36" t="s">
        <v>292</v>
      </c>
      <c r="D481" s="123" t="s">
        <v>884</v>
      </c>
      <c r="E481" s="75">
        <v>2017.0</v>
      </c>
      <c r="F481" s="75">
        <v>2021.0</v>
      </c>
      <c r="G481" s="75">
        <v>0.0</v>
      </c>
      <c r="H481" s="75">
        <v>32.1</v>
      </c>
      <c r="I481" s="124">
        <v>1.0</v>
      </c>
      <c r="J481" s="75">
        <v>32.1</v>
      </c>
      <c r="K481" s="125">
        <v>0.0</v>
      </c>
      <c r="L481" s="125">
        <v>0.0</v>
      </c>
      <c r="M481" s="75">
        <v>20.0</v>
      </c>
      <c r="N481" s="75"/>
      <c r="O481" s="123" t="s">
        <v>60</v>
      </c>
      <c r="P481" s="126">
        <v>24620.0</v>
      </c>
      <c r="Q481" s="123" t="s">
        <v>234</v>
      </c>
      <c r="R481" s="75">
        <v>2015.0</v>
      </c>
      <c r="S481" s="136">
        <v>0.258</v>
      </c>
      <c r="T481" s="128">
        <f t="shared" si="84"/>
        <v>6351.96</v>
      </c>
      <c r="U481" s="24">
        <f t="shared" si="3"/>
        <v>197.8803738</v>
      </c>
      <c r="V481" s="3">
        <f t="shared" si="28"/>
        <v>0</v>
      </c>
      <c r="W481" s="3">
        <f t="shared" si="29"/>
        <v>0</v>
      </c>
      <c r="X481" s="3">
        <f t="shared" si="30"/>
        <v>0</v>
      </c>
      <c r="Y481" s="25">
        <f t="shared" si="31"/>
        <v>0</v>
      </c>
      <c r="Z481" s="26">
        <f>VLOOKUP(R481,CPI!$A$2:$F$71,6,0)</f>
        <v>1.359035428</v>
      </c>
      <c r="AA481" s="27">
        <f t="shared" si="8"/>
        <v>8632.538676</v>
      </c>
      <c r="AB481" s="27">
        <f t="shared" si="9"/>
        <v>268.9264385</v>
      </c>
      <c r="AC481" s="123" t="s">
        <v>60</v>
      </c>
      <c r="AD481" s="129" t="s">
        <v>881</v>
      </c>
      <c r="AE481" s="178"/>
      <c r="AF481" s="172"/>
      <c r="AG481" s="172"/>
      <c r="AH481" s="172"/>
    </row>
    <row r="482">
      <c r="A482" s="72" t="s">
        <v>230</v>
      </c>
      <c r="B482" s="72" t="s">
        <v>872</v>
      </c>
      <c r="C482" s="72" t="s">
        <v>84</v>
      </c>
      <c r="D482" s="72" t="s">
        <v>84</v>
      </c>
      <c r="E482" s="69">
        <v>2017.0</v>
      </c>
      <c r="F482" s="69">
        <v>2021.0</v>
      </c>
      <c r="G482" s="69">
        <v>0.0</v>
      </c>
      <c r="H482" s="69">
        <v>33.59</v>
      </c>
      <c r="I482" s="117">
        <v>0.75</v>
      </c>
      <c r="J482" s="69">
        <v>25.33</v>
      </c>
      <c r="K482" s="72"/>
      <c r="L482" s="72"/>
      <c r="M482" s="69">
        <v>26.0</v>
      </c>
      <c r="N482" s="69">
        <v>138.0</v>
      </c>
      <c r="O482" s="72"/>
      <c r="P482" s="140">
        <v>23266.0</v>
      </c>
      <c r="Q482" s="72" t="s">
        <v>234</v>
      </c>
      <c r="R482" s="75">
        <v>2019.0</v>
      </c>
      <c r="S482" s="136">
        <v>0.238</v>
      </c>
      <c r="T482" s="118">
        <f t="shared" si="84"/>
        <v>5537.308</v>
      </c>
      <c r="U482" s="24">
        <f t="shared" si="3"/>
        <v>164.8498958</v>
      </c>
      <c r="V482" s="3">
        <f t="shared" si="28"/>
        <v>0</v>
      </c>
      <c r="W482" s="3">
        <f t="shared" si="29"/>
        <v>0</v>
      </c>
      <c r="X482" s="3">
        <f t="shared" si="30"/>
        <v>0</v>
      </c>
      <c r="Y482" s="25">
        <f t="shared" si="31"/>
        <v>0</v>
      </c>
      <c r="Z482" s="26">
        <f>VLOOKUP(R482,CPI!$A$2:$F$71,6,0)</f>
        <v>1.259947899</v>
      </c>
      <c r="AA482" s="27">
        <f t="shared" si="8"/>
        <v>6976.71958</v>
      </c>
      <c r="AB482" s="27">
        <f t="shared" si="9"/>
        <v>207.7022799</v>
      </c>
      <c r="AC482" s="72" t="s">
        <v>36</v>
      </c>
      <c r="AD482" s="79" t="s">
        <v>885</v>
      </c>
      <c r="AE482" s="114"/>
      <c r="AF482" s="72"/>
      <c r="AG482" s="72"/>
      <c r="AH482" s="72"/>
    </row>
    <row r="483">
      <c r="A483" s="114" t="s">
        <v>230</v>
      </c>
      <c r="B483" s="114" t="s">
        <v>872</v>
      </c>
      <c r="C483" s="115" t="s">
        <v>292</v>
      </c>
      <c r="D483" s="115" t="s">
        <v>886</v>
      </c>
      <c r="E483" s="116">
        <v>2019.0</v>
      </c>
      <c r="F483" s="116">
        <v>2024.0</v>
      </c>
      <c r="G483" s="116">
        <v>0.0</v>
      </c>
      <c r="H483" s="116">
        <v>4.0</v>
      </c>
      <c r="I483" s="117">
        <v>1.0</v>
      </c>
      <c r="J483" s="116">
        <v>4.0</v>
      </c>
      <c r="K483" s="114"/>
      <c r="L483" s="114"/>
      <c r="M483" s="116">
        <v>2.0</v>
      </c>
      <c r="N483" s="116">
        <v>184.0</v>
      </c>
      <c r="O483" s="114"/>
      <c r="P483" s="140">
        <v>7989.0</v>
      </c>
      <c r="Q483" s="114" t="s">
        <v>234</v>
      </c>
      <c r="R483" s="115">
        <v>2021.0</v>
      </c>
      <c r="S483" s="136">
        <v>0.239000000000002</v>
      </c>
      <c r="T483" s="118">
        <f t="shared" si="84"/>
        <v>1909.371</v>
      </c>
      <c r="U483" s="24">
        <f t="shared" si="3"/>
        <v>477.34275</v>
      </c>
      <c r="V483" s="3">
        <f t="shared" si="28"/>
        <v>0</v>
      </c>
      <c r="W483" s="3">
        <f t="shared" si="29"/>
        <v>0</v>
      </c>
      <c r="X483" s="3">
        <f t="shared" si="30"/>
        <v>0</v>
      </c>
      <c r="Y483" s="25">
        <f t="shared" si="31"/>
        <v>0</v>
      </c>
      <c r="Z483" s="26">
        <f>VLOOKUP(R483,CPI!$A$2:$F$71,6,0)</f>
        <v>1.188745987</v>
      </c>
      <c r="AA483" s="27">
        <f t="shared" si="8"/>
        <v>2269.757113</v>
      </c>
      <c r="AB483" s="27">
        <f t="shared" si="9"/>
        <v>567.4392783</v>
      </c>
      <c r="AC483" s="114"/>
      <c r="AD483" s="161" t="s">
        <v>887</v>
      </c>
      <c r="AE483" s="164"/>
      <c r="AF483" s="165"/>
      <c r="AG483" s="165"/>
      <c r="AH483" s="165"/>
    </row>
    <row r="484">
      <c r="A484" s="123" t="s">
        <v>230</v>
      </c>
      <c r="B484" s="123" t="s">
        <v>872</v>
      </c>
      <c r="C484" s="36" t="s">
        <v>287</v>
      </c>
      <c r="D484" s="123" t="s">
        <v>888</v>
      </c>
      <c r="E484" s="75">
        <v>2020.0</v>
      </c>
      <c r="F484" s="75">
        <v>2024.0</v>
      </c>
      <c r="G484" s="75">
        <v>0.0</v>
      </c>
      <c r="H484" s="75">
        <v>59.9</v>
      </c>
      <c r="I484" s="124">
        <v>1.0</v>
      </c>
      <c r="J484" s="75">
        <v>59.9</v>
      </c>
      <c r="K484" s="125">
        <v>0.0</v>
      </c>
      <c r="L484" s="125">
        <v>0.0</v>
      </c>
      <c r="M484" s="75">
        <v>37.0</v>
      </c>
      <c r="N484" s="75"/>
      <c r="O484" s="123" t="s">
        <v>60</v>
      </c>
      <c r="P484" s="126">
        <v>58387.0</v>
      </c>
      <c r="Q484" s="123" t="s">
        <v>234</v>
      </c>
      <c r="R484" s="75">
        <v>2018.0</v>
      </c>
      <c r="S484" s="136">
        <v>0.237</v>
      </c>
      <c r="T484" s="128">
        <f t="shared" si="84"/>
        <v>13837.719</v>
      </c>
      <c r="U484" s="24">
        <f t="shared" si="3"/>
        <v>231.0136728</v>
      </c>
      <c r="V484" s="3">
        <f t="shared" si="28"/>
        <v>0</v>
      </c>
      <c r="W484" s="3">
        <f t="shared" si="29"/>
        <v>0</v>
      </c>
      <c r="X484" s="3">
        <f t="shared" si="30"/>
        <v>0</v>
      </c>
      <c r="Y484" s="25">
        <f t="shared" si="31"/>
        <v>0</v>
      </c>
      <c r="Z484" s="26">
        <f>VLOOKUP(R484,CPI!$A$2:$F$71,6,0)</f>
        <v>1.28277786</v>
      </c>
      <c r="AA484" s="27">
        <f t="shared" si="8"/>
        <v>17750.71956</v>
      </c>
      <c r="AB484" s="27">
        <f t="shared" si="9"/>
        <v>296.3392247</v>
      </c>
      <c r="AC484" s="123" t="s">
        <v>60</v>
      </c>
      <c r="AD484" s="129" t="s">
        <v>887</v>
      </c>
      <c r="AE484" s="173"/>
      <c r="AF484" s="60"/>
      <c r="AG484" s="60"/>
      <c r="AH484" s="60"/>
    </row>
    <row r="485">
      <c r="A485" s="114" t="s">
        <v>230</v>
      </c>
      <c r="B485" s="114" t="s">
        <v>872</v>
      </c>
      <c r="C485" s="115" t="s">
        <v>292</v>
      </c>
      <c r="D485" s="115" t="s">
        <v>889</v>
      </c>
      <c r="E485" s="116">
        <v>2019.0</v>
      </c>
      <c r="F485" s="116">
        <v>2025.0</v>
      </c>
      <c r="G485" s="116">
        <v>0.0</v>
      </c>
      <c r="H485" s="116">
        <v>2.2</v>
      </c>
      <c r="I485" s="117">
        <v>1.0</v>
      </c>
      <c r="J485" s="116">
        <v>2.2</v>
      </c>
      <c r="K485" s="114"/>
      <c r="L485" s="114"/>
      <c r="M485" s="116">
        <v>2.0</v>
      </c>
      <c r="N485" s="116">
        <v>184.0</v>
      </c>
      <c r="O485" s="114"/>
      <c r="P485" s="140">
        <v>3901.0</v>
      </c>
      <c r="Q485" s="114" t="s">
        <v>234</v>
      </c>
      <c r="R485" s="115">
        <v>2021.0</v>
      </c>
      <c r="S485" s="136">
        <v>0.239000000000002</v>
      </c>
      <c r="T485" s="118">
        <f t="shared" si="84"/>
        <v>932.339</v>
      </c>
      <c r="U485" s="24">
        <f t="shared" si="3"/>
        <v>423.7904545</v>
      </c>
      <c r="V485" s="3">
        <f t="shared" si="28"/>
        <v>0</v>
      </c>
      <c r="W485" s="3">
        <f t="shared" si="29"/>
        <v>0</v>
      </c>
      <c r="X485" s="3">
        <f t="shared" si="30"/>
        <v>0</v>
      </c>
      <c r="Y485" s="25">
        <f t="shared" si="31"/>
        <v>0</v>
      </c>
      <c r="Z485" s="26">
        <f>VLOOKUP(R485,CPI!$A$2:$F$71,6,0)</f>
        <v>1.188745987</v>
      </c>
      <c r="AA485" s="27">
        <f t="shared" si="8"/>
        <v>1108.314244</v>
      </c>
      <c r="AB485" s="27">
        <f t="shared" si="9"/>
        <v>503.779202</v>
      </c>
      <c r="AC485" s="114"/>
      <c r="AD485" s="161" t="s">
        <v>887</v>
      </c>
      <c r="AE485" s="164"/>
      <c r="AF485" s="165"/>
      <c r="AG485" s="165"/>
      <c r="AH485" s="165"/>
    </row>
    <row r="486">
      <c r="A486" s="22" t="s">
        <v>230</v>
      </c>
      <c r="B486" s="22" t="s">
        <v>872</v>
      </c>
      <c r="C486" s="36" t="s">
        <v>110</v>
      </c>
      <c r="D486" s="22" t="s">
        <v>332</v>
      </c>
      <c r="E486" s="17">
        <v>2009.0</v>
      </c>
      <c r="F486" s="17"/>
      <c r="G486" s="17">
        <v>0.0</v>
      </c>
      <c r="H486" s="17">
        <v>15.4</v>
      </c>
      <c r="I486" s="19">
        <f>J486/H486</f>
        <v>1</v>
      </c>
      <c r="J486" s="17">
        <v>15.4</v>
      </c>
      <c r="K486" s="177">
        <v>0.0</v>
      </c>
      <c r="L486" s="177">
        <v>0.0</v>
      </c>
      <c r="M486" s="17">
        <v>15.0</v>
      </c>
      <c r="N486" s="17"/>
      <c r="O486" s="22" t="s">
        <v>42</v>
      </c>
      <c r="P486" s="23">
        <v>9400.0</v>
      </c>
      <c r="Q486" s="22" t="s">
        <v>234</v>
      </c>
      <c r="R486" s="17">
        <v>2009.0</v>
      </c>
      <c r="S486" s="136">
        <v>0.317</v>
      </c>
      <c r="T486" s="3">
        <f t="shared" si="84"/>
        <v>2979.8</v>
      </c>
      <c r="U486" s="24">
        <f t="shared" si="3"/>
        <v>193.4935065</v>
      </c>
      <c r="V486" s="3">
        <f t="shared" si="28"/>
        <v>0</v>
      </c>
      <c r="W486" s="3">
        <f t="shared" si="29"/>
        <v>0</v>
      </c>
      <c r="X486" s="3">
        <f t="shared" si="30"/>
        <v>0</v>
      </c>
      <c r="Y486" s="25">
        <f t="shared" si="31"/>
        <v>0</v>
      </c>
      <c r="Z486" s="26">
        <f>VLOOKUP(R486,CPI!$A$2:$F$71,6,0)</f>
        <v>1.501440311</v>
      </c>
      <c r="AA486" s="27">
        <f t="shared" si="8"/>
        <v>4473.991839</v>
      </c>
      <c r="AB486" s="27">
        <f t="shared" si="9"/>
        <v>290.5189506</v>
      </c>
      <c r="AC486" s="26" t="s">
        <v>60</v>
      </c>
      <c r="AD486" s="129" t="s">
        <v>890</v>
      </c>
      <c r="AE486" s="178"/>
      <c r="AF486" s="172"/>
      <c r="AG486" s="172"/>
      <c r="AH486" s="172"/>
    </row>
    <row r="487">
      <c r="A487" s="72" t="s">
        <v>230</v>
      </c>
      <c r="B487" s="72" t="s">
        <v>872</v>
      </c>
      <c r="C487" s="115" t="s">
        <v>54</v>
      </c>
      <c r="D487" s="72" t="s">
        <v>891</v>
      </c>
      <c r="E487" s="69">
        <v>2016.0</v>
      </c>
      <c r="F487" s="7"/>
      <c r="G487" s="69">
        <v>0.0</v>
      </c>
      <c r="H487" s="69">
        <v>19.8</v>
      </c>
      <c r="I487" s="117">
        <v>0.69</v>
      </c>
      <c r="J487" s="69">
        <v>13.7</v>
      </c>
      <c r="K487" s="72"/>
      <c r="L487" s="72"/>
      <c r="M487" s="69">
        <v>7.0</v>
      </c>
      <c r="N487" s="69">
        <v>156.0</v>
      </c>
      <c r="O487" s="72"/>
      <c r="P487" s="140">
        <v>9437.0</v>
      </c>
      <c r="Q487" s="72" t="s">
        <v>234</v>
      </c>
      <c r="R487" s="115">
        <v>2016.0</v>
      </c>
      <c r="S487" s="136">
        <v>0.251</v>
      </c>
      <c r="T487" s="118">
        <f t="shared" si="84"/>
        <v>2368.687</v>
      </c>
      <c r="U487" s="24">
        <f t="shared" si="3"/>
        <v>119.6306566</v>
      </c>
      <c r="V487" s="3">
        <f t="shared" si="28"/>
        <v>0</v>
      </c>
      <c r="W487" s="3">
        <f t="shared" si="29"/>
        <v>0</v>
      </c>
      <c r="X487" s="3">
        <f t="shared" si="30"/>
        <v>0</v>
      </c>
      <c r="Y487" s="25">
        <f t="shared" si="31"/>
        <v>0</v>
      </c>
      <c r="Z487" s="26">
        <f>VLOOKUP(R487,CPI!$A$2:$F$71,6,0)</f>
        <v>1.342104605</v>
      </c>
      <c r="AA487" s="27">
        <f t="shared" si="8"/>
        <v>3179.025731</v>
      </c>
      <c r="AB487" s="27">
        <f t="shared" si="9"/>
        <v>160.5568551</v>
      </c>
      <c r="AC487" s="72"/>
      <c r="AD487" s="79" t="s">
        <v>892</v>
      </c>
      <c r="AE487" s="186"/>
      <c r="AF487" s="187"/>
      <c r="AG487" s="231"/>
      <c r="AH487" s="187"/>
    </row>
    <row r="488">
      <c r="A488" s="72" t="s">
        <v>230</v>
      </c>
      <c r="B488" s="72" t="s">
        <v>872</v>
      </c>
      <c r="C488" s="72" t="s">
        <v>283</v>
      </c>
      <c r="D488" s="72" t="s">
        <v>283</v>
      </c>
      <c r="E488" s="69">
        <v>2020.0</v>
      </c>
      <c r="F488" s="72"/>
      <c r="G488" s="69">
        <v>0.0</v>
      </c>
      <c r="H488" s="69">
        <v>33.0</v>
      </c>
      <c r="I488" s="117">
        <v>0.38</v>
      </c>
      <c r="J488" s="69">
        <v>12.7</v>
      </c>
      <c r="K488" s="72"/>
      <c r="L488" s="72"/>
      <c r="M488" s="69">
        <v>12.0</v>
      </c>
      <c r="N488" s="69">
        <v>138.0</v>
      </c>
      <c r="O488" s="72"/>
      <c r="P488" s="140">
        <v>16974.0</v>
      </c>
      <c r="Q488" s="72" t="s">
        <v>234</v>
      </c>
      <c r="R488" s="115">
        <v>2020.0</v>
      </c>
      <c r="S488" s="136">
        <v>0.239</v>
      </c>
      <c r="T488" s="118">
        <f t="shared" si="84"/>
        <v>4056.786</v>
      </c>
      <c r="U488" s="24">
        <f t="shared" si="3"/>
        <v>122.9329091</v>
      </c>
      <c r="V488" s="3">
        <f t="shared" si="28"/>
        <v>0</v>
      </c>
      <c r="W488" s="3">
        <f t="shared" si="29"/>
        <v>0</v>
      </c>
      <c r="X488" s="3">
        <f t="shared" si="30"/>
        <v>0</v>
      </c>
      <c r="Y488" s="25">
        <f t="shared" si="31"/>
        <v>0</v>
      </c>
      <c r="Z488" s="26">
        <f>VLOOKUP(R488,CPI!$A$2:$F$71,6,0)</f>
        <v>1.244593545</v>
      </c>
      <c r="AA488" s="27">
        <f t="shared" si="8"/>
        <v>5049.049669</v>
      </c>
      <c r="AB488" s="27">
        <f t="shared" si="9"/>
        <v>153.0015051</v>
      </c>
      <c r="AC488" s="72" t="s">
        <v>36</v>
      </c>
      <c r="AD488" s="79" t="s">
        <v>893</v>
      </c>
      <c r="AE488" s="185" t="s">
        <v>887</v>
      </c>
      <c r="AF488" s="187"/>
      <c r="AG488" s="187"/>
      <c r="AH488" s="187"/>
    </row>
    <row r="489">
      <c r="A489" s="123" t="s">
        <v>230</v>
      </c>
      <c r="B489" s="123" t="s">
        <v>872</v>
      </c>
      <c r="C489" s="36" t="s">
        <v>292</v>
      </c>
      <c r="D489" s="123" t="s">
        <v>894</v>
      </c>
      <c r="E489" s="123"/>
      <c r="F489" s="123"/>
      <c r="G489" s="75">
        <v>0.0</v>
      </c>
      <c r="H489" s="75">
        <v>9.9</v>
      </c>
      <c r="I489" s="124">
        <v>1.0</v>
      </c>
      <c r="J489" s="75">
        <v>9.9</v>
      </c>
      <c r="K489" s="125">
        <v>0.0</v>
      </c>
      <c r="L489" s="125">
        <v>0.0</v>
      </c>
      <c r="M489" s="75">
        <v>6.0</v>
      </c>
      <c r="N489" s="75"/>
      <c r="O489" s="123" t="s">
        <v>60</v>
      </c>
      <c r="P489" s="126">
        <f>(79.89+39.01+16.25)*100</f>
        <v>13515</v>
      </c>
      <c r="Q489" s="123" t="s">
        <v>234</v>
      </c>
      <c r="R489" s="75">
        <v>2019.0</v>
      </c>
      <c r="S489" s="136">
        <v>0.238</v>
      </c>
      <c r="T489" s="128">
        <f t="shared" si="84"/>
        <v>3216.57</v>
      </c>
      <c r="U489" s="24">
        <f t="shared" si="3"/>
        <v>324.9060606</v>
      </c>
      <c r="V489" s="3">
        <f t="shared" si="28"/>
        <v>0</v>
      </c>
      <c r="W489" s="3">
        <f t="shared" si="29"/>
        <v>0</v>
      </c>
      <c r="X489" s="3">
        <f t="shared" si="30"/>
        <v>0</v>
      </c>
      <c r="Y489" s="25">
        <f t="shared" si="31"/>
        <v>0</v>
      </c>
      <c r="Z489" s="26">
        <f>VLOOKUP(R489,CPI!$A$2:$F$71,6,0)</f>
        <v>1.259947899</v>
      </c>
      <c r="AA489" s="27">
        <f t="shared" si="8"/>
        <v>4052.710613</v>
      </c>
      <c r="AB489" s="27">
        <f t="shared" si="9"/>
        <v>409.3647084</v>
      </c>
      <c r="AC489" s="123" t="s">
        <v>60</v>
      </c>
      <c r="AD489" s="129" t="s">
        <v>887</v>
      </c>
      <c r="AE489" s="173"/>
      <c r="AF489" s="60"/>
      <c r="AG489" s="60"/>
      <c r="AH489" s="60"/>
    </row>
    <row r="490">
      <c r="A490" s="123" t="s">
        <v>230</v>
      </c>
      <c r="B490" s="123" t="s">
        <v>872</v>
      </c>
      <c r="C490" s="123" t="s">
        <v>288</v>
      </c>
      <c r="D490" s="123" t="s">
        <v>288</v>
      </c>
      <c r="E490" s="123"/>
      <c r="F490" s="123"/>
      <c r="G490" s="75">
        <v>0.0</v>
      </c>
      <c r="H490" s="75">
        <v>20.6</v>
      </c>
      <c r="I490" s="124">
        <v>1.0</v>
      </c>
      <c r="J490" s="75">
        <v>20.6</v>
      </c>
      <c r="K490" s="125">
        <v>0.0</v>
      </c>
      <c r="L490" s="125">
        <v>0.0</v>
      </c>
      <c r="M490" s="75">
        <v>6.0</v>
      </c>
      <c r="N490" s="75"/>
      <c r="O490" s="123" t="s">
        <v>60</v>
      </c>
      <c r="P490" s="126">
        <v>17190.0</v>
      </c>
      <c r="Q490" s="123" t="s">
        <v>234</v>
      </c>
      <c r="R490" s="75">
        <v>2018.0</v>
      </c>
      <c r="S490" s="136">
        <v>0.237</v>
      </c>
      <c r="T490" s="128">
        <f t="shared" si="84"/>
        <v>4074.03</v>
      </c>
      <c r="U490" s="24">
        <f t="shared" si="3"/>
        <v>197.7684466</v>
      </c>
      <c r="V490" s="3">
        <f t="shared" si="28"/>
        <v>0</v>
      </c>
      <c r="W490" s="3">
        <f t="shared" si="29"/>
        <v>0</v>
      </c>
      <c r="X490" s="3">
        <f t="shared" si="30"/>
        <v>0</v>
      </c>
      <c r="Y490" s="25">
        <f t="shared" si="31"/>
        <v>0</v>
      </c>
      <c r="Z490" s="26">
        <f>VLOOKUP(R490,CPI!$A$2:$F$71,6,0)</f>
        <v>1.28277786</v>
      </c>
      <c r="AA490" s="27">
        <f t="shared" si="8"/>
        <v>5226.075483</v>
      </c>
      <c r="AB490" s="27">
        <f t="shared" si="9"/>
        <v>253.6929846</v>
      </c>
      <c r="AC490" s="123" t="s">
        <v>60</v>
      </c>
      <c r="AD490" s="129" t="s">
        <v>887</v>
      </c>
      <c r="AE490" s="178"/>
      <c r="AF490" s="172"/>
      <c r="AG490" s="172"/>
      <c r="AH490" s="172"/>
    </row>
    <row r="491">
      <c r="A491" s="123" t="s">
        <v>230</v>
      </c>
      <c r="B491" s="123" t="s">
        <v>872</v>
      </c>
      <c r="C491" s="36" t="s">
        <v>54</v>
      </c>
      <c r="D491" s="123" t="s">
        <v>770</v>
      </c>
      <c r="E491" s="123"/>
      <c r="F491" s="123"/>
      <c r="G491" s="75">
        <v>0.0</v>
      </c>
      <c r="H491" s="75">
        <v>13.35</v>
      </c>
      <c r="I491" s="124">
        <v>1.0</v>
      </c>
      <c r="J491" s="75">
        <v>13.35</v>
      </c>
      <c r="K491" s="125">
        <v>0.0</v>
      </c>
      <c r="L491" s="125">
        <v>0.0</v>
      </c>
      <c r="M491" s="75">
        <v>10.0</v>
      </c>
      <c r="N491" s="75"/>
      <c r="O491" s="123" t="s">
        <v>42</v>
      </c>
      <c r="P491" s="126">
        <v>16017.0</v>
      </c>
      <c r="Q491" s="123" t="s">
        <v>234</v>
      </c>
      <c r="R491" s="75">
        <v>2014.0</v>
      </c>
      <c r="S491" s="136">
        <v>0.266</v>
      </c>
      <c r="T491" s="128">
        <f t="shared" si="84"/>
        <v>4260.522</v>
      </c>
      <c r="U491" s="24">
        <f t="shared" si="3"/>
        <v>319.1402247</v>
      </c>
      <c r="V491" s="3">
        <f t="shared" si="28"/>
        <v>0</v>
      </c>
      <c r="W491" s="3">
        <f t="shared" si="29"/>
        <v>0</v>
      </c>
      <c r="X491" s="3">
        <f t="shared" si="30"/>
        <v>0</v>
      </c>
      <c r="Y491" s="25">
        <f t="shared" si="31"/>
        <v>0</v>
      </c>
      <c r="Z491" s="26">
        <f>VLOOKUP(R491,CPI!$A$2:$F$71,6,0)</f>
        <v>1.360648571</v>
      </c>
      <c r="AA491" s="27">
        <f t="shared" si="8"/>
        <v>5797.073169</v>
      </c>
      <c r="AB491" s="27">
        <f t="shared" si="9"/>
        <v>434.2376906</v>
      </c>
      <c r="AC491" s="123" t="s">
        <v>42</v>
      </c>
      <c r="AD491" s="129" t="s">
        <v>895</v>
      </c>
      <c r="AE491" s="173"/>
      <c r="AF491" s="60"/>
      <c r="AG491" s="60"/>
      <c r="AH491" s="60"/>
    </row>
    <row r="492">
      <c r="A492" s="130" t="s">
        <v>230</v>
      </c>
      <c r="B492" s="130" t="s">
        <v>872</v>
      </c>
      <c r="C492" s="130" t="s">
        <v>468</v>
      </c>
      <c r="D492" s="130" t="s">
        <v>468</v>
      </c>
      <c r="E492" s="130"/>
      <c r="F492" s="130"/>
      <c r="G492" s="130">
        <v>0.0</v>
      </c>
      <c r="H492" s="130">
        <v>33.7</v>
      </c>
      <c r="I492" s="131">
        <v>0.7181008902</v>
      </c>
      <c r="J492" s="130">
        <v>24.2</v>
      </c>
      <c r="K492" s="132">
        <v>9.773</v>
      </c>
      <c r="L492" s="132">
        <v>0.0</v>
      </c>
      <c r="M492" s="130">
        <v>15.0</v>
      </c>
      <c r="N492" s="138"/>
      <c r="O492" s="130" t="s">
        <v>60</v>
      </c>
      <c r="P492" s="135">
        <v>16107.0</v>
      </c>
      <c r="Q492" s="130" t="s">
        <v>234</v>
      </c>
      <c r="R492" s="130">
        <v>2015.0</v>
      </c>
      <c r="S492" s="136">
        <v>0.258</v>
      </c>
      <c r="T492" s="128">
        <f t="shared" ref="T492:T496" si="85">S492*P492</f>
        <v>4155.606</v>
      </c>
      <c r="U492" s="24">
        <f t="shared" si="3"/>
        <v>123.3117507</v>
      </c>
      <c r="V492" s="3">
        <f t="shared" si="28"/>
        <v>0</v>
      </c>
      <c r="W492" s="3">
        <f t="shared" si="29"/>
        <v>0</v>
      </c>
      <c r="X492" s="3">
        <f t="shared" si="30"/>
        <v>0</v>
      </c>
      <c r="Y492" s="25">
        <f t="shared" si="31"/>
        <v>0</v>
      </c>
      <c r="Z492" s="26">
        <f>VLOOKUP(R492,CPI!$A$2:$F$71,6,0)</f>
        <v>1.359035428</v>
      </c>
      <c r="AA492" s="27">
        <f t="shared" si="8"/>
        <v>5647.615778</v>
      </c>
      <c r="AB492" s="27">
        <f t="shared" si="9"/>
        <v>167.5850379</v>
      </c>
      <c r="AC492" s="130" t="s">
        <v>60</v>
      </c>
      <c r="AD492" s="137" t="s">
        <v>881</v>
      </c>
      <c r="AE492" s="178"/>
      <c r="AF492" s="172"/>
      <c r="AG492" s="172"/>
      <c r="AH492" s="172"/>
    </row>
    <row r="493">
      <c r="A493" s="130" t="s">
        <v>230</v>
      </c>
      <c r="B493" s="130" t="s">
        <v>872</v>
      </c>
      <c r="C493" s="16" t="s">
        <v>80</v>
      </c>
      <c r="D493" s="130" t="s">
        <v>265</v>
      </c>
      <c r="E493" s="130"/>
      <c r="F493" s="130"/>
      <c r="G493" s="130">
        <v>0.0</v>
      </c>
      <c r="H493" s="130">
        <v>7.0</v>
      </c>
      <c r="I493" s="131">
        <v>1.0</v>
      </c>
      <c r="J493" s="130">
        <v>7.0</v>
      </c>
      <c r="K493" s="132">
        <v>0.0</v>
      </c>
      <c r="L493" s="132">
        <v>0.0</v>
      </c>
      <c r="M493" s="130">
        <v>5.0</v>
      </c>
      <c r="N493" s="138"/>
      <c r="O493" s="130" t="s">
        <v>60</v>
      </c>
      <c r="P493" s="135">
        <v>4558.0</v>
      </c>
      <c r="Q493" s="130" t="s">
        <v>234</v>
      </c>
      <c r="R493" s="130">
        <v>2018.0</v>
      </c>
      <c r="S493" s="136">
        <v>0.237</v>
      </c>
      <c r="T493" s="128">
        <f t="shared" si="85"/>
        <v>1080.246</v>
      </c>
      <c r="U493" s="24">
        <f t="shared" si="3"/>
        <v>154.3208571</v>
      </c>
      <c r="V493" s="3">
        <f t="shared" si="28"/>
        <v>0</v>
      </c>
      <c r="W493" s="3">
        <f t="shared" si="29"/>
        <v>0</v>
      </c>
      <c r="X493" s="3">
        <f t="shared" si="30"/>
        <v>0</v>
      </c>
      <c r="Y493" s="25">
        <f t="shared" si="31"/>
        <v>0</v>
      </c>
      <c r="Z493" s="26">
        <f>VLOOKUP(R493,CPI!$A$2:$F$71,6,0)</f>
        <v>1.28277786</v>
      </c>
      <c r="AA493" s="27">
        <f t="shared" si="8"/>
        <v>1385.715652</v>
      </c>
      <c r="AB493" s="27">
        <f t="shared" si="9"/>
        <v>197.9593788</v>
      </c>
      <c r="AC493" s="130" t="s">
        <v>60</v>
      </c>
      <c r="AD493" s="137" t="s">
        <v>887</v>
      </c>
      <c r="AE493" s="130"/>
      <c r="AF493" s="130"/>
      <c r="AG493" s="130"/>
      <c r="AH493" s="130"/>
    </row>
    <row r="494">
      <c r="A494" s="130" t="s">
        <v>230</v>
      </c>
      <c r="B494" s="130" t="s">
        <v>872</v>
      </c>
      <c r="C494" s="36" t="s">
        <v>228</v>
      </c>
      <c r="D494" s="130" t="s">
        <v>722</v>
      </c>
      <c r="E494" s="130"/>
      <c r="F494" s="130"/>
      <c r="G494" s="130">
        <v>0.0</v>
      </c>
      <c r="H494" s="130">
        <v>33.6</v>
      </c>
      <c r="I494" s="131">
        <v>0.4047619048</v>
      </c>
      <c r="J494" s="130">
        <v>13.6</v>
      </c>
      <c r="K494" s="132">
        <v>0.0</v>
      </c>
      <c r="L494" s="132">
        <v>0.0</v>
      </c>
      <c r="M494" s="130">
        <v>9.0</v>
      </c>
      <c r="N494" s="138"/>
      <c r="O494" s="130" t="s">
        <v>60</v>
      </c>
      <c r="P494" s="135">
        <v>17559.0</v>
      </c>
      <c r="Q494" s="130" t="s">
        <v>234</v>
      </c>
      <c r="R494" s="130">
        <v>2018.0</v>
      </c>
      <c r="S494" s="136">
        <v>0.237</v>
      </c>
      <c r="T494" s="128">
        <f t="shared" si="85"/>
        <v>4161.483</v>
      </c>
      <c r="U494" s="24">
        <f t="shared" si="3"/>
        <v>123.8536607</v>
      </c>
      <c r="V494" s="3">
        <f t="shared" si="28"/>
        <v>0</v>
      </c>
      <c r="W494" s="3">
        <f t="shared" si="29"/>
        <v>0</v>
      </c>
      <c r="X494" s="3">
        <f t="shared" si="30"/>
        <v>0</v>
      </c>
      <c r="Y494" s="25">
        <f t="shared" si="31"/>
        <v>0</v>
      </c>
      <c r="Z494" s="26">
        <f>VLOOKUP(R494,CPI!$A$2:$F$71,6,0)</f>
        <v>1.28277786</v>
      </c>
      <c r="AA494" s="27">
        <f t="shared" si="8"/>
        <v>5338.258256</v>
      </c>
      <c r="AB494" s="27">
        <f t="shared" si="9"/>
        <v>158.8767338</v>
      </c>
      <c r="AC494" s="130" t="s">
        <v>60</v>
      </c>
      <c r="AD494" s="137" t="s">
        <v>887</v>
      </c>
      <c r="AE494" s="178"/>
      <c r="AF494" s="172"/>
      <c r="AG494" s="172"/>
      <c r="AH494" s="172"/>
    </row>
    <row r="495">
      <c r="A495" s="130" t="s">
        <v>230</v>
      </c>
      <c r="B495" s="130" t="s">
        <v>872</v>
      </c>
      <c r="C495" s="36" t="s">
        <v>243</v>
      </c>
      <c r="D495" s="130" t="s">
        <v>788</v>
      </c>
      <c r="E495" s="130"/>
      <c r="F495" s="130"/>
      <c r="G495" s="130">
        <v>0.0</v>
      </c>
      <c r="H495" s="130">
        <v>4.9</v>
      </c>
      <c r="I495" s="131">
        <v>1.0</v>
      </c>
      <c r="J495" s="130">
        <v>4.9</v>
      </c>
      <c r="K495" s="132">
        <v>0.0</v>
      </c>
      <c r="L495" s="132">
        <v>0.0</v>
      </c>
      <c r="M495" s="130">
        <v>2.0</v>
      </c>
      <c r="N495" s="138"/>
      <c r="O495" s="130" t="s">
        <v>60</v>
      </c>
      <c r="P495" s="232">
        <v>2597.0</v>
      </c>
      <c r="Q495" s="130" t="s">
        <v>234</v>
      </c>
      <c r="R495" s="130">
        <v>2018.0</v>
      </c>
      <c r="S495" s="136">
        <v>0.237</v>
      </c>
      <c r="T495" s="128">
        <f t="shared" si="85"/>
        <v>615.489</v>
      </c>
      <c r="U495" s="24">
        <f t="shared" si="3"/>
        <v>125.61</v>
      </c>
      <c r="V495" s="3">
        <f t="shared" si="28"/>
        <v>0</v>
      </c>
      <c r="W495" s="3">
        <f t="shared" si="29"/>
        <v>0</v>
      </c>
      <c r="X495" s="3">
        <f t="shared" si="30"/>
        <v>0</v>
      </c>
      <c r="Y495" s="25">
        <f t="shared" si="31"/>
        <v>0</v>
      </c>
      <c r="Z495" s="26">
        <f>VLOOKUP(R495,CPI!$A$2:$F$71,6,0)</f>
        <v>1.28277786</v>
      </c>
      <c r="AA495" s="27">
        <f t="shared" si="8"/>
        <v>789.5356621</v>
      </c>
      <c r="AB495" s="27">
        <f t="shared" si="9"/>
        <v>161.1297269</v>
      </c>
      <c r="AC495" s="130" t="s">
        <v>60</v>
      </c>
      <c r="AD495" s="137" t="s">
        <v>887</v>
      </c>
      <c r="AE495" s="178"/>
      <c r="AF495" s="172"/>
      <c r="AG495" s="172"/>
      <c r="AH495" s="172"/>
    </row>
    <row r="496">
      <c r="A496" s="130" t="s">
        <v>230</v>
      </c>
      <c r="B496" s="130" t="s">
        <v>872</v>
      </c>
      <c r="C496" s="130" t="s">
        <v>896</v>
      </c>
      <c r="D496" s="130" t="s">
        <v>896</v>
      </c>
      <c r="E496" s="130"/>
      <c r="F496" s="130"/>
      <c r="G496" s="130">
        <v>0.0</v>
      </c>
      <c r="H496" s="130">
        <v>30.2</v>
      </c>
      <c r="I496" s="131">
        <v>0.8410596026</v>
      </c>
      <c r="J496" s="130">
        <v>25.4</v>
      </c>
      <c r="K496" s="132">
        <v>0.0</v>
      </c>
      <c r="L496" s="132">
        <v>0.0</v>
      </c>
      <c r="M496" s="130">
        <v>11.0</v>
      </c>
      <c r="N496" s="138"/>
      <c r="O496" s="130" t="s">
        <v>60</v>
      </c>
      <c r="P496" s="135">
        <v>17681.0</v>
      </c>
      <c r="Q496" s="130" t="s">
        <v>234</v>
      </c>
      <c r="R496" s="130">
        <v>2018.0</v>
      </c>
      <c r="S496" s="136">
        <v>0.237</v>
      </c>
      <c r="T496" s="128">
        <f t="shared" si="85"/>
        <v>4190.397</v>
      </c>
      <c r="U496" s="24">
        <f t="shared" si="3"/>
        <v>138.7548675</v>
      </c>
      <c r="V496" s="3">
        <f t="shared" si="28"/>
        <v>0</v>
      </c>
      <c r="W496" s="3">
        <f t="shared" si="29"/>
        <v>0</v>
      </c>
      <c r="X496" s="3">
        <f t="shared" si="30"/>
        <v>0</v>
      </c>
      <c r="Y496" s="25">
        <f t="shared" si="31"/>
        <v>0</v>
      </c>
      <c r="Z496" s="26">
        <f>VLOOKUP(R496,CPI!$A$2:$F$71,6,0)</f>
        <v>1.28277786</v>
      </c>
      <c r="AA496" s="27">
        <f t="shared" si="8"/>
        <v>5375.348495</v>
      </c>
      <c r="AB496" s="27">
        <f t="shared" si="9"/>
        <v>177.991672</v>
      </c>
      <c r="AC496" s="130" t="s">
        <v>60</v>
      </c>
      <c r="AD496" s="137" t="s">
        <v>887</v>
      </c>
      <c r="AE496" s="178"/>
      <c r="AF496" s="172"/>
      <c r="AG496" s="172"/>
      <c r="AH496" s="172"/>
    </row>
    <row r="497">
      <c r="A497" s="114" t="s">
        <v>230</v>
      </c>
      <c r="B497" s="114" t="s">
        <v>897</v>
      </c>
      <c r="C497" s="114" t="s">
        <v>57</v>
      </c>
      <c r="D497" s="114" t="s">
        <v>57</v>
      </c>
      <c r="E497" s="114"/>
      <c r="F497" s="116">
        <v>2021.0</v>
      </c>
      <c r="G497" s="116">
        <v>0.0</v>
      </c>
      <c r="H497" s="116">
        <v>30.517</v>
      </c>
      <c r="I497" s="117">
        <v>0.0</v>
      </c>
      <c r="J497" s="116">
        <v>0.1</v>
      </c>
      <c r="K497" s="114"/>
      <c r="L497" s="114"/>
      <c r="M497" s="116">
        <v>25.0</v>
      </c>
      <c r="N497" s="116">
        <v>90.0</v>
      </c>
      <c r="O497" s="114"/>
      <c r="P497" s="140">
        <v>9100.0</v>
      </c>
      <c r="Q497" s="114" t="s">
        <v>234</v>
      </c>
      <c r="R497" s="115">
        <v>2021.0</v>
      </c>
      <c r="S497" s="136">
        <v>0.239000000000002</v>
      </c>
      <c r="T497" s="118">
        <f t="shared" ref="T497:T516" si="86">P497*S497</f>
        <v>2174.9</v>
      </c>
      <c r="U497" s="24">
        <f t="shared" si="3"/>
        <v>71.26847331</v>
      </c>
      <c r="V497" s="3">
        <f t="shared" si="28"/>
        <v>0</v>
      </c>
      <c r="W497" s="3">
        <f t="shared" si="29"/>
        <v>0</v>
      </c>
      <c r="X497" s="3">
        <f t="shared" si="30"/>
        <v>0</v>
      </c>
      <c r="Y497" s="25">
        <f t="shared" si="31"/>
        <v>0</v>
      </c>
      <c r="Z497" s="26">
        <f>VLOOKUP(R497,CPI!$A$2:$F$71,6,0)</f>
        <v>1.188745987</v>
      </c>
      <c r="AA497" s="27">
        <f t="shared" si="8"/>
        <v>2585.403646</v>
      </c>
      <c r="AB497" s="27">
        <f t="shared" si="9"/>
        <v>84.72011162</v>
      </c>
      <c r="AC497" s="114"/>
      <c r="AD497" s="119" t="s">
        <v>898</v>
      </c>
      <c r="AE497" s="164"/>
      <c r="AF497" s="165"/>
      <c r="AG497" s="165"/>
      <c r="AH497" s="165"/>
    </row>
    <row r="498">
      <c r="A498" s="114" t="s">
        <v>230</v>
      </c>
      <c r="B498" s="114" t="s">
        <v>897</v>
      </c>
      <c r="C498" s="114" t="s">
        <v>54</v>
      </c>
      <c r="D498" s="114" t="s">
        <v>54</v>
      </c>
      <c r="E498" s="114"/>
      <c r="F498" s="116">
        <v>2021.0</v>
      </c>
      <c r="G498" s="116">
        <v>0.0</v>
      </c>
      <c r="H498" s="116">
        <v>14.94</v>
      </c>
      <c r="I498" s="117">
        <v>0.09</v>
      </c>
      <c r="J498" s="116">
        <v>1.3</v>
      </c>
      <c r="K498" s="114"/>
      <c r="L498" s="114"/>
      <c r="M498" s="116">
        <v>11.0</v>
      </c>
      <c r="N498" s="116">
        <v>90.0</v>
      </c>
      <c r="O498" s="114"/>
      <c r="P498" s="140">
        <v>5533.0</v>
      </c>
      <c r="Q498" s="114" t="s">
        <v>234</v>
      </c>
      <c r="R498" s="115">
        <v>2021.0</v>
      </c>
      <c r="S498" s="136">
        <v>0.239000000000002</v>
      </c>
      <c r="T498" s="118">
        <f t="shared" si="86"/>
        <v>1322.387</v>
      </c>
      <c r="U498" s="24">
        <f t="shared" si="3"/>
        <v>88.51318608</v>
      </c>
      <c r="V498" s="3">
        <f t="shared" si="28"/>
        <v>0</v>
      </c>
      <c r="W498" s="3">
        <f t="shared" si="29"/>
        <v>0</v>
      </c>
      <c r="X498" s="3">
        <f t="shared" si="30"/>
        <v>0</v>
      </c>
      <c r="Y498" s="25">
        <f t="shared" si="31"/>
        <v>0</v>
      </c>
      <c r="Z498" s="26">
        <f>VLOOKUP(R498,CPI!$A$2:$F$71,6,0)</f>
        <v>1.188745987</v>
      </c>
      <c r="AA498" s="27">
        <f t="shared" si="8"/>
        <v>1571.982239</v>
      </c>
      <c r="AB498" s="27">
        <f t="shared" si="9"/>
        <v>105.2196947</v>
      </c>
      <c r="AC498" s="114"/>
      <c r="AD498" s="119" t="s">
        <v>899</v>
      </c>
      <c r="AE498" s="164"/>
      <c r="AF498" s="165"/>
      <c r="AG498" s="165"/>
      <c r="AH498" s="165"/>
    </row>
    <row r="499">
      <c r="A499" s="114" t="s">
        <v>230</v>
      </c>
      <c r="B499" s="114" t="s">
        <v>900</v>
      </c>
      <c r="C499" s="16" t="s">
        <v>54</v>
      </c>
      <c r="D499" s="115" t="s">
        <v>348</v>
      </c>
      <c r="E499" s="116">
        <v>2010.0</v>
      </c>
      <c r="F499" s="116">
        <v>2014.0</v>
      </c>
      <c r="G499" s="116">
        <v>0.0</v>
      </c>
      <c r="H499" s="116">
        <v>26.3</v>
      </c>
      <c r="I499" s="117">
        <v>0.75</v>
      </c>
      <c r="J499" s="116">
        <v>19.6</v>
      </c>
      <c r="K499" s="114"/>
      <c r="L499" s="114"/>
      <c r="M499" s="116">
        <v>20.0</v>
      </c>
      <c r="N499" s="116">
        <v>117.0</v>
      </c>
      <c r="O499" s="114"/>
      <c r="P499" s="140">
        <v>17487.0</v>
      </c>
      <c r="Q499" s="114" t="s">
        <v>234</v>
      </c>
      <c r="R499" s="115">
        <v>2012.0</v>
      </c>
      <c r="S499" s="136">
        <v>0.281</v>
      </c>
      <c r="T499" s="118">
        <f t="shared" si="86"/>
        <v>4913.847</v>
      </c>
      <c r="U499" s="24">
        <f t="shared" si="3"/>
        <v>186.838289</v>
      </c>
      <c r="V499" s="3">
        <f t="shared" si="28"/>
        <v>0</v>
      </c>
      <c r="W499" s="3">
        <f t="shared" si="29"/>
        <v>0</v>
      </c>
      <c r="X499" s="3">
        <f t="shared" si="30"/>
        <v>0</v>
      </c>
      <c r="Y499" s="25">
        <f t="shared" si="31"/>
        <v>0</v>
      </c>
      <c r="Z499" s="26">
        <f>VLOOKUP(R499,CPI!$A$2:$F$71,6,0)</f>
        <v>1.402974381</v>
      </c>
      <c r="AA499" s="27">
        <f t="shared" si="8"/>
        <v>6894.001452</v>
      </c>
      <c r="AB499" s="27">
        <f t="shared" si="9"/>
        <v>262.1293328</v>
      </c>
      <c r="AC499" s="114"/>
      <c r="AD499" s="119" t="s">
        <v>901</v>
      </c>
      <c r="AE499" s="119" t="s">
        <v>902</v>
      </c>
    </row>
    <row r="500">
      <c r="A500" s="114" t="s">
        <v>230</v>
      </c>
      <c r="B500" s="114" t="s">
        <v>900</v>
      </c>
      <c r="C500" s="115" t="s">
        <v>57</v>
      </c>
      <c r="D500" s="114" t="s">
        <v>564</v>
      </c>
      <c r="E500" s="114"/>
      <c r="F500" s="116">
        <v>2019.0</v>
      </c>
      <c r="G500" s="116">
        <v>0.0</v>
      </c>
      <c r="H500" s="116">
        <v>5.187</v>
      </c>
      <c r="I500" s="117">
        <v>1.0</v>
      </c>
      <c r="J500" s="116">
        <v>5.187</v>
      </c>
      <c r="K500" s="114"/>
      <c r="L500" s="114"/>
      <c r="M500" s="116">
        <v>3.0</v>
      </c>
      <c r="N500" s="116">
        <v>117.0</v>
      </c>
      <c r="O500" s="114"/>
      <c r="P500" s="140">
        <v>2598.0</v>
      </c>
      <c r="Q500" s="114" t="s">
        <v>234</v>
      </c>
      <c r="R500" s="115">
        <v>2019.0</v>
      </c>
      <c r="S500" s="136">
        <v>0.238</v>
      </c>
      <c r="T500" s="118">
        <f t="shared" si="86"/>
        <v>618.324</v>
      </c>
      <c r="U500" s="24">
        <f t="shared" si="3"/>
        <v>119.2064777</v>
      </c>
      <c r="V500" s="3">
        <f t="shared" si="28"/>
        <v>0</v>
      </c>
      <c r="W500" s="3">
        <f t="shared" si="29"/>
        <v>0</v>
      </c>
      <c r="X500" s="3">
        <f t="shared" si="30"/>
        <v>0</v>
      </c>
      <c r="Y500" s="25">
        <f t="shared" si="31"/>
        <v>0</v>
      </c>
      <c r="Z500" s="26">
        <f>VLOOKUP(R500,CPI!$A$2:$F$71,6,0)</f>
        <v>1.259947899</v>
      </c>
      <c r="AA500" s="27">
        <f t="shared" si="8"/>
        <v>779.0560247</v>
      </c>
      <c r="AB500" s="27">
        <f t="shared" si="9"/>
        <v>150.1939512</v>
      </c>
      <c r="AC500" s="114"/>
      <c r="AD500" s="119" t="s">
        <v>903</v>
      </c>
      <c r="AE500" s="164"/>
      <c r="AF500" s="165"/>
      <c r="AG500" s="165"/>
      <c r="AH500" s="165"/>
    </row>
    <row r="501">
      <c r="A501" s="114" t="s">
        <v>230</v>
      </c>
      <c r="B501" s="114" t="s">
        <v>900</v>
      </c>
      <c r="C501" s="114" t="s">
        <v>819</v>
      </c>
      <c r="D501" s="114" t="s">
        <v>819</v>
      </c>
      <c r="E501" s="116">
        <v>2019.0</v>
      </c>
      <c r="F501" s="116">
        <v>2023.0</v>
      </c>
      <c r="G501" s="116">
        <v>0.0</v>
      </c>
      <c r="H501" s="116">
        <v>30.4</v>
      </c>
      <c r="I501" s="117">
        <v>0.35</v>
      </c>
      <c r="J501" s="116">
        <v>10.5</v>
      </c>
      <c r="K501" s="114"/>
      <c r="L501" s="114"/>
      <c r="M501" s="116">
        <v>9.0</v>
      </c>
      <c r="N501" s="116">
        <v>117.0</v>
      </c>
      <c r="O501" s="114"/>
      <c r="P501" s="140">
        <v>14403.0</v>
      </c>
      <c r="Q501" s="114" t="s">
        <v>234</v>
      </c>
      <c r="R501" s="115">
        <v>2021.0</v>
      </c>
      <c r="S501" s="136">
        <v>0.239</v>
      </c>
      <c r="T501" s="118">
        <f t="shared" si="86"/>
        <v>3442.317</v>
      </c>
      <c r="U501" s="24">
        <f t="shared" si="3"/>
        <v>113.2341118</v>
      </c>
      <c r="V501" s="3">
        <f t="shared" si="28"/>
        <v>0</v>
      </c>
      <c r="W501" s="3">
        <f t="shared" si="29"/>
        <v>0</v>
      </c>
      <c r="X501" s="3">
        <f t="shared" si="30"/>
        <v>0</v>
      </c>
      <c r="Y501" s="25">
        <f t="shared" si="31"/>
        <v>0</v>
      </c>
      <c r="Z501" s="26">
        <f>VLOOKUP(R501,CPI!$A$2:$F$71,6,0)</f>
        <v>1.188745987</v>
      </c>
      <c r="AA501" s="27">
        <f t="shared" si="8"/>
        <v>4092.040518</v>
      </c>
      <c r="AB501" s="27">
        <f t="shared" si="9"/>
        <v>134.606596</v>
      </c>
      <c r="AC501" s="114"/>
      <c r="AD501" s="119" t="s">
        <v>904</v>
      </c>
      <c r="AE501" s="173"/>
      <c r="AF501" s="174"/>
      <c r="AG501" s="174"/>
      <c r="AH501" s="174"/>
    </row>
    <row r="502">
      <c r="A502" s="114" t="s">
        <v>230</v>
      </c>
      <c r="B502" s="114" t="s">
        <v>900</v>
      </c>
      <c r="C502" s="115" t="s">
        <v>57</v>
      </c>
      <c r="D502" s="115" t="s">
        <v>232</v>
      </c>
      <c r="E502" s="116">
        <v>2014.0</v>
      </c>
      <c r="F502" s="114"/>
      <c r="G502" s="116">
        <v>0.0</v>
      </c>
      <c r="H502" s="116">
        <v>29.4</v>
      </c>
      <c r="I502" s="117">
        <v>0.83</v>
      </c>
      <c r="J502" s="116">
        <v>24.4</v>
      </c>
      <c r="K502" s="114"/>
      <c r="L502" s="114"/>
      <c r="M502" s="116">
        <v>24.0</v>
      </c>
      <c r="N502" s="116">
        <v>117.0</v>
      </c>
      <c r="O502" s="114"/>
      <c r="P502" s="140">
        <v>18500.0</v>
      </c>
      <c r="Q502" s="114" t="s">
        <v>234</v>
      </c>
      <c r="R502" s="115">
        <v>2014.0</v>
      </c>
      <c r="S502" s="85">
        <v>0.266</v>
      </c>
      <c r="T502" s="118">
        <f t="shared" si="86"/>
        <v>4921</v>
      </c>
      <c r="U502" s="24">
        <f t="shared" si="3"/>
        <v>167.3809524</v>
      </c>
      <c r="V502" s="3">
        <f t="shared" si="28"/>
        <v>0</v>
      </c>
      <c r="W502" s="3">
        <f t="shared" si="29"/>
        <v>0</v>
      </c>
      <c r="X502" s="3">
        <f t="shared" si="30"/>
        <v>0</v>
      </c>
      <c r="Y502" s="25">
        <f t="shared" si="31"/>
        <v>0</v>
      </c>
      <c r="Z502" s="26">
        <f>VLOOKUP(R502,CPI!$A$2:$F$71,6,0)</f>
        <v>1.360648571</v>
      </c>
      <c r="AA502" s="27">
        <f t="shared" si="8"/>
        <v>6695.751616</v>
      </c>
      <c r="AB502" s="27">
        <f t="shared" si="9"/>
        <v>227.7466536</v>
      </c>
      <c r="AC502" s="114"/>
      <c r="AD502" s="119" t="s">
        <v>905</v>
      </c>
      <c r="AE502" s="114"/>
      <c r="AF502" s="114"/>
      <c r="AG502" s="114"/>
      <c r="AH502" s="114"/>
    </row>
    <row r="503">
      <c r="A503" s="114" t="s">
        <v>230</v>
      </c>
      <c r="B503" s="114" t="s">
        <v>900</v>
      </c>
      <c r="C503" s="16" t="s">
        <v>87</v>
      </c>
      <c r="D503" s="115" t="s">
        <v>331</v>
      </c>
      <c r="E503" s="116">
        <v>2020.0</v>
      </c>
      <c r="F503" s="114"/>
      <c r="G503" s="116">
        <v>0.0</v>
      </c>
      <c r="H503" s="116">
        <v>28.5</v>
      </c>
      <c r="I503" s="117">
        <v>1.0</v>
      </c>
      <c r="J503" s="116">
        <v>28.5</v>
      </c>
      <c r="K503" s="114"/>
      <c r="L503" s="114"/>
      <c r="M503" s="116">
        <v>21.0</v>
      </c>
      <c r="N503" s="116">
        <v>117.0</v>
      </c>
      <c r="O503" s="114"/>
      <c r="P503" s="140">
        <v>20538.0</v>
      </c>
      <c r="Q503" s="114" t="s">
        <v>234</v>
      </c>
      <c r="R503" s="115">
        <v>2020.0</v>
      </c>
      <c r="S503" s="136">
        <v>0.239</v>
      </c>
      <c r="T503" s="118">
        <f t="shared" si="86"/>
        <v>4908.582</v>
      </c>
      <c r="U503" s="24">
        <f t="shared" si="3"/>
        <v>172.2309474</v>
      </c>
      <c r="V503" s="3">
        <f t="shared" si="28"/>
        <v>0</v>
      </c>
      <c r="W503" s="3">
        <f t="shared" si="29"/>
        <v>0</v>
      </c>
      <c r="X503" s="3">
        <f t="shared" si="30"/>
        <v>0</v>
      </c>
      <c r="Y503" s="25">
        <f t="shared" si="31"/>
        <v>0</v>
      </c>
      <c r="Z503" s="26">
        <f>VLOOKUP(R503,CPI!$A$2:$F$71,6,0)</f>
        <v>1.244593545</v>
      </c>
      <c r="AA503" s="27">
        <f t="shared" si="8"/>
        <v>6109.189473</v>
      </c>
      <c r="AB503" s="27">
        <f t="shared" si="9"/>
        <v>214.3575254</v>
      </c>
      <c r="AC503" s="114"/>
      <c r="AD503" s="119" t="s">
        <v>906</v>
      </c>
      <c r="AE503" s="164"/>
      <c r="AF503" s="165"/>
      <c r="AG503" s="165"/>
      <c r="AH503" s="165"/>
    </row>
    <row r="504">
      <c r="A504" s="114" t="s">
        <v>230</v>
      </c>
      <c r="B504" s="114" t="s">
        <v>900</v>
      </c>
      <c r="C504" s="16" t="s">
        <v>110</v>
      </c>
      <c r="D504" s="115" t="s">
        <v>332</v>
      </c>
      <c r="E504" s="116">
        <v>2021.0</v>
      </c>
      <c r="F504" s="114"/>
      <c r="G504" s="116">
        <v>0.0</v>
      </c>
      <c r="H504" s="116">
        <v>24.4</v>
      </c>
      <c r="I504" s="117">
        <v>1.0</v>
      </c>
      <c r="J504" s="116">
        <v>24.4</v>
      </c>
      <c r="K504" s="114"/>
      <c r="L504" s="114"/>
      <c r="M504" s="116">
        <v>18.0</v>
      </c>
      <c r="N504" s="116">
        <v>117.0</v>
      </c>
      <c r="O504" s="114"/>
      <c r="P504" s="140">
        <v>18318.0</v>
      </c>
      <c r="Q504" s="114" t="s">
        <v>234</v>
      </c>
      <c r="R504" s="115">
        <v>2021.0</v>
      </c>
      <c r="S504" s="136">
        <v>0.239</v>
      </c>
      <c r="T504" s="118">
        <f t="shared" si="86"/>
        <v>4378.002</v>
      </c>
      <c r="U504" s="24">
        <f t="shared" si="3"/>
        <v>179.4263115</v>
      </c>
      <c r="V504" s="3">
        <f t="shared" si="28"/>
        <v>0</v>
      </c>
      <c r="W504" s="3">
        <f t="shared" si="29"/>
        <v>0</v>
      </c>
      <c r="X504" s="3">
        <f t="shared" si="30"/>
        <v>0</v>
      </c>
      <c r="Y504" s="25">
        <f t="shared" si="31"/>
        <v>0</v>
      </c>
      <c r="Z504" s="26">
        <f>VLOOKUP(R504,CPI!$A$2:$F$71,6,0)</f>
        <v>1.188745987</v>
      </c>
      <c r="AA504" s="27">
        <f t="shared" si="8"/>
        <v>5204.332307</v>
      </c>
      <c r="AB504" s="27">
        <f t="shared" si="9"/>
        <v>213.2923077</v>
      </c>
      <c r="AC504" s="114"/>
      <c r="AD504" s="119" t="s">
        <v>907</v>
      </c>
      <c r="AE504" s="114"/>
      <c r="AF504" s="114"/>
      <c r="AG504" s="114"/>
      <c r="AH504" s="114"/>
    </row>
    <row r="505">
      <c r="A505" s="114" t="s">
        <v>230</v>
      </c>
      <c r="B505" s="114" t="s">
        <v>900</v>
      </c>
      <c r="C505" s="115" t="s">
        <v>84</v>
      </c>
      <c r="D505" s="115" t="s">
        <v>319</v>
      </c>
      <c r="E505" s="116">
        <v>2022.0</v>
      </c>
      <c r="F505" s="114"/>
      <c r="G505" s="116">
        <v>0.0</v>
      </c>
      <c r="H505" s="116">
        <v>25.4</v>
      </c>
      <c r="I505" s="117">
        <v>1.0</v>
      </c>
      <c r="J505" s="116">
        <v>25.4</v>
      </c>
      <c r="K505" s="114"/>
      <c r="L505" s="114"/>
      <c r="M505" s="116">
        <v>22.0</v>
      </c>
      <c r="N505" s="116">
        <v>117.0</v>
      </c>
      <c r="O505" s="114"/>
      <c r="P505" s="140">
        <v>24369.0</v>
      </c>
      <c r="Q505" s="114" t="s">
        <v>234</v>
      </c>
      <c r="R505" s="115">
        <v>2021.0</v>
      </c>
      <c r="S505" s="136">
        <v>0.239000000000002</v>
      </c>
      <c r="T505" s="118">
        <f t="shared" si="86"/>
        <v>5824.191</v>
      </c>
      <c r="U505" s="24">
        <f t="shared" si="3"/>
        <v>229.2988583</v>
      </c>
      <c r="V505" s="3">
        <f t="shared" si="28"/>
        <v>0</v>
      </c>
      <c r="W505" s="3">
        <f t="shared" si="29"/>
        <v>0</v>
      </c>
      <c r="X505" s="3">
        <f t="shared" si="30"/>
        <v>0</v>
      </c>
      <c r="Y505" s="25">
        <f t="shared" si="31"/>
        <v>0</v>
      </c>
      <c r="Z505" s="26">
        <f>VLOOKUP(R505,CPI!$A$2:$F$71,6,0)</f>
        <v>1.188745987</v>
      </c>
      <c r="AA505" s="27">
        <f t="shared" si="8"/>
        <v>6923.483677</v>
      </c>
      <c r="AB505" s="27">
        <f t="shared" si="9"/>
        <v>272.5780975</v>
      </c>
      <c r="AC505" s="114"/>
      <c r="AD505" s="119" t="s">
        <v>908</v>
      </c>
      <c r="AF505" s="165"/>
      <c r="AG505" s="165"/>
      <c r="AH505" s="165"/>
    </row>
    <row r="506">
      <c r="A506" s="114" t="s">
        <v>230</v>
      </c>
      <c r="B506" s="114" t="s">
        <v>900</v>
      </c>
      <c r="C506" s="114" t="s">
        <v>909</v>
      </c>
      <c r="D506" s="114" t="s">
        <v>909</v>
      </c>
      <c r="E506" s="116">
        <v>2022.0</v>
      </c>
      <c r="F506" s="114"/>
      <c r="G506" s="116">
        <v>0.0</v>
      </c>
      <c r="H506" s="116">
        <v>30.0</v>
      </c>
      <c r="I506" s="114"/>
      <c r="J506" s="114"/>
      <c r="K506" s="114"/>
      <c r="L506" s="114"/>
      <c r="M506" s="116">
        <v>6.0</v>
      </c>
      <c r="N506" s="116">
        <v>92.0</v>
      </c>
      <c r="O506" s="114"/>
      <c r="P506" s="140">
        <v>15716.0</v>
      </c>
      <c r="Q506" s="114" t="s">
        <v>234</v>
      </c>
      <c r="R506" s="115">
        <v>2021.0</v>
      </c>
      <c r="S506" s="136">
        <v>0.239</v>
      </c>
      <c r="T506" s="118">
        <f t="shared" si="86"/>
        <v>3756.124</v>
      </c>
      <c r="U506" s="24">
        <f t="shared" si="3"/>
        <v>125.2041333</v>
      </c>
      <c r="V506" s="3">
        <f t="shared" si="28"/>
        <v>0</v>
      </c>
      <c r="W506" s="3">
        <f t="shared" si="29"/>
        <v>0</v>
      </c>
      <c r="X506" s="3">
        <f t="shared" si="30"/>
        <v>0</v>
      </c>
      <c r="Y506" s="25">
        <f t="shared" si="31"/>
        <v>0</v>
      </c>
      <c r="Z506" s="26">
        <f>VLOOKUP(R506,CPI!$A$2:$F$71,6,0)</f>
        <v>1.188745987</v>
      </c>
      <c r="AA506" s="27">
        <f t="shared" si="8"/>
        <v>4465.07733</v>
      </c>
      <c r="AB506" s="27">
        <f t="shared" si="9"/>
        <v>148.835911</v>
      </c>
      <c r="AC506" s="114"/>
      <c r="AD506" s="119" t="s">
        <v>910</v>
      </c>
      <c r="AE506" s="114"/>
      <c r="AF506" s="114"/>
      <c r="AG506" s="114"/>
      <c r="AH506" s="114"/>
    </row>
    <row r="507">
      <c r="A507" s="114" t="s">
        <v>230</v>
      </c>
      <c r="B507" s="114" t="s">
        <v>911</v>
      </c>
      <c r="C507" s="115" t="s">
        <v>54</v>
      </c>
      <c r="D507" s="115" t="s">
        <v>348</v>
      </c>
      <c r="E507" s="116">
        <v>2006.0</v>
      </c>
      <c r="F507" s="116">
        <v>2011.0</v>
      </c>
      <c r="G507" s="116">
        <v>0.0</v>
      </c>
      <c r="H507" s="116">
        <v>26.76</v>
      </c>
      <c r="I507" s="117">
        <v>1.0</v>
      </c>
      <c r="J507" s="116">
        <v>26.76</v>
      </c>
      <c r="K507" s="114"/>
      <c r="L507" s="114"/>
      <c r="M507" s="116">
        <v>21.0</v>
      </c>
      <c r="N507" s="116">
        <v>117.0</v>
      </c>
      <c r="O507" s="114"/>
      <c r="P507" s="140">
        <v>12963.0</v>
      </c>
      <c r="Q507" s="114" t="s">
        <v>234</v>
      </c>
      <c r="R507" s="115">
        <v>2009.0</v>
      </c>
      <c r="S507" s="85">
        <v>0.317</v>
      </c>
      <c r="T507" s="118">
        <f t="shared" si="86"/>
        <v>4109.271</v>
      </c>
      <c r="U507" s="24">
        <f t="shared" si="3"/>
        <v>153.5602018</v>
      </c>
      <c r="V507" s="3">
        <f t="shared" si="28"/>
        <v>0</v>
      </c>
      <c r="W507" s="3">
        <f t="shared" si="29"/>
        <v>0</v>
      </c>
      <c r="X507" s="3">
        <f t="shared" si="30"/>
        <v>0</v>
      </c>
      <c r="Y507" s="25">
        <f t="shared" si="31"/>
        <v>0</v>
      </c>
      <c r="Z507" s="26">
        <f>VLOOKUP(R507,CPI!$A$2:$F$71,6,0)</f>
        <v>1.501440311</v>
      </c>
      <c r="AA507" s="27">
        <f t="shared" si="8"/>
        <v>6169.825128</v>
      </c>
      <c r="AB507" s="27">
        <f t="shared" si="9"/>
        <v>230.5614771</v>
      </c>
      <c r="AC507" s="114"/>
      <c r="AD507" s="119" t="s">
        <v>912</v>
      </c>
      <c r="AE507" s="164"/>
      <c r="AF507" s="165"/>
      <c r="AG507" s="165"/>
      <c r="AH507" s="165"/>
    </row>
    <row r="508">
      <c r="A508" s="114" t="s">
        <v>230</v>
      </c>
      <c r="B508" s="114" t="s">
        <v>911</v>
      </c>
      <c r="C508" s="115" t="s">
        <v>57</v>
      </c>
      <c r="D508" s="115" t="s">
        <v>232</v>
      </c>
      <c r="E508" s="114"/>
      <c r="F508" s="116">
        <v>2013.0</v>
      </c>
      <c r="G508" s="116">
        <v>0.0</v>
      </c>
      <c r="H508" s="116">
        <v>25.36</v>
      </c>
      <c r="I508" s="117">
        <v>1.0</v>
      </c>
      <c r="J508" s="116">
        <v>25.36</v>
      </c>
      <c r="K508" s="114"/>
      <c r="L508" s="114"/>
      <c r="M508" s="116">
        <v>19.0</v>
      </c>
      <c r="N508" s="116">
        <v>117.0</v>
      </c>
      <c r="O508" s="114"/>
      <c r="P508" s="140">
        <v>13490.0</v>
      </c>
      <c r="Q508" s="114" t="s">
        <v>234</v>
      </c>
      <c r="R508" s="115">
        <v>2013.0</v>
      </c>
      <c r="S508" s="85">
        <v>0.273</v>
      </c>
      <c r="T508" s="118">
        <f t="shared" si="86"/>
        <v>3682.77</v>
      </c>
      <c r="U508" s="24">
        <f t="shared" si="3"/>
        <v>145.2196372</v>
      </c>
      <c r="V508" s="3">
        <f t="shared" si="28"/>
        <v>0</v>
      </c>
      <c r="W508" s="3">
        <f t="shared" si="29"/>
        <v>0</v>
      </c>
      <c r="X508" s="3">
        <f t="shared" si="30"/>
        <v>0</v>
      </c>
      <c r="Y508" s="25">
        <f t="shared" si="31"/>
        <v>0</v>
      </c>
      <c r="Z508" s="26">
        <f>VLOOKUP(R508,CPI!$A$2:$F$71,6,0)</f>
        <v>1.382720845</v>
      </c>
      <c r="AA508" s="27">
        <f t="shared" si="8"/>
        <v>5092.242848</v>
      </c>
      <c r="AB508" s="27">
        <f t="shared" si="9"/>
        <v>200.7982196</v>
      </c>
      <c r="AC508" s="114"/>
      <c r="AD508" s="119" t="s">
        <v>913</v>
      </c>
      <c r="AE508" s="167" t="s">
        <v>912</v>
      </c>
      <c r="AF508" s="168"/>
      <c r="AG508" s="168"/>
      <c r="AH508" s="169"/>
    </row>
    <row r="509">
      <c r="A509" s="114" t="s">
        <v>230</v>
      </c>
      <c r="B509" s="114" t="s">
        <v>911</v>
      </c>
      <c r="C509" s="114" t="s">
        <v>87</v>
      </c>
      <c r="D509" s="114" t="s">
        <v>87</v>
      </c>
      <c r="E509" s="116">
        <v>2012.0</v>
      </c>
      <c r="F509" s="116">
        <v>2016.0</v>
      </c>
      <c r="G509" s="116">
        <v>0.0</v>
      </c>
      <c r="H509" s="116">
        <v>38.4</v>
      </c>
      <c r="I509" s="117">
        <v>0.71</v>
      </c>
      <c r="J509" s="116">
        <v>27.13</v>
      </c>
      <c r="K509" s="114"/>
      <c r="L509" s="114"/>
      <c r="M509" s="116">
        <v>24.0</v>
      </c>
      <c r="N509" s="116">
        <v>117.0</v>
      </c>
      <c r="O509" s="114" t="s">
        <v>42</v>
      </c>
      <c r="P509" s="140">
        <v>18030.0</v>
      </c>
      <c r="Q509" s="114" t="s">
        <v>234</v>
      </c>
      <c r="R509" s="115">
        <v>2014.0</v>
      </c>
      <c r="S509" s="115">
        <v>0.266</v>
      </c>
      <c r="T509" s="118">
        <f t="shared" si="86"/>
        <v>4795.98</v>
      </c>
      <c r="U509" s="24">
        <f t="shared" si="3"/>
        <v>124.8953125</v>
      </c>
      <c r="V509" s="3">
        <f t="shared" si="28"/>
        <v>0</v>
      </c>
      <c r="W509" s="3">
        <f t="shared" si="29"/>
        <v>0</v>
      </c>
      <c r="X509" s="3">
        <f t="shared" si="30"/>
        <v>0</v>
      </c>
      <c r="Y509" s="25">
        <f t="shared" si="31"/>
        <v>0</v>
      </c>
      <c r="Z509" s="26">
        <f>VLOOKUP(R509,CPI!$A$2:$F$71,6,0)</f>
        <v>1.360648571</v>
      </c>
      <c r="AA509" s="27">
        <f t="shared" si="8"/>
        <v>6525.643331</v>
      </c>
      <c r="AB509" s="27">
        <f t="shared" si="9"/>
        <v>169.9386284</v>
      </c>
      <c r="AC509" s="114" t="s">
        <v>42</v>
      </c>
      <c r="AD509" s="119" t="s">
        <v>914</v>
      </c>
      <c r="AE509" s="167" t="s">
        <v>915</v>
      </c>
      <c r="AF509" s="168"/>
      <c r="AG509" s="168"/>
      <c r="AH509" s="169"/>
    </row>
    <row r="510">
      <c r="A510" s="114" t="s">
        <v>230</v>
      </c>
      <c r="B510" s="114" t="s">
        <v>911</v>
      </c>
      <c r="C510" s="114" t="s">
        <v>110</v>
      </c>
      <c r="D510" s="114" t="s">
        <v>110</v>
      </c>
      <c r="E510" s="116">
        <v>2013.0</v>
      </c>
      <c r="F510" s="116">
        <v>2018.0</v>
      </c>
      <c r="G510" s="116">
        <v>0.0</v>
      </c>
      <c r="H510" s="116">
        <v>33.3</v>
      </c>
      <c r="I510" s="117">
        <v>1.0</v>
      </c>
      <c r="J510" s="116">
        <v>33.3</v>
      </c>
      <c r="K510" s="114"/>
      <c r="L510" s="114"/>
      <c r="M510" s="116">
        <v>28.0</v>
      </c>
      <c r="N510" s="116">
        <v>117.0</v>
      </c>
      <c r="O510" s="114"/>
      <c r="P510" s="140">
        <v>20327.0</v>
      </c>
      <c r="Q510" s="114" t="s">
        <v>234</v>
      </c>
      <c r="R510" s="115">
        <v>2016.0</v>
      </c>
      <c r="S510" s="85">
        <v>0.251</v>
      </c>
      <c r="T510" s="118">
        <f t="shared" si="86"/>
        <v>5102.077</v>
      </c>
      <c r="U510" s="24">
        <f t="shared" si="3"/>
        <v>153.2155255</v>
      </c>
      <c r="V510" s="3">
        <f t="shared" si="28"/>
        <v>0</v>
      </c>
      <c r="W510" s="3">
        <f t="shared" si="29"/>
        <v>0</v>
      </c>
      <c r="X510" s="3">
        <f t="shared" si="30"/>
        <v>0</v>
      </c>
      <c r="Y510" s="25">
        <f t="shared" si="31"/>
        <v>0</v>
      </c>
      <c r="Z510" s="26">
        <f>VLOOKUP(R510,CPI!$A$2:$F$71,6,0)</f>
        <v>1.342104605</v>
      </c>
      <c r="AA510" s="27">
        <f t="shared" si="8"/>
        <v>6847.521038</v>
      </c>
      <c r="AB510" s="27">
        <f t="shared" si="9"/>
        <v>205.6312624</v>
      </c>
      <c r="AC510" s="114"/>
      <c r="AD510" s="161" t="s">
        <v>916</v>
      </c>
      <c r="AE510" s="114"/>
      <c r="AF510" s="114"/>
      <c r="AG510" s="114"/>
      <c r="AH510" s="114"/>
    </row>
    <row r="511">
      <c r="A511" s="114" t="s">
        <v>230</v>
      </c>
      <c r="B511" s="114" t="s">
        <v>911</v>
      </c>
      <c r="C511" s="115" t="s">
        <v>84</v>
      </c>
      <c r="D511" s="115" t="s">
        <v>319</v>
      </c>
      <c r="E511" s="116">
        <v>2014.0</v>
      </c>
      <c r="F511" s="116">
        <v>2020.0</v>
      </c>
      <c r="G511" s="116">
        <v>0.0</v>
      </c>
      <c r="H511" s="116">
        <v>25.7</v>
      </c>
      <c r="I511" s="117">
        <v>0.95</v>
      </c>
      <c r="J511" s="116">
        <v>24.3</v>
      </c>
      <c r="K511" s="114"/>
      <c r="L511" s="114"/>
      <c r="M511" s="116">
        <v>20.0</v>
      </c>
      <c r="N511" s="116">
        <v>117.0</v>
      </c>
      <c r="O511" s="114"/>
      <c r="P511" s="140">
        <v>17801.0</v>
      </c>
      <c r="Q511" s="114" t="s">
        <v>234</v>
      </c>
      <c r="R511" s="115">
        <v>2017.0</v>
      </c>
      <c r="S511" s="85">
        <v>0.239</v>
      </c>
      <c r="T511" s="118">
        <f t="shared" si="86"/>
        <v>4254.439</v>
      </c>
      <c r="U511" s="24">
        <f t="shared" si="3"/>
        <v>165.5423735</v>
      </c>
      <c r="V511" s="3">
        <f t="shared" si="28"/>
        <v>0</v>
      </c>
      <c r="W511" s="3">
        <f t="shared" si="29"/>
        <v>0</v>
      </c>
      <c r="X511" s="3">
        <f t="shared" si="30"/>
        <v>0</v>
      </c>
      <c r="Y511" s="25">
        <f t="shared" si="31"/>
        <v>0</v>
      </c>
      <c r="Z511" s="26">
        <f>VLOOKUP(R511,CPI!$A$2:$F$71,6,0)</f>
        <v>1.314109416</v>
      </c>
      <c r="AA511" s="27">
        <f t="shared" si="8"/>
        <v>5590.798349</v>
      </c>
      <c r="AB511" s="27">
        <f t="shared" si="9"/>
        <v>217.5407918</v>
      </c>
      <c r="AC511" s="114"/>
      <c r="AD511" s="119" t="s">
        <v>917</v>
      </c>
      <c r="AE511" s="164"/>
      <c r="AF511" s="165"/>
      <c r="AG511" s="165"/>
      <c r="AH511" s="165"/>
    </row>
    <row r="512">
      <c r="A512" s="114" t="s">
        <v>230</v>
      </c>
      <c r="B512" s="114" t="s">
        <v>911</v>
      </c>
      <c r="C512" s="114" t="s">
        <v>253</v>
      </c>
      <c r="D512" s="114" t="s">
        <v>253</v>
      </c>
      <c r="E512" s="116">
        <v>2016.0</v>
      </c>
      <c r="F512" s="116">
        <v>2020.0</v>
      </c>
      <c r="G512" s="116">
        <v>0.0</v>
      </c>
      <c r="H512" s="116">
        <v>25.296</v>
      </c>
      <c r="I512" s="117">
        <v>1.0</v>
      </c>
      <c r="J512" s="116">
        <v>25.296</v>
      </c>
      <c r="K512" s="114"/>
      <c r="L512" s="114"/>
      <c r="M512" s="116">
        <v>15.0</v>
      </c>
      <c r="N512" s="116">
        <v>117.0</v>
      </c>
      <c r="O512" s="114" t="s">
        <v>36</v>
      </c>
      <c r="P512" s="140">
        <v>13888.0</v>
      </c>
      <c r="Q512" s="114" t="s">
        <v>234</v>
      </c>
      <c r="R512" s="115">
        <v>2018.0</v>
      </c>
      <c r="S512" s="85">
        <v>0.237</v>
      </c>
      <c r="T512" s="118">
        <f t="shared" si="86"/>
        <v>3291.456</v>
      </c>
      <c r="U512" s="24">
        <f t="shared" si="3"/>
        <v>130.1176471</v>
      </c>
      <c r="V512" s="3">
        <f t="shared" si="28"/>
        <v>0</v>
      </c>
      <c r="W512" s="3">
        <f t="shared" si="29"/>
        <v>0</v>
      </c>
      <c r="X512" s="3">
        <f t="shared" si="30"/>
        <v>0</v>
      </c>
      <c r="Y512" s="25">
        <f t="shared" si="31"/>
        <v>0</v>
      </c>
      <c r="Z512" s="26">
        <f>VLOOKUP(R512,CPI!$A$2:$F$71,6,0)</f>
        <v>1.28277786</v>
      </c>
      <c r="AA512" s="27">
        <f t="shared" si="8"/>
        <v>4222.206883</v>
      </c>
      <c r="AB512" s="27">
        <f t="shared" si="9"/>
        <v>166.9120368</v>
      </c>
      <c r="AC512" s="114" t="s">
        <v>36</v>
      </c>
      <c r="AD512" s="119" t="s">
        <v>918</v>
      </c>
      <c r="AE512" s="114"/>
      <c r="AF512" s="114"/>
      <c r="AG512" s="114"/>
      <c r="AH512" s="114"/>
    </row>
    <row r="513">
      <c r="A513" s="114" t="s">
        <v>230</v>
      </c>
      <c r="B513" s="114" t="s">
        <v>911</v>
      </c>
      <c r="C513" s="115" t="s">
        <v>84</v>
      </c>
      <c r="D513" s="115" t="s">
        <v>522</v>
      </c>
      <c r="E513" s="116">
        <v>2016.0</v>
      </c>
      <c r="F513" s="116">
        <v>2021.0</v>
      </c>
      <c r="G513" s="116">
        <v>0.0</v>
      </c>
      <c r="H513" s="116">
        <v>19.87</v>
      </c>
      <c r="I513" s="117">
        <v>0.16</v>
      </c>
      <c r="J513" s="116">
        <v>3.2</v>
      </c>
      <c r="K513" s="114"/>
      <c r="L513" s="114"/>
      <c r="M513" s="116">
        <v>13.0</v>
      </c>
      <c r="N513" s="116">
        <v>117.0</v>
      </c>
      <c r="O513" s="114" t="s">
        <v>60</v>
      </c>
      <c r="P513" s="140">
        <v>9511.0</v>
      </c>
      <c r="Q513" s="114" t="s">
        <v>234</v>
      </c>
      <c r="R513" s="115">
        <v>2019.0</v>
      </c>
      <c r="S513" s="136">
        <v>0.238</v>
      </c>
      <c r="T513" s="118">
        <f t="shared" si="86"/>
        <v>2263.618</v>
      </c>
      <c r="U513" s="24">
        <f t="shared" si="3"/>
        <v>113.921389</v>
      </c>
      <c r="V513" s="3">
        <f t="shared" si="28"/>
        <v>0</v>
      </c>
      <c r="W513" s="3">
        <f t="shared" si="29"/>
        <v>0</v>
      </c>
      <c r="X513" s="3">
        <f t="shared" si="30"/>
        <v>0</v>
      </c>
      <c r="Y513" s="25">
        <f t="shared" si="31"/>
        <v>0</v>
      </c>
      <c r="Z513" s="26">
        <f>VLOOKUP(R513,CPI!$A$2:$F$71,6,0)</f>
        <v>1.259947899</v>
      </c>
      <c r="AA513" s="27">
        <f t="shared" si="8"/>
        <v>2852.040743</v>
      </c>
      <c r="AB513" s="27">
        <f t="shared" si="9"/>
        <v>143.5350148</v>
      </c>
      <c r="AC513" s="114" t="s">
        <v>36</v>
      </c>
      <c r="AD513" s="119" t="s">
        <v>919</v>
      </c>
      <c r="AE513" s="167" t="s">
        <v>920</v>
      </c>
      <c r="AF513" s="168"/>
      <c r="AG513" s="168"/>
      <c r="AH513" s="169"/>
    </row>
    <row r="514">
      <c r="A514" s="114" t="s">
        <v>230</v>
      </c>
      <c r="B514" s="114" t="s">
        <v>911</v>
      </c>
      <c r="C514" s="115" t="s">
        <v>80</v>
      </c>
      <c r="D514" s="115" t="s">
        <v>921</v>
      </c>
      <c r="E514" s="116">
        <v>2016.0</v>
      </c>
      <c r="F514" s="116">
        <v>2022.0</v>
      </c>
      <c r="G514" s="116">
        <v>0.0</v>
      </c>
      <c r="H514" s="116">
        <v>39.8</v>
      </c>
      <c r="I514" s="117">
        <v>1.0</v>
      </c>
      <c r="J514" s="116">
        <v>39.8</v>
      </c>
      <c r="K514" s="114"/>
      <c r="L514" s="114"/>
      <c r="M514" s="116">
        <v>32.0</v>
      </c>
      <c r="N514" s="116">
        <v>117.0</v>
      </c>
      <c r="O514" s="114"/>
      <c r="P514" s="140">
        <v>28900.0</v>
      </c>
      <c r="Q514" s="114" t="s">
        <v>234</v>
      </c>
      <c r="R514" s="115">
        <v>2019.0</v>
      </c>
      <c r="S514" s="136">
        <v>0.238</v>
      </c>
      <c r="T514" s="118">
        <f t="shared" si="86"/>
        <v>6878.2</v>
      </c>
      <c r="U514" s="24">
        <f t="shared" si="3"/>
        <v>172.8190955</v>
      </c>
      <c r="V514" s="3">
        <f t="shared" si="28"/>
        <v>0</v>
      </c>
      <c r="W514" s="3">
        <f t="shared" si="29"/>
        <v>0</v>
      </c>
      <c r="X514" s="3">
        <f t="shared" si="30"/>
        <v>0</v>
      </c>
      <c r="Y514" s="25">
        <f t="shared" si="31"/>
        <v>0</v>
      </c>
      <c r="Z514" s="26">
        <f>VLOOKUP(R514,CPI!$A$2:$F$71,6,0)</f>
        <v>1.259947899</v>
      </c>
      <c r="AA514" s="27">
        <f t="shared" si="8"/>
        <v>8666.173639</v>
      </c>
      <c r="AB514" s="27">
        <f t="shared" si="9"/>
        <v>217.7430562</v>
      </c>
      <c r="AC514" s="114"/>
      <c r="AD514" s="119" t="s">
        <v>922</v>
      </c>
      <c r="AE514" s="164"/>
      <c r="AF514" s="165"/>
      <c r="AG514" s="165"/>
      <c r="AH514" s="165"/>
    </row>
    <row r="515">
      <c r="A515" s="72" t="s">
        <v>230</v>
      </c>
      <c r="B515" s="72" t="s">
        <v>911</v>
      </c>
      <c r="C515" s="115" t="s">
        <v>57</v>
      </c>
      <c r="D515" s="115" t="s">
        <v>354</v>
      </c>
      <c r="E515" s="69">
        <v>2019.0</v>
      </c>
      <c r="F515" s="69">
        <v>2023.0</v>
      </c>
      <c r="G515" s="69">
        <v>0.0</v>
      </c>
      <c r="H515" s="69">
        <v>10.6</v>
      </c>
      <c r="I515" s="117">
        <v>1.0</v>
      </c>
      <c r="J515" s="69">
        <v>10.6</v>
      </c>
      <c r="K515" s="72"/>
      <c r="L515" s="72"/>
      <c r="M515" s="69">
        <v>7.0</v>
      </c>
      <c r="N515" s="69">
        <v>117.0</v>
      </c>
      <c r="O515" s="72"/>
      <c r="P515" s="140">
        <v>8903.0</v>
      </c>
      <c r="Q515" s="72" t="s">
        <v>234</v>
      </c>
      <c r="R515" s="115">
        <v>2021.0</v>
      </c>
      <c r="S515" s="136">
        <v>0.239</v>
      </c>
      <c r="T515" s="118">
        <f t="shared" si="86"/>
        <v>2127.817</v>
      </c>
      <c r="U515" s="24">
        <f t="shared" si="3"/>
        <v>200.7374528</v>
      </c>
      <c r="V515" s="3">
        <f t="shared" si="28"/>
        <v>0</v>
      </c>
      <c r="W515" s="3">
        <f t="shared" si="29"/>
        <v>0</v>
      </c>
      <c r="X515" s="3">
        <f t="shared" si="30"/>
        <v>0</v>
      </c>
      <c r="Y515" s="25">
        <f t="shared" si="31"/>
        <v>0</v>
      </c>
      <c r="Z515" s="26">
        <f>VLOOKUP(R515,CPI!$A$2:$F$71,6,0)</f>
        <v>1.188745987</v>
      </c>
      <c r="AA515" s="27">
        <f t="shared" si="8"/>
        <v>2529.433919</v>
      </c>
      <c r="AB515" s="27">
        <f t="shared" si="9"/>
        <v>238.6258414</v>
      </c>
      <c r="AC515" s="72" t="s">
        <v>36</v>
      </c>
      <c r="AD515" s="79" t="s">
        <v>923</v>
      </c>
      <c r="AE515" s="186"/>
      <c r="AF515" s="187"/>
      <c r="AG515" s="187"/>
      <c r="AH515" s="187"/>
    </row>
    <row r="516">
      <c r="A516" s="72" t="s">
        <v>230</v>
      </c>
      <c r="B516" s="72" t="s">
        <v>911</v>
      </c>
      <c r="C516" s="16" t="s">
        <v>283</v>
      </c>
      <c r="D516" s="115" t="s">
        <v>924</v>
      </c>
      <c r="E516" s="69">
        <v>2019.0</v>
      </c>
      <c r="F516" s="69">
        <v>2024.0</v>
      </c>
      <c r="G516" s="69">
        <v>0.0</v>
      </c>
      <c r="H516" s="69">
        <v>15.03</v>
      </c>
      <c r="I516" s="117">
        <v>1.0</v>
      </c>
      <c r="J516" s="69">
        <v>15.03</v>
      </c>
      <c r="K516" s="72"/>
      <c r="L516" s="72"/>
      <c r="M516" s="69">
        <v>9.0</v>
      </c>
      <c r="N516" s="69">
        <v>117.0</v>
      </c>
      <c r="O516" s="72"/>
      <c r="P516" s="140">
        <v>10631.0</v>
      </c>
      <c r="Q516" s="72" t="s">
        <v>234</v>
      </c>
      <c r="R516" s="115">
        <v>2021.0</v>
      </c>
      <c r="S516" s="136">
        <v>0.239</v>
      </c>
      <c r="T516" s="118">
        <f t="shared" si="86"/>
        <v>2540.809</v>
      </c>
      <c r="U516" s="24">
        <f t="shared" si="3"/>
        <v>169.0491683</v>
      </c>
      <c r="V516" s="3">
        <f t="shared" si="28"/>
        <v>0</v>
      </c>
      <c r="W516" s="3">
        <f t="shared" si="29"/>
        <v>0</v>
      </c>
      <c r="X516" s="3">
        <f t="shared" si="30"/>
        <v>0</v>
      </c>
      <c r="Y516" s="25">
        <f t="shared" si="31"/>
        <v>0</v>
      </c>
      <c r="Z516" s="26">
        <f>VLOOKUP(R516,CPI!$A$2:$F$71,6,0)</f>
        <v>1.188745987</v>
      </c>
      <c r="AA516" s="27">
        <f t="shared" si="8"/>
        <v>3020.376502</v>
      </c>
      <c r="AB516" s="27">
        <f t="shared" si="9"/>
        <v>200.9565204</v>
      </c>
      <c r="AC516" s="72" t="s">
        <v>36</v>
      </c>
      <c r="AD516" s="79" t="s">
        <v>925</v>
      </c>
      <c r="AE516" s="186"/>
      <c r="AF516" s="187"/>
      <c r="AG516" s="187"/>
      <c r="AH516" s="187"/>
    </row>
    <row r="517">
      <c r="A517" s="130" t="s">
        <v>230</v>
      </c>
      <c r="B517" s="130" t="s">
        <v>911</v>
      </c>
      <c r="C517" s="134" t="s">
        <v>260</v>
      </c>
      <c r="D517" s="130" t="s">
        <v>261</v>
      </c>
      <c r="E517" s="130">
        <v>2020.0</v>
      </c>
      <c r="F517" s="130">
        <v>2025.0</v>
      </c>
      <c r="G517" s="130">
        <v>0.0</v>
      </c>
      <c r="H517" s="130">
        <v>19.0</v>
      </c>
      <c r="I517" s="131">
        <v>1.0</v>
      </c>
      <c r="J517" s="130">
        <v>19.0</v>
      </c>
      <c r="K517" s="132">
        <v>0.0</v>
      </c>
      <c r="L517" s="132">
        <v>0.0</v>
      </c>
      <c r="M517" s="130">
        <v>11.0</v>
      </c>
      <c r="N517" s="138"/>
      <c r="O517" s="130" t="s">
        <v>60</v>
      </c>
      <c r="P517" s="135">
        <v>12436.0</v>
      </c>
      <c r="Q517" s="130" t="s">
        <v>234</v>
      </c>
      <c r="R517" s="130">
        <v>2019.0</v>
      </c>
      <c r="S517" s="136">
        <v>0.238</v>
      </c>
      <c r="T517" s="128">
        <f>S517*P517</f>
        <v>2959.768</v>
      </c>
      <c r="U517" s="24">
        <f t="shared" si="3"/>
        <v>155.7772632</v>
      </c>
      <c r="V517" s="3">
        <f t="shared" si="28"/>
        <v>0</v>
      </c>
      <c r="W517" s="3">
        <f t="shared" si="29"/>
        <v>0</v>
      </c>
      <c r="X517" s="3">
        <f t="shared" si="30"/>
        <v>0</v>
      </c>
      <c r="Y517" s="25">
        <f t="shared" si="31"/>
        <v>0</v>
      </c>
      <c r="Z517" s="26">
        <f>VLOOKUP(R517,CPI!$A$2:$F$71,6,0)</f>
        <v>1.259947899</v>
      </c>
      <c r="AA517" s="27">
        <f t="shared" si="8"/>
        <v>3729.153473</v>
      </c>
      <c r="AB517" s="27">
        <f t="shared" si="9"/>
        <v>196.2712354</v>
      </c>
      <c r="AC517" s="130" t="s">
        <v>60</v>
      </c>
      <c r="AD517" s="137" t="s">
        <v>926</v>
      </c>
      <c r="AE517" s="178"/>
      <c r="AF517" s="172"/>
      <c r="AG517" s="172"/>
      <c r="AH517" s="172"/>
    </row>
    <row r="518">
      <c r="A518" s="72" t="s">
        <v>230</v>
      </c>
      <c r="B518" s="72" t="s">
        <v>911</v>
      </c>
      <c r="C518" s="16" t="s">
        <v>239</v>
      </c>
      <c r="D518" s="115" t="s">
        <v>356</v>
      </c>
      <c r="E518" s="69">
        <v>2020.0</v>
      </c>
      <c r="F518" s="69">
        <v>2026.0</v>
      </c>
      <c r="G518" s="69">
        <v>0.0</v>
      </c>
      <c r="H518" s="69">
        <v>34.11</v>
      </c>
      <c r="I518" s="233"/>
      <c r="J518" s="69"/>
      <c r="K518" s="72"/>
      <c r="L518" s="72"/>
      <c r="M518" s="69">
        <v>16.0</v>
      </c>
      <c r="N518" s="69">
        <v>117.0</v>
      </c>
      <c r="O518" s="72" t="s">
        <v>36</v>
      </c>
      <c r="P518" s="140">
        <v>21903.0</v>
      </c>
      <c r="Q518" s="72" t="s">
        <v>234</v>
      </c>
      <c r="R518" s="115">
        <v>2021.0</v>
      </c>
      <c r="S518" s="136">
        <v>0.239</v>
      </c>
      <c r="T518" s="118">
        <f t="shared" ref="T518:T520" si="87">P518*S518</f>
        <v>5234.817</v>
      </c>
      <c r="U518" s="24">
        <f t="shared" si="3"/>
        <v>153.4686895</v>
      </c>
      <c r="V518" s="3">
        <f t="shared" si="28"/>
        <v>0</v>
      </c>
      <c r="W518" s="3">
        <f t="shared" si="29"/>
        <v>0</v>
      </c>
      <c r="X518" s="3">
        <f t="shared" si="30"/>
        <v>0</v>
      </c>
      <c r="Y518" s="25">
        <f t="shared" si="31"/>
        <v>0</v>
      </c>
      <c r="Z518" s="26">
        <f>VLOOKUP(R518,CPI!$A$2:$F$71,6,0)</f>
        <v>1.188745987</v>
      </c>
      <c r="AA518" s="27">
        <f t="shared" si="8"/>
        <v>6222.8677</v>
      </c>
      <c r="AB518" s="27">
        <f t="shared" si="9"/>
        <v>182.4352888</v>
      </c>
      <c r="AC518" s="72" t="s">
        <v>36</v>
      </c>
      <c r="AD518" s="79" t="s">
        <v>927</v>
      </c>
      <c r="AE518" s="186"/>
      <c r="AF518" s="187"/>
      <c r="AG518" s="187"/>
      <c r="AH518" s="187"/>
    </row>
    <row r="519">
      <c r="A519" s="114" t="s">
        <v>230</v>
      </c>
      <c r="B519" s="114" t="s">
        <v>911</v>
      </c>
      <c r="C519" s="115" t="s">
        <v>57</v>
      </c>
      <c r="D519" s="115" t="s">
        <v>410</v>
      </c>
      <c r="E519" s="116">
        <v>2016.0</v>
      </c>
      <c r="F519" s="114"/>
      <c r="G519" s="116">
        <v>0.0</v>
      </c>
      <c r="H519" s="116">
        <v>6.1</v>
      </c>
      <c r="I519" s="117">
        <v>1.0</v>
      </c>
      <c r="J519" s="116">
        <v>6.1</v>
      </c>
      <c r="K519" s="114"/>
      <c r="L519" s="114"/>
      <c r="M519" s="116">
        <v>4.0</v>
      </c>
      <c r="N519" s="116">
        <v>117.0</v>
      </c>
      <c r="O519" s="114"/>
      <c r="P519" s="140">
        <v>3700.0</v>
      </c>
      <c r="Q519" s="114" t="s">
        <v>234</v>
      </c>
      <c r="R519" s="115">
        <v>2016.0</v>
      </c>
      <c r="S519" s="85">
        <v>0.251</v>
      </c>
      <c r="T519" s="118">
        <f t="shared" si="87"/>
        <v>928.7</v>
      </c>
      <c r="U519" s="24">
        <f t="shared" si="3"/>
        <v>152.2459016</v>
      </c>
      <c r="V519" s="3">
        <f t="shared" si="28"/>
        <v>0</v>
      </c>
      <c r="W519" s="3">
        <f t="shared" si="29"/>
        <v>0</v>
      </c>
      <c r="X519" s="3">
        <f t="shared" si="30"/>
        <v>0</v>
      </c>
      <c r="Y519" s="25">
        <f t="shared" si="31"/>
        <v>0</v>
      </c>
      <c r="Z519" s="26">
        <f>VLOOKUP(R519,CPI!$A$2:$F$71,6,0)</f>
        <v>1.342104605</v>
      </c>
      <c r="AA519" s="27">
        <f t="shared" si="8"/>
        <v>1246.412547</v>
      </c>
      <c r="AB519" s="27">
        <f t="shared" si="9"/>
        <v>204.3299257</v>
      </c>
      <c r="AC519" s="114"/>
      <c r="AD519" s="119" t="s">
        <v>928</v>
      </c>
      <c r="AE519" s="164"/>
      <c r="AF519" s="165"/>
      <c r="AG519" s="165"/>
      <c r="AH519" s="165"/>
    </row>
    <row r="520">
      <c r="A520" s="114" t="s">
        <v>230</v>
      </c>
      <c r="B520" s="114" t="s">
        <v>911</v>
      </c>
      <c r="C520" s="114" t="s">
        <v>663</v>
      </c>
      <c r="D520" s="114" t="s">
        <v>663</v>
      </c>
      <c r="E520" s="116">
        <v>2019.0</v>
      </c>
      <c r="F520" s="114"/>
      <c r="G520" s="116">
        <v>0.0</v>
      </c>
      <c r="H520" s="116">
        <v>29.28</v>
      </c>
      <c r="I520" s="117">
        <v>0.28</v>
      </c>
      <c r="J520" s="116">
        <v>8.14</v>
      </c>
      <c r="K520" s="114"/>
      <c r="L520" s="114"/>
      <c r="M520" s="116">
        <v>10.0</v>
      </c>
      <c r="N520" s="116">
        <v>117.0</v>
      </c>
      <c r="O520" s="114" t="s">
        <v>36</v>
      </c>
      <c r="P520" s="140">
        <v>12694.0</v>
      </c>
      <c r="Q520" s="114" t="s">
        <v>234</v>
      </c>
      <c r="R520" s="115">
        <v>2019.0</v>
      </c>
      <c r="S520" s="136">
        <v>0.238</v>
      </c>
      <c r="T520" s="118">
        <f t="shared" si="87"/>
        <v>3021.172</v>
      </c>
      <c r="U520" s="24">
        <f t="shared" si="3"/>
        <v>103.1821038</v>
      </c>
      <c r="V520" s="3">
        <f t="shared" si="28"/>
        <v>0</v>
      </c>
      <c r="W520" s="3">
        <f t="shared" si="29"/>
        <v>0</v>
      </c>
      <c r="X520" s="3">
        <f t="shared" si="30"/>
        <v>0</v>
      </c>
      <c r="Y520" s="25">
        <f t="shared" si="31"/>
        <v>0</v>
      </c>
      <c r="Z520" s="26">
        <f>VLOOKUP(R520,CPI!$A$2:$F$71,6,0)</f>
        <v>1.259947899</v>
      </c>
      <c r="AA520" s="27">
        <f t="shared" si="8"/>
        <v>3806.519314</v>
      </c>
      <c r="AB520" s="27">
        <f t="shared" si="9"/>
        <v>130.0040749</v>
      </c>
      <c r="AC520" s="114" t="s">
        <v>36</v>
      </c>
      <c r="AD520" s="119" t="s">
        <v>929</v>
      </c>
      <c r="AE520" s="164"/>
      <c r="AF520" s="165"/>
      <c r="AG520" s="165"/>
      <c r="AH520" s="165"/>
    </row>
    <row r="521">
      <c r="A521" s="130" t="s">
        <v>230</v>
      </c>
      <c r="B521" s="130" t="s">
        <v>911</v>
      </c>
      <c r="C521" s="130" t="s">
        <v>267</v>
      </c>
      <c r="D521" s="130" t="s">
        <v>267</v>
      </c>
      <c r="E521" s="130"/>
      <c r="F521" s="130"/>
      <c r="G521" s="130">
        <v>0.0</v>
      </c>
      <c r="H521" s="130">
        <v>13.8</v>
      </c>
      <c r="I521" s="131">
        <v>1.0</v>
      </c>
      <c r="J521" s="130">
        <v>13.8</v>
      </c>
      <c r="K521" s="132">
        <v>0.0</v>
      </c>
      <c r="L521" s="132">
        <v>0.0</v>
      </c>
      <c r="M521" s="130">
        <v>8.0</v>
      </c>
      <c r="N521" s="138"/>
      <c r="O521" s="130" t="s">
        <v>60</v>
      </c>
      <c r="P521" s="135">
        <v>8315.0</v>
      </c>
      <c r="Q521" s="130" t="s">
        <v>234</v>
      </c>
      <c r="R521" s="130">
        <v>2019.0</v>
      </c>
      <c r="S521" s="136">
        <v>0.238</v>
      </c>
      <c r="T521" s="128">
        <f t="shared" ref="T521:T522" si="88">S521*P521</f>
        <v>1978.97</v>
      </c>
      <c r="U521" s="24">
        <f t="shared" si="3"/>
        <v>143.4036232</v>
      </c>
      <c r="V521" s="3">
        <f t="shared" si="28"/>
        <v>0</v>
      </c>
      <c r="W521" s="3">
        <f t="shared" si="29"/>
        <v>0</v>
      </c>
      <c r="X521" s="3">
        <f t="shared" si="30"/>
        <v>0</v>
      </c>
      <c r="Y521" s="25">
        <f t="shared" si="31"/>
        <v>0</v>
      </c>
      <c r="Z521" s="26">
        <f>VLOOKUP(R521,CPI!$A$2:$F$71,6,0)</f>
        <v>1.259947899</v>
      </c>
      <c r="AA521" s="27">
        <f t="shared" si="8"/>
        <v>2493.399094</v>
      </c>
      <c r="AB521" s="27">
        <f t="shared" si="9"/>
        <v>180.6810937</v>
      </c>
      <c r="AC521" s="130" t="s">
        <v>60</v>
      </c>
      <c r="AD521" s="137" t="s">
        <v>926</v>
      </c>
      <c r="AE521" s="130"/>
      <c r="AF521" s="130"/>
      <c r="AG521" s="130"/>
      <c r="AH521" s="130"/>
    </row>
    <row r="522">
      <c r="A522" s="130" t="s">
        <v>230</v>
      </c>
      <c r="B522" s="130" t="s">
        <v>911</v>
      </c>
      <c r="C522" s="36" t="s">
        <v>54</v>
      </c>
      <c r="D522" s="130" t="s">
        <v>326</v>
      </c>
      <c r="E522" s="130"/>
      <c r="F522" s="130"/>
      <c r="G522" s="130">
        <v>0.0</v>
      </c>
      <c r="H522" s="130">
        <v>7.0</v>
      </c>
      <c r="I522" s="131">
        <v>1.0</v>
      </c>
      <c r="J522" s="130">
        <v>7.0</v>
      </c>
      <c r="K522" s="132">
        <v>0.0</v>
      </c>
      <c r="L522" s="132">
        <v>0.0</v>
      </c>
      <c r="M522" s="130">
        <v>4.0</v>
      </c>
      <c r="N522" s="138"/>
      <c r="O522" s="130" t="s">
        <v>60</v>
      </c>
      <c r="P522" s="135">
        <v>4289.0</v>
      </c>
      <c r="Q522" s="130" t="s">
        <v>234</v>
      </c>
      <c r="R522" s="130">
        <v>2019.0</v>
      </c>
      <c r="S522" s="136">
        <v>0.238</v>
      </c>
      <c r="T522" s="128">
        <f t="shared" si="88"/>
        <v>1020.782</v>
      </c>
      <c r="U522" s="24">
        <f t="shared" si="3"/>
        <v>145.826</v>
      </c>
      <c r="V522" s="3">
        <f t="shared" si="28"/>
        <v>0</v>
      </c>
      <c r="W522" s="3">
        <f t="shared" si="29"/>
        <v>0</v>
      </c>
      <c r="X522" s="3">
        <f t="shared" si="30"/>
        <v>0</v>
      </c>
      <c r="Y522" s="25">
        <f t="shared" si="31"/>
        <v>0</v>
      </c>
      <c r="Z522" s="26">
        <f>VLOOKUP(R522,CPI!$A$2:$F$71,6,0)</f>
        <v>1.259947899</v>
      </c>
      <c r="AA522" s="27">
        <f t="shared" si="8"/>
        <v>1286.132136</v>
      </c>
      <c r="AB522" s="27">
        <f t="shared" si="9"/>
        <v>183.7331623</v>
      </c>
      <c r="AC522" s="130" t="s">
        <v>60</v>
      </c>
      <c r="AD522" s="137" t="s">
        <v>926</v>
      </c>
      <c r="AE522" s="178"/>
      <c r="AF522" s="172"/>
      <c r="AG522" s="172"/>
      <c r="AH522" s="172"/>
    </row>
    <row r="523">
      <c r="A523" s="123" t="s">
        <v>230</v>
      </c>
      <c r="B523" s="123" t="s">
        <v>911</v>
      </c>
      <c r="C523" s="16" t="s">
        <v>243</v>
      </c>
      <c r="D523" s="123" t="s">
        <v>243</v>
      </c>
      <c r="E523" s="123"/>
      <c r="F523" s="123"/>
      <c r="G523" s="75">
        <v>0.0</v>
      </c>
      <c r="H523" s="75">
        <v>50.0</v>
      </c>
      <c r="I523" s="124">
        <v>1.0</v>
      </c>
      <c r="J523" s="75">
        <v>50.0</v>
      </c>
      <c r="K523" s="125">
        <v>0.0</v>
      </c>
      <c r="L523" s="125">
        <v>0.0</v>
      </c>
      <c r="M523" s="75">
        <v>35.0</v>
      </c>
      <c r="N523" s="75"/>
      <c r="O523" s="123" t="s">
        <v>60</v>
      </c>
      <c r="P523" s="126">
        <v>38286.0</v>
      </c>
      <c r="Q523" s="123" t="s">
        <v>234</v>
      </c>
      <c r="R523" s="75">
        <v>2019.0</v>
      </c>
      <c r="S523" s="136">
        <v>0.238</v>
      </c>
      <c r="T523" s="128">
        <f t="shared" ref="T523:T528" si="89">P523*S523</f>
        <v>9112.068</v>
      </c>
      <c r="U523" s="24">
        <f t="shared" si="3"/>
        <v>182.24136</v>
      </c>
      <c r="V523" s="3">
        <f t="shared" si="28"/>
        <v>0</v>
      </c>
      <c r="W523" s="3">
        <f t="shared" si="29"/>
        <v>0</v>
      </c>
      <c r="X523" s="3">
        <f t="shared" si="30"/>
        <v>0</v>
      </c>
      <c r="Y523" s="25">
        <f t="shared" si="31"/>
        <v>0</v>
      </c>
      <c r="Z523" s="26">
        <f>VLOOKUP(R523,CPI!$A$2:$F$71,6,0)</f>
        <v>1.259947899</v>
      </c>
      <c r="AA523" s="27">
        <f t="shared" si="8"/>
        <v>11480.73093</v>
      </c>
      <c r="AB523" s="27">
        <f t="shared" si="9"/>
        <v>229.6146186</v>
      </c>
      <c r="AC523" s="123" t="s">
        <v>60</v>
      </c>
      <c r="AD523" s="129" t="s">
        <v>926</v>
      </c>
      <c r="AE523" s="178"/>
      <c r="AF523" s="172"/>
      <c r="AG523" s="172"/>
      <c r="AH523" s="172"/>
    </row>
    <row r="524">
      <c r="A524" s="114" t="s">
        <v>230</v>
      </c>
      <c r="B524" s="114" t="s">
        <v>930</v>
      </c>
      <c r="C524" s="115" t="s">
        <v>54</v>
      </c>
      <c r="D524" s="115" t="s">
        <v>348</v>
      </c>
      <c r="E524" s="116">
        <v>2015.0</v>
      </c>
      <c r="F524" s="116">
        <v>2019.0</v>
      </c>
      <c r="G524" s="116">
        <v>0.0</v>
      </c>
      <c r="H524" s="116">
        <v>25.2</v>
      </c>
      <c r="I524" s="117">
        <v>1.0</v>
      </c>
      <c r="J524" s="116">
        <v>25.2</v>
      </c>
      <c r="K524" s="114"/>
      <c r="L524" s="114"/>
      <c r="M524" s="116">
        <v>19.0</v>
      </c>
      <c r="N524" s="116">
        <v>117.0</v>
      </c>
      <c r="O524" s="114"/>
      <c r="P524" s="140">
        <v>17620.0</v>
      </c>
      <c r="Q524" s="114" t="s">
        <v>234</v>
      </c>
      <c r="R524" s="115">
        <v>2017.0</v>
      </c>
      <c r="S524" s="85">
        <v>0.239</v>
      </c>
      <c r="T524" s="118">
        <f t="shared" si="89"/>
        <v>4211.18</v>
      </c>
      <c r="U524" s="24">
        <f t="shared" si="3"/>
        <v>167.1103175</v>
      </c>
      <c r="V524" s="3">
        <f t="shared" si="28"/>
        <v>0</v>
      </c>
      <c r="W524" s="3">
        <f t="shared" si="29"/>
        <v>0</v>
      </c>
      <c r="X524" s="3">
        <f t="shared" si="30"/>
        <v>0</v>
      </c>
      <c r="Y524" s="25">
        <f t="shared" si="31"/>
        <v>0</v>
      </c>
      <c r="Z524" s="26">
        <f>VLOOKUP(R524,CPI!$A$2:$F$71,6,0)</f>
        <v>1.314109416</v>
      </c>
      <c r="AA524" s="27">
        <f t="shared" si="8"/>
        <v>5533.95129</v>
      </c>
      <c r="AB524" s="27">
        <f t="shared" si="9"/>
        <v>219.6012417</v>
      </c>
      <c r="AC524" s="114"/>
      <c r="AD524" s="161" t="s">
        <v>931</v>
      </c>
      <c r="AE524" s="114"/>
      <c r="AF524" s="114"/>
      <c r="AG524" s="114"/>
      <c r="AH524" s="114"/>
    </row>
    <row r="525">
      <c r="A525" s="114" t="s">
        <v>230</v>
      </c>
      <c r="B525" s="114" t="s">
        <v>930</v>
      </c>
      <c r="C525" s="16" t="s">
        <v>57</v>
      </c>
      <c r="D525" s="115" t="s">
        <v>232</v>
      </c>
      <c r="E525" s="116">
        <v>2011.0</v>
      </c>
      <c r="F525" s="116">
        <v>2020.0</v>
      </c>
      <c r="G525" s="116">
        <v>0.0</v>
      </c>
      <c r="H525" s="116">
        <v>31.5</v>
      </c>
      <c r="I525" s="117">
        <v>0.84</v>
      </c>
      <c r="J525" s="116">
        <v>26.36</v>
      </c>
      <c r="K525" s="114"/>
      <c r="L525" s="114"/>
      <c r="M525" s="116">
        <v>23.0</v>
      </c>
      <c r="N525" s="116">
        <v>117.0</v>
      </c>
      <c r="O525" s="114"/>
      <c r="P525" s="140">
        <v>20390.0</v>
      </c>
      <c r="Q525" s="114" t="s">
        <v>234</v>
      </c>
      <c r="R525" s="115">
        <v>2016.0</v>
      </c>
      <c r="S525" s="85">
        <v>0.251</v>
      </c>
      <c r="T525" s="118">
        <f t="shared" si="89"/>
        <v>5117.89</v>
      </c>
      <c r="U525" s="24">
        <f t="shared" si="3"/>
        <v>162.4726984</v>
      </c>
      <c r="V525" s="3">
        <f t="shared" si="28"/>
        <v>0</v>
      </c>
      <c r="W525" s="3">
        <f t="shared" si="29"/>
        <v>0</v>
      </c>
      <c r="X525" s="3">
        <f t="shared" si="30"/>
        <v>0</v>
      </c>
      <c r="Y525" s="25">
        <f t="shared" si="31"/>
        <v>0</v>
      </c>
      <c r="Z525" s="26">
        <f>VLOOKUP(R525,CPI!$A$2:$F$71,6,0)</f>
        <v>1.342104605</v>
      </c>
      <c r="AA525" s="27">
        <f t="shared" si="8"/>
        <v>6868.743738</v>
      </c>
      <c r="AB525" s="27">
        <f t="shared" si="9"/>
        <v>218.0553568</v>
      </c>
      <c r="AC525" s="114"/>
      <c r="AD525" s="119" t="s">
        <v>931</v>
      </c>
      <c r="AE525" s="167" t="s">
        <v>932</v>
      </c>
      <c r="AF525" s="168"/>
      <c r="AG525" s="168"/>
      <c r="AH525" s="169"/>
    </row>
    <row r="526">
      <c r="A526" s="114" t="s">
        <v>230</v>
      </c>
      <c r="B526" s="114" t="s">
        <v>930</v>
      </c>
      <c r="C526" s="115" t="s">
        <v>87</v>
      </c>
      <c r="D526" s="115" t="s">
        <v>331</v>
      </c>
      <c r="E526" s="116">
        <v>2011.0</v>
      </c>
      <c r="F526" s="116">
        <v>2020.0</v>
      </c>
      <c r="G526" s="116">
        <v>0.0</v>
      </c>
      <c r="H526" s="116">
        <v>18.6</v>
      </c>
      <c r="I526" s="114"/>
      <c r="J526" s="114"/>
      <c r="K526" s="114"/>
      <c r="L526" s="114"/>
      <c r="M526" s="116">
        <v>16.0</v>
      </c>
      <c r="N526" s="116">
        <v>117.0</v>
      </c>
      <c r="O526" s="114"/>
      <c r="P526" s="140">
        <v>12360.0</v>
      </c>
      <c r="Q526" s="114" t="s">
        <v>234</v>
      </c>
      <c r="R526" s="115">
        <v>2016.0</v>
      </c>
      <c r="S526" s="85">
        <v>0.251</v>
      </c>
      <c r="T526" s="118">
        <f t="shared" si="89"/>
        <v>3102.36</v>
      </c>
      <c r="U526" s="24">
        <f t="shared" si="3"/>
        <v>166.7935484</v>
      </c>
      <c r="V526" s="3">
        <f t="shared" si="28"/>
        <v>0</v>
      </c>
      <c r="W526" s="3">
        <f t="shared" si="29"/>
        <v>0</v>
      </c>
      <c r="X526" s="3">
        <f t="shared" si="30"/>
        <v>0</v>
      </c>
      <c r="Y526" s="25">
        <f t="shared" si="31"/>
        <v>0</v>
      </c>
      <c r="Z526" s="26">
        <f>VLOOKUP(R526,CPI!$A$2:$F$71,6,0)</f>
        <v>1.342104605</v>
      </c>
      <c r="AA526" s="27">
        <f t="shared" si="8"/>
        <v>4163.691643</v>
      </c>
      <c r="AB526" s="27">
        <f t="shared" si="9"/>
        <v>223.8543894</v>
      </c>
      <c r="AC526" s="114"/>
      <c r="AD526" s="161" t="s">
        <v>931</v>
      </c>
      <c r="AE526" s="164"/>
      <c r="AF526" s="165"/>
      <c r="AG526" s="165"/>
      <c r="AH526" s="165"/>
    </row>
    <row r="527">
      <c r="A527" s="123" t="s">
        <v>230</v>
      </c>
      <c r="B527" s="123" t="s">
        <v>930</v>
      </c>
      <c r="C527" s="36" t="s">
        <v>54</v>
      </c>
      <c r="D527" s="123" t="s">
        <v>326</v>
      </c>
      <c r="E527" s="75">
        <v>2016.0</v>
      </c>
      <c r="F527" s="75">
        <v>2020.0</v>
      </c>
      <c r="G527" s="75">
        <v>0.0</v>
      </c>
      <c r="H527" s="75">
        <v>15.5</v>
      </c>
      <c r="I527" s="124">
        <v>1.0</v>
      </c>
      <c r="J527" s="75">
        <v>15.5</v>
      </c>
      <c r="K527" s="125">
        <v>0.0</v>
      </c>
      <c r="L527" s="125">
        <v>0.0</v>
      </c>
      <c r="M527" s="75">
        <v>9.0</v>
      </c>
      <c r="N527" s="75"/>
      <c r="O527" s="123" t="s">
        <v>60</v>
      </c>
      <c r="P527" s="126">
        <v>12218.0</v>
      </c>
      <c r="Q527" s="123" t="s">
        <v>234</v>
      </c>
      <c r="R527" s="75">
        <v>2016.0</v>
      </c>
      <c r="S527" s="136">
        <v>0.251</v>
      </c>
      <c r="T527" s="128">
        <f t="shared" si="89"/>
        <v>3066.718</v>
      </c>
      <c r="U527" s="24">
        <f t="shared" si="3"/>
        <v>197.8527742</v>
      </c>
      <c r="V527" s="3">
        <f t="shared" si="28"/>
        <v>0</v>
      </c>
      <c r="W527" s="3">
        <f t="shared" si="29"/>
        <v>0</v>
      </c>
      <c r="X527" s="3">
        <f t="shared" si="30"/>
        <v>0</v>
      </c>
      <c r="Y527" s="25">
        <f t="shared" si="31"/>
        <v>0</v>
      </c>
      <c r="Z527" s="26">
        <f>VLOOKUP(R527,CPI!$A$2:$F$71,6,0)</f>
        <v>1.342104605</v>
      </c>
      <c r="AA527" s="27">
        <f t="shared" si="8"/>
        <v>4115.856351</v>
      </c>
      <c r="AB527" s="27">
        <f t="shared" si="9"/>
        <v>265.5391194</v>
      </c>
      <c r="AC527" s="123" t="s">
        <v>60</v>
      </c>
      <c r="AD527" s="129" t="s">
        <v>933</v>
      </c>
      <c r="AE527" s="178"/>
      <c r="AF527" s="172"/>
      <c r="AG527" s="172"/>
      <c r="AH527" s="172"/>
    </row>
    <row r="528">
      <c r="A528" s="123" t="s">
        <v>230</v>
      </c>
      <c r="B528" s="123" t="s">
        <v>930</v>
      </c>
      <c r="C528" s="36" t="s">
        <v>87</v>
      </c>
      <c r="D528" s="123" t="s">
        <v>357</v>
      </c>
      <c r="E528" s="75">
        <v>2016.0</v>
      </c>
      <c r="F528" s="75">
        <v>2020.0</v>
      </c>
      <c r="G528" s="75">
        <v>0.0</v>
      </c>
      <c r="H528" s="75">
        <v>22.6</v>
      </c>
      <c r="I528" s="124">
        <v>0.7433628319</v>
      </c>
      <c r="J528" s="75">
        <v>16.8</v>
      </c>
      <c r="K528" s="125">
        <v>0.0</v>
      </c>
      <c r="L528" s="125">
        <v>0.0</v>
      </c>
      <c r="M528" s="75">
        <v>13.0</v>
      </c>
      <c r="N528" s="75"/>
      <c r="O528" s="123" t="s">
        <v>60</v>
      </c>
      <c r="P528" s="126">
        <v>15154.0</v>
      </c>
      <c r="Q528" s="123" t="s">
        <v>234</v>
      </c>
      <c r="R528" s="75">
        <v>2016.0</v>
      </c>
      <c r="S528" s="136">
        <v>0.251</v>
      </c>
      <c r="T528" s="128">
        <f t="shared" si="89"/>
        <v>3803.654</v>
      </c>
      <c r="U528" s="24">
        <f t="shared" si="3"/>
        <v>168.3032743</v>
      </c>
      <c r="V528" s="3">
        <f t="shared" si="28"/>
        <v>0</v>
      </c>
      <c r="W528" s="3">
        <f t="shared" si="29"/>
        <v>0</v>
      </c>
      <c r="X528" s="3">
        <f t="shared" si="30"/>
        <v>0</v>
      </c>
      <c r="Y528" s="25">
        <f t="shared" si="31"/>
        <v>0</v>
      </c>
      <c r="Z528" s="26">
        <f>VLOOKUP(R528,CPI!$A$2:$F$71,6,0)</f>
        <v>1.342104605</v>
      </c>
      <c r="AA528" s="27">
        <f t="shared" si="8"/>
        <v>5104.90155</v>
      </c>
      <c r="AB528" s="27">
        <f t="shared" si="9"/>
        <v>225.8805996</v>
      </c>
      <c r="AC528" s="123" t="s">
        <v>60</v>
      </c>
      <c r="AD528" s="129" t="s">
        <v>933</v>
      </c>
      <c r="AE528" s="178"/>
      <c r="AF528" s="172"/>
      <c r="AG528" s="172"/>
      <c r="AH528" s="172"/>
    </row>
    <row r="529">
      <c r="A529" s="130" t="s">
        <v>230</v>
      </c>
      <c r="B529" s="130" t="s">
        <v>930</v>
      </c>
      <c r="C529" s="36" t="s">
        <v>110</v>
      </c>
      <c r="D529" s="130" t="s">
        <v>110</v>
      </c>
      <c r="E529" s="130">
        <v>2017.0</v>
      </c>
      <c r="F529" s="130">
        <v>2022.0</v>
      </c>
      <c r="G529" s="130">
        <v>0.0</v>
      </c>
      <c r="H529" s="130">
        <v>69.6</v>
      </c>
      <c r="I529" s="131">
        <v>0.4482758621</v>
      </c>
      <c r="J529" s="130">
        <v>31.2</v>
      </c>
      <c r="K529" s="132">
        <v>0.0</v>
      </c>
      <c r="L529" s="132">
        <v>0.0</v>
      </c>
      <c r="M529" s="130">
        <v>18.0</v>
      </c>
      <c r="N529" s="138"/>
      <c r="O529" s="130" t="s">
        <v>60</v>
      </c>
      <c r="P529" s="135">
        <v>36256.0</v>
      </c>
      <c r="Q529" s="130" t="s">
        <v>234</v>
      </c>
      <c r="R529" s="130">
        <v>2016.0</v>
      </c>
      <c r="S529" s="136">
        <v>0.251</v>
      </c>
      <c r="T529" s="128">
        <f>S529*P529</f>
        <v>9100.256</v>
      </c>
      <c r="U529" s="24">
        <f t="shared" si="3"/>
        <v>130.7508046</v>
      </c>
      <c r="V529" s="3">
        <f t="shared" si="28"/>
        <v>0</v>
      </c>
      <c r="W529" s="3">
        <f t="shared" si="29"/>
        <v>0</v>
      </c>
      <c r="X529" s="3">
        <f t="shared" si="30"/>
        <v>0</v>
      </c>
      <c r="Y529" s="25">
        <f t="shared" si="31"/>
        <v>0</v>
      </c>
      <c r="Z529" s="26">
        <f>VLOOKUP(R529,CPI!$A$2:$F$71,6,0)</f>
        <v>1.342104605</v>
      </c>
      <c r="AA529" s="27">
        <f t="shared" si="8"/>
        <v>12213.49549</v>
      </c>
      <c r="AB529" s="27">
        <f t="shared" si="9"/>
        <v>175.481257</v>
      </c>
      <c r="AC529" s="130" t="s">
        <v>60</v>
      </c>
      <c r="AD529" s="137" t="s">
        <v>933</v>
      </c>
      <c r="AE529" s="178"/>
      <c r="AF529" s="172"/>
      <c r="AG529" s="172"/>
      <c r="AH529" s="172"/>
    </row>
    <row r="530">
      <c r="A530" s="123" t="s">
        <v>230</v>
      </c>
      <c r="B530" s="123" t="s">
        <v>930</v>
      </c>
      <c r="C530" s="123" t="s">
        <v>80</v>
      </c>
      <c r="D530" s="123" t="s">
        <v>80</v>
      </c>
      <c r="E530" s="75">
        <v>2017.0</v>
      </c>
      <c r="F530" s="75">
        <v>2022.0</v>
      </c>
      <c r="G530" s="75">
        <v>0.0</v>
      </c>
      <c r="H530" s="75">
        <v>44.5</v>
      </c>
      <c r="I530" s="124">
        <v>1.0</v>
      </c>
      <c r="J530" s="75">
        <v>44.5</v>
      </c>
      <c r="K530" s="125">
        <v>0.0</v>
      </c>
      <c r="L530" s="125">
        <v>0.0</v>
      </c>
      <c r="M530" s="75">
        <v>27.0</v>
      </c>
      <c r="N530" s="75"/>
      <c r="O530" s="123" t="s">
        <v>60</v>
      </c>
      <c r="P530" s="126">
        <v>36464.0</v>
      </c>
      <c r="Q530" s="123" t="s">
        <v>234</v>
      </c>
      <c r="R530" s="75">
        <v>2016.0</v>
      </c>
      <c r="S530" s="136">
        <v>0.251</v>
      </c>
      <c r="T530" s="128">
        <f t="shared" ref="T530:T929" si="90">P530*S530</f>
        <v>9152.464</v>
      </c>
      <c r="U530" s="24">
        <f t="shared" si="3"/>
        <v>205.6733483</v>
      </c>
      <c r="V530" s="3">
        <f t="shared" si="28"/>
        <v>0</v>
      </c>
      <c r="W530" s="3">
        <f t="shared" si="29"/>
        <v>0</v>
      </c>
      <c r="X530" s="3">
        <f t="shared" si="30"/>
        <v>0</v>
      </c>
      <c r="Y530" s="25">
        <f t="shared" si="31"/>
        <v>0</v>
      </c>
      <c r="Z530" s="26">
        <f>VLOOKUP(R530,CPI!$A$2:$F$71,6,0)</f>
        <v>1.342104605</v>
      </c>
      <c r="AA530" s="27">
        <f t="shared" si="8"/>
        <v>12283.56408</v>
      </c>
      <c r="AB530" s="27">
        <f t="shared" si="9"/>
        <v>276.035148</v>
      </c>
      <c r="AC530" s="123" t="s">
        <v>60</v>
      </c>
      <c r="AD530" s="129" t="s">
        <v>933</v>
      </c>
      <c r="AE530" s="178"/>
      <c r="AF530" s="172"/>
      <c r="AG530" s="172"/>
      <c r="AH530" s="172"/>
    </row>
    <row r="531">
      <c r="A531" s="114" t="s">
        <v>230</v>
      </c>
      <c r="B531" s="114" t="s">
        <v>930</v>
      </c>
      <c r="C531" s="36" t="s">
        <v>934</v>
      </c>
      <c r="D531" s="114" t="s">
        <v>935</v>
      </c>
      <c r="E531" s="116">
        <v>2020.0</v>
      </c>
      <c r="F531" s="114"/>
      <c r="G531" s="116">
        <v>0.0</v>
      </c>
      <c r="H531" s="116">
        <v>45.8</v>
      </c>
      <c r="I531" s="114"/>
      <c r="J531" s="114"/>
      <c r="K531" s="114"/>
      <c r="L531" s="114"/>
      <c r="M531" s="116">
        <v>9.0</v>
      </c>
      <c r="N531" s="116"/>
      <c r="O531" s="114" t="s">
        <v>36</v>
      </c>
      <c r="P531" s="140">
        <v>21890.0</v>
      </c>
      <c r="Q531" s="114" t="s">
        <v>234</v>
      </c>
      <c r="R531" s="115">
        <v>2020.0</v>
      </c>
      <c r="S531" s="136">
        <v>0.239</v>
      </c>
      <c r="T531" s="118">
        <f t="shared" si="90"/>
        <v>5231.71</v>
      </c>
      <c r="U531" s="24">
        <f t="shared" si="3"/>
        <v>114.229476</v>
      </c>
      <c r="V531" s="3">
        <f t="shared" si="28"/>
        <v>0</v>
      </c>
      <c r="W531" s="3">
        <f t="shared" si="29"/>
        <v>0</v>
      </c>
      <c r="X531" s="3">
        <f t="shared" si="30"/>
        <v>0</v>
      </c>
      <c r="Y531" s="25">
        <f t="shared" si="31"/>
        <v>0</v>
      </c>
      <c r="Z531" s="26">
        <f>VLOOKUP(R531,CPI!$A$2:$F$71,6,0)</f>
        <v>1.244593545</v>
      </c>
      <c r="AA531" s="27">
        <f t="shared" si="8"/>
        <v>6511.352496</v>
      </c>
      <c r="AB531" s="27">
        <f t="shared" si="9"/>
        <v>142.1692685</v>
      </c>
      <c r="AC531" s="114" t="s">
        <v>36</v>
      </c>
      <c r="AD531" s="224" t="s">
        <v>936</v>
      </c>
      <c r="AE531" s="114"/>
      <c r="AF531" s="114"/>
      <c r="AG531" s="114"/>
      <c r="AH531" s="114"/>
    </row>
    <row r="532">
      <c r="A532" s="114" t="s">
        <v>230</v>
      </c>
      <c r="B532" s="114" t="s">
        <v>930</v>
      </c>
      <c r="C532" s="114" t="s">
        <v>253</v>
      </c>
      <c r="D532" s="114" t="s">
        <v>253</v>
      </c>
      <c r="E532" s="116">
        <v>2021.0</v>
      </c>
      <c r="F532" s="114"/>
      <c r="G532" s="116">
        <v>0.0</v>
      </c>
      <c r="H532" s="116">
        <v>44.2</v>
      </c>
      <c r="I532" s="117">
        <v>1.0</v>
      </c>
      <c r="J532" s="116">
        <v>44.2</v>
      </c>
      <c r="K532" s="114"/>
      <c r="L532" s="114"/>
      <c r="M532" s="116">
        <v>24.0</v>
      </c>
      <c r="N532" s="116">
        <v>117.0</v>
      </c>
      <c r="O532" s="114"/>
      <c r="P532" s="140">
        <v>40537.22</v>
      </c>
      <c r="Q532" s="114" t="s">
        <v>234</v>
      </c>
      <c r="R532" s="115">
        <v>2021.0</v>
      </c>
      <c r="S532" s="136">
        <v>0.239000000000002</v>
      </c>
      <c r="T532" s="118">
        <f t="shared" si="90"/>
        <v>9688.39558</v>
      </c>
      <c r="U532" s="24">
        <f t="shared" si="3"/>
        <v>219.1944701</v>
      </c>
      <c r="V532" s="3">
        <f t="shared" si="28"/>
        <v>0</v>
      </c>
      <c r="W532" s="3">
        <f t="shared" si="29"/>
        <v>0</v>
      </c>
      <c r="X532" s="3">
        <f t="shared" si="30"/>
        <v>0</v>
      </c>
      <c r="Y532" s="25">
        <f t="shared" si="31"/>
        <v>0</v>
      </c>
      <c r="Z532" s="26">
        <f>VLOOKUP(R532,CPI!$A$2:$F$71,6,0)</f>
        <v>1.188745987</v>
      </c>
      <c r="AA532" s="27">
        <f t="shared" si="8"/>
        <v>11517.04136</v>
      </c>
      <c r="AB532" s="27">
        <f t="shared" si="9"/>
        <v>260.5665467</v>
      </c>
      <c r="AC532" s="114"/>
      <c r="AD532" s="119" t="s">
        <v>937</v>
      </c>
      <c r="AE532" s="164"/>
      <c r="AF532" s="165"/>
      <c r="AG532" s="165"/>
      <c r="AH532" s="165"/>
    </row>
    <row r="533">
      <c r="A533" s="114" t="s">
        <v>230</v>
      </c>
      <c r="B533" s="114" t="s">
        <v>930</v>
      </c>
      <c r="C533" s="36" t="s">
        <v>934</v>
      </c>
      <c r="D533" s="114" t="s">
        <v>938</v>
      </c>
      <c r="E533" s="116">
        <v>2021.0</v>
      </c>
      <c r="F533" s="114"/>
      <c r="G533" s="116">
        <v>1.0</v>
      </c>
      <c r="H533" s="116">
        <v>51.2</v>
      </c>
      <c r="I533" s="114"/>
      <c r="J533" s="114"/>
      <c r="K533" s="114"/>
      <c r="L533" s="114"/>
      <c r="M533" s="116">
        <v>4.0</v>
      </c>
      <c r="N533" s="116"/>
      <c r="O533" s="114"/>
      <c r="P533" s="140">
        <v>30320.0</v>
      </c>
      <c r="Q533" s="114" t="s">
        <v>234</v>
      </c>
      <c r="R533" s="115">
        <v>2021.0</v>
      </c>
      <c r="S533" s="136">
        <v>0.239000000000002</v>
      </c>
      <c r="T533" s="118">
        <f t="shared" si="90"/>
        <v>7246.48</v>
      </c>
      <c r="U533" s="24">
        <f t="shared" si="3"/>
        <v>141.5328125</v>
      </c>
      <c r="V533" s="3">
        <f t="shared" si="28"/>
        <v>0</v>
      </c>
      <c r="W533" s="3">
        <f t="shared" si="29"/>
        <v>0</v>
      </c>
      <c r="X533" s="3">
        <f t="shared" si="30"/>
        <v>0</v>
      </c>
      <c r="Y533" s="25">
        <f t="shared" si="31"/>
        <v>0</v>
      </c>
      <c r="Z533" s="26">
        <f>VLOOKUP(R533,CPI!$A$2:$F$71,6,0)</f>
        <v>1.188745987</v>
      </c>
      <c r="AA533" s="27">
        <f t="shared" si="8"/>
        <v>8614.224017</v>
      </c>
      <c r="AB533" s="27">
        <f t="shared" si="9"/>
        <v>168.2465628</v>
      </c>
      <c r="AC533" s="114"/>
      <c r="AD533" s="119" t="s">
        <v>936</v>
      </c>
      <c r="AE533" s="114"/>
      <c r="AF533" s="114"/>
      <c r="AG533" s="114"/>
      <c r="AH533" s="114"/>
    </row>
    <row r="534">
      <c r="A534" s="114" t="s">
        <v>230</v>
      </c>
      <c r="B534" s="114" t="s">
        <v>930</v>
      </c>
      <c r="C534" s="36" t="s">
        <v>934</v>
      </c>
      <c r="D534" s="114" t="s">
        <v>939</v>
      </c>
      <c r="E534" s="116">
        <v>2021.0</v>
      </c>
      <c r="F534" s="114"/>
      <c r="G534" s="116">
        <v>1.0</v>
      </c>
      <c r="H534" s="116">
        <v>70.2</v>
      </c>
      <c r="I534" s="114"/>
      <c r="J534" s="114"/>
      <c r="K534" s="114"/>
      <c r="L534" s="114"/>
      <c r="M534" s="116">
        <v>11.0</v>
      </c>
      <c r="N534" s="116"/>
      <c r="O534" s="114"/>
      <c r="P534" s="140">
        <v>28600.0</v>
      </c>
      <c r="Q534" s="114" t="s">
        <v>234</v>
      </c>
      <c r="R534" s="115">
        <v>2021.0</v>
      </c>
      <c r="S534" s="136">
        <v>0.239000000000002</v>
      </c>
      <c r="T534" s="118">
        <f t="shared" si="90"/>
        <v>6835.4</v>
      </c>
      <c r="U534" s="24">
        <f t="shared" si="3"/>
        <v>97.37037037</v>
      </c>
      <c r="V534" s="3">
        <f t="shared" si="28"/>
        <v>0</v>
      </c>
      <c r="W534" s="3">
        <f t="shared" si="29"/>
        <v>0</v>
      </c>
      <c r="X534" s="3">
        <f t="shared" si="30"/>
        <v>0</v>
      </c>
      <c r="Y534" s="25">
        <f t="shared" si="31"/>
        <v>0</v>
      </c>
      <c r="Z534" s="26">
        <f>VLOOKUP(R534,CPI!$A$2:$F$71,6,0)</f>
        <v>1.188745987</v>
      </c>
      <c r="AA534" s="27">
        <f t="shared" si="8"/>
        <v>8125.554317</v>
      </c>
      <c r="AB534" s="27">
        <f t="shared" si="9"/>
        <v>115.748637</v>
      </c>
      <c r="AC534" s="114"/>
      <c r="AD534" s="119" t="s">
        <v>936</v>
      </c>
      <c r="AE534" s="164"/>
      <c r="AF534" s="165"/>
      <c r="AG534" s="165"/>
      <c r="AH534" s="165"/>
    </row>
    <row r="535">
      <c r="A535" s="114" t="s">
        <v>230</v>
      </c>
      <c r="B535" s="114" t="s">
        <v>930</v>
      </c>
      <c r="C535" s="115" t="s">
        <v>110</v>
      </c>
      <c r="D535" s="114" t="s">
        <v>940</v>
      </c>
      <c r="E535" s="116">
        <v>2022.0</v>
      </c>
      <c r="F535" s="114"/>
      <c r="G535" s="116">
        <v>0.0</v>
      </c>
      <c r="H535" s="116">
        <v>44.78</v>
      </c>
      <c r="I535" s="117">
        <v>0.5</v>
      </c>
      <c r="J535" s="116">
        <v>22.48</v>
      </c>
      <c r="K535" s="114"/>
      <c r="L535" s="114"/>
      <c r="M535" s="116">
        <v>10.0</v>
      </c>
      <c r="N535" s="116">
        <v>117.0</v>
      </c>
      <c r="O535" s="114"/>
      <c r="P535" s="140">
        <v>22978.0</v>
      </c>
      <c r="Q535" s="114" t="s">
        <v>234</v>
      </c>
      <c r="R535" s="115">
        <v>2021.0</v>
      </c>
      <c r="S535" s="136">
        <v>0.239000000000002</v>
      </c>
      <c r="T535" s="118">
        <f t="shared" si="90"/>
        <v>5491.742</v>
      </c>
      <c r="U535" s="24">
        <f t="shared" si="3"/>
        <v>122.638276</v>
      </c>
      <c r="V535" s="3">
        <f t="shared" si="28"/>
        <v>0</v>
      </c>
      <c r="W535" s="3">
        <f t="shared" si="29"/>
        <v>0</v>
      </c>
      <c r="X535" s="3">
        <f t="shared" si="30"/>
        <v>0</v>
      </c>
      <c r="Y535" s="25">
        <f t="shared" si="31"/>
        <v>0</v>
      </c>
      <c r="Z535" s="26">
        <f>VLOOKUP(R535,CPI!$A$2:$F$71,6,0)</f>
        <v>1.188745987</v>
      </c>
      <c r="AA535" s="27">
        <f t="shared" si="8"/>
        <v>6528.286262</v>
      </c>
      <c r="AB535" s="27">
        <f t="shared" si="9"/>
        <v>145.7857584</v>
      </c>
      <c r="AC535" s="114"/>
      <c r="AD535" s="119" t="s">
        <v>941</v>
      </c>
      <c r="AE535" s="164"/>
      <c r="AF535" s="165"/>
      <c r="AG535" s="165"/>
      <c r="AH535" s="165"/>
    </row>
    <row r="536">
      <c r="A536" s="114" t="s">
        <v>230</v>
      </c>
      <c r="B536" s="114" t="s">
        <v>942</v>
      </c>
      <c r="C536" s="114" t="s">
        <v>57</v>
      </c>
      <c r="D536" s="114" t="s">
        <v>57</v>
      </c>
      <c r="E536" s="116">
        <v>2014.0</v>
      </c>
      <c r="F536" s="116">
        <v>2019.0</v>
      </c>
      <c r="G536" s="116">
        <v>0.0</v>
      </c>
      <c r="H536" s="116">
        <v>21.967</v>
      </c>
      <c r="I536" s="117">
        <v>0.96</v>
      </c>
      <c r="J536" s="116">
        <v>20.996</v>
      </c>
      <c r="K536" s="114"/>
      <c r="L536" s="114"/>
      <c r="M536" s="116">
        <v>18.0</v>
      </c>
      <c r="N536" s="116">
        <v>117.0</v>
      </c>
      <c r="O536" s="114" t="s">
        <v>42</v>
      </c>
      <c r="P536" s="140">
        <v>16278.0</v>
      </c>
      <c r="Q536" s="114" t="s">
        <v>234</v>
      </c>
      <c r="R536" s="115">
        <v>2017.0</v>
      </c>
      <c r="S536" s="85">
        <v>0.239</v>
      </c>
      <c r="T536" s="118">
        <f t="shared" si="90"/>
        <v>3890.442</v>
      </c>
      <c r="U536" s="24">
        <f t="shared" si="3"/>
        <v>177.1039286</v>
      </c>
      <c r="V536" s="3">
        <f t="shared" si="28"/>
        <v>0</v>
      </c>
      <c r="W536" s="3">
        <f t="shared" si="29"/>
        <v>0</v>
      </c>
      <c r="X536" s="3">
        <f t="shared" si="30"/>
        <v>0</v>
      </c>
      <c r="Y536" s="25">
        <f t="shared" si="31"/>
        <v>0</v>
      </c>
      <c r="Z536" s="26">
        <f>VLOOKUP(R536,CPI!$A$2:$F$71,6,0)</f>
        <v>1.314109416</v>
      </c>
      <c r="AA536" s="27">
        <f t="shared" si="8"/>
        <v>5112.466464</v>
      </c>
      <c r="AB536" s="27">
        <f t="shared" si="9"/>
        <v>232.7339402</v>
      </c>
      <c r="AC536" s="114" t="s">
        <v>36</v>
      </c>
      <c r="AD536" s="119" t="s">
        <v>943</v>
      </c>
      <c r="AE536" s="167" t="s">
        <v>944</v>
      </c>
      <c r="AF536" s="168"/>
      <c r="AG536" s="168"/>
      <c r="AH536" s="169"/>
    </row>
    <row r="537">
      <c r="A537" s="114" t="s">
        <v>230</v>
      </c>
      <c r="B537" s="114" t="s">
        <v>942</v>
      </c>
      <c r="C537" s="114" t="s">
        <v>945</v>
      </c>
      <c r="D537" s="114" t="s">
        <v>945</v>
      </c>
      <c r="E537" s="116">
        <v>2013.0</v>
      </c>
      <c r="F537" s="116">
        <v>2020.0</v>
      </c>
      <c r="G537" s="116">
        <v>0.0</v>
      </c>
      <c r="H537" s="116">
        <v>67.0</v>
      </c>
      <c r="I537" s="117">
        <v>0.9</v>
      </c>
      <c r="J537" s="116">
        <v>60.6</v>
      </c>
      <c r="K537" s="114"/>
      <c r="L537" s="114"/>
      <c r="M537" s="114"/>
      <c r="N537" s="116">
        <v>117.0</v>
      </c>
      <c r="O537" s="114" t="s">
        <v>42</v>
      </c>
      <c r="P537" s="140">
        <v>44328.0</v>
      </c>
      <c r="Q537" s="114" t="s">
        <v>234</v>
      </c>
      <c r="R537" s="115">
        <v>2017.0</v>
      </c>
      <c r="S537" s="85">
        <v>0.239</v>
      </c>
      <c r="T537" s="118">
        <f t="shared" si="90"/>
        <v>10594.392</v>
      </c>
      <c r="U537" s="24">
        <f t="shared" si="3"/>
        <v>158.1252537</v>
      </c>
      <c r="V537" s="3">
        <f t="shared" si="28"/>
        <v>0</v>
      </c>
      <c r="W537" s="3">
        <f t="shared" si="29"/>
        <v>0</v>
      </c>
      <c r="X537" s="3">
        <f t="shared" si="30"/>
        <v>0</v>
      </c>
      <c r="Y537" s="25">
        <f t="shared" si="31"/>
        <v>0</v>
      </c>
      <c r="Z537" s="26">
        <f>VLOOKUP(R537,CPI!$A$2:$F$71,6,0)</f>
        <v>1.314109416</v>
      </c>
      <c r="AA537" s="27">
        <f t="shared" si="8"/>
        <v>13922.19028</v>
      </c>
      <c r="AB537" s="27">
        <f t="shared" si="9"/>
        <v>207.7938848</v>
      </c>
      <c r="AC537" s="114" t="s">
        <v>42</v>
      </c>
      <c r="AD537" s="119" t="s">
        <v>946</v>
      </c>
      <c r="AE537" s="167" t="s">
        <v>947</v>
      </c>
      <c r="AF537" s="168"/>
      <c r="AG537" s="168"/>
      <c r="AH537" s="169"/>
    </row>
    <row r="538">
      <c r="A538" s="114" t="s">
        <v>230</v>
      </c>
      <c r="B538" s="114" t="s">
        <v>942</v>
      </c>
      <c r="C538" s="114" t="s">
        <v>54</v>
      </c>
      <c r="D538" s="114" t="s">
        <v>54</v>
      </c>
      <c r="E538" s="116">
        <v>2020.0</v>
      </c>
      <c r="F538" s="114"/>
      <c r="G538" s="116">
        <v>0.0</v>
      </c>
      <c r="H538" s="116">
        <v>24.15</v>
      </c>
      <c r="I538" s="117">
        <v>1.0</v>
      </c>
      <c r="J538" s="116">
        <v>24.15</v>
      </c>
      <c r="K538" s="114"/>
      <c r="L538" s="114"/>
      <c r="M538" s="116">
        <v>20.0</v>
      </c>
      <c r="N538" s="116">
        <v>117.0</v>
      </c>
      <c r="O538" s="114" t="s">
        <v>36</v>
      </c>
      <c r="P538" s="140">
        <v>16957.0</v>
      </c>
      <c r="Q538" s="114" t="s">
        <v>234</v>
      </c>
      <c r="R538" s="115">
        <v>2020.0</v>
      </c>
      <c r="S538" s="136">
        <v>0.239</v>
      </c>
      <c r="T538" s="118">
        <f t="shared" si="90"/>
        <v>4052.723</v>
      </c>
      <c r="U538" s="24">
        <f t="shared" si="3"/>
        <v>167.814617</v>
      </c>
      <c r="V538" s="3">
        <f t="shared" si="28"/>
        <v>0</v>
      </c>
      <c r="W538" s="3">
        <f t="shared" si="29"/>
        <v>0</v>
      </c>
      <c r="X538" s="3">
        <f t="shared" si="30"/>
        <v>0</v>
      </c>
      <c r="Y538" s="25">
        <f t="shared" si="31"/>
        <v>0</v>
      </c>
      <c r="Z538" s="26">
        <f>VLOOKUP(R538,CPI!$A$2:$F$71,6,0)</f>
        <v>1.244593545</v>
      </c>
      <c r="AA538" s="27">
        <f t="shared" si="8"/>
        <v>5043.992886</v>
      </c>
      <c r="AB538" s="27">
        <f t="shared" si="9"/>
        <v>208.8609891</v>
      </c>
      <c r="AC538" s="114" t="s">
        <v>36</v>
      </c>
      <c r="AD538" s="119" t="s">
        <v>948</v>
      </c>
      <c r="AE538" s="164"/>
      <c r="AF538" s="165"/>
      <c r="AG538" s="165"/>
      <c r="AH538" s="165"/>
    </row>
    <row r="539">
      <c r="A539" s="114" t="s">
        <v>230</v>
      </c>
      <c r="B539" s="114" t="s">
        <v>942</v>
      </c>
      <c r="C539" s="114" t="s">
        <v>87</v>
      </c>
      <c r="D539" s="114" t="s">
        <v>87</v>
      </c>
      <c r="E539" s="116">
        <v>2021.0</v>
      </c>
      <c r="F539" s="114"/>
      <c r="G539" s="116">
        <v>0.0</v>
      </c>
      <c r="H539" s="116">
        <v>18.3</v>
      </c>
      <c r="I539" s="117">
        <v>1.0</v>
      </c>
      <c r="J539" s="116">
        <v>18.3</v>
      </c>
      <c r="K539" s="114"/>
      <c r="L539" s="114"/>
      <c r="M539" s="116">
        <v>16.0</v>
      </c>
      <c r="N539" s="116">
        <v>117.0</v>
      </c>
      <c r="O539" s="114" t="s">
        <v>36</v>
      </c>
      <c r="P539" s="140">
        <v>13526.0</v>
      </c>
      <c r="Q539" s="114" t="s">
        <v>234</v>
      </c>
      <c r="R539" s="115">
        <v>2021.0</v>
      </c>
      <c r="S539" s="136">
        <v>0.239000000000001</v>
      </c>
      <c r="T539" s="118">
        <f t="shared" si="90"/>
        <v>3232.714</v>
      </c>
      <c r="U539" s="24">
        <f t="shared" si="3"/>
        <v>176.6510383</v>
      </c>
      <c r="V539" s="3">
        <f t="shared" si="28"/>
        <v>0</v>
      </c>
      <c r="W539" s="3">
        <f t="shared" si="29"/>
        <v>0</v>
      </c>
      <c r="X539" s="3">
        <f t="shared" si="30"/>
        <v>0</v>
      </c>
      <c r="Y539" s="25">
        <f t="shared" si="31"/>
        <v>0</v>
      </c>
      <c r="Z539" s="26">
        <f>VLOOKUP(R539,CPI!$A$2:$F$71,6,0)</f>
        <v>1.188745987</v>
      </c>
      <c r="AA539" s="27">
        <f t="shared" si="8"/>
        <v>3842.875793</v>
      </c>
      <c r="AB539" s="27">
        <f t="shared" si="9"/>
        <v>209.9932128</v>
      </c>
      <c r="AC539" s="114" t="s">
        <v>36</v>
      </c>
      <c r="AD539" s="119" t="s">
        <v>949</v>
      </c>
      <c r="AE539" s="114"/>
      <c r="AF539" s="114"/>
      <c r="AG539" s="114"/>
      <c r="AH539" s="114"/>
    </row>
    <row r="540">
      <c r="A540" s="72" t="s">
        <v>230</v>
      </c>
      <c r="B540" s="72" t="s">
        <v>942</v>
      </c>
      <c r="C540" s="115" t="s">
        <v>110</v>
      </c>
      <c r="D540" s="115" t="s">
        <v>332</v>
      </c>
      <c r="E540" s="69">
        <v>2021.0</v>
      </c>
      <c r="F540" s="72"/>
      <c r="G540" s="69">
        <v>0.0</v>
      </c>
      <c r="H540" s="69">
        <v>26.2</v>
      </c>
      <c r="I540" s="117">
        <v>1.0</v>
      </c>
      <c r="J540" s="69">
        <v>26.2</v>
      </c>
      <c r="K540" s="72"/>
      <c r="L540" s="72"/>
      <c r="M540" s="69">
        <v>19.0</v>
      </c>
      <c r="N540" s="69">
        <v>117.0</v>
      </c>
      <c r="O540" s="72"/>
      <c r="P540" s="140">
        <v>18470.0</v>
      </c>
      <c r="Q540" s="72" t="s">
        <v>234</v>
      </c>
      <c r="R540" s="115">
        <v>2021.0</v>
      </c>
      <c r="S540" s="136">
        <v>0.239</v>
      </c>
      <c r="T540" s="118">
        <f t="shared" si="90"/>
        <v>4414.33</v>
      </c>
      <c r="U540" s="24">
        <f t="shared" si="3"/>
        <v>168.4858779</v>
      </c>
      <c r="V540" s="3">
        <f t="shared" si="28"/>
        <v>0</v>
      </c>
      <c r="W540" s="3">
        <f t="shared" si="29"/>
        <v>0</v>
      </c>
      <c r="X540" s="3">
        <f t="shared" si="30"/>
        <v>0</v>
      </c>
      <c r="Y540" s="25">
        <f t="shared" si="31"/>
        <v>0</v>
      </c>
      <c r="Z540" s="26">
        <f>VLOOKUP(R540,CPI!$A$2:$F$71,6,0)</f>
        <v>1.188745987</v>
      </c>
      <c r="AA540" s="27">
        <f t="shared" si="8"/>
        <v>5247.517071</v>
      </c>
      <c r="AB540" s="27">
        <f t="shared" si="9"/>
        <v>200.2869111</v>
      </c>
      <c r="AC540" s="72" t="s">
        <v>36</v>
      </c>
      <c r="AD540" s="79" t="s">
        <v>950</v>
      </c>
      <c r="AE540" s="186"/>
      <c r="AF540" s="187"/>
      <c r="AG540" s="231"/>
      <c r="AH540" s="187"/>
    </row>
    <row r="541">
      <c r="A541" s="72" t="s">
        <v>230</v>
      </c>
      <c r="B541" s="72" t="s">
        <v>942</v>
      </c>
      <c r="C541" s="115" t="s">
        <v>80</v>
      </c>
      <c r="D541" s="115" t="s">
        <v>255</v>
      </c>
      <c r="E541" s="69">
        <v>2021.0</v>
      </c>
      <c r="F541" s="72"/>
      <c r="G541" s="69">
        <v>0.0</v>
      </c>
      <c r="H541" s="69">
        <v>22.912</v>
      </c>
      <c r="I541" s="117">
        <v>1.0</v>
      </c>
      <c r="J541" s="69">
        <v>22.912</v>
      </c>
      <c r="K541" s="72"/>
      <c r="L541" s="72"/>
      <c r="M541" s="69">
        <v>16.0</v>
      </c>
      <c r="N541" s="69">
        <v>117.0</v>
      </c>
      <c r="O541" s="72" t="s">
        <v>36</v>
      </c>
      <c r="P541" s="140">
        <v>19157.0</v>
      </c>
      <c r="Q541" s="72" t="s">
        <v>234</v>
      </c>
      <c r="R541" s="115">
        <v>2021.0</v>
      </c>
      <c r="S541" s="136">
        <v>0.239</v>
      </c>
      <c r="T541" s="118">
        <f t="shared" si="90"/>
        <v>4578.523</v>
      </c>
      <c r="U541" s="24">
        <f t="shared" si="3"/>
        <v>199.8307874</v>
      </c>
      <c r="V541" s="3">
        <f t="shared" si="28"/>
        <v>0</v>
      </c>
      <c r="W541" s="3">
        <f t="shared" si="29"/>
        <v>0</v>
      </c>
      <c r="X541" s="3">
        <f t="shared" si="30"/>
        <v>0</v>
      </c>
      <c r="Y541" s="25">
        <f t="shared" si="31"/>
        <v>0</v>
      </c>
      <c r="Z541" s="26">
        <f>VLOOKUP(R541,CPI!$A$2:$F$71,6,0)</f>
        <v>1.188745987</v>
      </c>
      <c r="AA541" s="27">
        <f t="shared" si="8"/>
        <v>5442.700841</v>
      </c>
      <c r="AB541" s="27">
        <f t="shared" si="9"/>
        <v>237.5480465</v>
      </c>
      <c r="AC541" s="72" t="s">
        <v>36</v>
      </c>
      <c r="AD541" s="79" t="s">
        <v>951</v>
      </c>
      <c r="AE541" s="72"/>
      <c r="AF541" s="72"/>
      <c r="AG541" s="72"/>
      <c r="AH541" s="72"/>
    </row>
    <row r="542">
      <c r="A542" s="130" t="s">
        <v>230</v>
      </c>
      <c r="B542" s="130" t="s">
        <v>942</v>
      </c>
      <c r="C542" s="114" t="s">
        <v>87</v>
      </c>
      <c r="D542" s="130" t="s">
        <v>357</v>
      </c>
      <c r="E542" s="130" t="s">
        <v>952</v>
      </c>
      <c r="F542" s="130"/>
      <c r="G542" s="130">
        <v>0.0</v>
      </c>
      <c r="H542" s="130">
        <v>6.5</v>
      </c>
      <c r="I542" s="131">
        <v>1.0</v>
      </c>
      <c r="J542" s="130">
        <v>6.5</v>
      </c>
      <c r="K542" s="132">
        <v>0.0</v>
      </c>
      <c r="L542" s="132">
        <v>0.0</v>
      </c>
      <c r="M542" s="130">
        <v>5.0</v>
      </c>
      <c r="N542" s="138"/>
      <c r="O542" s="130" t="s">
        <v>60</v>
      </c>
      <c r="P542" s="135">
        <f>5.0154*10^3</f>
        <v>5015.4</v>
      </c>
      <c r="Q542" s="130" t="s">
        <v>234</v>
      </c>
      <c r="R542" s="130">
        <v>2020.0</v>
      </c>
      <c r="S542" s="136">
        <v>0.239</v>
      </c>
      <c r="T542" s="128">
        <f t="shared" si="90"/>
        <v>1198.6806</v>
      </c>
      <c r="U542" s="24">
        <f t="shared" si="3"/>
        <v>184.4124</v>
      </c>
      <c r="V542" s="3">
        <f t="shared" si="28"/>
        <v>0</v>
      </c>
      <c r="W542" s="3">
        <f t="shared" si="29"/>
        <v>0</v>
      </c>
      <c r="X542" s="3">
        <f t="shared" si="30"/>
        <v>0</v>
      </c>
      <c r="Y542" s="25">
        <f t="shared" si="31"/>
        <v>0</v>
      </c>
      <c r="Z542" s="26">
        <f>VLOOKUP(R542,CPI!$A$2:$F$71,6,0)</f>
        <v>1.244593545</v>
      </c>
      <c r="AA542" s="27">
        <f t="shared" si="8"/>
        <v>1491.870137</v>
      </c>
      <c r="AB542" s="27">
        <f t="shared" si="9"/>
        <v>229.5184827</v>
      </c>
      <c r="AC542" s="130" t="s">
        <v>60</v>
      </c>
      <c r="AD542" s="137" t="s">
        <v>953</v>
      </c>
      <c r="AE542" s="130"/>
      <c r="AF542" s="130"/>
      <c r="AG542" s="130"/>
      <c r="AH542" s="130"/>
    </row>
    <row r="543">
      <c r="A543" s="130" t="s">
        <v>230</v>
      </c>
      <c r="B543" s="130" t="s">
        <v>942</v>
      </c>
      <c r="C543" s="36" t="s">
        <v>84</v>
      </c>
      <c r="D543" s="130" t="s">
        <v>319</v>
      </c>
      <c r="E543" s="130" t="s">
        <v>954</v>
      </c>
      <c r="F543" s="130"/>
      <c r="G543" s="130">
        <v>0.0</v>
      </c>
      <c r="H543" s="130">
        <v>24.6</v>
      </c>
      <c r="I543" s="131">
        <v>1.0</v>
      </c>
      <c r="J543" s="130">
        <v>24.6</v>
      </c>
      <c r="K543" s="132">
        <v>0.0</v>
      </c>
      <c r="L543" s="132">
        <v>0.0</v>
      </c>
      <c r="M543" s="130">
        <v>20.0</v>
      </c>
      <c r="N543" s="138"/>
      <c r="O543" s="130" t="s">
        <v>60</v>
      </c>
      <c r="P543" s="135">
        <f>16.83*10^3</f>
        <v>16830</v>
      </c>
      <c r="Q543" s="130" t="s">
        <v>234</v>
      </c>
      <c r="R543" s="130">
        <v>2020.0</v>
      </c>
      <c r="S543" s="136">
        <v>0.239</v>
      </c>
      <c r="T543" s="128">
        <f t="shared" si="90"/>
        <v>4022.37</v>
      </c>
      <c r="U543" s="24">
        <f t="shared" si="3"/>
        <v>163.5109756</v>
      </c>
      <c r="V543" s="3">
        <f t="shared" si="28"/>
        <v>0</v>
      </c>
      <c r="W543" s="3">
        <f t="shared" si="29"/>
        <v>0</v>
      </c>
      <c r="X543" s="3">
        <f t="shared" si="30"/>
        <v>0</v>
      </c>
      <c r="Y543" s="25">
        <f t="shared" si="31"/>
        <v>0</v>
      </c>
      <c r="Z543" s="26">
        <f>VLOOKUP(R543,CPI!$A$2:$F$71,6,0)</f>
        <v>1.244593545</v>
      </c>
      <c r="AA543" s="27">
        <f t="shared" si="8"/>
        <v>5006.215738</v>
      </c>
      <c r="AB543" s="27">
        <f t="shared" si="9"/>
        <v>203.5047048</v>
      </c>
      <c r="AC543" s="130" t="s">
        <v>60</v>
      </c>
      <c r="AD543" s="137" t="s">
        <v>953</v>
      </c>
      <c r="AE543" s="178"/>
      <c r="AF543" s="172"/>
      <c r="AG543" s="172"/>
      <c r="AH543" s="172"/>
    </row>
    <row r="544">
      <c r="A544" s="114" t="s">
        <v>230</v>
      </c>
      <c r="B544" s="114" t="s">
        <v>955</v>
      </c>
      <c r="C544" s="16" t="s">
        <v>34</v>
      </c>
      <c r="D544" s="114" t="s">
        <v>956</v>
      </c>
      <c r="E544" s="116">
        <v>2020.0</v>
      </c>
      <c r="F544" s="114"/>
      <c r="G544" s="116">
        <v>0.0</v>
      </c>
      <c r="H544" s="116">
        <v>107.17</v>
      </c>
      <c r="I544" s="114"/>
      <c r="J544" s="114"/>
      <c r="K544" s="114"/>
      <c r="L544" s="114"/>
      <c r="M544" s="116">
        <v>31.0</v>
      </c>
      <c r="N544" s="116">
        <v>117.0</v>
      </c>
      <c r="O544" s="114" t="s">
        <v>36</v>
      </c>
      <c r="P544" s="140">
        <v>34683.0</v>
      </c>
      <c r="Q544" s="114" t="s">
        <v>234</v>
      </c>
      <c r="R544" s="115">
        <v>2020.0</v>
      </c>
      <c r="S544" s="136">
        <v>0.239</v>
      </c>
      <c r="T544" s="118">
        <f t="shared" si="90"/>
        <v>8289.237</v>
      </c>
      <c r="U544" s="24">
        <f t="shared" si="3"/>
        <v>77.34661752</v>
      </c>
      <c r="V544" s="3">
        <f t="shared" si="28"/>
        <v>0</v>
      </c>
      <c r="W544" s="3">
        <f t="shared" si="29"/>
        <v>0</v>
      </c>
      <c r="X544" s="3">
        <f t="shared" si="30"/>
        <v>0</v>
      </c>
      <c r="Y544" s="25">
        <f t="shared" si="31"/>
        <v>0</v>
      </c>
      <c r="Z544" s="26">
        <f>VLOOKUP(R544,CPI!$A$2:$F$71,6,0)</f>
        <v>1.244593545</v>
      </c>
      <c r="AA544" s="27">
        <f t="shared" si="8"/>
        <v>10316.73086</v>
      </c>
      <c r="AB544" s="27">
        <f t="shared" si="9"/>
        <v>96.2651009</v>
      </c>
      <c r="AC544" s="114" t="s">
        <v>36</v>
      </c>
      <c r="AD544" s="119" t="s">
        <v>957</v>
      </c>
      <c r="AE544" s="173"/>
      <c r="AF544" s="174"/>
      <c r="AG544" s="174"/>
      <c r="AH544" s="174"/>
    </row>
    <row r="545">
      <c r="A545" s="114" t="s">
        <v>230</v>
      </c>
      <c r="B545" s="114" t="s">
        <v>958</v>
      </c>
      <c r="C545" s="114" t="s">
        <v>57</v>
      </c>
      <c r="D545" s="115" t="s">
        <v>232</v>
      </c>
      <c r="E545" s="116">
        <v>2009.0</v>
      </c>
      <c r="F545" s="116">
        <v>2013.0</v>
      </c>
      <c r="G545" s="116">
        <v>0.0</v>
      </c>
      <c r="H545" s="116">
        <v>25.2</v>
      </c>
      <c r="I545" s="117">
        <v>1.0</v>
      </c>
      <c r="J545" s="116">
        <v>25.2</v>
      </c>
      <c r="K545" s="114"/>
      <c r="L545" s="114"/>
      <c r="M545" s="116">
        <v>20.0</v>
      </c>
      <c r="N545" s="116">
        <v>117.0</v>
      </c>
      <c r="O545" s="114" t="s">
        <v>42</v>
      </c>
      <c r="P545" s="140">
        <v>14335.5</v>
      </c>
      <c r="Q545" s="114" t="s">
        <v>234</v>
      </c>
      <c r="R545" s="115">
        <v>2011.0</v>
      </c>
      <c r="S545" s="85">
        <v>0.284</v>
      </c>
      <c r="T545" s="118">
        <f t="shared" si="90"/>
        <v>4071.282</v>
      </c>
      <c r="U545" s="24">
        <f t="shared" si="3"/>
        <v>161.5588095</v>
      </c>
      <c r="V545" s="3">
        <f t="shared" si="28"/>
        <v>0</v>
      </c>
      <c r="W545" s="3">
        <f t="shared" si="29"/>
        <v>0</v>
      </c>
      <c r="X545" s="3">
        <f t="shared" si="30"/>
        <v>0</v>
      </c>
      <c r="Y545" s="25">
        <f t="shared" si="31"/>
        <v>0</v>
      </c>
      <c r="Z545" s="26">
        <f>VLOOKUP(R545,CPI!$A$2:$F$71,6,0)</f>
        <v>1.432008233</v>
      </c>
      <c r="AA545" s="27">
        <f t="shared" si="8"/>
        <v>5830.109344</v>
      </c>
      <c r="AB545" s="27">
        <f t="shared" si="9"/>
        <v>231.3535454</v>
      </c>
      <c r="AC545" s="114" t="s">
        <v>42</v>
      </c>
      <c r="AD545" s="119" t="s">
        <v>959</v>
      </c>
      <c r="AE545" s="164"/>
      <c r="AF545" s="165"/>
      <c r="AG545" s="165"/>
      <c r="AH545" s="165"/>
    </row>
    <row r="546">
      <c r="A546" s="114" t="s">
        <v>230</v>
      </c>
      <c r="B546" s="114" t="s">
        <v>958</v>
      </c>
      <c r="C546" s="114" t="s">
        <v>54</v>
      </c>
      <c r="D546" s="115" t="s">
        <v>348</v>
      </c>
      <c r="E546" s="116">
        <v>2010.0</v>
      </c>
      <c r="F546" s="116">
        <v>2016.0</v>
      </c>
      <c r="G546" s="116">
        <v>0.0</v>
      </c>
      <c r="H546" s="116">
        <v>18.27</v>
      </c>
      <c r="I546" s="117">
        <v>1.0</v>
      </c>
      <c r="J546" s="116">
        <v>18.27</v>
      </c>
      <c r="K546" s="114"/>
      <c r="L546" s="114"/>
      <c r="M546" s="116">
        <v>16.0</v>
      </c>
      <c r="N546" s="116">
        <v>117.0</v>
      </c>
      <c r="O546" s="114" t="s">
        <v>42</v>
      </c>
      <c r="P546" s="140">
        <v>10408.0</v>
      </c>
      <c r="Q546" s="114" t="s">
        <v>234</v>
      </c>
      <c r="R546" s="115">
        <v>2013.0</v>
      </c>
      <c r="S546" s="85">
        <v>0.273</v>
      </c>
      <c r="T546" s="118">
        <f t="shared" si="90"/>
        <v>2841.384</v>
      </c>
      <c r="U546" s="24">
        <f t="shared" si="3"/>
        <v>155.5218391</v>
      </c>
      <c r="V546" s="3">
        <f t="shared" si="28"/>
        <v>0</v>
      </c>
      <c r="W546" s="3">
        <f t="shared" si="29"/>
        <v>0</v>
      </c>
      <c r="X546" s="3">
        <f t="shared" si="30"/>
        <v>0</v>
      </c>
      <c r="Y546" s="25">
        <f t="shared" si="31"/>
        <v>0</v>
      </c>
      <c r="Z546" s="26">
        <f>VLOOKUP(R546,CPI!$A$2:$F$71,6,0)</f>
        <v>1.382720845</v>
      </c>
      <c r="AA546" s="27">
        <f t="shared" si="8"/>
        <v>3928.840887</v>
      </c>
      <c r="AB546" s="27">
        <f t="shared" si="9"/>
        <v>215.0432888</v>
      </c>
      <c r="AC546" s="114" t="s">
        <v>42</v>
      </c>
      <c r="AD546" s="161" t="s">
        <v>960</v>
      </c>
      <c r="AE546" s="164"/>
      <c r="AF546" s="165"/>
      <c r="AG546" s="165"/>
      <c r="AH546" s="165"/>
    </row>
    <row r="547">
      <c r="A547" s="114" t="s">
        <v>230</v>
      </c>
      <c r="B547" s="114" t="s">
        <v>958</v>
      </c>
      <c r="C547" s="114" t="s">
        <v>110</v>
      </c>
      <c r="D547" s="114" t="s">
        <v>110</v>
      </c>
      <c r="E547" s="116">
        <v>2014.0</v>
      </c>
      <c r="F547" s="116">
        <v>2020.0</v>
      </c>
      <c r="G547" s="116">
        <v>0.0</v>
      </c>
      <c r="H547" s="116">
        <v>30.1</v>
      </c>
      <c r="I547" s="117">
        <v>1.0</v>
      </c>
      <c r="J547" s="116">
        <v>30.1</v>
      </c>
      <c r="K547" s="114"/>
      <c r="L547" s="114"/>
      <c r="M547" s="116">
        <v>24.0</v>
      </c>
      <c r="N547" s="116">
        <v>117.0</v>
      </c>
      <c r="O547" s="114" t="s">
        <v>60</v>
      </c>
      <c r="P547" s="140">
        <v>19034.0</v>
      </c>
      <c r="Q547" s="114" t="s">
        <v>234</v>
      </c>
      <c r="R547" s="115">
        <v>2017.0</v>
      </c>
      <c r="S547" s="85">
        <v>0.239</v>
      </c>
      <c r="T547" s="118">
        <f t="shared" si="90"/>
        <v>4549.126</v>
      </c>
      <c r="U547" s="24">
        <f t="shared" si="3"/>
        <v>151.1337542</v>
      </c>
      <c r="V547" s="3">
        <f t="shared" si="28"/>
        <v>0</v>
      </c>
      <c r="W547" s="3">
        <f t="shared" si="29"/>
        <v>0</v>
      </c>
      <c r="X547" s="3">
        <f t="shared" si="30"/>
        <v>0</v>
      </c>
      <c r="Y547" s="25">
        <f t="shared" si="31"/>
        <v>0</v>
      </c>
      <c r="Z547" s="26">
        <f>VLOOKUP(R547,CPI!$A$2:$F$71,6,0)</f>
        <v>1.314109416</v>
      </c>
      <c r="AA547" s="27">
        <f t="shared" si="8"/>
        <v>5978.04931</v>
      </c>
      <c r="AB547" s="27">
        <f t="shared" si="9"/>
        <v>198.6062894</v>
      </c>
      <c r="AC547" s="114" t="s">
        <v>60</v>
      </c>
      <c r="AD547" s="161" t="s">
        <v>961</v>
      </c>
      <c r="AE547" s="114"/>
      <c r="AF547" s="114"/>
      <c r="AG547" s="114"/>
      <c r="AH547" s="114"/>
    </row>
    <row r="548">
      <c r="A548" s="66" t="s">
        <v>230</v>
      </c>
      <c r="B548" s="114" t="s">
        <v>958</v>
      </c>
      <c r="C548" s="115" t="s">
        <v>87</v>
      </c>
      <c r="D548" s="115" t="s">
        <v>331</v>
      </c>
      <c r="E548" s="116">
        <v>2017.0</v>
      </c>
      <c r="F548" s="116">
        <v>2020.0</v>
      </c>
      <c r="G548" s="116">
        <v>0.0</v>
      </c>
      <c r="H548" s="116">
        <v>25.487</v>
      </c>
      <c r="I548" s="117">
        <v>1.0</v>
      </c>
      <c r="J548" s="116">
        <v>25.487</v>
      </c>
      <c r="K548" s="114"/>
      <c r="L548" s="114"/>
      <c r="M548" s="116">
        <v>21.0</v>
      </c>
      <c r="N548" s="116">
        <v>138.0</v>
      </c>
      <c r="O548" s="114" t="s">
        <v>36</v>
      </c>
      <c r="P548" s="140">
        <v>20608.0</v>
      </c>
      <c r="Q548" s="114" t="s">
        <v>234</v>
      </c>
      <c r="R548" s="115">
        <v>2019.0</v>
      </c>
      <c r="S548" s="136">
        <v>0.238</v>
      </c>
      <c r="T548" s="118">
        <f t="shared" si="90"/>
        <v>4904.704</v>
      </c>
      <c r="U548" s="24">
        <f t="shared" si="3"/>
        <v>192.4394397</v>
      </c>
      <c r="V548" s="3">
        <f t="shared" si="28"/>
        <v>0</v>
      </c>
      <c r="W548" s="3">
        <f t="shared" si="29"/>
        <v>0</v>
      </c>
      <c r="X548" s="3">
        <f t="shared" si="30"/>
        <v>0</v>
      </c>
      <c r="Y548" s="25">
        <f t="shared" si="31"/>
        <v>0</v>
      </c>
      <c r="Z548" s="26">
        <f>VLOOKUP(R548,CPI!$A$2:$F$71,6,0)</f>
        <v>1.259947899</v>
      </c>
      <c r="AA548" s="27">
        <f t="shared" si="8"/>
        <v>6179.6715</v>
      </c>
      <c r="AB548" s="27">
        <f t="shared" si="9"/>
        <v>242.4636677</v>
      </c>
      <c r="AC548" s="114" t="s">
        <v>36</v>
      </c>
      <c r="AD548" s="119" t="s">
        <v>962</v>
      </c>
      <c r="AE548" s="164"/>
      <c r="AF548" s="165"/>
      <c r="AG548" s="165"/>
      <c r="AH548" s="165"/>
    </row>
    <row r="549">
      <c r="A549" s="114" t="s">
        <v>230</v>
      </c>
      <c r="B549" s="114" t="s">
        <v>958</v>
      </c>
      <c r="C549" s="171" t="s">
        <v>963</v>
      </c>
      <c r="D549" s="209" t="s">
        <v>964</v>
      </c>
      <c r="E549" s="114"/>
      <c r="F549" s="116">
        <v>2022.0</v>
      </c>
      <c r="G549" s="82">
        <v>1.0</v>
      </c>
      <c r="H549" s="116">
        <v>33.78</v>
      </c>
      <c r="I549" s="117">
        <v>0.12</v>
      </c>
      <c r="J549" s="116">
        <v>4.016</v>
      </c>
      <c r="K549" s="114"/>
      <c r="L549" s="114"/>
      <c r="M549" s="116">
        <v>11.0</v>
      </c>
      <c r="N549" s="116">
        <v>117.0</v>
      </c>
      <c r="O549" s="114" t="s">
        <v>36</v>
      </c>
      <c r="P549" s="140">
        <v>9879.0</v>
      </c>
      <c r="Q549" s="114" t="s">
        <v>234</v>
      </c>
      <c r="R549" s="115">
        <v>2021.0</v>
      </c>
      <c r="S549" s="136">
        <v>0.239000000000001</v>
      </c>
      <c r="T549" s="118">
        <f t="shared" si="90"/>
        <v>2361.081</v>
      </c>
      <c r="U549" s="24">
        <f t="shared" si="3"/>
        <v>69.89582593</v>
      </c>
      <c r="V549" s="3">
        <f t="shared" si="28"/>
        <v>0</v>
      </c>
      <c r="W549" s="3">
        <f t="shared" si="29"/>
        <v>0</v>
      </c>
      <c r="X549" s="3">
        <f t="shared" si="30"/>
        <v>0</v>
      </c>
      <c r="Y549" s="25">
        <f t="shared" si="31"/>
        <v>0</v>
      </c>
      <c r="Z549" s="26">
        <f>VLOOKUP(R549,CPI!$A$2:$F$71,6,0)</f>
        <v>1.188745987</v>
      </c>
      <c r="AA549" s="27">
        <f t="shared" si="8"/>
        <v>2806.725563</v>
      </c>
      <c r="AB549" s="27">
        <f t="shared" si="9"/>
        <v>83.08838256</v>
      </c>
      <c r="AC549" s="114" t="s">
        <v>36</v>
      </c>
      <c r="AD549" s="119" t="s">
        <v>965</v>
      </c>
      <c r="AE549" s="164"/>
      <c r="AF549" s="165"/>
      <c r="AG549" s="165"/>
      <c r="AH549" s="165"/>
    </row>
    <row r="550">
      <c r="A550" s="72" t="s">
        <v>230</v>
      </c>
      <c r="B550" s="72" t="s">
        <v>958</v>
      </c>
      <c r="C550" s="16" t="s">
        <v>239</v>
      </c>
      <c r="D550" s="115" t="s">
        <v>356</v>
      </c>
      <c r="E550" s="69">
        <v>2019.0</v>
      </c>
      <c r="F550" s="69">
        <v>2024.0</v>
      </c>
      <c r="G550" s="69">
        <v>0.0</v>
      </c>
      <c r="H550" s="69">
        <v>21.3</v>
      </c>
      <c r="I550" s="117">
        <v>1.0</v>
      </c>
      <c r="J550" s="69">
        <v>21.3</v>
      </c>
      <c r="K550" s="72"/>
      <c r="L550" s="72"/>
      <c r="M550" s="69">
        <v>12.0</v>
      </c>
      <c r="N550" s="69">
        <v>138.0</v>
      </c>
      <c r="O550" s="72"/>
      <c r="P550" s="140">
        <v>13823.0</v>
      </c>
      <c r="Q550" s="72" t="s">
        <v>234</v>
      </c>
      <c r="R550" s="115">
        <v>2021.0</v>
      </c>
      <c r="S550" s="136">
        <v>0.239</v>
      </c>
      <c r="T550" s="118">
        <f t="shared" si="90"/>
        <v>3303.697</v>
      </c>
      <c r="U550" s="24">
        <f t="shared" si="3"/>
        <v>155.1031455</v>
      </c>
      <c r="V550" s="3">
        <f t="shared" si="28"/>
        <v>0</v>
      </c>
      <c r="W550" s="3">
        <f t="shared" si="29"/>
        <v>0</v>
      </c>
      <c r="X550" s="3">
        <f t="shared" si="30"/>
        <v>0</v>
      </c>
      <c r="Y550" s="25">
        <f t="shared" si="31"/>
        <v>0</v>
      </c>
      <c r="Z550" s="26">
        <f>VLOOKUP(R550,CPI!$A$2:$F$71,6,0)</f>
        <v>1.188745987</v>
      </c>
      <c r="AA550" s="27">
        <f t="shared" si="8"/>
        <v>3927.25655</v>
      </c>
      <c r="AB550" s="27">
        <f t="shared" si="9"/>
        <v>184.3782418</v>
      </c>
      <c r="AC550" s="72" t="s">
        <v>36</v>
      </c>
      <c r="AD550" s="79" t="s">
        <v>966</v>
      </c>
      <c r="AE550" s="186"/>
      <c r="AF550" s="187"/>
      <c r="AG550" s="234"/>
      <c r="AH550" s="187"/>
    </row>
    <row r="551">
      <c r="A551" s="72" t="s">
        <v>230</v>
      </c>
      <c r="B551" s="72" t="s">
        <v>958</v>
      </c>
      <c r="C551" s="16" t="s">
        <v>287</v>
      </c>
      <c r="D551" s="115" t="s">
        <v>967</v>
      </c>
      <c r="E551" s="69">
        <v>2019.0</v>
      </c>
      <c r="F551" s="69">
        <v>2024.0</v>
      </c>
      <c r="G551" s="69">
        <v>0.0</v>
      </c>
      <c r="H551" s="69">
        <v>17.034</v>
      </c>
      <c r="I551" s="117">
        <v>1.0</v>
      </c>
      <c r="J551" s="69">
        <v>17.034</v>
      </c>
      <c r="K551" s="72"/>
      <c r="L551" s="72"/>
      <c r="M551" s="69">
        <v>12.0</v>
      </c>
      <c r="N551" s="69">
        <v>117.0</v>
      </c>
      <c r="O551" s="72"/>
      <c r="P551" s="140">
        <v>11985.0</v>
      </c>
      <c r="Q551" s="72" t="s">
        <v>234</v>
      </c>
      <c r="R551" s="115">
        <v>2021.0</v>
      </c>
      <c r="S551" s="136">
        <v>0.239</v>
      </c>
      <c r="T551" s="118">
        <f t="shared" si="90"/>
        <v>2864.415</v>
      </c>
      <c r="U551" s="24">
        <f t="shared" si="3"/>
        <v>168.1586826</v>
      </c>
      <c r="V551" s="3">
        <f t="shared" si="28"/>
        <v>0</v>
      </c>
      <c r="W551" s="3">
        <f t="shared" si="29"/>
        <v>0</v>
      </c>
      <c r="X551" s="3">
        <f t="shared" si="30"/>
        <v>0</v>
      </c>
      <c r="Y551" s="25">
        <f t="shared" si="31"/>
        <v>0</v>
      </c>
      <c r="Z551" s="26">
        <f>VLOOKUP(R551,CPI!$A$2:$F$71,6,0)</f>
        <v>1.188745987</v>
      </c>
      <c r="AA551" s="27">
        <f t="shared" si="8"/>
        <v>3405.061835</v>
      </c>
      <c r="AB551" s="27">
        <f t="shared" si="9"/>
        <v>199.8979591</v>
      </c>
      <c r="AC551" s="72" t="s">
        <v>36</v>
      </c>
      <c r="AD551" s="79" t="s">
        <v>968</v>
      </c>
      <c r="AE551" s="235"/>
      <c r="AF551" s="235"/>
      <c r="AG551" s="235"/>
      <c r="AH551" s="235"/>
    </row>
    <row r="552">
      <c r="A552" s="72" t="s">
        <v>230</v>
      </c>
      <c r="B552" s="72" t="s">
        <v>958</v>
      </c>
      <c r="C552" s="16" t="s">
        <v>243</v>
      </c>
      <c r="D552" s="115" t="s">
        <v>379</v>
      </c>
      <c r="E552" s="69">
        <v>2019.0</v>
      </c>
      <c r="F552" s="69">
        <v>2024.0</v>
      </c>
      <c r="G552" s="69">
        <v>0.0</v>
      </c>
      <c r="H552" s="69">
        <v>50.63</v>
      </c>
      <c r="I552" s="117">
        <v>1.0</v>
      </c>
      <c r="J552" s="69">
        <v>50.63</v>
      </c>
      <c r="K552" s="72"/>
      <c r="L552" s="72"/>
      <c r="M552" s="69">
        <v>27.0</v>
      </c>
      <c r="N552" s="69">
        <v>138.0</v>
      </c>
      <c r="O552" s="72"/>
      <c r="P552" s="140">
        <v>31019.49</v>
      </c>
      <c r="Q552" s="72" t="s">
        <v>234</v>
      </c>
      <c r="R552" s="115">
        <v>2021.0</v>
      </c>
      <c r="S552" s="136">
        <v>0.239</v>
      </c>
      <c r="T552" s="118">
        <f t="shared" si="90"/>
        <v>7413.65811</v>
      </c>
      <c r="U552" s="24">
        <f t="shared" si="3"/>
        <v>146.4281673</v>
      </c>
      <c r="V552" s="3">
        <f t="shared" si="28"/>
        <v>0</v>
      </c>
      <c r="W552" s="3">
        <f t="shared" si="29"/>
        <v>0</v>
      </c>
      <c r="X552" s="3">
        <f t="shared" si="30"/>
        <v>0</v>
      </c>
      <c r="Y552" s="25">
        <f t="shared" si="31"/>
        <v>0</v>
      </c>
      <c r="Z552" s="26">
        <f>VLOOKUP(R552,CPI!$A$2:$F$71,6,0)</f>
        <v>1.188745987</v>
      </c>
      <c r="AA552" s="27">
        <f t="shared" si="8"/>
        <v>8812.956325</v>
      </c>
      <c r="AB552" s="27">
        <f t="shared" si="9"/>
        <v>174.0658962</v>
      </c>
      <c r="AC552" s="115" t="s">
        <v>42</v>
      </c>
      <c r="AD552" s="79" t="s">
        <v>969</v>
      </c>
      <c r="AE552" s="186"/>
      <c r="AF552" s="187"/>
      <c r="AG552" s="231"/>
      <c r="AH552" s="187"/>
    </row>
    <row r="553">
      <c r="A553" s="114" t="s">
        <v>230</v>
      </c>
      <c r="B553" s="114" t="s">
        <v>958</v>
      </c>
      <c r="C553" s="171" t="s">
        <v>963</v>
      </c>
      <c r="D553" s="114" t="s">
        <v>970</v>
      </c>
      <c r="E553" s="116">
        <v>2020.0</v>
      </c>
      <c r="F553" s="114"/>
      <c r="G553" s="82">
        <v>1.0</v>
      </c>
      <c r="H553" s="116">
        <v>31.27</v>
      </c>
      <c r="I553" s="117">
        <v>0.9</v>
      </c>
      <c r="J553" s="116">
        <v>28.18</v>
      </c>
      <c r="K553" s="114"/>
      <c r="L553" s="114"/>
      <c r="M553" s="116">
        <v>15.0</v>
      </c>
      <c r="N553" s="116">
        <v>117.0</v>
      </c>
      <c r="O553" s="114" t="s">
        <v>42</v>
      </c>
      <c r="P553" s="140">
        <v>17867.0</v>
      </c>
      <c r="Q553" s="114" t="s">
        <v>234</v>
      </c>
      <c r="R553" s="115">
        <v>2020.0</v>
      </c>
      <c r="S553" s="136">
        <v>0.239</v>
      </c>
      <c r="T553" s="118">
        <f t="shared" si="90"/>
        <v>4270.213</v>
      </c>
      <c r="U553" s="24">
        <f t="shared" si="3"/>
        <v>136.559418</v>
      </c>
      <c r="V553" s="3">
        <f t="shared" si="28"/>
        <v>0</v>
      </c>
      <c r="W553" s="3">
        <f t="shared" si="29"/>
        <v>0</v>
      </c>
      <c r="X553" s="3">
        <f t="shared" si="30"/>
        <v>0</v>
      </c>
      <c r="Y553" s="25">
        <f t="shared" si="31"/>
        <v>0</v>
      </c>
      <c r="Z553" s="26">
        <f>VLOOKUP(R553,CPI!$A$2:$F$71,6,0)</f>
        <v>1.244593545</v>
      </c>
      <c r="AA553" s="27">
        <f t="shared" si="8"/>
        <v>5314.679536</v>
      </c>
      <c r="AB553" s="27">
        <f t="shared" si="9"/>
        <v>169.9609701</v>
      </c>
      <c r="AC553" s="114" t="s">
        <v>36</v>
      </c>
      <c r="AD553" s="119" t="s">
        <v>971</v>
      </c>
      <c r="AE553" s="167" t="s">
        <v>972</v>
      </c>
      <c r="AF553" s="168"/>
      <c r="AG553" s="168"/>
      <c r="AH553" s="169"/>
    </row>
    <row r="554">
      <c r="A554" s="72" t="s">
        <v>230</v>
      </c>
      <c r="B554" s="72" t="s">
        <v>958</v>
      </c>
      <c r="C554" s="115" t="s">
        <v>87</v>
      </c>
      <c r="D554" s="115" t="s">
        <v>357</v>
      </c>
      <c r="E554" s="69">
        <v>2021.0</v>
      </c>
      <c r="F554" s="72"/>
      <c r="G554" s="69">
        <v>0.0</v>
      </c>
      <c r="H554" s="69">
        <v>6.305</v>
      </c>
      <c r="I554" s="117">
        <v>1.0</v>
      </c>
      <c r="J554" s="69">
        <v>6.305</v>
      </c>
      <c r="K554" s="72"/>
      <c r="L554" s="72"/>
      <c r="M554" s="69">
        <v>4.0</v>
      </c>
      <c r="N554" s="69">
        <v>138.0</v>
      </c>
      <c r="O554" s="72" t="s">
        <v>36</v>
      </c>
      <c r="P554" s="140">
        <v>3573.0</v>
      </c>
      <c r="Q554" s="72" t="s">
        <v>234</v>
      </c>
      <c r="R554" s="115">
        <v>2021.0</v>
      </c>
      <c r="S554" s="136">
        <v>0.239</v>
      </c>
      <c r="T554" s="118">
        <f t="shared" si="90"/>
        <v>853.947</v>
      </c>
      <c r="U554" s="24">
        <f t="shared" si="3"/>
        <v>135.4396511</v>
      </c>
      <c r="V554" s="3">
        <f t="shared" si="28"/>
        <v>0</v>
      </c>
      <c r="W554" s="3">
        <f t="shared" si="29"/>
        <v>0</v>
      </c>
      <c r="X554" s="3">
        <f t="shared" si="30"/>
        <v>0</v>
      </c>
      <c r="Y554" s="25">
        <f t="shared" si="31"/>
        <v>0</v>
      </c>
      <c r="Z554" s="26">
        <f>VLOOKUP(R554,CPI!$A$2:$F$71,6,0)</f>
        <v>1.188745987</v>
      </c>
      <c r="AA554" s="27">
        <f t="shared" si="8"/>
        <v>1015.126069</v>
      </c>
      <c r="AB554" s="27">
        <f t="shared" si="9"/>
        <v>161.0033416</v>
      </c>
      <c r="AC554" s="72" t="s">
        <v>36</v>
      </c>
      <c r="AD554" s="79" t="s">
        <v>973</v>
      </c>
      <c r="AE554" s="186"/>
      <c r="AF554" s="187"/>
      <c r="AG554" s="187"/>
      <c r="AH554" s="187"/>
    </row>
    <row r="555">
      <c r="A555" s="123" t="s">
        <v>230</v>
      </c>
      <c r="B555" s="123" t="s">
        <v>958</v>
      </c>
      <c r="C555" s="16" t="s">
        <v>267</v>
      </c>
      <c r="D555" s="123" t="s">
        <v>463</v>
      </c>
      <c r="E555" s="123"/>
      <c r="F555" s="123"/>
      <c r="G555" s="75">
        <v>0.0</v>
      </c>
      <c r="H555" s="75">
        <v>8.3</v>
      </c>
      <c r="I555" s="124">
        <v>1.0</v>
      </c>
      <c r="J555" s="75">
        <v>8.3</v>
      </c>
      <c r="K555" s="125">
        <v>0.0</v>
      </c>
      <c r="L555" s="125">
        <v>0.0</v>
      </c>
      <c r="M555" s="75">
        <v>6.0</v>
      </c>
      <c r="N555" s="75"/>
      <c r="O555" s="123" t="s">
        <v>60</v>
      </c>
      <c r="P555" s="126">
        <v>6684.0</v>
      </c>
      <c r="Q555" s="123" t="s">
        <v>234</v>
      </c>
      <c r="R555" s="75">
        <v>2019.0</v>
      </c>
      <c r="S555" s="136">
        <v>0.238</v>
      </c>
      <c r="T555" s="128">
        <f t="shared" si="90"/>
        <v>1590.792</v>
      </c>
      <c r="U555" s="24">
        <f t="shared" si="3"/>
        <v>191.6616867</v>
      </c>
      <c r="V555" s="3">
        <f t="shared" si="28"/>
        <v>0</v>
      </c>
      <c r="W555" s="3">
        <f t="shared" si="29"/>
        <v>0</v>
      </c>
      <c r="X555" s="3">
        <f t="shared" si="30"/>
        <v>0</v>
      </c>
      <c r="Y555" s="25">
        <f t="shared" si="31"/>
        <v>0</v>
      </c>
      <c r="Z555" s="26">
        <f>VLOOKUP(R555,CPI!$A$2:$F$71,6,0)</f>
        <v>1.259947899</v>
      </c>
      <c r="AA555" s="27">
        <f t="shared" si="8"/>
        <v>2004.315038</v>
      </c>
      <c r="AB555" s="27">
        <f t="shared" si="9"/>
        <v>241.4837395</v>
      </c>
      <c r="AC555" s="123" t="s">
        <v>60</v>
      </c>
      <c r="AD555" s="129" t="s">
        <v>974</v>
      </c>
      <c r="AE555" s="178"/>
      <c r="AF555" s="172"/>
      <c r="AG555" s="172"/>
      <c r="AH555" s="172"/>
    </row>
    <row r="556">
      <c r="A556" s="123" t="s">
        <v>230</v>
      </c>
      <c r="B556" s="123" t="s">
        <v>958</v>
      </c>
      <c r="C556" s="16" t="s">
        <v>80</v>
      </c>
      <c r="D556" s="123" t="s">
        <v>255</v>
      </c>
      <c r="E556" s="123"/>
      <c r="F556" s="123"/>
      <c r="G556" s="75">
        <v>0.0</v>
      </c>
      <c r="H556" s="75">
        <v>36.5</v>
      </c>
      <c r="I556" s="124">
        <v>0.9232876712</v>
      </c>
      <c r="J556" s="75">
        <v>33.7</v>
      </c>
      <c r="K556" s="125">
        <v>2.51</v>
      </c>
      <c r="L556" s="125">
        <v>0.41</v>
      </c>
      <c r="M556" s="75">
        <v>24.0</v>
      </c>
      <c r="N556" s="75"/>
      <c r="O556" s="123" t="s">
        <v>60</v>
      </c>
      <c r="P556" s="126">
        <v>29304.0</v>
      </c>
      <c r="Q556" s="123" t="s">
        <v>234</v>
      </c>
      <c r="R556" s="75">
        <v>2019.0</v>
      </c>
      <c r="S556" s="136">
        <v>0.238</v>
      </c>
      <c r="T556" s="128">
        <f t="shared" si="90"/>
        <v>6974.352</v>
      </c>
      <c r="U556" s="24">
        <f t="shared" si="3"/>
        <v>191.078137</v>
      </c>
      <c r="V556" s="3">
        <f t="shared" si="28"/>
        <v>0</v>
      </c>
      <c r="W556" s="3">
        <f t="shared" si="29"/>
        <v>0</v>
      </c>
      <c r="X556" s="3">
        <f t="shared" si="30"/>
        <v>0</v>
      </c>
      <c r="Y556" s="25">
        <f t="shared" si="31"/>
        <v>0</v>
      </c>
      <c r="Z556" s="26">
        <f>VLOOKUP(R556,CPI!$A$2:$F$71,6,0)</f>
        <v>1.259947899</v>
      </c>
      <c r="AA556" s="27">
        <f t="shared" si="8"/>
        <v>8787.320149</v>
      </c>
      <c r="AB556" s="27">
        <f t="shared" si="9"/>
        <v>240.7484972</v>
      </c>
      <c r="AC556" s="123" t="s">
        <v>60</v>
      </c>
      <c r="AD556" s="129" t="s">
        <v>974</v>
      </c>
      <c r="AE556" s="178"/>
      <c r="AF556" s="172"/>
      <c r="AG556" s="172"/>
      <c r="AH556" s="172"/>
    </row>
    <row r="557">
      <c r="A557" s="123" t="s">
        <v>230</v>
      </c>
      <c r="B557" s="123" t="s">
        <v>958</v>
      </c>
      <c r="C557" s="16" t="s">
        <v>228</v>
      </c>
      <c r="D557" s="123" t="s">
        <v>263</v>
      </c>
      <c r="E557" s="123"/>
      <c r="F557" s="123"/>
      <c r="G557" s="75">
        <v>0.0</v>
      </c>
      <c r="H557" s="75">
        <v>26.9</v>
      </c>
      <c r="I557" s="124">
        <v>1.0</v>
      </c>
      <c r="J557" s="75">
        <v>26.9</v>
      </c>
      <c r="K557" s="125">
        <v>0.0</v>
      </c>
      <c r="L557" s="125">
        <v>0.0</v>
      </c>
      <c r="M557" s="75">
        <v>20.0</v>
      </c>
      <c r="N557" s="75"/>
      <c r="O557" s="123" t="s">
        <v>60</v>
      </c>
      <c r="P557" s="126">
        <v>21158.0</v>
      </c>
      <c r="Q557" s="123" t="s">
        <v>234</v>
      </c>
      <c r="R557" s="75">
        <v>2019.0</v>
      </c>
      <c r="S557" s="136">
        <v>0.238</v>
      </c>
      <c r="T557" s="128">
        <f t="shared" si="90"/>
        <v>5035.604</v>
      </c>
      <c r="U557" s="24">
        <f t="shared" si="3"/>
        <v>187.1971747</v>
      </c>
      <c r="V557" s="3">
        <f t="shared" si="28"/>
        <v>0</v>
      </c>
      <c r="W557" s="3">
        <f t="shared" si="29"/>
        <v>0</v>
      </c>
      <c r="X557" s="3">
        <f t="shared" si="30"/>
        <v>0</v>
      </c>
      <c r="Y557" s="25">
        <f t="shared" si="31"/>
        <v>0</v>
      </c>
      <c r="Z557" s="26">
        <f>VLOOKUP(R557,CPI!$A$2:$F$71,6,0)</f>
        <v>1.259947899</v>
      </c>
      <c r="AA557" s="27">
        <f t="shared" si="8"/>
        <v>6344.59868</v>
      </c>
      <c r="AB557" s="27">
        <f t="shared" si="9"/>
        <v>235.858687</v>
      </c>
      <c r="AC557" s="123" t="s">
        <v>60</v>
      </c>
      <c r="AD557" s="129" t="s">
        <v>974</v>
      </c>
      <c r="AE557" s="178"/>
      <c r="AF557" s="172"/>
      <c r="AG557" s="172"/>
      <c r="AH557" s="172"/>
    </row>
    <row r="558">
      <c r="A558" s="114" t="s">
        <v>230</v>
      </c>
      <c r="B558" s="114" t="s">
        <v>975</v>
      </c>
      <c r="C558" s="16" t="s">
        <v>57</v>
      </c>
      <c r="D558" s="114" t="s">
        <v>57</v>
      </c>
      <c r="E558" s="116">
        <v>2020.0</v>
      </c>
      <c r="F558" s="114"/>
      <c r="G558" s="116">
        <v>0.0</v>
      </c>
      <c r="H558" s="116">
        <v>20.82</v>
      </c>
      <c r="I558" s="117">
        <v>0.62</v>
      </c>
      <c r="J558" s="116">
        <v>12.86</v>
      </c>
      <c r="K558" s="114"/>
      <c r="L558" s="114"/>
      <c r="M558" s="116">
        <v>15.0</v>
      </c>
      <c r="N558" s="116"/>
      <c r="O558" s="114" t="s">
        <v>36</v>
      </c>
      <c r="P558" s="140">
        <v>13451.89</v>
      </c>
      <c r="Q558" s="114" t="s">
        <v>234</v>
      </c>
      <c r="R558" s="115">
        <v>2020.0</v>
      </c>
      <c r="S558" s="136">
        <v>0.239</v>
      </c>
      <c r="T558" s="118">
        <f t="shared" si="90"/>
        <v>3215.00171</v>
      </c>
      <c r="U558" s="24">
        <f t="shared" si="3"/>
        <v>154.4189102</v>
      </c>
      <c r="V558" s="3">
        <f t="shared" si="28"/>
        <v>0</v>
      </c>
      <c r="W558" s="3">
        <f t="shared" si="29"/>
        <v>0</v>
      </c>
      <c r="X558" s="3">
        <f t="shared" si="30"/>
        <v>0</v>
      </c>
      <c r="Y558" s="25">
        <f t="shared" si="31"/>
        <v>0</v>
      </c>
      <c r="Z558" s="26">
        <f>VLOOKUP(R558,CPI!$A$2:$F$71,6,0)</f>
        <v>1.244593545</v>
      </c>
      <c r="AA558" s="27">
        <f t="shared" si="8"/>
        <v>4001.370376</v>
      </c>
      <c r="AB558" s="27">
        <f t="shared" si="9"/>
        <v>192.1887789</v>
      </c>
      <c r="AC558" s="114" t="s">
        <v>36</v>
      </c>
      <c r="AD558" s="119" t="s">
        <v>976</v>
      </c>
      <c r="AE558" s="173"/>
      <c r="AF558" s="174"/>
      <c r="AG558" s="174"/>
      <c r="AH558" s="174"/>
    </row>
    <row r="559">
      <c r="A559" s="237" t="s">
        <v>977</v>
      </c>
      <c r="B559" s="237" t="s">
        <v>978</v>
      </c>
      <c r="C559" s="237" t="s">
        <v>57</v>
      </c>
      <c r="D559" s="237" t="s">
        <v>57</v>
      </c>
      <c r="E559" s="237">
        <v>2020.0</v>
      </c>
      <c r="F559" s="237">
        <v>2028.0</v>
      </c>
      <c r="G559" s="237">
        <v>0.0</v>
      </c>
      <c r="H559" s="237">
        <v>24.0</v>
      </c>
      <c r="I559" s="238">
        <v>0.0</v>
      </c>
      <c r="J559" s="237">
        <v>0.0</v>
      </c>
      <c r="K559" s="237">
        <v>24.0</v>
      </c>
      <c r="L559" s="237">
        <v>0.0</v>
      </c>
      <c r="M559" s="237">
        <v>27.0</v>
      </c>
      <c r="N559" s="239">
        <v>134.0</v>
      </c>
      <c r="O559" s="237" t="s">
        <v>74</v>
      </c>
      <c r="P559" s="237">
        <v>1.294527E7</v>
      </c>
      <c r="Q559" s="237" t="s">
        <v>979</v>
      </c>
      <c r="R559" s="237">
        <v>2017.0</v>
      </c>
      <c r="S559" s="237">
        <v>6.25E-4</v>
      </c>
      <c r="T559" s="118">
        <f t="shared" si="90"/>
        <v>8090.79375</v>
      </c>
      <c r="U559" s="24">
        <f t="shared" si="3"/>
        <v>337.1164063</v>
      </c>
      <c r="V559" s="3">
        <f t="shared" si="28"/>
        <v>0</v>
      </c>
      <c r="W559" s="3">
        <f t="shared" si="29"/>
        <v>0</v>
      </c>
      <c r="X559" s="3">
        <f t="shared" si="30"/>
        <v>0</v>
      </c>
      <c r="Y559" s="25">
        <f t="shared" si="31"/>
        <v>0</v>
      </c>
      <c r="Z559" s="26">
        <f>VLOOKUP(R559,CPI!$A$2:$F$71,6,0)</f>
        <v>1.314109416</v>
      </c>
      <c r="AA559" s="27">
        <f t="shared" si="8"/>
        <v>10632.18825</v>
      </c>
      <c r="AB559" s="27">
        <f t="shared" si="9"/>
        <v>443.0078437</v>
      </c>
      <c r="AC559" s="237" t="s">
        <v>60</v>
      </c>
      <c r="AD559" s="240" t="s">
        <v>980</v>
      </c>
      <c r="AE559" s="241"/>
      <c r="AF559" s="242"/>
      <c r="AG559" s="166"/>
      <c r="AH559" s="166"/>
    </row>
    <row r="560">
      <c r="A560" s="142" t="s">
        <v>981</v>
      </c>
      <c r="B560" s="142" t="s">
        <v>982</v>
      </c>
      <c r="C560" s="16" t="s">
        <v>983</v>
      </c>
      <c r="D560" s="142" t="s">
        <v>984</v>
      </c>
      <c r="E560" s="152">
        <v>2004.0</v>
      </c>
      <c r="F560" s="152">
        <v>2008.0</v>
      </c>
      <c r="G560" s="152">
        <v>0.0</v>
      </c>
      <c r="H560" s="152">
        <v>4.6</v>
      </c>
      <c r="I560" s="244">
        <v>1.0</v>
      </c>
      <c r="J560" s="152">
        <v>4.6</v>
      </c>
      <c r="K560" s="152">
        <v>0.0</v>
      </c>
      <c r="L560" s="152">
        <v>0.0</v>
      </c>
      <c r="M560" s="152">
        <v>3.0</v>
      </c>
      <c r="N560" s="152">
        <v>97.0</v>
      </c>
      <c r="O560" s="142" t="s">
        <v>74</v>
      </c>
      <c r="P560" s="245">
        <v>15000.0</v>
      </c>
      <c r="Q560" s="142" t="s">
        <v>985</v>
      </c>
      <c r="R560" s="152">
        <v>2006.0</v>
      </c>
      <c r="S560" s="152">
        <v>0.069</v>
      </c>
      <c r="T560" s="75">
        <f t="shared" si="90"/>
        <v>1035</v>
      </c>
      <c r="U560" s="24">
        <f t="shared" si="3"/>
        <v>225</v>
      </c>
      <c r="V560" s="3">
        <f t="shared" si="28"/>
        <v>0</v>
      </c>
      <c r="W560" s="3">
        <f t="shared" si="29"/>
        <v>0</v>
      </c>
      <c r="X560" s="3">
        <f t="shared" si="30"/>
        <v>0</v>
      </c>
      <c r="Y560" s="25">
        <f t="shared" si="31"/>
        <v>0</v>
      </c>
      <c r="Z560" s="26">
        <f>VLOOKUP(R560,CPI!$A$2:$F$71,6,0)</f>
        <v>1.597790179</v>
      </c>
      <c r="AA560" s="27">
        <f t="shared" si="8"/>
        <v>1653.712835</v>
      </c>
      <c r="AB560" s="27">
        <f t="shared" si="9"/>
        <v>359.5027902</v>
      </c>
      <c r="AC560" s="63" t="s">
        <v>42</v>
      </c>
      <c r="AD560" s="246" t="s">
        <v>986</v>
      </c>
      <c r="AE560" s="173"/>
      <c r="AF560" s="174"/>
      <c r="AG560" s="174"/>
      <c r="AH560" s="174"/>
    </row>
    <row r="561">
      <c r="A561" s="26" t="s">
        <v>981</v>
      </c>
      <c r="B561" s="26" t="s">
        <v>982</v>
      </c>
      <c r="C561" s="16" t="s">
        <v>987</v>
      </c>
      <c r="D561" s="26" t="s">
        <v>988</v>
      </c>
      <c r="E561" s="25">
        <v>2010.0</v>
      </c>
      <c r="F561" s="25">
        <v>2015.0</v>
      </c>
      <c r="G561" s="25">
        <v>0.0</v>
      </c>
      <c r="H561" s="25">
        <v>6.1</v>
      </c>
      <c r="I561" s="59">
        <v>0.97</v>
      </c>
      <c r="J561" s="58">
        <v>5.9</v>
      </c>
      <c r="K561" s="51">
        <v>0.0</v>
      </c>
      <c r="L561" s="58">
        <v>0.2</v>
      </c>
      <c r="M561" s="25">
        <v>4.0</v>
      </c>
      <c r="N561" s="25"/>
      <c r="O561" s="26" t="s">
        <v>74</v>
      </c>
      <c r="P561" s="52">
        <v>20200.0</v>
      </c>
      <c r="Q561" s="26" t="s">
        <v>985</v>
      </c>
      <c r="R561" s="25">
        <v>2012.0</v>
      </c>
      <c r="S561" s="25">
        <v>0.0752</v>
      </c>
      <c r="T561" s="25">
        <f t="shared" si="90"/>
        <v>1519.04</v>
      </c>
      <c r="U561" s="24">
        <f t="shared" si="3"/>
        <v>249.0229508</v>
      </c>
      <c r="V561" s="3">
        <f t="shared" si="28"/>
        <v>0</v>
      </c>
      <c r="W561" s="3">
        <f t="shared" si="29"/>
        <v>0</v>
      </c>
      <c r="X561" s="3">
        <f t="shared" si="30"/>
        <v>0</v>
      </c>
      <c r="Y561" s="25">
        <f t="shared" si="31"/>
        <v>0</v>
      </c>
      <c r="Z561" s="26">
        <f>VLOOKUP(R561,CPI!$A$2:$F$71,6,0)</f>
        <v>1.402974381</v>
      </c>
      <c r="AA561" s="27">
        <f t="shared" si="8"/>
        <v>2131.174204</v>
      </c>
      <c r="AB561" s="27">
        <f t="shared" si="9"/>
        <v>349.3728202</v>
      </c>
      <c r="AC561" s="26" t="s">
        <v>36</v>
      </c>
      <c r="AD561" s="53" t="s">
        <v>989</v>
      </c>
      <c r="AE561" s="130"/>
      <c r="AF561" s="130"/>
      <c r="AG561" s="130"/>
      <c r="AH561" s="130"/>
    </row>
    <row r="562">
      <c r="A562" s="142" t="s">
        <v>981</v>
      </c>
      <c r="B562" s="142" t="s">
        <v>982</v>
      </c>
      <c r="C562" s="142" t="s">
        <v>990</v>
      </c>
      <c r="D562" s="142" t="s">
        <v>990</v>
      </c>
      <c r="E562" s="152">
        <v>2021.0</v>
      </c>
      <c r="F562" s="152">
        <v>2029.0</v>
      </c>
      <c r="G562" s="152">
        <v>0.0</v>
      </c>
      <c r="H562" s="152">
        <v>10.5</v>
      </c>
      <c r="I562" s="244">
        <v>0.9</v>
      </c>
      <c r="J562" s="152">
        <v>9.5</v>
      </c>
      <c r="K562" s="152">
        <v>1.0</v>
      </c>
      <c r="L562" s="152">
        <v>0.0</v>
      </c>
      <c r="M562" s="152">
        <v>10.0</v>
      </c>
      <c r="N562" s="152">
        <v>97.0</v>
      </c>
      <c r="O562" s="142" t="s">
        <v>74</v>
      </c>
      <c r="P562" s="245">
        <v>73000.0</v>
      </c>
      <c r="Q562" s="142" t="s">
        <v>985</v>
      </c>
      <c r="R562" s="152">
        <v>2025.0</v>
      </c>
      <c r="S562" s="152">
        <v>0.0776</v>
      </c>
      <c r="T562" s="75">
        <f t="shared" si="90"/>
        <v>5664.8</v>
      </c>
      <c r="U562" s="24">
        <f t="shared" si="3"/>
        <v>539.5047619</v>
      </c>
      <c r="V562" s="3">
        <f t="shared" si="28"/>
        <v>0</v>
      </c>
      <c r="W562" s="3">
        <f t="shared" si="29"/>
        <v>0</v>
      </c>
      <c r="X562" s="3">
        <f t="shared" si="30"/>
        <v>0</v>
      </c>
      <c r="Y562" s="25">
        <f t="shared" si="31"/>
        <v>0</v>
      </c>
      <c r="Z562" s="26">
        <f>VLOOKUP(R562,CPI!$A$2:$F$71,6,0)</f>
        <v>1</v>
      </c>
      <c r="AA562" s="27">
        <f t="shared" si="8"/>
        <v>5664.8</v>
      </c>
      <c r="AB562" s="27">
        <f t="shared" si="9"/>
        <v>539.5047619</v>
      </c>
      <c r="AC562" s="63" t="s">
        <v>42</v>
      </c>
      <c r="AD562" s="246" t="s">
        <v>991</v>
      </c>
      <c r="AE562" s="173"/>
      <c r="AF562" s="174"/>
      <c r="AG562" s="174"/>
      <c r="AH562" s="174"/>
    </row>
    <row r="563">
      <c r="A563" s="115" t="s">
        <v>992</v>
      </c>
      <c r="B563" s="115" t="s">
        <v>993</v>
      </c>
      <c r="C563" s="115" t="s">
        <v>994</v>
      </c>
      <c r="D563" s="115" t="s">
        <v>995</v>
      </c>
      <c r="E563" s="82">
        <v>1968.0</v>
      </c>
      <c r="F563" s="115">
        <v>1974.0</v>
      </c>
      <c r="G563" s="82">
        <v>0.0</v>
      </c>
      <c r="H563" s="82">
        <v>1.5</v>
      </c>
      <c r="I563" s="247">
        <v>1.0</v>
      </c>
      <c r="J563" s="82">
        <v>1.5</v>
      </c>
      <c r="K563" s="114"/>
      <c r="L563" s="114"/>
      <c r="M563" s="82">
        <v>2.0</v>
      </c>
      <c r="N563" s="82">
        <v>100.0</v>
      </c>
      <c r="O563" s="115" t="s">
        <v>42</v>
      </c>
      <c r="P563" s="248">
        <v>120.0</v>
      </c>
      <c r="Q563" s="115" t="s">
        <v>996</v>
      </c>
      <c r="R563" s="115">
        <v>1971.0</v>
      </c>
      <c r="S563" s="115">
        <v>0.3836</v>
      </c>
      <c r="T563" s="118">
        <f t="shared" si="90"/>
        <v>46.032</v>
      </c>
      <c r="U563" s="24">
        <f t="shared" si="3"/>
        <v>30.688</v>
      </c>
      <c r="V563" s="3">
        <f t="shared" si="28"/>
        <v>0</v>
      </c>
      <c r="W563" s="3">
        <f t="shared" si="29"/>
        <v>0</v>
      </c>
      <c r="X563" s="3">
        <f t="shared" si="30"/>
        <v>0</v>
      </c>
      <c r="Y563" s="25">
        <f t="shared" si="31"/>
        <v>0</v>
      </c>
      <c r="Z563" s="26">
        <f>VLOOKUP(R563,CPI!$A$2:$F$71,6,0)</f>
        <v>7.953444444</v>
      </c>
      <c r="AA563" s="27">
        <f t="shared" si="8"/>
        <v>366.1129547</v>
      </c>
      <c r="AB563" s="27">
        <f t="shared" si="9"/>
        <v>244.0753031</v>
      </c>
      <c r="AC563" s="115" t="s">
        <v>42</v>
      </c>
      <c r="AD563" s="249" t="s">
        <v>997</v>
      </c>
      <c r="AE563" s="250"/>
      <c r="AF563" s="165"/>
      <c r="AG563" s="165"/>
      <c r="AH563" s="165"/>
    </row>
    <row r="564">
      <c r="A564" s="115" t="s">
        <v>992</v>
      </c>
      <c r="B564" s="115" t="s">
        <v>993</v>
      </c>
      <c r="C564" s="115" t="s">
        <v>998</v>
      </c>
      <c r="D564" s="115" t="s">
        <v>999</v>
      </c>
      <c r="E564" s="82">
        <v>1978.0</v>
      </c>
      <c r="F564" s="115">
        <v>1984.0</v>
      </c>
      <c r="G564" s="82">
        <v>0.0</v>
      </c>
      <c r="H564" s="82">
        <v>4.9</v>
      </c>
      <c r="I564" s="247">
        <v>1.0</v>
      </c>
      <c r="J564" s="82">
        <v>4.9</v>
      </c>
      <c r="K564" s="114"/>
      <c r="L564" s="114"/>
      <c r="M564" s="82">
        <v>5.0</v>
      </c>
      <c r="N564" s="82">
        <v>100.0</v>
      </c>
      <c r="O564" s="115" t="s">
        <v>42</v>
      </c>
      <c r="P564" s="248">
        <v>680.0</v>
      </c>
      <c r="Q564" s="115" t="s">
        <v>996</v>
      </c>
      <c r="R564" s="115">
        <v>1981.0</v>
      </c>
      <c r="S564" s="115">
        <v>0.5251</v>
      </c>
      <c r="T564" s="118">
        <f t="shared" si="90"/>
        <v>357.068</v>
      </c>
      <c r="U564" s="24">
        <f t="shared" si="3"/>
        <v>72.87102041</v>
      </c>
      <c r="V564" s="3">
        <f t="shared" si="28"/>
        <v>0</v>
      </c>
      <c r="W564" s="3">
        <f t="shared" si="29"/>
        <v>0</v>
      </c>
      <c r="X564" s="3">
        <f t="shared" si="30"/>
        <v>0</v>
      </c>
      <c r="Y564" s="25">
        <f t="shared" si="31"/>
        <v>0</v>
      </c>
      <c r="Z564" s="26">
        <f>VLOOKUP(R564,CPI!$A$2:$F$71,6,0)</f>
        <v>3.543613861</v>
      </c>
      <c r="AA564" s="27">
        <f t="shared" si="8"/>
        <v>1265.311114</v>
      </c>
      <c r="AB564" s="27">
        <f t="shared" si="9"/>
        <v>258.226758</v>
      </c>
      <c r="AC564" s="115" t="s">
        <v>42</v>
      </c>
      <c r="AD564" s="249" t="s">
        <v>1000</v>
      </c>
      <c r="AE564" s="250"/>
      <c r="AF564" s="165"/>
      <c r="AG564" s="165"/>
      <c r="AH564" s="165"/>
    </row>
    <row r="565">
      <c r="A565" s="26" t="s">
        <v>992</v>
      </c>
      <c r="B565" s="26" t="s">
        <v>993</v>
      </c>
      <c r="C565" s="1" t="s">
        <v>1001</v>
      </c>
      <c r="D565" s="26" t="s">
        <v>1002</v>
      </c>
      <c r="E565" s="25">
        <v>1985.0</v>
      </c>
      <c r="F565" s="25">
        <v>1994.0</v>
      </c>
      <c r="G565" s="25">
        <v>0.0</v>
      </c>
      <c r="H565" s="25">
        <v>3.6</v>
      </c>
      <c r="I565" s="50">
        <v>1.0</v>
      </c>
      <c r="J565" s="25">
        <v>3.6</v>
      </c>
      <c r="K565" s="51">
        <v>0.0</v>
      </c>
      <c r="L565" s="51">
        <v>0.0</v>
      </c>
      <c r="M565" s="25">
        <v>4.0</v>
      </c>
      <c r="N565" s="58">
        <v>100.0</v>
      </c>
      <c r="O565" s="26" t="s">
        <v>74</v>
      </c>
      <c r="P565" s="52">
        <v>520.0</v>
      </c>
      <c r="Q565" s="26" t="s">
        <v>52</v>
      </c>
      <c r="R565" s="25">
        <v>2020.0</v>
      </c>
      <c r="S565" s="25">
        <v>1.3</v>
      </c>
      <c r="T565" s="25">
        <f t="shared" si="90"/>
        <v>676</v>
      </c>
      <c r="U565" s="24">
        <f t="shared" si="3"/>
        <v>187.7777778</v>
      </c>
      <c r="V565" s="3">
        <f t="shared" si="28"/>
        <v>0</v>
      </c>
      <c r="W565" s="3">
        <f t="shared" si="29"/>
        <v>0</v>
      </c>
      <c r="X565" s="3">
        <f t="shared" si="30"/>
        <v>0</v>
      </c>
      <c r="Y565" s="25">
        <f t="shared" si="31"/>
        <v>0</v>
      </c>
      <c r="Z565" s="26">
        <f>VLOOKUP(R565,CPI!$A$2:$F$71,6,0)</f>
        <v>1.244593545</v>
      </c>
      <c r="AA565" s="27">
        <f t="shared" si="8"/>
        <v>841.3452365</v>
      </c>
      <c r="AB565" s="27">
        <f t="shared" si="9"/>
        <v>233.7070101</v>
      </c>
      <c r="AC565" s="26" t="s">
        <v>36</v>
      </c>
      <c r="AD565" s="53" t="s">
        <v>1003</v>
      </c>
      <c r="AE565" s="178"/>
      <c r="AF565" s="172"/>
      <c r="AG565" s="172"/>
      <c r="AH565" s="172"/>
    </row>
    <row r="566">
      <c r="A566" s="26" t="s">
        <v>992</v>
      </c>
      <c r="B566" s="26" t="s">
        <v>993</v>
      </c>
      <c r="C566" s="1" t="s">
        <v>1004</v>
      </c>
      <c r="D566" s="26" t="s">
        <v>1005</v>
      </c>
      <c r="E566" s="25">
        <v>1997.0</v>
      </c>
      <c r="F566" s="25">
        <v>2000.0</v>
      </c>
      <c r="G566" s="25">
        <v>0.0</v>
      </c>
      <c r="H566" s="25">
        <v>0.8</v>
      </c>
      <c r="I566" s="50">
        <v>1.0</v>
      </c>
      <c r="J566" s="25">
        <v>0.8</v>
      </c>
      <c r="K566" s="51">
        <v>0.0</v>
      </c>
      <c r="L566" s="51">
        <v>0.0</v>
      </c>
      <c r="M566" s="25">
        <v>1.0</v>
      </c>
      <c r="N566" s="58">
        <v>100.0</v>
      </c>
      <c r="O566" s="26" t="s">
        <v>42</v>
      </c>
      <c r="P566" s="52">
        <v>54.0</v>
      </c>
      <c r="Q566" s="26" t="s">
        <v>52</v>
      </c>
      <c r="R566" s="25">
        <v>1998.0</v>
      </c>
      <c r="S566" s="25">
        <v>1.3</v>
      </c>
      <c r="T566" s="25">
        <f t="shared" si="90"/>
        <v>70.2</v>
      </c>
      <c r="U566" s="24">
        <f t="shared" si="3"/>
        <v>87.75</v>
      </c>
      <c r="V566" s="3">
        <f t="shared" si="28"/>
        <v>0</v>
      </c>
      <c r="W566" s="3">
        <f t="shared" si="29"/>
        <v>0</v>
      </c>
      <c r="X566" s="3">
        <f t="shared" si="30"/>
        <v>0</v>
      </c>
      <c r="Y566" s="25">
        <f t="shared" si="31"/>
        <v>0</v>
      </c>
      <c r="Z566" s="26">
        <f>VLOOKUP(R566,CPI!$A$2:$F$71,6,0)</f>
        <v>1.976162577</v>
      </c>
      <c r="AA566" s="27">
        <f t="shared" si="8"/>
        <v>138.7266129</v>
      </c>
      <c r="AB566" s="27">
        <f t="shared" si="9"/>
        <v>173.4082661</v>
      </c>
      <c r="AC566" s="26" t="s">
        <v>42</v>
      </c>
      <c r="AD566" s="53" t="s">
        <v>1006</v>
      </c>
      <c r="AE566" s="178"/>
      <c r="AF566" s="172"/>
      <c r="AG566" s="172"/>
      <c r="AH566" s="172"/>
    </row>
    <row r="567">
      <c r="A567" s="26" t="s">
        <v>992</v>
      </c>
      <c r="B567" s="26" t="s">
        <v>993</v>
      </c>
      <c r="C567" s="26" t="s">
        <v>1007</v>
      </c>
      <c r="D567" s="26" t="s">
        <v>1007</v>
      </c>
      <c r="E567" s="25">
        <v>2004.0</v>
      </c>
      <c r="F567" s="25">
        <v>2009.0</v>
      </c>
      <c r="G567" s="25">
        <v>0.0</v>
      </c>
      <c r="H567" s="25">
        <v>1.8</v>
      </c>
      <c r="I567" s="50">
        <v>1.0</v>
      </c>
      <c r="J567" s="25">
        <v>1.8</v>
      </c>
      <c r="K567" s="51">
        <v>0.0</v>
      </c>
      <c r="L567" s="51">
        <v>0.0</v>
      </c>
      <c r="M567" s="25">
        <v>3.0</v>
      </c>
      <c r="N567" s="58">
        <v>100.0</v>
      </c>
      <c r="O567" s="26" t="s">
        <v>60</v>
      </c>
      <c r="P567" s="52">
        <v>320.0</v>
      </c>
      <c r="Q567" s="26" t="s">
        <v>52</v>
      </c>
      <c r="R567" s="25">
        <v>2006.0</v>
      </c>
      <c r="S567" s="25">
        <v>1.3</v>
      </c>
      <c r="T567" s="25">
        <f t="shared" si="90"/>
        <v>416</v>
      </c>
      <c r="U567" s="24">
        <f t="shared" si="3"/>
        <v>231.1111111</v>
      </c>
      <c r="V567" s="3">
        <f t="shared" si="28"/>
        <v>0</v>
      </c>
      <c r="W567" s="3">
        <f t="shared" si="29"/>
        <v>0</v>
      </c>
      <c r="X567" s="3">
        <f t="shared" si="30"/>
        <v>0</v>
      </c>
      <c r="Y567" s="25">
        <f t="shared" si="31"/>
        <v>0</v>
      </c>
      <c r="Z567" s="26">
        <f>VLOOKUP(R567,CPI!$A$2:$F$71,6,0)</f>
        <v>1.597790179</v>
      </c>
      <c r="AA567" s="27">
        <f t="shared" si="8"/>
        <v>664.6807143</v>
      </c>
      <c r="AB567" s="27">
        <f t="shared" si="9"/>
        <v>369.2670635</v>
      </c>
      <c r="AC567" s="26" t="s">
        <v>60</v>
      </c>
      <c r="AD567" s="53" t="s">
        <v>1008</v>
      </c>
      <c r="AE567" s="178"/>
      <c r="AF567" s="172"/>
      <c r="AG567" s="172"/>
      <c r="AH567" s="172"/>
    </row>
    <row r="568">
      <c r="A568" s="26" t="s">
        <v>992</v>
      </c>
      <c r="B568" s="26" t="s">
        <v>993</v>
      </c>
      <c r="C568" s="26" t="s">
        <v>1009</v>
      </c>
      <c r="D568" s="26" t="s">
        <v>1009</v>
      </c>
      <c r="E568" s="25">
        <v>2010.0</v>
      </c>
      <c r="F568" s="25">
        <v>2020.0</v>
      </c>
      <c r="G568" s="25">
        <v>0.0</v>
      </c>
      <c r="H568" s="25">
        <v>2.2</v>
      </c>
      <c r="I568" s="50">
        <v>1.0</v>
      </c>
      <c r="J568" s="25">
        <v>2.2</v>
      </c>
      <c r="K568" s="51">
        <v>0.0</v>
      </c>
      <c r="L568" s="51">
        <v>0.0</v>
      </c>
      <c r="M568" s="25">
        <v>3.0</v>
      </c>
      <c r="N568" s="58">
        <v>100.0</v>
      </c>
      <c r="O568" s="26" t="s">
        <v>60</v>
      </c>
      <c r="P568" s="52">
        <v>525.0</v>
      </c>
      <c r="Q568" s="26" t="s">
        <v>52</v>
      </c>
      <c r="R568" s="25">
        <v>2015.0</v>
      </c>
      <c r="S568" s="25">
        <v>1.3</v>
      </c>
      <c r="T568" s="25">
        <f t="shared" si="90"/>
        <v>682.5</v>
      </c>
      <c r="U568" s="24">
        <f t="shared" si="3"/>
        <v>310.2272727</v>
      </c>
      <c r="V568" s="3">
        <f t="shared" si="28"/>
        <v>0</v>
      </c>
      <c r="W568" s="3">
        <f t="shared" si="29"/>
        <v>0</v>
      </c>
      <c r="X568" s="3">
        <f t="shared" si="30"/>
        <v>0</v>
      </c>
      <c r="Y568" s="25">
        <f t="shared" si="31"/>
        <v>0</v>
      </c>
      <c r="Z568" s="26">
        <f>VLOOKUP(R568,CPI!$A$2:$F$71,6,0)</f>
        <v>1.359035428</v>
      </c>
      <c r="AA568" s="27">
        <f t="shared" si="8"/>
        <v>927.5416795</v>
      </c>
      <c r="AB568" s="27">
        <f t="shared" si="9"/>
        <v>421.6098543</v>
      </c>
      <c r="AC568" s="26" t="s">
        <v>60</v>
      </c>
      <c r="AD568" s="53" t="s">
        <v>1010</v>
      </c>
      <c r="AE568" s="178"/>
      <c r="AF568" s="172"/>
      <c r="AG568" s="172"/>
      <c r="AH568" s="172"/>
    </row>
    <row r="569">
      <c r="A569" s="26" t="s">
        <v>992</v>
      </c>
      <c r="B569" s="26" t="s">
        <v>1011</v>
      </c>
      <c r="C569" s="26" t="s">
        <v>1012</v>
      </c>
      <c r="D569" s="26" t="s">
        <v>1012</v>
      </c>
      <c r="E569" s="25">
        <v>2003.0</v>
      </c>
      <c r="F569" s="25">
        <v>2015.0</v>
      </c>
      <c r="G569" s="25">
        <v>0.0</v>
      </c>
      <c r="H569" s="25">
        <v>4.0</v>
      </c>
      <c r="I569" s="50">
        <v>1.0</v>
      </c>
      <c r="J569" s="25">
        <v>4.0</v>
      </c>
      <c r="K569" s="51">
        <v>0.0</v>
      </c>
      <c r="L569" s="51">
        <v>0.0</v>
      </c>
      <c r="M569" s="25">
        <v>6.0</v>
      </c>
      <c r="N569" s="25"/>
      <c r="O569" s="26" t="s">
        <v>74</v>
      </c>
      <c r="P569" s="52">
        <v>1040.0</v>
      </c>
      <c r="Q569" s="26" t="s">
        <v>52</v>
      </c>
      <c r="R569" s="25">
        <v>2009.0</v>
      </c>
      <c r="S569" s="25">
        <v>1.3</v>
      </c>
      <c r="T569" s="25">
        <f t="shared" si="90"/>
        <v>1352</v>
      </c>
      <c r="U569" s="24">
        <f t="shared" si="3"/>
        <v>338</v>
      </c>
      <c r="V569" s="3">
        <f t="shared" si="28"/>
        <v>0</v>
      </c>
      <c r="W569" s="3">
        <f t="shared" si="29"/>
        <v>0</v>
      </c>
      <c r="X569" s="3">
        <f t="shared" si="30"/>
        <v>0</v>
      </c>
      <c r="Y569" s="25">
        <f t="shared" si="31"/>
        <v>0</v>
      </c>
      <c r="Z569" s="26">
        <f>VLOOKUP(R569,CPI!$A$2:$F$71,6,0)</f>
        <v>1.501440311</v>
      </c>
      <c r="AA569" s="27">
        <f t="shared" si="8"/>
        <v>2029.9473</v>
      </c>
      <c r="AB569" s="27">
        <f t="shared" si="9"/>
        <v>507.4868251</v>
      </c>
      <c r="AC569" s="26" t="s">
        <v>60</v>
      </c>
      <c r="AD569" s="53" t="s">
        <v>1013</v>
      </c>
      <c r="AE569" s="178"/>
      <c r="AF569" s="172"/>
      <c r="AG569" s="172"/>
      <c r="AH569" s="172"/>
    </row>
    <row r="570">
      <c r="A570" s="26" t="s">
        <v>992</v>
      </c>
      <c r="B570" s="26" t="s">
        <v>1014</v>
      </c>
      <c r="C570" s="26" t="s">
        <v>1015</v>
      </c>
      <c r="D570" s="26" t="s">
        <v>1015</v>
      </c>
      <c r="E570" s="25">
        <v>2007.0</v>
      </c>
      <c r="F570" s="25">
        <v>2016.0</v>
      </c>
      <c r="G570" s="25">
        <v>0.0</v>
      </c>
      <c r="H570" s="25">
        <v>3.4</v>
      </c>
      <c r="I570" s="50">
        <v>1.0</v>
      </c>
      <c r="J570" s="25">
        <v>3.4</v>
      </c>
      <c r="K570" s="51">
        <v>0.0</v>
      </c>
      <c r="L570" s="51">
        <v>0.0</v>
      </c>
      <c r="M570" s="25">
        <v>6.0</v>
      </c>
      <c r="N570" s="25"/>
      <c r="O570" s="26" t="s">
        <v>74</v>
      </c>
      <c r="P570" s="52">
        <v>929.0</v>
      </c>
      <c r="Q570" s="26" t="s">
        <v>52</v>
      </c>
      <c r="R570" s="25">
        <v>2012.0</v>
      </c>
      <c r="S570" s="25">
        <v>1.3</v>
      </c>
      <c r="T570" s="25">
        <f t="shared" si="90"/>
        <v>1207.7</v>
      </c>
      <c r="U570" s="24">
        <f t="shared" si="3"/>
        <v>355.2058824</v>
      </c>
      <c r="V570" s="3">
        <f t="shared" si="28"/>
        <v>0</v>
      </c>
      <c r="W570" s="3">
        <f t="shared" si="29"/>
        <v>0</v>
      </c>
      <c r="X570" s="3">
        <f t="shared" si="30"/>
        <v>0</v>
      </c>
      <c r="Y570" s="25">
        <f t="shared" si="31"/>
        <v>0</v>
      </c>
      <c r="Z570" s="26">
        <f>VLOOKUP(R570,CPI!$A$2:$F$71,6,0)</f>
        <v>1.402974381</v>
      </c>
      <c r="AA570" s="27">
        <f t="shared" si="8"/>
        <v>1694.37216</v>
      </c>
      <c r="AB570" s="27">
        <f t="shared" si="9"/>
        <v>498.3447529</v>
      </c>
      <c r="AC570" s="26" t="s">
        <v>42</v>
      </c>
      <c r="AD570" s="57" t="s">
        <v>1016</v>
      </c>
      <c r="AE570" s="178"/>
      <c r="AF570" s="172"/>
      <c r="AG570" s="172"/>
      <c r="AH570" s="172"/>
    </row>
    <row r="571">
      <c r="A571" s="115" t="s">
        <v>992</v>
      </c>
      <c r="B571" s="115" t="s">
        <v>1017</v>
      </c>
      <c r="C571" s="115" t="s">
        <v>1018</v>
      </c>
      <c r="D571" s="115" t="s">
        <v>1019</v>
      </c>
      <c r="E571" s="82">
        <v>1963.0</v>
      </c>
      <c r="F571" s="115">
        <v>1968.0</v>
      </c>
      <c r="G571" s="82">
        <v>0.0</v>
      </c>
      <c r="H571" s="82">
        <v>9.0</v>
      </c>
      <c r="I571" s="247">
        <v>0.5</v>
      </c>
      <c r="J571" s="82">
        <v>4.5</v>
      </c>
      <c r="K571" s="115">
        <v>0.0</v>
      </c>
      <c r="L571" s="115">
        <v>4.5</v>
      </c>
      <c r="M571" s="82">
        <v>14.0</v>
      </c>
      <c r="N571" s="82"/>
      <c r="O571" s="115" t="s">
        <v>59</v>
      </c>
      <c r="P571" s="248">
        <v>830.73</v>
      </c>
      <c r="Q571" s="115" t="s">
        <v>52</v>
      </c>
      <c r="R571" s="115">
        <v>2023.0</v>
      </c>
      <c r="S571" s="115">
        <v>1.45</v>
      </c>
      <c r="T571" s="118">
        <f t="shared" si="90"/>
        <v>1204.5585</v>
      </c>
      <c r="U571" s="24">
        <f t="shared" si="3"/>
        <v>133.8398333</v>
      </c>
      <c r="V571" s="3">
        <f t="shared" si="28"/>
        <v>0</v>
      </c>
      <c r="W571" s="3">
        <f t="shared" si="29"/>
        <v>0</v>
      </c>
      <c r="X571" s="3">
        <f t="shared" si="30"/>
        <v>0</v>
      </c>
      <c r="Y571" s="25">
        <f t="shared" si="31"/>
        <v>0</v>
      </c>
      <c r="Z571" s="26">
        <f>VLOOKUP(R571,CPI!$A$2:$F$71,6,0)</f>
        <v>1.057145998</v>
      </c>
      <c r="AA571" s="27">
        <f t="shared" si="8"/>
        <v>1273.394198</v>
      </c>
      <c r="AB571" s="27">
        <f t="shared" si="9"/>
        <v>141.4882442</v>
      </c>
      <c r="AC571" s="115" t="s">
        <v>42</v>
      </c>
      <c r="AD571" s="249" t="s">
        <v>1020</v>
      </c>
      <c r="AE571" s="241"/>
      <c r="AF571" s="242"/>
      <c r="AG571" s="166"/>
      <c r="AH571" s="166"/>
    </row>
    <row r="572">
      <c r="A572" s="26" t="s">
        <v>992</v>
      </c>
      <c r="B572" s="26" t="s">
        <v>1017</v>
      </c>
      <c r="C572" s="26" t="s">
        <v>1021</v>
      </c>
      <c r="D572" s="26" t="s">
        <v>1021</v>
      </c>
      <c r="E572" s="25">
        <v>2019.0</v>
      </c>
      <c r="F572" s="25">
        <v>2025.0</v>
      </c>
      <c r="G572" s="25">
        <v>0.0</v>
      </c>
      <c r="H572" s="25">
        <v>2.7</v>
      </c>
      <c r="I572" s="50">
        <v>0.52</v>
      </c>
      <c r="J572" s="25">
        <v>1.4</v>
      </c>
      <c r="K572" s="51">
        <v>0.0</v>
      </c>
      <c r="L572" s="51">
        <v>0.0</v>
      </c>
      <c r="M572" s="25">
        <v>4.0</v>
      </c>
      <c r="N572" s="25"/>
      <c r="O572" s="26" t="s">
        <v>59</v>
      </c>
      <c r="P572" s="52">
        <v>373.5</v>
      </c>
      <c r="Q572" s="26" t="s">
        <v>52</v>
      </c>
      <c r="R572" s="25">
        <v>2022.0</v>
      </c>
      <c r="S572" s="25">
        <v>1.3</v>
      </c>
      <c r="T572" s="25">
        <f t="shared" si="90"/>
        <v>485.55</v>
      </c>
      <c r="U572" s="24">
        <f t="shared" si="3"/>
        <v>179.8333333</v>
      </c>
      <c r="V572" s="3">
        <f t="shared" si="28"/>
        <v>0</v>
      </c>
      <c r="W572" s="3">
        <f t="shared" si="29"/>
        <v>0</v>
      </c>
      <c r="X572" s="3">
        <f t="shared" si="30"/>
        <v>0</v>
      </c>
      <c r="Y572" s="25">
        <f t="shared" si="31"/>
        <v>0</v>
      </c>
      <c r="Z572" s="26">
        <f>VLOOKUP(R572,CPI!$A$2:$F$71,6,0)</f>
        <v>1.100662897</v>
      </c>
      <c r="AA572" s="27">
        <f t="shared" si="8"/>
        <v>534.4268694</v>
      </c>
      <c r="AB572" s="27">
        <f t="shared" si="9"/>
        <v>197.9358776</v>
      </c>
      <c r="AC572" s="26" t="s">
        <v>42</v>
      </c>
      <c r="AD572" s="53" t="s">
        <v>1022</v>
      </c>
      <c r="AE572" s="178"/>
      <c r="AF572" s="172"/>
      <c r="AG572" s="172"/>
      <c r="AH572" s="172"/>
    </row>
    <row r="573">
      <c r="A573" s="26" t="s">
        <v>992</v>
      </c>
      <c r="B573" s="26" t="s">
        <v>1017</v>
      </c>
      <c r="C573" s="1" t="s">
        <v>1004</v>
      </c>
      <c r="D573" s="63" t="s">
        <v>1023</v>
      </c>
      <c r="E573" s="58">
        <v>2026.0</v>
      </c>
      <c r="F573" s="58">
        <v>2029.0</v>
      </c>
      <c r="G573" s="58">
        <v>0.0</v>
      </c>
      <c r="H573" s="58">
        <v>1.6</v>
      </c>
      <c r="I573" s="59">
        <v>0.22</v>
      </c>
      <c r="J573" s="58">
        <v>0.4</v>
      </c>
      <c r="K573" s="58">
        <v>0.0</v>
      </c>
      <c r="L573" s="58">
        <v>1.2</v>
      </c>
      <c r="M573" s="58">
        <v>1.0</v>
      </c>
      <c r="N573" s="25"/>
      <c r="O573" s="63" t="s">
        <v>42</v>
      </c>
      <c r="P573" s="55">
        <v>200.0</v>
      </c>
      <c r="Q573" s="63" t="s">
        <v>52</v>
      </c>
      <c r="R573" s="58">
        <v>2027.0</v>
      </c>
      <c r="S573" s="58">
        <v>1.45</v>
      </c>
      <c r="T573" s="25">
        <f t="shared" si="90"/>
        <v>290</v>
      </c>
      <c r="U573" s="24">
        <f t="shared" si="3"/>
        <v>181.25</v>
      </c>
      <c r="V573" s="3">
        <f t="shared" si="28"/>
        <v>0</v>
      </c>
      <c r="W573" s="3">
        <f t="shared" si="29"/>
        <v>0</v>
      </c>
      <c r="X573" s="3">
        <f t="shared" si="30"/>
        <v>0</v>
      </c>
      <c r="Y573" s="25">
        <f t="shared" si="31"/>
        <v>0</v>
      </c>
      <c r="Z573" s="26">
        <f>VLOOKUP(R573,CPI!$A$2:$F$71,6,0)</f>
        <v>1</v>
      </c>
      <c r="AA573" s="27">
        <f t="shared" si="8"/>
        <v>290</v>
      </c>
      <c r="AB573" s="27">
        <f t="shared" si="9"/>
        <v>181.25</v>
      </c>
      <c r="AC573" s="63" t="s">
        <v>42</v>
      </c>
      <c r="AD573" s="56" t="s">
        <v>1024</v>
      </c>
      <c r="AE573" s="130"/>
      <c r="AF573" s="130"/>
      <c r="AG573" s="130"/>
      <c r="AH573" s="130"/>
    </row>
    <row r="574">
      <c r="A574" s="26" t="s">
        <v>992</v>
      </c>
      <c r="B574" s="26" t="s">
        <v>1025</v>
      </c>
      <c r="C574" s="1" t="s">
        <v>1026</v>
      </c>
      <c r="D574" s="26" t="s">
        <v>1027</v>
      </c>
      <c r="E574" s="25">
        <v>2007.0</v>
      </c>
      <c r="F574" s="25">
        <v>2012.0</v>
      </c>
      <c r="G574" s="25">
        <v>0.0</v>
      </c>
      <c r="H574" s="25">
        <v>3.9</v>
      </c>
      <c r="I574" s="50">
        <v>1.0</v>
      </c>
      <c r="J574" s="25">
        <v>3.9</v>
      </c>
      <c r="K574" s="51">
        <v>0.0</v>
      </c>
      <c r="L574" s="51">
        <v>0.0</v>
      </c>
      <c r="M574" s="25">
        <v>2.0</v>
      </c>
      <c r="N574" s="25"/>
      <c r="O574" s="26" t="s">
        <v>42</v>
      </c>
      <c r="P574" s="52">
        <v>326.3</v>
      </c>
      <c r="Q574" s="26" t="s">
        <v>52</v>
      </c>
      <c r="R574" s="25">
        <v>2009.0</v>
      </c>
      <c r="S574" s="25">
        <v>1.3</v>
      </c>
      <c r="T574" s="25">
        <f t="shared" si="90"/>
        <v>424.19</v>
      </c>
      <c r="U574" s="24">
        <f t="shared" si="3"/>
        <v>108.7666667</v>
      </c>
      <c r="V574" s="3">
        <f t="shared" si="28"/>
        <v>0</v>
      </c>
      <c r="W574" s="3">
        <f t="shared" si="29"/>
        <v>0</v>
      </c>
      <c r="X574" s="3">
        <f t="shared" si="30"/>
        <v>0</v>
      </c>
      <c r="Y574" s="25">
        <f t="shared" si="31"/>
        <v>0</v>
      </c>
      <c r="Z574" s="26">
        <f>VLOOKUP(R574,CPI!$A$2:$F$71,6,0)</f>
        <v>1.501440311</v>
      </c>
      <c r="AA574" s="27">
        <f t="shared" si="8"/>
        <v>636.8959655</v>
      </c>
      <c r="AB574" s="27">
        <f t="shared" si="9"/>
        <v>163.3066578</v>
      </c>
      <c r="AC574" s="26" t="s">
        <v>42</v>
      </c>
      <c r="AD574" s="251" t="s">
        <v>1028</v>
      </c>
      <c r="AE574" s="130"/>
      <c r="AF574" s="130"/>
      <c r="AG574" s="130"/>
      <c r="AH574" s="130"/>
    </row>
    <row r="575">
      <c r="A575" s="26" t="s">
        <v>992</v>
      </c>
      <c r="B575" s="26" t="s">
        <v>1025</v>
      </c>
      <c r="C575" s="1" t="s">
        <v>1026</v>
      </c>
      <c r="D575" s="26" t="s">
        <v>1029</v>
      </c>
      <c r="E575" s="25">
        <v>2014.0</v>
      </c>
      <c r="F575" s="25">
        <v>2018.0</v>
      </c>
      <c r="G575" s="25">
        <v>0.0</v>
      </c>
      <c r="H575" s="25">
        <v>1.3</v>
      </c>
      <c r="I575" s="50">
        <v>1.0</v>
      </c>
      <c r="J575" s="25">
        <v>1.3</v>
      </c>
      <c r="K575" s="51">
        <v>0.0</v>
      </c>
      <c r="L575" s="51">
        <v>0.0</v>
      </c>
      <c r="M575" s="25">
        <v>1.0</v>
      </c>
      <c r="N575" s="25"/>
      <c r="O575" s="26" t="s">
        <v>42</v>
      </c>
      <c r="P575" s="52">
        <v>178.0</v>
      </c>
      <c r="Q575" s="26" t="s">
        <v>52</v>
      </c>
      <c r="R575" s="25">
        <v>2016.0</v>
      </c>
      <c r="S575" s="25">
        <v>1.3</v>
      </c>
      <c r="T575" s="25">
        <f t="shared" si="90"/>
        <v>231.4</v>
      </c>
      <c r="U575" s="24">
        <f t="shared" si="3"/>
        <v>178</v>
      </c>
      <c r="V575" s="3">
        <f t="shared" si="28"/>
        <v>0</v>
      </c>
      <c r="W575" s="3">
        <f t="shared" si="29"/>
        <v>0</v>
      </c>
      <c r="X575" s="3">
        <f t="shared" si="30"/>
        <v>0</v>
      </c>
      <c r="Y575" s="25">
        <f t="shared" si="31"/>
        <v>0</v>
      </c>
      <c r="Z575" s="26">
        <f>VLOOKUP(R575,CPI!$A$2:$F$71,6,0)</f>
        <v>1.342104605</v>
      </c>
      <c r="AA575" s="27">
        <f t="shared" si="8"/>
        <v>310.5630057</v>
      </c>
      <c r="AB575" s="27">
        <f t="shared" si="9"/>
        <v>238.8946197</v>
      </c>
      <c r="AC575" s="26" t="s">
        <v>42</v>
      </c>
      <c r="AD575" s="53" t="s">
        <v>1028</v>
      </c>
      <c r="AE575" s="178"/>
      <c r="AF575" s="172"/>
      <c r="AG575" s="172"/>
      <c r="AH575" s="172"/>
    </row>
    <row r="576">
      <c r="A576" s="26" t="s">
        <v>992</v>
      </c>
      <c r="B576" s="26" t="s">
        <v>1025</v>
      </c>
      <c r="C576" s="1" t="s">
        <v>1026</v>
      </c>
      <c r="D576" s="63" t="s">
        <v>1030</v>
      </c>
      <c r="E576" s="58">
        <v>2021.0</v>
      </c>
      <c r="F576" s="58">
        <v>2027.0</v>
      </c>
      <c r="G576" s="25">
        <v>0.0</v>
      </c>
      <c r="H576" s="58">
        <v>2.6</v>
      </c>
      <c r="I576" s="50">
        <v>1.0</v>
      </c>
      <c r="J576" s="58">
        <v>2.6</v>
      </c>
      <c r="K576" s="51">
        <v>0.0</v>
      </c>
      <c r="L576" s="51">
        <v>0.0</v>
      </c>
      <c r="M576" s="58">
        <v>2.0</v>
      </c>
      <c r="N576" s="25"/>
      <c r="O576" s="63" t="s">
        <v>74</v>
      </c>
      <c r="P576" s="55">
        <v>561.0</v>
      </c>
      <c r="Q576" s="26" t="s">
        <v>52</v>
      </c>
      <c r="R576" s="58">
        <v>2024.0</v>
      </c>
      <c r="S576" s="58">
        <v>1.4</v>
      </c>
      <c r="T576" s="25">
        <f t="shared" si="90"/>
        <v>785.4</v>
      </c>
      <c r="U576" s="24">
        <f t="shared" si="3"/>
        <v>302.0769231</v>
      </c>
      <c r="V576" s="3">
        <f t="shared" si="28"/>
        <v>0</v>
      </c>
      <c r="W576" s="3">
        <f t="shared" si="29"/>
        <v>0</v>
      </c>
      <c r="X576" s="3">
        <f t="shared" si="30"/>
        <v>0</v>
      </c>
      <c r="Y576" s="25">
        <f t="shared" si="31"/>
        <v>0</v>
      </c>
      <c r="Z576" s="26">
        <f>VLOOKUP(R576,CPI!$A$2:$F$71,6,0)</f>
        <v>1</v>
      </c>
      <c r="AA576" s="27">
        <f t="shared" si="8"/>
        <v>785.4</v>
      </c>
      <c r="AB576" s="27">
        <f t="shared" si="9"/>
        <v>302.0769231</v>
      </c>
      <c r="AC576" s="63" t="s">
        <v>60</v>
      </c>
      <c r="AD576" s="56" t="s">
        <v>1031</v>
      </c>
      <c r="AE576" s="130"/>
      <c r="AF576" s="130"/>
      <c r="AG576" s="130"/>
      <c r="AH576" s="130"/>
    </row>
    <row r="577">
      <c r="A577" s="26" t="s">
        <v>992</v>
      </c>
      <c r="B577" s="26" t="s">
        <v>1025</v>
      </c>
      <c r="C577" s="1" t="s">
        <v>1032</v>
      </c>
      <c r="D577" s="26" t="s">
        <v>1033</v>
      </c>
      <c r="E577" s="25">
        <v>2021.0</v>
      </c>
      <c r="F577" s="25">
        <v>2030.0</v>
      </c>
      <c r="G577" s="25">
        <v>0.0</v>
      </c>
      <c r="H577" s="25">
        <v>5.8</v>
      </c>
      <c r="I577" s="50">
        <v>0.93</v>
      </c>
      <c r="J577" s="25">
        <v>5.4</v>
      </c>
      <c r="K577" s="51">
        <v>0.0</v>
      </c>
      <c r="L577" s="51">
        <v>0.0</v>
      </c>
      <c r="M577" s="25">
        <v>5.0</v>
      </c>
      <c r="N577" s="25"/>
      <c r="O577" s="26" t="s">
        <v>42</v>
      </c>
      <c r="P577" s="55">
        <v>2860.0</v>
      </c>
      <c r="Q577" s="26" t="s">
        <v>52</v>
      </c>
      <c r="R577" s="25">
        <v>2025.0</v>
      </c>
      <c r="S577" s="25">
        <v>1.3</v>
      </c>
      <c r="T577" s="25">
        <f t="shared" si="90"/>
        <v>3718</v>
      </c>
      <c r="U577" s="24">
        <f t="shared" si="3"/>
        <v>641.0344828</v>
      </c>
      <c r="V577" s="3">
        <f t="shared" si="28"/>
        <v>0</v>
      </c>
      <c r="W577" s="3">
        <f t="shared" si="29"/>
        <v>0</v>
      </c>
      <c r="X577" s="3">
        <f t="shared" si="30"/>
        <v>0</v>
      </c>
      <c r="Y577" s="25">
        <f t="shared" si="31"/>
        <v>0</v>
      </c>
      <c r="Z577" s="26">
        <f>VLOOKUP(R577,CPI!$A$2:$F$71,6,0)</f>
        <v>1</v>
      </c>
      <c r="AA577" s="27">
        <f t="shared" si="8"/>
        <v>3718</v>
      </c>
      <c r="AB577" s="27">
        <f t="shared" si="9"/>
        <v>641.0344828</v>
      </c>
      <c r="AC577" s="26" t="s">
        <v>42</v>
      </c>
      <c r="AD577" s="56" t="s">
        <v>1034</v>
      </c>
      <c r="AE577" s="130"/>
      <c r="AF577" s="130"/>
      <c r="AG577" s="130"/>
      <c r="AH577" s="130"/>
    </row>
    <row r="578">
      <c r="A578" s="26" t="s">
        <v>992</v>
      </c>
      <c r="B578" s="26" t="s">
        <v>1035</v>
      </c>
      <c r="C578" s="26" t="s">
        <v>1036</v>
      </c>
      <c r="D578" s="26" t="s">
        <v>1036</v>
      </c>
      <c r="E578" s="25">
        <v>2010.0</v>
      </c>
      <c r="F578" s="25">
        <v>2021.0</v>
      </c>
      <c r="G578" s="25">
        <v>1.0</v>
      </c>
      <c r="H578" s="25">
        <v>4.8</v>
      </c>
      <c r="I578" s="50">
        <v>1.0</v>
      </c>
      <c r="J578" s="25">
        <v>4.8</v>
      </c>
      <c r="K578" s="51">
        <v>0.0</v>
      </c>
      <c r="L578" s="51">
        <v>0.0</v>
      </c>
      <c r="M578" s="25">
        <v>6.0</v>
      </c>
      <c r="N578" s="25"/>
      <c r="O578" s="26" t="s">
        <v>60</v>
      </c>
      <c r="P578" s="52">
        <v>1457.3</v>
      </c>
      <c r="Q578" s="26" t="s">
        <v>52</v>
      </c>
      <c r="R578" s="25">
        <v>2016.0</v>
      </c>
      <c r="S578" s="25">
        <v>1.3</v>
      </c>
      <c r="T578" s="25">
        <f t="shared" si="90"/>
        <v>1894.49</v>
      </c>
      <c r="U578" s="24">
        <f t="shared" si="3"/>
        <v>394.6854167</v>
      </c>
      <c r="V578" s="3">
        <f t="shared" si="28"/>
        <v>0</v>
      </c>
      <c r="W578" s="3">
        <f t="shared" si="29"/>
        <v>0</v>
      </c>
      <c r="X578" s="3">
        <f t="shared" si="30"/>
        <v>0</v>
      </c>
      <c r="Y578" s="25">
        <f t="shared" si="31"/>
        <v>0</v>
      </c>
      <c r="Z578" s="26">
        <f>VLOOKUP(R578,CPI!$A$2:$F$71,6,0)</f>
        <v>1.342104605</v>
      </c>
      <c r="AA578" s="27">
        <f t="shared" si="8"/>
        <v>2542.603754</v>
      </c>
      <c r="AB578" s="27">
        <f t="shared" si="9"/>
        <v>529.7091153</v>
      </c>
      <c r="AC578" s="26" t="s">
        <v>60</v>
      </c>
      <c r="AD578" s="53" t="s">
        <v>1037</v>
      </c>
      <c r="AE578" s="178"/>
      <c r="AF578" s="172"/>
      <c r="AG578" s="172"/>
      <c r="AH578" s="172"/>
    </row>
    <row r="579">
      <c r="A579" s="26" t="s">
        <v>992</v>
      </c>
      <c r="B579" s="26" t="s">
        <v>1038</v>
      </c>
      <c r="C579" s="26" t="s">
        <v>1039</v>
      </c>
      <c r="D579" s="26" t="s">
        <v>1039</v>
      </c>
      <c r="E579" s="25">
        <v>2003.0</v>
      </c>
      <c r="F579" s="25">
        <v>2013.0</v>
      </c>
      <c r="G579" s="25">
        <v>1.0</v>
      </c>
      <c r="H579" s="25">
        <v>3.6</v>
      </c>
      <c r="I579" s="50">
        <v>1.0</v>
      </c>
      <c r="J579" s="25">
        <v>3.6</v>
      </c>
      <c r="K579" s="51">
        <v>0.0</v>
      </c>
      <c r="L579" s="51">
        <v>0.0</v>
      </c>
      <c r="M579" s="25">
        <v>4.0</v>
      </c>
      <c r="N579" s="25"/>
      <c r="O579" s="26" t="s">
        <v>74</v>
      </c>
      <c r="P579" s="52">
        <v>960.0</v>
      </c>
      <c r="Q579" s="26" t="s">
        <v>52</v>
      </c>
      <c r="R579" s="25">
        <v>2008.0</v>
      </c>
      <c r="S579" s="25">
        <v>1.3</v>
      </c>
      <c r="T579" s="25">
        <f t="shared" si="90"/>
        <v>1248</v>
      </c>
      <c r="U579" s="24">
        <f t="shared" si="3"/>
        <v>346.6666667</v>
      </c>
      <c r="V579" s="3">
        <f t="shared" si="28"/>
        <v>0</v>
      </c>
      <c r="W579" s="3">
        <f t="shared" si="29"/>
        <v>0</v>
      </c>
      <c r="X579" s="3">
        <f t="shared" si="30"/>
        <v>0</v>
      </c>
      <c r="Y579" s="25">
        <f t="shared" si="31"/>
        <v>0</v>
      </c>
      <c r="Z579" s="26">
        <f>VLOOKUP(R579,CPI!$A$2:$F$71,6,0)</f>
        <v>1.496098522</v>
      </c>
      <c r="AA579" s="27">
        <f t="shared" si="8"/>
        <v>1867.130955</v>
      </c>
      <c r="AB579" s="27">
        <f t="shared" si="9"/>
        <v>518.6474875</v>
      </c>
      <c r="AC579" s="26" t="s">
        <v>60</v>
      </c>
      <c r="AD579" s="57" t="s">
        <v>1040</v>
      </c>
      <c r="AE579" s="178"/>
      <c r="AF579" s="172"/>
      <c r="AG579" s="172"/>
      <c r="AH579" s="172"/>
    </row>
    <row r="580">
      <c r="A580" s="115" t="s">
        <v>992</v>
      </c>
      <c r="B580" s="115" t="s">
        <v>1041</v>
      </c>
      <c r="C580" s="115" t="s">
        <v>1042</v>
      </c>
      <c r="D580" s="115" t="s">
        <v>1042</v>
      </c>
      <c r="E580" s="82">
        <v>1965.0</v>
      </c>
      <c r="F580" s="115">
        <v>1971.0</v>
      </c>
      <c r="G580" s="82">
        <v>1.0</v>
      </c>
      <c r="H580" s="82">
        <v>11.4</v>
      </c>
      <c r="I580" s="247">
        <v>0.36</v>
      </c>
      <c r="J580" s="82">
        <v>4.1</v>
      </c>
      <c r="K580" s="114"/>
      <c r="L580" s="114"/>
      <c r="M580" s="82">
        <v>5.0</v>
      </c>
      <c r="N580" s="82">
        <v>200.0</v>
      </c>
      <c r="O580" s="115" t="s">
        <v>59</v>
      </c>
      <c r="P580" s="248">
        <v>900.0</v>
      </c>
      <c r="Q580" s="115" t="s">
        <v>996</v>
      </c>
      <c r="R580" s="115">
        <v>1968.0</v>
      </c>
      <c r="S580" s="115">
        <v>0.3532</v>
      </c>
      <c r="T580" s="118">
        <f t="shared" si="90"/>
        <v>317.88</v>
      </c>
      <c r="U580" s="24">
        <f t="shared" si="3"/>
        <v>27.88421053</v>
      </c>
      <c r="V580" s="3">
        <f t="shared" si="28"/>
        <v>0</v>
      </c>
      <c r="W580" s="3">
        <f t="shared" si="29"/>
        <v>0</v>
      </c>
      <c r="X580" s="3">
        <f t="shared" si="30"/>
        <v>0</v>
      </c>
      <c r="Y580" s="25">
        <f t="shared" si="31"/>
        <v>0</v>
      </c>
      <c r="Z580" s="26">
        <f>VLOOKUP(R580,CPI!$A$2:$F$71,6,0)</f>
        <v>9.256163793</v>
      </c>
      <c r="AA580" s="27">
        <f t="shared" si="8"/>
        <v>2942.349347</v>
      </c>
      <c r="AB580" s="27">
        <f t="shared" si="9"/>
        <v>258.1008199</v>
      </c>
      <c r="AC580" s="115" t="s">
        <v>42</v>
      </c>
      <c r="AD580" s="249" t="s">
        <v>1043</v>
      </c>
      <c r="AE580" s="250"/>
      <c r="AF580" s="165"/>
      <c r="AG580" s="165"/>
      <c r="AH580" s="165"/>
    </row>
    <row r="581">
      <c r="A581" s="142" t="s">
        <v>992</v>
      </c>
      <c r="B581" s="142" t="s">
        <v>1041</v>
      </c>
      <c r="C581" s="16" t="s">
        <v>1044</v>
      </c>
      <c r="D581" s="142" t="s">
        <v>1045</v>
      </c>
      <c r="E581" s="152">
        <v>2004.0</v>
      </c>
      <c r="F581" s="152">
        <v>2010.0</v>
      </c>
      <c r="G581" s="152">
        <v>0.0</v>
      </c>
      <c r="H581" s="152">
        <v>1.7</v>
      </c>
      <c r="I581" s="244">
        <v>1.0</v>
      </c>
      <c r="J581" s="152">
        <v>1.7</v>
      </c>
      <c r="K581" s="152">
        <v>0.0</v>
      </c>
      <c r="L581" s="152">
        <v>0.0</v>
      </c>
      <c r="M581" s="152">
        <v>2.0</v>
      </c>
      <c r="N581" s="152">
        <v>120.0</v>
      </c>
      <c r="O581" s="142" t="s">
        <v>36</v>
      </c>
      <c r="P581" s="245">
        <v>180.0</v>
      </c>
      <c r="Q581" s="142" t="s">
        <v>52</v>
      </c>
      <c r="R581" s="152">
        <v>2007.0</v>
      </c>
      <c r="S581" s="152">
        <v>1.25</v>
      </c>
      <c r="T581" s="75">
        <f t="shared" si="90"/>
        <v>225</v>
      </c>
      <c r="U581" s="24">
        <f t="shared" si="3"/>
        <v>132.3529412</v>
      </c>
      <c r="V581" s="3">
        <f t="shared" si="28"/>
        <v>0</v>
      </c>
      <c r="W581" s="3">
        <f t="shared" si="29"/>
        <v>0</v>
      </c>
      <c r="X581" s="3">
        <f t="shared" si="30"/>
        <v>0</v>
      </c>
      <c r="Y581" s="25">
        <f t="shared" si="31"/>
        <v>0</v>
      </c>
      <c r="Z581" s="26">
        <f>VLOOKUP(R581,CPI!$A$2:$F$71,6,0)</f>
        <v>1.553541974</v>
      </c>
      <c r="AA581" s="27">
        <f t="shared" si="8"/>
        <v>349.5469442</v>
      </c>
      <c r="AB581" s="27">
        <f t="shared" si="9"/>
        <v>205.6158495</v>
      </c>
      <c r="AC581" s="63" t="s">
        <v>36</v>
      </c>
      <c r="AD581" s="246" t="s">
        <v>1046</v>
      </c>
      <c r="AE581" s="173"/>
      <c r="AF581" s="174"/>
      <c r="AG581" s="174"/>
      <c r="AH581" s="174"/>
    </row>
    <row r="582">
      <c r="A582" s="142" t="s">
        <v>992</v>
      </c>
      <c r="B582" s="142" t="s">
        <v>1041</v>
      </c>
      <c r="C582" s="123" t="s">
        <v>1047</v>
      </c>
      <c r="D582" s="123" t="s">
        <v>1047</v>
      </c>
      <c r="E582" s="152">
        <v>2016.0</v>
      </c>
      <c r="F582" s="152">
        <v>2028.0</v>
      </c>
      <c r="G582" s="152">
        <v>1.0</v>
      </c>
      <c r="H582" s="75">
        <v>7.2</v>
      </c>
      <c r="I582" s="124">
        <f>J582/H582</f>
        <v>1</v>
      </c>
      <c r="J582" s="152">
        <v>7.2</v>
      </c>
      <c r="K582" s="152">
        <v>0.0</v>
      </c>
      <c r="L582" s="152">
        <v>0.0</v>
      </c>
      <c r="M582" s="152">
        <v>3.0</v>
      </c>
      <c r="N582" s="152">
        <v>210.0</v>
      </c>
      <c r="O582" s="142" t="s">
        <v>60</v>
      </c>
      <c r="P582" s="157">
        <v>3849.0</v>
      </c>
      <c r="Q582" s="123" t="s">
        <v>52</v>
      </c>
      <c r="R582" s="152">
        <v>2020.0</v>
      </c>
      <c r="S582" s="152">
        <v>1.35</v>
      </c>
      <c r="T582" s="75">
        <f t="shared" si="90"/>
        <v>5196.15</v>
      </c>
      <c r="U582" s="24">
        <f t="shared" si="3"/>
        <v>721.6875</v>
      </c>
      <c r="V582" s="3">
        <f t="shared" si="28"/>
        <v>0</v>
      </c>
      <c r="W582" s="3">
        <f t="shared" si="29"/>
        <v>0</v>
      </c>
      <c r="X582" s="3">
        <f t="shared" si="30"/>
        <v>0</v>
      </c>
      <c r="Y582" s="25">
        <f t="shared" si="31"/>
        <v>0</v>
      </c>
      <c r="Z582" s="26">
        <f>VLOOKUP(R582,CPI!$A$2:$F$71,6,0)</f>
        <v>1.244593545</v>
      </c>
      <c r="AA582" s="27">
        <f t="shared" si="8"/>
        <v>6467.094749</v>
      </c>
      <c r="AB582" s="27">
        <f t="shared" si="9"/>
        <v>898.2076041</v>
      </c>
      <c r="AC582" s="63" t="s">
        <v>60</v>
      </c>
      <c r="AD582" s="252" t="s">
        <v>1048</v>
      </c>
      <c r="AE582" s="178"/>
      <c r="AF582" s="172"/>
      <c r="AG582" s="172"/>
      <c r="AH582" s="172"/>
    </row>
    <row r="583">
      <c r="A583" s="142" t="s">
        <v>992</v>
      </c>
      <c r="B583" s="142" t="s">
        <v>1041</v>
      </c>
      <c r="C583" s="16" t="s">
        <v>1032</v>
      </c>
      <c r="D583" s="142" t="s">
        <v>1049</v>
      </c>
      <c r="E583" s="152">
        <v>2022.0</v>
      </c>
      <c r="F583" s="152">
        <v>2029.0</v>
      </c>
      <c r="G583" s="152">
        <v>0.0</v>
      </c>
      <c r="H583" s="152">
        <v>3.8</v>
      </c>
      <c r="I583" s="244">
        <v>1.0</v>
      </c>
      <c r="J583" s="152">
        <v>3.8</v>
      </c>
      <c r="K583" s="152">
        <v>0.0</v>
      </c>
      <c r="L583" s="152">
        <v>0.0</v>
      </c>
      <c r="M583" s="152">
        <v>3.0</v>
      </c>
      <c r="N583" s="152">
        <v>120.0</v>
      </c>
      <c r="O583" s="142" t="s">
        <v>60</v>
      </c>
      <c r="P583" s="245">
        <v>988.0</v>
      </c>
      <c r="Q583" s="142" t="s">
        <v>52</v>
      </c>
      <c r="R583" s="152">
        <v>2025.0</v>
      </c>
      <c r="S583" s="152">
        <v>1.35</v>
      </c>
      <c r="T583" s="75">
        <f t="shared" si="90"/>
        <v>1333.8</v>
      </c>
      <c r="U583" s="24">
        <f t="shared" si="3"/>
        <v>351</v>
      </c>
      <c r="V583" s="3">
        <f t="shared" si="28"/>
        <v>0</v>
      </c>
      <c r="W583" s="3">
        <f t="shared" si="29"/>
        <v>0</v>
      </c>
      <c r="X583" s="3">
        <f t="shared" si="30"/>
        <v>0</v>
      </c>
      <c r="Y583" s="25">
        <f t="shared" si="31"/>
        <v>0</v>
      </c>
      <c r="Z583" s="26">
        <f>VLOOKUP(R583,CPI!$A$2:$F$71,6,0)</f>
        <v>1</v>
      </c>
      <c r="AA583" s="27">
        <f t="shared" si="8"/>
        <v>1333.8</v>
      </c>
      <c r="AB583" s="27">
        <f t="shared" si="9"/>
        <v>351</v>
      </c>
      <c r="AC583" s="63" t="s">
        <v>42</v>
      </c>
      <c r="AD583" s="246" t="s">
        <v>1050</v>
      </c>
      <c r="AE583" s="173"/>
      <c r="AF583" s="174"/>
      <c r="AG583" s="174"/>
      <c r="AH583" s="174"/>
    </row>
    <row r="584">
      <c r="A584" s="26" t="s">
        <v>992</v>
      </c>
      <c r="B584" s="26" t="s">
        <v>1051</v>
      </c>
      <c r="C584" s="1" t="s">
        <v>1044</v>
      </c>
      <c r="D584" s="63" t="s">
        <v>1052</v>
      </c>
      <c r="E584" s="58">
        <v>2014.0</v>
      </c>
      <c r="F584" s="58">
        <v>2020.0</v>
      </c>
      <c r="G584" s="25">
        <v>0.0</v>
      </c>
      <c r="H584" s="58">
        <v>1.1</v>
      </c>
      <c r="I584" s="50">
        <v>1.0</v>
      </c>
      <c r="J584" s="58">
        <v>1.1</v>
      </c>
      <c r="K584" s="51">
        <v>0.0</v>
      </c>
      <c r="L584" s="51">
        <v>0.0</v>
      </c>
      <c r="M584" s="25">
        <v>1.0</v>
      </c>
      <c r="N584" s="58">
        <v>90.0</v>
      </c>
      <c r="O584" s="63" t="s">
        <v>60</v>
      </c>
      <c r="P584" s="55">
        <v>69.0</v>
      </c>
      <c r="Q584" s="26" t="s">
        <v>52</v>
      </c>
      <c r="R584" s="58">
        <v>2017.0</v>
      </c>
      <c r="S584" s="25">
        <v>1.3</v>
      </c>
      <c r="T584" s="25">
        <f t="shared" si="90"/>
        <v>89.7</v>
      </c>
      <c r="U584" s="24">
        <f t="shared" si="3"/>
        <v>81.54545455</v>
      </c>
      <c r="V584" s="3">
        <f t="shared" si="28"/>
        <v>0</v>
      </c>
      <c r="W584" s="3">
        <f t="shared" si="29"/>
        <v>0</v>
      </c>
      <c r="X584" s="3">
        <f t="shared" si="30"/>
        <v>0</v>
      </c>
      <c r="Y584" s="25">
        <f t="shared" si="31"/>
        <v>0</v>
      </c>
      <c r="Z584" s="26">
        <f>VLOOKUP(R584,CPI!$A$2:$F$71,6,0)</f>
        <v>1.314109416</v>
      </c>
      <c r="AA584" s="27">
        <f t="shared" si="8"/>
        <v>117.8756146</v>
      </c>
      <c r="AB584" s="27">
        <f t="shared" si="9"/>
        <v>107.1596496</v>
      </c>
      <c r="AC584" s="26" t="s">
        <v>42</v>
      </c>
      <c r="AD584" s="88" t="s">
        <v>1053</v>
      </c>
      <c r="AE584" s="178"/>
      <c r="AF584" s="172"/>
      <c r="AG584" s="172"/>
      <c r="AH584" s="172"/>
    </row>
    <row r="585">
      <c r="A585" s="115" t="s">
        <v>992</v>
      </c>
      <c r="B585" s="115" t="s">
        <v>1051</v>
      </c>
      <c r="C585" s="115" t="s">
        <v>1044</v>
      </c>
      <c r="D585" s="115" t="s">
        <v>1054</v>
      </c>
      <c r="E585" s="82">
        <v>2020.0</v>
      </c>
      <c r="F585" s="115">
        <v>2026.0</v>
      </c>
      <c r="G585" s="82">
        <v>0.0</v>
      </c>
      <c r="H585" s="82">
        <v>2.1</v>
      </c>
      <c r="I585" s="247">
        <v>1.0</v>
      </c>
      <c r="J585" s="82">
        <v>2.1</v>
      </c>
      <c r="K585" s="114"/>
      <c r="L585" s="114"/>
      <c r="M585" s="82">
        <v>2.0</v>
      </c>
      <c r="N585" s="82">
        <v>90.0</v>
      </c>
      <c r="O585" s="115" t="s">
        <v>59</v>
      </c>
      <c r="P585" s="248">
        <v>148.0</v>
      </c>
      <c r="Q585" s="115" t="s">
        <v>52</v>
      </c>
      <c r="R585" s="115">
        <v>2021.0</v>
      </c>
      <c r="S585" s="115">
        <v>1.3</v>
      </c>
      <c r="T585" s="118">
        <f t="shared" si="90"/>
        <v>192.4</v>
      </c>
      <c r="U585" s="24">
        <f t="shared" si="3"/>
        <v>91.61904762</v>
      </c>
      <c r="V585" s="3">
        <f t="shared" si="28"/>
        <v>0</v>
      </c>
      <c r="W585" s="3">
        <f t="shared" si="29"/>
        <v>0</v>
      </c>
      <c r="X585" s="3">
        <f t="shared" si="30"/>
        <v>0</v>
      </c>
      <c r="Y585" s="25">
        <f t="shared" si="31"/>
        <v>0</v>
      </c>
      <c r="Z585" s="26">
        <f>VLOOKUP(R585,CPI!$A$2:$F$71,6,0)</f>
        <v>1.188745987</v>
      </c>
      <c r="AA585" s="27">
        <f t="shared" si="8"/>
        <v>228.7147278</v>
      </c>
      <c r="AB585" s="27">
        <f t="shared" si="9"/>
        <v>108.9117752</v>
      </c>
      <c r="AC585" s="115" t="s">
        <v>60</v>
      </c>
      <c r="AD585" s="249" t="s">
        <v>1055</v>
      </c>
      <c r="AE585" s="250"/>
      <c r="AF585" s="165"/>
      <c r="AG585" s="165"/>
      <c r="AH585" s="165"/>
    </row>
    <row r="586">
      <c r="A586" s="26" t="s">
        <v>1056</v>
      </c>
      <c r="B586" s="26" t="s">
        <v>1057</v>
      </c>
      <c r="C586" s="26" t="s">
        <v>1058</v>
      </c>
      <c r="D586" s="26" t="s">
        <v>1058</v>
      </c>
      <c r="E586" s="25">
        <v>2009.0</v>
      </c>
      <c r="F586" s="25">
        <v>2019.0</v>
      </c>
      <c r="G586" s="25">
        <v>0.0</v>
      </c>
      <c r="H586" s="25">
        <v>15.5</v>
      </c>
      <c r="I586" s="50">
        <v>1.0</v>
      </c>
      <c r="J586" s="25">
        <v>15.5</v>
      </c>
      <c r="K586" s="51">
        <v>0.0</v>
      </c>
      <c r="L586" s="51">
        <v>0.0</v>
      </c>
      <c r="M586" s="25">
        <v>17.0</v>
      </c>
      <c r="N586" s="25"/>
      <c r="O586" s="26" t="s">
        <v>42</v>
      </c>
      <c r="P586" s="52">
        <v>25300.0</v>
      </c>
      <c r="Q586" s="26" t="s">
        <v>1059</v>
      </c>
      <c r="R586" s="25">
        <v>2014.0</v>
      </c>
      <c r="S586" s="25">
        <v>0.138</v>
      </c>
      <c r="T586" s="25">
        <f t="shared" si="90"/>
        <v>3491.4</v>
      </c>
      <c r="U586" s="24">
        <f t="shared" si="3"/>
        <v>225.2516129</v>
      </c>
      <c r="V586" s="3">
        <f t="shared" si="28"/>
        <v>1</v>
      </c>
      <c r="W586" s="3">
        <f t="shared" si="29"/>
        <v>15.5</v>
      </c>
      <c r="X586" s="3">
        <f t="shared" si="30"/>
        <v>15.5</v>
      </c>
      <c r="Y586" s="25">
        <f t="shared" si="31"/>
        <v>0</v>
      </c>
      <c r="Z586" s="26">
        <f>VLOOKUP(R586,CPI!$A$2:$F$71,6,0)</f>
        <v>1.360648571</v>
      </c>
      <c r="AA586" s="27">
        <f t="shared" si="8"/>
        <v>4750.568419</v>
      </c>
      <c r="AB586" s="27">
        <f t="shared" si="9"/>
        <v>306.4882851</v>
      </c>
      <c r="AC586" s="26" t="s">
        <v>42</v>
      </c>
      <c r="AD586" s="53" t="s">
        <v>1060</v>
      </c>
      <c r="AE586" s="178"/>
      <c r="AF586" s="172"/>
      <c r="AG586" s="172"/>
      <c r="AH586" s="172"/>
    </row>
    <row r="587">
      <c r="A587" s="115" t="s">
        <v>1061</v>
      </c>
      <c r="B587" s="115" t="s">
        <v>1062</v>
      </c>
      <c r="C587" s="115" t="s">
        <v>57</v>
      </c>
      <c r="D587" s="115" t="s">
        <v>57</v>
      </c>
      <c r="E587" s="82">
        <v>2005.0</v>
      </c>
      <c r="F587" s="115">
        <v>2008.0</v>
      </c>
      <c r="G587" s="82">
        <v>0.0</v>
      </c>
      <c r="H587" s="82">
        <v>14.5</v>
      </c>
      <c r="I587" s="247">
        <v>0.66</v>
      </c>
      <c r="J587" s="82">
        <v>9.5</v>
      </c>
      <c r="K587" s="114"/>
      <c r="L587" s="114"/>
      <c r="M587" s="82">
        <v>16.0</v>
      </c>
      <c r="N587" s="82">
        <v>120.0</v>
      </c>
      <c r="O587" s="115" t="s">
        <v>59</v>
      </c>
      <c r="P587" s="248">
        <v>25164.728</v>
      </c>
      <c r="Q587" s="115" t="s">
        <v>1063</v>
      </c>
      <c r="R587" s="115">
        <v>2006.0</v>
      </c>
      <c r="S587" s="115">
        <v>0.0615</v>
      </c>
      <c r="T587" s="118">
        <f t="shared" si="90"/>
        <v>1547.630772</v>
      </c>
      <c r="U587" s="24">
        <f t="shared" si="3"/>
        <v>106.7331567</v>
      </c>
      <c r="V587" s="3">
        <f t="shared" si="28"/>
        <v>0</v>
      </c>
      <c r="W587" s="3">
        <f t="shared" si="29"/>
        <v>0</v>
      </c>
      <c r="X587" s="3">
        <f t="shared" si="30"/>
        <v>0</v>
      </c>
      <c r="Y587" s="25">
        <f t="shared" si="31"/>
        <v>0</v>
      </c>
      <c r="Z587" s="26">
        <f>VLOOKUP(R587,CPI!$A$2:$F$71,6,0)</f>
        <v>1.597790179</v>
      </c>
      <c r="AA587" s="27">
        <f t="shared" si="8"/>
        <v>2472.789248</v>
      </c>
      <c r="AB587" s="27">
        <f t="shared" si="9"/>
        <v>170.5371895</v>
      </c>
      <c r="AC587" s="115" t="s">
        <v>36</v>
      </c>
      <c r="AD587" s="252" t="s">
        <v>1064</v>
      </c>
      <c r="AE587" s="250"/>
      <c r="AF587" s="165"/>
      <c r="AG587" s="165"/>
      <c r="AH587" s="165"/>
    </row>
    <row r="588">
      <c r="A588" s="115" t="s">
        <v>1061</v>
      </c>
      <c r="B588" s="115" t="s">
        <v>1062</v>
      </c>
      <c r="C588" s="115" t="s">
        <v>1065</v>
      </c>
      <c r="D588" s="115" t="s">
        <v>1065</v>
      </c>
      <c r="E588" s="82">
        <v>2009.0</v>
      </c>
      <c r="F588" s="115">
        <v>2018.0</v>
      </c>
      <c r="G588" s="82">
        <v>0.0</v>
      </c>
      <c r="H588" s="82">
        <v>16.5</v>
      </c>
      <c r="I588" s="247">
        <v>1.0</v>
      </c>
      <c r="J588" s="82">
        <v>16.5</v>
      </c>
      <c r="K588" s="114"/>
      <c r="L588" s="114"/>
      <c r="M588" s="82">
        <v>18.0</v>
      </c>
      <c r="N588" s="82">
        <v>120.0</v>
      </c>
      <c r="O588" s="115" t="s">
        <v>59</v>
      </c>
      <c r="P588" s="248">
        <v>1096.235</v>
      </c>
      <c r="Q588" s="115" t="s">
        <v>37</v>
      </c>
      <c r="R588" s="115">
        <v>2012.0</v>
      </c>
      <c r="S588" s="115">
        <v>2.2</v>
      </c>
      <c r="T588" s="118">
        <f t="shared" si="90"/>
        <v>2411.717</v>
      </c>
      <c r="U588" s="24">
        <f t="shared" si="3"/>
        <v>146.1646667</v>
      </c>
      <c r="V588" s="3">
        <f t="shared" si="28"/>
        <v>0</v>
      </c>
      <c r="W588" s="3">
        <f t="shared" si="29"/>
        <v>0</v>
      </c>
      <c r="X588" s="3">
        <f t="shared" si="30"/>
        <v>0</v>
      </c>
      <c r="Y588" s="25">
        <f t="shared" si="31"/>
        <v>0</v>
      </c>
      <c r="Z588" s="26">
        <f>VLOOKUP(R588,CPI!$A$2:$F$71,6,0)</f>
        <v>1.402974381</v>
      </c>
      <c r="AA588" s="27">
        <f t="shared" si="8"/>
        <v>3383.577165</v>
      </c>
      <c r="AB588" s="27">
        <f t="shared" si="9"/>
        <v>205.0652827</v>
      </c>
      <c r="AC588" s="115" t="s">
        <v>42</v>
      </c>
      <c r="AD588" s="252" t="s">
        <v>1066</v>
      </c>
      <c r="AE588" s="250"/>
      <c r="AF588" s="165"/>
      <c r="AG588" s="165"/>
      <c r="AH588" s="165"/>
    </row>
    <row r="589">
      <c r="A589" s="26" t="s">
        <v>1067</v>
      </c>
      <c r="B589" s="26" t="s">
        <v>1068</v>
      </c>
      <c r="C589" s="1" t="s">
        <v>1069</v>
      </c>
      <c r="D589" s="26" t="s">
        <v>1069</v>
      </c>
      <c r="E589" s="25">
        <v>2012.0</v>
      </c>
      <c r="F589" s="25">
        <v>2019.0</v>
      </c>
      <c r="G589" s="25">
        <v>0.0</v>
      </c>
      <c r="H589" s="25">
        <v>22.9</v>
      </c>
      <c r="I589" s="50">
        <v>1.0</v>
      </c>
      <c r="J589" s="25">
        <v>22.9</v>
      </c>
      <c r="K589" s="51">
        <v>0.0</v>
      </c>
      <c r="L589" s="51">
        <v>0.0</v>
      </c>
      <c r="M589" s="25">
        <v>15.0</v>
      </c>
      <c r="N589" s="25"/>
      <c r="O589" s="26" t="s">
        <v>74</v>
      </c>
      <c r="P589" s="52">
        <v>2010.0</v>
      </c>
      <c r="Q589" s="26" t="s">
        <v>37</v>
      </c>
      <c r="R589" s="25">
        <v>2016.0</v>
      </c>
      <c r="S589" s="25">
        <v>1.9</v>
      </c>
      <c r="T589" s="25">
        <f t="shared" si="90"/>
        <v>3819</v>
      </c>
      <c r="U589" s="24">
        <f t="shared" si="3"/>
        <v>166.768559</v>
      </c>
      <c r="V589" s="3">
        <f t="shared" si="28"/>
        <v>0</v>
      </c>
      <c r="W589" s="3">
        <f t="shared" si="29"/>
        <v>0</v>
      </c>
      <c r="X589" s="3">
        <f t="shared" si="30"/>
        <v>0</v>
      </c>
      <c r="Y589" s="25">
        <f t="shared" si="31"/>
        <v>0</v>
      </c>
      <c r="Z589" s="26">
        <f>VLOOKUP(R589,CPI!$A$2:$F$71,6,0)</f>
        <v>1.342104605</v>
      </c>
      <c r="AA589" s="27">
        <f t="shared" si="8"/>
        <v>5125.497488</v>
      </c>
      <c r="AB589" s="27">
        <f t="shared" si="9"/>
        <v>223.820851</v>
      </c>
      <c r="AC589" s="26" t="s">
        <v>60</v>
      </c>
      <c r="AD589" s="57" t="s">
        <v>1070</v>
      </c>
      <c r="AE589" s="178"/>
      <c r="AF589" s="172"/>
      <c r="AG589" s="172"/>
      <c r="AH589" s="172"/>
    </row>
    <row r="590">
      <c r="A590" s="15" t="s">
        <v>1071</v>
      </c>
      <c r="B590" s="15" t="s">
        <v>1078</v>
      </c>
      <c r="C590" s="15" t="s">
        <v>57</v>
      </c>
      <c r="D590" s="15" t="s">
        <v>57</v>
      </c>
      <c r="E590" s="17">
        <v>1982.0</v>
      </c>
      <c r="F590" s="17">
        <v>1987.0</v>
      </c>
      <c r="G590" s="17">
        <v>1.0</v>
      </c>
      <c r="H590" s="18">
        <v>44.0</v>
      </c>
      <c r="I590" s="19">
        <f t="shared" ref="I590:I593" si="91">J590/H590</f>
        <v>0.1431818182</v>
      </c>
      <c r="J590" s="20">
        <f>4.8+1.5</f>
        <v>6.3</v>
      </c>
      <c r="K590" s="21">
        <v>0.0</v>
      </c>
      <c r="L590" s="21">
        <v>0.0</v>
      </c>
      <c r="M590" s="18">
        <v>35.0</v>
      </c>
      <c r="N590" s="17"/>
      <c r="O590" s="22" t="s">
        <v>36</v>
      </c>
      <c r="P590" s="23">
        <v>973.0</v>
      </c>
      <c r="Q590" s="15" t="s">
        <v>1079</v>
      </c>
      <c r="R590" s="18">
        <v>1987.0</v>
      </c>
      <c r="S590" s="18">
        <f>1/0.4</f>
        <v>2.5</v>
      </c>
      <c r="T590" s="18">
        <f t="shared" si="90"/>
        <v>2432.5</v>
      </c>
      <c r="U590" s="24">
        <f t="shared" si="3"/>
        <v>55.28409091</v>
      </c>
      <c r="V590" s="3">
        <f t="shared" si="28"/>
        <v>0</v>
      </c>
      <c r="W590" s="3">
        <f t="shared" si="29"/>
        <v>0</v>
      </c>
      <c r="X590" s="3">
        <f t="shared" si="30"/>
        <v>0</v>
      </c>
      <c r="Y590" s="25">
        <f t="shared" si="31"/>
        <v>0</v>
      </c>
      <c r="Z590" s="26">
        <f>VLOOKUP(R590,CPI!$A$2:$F$71,6,0)</f>
        <v>2.835514965</v>
      </c>
      <c r="AA590" s="27">
        <f t="shared" si="8"/>
        <v>6897.390152</v>
      </c>
      <c r="AB590" s="27">
        <f t="shared" si="9"/>
        <v>156.7588671</v>
      </c>
      <c r="AC590" s="6" t="s">
        <v>42</v>
      </c>
      <c r="AD590" s="6"/>
      <c r="AE590" s="178"/>
      <c r="AF590" s="172"/>
      <c r="AG590" s="172"/>
      <c r="AH590" s="172"/>
    </row>
    <row r="591">
      <c r="A591" s="15" t="s">
        <v>1071</v>
      </c>
      <c r="B591" s="15" t="s">
        <v>1078</v>
      </c>
      <c r="C591" s="36" t="s">
        <v>54</v>
      </c>
      <c r="D591" s="15" t="s">
        <v>54</v>
      </c>
      <c r="E591" s="17">
        <v>1993.0</v>
      </c>
      <c r="F591" s="17">
        <v>2005.0</v>
      </c>
      <c r="G591" s="17">
        <v>0.0</v>
      </c>
      <c r="H591" s="18">
        <v>22.0</v>
      </c>
      <c r="I591" s="19">
        <f t="shared" si="91"/>
        <v>0.4318181818</v>
      </c>
      <c r="J591" s="20">
        <v>9.5</v>
      </c>
      <c r="K591" s="21">
        <v>0.0</v>
      </c>
      <c r="L591" s="21">
        <v>0.0</v>
      </c>
      <c r="M591" s="18">
        <v>20.0</v>
      </c>
      <c r="N591" s="17"/>
      <c r="O591" s="22" t="s">
        <v>36</v>
      </c>
      <c r="P591" s="23">
        <v>9700.0</v>
      </c>
      <c r="Q591" s="15" t="s">
        <v>1079</v>
      </c>
      <c r="R591" s="18">
        <v>2005.0</v>
      </c>
      <c r="S591" s="18">
        <f>1/1</f>
        <v>1</v>
      </c>
      <c r="T591" s="18">
        <f t="shared" si="90"/>
        <v>9700</v>
      </c>
      <c r="U591" s="24">
        <f t="shared" si="3"/>
        <v>440.9090909</v>
      </c>
      <c r="V591" s="3">
        <f t="shared" si="28"/>
        <v>0</v>
      </c>
      <c r="W591" s="3">
        <f t="shared" si="29"/>
        <v>0</v>
      </c>
      <c r="X591" s="3">
        <f t="shared" si="30"/>
        <v>0</v>
      </c>
      <c r="Y591" s="25">
        <f t="shared" si="31"/>
        <v>0</v>
      </c>
      <c r="Z591" s="26">
        <f>VLOOKUP(R591,CPI!$A$2:$F$71,6,0)</f>
        <v>1.649331797</v>
      </c>
      <c r="AA591" s="27">
        <f t="shared" si="8"/>
        <v>15998.51843</v>
      </c>
      <c r="AB591" s="27">
        <f t="shared" si="9"/>
        <v>727.2053833</v>
      </c>
      <c r="AC591" s="6" t="s">
        <v>42</v>
      </c>
      <c r="AD591" s="6"/>
      <c r="AE591" s="178"/>
      <c r="AF591" s="172"/>
      <c r="AG591" s="172"/>
      <c r="AH591" s="172"/>
    </row>
    <row r="592">
      <c r="A592" s="15" t="s">
        <v>1071</v>
      </c>
      <c r="B592" s="15" t="s">
        <v>1078</v>
      </c>
      <c r="C592" s="36" t="s">
        <v>87</v>
      </c>
      <c r="D592" s="15" t="s">
        <v>331</v>
      </c>
      <c r="E592" s="17">
        <v>2006.0</v>
      </c>
      <c r="F592" s="17">
        <v>2012.0</v>
      </c>
      <c r="G592" s="17">
        <v>0.0</v>
      </c>
      <c r="H592" s="18">
        <v>4.3</v>
      </c>
      <c r="I592" s="19">
        <f t="shared" si="91"/>
        <v>1</v>
      </c>
      <c r="J592" s="20">
        <v>4.3</v>
      </c>
      <c r="K592" s="21">
        <v>0.0</v>
      </c>
      <c r="L592" s="21">
        <v>0.0</v>
      </c>
      <c r="M592" s="18">
        <v>5.0</v>
      </c>
      <c r="N592" s="17"/>
      <c r="O592" s="22" t="s">
        <v>36</v>
      </c>
      <c r="P592" s="23">
        <v>4200.0</v>
      </c>
      <c r="Q592" s="15" t="s">
        <v>1079</v>
      </c>
      <c r="R592" s="18">
        <v>2009.0</v>
      </c>
      <c r="S592" s="18">
        <f>1/1.4</f>
        <v>0.7142857143</v>
      </c>
      <c r="T592" s="18">
        <f t="shared" si="90"/>
        <v>3000</v>
      </c>
      <c r="U592" s="24">
        <f t="shared" si="3"/>
        <v>697.6744186</v>
      </c>
      <c r="V592" s="3">
        <f t="shared" si="28"/>
        <v>0</v>
      </c>
      <c r="W592" s="3">
        <f t="shared" si="29"/>
        <v>0</v>
      </c>
      <c r="X592" s="3">
        <f t="shared" si="30"/>
        <v>0</v>
      </c>
      <c r="Y592" s="25">
        <f t="shared" si="31"/>
        <v>0</v>
      </c>
      <c r="Z592" s="26">
        <f>VLOOKUP(R592,CPI!$A$2:$F$71,6,0)</f>
        <v>1.501440311</v>
      </c>
      <c r="AA592" s="27">
        <f t="shared" si="8"/>
        <v>4504.320933</v>
      </c>
      <c r="AB592" s="27">
        <f t="shared" si="9"/>
        <v>1047.516496</v>
      </c>
      <c r="AC592" s="6" t="s">
        <v>42</v>
      </c>
      <c r="AD592" s="37" t="s">
        <v>1087</v>
      </c>
      <c r="AE592" s="178"/>
      <c r="AF592" s="172"/>
      <c r="AG592" s="172"/>
      <c r="AH592" s="172"/>
    </row>
    <row r="593">
      <c r="A593" s="6" t="s">
        <v>1071</v>
      </c>
      <c r="B593" s="6" t="s">
        <v>1078</v>
      </c>
      <c r="C593" s="6" t="s">
        <v>80</v>
      </c>
      <c r="D593" s="6" t="s">
        <v>80</v>
      </c>
      <c r="E593" s="17">
        <v>2017.0</v>
      </c>
      <c r="F593" s="17" t="s">
        <v>106</v>
      </c>
      <c r="G593" s="17">
        <v>0.0</v>
      </c>
      <c r="H593" s="18">
        <v>21.0</v>
      </c>
      <c r="I593" s="19">
        <f t="shared" si="91"/>
        <v>0.6523809524</v>
      </c>
      <c r="J593" s="20">
        <v>13.7</v>
      </c>
      <c r="K593" s="21">
        <v>0.0</v>
      </c>
      <c r="L593" s="21">
        <v>0.0</v>
      </c>
      <c r="M593" s="18">
        <v>24.0</v>
      </c>
      <c r="N593" s="17"/>
      <c r="O593" s="22" t="s">
        <v>36</v>
      </c>
      <c r="P593" s="23">
        <v>4000.0</v>
      </c>
      <c r="Q593" s="6" t="s">
        <v>37</v>
      </c>
      <c r="R593" s="3">
        <v>2017.0</v>
      </c>
      <c r="S593" s="3">
        <v>3.1</v>
      </c>
      <c r="T593" s="3">
        <f t="shared" si="90"/>
        <v>12400</v>
      </c>
      <c r="U593" s="24">
        <f t="shared" si="3"/>
        <v>590.4761905</v>
      </c>
      <c r="V593" s="3">
        <f t="shared" si="28"/>
        <v>0</v>
      </c>
      <c r="W593" s="3">
        <f t="shared" si="29"/>
        <v>0</v>
      </c>
      <c r="X593" s="3">
        <f t="shared" si="30"/>
        <v>0</v>
      </c>
      <c r="Y593" s="25">
        <f t="shared" si="31"/>
        <v>0</v>
      </c>
      <c r="Z593" s="26">
        <f>VLOOKUP(R593,CPI!$A$2:$F$71,6,0)</f>
        <v>1.314109416</v>
      </c>
      <c r="AA593" s="27">
        <f t="shared" si="8"/>
        <v>16294.95676</v>
      </c>
      <c r="AB593" s="27">
        <f t="shared" si="9"/>
        <v>775.9503217</v>
      </c>
      <c r="AC593" s="6" t="s">
        <v>42</v>
      </c>
      <c r="AD593" s="37" t="s">
        <v>1109</v>
      </c>
      <c r="AE593" s="178"/>
      <c r="AF593" s="172"/>
      <c r="AG593" s="172"/>
      <c r="AH593" s="172"/>
    </row>
    <row r="594">
      <c r="A594" s="15" t="s">
        <v>1071</v>
      </c>
      <c r="B594" s="15" t="s">
        <v>1078</v>
      </c>
      <c r="C594" s="16" t="s">
        <v>110</v>
      </c>
      <c r="D594" s="15" t="s">
        <v>1111</v>
      </c>
      <c r="E594" s="17">
        <v>2019.0</v>
      </c>
      <c r="F594" s="17" t="s">
        <v>106</v>
      </c>
      <c r="G594" s="17">
        <v>0.0</v>
      </c>
      <c r="H594" s="18">
        <v>19.0</v>
      </c>
      <c r="I594" s="19"/>
      <c r="J594" s="20"/>
      <c r="K594" s="21" t="e">
        <v>#N/A</v>
      </c>
      <c r="L594" s="21" t="e">
        <v>#N/A</v>
      </c>
      <c r="M594" s="18">
        <v>17.0</v>
      </c>
      <c r="N594" s="17"/>
      <c r="O594" s="22"/>
      <c r="P594" s="23">
        <v>3600.0</v>
      </c>
      <c r="Q594" s="15" t="s">
        <v>37</v>
      </c>
      <c r="R594" s="18">
        <v>2019.0</v>
      </c>
      <c r="S594" s="18">
        <v>3.6</v>
      </c>
      <c r="T594" s="18">
        <f t="shared" si="90"/>
        <v>12960</v>
      </c>
      <c r="U594" s="24">
        <f t="shared" si="3"/>
        <v>682.1052632</v>
      </c>
      <c r="V594" s="3">
        <f t="shared" si="28"/>
        <v>0</v>
      </c>
      <c r="W594" s="3">
        <f t="shared" si="29"/>
        <v>0</v>
      </c>
      <c r="X594" s="3">
        <f t="shared" si="30"/>
        <v>0</v>
      </c>
      <c r="Y594" s="25">
        <f t="shared" si="31"/>
        <v>0</v>
      </c>
      <c r="Z594" s="26">
        <f>VLOOKUP(R594,CPI!$A$2:$F$71,6,0)</f>
        <v>1.259947899</v>
      </c>
      <c r="AA594" s="27">
        <f t="shared" si="8"/>
        <v>16328.92477</v>
      </c>
      <c r="AB594" s="27">
        <f t="shared" si="9"/>
        <v>859.4170932</v>
      </c>
      <c r="AC594" s="6"/>
      <c r="AD594" s="6"/>
      <c r="AE594" s="130"/>
      <c r="AF594" s="130"/>
      <c r="AG594" s="130"/>
      <c r="AH594" s="130"/>
    </row>
    <row r="595">
      <c r="A595" s="26" t="s">
        <v>1122</v>
      </c>
      <c r="B595" s="26" t="s">
        <v>1123</v>
      </c>
      <c r="C595" s="1" t="s">
        <v>1124</v>
      </c>
      <c r="D595" s="26" t="s">
        <v>1125</v>
      </c>
      <c r="E595" s="25">
        <v>2001.0</v>
      </c>
      <c r="F595" s="25">
        <v>2008.0</v>
      </c>
      <c r="G595" s="25">
        <v>0.0</v>
      </c>
      <c r="H595" s="25">
        <v>1.9</v>
      </c>
      <c r="I595" s="50">
        <v>1.0</v>
      </c>
      <c r="J595" s="25">
        <v>1.9</v>
      </c>
      <c r="K595" s="51">
        <v>0.0</v>
      </c>
      <c r="L595" s="51">
        <v>0.0</v>
      </c>
      <c r="M595" s="25">
        <v>2.0</v>
      </c>
      <c r="N595" s="25"/>
      <c r="O595" s="26" t="s">
        <v>60</v>
      </c>
      <c r="P595" s="52">
        <v>151.0</v>
      </c>
      <c r="Q595" s="26" t="s">
        <v>52</v>
      </c>
      <c r="R595" s="25">
        <v>2004.0</v>
      </c>
      <c r="S595" s="25">
        <v>1.25</v>
      </c>
      <c r="T595" s="25">
        <f t="shared" si="90"/>
        <v>188.75</v>
      </c>
      <c r="U595" s="24">
        <f t="shared" si="3"/>
        <v>99.34210526</v>
      </c>
      <c r="V595" s="3">
        <f t="shared" si="28"/>
        <v>1</v>
      </c>
      <c r="W595" s="3">
        <f t="shared" si="29"/>
        <v>1.9</v>
      </c>
      <c r="X595" s="3">
        <f t="shared" si="30"/>
        <v>1.9</v>
      </c>
      <c r="Y595" s="25">
        <f t="shared" si="31"/>
        <v>0</v>
      </c>
      <c r="Z595" s="26">
        <f>VLOOKUP(R595,CPI!$A$2:$F$71,6,0)</f>
        <v>1.705211752</v>
      </c>
      <c r="AA595" s="27">
        <f t="shared" si="8"/>
        <v>321.8587182</v>
      </c>
      <c r="AB595" s="27">
        <f t="shared" si="9"/>
        <v>169.3993254</v>
      </c>
      <c r="AC595" s="26" t="s">
        <v>60</v>
      </c>
      <c r="AD595" s="53" t="s">
        <v>1126</v>
      </c>
      <c r="AE595" s="178"/>
      <c r="AF595" s="172"/>
      <c r="AG595" s="172"/>
      <c r="AH595" s="172"/>
    </row>
    <row r="596">
      <c r="A596" s="26" t="s">
        <v>1122</v>
      </c>
      <c r="B596" s="26" t="s">
        <v>1123</v>
      </c>
      <c r="C596" s="1" t="s">
        <v>1127</v>
      </c>
      <c r="D596" s="26" t="s">
        <v>1128</v>
      </c>
      <c r="E596" s="25">
        <v>2006.0</v>
      </c>
      <c r="F596" s="25">
        <v>2010.0</v>
      </c>
      <c r="G596" s="25">
        <v>0.0</v>
      </c>
      <c r="H596" s="25">
        <v>0.7</v>
      </c>
      <c r="I596" s="50">
        <v>1.0</v>
      </c>
      <c r="J596" s="25">
        <v>0.7</v>
      </c>
      <c r="K596" s="51">
        <v>0.0</v>
      </c>
      <c r="L596" s="51">
        <v>0.0</v>
      </c>
      <c r="M596" s="25">
        <v>1.0</v>
      </c>
      <c r="N596" s="25"/>
      <c r="O596" s="26" t="s">
        <v>60</v>
      </c>
      <c r="P596" s="52">
        <v>70.0</v>
      </c>
      <c r="Q596" s="26" t="s">
        <v>52</v>
      </c>
      <c r="R596" s="25">
        <v>2008.0</v>
      </c>
      <c r="S596" s="25">
        <v>1.25</v>
      </c>
      <c r="T596" s="25">
        <f t="shared" si="90"/>
        <v>87.5</v>
      </c>
      <c r="U596" s="24">
        <f t="shared" si="3"/>
        <v>125</v>
      </c>
      <c r="V596" s="3">
        <f t="shared" si="28"/>
        <v>1</v>
      </c>
      <c r="W596" s="3">
        <f t="shared" si="29"/>
        <v>0.7</v>
      </c>
      <c r="X596" s="3">
        <f t="shared" si="30"/>
        <v>0.7</v>
      </c>
      <c r="Y596" s="25">
        <f t="shared" si="31"/>
        <v>0</v>
      </c>
      <c r="Z596" s="26">
        <f>VLOOKUP(R596,CPI!$A$2:$F$71,6,0)</f>
        <v>1.496098522</v>
      </c>
      <c r="AA596" s="27">
        <f t="shared" si="8"/>
        <v>130.9086206</v>
      </c>
      <c r="AB596" s="27">
        <f t="shared" si="9"/>
        <v>187.0123152</v>
      </c>
      <c r="AC596" s="26" t="s">
        <v>60</v>
      </c>
      <c r="AD596" s="57" t="s">
        <v>1129</v>
      </c>
      <c r="AE596" s="178"/>
      <c r="AF596" s="172"/>
      <c r="AG596" s="172"/>
      <c r="AH596" s="172"/>
    </row>
    <row r="597">
      <c r="A597" s="26" t="s">
        <v>1122</v>
      </c>
      <c r="B597" s="26" t="s">
        <v>1123</v>
      </c>
      <c r="C597" s="1" t="s">
        <v>1130</v>
      </c>
      <c r="D597" s="26" t="s">
        <v>1131</v>
      </c>
      <c r="E597" s="25">
        <v>2007.0</v>
      </c>
      <c r="F597" s="25">
        <v>2010.0</v>
      </c>
      <c r="G597" s="25">
        <v>0.0</v>
      </c>
      <c r="H597" s="25">
        <v>2.5</v>
      </c>
      <c r="I597" s="50">
        <v>1.0</v>
      </c>
      <c r="J597" s="25">
        <v>2.5</v>
      </c>
      <c r="K597" s="51">
        <v>0.0</v>
      </c>
      <c r="L597" s="51">
        <v>0.0</v>
      </c>
      <c r="M597" s="25">
        <v>3.0</v>
      </c>
      <c r="N597" s="25"/>
      <c r="O597" s="26" t="s">
        <v>42</v>
      </c>
      <c r="P597" s="52">
        <v>320.0</v>
      </c>
      <c r="Q597" s="26" t="s">
        <v>52</v>
      </c>
      <c r="R597" s="25">
        <v>2008.0</v>
      </c>
      <c r="S597" s="25">
        <v>1.25</v>
      </c>
      <c r="T597" s="25">
        <f t="shared" si="90"/>
        <v>400</v>
      </c>
      <c r="U597" s="24">
        <f t="shared" si="3"/>
        <v>160</v>
      </c>
      <c r="V597" s="3">
        <f t="shared" si="28"/>
        <v>1</v>
      </c>
      <c r="W597" s="3">
        <f t="shared" si="29"/>
        <v>2.5</v>
      </c>
      <c r="X597" s="3">
        <f t="shared" si="30"/>
        <v>2.5</v>
      </c>
      <c r="Y597" s="25">
        <f t="shared" si="31"/>
        <v>0</v>
      </c>
      <c r="Z597" s="26">
        <f>VLOOKUP(R597,CPI!$A$2:$F$71,6,0)</f>
        <v>1.496098522</v>
      </c>
      <c r="AA597" s="27">
        <f t="shared" si="8"/>
        <v>598.4394086</v>
      </c>
      <c r="AB597" s="27">
        <f t="shared" si="9"/>
        <v>239.3757635</v>
      </c>
      <c r="AC597" s="26" t="s">
        <v>42</v>
      </c>
      <c r="AD597" s="53" t="s">
        <v>1132</v>
      </c>
      <c r="AE597" s="178"/>
      <c r="AF597" s="172"/>
      <c r="AG597" s="172"/>
      <c r="AH597" s="172"/>
    </row>
    <row r="598">
      <c r="A598" s="26" t="s">
        <v>1122</v>
      </c>
      <c r="B598" s="26" t="s">
        <v>1123</v>
      </c>
      <c r="C598" s="26" t="s">
        <v>1133</v>
      </c>
      <c r="D598" s="26" t="s">
        <v>1133</v>
      </c>
      <c r="E598" s="25">
        <v>2008.0</v>
      </c>
      <c r="F598" s="25">
        <v>2015.0</v>
      </c>
      <c r="G598" s="25">
        <v>0.0</v>
      </c>
      <c r="H598" s="25">
        <v>4.5</v>
      </c>
      <c r="I598" s="50">
        <v>1.0</v>
      </c>
      <c r="J598" s="25">
        <v>4.5</v>
      </c>
      <c r="K598" s="51">
        <v>0.0</v>
      </c>
      <c r="L598" s="51">
        <v>0.0</v>
      </c>
      <c r="M598" s="25">
        <v>3.0</v>
      </c>
      <c r="N598" s="25"/>
      <c r="O598" s="26" t="s">
        <v>60</v>
      </c>
      <c r="P598" s="52">
        <v>401.0</v>
      </c>
      <c r="Q598" s="26" t="s">
        <v>52</v>
      </c>
      <c r="R598" s="25">
        <v>2011.0</v>
      </c>
      <c r="S598" s="25">
        <v>1.3</v>
      </c>
      <c r="T598" s="25">
        <f t="shared" si="90"/>
        <v>521.3</v>
      </c>
      <c r="U598" s="24">
        <f t="shared" si="3"/>
        <v>115.8444444</v>
      </c>
      <c r="V598" s="3">
        <f t="shared" si="28"/>
        <v>1</v>
      </c>
      <c r="W598" s="3">
        <f t="shared" si="29"/>
        <v>4.5</v>
      </c>
      <c r="X598" s="3">
        <f t="shared" si="30"/>
        <v>4.5</v>
      </c>
      <c r="Y598" s="25">
        <f t="shared" si="31"/>
        <v>0</v>
      </c>
      <c r="Z598" s="26">
        <f>VLOOKUP(R598,CPI!$A$2:$F$71,6,0)</f>
        <v>1.432008233</v>
      </c>
      <c r="AA598" s="27">
        <f t="shared" si="8"/>
        <v>746.505892</v>
      </c>
      <c r="AB598" s="27">
        <f t="shared" si="9"/>
        <v>165.8901982</v>
      </c>
      <c r="AC598" s="26" t="s">
        <v>60</v>
      </c>
      <c r="AD598" s="53" t="s">
        <v>1134</v>
      </c>
      <c r="AE598" s="178"/>
      <c r="AF598" s="172"/>
      <c r="AG598" s="172"/>
      <c r="AH598" s="172"/>
    </row>
    <row r="599">
      <c r="A599" s="26" t="s">
        <v>1122</v>
      </c>
      <c r="B599" s="26" t="s">
        <v>1123</v>
      </c>
      <c r="C599" s="26" t="s">
        <v>1135</v>
      </c>
      <c r="D599" s="26" t="s">
        <v>1135</v>
      </c>
      <c r="E599" s="25">
        <v>2006.0</v>
      </c>
      <c r="F599" s="25">
        <v>2017.0</v>
      </c>
      <c r="G599" s="25">
        <v>0.0</v>
      </c>
      <c r="H599" s="25">
        <v>4.4</v>
      </c>
      <c r="I599" s="50">
        <v>1.0</v>
      </c>
      <c r="J599" s="25">
        <v>4.4</v>
      </c>
      <c r="K599" s="51">
        <v>0.0</v>
      </c>
      <c r="L599" s="51">
        <v>0.0</v>
      </c>
      <c r="M599" s="25">
        <v>4.0</v>
      </c>
      <c r="N599" s="25"/>
      <c r="O599" s="26" t="s">
        <v>60</v>
      </c>
      <c r="P599" s="52">
        <v>430.0</v>
      </c>
      <c r="Q599" s="26" t="s">
        <v>52</v>
      </c>
      <c r="R599" s="25">
        <v>2011.0</v>
      </c>
      <c r="S599" s="25">
        <v>1.3</v>
      </c>
      <c r="T599" s="25">
        <f t="shared" si="90"/>
        <v>559</v>
      </c>
      <c r="U599" s="24">
        <f t="shared" si="3"/>
        <v>127.0454545</v>
      </c>
      <c r="V599" s="3">
        <f t="shared" si="28"/>
        <v>1</v>
      </c>
      <c r="W599" s="3">
        <f t="shared" si="29"/>
        <v>4.4</v>
      </c>
      <c r="X599" s="3">
        <f t="shared" si="30"/>
        <v>4.4</v>
      </c>
      <c r="Y599" s="25">
        <f t="shared" si="31"/>
        <v>0</v>
      </c>
      <c r="Z599" s="26">
        <f>VLOOKUP(R599,CPI!$A$2:$F$71,6,0)</f>
        <v>1.432008233</v>
      </c>
      <c r="AA599" s="27">
        <f t="shared" si="8"/>
        <v>800.4926024</v>
      </c>
      <c r="AB599" s="27">
        <f t="shared" si="9"/>
        <v>181.9301369</v>
      </c>
      <c r="AC599" s="26" t="s">
        <v>60</v>
      </c>
      <c r="AD599" s="53" t="s">
        <v>1134</v>
      </c>
      <c r="AE599" s="178"/>
      <c r="AF599" s="172"/>
      <c r="AG599" s="172"/>
      <c r="AH599" s="172"/>
    </row>
    <row r="600">
      <c r="A600" s="26" t="s">
        <v>1122</v>
      </c>
      <c r="B600" s="26" t="s">
        <v>1123</v>
      </c>
      <c r="C600" s="1" t="s">
        <v>1136</v>
      </c>
      <c r="D600" s="26" t="s">
        <v>1136</v>
      </c>
      <c r="E600" s="25">
        <v>2003.0</v>
      </c>
      <c r="F600" s="25">
        <v>2026.0</v>
      </c>
      <c r="G600" s="25">
        <v>0.0</v>
      </c>
      <c r="H600" s="25">
        <v>47.8</v>
      </c>
      <c r="I600" s="50">
        <v>0.91</v>
      </c>
      <c r="J600" s="25">
        <v>43.7</v>
      </c>
      <c r="K600" s="51">
        <v>0.0</v>
      </c>
      <c r="L600" s="51">
        <v>0.0</v>
      </c>
      <c r="M600" s="25">
        <v>52.0</v>
      </c>
      <c r="N600" s="25"/>
      <c r="O600" s="26" t="s">
        <v>60</v>
      </c>
      <c r="P600" s="52">
        <v>5954.0</v>
      </c>
      <c r="Q600" s="26" t="s">
        <v>52</v>
      </c>
      <c r="R600" s="25">
        <v>2014.0</v>
      </c>
      <c r="S600" s="25">
        <v>1.3</v>
      </c>
      <c r="T600" s="25">
        <f t="shared" si="90"/>
        <v>7740.2</v>
      </c>
      <c r="U600" s="24">
        <f t="shared" si="3"/>
        <v>161.9288703</v>
      </c>
      <c r="V600" s="3">
        <f t="shared" si="28"/>
        <v>1</v>
      </c>
      <c r="W600" s="3">
        <f t="shared" si="29"/>
        <v>47.8</v>
      </c>
      <c r="X600" s="3">
        <f t="shared" si="30"/>
        <v>43.7</v>
      </c>
      <c r="Y600" s="25">
        <f t="shared" si="31"/>
        <v>0</v>
      </c>
      <c r="Z600" s="26">
        <f>VLOOKUP(R600,CPI!$A$2:$F$71,6,0)</f>
        <v>1.360648571</v>
      </c>
      <c r="AA600" s="27">
        <f t="shared" si="8"/>
        <v>10531.69207</v>
      </c>
      <c r="AB600" s="27">
        <f t="shared" si="9"/>
        <v>220.3282859</v>
      </c>
      <c r="AC600" s="26" t="s">
        <v>60</v>
      </c>
      <c r="AD600" s="57" t="s">
        <v>1137</v>
      </c>
      <c r="AE600" s="178"/>
      <c r="AF600" s="172"/>
      <c r="AG600" s="172"/>
      <c r="AH600" s="172"/>
    </row>
    <row r="601">
      <c r="A601" s="26" t="s">
        <v>1122</v>
      </c>
      <c r="B601" s="26" t="s">
        <v>1138</v>
      </c>
      <c r="C601" s="26" t="s">
        <v>87</v>
      </c>
      <c r="D601" s="26" t="s">
        <v>87</v>
      </c>
      <c r="E601" s="25">
        <v>2007.0</v>
      </c>
      <c r="F601" s="25">
        <v>2016.0</v>
      </c>
      <c r="G601" s="25">
        <v>0.0</v>
      </c>
      <c r="H601" s="25">
        <v>5.9</v>
      </c>
      <c r="I601" s="50">
        <v>0.95</v>
      </c>
      <c r="J601" s="25">
        <v>5.6</v>
      </c>
      <c r="K601" s="51">
        <v>0.0</v>
      </c>
      <c r="L601" s="51">
        <v>0.0</v>
      </c>
      <c r="M601" s="25">
        <v>7.0</v>
      </c>
      <c r="N601" s="25"/>
      <c r="O601" s="26" t="s">
        <v>59</v>
      </c>
      <c r="P601" s="52">
        <v>279.0</v>
      </c>
      <c r="Q601" s="26" t="s">
        <v>52</v>
      </c>
      <c r="R601" s="25">
        <v>2011.0</v>
      </c>
      <c r="S601" s="25">
        <v>1.3</v>
      </c>
      <c r="T601" s="25">
        <f t="shared" si="90"/>
        <v>362.7</v>
      </c>
      <c r="U601" s="24">
        <f t="shared" si="3"/>
        <v>61.47457627</v>
      </c>
      <c r="V601" s="3">
        <f t="shared" si="28"/>
        <v>1</v>
      </c>
      <c r="W601" s="3">
        <f t="shared" si="29"/>
        <v>5.9</v>
      </c>
      <c r="X601" s="3">
        <f t="shared" si="30"/>
        <v>5.6</v>
      </c>
      <c r="Y601" s="25">
        <f t="shared" si="31"/>
        <v>0</v>
      </c>
      <c r="Z601" s="26">
        <f>VLOOKUP(R601,CPI!$A$2:$F$71,6,0)</f>
        <v>1.432008233</v>
      </c>
      <c r="AA601" s="27">
        <f t="shared" si="8"/>
        <v>519.3893862</v>
      </c>
      <c r="AB601" s="27">
        <f t="shared" si="9"/>
        <v>88.03209936</v>
      </c>
      <c r="AC601" s="26" t="s">
        <v>42</v>
      </c>
      <c r="AD601" s="53" t="s">
        <v>1139</v>
      </c>
      <c r="AE601" s="178"/>
      <c r="AF601" s="172"/>
      <c r="AG601" s="172"/>
      <c r="AH601" s="172"/>
    </row>
    <row r="602">
      <c r="A602" s="26" t="s">
        <v>1122</v>
      </c>
      <c r="B602" s="26" t="s">
        <v>1140</v>
      </c>
      <c r="C602" s="26" t="s">
        <v>1141</v>
      </c>
      <c r="D602" s="26" t="s">
        <v>1141</v>
      </c>
      <c r="E602" s="25">
        <v>1995.0</v>
      </c>
      <c r="F602" s="25">
        <v>1998.0</v>
      </c>
      <c r="G602" s="25">
        <v>0.0</v>
      </c>
      <c r="H602" s="25">
        <v>56.0</v>
      </c>
      <c r="I602" s="50">
        <v>0.68</v>
      </c>
      <c r="J602" s="25">
        <v>38.0</v>
      </c>
      <c r="K602" s="51">
        <v>0.0</v>
      </c>
      <c r="L602" s="51">
        <v>0.0</v>
      </c>
      <c r="M602" s="25">
        <v>37.0</v>
      </c>
      <c r="N602" s="25"/>
      <c r="O602" s="26" t="s">
        <v>36</v>
      </c>
      <c r="P602" s="52">
        <v>1579.0</v>
      </c>
      <c r="Q602" s="26" t="s">
        <v>52</v>
      </c>
      <c r="R602" s="25">
        <v>1997.0</v>
      </c>
      <c r="S602" s="25">
        <v>1.25</v>
      </c>
      <c r="T602" s="25">
        <f t="shared" si="90"/>
        <v>1973.75</v>
      </c>
      <c r="U602" s="24">
        <f t="shared" si="3"/>
        <v>35.24553571</v>
      </c>
      <c r="V602" s="3">
        <f t="shared" si="28"/>
        <v>1</v>
      </c>
      <c r="W602" s="3">
        <f t="shared" si="29"/>
        <v>56</v>
      </c>
      <c r="X602" s="3">
        <f t="shared" si="30"/>
        <v>38</v>
      </c>
      <c r="Y602" s="25">
        <f t="shared" si="31"/>
        <v>0</v>
      </c>
      <c r="Z602" s="26">
        <f>VLOOKUP(R602,CPI!$A$2:$F$71,6,0)</f>
        <v>2.006943925</v>
      </c>
      <c r="AA602" s="27">
        <f t="shared" si="8"/>
        <v>3961.205572</v>
      </c>
      <c r="AB602" s="27">
        <f t="shared" si="9"/>
        <v>70.73581379</v>
      </c>
      <c r="AC602" s="26" t="s">
        <v>36</v>
      </c>
      <c r="AD602" s="57" t="s">
        <v>1142</v>
      </c>
      <c r="AE602" s="178"/>
      <c r="AF602" s="172"/>
      <c r="AG602" s="172"/>
      <c r="AH602" s="172"/>
    </row>
    <row r="603">
      <c r="A603" s="26" t="s">
        <v>1122</v>
      </c>
      <c r="B603" s="26" t="s">
        <v>1140</v>
      </c>
      <c r="C603" s="26" t="s">
        <v>1143</v>
      </c>
      <c r="D603" s="26" t="s">
        <v>1143</v>
      </c>
      <c r="E603" s="25">
        <v>1999.0</v>
      </c>
      <c r="F603" s="25">
        <v>2003.0</v>
      </c>
      <c r="G603" s="25">
        <v>0.0</v>
      </c>
      <c r="H603" s="25">
        <v>75.0</v>
      </c>
      <c r="I603" s="50">
        <v>0.77</v>
      </c>
      <c r="J603" s="25">
        <v>58.0</v>
      </c>
      <c r="K603" s="51">
        <v>0.0</v>
      </c>
      <c r="L603" s="51">
        <v>0.0</v>
      </c>
      <c r="M603" s="25">
        <v>39.0</v>
      </c>
      <c r="N603" s="25"/>
      <c r="O603" s="26" t="s">
        <v>36</v>
      </c>
      <c r="P603" s="52">
        <v>3157.0</v>
      </c>
      <c r="Q603" s="26" t="s">
        <v>52</v>
      </c>
      <c r="R603" s="25">
        <v>2001.0</v>
      </c>
      <c r="S603" s="25">
        <v>1.25</v>
      </c>
      <c r="T603" s="25">
        <f t="shared" si="90"/>
        <v>3946.25</v>
      </c>
      <c r="U603" s="24">
        <f t="shared" si="3"/>
        <v>52.61666667</v>
      </c>
      <c r="V603" s="3">
        <f t="shared" si="28"/>
        <v>1</v>
      </c>
      <c r="W603" s="3">
        <f t="shared" si="29"/>
        <v>75</v>
      </c>
      <c r="X603" s="3">
        <f t="shared" si="30"/>
        <v>58</v>
      </c>
      <c r="Y603" s="25">
        <f t="shared" si="31"/>
        <v>0</v>
      </c>
      <c r="Z603" s="26">
        <f>VLOOKUP(R603,CPI!$A$2:$F$71,6,0)</f>
        <v>1.818828346</v>
      </c>
      <c r="AA603" s="27">
        <f t="shared" si="8"/>
        <v>7177.551359</v>
      </c>
      <c r="AB603" s="27">
        <f t="shared" si="9"/>
        <v>95.70068478</v>
      </c>
      <c r="AC603" s="26" t="s">
        <v>36</v>
      </c>
      <c r="AD603" s="57" t="s">
        <v>1142</v>
      </c>
      <c r="AE603" s="178"/>
      <c r="AF603" s="172"/>
      <c r="AG603" s="172"/>
      <c r="AH603" s="172"/>
    </row>
    <row r="604">
      <c r="A604" s="26" t="s">
        <v>1122</v>
      </c>
      <c r="B604" s="26" t="s">
        <v>1140</v>
      </c>
      <c r="C604" s="26" t="s">
        <v>1144</v>
      </c>
      <c r="D604" s="26" t="s">
        <v>1144</v>
      </c>
      <c r="E604" s="25">
        <v>2003.0</v>
      </c>
      <c r="F604" s="25">
        <v>2008.0</v>
      </c>
      <c r="G604" s="25">
        <v>1.0</v>
      </c>
      <c r="H604" s="25">
        <v>7.5</v>
      </c>
      <c r="I604" s="50">
        <v>1.0</v>
      </c>
      <c r="J604" s="25">
        <v>7.5</v>
      </c>
      <c r="K604" s="51">
        <v>0.0</v>
      </c>
      <c r="L604" s="51">
        <v>0.0</v>
      </c>
      <c r="M604" s="25">
        <v>3.0</v>
      </c>
      <c r="N604" s="25"/>
      <c r="O604" s="26" t="s">
        <v>74</v>
      </c>
      <c r="P604" s="52">
        <v>550.0</v>
      </c>
      <c r="Q604" s="26" t="s">
        <v>52</v>
      </c>
      <c r="R604" s="25">
        <v>2006.0</v>
      </c>
      <c r="S604" s="25">
        <v>1.25</v>
      </c>
      <c r="T604" s="25">
        <f t="shared" si="90"/>
        <v>687.5</v>
      </c>
      <c r="U604" s="24">
        <f t="shared" si="3"/>
        <v>91.66666667</v>
      </c>
      <c r="V604" s="3">
        <f t="shared" si="28"/>
        <v>1</v>
      </c>
      <c r="W604" s="3">
        <f t="shared" si="29"/>
        <v>7.5</v>
      </c>
      <c r="X604" s="3">
        <f t="shared" si="30"/>
        <v>7.5</v>
      </c>
      <c r="Y604" s="25">
        <f t="shared" si="31"/>
        <v>0</v>
      </c>
      <c r="Z604" s="26">
        <f>VLOOKUP(R604,CPI!$A$2:$F$71,6,0)</f>
        <v>1.597790179</v>
      </c>
      <c r="AA604" s="27">
        <f t="shared" si="8"/>
        <v>1098.480748</v>
      </c>
      <c r="AB604" s="27">
        <f t="shared" si="9"/>
        <v>146.4640997</v>
      </c>
      <c r="AC604" s="26" t="s">
        <v>42</v>
      </c>
      <c r="AD604" s="53" t="s">
        <v>1145</v>
      </c>
      <c r="AE604" s="178"/>
      <c r="AF604" s="172"/>
      <c r="AG604" s="172"/>
      <c r="AH604" s="172"/>
    </row>
    <row r="605">
      <c r="A605" s="26" t="s">
        <v>1122</v>
      </c>
      <c r="B605" s="26" t="s">
        <v>1140</v>
      </c>
      <c r="C605" s="1" t="s">
        <v>54</v>
      </c>
      <c r="D605" s="26" t="s">
        <v>55</v>
      </c>
      <c r="E605" s="25">
        <v>2008.0</v>
      </c>
      <c r="F605" s="25">
        <v>2011.0</v>
      </c>
      <c r="G605" s="25">
        <v>0.0</v>
      </c>
      <c r="H605" s="25">
        <v>4.6</v>
      </c>
      <c r="I605" s="50">
        <v>1.0</v>
      </c>
      <c r="J605" s="25">
        <v>4.6</v>
      </c>
      <c r="K605" s="51">
        <v>0.0</v>
      </c>
      <c r="L605" s="51">
        <v>0.0</v>
      </c>
      <c r="M605" s="25">
        <v>4.0</v>
      </c>
      <c r="N605" s="25"/>
      <c r="O605" s="26" t="s">
        <v>36</v>
      </c>
      <c r="P605" s="52">
        <v>315.0</v>
      </c>
      <c r="Q605" s="26" t="s">
        <v>52</v>
      </c>
      <c r="R605" s="25">
        <v>2010.0</v>
      </c>
      <c r="S605" s="25">
        <v>1.3</v>
      </c>
      <c r="T605" s="25">
        <f t="shared" si="90"/>
        <v>409.5</v>
      </c>
      <c r="U605" s="24">
        <f t="shared" si="3"/>
        <v>89.02173913</v>
      </c>
      <c r="V605" s="3">
        <f t="shared" si="28"/>
        <v>1</v>
      </c>
      <c r="W605" s="3">
        <f t="shared" si="29"/>
        <v>4.6</v>
      </c>
      <c r="X605" s="3">
        <f t="shared" si="30"/>
        <v>4.6</v>
      </c>
      <c r="Y605" s="25">
        <f t="shared" si="31"/>
        <v>0</v>
      </c>
      <c r="Z605" s="26">
        <f>VLOOKUP(R605,CPI!$A$2:$F$71,6,0)</f>
        <v>1.477209983</v>
      </c>
      <c r="AA605" s="27">
        <f t="shared" si="8"/>
        <v>604.9174879</v>
      </c>
      <c r="AB605" s="27">
        <f t="shared" si="9"/>
        <v>131.5038017</v>
      </c>
      <c r="AC605" s="26" t="s">
        <v>36</v>
      </c>
      <c r="AD605" s="57" t="s">
        <v>1146</v>
      </c>
      <c r="AE605" s="178"/>
      <c r="AF605" s="172"/>
      <c r="AG605" s="172"/>
      <c r="AH605" s="172"/>
    </row>
    <row r="606">
      <c r="A606" s="26" t="s">
        <v>1122</v>
      </c>
      <c r="B606" s="26" t="s">
        <v>1140</v>
      </c>
      <c r="C606" s="1" t="s">
        <v>253</v>
      </c>
      <c r="D606" s="26" t="s">
        <v>1147</v>
      </c>
      <c r="E606" s="25">
        <v>2009.0</v>
      </c>
      <c r="F606" s="25">
        <v>2015.0</v>
      </c>
      <c r="G606" s="25">
        <v>0.0</v>
      </c>
      <c r="H606" s="25">
        <v>3.0</v>
      </c>
      <c r="I606" s="50">
        <v>1.0</v>
      </c>
      <c r="J606" s="25">
        <v>3.0</v>
      </c>
      <c r="K606" s="51">
        <v>0.0</v>
      </c>
      <c r="L606" s="51">
        <v>0.0</v>
      </c>
      <c r="M606" s="25">
        <v>2.0</v>
      </c>
      <c r="N606" s="25"/>
      <c r="O606" s="26" t="s">
        <v>60</v>
      </c>
      <c r="P606" s="52">
        <v>191.0</v>
      </c>
      <c r="Q606" s="26" t="s">
        <v>52</v>
      </c>
      <c r="R606" s="25">
        <v>2012.0</v>
      </c>
      <c r="S606" s="25">
        <v>1.3</v>
      </c>
      <c r="T606" s="25">
        <f t="shared" si="90"/>
        <v>248.3</v>
      </c>
      <c r="U606" s="24">
        <f t="shared" si="3"/>
        <v>82.76666667</v>
      </c>
      <c r="V606" s="3">
        <f t="shared" si="28"/>
        <v>1</v>
      </c>
      <c r="W606" s="3">
        <f t="shared" si="29"/>
        <v>3</v>
      </c>
      <c r="X606" s="3">
        <f t="shared" si="30"/>
        <v>3</v>
      </c>
      <c r="Y606" s="25">
        <f t="shared" si="31"/>
        <v>0</v>
      </c>
      <c r="Z606" s="26">
        <f>VLOOKUP(R606,CPI!$A$2:$F$71,6,0)</f>
        <v>1.402974381</v>
      </c>
      <c r="AA606" s="27">
        <f t="shared" si="8"/>
        <v>348.3585388</v>
      </c>
      <c r="AB606" s="27">
        <f t="shared" si="9"/>
        <v>116.1195129</v>
      </c>
      <c r="AC606" s="26" t="s">
        <v>60</v>
      </c>
      <c r="AD606" s="53" t="s">
        <v>1148</v>
      </c>
      <c r="AE606" s="178"/>
      <c r="AF606" s="172"/>
      <c r="AG606" s="172"/>
      <c r="AH606" s="172"/>
    </row>
    <row r="607">
      <c r="A607" s="115" t="s">
        <v>1122</v>
      </c>
      <c r="B607" s="115" t="s">
        <v>1140</v>
      </c>
      <c r="C607" s="115" t="s">
        <v>292</v>
      </c>
      <c r="D607" s="115" t="s">
        <v>1149</v>
      </c>
      <c r="E607" s="82">
        <v>2022.0</v>
      </c>
      <c r="F607" s="115">
        <v>2026.0</v>
      </c>
      <c r="G607" s="82">
        <v>0.0</v>
      </c>
      <c r="H607" s="82">
        <v>7.0</v>
      </c>
      <c r="I607" s="247">
        <v>1.0</v>
      </c>
      <c r="J607" s="82">
        <v>7.0</v>
      </c>
      <c r="K607" s="115">
        <v>0.0</v>
      </c>
      <c r="L607" s="115">
        <v>0.0</v>
      </c>
      <c r="M607" s="82">
        <v>5.0</v>
      </c>
      <c r="N607" s="82"/>
      <c r="O607" s="115" t="s">
        <v>60</v>
      </c>
      <c r="P607" s="248">
        <v>500.0</v>
      </c>
      <c r="Q607" s="115" t="s">
        <v>52</v>
      </c>
      <c r="R607" s="115">
        <v>2023.0</v>
      </c>
      <c r="S607" s="115">
        <v>1.45</v>
      </c>
      <c r="T607" s="118">
        <f t="shared" si="90"/>
        <v>725</v>
      </c>
      <c r="U607" s="24">
        <f t="shared" si="3"/>
        <v>103.5714286</v>
      </c>
      <c r="V607" s="3">
        <f t="shared" si="28"/>
        <v>1</v>
      </c>
      <c r="W607" s="3">
        <f t="shared" si="29"/>
        <v>7</v>
      </c>
      <c r="X607" s="3">
        <f t="shared" si="30"/>
        <v>7</v>
      </c>
      <c r="Y607" s="25">
        <f t="shared" si="31"/>
        <v>0</v>
      </c>
      <c r="Z607" s="26">
        <f>VLOOKUP(R607,CPI!$A$2:$F$71,6,0)</f>
        <v>1.057145998</v>
      </c>
      <c r="AA607" s="27">
        <f t="shared" si="8"/>
        <v>766.4308488</v>
      </c>
      <c r="AB607" s="27">
        <f t="shared" si="9"/>
        <v>109.4901213</v>
      </c>
      <c r="AC607" s="115" t="s">
        <v>42</v>
      </c>
      <c r="AD607" s="249" t="s">
        <v>1150</v>
      </c>
      <c r="AE607" s="241"/>
      <c r="AF607" s="242"/>
      <c r="AG607" s="166"/>
      <c r="AH607" s="166"/>
    </row>
    <row r="608">
      <c r="A608" s="2" t="s">
        <v>1122</v>
      </c>
      <c r="B608" s="2" t="s">
        <v>1140</v>
      </c>
      <c r="C608" s="2" t="s">
        <v>1151</v>
      </c>
      <c r="D608" s="2" t="s">
        <v>1151</v>
      </c>
      <c r="E608" s="3">
        <v>2020.0</v>
      </c>
      <c r="F608" s="3">
        <v>2028.0</v>
      </c>
      <c r="G608" s="3">
        <v>1.0</v>
      </c>
      <c r="H608" s="3">
        <v>10.5</v>
      </c>
      <c r="I608" s="39">
        <v>1.0</v>
      </c>
      <c r="J608" s="3">
        <v>10.5</v>
      </c>
      <c r="K608" s="40">
        <v>0.0</v>
      </c>
      <c r="L608" s="40">
        <v>0.0</v>
      </c>
      <c r="M608" s="3">
        <v>4.0</v>
      </c>
      <c r="N608" s="3"/>
      <c r="O608" s="2" t="s">
        <v>59</v>
      </c>
      <c r="P608" s="41">
        <v>760.0</v>
      </c>
      <c r="Q608" s="2" t="s">
        <v>52</v>
      </c>
      <c r="R608" s="3">
        <v>2024.0</v>
      </c>
      <c r="S608" s="85">
        <v>1.4</v>
      </c>
      <c r="T608" s="3">
        <f t="shared" si="90"/>
        <v>1064</v>
      </c>
      <c r="U608" s="24">
        <f t="shared" si="3"/>
        <v>101.3333333</v>
      </c>
      <c r="V608" s="3">
        <f t="shared" si="28"/>
        <v>1</v>
      </c>
      <c r="W608" s="3">
        <f t="shared" si="29"/>
        <v>10.5</v>
      </c>
      <c r="X608" s="3">
        <f t="shared" si="30"/>
        <v>10.5</v>
      </c>
      <c r="Y608" s="25">
        <f t="shared" si="31"/>
        <v>0</v>
      </c>
      <c r="Z608" s="26">
        <f>VLOOKUP(R608,CPI!$A$2:$F$71,6,0)</f>
        <v>1</v>
      </c>
      <c r="AA608" s="27">
        <f t="shared" si="8"/>
        <v>1064</v>
      </c>
      <c r="AB608" s="27">
        <f t="shared" si="9"/>
        <v>101.3333333</v>
      </c>
      <c r="AC608" s="2" t="s">
        <v>60</v>
      </c>
      <c r="AD608" s="266" t="s">
        <v>1152</v>
      </c>
      <c r="AE608" s="178"/>
      <c r="AF608" s="172"/>
      <c r="AG608" s="172"/>
      <c r="AH608" s="172"/>
    </row>
    <row r="609">
      <c r="A609" s="26" t="s">
        <v>1122</v>
      </c>
      <c r="B609" s="26" t="s">
        <v>1153</v>
      </c>
      <c r="C609" s="26" t="s">
        <v>114</v>
      </c>
      <c r="D609" s="26" t="s">
        <v>114</v>
      </c>
      <c r="E609" s="25">
        <v>2006.0</v>
      </c>
      <c r="F609" s="25">
        <v>2014.0</v>
      </c>
      <c r="G609" s="25">
        <v>0.0</v>
      </c>
      <c r="H609" s="25">
        <v>11.3</v>
      </c>
      <c r="I609" s="50">
        <v>0.81</v>
      </c>
      <c r="J609" s="25">
        <v>9.2</v>
      </c>
      <c r="K609" s="51">
        <v>0.0</v>
      </c>
      <c r="L609" s="51">
        <v>0.0</v>
      </c>
      <c r="M609" s="25">
        <v>17.0</v>
      </c>
      <c r="N609" s="25"/>
      <c r="O609" s="26" t="s">
        <v>74</v>
      </c>
      <c r="P609" s="52">
        <v>870.0</v>
      </c>
      <c r="Q609" s="26" t="s">
        <v>52</v>
      </c>
      <c r="R609" s="25">
        <v>2010.0</v>
      </c>
      <c r="S609" s="25">
        <v>1.3</v>
      </c>
      <c r="T609" s="25">
        <f t="shared" si="90"/>
        <v>1131</v>
      </c>
      <c r="U609" s="24">
        <f t="shared" si="3"/>
        <v>100.0884956</v>
      </c>
      <c r="V609" s="3">
        <f t="shared" si="28"/>
        <v>1</v>
      </c>
      <c r="W609" s="3">
        <f t="shared" si="29"/>
        <v>11.3</v>
      </c>
      <c r="X609" s="3">
        <f t="shared" si="30"/>
        <v>9.2</v>
      </c>
      <c r="Y609" s="25">
        <f t="shared" si="31"/>
        <v>0</v>
      </c>
      <c r="Z609" s="26">
        <f>VLOOKUP(R609,CPI!$A$2:$F$71,6,0)</f>
        <v>1.477209983</v>
      </c>
      <c r="AA609" s="27">
        <f t="shared" si="8"/>
        <v>1670.72449</v>
      </c>
      <c r="AB609" s="27">
        <f t="shared" si="9"/>
        <v>147.8517248</v>
      </c>
      <c r="AC609" s="26" t="s">
        <v>42</v>
      </c>
      <c r="AD609" s="53" t="s">
        <v>1154</v>
      </c>
      <c r="AE609" s="178"/>
      <c r="AF609" s="172"/>
      <c r="AG609" s="172"/>
      <c r="AH609" s="172"/>
    </row>
    <row r="610">
      <c r="A610" s="26" t="s">
        <v>1122</v>
      </c>
      <c r="B610" s="26" t="s">
        <v>1155</v>
      </c>
      <c r="C610" s="26" t="s">
        <v>57</v>
      </c>
      <c r="D610" s="26" t="s">
        <v>57</v>
      </c>
      <c r="E610" s="25">
        <v>2003.0</v>
      </c>
      <c r="F610" s="25">
        <v>2009.0</v>
      </c>
      <c r="G610" s="25">
        <v>0.0</v>
      </c>
      <c r="H610" s="25">
        <v>18.2</v>
      </c>
      <c r="I610" s="50">
        <v>0.64</v>
      </c>
      <c r="J610" s="25">
        <v>11.6</v>
      </c>
      <c r="K610" s="51">
        <v>6.552</v>
      </c>
      <c r="L610" s="51">
        <v>0.0</v>
      </c>
      <c r="M610" s="25">
        <v>22.0</v>
      </c>
      <c r="N610" s="25"/>
      <c r="O610" s="26" t="s">
        <v>59</v>
      </c>
      <c r="P610" s="52">
        <v>892.0</v>
      </c>
      <c r="Q610" s="26" t="s">
        <v>52</v>
      </c>
      <c r="R610" s="25">
        <v>2006.0</v>
      </c>
      <c r="S610" s="25">
        <v>1.25</v>
      </c>
      <c r="T610" s="25">
        <f t="shared" si="90"/>
        <v>1115</v>
      </c>
      <c r="U610" s="24">
        <f t="shared" si="3"/>
        <v>61.26373626</v>
      </c>
      <c r="V610" s="3">
        <f t="shared" si="28"/>
        <v>1</v>
      </c>
      <c r="W610" s="3">
        <f t="shared" si="29"/>
        <v>18.2</v>
      </c>
      <c r="X610" s="3">
        <f t="shared" si="30"/>
        <v>11.6</v>
      </c>
      <c r="Y610" s="25">
        <f t="shared" si="31"/>
        <v>0</v>
      </c>
      <c r="Z610" s="26">
        <f>VLOOKUP(R610,CPI!$A$2:$F$71,6,0)</f>
        <v>1.597790179</v>
      </c>
      <c r="AA610" s="27">
        <f t="shared" si="8"/>
        <v>1781.536049</v>
      </c>
      <c r="AB610" s="27">
        <f t="shared" si="9"/>
        <v>97.8865961</v>
      </c>
      <c r="AC610" s="26" t="s">
        <v>42</v>
      </c>
      <c r="AD610" s="57" t="s">
        <v>1156</v>
      </c>
      <c r="AE610" s="178"/>
      <c r="AF610" s="172"/>
      <c r="AG610" s="172"/>
      <c r="AH610" s="172"/>
    </row>
    <row r="611">
      <c r="A611" s="26" t="s">
        <v>1157</v>
      </c>
      <c r="B611" s="26" t="s">
        <v>1158</v>
      </c>
      <c r="C611" s="26" t="s">
        <v>1159</v>
      </c>
      <c r="D611" s="26" t="s">
        <v>1159</v>
      </c>
      <c r="E611" s="25">
        <v>2009.0</v>
      </c>
      <c r="F611" s="25">
        <v>2015.0</v>
      </c>
      <c r="G611" s="25">
        <v>1.0</v>
      </c>
      <c r="H611" s="25">
        <v>18.0</v>
      </c>
      <c r="I611" s="50">
        <v>0.44</v>
      </c>
      <c r="J611" s="25">
        <v>8.0</v>
      </c>
      <c r="K611" s="51">
        <v>0.0</v>
      </c>
      <c r="L611" s="51">
        <v>0.0</v>
      </c>
      <c r="M611" s="25">
        <v>5.0</v>
      </c>
      <c r="N611" s="25"/>
      <c r="O611" s="26" t="s">
        <v>60</v>
      </c>
      <c r="P611" s="52">
        <v>773.8</v>
      </c>
      <c r="Q611" s="26" t="s">
        <v>52</v>
      </c>
      <c r="R611" s="25">
        <v>2012.0</v>
      </c>
      <c r="S611" s="25">
        <v>1.3</v>
      </c>
      <c r="T611" s="25">
        <f t="shared" si="90"/>
        <v>1005.94</v>
      </c>
      <c r="U611" s="24">
        <f t="shared" si="3"/>
        <v>55.88555556</v>
      </c>
      <c r="V611" s="3">
        <f t="shared" si="28"/>
        <v>1</v>
      </c>
      <c r="W611" s="3">
        <f t="shared" si="29"/>
        <v>18</v>
      </c>
      <c r="X611" s="3">
        <f t="shared" si="30"/>
        <v>8</v>
      </c>
      <c r="Y611" s="25">
        <f t="shared" si="31"/>
        <v>0</v>
      </c>
      <c r="Z611" s="26">
        <f>VLOOKUP(R611,CPI!$A$2:$F$71,6,0)</f>
        <v>1.402974381</v>
      </c>
      <c r="AA611" s="27">
        <f t="shared" si="8"/>
        <v>1411.308049</v>
      </c>
      <c r="AB611" s="27">
        <f t="shared" si="9"/>
        <v>78.4060027</v>
      </c>
      <c r="AC611" s="26" t="s">
        <v>60</v>
      </c>
      <c r="AD611" s="53" t="s">
        <v>1160</v>
      </c>
      <c r="AE611" s="178"/>
      <c r="AF611" s="172"/>
      <c r="AG611" s="172"/>
      <c r="AH611" s="172"/>
    </row>
    <row r="612">
      <c r="A612" s="26" t="s">
        <v>1157</v>
      </c>
      <c r="B612" s="26" t="s">
        <v>1158</v>
      </c>
      <c r="C612" s="1" t="s">
        <v>1161</v>
      </c>
      <c r="D612" s="63" t="s">
        <v>1162</v>
      </c>
      <c r="E612" s="25">
        <v>2009.0</v>
      </c>
      <c r="F612" s="25">
        <v>2017.0</v>
      </c>
      <c r="G612" s="25">
        <v>0.0</v>
      </c>
      <c r="H612" s="25">
        <v>13.5</v>
      </c>
      <c r="I612" s="50">
        <v>1.0</v>
      </c>
      <c r="J612" s="25">
        <v>13.5</v>
      </c>
      <c r="K612" s="51">
        <v>0.0</v>
      </c>
      <c r="L612" s="51">
        <v>0.0</v>
      </c>
      <c r="M612" s="25">
        <v>8.0</v>
      </c>
      <c r="N612" s="58">
        <v>135.0</v>
      </c>
      <c r="O612" s="26" t="s">
        <v>59</v>
      </c>
      <c r="P612" s="55">
        <v>1171.0</v>
      </c>
      <c r="Q612" s="26" t="s">
        <v>52</v>
      </c>
      <c r="R612" s="25">
        <v>2013.0</v>
      </c>
      <c r="S612" s="25">
        <v>1.3</v>
      </c>
      <c r="T612" s="25">
        <f t="shared" si="90"/>
        <v>1522.3</v>
      </c>
      <c r="U612" s="24">
        <f t="shared" si="3"/>
        <v>112.762963</v>
      </c>
      <c r="V612" s="3">
        <f t="shared" si="28"/>
        <v>1</v>
      </c>
      <c r="W612" s="3">
        <f t="shared" si="29"/>
        <v>13.5</v>
      </c>
      <c r="X612" s="3">
        <f t="shared" si="30"/>
        <v>13.5</v>
      </c>
      <c r="Y612" s="25">
        <f t="shared" si="31"/>
        <v>0</v>
      </c>
      <c r="Z612" s="26">
        <f>VLOOKUP(R612,CPI!$A$2:$F$71,6,0)</f>
        <v>1.382720845</v>
      </c>
      <c r="AA612" s="27">
        <f t="shared" si="8"/>
        <v>2104.915943</v>
      </c>
      <c r="AB612" s="27">
        <f t="shared" si="9"/>
        <v>155.9196995</v>
      </c>
      <c r="AC612" s="26" t="s">
        <v>60</v>
      </c>
      <c r="AD612" s="56" t="s">
        <v>1163</v>
      </c>
      <c r="AE612" s="178"/>
      <c r="AF612" s="172"/>
      <c r="AG612" s="172"/>
      <c r="AH612" s="172"/>
    </row>
    <row r="613">
      <c r="A613" s="63" t="s">
        <v>1157</v>
      </c>
      <c r="B613" s="63" t="s">
        <v>1158</v>
      </c>
      <c r="C613" s="1" t="s">
        <v>1161</v>
      </c>
      <c r="D613" s="63" t="s">
        <v>1164</v>
      </c>
      <c r="E613" s="58">
        <v>2014.0</v>
      </c>
      <c r="F613" s="58">
        <v>2023.0</v>
      </c>
      <c r="G613" s="58">
        <v>0.0</v>
      </c>
      <c r="H613" s="58">
        <v>7.0</v>
      </c>
      <c r="I613" s="59">
        <v>1.0</v>
      </c>
      <c r="J613" s="58">
        <v>7.0</v>
      </c>
      <c r="K613" s="58">
        <v>0.0</v>
      </c>
      <c r="L613" s="58">
        <v>0.0</v>
      </c>
      <c r="M613" s="58">
        <v>5.0</v>
      </c>
      <c r="N613" s="58">
        <v>90.0</v>
      </c>
      <c r="O613" s="63" t="s">
        <v>60</v>
      </c>
      <c r="P613" s="55">
        <v>1159.0</v>
      </c>
      <c r="Q613" s="63" t="s">
        <v>52</v>
      </c>
      <c r="R613" s="58">
        <v>2018.0</v>
      </c>
      <c r="S613" s="58">
        <v>1.35</v>
      </c>
      <c r="T613" s="25">
        <f t="shared" si="90"/>
        <v>1564.65</v>
      </c>
      <c r="U613" s="24">
        <f t="shared" si="3"/>
        <v>223.5214286</v>
      </c>
      <c r="V613" s="3">
        <f t="shared" si="28"/>
        <v>1</v>
      </c>
      <c r="W613" s="3">
        <f t="shared" si="29"/>
        <v>7</v>
      </c>
      <c r="X613" s="3">
        <f t="shared" si="30"/>
        <v>7</v>
      </c>
      <c r="Y613" s="25">
        <f t="shared" si="31"/>
        <v>0</v>
      </c>
      <c r="Z613" s="26">
        <f>VLOOKUP(R613,CPI!$A$2:$F$71,6,0)</f>
        <v>1.28277786</v>
      </c>
      <c r="AA613" s="27">
        <f t="shared" si="8"/>
        <v>2007.098378</v>
      </c>
      <c r="AB613" s="27">
        <f t="shared" si="9"/>
        <v>286.7283397</v>
      </c>
      <c r="AC613" s="63" t="s">
        <v>60</v>
      </c>
      <c r="AD613" s="56" t="s">
        <v>1163</v>
      </c>
      <c r="AE613" s="178"/>
      <c r="AF613" s="172"/>
      <c r="AG613" s="172"/>
      <c r="AH613" s="172"/>
    </row>
    <row r="614">
      <c r="A614" s="26" t="s">
        <v>1165</v>
      </c>
      <c r="B614" s="26" t="s">
        <v>1166</v>
      </c>
      <c r="C614" s="1" t="s">
        <v>987</v>
      </c>
      <c r="D614" s="26" t="s">
        <v>1167</v>
      </c>
      <c r="E614" s="25">
        <v>2005.0</v>
      </c>
      <c r="F614" s="25">
        <v>2007.0</v>
      </c>
      <c r="G614" s="25">
        <v>0.0</v>
      </c>
      <c r="H614" s="25">
        <v>1.0</v>
      </c>
      <c r="I614" s="50">
        <v>1.0</v>
      </c>
      <c r="J614" s="25">
        <v>1.0</v>
      </c>
      <c r="K614" s="51">
        <v>0.0</v>
      </c>
      <c r="L614" s="51">
        <v>0.0</v>
      </c>
      <c r="M614" s="25">
        <v>1.0</v>
      </c>
      <c r="N614" s="25"/>
      <c r="O614" s="26" t="s">
        <v>60</v>
      </c>
      <c r="P614" s="52">
        <v>53.0</v>
      </c>
      <c r="Q614" s="26" t="s">
        <v>52</v>
      </c>
      <c r="R614" s="25">
        <v>2006.0</v>
      </c>
      <c r="S614" s="25">
        <v>1.25</v>
      </c>
      <c r="T614" s="25">
        <f t="shared" si="90"/>
        <v>66.25</v>
      </c>
      <c r="U614" s="24">
        <f t="shared" si="3"/>
        <v>66.25</v>
      </c>
      <c r="V614" s="3">
        <f t="shared" si="28"/>
        <v>0</v>
      </c>
      <c r="W614" s="3">
        <f t="shared" si="29"/>
        <v>0</v>
      </c>
      <c r="X614" s="3">
        <f t="shared" si="30"/>
        <v>0</v>
      </c>
      <c r="Y614" s="25">
        <f t="shared" si="31"/>
        <v>0</v>
      </c>
      <c r="Z614" s="26">
        <f>VLOOKUP(R614,CPI!$A$2:$F$71,6,0)</f>
        <v>1.597790179</v>
      </c>
      <c r="AA614" s="27">
        <f t="shared" si="8"/>
        <v>105.8535993</v>
      </c>
      <c r="AB614" s="27">
        <f t="shared" si="9"/>
        <v>105.8535993</v>
      </c>
      <c r="AC614" s="26" t="s">
        <v>60</v>
      </c>
      <c r="AD614" s="53" t="s">
        <v>1168</v>
      </c>
      <c r="AE614" s="178"/>
      <c r="AF614" s="172"/>
      <c r="AG614" s="172"/>
      <c r="AH614" s="172"/>
    </row>
    <row r="615">
      <c r="A615" s="26" t="s">
        <v>1165</v>
      </c>
      <c r="B615" s="26" t="s">
        <v>1166</v>
      </c>
      <c r="C615" s="1" t="s">
        <v>1169</v>
      </c>
      <c r="D615" s="26" t="s">
        <v>1170</v>
      </c>
      <c r="E615" s="25">
        <v>2009.0</v>
      </c>
      <c r="F615" s="25">
        <v>2013.0</v>
      </c>
      <c r="G615" s="25">
        <v>0.0</v>
      </c>
      <c r="H615" s="25">
        <v>1.8</v>
      </c>
      <c r="I615" s="50">
        <v>1.0</v>
      </c>
      <c r="J615" s="25">
        <v>1.8</v>
      </c>
      <c r="K615" s="51">
        <v>0.0</v>
      </c>
      <c r="L615" s="51">
        <v>0.0</v>
      </c>
      <c r="M615" s="25">
        <v>1.0</v>
      </c>
      <c r="N615" s="25"/>
      <c r="O615" s="26" t="s">
        <v>42</v>
      </c>
      <c r="P615" s="52">
        <v>222.0</v>
      </c>
      <c r="Q615" s="26" t="s">
        <v>52</v>
      </c>
      <c r="R615" s="25">
        <v>2011.0</v>
      </c>
      <c r="S615" s="25">
        <v>1.3</v>
      </c>
      <c r="T615" s="25">
        <f t="shared" si="90"/>
        <v>288.6</v>
      </c>
      <c r="U615" s="24">
        <f t="shared" si="3"/>
        <v>160.3333333</v>
      </c>
      <c r="V615" s="3">
        <f t="shared" si="28"/>
        <v>0</v>
      </c>
      <c r="W615" s="3">
        <f t="shared" si="29"/>
        <v>0</v>
      </c>
      <c r="X615" s="3">
        <f t="shared" si="30"/>
        <v>0</v>
      </c>
      <c r="Y615" s="25">
        <f t="shared" si="31"/>
        <v>0</v>
      </c>
      <c r="Z615" s="26">
        <f>VLOOKUP(R615,CPI!$A$2:$F$71,6,0)</f>
        <v>1.432008233</v>
      </c>
      <c r="AA615" s="27">
        <f t="shared" si="8"/>
        <v>413.2775761</v>
      </c>
      <c r="AB615" s="27">
        <f t="shared" si="9"/>
        <v>229.5986534</v>
      </c>
      <c r="AC615" s="26" t="s">
        <v>42</v>
      </c>
      <c r="AD615" s="53" t="s">
        <v>1171</v>
      </c>
      <c r="AE615" s="178"/>
      <c r="AF615" s="172"/>
      <c r="AG615" s="172"/>
      <c r="AH615" s="172"/>
    </row>
    <row r="616">
      <c r="A616" s="26" t="s">
        <v>1165</v>
      </c>
      <c r="B616" s="26" t="s">
        <v>1166</v>
      </c>
      <c r="C616" s="1" t="s">
        <v>1169</v>
      </c>
      <c r="D616" s="26" t="s">
        <v>1172</v>
      </c>
      <c r="E616" s="25">
        <v>2017.0</v>
      </c>
      <c r="F616" s="25">
        <v>2023.0</v>
      </c>
      <c r="G616" s="25">
        <v>0.0</v>
      </c>
      <c r="H616" s="25">
        <v>2.5</v>
      </c>
      <c r="I616" s="50">
        <v>1.0</v>
      </c>
      <c r="J616" s="25">
        <v>2.5</v>
      </c>
      <c r="K616" s="51">
        <v>0.0</v>
      </c>
      <c r="L616" s="51">
        <v>0.0</v>
      </c>
      <c r="M616" s="25">
        <v>2.0</v>
      </c>
      <c r="N616" s="25"/>
      <c r="O616" s="26" t="s">
        <v>60</v>
      </c>
      <c r="P616" s="52">
        <v>394.0</v>
      </c>
      <c r="Q616" s="26" t="s">
        <v>52</v>
      </c>
      <c r="R616" s="25">
        <v>2020.0</v>
      </c>
      <c r="S616" s="25">
        <v>1.3</v>
      </c>
      <c r="T616" s="25">
        <f t="shared" si="90"/>
        <v>512.2</v>
      </c>
      <c r="U616" s="24">
        <f t="shared" si="3"/>
        <v>204.88</v>
      </c>
      <c r="V616" s="3">
        <f t="shared" si="28"/>
        <v>0</v>
      </c>
      <c r="W616" s="3">
        <f t="shared" si="29"/>
        <v>0</v>
      </c>
      <c r="X616" s="3">
        <f t="shared" si="30"/>
        <v>0</v>
      </c>
      <c r="Y616" s="25">
        <f t="shared" si="31"/>
        <v>0</v>
      </c>
      <c r="Z616" s="26">
        <f>VLOOKUP(R616,CPI!$A$2:$F$71,6,0)</f>
        <v>1.244593545</v>
      </c>
      <c r="AA616" s="27">
        <f t="shared" si="8"/>
        <v>637.4808138</v>
      </c>
      <c r="AB616" s="27">
        <f t="shared" si="9"/>
        <v>254.9923255</v>
      </c>
      <c r="AC616" s="26" t="s">
        <v>60</v>
      </c>
      <c r="AD616" s="57" t="s">
        <v>1173</v>
      </c>
      <c r="AE616" s="178"/>
      <c r="AF616" s="172"/>
      <c r="AG616" s="172"/>
      <c r="AH616" s="172"/>
    </row>
    <row r="617">
      <c r="A617" s="142" t="s">
        <v>1165</v>
      </c>
      <c r="B617" s="142" t="s">
        <v>1174</v>
      </c>
      <c r="C617" s="142" t="s">
        <v>1175</v>
      </c>
      <c r="D617" s="142" t="s">
        <v>1176</v>
      </c>
      <c r="E617" s="152">
        <v>1991.0</v>
      </c>
      <c r="F617" s="152">
        <v>1995.0</v>
      </c>
      <c r="G617" s="152">
        <v>1.0</v>
      </c>
      <c r="H617" s="152">
        <v>2.5</v>
      </c>
      <c r="I617" s="244">
        <v>1.0</v>
      </c>
      <c r="J617" s="152">
        <v>2.5</v>
      </c>
      <c r="K617" s="152">
        <v>0.0</v>
      </c>
      <c r="L617" s="152">
        <v>0.0</v>
      </c>
      <c r="M617" s="152">
        <v>0.0</v>
      </c>
      <c r="N617" s="152"/>
      <c r="O617" s="142" t="s">
        <v>60</v>
      </c>
      <c r="P617" s="245">
        <v>321.0</v>
      </c>
      <c r="Q617" s="142" t="s">
        <v>52</v>
      </c>
      <c r="R617" s="152">
        <v>2003.0</v>
      </c>
      <c r="S617" s="152">
        <v>1.25</v>
      </c>
      <c r="T617" s="75">
        <f t="shared" si="90"/>
        <v>401.25</v>
      </c>
      <c r="U617" s="24">
        <f t="shared" si="3"/>
        <v>160.5</v>
      </c>
      <c r="V617" s="3">
        <f t="shared" si="28"/>
        <v>0</v>
      </c>
      <c r="W617" s="3">
        <f t="shared" si="29"/>
        <v>0</v>
      </c>
      <c r="X617" s="3">
        <f t="shared" si="30"/>
        <v>0</v>
      </c>
      <c r="Y617" s="25">
        <f t="shared" si="31"/>
        <v>0</v>
      </c>
      <c r="Z617" s="26">
        <f>VLOOKUP(R617,CPI!$A$2:$F$71,6,0)</f>
        <v>1.750622283</v>
      </c>
      <c r="AA617" s="27">
        <f t="shared" si="8"/>
        <v>702.4371909</v>
      </c>
      <c r="AB617" s="27">
        <f t="shared" si="9"/>
        <v>280.9748764</v>
      </c>
      <c r="AC617" s="63" t="s">
        <v>60</v>
      </c>
      <c r="AD617" s="246" t="s">
        <v>1177</v>
      </c>
      <c r="AE617" s="173"/>
      <c r="AF617" s="174"/>
      <c r="AG617" s="174"/>
      <c r="AH617" s="174"/>
    </row>
    <row r="618">
      <c r="A618" s="26" t="s">
        <v>1165</v>
      </c>
      <c r="B618" s="26" t="s">
        <v>1174</v>
      </c>
      <c r="C618" s="26" t="s">
        <v>267</v>
      </c>
      <c r="D618" s="26" t="s">
        <v>267</v>
      </c>
      <c r="E618" s="25">
        <v>1993.0</v>
      </c>
      <c r="F618" s="25">
        <v>2007.0</v>
      </c>
      <c r="G618" s="25">
        <v>0.0</v>
      </c>
      <c r="H618" s="25">
        <v>9.2</v>
      </c>
      <c r="I618" s="50">
        <v>1.0</v>
      </c>
      <c r="J618" s="25">
        <v>9.2</v>
      </c>
      <c r="K618" s="51">
        <v>0.0</v>
      </c>
      <c r="L618" s="51">
        <v>0.0</v>
      </c>
      <c r="M618" s="25">
        <v>9.0</v>
      </c>
      <c r="N618" s="25"/>
      <c r="O618" s="26" t="s">
        <v>74</v>
      </c>
      <c r="P618" s="52">
        <v>1211.2</v>
      </c>
      <c r="Q618" s="26" t="s">
        <v>52</v>
      </c>
      <c r="R618" s="25">
        <v>2004.0</v>
      </c>
      <c r="S618" s="25">
        <v>1.25</v>
      </c>
      <c r="T618" s="25">
        <f t="shared" si="90"/>
        <v>1514</v>
      </c>
      <c r="U618" s="24">
        <f t="shared" si="3"/>
        <v>164.5652174</v>
      </c>
      <c r="V618" s="3">
        <f t="shared" si="28"/>
        <v>0</v>
      </c>
      <c r="W618" s="3">
        <f t="shared" si="29"/>
        <v>0</v>
      </c>
      <c r="X618" s="3">
        <f t="shared" si="30"/>
        <v>0</v>
      </c>
      <c r="Y618" s="25">
        <f t="shared" si="31"/>
        <v>0</v>
      </c>
      <c r="Z618" s="26">
        <f>VLOOKUP(R618,CPI!$A$2:$F$71,6,0)</f>
        <v>1.705211752</v>
      </c>
      <c r="AA618" s="27">
        <f t="shared" si="8"/>
        <v>2581.690593</v>
      </c>
      <c r="AB618" s="27">
        <f t="shared" si="9"/>
        <v>280.6185427</v>
      </c>
      <c r="AC618" s="26" t="s">
        <v>36</v>
      </c>
      <c r="AD618" s="53" t="s">
        <v>1178</v>
      </c>
      <c r="AE618" s="178"/>
      <c r="AF618" s="172"/>
      <c r="AG618" s="172"/>
      <c r="AH618" s="172"/>
    </row>
    <row r="619">
      <c r="A619" s="26" t="s">
        <v>1165</v>
      </c>
      <c r="B619" s="26" t="s">
        <v>1174</v>
      </c>
      <c r="C619" s="1" t="s">
        <v>236</v>
      </c>
      <c r="D619" s="26" t="s">
        <v>1179</v>
      </c>
      <c r="E619" s="25">
        <v>2005.0</v>
      </c>
      <c r="F619" s="25">
        <v>2008.0</v>
      </c>
      <c r="G619" s="25">
        <v>0.0</v>
      </c>
      <c r="H619" s="25">
        <v>1.9</v>
      </c>
      <c r="I619" s="50">
        <v>1.0</v>
      </c>
      <c r="J619" s="25">
        <v>1.9</v>
      </c>
      <c r="K619" s="51">
        <v>0.0</v>
      </c>
      <c r="L619" s="51">
        <v>0.0</v>
      </c>
      <c r="M619" s="25">
        <v>2.0</v>
      </c>
      <c r="N619" s="25"/>
      <c r="O619" s="26" t="s">
        <v>60</v>
      </c>
      <c r="P619" s="52">
        <v>158.0</v>
      </c>
      <c r="Q619" s="26" t="s">
        <v>52</v>
      </c>
      <c r="R619" s="25">
        <v>2006.0</v>
      </c>
      <c r="S619" s="25">
        <v>1.25</v>
      </c>
      <c r="T619" s="25">
        <f t="shared" si="90"/>
        <v>197.5</v>
      </c>
      <c r="U619" s="24">
        <f t="shared" si="3"/>
        <v>103.9473684</v>
      </c>
      <c r="V619" s="3">
        <f t="shared" si="28"/>
        <v>0</v>
      </c>
      <c r="W619" s="3">
        <f t="shared" si="29"/>
        <v>0</v>
      </c>
      <c r="X619" s="3">
        <f t="shared" si="30"/>
        <v>0</v>
      </c>
      <c r="Y619" s="25">
        <f t="shared" si="31"/>
        <v>0</v>
      </c>
      <c r="Z619" s="26">
        <f>VLOOKUP(R619,CPI!$A$2:$F$71,6,0)</f>
        <v>1.597790179</v>
      </c>
      <c r="AA619" s="27">
        <f t="shared" si="8"/>
        <v>315.5635603</v>
      </c>
      <c r="AB619" s="27">
        <f t="shared" si="9"/>
        <v>166.0860844</v>
      </c>
      <c r="AC619" s="26" t="s">
        <v>60</v>
      </c>
      <c r="AD619" s="53" t="s">
        <v>1180</v>
      </c>
      <c r="AE619" s="178"/>
      <c r="AF619" s="172"/>
      <c r="AG619" s="172"/>
      <c r="AH619" s="172"/>
    </row>
    <row r="620">
      <c r="A620" s="26" t="s">
        <v>1165</v>
      </c>
      <c r="B620" s="26" t="s">
        <v>1174</v>
      </c>
      <c r="C620" s="1" t="s">
        <v>243</v>
      </c>
      <c r="D620" s="26" t="s">
        <v>1181</v>
      </c>
      <c r="E620" s="25">
        <v>2007.0</v>
      </c>
      <c r="F620" s="25">
        <v>2011.0</v>
      </c>
      <c r="G620" s="25">
        <v>0.0</v>
      </c>
      <c r="H620" s="25">
        <v>1.3</v>
      </c>
      <c r="I620" s="50">
        <v>0.0</v>
      </c>
      <c r="J620" s="25">
        <v>0.0</v>
      </c>
      <c r="K620" s="51">
        <v>0.0</v>
      </c>
      <c r="L620" s="51">
        <v>0.0</v>
      </c>
      <c r="M620" s="25">
        <v>1.0</v>
      </c>
      <c r="N620" s="25"/>
      <c r="O620" s="26" t="s">
        <v>74</v>
      </c>
      <c r="P620" s="52">
        <v>83.0</v>
      </c>
      <c r="Q620" s="26" t="s">
        <v>52</v>
      </c>
      <c r="R620" s="25">
        <v>2005.0</v>
      </c>
      <c r="S620" s="25">
        <v>1.25</v>
      </c>
      <c r="T620" s="25">
        <f t="shared" si="90"/>
        <v>103.75</v>
      </c>
      <c r="U620" s="24">
        <f t="shared" si="3"/>
        <v>79.80769231</v>
      </c>
      <c r="V620" s="3">
        <f t="shared" si="28"/>
        <v>0</v>
      </c>
      <c r="W620" s="3">
        <f t="shared" si="29"/>
        <v>0</v>
      </c>
      <c r="X620" s="3">
        <f t="shared" si="30"/>
        <v>0</v>
      </c>
      <c r="Y620" s="25">
        <f t="shared" si="31"/>
        <v>0</v>
      </c>
      <c r="Z620" s="26">
        <f>VLOOKUP(R620,CPI!$A$2:$F$71,6,0)</f>
        <v>1.649331797</v>
      </c>
      <c r="AA620" s="27">
        <f t="shared" si="8"/>
        <v>171.118174</v>
      </c>
      <c r="AB620" s="27">
        <f t="shared" si="9"/>
        <v>131.6293646</v>
      </c>
      <c r="AC620" s="26" t="s">
        <v>42</v>
      </c>
      <c r="AD620" s="53" t="s">
        <v>1182</v>
      </c>
      <c r="AE620" s="130"/>
      <c r="AF620" s="130"/>
      <c r="AG620" s="130"/>
      <c r="AH620" s="130"/>
    </row>
    <row r="621">
      <c r="A621" s="26" t="s">
        <v>1165</v>
      </c>
      <c r="B621" s="26" t="s">
        <v>1174</v>
      </c>
      <c r="C621" s="1" t="s">
        <v>287</v>
      </c>
      <c r="D621" s="26" t="s">
        <v>1183</v>
      </c>
      <c r="E621" s="25">
        <v>2007.0</v>
      </c>
      <c r="F621" s="25">
        <v>2012.0</v>
      </c>
      <c r="G621" s="25">
        <v>0.0</v>
      </c>
      <c r="H621" s="25">
        <v>1.5</v>
      </c>
      <c r="I621" s="50">
        <v>1.0</v>
      </c>
      <c r="J621" s="25">
        <v>1.5</v>
      </c>
      <c r="K621" s="51">
        <v>0.0</v>
      </c>
      <c r="L621" s="51">
        <v>0.0</v>
      </c>
      <c r="M621" s="25">
        <v>1.0</v>
      </c>
      <c r="N621" s="25"/>
      <c r="O621" s="26" t="s">
        <v>59</v>
      </c>
      <c r="P621" s="52">
        <v>295.0</v>
      </c>
      <c r="Q621" s="26" t="s">
        <v>52</v>
      </c>
      <c r="R621" s="25">
        <v>2009.0</v>
      </c>
      <c r="S621" s="25">
        <v>1.3</v>
      </c>
      <c r="T621" s="25">
        <f t="shared" si="90"/>
        <v>383.5</v>
      </c>
      <c r="U621" s="24">
        <f t="shared" si="3"/>
        <v>255.6666667</v>
      </c>
      <c r="V621" s="3">
        <f t="shared" si="28"/>
        <v>0</v>
      </c>
      <c r="W621" s="3">
        <f t="shared" si="29"/>
        <v>0</v>
      </c>
      <c r="X621" s="3">
        <f t="shared" si="30"/>
        <v>0</v>
      </c>
      <c r="Y621" s="25">
        <f t="shared" si="31"/>
        <v>0</v>
      </c>
      <c r="Z621" s="26">
        <f>VLOOKUP(R621,CPI!$A$2:$F$71,6,0)</f>
        <v>1.501440311</v>
      </c>
      <c r="AA621" s="27">
        <f t="shared" si="8"/>
        <v>575.8023593</v>
      </c>
      <c r="AB621" s="27">
        <f t="shared" si="9"/>
        <v>383.8682395</v>
      </c>
      <c r="AC621" s="26" t="s">
        <v>60</v>
      </c>
      <c r="AD621" s="53" t="s">
        <v>1184</v>
      </c>
      <c r="AE621" s="130"/>
      <c r="AF621" s="130"/>
      <c r="AG621" s="130"/>
      <c r="AH621" s="130"/>
    </row>
    <row r="622">
      <c r="A622" s="26" t="s">
        <v>1165</v>
      </c>
      <c r="B622" s="26" t="s">
        <v>1174</v>
      </c>
      <c r="C622" s="1" t="s">
        <v>110</v>
      </c>
      <c r="D622" s="26" t="s">
        <v>1185</v>
      </c>
      <c r="E622" s="25">
        <v>2008.0</v>
      </c>
      <c r="F622" s="25">
        <v>2013.0</v>
      </c>
      <c r="G622" s="25">
        <v>0.0</v>
      </c>
      <c r="H622" s="25">
        <v>1.5</v>
      </c>
      <c r="I622" s="50">
        <v>1.0</v>
      </c>
      <c r="J622" s="25">
        <v>1.5</v>
      </c>
      <c r="K622" s="51">
        <v>0.0</v>
      </c>
      <c r="L622" s="51">
        <v>0.0</v>
      </c>
      <c r="M622" s="25">
        <v>1.0</v>
      </c>
      <c r="N622" s="25"/>
      <c r="O622" s="26" t="s">
        <v>42</v>
      </c>
      <c r="P622" s="52">
        <v>185.3</v>
      </c>
      <c r="Q622" s="26" t="s">
        <v>52</v>
      </c>
      <c r="R622" s="25">
        <v>2010.0</v>
      </c>
      <c r="S622" s="25">
        <v>1.3</v>
      </c>
      <c r="T622" s="25">
        <f t="shared" si="90"/>
        <v>240.89</v>
      </c>
      <c r="U622" s="24">
        <f t="shared" si="3"/>
        <v>160.5933333</v>
      </c>
      <c r="V622" s="3">
        <f t="shared" si="28"/>
        <v>0</v>
      </c>
      <c r="W622" s="3">
        <f t="shared" si="29"/>
        <v>0</v>
      </c>
      <c r="X622" s="3">
        <f t="shared" si="30"/>
        <v>0</v>
      </c>
      <c r="Y622" s="25">
        <f t="shared" si="31"/>
        <v>0</v>
      </c>
      <c r="Z622" s="26">
        <f>VLOOKUP(R622,CPI!$A$2:$F$71,6,0)</f>
        <v>1.477209983</v>
      </c>
      <c r="AA622" s="27">
        <f t="shared" si="8"/>
        <v>355.8451127</v>
      </c>
      <c r="AB622" s="27">
        <f t="shared" si="9"/>
        <v>237.2300752</v>
      </c>
      <c r="AC622" s="26" t="s">
        <v>42</v>
      </c>
      <c r="AD622" s="53" t="s">
        <v>1186</v>
      </c>
      <c r="AE622" s="130"/>
      <c r="AF622" s="130"/>
      <c r="AG622" s="130"/>
      <c r="AH622" s="130"/>
    </row>
    <row r="623">
      <c r="A623" s="26" t="s">
        <v>1165</v>
      </c>
      <c r="B623" s="26" t="s">
        <v>1174</v>
      </c>
      <c r="C623" s="1" t="s">
        <v>287</v>
      </c>
      <c r="D623" s="26" t="s">
        <v>1187</v>
      </c>
      <c r="E623" s="25">
        <v>2012.0</v>
      </c>
      <c r="F623" s="25">
        <v>2021.0</v>
      </c>
      <c r="G623" s="25">
        <v>0.0</v>
      </c>
      <c r="H623" s="25">
        <v>1.7</v>
      </c>
      <c r="I623" s="50">
        <v>1.0</v>
      </c>
      <c r="J623" s="25">
        <v>1.7</v>
      </c>
      <c r="K623" s="51">
        <v>0.0</v>
      </c>
      <c r="L623" s="51">
        <v>0.0</v>
      </c>
      <c r="M623" s="25">
        <v>2.0</v>
      </c>
      <c r="N623" s="25"/>
      <c r="O623" s="26" t="s">
        <v>60</v>
      </c>
      <c r="P623" s="52">
        <v>175.1</v>
      </c>
      <c r="Q623" s="26" t="s">
        <v>52</v>
      </c>
      <c r="R623" s="25">
        <v>2006.0</v>
      </c>
      <c r="S623" s="25">
        <v>1.25</v>
      </c>
      <c r="T623" s="25">
        <f t="shared" si="90"/>
        <v>218.875</v>
      </c>
      <c r="U623" s="24">
        <f t="shared" si="3"/>
        <v>128.75</v>
      </c>
      <c r="V623" s="3">
        <f t="shared" si="28"/>
        <v>0</v>
      </c>
      <c r="W623" s="3">
        <f t="shared" si="29"/>
        <v>0</v>
      </c>
      <c r="X623" s="3">
        <f t="shared" si="30"/>
        <v>0</v>
      </c>
      <c r="Y623" s="25">
        <f t="shared" si="31"/>
        <v>0</v>
      </c>
      <c r="Z623" s="26">
        <f>VLOOKUP(R623,CPI!$A$2:$F$71,6,0)</f>
        <v>1.597790179</v>
      </c>
      <c r="AA623" s="27">
        <f t="shared" si="8"/>
        <v>349.7163253</v>
      </c>
      <c r="AB623" s="27">
        <f t="shared" si="9"/>
        <v>205.7154855</v>
      </c>
      <c r="AC623" s="26" t="s">
        <v>60</v>
      </c>
      <c r="AD623" s="57" t="s">
        <v>1188</v>
      </c>
      <c r="AE623" s="130"/>
      <c r="AF623" s="130"/>
      <c r="AG623" s="130"/>
      <c r="AH623" s="130"/>
    </row>
    <row r="624">
      <c r="A624" s="26" t="s">
        <v>1165</v>
      </c>
      <c r="B624" s="26" t="s">
        <v>1174</v>
      </c>
      <c r="C624" s="1" t="s">
        <v>110</v>
      </c>
      <c r="D624" s="26" t="s">
        <v>1189</v>
      </c>
      <c r="E624" s="25">
        <v>2014.0</v>
      </c>
      <c r="F624" s="25">
        <v>2021.0</v>
      </c>
      <c r="G624" s="25">
        <v>0.0</v>
      </c>
      <c r="H624" s="25">
        <v>1.8</v>
      </c>
      <c r="I624" s="50">
        <v>1.0</v>
      </c>
      <c r="J624" s="25">
        <v>1.8</v>
      </c>
      <c r="K624" s="51">
        <v>0.0</v>
      </c>
      <c r="L624" s="51">
        <v>0.0</v>
      </c>
      <c r="M624" s="25">
        <v>2.0</v>
      </c>
      <c r="N624" s="25"/>
      <c r="O624" s="26" t="s">
        <v>60</v>
      </c>
      <c r="P624" s="52">
        <v>380.0</v>
      </c>
      <c r="Q624" s="26" t="s">
        <v>52</v>
      </c>
      <c r="R624" s="25">
        <v>2011.0</v>
      </c>
      <c r="S624" s="25">
        <v>1.3</v>
      </c>
      <c r="T624" s="25">
        <f t="shared" si="90"/>
        <v>494</v>
      </c>
      <c r="U624" s="24">
        <f t="shared" si="3"/>
        <v>274.4444444</v>
      </c>
      <c r="V624" s="3">
        <f t="shared" si="28"/>
        <v>0</v>
      </c>
      <c r="W624" s="3">
        <f t="shared" si="29"/>
        <v>0</v>
      </c>
      <c r="X624" s="3">
        <f t="shared" si="30"/>
        <v>0</v>
      </c>
      <c r="Y624" s="25">
        <f t="shared" si="31"/>
        <v>0</v>
      </c>
      <c r="Z624" s="26">
        <f>VLOOKUP(R624,CPI!$A$2:$F$71,6,0)</f>
        <v>1.432008233</v>
      </c>
      <c r="AA624" s="27">
        <f t="shared" si="8"/>
        <v>707.4120673</v>
      </c>
      <c r="AB624" s="27">
        <f t="shared" si="9"/>
        <v>393.006704</v>
      </c>
      <c r="AC624" s="26" t="s">
        <v>60</v>
      </c>
      <c r="AD624" s="53" t="s">
        <v>1190</v>
      </c>
      <c r="AE624" s="130"/>
      <c r="AF624" s="130"/>
      <c r="AG624" s="130"/>
      <c r="AH624" s="130"/>
    </row>
    <row r="625">
      <c r="A625" s="26" t="s">
        <v>1165</v>
      </c>
      <c r="B625" s="26" t="s">
        <v>1174</v>
      </c>
      <c r="C625" s="1" t="s">
        <v>1191</v>
      </c>
      <c r="D625" s="26" t="s">
        <v>1192</v>
      </c>
      <c r="E625" s="25">
        <v>2018.0</v>
      </c>
      <c r="F625" s="25">
        <v>2022.0</v>
      </c>
      <c r="G625" s="25">
        <v>1.0</v>
      </c>
      <c r="H625" s="25">
        <v>8.0</v>
      </c>
      <c r="I625" s="50">
        <v>1.0</v>
      </c>
      <c r="J625" s="25">
        <v>8.0</v>
      </c>
      <c r="K625" s="51">
        <v>0.0</v>
      </c>
      <c r="L625" s="51">
        <v>0.0</v>
      </c>
      <c r="M625" s="25">
        <v>2.0</v>
      </c>
      <c r="N625" s="25"/>
      <c r="O625" s="26" t="s">
        <v>74</v>
      </c>
      <c r="P625" s="52">
        <v>1800.0</v>
      </c>
      <c r="Q625" s="26" t="s">
        <v>52</v>
      </c>
      <c r="R625" s="25">
        <v>2012.0</v>
      </c>
      <c r="S625" s="25">
        <v>1.3</v>
      </c>
      <c r="T625" s="25">
        <f t="shared" si="90"/>
        <v>2340</v>
      </c>
      <c r="U625" s="24">
        <f t="shared" si="3"/>
        <v>292.5</v>
      </c>
      <c r="V625" s="3">
        <f t="shared" si="28"/>
        <v>0</v>
      </c>
      <c r="W625" s="3">
        <f t="shared" si="29"/>
        <v>0</v>
      </c>
      <c r="X625" s="3">
        <f t="shared" si="30"/>
        <v>0</v>
      </c>
      <c r="Y625" s="25">
        <f t="shared" si="31"/>
        <v>0</v>
      </c>
      <c r="Z625" s="26">
        <f>VLOOKUP(R625,CPI!$A$2:$F$71,6,0)</f>
        <v>1.402974381</v>
      </c>
      <c r="AA625" s="27">
        <f t="shared" si="8"/>
        <v>3282.960051</v>
      </c>
      <c r="AB625" s="27">
        <f t="shared" si="9"/>
        <v>410.3700064</v>
      </c>
      <c r="AC625" s="26" t="s">
        <v>42</v>
      </c>
      <c r="AD625" s="53" t="s">
        <v>1193</v>
      </c>
      <c r="AE625" s="130"/>
      <c r="AF625" s="130"/>
      <c r="AG625" s="130"/>
      <c r="AH625" s="130"/>
    </row>
    <row r="626">
      <c r="A626" s="26" t="s">
        <v>1165</v>
      </c>
      <c r="B626" s="26" t="s">
        <v>1174</v>
      </c>
      <c r="C626" s="1" t="s">
        <v>292</v>
      </c>
      <c r="D626" s="26" t="s">
        <v>292</v>
      </c>
      <c r="E626" s="25">
        <v>2016.0</v>
      </c>
      <c r="F626" s="58">
        <v>2024.0</v>
      </c>
      <c r="G626" s="25">
        <v>0.0</v>
      </c>
      <c r="H626" s="58">
        <v>6.3</v>
      </c>
      <c r="I626" s="50">
        <v>0.9</v>
      </c>
      <c r="J626" s="58">
        <v>5.7</v>
      </c>
      <c r="K626" s="58">
        <v>0.6</v>
      </c>
      <c r="L626" s="51">
        <v>0.0</v>
      </c>
      <c r="M626" s="25">
        <v>6.0</v>
      </c>
      <c r="N626" s="25"/>
      <c r="O626" s="26" t="s">
        <v>59</v>
      </c>
      <c r="P626" s="52">
        <v>1084.0</v>
      </c>
      <c r="Q626" s="26" t="s">
        <v>52</v>
      </c>
      <c r="R626" s="25">
        <v>2014.0</v>
      </c>
      <c r="S626" s="25">
        <v>1.3</v>
      </c>
      <c r="T626" s="25">
        <f t="shared" si="90"/>
        <v>1409.2</v>
      </c>
      <c r="U626" s="24">
        <f t="shared" si="3"/>
        <v>223.6825397</v>
      </c>
      <c r="V626" s="3">
        <f t="shared" si="28"/>
        <v>0</v>
      </c>
      <c r="W626" s="3">
        <f t="shared" si="29"/>
        <v>0</v>
      </c>
      <c r="X626" s="3">
        <f t="shared" si="30"/>
        <v>0</v>
      </c>
      <c r="Y626" s="25">
        <f t="shared" si="31"/>
        <v>0</v>
      </c>
      <c r="Z626" s="26">
        <f>VLOOKUP(R626,CPI!$A$2:$F$71,6,0)</f>
        <v>1.360648571</v>
      </c>
      <c r="AA626" s="27">
        <f t="shared" si="8"/>
        <v>1917.425966</v>
      </c>
      <c r="AB626" s="27">
        <f t="shared" si="9"/>
        <v>304.3533279</v>
      </c>
      <c r="AC626" s="26" t="s">
        <v>60</v>
      </c>
      <c r="AD626" s="53" t="s">
        <v>1194</v>
      </c>
      <c r="AE626" s="130"/>
      <c r="AF626" s="130"/>
      <c r="AG626" s="130"/>
      <c r="AH626" s="130"/>
    </row>
    <row r="627">
      <c r="A627" s="26" t="s">
        <v>1165</v>
      </c>
      <c r="B627" s="26" t="s">
        <v>1174</v>
      </c>
      <c r="C627" s="26" t="s">
        <v>1195</v>
      </c>
      <c r="D627" s="26" t="s">
        <v>1195</v>
      </c>
      <c r="E627" s="25">
        <v>2017.0</v>
      </c>
      <c r="F627" s="25">
        <v>2030.0</v>
      </c>
      <c r="G627" s="25">
        <v>0.0</v>
      </c>
      <c r="H627" s="25">
        <v>200.0</v>
      </c>
      <c r="I627" s="50">
        <v>0.8</v>
      </c>
      <c r="J627" s="25">
        <v>160.0</v>
      </c>
      <c r="K627" s="51">
        <v>0.0</v>
      </c>
      <c r="L627" s="51">
        <v>0.0</v>
      </c>
      <c r="M627" s="25">
        <v>68.0</v>
      </c>
      <c r="N627" s="25"/>
      <c r="O627" s="26" t="s">
        <v>74</v>
      </c>
      <c r="P627" s="55">
        <v>36100.0</v>
      </c>
      <c r="Q627" s="26" t="s">
        <v>52</v>
      </c>
      <c r="R627" s="25">
        <v>2012.0</v>
      </c>
      <c r="S627" s="25">
        <v>1.3</v>
      </c>
      <c r="T627" s="25">
        <f t="shared" si="90"/>
        <v>46930</v>
      </c>
      <c r="U627" s="24">
        <f t="shared" si="3"/>
        <v>234.65</v>
      </c>
      <c r="V627" s="3">
        <f t="shared" si="28"/>
        <v>0</v>
      </c>
      <c r="W627" s="3">
        <f t="shared" si="29"/>
        <v>0</v>
      </c>
      <c r="X627" s="3">
        <f t="shared" si="30"/>
        <v>0</v>
      </c>
      <c r="Y627" s="25">
        <f t="shared" si="31"/>
        <v>0</v>
      </c>
      <c r="Z627" s="26">
        <f>VLOOKUP(R627,CPI!$A$2:$F$71,6,0)</f>
        <v>1.402974381</v>
      </c>
      <c r="AA627" s="27">
        <f t="shared" si="8"/>
        <v>65841.58769</v>
      </c>
      <c r="AB627" s="27">
        <f t="shared" si="9"/>
        <v>329.2079385</v>
      </c>
      <c r="AC627" s="26" t="s">
        <v>60</v>
      </c>
      <c r="AD627" s="88" t="s">
        <v>1196</v>
      </c>
      <c r="AE627" s="130"/>
      <c r="AF627" s="130"/>
      <c r="AG627" s="130"/>
      <c r="AH627" s="130"/>
    </row>
    <row r="628">
      <c r="A628" s="26" t="s">
        <v>1165</v>
      </c>
      <c r="B628" s="26" t="s">
        <v>1174</v>
      </c>
      <c r="C628" s="1" t="s">
        <v>57</v>
      </c>
      <c r="D628" s="26" t="s">
        <v>58</v>
      </c>
      <c r="E628" s="25">
        <v>2021.0</v>
      </c>
      <c r="F628" s="25">
        <v>2030.0</v>
      </c>
      <c r="G628" s="25">
        <v>0.0</v>
      </c>
      <c r="H628" s="25">
        <v>4.9</v>
      </c>
      <c r="I628" s="50">
        <v>1.0</v>
      </c>
      <c r="J628" s="25">
        <v>4.9</v>
      </c>
      <c r="K628" s="51">
        <v>0.0</v>
      </c>
      <c r="L628" s="51">
        <v>0.0</v>
      </c>
      <c r="M628" s="25">
        <v>3.0</v>
      </c>
      <c r="N628" s="25"/>
      <c r="O628" s="26" t="s">
        <v>60</v>
      </c>
      <c r="P628" s="52">
        <v>1385.0</v>
      </c>
      <c r="Q628" s="26" t="s">
        <v>52</v>
      </c>
      <c r="R628" s="25">
        <v>2017.0</v>
      </c>
      <c r="S628" s="25">
        <v>1.3</v>
      </c>
      <c r="T628" s="25">
        <f t="shared" si="90"/>
        <v>1800.5</v>
      </c>
      <c r="U628" s="24">
        <f t="shared" si="3"/>
        <v>367.4489796</v>
      </c>
      <c r="V628" s="3">
        <f t="shared" si="28"/>
        <v>0</v>
      </c>
      <c r="W628" s="3">
        <f t="shared" si="29"/>
        <v>0</v>
      </c>
      <c r="X628" s="3">
        <f t="shared" si="30"/>
        <v>0</v>
      </c>
      <c r="Y628" s="25">
        <f t="shared" si="31"/>
        <v>0</v>
      </c>
      <c r="Z628" s="26">
        <f>VLOOKUP(R628,CPI!$A$2:$F$71,6,0)</f>
        <v>1.314109416</v>
      </c>
      <c r="AA628" s="27">
        <f t="shared" si="8"/>
        <v>2366.054003</v>
      </c>
      <c r="AB628" s="27">
        <f t="shared" si="9"/>
        <v>482.8681639</v>
      </c>
      <c r="AC628" s="26" t="s">
        <v>42</v>
      </c>
      <c r="AD628" s="53" t="s">
        <v>1197</v>
      </c>
      <c r="AE628" s="130"/>
      <c r="AF628" s="130"/>
      <c r="AG628" s="130"/>
      <c r="AH628" s="130"/>
    </row>
    <row r="629">
      <c r="A629" s="26" t="s">
        <v>1165</v>
      </c>
      <c r="B629" s="26" t="s">
        <v>1198</v>
      </c>
      <c r="C629" s="26" t="s">
        <v>1169</v>
      </c>
      <c r="D629" s="26" t="s">
        <v>1169</v>
      </c>
      <c r="E629" s="25">
        <v>2014.0</v>
      </c>
      <c r="F629" s="25">
        <v>2021.0</v>
      </c>
      <c r="G629" s="25">
        <v>0.0</v>
      </c>
      <c r="H629" s="25">
        <v>14.0</v>
      </c>
      <c r="I629" s="50">
        <v>0.79</v>
      </c>
      <c r="J629" s="25">
        <v>11.0</v>
      </c>
      <c r="K629" s="51">
        <v>0.0</v>
      </c>
      <c r="L629" s="51">
        <v>0.0</v>
      </c>
      <c r="M629" s="25">
        <v>15.0</v>
      </c>
      <c r="N629" s="25"/>
      <c r="O629" s="26" t="s">
        <v>36</v>
      </c>
      <c r="P629" s="52">
        <v>1342.0</v>
      </c>
      <c r="Q629" s="26" t="s">
        <v>52</v>
      </c>
      <c r="R629" s="25">
        <v>2020.0</v>
      </c>
      <c r="S629" s="25">
        <v>1.3</v>
      </c>
      <c r="T629" s="25">
        <f t="shared" si="90"/>
        <v>1744.6</v>
      </c>
      <c r="U629" s="24">
        <f t="shared" si="3"/>
        <v>124.6142857</v>
      </c>
      <c r="V629" s="3">
        <f t="shared" si="28"/>
        <v>0</v>
      </c>
      <c r="W629" s="3">
        <f t="shared" si="29"/>
        <v>0</v>
      </c>
      <c r="X629" s="3">
        <f t="shared" si="30"/>
        <v>0</v>
      </c>
      <c r="Y629" s="25">
        <f t="shared" si="31"/>
        <v>0</v>
      </c>
      <c r="Z629" s="26">
        <f>VLOOKUP(R629,CPI!$A$2:$F$71,6,0)</f>
        <v>1.244593545</v>
      </c>
      <c r="AA629" s="27">
        <f t="shared" si="8"/>
        <v>2171.317899</v>
      </c>
      <c r="AB629" s="27">
        <f t="shared" si="9"/>
        <v>155.0941356</v>
      </c>
      <c r="AC629" s="26" t="s">
        <v>60</v>
      </c>
      <c r="AD629" s="53" t="s">
        <v>1199</v>
      </c>
      <c r="AE629" s="130"/>
      <c r="AF629" s="130"/>
      <c r="AG629" s="130"/>
      <c r="AH629" s="130"/>
    </row>
    <row r="630">
      <c r="A630" s="26" t="s">
        <v>1165</v>
      </c>
      <c r="B630" s="26" t="s">
        <v>1200</v>
      </c>
      <c r="C630" s="16" t="s">
        <v>87</v>
      </c>
      <c r="D630" s="26" t="s">
        <v>87</v>
      </c>
      <c r="E630" s="25">
        <v>2021.0</v>
      </c>
      <c r="F630" s="25">
        <v>2025.0</v>
      </c>
      <c r="G630" s="25">
        <v>0.0</v>
      </c>
      <c r="H630" s="25">
        <v>27.0</v>
      </c>
      <c r="I630" s="50">
        <v>0.6</v>
      </c>
      <c r="J630" s="25">
        <v>16.2</v>
      </c>
      <c r="K630" s="51">
        <v>0.0</v>
      </c>
      <c r="L630" s="51">
        <v>0.0</v>
      </c>
      <c r="M630" s="25">
        <v>21.0</v>
      </c>
      <c r="N630" s="25"/>
      <c r="O630" s="26" t="s">
        <v>60</v>
      </c>
      <c r="P630" s="52">
        <v>2670.0</v>
      </c>
      <c r="Q630" s="26" t="s">
        <v>52</v>
      </c>
      <c r="R630" s="25">
        <v>2016.0</v>
      </c>
      <c r="S630" s="25">
        <v>1.3</v>
      </c>
      <c r="T630" s="25">
        <f t="shared" si="90"/>
        <v>3471</v>
      </c>
      <c r="U630" s="24">
        <f t="shared" si="3"/>
        <v>128.5555556</v>
      </c>
      <c r="V630" s="3">
        <f t="shared" si="28"/>
        <v>0</v>
      </c>
      <c r="W630" s="3">
        <f t="shared" si="29"/>
        <v>0</v>
      </c>
      <c r="X630" s="3">
        <f t="shared" si="30"/>
        <v>0</v>
      </c>
      <c r="Y630" s="25">
        <f t="shared" si="31"/>
        <v>0</v>
      </c>
      <c r="Z630" s="26">
        <f>VLOOKUP(R630,CPI!$A$2:$F$71,6,0)</f>
        <v>1.342104605</v>
      </c>
      <c r="AA630" s="27">
        <f t="shared" si="8"/>
        <v>4658.445085</v>
      </c>
      <c r="AB630" s="27">
        <f t="shared" si="9"/>
        <v>172.5350031</v>
      </c>
      <c r="AC630" s="26" t="s">
        <v>60</v>
      </c>
      <c r="AD630" s="53" t="s">
        <v>1201</v>
      </c>
      <c r="AE630" s="130"/>
      <c r="AF630" s="130"/>
      <c r="AG630" s="130"/>
      <c r="AH630" s="130"/>
    </row>
    <row r="631">
      <c r="A631" s="26" t="s">
        <v>1202</v>
      </c>
      <c r="B631" s="26" t="s">
        <v>1203</v>
      </c>
      <c r="C631" s="1" t="s">
        <v>87</v>
      </c>
      <c r="D631" s="26" t="s">
        <v>1204</v>
      </c>
      <c r="E631" s="25">
        <v>2012.0</v>
      </c>
      <c r="F631" s="25">
        <v>2021.0</v>
      </c>
      <c r="G631" s="25">
        <v>0.0</v>
      </c>
      <c r="H631" s="25">
        <v>7.6</v>
      </c>
      <c r="I631" s="50">
        <v>1.0</v>
      </c>
      <c r="J631" s="25">
        <v>7.6</v>
      </c>
      <c r="K631" s="51">
        <v>0.0</v>
      </c>
      <c r="L631" s="51">
        <v>0.0</v>
      </c>
      <c r="M631" s="25">
        <v>6.0</v>
      </c>
      <c r="N631" s="25"/>
      <c r="O631" s="26" t="s">
        <v>60</v>
      </c>
      <c r="P631" s="52">
        <v>742.0</v>
      </c>
      <c r="Q631" s="26" t="s">
        <v>52</v>
      </c>
      <c r="R631" s="25">
        <v>2016.0</v>
      </c>
      <c r="S631" s="25">
        <v>1.3</v>
      </c>
      <c r="T631" s="25">
        <f t="shared" si="90"/>
        <v>964.6</v>
      </c>
      <c r="U631" s="24">
        <f t="shared" si="3"/>
        <v>126.9210526</v>
      </c>
      <c r="V631" s="3">
        <f t="shared" si="28"/>
        <v>1</v>
      </c>
      <c r="W631" s="3">
        <f t="shared" si="29"/>
        <v>7.6</v>
      </c>
      <c r="X631" s="3">
        <f t="shared" si="30"/>
        <v>7.6</v>
      </c>
      <c r="Y631" s="25">
        <f t="shared" si="31"/>
        <v>0</v>
      </c>
      <c r="Z631" s="26">
        <f>VLOOKUP(R631,CPI!$A$2:$F$71,6,0)</f>
        <v>1.342104605</v>
      </c>
      <c r="AA631" s="27">
        <f t="shared" si="8"/>
        <v>1294.594102</v>
      </c>
      <c r="AB631" s="27">
        <f t="shared" si="9"/>
        <v>170.3413292</v>
      </c>
      <c r="AC631" s="26" t="s">
        <v>60</v>
      </c>
      <c r="AD631" s="57" t="s">
        <v>1205</v>
      </c>
      <c r="AE631" s="130"/>
      <c r="AF631" s="130"/>
      <c r="AG631" s="130"/>
      <c r="AH631" s="130"/>
    </row>
    <row r="632">
      <c r="A632" s="26" t="s">
        <v>1202</v>
      </c>
      <c r="B632" s="26" t="s">
        <v>1203</v>
      </c>
      <c r="C632" s="26" t="s">
        <v>110</v>
      </c>
      <c r="D632" s="26" t="s">
        <v>110</v>
      </c>
      <c r="E632" s="25">
        <v>2019.0</v>
      </c>
      <c r="F632" s="25">
        <v>2027.0</v>
      </c>
      <c r="G632" s="25">
        <v>0.0</v>
      </c>
      <c r="H632" s="25">
        <v>12.8</v>
      </c>
      <c r="I632" s="50">
        <v>1.0</v>
      </c>
      <c r="J632" s="25">
        <v>12.8</v>
      </c>
      <c r="K632" s="51">
        <v>0.0</v>
      </c>
      <c r="L632" s="51">
        <v>0.0</v>
      </c>
      <c r="M632" s="25">
        <v>15.0</v>
      </c>
      <c r="N632" s="25"/>
      <c r="O632" s="26" t="s">
        <v>60</v>
      </c>
      <c r="P632" s="52">
        <v>1328.0</v>
      </c>
      <c r="Q632" s="26" t="s">
        <v>52</v>
      </c>
      <c r="R632" s="25">
        <v>2023.0</v>
      </c>
      <c r="S632" s="25">
        <v>1.3</v>
      </c>
      <c r="T632" s="25">
        <f t="shared" si="90"/>
        <v>1726.4</v>
      </c>
      <c r="U632" s="24">
        <f t="shared" si="3"/>
        <v>134.875</v>
      </c>
      <c r="V632" s="3">
        <f t="shared" si="28"/>
        <v>1</v>
      </c>
      <c r="W632" s="3">
        <f t="shared" si="29"/>
        <v>12.8</v>
      </c>
      <c r="X632" s="3">
        <f t="shared" si="30"/>
        <v>12.8</v>
      </c>
      <c r="Y632" s="25">
        <f t="shared" si="31"/>
        <v>0</v>
      </c>
      <c r="Z632" s="26">
        <f>VLOOKUP(R632,CPI!$A$2:$F$71,6,0)</f>
        <v>1.057145998</v>
      </c>
      <c r="AA632" s="27">
        <f t="shared" si="8"/>
        <v>1825.056852</v>
      </c>
      <c r="AB632" s="27">
        <f t="shared" si="9"/>
        <v>142.5825665</v>
      </c>
      <c r="AC632" s="26" t="s">
        <v>60</v>
      </c>
      <c r="AD632" s="53" t="s">
        <v>1206</v>
      </c>
      <c r="AE632" s="130"/>
      <c r="AF632" s="130"/>
      <c r="AG632" s="130"/>
      <c r="AH632" s="130"/>
    </row>
    <row r="633">
      <c r="A633" s="2" t="s">
        <v>1202</v>
      </c>
      <c r="B633" s="2" t="s">
        <v>1207</v>
      </c>
      <c r="C633" s="2" t="s">
        <v>1208</v>
      </c>
      <c r="D633" s="2" t="s">
        <v>1208</v>
      </c>
      <c r="E633" s="3">
        <v>2006.0</v>
      </c>
      <c r="F633" s="3">
        <v>2020.0</v>
      </c>
      <c r="G633" s="3">
        <v>0.0</v>
      </c>
      <c r="H633" s="3">
        <v>9.5</v>
      </c>
      <c r="I633" s="39">
        <v>1.0</v>
      </c>
      <c r="J633" s="3">
        <v>9.5</v>
      </c>
      <c r="K633" s="40">
        <v>0.0</v>
      </c>
      <c r="L633" s="40">
        <v>0.0</v>
      </c>
      <c r="M633" s="3">
        <v>13.0</v>
      </c>
      <c r="N633" s="85">
        <v>51.0</v>
      </c>
      <c r="O633" s="2" t="s">
        <v>60</v>
      </c>
      <c r="P633" s="41">
        <v>1112.0</v>
      </c>
      <c r="Q633" s="2" t="s">
        <v>52</v>
      </c>
      <c r="R633" s="3">
        <v>2014.0</v>
      </c>
      <c r="S633" s="3">
        <v>1.3</v>
      </c>
      <c r="T633" s="3">
        <f t="shared" si="90"/>
        <v>1445.6</v>
      </c>
      <c r="U633" s="24">
        <f t="shared" si="3"/>
        <v>152.1684211</v>
      </c>
      <c r="V633" s="3">
        <f t="shared" si="28"/>
        <v>1</v>
      </c>
      <c r="W633" s="3">
        <f t="shared" si="29"/>
        <v>9.5</v>
      </c>
      <c r="X633" s="3">
        <f t="shared" si="30"/>
        <v>9.5</v>
      </c>
      <c r="Y633" s="25">
        <f t="shared" si="31"/>
        <v>0</v>
      </c>
      <c r="Z633" s="26">
        <f>VLOOKUP(R633,CPI!$A$2:$F$71,6,0)</f>
        <v>1.360648571</v>
      </c>
      <c r="AA633" s="27">
        <f t="shared" si="8"/>
        <v>1966.953574</v>
      </c>
      <c r="AB633" s="27">
        <f t="shared" si="9"/>
        <v>207.0477446</v>
      </c>
      <c r="AC633" s="2" t="s">
        <v>60</v>
      </c>
      <c r="AD633" s="42" t="s">
        <v>1209</v>
      </c>
      <c r="AE633" s="130"/>
      <c r="AF633" s="130"/>
      <c r="AG633" s="130"/>
      <c r="AH633" s="130"/>
    </row>
    <row r="634">
      <c r="A634" s="2" t="s">
        <v>1202</v>
      </c>
      <c r="B634" s="2" t="s">
        <v>1207</v>
      </c>
      <c r="C634" s="2" t="s">
        <v>1210</v>
      </c>
      <c r="D634" s="2" t="s">
        <v>1210</v>
      </c>
      <c r="E634" s="3">
        <v>2013.0</v>
      </c>
      <c r="F634" s="3">
        <v>2021.0</v>
      </c>
      <c r="G634" s="3">
        <v>0.0</v>
      </c>
      <c r="H634" s="3">
        <v>4.8</v>
      </c>
      <c r="I634" s="39">
        <v>1.0</v>
      </c>
      <c r="J634" s="3">
        <v>4.8</v>
      </c>
      <c r="K634" s="40">
        <v>0.0</v>
      </c>
      <c r="L634" s="40">
        <v>0.0</v>
      </c>
      <c r="M634" s="3">
        <v>5.0</v>
      </c>
      <c r="N634" s="85">
        <v>51.0</v>
      </c>
      <c r="O634" s="2" t="s">
        <v>60</v>
      </c>
      <c r="P634" s="41">
        <v>567.0</v>
      </c>
      <c r="Q634" s="2" t="s">
        <v>52</v>
      </c>
      <c r="R634" s="3">
        <v>2017.0</v>
      </c>
      <c r="S634" s="3">
        <v>1.3</v>
      </c>
      <c r="T634" s="3">
        <f t="shared" si="90"/>
        <v>737.1</v>
      </c>
      <c r="U634" s="24">
        <f t="shared" si="3"/>
        <v>153.5625</v>
      </c>
      <c r="V634" s="3">
        <f t="shared" si="28"/>
        <v>1</v>
      </c>
      <c r="W634" s="3">
        <f t="shared" si="29"/>
        <v>4.8</v>
      </c>
      <c r="X634" s="3">
        <f t="shared" si="30"/>
        <v>4.8</v>
      </c>
      <c r="Y634" s="25">
        <f t="shared" si="31"/>
        <v>0</v>
      </c>
      <c r="Z634" s="26">
        <f>VLOOKUP(R634,CPI!$A$2:$F$71,6,0)</f>
        <v>1.314109416</v>
      </c>
      <c r="AA634" s="27">
        <f t="shared" si="8"/>
        <v>968.6300504</v>
      </c>
      <c r="AB634" s="27">
        <f t="shared" si="9"/>
        <v>201.7979272</v>
      </c>
      <c r="AC634" s="2" t="s">
        <v>60</v>
      </c>
      <c r="AD634" s="42" t="s">
        <v>1205</v>
      </c>
      <c r="AE634" s="130"/>
      <c r="AF634" s="130"/>
      <c r="AG634" s="130"/>
      <c r="AH634" s="130"/>
    </row>
    <row r="635">
      <c r="A635" s="44" t="s">
        <v>1211</v>
      </c>
      <c r="B635" s="44" t="s">
        <v>1212</v>
      </c>
      <c r="C635" s="44" t="s">
        <v>1213</v>
      </c>
      <c r="D635" s="44" t="s">
        <v>1213</v>
      </c>
      <c r="E635" s="271">
        <v>1975.0</v>
      </c>
      <c r="F635" s="271">
        <v>1980.0</v>
      </c>
      <c r="G635" s="271">
        <v>0.0</v>
      </c>
      <c r="H635" s="271">
        <v>15.6</v>
      </c>
      <c r="I635" s="272">
        <v>0.821</v>
      </c>
      <c r="J635" s="271">
        <v>12.8</v>
      </c>
      <c r="K635" s="271">
        <v>2.8</v>
      </c>
      <c r="L635" s="271">
        <v>0.0</v>
      </c>
      <c r="M635" s="271">
        <v>15.0</v>
      </c>
      <c r="N635" s="271">
        <v>200.0</v>
      </c>
      <c r="O635" s="44" t="s">
        <v>60</v>
      </c>
      <c r="P635" s="273">
        <v>5637.0</v>
      </c>
      <c r="Q635" s="44" t="s">
        <v>1214</v>
      </c>
      <c r="R635" s="271">
        <v>1977.0</v>
      </c>
      <c r="S635" s="271">
        <v>0.9157</v>
      </c>
      <c r="T635" s="45">
        <f t="shared" si="90"/>
        <v>5161.8009</v>
      </c>
      <c r="U635" s="24">
        <f t="shared" si="3"/>
        <v>330.8846731</v>
      </c>
      <c r="V635" s="3">
        <f t="shared" si="28"/>
        <v>0</v>
      </c>
      <c r="W635" s="3">
        <f t="shared" si="29"/>
        <v>0</v>
      </c>
      <c r="X635" s="3">
        <f t="shared" si="30"/>
        <v>0</v>
      </c>
      <c r="Y635" s="25">
        <f t="shared" si="31"/>
        <v>0</v>
      </c>
      <c r="Z635" s="26">
        <f>VLOOKUP(R635,CPI!$A$2:$F$71,6,0)</f>
        <v>5.315420792</v>
      </c>
      <c r="AA635" s="27">
        <f t="shared" si="8"/>
        <v>27437.14383</v>
      </c>
      <c r="AB635" s="27">
        <f t="shared" si="9"/>
        <v>1758.791271</v>
      </c>
      <c r="AC635" s="44" t="s">
        <v>60</v>
      </c>
      <c r="AD635" s="274" t="s">
        <v>1215</v>
      </c>
      <c r="AE635" s="275"/>
      <c r="AF635" s="275"/>
      <c r="AG635" s="275"/>
      <c r="AH635" s="275"/>
    </row>
    <row r="636">
      <c r="A636" s="44" t="s">
        <v>1211</v>
      </c>
      <c r="B636" s="44" t="s">
        <v>1212</v>
      </c>
      <c r="C636" s="44" t="s">
        <v>1216</v>
      </c>
      <c r="D636" s="44" t="s">
        <v>1217</v>
      </c>
      <c r="E636" s="271">
        <v>1978.0</v>
      </c>
      <c r="F636" s="271">
        <v>1982.0</v>
      </c>
      <c r="G636" s="271">
        <v>0.0</v>
      </c>
      <c r="H636" s="271">
        <v>10.5</v>
      </c>
      <c r="I636" s="272">
        <v>0.8</v>
      </c>
      <c r="J636" s="271">
        <v>8.4</v>
      </c>
      <c r="K636" s="271">
        <v>2.0</v>
      </c>
      <c r="L636" s="271">
        <v>0.1</v>
      </c>
      <c r="M636" s="271">
        <v>10.0</v>
      </c>
      <c r="N636" s="271">
        <v>200.0</v>
      </c>
      <c r="O636" s="44" t="s">
        <v>60</v>
      </c>
      <c r="P636" s="273">
        <v>3900.0</v>
      </c>
      <c r="Q636" s="44" t="s">
        <v>1214</v>
      </c>
      <c r="R636" s="271">
        <v>1980.0</v>
      </c>
      <c r="S636" s="271">
        <v>0.6209</v>
      </c>
      <c r="T636" s="45">
        <f t="shared" si="90"/>
        <v>2421.51</v>
      </c>
      <c r="U636" s="24">
        <f t="shared" si="3"/>
        <v>230.62</v>
      </c>
      <c r="V636" s="3">
        <f t="shared" si="28"/>
        <v>0</v>
      </c>
      <c r="W636" s="3">
        <f t="shared" si="29"/>
        <v>0</v>
      </c>
      <c r="X636" s="3">
        <f t="shared" si="30"/>
        <v>0</v>
      </c>
      <c r="Y636" s="25">
        <f t="shared" si="31"/>
        <v>0</v>
      </c>
      <c r="Z636" s="26">
        <f>VLOOKUP(R636,CPI!$A$2:$F$71,6,0)</f>
        <v>3.909156553</v>
      </c>
      <c r="AA636" s="27">
        <f t="shared" si="8"/>
        <v>9466.061686</v>
      </c>
      <c r="AB636" s="27">
        <f t="shared" si="9"/>
        <v>901.5296843</v>
      </c>
      <c r="AC636" s="44" t="s">
        <v>60</v>
      </c>
      <c r="AD636" s="274" t="s">
        <v>1218</v>
      </c>
      <c r="AE636" s="275"/>
      <c r="AF636" s="275"/>
      <c r="AG636" s="275"/>
      <c r="AH636" s="275"/>
    </row>
    <row r="637">
      <c r="A637" s="44" t="s">
        <v>1211</v>
      </c>
      <c r="B637" s="44" t="s">
        <v>1212</v>
      </c>
      <c r="C637" s="44" t="s">
        <v>1219</v>
      </c>
      <c r="D637" s="44" t="s">
        <v>1219</v>
      </c>
      <c r="E637" s="271">
        <v>1981.0</v>
      </c>
      <c r="F637" s="271">
        <v>1986.0</v>
      </c>
      <c r="G637" s="271">
        <v>0.0</v>
      </c>
      <c r="H637" s="271">
        <v>12.5</v>
      </c>
      <c r="I637" s="272">
        <v>0.84</v>
      </c>
      <c r="J637" s="271">
        <v>10.5</v>
      </c>
      <c r="K637" s="271">
        <v>2.0</v>
      </c>
      <c r="L637" s="271">
        <v>0.0</v>
      </c>
      <c r="M637" s="271">
        <v>14.0</v>
      </c>
      <c r="N637" s="271">
        <v>200.0</v>
      </c>
      <c r="O637" s="44" t="s">
        <v>60</v>
      </c>
      <c r="P637" s="273">
        <v>8748.0</v>
      </c>
      <c r="Q637" s="44" t="s">
        <v>1214</v>
      </c>
      <c r="R637" s="271">
        <v>1983.0</v>
      </c>
      <c r="S637" s="271">
        <v>0.4907</v>
      </c>
      <c r="T637" s="45">
        <f t="shared" si="90"/>
        <v>4292.6436</v>
      </c>
      <c r="U637" s="24">
        <f t="shared" si="3"/>
        <v>343.411488</v>
      </c>
      <c r="V637" s="3">
        <f t="shared" si="28"/>
        <v>0</v>
      </c>
      <c r="W637" s="3">
        <f t="shared" si="29"/>
        <v>0</v>
      </c>
      <c r="X637" s="3">
        <f t="shared" si="30"/>
        <v>0</v>
      </c>
      <c r="Y637" s="25">
        <f t="shared" si="31"/>
        <v>0</v>
      </c>
      <c r="Z637" s="26">
        <f>VLOOKUP(R637,CPI!$A$2:$F$71,6,0)</f>
        <v>3.234081325</v>
      </c>
      <c r="AA637" s="27">
        <f t="shared" si="8"/>
        <v>13882.7585</v>
      </c>
      <c r="AB637" s="27">
        <f t="shared" si="9"/>
        <v>1110.62068</v>
      </c>
      <c r="AC637" s="44" t="s">
        <v>60</v>
      </c>
      <c r="AD637" s="274" t="s">
        <v>1220</v>
      </c>
      <c r="AE637" s="275"/>
      <c r="AF637" s="275"/>
      <c r="AG637" s="275"/>
      <c r="AH637" s="275"/>
    </row>
    <row r="638">
      <c r="A638" s="44" t="s">
        <v>1211</v>
      </c>
      <c r="B638" s="44" t="s">
        <v>1212</v>
      </c>
      <c r="C638" s="44" t="s">
        <v>1221</v>
      </c>
      <c r="D638" s="44" t="s">
        <v>1221</v>
      </c>
      <c r="E638" s="271">
        <v>1986.0</v>
      </c>
      <c r="F638" s="271">
        <v>1989.0</v>
      </c>
      <c r="G638" s="271">
        <v>0.0</v>
      </c>
      <c r="H638" s="271">
        <v>4.6</v>
      </c>
      <c r="I638" s="272">
        <v>1.0</v>
      </c>
      <c r="J638" s="271">
        <v>4.6</v>
      </c>
      <c r="K638" s="271">
        <v>0.0</v>
      </c>
      <c r="L638" s="271">
        <v>0.0</v>
      </c>
      <c r="M638" s="271">
        <v>1.0</v>
      </c>
      <c r="N638" s="271">
        <v>200.0</v>
      </c>
      <c r="O638" s="44" t="s">
        <v>60</v>
      </c>
      <c r="P638" s="273">
        <v>1254.0</v>
      </c>
      <c r="Q638" s="44" t="s">
        <v>1214</v>
      </c>
      <c r="R638" s="271">
        <v>1987.0</v>
      </c>
      <c r="S638" s="271">
        <v>0.3768</v>
      </c>
      <c r="T638" s="45">
        <f t="shared" si="90"/>
        <v>472.5072</v>
      </c>
      <c r="U638" s="24">
        <f t="shared" si="3"/>
        <v>102.7189565</v>
      </c>
      <c r="V638" s="3">
        <f t="shared" si="28"/>
        <v>0</v>
      </c>
      <c r="W638" s="3">
        <f t="shared" si="29"/>
        <v>0</v>
      </c>
      <c r="X638" s="3">
        <f t="shared" si="30"/>
        <v>0</v>
      </c>
      <c r="Y638" s="25">
        <f t="shared" si="31"/>
        <v>0</v>
      </c>
      <c r="Z638" s="26">
        <f>VLOOKUP(R638,CPI!$A$2:$F$71,6,0)</f>
        <v>2.835514965</v>
      </c>
      <c r="AA638" s="27">
        <f t="shared" si="8"/>
        <v>1339.801237</v>
      </c>
      <c r="AB638" s="27">
        <f t="shared" si="9"/>
        <v>291.2611384</v>
      </c>
      <c r="AC638" s="44" t="s">
        <v>60</v>
      </c>
      <c r="AD638" s="276" t="s">
        <v>1222</v>
      </c>
      <c r="AE638" s="275"/>
      <c r="AF638" s="275"/>
      <c r="AG638" s="275"/>
      <c r="AH638" s="275"/>
    </row>
    <row r="639">
      <c r="A639" s="278" t="s">
        <v>1211</v>
      </c>
      <c r="B639" s="278" t="s">
        <v>1212</v>
      </c>
      <c r="C639" s="278" t="s">
        <v>1223</v>
      </c>
      <c r="D639" s="278" t="s">
        <v>1223</v>
      </c>
      <c r="E639" s="279">
        <v>1994.0</v>
      </c>
      <c r="F639" s="279">
        <v>1998.0</v>
      </c>
      <c r="G639" s="279">
        <v>0.0</v>
      </c>
      <c r="H639" s="279">
        <v>34.0</v>
      </c>
      <c r="I639" s="280">
        <v>0.2353</v>
      </c>
      <c r="J639" s="279">
        <v>8.0</v>
      </c>
      <c r="K639" s="279">
        <v>6.0</v>
      </c>
      <c r="L639" s="279">
        <v>20.0</v>
      </c>
      <c r="M639" s="279">
        <v>9.0</v>
      </c>
      <c r="N639" s="279">
        <v>200.0</v>
      </c>
      <c r="O639" s="278" t="s">
        <v>60</v>
      </c>
      <c r="P639" s="281">
        <v>34000.0</v>
      </c>
      <c r="Q639" s="278" t="s">
        <v>1214</v>
      </c>
      <c r="R639" s="279">
        <v>1996.0</v>
      </c>
      <c r="S639" s="279">
        <v>0.1871</v>
      </c>
      <c r="T639" s="282">
        <f t="shared" si="90"/>
        <v>6361.4</v>
      </c>
      <c r="U639" s="24">
        <f t="shared" si="3"/>
        <v>187.1</v>
      </c>
      <c r="V639" s="3">
        <f t="shared" si="28"/>
        <v>0</v>
      </c>
      <c r="W639" s="3">
        <f t="shared" si="29"/>
        <v>0</v>
      </c>
      <c r="X639" s="3">
        <f t="shared" si="30"/>
        <v>0</v>
      </c>
      <c r="Y639" s="25">
        <f t="shared" si="31"/>
        <v>0</v>
      </c>
      <c r="Z639" s="26">
        <f>VLOOKUP(R639,CPI!$A$2:$F$71,6,0)</f>
        <v>2.052992352</v>
      </c>
      <c r="AA639" s="27">
        <f t="shared" si="8"/>
        <v>13059.90555</v>
      </c>
      <c r="AB639" s="27">
        <f t="shared" si="9"/>
        <v>384.114869</v>
      </c>
      <c r="AC639" s="278" t="s">
        <v>60</v>
      </c>
      <c r="AD639" s="283" t="s">
        <v>1224</v>
      </c>
      <c r="AE639" s="284"/>
      <c r="AF639" s="285"/>
      <c r="AG639" s="285"/>
      <c r="AH639" s="285"/>
    </row>
    <row r="640">
      <c r="A640" s="278" t="s">
        <v>1211</v>
      </c>
      <c r="B640" s="278" t="s">
        <v>1212</v>
      </c>
      <c r="C640" s="16" t="s">
        <v>1225</v>
      </c>
      <c r="D640" s="278" t="s">
        <v>1226</v>
      </c>
      <c r="E640" s="279">
        <v>1997.0</v>
      </c>
      <c r="F640" s="279">
        <v>2001.0</v>
      </c>
      <c r="G640" s="279">
        <v>0.0</v>
      </c>
      <c r="H640" s="279">
        <v>2.1</v>
      </c>
      <c r="I640" s="280">
        <v>1.0</v>
      </c>
      <c r="J640" s="279">
        <v>2.1</v>
      </c>
      <c r="K640" s="279">
        <v>0.0</v>
      </c>
      <c r="L640" s="279">
        <v>0.0</v>
      </c>
      <c r="M640" s="279">
        <v>0.0</v>
      </c>
      <c r="N640" s="279" t="s">
        <v>1227</v>
      </c>
      <c r="O640" s="278" t="s">
        <v>60</v>
      </c>
      <c r="P640" s="281">
        <v>3100.0</v>
      </c>
      <c r="Q640" s="278" t="s">
        <v>1214</v>
      </c>
      <c r="R640" s="279">
        <v>1999.0</v>
      </c>
      <c r="S640" s="279">
        <v>0.1823</v>
      </c>
      <c r="T640" s="282">
        <f t="shared" si="90"/>
        <v>565.13</v>
      </c>
      <c r="U640" s="24">
        <f t="shared" si="3"/>
        <v>269.1095238</v>
      </c>
      <c r="V640" s="3">
        <f t="shared" si="28"/>
        <v>0</v>
      </c>
      <c r="W640" s="3">
        <f t="shared" si="29"/>
        <v>0</v>
      </c>
      <c r="X640" s="3">
        <f t="shared" si="30"/>
        <v>0</v>
      </c>
      <c r="Y640" s="25">
        <f t="shared" si="31"/>
        <v>0</v>
      </c>
      <c r="Z640" s="26">
        <f>VLOOKUP(R640,CPI!$A$2:$F$71,6,0)</f>
        <v>1.933460384</v>
      </c>
      <c r="AA640" s="27">
        <f t="shared" si="8"/>
        <v>1092.656467</v>
      </c>
      <c r="AB640" s="27">
        <f t="shared" si="9"/>
        <v>520.3126033</v>
      </c>
      <c r="AC640" s="278" t="s">
        <v>60</v>
      </c>
      <c r="AD640" s="286"/>
      <c r="AE640" s="284"/>
      <c r="AF640" s="285"/>
      <c r="AG640" s="285"/>
      <c r="AH640" s="285"/>
    </row>
    <row r="641">
      <c r="A641" s="278" t="s">
        <v>1211</v>
      </c>
      <c r="B641" s="278" t="s">
        <v>1212</v>
      </c>
      <c r="C641" s="16" t="s">
        <v>1228</v>
      </c>
      <c r="D641" s="278" t="s">
        <v>1229</v>
      </c>
      <c r="E641" s="279">
        <v>1999.0</v>
      </c>
      <c r="F641" s="279">
        <v>2002.0</v>
      </c>
      <c r="G641" s="279">
        <v>0.0</v>
      </c>
      <c r="H641" s="279">
        <v>4.0</v>
      </c>
      <c r="I641" s="280">
        <v>1.0</v>
      </c>
      <c r="J641" s="279">
        <v>4.0</v>
      </c>
      <c r="K641" s="279">
        <v>0.0</v>
      </c>
      <c r="L641" s="279">
        <v>0.0</v>
      </c>
      <c r="M641" s="279">
        <v>5.0</v>
      </c>
      <c r="N641" s="279">
        <v>200.0</v>
      </c>
      <c r="O641" s="278" t="s">
        <v>60</v>
      </c>
      <c r="P641" s="281">
        <v>16000.0</v>
      </c>
      <c r="Q641" s="278" t="s">
        <v>1214</v>
      </c>
      <c r="R641" s="279">
        <v>2000.0</v>
      </c>
      <c r="S641" s="279">
        <v>0.1886</v>
      </c>
      <c r="T641" s="282">
        <f t="shared" si="90"/>
        <v>3017.6</v>
      </c>
      <c r="U641" s="24">
        <f t="shared" si="3"/>
        <v>754.4</v>
      </c>
      <c r="V641" s="3">
        <f t="shared" si="28"/>
        <v>0</v>
      </c>
      <c r="W641" s="3">
        <f t="shared" si="29"/>
        <v>0</v>
      </c>
      <c r="X641" s="3">
        <f t="shared" si="30"/>
        <v>0</v>
      </c>
      <c r="Y641" s="25">
        <f t="shared" si="31"/>
        <v>0</v>
      </c>
      <c r="Z641" s="26">
        <f>VLOOKUP(R641,CPI!$A$2:$F$71,6,0)</f>
        <v>1.870583624</v>
      </c>
      <c r="AA641" s="27">
        <f t="shared" si="8"/>
        <v>5644.673143</v>
      </c>
      <c r="AB641" s="27">
        <f t="shared" si="9"/>
        <v>1411.168286</v>
      </c>
      <c r="AC641" s="278"/>
      <c r="AD641" s="286"/>
      <c r="AE641" s="284"/>
      <c r="AF641" s="285"/>
      <c r="AG641" s="285"/>
      <c r="AH641" s="285"/>
    </row>
    <row r="642">
      <c r="A642" s="278" t="s">
        <v>1211</v>
      </c>
      <c r="B642" s="278" t="s">
        <v>1212</v>
      </c>
      <c r="C642" s="16" t="s">
        <v>1230</v>
      </c>
      <c r="D642" s="278" t="s">
        <v>1231</v>
      </c>
      <c r="E642" s="279">
        <v>2001.0</v>
      </c>
      <c r="F642" s="279">
        <v>2005.0</v>
      </c>
      <c r="G642" s="279">
        <v>0.0</v>
      </c>
      <c r="H642" s="279">
        <v>3.5</v>
      </c>
      <c r="I642" s="280">
        <v>0.25</v>
      </c>
      <c r="J642" s="279">
        <v>0.875</v>
      </c>
      <c r="K642" s="279">
        <v>0.0</v>
      </c>
      <c r="L642" s="279">
        <v>2.625</v>
      </c>
      <c r="M642" s="279">
        <v>2.0</v>
      </c>
      <c r="N642" s="282"/>
      <c r="O642" s="278" t="s">
        <v>59</v>
      </c>
      <c r="P642" s="281">
        <v>2000.0</v>
      </c>
      <c r="Q642" s="278" t="s">
        <v>1214</v>
      </c>
      <c r="R642" s="279">
        <v>2003.0</v>
      </c>
      <c r="S642" s="279">
        <v>0.2115</v>
      </c>
      <c r="T642" s="282">
        <f t="shared" si="90"/>
        <v>423</v>
      </c>
      <c r="U642" s="24">
        <f t="shared" si="3"/>
        <v>120.8571429</v>
      </c>
      <c r="V642" s="3">
        <f t="shared" si="28"/>
        <v>0</v>
      </c>
      <c r="W642" s="3">
        <f t="shared" si="29"/>
        <v>0</v>
      </c>
      <c r="X642" s="3">
        <f t="shared" si="30"/>
        <v>0</v>
      </c>
      <c r="Y642" s="25">
        <f t="shared" si="31"/>
        <v>0</v>
      </c>
      <c r="Z642" s="26">
        <f>VLOOKUP(R642,CPI!$A$2:$F$71,6,0)</f>
        <v>1.750622283</v>
      </c>
      <c r="AA642" s="27">
        <f t="shared" si="8"/>
        <v>740.5132255</v>
      </c>
      <c r="AB642" s="27">
        <f t="shared" si="9"/>
        <v>211.5752073</v>
      </c>
      <c r="AC642" s="278"/>
      <c r="AD642" s="286"/>
      <c r="AE642" s="284"/>
      <c r="AF642" s="285"/>
      <c r="AG642" s="285"/>
      <c r="AH642" s="285"/>
    </row>
    <row r="643">
      <c r="A643" s="43" t="s">
        <v>1211</v>
      </c>
      <c r="B643" s="43" t="s">
        <v>1212</v>
      </c>
      <c r="C643" s="43" t="s">
        <v>1235</v>
      </c>
      <c r="D643" s="43" t="s">
        <v>1235</v>
      </c>
      <c r="E643" s="45">
        <v>2009.0</v>
      </c>
      <c r="F643" s="45">
        <v>2016.0</v>
      </c>
      <c r="G643" s="45">
        <v>0.0</v>
      </c>
      <c r="H643" s="45">
        <v>3.0</v>
      </c>
      <c r="I643" s="46">
        <v>1.0</v>
      </c>
      <c r="J643" s="45">
        <v>3.0</v>
      </c>
      <c r="K643" s="47">
        <v>0.0</v>
      </c>
      <c r="L643" s="47">
        <v>0.0</v>
      </c>
      <c r="M643" s="45">
        <v>3.0</v>
      </c>
      <c r="N643" s="45"/>
      <c r="O643" s="43" t="s">
        <v>60</v>
      </c>
      <c r="P643" s="48">
        <v>18500.0</v>
      </c>
      <c r="Q643" s="43" t="s">
        <v>1214</v>
      </c>
      <c r="R643" s="45">
        <v>2012.0</v>
      </c>
      <c r="S643" s="45">
        <v>0.1834</v>
      </c>
      <c r="T643" s="45">
        <f t="shared" si="90"/>
        <v>3392.9</v>
      </c>
      <c r="U643" s="24">
        <f t="shared" si="3"/>
        <v>1130.966667</v>
      </c>
      <c r="V643" s="3">
        <f t="shared" si="28"/>
        <v>0</v>
      </c>
      <c r="W643" s="3">
        <f t="shared" si="29"/>
        <v>0</v>
      </c>
      <c r="X643" s="3">
        <f t="shared" si="30"/>
        <v>0</v>
      </c>
      <c r="Y643" s="25">
        <f t="shared" si="31"/>
        <v>0</v>
      </c>
      <c r="Z643" s="26">
        <f>VLOOKUP(R643,CPI!$A$2:$F$71,6,0)</f>
        <v>1.402974381</v>
      </c>
      <c r="AA643" s="27">
        <f t="shared" si="8"/>
        <v>4760.151777</v>
      </c>
      <c r="AB643" s="27">
        <f t="shared" si="9"/>
        <v>1586.717259</v>
      </c>
      <c r="AC643" s="43" t="s">
        <v>60</v>
      </c>
      <c r="AD643" s="49" t="s">
        <v>1236</v>
      </c>
      <c r="AE643" s="275"/>
      <c r="AF643" s="275"/>
      <c r="AG643" s="275"/>
      <c r="AH643" s="275"/>
    </row>
    <row r="644">
      <c r="A644" s="43" t="s">
        <v>1211</v>
      </c>
      <c r="B644" s="43" t="s">
        <v>1212</v>
      </c>
      <c r="C644" s="16" t="s">
        <v>1225</v>
      </c>
      <c r="D644" s="43" t="s">
        <v>1237</v>
      </c>
      <c r="E644" s="45">
        <v>2011.0</v>
      </c>
      <c r="F644" s="45">
        <v>2016.0</v>
      </c>
      <c r="G644" s="45">
        <v>0.0</v>
      </c>
      <c r="H644" s="45">
        <v>2.6</v>
      </c>
      <c r="I644" s="46">
        <v>1.0</v>
      </c>
      <c r="J644" s="45">
        <v>2.6</v>
      </c>
      <c r="K644" s="47">
        <v>0.0</v>
      </c>
      <c r="L644" s="47">
        <v>0.0</v>
      </c>
      <c r="M644" s="45">
        <v>2.0</v>
      </c>
      <c r="N644" s="45"/>
      <c r="O644" s="43" t="s">
        <v>60</v>
      </c>
      <c r="P644" s="48">
        <v>7200.0</v>
      </c>
      <c r="Q644" s="43" t="s">
        <v>1214</v>
      </c>
      <c r="R644" s="45">
        <v>2013.0</v>
      </c>
      <c r="S644" s="45">
        <v>0.1803</v>
      </c>
      <c r="T644" s="45">
        <f t="shared" si="90"/>
        <v>1298.16</v>
      </c>
      <c r="U644" s="24">
        <f t="shared" si="3"/>
        <v>499.2923077</v>
      </c>
      <c r="V644" s="3">
        <f t="shared" si="28"/>
        <v>0</v>
      </c>
      <c r="W644" s="3">
        <f t="shared" si="29"/>
        <v>0</v>
      </c>
      <c r="X644" s="3">
        <f t="shared" si="30"/>
        <v>0</v>
      </c>
      <c r="Y644" s="25">
        <f t="shared" si="31"/>
        <v>0</v>
      </c>
      <c r="Z644" s="26">
        <f>VLOOKUP(R644,CPI!$A$2:$F$71,6,0)</f>
        <v>1.382720845</v>
      </c>
      <c r="AA644" s="27">
        <f t="shared" si="8"/>
        <v>1794.992893</v>
      </c>
      <c r="AB644" s="27">
        <f t="shared" si="9"/>
        <v>690.3818818</v>
      </c>
      <c r="AC644" s="43" t="s">
        <v>60</v>
      </c>
      <c r="AD644" s="49" t="s">
        <v>1236</v>
      </c>
      <c r="AE644" s="275"/>
      <c r="AF644" s="275"/>
      <c r="AG644" s="275"/>
      <c r="AH644" s="275"/>
    </row>
    <row r="645">
      <c r="A645" s="43" t="s">
        <v>1211</v>
      </c>
      <c r="B645" s="43" t="s">
        <v>1212</v>
      </c>
      <c r="C645" s="16" t="s">
        <v>1238</v>
      </c>
      <c r="D645" s="43" t="s">
        <v>1239</v>
      </c>
      <c r="E645" s="45">
        <v>2011.0</v>
      </c>
      <c r="F645" s="45">
        <v>2016.0</v>
      </c>
      <c r="G645" s="45">
        <v>0.0</v>
      </c>
      <c r="H645" s="45">
        <v>7.0</v>
      </c>
      <c r="I645" s="46">
        <v>0.71</v>
      </c>
      <c r="J645" s="45">
        <v>5.0</v>
      </c>
      <c r="K645" s="271">
        <v>2.0</v>
      </c>
      <c r="L645" s="47">
        <v>0.0</v>
      </c>
      <c r="M645" s="45">
        <v>5.0</v>
      </c>
      <c r="N645" s="45"/>
      <c r="O645" s="43" t="s">
        <v>60</v>
      </c>
      <c r="P645" s="48">
        <v>16900.0</v>
      </c>
      <c r="Q645" s="43" t="s">
        <v>1214</v>
      </c>
      <c r="R645" s="45">
        <v>2013.0</v>
      </c>
      <c r="S645" s="45">
        <v>0.1803</v>
      </c>
      <c r="T645" s="45">
        <f t="shared" si="90"/>
        <v>3047.07</v>
      </c>
      <c r="U645" s="24">
        <f t="shared" si="3"/>
        <v>435.2957143</v>
      </c>
      <c r="V645" s="3">
        <f t="shared" si="28"/>
        <v>0</v>
      </c>
      <c r="W645" s="3">
        <f t="shared" si="29"/>
        <v>0</v>
      </c>
      <c r="X645" s="3">
        <f t="shared" si="30"/>
        <v>0</v>
      </c>
      <c r="Y645" s="25">
        <f t="shared" si="31"/>
        <v>0</v>
      </c>
      <c r="Z645" s="26">
        <f>VLOOKUP(R645,CPI!$A$2:$F$71,6,0)</f>
        <v>1.382720845</v>
      </c>
      <c r="AA645" s="27">
        <f t="shared" si="8"/>
        <v>4213.247207</v>
      </c>
      <c r="AB645" s="27">
        <f t="shared" si="9"/>
        <v>601.8924581</v>
      </c>
      <c r="AC645" s="43" t="s">
        <v>60</v>
      </c>
      <c r="AD645" s="49" t="s">
        <v>1236</v>
      </c>
      <c r="AE645" s="275"/>
      <c r="AF645" s="275"/>
      <c r="AG645" s="275"/>
      <c r="AH645" s="275"/>
    </row>
    <row r="646">
      <c r="A646" s="43" t="s">
        <v>1211</v>
      </c>
      <c r="B646" s="43" t="s">
        <v>1212</v>
      </c>
      <c r="C646" s="43" t="s">
        <v>1240</v>
      </c>
      <c r="D646" s="43" t="s">
        <v>1240</v>
      </c>
      <c r="E646" s="45">
        <v>2012.0</v>
      </c>
      <c r="F646" s="45">
        <v>2022.0</v>
      </c>
      <c r="G646" s="45">
        <v>1.0</v>
      </c>
      <c r="H646" s="45">
        <v>17.0</v>
      </c>
      <c r="I646" s="46">
        <v>0.88</v>
      </c>
      <c r="J646" s="45">
        <v>15.0</v>
      </c>
      <c r="K646" s="47">
        <v>0.0</v>
      </c>
      <c r="L646" s="47">
        <v>0.0</v>
      </c>
      <c r="M646" s="45">
        <v>9.0</v>
      </c>
      <c r="N646" s="45"/>
      <c r="O646" s="43" t="s">
        <v>59</v>
      </c>
      <c r="P646" s="48">
        <v>87300.0</v>
      </c>
      <c r="Q646" s="43" t="s">
        <v>1214</v>
      </c>
      <c r="R646" s="45">
        <v>2017.0</v>
      </c>
      <c r="S646" s="45">
        <v>0.1664</v>
      </c>
      <c r="T646" s="45">
        <f t="shared" si="90"/>
        <v>14526.72</v>
      </c>
      <c r="U646" s="24">
        <f t="shared" si="3"/>
        <v>854.5129412</v>
      </c>
      <c r="V646" s="3">
        <f t="shared" si="28"/>
        <v>0</v>
      </c>
      <c r="W646" s="3">
        <f t="shared" si="29"/>
        <v>0</v>
      </c>
      <c r="X646" s="3">
        <f t="shared" si="30"/>
        <v>0</v>
      </c>
      <c r="Y646" s="25">
        <f t="shared" si="31"/>
        <v>0</v>
      </c>
      <c r="Z646" s="26">
        <f>VLOOKUP(R646,CPI!$A$2:$F$71,6,0)</f>
        <v>1.314109416</v>
      </c>
      <c r="AA646" s="27">
        <f t="shared" si="8"/>
        <v>19089.69953</v>
      </c>
      <c r="AB646" s="27">
        <f t="shared" si="9"/>
        <v>1122.923502</v>
      </c>
      <c r="AC646" s="43" t="s">
        <v>36</v>
      </c>
      <c r="AD646" s="49" t="s">
        <v>1241</v>
      </c>
      <c r="AE646" s="275"/>
      <c r="AF646" s="275"/>
      <c r="AG646" s="275"/>
      <c r="AH646" s="275"/>
    </row>
    <row r="647">
      <c r="A647" s="43" t="s">
        <v>1211</v>
      </c>
      <c r="B647" s="43" t="s">
        <v>1212</v>
      </c>
      <c r="C647" s="16" t="s">
        <v>1242</v>
      </c>
      <c r="D647" s="43" t="s">
        <v>1243</v>
      </c>
      <c r="E647" s="45">
        <v>2023.0</v>
      </c>
      <c r="F647" s="45">
        <v>2029.0</v>
      </c>
      <c r="G647" s="45">
        <v>0.0</v>
      </c>
      <c r="H647" s="45">
        <v>1.8</v>
      </c>
      <c r="I647" s="46">
        <v>1.0</v>
      </c>
      <c r="J647" s="45">
        <v>1.8</v>
      </c>
      <c r="K647" s="47">
        <v>0.0</v>
      </c>
      <c r="L647" s="47">
        <v>0.0</v>
      </c>
      <c r="M647" s="45">
        <v>1.0</v>
      </c>
      <c r="N647" s="45"/>
      <c r="O647" s="43" t="s">
        <v>42</v>
      </c>
      <c r="P647" s="48">
        <v>18700.0</v>
      </c>
      <c r="Q647" s="43" t="s">
        <v>1214</v>
      </c>
      <c r="R647" s="45">
        <v>2016.0</v>
      </c>
      <c r="S647" s="45">
        <v>0.1686</v>
      </c>
      <c r="T647" s="45">
        <f t="shared" si="90"/>
        <v>3152.82</v>
      </c>
      <c r="U647" s="24">
        <f t="shared" si="3"/>
        <v>1751.566667</v>
      </c>
      <c r="V647" s="3">
        <f t="shared" si="28"/>
        <v>0</v>
      </c>
      <c r="W647" s="3">
        <f t="shared" si="29"/>
        <v>0</v>
      </c>
      <c r="X647" s="3">
        <f t="shared" si="30"/>
        <v>0</v>
      </c>
      <c r="Y647" s="25">
        <f t="shared" si="31"/>
        <v>0</v>
      </c>
      <c r="Z647" s="26">
        <f>VLOOKUP(R647,CPI!$A$2:$F$71,6,0)</f>
        <v>1.342104605</v>
      </c>
      <c r="AA647" s="27">
        <f t="shared" si="8"/>
        <v>4231.414242</v>
      </c>
      <c r="AB647" s="27">
        <f t="shared" si="9"/>
        <v>2350.78569</v>
      </c>
      <c r="AC647" s="43" t="s">
        <v>42</v>
      </c>
      <c r="AD647" s="49" t="s">
        <v>1244</v>
      </c>
      <c r="AE647" s="275"/>
      <c r="AF647" s="275"/>
      <c r="AG647" s="275"/>
      <c r="AH647" s="275"/>
    </row>
    <row r="648">
      <c r="A648" s="43" t="s">
        <v>1211</v>
      </c>
      <c r="B648" s="43" t="s">
        <v>1212</v>
      </c>
      <c r="C648" s="44" t="s">
        <v>1245</v>
      </c>
      <c r="D648" s="43" t="s">
        <v>1246</v>
      </c>
      <c r="E648" s="45">
        <v>2023.0</v>
      </c>
      <c r="F648" s="45">
        <v>2030.0</v>
      </c>
      <c r="G648" s="45">
        <v>0.0</v>
      </c>
      <c r="H648" s="45">
        <v>2.4</v>
      </c>
      <c r="I648" s="46">
        <v>0.0</v>
      </c>
      <c r="J648" s="45">
        <v>0.0</v>
      </c>
      <c r="K648" s="47">
        <v>0.0</v>
      </c>
      <c r="L648" s="47">
        <v>0.0</v>
      </c>
      <c r="M648" s="45">
        <v>2.0</v>
      </c>
      <c r="N648" s="45"/>
      <c r="O648" s="43" t="s">
        <v>60</v>
      </c>
      <c r="P648" s="48">
        <v>11400.0</v>
      </c>
      <c r="Q648" s="43" t="s">
        <v>1214</v>
      </c>
      <c r="R648" s="45">
        <v>2015.0</v>
      </c>
      <c r="S648" s="45">
        <v>0.1715</v>
      </c>
      <c r="T648" s="45">
        <f t="shared" si="90"/>
        <v>1955.1</v>
      </c>
      <c r="U648" s="24">
        <f t="shared" si="3"/>
        <v>814.625</v>
      </c>
      <c r="V648" s="3">
        <f t="shared" si="28"/>
        <v>0</v>
      </c>
      <c r="W648" s="3">
        <f t="shared" si="29"/>
        <v>0</v>
      </c>
      <c r="X648" s="3">
        <f t="shared" si="30"/>
        <v>0</v>
      </c>
      <c r="Y648" s="25">
        <f t="shared" si="31"/>
        <v>0</v>
      </c>
      <c r="Z648" s="26">
        <f>VLOOKUP(R648,CPI!$A$2:$F$71,6,0)</f>
        <v>1.359035428</v>
      </c>
      <c r="AA648" s="27">
        <f t="shared" si="8"/>
        <v>2657.050165</v>
      </c>
      <c r="AB648" s="27">
        <f t="shared" si="9"/>
        <v>1107.104235</v>
      </c>
      <c r="AC648" s="43" t="s">
        <v>60</v>
      </c>
      <c r="AD648" s="49" t="s">
        <v>1247</v>
      </c>
      <c r="AE648" s="275"/>
      <c r="AF648" s="275"/>
      <c r="AG648" s="275"/>
      <c r="AH648" s="275"/>
    </row>
    <row r="649">
      <c r="A649" s="26" t="s">
        <v>1248</v>
      </c>
      <c r="B649" s="26" t="s">
        <v>1249</v>
      </c>
      <c r="C649" s="16" t="s">
        <v>110</v>
      </c>
      <c r="D649" s="26" t="s">
        <v>110</v>
      </c>
      <c r="E649" s="25">
        <v>2006.0</v>
      </c>
      <c r="F649" s="25">
        <v>2014.0</v>
      </c>
      <c r="G649" s="25">
        <v>0.0</v>
      </c>
      <c r="H649" s="25">
        <v>7.4</v>
      </c>
      <c r="I649" s="50">
        <v>1.0</v>
      </c>
      <c r="J649" s="25">
        <v>7.4</v>
      </c>
      <c r="K649" s="51">
        <v>0.0</v>
      </c>
      <c r="L649" s="51">
        <v>0.0</v>
      </c>
      <c r="M649" s="25">
        <v>10.0</v>
      </c>
      <c r="N649" s="25"/>
      <c r="O649" s="26" t="s">
        <v>36</v>
      </c>
      <c r="P649" s="52">
        <v>452000.0</v>
      </c>
      <c r="Q649" s="26" t="s">
        <v>1250</v>
      </c>
      <c r="R649" s="25">
        <v>2010.0</v>
      </c>
      <c r="S649" s="25">
        <v>0.00792</v>
      </c>
      <c r="T649" s="25">
        <f t="shared" si="90"/>
        <v>3579.84</v>
      </c>
      <c r="U649" s="24">
        <f t="shared" si="3"/>
        <v>483.7621622</v>
      </c>
      <c r="V649" s="3">
        <f t="shared" si="28"/>
        <v>0</v>
      </c>
      <c r="W649" s="3">
        <f t="shared" si="29"/>
        <v>0</v>
      </c>
      <c r="X649" s="3">
        <f t="shared" si="30"/>
        <v>0</v>
      </c>
      <c r="Y649" s="25">
        <f t="shared" si="31"/>
        <v>0</v>
      </c>
      <c r="Z649" s="26">
        <f>VLOOKUP(R649,CPI!$A$2:$F$71,6,0)</f>
        <v>1.477209983</v>
      </c>
      <c r="AA649" s="27">
        <f t="shared" si="8"/>
        <v>5288.175385</v>
      </c>
      <c r="AB649" s="27">
        <f t="shared" si="9"/>
        <v>714.6182952</v>
      </c>
      <c r="AC649" s="26" t="s">
        <v>60</v>
      </c>
      <c r="AD649" s="53" t="s">
        <v>1251</v>
      </c>
      <c r="AE649" s="130"/>
      <c r="AF649" s="130"/>
      <c r="AG649" s="130"/>
      <c r="AH649" s="130"/>
    </row>
    <row r="650">
      <c r="A650" s="26" t="s">
        <v>1252</v>
      </c>
      <c r="B650" s="26" t="s">
        <v>1253</v>
      </c>
      <c r="C650" s="26" t="s">
        <v>1254</v>
      </c>
      <c r="D650" s="26" t="s">
        <v>1254</v>
      </c>
      <c r="E650" s="25">
        <v>2013.0</v>
      </c>
      <c r="F650" s="25">
        <v>2019.0</v>
      </c>
      <c r="G650" s="25">
        <v>0.0</v>
      </c>
      <c r="H650" s="25">
        <v>15.7</v>
      </c>
      <c r="I650" s="50">
        <v>0.38</v>
      </c>
      <c r="J650" s="25">
        <v>5.9</v>
      </c>
      <c r="K650" s="51">
        <v>0.0</v>
      </c>
      <c r="L650" s="51">
        <v>0.0</v>
      </c>
      <c r="M650" s="25">
        <v>13.0</v>
      </c>
      <c r="N650" s="25"/>
      <c r="O650" s="26" t="s">
        <v>42</v>
      </c>
      <c r="P650" s="52">
        <v>1.377607E7</v>
      </c>
      <c r="Q650" s="26" t="s">
        <v>1255</v>
      </c>
      <c r="R650" s="25">
        <v>2016.0</v>
      </c>
      <c r="S650" s="25">
        <v>2.13E-4</v>
      </c>
      <c r="T650" s="25">
        <f t="shared" si="90"/>
        <v>2934.30291</v>
      </c>
      <c r="U650" s="24">
        <f t="shared" si="3"/>
        <v>186.8982745</v>
      </c>
      <c r="V650" s="3">
        <f t="shared" si="28"/>
        <v>0</v>
      </c>
      <c r="W650" s="3">
        <f t="shared" si="29"/>
        <v>0</v>
      </c>
      <c r="X650" s="3">
        <f t="shared" si="30"/>
        <v>0</v>
      </c>
      <c r="Y650" s="25">
        <f t="shared" si="31"/>
        <v>0</v>
      </c>
      <c r="Z650" s="26">
        <f>VLOOKUP(R650,CPI!$A$2:$F$71,6,0)</f>
        <v>1.342104605</v>
      </c>
      <c r="AA650" s="27">
        <f t="shared" si="8"/>
        <v>3938.141449</v>
      </c>
      <c r="AB650" s="27">
        <f t="shared" si="9"/>
        <v>250.837035</v>
      </c>
      <c r="AC650" s="26" t="s">
        <v>42</v>
      </c>
      <c r="AD650" s="53" t="s">
        <v>1256</v>
      </c>
      <c r="AE650" s="130"/>
      <c r="AF650" s="130"/>
      <c r="AG650" s="130"/>
      <c r="AH650" s="130"/>
    </row>
    <row r="651">
      <c r="A651" s="26" t="s">
        <v>1257</v>
      </c>
      <c r="B651" s="26" t="s">
        <v>1258</v>
      </c>
      <c r="C651" s="26" t="s">
        <v>40</v>
      </c>
      <c r="D651" s="26" t="s">
        <v>40</v>
      </c>
      <c r="E651" s="25">
        <v>2015.0</v>
      </c>
      <c r="F651" s="25">
        <v>2022.0</v>
      </c>
      <c r="G651" s="25">
        <v>0.0</v>
      </c>
      <c r="H651" s="25">
        <v>24.0</v>
      </c>
      <c r="I651" s="50">
        <v>0.5</v>
      </c>
      <c r="J651" s="25">
        <v>12.0</v>
      </c>
      <c r="K651" s="51">
        <v>0.0</v>
      </c>
      <c r="L651" s="51">
        <v>0.0</v>
      </c>
      <c r="M651" s="25">
        <v>34.0</v>
      </c>
      <c r="N651" s="25"/>
      <c r="O651" s="26" t="s">
        <v>74</v>
      </c>
      <c r="P651" s="52">
        <v>17600.0</v>
      </c>
      <c r="Q651" s="26" t="s">
        <v>1259</v>
      </c>
      <c r="R651" s="25">
        <v>2018.0</v>
      </c>
      <c r="S651" s="25">
        <v>0.268</v>
      </c>
      <c r="T651" s="25">
        <f t="shared" si="90"/>
        <v>4716.8</v>
      </c>
      <c r="U651" s="24">
        <f t="shared" si="3"/>
        <v>196.5333333</v>
      </c>
      <c r="V651" s="3">
        <f t="shared" si="28"/>
        <v>0</v>
      </c>
      <c r="W651" s="3">
        <f t="shared" si="29"/>
        <v>0</v>
      </c>
      <c r="X651" s="3">
        <f t="shared" si="30"/>
        <v>0</v>
      </c>
      <c r="Y651" s="25">
        <f t="shared" si="31"/>
        <v>0</v>
      </c>
      <c r="Z651" s="26">
        <f>VLOOKUP(R651,CPI!$A$2:$F$71,6,0)</f>
        <v>1.28277786</v>
      </c>
      <c r="AA651" s="27">
        <f t="shared" si="8"/>
        <v>6050.606608</v>
      </c>
      <c r="AB651" s="27">
        <f t="shared" si="9"/>
        <v>252.1086087</v>
      </c>
      <c r="AC651" s="26" t="s">
        <v>42</v>
      </c>
      <c r="AD651" s="53" t="s">
        <v>1260</v>
      </c>
      <c r="AE651" s="130"/>
      <c r="AF651" s="130"/>
      <c r="AG651" s="130"/>
      <c r="AH651" s="130"/>
    </row>
    <row r="652">
      <c r="A652" s="26" t="s">
        <v>1257</v>
      </c>
      <c r="B652" s="26" t="s">
        <v>1258</v>
      </c>
      <c r="C652" s="26" t="s">
        <v>127</v>
      </c>
      <c r="D652" s="26" t="s">
        <v>127</v>
      </c>
      <c r="E652" s="25">
        <v>2018.0</v>
      </c>
      <c r="F652" s="25">
        <v>2024.0</v>
      </c>
      <c r="G652" s="25">
        <v>0.0</v>
      </c>
      <c r="H652" s="25">
        <v>38.6</v>
      </c>
      <c r="I652" s="50">
        <v>0.12</v>
      </c>
      <c r="J652" s="25">
        <v>4.6</v>
      </c>
      <c r="K652" s="51">
        <v>0.0</v>
      </c>
      <c r="L652" s="51">
        <v>0.0</v>
      </c>
      <c r="M652" s="25">
        <v>62.0</v>
      </c>
      <c r="N652" s="25"/>
      <c r="O652" s="26" t="s">
        <v>74</v>
      </c>
      <c r="P652" s="52">
        <v>20000.0</v>
      </c>
      <c r="Q652" s="26" t="s">
        <v>1259</v>
      </c>
      <c r="R652" s="25">
        <v>2020.0</v>
      </c>
      <c r="S652" s="25">
        <v>0.268</v>
      </c>
      <c r="T652" s="25">
        <f t="shared" si="90"/>
        <v>5360</v>
      </c>
      <c r="U652" s="24">
        <f t="shared" si="3"/>
        <v>138.8601036</v>
      </c>
      <c r="V652" s="3">
        <f t="shared" si="28"/>
        <v>0</v>
      </c>
      <c r="W652" s="3">
        <f t="shared" si="29"/>
        <v>0</v>
      </c>
      <c r="X652" s="3">
        <f t="shared" si="30"/>
        <v>0</v>
      </c>
      <c r="Y652" s="25">
        <f t="shared" si="31"/>
        <v>0</v>
      </c>
      <c r="Z652" s="26">
        <f>VLOOKUP(R652,CPI!$A$2:$F$71,6,0)</f>
        <v>1.244593545</v>
      </c>
      <c r="AA652" s="27">
        <f t="shared" si="8"/>
        <v>6671.021402</v>
      </c>
      <c r="AB652" s="27">
        <f t="shared" si="9"/>
        <v>172.8243886</v>
      </c>
      <c r="AC652" s="26" t="s">
        <v>42</v>
      </c>
      <c r="AD652" s="53" t="s">
        <v>1261</v>
      </c>
      <c r="AE652" s="130"/>
      <c r="AF652" s="130"/>
      <c r="AG652" s="130"/>
      <c r="AH652" s="130"/>
    </row>
    <row r="653">
      <c r="A653" s="66" t="s">
        <v>1262</v>
      </c>
      <c r="B653" s="74" t="s">
        <v>1263</v>
      </c>
      <c r="C653" s="115" t="s">
        <v>1264</v>
      </c>
      <c r="D653" s="74" t="s">
        <v>1264</v>
      </c>
      <c r="E653" s="115">
        <v>2019.0</v>
      </c>
      <c r="F653" s="115">
        <v>2026.0</v>
      </c>
      <c r="G653" s="116">
        <v>0.0</v>
      </c>
      <c r="H653" s="69">
        <v>29.65</v>
      </c>
      <c r="I653" s="71">
        <v>0.2591</v>
      </c>
      <c r="J653" s="69">
        <v>7.681</v>
      </c>
      <c r="K653" s="116">
        <v>21.969</v>
      </c>
      <c r="L653" s="114"/>
      <c r="M653" s="116">
        <v>27.0</v>
      </c>
      <c r="N653" s="116"/>
      <c r="O653" s="237" t="s">
        <v>74</v>
      </c>
      <c r="P653" s="73">
        <v>83796.0</v>
      </c>
      <c r="Q653" s="114" t="s">
        <v>1265</v>
      </c>
      <c r="R653" s="115">
        <v>2022.0</v>
      </c>
      <c r="S653" s="115">
        <v>0.0483</v>
      </c>
      <c r="T653" s="75">
        <f t="shared" si="90"/>
        <v>4047.3468</v>
      </c>
      <c r="U653" s="24">
        <f t="shared" si="3"/>
        <v>136.5041079</v>
      </c>
      <c r="V653" s="3">
        <f t="shared" si="28"/>
        <v>0</v>
      </c>
      <c r="W653" s="3">
        <f t="shared" si="29"/>
        <v>0</v>
      </c>
      <c r="X653" s="3">
        <f t="shared" si="30"/>
        <v>0</v>
      </c>
      <c r="Y653" s="25">
        <f t="shared" si="31"/>
        <v>0</v>
      </c>
      <c r="Z653" s="26">
        <f>VLOOKUP(R653,CPI!$A$2:$F$71,6,0)</f>
        <v>1.100662897</v>
      </c>
      <c r="AA653" s="27">
        <f t="shared" si="8"/>
        <v>4454.764452</v>
      </c>
      <c r="AB653" s="27">
        <f t="shared" si="9"/>
        <v>150.2450068</v>
      </c>
      <c r="AC653" s="115" t="s">
        <v>42</v>
      </c>
      <c r="AD653" s="161" t="s">
        <v>1266</v>
      </c>
      <c r="AE653" s="7"/>
      <c r="AF653" s="7"/>
      <c r="AG653" s="7"/>
      <c r="AH653" s="7"/>
    </row>
    <row r="654">
      <c r="A654" s="26" t="s">
        <v>1262</v>
      </c>
      <c r="B654" s="63" t="s">
        <v>1267</v>
      </c>
      <c r="C654" s="1" t="s">
        <v>4</v>
      </c>
      <c r="D654" s="26" t="s">
        <v>34</v>
      </c>
      <c r="E654" s="25">
        <v>2015.0</v>
      </c>
      <c r="F654" s="25">
        <v>2023.0</v>
      </c>
      <c r="G654" s="25">
        <v>0.0</v>
      </c>
      <c r="H654" s="25">
        <v>40.0</v>
      </c>
      <c r="I654" s="50">
        <v>0.16</v>
      </c>
      <c r="J654" s="25">
        <v>6.4</v>
      </c>
      <c r="K654" s="51">
        <v>0.0</v>
      </c>
      <c r="L654" s="51">
        <v>0.0</v>
      </c>
      <c r="M654" s="25">
        <v>33.0</v>
      </c>
      <c r="N654" s="25"/>
      <c r="O654" s="26" t="s">
        <v>74</v>
      </c>
      <c r="P654" s="52">
        <v>127000.0</v>
      </c>
      <c r="Q654" s="26" t="s">
        <v>1265</v>
      </c>
      <c r="R654" s="25">
        <v>2019.0</v>
      </c>
      <c r="S654" s="25">
        <v>0.047</v>
      </c>
      <c r="T654" s="25">
        <f t="shared" si="90"/>
        <v>5969</v>
      </c>
      <c r="U654" s="24">
        <f t="shared" si="3"/>
        <v>149.225</v>
      </c>
      <c r="V654" s="3">
        <f t="shared" si="28"/>
        <v>0</v>
      </c>
      <c r="W654" s="3">
        <f t="shared" si="29"/>
        <v>0</v>
      </c>
      <c r="X654" s="3">
        <f t="shared" si="30"/>
        <v>0</v>
      </c>
      <c r="Y654" s="25">
        <f t="shared" si="31"/>
        <v>0</v>
      </c>
      <c r="Z654" s="26">
        <f>VLOOKUP(R654,CPI!$A$2:$F$71,6,0)</f>
        <v>1.259947899</v>
      </c>
      <c r="AA654" s="27">
        <f t="shared" si="8"/>
        <v>7520.629009</v>
      </c>
      <c r="AB654" s="27">
        <f t="shared" si="9"/>
        <v>188.0157252</v>
      </c>
      <c r="AC654" s="26" t="s">
        <v>42</v>
      </c>
      <c r="AD654" s="53" t="s">
        <v>1268</v>
      </c>
      <c r="AE654" s="178"/>
      <c r="AF654" s="172"/>
      <c r="AG654" s="172"/>
      <c r="AH654" s="172"/>
    </row>
    <row r="655">
      <c r="A655" s="26" t="s">
        <v>1262</v>
      </c>
      <c r="B655" s="26" t="s">
        <v>1269</v>
      </c>
      <c r="C655" s="1" t="s">
        <v>1270</v>
      </c>
      <c r="D655" s="26" t="s">
        <v>34</v>
      </c>
      <c r="E655" s="25">
        <v>2006.0</v>
      </c>
      <c r="F655" s="25">
        <v>2017.0</v>
      </c>
      <c r="G655" s="25">
        <v>0.0</v>
      </c>
      <c r="H655" s="25">
        <v>42.3</v>
      </c>
      <c r="I655" s="50">
        <v>0.2</v>
      </c>
      <c r="J655" s="25">
        <v>8.5</v>
      </c>
      <c r="K655" s="51">
        <v>0.0</v>
      </c>
      <c r="L655" s="51">
        <v>0.0</v>
      </c>
      <c r="M655" s="25">
        <v>41.0</v>
      </c>
      <c r="N655" s="25"/>
      <c r="O655" s="26" t="s">
        <v>74</v>
      </c>
      <c r="P655" s="52">
        <v>144050.0</v>
      </c>
      <c r="Q655" s="26" t="s">
        <v>1265</v>
      </c>
      <c r="R655" s="25">
        <v>2011.0</v>
      </c>
      <c r="S655" s="58">
        <v>0.064</v>
      </c>
      <c r="T655" s="25">
        <f t="shared" si="90"/>
        <v>9219.2</v>
      </c>
      <c r="U655" s="24">
        <f t="shared" si="3"/>
        <v>217.9479905</v>
      </c>
      <c r="V655" s="3">
        <f t="shared" si="28"/>
        <v>0</v>
      </c>
      <c r="W655" s="3">
        <f t="shared" si="29"/>
        <v>0</v>
      </c>
      <c r="X655" s="3">
        <f t="shared" si="30"/>
        <v>0</v>
      </c>
      <c r="Y655" s="25">
        <f t="shared" si="31"/>
        <v>0</v>
      </c>
      <c r="Z655" s="26">
        <f>VLOOKUP(R655,CPI!$A$2:$F$71,6,0)</f>
        <v>1.432008233</v>
      </c>
      <c r="AA655" s="27">
        <f t="shared" si="8"/>
        <v>13201.9703</v>
      </c>
      <c r="AB655" s="27">
        <f t="shared" si="9"/>
        <v>312.1033169</v>
      </c>
      <c r="AC655" s="26" t="s">
        <v>42</v>
      </c>
      <c r="AD655" s="57" t="s">
        <v>1271</v>
      </c>
      <c r="AE655" s="178"/>
      <c r="AF655" s="172"/>
      <c r="AG655" s="172"/>
      <c r="AH655" s="172"/>
    </row>
    <row r="656">
      <c r="A656" s="26" t="s">
        <v>1262</v>
      </c>
      <c r="B656" s="26" t="s">
        <v>1269</v>
      </c>
      <c r="C656" s="1" t="s">
        <v>1270</v>
      </c>
      <c r="D656" s="26" t="s">
        <v>38</v>
      </c>
      <c r="E656" s="25">
        <v>2017.0</v>
      </c>
      <c r="F656" s="25">
        <v>2024.0</v>
      </c>
      <c r="G656" s="25">
        <v>0.0</v>
      </c>
      <c r="H656" s="25">
        <v>73.9</v>
      </c>
      <c r="I656" s="59">
        <v>0.1867</v>
      </c>
      <c r="J656" s="58">
        <v>13.8</v>
      </c>
      <c r="K656" s="51">
        <v>0.0</v>
      </c>
      <c r="L656" s="51">
        <v>0.0</v>
      </c>
      <c r="M656" s="25">
        <v>62.0</v>
      </c>
      <c r="N656" s="25"/>
      <c r="O656" s="26" t="s">
        <v>36</v>
      </c>
      <c r="P656" s="52">
        <v>306950.0</v>
      </c>
      <c r="Q656" s="26" t="s">
        <v>1265</v>
      </c>
      <c r="R656" s="25">
        <v>2020.0</v>
      </c>
      <c r="S656" s="25">
        <v>0.047</v>
      </c>
      <c r="T656" s="25">
        <f t="shared" si="90"/>
        <v>14426.65</v>
      </c>
      <c r="U656" s="24">
        <f t="shared" si="3"/>
        <v>195.2185386</v>
      </c>
      <c r="V656" s="3">
        <f t="shared" si="28"/>
        <v>0</v>
      </c>
      <c r="W656" s="3">
        <f t="shared" si="29"/>
        <v>0</v>
      </c>
      <c r="X656" s="3">
        <f t="shared" si="30"/>
        <v>0</v>
      </c>
      <c r="Y656" s="25">
        <f t="shared" si="31"/>
        <v>0</v>
      </c>
      <c r="Z656" s="26">
        <f>VLOOKUP(R656,CPI!$A$2:$F$71,6,0)</f>
        <v>1.244593545</v>
      </c>
      <c r="AA656" s="27">
        <f t="shared" si="8"/>
        <v>17955.31547</v>
      </c>
      <c r="AB656" s="27">
        <f t="shared" si="9"/>
        <v>242.967733</v>
      </c>
      <c r="AC656" s="26" t="s">
        <v>42</v>
      </c>
      <c r="AD656" s="53" t="s">
        <v>1272</v>
      </c>
      <c r="AE656" s="178"/>
      <c r="AF656" s="172"/>
      <c r="AG656" s="172"/>
      <c r="AH656" s="172"/>
    </row>
    <row r="657">
      <c r="A657" s="26" t="s">
        <v>1262</v>
      </c>
      <c r="B657" s="26" t="s">
        <v>1273</v>
      </c>
      <c r="C657" s="1" t="s">
        <v>34</v>
      </c>
      <c r="D657" s="26" t="s">
        <v>34</v>
      </c>
      <c r="E657" s="25">
        <v>2009.0</v>
      </c>
      <c r="F657" s="25">
        <v>2019.0</v>
      </c>
      <c r="G657" s="25">
        <v>0.0</v>
      </c>
      <c r="H657" s="25">
        <v>45.1</v>
      </c>
      <c r="I657" s="50">
        <v>0.53</v>
      </c>
      <c r="J657" s="25">
        <v>24.0</v>
      </c>
      <c r="K657" s="51">
        <v>0.0</v>
      </c>
      <c r="L657" s="51">
        <v>0.0</v>
      </c>
      <c r="M657" s="25">
        <v>34.0</v>
      </c>
      <c r="N657" s="25"/>
      <c r="O657" s="26" t="s">
        <v>36</v>
      </c>
      <c r="P657" s="52">
        <v>200000.0</v>
      </c>
      <c r="Q657" s="26" t="s">
        <v>1265</v>
      </c>
      <c r="R657" s="25">
        <v>2014.0</v>
      </c>
      <c r="S657" s="25">
        <v>0.054</v>
      </c>
      <c r="T657" s="25">
        <f t="shared" si="90"/>
        <v>10800</v>
      </c>
      <c r="U657" s="24">
        <f t="shared" si="3"/>
        <v>239.4678492</v>
      </c>
      <c r="V657" s="3">
        <f t="shared" si="28"/>
        <v>0</v>
      </c>
      <c r="W657" s="3">
        <f t="shared" si="29"/>
        <v>0</v>
      </c>
      <c r="X657" s="3">
        <f t="shared" si="30"/>
        <v>0</v>
      </c>
      <c r="Y657" s="25">
        <f t="shared" si="31"/>
        <v>0</v>
      </c>
      <c r="Z657" s="26">
        <f>VLOOKUP(R657,CPI!$A$2:$F$71,6,0)</f>
        <v>1.360648571</v>
      </c>
      <c r="AA657" s="27">
        <f t="shared" si="8"/>
        <v>14695.00456</v>
      </c>
      <c r="AB657" s="27">
        <f t="shared" si="9"/>
        <v>325.8315867</v>
      </c>
      <c r="AC657" s="26" t="s">
        <v>42</v>
      </c>
      <c r="AD657" s="53" t="s">
        <v>1274</v>
      </c>
      <c r="AE657" s="130"/>
      <c r="AF657" s="130"/>
      <c r="AG657" s="130"/>
      <c r="AH657" s="130"/>
    </row>
    <row r="658">
      <c r="A658" s="26" t="s">
        <v>1262</v>
      </c>
      <c r="B658" s="26" t="s">
        <v>1273</v>
      </c>
      <c r="C658" s="1" t="s">
        <v>34</v>
      </c>
      <c r="D658" s="26" t="s">
        <v>1275</v>
      </c>
      <c r="E658" s="25">
        <v>2016.0</v>
      </c>
      <c r="F658" s="25">
        <v>2020.0</v>
      </c>
      <c r="G658" s="25">
        <v>0.0</v>
      </c>
      <c r="H658" s="25">
        <v>9.1</v>
      </c>
      <c r="I658" s="50">
        <v>0.26</v>
      </c>
      <c r="J658" s="25">
        <v>2.4</v>
      </c>
      <c r="K658" s="51">
        <v>0.0</v>
      </c>
      <c r="L658" s="51">
        <v>0.0</v>
      </c>
      <c r="M658" s="25">
        <v>9.0</v>
      </c>
      <c r="N658" s="25"/>
      <c r="O658" s="26" t="s">
        <v>36</v>
      </c>
      <c r="P658" s="52">
        <v>37700.0</v>
      </c>
      <c r="Q658" s="26" t="s">
        <v>1265</v>
      </c>
      <c r="R658" s="25">
        <v>2018.0</v>
      </c>
      <c r="S658" s="25">
        <v>0.048</v>
      </c>
      <c r="T658" s="25">
        <f t="shared" si="90"/>
        <v>1809.6</v>
      </c>
      <c r="U658" s="24">
        <f t="shared" si="3"/>
        <v>198.8571429</v>
      </c>
      <c r="V658" s="3">
        <f t="shared" si="28"/>
        <v>0</v>
      </c>
      <c r="W658" s="3">
        <f t="shared" si="29"/>
        <v>0</v>
      </c>
      <c r="X658" s="3">
        <f t="shared" si="30"/>
        <v>0</v>
      </c>
      <c r="Y658" s="25">
        <f t="shared" si="31"/>
        <v>0</v>
      </c>
      <c r="Z658" s="26">
        <f>VLOOKUP(R658,CPI!$A$2:$F$71,6,0)</f>
        <v>1.28277786</v>
      </c>
      <c r="AA658" s="27">
        <f t="shared" si="8"/>
        <v>2321.314815</v>
      </c>
      <c r="AB658" s="27">
        <f t="shared" si="9"/>
        <v>255.0895401</v>
      </c>
      <c r="AC658" s="26" t="s">
        <v>36</v>
      </c>
      <c r="AD658" s="53" t="s">
        <v>1276</v>
      </c>
      <c r="AE658" s="130"/>
      <c r="AF658" s="130"/>
      <c r="AG658" s="130"/>
      <c r="AH658" s="130"/>
    </row>
    <row r="659">
      <c r="A659" s="26" t="s">
        <v>1262</v>
      </c>
      <c r="B659" s="26" t="s">
        <v>1273</v>
      </c>
      <c r="C659" s="1" t="s">
        <v>38</v>
      </c>
      <c r="D659" s="26" t="s">
        <v>38</v>
      </c>
      <c r="E659" s="25">
        <v>2020.0</v>
      </c>
      <c r="F659" s="25">
        <v>2026.0</v>
      </c>
      <c r="G659" s="25">
        <v>0.0</v>
      </c>
      <c r="H659" s="25">
        <v>118.9</v>
      </c>
      <c r="I659" s="50">
        <v>0.36</v>
      </c>
      <c r="J659" s="25">
        <v>42.8</v>
      </c>
      <c r="K659" s="51">
        <v>0.0</v>
      </c>
      <c r="L659" s="51">
        <v>0.0</v>
      </c>
      <c r="M659" s="25">
        <v>128.0</v>
      </c>
      <c r="N659" s="25"/>
      <c r="O659" s="26" t="s">
        <v>42</v>
      </c>
      <c r="P659" s="52">
        <v>691800.0</v>
      </c>
      <c r="Q659" s="26" t="s">
        <v>1265</v>
      </c>
      <c r="R659" s="25">
        <v>2023.0</v>
      </c>
      <c r="S659" s="25">
        <v>0.047</v>
      </c>
      <c r="T659" s="25">
        <f t="shared" si="90"/>
        <v>32514.6</v>
      </c>
      <c r="U659" s="24">
        <f t="shared" si="3"/>
        <v>273.4617325</v>
      </c>
      <c r="V659" s="3">
        <f t="shared" si="28"/>
        <v>0</v>
      </c>
      <c r="W659" s="3">
        <f t="shared" si="29"/>
        <v>0</v>
      </c>
      <c r="X659" s="3">
        <f t="shared" si="30"/>
        <v>0</v>
      </c>
      <c r="Y659" s="25">
        <f t="shared" si="31"/>
        <v>0</v>
      </c>
      <c r="Z659" s="26">
        <f>VLOOKUP(R659,CPI!$A$2:$F$71,6,0)</f>
        <v>1.057145998</v>
      </c>
      <c r="AA659" s="27">
        <f t="shared" si="8"/>
        <v>34372.67928</v>
      </c>
      <c r="AB659" s="27">
        <f t="shared" si="9"/>
        <v>289.0889763</v>
      </c>
      <c r="AC659" s="26" t="s">
        <v>42</v>
      </c>
      <c r="AD659" s="53" t="s">
        <v>1277</v>
      </c>
      <c r="AE659" s="130"/>
      <c r="AF659" s="130"/>
      <c r="AG659" s="130"/>
      <c r="AH659" s="130"/>
    </row>
    <row r="660">
      <c r="A660" s="26" t="s">
        <v>1262</v>
      </c>
      <c r="B660" s="26" t="s">
        <v>1278</v>
      </c>
      <c r="C660" s="26" t="s">
        <v>1279</v>
      </c>
      <c r="D660" s="26" t="s">
        <v>1279</v>
      </c>
      <c r="E660" s="25">
        <v>2015.0</v>
      </c>
      <c r="F660" s="25">
        <v>2019.0</v>
      </c>
      <c r="G660" s="25">
        <v>0.0</v>
      </c>
      <c r="H660" s="25">
        <v>29.7</v>
      </c>
      <c r="I660" s="50">
        <v>0.0</v>
      </c>
      <c r="J660" s="25">
        <v>0.0</v>
      </c>
      <c r="K660" s="51">
        <v>0.0</v>
      </c>
      <c r="L660" s="51">
        <v>0.0</v>
      </c>
      <c r="M660" s="25">
        <v>21.0</v>
      </c>
      <c r="N660" s="25"/>
      <c r="O660" s="26" t="s">
        <v>36</v>
      </c>
      <c r="P660" s="52">
        <v>42610.0</v>
      </c>
      <c r="Q660" s="26" t="s">
        <v>1265</v>
      </c>
      <c r="R660" s="25">
        <v>2017.0</v>
      </c>
      <c r="S660" s="25">
        <v>0.048</v>
      </c>
      <c r="T660" s="25">
        <f t="shared" si="90"/>
        <v>2045.28</v>
      </c>
      <c r="U660" s="24">
        <f t="shared" si="3"/>
        <v>68.86464646</v>
      </c>
      <c r="V660" s="3">
        <f t="shared" si="28"/>
        <v>0</v>
      </c>
      <c r="W660" s="3">
        <f t="shared" si="29"/>
        <v>0</v>
      </c>
      <c r="X660" s="3">
        <f t="shared" si="30"/>
        <v>0</v>
      </c>
      <c r="Y660" s="25">
        <f t="shared" si="31"/>
        <v>0</v>
      </c>
      <c r="Z660" s="26">
        <f>VLOOKUP(R660,CPI!$A$2:$F$71,6,0)</f>
        <v>1.314109416</v>
      </c>
      <c r="AA660" s="27">
        <f t="shared" si="8"/>
        <v>2687.721706</v>
      </c>
      <c r="AB660" s="27">
        <f t="shared" si="9"/>
        <v>90.49568033</v>
      </c>
      <c r="AC660" s="26" t="s">
        <v>42</v>
      </c>
      <c r="AD660" s="53" t="s">
        <v>1280</v>
      </c>
      <c r="AE660" s="130"/>
      <c r="AF660" s="130"/>
      <c r="AG660" s="130"/>
      <c r="AH660" s="130"/>
    </row>
    <row r="661">
      <c r="A661" s="26" t="s">
        <v>1262</v>
      </c>
      <c r="B661" s="26" t="s">
        <v>1278</v>
      </c>
      <c r="C661" s="26" t="s">
        <v>1281</v>
      </c>
      <c r="D661" s="26" t="s">
        <v>1281</v>
      </c>
      <c r="E661" s="25">
        <v>2012.0</v>
      </c>
      <c r="F661" s="25">
        <v>2020.0</v>
      </c>
      <c r="G661" s="25">
        <v>0.0</v>
      </c>
      <c r="H661" s="25">
        <v>160.6</v>
      </c>
      <c r="I661" s="50">
        <v>0.33</v>
      </c>
      <c r="J661" s="25">
        <v>53.0</v>
      </c>
      <c r="K661" s="51">
        <v>0.0</v>
      </c>
      <c r="L661" s="51">
        <v>0.0</v>
      </c>
      <c r="M661" s="25">
        <v>109.0</v>
      </c>
      <c r="N661" s="25"/>
      <c r="O661" s="26" t="s">
        <v>74</v>
      </c>
      <c r="P661" s="52">
        <v>410790.0</v>
      </c>
      <c r="Q661" s="26" t="s">
        <v>1265</v>
      </c>
      <c r="R661" s="25">
        <v>2016.0</v>
      </c>
      <c r="S661" s="25">
        <v>0.05</v>
      </c>
      <c r="T661" s="25">
        <f t="shared" si="90"/>
        <v>20539.5</v>
      </c>
      <c r="U661" s="24">
        <f t="shared" si="3"/>
        <v>127.892279</v>
      </c>
      <c r="V661" s="3">
        <f t="shared" si="28"/>
        <v>0</v>
      </c>
      <c r="W661" s="3">
        <f t="shared" si="29"/>
        <v>0</v>
      </c>
      <c r="X661" s="3">
        <f t="shared" si="30"/>
        <v>0</v>
      </c>
      <c r="Y661" s="25">
        <f t="shared" si="31"/>
        <v>0</v>
      </c>
      <c r="Z661" s="26">
        <f>VLOOKUP(R661,CPI!$A$2:$F$71,6,0)</f>
        <v>1.342104605</v>
      </c>
      <c r="AA661" s="27">
        <f t="shared" si="8"/>
        <v>27566.15754</v>
      </c>
      <c r="AB661" s="27">
        <f t="shared" si="9"/>
        <v>171.6448166</v>
      </c>
      <c r="AC661" s="26" t="s">
        <v>60</v>
      </c>
      <c r="AD661" s="57" t="s">
        <v>1282</v>
      </c>
      <c r="AE661" s="130"/>
      <c r="AF661" s="130"/>
      <c r="AG661" s="130"/>
      <c r="AH661" s="130"/>
    </row>
    <row r="662">
      <c r="A662" s="26" t="s">
        <v>1262</v>
      </c>
      <c r="B662" s="26" t="s">
        <v>1278</v>
      </c>
      <c r="C662" s="1" t="s">
        <v>1283</v>
      </c>
      <c r="D662" s="26" t="s">
        <v>1284</v>
      </c>
      <c r="E662" s="25">
        <v>2019.0</v>
      </c>
      <c r="F662" s="25">
        <v>2025.0</v>
      </c>
      <c r="G662" s="25">
        <v>0.0</v>
      </c>
      <c r="H662" s="25">
        <v>61.7</v>
      </c>
      <c r="I662" s="50">
        <v>0.36</v>
      </c>
      <c r="J662" s="25">
        <v>22.3</v>
      </c>
      <c r="K662" s="51">
        <v>0.0</v>
      </c>
      <c r="L662" s="51">
        <v>0.0</v>
      </c>
      <c r="M662" s="25">
        <v>46.0</v>
      </c>
      <c r="N662" s="25"/>
      <c r="O662" s="26" t="s">
        <v>42</v>
      </c>
      <c r="P662" s="52">
        <v>249486.5</v>
      </c>
      <c r="Q662" s="26" t="s">
        <v>1265</v>
      </c>
      <c r="R662" s="25">
        <v>2022.0</v>
      </c>
      <c r="S662" s="25">
        <v>0.047</v>
      </c>
      <c r="T662" s="25">
        <f t="shared" si="90"/>
        <v>11725.8655</v>
      </c>
      <c r="U662" s="24">
        <f t="shared" si="3"/>
        <v>190.0464425</v>
      </c>
      <c r="V662" s="3">
        <f t="shared" si="28"/>
        <v>0</v>
      </c>
      <c r="W662" s="3">
        <f t="shared" si="29"/>
        <v>0</v>
      </c>
      <c r="X662" s="3">
        <f t="shared" si="30"/>
        <v>0</v>
      </c>
      <c r="Y662" s="25">
        <f t="shared" si="31"/>
        <v>0</v>
      </c>
      <c r="Z662" s="26">
        <f>VLOOKUP(R662,CPI!$A$2:$F$71,6,0)</f>
        <v>1.100662897</v>
      </c>
      <c r="AA662" s="27">
        <f t="shared" si="8"/>
        <v>12906.22509</v>
      </c>
      <c r="AB662" s="27">
        <f t="shared" si="9"/>
        <v>209.1770678</v>
      </c>
      <c r="AC662" s="26" t="s">
        <v>42</v>
      </c>
      <c r="AD662" s="53" t="s">
        <v>1285</v>
      </c>
      <c r="AE662" s="130"/>
      <c r="AF662" s="130"/>
      <c r="AG662" s="130"/>
      <c r="AH662" s="130"/>
    </row>
    <row r="663">
      <c r="A663" s="26" t="s">
        <v>1262</v>
      </c>
      <c r="B663" s="26" t="s">
        <v>1278</v>
      </c>
      <c r="C663" s="1" t="s">
        <v>1283</v>
      </c>
      <c r="D663" s="26" t="s">
        <v>1286</v>
      </c>
      <c r="E663" s="25">
        <v>2019.0</v>
      </c>
      <c r="F663" s="25">
        <v>2025.0</v>
      </c>
      <c r="G663" s="25">
        <v>0.0</v>
      </c>
      <c r="H663" s="25">
        <v>42.3</v>
      </c>
      <c r="I663" s="50">
        <v>0.35</v>
      </c>
      <c r="J663" s="25">
        <v>14.7</v>
      </c>
      <c r="K663" s="51">
        <v>0.0</v>
      </c>
      <c r="L663" s="51">
        <v>0.0</v>
      </c>
      <c r="M663" s="25">
        <v>43.0</v>
      </c>
      <c r="N663" s="25"/>
      <c r="O663" s="26" t="s">
        <v>42</v>
      </c>
      <c r="P663" s="52">
        <v>215363.5</v>
      </c>
      <c r="Q663" s="26" t="s">
        <v>1265</v>
      </c>
      <c r="R663" s="25">
        <v>2022.0</v>
      </c>
      <c r="S663" s="25">
        <v>0.047</v>
      </c>
      <c r="T663" s="25">
        <f t="shared" si="90"/>
        <v>10122.0845</v>
      </c>
      <c r="U663" s="24">
        <f t="shared" si="3"/>
        <v>239.2927778</v>
      </c>
      <c r="V663" s="3">
        <f t="shared" si="28"/>
        <v>0</v>
      </c>
      <c r="W663" s="3">
        <f t="shared" si="29"/>
        <v>0</v>
      </c>
      <c r="X663" s="3">
        <f t="shared" si="30"/>
        <v>0</v>
      </c>
      <c r="Y663" s="25">
        <f t="shared" si="31"/>
        <v>0</v>
      </c>
      <c r="Z663" s="26">
        <f>VLOOKUP(R663,CPI!$A$2:$F$71,6,0)</f>
        <v>1.100662897</v>
      </c>
      <c r="AA663" s="27">
        <f t="shared" si="8"/>
        <v>11141.00285</v>
      </c>
      <c r="AB663" s="27">
        <f t="shared" si="9"/>
        <v>263.3806819</v>
      </c>
      <c r="AC663" s="26" t="s">
        <v>42</v>
      </c>
      <c r="AD663" s="53" t="s">
        <v>1287</v>
      </c>
      <c r="AE663" s="130"/>
      <c r="AF663" s="130"/>
      <c r="AG663" s="130"/>
      <c r="AH663" s="130"/>
    </row>
    <row r="664">
      <c r="A664" s="26" t="s">
        <v>1262</v>
      </c>
      <c r="B664" s="26" t="s">
        <v>1288</v>
      </c>
      <c r="C664" s="1" t="s">
        <v>1288</v>
      </c>
      <c r="D664" s="26" t="s">
        <v>34</v>
      </c>
      <c r="E664" s="25">
        <v>2009.0</v>
      </c>
      <c r="F664" s="25">
        <v>2013.0</v>
      </c>
      <c r="G664" s="25">
        <v>0.0</v>
      </c>
      <c r="H664" s="25">
        <v>5.5</v>
      </c>
      <c r="I664" s="50">
        <v>0.0</v>
      </c>
      <c r="J664" s="25">
        <v>0.0</v>
      </c>
      <c r="K664" s="51">
        <v>0.0</v>
      </c>
      <c r="L664" s="51">
        <v>0.0</v>
      </c>
      <c r="M664" s="25">
        <v>6.0</v>
      </c>
      <c r="N664" s="25"/>
      <c r="O664" s="26" t="s">
        <v>74</v>
      </c>
      <c r="P664" s="52">
        <v>10880.0</v>
      </c>
      <c r="Q664" s="26" t="s">
        <v>1265</v>
      </c>
      <c r="R664" s="25">
        <v>2011.0</v>
      </c>
      <c r="S664" s="25">
        <v>0.064</v>
      </c>
      <c r="T664" s="25">
        <f t="shared" si="90"/>
        <v>696.32</v>
      </c>
      <c r="U664" s="24">
        <f t="shared" si="3"/>
        <v>126.6036364</v>
      </c>
      <c r="V664" s="3">
        <f t="shared" si="28"/>
        <v>0</v>
      </c>
      <c r="W664" s="3">
        <f t="shared" si="29"/>
        <v>0</v>
      </c>
      <c r="X664" s="3">
        <f t="shared" si="30"/>
        <v>0</v>
      </c>
      <c r="Y664" s="25">
        <f t="shared" si="31"/>
        <v>0</v>
      </c>
      <c r="Z664" s="26">
        <f>VLOOKUP(R664,CPI!$A$2:$F$71,6,0)</f>
        <v>1.432008233</v>
      </c>
      <c r="AA664" s="27">
        <f t="shared" si="8"/>
        <v>997.135973</v>
      </c>
      <c r="AB664" s="27">
        <f t="shared" si="9"/>
        <v>181.2974496</v>
      </c>
      <c r="AC664" s="26" t="s">
        <v>42</v>
      </c>
      <c r="AD664" s="53" t="s">
        <v>1289</v>
      </c>
      <c r="AE664" s="130"/>
      <c r="AF664" s="130"/>
      <c r="AG664" s="130"/>
      <c r="AH664" s="130"/>
    </row>
    <row r="665">
      <c r="A665" s="26" t="s">
        <v>1262</v>
      </c>
      <c r="B665" s="26" t="s">
        <v>1288</v>
      </c>
      <c r="C665" s="1" t="s">
        <v>1288</v>
      </c>
      <c r="D665" s="26" t="s">
        <v>38</v>
      </c>
      <c r="E665" s="25">
        <v>2013.0</v>
      </c>
      <c r="F665" s="25">
        <v>2017.0</v>
      </c>
      <c r="G665" s="25">
        <v>0.0</v>
      </c>
      <c r="H665" s="25">
        <v>6.3</v>
      </c>
      <c r="I665" s="50">
        <v>0.0</v>
      </c>
      <c r="J665" s="25">
        <v>0.0</v>
      </c>
      <c r="K665" s="51">
        <v>0.0</v>
      </c>
      <c r="L665" s="51">
        <v>0.0</v>
      </c>
      <c r="M665" s="25">
        <v>5.0</v>
      </c>
      <c r="N665" s="25"/>
      <c r="O665" s="26" t="s">
        <v>74</v>
      </c>
      <c r="P665" s="52">
        <v>24230.0</v>
      </c>
      <c r="Q665" s="26" t="s">
        <v>1265</v>
      </c>
      <c r="R665" s="25">
        <v>2015.0</v>
      </c>
      <c r="S665" s="25">
        <v>0.052</v>
      </c>
      <c r="T665" s="25">
        <f t="shared" si="90"/>
        <v>1259.96</v>
      </c>
      <c r="U665" s="24">
        <f t="shared" si="3"/>
        <v>199.9936508</v>
      </c>
      <c r="V665" s="3">
        <f t="shared" si="28"/>
        <v>0</v>
      </c>
      <c r="W665" s="3">
        <f t="shared" si="29"/>
        <v>0</v>
      </c>
      <c r="X665" s="3">
        <f t="shared" si="30"/>
        <v>0</v>
      </c>
      <c r="Y665" s="25">
        <f t="shared" si="31"/>
        <v>0</v>
      </c>
      <c r="Z665" s="26">
        <f>VLOOKUP(R665,CPI!$A$2:$F$71,6,0)</f>
        <v>1.359035428</v>
      </c>
      <c r="AA665" s="27">
        <f t="shared" si="8"/>
        <v>1712.330278</v>
      </c>
      <c r="AB665" s="27">
        <f t="shared" si="9"/>
        <v>271.7984568</v>
      </c>
      <c r="AC665" s="26" t="s">
        <v>42</v>
      </c>
      <c r="AD665" s="53" t="s">
        <v>1290</v>
      </c>
      <c r="AE665" s="130"/>
      <c r="AF665" s="130"/>
      <c r="AG665" s="130"/>
      <c r="AH665" s="130"/>
    </row>
    <row r="666">
      <c r="A666" s="26" t="s">
        <v>1262</v>
      </c>
      <c r="B666" s="26" t="s">
        <v>1291</v>
      </c>
      <c r="C666" s="1" t="s">
        <v>1069</v>
      </c>
      <c r="D666" s="26" t="s">
        <v>34</v>
      </c>
      <c r="E666" s="25">
        <v>2012.0</v>
      </c>
      <c r="F666" s="25">
        <v>2020.0</v>
      </c>
      <c r="G666" s="25">
        <v>0.0</v>
      </c>
      <c r="H666" s="25">
        <v>72.0</v>
      </c>
      <c r="I666" s="50">
        <v>0.0</v>
      </c>
      <c r="J666" s="25">
        <v>0.0</v>
      </c>
      <c r="K666" s="51">
        <v>0.0</v>
      </c>
      <c r="L666" s="51">
        <v>0.0</v>
      </c>
      <c r="M666" s="25">
        <v>66.0</v>
      </c>
      <c r="N666" s="25"/>
      <c r="O666" s="26" t="s">
        <v>42</v>
      </c>
      <c r="P666" s="52">
        <v>188000.0</v>
      </c>
      <c r="Q666" s="26" t="s">
        <v>1265</v>
      </c>
      <c r="R666" s="25">
        <v>2016.0</v>
      </c>
      <c r="S666" s="25">
        <v>0.05</v>
      </c>
      <c r="T666" s="25">
        <f t="shared" si="90"/>
        <v>9400</v>
      </c>
      <c r="U666" s="24">
        <f t="shared" si="3"/>
        <v>130.5555556</v>
      </c>
      <c r="V666" s="3">
        <f t="shared" si="28"/>
        <v>0</v>
      </c>
      <c r="W666" s="3">
        <f t="shared" si="29"/>
        <v>0</v>
      </c>
      <c r="X666" s="3">
        <f t="shared" si="30"/>
        <v>0</v>
      </c>
      <c r="Y666" s="25">
        <f t="shared" si="31"/>
        <v>0</v>
      </c>
      <c r="Z666" s="26">
        <f>VLOOKUP(R666,CPI!$A$2:$F$71,6,0)</f>
        <v>1.342104605</v>
      </c>
      <c r="AA666" s="27">
        <f t="shared" si="8"/>
        <v>12615.78329</v>
      </c>
      <c r="AB666" s="27">
        <f t="shared" si="9"/>
        <v>175.2192124</v>
      </c>
      <c r="AC666" s="26" t="s">
        <v>42</v>
      </c>
      <c r="AD666" s="53" t="s">
        <v>1292</v>
      </c>
      <c r="AE666" s="130"/>
      <c r="AF666" s="130"/>
      <c r="AG666" s="130"/>
      <c r="AH666" s="130"/>
    </row>
    <row r="667">
      <c r="A667" s="26" t="s">
        <v>1262</v>
      </c>
      <c r="B667" s="26" t="s">
        <v>1291</v>
      </c>
      <c r="C667" s="26" t="s">
        <v>1293</v>
      </c>
      <c r="D667" s="26" t="s">
        <v>1293</v>
      </c>
      <c r="E667" s="25">
        <v>2020.0</v>
      </c>
      <c r="F667" s="26"/>
      <c r="G667" s="25">
        <v>0.0</v>
      </c>
      <c r="H667" s="25">
        <v>31.0</v>
      </c>
      <c r="I667" s="50">
        <v>0.08</v>
      </c>
      <c r="J667" s="25">
        <v>2.5</v>
      </c>
      <c r="K667" s="51">
        <v>0.0</v>
      </c>
      <c r="L667" s="51">
        <v>0.0</v>
      </c>
      <c r="M667" s="25">
        <v>10.0</v>
      </c>
      <c r="N667" s="25"/>
      <c r="O667" s="26" t="s">
        <v>42</v>
      </c>
      <c r="P667" s="52">
        <v>46500.0</v>
      </c>
      <c r="Q667" s="26" t="s">
        <v>1265</v>
      </c>
      <c r="R667" s="25">
        <v>2020.0</v>
      </c>
      <c r="S667" s="25">
        <v>0.047</v>
      </c>
      <c r="T667" s="25">
        <f t="shared" si="90"/>
        <v>2185.5</v>
      </c>
      <c r="U667" s="24">
        <f t="shared" si="3"/>
        <v>70.5</v>
      </c>
      <c r="V667" s="3">
        <f t="shared" si="28"/>
        <v>0</v>
      </c>
      <c r="W667" s="3">
        <f t="shared" si="29"/>
        <v>0</v>
      </c>
      <c r="X667" s="3">
        <f t="shared" si="30"/>
        <v>0</v>
      </c>
      <c r="Y667" s="25">
        <f t="shared" si="31"/>
        <v>0</v>
      </c>
      <c r="Z667" s="26">
        <f>VLOOKUP(R667,CPI!$A$2:$F$71,6,0)</f>
        <v>1.244593545</v>
      </c>
      <c r="AA667" s="27">
        <f t="shared" si="8"/>
        <v>2720.059193</v>
      </c>
      <c r="AB667" s="27">
        <f t="shared" si="9"/>
        <v>87.74384493</v>
      </c>
      <c r="AC667" s="26" t="s">
        <v>42</v>
      </c>
      <c r="AD667" s="53" t="s">
        <v>1294</v>
      </c>
      <c r="AE667" s="130"/>
      <c r="AF667" s="130"/>
      <c r="AG667" s="130"/>
      <c r="AH667" s="130"/>
    </row>
    <row r="668">
      <c r="A668" s="26" t="s">
        <v>1262</v>
      </c>
      <c r="B668" s="26" t="s">
        <v>1295</v>
      </c>
      <c r="C668" s="1" t="s">
        <v>1069</v>
      </c>
      <c r="D668" s="26" t="s">
        <v>34</v>
      </c>
      <c r="E668" s="25">
        <v>2011.0</v>
      </c>
      <c r="F668" s="25">
        <v>2020.0</v>
      </c>
      <c r="G668" s="25">
        <v>0.0</v>
      </c>
      <c r="H668" s="25">
        <v>12.1</v>
      </c>
      <c r="I668" s="50">
        <v>0.23</v>
      </c>
      <c r="J668" s="25">
        <v>2.8</v>
      </c>
      <c r="K668" s="51">
        <v>0.0</v>
      </c>
      <c r="L668" s="51">
        <v>0.0</v>
      </c>
      <c r="M668" s="25">
        <v>11.0</v>
      </c>
      <c r="N668" s="25"/>
      <c r="O668" s="26" t="s">
        <v>60</v>
      </c>
      <c r="P668" s="52">
        <v>31490.0</v>
      </c>
      <c r="Q668" s="26" t="s">
        <v>1265</v>
      </c>
      <c r="R668" s="25">
        <v>2011.0</v>
      </c>
      <c r="S668" s="25">
        <v>0.064</v>
      </c>
      <c r="T668" s="25">
        <f t="shared" si="90"/>
        <v>2015.36</v>
      </c>
      <c r="U668" s="24">
        <f t="shared" si="3"/>
        <v>166.5586777</v>
      </c>
      <c r="V668" s="3">
        <f t="shared" si="28"/>
        <v>0</v>
      </c>
      <c r="W668" s="3">
        <f t="shared" si="29"/>
        <v>0</v>
      </c>
      <c r="X668" s="3">
        <f t="shared" si="30"/>
        <v>0</v>
      </c>
      <c r="Y668" s="25">
        <f t="shared" si="31"/>
        <v>0</v>
      </c>
      <c r="Z668" s="26">
        <f>VLOOKUP(R668,CPI!$A$2:$F$71,6,0)</f>
        <v>1.432008233</v>
      </c>
      <c r="AA668" s="27">
        <f t="shared" si="8"/>
        <v>2886.012113</v>
      </c>
      <c r="AB668" s="27">
        <f t="shared" si="9"/>
        <v>238.5133978</v>
      </c>
      <c r="AC668" s="26" t="s">
        <v>60</v>
      </c>
      <c r="AD668" s="53" t="s">
        <v>1296</v>
      </c>
      <c r="AE668" s="130"/>
      <c r="AF668" s="130"/>
      <c r="AG668" s="130"/>
      <c r="AH668" s="130"/>
    </row>
    <row r="669">
      <c r="A669" s="114" t="s">
        <v>1262</v>
      </c>
      <c r="B669" s="114" t="s">
        <v>1297</v>
      </c>
      <c r="C669" s="114" t="s">
        <v>57</v>
      </c>
      <c r="D669" s="114" t="s">
        <v>768</v>
      </c>
      <c r="E669" s="116">
        <v>2019.0</v>
      </c>
      <c r="F669" s="116">
        <v>2022.0</v>
      </c>
      <c r="G669" s="116">
        <v>0.0</v>
      </c>
      <c r="H669" s="116">
        <v>32.385</v>
      </c>
      <c r="I669" s="71">
        <v>0.399</v>
      </c>
      <c r="J669" s="116">
        <v>12.921</v>
      </c>
      <c r="K669" s="116">
        <v>19.464</v>
      </c>
      <c r="L669" s="114"/>
      <c r="M669" s="116">
        <v>31.0</v>
      </c>
      <c r="N669" s="116"/>
      <c r="O669" s="114"/>
      <c r="P669" s="73">
        <v>110765.0</v>
      </c>
      <c r="Q669" s="114" t="s">
        <v>1265</v>
      </c>
      <c r="R669" s="115">
        <v>2021.0</v>
      </c>
      <c r="S669" s="85">
        <v>0.0432</v>
      </c>
      <c r="T669" s="118">
        <f t="shared" si="90"/>
        <v>4785.048</v>
      </c>
      <c r="U669" s="24">
        <f t="shared" si="3"/>
        <v>147.7550718</v>
      </c>
      <c r="V669" s="3">
        <f t="shared" si="28"/>
        <v>0</v>
      </c>
      <c r="W669" s="3">
        <f t="shared" si="29"/>
        <v>0</v>
      </c>
      <c r="X669" s="3">
        <f t="shared" si="30"/>
        <v>0</v>
      </c>
      <c r="Y669" s="25">
        <f t="shared" si="31"/>
        <v>0</v>
      </c>
      <c r="Z669" s="26">
        <f>VLOOKUP(R669,CPI!$A$2:$F$71,6,0)</f>
        <v>1.188745987</v>
      </c>
      <c r="AA669" s="27">
        <f t="shared" si="8"/>
        <v>5688.206606</v>
      </c>
      <c r="AB669" s="27">
        <f t="shared" si="9"/>
        <v>175.6432486</v>
      </c>
      <c r="AC669" s="115" t="s">
        <v>42</v>
      </c>
      <c r="AD669" s="161" t="s">
        <v>1298</v>
      </c>
      <c r="AE669" s="7"/>
      <c r="AF669" s="7"/>
      <c r="AG669" s="7"/>
      <c r="AH669" s="7"/>
    </row>
    <row r="670">
      <c r="A670" s="26" t="s">
        <v>1262</v>
      </c>
      <c r="B670" s="26" t="s">
        <v>1299</v>
      </c>
      <c r="C670" s="26" t="s">
        <v>1069</v>
      </c>
      <c r="D670" s="26" t="s">
        <v>1069</v>
      </c>
      <c r="E670" s="25">
        <v>2013.0</v>
      </c>
      <c r="F670" s="25">
        <v>2017.0</v>
      </c>
      <c r="G670" s="25">
        <v>0.0</v>
      </c>
      <c r="H670" s="25">
        <v>13.0</v>
      </c>
      <c r="I670" s="50">
        <v>0.0</v>
      </c>
      <c r="J670" s="25">
        <v>0.0</v>
      </c>
      <c r="K670" s="51">
        <v>0.0</v>
      </c>
      <c r="L670" s="51">
        <v>0.0</v>
      </c>
      <c r="M670" s="25">
        <v>11.0</v>
      </c>
      <c r="N670" s="25"/>
      <c r="O670" s="26" t="s">
        <v>60</v>
      </c>
      <c r="P670" s="52">
        <v>51810.0</v>
      </c>
      <c r="Q670" s="26" t="s">
        <v>1265</v>
      </c>
      <c r="R670" s="25">
        <v>2015.0</v>
      </c>
      <c r="S670" s="25">
        <v>0.052</v>
      </c>
      <c r="T670" s="25">
        <f t="shared" si="90"/>
        <v>2694.12</v>
      </c>
      <c r="U670" s="24">
        <f t="shared" si="3"/>
        <v>207.24</v>
      </c>
      <c r="V670" s="3">
        <f t="shared" si="28"/>
        <v>0</v>
      </c>
      <c r="W670" s="3">
        <f t="shared" si="29"/>
        <v>0</v>
      </c>
      <c r="X670" s="3">
        <f t="shared" si="30"/>
        <v>0</v>
      </c>
      <c r="Y670" s="25">
        <f t="shared" si="31"/>
        <v>0</v>
      </c>
      <c r="Z670" s="26">
        <f>VLOOKUP(R670,CPI!$A$2:$F$71,6,0)</f>
        <v>1.359035428</v>
      </c>
      <c r="AA670" s="27">
        <f t="shared" si="8"/>
        <v>3661.404527</v>
      </c>
      <c r="AB670" s="27">
        <f t="shared" si="9"/>
        <v>281.6465021</v>
      </c>
      <c r="AC670" s="26" t="s">
        <v>60</v>
      </c>
      <c r="AD670" s="57" t="s">
        <v>1300</v>
      </c>
      <c r="AE670" s="130"/>
      <c r="AF670" s="130"/>
      <c r="AG670" s="130"/>
      <c r="AH670" s="130"/>
    </row>
    <row r="671">
      <c r="A671" s="26" t="s">
        <v>1262</v>
      </c>
      <c r="B671" s="26" t="s">
        <v>1301</v>
      </c>
      <c r="C671" s="26" t="s">
        <v>57</v>
      </c>
      <c r="D671" s="26" t="s">
        <v>57</v>
      </c>
      <c r="E671" s="25">
        <v>2014.0</v>
      </c>
      <c r="F671" s="25">
        <v>2019.0</v>
      </c>
      <c r="G671" s="25">
        <v>0.0</v>
      </c>
      <c r="H671" s="25">
        <v>22.9</v>
      </c>
      <c r="I671" s="50">
        <v>0.15</v>
      </c>
      <c r="J671" s="25">
        <v>3.4</v>
      </c>
      <c r="K671" s="51">
        <v>0.0</v>
      </c>
      <c r="L671" s="51">
        <v>0.0</v>
      </c>
      <c r="M671" s="25">
        <v>22.0</v>
      </c>
      <c r="N671" s="25"/>
      <c r="O671" s="26" t="s">
        <v>60</v>
      </c>
      <c r="P671" s="52">
        <v>69280.0</v>
      </c>
      <c r="Q671" s="26" t="s">
        <v>1265</v>
      </c>
      <c r="R671" s="25">
        <v>2016.0</v>
      </c>
      <c r="S671" s="25">
        <v>0.05</v>
      </c>
      <c r="T671" s="25">
        <f t="shared" si="90"/>
        <v>3464</v>
      </c>
      <c r="U671" s="24">
        <f t="shared" si="3"/>
        <v>151.2663755</v>
      </c>
      <c r="V671" s="3">
        <f t="shared" si="28"/>
        <v>0</v>
      </c>
      <c r="W671" s="3">
        <f t="shared" si="29"/>
        <v>0</v>
      </c>
      <c r="X671" s="3">
        <f t="shared" si="30"/>
        <v>0</v>
      </c>
      <c r="Y671" s="25">
        <f t="shared" si="31"/>
        <v>0</v>
      </c>
      <c r="Z671" s="26">
        <f>VLOOKUP(R671,CPI!$A$2:$F$71,6,0)</f>
        <v>1.342104605</v>
      </c>
      <c r="AA671" s="27">
        <f t="shared" si="8"/>
        <v>4649.050353</v>
      </c>
      <c r="AB671" s="27">
        <f t="shared" si="9"/>
        <v>203.0152992</v>
      </c>
      <c r="AC671" s="26" t="s">
        <v>60</v>
      </c>
      <c r="AD671" s="57" t="s">
        <v>1302</v>
      </c>
      <c r="AE671" s="130"/>
      <c r="AF671" s="130"/>
      <c r="AG671" s="130"/>
      <c r="AH671" s="130"/>
    </row>
    <row r="672">
      <c r="A672" s="26" t="s">
        <v>1262</v>
      </c>
      <c r="B672" s="26" t="s">
        <v>1303</v>
      </c>
      <c r="C672" s="26" t="s">
        <v>1097</v>
      </c>
      <c r="D672" s="26" t="s">
        <v>1097</v>
      </c>
      <c r="E672" s="25">
        <v>2009.0</v>
      </c>
      <c r="F672" s="25">
        <v>2019.0</v>
      </c>
      <c r="G672" s="25">
        <v>0.0</v>
      </c>
      <c r="H672" s="25">
        <v>20.2</v>
      </c>
      <c r="I672" s="50">
        <v>0.0</v>
      </c>
      <c r="J672" s="25">
        <v>0.0</v>
      </c>
      <c r="K672" s="51">
        <v>0.0</v>
      </c>
      <c r="L672" s="51">
        <v>0.0</v>
      </c>
      <c r="M672" s="25">
        <v>17.0</v>
      </c>
      <c r="N672" s="25"/>
      <c r="O672" s="26" t="s">
        <v>60</v>
      </c>
      <c r="P672" s="52">
        <v>30000.0</v>
      </c>
      <c r="Q672" s="26" t="s">
        <v>1265</v>
      </c>
      <c r="R672" s="25">
        <v>2014.0</v>
      </c>
      <c r="S672" s="25">
        <v>0.054</v>
      </c>
      <c r="T672" s="25">
        <f t="shared" si="90"/>
        <v>1620</v>
      </c>
      <c r="U672" s="24">
        <f t="shared" si="3"/>
        <v>80.1980198</v>
      </c>
      <c r="V672" s="3">
        <f t="shared" si="28"/>
        <v>0</v>
      </c>
      <c r="W672" s="3">
        <f t="shared" si="29"/>
        <v>0</v>
      </c>
      <c r="X672" s="3">
        <f t="shared" si="30"/>
        <v>0</v>
      </c>
      <c r="Y672" s="25">
        <f t="shared" si="31"/>
        <v>0</v>
      </c>
      <c r="Z672" s="26">
        <f>VLOOKUP(R672,CPI!$A$2:$F$71,6,0)</f>
        <v>1.360648571</v>
      </c>
      <c r="AA672" s="27">
        <f t="shared" si="8"/>
        <v>2204.250684</v>
      </c>
      <c r="AB672" s="27">
        <f t="shared" si="9"/>
        <v>109.121321</v>
      </c>
      <c r="AC672" s="26" t="s">
        <v>42</v>
      </c>
      <c r="AD672" s="53" t="s">
        <v>1304</v>
      </c>
      <c r="AE672" s="130"/>
      <c r="AF672" s="130"/>
      <c r="AG672" s="130"/>
      <c r="AH672" s="130"/>
    </row>
    <row r="673">
      <c r="A673" s="26" t="s">
        <v>1262</v>
      </c>
      <c r="B673" s="26" t="s">
        <v>1303</v>
      </c>
      <c r="C673" s="1" t="s">
        <v>54</v>
      </c>
      <c r="D673" s="26" t="s">
        <v>1305</v>
      </c>
      <c r="E673" s="25">
        <v>2016.0</v>
      </c>
      <c r="F673" s="25">
        <v>2021.0</v>
      </c>
      <c r="G673" s="25">
        <v>0.0</v>
      </c>
      <c r="H673" s="25">
        <v>18.6</v>
      </c>
      <c r="I673" s="50">
        <v>0.0</v>
      </c>
      <c r="J673" s="25">
        <v>0.0</v>
      </c>
      <c r="K673" s="51">
        <v>17.48</v>
      </c>
      <c r="L673" s="51">
        <v>1.12</v>
      </c>
      <c r="M673" s="25">
        <v>17.0</v>
      </c>
      <c r="N673" s="25"/>
      <c r="O673" s="26" t="s">
        <v>42</v>
      </c>
      <c r="P673" s="52">
        <v>64100.0</v>
      </c>
      <c r="Q673" s="26" t="s">
        <v>1265</v>
      </c>
      <c r="R673" s="25">
        <v>2018.0</v>
      </c>
      <c r="S673" s="25">
        <v>0.048</v>
      </c>
      <c r="T673" s="25">
        <f t="shared" si="90"/>
        <v>3076.8</v>
      </c>
      <c r="U673" s="24">
        <f t="shared" si="3"/>
        <v>165.4193548</v>
      </c>
      <c r="V673" s="3">
        <f t="shared" si="28"/>
        <v>0</v>
      </c>
      <c r="W673" s="3">
        <f t="shared" si="29"/>
        <v>0</v>
      </c>
      <c r="X673" s="3">
        <f t="shared" si="30"/>
        <v>0</v>
      </c>
      <c r="Y673" s="25">
        <f t="shared" si="31"/>
        <v>0</v>
      </c>
      <c r="Z673" s="26">
        <f>VLOOKUP(R673,CPI!$A$2:$F$71,6,0)</f>
        <v>1.28277786</v>
      </c>
      <c r="AA673" s="27">
        <f t="shared" si="8"/>
        <v>3946.850919</v>
      </c>
      <c r="AB673" s="27">
        <f t="shared" si="9"/>
        <v>212.1962859</v>
      </c>
      <c r="AC673" s="26" t="s">
        <v>42</v>
      </c>
      <c r="AD673" s="53" t="s">
        <v>1306</v>
      </c>
      <c r="AE673" s="130"/>
      <c r="AF673" s="130"/>
      <c r="AG673" s="130"/>
      <c r="AH673" s="130"/>
    </row>
    <row r="674">
      <c r="A674" s="26" t="s">
        <v>1262</v>
      </c>
      <c r="B674" s="26" t="s">
        <v>1303</v>
      </c>
      <c r="C674" s="26" t="s">
        <v>228</v>
      </c>
      <c r="D674" s="26" t="s">
        <v>228</v>
      </c>
      <c r="E674" s="25">
        <v>2016.0</v>
      </c>
      <c r="F674" s="25">
        <v>2021.0</v>
      </c>
      <c r="G674" s="25">
        <v>0.0</v>
      </c>
      <c r="H674" s="25">
        <v>16.5</v>
      </c>
      <c r="I674" s="50">
        <v>0.0</v>
      </c>
      <c r="J674" s="25">
        <v>0.0</v>
      </c>
      <c r="K674" s="51">
        <v>15.505</v>
      </c>
      <c r="L674" s="51">
        <v>0.995</v>
      </c>
      <c r="M674" s="25">
        <v>14.0</v>
      </c>
      <c r="N674" s="25"/>
      <c r="O674" s="26" t="s">
        <v>74</v>
      </c>
      <c r="P674" s="52">
        <v>62080.0</v>
      </c>
      <c r="Q674" s="26" t="s">
        <v>1265</v>
      </c>
      <c r="R674" s="25">
        <v>2018.0</v>
      </c>
      <c r="S674" s="25">
        <v>0.048</v>
      </c>
      <c r="T674" s="25">
        <f t="shared" si="90"/>
        <v>2979.84</v>
      </c>
      <c r="U674" s="24">
        <f t="shared" si="3"/>
        <v>180.5963636</v>
      </c>
      <c r="V674" s="3">
        <f t="shared" si="28"/>
        <v>0</v>
      </c>
      <c r="W674" s="3">
        <f t="shared" si="29"/>
        <v>0</v>
      </c>
      <c r="X674" s="3">
        <f t="shared" si="30"/>
        <v>0</v>
      </c>
      <c r="Y674" s="25">
        <f t="shared" si="31"/>
        <v>0</v>
      </c>
      <c r="Z674" s="26">
        <f>VLOOKUP(R674,CPI!$A$2:$F$71,6,0)</f>
        <v>1.28277786</v>
      </c>
      <c r="AA674" s="27">
        <f t="shared" si="8"/>
        <v>3822.472777</v>
      </c>
      <c r="AB674" s="27">
        <f t="shared" si="9"/>
        <v>231.6650168</v>
      </c>
      <c r="AC674" s="26" t="s">
        <v>42</v>
      </c>
      <c r="AD674" s="57" t="s">
        <v>1307</v>
      </c>
      <c r="AE674" s="130"/>
      <c r="AF674" s="130"/>
      <c r="AG674" s="130"/>
      <c r="AH674" s="130"/>
    </row>
    <row r="675">
      <c r="A675" s="26" t="s">
        <v>1262</v>
      </c>
      <c r="B675" s="26" t="s">
        <v>1303</v>
      </c>
      <c r="C675" s="26" t="s">
        <v>87</v>
      </c>
      <c r="D675" s="26" t="s">
        <v>87</v>
      </c>
      <c r="E675" s="25">
        <v>2016.0</v>
      </c>
      <c r="F675" s="25">
        <v>2022.0</v>
      </c>
      <c r="G675" s="25">
        <v>0.0</v>
      </c>
      <c r="H675" s="25">
        <v>33.5</v>
      </c>
      <c r="I675" s="50">
        <v>1.0</v>
      </c>
      <c r="J675" s="25">
        <v>33.5</v>
      </c>
      <c r="K675" s="51">
        <v>0.0</v>
      </c>
      <c r="L675" s="51">
        <v>0.0</v>
      </c>
      <c r="M675" s="25">
        <v>27.0</v>
      </c>
      <c r="N675" s="25"/>
      <c r="O675" s="26" t="s">
        <v>42</v>
      </c>
      <c r="P675" s="52">
        <v>320000.0</v>
      </c>
      <c r="Q675" s="26" t="s">
        <v>1265</v>
      </c>
      <c r="R675" s="25">
        <v>2019.0</v>
      </c>
      <c r="S675" s="25">
        <v>0.047</v>
      </c>
      <c r="T675" s="25">
        <f t="shared" si="90"/>
        <v>15040</v>
      </c>
      <c r="U675" s="24">
        <f t="shared" si="3"/>
        <v>448.9552239</v>
      </c>
      <c r="V675" s="3">
        <f t="shared" si="28"/>
        <v>0</v>
      </c>
      <c r="W675" s="3">
        <f t="shared" si="29"/>
        <v>0</v>
      </c>
      <c r="X675" s="3">
        <f t="shared" si="30"/>
        <v>0</v>
      </c>
      <c r="Y675" s="25">
        <f t="shared" si="31"/>
        <v>0</v>
      </c>
      <c r="Z675" s="26">
        <f>VLOOKUP(R675,CPI!$A$2:$F$71,6,0)</f>
        <v>1.259947899</v>
      </c>
      <c r="AA675" s="27">
        <f t="shared" si="8"/>
        <v>18949.6164</v>
      </c>
      <c r="AB675" s="27">
        <f t="shared" si="9"/>
        <v>565.660191</v>
      </c>
      <c r="AC675" s="26" t="s">
        <v>36</v>
      </c>
      <c r="AD675" s="53" t="s">
        <v>1308</v>
      </c>
      <c r="AE675" s="130"/>
      <c r="AF675" s="130"/>
      <c r="AG675" s="130"/>
      <c r="AH675" s="130"/>
    </row>
    <row r="676">
      <c r="A676" s="26" t="s">
        <v>1262</v>
      </c>
      <c r="B676" s="26" t="s">
        <v>1303</v>
      </c>
      <c r="C676" s="26" t="s">
        <v>80</v>
      </c>
      <c r="D676" s="26" t="s">
        <v>80</v>
      </c>
      <c r="E676" s="25">
        <v>2017.0</v>
      </c>
      <c r="F676" s="25">
        <v>2022.0</v>
      </c>
      <c r="G676" s="25">
        <v>0.0</v>
      </c>
      <c r="H676" s="25">
        <v>14.5</v>
      </c>
      <c r="I676" s="50">
        <v>0.0</v>
      </c>
      <c r="J676" s="25">
        <v>0.0</v>
      </c>
      <c r="K676" s="51">
        <v>14.5</v>
      </c>
      <c r="L676" s="51">
        <v>0.0</v>
      </c>
      <c r="M676" s="25">
        <v>13.0</v>
      </c>
      <c r="N676" s="25"/>
      <c r="O676" s="26" t="s">
        <v>74</v>
      </c>
      <c r="P676" s="52">
        <v>55670.0</v>
      </c>
      <c r="Q676" s="26" t="s">
        <v>1265</v>
      </c>
      <c r="R676" s="25">
        <v>2016.0</v>
      </c>
      <c r="S676" s="25">
        <v>0.05</v>
      </c>
      <c r="T676" s="25">
        <f t="shared" si="90"/>
        <v>2783.5</v>
      </c>
      <c r="U676" s="24">
        <f t="shared" si="3"/>
        <v>191.9655172</v>
      </c>
      <c r="V676" s="3">
        <f t="shared" si="28"/>
        <v>0</v>
      </c>
      <c r="W676" s="3">
        <f t="shared" si="29"/>
        <v>0</v>
      </c>
      <c r="X676" s="3">
        <f t="shared" si="30"/>
        <v>0</v>
      </c>
      <c r="Y676" s="25">
        <f t="shared" si="31"/>
        <v>0</v>
      </c>
      <c r="Z676" s="26">
        <f>VLOOKUP(R676,CPI!$A$2:$F$71,6,0)</f>
        <v>1.342104605</v>
      </c>
      <c r="AA676" s="27">
        <f t="shared" si="8"/>
        <v>3735.748169</v>
      </c>
      <c r="AB676" s="27">
        <f t="shared" si="9"/>
        <v>257.6378047</v>
      </c>
      <c r="AC676" s="26" t="s">
        <v>42</v>
      </c>
      <c r="AD676" s="57" t="s">
        <v>1309</v>
      </c>
      <c r="AE676" s="130"/>
      <c r="AF676" s="130"/>
      <c r="AG676" s="130"/>
      <c r="AH676" s="130"/>
    </row>
    <row r="677">
      <c r="A677" s="26" t="s">
        <v>1262</v>
      </c>
      <c r="B677" s="26" t="s">
        <v>1303</v>
      </c>
      <c r="C677" s="1" t="s">
        <v>110</v>
      </c>
      <c r="D677" s="26" t="s">
        <v>110</v>
      </c>
      <c r="E677" s="25">
        <v>2018.0</v>
      </c>
      <c r="F677" s="25">
        <v>2022.0</v>
      </c>
      <c r="G677" s="25">
        <v>0.0</v>
      </c>
      <c r="H677" s="25">
        <v>32.3</v>
      </c>
      <c r="I677" s="50">
        <v>0.0</v>
      </c>
      <c r="J677" s="25">
        <v>0.0</v>
      </c>
      <c r="K677" s="51">
        <v>31.71</v>
      </c>
      <c r="L677" s="51">
        <v>0.59</v>
      </c>
      <c r="M677" s="25">
        <v>32.0</v>
      </c>
      <c r="N677" s="25"/>
      <c r="O677" s="26" t="s">
        <v>60</v>
      </c>
      <c r="P677" s="52">
        <v>145490.0</v>
      </c>
      <c r="Q677" s="26" t="s">
        <v>1265</v>
      </c>
      <c r="R677" s="25">
        <v>2020.0</v>
      </c>
      <c r="S677" s="25">
        <v>0.047</v>
      </c>
      <c r="T677" s="25">
        <f t="shared" si="90"/>
        <v>6838.03</v>
      </c>
      <c r="U677" s="24">
        <f t="shared" si="3"/>
        <v>211.7037152</v>
      </c>
      <c r="V677" s="3">
        <f t="shared" si="28"/>
        <v>0</v>
      </c>
      <c r="W677" s="3">
        <f t="shared" si="29"/>
        <v>0</v>
      </c>
      <c r="X677" s="3">
        <f t="shared" si="30"/>
        <v>0</v>
      </c>
      <c r="Y677" s="25">
        <f t="shared" si="31"/>
        <v>0</v>
      </c>
      <c r="Z677" s="26">
        <f>VLOOKUP(R677,CPI!$A$2:$F$71,6,0)</f>
        <v>1.244593545</v>
      </c>
      <c r="AA677" s="27">
        <f t="shared" si="8"/>
        <v>8510.567999</v>
      </c>
      <c r="AB677" s="27">
        <f t="shared" si="9"/>
        <v>263.4850774</v>
      </c>
      <c r="AC677" s="26" t="s">
        <v>60</v>
      </c>
      <c r="AD677" s="57" t="s">
        <v>1310</v>
      </c>
      <c r="AE677" s="130"/>
      <c r="AF677" s="130"/>
      <c r="AG677" s="130"/>
      <c r="AH677" s="130"/>
    </row>
    <row r="678">
      <c r="A678" s="26" t="s">
        <v>1262</v>
      </c>
      <c r="B678" s="26" t="s">
        <v>1303</v>
      </c>
      <c r="C678" s="1" t="s">
        <v>110</v>
      </c>
      <c r="D678" s="26" t="s">
        <v>1311</v>
      </c>
      <c r="E678" s="25">
        <v>2019.0</v>
      </c>
      <c r="F678" s="25">
        <v>2022.0</v>
      </c>
      <c r="G678" s="25">
        <v>0.0</v>
      </c>
      <c r="H678" s="25">
        <v>2.7</v>
      </c>
      <c r="I678" s="50">
        <v>0.0</v>
      </c>
      <c r="J678" s="25">
        <v>0.0</v>
      </c>
      <c r="K678" s="51">
        <v>0.0</v>
      </c>
      <c r="L678" s="51">
        <v>0.0</v>
      </c>
      <c r="M678" s="25">
        <v>2.0</v>
      </c>
      <c r="N678" s="25"/>
      <c r="O678" s="26" t="s">
        <v>60</v>
      </c>
      <c r="P678" s="52">
        <v>7860.0</v>
      </c>
      <c r="Q678" s="26" t="s">
        <v>1265</v>
      </c>
      <c r="R678" s="25">
        <v>2017.0</v>
      </c>
      <c r="S678" s="25">
        <v>0.048</v>
      </c>
      <c r="T678" s="25">
        <f t="shared" si="90"/>
        <v>377.28</v>
      </c>
      <c r="U678" s="24">
        <f t="shared" si="3"/>
        <v>139.7333333</v>
      </c>
      <c r="V678" s="3">
        <f t="shared" si="28"/>
        <v>0</v>
      </c>
      <c r="W678" s="3">
        <f t="shared" si="29"/>
        <v>0</v>
      </c>
      <c r="X678" s="3">
        <f t="shared" si="30"/>
        <v>0</v>
      </c>
      <c r="Y678" s="25">
        <f t="shared" si="31"/>
        <v>0</v>
      </c>
      <c r="Z678" s="26">
        <f>VLOOKUP(R678,CPI!$A$2:$F$71,6,0)</f>
        <v>1.314109416</v>
      </c>
      <c r="AA678" s="27">
        <f t="shared" si="8"/>
        <v>495.7872004</v>
      </c>
      <c r="AB678" s="27">
        <f t="shared" si="9"/>
        <v>183.624889</v>
      </c>
      <c r="AC678" s="26" t="s">
        <v>60</v>
      </c>
      <c r="AD678" s="57" t="s">
        <v>1312</v>
      </c>
      <c r="AE678" s="130"/>
      <c r="AF678" s="130"/>
      <c r="AG678" s="130"/>
      <c r="AH678" s="130"/>
    </row>
    <row r="679">
      <c r="A679" s="26" t="s">
        <v>1262</v>
      </c>
      <c r="B679" s="26" t="s">
        <v>1303</v>
      </c>
      <c r="C679" s="26" t="s">
        <v>1313</v>
      </c>
      <c r="D679" s="26" t="s">
        <v>1313</v>
      </c>
      <c r="E679" s="25">
        <v>2019.0</v>
      </c>
      <c r="F679" s="25">
        <v>2022.0</v>
      </c>
      <c r="G679" s="25">
        <v>0.0</v>
      </c>
      <c r="H679" s="25">
        <v>13.5</v>
      </c>
      <c r="I679" s="50">
        <v>0.16</v>
      </c>
      <c r="J679" s="25">
        <v>2.2</v>
      </c>
      <c r="K679" s="51">
        <v>0.0</v>
      </c>
      <c r="L679" s="51">
        <v>0.0</v>
      </c>
      <c r="M679" s="25">
        <v>11.0</v>
      </c>
      <c r="N679" s="25"/>
      <c r="O679" s="26" t="s">
        <v>60</v>
      </c>
      <c r="P679" s="52">
        <v>65180.0</v>
      </c>
      <c r="Q679" s="26" t="s">
        <v>1265</v>
      </c>
      <c r="R679" s="25">
        <v>2020.0</v>
      </c>
      <c r="S679" s="25">
        <v>0.047</v>
      </c>
      <c r="T679" s="25">
        <f t="shared" si="90"/>
        <v>3063.46</v>
      </c>
      <c r="U679" s="24">
        <f t="shared" si="3"/>
        <v>226.922963</v>
      </c>
      <c r="V679" s="3">
        <f t="shared" si="28"/>
        <v>0</v>
      </c>
      <c r="W679" s="3">
        <f t="shared" si="29"/>
        <v>0</v>
      </c>
      <c r="X679" s="3">
        <f t="shared" si="30"/>
        <v>0</v>
      </c>
      <c r="Y679" s="25">
        <f t="shared" si="31"/>
        <v>0</v>
      </c>
      <c r="Z679" s="26">
        <f>VLOOKUP(R679,CPI!$A$2:$F$71,6,0)</f>
        <v>1.244593545</v>
      </c>
      <c r="AA679" s="27">
        <f t="shared" si="8"/>
        <v>3812.762542</v>
      </c>
      <c r="AB679" s="27">
        <f t="shared" si="9"/>
        <v>282.4268549</v>
      </c>
      <c r="AC679" s="26" t="s">
        <v>60</v>
      </c>
      <c r="AD679" s="57" t="s">
        <v>1314</v>
      </c>
      <c r="AE679" s="130"/>
      <c r="AF679" s="130"/>
      <c r="AG679" s="130"/>
      <c r="AH679" s="130"/>
    </row>
    <row r="680">
      <c r="A680" s="26" t="s">
        <v>1262</v>
      </c>
      <c r="B680" s="26" t="s">
        <v>1303</v>
      </c>
      <c r="C680" s="1" t="s">
        <v>54</v>
      </c>
      <c r="D680" s="26" t="s">
        <v>1315</v>
      </c>
      <c r="E680" s="25">
        <v>2018.0</v>
      </c>
      <c r="F680" s="25">
        <v>2023.0</v>
      </c>
      <c r="G680" s="25">
        <v>0.0</v>
      </c>
      <c r="H680" s="25">
        <v>23.5</v>
      </c>
      <c r="I680" s="50">
        <v>0.0</v>
      </c>
      <c r="J680" s="25">
        <v>0.0</v>
      </c>
      <c r="K680" s="51">
        <v>23.5</v>
      </c>
      <c r="L680" s="51">
        <v>0.0</v>
      </c>
      <c r="M680" s="25">
        <v>22.0</v>
      </c>
      <c r="N680" s="25"/>
      <c r="O680" s="26" t="s">
        <v>60</v>
      </c>
      <c r="P680" s="52">
        <v>109860.0</v>
      </c>
      <c r="Q680" s="26" t="s">
        <v>1265</v>
      </c>
      <c r="R680" s="25">
        <v>2020.0</v>
      </c>
      <c r="S680" s="25">
        <v>0.047</v>
      </c>
      <c r="T680" s="25">
        <f t="shared" si="90"/>
        <v>5163.42</v>
      </c>
      <c r="U680" s="24">
        <f t="shared" si="3"/>
        <v>219.72</v>
      </c>
      <c r="V680" s="3">
        <f t="shared" si="28"/>
        <v>0</v>
      </c>
      <c r="W680" s="3">
        <f t="shared" si="29"/>
        <v>0</v>
      </c>
      <c r="X680" s="3">
        <f t="shared" si="30"/>
        <v>0</v>
      </c>
      <c r="Y680" s="25">
        <f t="shared" si="31"/>
        <v>0</v>
      </c>
      <c r="Z680" s="26">
        <f>VLOOKUP(R680,CPI!$A$2:$F$71,6,0)</f>
        <v>1.244593545</v>
      </c>
      <c r="AA680" s="27">
        <f t="shared" si="8"/>
        <v>6426.359203</v>
      </c>
      <c r="AB680" s="27">
        <f t="shared" si="9"/>
        <v>273.4620937</v>
      </c>
      <c r="AC680" s="26" t="s">
        <v>60</v>
      </c>
      <c r="AD680" s="53" t="s">
        <v>1316</v>
      </c>
      <c r="AE680" s="130"/>
      <c r="AF680" s="130"/>
      <c r="AG680" s="130"/>
      <c r="AH680" s="130"/>
    </row>
    <row r="681">
      <c r="A681" s="26" t="s">
        <v>1262</v>
      </c>
      <c r="B681" s="26" t="s">
        <v>1303</v>
      </c>
      <c r="C681" s="26" t="s">
        <v>84</v>
      </c>
      <c r="D681" s="26" t="s">
        <v>84</v>
      </c>
      <c r="E681" s="25">
        <v>2017.0</v>
      </c>
      <c r="F681" s="25">
        <v>2024.0</v>
      </c>
      <c r="G681" s="25">
        <v>0.0</v>
      </c>
      <c r="H681" s="25">
        <v>24.9</v>
      </c>
      <c r="I681" s="50">
        <v>0.0</v>
      </c>
      <c r="J681" s="25">
        <v>0.0</v>
      </c>
      <c r="K681" s="51">
        <v>0.0</v>
      </c>
      <c r="L681" s="51">
        <v>0.0</v>
      </c>
      <c r="M681" s="25">
        <v>16.0</v>
      </c>
      <c r="N681" s="25"/>
      <c r="O681" s="26" t="s">
        <v>60</v>
      </c>
      <c r="P681" s="52">
        <v>84165.0</v>
      </c>
      <c r="Q681" s="26" t="s">
        <v>1265</v>
      </c>
      <c r="R681" s="25">
        <v>2020.0</v>
      </c>
      <c r="S681" s="25">
        <v>0.047</v>
      </c>
      <c r="T681" s="25">
        <f t="shared" si="90"/>
        <v>3955.755</v>
      </c>
      <c r="U681" s="24">
        <f t="shared" si="3"/>
        <v>158.8656627</v>
      </c>
      <c r="V681" s="3">
        <f t="shared" si="28"/>
        <v>0</v>
      </c>
      <c r="W681" s="3">
        <f t="shared" si="29"/>
        <v>0</v>
      </c>
      <c r="X681" s="3">
        <f t="shared" si="30"/>
        <v>0</v>
      </c>
      <c r="Y681" s="25">
        <f t="shared" si="31"/>
        <v>0</v>
      </c>
      <c r="Z681" s="26">
        <f>VLOOKUP(R681,CPI!$A$2:$F$71,6,0)</f>
        <v>1.244593545</v>
      </c>
      <c r="AA681" s="27">
        <f t="shared" si="8"/>
        <v>4923.307139</v>
      </c>
      <c r="AB681" s="27">
        <f t="shared" si="9"/>
        <v>197.7231783</v>
      </c>
      <c r="AC681" s="26" t="s">
        <v>60</v>
      </c>
      <c r="AD681" s="53" t="s">
        <v>1317</v>
      </c>
      <c r="AE681" s="130"/>
      <c r="AF681" s="130"/>
      <c r="AG681" s="130"/>
      <c r="AH681" s="130"/>
    </row>
    <row r="682">
      <c r="A682" s="26" t="s">
        <v>1262</v>
      </c>
      <c r="B682" s="26" t="s">
        <v>1303</v>
      </c>
      <c r="C682" s="26" t="s">
        <v>239</v>
      </c>
      <c r="D682" s="26" t="s">
        <v>239</v>
      </c>
      <c r="E682" s="25">
        <v>2020.0</v>
      </c>
      <c r="F682" s="25">
        <v>2024.0</v>
      </c>
      <c r="G682" s="25">
        <v>0.0</v>
      </c>
      <c r="H682" s="25">
        <v>9.2</v>
      </c>
      <c r="I682" s="50">
        <v>0.08</v>
      </c>
      <c r="J682" s="25">
        <v>0.7</v>
      </c>
      <c r="K682" s="51">
        <v>0.0</v>
      </c>
      <c r="L682" s="51">
        <v>0.0</v>
      </c>
      <c r="M682" s="25">
        <v>4.0</v>
      </c>
      <c r="N682" s="25"/>
      <c r="O682" s="26" t="s">
        <v>60</v>
      </c>
      <c r="P682" s="52">
        <v>38210.0</v>
      </c>
      <c r="Q682" s="26" t="s">
        <v>1265</v>
      </c>
      <c r="R682" s="25">
        <v>2018.0</v>
      </c>
      <c r="S682" s="25">
        <v>0.048</v>
      </c>
      <c r="T682" s="25">
        <f t="shared" si="90"/>
        <v>1834.08</v>
      </c>
      <c r="U682" s="24">
        <f t="shared" si="3"/>
        <v>199.3565217</v>
      </c>
      <c r="V682" s="3">
        <f t="shared" si="28"/>
        <v>0</v>
      </c>
      <c r="W682" s="3">
        <f t="shared" si="29"/>
        <v>0</v>
      </c>
      <c r="X682" s="3">
        <f t="shared" si="30"/>
        <v>0</v>
      </c>
      <c r="Y682" s="25">
        <f t="shared" si="31"/>
        <v>0</v>
      </c>
      <c r="Z682" s="26">
        <f>VLOOKUP(R682,CPI!$A$2:$F$71,6,0)</f>
        <v>1.28277786</v>
      </c>
      <c r="AA682" s="27">
        <f t="shared" si="8"/>
        <v>2352.717217</v>
      </c>
      <c r="AB682" s="27">
        <f t="shared" si="9"/>
        <v>255.7301323</v>
      </c>
      <c r="AC682" s="26" t="s">
        <v>60</v>
      </c>
      <c r="AD682" s="53" t="s">
        <v>1318</v>
      </c>
      <c r="AE682" s="130"/>
      <c r="AF682" s="130"/>
      <c r="AG682" s="130"/>
      <c r="AH682" s="130"/>
    </row>
    <row r="683">
      <c r="A683" s="292" t="s">
        <v>1262</v>
      </c>
      <c r="B683" s="292" t="s">
        <v>1303</v>
      </c>
      <c r="C683" s="292" t="s">
        <v>292</v>
      </c>
      <c r="D683" s="292" t="s">
        <v>292</v>
      </c>
      <c r="E683" s="293">
        <v>2020.0</v>
      </c>
      <c r="F683" s="293">
        <v>2026.0</v>
      </c>
      <c r="G683" s="293">
        <v>0.0</v>
      </c>
      <c r="H683" s="293">
        <v>12.8</v>
      </c>
      <c r="I683" s="294">
        <v>0.69</v>
      </c>
      <c r="J683" s="293">
        <v>8.8</v>
      </c>
      <c r="K683" s="295">
        <v>0.0</v>
      </c>
      <c r="L683" s="295">
        <v>0.0</v>
      </c>
      <c r="M683" s="293">
        <v>10.0</v>
      </c>
      <c r="N683" s="293"/>
      <c r="O683" s="26" t="s">
        <v>60</v>
      </c>
      <c r="P683" s="296">
        <v>70850.0</v>
      </c>
      <c r="Q683" s="292" t="s">
        <v>1265</v>
      </c>
      <c r="R683" s="293">
        <v>2018.0</v>
      </c>
      <c r="S683" s="25">
        <v>0.048</v>
      </c>
      <c r="T683" s="25">
        <f t="shared" si="90"/>
        <v>3400.8</v>
      </c>
      <c r="U683" s="24">
        <f t="shared" si="3"/>
        <v>265.6875</v>
      </c>
      <c r="V683" s="3">
        <f t="shared" si="28"/>
        <v>0</v>
      </c>
      <c r="W683" s="3">
        <f t="shared" si="29"/>
        <v>0</v>
      </c>
      <c r="X683" s="3">
        <f t="shared" si="30"/>
        <v>0</v>
      </c>
      <c r="Y683" s="25">
        <f t="shared" si="31"/>
        <v>0</v>
      </c>
      <c r="Z683" s="26">
        <f>VLOOKUP(R683,CPI!$A$2:$F$71,6,0)</f>
        <v>1.28277786</v>
      </c>
      <c r="AA683" s="27">
        <f t="shared" si="8"/>
        <v>4362.470945</v>
      </c>
      <c r="AB683" s="27">
        <f t="shared" si="9"/>
        <v>340.8180426</v>
      </c>
      <c r="AC683" s="292" t="s">
        <v>60</v>
      </c>
      <c r="AD683" s="297" t="s">
        <v>1319</v>
      </c>
      <c r="AE683" s="298"/>
      <c r="AF683" s="298"/>
      <c r="AG683" s="298"/>
      <c r="AH683" s="298"/>
    </row>
    <row r="684">
      <c r="A684" s="26" t="s">
        <v>1262</v>
      </c>
      <c r="B684" s="26" t="s">
        <v>1303</v>
      </c>
      <c r="C684" s="26" t="s">
        <v>287</v>
      </c>
      <c r="D684" s="26" t="s">
        <v>287</v>
      </c>
      <c r="E684" s="25">
        <v>2020.0</v>
      </c>
      <c r="F684" s="25">
        <v>2026.0</v>
      </c>
      <c r="G684" s="25">
        <v>0.0</v>
      </c>
      <c r="H684" s="25">
        <v>20.8</v>
      </c>
      <c r="I684" s="50">
        <v>0.0</v>
      </c>
      <c r="J684" s="25">
        <v>0.0</v>
      </c>
      <c r="K684" s="51">
        <v>0.0</v>
      </c>
      <c r="L684" s="51">
        <v>0.0</v>
      </c>
      <c r="M684" s="25">
        <v>17.0</v>
      </c>
      <c r="N684" s="25"/>
      <c r="O684" s="26" t="s">
        <v>60</v>
      </c>
      <c r="P684" s="52">
        <v>47380.0</v>
      </c>
      <c r="Q684" s="26" t="s">
        <v>1265</v>
      </c>
      <c r="R684" s="25">
        <v>2018.0</v>
      </c>
      <c r="S684" s="25">
        <v>0.048</v>
      </c>
      <c r="T684" s="25">
        <f t="shared" si="90"/>
        <v>2274.24</v>
      </c>
      <c r="U684" s="24">
        <f t="shared" si="3"/>
        <v>109.3384615</v>
      </c>
      <c r="V684" s="3">
        <f t="shared" si="28"/>
        <v>0</v>
      </c>
      <c r="W684" s="3">
        <f t="shared" si="29"/>
        <v>0</v>
      </c>
      <c r="X684" s="3">
        <f t="shared" si="30"/>
        <v>0</v>
      </c>
      <c r="Y684" s="25">
        <f t="shared" si="31"/>
        <v>0</v>
      </c>
      <c r="Z684" s="26">
        <f>VLOOKUP(R684,CPI!$A$2:$F$71,6,0)</f>
        <v>1.28277786</v>
      </c>
      <c r="AA684" s="27">
        <f t="shared" si="8"/>
        <v>2917.34472</v>
      </c>
      <c r="AB684" s="27">
        <f t="shared" si="9"/>
        <v>140.2569577</v>
      </c>
      <c r="AC684" s="26" t="s">
        <v>60</v>
      </c>
      <c r="AD684" s="53" t="s">
        <v>1320</v>
      </c>
      <c r="AE684" s="130"/>
      <c r="AF684" s="130"/>
      <c r="AG684" s="130"/>
      <c r="AH684" s="130"/>
    </row>
    <row r="685">
      <c r="A685" s="26" t="s">
        <v>1262</v>
      </c>
      <c r="B685" s="26" t="s">
        <v>1321</v>
      </c>
      <c r="C685" s="1" t="s">
        <v>1321</v>
      </c>
      <c r="D685" s="26" t="s">
        <v>34</v>
      </c>
      <c r="E685" s="25">
        <v>2014.0</v>
      </c>
      <c r="F685" s="25">
        <v>2020.0</v>
      </c>
      <c r="G685" s="25">
        <v>0.0</v>
      </c>
      <c r="H685" s="25">
        <v>38.2</v>
      </c>
      <c r="I685" s="50">
        <v>0.0</v>
      </c>
      <c r="J685" s="25">
        <v>0.0</v>
      </c>
      <c r="K685" s="51">
        <v>0.0</v>
      </c>
      <c r="L685" s="51">
        <v>0.0</v>
      </c>
      <c r="M685" s="25">
        <v>40.0</v>
      </c>
      <c r="N685" s="25"/>
      <c r="O685" s="26" t="s">
        <v>42</v>
      </c>
      <c r="P685" s="52">
        <v>86800.0</v>
      </c>
      <c r="Q685" s="26" t="s">
        <v>1265</v>
      </c>
      <c r="R685" s="25">
        <v>2014.0</v>
      </c>
      <c r="S685" s="25">
        <v>0.054</v>
      </c>
      <c r="T685" s="25">
        <f t="shared" si="90"/>
        <v>4687.2</v>
      </c>
      <c r="U685" s="24">
        <f t="shared" si="3"/>
        <v>122.7015707</v>
      </c>
      <c r="V685" s="3">
        <f t="shared" si="28"/>
        <v>0</v>
      </c>
      <c r="W685" s="3">
        <f t="shared" si="29"/>
        <v>0</v>
      </c>
      <c r="X685" s="3">
        <f t="shared" si="30"/>
        <v>0</v>
      </c>
      <c r="Y685" s="25">
        <f t="shared" si="31"/>
        <v>0</v>
      </c>
      <c r="Z685" s="26">
        <f>VLOOKUP(R685,CPI!$A$2:$F$71,6,0)</f>
        <v>1.360648571</v>
      </c>
      <c r="AA685" s="27">
        <f t="shared" si="8"/>
        <v>6377.63198</v>
      </c>
      <c r="AB685" s="27">
        <f t="shared" si="9"/>
        <v>166.9537168</v>
      </c>
      <c r="AC685" s="26" t="s">
        <v>60</v>
      </c>
      <c r="AD685" s="57" t="s">
        <v>1322</v>
      </c>
      <c r="AE685" s="130"/>
      <c r="AF685" s="130"/>
      <c r="AG685" s="130"/>
      <c r="AH685" s="130"/>
    </row>
    <row r="686">
      <c r="A686" s="26" t="s">
        <v>1262</v>
      </c>
      <c r="B686" s="26" t="s">
        <v>1321</v>
      </c>
      <c r="C686" s="1" t="s">
        <v>1321</v>
      </c>
      <c r="D686" s="26" t="s">
        <v>38</v>
      </c>
      <c r="E686" s="25"/>
      <c r="F686" s="25"/>
      <c r="G686" s="25">
        <v>0.0</v>
      </c>
      <c r="H686" s="25">
        <v>43.8</v>
      </c>
      <c r="I686" s="50">
        <v>0.0</v>
      </c>
      <c r="J686" s="25">
        <v>0.0</v>
      </c>
      <c r="K686" s="51">
        <v>0.0</v>
      </c>
      <c r="L686" s="51">
        <v>0.0</v>
      </c>
      <c r="M686" s="25">
        <v>32.0</v>
      </c>
      <c r="N686" s="25"/>
      <c r="O686" s="26" t="s">
        <v>60</v>
      </c>
      <c r="P686" s="52">
        <v>112160.0</v>
      </c>
      <c r="Q686" s="26" t="s">
        <v>1265</v>
      </c>
      <c r="R686" s="25">
        <v>2018.0</v>
      </c>
      <c r="S686" s="25">
        <v>0.048</v>
      </c>
      <c r="T686" s="25">
        <f t="shared" si="90"/>
        <v>5383.68</v>
      </c>
      <c r="U686" s="24">
        <f t="shared" si="3"/>
        <v>122.9150685</v>
      </c>
      <c r="V686" s="3">
        <f t="shared" si="28"/>
        <v>0</v>
      </c>
      <c r="W686" s="3">
        <f t="shared" si="29"/>
        <v>0</v>
      </c>
      <c r="X686" s="3">
        <f t="shared" si="30"/>
        <v>0</v>
      </c>
      <c r="Y686" s="25">
        <f t="shared" si="31"/>
        <v>0</v>
      </c>
      <c r="Z686" s="26">
        <f>VLOOKUP(R686,CPI!$A$2:$F$71,6,0)</f>
        <v>1.28277786</v>
      </c>
      <c r="AA686" s="27">
        <f t="shared" si="8"/>
        <v>6906.065507</v>
      </c>
      <c r="AB686" s="27">
        <f t="shared" si="9"/>
        <v>157.6727285</v>
      </c>
      <c r="AC686" s="26" t="s">
        <v>42</v>
      </c>
      <c r="AD686" s="251" t="s">
        <v>1323</v>
      </c>
      <c r="AE686" s="130"/>
      <c r="AF686" s="130"/>
      <c r="AG686" s="130"/>
      <c r="AH686" s="130"/>
    </row>
    <row r="687">
      <c r="A687" s="114" t="s">
        <v>1262</v>
      </c>
      <c r="B687" s="114" t="s">
        <v>1324</v>
      </c>
      <c r="C687" s="114"/>
      <c r="D687" s="114" t="s">
        <v>1264</v>
      </c>
      <c r="E687" s="115">
        <v>2019.0</v>
      </c>
      <c r="F687" s="115">
        <v>2025.0</v>
      </c>
      <c r="G687" s="116">
        <v>0.0</v>
      </c>
      <c r="H687" s="116">
        <v>39.6</v>
      </c>
      <c r="I687" s="71">
        <v>0.4116</v>
      </c>
      <c r="J687" s="116">
        <v>16.3</v>
      </c>
      <c r="K687" s="116">
        <v>23.3</v>
      </c>
      <c r="L687" s="114"/>
      <c r="M687" s="116">
        <v>25.0</v>
      </c>
      <c r="N687" s="116"/>
      <c r="O687" s="114"/>
      <c r="P687" s="73">
        <v>133658.0</v>
      </c>
      <c r="Q687" s="114" t="s">
        <v>1265</v>
      </c>
      <c r="R687" s="115">
        <v>2022.0</v>
      </c>
      <c r="S687" s="115">
        <v>0.0483</v>
      </c>
      <c r="T687" s="118">
        <f t="shared" si="90"/>
        <v>6455.6814</v>
      </c>
      <c r="U687" s="24">
        <f t="shared" si="3"/>
        <v>163.0222576</v>
      </c>
      <c r="V687" s="3">
        <f t="shared" si="28"/>
        <v>0</v>
      </c>
      <c r="W687" s="3">
        <f t="shared" si="29"/>
        <v>0</v>
      </c>
      <c r="X687" s="3">
        <f t="shared" si="30"/>
        <v>0</v>
      </c>
      <c r="Y687" s="25">
        <f t="shared" si="31"/>
        <v>0</v>
      </c>
      <c r="Z687" s="26">
        <f>VLOOKUP(R687,CPI!$A$2:$F$71,6,0)</f>
        <v>1.100662897</v>
      </c>
      <c r="AA687" s="27">
        <f t="shared" si="8"/>
        <v>7105.528989</v>
      </c>
      <c r="AB687" s="27">
        <f t="shared" si="9"/>
        <v>179.4325502</v>
      </c>
      <c r="AC687" s="115" t="s">
        <v>42</v>
      </c>
      <c r="AD687" s="161" t="s">
        <v>1325</v>
      </c>
      <c r="AE687" s="7"/>
      <c r="AF687" s="7"/>
      <c r="AG687" s="7"/>
      <c r="AH687" s="7"/>
    </row>
    <row r="688">
      <c r="A688" s="66" t="s">
        <v>1262</v>
      </c>
      <c r="B688" s="210" t="s">
        <v>1326</v>
      </c>
      <c r="C688" s="210"/>
      <c r="D688" s="210" t="s">
        <v>1264</v>
      </c>
      <c r="E688" s="115">
        <v>2017.0</v>
      </c>
      <c r="F688" s="115">
        <v>2024.0</v>
      </c>
      <c r="G688" s="116">
        <v>0.0</v>
      </c>
      <c r="H688" s="116">
        <v>33.1</v>
      </c>
      <c r="I688" s="71">
        <v>0.1538</v>
      </c>
      <c r="J688" s="116">
        <v>5.09</v>
      </c>
      <c r="K688" s="116">
        <v>28.01</v>
      </c>
      <c r="L688" s="114"/>
      <c r="M688" s="116">
        <v>29.0</v>
      </c>
      <c r="N688" s="116"/>
      <c r="O688" s="114"/>
      <c r="P688" s="73">
        <v>114200.0</v>
      </c>
      <c r="Q688" s="114" t="s">
        <v>1265</v>
      </c>
      <c r="R688" s="115">
        <v>2020.0</v>
      </c>
      <c r="S688" s="115">
        <v>0.0492</v>
      </c>
      <c r="T688" s="118">
        <f t="shared" si="90"/>
        <v>5618.64</v>
      </c>
      <c r="U688" s="24">
        <f t="shared" si="3"/>
        <v>169.747432</v>
      </c>
      <c r="V688" s="3">
        <f t="shared" si="28"/>
        <v>0</v>
      </c>
      <c r="W688" s="3">
        <f t="shared" si="29"/>
        <v>0</v>
      </c>
      <c r="X688" s="3">
        <f t="shared" si="30"/>
        <v>0</v>
      </c>
      <c r="Y688" s="25">
        <f t="shared" si="31"/>
        <v>0</v>
      </c>
      <c r="Z688" s="26">
        <f>VLOOKUP(R688,CPI!$A$2:$F$71,6,0)</f>
        <v>1.244593545</v>
      </c>
      <c r="AA688" s="27">
        <f t="shared" si="8"/>
        <v>6992.923076</v>
      </c>
      <c r="AB688" s="27">
        <f t="shared" si="9"/>
        <v>211.2665582</v>
      </c>
      <c r="AC688" s="115" t="s">
        <v>42</v>
      </c>
      <c r="AD688" s="161" t="s">
        <v>1327</v>
      </c>
      <c r="AE688" s="7"/>
      <c r="AF688" s="7"/>
      <c r="AG688" s="7"/>
      <c r="AH688" s="7"/>
    </row>
    <row r="689">
      <c r="A689" s="114" t="s">
        <v>1262</v>
      </c>
      <c r="B689" s="114" t="s">
        <v>1326</v>
      </c>
      <c r="C689" s="114"/>
      <c r="D689" s="114" t="s">
        <v>87</v>
      </c>
      <c r="E689" s="115">
        <v>2020.0</v>
      </c>
      <c r="F689" s="82">
        <v>2026.0</v>
      </c>
      <c r="G689" s="115">
        <v>0.0</v>
      </c>
      <c r="H689" s="116">
        <v>23.3</v>
      </c>
      <c r="I689" s="71">
        <v>0.0</v>
      </c>
      <c r="J689" s="116">
        <v>0.0</v>
      </c>
      <c r="K689" s="116">
        <v>23.3</v>
      </c>
      <c r="L689" s="114"/>
      <c r="M689" s="116">
        <v>23.0</v>
      </c>
      <c r="N689" s="116"/>
      <c r="O689" s="114"/>
      <c r="P689" s="73">
        <v>83140.0</v>
      </c>
      <c r="Q689" s="114" t="s">
        <v>1265</v>
      </c>
      <c r="R689" s="115">
        <v>2023.0</v>
      </c>
      <c r="S689" s="115">
        <v>0.0495</v>
      </c>
      <c r="T689" s="118">
        <f t="shared" si="90"/>
        <v>4115.43</v>
      </c>
      <c r="U689" s="24">
        <f t="shared" si="3"/>
        <v>176.627897</v>
      </c>
      <c r="V689" s="3">
        <f t="shared" si="28"/>
        <v>0</v>
      </c>
      <c r="W689" s="3">
        <f t="shared" si="29"/>
        <v>0</v>
      </c>
      <c r="X689" s="3">
        <f t="shared" si="30"/>
        <v>0</v>
      </c>
      <c r="Y689" s="25">
        <f t="shared" si="31"/>
        <v>0</v>
      </c>
      <c r="Z689" s="26">
        <f>VLOOKUP(R689,CPI!$A$2:$F$71,6,0)</f>
        <v>1.057145998</v>
      </c>
      <c r="AA689" s="27">
        <f t="shared" si="8"/>
        <v>4350.610356</v>
      </c>
      <c r="AB689" s="27">
        <f t="shared" si="9"/>
        <v>186.7214745</v>
      </c>
      <c r="AC689" s="115" t="s">
        <v>42</v>
      </c>
      <c r="AD689" s="225" t="s">
        <v>1328</v>
      </c>
      <c r="AE689" s="7"/>
      <c r="AF689" s="7"/>
      <c r="AG689" s="7"/>
      <c r="AH689" s="7"/>
    </row>
    <row r="690">
      <c r="A690" s="114" t="s">
        <v>1262</v>
      </c>
      <c r="B690" s="114" t="s">
        <v>1329</v>
      </c>
      <c r="C690" s="114" t="s">
        <v>768</v>
      </c>
      <c r="D690" s="114" t="s">
        <v>768</v>
      </c>
      <c r="E690" s="116">
        <v>2021.0</v>
      </c>
      <c r="F690" s="116">
        <v>2023.0</v>
      </c>
      <c r="G690" s="116">
        <v>0.0</v>
      </c>
      <c r="H690" s="116">
        <v>40.35</v>
      </c>
      <c r="I690" s="71">
        <v>0.1603</v>
      </c>
      <c r="J690" s="116">
        <v>6.47</v>
      </c>
      <c r="K690" s="116">
        <v>33.88</v>
      </c>
      <c r="L690" s="114"/>
      <c r="M690" s="116">
        <v>38.0</v>
      </c>
      <c r="N690" s="116"/>
      <c r="O690" s="114"/>
      <c r="P690" s="73">
        <v>120203.0</v>
      </c>
      <c r="Q690" s="114" t="s">
        <v>1265</v>
      </c>
      <c r="R690" s="115">
        <v>2021.0</v>
      </c>
      <c r="S690" s="85">
        <v>0.0432</v>
      </c>
      <c r="T690" s="118">
        <f t="shared" si="90"/>
        <v>5192.7696</v>
      </c>
      <c r="U690" s="24">
        <f t="shared" si="3"/>
        <v>128.6931747</v>
      </c>
      <c r="V690" s="3">
        <f t="shared" si="28"/>
        <v>0</v>
      </c>
      <c r="W690" s="3">
        <f t="shared" si="29"/>
        <v>0</v>
      </c>
      <c r="X690" s="3">
        <f t="shared" si="30"/>
        <v>0</v>
      </c>
      <c r="Y690" s="25">
        <f t="shared" si="31"/>
        <v>0</v>
      </c>
      <c r="Z690" s="26">
        <f>VLOOKUP(R690,CPI!$A$2:$F$71,6,0)</f>
        <v>1.188745987</v>
      </c>
      <c r="AA690" s="27">
        <f t="shared" si="8"/>
        <v>6172.884022</v>
      </c>
      <c r="AB690" s="27">
        <f t="shared" si="9"/>
        <v>152.983495</v>
      </c>
      <c r="AC690" s="115" t="s">
        <v>42</v>
      </c>
      <c r="AD690" s="225" t="s">
        <v>1330</v>
      </c>
      <c r="AE690" s="7"/>
      <c r="AF690" s="7"/>
      <c r="AG690" s="7"/>
      <c r="AH690" s="7"/>
    </row>
    <row r="691">
      <c r="A691" s="26" t="s">
        <v>1331</v>
      </c>
      <c r="B691" s="26" t="s">
        <v>1332</v>
      </c>
      <c r="C691" s="1" t="s">
        <v>87</v>
      </c>
      <c r="D691" s="26" t="s">
        <v>1333</v>
      </c>
      <c r="E691" s="25">
        <v>2012.0</v>
      </c>
      <c r="F691" s="25">
        <v>2014.0</v>
      </c>
      <c r="G691" s="25">
        <v>0.0</v>
      </c>
      <c r="H691" s="25">
        <v>12.0</v>
      </c>
      <c r="I691" s="50">
        <v>1.0</v>
      </c>
      <c r="J691" s="25">
        <v>12.0</v>
      </c>
      <c r="K691" s="51">
        <v>0.0</v>
      </c>
      <c r="L691" s="51">
        <v>0.0</v>
      </c>
      <c r="M691" s="25">
        <v>11.0</v>
      </c>
      <c r="N691" s="25"/>
      <c r="O691" s="26" t="s">
        <v>36</v>
      </c>
      <c r="P691" s="52">
        <v>2.0E7</v>
      </c>
      <c r="Q691" s="26" t="s">
        <v>1334</v>
      </c>
      <c r="R691" s="25">
        <v>2013.0</v>
      </c>
      <c r="S691" s="25">
        <v>1.2E-4</v>
      </c>
      <c r="T691" s="25">
        <f t="shared" si="90"/>
        <v>2400</v>
      </c>
      <c r="U691" s="24">
        <f t="shared" si="3"/>
        <v>200</v>
      </c>
      <c r="V691" s="3">
        <f t="shared" si="28"/>
        <v>0</v>
      </c>
      <c r="W691" s="3">
        <f t="shared" si="29"/>
        <v>0</v>
      </c>
      <c r="X691" s="3">
        <f t="shared" si="30"/>
        <v>0</v>
      </c>
      <c r="Y691" s="25">
        <f t="shared" si="31"/>
        <v>0</v>
      </c>
      <c r="Z691" s="26">
        <f>VLOOKUP(R691,CPI!$A$2:$F$71,6,0)</f>
        <v>1.382720845</v>
      </c>
      <c r="AA691" s="27">
        <f t="shared" si="8"/>
        <v>3318.530029</v>
      </c>
      <c r="AB691" s="27">
        <f t="shared" si="9"/>
        <v>276.5441691</v>
      </c>
      <c r="AC691" s="26" t="s">
        <v>36</v>
      </c>
      <c r="AD691" s="53" t="s">
        <v>1335</v>
      </c>
      <c r="AE691" s="130"/>
      <c r="AF691" s="130"/>
      <c r="AG691" s="130"/>
      <c r="AH691" s="130"/>
    </row>
    <row r="692">
      <c r="A692" s="26" t="s">
        <v>1331</v>
      </c>
      <c r="B692" s="26" t="s">
        <v>1332</v>
      </c>
      <c r="C692" s="26" t="s">
        <v>228</v>
      </c>
      <c r="D692" s="26" t="s">
        <v>228</v>
      </c>
      <c r="E692" s="26"/>
      <c r="F692" s="25">
        <v>2019.0</v>
      </c>
      <c r="G692" s="25">
        <v>0.0</v>
      </c>
      <c r="H692" s="25">
        <v>27.0</v>
      </c>
      <c r="I692" s="50">
        <v>1.0</v>
      </c>
      <c r="J692" s="25">
        <v>27.0</v>
      </c>
      <c r="K692" s="51">
        <v>0.0</v>
      </c>
      <c r="L692" s="51">
        <v>0.0</v>
      </c>
      <c r="M692" s="25">
        <v>25.0</v>
      </c>
      <c r="N692" s="25"/>
      <c r="O692" s="26" t="s">
        <v>42</v>
      </c>
      <c r="P692" s="52">
        <v>9.0E7</v>
      </c>
      <c r="Q692" s="26" t="s">
        <v>1334</v>
      </c>
      <c r="R692" s="25">
        <v>2017.0</v>
      </c>
      <c r="S692" s="25">
        <v>6.4E-5</v>
      </c>
      <c r="T692" s="25">
        <f t="shared" si="90"/>
        <v>5760</v>
      </c>
      <c r="U692" s="24">
        <f t="shared" si="3"/>
        <v>213.3333333</v>
      </c>
      <c r="V692" s="3">
        <f t="shared" si="28"/>
        <v>0</v>
      </c>
      <c r="W692" s="3">
        <f t="shared" si="29"/>
        <v>0</v>
      </c>
      <c r="X692" s="3">
        <f t="shared" si="30"/>
        <v>0</v>
      </c>
      <c r="Y692" s="25">
        <f t="shared" si="31"/>
        <v>0</v>
      </c>
      <c r="Z692" s="26">
        <f>VLOOKUP(R692,CPI!$A$2:$F$71,6,0)</f>
        <v>1.314109416</v>
      </c>
      <c r="AA692" s="27">
        <f t="shared" si="8"/>
        <v>7569.270235</v>
      </c>
      <c r="AB692" s="27">
        <f t="shared" si="9"/>
        <v>280.343342</v>
      </c>
      <c r="AC692" s="26" t="s">
        <v>42</v>
      </c>
      <c r="AD692" s="53" t="s">
        <v>1336</v>
      </c>
      <c r="AE692" s="130"/>
      <c r="AF692" s="130"/>
      <c r="AG692" s="130"/>
      <c r="AH692" s="130"/>
    </row>
    <row r="693">
      <c r="A693" s="26" t="s">
        <v>1331</v>
      </c>
      <c r="B693" s="26" t="s">
        <v>1332</v>
      </c>
      <c r="C693" s="26" t="s">
        <v>80</v>
      </c>
      <c r="D693" s="26" t="s">
        <v>80</v>
      </c>
      <c r="E693" s="26"/>
      <c r="F693" s="25">
        <v>2020.0</v>
      </c>
      <c r="G693" s="25">
        <v>0.0</v>
      </c>
      <c r="H693" s="25">
        <v>31.0</v>
      </c>
      <c r="I693" s="50">
        <v>1.0</v>
      </c>
      <c r="J693" s="25">
        <v>31.0</v>
      </c>
      <c r="K693" s="51">
        <v>0.0</v>
      </c>
      <c r="L693" s="51">
        <v>0.0</v>
      </c>
      <c r="M693" s="25">
        <v>29.0</v>
      </c>
      <c r="N693" s="25"/>
      <c r="O693" s="26" t="s">
        <v>42</v>
      </c>
      <c r="P693" s="52">
        <v>9.0E7</v>
      </c>
      <c r="Q693" s="26" t="s">
        <v>1334</v>
      </c>
      <c r="R693" s="25">
        <v>2017.0</v>
      </c>
      <c r="S693" s="25">
        <v>6.4E-5</v>
      </c>
      <c r="T693" s="25">
        <f t="shared" si="90"/>
        <v>5760</v>
      </c>
      <c r="U693" s="24">
        <f t="shared" si="3"/>
        <v>185.8064516</v>
      </c>
      <c r="V693" s="3">
        <f t="shared" si="28"/>
        <v>0</v>
      </c>
      <c r="W693" s="3">
        <f t="shared" si="29"/>
        <v>0</v>
      </c>
      <c r="X693" s="3">
        <f t="shared" si="30"/>
        <v>0</v>
      </c>
      <c r="Y693" s="25">
        <f t="shared" si="31"/>
        <v>0</v>
      </c>
      <c r="Z693" s="26">
        <f>VLOOKUP(R693,CPI!$A$2:$F$71,6,0)</f>
        <v>1.314109416</v>
      </c>
      <c r="AA693" s="27">
        <f t="shared" si="8"/>
        <v>7569.270235</v>
      </c>
      <c r="AB693" s="27">
        <f t="shared" si="9"/>
        <v>244.1700076</v>
      </c>
      <c r="AC693" s="26" t="s">
        <v>42</v>
      </c>
      <c r="AD693" s="251" t="s">
        <v>1336</v>
      </c>
      <c r="AE693" s="301"/>
      <c r="AF693" s="301"/>
      <c r="AG693" s="130"/>
      <c r="AH693" s="130"/>
    </row>
    <row r="694">
      <c r="A694" s="26" t="s">
        <v>1337</v>
      </c>
      <c r="B694" s="26" t="s">
        <v>1338</v>
      </c>
      <c r="C694" s="26" t="s">
        <v>1069</v>
      </c>
      <c r="D694" s="26" t="s">
        <v>1069</v>
      </c>
      <c r="E694" s="25">
        <v>2003.0</v>
      </c>
      <c r="F694" s="25">
        <v>2013.0</v>
      </c>
      <c r="G694" s="25">
        <v>0.0</v>
      </c>
      <c r="H694" s="25">
        <v>13.7</v>
      </c>
      <c r="I694" s="50">
        <v>0.71</v>
      </c>
      <c r="J694" s="25">
        <v>9.7</v>
      </c>
      <c r="K694" s="51">
        <v>0.0</v>
      </c>
      <c r="L694" s="51">
        <v>0.0</v>
      </c>
      <c r="M694" s="25">
        <v>17.0</v>
      </c>
      <c r="N694" s="302">
        <v>40.0</v>
      </c>
      <c r="O694" s="26" t="s">
        <v>74</v>
      </c>
      <c r="P694" s="55">
        <v>716.0</v>
      </c>
      <c r="Q694" s="26" t="s">
        <v>52</v>
      </c>
      <c r="R694" s="25">
        <v>2008.0</v>
      </c>
      <c r="S694" s="25">
        <v>1.3</v>
      </c>
      <c r="T694" s="25">
        <f t="shared" si="90"/>
        <v>930.8</v>
      </c>
      <c r="U694" s="24">
        <f t="shared" si="3"/>
        <v>67.94160584</v>
      </c>
      <c r="V694" s="3">
        <f t="shared" si="28"/>
        <v>1</v>
      </c>
      <c r="W694" s="3">
        <f t="shared" si="29"/>
        <v>13.7</v>
      </c>
      <c r="X694" s="3">
        <f t="shared" si="30"/>
        <v>9.7</v>
      </c>
      <c r="Y694" s="25">
        <f t="shared" si="31"/>
        <v>0</v>
      </c>
      <c r="Z694" s="26">
        <f>VLOOKUP(R694,CPI!$A$2:$F$71,6,0)</f>
        <v>1.496098522</v>
      </c>
      <c r="AA694" s="27">
        <f t="shared" si="8"/>
        <v>1392.568504</v>
      </c>
      <c r="AB694" s="27">
        <f t="shared" si="9"/>
        <v>101.6473361</v>
      </c>
      <c r="AC694" s="26" t="s">
        <v>42</v>
      </c>
      <c r="AD694" s="251" t="s">
        <v>1339</v>
      </c>
      <c r="AE694" s="301"/>
      <c r="AF694" s="301"/>
      <c r="AG694" s="130"/>
      <c r="AH694" s="130"/>
    </row>
    <row r="695">
      <c r="A695" s="290" t="s">
        <v>1337</v>
      </c>
      <c r="B695" s="68" t="s">
        <v>1340</v>
      </c>
      <c r="C695" s="68" t="s">
        <v>1341</v>
      </c>
      <c r="D695" s="68" t="s">
        <v>1341</v>
      </c>
      <c r="E695" s="237">
        <v>2001.0</v>
      </c>
      <c r="F695" s="237">
        <v>2016.0</v>
      </c>
      <c r="G695" s="237">
        <v>0.0</v>
      </c>
      <c r="H695" s="36">
        <v>1.9</v>
      </c>
      <c r="I695" s="303">
        <v>1.0</v>
      </c>
      <c r="J695" s="36">
        <v>1.9</v>
      </c>
      <c r="K695" s="237">
        <v>0.0</v>
      </c>
      <c r="L695" s="237">
        <v>0.0</v>
      </c>
      <c r="M695" s="237">
        <v>2.0</v>
      </c>
      <c r="N695" s="239">
        <v>80.0</v>
      </c>
      <c r="O695" s="237" t="s">
        <v>60</v>
      </c>
      <c r="P695" s="304">
        <v>85.0</v>
      </c>
      <c r="Q695" s="237" t="s">
        <v>52</v>
      </c>
      <c r="R695" s="237">
        <v>2012.0</v>
      </c>
      <c r="S695" s="237">
        <v>1.3</v>
      </c>
      <c r="T695" s="75">
        <f t="shared" si="90"/>
        <v>110.5</v>
      </c>
      <c r="U695" s="24">
        <f t="shared" si="3"/>
        <v>58.15789474</v>
      </c>
      <c r="V695" s="3">
        <f t="shared" si="28"/>
        <v>1</v>
      </c>
      <c r="W695" s="3">
        <f t="shared" si="29"/>
        <v>1.9</v>
      </c>
      <c r="X695" s="3">
        <f t="shared" si="30"/>
        <v>1.9</v>
      </c>
      <c r="Y695" s="25">
        <f t="shared" si="31"/>
        <v>0</v>
      </c>
      <c r="Z695" s="26">
        <f>VLOOKUP(R695,CPI!$A$2:$F$71,6,0)</f>
        <v>1.402974381</v>
      </c>
      <c r="AA695" s="27">
        <f t="shared" si="8"/>
        <v>155.0286691</v>
      </c>
      <c r="AB695" s="27">
        <f t="shared" si="9"/>
        <v>81.59403636</v>
      </c>
      <c r="AC695" s="36" t="s">
        <v>60</v>
      </c>
      <c r="AD695" s="240" t="s">
        <v>1342</v>
      </c>
      <c r="AE695" s="7"/>
      <c r="AF695" s="7"/>
      <c r="AG695" s="7"/>
      <c r="AH695" s="7"/>
    </row>
    <row r="696">
      <c r="A696" s="290" t="s">
        <v>1337</v>
      </c>
      <c r="B696" s="68" t="s">
        <v>1340</v>
      </c>
      <c r="C696" s="68" t="s">
        <v>1343</v>
      </c>
      <c r="D696" s="68" t="s">
        <v>1343</v>
      </c>
      <c r="E696" s="237">
        <v>2007.0</v>
      </c>
      <c r="F696" s="237">
        <v>2017.0</v>
      </c>
      <c r="G696" s="237">
        <v>0.0</v>
      </c>
      <c r="H696" s="36">
        <v>3.1</v>
      </c>
      <c r="I696" s="303">
        <v>1.0</v>
      </c>
      <c r="J696" s="36">
        <v>3.1</v>
      </c>
      <c r="K696" s="237">
        <v>0.0</v>
      </c>
      <c r="L696" s="237">
        <v>0.0</v>
      </c>
      <c r="M696" s="237">
        <v>4.0</v>
      </c>
      <c r="N696" s="239">
        <v>80.0</v>
      </c>
      <c r="O696" s="237" t="s">
        <v>60</v>
      </c>
      <c r="P696" s="304">
        <v>104.0</v>
      </c>
      <c r="Q696" s="237" t="s">
        <v>52</v>
      </c>
      <c r="R696" s="237">
        <v>2012.0</v>
      </c>
      <c r="S696" s="237">
        <v>1.3</v>
      </c>
      <c r="T696" s="75">
        <f t="shared" si="90"/>
        <v>135.2</v>
      </c>
      <c r="U696" s="24">
        <f t="shared" si="3"/>
        <v>43.61290323</v>
      </c>
      <c r="V696" s="3">
        <f t="shared" si="28"/>
        <v>1</v>
      </c>
      <c r="W696" s="3">
        <f t="shared" si="29"/>
        <v>3.1</v>
      </c>
      <c r="X696" s="3">
        <f t="shared" si="30"/>
        <v>3.1</v>
      </c>
      <c r="Y696" s="25">
        <f t="shared" si="31"/>
        <v>0</v>
      </c>
      <c r="Z696" s="26">
        <f>VLOOKUP(R696,CPI!$A$2:$F$71,6,0)</f>
        <v>1.402974381</v>
      </c>
      <c r="AA696" s="27">
        <f t="shared" si="8"/>
        <v>189.6821363</v>
      </c>
      <c r="AB696" s="27">
        <f t="shared" si="9"/>
        <v>61.1877859</v>
      </c>
      <c r="AC696" s="36" t="s">
        <v>60</v>
      </c>
      <c r="AD696" s="240" t="s">
        <v>1342</v>
      </c>
      <c r="AE696" s="7"/>
      <c r="AF696" s="7"/>
      <c r="AG696" s="7"/>
      <c r="AH696" s="7"/>
    </row>
    <row r="697">
      <c r="A697" s="290" t="s">
        <v>1337</v>
      </c>
      <c r="B697" s="68" t="s">
        <v>1340</v>
      </c>
      <c r="C697" s="68" t="s">
        <v>1344</v>
      </c>
      <c r="D697" s="68" t="s">
        <v>1344</v>
      </c>
      <c r="E697" s="237">
        <v>2015.0</v>
      </c>
      <c r="F697" s="237">
        <v>2022.0</v>
      </c>
      <c r="G697" s="237">
        <v>0.0</v>
      </c>
      <c r="H697" s="36">
        <v>1.7</v>
      </c>
      <c r="I697" s="303">
        <v>1.0</v>
      </c>
      <c r="J697" s="36">
        <v>1.7</v>
      </c>
      <c r="K697" s="237">
        <v>0.0</v>
      </c>
      <c r="L697" s="237">
        <v>0.0</v>
      </c>
      <c r="M697" s="237">
        <v>2.0</v>
      </c>
      <c r="N697" s="239">
        <v>80.0</v>
      </c>
      <c r="O697" s="237" t="s">
        <v>60</v>
      </c>
      <c r="P697" s="304">
        <v>93.0</v>
      </c>
      <c r="Q697" s="237" t="s">
        <v>52</v>
      </c>
      <c r="R697" s="237">
        <v>2018.0</v>
      </c>
      <c r="S697" s="237">
        <v>1.3</v>
      </c>
      <c r="T697" s="75">
        <f t="shared" si="90"/>
        <v>120.9</v>
      </c>
      <c r="U697" s="24">
        <f t="shared" si="3"/>
        <v>71.11764706</v>
      </c>
      <c r="V697" s="3">
        <f t="shared" si="28"/>
        <v>1</v>
      </c>
      <c r="W697" s="3">
        <f t="shared" si="29"/>
        <v>1.7</v>
      </c>
      <c r="X697" s="3">
        <f t="shared" si="30"/>
        <v>1.7</v>
      </c>
      <c r="Y697" s="25">
        <f t="shared" si="31"/>
        <v>0</v>
      </c>
      <c r="Z697" s="26">
        <f>VLOOKUP(R697,CPI!$A$2:$F$71,6,0)</f>
        <v>1.28277786</v>
      </c>
      <c r="AA697" s="27">
        <f t="shared" si="8"/>
        <v>155.0878432</v>
      </c>
      <c r="AB697" s="27">
        <f t="shared" si="9"/>
        <v>91.22814308</v>
      </c>
      <c r="AC697" s="36" t="s">
        <v>60</v>
      </c>
      <c r="AD697" s="305" t="s">
        <v>1342</v>
      </c>
      <c r="AE697" s="7"/>
      <c r="AF697" s="7"/>
      <c r="AG697" s="7"/>
      <c r="AH697" s="7"/>
    </row>
    <row r="698">
      <c r="A698" s="290" t="s">
        <v>1337</v>
      </c>
      <c r="B698" s="68" t="s">
        <v>1340</v>
      </c>
      <c r="C698" s="68" t="s">
        <v>1345</v>
      </c>
      <c r="D698" s="68" t="s">
        <v>1345</v>
      </c>
      <c r="E698" s="237">
        <v>2019.0</v>
      </c>
      <c r="F698" s="237">
        <v>2024.0</v>
      </c>
      <c r="G698" s="237">
        <v>0.0</v>
      </c>
      <c r="H698" s="36">
        <v>2.1</v>
      </c>
      <c r="I698" s="303">
        <v>1.0</v>
      </c>
      <c r="J698" s="36">
        <v>2.1</v>
      </c>
      <c r="K698" s="237">
        <v>0.0</v>
      </c>
      <c r="L698" s="237">
        <v>0.0</v>
      </c>
      <c r="M698" s="237">
        <v>2.0</v>
      </c>
      <c r="N698" s="239">
        <v>80.0</v>
      </c>
      <c r="O698" s="237" t="s">
        <v>60</v>
      </c>
      <c r="P698" s="304">
        <v>124.0</v>
      </c>
      <c r="Q698" s="237" t="s">
        <v>52</v>
      </c>
      <c r="R698" s="237">
        <v>2021.0</v>
      </c>
      <c r="S698" s="237">
        <v>1.3</v>
      </c>
      <c r="T698" s="75">
        <f t="shared" si="90"/>
        <v>161.2</v>
      </c>
      <c r="U698" s="24">
        <f t="shared" si="3"/>
        <v>76.76190476</v>
      </c>
      <c r="V698" s="3">
        <f t="shared" si="28"/>
        <v>1</v>
      </c>
      <c r="W698" s="3">
        <f t="shared" si="29"/>
        <v>2.1</v>
      </c>
      <c r="X698" s="3">
        <f t="shared" si="30"/>
        <v>2.1</v>
      </c>
      <c r="Y698" s="25">
        <f t="shared" si="31"/>
        <v>0</v>
      </c>
      <c r="Z698" s="26">
        <f>VLOOKUP(R698,CPI!$A$2:$F$71,6,0)</f>
        <v>1.188745987</v>
      </c>
      <c r="AA698" s="27">
        <f t="shared" si="8"/>
        <v>191.625853</v>
      </c>
      <c r="AB698" s="27">
        <f t="shared" si="9"/>
        <v>91.25040621</v>
      </c>
      <c r="AC698" s="36" t="s">
        <v>60</v>
      </c>
      <c r="AD698" s="240" t="s">
        <v>1342</v>
      </c>
      <c r="AE698" s="7"/>
      <c r="AF698" s="7"/>
      <c r="AG698" s="7"/>
      <c r="AH698" s="7"/>
    </row>
    <row r="699">
      <c r="A699" s="290" t="s">
        <v>1337</v>
      </c>
      <c r="B699" s="68" t="s">
        <v>1340</v>
      </c>
      <c r="C699" s="68" t="s">
        <v>1346</v>
      </c>
      <c r="D699" s="68" t="s">
        <v>1346</v>
      </c>
      <c r="E699" s="237">
        <v>2017.0</v>
      </c>
      <c r="F699" s="237">
        <v>2025.0</v>
      </c>
      <c r="G699" s="237">
        <v>0.0</v>
      </c>
      <c r="H699" s="36">
        <v>6.4</v>
      </c>
      <c r="I699" s="303">
        <v>1.0</v>
      </c>
      <c r="J699" s="36">
        <v>6.4</v>
      </c>
      <c r="K699" s="237">
        <v>0.0</v>
      </c>
      <c r="L699" s="237">
        <v>0.0</v>
      </c>
      <c r="M699" s="237">
        <v>8.0</v>
      </c>
      <c r="N699" s="239">
        <v>80.0</v>
      </c>
      <c r="O699" s="237" t="s">
        <v>60</v>
      </c>
      <c r="P699" s="304">
        <v>419.0</v>
      </c>
      <c r="Q699" s="237" t="s">
        <v>52</v>
      </c>
      <c r="R699" s="237">
        <v>2020.0</v>
      </c>
      <c r="S699" s="237">
        <v>1.3</v>
      </c>
      <c r="T699" s="75">
        <f t="shared" si="90"/>
        <v>544.7</v>
      </c>
      <c r="U699" s="24">
        <f t="shared" si="3"/>
        <v>85.109375</v>
      </c>
      <c r="V699" s="3">
        <f t="shared" si="28"/>
        <v>1</v>
      </c>
      <c r="W699" s="3">
        <f t="shared" si="29"/>
        <v>6.4</v>
      </c>
      <c r="X699" s="3">
        <f t="shared" si="30"/>
        <v>6.4</v>
      </c>
      <c r="Y699" s="25">
        <f t="shared" si="31"/>
        <v>0</v>
      </c>
      <c r="Z699" s="26">
        <f>VLOOKUP(R699,CPI!$A$2:$F$71,6,0)</f>
        <v>1.244593545</v>
      </c>
      <c r="AA699" s="27">
        <f t="shared" si="8"/>
        <v>677.930104</v>
      </c>
      <c r="AB699" s="27">
        <f t="shared" si="9"/>
        <v>105.9265788</v>
      </c>
      <c r="AC699" s="36" t="s">
        <v>60</v>
      </c>
      <c r="AD699" s="305" t="s">
        <v>1342</v>
      </c>
      <c r="AE699" s="7"/>
      <c r="AF699" s="7"/>
      <c r="AG699" s="7"/>
      <c r="AH699" s="7"/>
    </row>
    <row r="700">
      <c r="A700" s="290" t="s">
        <v>1337</v>
      </c>
      <c r="B700" s="68" t="s">
        <v>1340</v>
      </c>
      <c r="C700" s="68" t="s">
        <v>1347</v>
      </c>
      <c r="D700" s="68" t="s">
        <v>1347</v>
      </c>
      <c r="E700" s="237">
        <v>2022.0</v>
      </c>
      <c r="F700" s="237">
        <v>2026.0</v>
      </c>
      <c r="G700" s="237">
        <v>0.0</v>
      </c>
      <c r="H700" s="36">
        <v>11.5</v>
      </c>
      <c r="I700" s="303">
        <v>0.52</v>
      </c>
      <c r="J700" s="36">
        <v>6.0</v>
      </c>
      <c r="K700" s="237">
        <v>0.0</v>
      </c>
      <c r="L700" s="237">
        <v>5.5</v>
      </c>
      <c r="M700" s="237">
        <v>5.0</v>
      </c>
      <c r="N700" s="239">
        <v>80.0</v>
      </c>
      <c r="O700" s="237" t="s">
        <v>60</v>
      </c>
      <c r="P700" s="304">
        <v>432.0</v>
      </c>
      <c r="Q700" s="237" t="s">
        <v>52</v>
      </c>
      <c r="R700" s="237">
        <v>2024.0</v>
      </c>
      <c r="S700" s="237">
        <v>1.3</v>
      </c>
      <c r="T700" s="75">
        <f t="shared" si="90"/>
        <v>561.6</v>
      </c>
      <c r="U700" s="24">
        <f t="shared" si="3"/>
        <v>48.83478261</v>
      </c>
      <c r="V700" s="3">
        <f t="shared" si="28"/>
        <v>1</v>
      </c>
      <c r="W700" s="3">
        <f t="shared" si="29"/>
        <v>11.5</v>
      </c>
      <c r="X700" s="3">
        <f t="shared" si="30"/>
        <v>6</v>
      </c>
      <c r="Y700" s="25">
        <f t="shared" si="31"/>
        <v>0</v>
      </c>
      <c r="Z700" s="26">
        <f>VLOOKUP(R700,CPI!$A$2:$F$71,6,0)</f>
        <v>1</v>
      </c>
      <c r="AA700" s="27">
        <f t="shared" si="8"/>
        <v>561.6</v>
      </c>
      <c r="AB700" s="27">
        <f t="shared" si="9"/>
        <v>48.83478261</v>
      </c>
      <c r="AC700" s="36" t="s">
        <v>60</v>
      </c>
      <c r="AD700" s="305" t="s">
        <v>1342</v>
      </c>
      <c r="AE700" s="7"/>
      <c r="AF700" s="7"/>
      <c r="AG700" s="7"/>
      <c r="AH700" s="7"/>
    </row>
    <row r="701">
      <c r="A701" s="290" t="s">
        <v>1337</v>
      </c>
      <c r="B701" s="68" t="s">
        <v>1348</v>
      </c>
      <c r="C701" s="68" t="s">
        <v>1349</v>
      </c>
      <c r="D701" s="68" t="s">
        <v>1349</v>
      </c>
      <c r="E701" s="237">
        <v>1998.0</v>
      </c>
      <c r="F701" s="237">
        <v>2006.0</v>
      </c>
      <c r="G701" s="237">
        <v>0.0</v>
      </c>
      <c r="H701" s="36">
        <v>2.5</v>
      </c>
      <c r="I701" s="303">
        <v>1.0</v>
      </c>
      <c r="J701" s="36">
        <v>2.5</v>
      </c>
      <c r="K701" s="237">
        <v>0.0</v>
      </c>
      <c r="L701" s="237">
        <v>0.0</v>
      </c>
      <c r="M701" s="237">
        <v>4.0</v>
      </c>
      <c r="N701" s="239">
        <v>80.0</v>
      </c>
      <c r="O701" s="237" t="s">
        <v>74</v>
      </c>
      <c r="P701" s="304">
        <v>212.0</v>
      </c>
      <c r="Q701" s="237" t="s">
        <v>52</v>
      </c>
      <c r="R701" s="237">
        <v>2002.0</v>
      </c>
      <c r="S701" s="237">
        <v>1.3</v>
      </c>
      <c r="T701" s="75">
        <f t="shared" si="90"/>
        <v>275.6</v>
      </c>
      <c r="U701" s="24">
        <f t="shared" si="3"/>
        <v>110.24</v>
      </c>
      <c r="V701" s="3">
        <f t="shared" si="28"/>
        <v>1</v>
      </c>
      <c r="W701" s="3">
        <f t="shared" si="29"/>
        <v>2.5</v>
      </c>
      <c r="X701" s="3">
        <f t="shared" si="30"/>
        <v>2.5</v>
      </c>
      <c r="Y701" s="25">
        <f t="shared" si="31"/>
        <v>0</v>
      </c>
      <c r="Z701" s="26">
        <f>VLOOKUP(R701,CPI!$A$2:$F$71,6,0)</f>
        <v>1.790519733</v>
      </c>
      <c r="AA701" s="27">
        <f t="shared" si="8"/>
        <v>493.4672385</v>
      </c>
      <c r="AB701" s="27">
        <f t="shared" si="9"/>
        <v>197.3868954</v>
      </c>
      <c r="AC701" s="36" t="s">
        <v>60</v>
      </c>
      <c r="AD701" s="305" t="s">
        <v>1350</v>
      </c>
      <c r="AE701" s="7"/>
      <c r="AF701" s="7"/>
      <c r="AG701" s="7"/>
      <c r="AH701" s="7"/>
    </row>
    <row r="702">
      <c r="A702" s="290" t="s">
        <v>1337</v>
      </c>
      <c r="B702" s="68" t="s">
        <v>1348</v>
      </c>
      <c r="C702" s="68" t="s">
        <v>1351</v>
      </c>
      <c r="D702" s="68" t="s">
        <v>1351</v>
      </c>
      <c r="E702" s="237">
        <v>2006.0</v>
      </c>
      <c r="F702" s="237">
        <v>2012.0</v>
      </c>
      <c r="G702" s="237">
        <v>0.0</v>
      </c>
      <c r="H702" s="36">
        <v>1.5</v>
      </c>
      <c r="I702" s="303">
        <v>0.87</v>
      </c>
      <c r="J702" s="36">
        <v>1.3</v>
      </c>
      <c r="K702" s="237">
        <v>0.0</v>
      </c>
      <c r="L702" s="237">
        <v>0.2</v>
      </c>
      <c r="M702" s="237">
        <v>1.0</v>
      </c>
      <c r="N702" s="239">
        <v>80.0</v>
      </c>
      <c r="O702" s="237" t="s">
        <v>74</v>
      </c>
      <c r="P702" s="304">
        <v>200.0</v>
      </c>
      <c r="Q702" s="237" t="s">
        <v>52</v>
      </c>
      <c r="R702" s="237">
        <v>2009.0</v>
      </c>
      <c r="S702" s="237">
        <v>1.3</v>
      </c>
      <c r="T702" s="75">
        <f t="shared" si="90"/>
        <v>260</v>
      </c>
      <c r="U702" s="24">
        <f t="shared" si="3"/>
        <v>173.3333333</v>
      </c>
      <c r="V702" s="3">
        <f t="shared" si="28"/>
        <v>1</v>
      </c>
      <c r="W702" s="3">
        <f t="shared" si="29"/>
        <v>1.5</v>
      </c>
      <c r="X702" s="3">
        <f t="shared" si="30"/>
        <v>1.3</v>
      </c>
      <c r="Y702" s="25">
        <f t="shared" si="31"/>
        <v>0</v>
      </c>
      <c r="Z702" s="26">
        <f>VLOOKUP(R702,CPI!$A$2:$F$71,6,0)</f>
        <v>1.501440311</v>
      </c>
      <c r="AA702" s="27">
        <f t="shared" si="8"/>
        <v>390.3744809</v>
      </c>
      <c r="AB702" s="27">
        <f t="shared" si="9"/>
        <v>260.2496539</v>
      </c>
      <c r="AC702" s="36" t="s">
        <v>60</v>
      </c>
      <c r="AD702" s="305" t="s">
        <v>1352</v>
      </c>
      <c r="AE702" s="7"/>
      <c r="AF702" s="7"/>
      <c r="AG702" s="7"/>
      <c r="AH702" s="7"/>
    </row>
    <row r="703">
      <c r="A703" s="290" t="s">
        <v>1337</v>
      </c>
      <c r="B703" s="68" t="s">
        <v>1348</v>
      </c>
      <c r="C703" s="68" t="s">
        <v>1353</v>
      </c>
      <c r="D703" s="68" t="s">
        <v>1353</v>
      </c>
      <c r="E703" s="237">
        <v>2020.0</v>
      </c>
      <c r="F703" s="237">
        <v>2023.0</v>
      </c>
      <c r="G703" s="237">
        <v>0.0</v>
      </c>
      <c r="H703" s="36">
        <v>1.5</v>
      </c>
      <c r="I703" s="303">
        <v>0.0</v>
      </c>
      <c r="J703" s="36">
        <v>0.0</v>
      </c>
      <c r="K703" s="237">
        <v>0.3</v>
      </c>
      <c r="L703" s="237">
        <v>1.2</v>
      </c>
      <c r="M703" s="237">
        <v>2.0</v>
      </c>
      <c r="N703" s="239">
        <v>80.0</v>
      </c>
      <c r="O703" s="237" t="s">
        <v>74</v>
      </c>
      <c r="P703" s="304">
        <v>63.0</v>
      </c>
      <c r="Q703" s="237" t="s">
        <v>52</v>
      </c>
      <c r="R703" s="237">
        <v>2022.0</v>
      </c>
      <c r="S703" s="237">
        <v>1.3</v>
      </c>
      <c r="T703" s="75">
        <f t="shared" si="90"/>
        <v>81.9</v>
      </c>
      <c r="U703" s="24">
        <f t="shared" si="3"/>
        <v>54.6</v>
      </c>
      <c r="V703" s="3">
        <f t="shared" si="28"/>
        <v>1</v>
      </c>
      <c r="W703" s="3">
        <f t="shared" si="29"/>
        <v>1.5</v>
      </c>
      <c r="X703" s="3">
        <f t="shared" si="30"/>
        <v>0</v>
      </c>
      <c r="Y703" s="25">
        <f t="shared" si="31"/>
        <v>0</v>
      </c>
      <c r="Z703" s="26">
        <f>VLOOKUP(R703,CPI!$A$2:$F$71,6,0)</f>
        <v>1.100662897</v>
      </c>
      <c r="AA703" s="27">
        <f t="shared" si="8"/>
        <v>90.14429123</v>
      </c>
      <c r="AB703" s="27">
        <f t="shared" si="9"/>
        <v>60.09619415</v>
      </c>
      <c r="AC703" s="36" t="s">
        <v>60</v>
      </c>
      <c r="AD703" s="240" t="s">
        <v>1354</v>
      </c>
      <c r="AE703" s="7"/>
      <c r="AF703" s="7"/>
      <c r="AG703" s="7"/>
      <c r="AH703" s="7"/>
    </row>
    <row r="704">
      <c r="A704" s="26" t="s">
        <v>1337</v>
      </c>
      <c r="B704" s="26" t="s">
        <v>1355</v>
      </c>
      <c r="C704" s="16" t="s">
        <v>1356</v>
      </c>
      <c r="D704" s="306" t="s">
        <v>1357</v>
      </c>
      <c r="E704" s="25">
        <v>1984.0</v>
      </c>
      <c r="F704" s="302">
        <v>2004.0</v>
      </c>
      <c r="G704" s="25">
        <v>1.0</v>
      </c>
      <c r="H704" s="302">
        <v>7.8</v>
      </c>
      <c r="I704" s="307">
        <v>0.9</v>
      </c>
      <c r="J704" s="25">
        <v>7.8</v>
      </c>
      <c r="K704" s="51">
        <v>0.02</v>
      </c>
      <c r="L704" s="51">
        <v>5.18</v>
      </c>
      <c r="M704" s="25">
        <v>10.0</v>
      </c>
      <c r="N704" s="58">
        <v>250.0</v>
      </c>
      <c r="O704" s="26" t="s">
        <v>74</v>
      </c>
      <c r="P704" s="52">
        <v>915.0</v>
      </c>
      <c r="Q704" s="26" t="s">
        <v>52</v>
      </c>
      <c r="R704" s="25">
        <v>1996.0</v>
      </c>
      <c r="S704" s="25">
        <v>1.3</v>
      </c>
      <c r="T704" s="25">
        <f t="shared" si="90"/>
        <v>1189.5</v>
      </c>
      <c r="U704" s="24">
        <f t="shared" si="3"/>
        <v>152.5</v>
      </c>
      <c r="V704" s="3">
        <f t="shared" si="28"/>
        <v>1</v>
      </c>
      <c r="W704" s="3">
        <f t="shared" si="29"/>
        <v>7.8</v>
      </c>
      <c r="X704" s="3">
        <f t="shared" si="30"/>
        <v>7.8</v>
      </c>
      <c r="Y704" s="25">
        <f t="shared" si="31"/>
        <v>0</v>
      </c>
      <c r="Z704" s="26">
        <f>VLOOKUP(R704,CPI!$A$2:$F$71,6,0)</f>
        <v>2.052992352</v>
      </c>
      <c r="AA704" s="27">
        <f t="shared" si="8"/>
        <v>2442.034402</v>
      </c>
      <c r="AB704" s="27">
        <f t="shared" si="9"/>
        <v>313.0813337</v>
      </c>
      <c r="AC704" s="26" t="s">
        <v>42</v>
      </c>
      <c r="AD704" s="53" t="s">
        <v>1358</v>
      </c>
      <c r="AE704" s="130"/>
      <c r="AF704" s="130"/>
      <c r="AG704" s="130"/>
      <c r="AH704" s="130"/>
    </row>
    <row r="705">
      <c r="A705" s="290" t="s">
        <v>1337</v>
      </c>
      <c r="B705" s="68" t="s">
        <v>1355</v>
      </c>
      <c r="C705" s="36" t="s">
        <v>866</v>
      </c>
      <c r="D705" s="68" t="s">
        <v>1359</v>
      </c>
      <c r="E705" s="237">
        <v>2003.0</v>
      </c>
      <c r="F705" s="237">
        <v>2005.0</v>
      </c>
      <c r="G705" s="237">
        <v>0.0</v>
      </c>
      <c r="H705" s="36">
        <v>2.1</v>
      </c>
      <c r="I705" s="303">
        <v>1.0</v>
      </c>
      <c r="J705" s="36">
        <v>2.1</v>
      </c>
      <c r="K705" s="237">
        <v>0.0</v>
      </c>
      <c r="L705" s="237">
        <v>0.0</v>
      </c>
      <c r="M705" s="237">
        <v>2.0</v>
      </c>
      <c r="N705" s="239">
        <v>110.0</v>
      </c>
      <c r="O705" s="237" t="s">
        <v>74</v>
      </c>
      <c r="P705" s="304">
        <v>95.0</v>
      </c>
      <c r="Q705" s="237" t="s">
        <v>52</v>
      </c>
      <c r="R705" s="237">
        <v>2004.0</v>
      </c>
      <c r="S705" s="237">
        <v>1.3</v>
      </c>
      <c r="T705" s="75">
        <f t="shared" si="90"/>
        <v>123.5</v>
      </c>
      <c r="U705" s="24">
        <f t="shared" si="3"/>
        <v>58.80952381</v>
      </c>
      <c r="V705" s="3">
        <f t="shared" si="28"/>
        <v>1</v>
      </c>
      <c r="W705" s="3">
        <f t="shared" si="29"/>
        <v>2.1</v>
      </c>
      <c r="X705" s="3">
        <f t="shared" si="30"/>
        <v>2.1</v>
      </c>
      <c r="Y705" s="25">
        <f t="shared" si="31"/>
        <v>0</v>
      </c>
      <c r="Z705" s="26">
        <f>VLOOKUP(R705,CPI!$A$2:$F$71,6,0)</f>
        <v>1.705211752</v>
      </c>
      <c r="AA705" s="27">
        <f t="shared" si="8"/>
        <v>210.5936514</v>
      </c>
      <c r="AB705" s="27">
        <f t="shared" si="9"/>
        <v>100.2826911</v>
      </c>
      <c r="AC705" s="36" t="s">
        <v>60</v>
      </c>
      <c r="AD705" s="240" t="s">
        <v>1360</v>
      </c>
      <c r="AE705" s="7"/>
      <c r="AF705" s="7"/>
      <c r="AG705" s="7"/>
      <c r="AH705" s="7"/>
    </row>
    <row r="706">
      <c r="A706" s="290" t="s">
        <v>1337</v>
      </c>
      <c r="B706" s="68" t="s">
        <v>1355</v>
      </c>
      <c r="C706" s="36" t="s">
        <v>866</v>
      </c>
      <c r="D706" s="68" t="s">
        <v>1361</v>
      </c>
      <c r="E706" s="237" t="s">
        <v>1362</v>
      </c>
      <c r="F706" s="237">
        <v>2011.0</v>
      </c>
      <c r="G706" s="237">
        <v>0.0</v>
      </c>
      <c r="H706" s="36">
        <v>4.8</v>
      </c>
      <c r="I706" s="303">
        <v>0.0</v>
      </c>
      <c r="J706" s="36">
        <v>0.0</v>
      </c>
      <c r="K706" s="237">
        <v>0.0</v>
      </c>
      <c r="L706" s="237">
        <v>4.8</v>
      </c>
      <c r="M706" s="237">
        <v>2.0</v>
      </c>
      <c r="N706" s="239">
        <v>110.0</v>
      </c>
      <c r="O706" s="237" t="s">
        <v>74</v>
      </c>
      <c r="P706" s="304">
        <v>70.0</v>
      </c>
      <c r="Q706" s="237" t="s">
        <v>52</v>
      </c>
      <c r="R706" s="237">
        <v>2005.0</v>
      </c>
      <c r="S706" s="237">
        <v>1.3</v>
      </c>
      <c r="T706" s="75">
        <f t="shared" si="90"/>
        <v>91</v>
      </c>
      <c r="U706" s="24">
        <f t="shared" si="3"/>
        <v>18.95833333</v>
      </c>
      <c r="V706" s="3">
        <f t="shared" si="28"/>
        <v>1</v>
      </c>
      <c r="W706" s="3">
        <f t="shared" si="29"/>
        <v>4.8</v>
      </c>
      <c r="X706" s="3">
        <f t="shared" si="30"/>
        <v>0</v>
      </c>
      <c r="Y706" s="25">
        <f t="shared" si="31"/>
        <v>0</v>
      </c>
      <c r="Z706" s="26">
        <f>VLOOKUP(R706,CPI!$A$2:$F$71,6,0)</f>
        <v>1.649331797</v>
      </c>
      <c r="AA706" s="27">
        <f t="shared" si="8"/>
        <v>150.0891935</v>
      </c>
      <c r="AB706" s="27">
        <f t="shared" si="9"/>
        <v>31.26858199</v>
      </c>
      <c r="AC706" s="36" t="s">
        <v>60</v>
      </c>
      <c r="AD706" s="240" t="s">
        <v>1350</v>
      </c>
      <c r="AE706" s="7"/>
      <c r="AF706" s="7"/>
      <c r="AG706" s="7"/>
      <c r="AH706" s="7"/>
    </row>
    <row r="707">
      <c r="A707" s="290" t="s">
        <v>1337</v>
      </c>
      <c r="B707" s="68" t="s">
        <v>1355</v>
      </c>
      <c r="C707" s="36" t="s">
        <v>856</v>
      </c>
      <c r="D707" s="68" t="s">
        <v>1363</v>
      </c>
      <c r="E707" s="237" t="s">
        <v>1362</v>
      </c>
      <c r="F707" s="237">
        <v>2011.0</v>
      </c>
      <c r="G707" s="237">
        <v>0.0</v>
      </c>
      <c r="H707" s="36">
        <v>3.9</v>
      </c>
      <c r="I707" s="303">
        <v>1.0</v>
      </c>
      <c r="J707" s="36">
        <v>3.9</v>
      </c>
      <c r="K707" s="237">
        <v>0.0</v>
      </c>
      <c r="L707" s="237">
        <v>0.0</v>
      </c>
      <c r="M707" s="237">
        <v>4.0</v>
      </c>
      <c r="N707" s="239">
        <v>110.0</v>
      </c>
      <c r="O707" s="237" t="s">
        <v>74</v>
      </c>
      <c r="P707" s="304">
        <v>267.0</v>
      </c>
      <c r="Q707" s="237" t="s">
        <v>52</v>
      </c>
      <c r="R707" s="237">
        <v>2005.0</v>
      </c>
      <c r="S707" s="237">
        <v>1.3</v>
      </c>
      <c r="T707" s="75">
        <f t="shared" si="90"/>
        <v>347.1</v>
      </c>
      <c r="U707" s="24">
        <f t="shared" si="3"/>
        <v>89</v>
      </c>
      <c r="V707" s="3">
        <f t="shared" si="28"/>
        <v>1</v>
      </c>
      <c r="W707" s="3">
        <f t="shared" si="29"/>
        <v>3.9</v>
      </c>
      <c r="X707" s="3">
        <f t="shared" si="30"/>
        <v>3.9</v>
      </c>
      <c r="Y707" s="25">
        <f t="shared" si="31"/>
        <v>0</v>
      </c>
      <c r="Z707" s="26">
        <f>VLOOKUP(R707,CPI!$A$2:$F$71,6,0)</f>
        <v>1.649331797</v>
      </c>
      <c r="AA707" s="27">
        <f t="shared" si="8"/>
        <v>572.4830668</v>
      </c>
      <c r="AB707" s="27">
        <f t="shared" si="9"/>
        <v>146.79053</v>
      </c>
      <c r="AC707" s="36" t="s">
        <v>60</v>
      </c>
      <c r="AD707" s="305" t="s">
        <v>1350</v>
      </c>
      <c r="AE707" s="7"/>
      <c r="AF707" s="7"/>
      <c r="AG707" s="7"/>
      <c r="AH707" s="7"/>
    </row>
    <row r="708">
      <c r="A708" s="26" t="s">
        <v>1337</v>
      </c>
      <c r="B708" s="26" t="s">
        <v>1355</v>
      </c>
      <c r="C708" s="1" t="s">
        <v>1364</v>
      </c>
      <c r="D708" s="63" t="s">
        <v>1365</v>
      </c>
      <c r="E708" s="25">
        <v>2007.0</v>
      </c>
      <c r="F708" s="25">
        <v>2013.0</v>
      </c>
      <c r="G708" s="25">
        <v>0.0</v>
      </c>
      <c r="H708" s="25">
        <v>6.1</v>
      </c>
      <c r="I708" s="50">
        <v>1.0</v>
      </c>
      <c r="J708" s="25">
        <v>6.1</v>
      </c>
      <c r="K708" s="51">
        <v>0.0</v>
      </c>
      <c r="L708" s="51">
        <v>0.0</v>
      </c>
      <c r="M708" s="25">
        <v>9.0</v>
      </c>
      <c r="N708" s="302">
        <v>50.0</v>
      </c>
      <c r="O708" s="306" t="s">
        <v>60</v>
      </c>
      <c r="P708" s="308">
        <v>508.0</v>
      </c>
      <c r="Q708" s="26" t="s">
        <v>52</v>
      </c>
      <c r="R708" s="25">
        <v>2010.0</v>
      </c>
      <c r="S708" s="25">
        <v>1.3</v>
      </c>
      <c r="T708" s="25">
        <f t="shared" si="90"/>
        <v>660.4</v>
      </c>
      <c r="U708" s="24">
        <f t="shared" si="3"/>
        <v>108.2622951</v>
      </c>
      <c r="V708" s="3">
        <f t="shared" si="28"/>
        <v>1</v>
      </c>
      <c r="W708" s="3">
        <f t="shared" si="29"/>
        <v>6.1</v>
      </c>
      <c r="X708" s="3">
        <f t="shared" si="30"/>
        <v>6.1</v>
      </c>
      <c r="Y708" s="25">
        <f t="shared" si="31"/>
        <v>0</v>
      </c>
      <c r="Z708" s="26">
        <f>VLOOKUP(R708,CPI!$A$2:$F$71,6,0)</f>
        <v>1.477209983</v>
      </c>
      <c r="AA708" s="27">
        <f t="shared" si="8"/>
        <v>975.5494726</v>
      </c>
      <c r="AB708" s="27">
        <f t="shared" si="9"/>
        <v>159.9261431</v>
      </c>
      <c r="AC708" s="26" t="s">
        <v>36</v>
      </c>
      <c r="AD708" s="53" t="s">
        <v>1366</v>
      </c>
      <c r="AE708" s="130"/>
      <c r="AF708" s="130"/>
      <c r="AG708" s="130"/>
      <c r="AH708" s="130"/>
    </row>
    <row r="709">
      <c r="A709" s="26" t="s">
        <v>1337</v>
      </c>
      <c r="B709" s="26" t="s">
        <v>1355</v>
      </c>
      <c r="C709" s="1" t="s">
        <v>1364</v>
      </c>
      <c r="D709" s="63" t="s">
        <v>1367</v>
      </c>
      <c r="E709" s="25">
        <v>2010.0</v>
      </c>
      <c r="F709" s="25">
        <v>2015.0</v>
      </c>
      <c r="G709" s="25">
        <v>0.0</v>
      </c>
      <c r="H709" s="25">
        <v>6.5</v>
      </c>
      <c r="I709" s="50">
        <v>1.0</v>
      </c>
      <c r="J709" s="25">
        <v>6.5</v>
      </c>
      <c r="K709" s="51">
        <v>0.0</v>
      </c>
      <c r="L709" s="51">
        <v>0.0</v>
      </c>
      <c r="M709" s="25">
        <v>10.0</v>
      </c>
      <c r="N709" s="302">
        <v>50.0</v>
      </c>
      <c r="O709" s="306" t="s">
        <v>60</v>
      </c>
      <c r="P709" s="308">
        <v>751.0</v>
      </c>
      <c r="Q709" s="26" t="s">
        <v>52</v>
      </c>
      <c r="R709" s="25">
        <v>2012.0</v>
      </c>
      <c r="S709" s="25">
        <v>1.3</v>
      </c>
      <c r="T709" s="25">
        <f t="shared" si="90"/>
        <v>976.3</v>
      </c>
      <c r="U709" s="24">
        <f t="shared" si="3"/>
        <v>150.2</v>
      </c>
      <c r="V709" s="3">
        <f t="shared" si="28"/>
        <v>1</v>
      </c>
      <c r="W709" s="3">
        <f t="shared" si="29"/>
        <v>6.5</v>
      </c>
      <c r="X709" s="3">
        <f t="shared" si="30"/>
        <v>6.5</v>
      </c>
      <c r="Y709" s="25">
        <f t="shared" si="31"/>
        <v>0</v>
      </c>
      <c r="Z709" s="26">
        <f>VLOOKUP(R709,CPI!$A$2:$F$71,6,0)</f>
        <v>1.402974381</v>
      </c>
      <c r="AA709" s="27">
        <f t="shared" si="8"/>
        <v>1369.723888</v>
      </c>
      <c r="AB709" s="27">
        <f t="shared" si="9"/>
        <v>210.726752</v>
      </c>
      <c r="AC709" s="26" t="s">
        <v>60</v>
      </c>
      <c r="AD709" s="57" t="s">
        <v>1368</v>
      </c>
      <c r="AE709" s="130"/>
      <c r="AF709" s="130"/>
      <c r="AG709" s="130"/>
      <c r="AH709" s="130"/>
    </row>
    <row r="710">
      <c r="A710" s="290" t="s">
        <v>1337</v>
      </c>
      <c r="B710" s="68" t="s">
        <v>1355</v>
      </c>
      <c r="C710" s="36" t="s">
        <v>866</v>
      </c>
      <c r="D710" s="68" t="s">
        <v>1369</v>
      </c>
      <c r="E710" s="237">
        <v>2010.0</v>
      </c>
      <c r="F710" s="237">
        <v>2022.0</v>
      </c>
      <c r="G710" s="237">
        <v>0.0</v>
      </c>
      <c r="H710" s="36">
        <v>1.9</v>
      </c>
      <c r="I710" s="303">
        <v>1.0</v>
      </c>
      <c r="J710" s="36">
        <v>1.9</v>
      </c>
      <c r="K710" s="237">
        <v>0.0</v>
      </c>
      <c r="L710" s="237">
        <v>0.0</v>
      </c>
      <c r="M710" s="237">
        <v>2.0</v>
      </c>
      <c r="N710" s="239">
        <v>110.0</v>
      </c>
      <c r="O710" s="237" t="s">
        <v>74</v>
      </c>
      <c r="P710" s="304">
        <v>143.0</v>
      </c>
      <c r="Q710" s="237" t="s">
        <v>52</v>
      </c>
      <c r="R710" s="237">
        <v>2015.0</v>
      </c>
      <c r="S710" s="237">
        <v>1.3</v>
      </c>
      <c r="T710" s="75">
        <f t="shared" si="90"/>
        <v>185.9</v>
      </c>
      <c r="U710" s="24">
        <f t="shared" si="3"/>
        <v>97.84210526</v>
      </c>
      <c r="V710" s="3">
        <f t="shared" si="28"/>
        <v>1</v>
      </c>
      <c r="W710" s="3">
        <f t="shared" si="29"/>
        <v>1.9</v>
      </c>
      <c r="X710" s="3">
        <f t="shared" si="30"/>
        <v>1.9</v>
      </c>
      <c r="Y710" s="25">
        <f t="shared" si="31"/>
        <v>0</v>
      </c>
      <c r="Z710" s="26">
        <f>VLOOKUP(R710,CPI!$A$2:$F$71,6,0)</f>
        <v>1.359035428</v>
      </c>
      <c r="AA710" s="27">
        <f t="shared" si="8"/>
        <v>252.644686</v>
      </c>
      <c r="AB710" s="27">
        <f t="shared" si="9"/>
        <v>132.9708874</v>
      </c>
      <c r="AC710" s="36" t="s">
        <v>60</v>
      </c>
      <c r="AD710" s="237" t="s">
        <v>1370</v>
      </c>
      <c r="AE710" s="7"/>
      <c r="AF710" s="7"/>
      <c r="AG710" s="7"/>
      <c r="AH710" s="7"/>
    </row>
    <row r="711">
      <c r="A711" s="26" t="s">
        <v>1337</v>
      </c>
      <c r="B711" s="26" t="s">
        <v>1355</v>
      </c>
      <c r="C711" s="26" t="s">
        <v>110</v>
      </c>
      <c r="D711" s="26" t="s">
        <v>110</v>
      </c>
      <c r="E711" s="25">
        <v>2015.0</v>
      </c>
      <c r="F711" s="58">
        <v>2024.0</v>
      </c>
      <c r="G711" s="25">
        <v>0.0</v>
      </c>
      <c r="H711" s="25">
        <v>15.2</v>
      </c>
      <c r="I711" s="50">
        <v>1.0</v>
      </c>
      <c r="J711" s="25">
        <v>15.2</v>
      </c>
      <c r="K711" s="51">
        <v>0.0</v>
      </c>
      <c r="L711" s="51">
        <v>0.0</v>
      </c>
      <c r="M711" s="25">
        <v>21.0</v>
      </c>
      <c r="N711" s="302">
        <v>50.0</v>
      </c>
      <c r="O711" s="26" t="s">
        <v>74</v>
      </c>
      <c r="P711" s="52">
        <v>1696.7</v>
      </c>
      <c r="Q711" s="26" t="s">
        <v>52</v>
      </c>
      <c r="R711" s="25">
        <v>2019.0</v>
      </c>
      <c r="S711" s="25">
        <v>1.3</v>
      </c>
      <c r="T711" s="25">
        <f t="shared" si="90"/>
        <v>2205.71</v>
      </c>
      <c r="U711" s="24">
        <f t="shared" si="3"/>
        <v>145.1125</v>
      </c>
      <c r="V711" s="3">
        <f t="shared" si="28"/>
        <v>1</v>
      </c>
      <c r="W711" s="3">
        <f t="shared" si="29"/>
        <v>15.2</v>
      </c>
      <c r="X711" s="3">
        <f t="shared" si="30"/>
        <v>15.2</v>
      </c>
      <c r="Y711" s="25">
        <f t="shared" si="31"/>
        <v>0</v>
      </c>
      <c r="Z711" s="26">
        <f>VLOOKUP(R711,CPI!$A$2:$F$71,6,0)</f>
        <v>1.259947899</v>
      </c>
      <c r="AA711" s="27">
        <f t="shared" si="8"/>
        <v>2779.07968</v>
      </c>
      <c r="AB711" s="27">
        <f t="shared" si="9"/>
        <v>182.8341895</v>
      </c>
      <c r="AC711" s="26" t="s">
        <v>60</v>
      </c>
      <c r="AD711" s="57" t="s">
        <v>1371</v>
      </c>
      <c r="AE711" s="130"/>
      <c r="AF711" s="130"/>
      <c r="AG711" s="130"/>
      <c r="AH711" s="130"/>
    </row>
    <row r="712">
      <c r="A712" s="290" t="s">
        <v>1337</v>
      </c>
      <c r="B712" s="68" t="s">
        <v>1355</v>
      </c>
      <c r="C712" s="36" t="s">
        <v>866</v>
      </c>
      <c r="D712" s="68" t="s">
        <v>1372</v>
      </c>
      <c r="E712" s="237">
        <v>2022.0</v>
      </c>
      <c r="F712" s="237">
        <v>2027.0</v>
      </c>
      <c r="G712" s="237">
        <v>0.0</v>
      </c>
      <c r="H712" s="36">
        <v>3.3</v>
      </c>
      <c r="I712" s="303">
        <v>1.0</v>
      </c>
      <c r="J712" s="36">
        <v>3.3</v>
      </c>
      <c r="K712" s="237">
        <v>0.0</v>
      </c>
      <c r="L712" s="237">
        <v>0.0</v>
      </c>
      <c r="M712" s="237">
        <v>3.0</v>
      </c>
      <c r="N712" s="239">
        <v>110.0</v>
      </c>
      <c r="O712" s="237" t="s">
        <v>60</v>
      </c>
      <c r="P712" s="304">
        <v>396.0</v>
      </c>
      <c r="Q712" s="237" t="s">
        <v>52</v>
      </c>
      <c r="R712" s="237">
        <v>2025.0</v>
      </c>
      <c r="S712" s="237">
        <v>1.3</v>
      </c>
      <c r="T712" s="75">
        <f t="shared" si="90"/>
        <v>514.8</v>
      </c>
      <c r="U712" s="24">
        <f t="shared" si="3"/>
        <v>156</v>
      </c>
      <c r="V712" s="3">
        <f t="shared" si="28"/>
        <v>1</v>
      </c>
      <c r="W712" s="3">
        <f t="shared" si="29"/>
        <v>3.3</v>
      </c>
      <c r="X712" s="3">
        <f t="shared" si="30"/>
        <v>3.3</v>
      </c>
      <c r="Y712" s="25">
        <f t="shared" si="31"/>
        <v>0</v>
      </c>
      <c r="Z712" s="26">
        <f>VLOOKUP(R712,CPI!$A$2:$F$71,6,0)</f>
        <v>1</v>
      </c>
      <c r="AA712" s="27">
        <f t="shared" si="8"/>
        <v>514.8</v>
      </c>
      <c r="AB712" s="27">
        <f t="shared" si="9"/>
        <v>156</v>
      </c>
      <c r="AC712" s="36" t="s">
        <v>60</v>
      </c>
      <c r="AD712" s="240" t="s">
        <v>1373</v>
      </c>
      <c r="AE712" s="7"/>
      <c r="AF712" s="7"/>
      <c r="AG712" s="7"/>
      <c r="AH712" s="7"/>
    </row>
    <row r="713">
      <c r="A713" s="290" t="s">
        <v>1337</v>
      </c>
      <c r="B713" s="68" t="s">
        <v>1355</v>
      </c>
      <c r="C713" s="36" t="s">
        <v>1364</v>
      </c>
      <c r="D713" s="68" t="s">
        <v>1374</v>
      </c>
      <c r="E713" s="237">
        <v>2022.0</v>
      </c>
      <c r="F713" s="237">
        <v>2029.0</v>
      </c>
      <c r="G713" s="237">
        <v>0.0</v>
      </c>
      <c r="H713" s="36">
        <v>12.6</v>
      </c>
      <c r="I713" s="303">
        <v>1.0</v>
      </c>
      <c r="J713" s="36">
        <v>12.6</v>
      </c>
      <c r="K713" s="237">
        <v>0.0</v>
      </c>
      <c r="L713" s="237">
        <v>0.0</v>
      </c>
      <c r="M713" s="237">
        <v>12.0</v>
      </c>
      <c r="N713" s="239">
        <v>50.0</v>
      </c>
      <c r="O713" s="237" t="s">
        <v>60</v>
      </c>
      <c r="P713" s="304">
        <v>1250.0</v>
      </c>
      <c r="Q713" s="237" t="s">
        <v>52</v>
      </c>
      <c r="R713" s="237">
        <v>2025.0</v>
      </c>
      <c r="S713" s="237">
        <v>1.3</v>
      </c>
      <c r="T713" s="75">
        <f t="shared" si="90"/>
        <v>1625</v>
      </c>
      <c r="U713" s="24">
        <f t="shared" si="3"/>
        <v>128.968254</v>
      </c>
      <c r="V713" s="3">
        <f t="shared" si="28"/>
        <v>1</v>
      </c>
      <c r="W713" s="3">
        <f t="shared" si="29"/>
        <v>12.6</v>
      </c>
      <c r="X713" s="3">
        <f t="shared" si="30"/>
        <v>12.6</v>
      </c>
      <c r="Y713" s="25">
        <f t="shared" si="31"/>
        <v>0</v>
      </c>
      <c r="Z713" s="26">
        <f>VLOOKUP(R713,CPI!$A$2:$F$71,6,0)</f>
        <v>1</v>
      </c>
      <c r="AA713" s="27">
        <f t="shared" si="8"/>
        <v>1625</v>
      </c>
      <c r="AB713" s="27">
        <f t="shared" si="9"/>
        <v>128.968254</v>
      </c>
      <c r="AC713" s="36" t="s">
        <v>60</v>
      </c>
      <c r="AD713" s="237" t="s">
        <v>1375</v>
      </c>
      <c r="AE713" s="7"/>
      <c r="AF713" s="7"/>
      <c r="AG713" s="7"/>
      <c r="AH713" s="7"/>
    </row>
    <row r="714">
      <c r="A714" s="290" t="s">
        <v>1337</v>
      </c>
      <c r="B714" s="68" t="s">
        <v>1376</v>
      </c>
      <c r="C714" s="36" t="s">
        <v>57</v>
      </c>
      <c r="D714" s="68" t="s">
        <v>1377</v>
      </c>
      <c r="E714" s="237">
        <v>1986.0</v>
      </c>
      <c r="F714" s="237">
        <v>2003.0</v>
      </c>
      <c r="G714" s="237">
        <v>0.0</v>
      </c>
      <c r="H714" s="36">
        <v>13.7</v>
      </c>
      <c r="I714" s="303">
        <v>0.7</v>
      </c>
      <c r="J714" s="36">
        <v>9.6</v>
      </c>
      <c r="K714" s="237">
        <v>4.1</v>
      </c>
      <c r="L714" s="237">
        <v>0.0</v>
      </c>
      <c r="M714" s="237">
        <v>14.0</v>
      </c>
      <c r="N714" s="239">
        <v>110.0</v>
      </c>
      <c r="O714" s="237" t="s">
        <v>60</v>
      </c>
      <c r="P714" s="304">
        <v>1474.0</v>
      </c>
      <c r="Q714" s="237" t="s">
        <v>52</v>
      </c>
      <c r="R714" s="237">
        <v>1990.0</v>
      </c>
      <c r="S714" s="237">
        <v>1.3</v>
      </c>
      <c r="T714" s="75">
        <f t="shared" si="90"/>
        <v>1916.2</v>
      </c>
      <c r="U714" s="24">
        <f t="shared" si="3"/>
        <v>139.8686131</v>
      </c>
      <c r="V714" s="3">
        <f t="shared" si="28"/>
        <v>1</v>
      </c>
      <c r="W714" s="3">
        <f t="shared" si="29"/>
        <v>13.7</v>
      </c>
      <c r="X714" s="3">
        <f t="shared" si="30"/>
        <v>9.6</v>
      </c>
      <c r="Y714" s="25">
        <f t="shared" si="31"/>
        <v>0</v>
      </c>
      <c r="Z714" s="26">
        <f>VLOOKUP(R714,CPI!$A$2:$F$71,6,0)</f>
        <v>2.464533282</v>
      </c>
      <c r="AA714" s="27">
        <f t="shared" si="8"/>
        <v>4722.538676</v>
      </c>
      <c r="AB714" s="27">
        <f t="shared" si="9"/>
        <v>344.7108522</v>
      </c>
      <c r="AC714" s="36" t="s">
        <v>60</v>
      </c>
      <c r="AD714" s="240" t="s">
        <v>1378</v>
      </c>
      <c r="AE714" s="7"/>
      <c r="AF714" s="7"/>
      <c r="AG714" s="7"/>
      <c r="AH714" s="7"/>
    </row>
    <row r="715">
      <c r="A715" s="290" t="s">
        <v>1337</v>
      </c>
      <c r="B715" s="68" t="s">
        <v>1376</v>
      </c>
      <c r="C715" s="16" t="s">
        <v>1379</v>
      </c>
      <c r="D715" s="68" t="s">
        <v>1380</v>
      </c>
      <c r="E715" s="237">
        <v>2001.0</v>
      </c>
      <c r="F715" s="237">
        <v>2009.0</v>
      </c>
      <c r="G715" s="237">
        <v>0.0</v>
      </c>
      <c r="H715" s="36">
        <v>10.6</v>
      </c>
      <c r="I715" s="303">
        <v>1.0</v>
      </c>
      <c r="J715" s="36">
        <v>10.6</v>
      </c>
      <c r="K715" s="237">
        <v>0.0</v>
      </c>
      <c r="L715" s="237">
        <v>0.0</v>
      </c>
      <c r="M715" s="237">
        <v>5.0</v>
      </c>
      <c r="N715" s="239">
        <v>110.0</v>
      </c>
      <c r="O715" s="237" t="s">
        <v>74</v>
      </c>
      <c r="P715" s="304">
        <v>611.0</v>
      </c>
      <c r="Q715" s="237" t="s">
        <v>52</v>
      </c>
      <c r="R715" s="237">
        <v>2005.0</v>
      </c>
      <c r="S715" s="237">
        <v>1.3</v>
      </c>
      <c r="T715" s="75">
        <f t="shared" si="90"/>
        <v>794.3</v>
      </c>
      <c r="U715" s="24">
        <f t="shared" si="3"/>
        <v>74.93396226</v>
      </c>
      <c r="V715" s="3">
        <f t="shared" si="28"/>
        <v>1</v>
      </c>
      <c r="W715" s="3">
        <f t="shared" si="29"/>
        <v>10.6</v>
      </c>
      <c r="X715" s="3">
        <f t="shared" si="30"/>
        <v>10.6</v>
      </c>
      <c r="Y715" s="25">
        <f t="shared" si="31"/>
        <v>0</v>
      </c>
      <c r="Z715" s="26">
        <f>VLOOKUP(R715,CPI!$A$2:$F$71,6,0)</f>
        <v>1.649331797</v>
      </c>
      <c r="AA715" s="27">
        <f t="shared" si="8"/>
        <v>1310.064247</v>
      </c>
      <c r="AB715" s="27">
        <f t="shared" si="9"/>
        <v>123.5909667</v>
      </c>
      <c r="AC715" s="36" t="s">
        <v>60</v>
      </c>
      <c r="AD715" s="240" t="s">
        <v>1381</v>
      </c>
      <c r="AE715" s="7"/>
      <c r="AF715" s="7"/>
      <c r="AG715" s="7"/>
      <c r="AH715" s="7"/>
    </row>
    <row r="716">
      <c r="A716" s="310" t="s">
        <v>1337</v>
      </c>
      <c r="B716" s="310" t="s">
        <v>1376</v>
      </c>
      <c r="C716" s="306" t="s">
        <v>57</v>
      </c>
      <c r="D716" s="306" t="s">
        <v>1382</v>
      </c>
      <c r="E716" s="302">
        <v>1999.0</v>
      </c>
      <c r="F716" s="302">
        <v>2021.0</v>
      </c>
      <c r="G716" s="311">
        <v>0.0</v>
      </c>
      <c r="H716" s="302">
        <v>4.3</v>
      </c>
      <c r="I716" s="307">
        <v>1.0</v>
      </c>
      <c r="J716" s="302">
        <v>4.3</v>
      </c>
      <c r="K716" s="312">
        <v>0.0</v>
      </c>
      <c r="L716" s="312">
        <v>0.0</v>
      </c>
      <c r="M716" s="302">
        <v>5.0</v>
      </c>
      <c r="N716" s="302">
        <v>110.0</v>
      </c>
      <c r="O716" s="306" t="s">
        <v>60</v>
      </c>
      <c r="P716" s="308">
        <v>1748.0</v>
      </c>
      <c r="Q716" s="310" t="s">
        <v>52</v>
      </c>
      <c r="R716" s="311">
        <v>2017.0</v>
      </c>
      <c r="S716" s="311">
        <v>1.3</v>
      </c>
      <c r="T716" s="311">
        <f t="shared" si="90"/>
        <v>2272.4</v>
      </c>
      <c r="U716" s="24">
        <f t="shared" si="3"/>
        <v>528.4651163</v>
      </c>
      <c r="V716" s="3">
        <f t="shared" si="28"/>
        <v>1</v>
      </c>
      <c r="W716" s="3">
        <f t="shared" si="29"/>
        <v>4.3</v>
      </c>
      <c r="X716" s="3">
        <f t="shared" si="30"/>
        <v>4.3</v>
      </c>
      <c r="Y716" s="25">
        <f t="shared" si="31"/>
        <v>0</v>
      </c>
      <c r="Z716" s="26">
        <f>VLOOKUP(R716,CPI!$A$2:$F$71,6,0)</f>
        <v>1.314109416</v>
      </c>
      <c r="AA716" s="27">
        <f t="shared" si="8"/>
        <v>2986.182236</v>
      </c>
      <c r="AB716" s="27">
        <f t="shared" si="9"/>
        <v>694.4609852</v>
      </c>
      <c r="AC716" s="310" t="s">
        <v>60</v>
      </c>
      <c r="AD716" s="53"/>
      <c r="AE716" s="130"/>
      <c r="AF716" s="130"/>
      <c r="AG716" s="130"/>
      <c r="AH716" s="130"/>
    </row>
    <row r="717">
      <c r="A717" s="26" t="s">
        <v>1337</v>
      </c>
      <c r="B717" s="26" t="s">
        <v>1376</v>
      </c>
      <c r="C717" s="1" t="s">
        <v>57</v>
      </c>
      <c r="D717" s="63" t="s">
        <v>1383</v>
      </c>
      <c r="E717" s="25">
        <v>2002.0</v>
      </c>
      <c r="F717" s="25">
        <v>2021.0</v>
      </c>
      <c r="G717" s="25">
        <v>0.0</v>
      </c>
      <c r="H717" s="302">
        <v>3.3</v>
      </c>
      <c r="I717" s="50">
        <v>1.0</v>
      </c>
      <c r="J717" s="302">
        <v>3.3</v>
      </c>
      <c r="K717" s="51">
        <v>0.0</v>
      </c>
      <c r="L717" s="51">
        <v>0.0</v>
      </c>
      <c r="M717" s="302">
        <v>4.0</v>
      </c>
      <c r="N717" s="302">
        <v>80.0</v>
      </c>
      <c r="O717" s="310" t="s">
        <v>60</v>
      </c>
      <c r="P717" s="308">
        <v>790.0</v>
      </c>
      <c r="Q717" s="26" t="s">
        <v>52</v>
      </c>
      <c r="R717" s="25">
        <v>2011.0</v>
      </c>
      <c r="S717" s="25">
        <v>1.3</v>
      </c>
      <c r="T717" s="25">
        <f t="shared" si="90"/>
        <v>1027</v>
      </c>
      <c r="U717" s="24">
        <f t="shared" si="3"/>
        <v>311.2121212</v>
      </c>
      <c r="V717" s="3">
        <f t="shared" si="28"/>
        <v>1</v>
      </c>
      <c r="W717" s="3">
        <f t="shared" si="29"/>
        <v>3.3</v>
      </c>
      <c r="X717" s="3">
        <f t="shared" si="30"/>
        <v>3.3</v>
      </c>
      <c r="Y717" s="25">
        <f t="shared" si="31"/>
        <v>0</v>
      </c>
      <c r="Z717" s="26">
        <f>VLOOKUP(R717,CPI!$A$2:$F$71,6,0)</f>
        <v>1.432008233</v>
      </c>
      <c r="AA717" s="27">
        <f t="shared" si="8"/>
        <v>1470.672456</v>
      </c>
      <c r="AB717" s="27">
        <f t="shared" si="9"/>
        <v>445.6583199</v>
      </c>
      <c r="AC717" s="26" t="s">
        <v>60</v>
      </c>
      <c r="AD717" s="53" t="s">
        <v>1384</v>
      </c>
      <c r="AE717" s="130"/>
      <c r="AF717" s="130"/>
      <c r="AG717" s="130"/>
      <c r="AH717" s="130"/>
    </row>
    <row r="718">
      <c r="A718" s="290" t="s">
        <v>1337</v>
      </c>
      <c r="B718" s="68" t="s">
        <v>1376</v>
      </c>
      <c r="C718" s="68" t="s">
        <v>1385</v>
      </c>
      <c r="D718" s="68" t="s">
        <v>1385</v>
      </c>
      <c r="E718" s="237">
        <v>1999.0</v>
      </c>
      <c r="F718" s="237">
        <v>2023.0</v>
      </c>
      <c r="G718" s="237">
        <v>0.0</v>
      </c>
      <c r="H718" s="36">
        <v>3.3</v>
      </c>
      <c r="I718" s="303">
        <v>1.0</v>
      </c>
      <c r="J718" s="36">
        <v>3.3</v>
      </c>
      <c r="K718" s="237">
        <v>0.0</v>
      </c>
      <c r="L718" s="237">
        <v>0.0</v>
      </c>
      <c r="M718" s="237">
        <v>4.0</v>
      </c>
      <c r="N718" s="239">
        <v>110.0</v>
      </c>
      <c r="O718" s="237" t="s">
        <v>74</v>
      </c>
      <c r="P718" s="304">
        <v>391.0</v>
      </c>
      <c r="Q718" s="237" t="s">
        <v>52</v>
      </c>
      <c r="R718" s="237">
        <v>2010.0</v>
      </c>
      <c r="S718" s="237">
        <v>1.3</v>
      </c>
      <c r="T718" s="75">
        <f t="shared" si="90"/>
        <v>508.3</v>
      </c>
      <c r="U718" s="24">
        <f t="shared" si="3"/>
        <v>154.030303</v>
      </c>
      <c r="V718" s="3">
        <f t="shared" si="28"/>
        <v>1</v>
      </c>
      <c r="W718" s="3">
        <f t="shared" si="29"/>
        <v>3.3</v>
      </c>
      <c r="X718" s="3">
        <f t="shared" si="30"/>
        <v>3.3</v>
      </c>
      <c r="Y718" s="25">
        <f t="shared" si="31"/>
        <v>0</v>
      </c>
      <c r="Z718" s="26">
        <f>VLOOKUP(R718,CPI!$A$2:$F$71,6,0)</f>
        <v>1.477209983</v>
      </c>
      <c r="AA718" s="27">
        <f t="shared" si="8"/>
        <v>750.8658342</v>
      </c>
      <c r="AB718" s="27">
        <f t="shared" si="9"/>
        <v>227.5351013</v>
      </c>
      <c r="AC718" s="36" t="s">
        <v>60</v>
      </c>
      <c r="AD718" s="240" t="s">
        <v>1378</v>
      </c>
      <c r="AE718" s="7"/>
      <c r="AF718" s="7"/>
      <c r="AG718" s="7"/>
      <c r="AH718" s="7"/>
    </row>
    <row r="719">
      <c r="A719" s="26" t="s">
        <v>1337</v>
      </c>
      <c r="B719" s="26" t="s">
        <v>1376</v>
      </c>
      <c r="C719" s="1" t="s">
        <v>57</v>
      </c>
      <c r="D719" s="26" t="s">
        <v>1386</v>
      </c>
      <c r="E719" s="25">
        <v>2014.0</v>
      </c>
      <c r="F719" s="25">
        <v>2024.0</v>
      </c>
      <c r="G719" s="25">
        <v>0.0</v>
      </c>
      <c r="H719" s="25">
        <v>3.5</v>
      </c>
      <c r="I719" s="50">
        <v>1.0</v>
      </c>
      <c r="J719" s="25">
        <v>3.5</v>
      </c>
      <c r="K719" s="51">
        <v>0.0</v>
      </c>
      <c r="L719" s="51">
        <v>0.0</v>
      </c>
      <c r="M719" s="25">
        <v>4.0</v>
      </c>
      <c r="N719" s="302">
        <v>110.0</v>
      </c>
      <c r="O719" s="306" t="s">
        <v>60</v>
      </c>
      <c r="P719" s="308">
        <v>652.0</v>
      </c>
      <c r="Q719" s="26" t="s">
        <v>52</v>
      </c>
      <c r="R719" s="25">
        <v>2019.0</v>
      </c>
      <c r="S719" s="25">
        <v>1.3</v>
      </c>
      <c r="T719" s="25">
        <f t="shared" si="90"/>
        <v>847.6</v>
      </c>
      <c r="U719" s="24">
        <f t="shared" si="3"/>
        <v>242.1714286</v>
      </c>
      <c r="V719" s="3">
        <f t="shared" si="28"/>
        <v>1</v>
      </c>
      <c r="W719" s="3">
        <f t="shared" si="29"/>
        <v>3.5</v>
      </c>
      <c r="X719" s="3">
        <f t="shared" si="30"/>
        <v>3.5</v>
      </c>
      <c r="Y719" s="25">
        <f t="shared" si="31"/>
        <v>0</v>
      </c>
      <c r="Z719" s="26">
        <f>VLOOKUP(R719,CPI!$A$2:$F$71,6,0)</f>
        <v>1.259947899</v>
      </c>
      <c r="AA719" s="27">
        <f t="shared" si="8"/>
        <v>1067.931839</v>
      </c>
      <c r="AB719" s="27">
        <f t="shared" si="9"/>
        <v>305.1233826</v>
      </c>
      <c r="AC719" s="26" t="s">
        <v>60</v>
      </c>
      <c r="AD719" s="53" t="s">
        <v>1387</v>
      </c>
      <c r="AE719" s="130"/>
      <c r="AF719" s="130"/>
      <c r="AG719" s="130"/>
      <c r="AH719" s="130"/>
    </row>
    <row r="720">
      <c r="A720" s="26" t="s">
        <v>1337</v>
      </c>
      <c r="B720" s="26" t="s">
        <v>1388</v>
      </c>
      <c r="C720" s="1" t="s">
        <v>983</v>
      </c>
      <c r="D720" s="26" t="s">
        <v>1389</v>
      </c>
      <c r="E720" s="25">
        <v>2007.0</v>
      </c>
      <c r="F720" s="25">
        <v>2013.0</v>
      </c>
      <c r="G720" s="25">
        <v>0.0</v>
      </c>
      <c r="H720" s="25">
        <v>2.8</v>
      </c>
      <c r="I720" s="50">
        <v>1.0</v>
      </c>
      <c r="J720" s="25">
        <v>2.8</v>
      </c>
      <c r="K720" s="51">
        <v>0.0</v>
      </c>
      <c r="L720" s="51">
        <v>0.0</v>
      </c>
      <c r="M720" s="25">
        <v>4.0</v>
      </c>
      <c r="N720" s="25"/>
      <c r="O720" s="26" t="s">
        <v>60</v>
      </c>
      <c r="P720" s="52">
        <v>399.0</v>
      </c>
      <c r="Q720" s="26" t="s">
        <v>52</v>
      </c>
      <c r="R720" s="25">
        <v>2010.0</v>
      </c>
      <c r="S720" s="25">
        <v>1.3</v>
      </c>
      <c r="T720" s="25">
        <f t="shared" si="90"/>
        <v>518.7</v>
      </c>
      <c r="U720" s="24">
        <f t="shared" si="3"/>
        <v>185.25</v>
      </c>
      <c r="V720" s="3">
        <f t="shared" si="28"/>
        <v>1</v>
      </c>
      <c r="W720" s="3">
        <f t="shared" si="29"/>
        <v>2.8</v>
      </c>
      <c r="X720" s="3">
        <f t="shared" si="30"/>
        <v>2.8</v>
      </c>
      <c r="Y720" s="25">
        <f t="shared" si="31"/>
        <v>0</v>
      </c>
      <c r="Z720" s="26">
        <f>VLOOKUP(R720,CPI!$A$2:$F$71,6,0)</f>
        <v>1.477209983</v>
      </c>
      <c r="AA720" s="27">
        <f t="shared" si="8"/>
        <v>766.2288181</v>
      </c>
      <c r="AB720" s="27">
        <f t="shared" si="9"/>
        <v>273.6531493</v>
      </c>
      <c r="AC720" s="26" t="s">
        <v>60</v>
      </c>
      <c r="AD720" s="182" t="s">
        <v>1390</v>
      </c>
      <c r="AE720" s="130"/>
      <c r="AF720" s="130"/>
      <c r="AG720" s="130"/>
      <c r="AH720" s="130"/>
    </row>
    <row r="721">
      <c r="A721" s="26" t="s">
        <v>1337</v>
      </c>
      <c r="B721" s="26" t="s">
        <v>1388</v>
      </c>
      <c r="C721" s="1" t="s">
        <v>983</v>
      </c>
      <c r="D721" s="26" t="s">
        <v>1391</v>
      </c>
      <c r="E721" s="25">
        <v>2007.0</v>
      </c>
      <c r="F721" s="25">
        <v>2013.0</v>
      </c>
      <c r="G721" s="25">
        <v>0.0</v>
      </c>
      <c r="H721" s="302">
        <v>7.6</v>
      </c>
      <c r="I721" s="50">
        <v>1.0</v>
      </c>
      <c r="J721" s="302">
        <v>7.6</v>
      </c>
      <c r="K721" s="51">
        <v>0.0</v>
      </c>
      <c r="L721" s="51">
        <v>0.0</v>
      </c>
      <c r="M721" s="25">
        <v>9.0</v>
      </c>
      <c r="N721" s="302">
        <v>110.0</v>
      </c>
      <c r="O721" s="306" t="s">
        <v>60</v>
      </c>
      <c r="P721" s="308">
        <v>1206.0</v>
      </c>
      <c r="Q721" s="26" t="s">
        <v>52</v>
      </c>
      <c r="R721" s="25">
        <v>2010.0</v>
      </c>
      <c r="S721" s="25">
        <v>1.3</v>
      </c>
      <c r="T721" s="25">
        <f t="shared" si="90"/>
        <v>1567.8</v>
      </c>
      <c r="U721" s="24">
        <f t="shared" si="3"/>
        <v>206.2894737</v>
      </c>
      <c r="V721" s="3">
        <f t="shared" si="28"/>
        <v>1</v>
      </c>
      <c r="W721" s="3">
        <f t="shared" si="29"/>
        <v>7.6</v>
      </c>
      <c r="X721" s="3">
        <f t="shared" si="30"/>
        <v>7.6</v>
      </c>
      <c r="Y721" s="25">
        <f t="shared" si="31"/>
        <v>0</v>
      </c>
      <c r="Z721" s="26">
        <f>VLOOKUP(R721,CPI!$A$2:$F$71,6,0)</f>
        <v>1.477209983</v>
      </c>
      <c r="AA721" s="27">
        <f t="shared" si="8"/>
        <v>2315.969811</v>
      </c>
      <c r="AB721" s="27">
        <f t="shared" si="9"/>
        <v>304.7328699</v>
      </c>
      <c r="AC721" s="26" t="s">
        <v>60</v>
      </c>
      <c r="AD721" s="182" t="s">
        <v>1390</v>
      </c>
      <c r="AE721" s="130"/>
      <c r="AF721" s="130"/>
      <c r="AG721" s="130"/>
      <c r="AH721" s="130"/>
    </row>
    <row r="722">
      <c r="A722" s="26" t="s">
        <v>1337</v>
      </c>
      <c r="B722" s="26" t="s">
        <v>1388</v>
      </c>
      <c r="C722" s="16" t="s">
        <v>1392</v>
      </c>
      <c r="D722" s="26" t="s">
        <v>1393</v>
      </c>
      <c r="E722" s="302">
        <v>2005.0</v>
      </c>
      <c r="F722" s="311">
        <v>2015.0</v>
      </c>
      <c r="G722" s="25">
        <v>0.0</v>
      </c>
      <c r="H722" s="302">
        <v>4.7</v>
      </c>
      <c r="I722" s="50">
        <v>1.0</v>
      </c>
      <c r="J722" s="302">
        <v>4.7</v>
      </c>
      <c r="K722" s="51">
        <v>0.0</v>
      </c>
      <c r="L722" s="51">
        <v>0.0</v>
      </c>
      <c r="M722" s="25">
        <v>3.0</v>
      </c>
      <c r="N722" s="302">
        <v>150.0</v>
      </c>
      <c r="O722" s="306" t="s">
        <v>60</v>
      </c>
      <c r="P722" s="308">
        <v>761.0</v>
      </c>
      <c r="Q722" s="26" t="s">
        <v>52</v>
      </c>
      <c r="R722" s="25">
        <v>2012.0</v>
      </c>
      <c r="S722" s="25">
        <v>1.3</v>
      </c>
      <c r="T722" s="25">
        <f t="shared" si="90"/>
        <v>989.3</v>
      </c>
      <c r="U722" s="24">
        <f t="shared" si="3"/>
        <v>210.4893617</v>
      </c>
      <c r="V722" s="3">
        <f t="shared" si="28"/>
        <v>1</v>
      </c>
      <c r="W722" s="3">
        <f t="shared" si="29"/>
        <v>4.7</v>
      </c>
      <c r="X722" s="3">
        <f t="shared" si="30"/>
        <v>4.7</v>
      </c>
      <c r="Y722" s="25">
        <f t="shared" si="31"/>
        <v>0</v>
      </c>
      <c r="Z722" s="26">
        <f>VLOOKUP(R722,CPI!$A$2:$F$71,6,0)</f>
        <v>1.402974381</v>
      </c>
      <c r="AA722" s="27">
        <f t="shared" si="8"/>
        <v>1387.962555</v>
      </c>
      <c r="AB722" s="27">
        <f t="shared" si="9"/>
        <v>295.3111819</v>
      </c>
      <c r="AC722" s="26" t="s">
        <v>60</v>
      </c>
      <c r="AD722" s="53" t="s">
        <v>1394</v>
      </c>
      <c r="AE722" s="130"/>
      <c r="AF722" s="130"/>
      <c r="AG722" s="130"/>
      <c r="AH722" s="130"/>
    </row>
    <row r="723">
      <c r="A723" s="26" t="s">
        <v>1337</v>
      </c>
      <c r="B723" s="26" t="s">
        <v>1388</v>
      </c>
      <c r="C723" s="1" t="s">
        <v>983</v>
      </c>
      <c r="D723" s="26" t="s">
        <v>1395</v>
      </c>
      <c r="E723" s="25">
        <v>2013.0</v>
      </c>
      <c r="F723" s="25">
        <v>2023.0</v>
      </c>
      <c r="G723" s="25">
        <v>0.0</v>
      </c>
      <c r="H723" s="302">
        <v>2.7</v>
      </c>
      <c r="I723" s="50">
        <v>1.0</v>
      </c>
      <c r="J723" s="302">
        <v>2.7</v>
      </c>
      <c r="K723" s="51">
        <v>0.0</v>
      </c>
      <c r="L723" s="51">
        <v>0.0</v>
      </c>
      <c r="M723" s="25">
        <v>2.0</v>
      </c>
      <c r="N723" s="302">
        <v>110.0</v>
      </c>
      <c r="O723" s="310" t="s">
        <v>60</v>
      </c>
      <c r="P723" s="308">
        <v>861.0</v>
      </c>
      <c r="Q723" s="26" t="s">
        <v>52</v>
      </c>
      <c r="R723" s="25">
        <v>2018.0</v>
      </c>
      <c r="S723" s="25">
        <v>1.3</v>
      </c>
      <c r="T723" s="25">
        <f t="shared" si="90"/>
        <v>1119.3</v>
      </c>
      <c r="U723" s="24">
        <f t="shared" si="3"/>
        <v>414.5555556</v>
      </c>
      <c r="V723" s="3">
        <f t="shared" si="28"/>
        <v>1</v>
      </c>
      <c r="W723" s="3">
        <f t="shared" si="29"/>
        <v>2.7</v>
      </c>
      <c r="X723" s="3">
        <f t="shared" si="30"/>
        <v>2.7</v>
      </c>
      <c r="Y723" s="25">
        <f t="shared" si="31"/>
        <v>0</v>
      </c>
      <c r="Z723" s="26">
        <f>VLOOKUP(R723,CPI!$A$2:$F$71,6,0)</f>
        <v>1.28277786</v>
      </c>
      <c r="AA723" s="27">
        <f t="shared" si="8"/>
        <v>1435.813258</v>
      </c>
      <c r="AB723" s="27">
        <f t="shared" si="9"/>
        <v>531.7826883</v>
      </c>
      <c r="AC723" s="26" t="s">
        <v>60</v>
      </c>
      <c r="AD723" s="182" t="s">
        <v>1390</v>
      </c>
      <c r="AE723" s="130"/>
      <c r="AF723" s="130"/>
      <c r="AG723" s="130"/>
      <c r="AH723" s="130"/>
    </row>
    <row r="724">
      <c r="A724" s="26" t="s">
        <v>1337</v>
      </c>
      <c r="B724" s="26" t="s">
        <v>1396</v>
      </c>
      <c r="C724" s="63" t="s">
        <v>57</v>
      </c>
      <c r="D724" s="26" t="s">
        <v>1397</v>
      </c>
      <c r="E724" s="25">
        <v>2000.0</v>
      </c>
      <c r="F724" s="25">
        <v>2011.0</v>
      </c>
      <c r="G724" s="25">
        <v>0.0</v>
      </c>
      <c r="H724" s="25">
        <v>13.2</v>
      </c>
      <c r="I724" s="50">
        <v>1.0</v>
      </c>
      <c r="J724" s="25">
        <v>13.2</v>
      </c>
      <c r="K724" s="51">
        <v>0.0</v>
      </c>
      <c r="L724" s="51">
        <v>0.0</v>
      </c>
      <c r="M724" s="25">
        <v>21.0</v>
      </c>
      <c r="N724" s="302">
        <v>55.0</v>
      </c>
      <c r="O724" s="306" t="s">
        <v>60</v>
      </c>
      <c r="P724" s="308">
        <v>1138.0</v>
      </c>
      <c r="Q724" s="26" t="s">
        <v>52</v>
      </c>
      <c r="R724" s="25">
        <v>2005.0</v>
      </c>
      <c r="S724" s="25">
        <v>1.25</v>
      </c>
      <c r="T724" s="25">
        <f t="shared" si="90"/>
        <v>1422.5</v>
      </c>
      <c r="U724" s="24">
        <f t="shared" si="3"/>
        <v>107.7651515</v>
      </c>
      <c r="V724" s="3">
        <f t="shared" si="28"/>
        <v>1</v>
      </c>
      <c r="W724" s="3">
        <f t="shared" si="29"/>
        <v>13.2</v>
      </c>
      <c r="X724" s="3">
        <f t="shared" si="30"/>
        <v>13.2</v>
      </c>
      <c r="Y724" s="25">
        <f t="shared" si="31"/>
        <v>0</v>
      </c>
      <c r="Z724" s="26">
        <f>VLOOKUP(R724,CPI!$A$2:$F$71,6,0)</f>
        <v>1.649331797</v>
      </c>
      <c r="AA724" s="27">
        <f t="shared" si="8"/>
        <v>2346.174482</v>
      </c>
      <c r="AB724" s="27">
        <f t="shared" si="9"/>
        <v>177.740491</v>
      </c>
      <c r="AC724" s="26" t="s">
        <v>60</v>
      </c>
      <c r="AD724" s="57" t="s">
        <v>1398</v>
      </c>
      <c r="AE724" s="130"/>
      <c r="AF724" s="130"/>
      <c r="AG724" s="130"/>
      <c r="AH724" s="130"/>
    </row>
    <row r="725">
      <c r="A725" s="26" t="s">
        <v>1337</v>
      </c>
      <c r="B725" s="26" t="s">
        <v>1396</v>
      </c>
      <c r="C725" s="63" t="s">
        <v>57</v>
      </c>
      <c r="D725" s="26" t="s">
        <v>1399</v>
      </c>
      <c r="E725" s="25">
        <v>2012.0</v>
      </c>
      <c r="F725" s="25">
        <v>2021.0</v>
      </c>
      <c r="G725" s="25">
        <v>0.0</v>
      </c>
      <c r="H725" s="25">
        <v>1.9</v>
      </c>
      <c r="I725" s="50">
        <v>1.0</v>
      </c>
      <c r="J725" s="25">
        <v>1.9</v>
      </c>
      <c r="K725" s="51">
        <v>0.0</v>
      </c>
      <c r="L725" s="51">
        <v>0.0</v>
      </c>
      <c r="M725" s="25">
        <v>2.0</v>
      </c>
      <c r="N725" s="302">
        <v>55.0</v>
      </c>
      <c r="O725" s="306" t="s">
        <v>60</v>
      </c>
      <c r="P725" s="308">
        <v>189.0</v>
      </c>
      <c r="Q725" s="26" t="s">
        <v>52</v>
      </c>
      <c r="R725" s="25">
        <v>2016.0</v>
      </c>
      <c r="S725" s="25">
        <v>1.3</v>
      </c>
      <c r="T725" s="25">
        <f t="shared" si="90"/>
        <v>245.7</v>
      </c>
      <c r="U725" s="24">
        <f t="shared" si="3"/>
        <v>129.3157895</v>
      </c>
      <c r="V725" s="3">
        <f t="shared" si="28"/>
        <v>1</v>
      </c>
      <c r="W725" s="3">
        <f t="shared" si="29"/>
        <v>1.9</v>
      </c>
      <c r="X725" s="3">
        <f t="shared" si="30"/>
        <v>1.9</v>
      </c>
      <c r="Y725" s="25">
        <f t="shared" si="31"/>
        <v>0</v>
      </c>
      <c r="Z725" s="26">
        <f>VLOOKUP(R725,CPI!$A$2:$F$71,6,0)</f>
        <v>1.342104605</v>
      </c>
      <c r="AA725" s="27">
        <f t="shared" si="8"/>
        <v>329.7551015</v>
      </c>
      <c r="AB725" s="27">
        <f t="shared" si="9"/>
        <v>173.5553166</v>
      </c>
      <c r="AC725" s="26" t="s">
        <v>60</v>
      </c>
      <c r="AD725" s="313" t="s">
        <v>1398</v>
      </c>
      <c r="AE725" s="130"/>
      <c r="AF725" s="130"/>
      <c r="AG725" s="130"/>
      <c r="AH725" s="130"/>
    </row>
    <row r="726">
      <c r="A726" s="26" t="s">
        <v>1337</v>
      </c>
      <c r="B726" s="26" t="s">
        <v>1396</v>
      </c>
      <c r="C726" s="63" t="s">
        <v>57</v>
      </c>
      <c r="D726" s="26" t="s">
        <v>1400</v>
      </c>
      <c r="E726" s="25">
        <v>2018.0</v>
      </c>
      <c r="F726" s="25">
        <v>2024.0</v>
      </c>
      <c r="G726" s="25">
        <v>0.0</v>
      </c>
      <c r="H726" s="25">
        <v>3.4</v>
      </c>
      <c r="I726" s="50">
        <v>1.0</v>
      </c>
      <c r="J726" s="25">
        <v>3.4</v>
      </c>
      <c r="K726" s="51">
        <v>0.0</v>
      </c>
      <c r="L726" s="51">
        <v>0.0</v>
      </c>
      <c r="M726" s="25">
        <v>4.0</v>
      </c>
      <c r="N726" s="302">
        <v>55.0</v>
      </c>
      <c r="O726" s="306" t="s">
        <v>60</v>
      </c>
      <c r="P726" s="308">
        <v>340.0</v>
      </c>
      <c r="Q726" s="26" t="s">
        <v>52</v>
      </c>
      <c r="R726" s="25">
        <v>2020.0</v>
      </c>
      <c r="S726" s="25">
        <v>1.3</v>
      </c>
      <c r="T726" s="25">
        <f t="shared" si="90"/>
        <v>442</v>
      </c>
      <c r="U726" s="24">
        <f t="shared" si="3"/>
        <v>130</v>
      </c>
      <c r="V726" s="3">
        <f t="shared" si="28"/>
        <v>1</v>
      </c>
      <c r="W726" s="3">
        <f t="shared" si="29"/>
        <v>3.4</v>
      </c>
      <c r="X726" s="3">
        <f t="shared" si="30"/>
        <v>3.4</v>
      </c>
      <c r="Y726" s="25">
        <f t="shared" si="31"/>
        <v>0</v>
      </c>
      <c r="Z726" s="26">
        <f>VLOOKUP(R726,CPI!$A$2:$F$71,6,0)</f>
        <v>1.244593545</v>
      </c>
      <c r="AA726" s="27">
        <f t="shared" si="8"/>
        <v>550.1103469</v>
      </c>
      <c r="AB726" s="27">
        <f t="shared" si="9"/>
        <v>161.7971609</v>
      </c>
      <c r="AC726" s="26" t="s">
        <v>60</v>
      </c>
      <c r="AD726" s="53" t="s">
        <v>1398</v>
      </c>
      <c r="AE726" s="301"/>
      <c r="AF726" s="130"/>
      <c r="AG726" s="130"/>
      <c r="AH726" s="130"/>
    </row>
    <row r="727">
      <c r="A727" s="26" t="s">
        <v>1337</v>
      </c>
      <c r="B727" s="26" t="s">
        <v>1396</v>
      </c>
      <c r="C727" s="16" t="s">
        <v>54</v>
      </c>
      <c r="D727" s="63" t="s">
        <v>1401</v>
      </c>
      <c r="E727" s="25">
        <v>2024.0</v>
      </c>
      <c r="F727" s="58">
        <v>2030.0</v>
      </c>
      <c r="G727" s="25">
        <v>0.0</v>
      </c>
      <c r="H727" s="302">
        <v>9.4</v>
      </c>
      <c r="I727" s="50">
        <v>1.0</v>
      </c>
      <c r="J727" s="302">
        <v>9.4</v>
      </c>
      <c r="K727" s="51">
        <v>0.0</v>
      </c>
      <c r="L727" s="51">
        <v>0.0</v>
      </c>
      <c r="M727" s="25">
        <v>13.0</v>
      </c>
      <c r="N727" s="302">
        <v>60.0</v>
      </c>
      <c r="O727" s="306" t="s">
        <v>60</v>
      </c>
      <c r="P727" s="308">
        <v>1828.0</v>
      </c>
      <c r="Q727" s="26" t="s">
        <v>52</v>
      </c>
      <c r="R727" s="25">
        <v>2020.0</v>
      </c>
      <c r="S727" s="25">
        <v>1.3</v>
      </c>
      <c r="T727" s="25">
        <f t="shared" si="90"/>
        <v>2376.4</v>
      </c>
      <c r="U727" s="24">
        <f t="shared" si="3"/>
        <v>252.8085106</v>
      </c>
      <c r="V727" s="3">
        <f t="shared" si="28"/>
        <v>1</v>
      </c>
      <c r="W727" s="3">
        <f t="shared" si="29"/>
        <v>9.4</v>
      </c>
      <c r="X727" s="3">
        <f t="shared" si="30"/>
        <v>9.4</v>
      </c>
      <c r="Y727" s="25">
        <f t="shared" si="31"/>
        <v>0</v>
      </c>
      <c r="Z727" s="26">
        <f>VLOOKUP(R727,CPI!$A$2:$F$71,6,0)</f>
        <v>1.244593545</v>
      </c>
      <c r="AA727" s="27">
        <f t="shared" si="8"/>
        <v>2957.652101</v>
      </c>
      <c r="AB727" s="27">
        <f t="shared" si="9"/>
        <v>314.6438405</v>
      </c>
      <c r="AC727" s="306" t="s">
        <v>60</v>
      </c>
      <c r="AD727" s="314" t="s">
        <v>1402</v>
      </c>
      <c r="AE727" s="301"/>
      <c r="AF727" s="301"/>
      <c r="AG727" s="301"/>
      <c r="AH727" s="301"/>
    </row>
    <row r="728">
      <c r="A728" s="26" t="s">
        <v>1403</v>
      </c>
      <c r="B728" s="26" t="s">
        <v>1404</v>
      </c>
      <c r="C728" s="1" t="s">
        <v>1405</v>
      </c>
      <c r="D728" s="26" t="s">
        <v>1406</v>
      </c>
      <c r="E728" s="25">
        <v>2014.0</v>
      </c>
      <c r="F728" s="25">
        <v>2022.0</v>
      </c>
      <c r="G728" s="25">
        <v>0.0</v>
      </c>
      <c r="H728" s="25">
        <v>1.6</v>
      </c>
      <c r="I728" s="50">
        <v>1.0</v>
      </c>
      <c r="J728" s="25">
        <v>1.6</v>
      </c>
      <c r="K728" s="51">
        <v>0.0</v>
      </c>
      <c r="L728" s="51">
        <v>0.0</v>
      </c>
      <c r="M728" s="25">
        <v>2.0</v>
      </c>
      <c r="N728" s="58">
        <v>99.0</v>
      </c>
      <c r="O728" s="26" t="s">
        <v>74</v>
      </c>
      <c r="P728" s="52">
        <v>58700.0</v>
      </c>
      <c r="Q728" s="26" t="s">
        <v>1407</v>
      </c>
      <c r="R728" s="25">
        <v>2018.0</v>
      </c>
      <c r="S728" s="25">
        <v>0.01</v>
      </c>
      <c r="T728" s="25">
        <f t="shared" si="90"/>
        <v>587</v>
      </c>
      <c r="U728" s="24">
        <f t="shared" si="3"/>
        <v>366.875</v>
      </c>
      <c r="V728" s="3">
        <f t="shared" si="28"/>
        <v>0</v>
      </c>
      <c r="W728" s="3">
        <f t="shared" si="29"/>
        <v>0</v>
      </c>
      <c r="X728" s="3">
        <f t="shared" si="30"/>
        <v>0</v>
      </c>
      <c r="Y728" s="25">
        <f t="shared" si="31"/>
        <v>0</v>
      </c>
      <c r="Z728" s="26">
        <f>VLOOKUP(R728,CPI!$A$2:$F$71,6,0)</f>
        <v>1.28277786</v>
      </c>
      <c r="AA728" s="27">
        <f t="shared" si="8"/>
        <v>752.9906036</v>
      </c>
      <c r="AB728" s="27">
        <f t="shared" si="9"/>
        <v>470.6191273</v>
      </c>
      <c r="AC728" s="26" t="s">
        <v>42</v>
      </c>
      <c r="AD728" s="53" t="s">
        <v>1408</v>
      </c>
      <c r="AE728" s="130"/>
      <c r="AF728" s="130"/>
      <c r="AG728" s="130"/>
      <c r="AH728" s="130"/>
    </row>
    <row r="729">
      <c r="A729" s="26" t="s">
        <v>1403</v>
      </c>
      <c r="B729" s="26" t="s">
        <v>1409</v>
      </c>
      <c r="C729" s="26" t="s">
        <v>1410</v>
      </c>
      <c r="D729" s="26" t="s">
        <v>1410</v>
      </c>
      <c r="E729" s="25">
        <v>2003.0</v>
      </c>
      <c r="F729" s="25">
        <v>2009.0</v>
      </c>
      <c r="G729" s="25">
        <v>1.0</v>
      </c>
      <c r="H729" s="25">
        <v>3.8</v>
      </c>
      <c r="I729" s="50">
        <v>1.0</v>
      </c>
      <c r="J729" s="25">
        <v>3.8</v>
      </c>
      <c r="K729" s="51">
        <v>0.0</v>
      </c>
      <c r="L729" s="51">
        <v>0.0</v>
      </c>
      <c r="M729" s="25">
        <v>3.0</v>
      </c>
      <c r="N729" s="25"/>
      <c r="O729" s="26" t="s">
        <v>74</v>
      </c>
      <c r="P729" s="52">
        <v>127500.0</v>
      </c>
      <c r="Q729" s="26" t="s">
        <v>1407</v>
      </c>
      <c r="R729" s="25">
        <v>2006.0</v>
      </c>
      <c r="S729" s="25">
        <v>0.008</v>
      </c>
      <c r="T729" s="25">
        <f t="shared" si="90"/>
        <v>1020</v>
      </c>
      <c r="U729" s="24">
        <f t="shared" si="3"/>
        <v>268.4210526</v>
      </c>
      <c r="V729" s="3">
        <f t="shared" si="28"/>
        <v>0</v>
      </c>
      <c r="W729" s="3">
        <f t="shared" si="29"/>
        <v>0</v>
      </c>
      <c r="X729" s="3">
        <f t="shared" si="30"/>
        <v>0</v>
      </c>
      <c r="Y729" s="25">
        <f t="shared" si="31"/>
        <v>0</v>
      </c>
      <c r="Z729" s="26">
        <f>VLOOKUP(R729,CPI!$A$2:$F$71,6,0)</f>
        <v>1.597790179</v>
      </c>
      <c r="AA729" s="27">
        <f t="shared" si="8"/>
        <v>1629.745982</v>
      </c>
      <c r="AB729" s="27">
        <f t="shared" si="9"/>
        <v>428.8805216</v>
      </c>
      <c r="AC729" s="26" t="s">
        <v>60</v>
      </c>
      <c r="AD729" s="53" t="s">
        <v>1411</v>
      </c>
      <c r="AE729" s="130"/>
      <c r="AF729" s="130"/>
      <c r="AG729" s="130"/>
      <c r="AH729" s="130"/>
    </row>
    <row r="730">
      <c r="A730" s="26" t="s">
        <v>1403</v>
      </c>
      <c r="B730" s="26" t="s">
        <v>1409</v>
      </c>
      <c r="C730" s="26" t="s">
        <v>1412</v>
      </c>
      <c r="D730" s="26" t="s">
        <v>1412</v>
      </c>
      <c r="E730" s="25">
        <v>1999.0</v>
      </c>
      <c r="F730" s="25">
        <v>2019.0</v>
      </c>
      <c r="G730" s="25">
        <v>1.0</v>
      </c>
      <c r="H730" s="25">
        <v>20.3</v>
      </c>
      <c r="I730" s="50">
        <v>0.0</v>
      </c>
      <c r="J730" s="25">
        <v>0.0</v>
      </c>
      <c r="K730" s="51">
        <v>0.0</v>
      </c>
      <c r="L730" s="51">
        <v>0.0</v>
      </c>
      <c r="M730" s="25">
        <v>0.0</v>
      </c>
      <c r="N730" s="25"/>
      <c r="O730" s="26" t="s">
        <v>60</v>
      </c>
      <c r="P730" s="52">
        <v>120000.0</v>
      </c>
      <c r="Q730" s="26" t="s">
        <v>1407</v>
      </c>
      <c r="R730" s="25">
        <v>2009.0</v>
      </c>
      <c r="S730" s="25">
        <v>0.0087</v>
      </c>
      <c r="T730" s="25">
        <f t="shared" si="90"/>
        <v>1044</v>
      </c>
      <c r="U730" s="24">
        <f t="shared" si="3"/>
        <v>51.42857143</v>
      </c>
      <c r="V730" s="3">
        <f t="shared" si="28"/>
        <v>0</v>
      </c>
      <c r="W730" s="3">
        <f t="shared" si="29"/>
        <v>0</v>
      </c>
      <c r="X730" s="3">
        <f t="shared" si="30"/>
        <v>0</v>
      </c>
      <c r="Y730" s="25">
        <f t="shared" si="31"/>
        <v>0</v>
      </c>
      <c r="Z730" s="26">
        <f>VLOOKUP(R730,CPI!$A$2:$F$71,6,0)</f>
        <v>1.501440311</v>
      </c>
      <c r="AA730" s="27">
        <f t="shared" si="8"/>
        <v>1567.503685</v>
      </c>
      <c r="AB730" s="27">
        <f t="shared" si="9"/>
        <v>77.21693028</v>
      </c>
      <c r="AC730" s="26" t="s">
        <v>60</v>
      </c>
      <c r="AD730" s="57" t="s">
        <v>1413</v>
      </c>
      <c r="AE730" s="301"/>
      <c r="AF730" s="130"/>
      <c r="AG730" s="130"/>
      <c r="AH730" s="130"/>
    </row>
    <row r="731">
      <c r="A731" s="26" t="s">
        <v>1403</v>
      </c>
      <c r="B731" s="26" t="s">
        <v>1409</v>
      </c>
      <c r="C731" s="1" t="s">
        <v>1414</v>
      </c>
      <c r="D731" s="26" t="s">
        <v>1415</v>
      </c>
      <c r="E731" s="25">
        <v>2015.0</v>
      </c>
      <c r="F731" s="25">
        <v>2023.0</v>
      </c>
      <c r="G731" s="25">
        <v>1.0</v>
      </c>
      <c r="H731" s="25">
        <v>2.4</v>
      </c>
      <c r="I731" s="50">
        <v>1.0</v>
      </c>
      <c r="J731" s="25">
        <v>2.4</v>
      </c>
      <c r="K731" s="51">
        <v>0.0</v>
      </c>
      <c r="L731" s="51">
        <v>0.0</v>
      </c>
      <c r="M731" s="25">
        <v>1.0</v>
      </c>
      <c r="N731" s="25"/>
      <c r="O731" s="26" t="s">
        <v>60</v>
      </c>
      <c r="P731" s="52">
        <v>69000.0</v>
      </c>
      <c r="Q731" s="26" t="s">
        <v>1407</v>
      </c>
      <c r="R731" s="25">
        <v>2019.0</v>
      </c>
      <c r="S731" s="25">
        <v>0.01</v>
      </c>
      <c r="T731" s="25">
        <f t="shared" si="90"/>
        <v>690</v>
      </c>
      <c r="U731" s="24">
        <f t="shared" si="3"/>
        <v>287.5</v>
      </c>
      <c r="V731" s="3">
        <f t="shared" si="28"/>
        <v>0</v>
      </c>
      <c r="W731" s="3">
        <f t="shared" si="29"/>
        <v>0</v>
      </c>
      <c r="X731" s="3">
        <f t="shared" si="30"/>
        <v>0</v>
      </c>
      <c r="Y731" s="25">
        <f t="shared" si="31"/>
        <v>0</v>
      </c>
      <c r="Z731" s="26">
        <f>VLOOKUP(R731,CPI!$A$2:$F$71,6,0)</f>
        <v>1.259947899</v>
      </c>
      <c r="AA731" s="27">
        <f t="shared" si="8"/>
        <v>869.3640503</v>
      </c>
      <c r="AB731" s="27">
        <f t="shared" si="9"/>
        <v>362.2350209</v>
      </c>
      <c r="AC731" s="26" t="s">
        <v>60</v>
      </c>
      <c r="AD731" s="53" t="s">
        <v>1413</v>
      </c>
      <c r="AE731" s="130"/>
      <c r="AF731" s="130"/>
      <c r="AG731" s="130"/>
      <c r="AH731" s="130"/>
    </row>
    <row r="732">
      <c r="A732" s="26" t="s">
        <v>1403</v>
      </c>
      <c r="B732" s="26" t="s">
        <v>1409</v>
      </c>
      <c r="C732" s="1" t="s">
        <v>1097</v>
      </c>
      <c r="D732" s="26" t="s">
        <v>1416</v>
      </c>
      <c r="E732" s="25">
        <v>2018.0</v>
      </c>
      <c r="F732" s="25">
        <v>2029.0</v>
      </c>
      <c r="G732" s="25">
        <v>0.0</v>
      </c>
      <c r="H732" s="25">
        <v>8.9</v>
      </c>
      <c r="I732" s="50">
        <v>0.0</v>
      </c>
      <c r="J732" s="25">
        <v>0.0</v>
      </c>
      <c r="K732" s="51">
        <v>0.0</v>
      </c>
      <c r="L732" s="51">
        <v>0.0</v>
      </c>
      <c r="M732" s="25">
        <v>4.0</v>
      </c>
      <c r="N732" s="25"/>
      <c r="O732" s="26" t="s">
        <v>60</v>
      </c>
      <c r="P732" s="52">
        <v>105000.0</v>
      </c>
      <c r="Q732" s="26" t="s">
        <v>1407</v>
      </c>
      <c r="R732" s="25">
        <v>2019.0</v>
      </c>
      <c r="S732" s="25">
        <v>0.01</v>
      </c>
      <c r="T732" s="25">
        <f t="shared" si="90"/>
        <v>1050</v>
      </c>
      <c r="U732" s="24">
        <f t="shared" si="3"/>
        <v>117.9775281</v>
      </c>
      <c r="V732" s="3">
        <f t="shared" si="28"/>
        <v>0</v>
      </c>
      <c r="W732" s="3">
        <f t="shared" si="29"/>
        <v>0</v>
      </c>
      <c r="X732" s="3">
        <f t="shared" si="30"/>
        <v>0</v>
      </c>
      <c r="Y732" s="25">
        <f t="shared" si="31"/>
        <v>0</v>
      </c>
      <c r="Z732" s="26">
        <f>VLOOKUP(R732,CPI!$A$2:$F$71,6,0)</f>
        <v>1.259947899</v>
      </c>
      <c r="AA732" s="27">
        <f t="shared" si="8"/>
        <v>1322.945294</v>
      </c>
      <c r="AB732" s="27">
        <f t="shared" si="9"/>
        <v>148.6455386</v>
      </c>
      <c r="AC732" s="26" t="s">
        <v>60</v>
      </c>
      <c r="AD732" s="57" t="s">
        <v>1417</v>
      </c>
      <c r="AE732" s="130"/>
      <c r="AF732" s="130"/>
      <c r="AG732" s="130"/>
      <c r="AH732" s="130"/>
    </row>
    <row r="733">
      <c r="A733" s="26" t="s">
        <v>1403</v>
      </c>
      <c r="B733" s="26" t="s">
        <v>1418</v>
      </c>
      <c r="C733" s="26" t="s">
        <v>1419</v>
      </c>
      <c r="D733" s="26" t="s">
        <v>1419</v>
      </c>
      <c r="E733" s="25">
        <v>1988.0</v>
      </c>
      <c r="F733" s="25">
        <v>1995.0</v>
      </c>
      <c r="G733" s="25">
        <v>0.0</v>
      </c>
      <c r="H733" s="25">
        <v>12.0</v>
      </c>
      <c r="I733" s="50">
        <v>0.0</v>
      </c>
      <c r="J733" s="25">
        <v>0.0</v>
      </c>
      <c r="K733" s="51">
        <v>0.0</v>
      </c>
      <c r="L733" s="51">
        <v>0.0</v>
      </c>
      <c r="M733" s="25">
        <v>12.0</v>
      </c>
      <c r="N733" s="25"/>
      <c r="O733" s="26" t="s">
        <v>36</v>
      </c>
      <c r="P733" s="52">
        <v>170200.0</v>
      </c>
      <c r="Q733" s="26" t="s">
        <v>1407</v>
      </c>
      <c r="R733" s="25">
        <v>1991.0</v>
      </c>
      <c r="S733" s="25">
        <v>0.0054</v>
      </c>
      <c r="T733" s="25">
        <f t="shared" si="90"/>
        <v>919.08</v>
      </c>
      <c r="U733" s="24">
        <f t="shared" si="3"/>
        <v>76.59</v>
      </c>
      <c r="V733" s="3">
        <f t="shared" si="28"/>
        <v>0</v>
      </c>
      <c r="W733" s="3">
        <f t="shared" si="29"/>
        <v>0</v>
      </c>
      <c r="X733" s="3">
        <f t="shared" si="30"/>
        <v>0</v>
      </c>
      <c r="Y733" s="25">
        <f t="shared" si="31"/>
        <v>0</v>
      </c>
      <c r="Z733" s="26">
        <f>VLOOKUP(R733,CPI!$A$2:$F$71,6,0)</f>
        <v>2.365011013</v>
      </c>
      <c r="AA733" s="27">
        <f t="shared" si="8"/>
        <v>2173.634322</v>
      </c>
      <c r="AB733" s="27">
        <f t="shared" si="9"/>
        <v>181.1361935</v>
      </c>
      <c r="AC733" s="26" t="s">
        <v>36</v>
      </c>
      <c r="AD733" s="57" t="s">
        <v>1420</v>
      </c>
      <c r="AE733" s="130"/>
      <c r="AF733" s="130"/>
      <c r="AG733" s="130"/>
      <c r="AH733" s="130"/>
    </row>
    <row r="734">
      <c r="A734" s="26" t="s">
        <v>1403</v>
      </c>
      <c r="B734" s="26" t="s">
        <v>1418</v>
      </c>
      <c r="C734" s="317" t="s">
        <v>1421</v>
      </c>
      <c r="D734" s="318" t="s">
        <v>1422</v>
      </c>
      <c r="E734" s="25">
        <v>1991.0</v>
      </c>
      <c r="F734" s="25">
        <v>2000.0</v>
      </c>
      <c r="G734" s="25">
        <v>0.0</v>
      </c>
      <c r="H734" s="25">
        <v>16.0</v>
      </c>
      <c r="I734" s="50">
        <v>0.0</v>
      </c>
      <c r="J734" s="25">
        <v>0.0</v>
      </c>
      <c r="K734" s="51">
        <v>0.0</v>
      </c>
      <c r="L734" s="51">
        <v>0.0</v>
      </c>
      <c r="M734" s="25">
        <v>19.0</v>
      </c>
      <c r="N734" s="25"/>
      <c r="O734" s="26" t="s">
        <v>36</v>
      </c>
      <c r="P734" s="52">
        <v>242200.0</v>
      </c>
      <c r="Q734" s="26" t="s">
        <v>1407</v>
      </c>
      <c r="R734" s="25">
        <v>1995.0</v>
      </c>
      <c r="S734" s="25">
        <v>0.006</v>
      </c>
      <c r="T734" s="25">
        <f t="shared" si="90"/>
        <v>1453.2</v>
      </c>
      <c r="U734" s="24">
        <f t="shared" si="3"/>
        <v>90.825</v>
      </c>
      <c r="V734" s="3">
        <f t="shared" si="28"/>
        <v>0</v>
      </c>
      <c r="W734" s="3">
        <f t="shared" si="29"/>
        <v>0</v>
      </c>
      <c r="X734" s="3">
        <f t="shared" si="30"/>
        <v>0</v>
      </c>
      <c r="Y734" s="25">
        <f t="shared" si="31"/>
        <v>0</v>
      </c>
      <c r="Z734" s="26">
        <f>VLOOKUP(R734,CPI!$A$2:$F$71,6,0)</f>
        <v>2.113612205</v>
      </c>
      <c r="AA734" s="27">
        <f t="shared" si="8"/>
        <v>3071.501256</v>
      </c>
      <c r="AB734" s="27">
        <f t="shared" si="9"/>
        <v>191.9688285</v>
      </c>
      <c r="AC734" s="26" t="s">
        <v>36</v>
      </c>
      <c r="AD734" s="57" t="s">
        <v>1423</v>
      </c>
      <c r="AE734" s="130"/>
      <c r="AF734" s="130"/>
      <c r="AG734" s="130"/>
      <c r="AH734" s="130"/>
    </row>
    <row r="735">
      <c r="A735" s="26" t="s">
        <v>1403</v>
      </c>
      <c r="B735" s="26" t="s">
        <v>1418</v>
      </c>
      <c r="C735" s="26" t="s">
        <v>1424</v>
      </c>
      <c r="D735" s="26" t="s">
        <v>1424</v>
      </c>
      <c r="E735" s="25">
        <v>1992.0</v>
      </c>
      <c r="F735" s="25">
        <v>2000.0</v>
      </c>
      <c r="G735" s="25">
        <v>0.0</v>
      </c>
      <c r="H735" s="25">
        <v>27.8</v>
      </c>
      <c r="I735" s="50">
        <v>1.0</v>
      </c>
      <c r="J735" s="25">
        <v>27.8</v>
      </c>
      <c r="K735" s="51">
        <v>0.0</v>
      </c>
      <c r="L735" s="51">
        <v>0.0</v>
      </c>
      <c r="M735" s="25">
        <v>27.0</v>
      </c>
      <c r="N735" s="25"/>
      <c r="O735" s="26" t="s">
        <v>60</v>
      </c>
      <c r="P735" s="52">
        <v>988600.0</v>
      </c>
      <c r="Q735" s="26" t="s">
        <v>1407</v>
      </c>
      <c r="R735" s="25">
        <v>1999.0</v>
      </c>
      <c r="S735" s="25">
        <v>0.0064</v>
      </c>
      <c r="T735" s="25">
        <f t="shared" si="90"/>
        <v>6327.04</v>
      </c>
      <c r="U735" s="24">
        <f t="shared" si="3"/>
        <v>227.5913669</v>
      </c>
      <c r="V735" s="3">
        <f t="shared" si="28"/>
        <v>0</v>
      </c>
      <c r="W735" s="3">
        <f t="shared" si="29"/>
        <v>0</v>
      </c>
      <c r="X735" s="3">
        <f t="shared" si="30"/>
        <v>0</v>
      </c>
      <c r="Y735" s="25">
        <f t="shared" si="31"/>
        <v>0</v>
      </c>
      <c r="Z735" s="26">
        <f>VLOOKUP(R735,CPI!$A$2:$F$71,6,0)</f>
        <v>1.933460384</v>
      </c>
      <c r="AA735" s="27">
        <f t="shared" si="8"/>
        <v>12233.08119</v>
      </c>
      <c r="AB735" s="27">
        <f t="shared" si="9"/>
        <v>440.0388917</v>
      </c>
      <c r="AC735" s="26" t="s">
        <v>60</v>
      </c>
      <c r="AD735" s="53" t="s">
        <v>1425</v>
      </c>
      <c r="AE735" s="130"/>
      <c r="AF735" s="130"/>
      <c r="AG735" s="130"/>
      <c r="AH735" s="130"/>
    </row>
    <row r="736">
      <c r="A736" s="26" t="s">
        <v>1403</v>
      </c>
      <c r="B736" s="26" t="s">
        <v>1418</v>
      </c>
      <c r="C736" s="26" t="s">
        <v>1426</v>
      </c>
      <c r="D736" s="26" t="s">
        <v>1426</v>
      </c>
      <c r="E736" s="25">
        <v>1993.0</v>
      </c>
      <c r="F736" s="25">
        <v>2004.0</v>
      </c>
      <c r="G736" s="25">
        <v>1.0</v>
      </c>
      <c r="H736" s="25">
        <v>4.1</v>
      </c>
      <c r="I736" s="50">
        <v>1.0</v>
      </c>
      <c r="J736" s="25">
        <v>4.1</v>
      </c>
      <c r="K736" s="51">
        <v>0.0</v>
      </c>
      <c r="L736" s="51">
        <v>0.0</v>
      </c>
      <c r="M736" s="25">
        <v>6.0</v>
      </c>
      <c r="N736" s="25"/>
      <c r="O736" s="26" t="s">
        <v>36</v>
      </c>
      <c r="P736" s="52">
        <v>257000.0</v>
      </c>
      <c r="Q736" s="26" t="s">
        <v>1407</v>
      </c>
      <c r="R736" s="25">
        <v>1998.0</v>
      </c>
      <c r="S736" s="25">
        <v>0.0063</v>
      </c>
      <c r="T736" s="25">
        <f t="shared" si="90"/>
        <v>1619.1</v>
      </c>
      <c r="U736" s="24">
        <f t="shared" si="3"/>
        <v>394.902439</v>
      </c>
      <c r="V736" s="3">
        <f t="shared" si="28"/>
        <v>0</v>
      </c>
      <c r="W736" s="3">
        <f t="shared" si="29"/>
        <v>0</v>
      </c>
      <c r="X736" s="3">
        <f t="shared" si="30"/>
        <v>0</v>
      </c>
      <c r="Y736" s="25">
        <f t="shared" si="31"/>
        <v>0</v>
      </c>
      <c r="Z736" s="26">
        <f>VLOOKUP(R736,CPI!$A$2:$F$71,6,0)</f>
        <v>1.976162577</v>
      </c>
      <c r="AA736" s="27">
        <f t="shared" si="8"/>
        <v>3199.604828</v>
      </c>
      <c r="AB736" s="27">
        <f t="shared" si="9"/>
        <v>780.3914214</v>
      </c>
      <c r="AC736" s="26" t="s">
        <v>42</v>
      </c>
      <c r="AD736" s="53" t="s">
        <v>1427</v>
      </c>
      <c r="AE736" s="130"/>
      <c r="AF736" s="130"/>
      <c r="AG736" s="130"/>
      <c r="AH736" s="130"/>
    </row>
    <row r="737">
      <c r="A737" s="26" t="s">
        <v>1403</v>
      </c>
      <c r="B737" s="26" t="s">
        <v>1418</v>
      </c>
      <c r="C737" s="26" t="s">
        <v>1428</v>
      </c>
      <c r="D737" s="26" t="s">
        <v>1428</v>
      </c>
      <c r="E737" s="25">
        <v>1997.0</v>
      </c>
      <c r="F737" s="25">
        <v>2005.0</v>
      </c>
      <c r="G737" s="25">
        <v>0.0</v>
      </c>
      <c r="H737" s="25">
        <v>58.3</v>
      </c>
      <c r="I737" s="50">
        <v>0.28</v>
      </c>
      <c r="J737" s="25">
        <v>16.3</v>
      </c>
      <c r="K737" s="51">
        <v>0.0</v>
      </c>
      <c r="L737" s="51">
        <v>0.0</v>
      </c>
      <c r="M737" s="25">
        <v>20.0</v>
      </c>
      <c r="N737" s="25"/>
      <c r="O737" s="26" t="s">
        <v>60</v>
      </c>
      <c r="P737" s="52">
        <v>949400.0</v>
      </c>
      <c r="Q737" s="26" t="s">
        <v>1407</v>
      </c>
      <c r="R737" s="25">
        <v>2001.0</v>
      </c>
      <c r="S737" s="25">
        <v>0.0077</v>
      </c>
      <c r="T737" s="25">
        <f t="shared" si="90"/>
        <v>7310.38</v>
      </c>
      <c r="U737" s="24">
        <f t="shared" si="3"/>
        <v>125.3924528</v>
      </c>
      <c r="V737" s="3">
        <f t="shared" si="28"/>
        <v>0</v>
      </c>
      <c r="W737" s="3">
        <f t="shared" si="29"/>
        <v>0</v>
      </c>
      <c r="X737" s="3">
        <f t="shared" si="30"/>
        <v>0</v>
      </c>
      <c r="Y737" s="25">
        <f t="shared" si="31"/>
        <v>0</v>
      </c>
      <c r="Z737" s="26">
        <f>VLOOKUP(R737,CPI!$A$2:$F$71,6,0)</f>
        <v>1.818828346</v>
      </c>
      <c r="AA737" s="27">
        <f t="shared" si="8"/>
        <v>13296.32636</v>
      </c>
      <c r="AB737" s="27">
        <f t="shared" si="9"/>
        <v>228.0673475</v>
      </c>
      <c r="AC737" s="26" t="s">
        <v>60</v>
      </c>
      <c r="AD737" s="313" t="s">
        <v>1429</v>
      </c>
      <c r="AE737" s="130"/>
      <c r="AF737" s="130"/>
      <c r="AG737" s="130"/>
      <c r="AH737" s="130"/>
    </row>
    <row r="738">
      <c r="A738" s="26" t="s">
        <v>1403</v>
      </c>
      <c r="B738" s="26" t="s">
        <v>1418</v>
      </c>
      <c r="C738" s="26" t="s">
        <v>1430</v>
      </c>
      <c r="D738" s="26" t="s">
        <v>1430</v>
      </c>
      <c r="E738" s="25">
        <v>2001.0</v>
      </c>
      <c r="F738" s="25">
        <v>2008.0</v>
      </c>
      <c r="G738" s="25">
        <v>0.0</v>
      </c>
      <c r="H738" s="25">
        <v>8.9</v>
      </c>
      <c r="I738" s="50">
        <v>1.0</v>
      </c>
      <c r="J738" s="25">
        <v>8.9</v>
      </c>
      <c r="K738" s="51">
        <v>0.0</v>
      </c>
      <c r="L738" s="51">
        <v>0.0</v>
      </c>
      <c r="M738" s="25">
        <v>8.0</v>
      </c>
      <c r="N738" s="25"/>
      <c r="O738" s="26" t="s">
        <v>42</v>
      </c>
      <c r="P738" s="52">
        <v>250000.0</v>
      </c>
      <c r="Q738" s="26" t="s">
        <v>1407</v>
      </c>
      <c r="R738" s="25">
        <v>2004.0</v>
      </c>
      <c r="S738" s="25">
        <v>0.0074</v>
      </c>
      <c r="T738" s="25">
        <f t="shared" si="90"/>
        <v>1850</v>
      </c>
      <c r="U738" s="24">
        <f t="shared" si="3"/>
        <v>207.8651685</v>
      </c>
      <c r="V738" s="3">
        <f t="shared" si="28"/>
        <v>0</v>
      </c>
      <c r="W738" s="3">
        <f t="shared" si="29"/>
        <v>0</v>
      </c>
      <c r="X738" s="3">
        <f t="shared" si="30"/>
        <v>0</v>
      </c>
      <c r="Y738" s="25">
        <f t="shared" si="31"/>
        <v>0</v>
      </c>
      <c r="Z738" s="26">
        <f>VLOOKUP(R738,CPI!$A$2:$F$71,6,0)</f>
        <v>1.705211752</v>
      </c>
      <c r="AA738" s="27">
        <f t="shared" si="8"/>
        <v>3154.641742</v>
      </c>
      <c r="AB738" s="27">
        <f t="shared" si="9"/>
        <v>354.4541283</v>
      </c>
      <c r="AC738" s="26" t="s">
        <v>42</v>
      </c>
      <c r="AD738" s="53" t="s">
        <v>1431</v>
      </c>
      <c r="AE738" s="130"/>
      <c r="AF738" s="130"/>
      <c r="AG738" s="130"/>
      <c r="AH738" s="130"/>
    </row>
    <row r="739">
      <c r="A739" s="26" t="s">
        <v>1403</v>
      </c>
      <c r="B739" s="26" t="s">
        <v>1418</v>
      </c>
      <c r="C739" s="26" t="s">
        <v>1432</v>
      </c>
      <c r="D739" s="26" t="s">
        <v>1432</v>
      </c>
      <c r="E739" s="25">
        <v>2008.0</v>
      </c>
      <c r="F739" s="25">
        <v>2015.0</v>
      </c>
      <c r="G739" s="25">
        <v>1.0</v>
      </c>
      <c r="H739" s="25">
        <v>3.8</v>
      </c>
      <c r="I739" s="50">
        <v>0.0</v>
      </c>
      <c r="J739" s="25">
        <v>0.0</v>
      </c>
      <c r="K739" s="51">
        <v>0.0</v>
      </c>
      <c r="L739" s="51">
        <v>0.0</v>
      </c>
      <c r="M739" s="25">
        <v>0.0</v>
      </c>
      <c r="N739" s="25"/>
      <c r="O739" s="26" t="s">
        <v>36</v>
      </c>
      <c r="P739" s="52">
        <v>40000.0</v>
      </c>
      <c r="Q739" s="26" t="s">
        <v>1407</v>
      </c>
      <c r="R739" s="25">
        <v>2011.0</v>
      </c>
      <c r="S739" s="25">
        <v>0.009</v>
      </c>
      <c r="T739" s="25">
        <f t="shared" si="90"/>
        <v>360</v>
      </c>
      <c r="U739" s="24">
        <f t="shared" si="3"/>
        <v>94.73684211</v>
      </c>
      <c r="V739" s="3">
        <f t="shared" si="28"/>
        <v>0</v>
      </c>
      <c r="W739" s="3">
        <f t="shared" si="29"/>
        <v>0</v>
      </c>
      <c r="X739" s="3">
        <f t="shared" si="30"/>
        <v>0</v>
      </c>
      <c r="Y739" s="25">
        <f t="shared" si="31"/>
        <v>0</v>
      </c>
      <c r="Z739" s="26">
        <f>VLOOKUP(R739,CPI!$A$2:$F$71,6,0)</f>
        <v>1.432008233</v>
      </c>
      <c r="AA739" s="27">
        <f t="shared" si="8"/>
        <v>515.522964</v>
      </c>
      <c r="AB739" s="27">
        <f t="shared" si="9"/>
        <v>135.6639379</v>
      </c>
      <c r="AC739" s="26" t="s">
        <v>36</v>
      </c>
      <c r="AD739" s="53" t="s">
        <v>1433</v>
      </c>
      <c r="AE739" s="130"/>
      <c r="AF739" s="130"/>
      <c r="AG739" s="130"/>
      <c r="AH739" s="130"/>
    </row>
    <row r="740">
      <c r="A740" s="26" t="s">
        <v>1403</v>
      </c>
      <c r="B740" s="26" t="s">
        <v>1418</v>
      </c>
      <c r="C740" s="1" t="s">
        <v>1434</v>
      </c>
      <c r="D740" s="26" t="s">
        <v>1435</v>
      </c>
      <c r="E740" s="25">
        <v>2010.0</v>
      </c>
      <c r="F740" s="25">
        <v>2019.0</v>
      </c>
      <c r="G740" s="25">
        <v>1.0</v>
      </c>
      <c r="H740" s="25">
        <v>2.7</v>
      </c>
      <c r="I740" s="50">
        <v>0.78</v>
      </c>
      <c r="J740" s="25">
        <v>2.1</v>
      </c>
      <c r="K740" s="51">
        <v>0.0</v>
      </c>
      <c r="L740" s="51">
        <v>0.0</v>
      </c>
      <c r="M740" s="25">
        <v>1.0</v>
      </c>
      <c r="N740" s="25"/>
      <c r="O740" s="26" t="s">
        <v>59</v>
      </c>
      <c r="P740" s="52">
        <v>111400.0</v>
      </c>
      <c r="Q740" s="26" t="s">
        <v>1407</v>
      </c>
      <c r="R740" s="25">
        <v>2014.0</v>
      </c>
      <c r="S740" s="25">
        <v>0.0097</v>
      </c>
      <c r="T740" s="25">
        <f t="shared" si="90"/>
        <v>1080.58</v>
      </c>
      <c r="U740" s="24">
        <f t="shared" si="3"/>
        <v>400.2148148</v>
      </c>
      <c r="V740" s="3">
        <f t="shared" si="28"/>
        <v>0</v>
      </c>
      <c r="W740" s="3">
        <f t="shared" si="29"/>
        <v>0</v>
      </c>
      <c r="X740" s="3">
        <f t="shared" si="30"/>
        <v>0</v>
      </c>
      <c r="Y740" s="25">
        <f t="shared" si="31"/>
        <v>0</v>
      </c>
      <c r="Z740" s="26">
        <f>VLOOKUP(R740,CPI!$A$2:$F$71,6,0)</f>
        <v>1.360648571</v>
      </c>
      <c r="AA740" s="27">
        <f t="shared" si="8"/>
        <v>1470.289632</v>
      </c>
      <c r="AB740" s="27">
        <f t="shared" si="9"/>
        <v>544.5517157</v>
      </c>
      <c r="AC740" s="26" t="s">
        <v>42</v>
      </c>
      <c r="AD740" s="53" t="s">
        <v>1436</v>
      </c>
      <c r="AE740" s="130"/>
      <c r="AF740" s="130"/>
      <c r="AG740" s="130"/>
      <c r="AH740" s="130"/>
    </row>
    <row r="741">
      <c r="A741" s="26" t="s">
        <v>1403</v>
      </c>
      <c r="B741" s="26" t="s">
        <v>1418</v>
      </c>
      <c r="C741" s="1" t="s">
        <v>1434</v>
      </c>
      <c r="D741" s="26" t="s">
        <v>1437</v>
      </c>
      <c r="E741" s="25">
        <v>2010.0</v>
      </c>
      <c r="F741" s="25">
        <v>2022.0</v>
      </c>
      <c r="G741" s="25">
        <v>1.0</v>
      </c>
      <c r="H741" s="25">
        <v>10.0</v>
      </c>
      <c r="I741" s="50">
        <v>0.8</v>
      </c>
      <c r="J741" s="25">
        <v>8.0</v>
      </c>
      <c r="K741" s="51">
        <v>0.0</v>
      </c>
      <c r="L741" s="51">
        <v>0.0</v>
      </c>
      <c r="M741" s="25">
        <v>2.0</v>
      </c>
      <c r="N741" s="25"/>
      <c r="O741" s="26" t="s">
        <v>59</v>
      </c>
      <c r="P741" s="52">
        <v>290800.0</v>
      </c>
      <c r="Q741" s="26" t="s">
        <v>1407</v>
      </c>
      <c r="R741" s="25">
        <v>2016.0</v>
      </c>
      <c r="S741" s="25">
        <v>0.0095</v>
      </c>
      <c r="T741" s="25">
        <f t="shared" si="90"/>
        <v>2762.6</v>
      </c>
      <c r="U741" s="24">
        <f t="shared" si="3"/>
        <v>276.26</v>
      </c>
      <c r="V741" s="3">
        <f t="shared" si="28"/>
        <v>0</v>
      </c>
      <c r="W741" s="3">
        <f t="shared" si="29"/>
        <v>0</v>
      </c>
      <c r="X741" s="3">
        <f t="shared" si="30"/>
        <v>0</v>
      </c>
      <c r="Y741" s="25">
        <f t="shared" si="31"/>
        <v>0</v>
      </c>
      <c r="Z741" s="26">
        <f>VLOOKUP(R741,CPI!$A$2:$F$71,6,0)</f>
        <v>1.342104605</v>
      </c>
      <c r="AA741" s="27">
        <f t="shared" si="8"/>
        <v>3707.698183</v>
      </c>
      <c r="AB741" s="27">
        <f t="shared" si="9"/>
        <v>370.7698183</v>
      </c>
      <c r="AC741" s="26" t="s">
        <v>36</v>
      </c>
      <c r="AD741" s="53" t="s">
        <v>1438</v>
      </c>
      <c r="AE741" s="130"/>
      <c r="AF741" s="130"/>
      <c r="AG741" s="130"/>
      <c r="AH741" s="130"/>
    </row>
    <row r="742">
      <c r="A742" s="26" t="s">
        <v>1403</v>
      </c>
      <c r="B742" s="26" t="s">
        <v>1418</v>
      </c>
      <c r="C742" s="319" t="s">
        <v>1097</v>
      </c>
      <c r="D742" s="318" t="s">
        <v>1439</v>
      </c>
      <c r="E742" s="25">
        <v>2015.0</v>
      </c>
      <c r="F742" s="25">
        <v>2025.0</v>
      </c>
      <c r="G742" s="25">
        <v>1.0</v>
      </c>
      <c r="H742" s="25">
        <v>3.0</v>
      </c>
      <c r="I742" s="50">
        <v>0.0</v>
      </c>
      <c r="J742" s="25">
        <v>0.0</v>
      </c>
      <c r="K742" s="51">
        <v>0.0</v>
      </c>
      <c r="L742" s="51">
        <v>0.0</v>
      </c>
      <c r="M742" s="25"/>
      <c r="N742" s="25"/>
      <c r="O742" s="26" t="s">
        <v>36</v>
      </c>
      <c r="P742" s="52">
        <v>109500.0</v>
      </c>
      <c r="Q742" s="26" t="s">
        <v>1407</v>
      </c>
      <c r="R742" s="25">
        <v>2020.0</v>
      </c>
      <c r="S742" s="25">
        <v>0.01</v>
      </c>
      <c r="T742" s="25">
        <f t="shared" si="90"/>
        <v>1095</v>
      </c>
      <c r="U742" s="24">
        <f t="shared" si="3"/>
        <v>365</v>
      </c>
      <c r="V742" s="3">
        <f t="shared" si="28"/>
        <v>0</v>
      </c>
      <c r="W742" s="3">
        <f t="shared" si="29"/>
        <v>0</v>
      </c>
      <c r="X742" s="3">
        <f t="shared" si="30"/>
        <v>0</v>
      </c>
      <c r="Y742" s="25">
        <f t="shared" si="31"/>
        <v>0</v>
      </c>
      <c r="Z742" s="26">
        <f>VLOOKUP(R742,CPI!$A$2:$F$71,6,0)</f>
        <v>1.244593545</v>
      </c>
      <c r="AA742" s="27">
        <f t="shared" si="8"/>
        <v>1362.829932</v>
      </c>
      <c r="AB742" s="27">
        <f t="shared" si="9"/>
        <v>454.276644</v>
      </c>
      <c r="AC742" s="26" t="s">
        <v>36</v>
      </c>
      <c r="AD742" s="57" t="s">
        <v>1440</v>
      </c>
      <c r="AE742" s="130"/>
      <c r="AF742" s="130"/>
      <c r="AG742" s="130"/>
      <c r="AH742" s="130"/>
    </row>
    <row r="743">
      <c r="A743" s="26" t="s">
        <v>1403</v>
      </c>
      <c r="B743" s="26" t="s">
        <v>1418</v>
      </c>
      <c r="C743" s="26" t="s">
        <v>1441</v>
      </c>
      <c r="D743" s="26" t="s">
        <v>1441</v>
      </c>
      <c r="E743" s="25">
        <v>2022.0</v>
      </c>
      <c r="F743" s="25">
        <v>2029.0</v>
      </c>
      <c r="G743" s="25">
        <v>1.0</v>
      </c>
      <c r="H743" s="25">
        <v>5.6</v>
      </c>
      <c r="I743" s="50">
        <v>1.0</v>
      </c>
      <c r="J743" s="25">
        <v>5.6</v>
      </c>
      <c r="K743" s="51">
        <v>0.0</v>
      </c>
      <c r="L743" s="51">
        <v>0.0</v>
      </c>
      <c r="M743" s="25">
        <v>2.0</v>
      </c>
      <c r="N743" s="25"/>
      <c r="O743" s="26" t="s">
        <v>59</v>
      </c>
      <c r="P743" s="52">
        <v>300000.0</v>
      </c>
      <c r="Q743" s="26" t="s">
        <v>1407</v>
      </c>
      <c r="R743" s="25">
        <v>2025.0</v>
      </c>
      <c r="S743" s="25">
        <v>0.01</v>
      </c>
      <c r="T743" s="25">
        <f t="shared" si="90"/>
        <v>3000</v>
      </c>
      <c r="U743" s="24">
        <f t="shared" si="3"/>
        <v>535.7142857</v>
      </c>
      <c r="V743" s="3">
        <f t="shared" si="28"/>
        <v>0</v>
      </c>
      <c r="W743" s="3">
        <f t="shared" si="29"/>
        <v>0</v>
      </c>
      <c r="X743" s="3">
        <f t="shared" si="30"/>
        <v>0</v>
      </c>
      <c r="Y743" s="25">
        <f t="shared" si="31"/>
        <v>0</v>
      </c>
      <c r="Z743" s="26">
        <f>VLOOKUP(R743,CPI!$A$2:$F$71,6,0)</f>
        <v>1</v>
      </c>
      <c r="AA743" s="27">
        <f t="shared" si="8"/>
        <v>3000</v>
      </c>
      <c r="AB743" s="27">
        <f t="shared" si="9"/>
        <v>535.7142857</v>
      </c>
      <c r="AC743" s="26" t="s">
        <v>42</v>
      </c>
      <c r="AD743" s="57" t="s">
        <v>1442</v>
      </c>
      <c r="AE743" s="130"/>
      <c r="AF743" s="130"/>
      <c r="AG743" s="130"/>
      <c r="AH743" s="130"/>
    </row>
    <row r="744">
      <c r="A744" s="26" t="s">
        <v>1443</v>
      </c>
      <c r="B744" s="26" t="s">
        <v>1444</v>
      </c>
      <c r="C744" s="1" t="s">
        <v>57</v>
      </c>
      <c r="D744" s="26" t="s">
        <v>58</v>
      </c>
      <c r="E744" s="25">
        <v>2009.0</v>
      </c>
      <c r="F744" s="25">
        <v>2017.0</v>
      </c>
      <c r="G744" s="25">
        <v>0.0</v>
      </c>
      <c r="H744" s="25">
        <v>8.0</v>
      </c>
      <c r="I744" s="50">
        <v>1.0</v>
      </c>
      <c r="J744" s="25">
        <v>8.0</v>
      </c>
      <c r="K744" s="51">
        <v>0.0</v>
      </c>
      <c r="L744" s="51">
        <v>0.0</v>
      </c>
      <c r="M744" s="25">
        <v>6.0</v>
      </c>
      <c r="N744" s="25"/>
      <c r="O744" s="26" t="s">
        <v>36</v>
      </c>
      <c r="P744" s="52">
        <v>959000.0</v>
      </c>
      <c r="Q744" s="26" t="s">
        <v>1445</v>
      </c>
      <c r="R744" s="25">
        <v>2013.0</v>
      </c>
      <c r="S744" s="25">
        <v>0.00115</v>
      </c>
      <c r="T744" s="25">
        <f t="shared" si="90"/>
        <v>1102.85</v>
      </c>
      <c r="U744" s="24">
        <f t="shared" si="3"/>
        <v>137.85625</v>
      </c>
      <c r="V744" s="3">
        <f t="shared" si="28"/>
        <v>1</v>
      </c>
      <c r="W744" s="3">
        <f t="shared" si="29"/>
        <v>8</v>
      </c>
      <c r="X744" s="3">
        <f t="shared" si="30"/>
        <v>8</v>
      </c>
      <c r="Y744" s="25">
        <f t="shared" si="31"/>
        <v>0</v>
      </c>
      <c r="Z744" s="26">
        <f>VLOOKUP(R744,CPI!$A$2:$F$71,6,0)</f>
        <v>1.382720845</v>
      </c>
      <c r="AA744" s="27">
        <f t="shared" si="8"/>
        <v>1524.933684</v>
      </c>
      <c r="AB744" s="27">
        <f t="shared" si="9"/>
        <v>190.6167106</v>
      </c>
      <c r="AC744" s="26" t="s">
        <v>36</v>
      </c>
      <c r="AD744" s="53" t="s">
        <v>1446</v>
      </c>
      <c r="AE744" s="130"/>
      <c r="AF744" s="130"/>
      <c r="AG744" s="130"/>
      <c r="AH744" s="130"/>
    </row>
    <row r="745">
      <c r="A745" s="114" t="s">
        <v>1443</v>
      </c>
      <c r="B745" s="114" t="s">
        <v>1447</v>
      </c>
      <c r="C745" s="171" t="s">
        <v>54</v>
      </c>
      <c r="D745" s="114" t="s">
        <v>54</v>
      </c>
      <c r="E745" s="116">
        <v>2009.0</v>
      </c>
      <c r="F745" s="116">
        <v>2016.0</v>
      </c>
      <c r="G745" s="116">
        <v>0.0</v>
      </c>
      <c r="H745" s="116">
        <v>29.1</v>
      </c>
      <c r="I745" s="71">
        <v>0.7835</v>
      </c>
      <c r="J745" s="116">
        <v>22.8</v>
      </c>
      <c r="K745" s="114"/>
      <c r="L745" s="114"/>
      <c r="M745" s="116">
        <v>27.0</v>
      </c>
      <c r="N745" s="116"/>
      <c r="O745" s="114"/>
      <c r="P745" s="73">
        <v>2459000.0</v>
      </c>
      <c r="Q745" s="114" t="s">
        <v>1445</v>
      </c>
      <c r="R745" s="115">
        <v>2012.0</v>
      </c>
      <c r="S745" s="115">
        <v>0.00117</v>
      </c>
      <c r="T745" s="118">
        <f t="shared" si="90"/>
        <v>2877.03</v>
      </c>
      <c r="U745" s="24">
        <f t="shared" si="3"/>
        <v>98.86701031</v>
      </c>
      <c r="V745" s="3">
        <f t="shared" si="28"/>
        <v>1</v>
      </c>
      <c r="W745" s="3">
        <f t="shared" si="29"/>
        <v>29.1</v>
      </c>
      <c r="X745" s="3">
        <f t="shared" si="30"/>
        <v>22.8</v>
      </c>
      <c r="Y745" s="25">
        <f t="shared" si="31"/>
        <v>0</v>
      </c>
      <c r="Z745" s="26">
        <f>VLOOKUP(R745,CPI!$A$2:$F$71,6,0)</f>
        <v>1.402974381</v>
      </c>
      <c r="AA745" s="27">
        <f t="shared" si="8"/>
        <v>4036.399383</v>
      </c>
      <c r="AB745" s="27">
        <f t="shared" si="9"/>
        <v>138.7078826</v>
      </c>
      <c r="AC745" s="115" t="s">
        <v>42</v>
      </c>
      <c r="AD745" s="161" t="s">
        <v>1448</v>
      </c>
      <c r="AE745" s="320"/>
      <c r="AF745" s="320"/>
      <c r="AG745" s="320"/>
      <c r="AH745" s="7"/>
    </row>
    <row r="746">
      <c r="A746" s="114" t="s">
        <v>1443</v>
      </c>
      <c r="B746" s="114" t="s">
        <v>1447</v>
      </c>
      <c r="C746" s="171" t="s">
        <v>54</v>
      </c>
      <c r="D746" s="114" t="s">
        <v>1449</v>
      </c>
      <c r="E746" s="116">
        <v>2020.0</v>
      </c>
      <c r="F746" s="114"/>
      <c r="G746" s="116">
        <v>0.0</v>
      </c>
      <c r="H746" s="116">
        <v>18.5</v>
      </c>
      <c r="I746" s="114"/>
      <c r="J746" s="114"/>
      <c r="K746" s="114"/>
      <c r="L746" s="114"/>
      <c r="M746" s="114"/>
      <c r="N746" s="116"/>
      <c r="O746" s="114"/>
      <c r="P746" s="73">
        <v>1750200.0</v>
      </c>
      <c r="Q746" s="114" t="s">
        <v>1445</v>
      </c>
      <c r="R746" s="115">
        <v>2020.0</v>
      </c>
      <c r="S746" s="115">
        <v>0.00121</v>
      </c>
      <c r="T746" s="118">
        <f t="shared" si="90"/>
        <v>2117.742</v>
      </c>
      <c r="U746" s="24">
        <f t="shared" si="3"/>
        <v>114.4725405</v>
      </c>
      <c r="V746" s="3">
        <f t="shared" si="28"/>
        <v>1</v>
      </c>
      <c r="W746" s="3">
        <f t="shared" si="29"/>
        <v>18.5</v>
      </c>
      <c r="X746" s="3">
        <f t="shared" si="30"/>
        <v>0</v>
      </c>
      <c r="Y746" s="25">
        <f t="shared" si="31"/>
        <v>0</v>
      </c>
      <c r="Z746" s="26">
        <f>VLOOKUP(R746,CPI!$A$2:$F$71,6,0)</f>
        <v>1.244593545</v>
      </c>
      <c r="AA746" s="27">
        <f t="shared" si="8"/>
        <v>2635.728023</v>
      </c>
      <c r="AB746" s="27">
        <f t="shared" si="9"/>
        <v>142.471785</v>
      </c>
      <c r="AC746" s="115" t="s">
        <v>42</v>
      </c>
      <c r="AD746" s="119" t="s">
        <v>1450</v>
      </c>
      <c r="AE746" s="320"/>
      <c r="AF746" s="320"/>
      <c r="AG746" s="320"/>
      <c r="AH746" s="7"/>
    </row>
    <row r="747">
      <c r="A747" s="26" t="s">
        <v>1443</v>
      </c>
      <c r="B747" s="26" t="s">
        <v>1451</v>
      </c>
      <c r="C747" s="1" t="s">
        <v>1453</v>
      </c>
      <c r="D747" s="63" t="s">
        <v>1454</v>
      </c>
      <c r="E747" s="25">
        <v>2005.0</v>
      </c>
      <c r="F747" s="25">
        <v>2011.0</v>
      </c>
      <c r="G747" s="25">
        <v>0.0</v>
      </c>
      <c r="H747" s="25">
        <v>17.3</v>
      </c>
      <c r="I747" s="50">
        <v>1.0</v>
      </c>
      <c r="J747" s="25">
        <v>17.3</v>
      </c>
      <c r="K747" s="51">
        <v>0.0</v>
      </c>
      <c r="L747" s="51">
        <v>0.0</v>
      </c>
      <c r="M747" s="25">
        <v>6.0</v>
      </c>
      <c r="N747" s="58">
        <v>200.0</v>
      </c>
      <c r="O747" s="26" t="s">
        <v>74</v>
      </c>
      <c r="P747" s="52">
        <v>1169000.0</v>
      </c>
      <c r="Q747" s="26" t="s">
        <v>1445</v>
      </c>
      <c r="R747" s="25">
        <v>2002.0</v>
      </c>
      <c r="S747" s="25">
        <v>0.0013</v>
      </c>
      <c r="T747" s="25">
        <f t="shared" si="90"/>
        <v>1519.7</v>
      </c>
      <c r="U747" s="24">
        <f t="shared" si="3"/>
        <v>87.84393064</v>
      </c>
      <c r="V747" s="3">
        <f t="shared" si="28"/>
        <v>1</v>
      </c>
      <c r="W747" s="3">
        <f t="shared" si="29"/>
        <v>17.3</v>
      </c>
      <c r="X747" s="3">
        <f t="shared" si="30"/>
        <v>17.3</v>
      </c>
      <c r="Y747" s="25">
        <f t="shared" si="31"/>
        <v>0</v>
      </c>
      <c r="Z747" s="26">
        <f>VLOOKUP(R747,CPI!$A$2:$F$71,6,0)</f>
        <v>1.790519733</v>
      </c>
      <c r="AA747" s="27">
        <f t="shared" si="8"/>
        <v>2721.052839</v>
      </c>
      <c r="AB747" s="27">
        <f t="shared" si="9"/>
        <v>157.2862912</v>
      </c>
      <c r="AC747" s="26" t="s">
        <v>36</v>
      </c>
      <c r="AD747" s="53" t="s">
        <v>1455</v>
      </c>
      <c r="AE747" s="130"/>
      <c r="AF747" s="130"/>
      <c r="AG747" s="130"/>
      <c r="AH747" s="130"/>
    </row>
    <row r="748">
      <c r="A748" s="114" t="s">
        <v>1443</v>
      </c>
      <c r="B748" s="114" t="s">
        <v>1451</v>
      </c>
      <c r="C748" s="114" t="s">
        <v>1456</v>
      </c>
      <c r="D748" s="114" t="s">
        <v>1456</v>
      </c>
      <c r="E748" s="116">
        <v>2009.0</v>
      </c>
      <c r="F748" s="116">
        <v>2017.0</v>
      </c>
      <c r="G748" s="116">
        <v>0.0</v>
      </c>
      <c r="H748" s="116">
        <v>11.4</v>
      </c>
      <c r="I748" s="71">
        <v>1.0</v>
      </c>
      <c r="J748" s="116">
        <v>11.4</v>
      </c>
      <c r="K748" s="114"/>
      <c r="L748" s="114"/>
      <c r="M748" s="116">
        <v>13.0</v>
      </c>
      <c r="N748" s="116"/>
      <c r="O748" s="114"/>
      <c r="P748" s="73">
        <v>911500.0</v>
      </c>
      <c r="Q748" s="114" t="s">
        <v>1445</v>
      </c>
      <c r="R748" s="115">
        <v>2013.0</v>
      </c>
      <c r="S748" s="85">
        <v>0.001</v>
      </c>
      <c r="T748" s="118">
        <f t="shared" si="90"/>
        <v>911.5</v>
      </c>
      <c r="U748" s="24">
        <f t="shared" si="3"/>
        <v>79.95614035</v>
      </c>
      <c r="V748" s="3">
        <f t="shared" si="28"/>
        <v>1</v>
      </c>
      <c r="W748" s="3">
        <f t="shared" si="29"/>
        <v>11.4</v>
      </c>
      <c r="X748" s="3">
        <f t="shared" si="30"/>
        <v>11.4</v>
      </c>
      <c r="Y748" s="25">
        <f t="shared" si="31"/>
        <v>0</v>
      </c>
      <c r="Z748" s="26">
        <f>VLOOKUP(R748,CPI!$A$2:$F$71,6,0)</f>
        <v>1.382720845</v>
      </c>
      <c r="AA748" s="27">
        <f t="shared" si="8"/>
        <v>1260.350051</v>
      </c>
      <c r="AB748" s="27">
        <f t="shared" si="9"/>
        <v>110.557022</v>
      </c>
      <c r="AC748" s="114"/>
      <c r="AD748" s="119" t="s">
        <v>1457</v>
      </c>
      <c r="AF748" s="321"/>
      <c r="AG748" s="321"/>
      <c r="AH748" s="114"/>
    </row>
    <row r="749">
      <c r="A749" s="26" t="s">
        <v>1443</v>
      </c>
      <c r="B749" s="26" t="s">
        <v>1451</v>
      </c>
      <c r="C749" s="1" t="s">
        <v>1453</v>
      </c>
      <c r="D749" s="63" t="s">
        <v>1458</v>
      </c>
      <c r="E749" s="25">
        <v>2011.0</v>
      </c>
      <c r="F749" s="25">
        <v>2018.0</v>
      </c>
      <c r="G749" s="25">
        <v>0.0</v>
      </c>
      <c r="H749" s="25">
        <v>12.8</v>
      </c>
      <c r="I749" s="50">
        <v>1.0</v>
      </c>
      <c r="J749" s="25">
        <v>12.8</v>
      </c>
      <c r="K749" s="51">
        <v>0.0</v>
      </c>
      <c r="L749" s="51">
        <v>0.0</v>
      </c>
      <c r="M749" s="25">
        <v>7.0</v>
      </c>
      <c r="N749" s="58">
        <v>200.0</v>
      </c>
      <c r="O749" s="26" t="s">
        <v>42</v>
      </c>
      <c r="P749" s="52">
        <v>1025500.0</v>
      </c>
      <c r="Q749" s="26" t="s">
        <v>1445</v>
      </c>
      <c r="R749" s="25">
        <v>2006.0</v>
      </c>
      <c r="S749" s="25">
        <v>0.0013</v>
      </c>
      <c r="T749" s="25">
        <f t="shared" si="90"/>
        <v>1333.15</v>
      </c>
      <c r="U749" s="24">
        <f t="shared" si="3"/>
        <v>104.1523438</v>
      </c>
      <c r="V749" s="3">
        <f t="shared" si="28"/>
        <v>1</v>
      </c>
      <c r="W749" s="3">
        <f t="shared" si="29"/>
        <v>12.8</v>
      </c>
      <c r="X749" s="3">
        <f t="shared" si="30"/>
        <v>12.8</v>
      </c>
      <c r="Y749" s="25">
        <f t="shared" si="31"/>
        <v>0</v>
      </c>
      <c r="Z749" s="26">
        <f>VLOOKUP(R749,CPI!$A$2:$F$71,6,0)</f>
        <v>1.597790179</v>
      </c>
      <c r="AA749" s="27">
        <f t="shared" si="8"/>
        <v>2130.093977</v>
      </c>
      <c r="AB749" s="27">
        <f t="shared" si="9"/>
        <v>166.4135919</v>
      </c>
      <c r="AC749" s="26" t="s">
        <v>60</v>
      </c>
      <c r="AD749" s="57" t="s">
        <v>1459</v>
      </c>
      <c r="AE749" s="130"/>
      <c r="AF749" s="130"/>
      <c r="AG749" s="130"/>
      <c r="AH749" s="130"/>
    </row>
    <row r="750">
      <c r="A750" s="26" t="s">
        <v>1443</v>
      </c>
      <c r="B750" s="26" t="s">
        <v>1451</v>
      </c>
      <c r="C750" s="26" t="s">
        <v>1460</v>
      </c>
      <c r="D750" s="26" t="s">
        <v>1460</v>
      </c>
      <c r="E750" s="25">
        <v>2014.0</v>
      </c>
      <c r="F750" s="25">
        <v>2019.0</v>
      </c>
      <c r="G750" s="25">
        <v>0.0</v>
      </c>
      <c r="H750" s="25">
        <v>23.7</v>
      </c>
      <c r="I750" s="50">
        <v>1.0</v>
      </c>
      <c r="J750" s="25">
        <v>23.7</v>
      </c>
      <c r="K750" s="51">
        <v>0.0</v>
      </c>
      <c r="L750" s="51">
        <v>0.0</v>
      </c>
      <c r="M750" s="25">
        <v>10.0</v>
      </c>
      <c r="N750" s="25"/>
      <c r="O750" s="26" t="s">
        <v>36</v>
      </c>
      <c r="P750" s="52">
        <v>1655300.0</v>
      </c>
      <c r="Q750" s="26" t="s">
        <v>1445</v>
      </c>
      <c r="R750" s="25">
        <v>2016.0</v>
      </c>
      <c r="S750" s="25">
        <v>0.00116</v>
      </c>
      <c r="T750" s="25">
        <f t="shared" si="90"/>
        <v>1920.148</v>
      </c>
      <c r="U750" s="24">
        <f t="shared" si="3"/>
        <v>81.01890295</v>
      </c>
      <c r="V750" s="3">
        <f t="shared" si="28"/>
        <v>1</v>
      </c>
      <c r="W750" s="3">
        <f t="shared" si="29"/>
        <v>23.7</v>
      </c>
      <c r="X750" s="3">
        <f t="shared" si="30"/>
        <v>23.7</v>
      </c>
      <c r="Y750" s="25">
        <f t="shared" si="31"/>
        <v>0</v>
      </c>
      <c r="Z750" s="26">
        <f>VLOOKUP(R750,CPI!$A$2:$F$71,6,0)</f>
        <v>1.342104605</v>
      </c>
      <c r="AA750" s="27">
        <f t="shared" si="8"/>
        <v>2577.039474</v>
      </c>
      <c r="AB750" s="27">
        <f t="shared" si="9"/>
        <v>108.7358428</v>
      </c>
      <c r="AC750" s="26" t="s">
        <v>42</v>
      </c>
      <c r="AD750" s="57" t="s">
        <v>1461</v>
      </c>
      <c r="AE750" s="301"/>
      <c r="AF750" s="301"/>
      <c r="AG750" s="301"/>
      <c r="AH750" s="130"/>
    </row>
    <row r="751">
      <c r="A751" s="114" t="s">
        <v>1443</v>
      </c>
      <c r="B751" s="114" t="s">
        <v>1451</v>
      </c>
      <c r="C751" s="114" t="s">
        <v>1462</v>
      </c>
      <c r="D751" s="114" t="s">
        <v>1462</v>
      </c>
      <c r="E751" s="116">
        <v>2014.0</v>
      </c>
      <c r="F751" s="116">
        <v>2020.0</v>
      </c>
      <c r="G751" s="116">
        <v>0.0</v>
      </c>
      <c r="H751" s="116">
        <v>7.7</v>
      </c>
      <c r="I751" s="71">
        <v>1.0</v>
      </c>
      <c r="J751" s="116">
        <v>7.7</v>
      </c>
      <c r="K751" s="114"/>
      <c r="L751" s="114"/>
      <c r="M751" s="116">
        <v>5.0</v>
      </c>
      <c r="N751" s="116">
        <v>160.0</v>
      </c>
      <c r="O751" s="114"/>
      <c r="P751" s="73">
        <v>981000.0</v>
      </c>
      <c r="Q751" s="114" t="s">
        <v>1445</v>
      </c>
      <c r="R751" s="115">
        <v>2017.0</v>
      </c>
      <c r="S751" s="85">
        <v>0.001</v>
      </c>
      <c r="T751" s="118">
        <f t="shared" si="90"/>
        <v>981</v>
      </c>
      <c r="U751" s="24">
        <f t="shared" si="3"/>
        <v>127.4025974</v>
      </c>
      <c r="V751" s="3">
        <f t="shared" si="28"/>
        <v>1</v>
      </c>
      <c r="W751" s="3">
        <f t="shared" si="29"/>
        <v>7.7</v>
      </c>
      <c r="X751" s="3">
        <f t="shared" si="30"/>
        <v>7.7</v>
      </c>
      <c r="Y751" s="25">
        <f t="shared" si="31"/>
        <v>0</v>
      </c>
      <c r="Z751" s="26">
        <f>VLOOKUP(R751,CPI!$A$2:$F$71,6,0)</f>
        <v>1.314109416</v>
      </c>
      <c r="AA751" s="27">
        <f t="shared" si="8"/>
        <v>1289.141337</v>
      </c>
      <c r="AB751" s="27">
        <f t="shared" si="9"/>
        <v>167.4209528</v>
      </c>
      <c r="AC751" s="114"/>
      <c r="AD751" s="119" t="s">
        <v>1463</v>
      </c>
      <c r="AF751" s="321"/>
      <c r="AG751" s="321"/>
      <c r="AH751" s="114"/>
    </row>
    <row r="752">
      <c r="A752" s="26" t="s">
        <v>1443</v>
      </c>
      <c r="B752" s="26" t="s">
        <v>1451</v>
      </c>
      <c r="C752" s="1" t="s">
        <v>228</v>
      </c>
      <c r="D752" s="26" t="s">
        <v>1464</v>
      </c>
      <c r="E752" s="25">
        <v>2014.0</v>
      </c>
      <c r="F752" s="25">
        <v>2021.0</v>
      </c>
      <c r="G752" s="25">
        <v>0.0</v>
      </c>
      <c r="H752" s="25">
        <v>3.9</v>
      </c>
      <c r="I752" s="50">
        <v>1.0</v>
      </c>
      <c r="J752" s="25">
        <v>3.9</v>
      </c>
      <c r="K752" s="51">
        <v>0.0</v>
      </c>
      <c r="L752" s="51">
        <v>0.0</v>
      </c>
      <c r="M752" s="25">
        <v>2.0</v>
      </c>
      <c r="N752" s="25"/>
      <c r="O752" s="26" t="s">
        <v>74</v>
      </c>
      <c r="P752" s="52">
        <v>432100.0</v>
      </c>
      <c r="Q752" s="26" t="s">
        <v>1445</v>
      </c>
      <c r="R752" s="25">
        <v>2017.0</v>
      </c>
      <c r="S752" s="25">
        <v>0.0011</v>
      </c>
      <c r="T752" s="25">
        <f t="shared" si="90"/>
        <v>475.31</v>
      </c>
      <c r="U752" s="24">
        <f t="shared" si="3"/>
        <v>121.874359</v>
      </c>
      <c r="V752" s="3">
        <f t="shared" si="28"/>
        <v>1</v>
      </c>
      <c r="W752" s="3">
        <f t="shared" si="29"/>
        <v>3.9</v>
      </c>
      <c r="X752" s="3">
        <f t="shared" si="30"/>
        <v>3.9</v>
      </c>
      <c r="Y752" s="25">
        <f t="shared" si="31"/>
        <v>0</v>
      </c>
      <c r="Z752" s="26">
        <f>VLOOKUP(R752,CPI!$A$2:$F$71,6,0)</f>
        <v>1.314109416</v>
      </c>
      <c r="AA752" s="27">
        <f t="shared" si="8"/>
        <v>624.6093464</v>
      </c>
      <c r="AB752" s="27">
        <f t="shared" si="9"/>
        <v>160.1562427</v>
      </c>
      <c r="AC752" s="26" t="s">
        <v>42</v>
      </c>
      <c r="AD752" s="53" t="s">
        <v>1465</v>
      </c>
      <c r="AE752" s="130"/>
      <c r="AF752" s="130"/>
      <c r="AG752" s="130"/>
      <c r="AH752" s="130"/>
    </row>
    <row r="753">
      <c r="A753" s="114" t="s">
        <v>1443</v>
      </c>
      <c r="B753" s="114" t="s">
        <v>1451</v>
      </c>
      <c r="C753" s="114" t="s">
        <v>1466</v>
      </c>
      <c r="D753" s="114" t="s">
        <v>1466</v>
      </c>
      <c r="E753" s="116">
        <v>2014.0</v>
      </c>
      <c r="F753" s="116">
        <v>2022.0</v>
      </c>
      <c r="G753" s="116">
        <v>0.0</v>
      </c>
      <c r="H753" s="116">
        <v>14.9</v>
      </c>
      <c r="I753" s="71">
        <v>1.0</v>
      </c>
      <c r="J753" s="116">
        <v>14.9</v>
      </c>
      <c r="K753" s="114"/>
      <c r="L753" s="114"/>
      <c r="M753" s="116">
        <v>4.0</v>
      </c>
      <c r="N753" s="116">
        <v>200.0</v>
      </c>
      <c r="O753" s="114"/>
      <c r="P753" s="73">
        <v>1400000.0</v>
      </c>
      <c r="Q753" s="114" t="s">
        <v>1445</v>
      </c>
      <c r="R753" s="115">
        <v>2018.0</v>
      </c>
      <c r="S753" s="85">
        <v>0.001</v>
      </c>
      <c r="T753" s="118">
        <f t="shared" si="90"/>
        <v>1400</v>
      </c>
      <c r="U753" s="24">
        <f t="shared" si="3"/>
        <v>93.95973154</v>
      </c>
      <c r="V753" s="3">
        <f t="shared" si="28"/>
        <v>1</v>
      </c>
      <c r="W753" s="3">
        <f t="shared" si="29"/>
        <v>14.9</v>
      </c>
      <c r="X753" s="3">
        <f t="shared" si="30"/>
        <v>14.9</v>
      </c>
      <c r="Y753" s="25">
        <f t="shared" si="31"/>
        <v>0</v>
      </c>
      <c r="Z753" s="26">
        <f>VLOOKUP(R753,CPI!$A$2:$F$71,6,0)</f>
        <v>1.28277786</v>
      </c>
      <c r="AA753" s="27">
        <f t="shared" si="8"/>
        <v>1795.889003</v>
      </c>
      <c r="AB753" s="27">
        <f t="shared" si="9"/>
        <v>120.5294633</v>
      </c>
      <c r="AC753" s="114"/>
      <c r="AD753" s="119" t="s">
        <v>1467</v>
      </c>
      <c r="AF753" s="114"/>
      <c r="AG753" s="114"/>
      <c r="AH753" s="114"/>
    </row>
    <row r="754">
      <c r="A754" s="114" t="s">
        <v>1443</v>
      </c>
      <c r="B754" s="114" t="s">
        <v>1451</v>
      </c>
      <c r="C754" s="114" t="s">
        <v>1468</v>
      </c>
      <c r="D754" s="114" t="s">
        <v>1468</v>
      </c>
      <c r="E754" s="116">
        <v>2017.0</v>
      </c>
      <c r="F754" s="116">
        <v>2022.0</v>
      </c>
      <c r="G754" s="116">
        <v>0.0</v>
      </c>
      <c r="H754" s="116">
        <v>7.8</v>
      </c>
      <c r="I754" s="71">
        <v>1.0</v>
      </c>
      <c r="J754" s="116">
        <v>7.8</v>
      </c>
      <c r="K754" s="114"/>
      <c r="L754" s="114"/>
      <c r="M754" s="116">
        <v>11.0</v>
      </c>
      <c r="N754" s="116"/>
      <c r="O754" s="114"/>
      <c r="P754" s="73">
        <v>826400.0</v>
      </c>
      <c r="Q754" s="114" t="s">
        <v>1445</v>
      </c>
      <c r="R754" s="115">
        <v>2020.0</v>
      </c>
      <c r="S754" s="85">
        <v>0.001</v>
      </c>
      <c r="T754" s="118">
        <f t="shared" si="90"/>
        <v>826.4</v>
      </c>
      <c r="U754" s="24">
        <f t="shared" si="3"/>
        <v>105.9487179</v>
      </c>
      <c r="V754" s="3">
        <f t="shared" si="28"/>
        <v>1</v>
      </c>
      <c r="W754" s="3">
        <f t="shared" si="29"/>
        <v>7.8</v>
      </c>
      <c r="X754" s="3">
        <f t="shared" si="30"/>
        <v>7.8</v>
      </c>
      <c r="Y754" s="25">
        <f t="shared" si="31"/>
        <v>0</v>
      </c>
      <c r="Z754" s="26">
        <f>VLOOKUP(R754,CPI!$A$2:$F$71,6,0)</f>
        <v>1.244593545</v>
      </c>
      <c r="AA754" s="27">
        <f t="shared" si="8"/>
        <v>1028.532106</v>
      </c>
      <c r="AB754" s="27">
        <f t="shared" si="9"/>
        <v>131.8630905</v>
      </c>
      <c r="AC754" s="114"/>
      <c r="AD754" s="119" t="s">
        <v>1469</v>
      </c>
      <c r="AF754" s="114"/>
      <c r="AG754" s="114"/>
      <c r="AH754" s="114"/>
    </row>
    <row r="755">
      <c r="A755" s="114" t="s">
        <v>1443</v>
      </c>
      <c r="B755" s="114" t="s">
        <v>1451</v>
      </c>
      <c r="C755" s="114" t="s">
        <v>1470</v>
      </c>
      <c r="D755" s="114" t="s">
        <v>1470</v>
      </c>
      <c r="E755" s="115">
        <v>2018.0</v>
      </c>
      <c r="F755" s="115">
        <v>2025.0</v>
      </c>
      <c r="G755" s="116">
        <v>1.0</v>
      </c>
      <c r="H755" s="115">
        <v>83.1</v>
      </c>
      <c r="I755" s="114"/>
      <c r="J755" s="114"/>
      <c r="K755" s="114"/>
      <c r="L755" s="114"/>
      <c r="M755" s="114"/>
      <c r="N755" s="116"/>
      <c r="O755" s="114"/>
      <c r="P755" s="73">
        <v>1940000.0</v>
      </c>
      <c r="Q755" s="114" t="s">
        <v>1445</v>
      </c>
      <c r="R755" s="115">
        <v>2021.0</v>
      </c>
      <c r="S755" s="85">
        <v>0.0012</v>
      </c>
      <c r="T755" s="118">
        <f t="shared" si="90"/>
        <v>2328</v>
      </c>
      <c r="U755" s="24">
        <f t="shared" si="3"/>
        <v>28.01444043</v>
      </c>
      <c r="V755" s="3">
        <f t="shared" si="28"/>
        <v>1</v>
      </c>
      <c r="W755" s="3">
        <f t="shared" si="29"/>
        <v>83.1</v>
      </c>
      <c r="X755" s="3">
        <f t="shared" si="30"/>
        <v>0</v>
      </c>
      <c r="Y755" s="25">
        <f t="shared" si="31"/>
        <v>0</v>
      </c>
      <c r="Z755" s="26">
        <f>VLOOKUP(R755,CPI!$A$2:$F$71,6,0)</f>
        <v>1.188745987</v>
      </c>
      <c r="AA755" s="27">
        <f t="shared" si="8"/>
        <v>2767.400657</v>
      </c>
      <c r="AB755" s="27">
        <f t="shared" si="9"/>
        <v>33.30205363</v>
      </c>
      <c r="AC755" s="114"/>
      <c r="AD755" s="119" t="s">
        <v>1471</v>
      </c>
      <c r="AF755" s="114"/>
      <c r="AG755" s="114"/>
      <c r="AH755" s="114"/>
    </row>
    <row r="756">
      <c r="A756" s="114" t="s">
        <v>1443</v>
      </c>
      <c r="B756" s="114" t="s">
        <v>1451</v>
      </c>
      <c r="C756" s="114" t="s">
        <v>1472</v>
      </c>
      <c r="D756" s="114" t="s">
        <v>1472</v>
      </c>
      <c r="E756" s="116">
        <v>2019.0</v>
      </c>
      <c r="F756" s="116">
        <v>2025.0</v>
      </c>
      <c r="G756" s="116">
        <v>0.0</v>
      </c>
      <c r="H756" s="116">
        <v>44.7</v>
      </c>
      <c r="I756" s="71">
        <v>1.0</v>
      </c>
      <c r="J756" s="116">
        <v>44.7</v>
      </c>
      <c r="K756" s="114"/>
      <c r="L756" s="114"/>
      <c r="M756" s="116">
        <v>15.0</v>
      </c>
      <c r="N756" s="116"/>
      <c r="O756" s="114"/>
      <c r="P756" s="73">
        <v>3300000.0</v>
      </c>
      <c r="Q756" s="114" t="s">
        <v>1445</v>
      </c>
      <c r="R756" s="115">
        <v>2021.0</v>
      </c>
      <c r="S756" s="85">
        <v>0.0012</v>
      </c>
      <c r="T756" s="118">
        <f t="shared" si="90"/>
        <v>3960</v>
      </c>
      <c r="U756" s="24">
        <f t="shared" si="3"/>
        <v>88.59060403</v>
      </c>
      <c r="V756" s="3">
        <f t="shared" si="28"/>
        <v>1</v>
      </c>
      <c r="W756" s="3">
        <f t="shared" si="29"/>
        <v>44.7</v>
      </c>
      <c r="X756" s="3">
        <f t="shared" si="30"/>
        <v>44.7</v>
      </c>
      <c r="Y756" s="25">
        <f t="shared" si="31"/>
        <v>0</v>
      </c>
      <c r="Z756" s="26">
        <f>VLOOKUP(R756,CPI!$A$2:$F$71,6,0)</f>
        <v>1.188745987</v>
      </c>
      <c r="AA756" s="27">
        <f t="shared" si="8"/>
        <v>4707.434107</v>
      </c>
      <c r="AB756" s="27">
        <f t="shared" si="9"/>
        <v>105.311725</v>
      </c>
      <c r="AC756" s="114"/>
      <c r="AD756" s="322" t="s">
        <v>1473</v>
      </c>
      <c r="AE756" s="323"/>
      <c r="AF756" s="114"/>
      <c r="AG756" s="114"/>
      <c r="AH756" s="114"/>
    </row>
    <row r="757">
      <c r="A757" s="26" t="s">
        <v>1443</v>
      </c>
      <c r="B757" s="26" t="s">
        <v>1451</v>
      </c>
      <c r="C757" s="26" t="s">
        <v>1474</v>
      </c>
      <c r="D757" s="26" t="s">
        <v>1474</v>
      </c>
      <c r="E757" s="25">
        <v>2020.0</v>
      </c>
      <c r="F757" s="25">
        <v>2028.0</v>
      </c>
      <c r="G757" s="25">
        <v>0.0</v>
      </c>
      <c r="H757" s="25">
        <v>71.0</v>
      </c>
      <c r="I757" s="50">
        <v>1.0</v>
      </c>
      <c r="J757" s="25">
        <v>71.0</v>
      </c>
      <c r="K757" s="51">
        <v>0.0</v>
      </c>
      <c r="L757" s="51">
        <v>0.0</v>
      </c>
      <c r="M757" s="25">
        <v>53.0</v>
      </c>
      <c r="N757" s="25"/>
      <c r="O757" s="26" t="s">
        <v>42</v>
      </c>
      <c r="P757" s="52">
        <v>7230200.0</v>
      </c>
      <c r="Q757" s="26" t="s">
        <v>1445</v>
      </c>
      <c r="R757" s="25">
        <v>2024.0</v>
      </c>
      <c r="S757" s="25">
        <v>0.0011</v>
      </c>
      <c r="T757" s="25">
        <f t="shared" si="90"/>
        <v>7953.22</v>
      </c>
      <c r="U757" s="24">
        <f t="shared" si="3"/>
        <v>112.0171831</v>
      </c>
      <c r="V757" s="3">
        <f t="shared" si="28"/>
        <v>1</v>
      </c>
      <c r="W757" s="3">
        <f t="shared" si="29"/>
        <v>71</v>
      </c>
      <c r="X757" s="3">
        <f t="shared" si="30"/>
        <v>71</v>
      </c>
      <c r="Y757" s="25">
        <f t="shared" si="31"/>
        <v>0</v>
      </c>
      <c r="Z757" s="26">
        <f>VLOOKUP(R757,CPI!$A$2:$F$71,6,0)</f>
        <v>1</v>
      </c>
      <c r="AA757" s="27">
        <f t="shared" si="8"/>
        <v>7953.22</v>
      </c>
      <c r="AB757" s="27">
        <f t="shared" si="9"/>
        <v>112.0171831</v>
      </c>
      <c r="AC757" s="26" t="s">
        <v>42</v>
      </c>
      <c r="AD757" s="57" t="s">
        <v>1475</v>
      </c>
      <c r="AE757" s="130"/>
      <c r="AF757" s="130"/>
      <c r="AG757" s="130"/>
      <c r="AH757" s="130"/>
    </row>
    <row r="758">
      <c r="A758" s="114" t="s">
        <v>1443</v>
      </c>
      <c r="B758" s="114" t="s">
        <v>1451</v>
      </c>
      <c r="C758" s="171" t="s">
        <v>253</v>
      </c>
      <c r="D758" s="114" t="s">
        <v>1476</v>
      </c>
      <c r="E758" s="116">
        <v>2021.0</v>
      </c>
      <c r="F758" s="116">
        <v>2028.0</v>
      </c>
      <c r="G758" s="116">
        <v>0.0</v>
      </c>
      <c r="H758" s="116">
        <v>4.1</v>
      </c>
      <c r="I758" s="71">
        <v>1.0</v>
      </c>
      <c r="J758" s="116">
        <v>4.1</v>
      </c>
      <c r="K758" s="114"/>
      <c r="L758" s="114"/>
      <c r="M758" s="116">
        <v>4.0</v>
      </c>
      <c r="N758" s="116">
        <v>160.0</v>
      </c>
      <c r="O758" s="114"/>
      <c r="P758" s="73">
        <v>640800.0</v>
      </c>
      <c r="Q758" s="114" t="s">
        <v>1445</v>
      </c>
      <c r="R758" s="115">
        <v>2021.0</v>
      </c>
      <c r="S758" s="85">
        <v>0.0012</v>
      </c>
      <c r="T758" s="118">
        <f t="shared" si="90"/>
        <v>768.96</v>
      </c>
      <c r="U758" s="24">
        <f t="shared" si="3"/>
        <v>187.5512195</v>
      </c>
      <c r="V758" s="3">
        <f t="shared" si="28"/>
        <v>1</v>
      </c>
      <c r="W758" s="3">
        <f t="shared" si="29"/>
        <v>4.1</v>
      </c>
      <c r="X758" s="3">
        <f t="shared" si="30"/>
        <v>4.1</v>
      </c>
      <c r="Y758" s="25">
        <f t="shared" si="31"/>
        <v>0</v>
      </c>
      <c r="Z758" s="26">
        <f>VLOOKUP(R758,CPI!$A$2:$F$71,6,0)</f>
        <v>1.188745987</v>
      </c>
      <c r="AA758" s="27">
        <f t="shared" si="8"/>
        <v>914.0981139</v>
      </c>
      <c r="AB758" s="27">
        <f t="shared" si="9"/>
        <v>222.9507595</v>
      </c>
      <c r="AC758" s="114"/>
      <c r="AD758" s="119" t="s">
        <v>1477</v>
      </c>
      <c r="AF758" s="114"/>
      <c r="AG758" s="114"/>
      <c r="AH758" s="114"/>
    </row>
    <row r="759">
      <c r="A759" s="114" t="s">
        <v>1443</v>
      </c>
      <c r="B759" s="114" t="s">
        <v>1451</v>
      </c>
      <c r="C759" s="171" t="s">
        <v>228</v>
      </c>
      <c r="D759" s="114" t="s">
        <v>1478</v>
      </c>
      <c r="E759" s="116">
        <v>2022.0</v>
      </c>
      <c r="F759" s="114"/>
      <c r="G759" s="116">
        <v>0.0</v>
      </c>
      <c r="H759" s="116">
        <v>10.7</v>
      </c>
      <c r="I759" s="114"/>
      <c r="J759" s="114"/>
      <c r="K759" s="114"/>
      <c r="L759" s="114"/>
      <c r="M759" s="116">
        <v>7.0</v>
      </c>
      <c r="N759" s="116">
        <v>160.0</v>
      </c>
      <c r="O759" s="114"/>
      <c r="P759" s="73">
        <v>1573900.0</v>
      </c>
      <c r="Q759" s="114" t="s">
        <v>1445</v>
      </c>
      <c r="R759" s="115">
        <v>2021.0</v>
      </c>
      <c r="S759" s="85">
        <v>0.0012</v>
      </c>
      <c r="T759" s="118">
        <f t="shared" si="90"/>
        <v>1888.68</v>
      </c>
      <c r="U759" s="24">
        <f t="shared" si="3"/>
        <v>176.5121495</v>
      </c>
      <c r="V759" s="3">
        <f t="shared" si="28"/>
        <v>1</v>
      </c>
      <c r="W759" s="3">
        <f t="shared" si="29"/>
        <v>10.7</v>
      </c>
      <c r="X759" s="3">
        <f t="shared" si="30"/>
        <v>0</v>
      </c>
      <c r="Y759" s="25">
        <f t="shared" si="31"/>
        <v>0</v>
      </c>
      <c r="Z759" s="26">
        <f>VLOOKUP(R759,CPI!$A$2:$F$71,6,0)</f>
        <v>1.188745987</v>
      </c>
      <c r="AA759" s="27">
        <f t="shared" si="8"/>
        <v>2245.16077</v>
      </c>
      <c r="AB759" s="27">
        <f t="shared" si="9"/>
        <v>209.8281094</v>
      </c>
      <c r="AC759" s="114"/>
      <c r="AD759" s="119" t="s">
        <v>1479</v>
      </c>
      <c r="AF759" s="114"/>
      <c r="AG759" s="114"/>
      <c r="AH759" s="114"/>
    </row>
    <row r="760">
      <c r="A760" s="114" t="s">
        <v>1443</v>
      </c>
      <c r="B760" s="114" t="s">
        <v>1451</v>
      </c>
      <c r="C760" s="171" t="s">
        <v>1453</v>
      </c>
      <c r="D760" s="115" t="s">
        <v>1480</v>
      </c>
      <c r="E760" s="116">
        <v>2022.0</v>
      </c>
      <c r="F760" s="114"/>
      <c r="G760" s="116">
        <v>0.0</v>
      </c>
      <c r="H760" s="116">
        <v>4.19</v>
      </c>
      <c r="I760" s="71">
        <v>1.0</v>
      </c>
      <c r="J760" s="116">
        <v>4.19</v>
      </c>
      <c r="K760" s="114"/>
      <c r="L760" s="114"/>
      <c r="M760" s="116">
        <v>1.0</v>
      </c>
      <c r="N760" s="116">
        <v>200.0</v>
      </c>
      <c r="O760" s="114"/>
      <c r="P760" s="73">
        <v>427100.0</v>
      </c>
      <c r="Q760" s="114" t="s">
        <v>1445</v>
      </c>
      <c r="R760" s="115">
        <v>2021.0</v>
      </c>
      <c r="S760" s="85">
        <v>0.0012</v>
      </c>
      <c r="T760" s="118">
        <f t="shared" si="90"/>
        <v>512.52</v>
      </c>
      <c r="U760" s="24">
        <f t="shared" si="3"/>
        <v>122.3198091</v>
      </c>
      <c r="V760" s="3">
        <f t="shared" si="28"/>
        <v>1</v>
      </c>
      <c r="W760" s="3">
        <f t="shared" si="29"/>
        <v>4.19</v>
      </c>
      <c r="X760" s="3">
        <f t="shared" si="30"/>
        <v>4.19</v>
      </c>
      <c r="Y760" s="25">
        <f t="shared" si="31"/>
        <v>0</v>
      </c>
      <c r="Z760" s="26">
        <f>VLOOKUP(R760,CPI!$A$2:$F$71,6,0)</f>
        <v>1.188745987</v>
      </c>
      <c r="AA760" s="27">
        <f t="shared" si="8"/>
        <v>609.2560931</v>
      </c>
      <c r="AB760" s="27">
        <f t="shared" si="9"/>
        <v>145.4071821</v>
      </c>
      <c r="AC760" s="114"/>
      <c r="AD760" s="119" t="s">
        <v>1481</v>
      </c>
      <c r="AE760" s="114"/>
      <c r="AF760" s="114"/>
      <c r="AG760" s="114"/>
      <c r="AH760" s="114"/>
    </row>
    <row r="761">
      <c r="A761" s="114" t="s">
        <v>1443</v>
      </c>
      <c r="B761" s="114" t="s">
        <v>1451</v>
      </c>
      <c r="C761" s="171" t="s">
        <v>1453</v>
      </c>
      <c r="D761" s="115" t="s">
        <v>1482</v>
      </c>
      <c r="E761" s="116">
        <v>2022.0</v>
      </c>
      <c r="F761" s="114"/>
      <c r="G761" s="116">
        <v>0.0</v>
      </c>
      <c r="H761" s="116">
        <v>3.59</v>
      </c>
      <c r="I761" s="71">
        <v>1.0</v>
      </c>
      <c r="J761" s="116">
        <v>3.59</v>
      </c>
      <c r="K761" s="114"/>
      <c r="L761" s="114"/>
      <c r="M761" s="116">
        <v>2.0</v>
      </c>
      <c r="N761" s="116">
        <v>200.0</v>
      </c>
      <c r="O761" s="114"/>
      <c r="P761" s="73">
        <v>356100.0</v>
      </c>
      <c r="Q761" s="114" t="s">
        <v>1445</v>
      </c>
      <c r="R761" s="115">
        <v>2021.0</v>
      </c>
      <c r="S761" s="85">
        <v>0.0012</v>
      </c>
      <c r="T761" s="118">
        <f t="shared" si="90"/>
        <v>427.32</v>
      </c>
      <c r="U761" s="24">
        <f t="shared" si="3"/>
        <v>119.0306407</v>
      </c>
      <c r="V761" s="3">
        <f t="shared" si="28"/>
        <v>1</v>
      </c>
      <c r="W761" s="3">
        <f t="shared" si="29"/>
        <v>3.59</v>
      </c>
      <c r="X761" s="3">
        <f t="shared" si="30"/>
        <v>3.59</v>
      </c>
      <c r="Y761" s="25">
        <f t="shared" si="31"/>
        <v>0</v>
      </c>
      <c r="Z761" s="26">
        <f>VLOOKUP(R761,CPI!$A$2:$F$71,6,0)</f>
        <v>1.188745987</v>
      </c>
      <c r="AA761" s="27">
        <f t="shared" si="8"/>
        <v>507.974935</v>
      </c>
      <c r="AB761" s="27">
        <f t="shared" si="9"/>
        <v>141.4971964</v>
      </c>
      <c r="AC761" s="114"/>
      <c r="AD761" s="119" t="s">
        <v>1481</v>
      </c>
      <c r="AE761" s="114"/>
      <c r="AF761" s="114"/>
      <c r="AG761" s="114"/>
      <c r="AH761" s="114"/>
    </row>
    <row r="762">
      <c r="A762" s="114" t="s">
        <v>1443</v>
      </c>
      <c r="B762" s="114" t="s">
        <v>1451</v>
      </c>
      <c r="C762" s="171" t="s">
        <v>1453</v>
      </c>
      <c r="D762" s="115" t="s">
        <v>1483</v>
      </c>
      <c r="E762" s="116">
        <v>2022.0</v>
      </c>
      <c r="F762" s="114"/>
      <c r="G762" s="116">
        <v>0.0</v>
      </c>
      <c r="H762" s="116">
        <v>2.571</v>
      </c>
      <c r="I762" s="71">
        <v>1.0</v>
      </c>
      <c r="J762" s="116">
        <v>2.571</v>
      </c>
      <c r="K762" s="114"/>
      <c r="L762" s="114"/>
      <c r="M762" s="116">
        <v>1.0</v>
      </c>
      <c r="N762" s="116">
        <v>200.0</v>
      </c>
      <c r="O762" s="114"/>
      <c r="P762" s="73">
        <v>247400.0</v>
      </c>
      <c r="Q762" s="114" t="s">
        <v>1445</v>
      </c>
      <c r="R762" s="115">
        <v>2021.0</v>
      </c>
      <c r="S762" s="85">
        <v>0.0012</v>
      </c>
      <c r="T762" s="118">
        <f t="shared" si="90"/>
        <v>296.88</v>
      </c>
      <c r="U762" s="24">
        <f t="shared" si="3"/>
        <v>115.4725788</v>
      </c>
      <c r="V762" s="3">
        <f t="shared" si="28"/>
        <v>1</v>
      </c>
      <c r="W762" s="3">
        <f t="shared" si="29"/>
        <v>2.571</v>
      </c>
      <c r="X762" s="3">
        <f t="shared" si="30"/>
        <v>2.571</v>
      </c>
      <c r="Y762" s="25">
        <f t="shared" si="31"/>
        <v>0</v>
      </c>
      <c r="Z762" s="26">
        <f>VLOOKUP(R762,CPI!$A$2:$F$71,6,0)</f>
        <v>1.188745987</v>
      </c>
      <c r="AA762" s="27">
        <f t="shared" si="8"/>
        <v>352.9149085</v>
      </c>
      <c r="AB762" s="27">
        <f t="shared" si="9"/>
        <v>137.2675646</v>
      </c>
      <c r="AC762" s="114"/>
      <c r="AD762" s="119" t="s">
        <v>1481</v>
      </c>
      <c r="AE762" s="114"/>
      <c r="AF762" s="114"/>
      <c r="AG762" s="114"/>
      <c r="AH762" s="114"/>
    </row>
    <row r="763">
      <c r="A763" s="34" t="s">
        <v>1485</v>
      </c>
      <c r="B763" s="34" t="s">
        <v>1486</v>
      </c>
      <c r="C763" s="34" t="s">
        <v>1487</v>
      </c>
      <c r="D763" s="34" t="s">
        <v>1487</v>
      </c>
      <c r="E763" s="25">
        <v>2020.0</v>
      </c>
      <c r="F763" s="25">
        <v>2025.0</v>
      </c>
      <c r="G763" s="25">
        <v>0.0</v>
      </c>
      <c r="H763" s="25">
        <v>160.0</v>
      </c>
      <c r="I763" s="50">
        <v>0.35</v>
      </c>
      <c r="J763" s="324">
        <f>H763*I763</f>
        <v>56</v>
      </c>
      <c r="K763" s="51">
        <v>0.0</v>
      </c>
      <c r="L763" s="51">
        <v>0.0</v>
      </c>
      <c r="M763" s="25">
        <v>68.0</v>
      </c>
      <c r="N763" s="25"/>
      <c r="O763" s="26" t="s">
        <v>36</v>
      </c>
      <c r="P763" s="52">
        <v>20000.0</v>
      </c>
      <c r="Q763" s="34" t="s">
        <v>37</v>
      </c>
      <c r="R763" s="25">
        <v>2020.0</v>
      </c>
      <c r="S763" s="25">
        <v>1.52</v>
      </c>
      <c r="T763" s="25">
        <f t="shared" si="90"/>
        <v>30400</v>
      </c>
      <c r="U763" s="24">
        <f t="shared" si="3"/>
        <v>190</v>
      </c>
      <c r="V763" s="3">
        <f t="shared" si="28"/>
        <v>0</v>
      </c>
      <c r="W763" s="3">
        <f t="shared" si="29"/>
        <v>0</v>
      </c>
      <c r="X763" s="3">
        <f t="shared" si="30"/>
        <v>0</v>
      </c>
      <c r="Y763" s="25">
        <f t="shared" si="31"/>
        <v>0</v>
      </c>
      <c r="Z763" s="26">
        <f>VLOOKUP(R763,CPI!$A$2:$F$71,6,0)</f>
        <v>1.244593545</v>
      </c>
      <c r="AA763" s="27">
        <f t="shared" si="8"/>
        <v>37835.64377</v>
      </c>
      <c r="AB763" s="27">
        <f t="shared" si="9"/>
        <v>236.4727736</v>
      </c>
      <c r="AC763" s="26" t="s">
        <v>42</v>
      </c>
      <c r="AD763" s="325" t="s">
        <v>1488</v>
      </c>
      <c r="AE763" s="130"/>
      <c r="AF763" s="130"/>
      <c r="AG763" s="130"/>
      <c r="AH763" s="130"/>
    </row>
    <row r="764">
      <c r="A764" s="26" t="s">
        <v>1489</v>
      </c>
      <c r="B764" s="26" t="s">
        <v>1490</v>
      </c>
      <c r="C764" s="26" t="s">
        <v>87</v>
      </c>
      <c r="D764" s="26" t="s">
        <v>87</v>
      </c>
      <c r="E764" s="25">
        <v>2014.0</v>
      </c>
      <c r="F764" s="25">
        <v>2020.0</v>
      </c>
      <c r="G764" s="25">
        <v>0.0</v>
      </c>
      <c r="H764" s="25">
        <v>21.5</v>
      </c>
      <c r="I764" s="50">
        <v>0.25</v>
      </c>
      <c r="J764" s="25">
        <v>5.4</v>
      </c>
      <c r="K764" s="51">
        <v>14.595</v>
      </c>
      <c r="L764" s="51">
        <v>1.53</v>
      </c>
      <c r="M764" s="25">
        <v>18.0</v>
      </c>
      <c r="N764" s="25"/>
      <c r="O764" s="26" t="s">
        <v>36</v>
      </c>
      <c r="P764" s="52">
        <v>31500.0</v>
      </c>
      <c r="Q764" s="26" t="s">
        <v>1491</v>
      </c>
      <c r="R764" s="25">
        <v>2017.0</v>
      </c>
      <c r="S764" s="25">
        <v>0.106</v>
      </c>
      <c r="T764" s="25">
        <f t="shared" si="90"/>
        <v>3339</v>
      </c>
      <c r="U764" s="24">
        <f t="shared" si="3"/>
        <v>155.3023256</v>
      </c>
      <c r="V764" s="3">
        <f t="shared" si="28"/>
        <v>0</v>
      </c>
      <c r="W764" s="3">
        <f t="shared" si="29"/>
        <v>0</v>
      </c>
      <c r="X764" s="3">
        <f t="shared" si="30"/>
        <v>0</v>
      </c>
      <c r="Y764" s="25">
        <f t="shared" si="31"/>
        <v>0</v>
      </c>
      <c r="Z764" s="26">
        <f>VLOOKUP(R764,CPI!$A$2:$F$71,6,0)</f>
        <v>1.314109416</v>
      </c>
      <c r="AA764" s="27">
        <f t="shared" si="8"/>
        <v>4387.811339</v>
      </c>
      <c r="AB764" s="27">
        <f t="shared" si="9"/>
        <v>204.0842483</v>
      </c>
      <c r="AC764" s="26" t="s">
        <v>42</v>
      </c>
      <c r="AD764" s="53" t="s">
        <v>1492</v>
      </c>
      <c r="AE764" s="130"/>
      <c r="AF764" s="130"/>
      <c r="AG764" s="130"/>
      <c r="AH764" s="130"/>
    </row>
    <row r="765">
      <c r="A765" s="26" t="s">
        <v>1489</v>
      </c>
      <c r="B765" s="26" t="s">
        <v>1493</v>
      </c>
      <c r="C765" s="26" t="s">
        <v>287</v>
      </c>
      <c r="D765" s="26" t="s">
        <v>287</v>
      </c>
      <c r="E765" s="25">
        <v>2008.0</v>
      </c>
      <c r="F765" s="25">
        <v>2012.0</v>
      </c>
      <c r="G765" s="25">
        <v>0.0</v>
      </c>
      <c r="H765" s="25">
        <v>24.5</v>
      </c>
      <c r="I765" s="50">
        <v>0.43</v>
      </c>
      <c r="J765" s="25">
        <v>10.5</v>
      </c>
      <c r="K765" s="51">
        <v>12.57</v>
      </c>
      <c r="L765" s="51">
        <v>1.395</v>
      </c>
      <c r="M765" s="25">
        <v>20.0</v>
      </c>
      <c r="N765" s="25"/>
      <c r="O765" s="26" t="s">
        <v>74</v>
      </c>
      <c r="P765" s="52">
        <v>47906.0</v>
      </c>
      <c r="Q765" s="26" t="s">
        <v>1491</v>
      </c>
      <c r="R765" s="25">
        <v>2010.0</v>
      </c>
      <c r="S765" s="25">
        <v>0.13</v>
      </c>
      <c r="T765" s="25">
        <f t="shared" si="90"/>
        <v>6227.78</v>
      </c>
      <c r="U765" s="24">
        <f t="shared" si="3"/>
        <v>254.195102</v>
      </c>
      <c r="V765" s="3">
        <f t="shared" si="28"/>
        <v>0</v>
      </c>
      <c r="W765" s="3">
        <f t="shared" si="29"/>
        <v>0</v>
      </c>
      <c r="X765" s="3">
        <f t="shared" si="30"/>
        <v>0</v>
      </c>
      <c r="Y765" s="25">
        <f t="shared" si="31"/>
        <v>0</v>
      </c>
      <c r="Z765" s="26">
        <f>VLOOKUP(R765,CPI!$A$2:$F$71,6,0)</f>
        <v>1.477209983</v>
      </c>
      <c r="AA765" s="27">
        <f t="shared" si="8"/>
        <v>9199.738786</v>
      </c>
      <c r="AB765" s="27">
        <f t="shared" si="9"/>
        <v>375.4995423</v>
      </c>
      <c r="AC765" s="26" t="s">
        <v>42</v>
      </c>
      <c r="AD765" s="53" t="s">
        <v>1494</v>
      </c>
      <c r="AE765" s="130"/>
      <c r="AF765" s="130"/>
      <c r="AG765" s="130"/>
      <c r="AH765" s="130"/>
    </row>
    <row r="766">
      <c r="A766" s="26" t="s">
        <v>1495</v>
      </c>
      <c r="B766" s="26" t="s">
        <v>1496</v>
      </c>
      <c r="C766" s="26" t="s">
        <v>1497</v>
      </c>
      <c r="D766" s="26" t="s">
        <v>1497</v>
      </c>
      <c r="E766" s="25">
        <v>2012.0</v>
      </c>
      <c r="F766" s="25">
        <v>2017.0</v>
      </c>
      <c r="G766" s="25">
        <v>0.0</v>
      </c>
      <c r="H766" s="25">
        <v>51.0</v>
      </c>
      <c r="I766" s="50">
        <v>0.19</v>
      </c>
      <c r="J766" s="25">
        <v>9.5</v>
      </c>
      <c r="K766" s="51">
        <v>0.0</v>
      </c>
      <c r="L766" s="51">
        <v>0.0</v>
      </c>
      <c r="M766" s="25">
        <v>31.0</v>
      </c>
      <c r="N766" s="25"/>
      <c r="O766" s="26" t="s">
        <v>74</v>
      </c>
      <c r="P766" s="52">
        <v>21000.0</v>
      </c>
      <c r="Q766" s="26" t="s">
        <v>1498</v>
      </c>
      <c r="R766" s="25">
        <v>2014.0</v>
      </c>
      <c r="S766" s="25">
        <v>0.7</v>
      </c>
      <c r="T766" s="25">
        <f t="shared" si="90"/>
        <v>14700</v>
      </c>
      <c r="U766" s="24">
        <f t="shared" si="3"/>
        <v>288.2352941</v>
      </c>
      <c r="V766" s="3">
        <f t="shared" si="28"/>
        <v>0</v>
      </c>
      <c r="W766" s="3">
        <f t="shared" si="29"/>
        <v>0</v>
      </c>
      <c r="X766" s="3">
        <f t="shared" si="30"/>
        <v>0</v>
      </c>
      <c r="Y766" s="25">
        <f t="shared" si="31"/>
        <v>0</v>
      </c>
      <c r="Z766" s="26">
        <f>VLOOKUP(R766,CPI!$A$2:$F$71,6,0)</f>
        <v>1.360648571</v>
      </c>
      <c r="AA766" s="27">
        <f t="shared" si="8"/>
        <v>20001.53399</v>
      </c>
      <c r="AB766" s="27">
        <f t="shared" si="9"/>
        <v>392.1869409</v>
      </c>
      <c r="AC766" s="26" t="s">
        <v>42</v>
      </c>
      <c r="AD766" s="53" t="s">
        <v>1499</v>
      </c>
      <c r="AE766" s="130"/>
      <c r="AF766" s="130"/>
      <c r="AG766" s="130"/>
      <c r="AH766" s="130"/>
    </row>
    <row r="767">
      <c r="A767" s="26" t="s">
        <v>1495</v>
      </c>
      <c r="B767" s="26" t="s">
        <v>1496</v>
      </c>
      <c r="C767" s="26" t="s">
        <v>1500</v>
      </c>
      <c r="D767" s="26" t="s">
        <v>1500</v>
      </c>
      <c r="E767" s="25">
        <v>2016.0</v>
      </c>
      <c r="F767" s="25">
        <v>2023.0</v>
      </c>
      <c r="G767" s="25">
        <v>0.0</v>
      </c>
      <c r="H767" s="25">
        <v>52.2</v>
      </c>
      <c r="I767" s="50">
        <v>0.26</v>
      </c>
      <c r="J767" s="25">
        <v>13.5</v>
      </c>
      <c r="K767" s="51">
        <v>0.0</v>
      </c>
      <c r="L767" s="51">
        <v>0.0</v>
      </c>
      <c r="M767" s="25">
        <v>41.0</v>
      </c>
      <c r="N767" s="25"/>
      <c r="O767" s="26" t="s">
        <v>74</v>
      </c>
      <c r="P767" s="52">
        <v>30530.0</v>
      </c>
      <c r="Q767" s="26" t="s">
        <v>1498</v>
      </c>
      <c r="R767" s="25">
        <v>2019.0</v>
      </c>
      <c r="S767" s="25">
        <v>0.7</v>
      </c>
      <c r="T767" s="25">
        <f t="shared" si="90"/>
        <v>21371</v>
      </c>
      <c r="U767" s="24">
        <f t="shared" si="3"/>
        <v>409.4061303</v>
      </c>
      <c r="V767" s="3">
        <f t="shared" si="28"/>
        <v>0</v>
      </c>
      <c r="W767" s="3">
        <f t="shared" si="29"/>
        <v>0</v>
      </c>
      <c r="X767" s="3">
        <f t="shared" si="30"/>
        <v>0</v>
      </c>
      <c r="Y767" s="25">
        <f t="shared" si="31"/>
        <v>0</v>
      </c>
      <c r="Z767" s="26">
        <f>VLOOKUP(R767,CPI!$A$2:$F$71,6,0)</f>
        <v>1.259947899</v>
      </c>
      <c r="AA767" s="27">
        <f t="shared" si="8"/>
        <v>26926.34655</v>
      </c>
      <c r="AB767" s="27">
        <f t="shared" si="9"/>
        <v>515.8303936</v>
      </c>
      <c r="AC767" s="26" t="s">
        <v>42</v>
      </c>
      <c r="AD767" s="53" t="s">
        <v>1501</v>
      </c>
      <c r="AE767" s="130"/>
      <c r="AF767" s="130"/>
      <c r="AG767" s="130"/>
      <c r="AH767" s="130"/>
    </row>
    <row r="768">
      <c r="A768" s="26" t="s">
        <v>1502</v>
      </c>
      <c r="B768" s="26" t="s">
        <v>1503</v>
      </c>
      <c r="C768" s="63" t="s">
        <v>1504</v>
      </c>
      <c r="D768" s="63" t="s">
        <v>1504</v>
      </c>
      <c r="E768" s="25">
        <v>2003.0</v>
      </c>
      <c r="F768" s="25">
        <v>2018.0</v>
      </c>
      <c r="G768" s="25">
        <v>0.0</v>
      </c>
      <c r="H768" s="25">
        <v>9.7</v>
      </c>
      <c r="I768" s="50">
        <v>0.73</v>
      </c>
      <c r="J768" s="25">
        <v>7.1</v>
      </c>
      <c r="K768" s="51">
        <v>0.0</v>
      </c>
      <c r="L768" s="51">
        <v>0.0</v>
      </c>
      <c r="M768" s="25">
        <v>8.0</v>
      </c>
      <c r="N768" s="25"/>
      <c r="O768" s="26" t="s">
        <v>74</v>
      </c>
      <c r="P768" s="52">
        <v>3100.0</v>
      </c>
      <c r="Q768" s="26" t="s">
        <v>52</v>
      </c>
      <c r="R768" s="25">
        <v>2009.0</v>
      </c>
      <c r="S768" s="25">
        <v>1.3</v>
      </c>
      <c r="T768" s="25">
        <f t="shared" si="90"/>
        <v>4030</v>
      </c>
      <c r="U768" s="24">
        <f t="shared" si="3"/>
        <v>415.4639175</v>
      </c>
      <c r="V768" s="3">
        <f t="shared" si="28"/>
        <v>0</v>
      </c>
      <c r="W768" s="3">
        <f t="shared" si="29"/>
        <v>0</v>
      </c>
      <c r="X768" s="3">
        <f t="shared" si="30"/>
        <v>0</v>
      </c>
      <c r="Y768" s="25">
        <f t="shared" si="31"/>
        <v>0</v>
      </c>
      <c r="Z768" s="26">
        <f>VLOOKUP(R768,CPI!$A$2:$F$71,6,0)</f>
        <v>1.501440311</v>
      </c>
      <c r="AA768" s="27">
        <f t="shared" si="8"/>
        <v>6050.804453</v>
      </c>
      <c r="AB768" s="27">
        <f t="shared" si="9"/>
        <v>623.7942735</v>
      </c>
      <c r="AC768" s="26" t="s">
        <v>42</v>
      </c>
      <c r="AD768" s="53" t="s">
        <v>1505</v>
      </c>
      <c r="AE768" s="130"/>
      <c r="AF768" s="130"/>
      <c r="AG768" s="130"/>
      <c r="AH768" s="130"/>
    </row>
    <row r="769">
      <c r="A769" s="26" t="s">
        <v>1506</v>
      </c>
      <c r="B769" s="26" t="s">
        <v>1507</v>
      </c>
      <c r="C769" s="26" t="s">
        <v>1508</v>
      </c>
      <c r="D769" s="26" t="s">
        <v>1508</v>
      </c>
      <c r="E769" s="25">
        <v>2013.0</v>
      </c>
      <c r="F769" s="25">
        <v>2016.0</v>
      </c>
      <c r="G769" s="25">
        <v>0.0</v>
      </c>
      <c r="H769" s="25">
        <v>1.6</v>
      </c>
      <c r="I769" s="50">
        <v>1.0</v>
      </c>
      <c r="J769" s="25">
        <v>1.6</v>
      </c>
      <c r="K769" s="51">
        <v>0.0</v>
      </c>
      <c r="L769" s="51">
        <v>0.0</v>
      </c>
      <c r="M769" s="25">
        <v>1.0</v>
      </c>
      <c r="N769" s="25"/>
      <c r="O769" s="26" t="s">
        <v>36</v>
      </c>
      <c r="P769" s="52">
        <v>1330.0</v>
      </c>
      <c r="Q769" s="26" t="s">
        <v>1509</v>
      </c>
      <c r="R769" s="25">
        <v>2014.0</v>
      </c>
      <c r="S769" s="25">
        <v>0.107</v>
      </c>
      <c r="T769" s="25">
        <f t="shared" si="90"/>
        <v>142.31</v>
      </c>
      <c r="U769" s="24">
        <f t="shared" si="3"/>
        <v>88.94375</v>
      </c>
      <c r="V769" s="3">
        <f t="shared" si="28"/>
        <v>1</v>
      </c>
      <c r="W769" s="3">
        <f t="shared" si="29"/>
        <v>1.6</v>
      </c>
      <c r="X769" s="3">
        <f t="shared" si="30"/>
        <v>1.6</v>
      </c>
      <c r="Y769" s="25">
        <f t="shared" si="31"/>
        <v>0</v>
      </c>
      <c r="Z769" s="26">
        <f>VLOOKUP(R769,CPI!$A$2:$F$71,6,0)</f>
        <v>1.360648571</v>
      </c>
      <c r="AA769" s="27">
        <f t="shared" si="8"/>
        <v>193.6338981</v>
      </c>
      <c r="AB769" s="27">
        <f t="shared" si="9"/>
        <v>121.0211863</v>
      </c>
      <c r="AC769" s="26" t="s">
        <v>36</v>
      </c>
      <c r="AD769" s="57" t="s">
        <v>1510</v>
      </c>
      <c r="AE769" s="130"/>
      <c r="AF769" s="130"/>
      <c r="AG769" s="130"/>
      <c r="AH769" s="130"/>
    </row>
    <row r="770">
      <c r="A770" s="26" t="s">
        <v>1506</v>
      </c>
      <c r="B770" s="26" t="s">
        <v>1507</v>
      </c>
      <c r="C770" s="26" t="s">
        <v>1511</v>
      </c>
      <c r="D770" s="26" t="s">
        <v>1511</v>
      </c>
      <c r="E770" s="25">
        <v>2020.0</v>
      </c>
      <c r="F770" s="58">
        <v>2029.0</v>
      </c>
      <c r="G770" s="25">
        <v>0.0</v>
      </c>
      <c r="H770" s="25">
        <v>8.2</v>
      </c>
      <c r="I770" s="50">
        <v>1.0</v>
      </c>
      <c r="J770" s="25">
        <v>8.2</v>
      </c>
      <c r="K770" s="51">
        <v>0.0</v>
      </c>
      <c r="L770" s="51">
        <v>0.0</v>
      </c>
      <c r="M770" s="25">
        <v>6.0</v>
      </c>
      <c r="N770" s="25"/>
      <c r="O770" s="26" t="s">
        <v>60</v>
      </c>
      <c r="P770" s="55">
        <v>26400.0</v>
      </c>
      <c r="Q770" s="26" t="s">
        <v>1509</v>
      </c>
      <c r="R770" s="58">
        <v>2021.0</v>
      </c>
      <c r="S770" s="58">
        <v>0.103</v>
      </c>
      <c r="T770" s="25">
        <f t="shared" si="90"/>
        <v>2719.2</v>
      </c>
      <c r="U770" s="24">
        <f t="shared" si="3"/>
        <v>331.6097561</v>
      </c>
      <c r="V770" s="3">
        <f t="shared" si="28"/>
        <v>1</v>
      </c>
      <c r="W770" s="3">
        <f t="shared" si="29"/>
        <v>8.2</v>
      </c>
      <c r="X770" s="3">
        <f t="shared" si="30"/>
        <v>8.2</v>
      </c>
      <c r="Y770" s="25">
        <f t="shared" si="31"/>
        <v>0</v>
      </c>
      <c r="Z770" s="26">
        <f>VLOOKUP(R770,CPI!$A$2:$F$71,6,0)</f>
        <v>1.188745987</v>
      </c>
      <c r="AA770" s="27">
        <f t="shared" si="8"/>
        <v>3232.438087</v>
      </c>
      <c r="AB770" s="27">
        <f t="shared" si="9"/>
        <v>394.1997667</v>
      </c>
      <c r="AC770" s="63" t="s">
        <v>42</v>
      </c>
      <c r="AD770" s="109" t="s">
        <v>1512</v>
      </c>
      <c r="AE770" s="130"/>
      <c r="AF770" s="130"/>
      <c r="AG770" s="130"/>
      <c r="AH770" s="130"/>
    </row>
    <row r="771">
      <c r="A771" s="26" t="s">
        <v>1513</v>
      </c>
      <c r="B771" s="26" t="s">
        <v>1514</v>
      </c>
      <c r="C771" s="26" t="s">
        <v>1515</v>
      </c>
      <c r="D771" s="26" t="s">
        <v>1515</v>
      </c>
      <c r="E771" s="25">
        <v>2013.0</v>
      </c>
      <c r="F771" s="25">
        <v>2024.0</v>
      </c>
      <c r="G771" s="25">
        <v>1.0</v>
      </c>
      <c r="H771" s="25">
        <v>3.5</v>
      </c>
      <c r="I771" s="50">
        <v>1.0</v>
      </c>
      <c r="J771" s="25">
        <v>3.5</v>
      </c>
      <c r="K771" s="51">
        <v>0.0</v>
      </c>
      <c r="L771" s="51">
        <v>0.0</v>
      </c>
      <c r="M771" s="25">
        <v>4.0</v>
      </c>
      <c r="N771" s="25"/>
      <c r="O771" s="26" t="s">
        <v>74</v>
      </c>
      <c r="P771" s="52">
        <v>4419.0</v>
      </c>
      <c r="Q771" s="26" t="s">
        <v>1516</v>
      </c>
      <c r="R771" s="25">
        <v>2018.0</v>
      </c>
      <c r="S771" s="25">
        <v>0.677</v>
      </c>
      <c r="T771" s="25">
        <f t="shared" si="90"/>
        <v>2991.663</v>
      </c>
      <c r="U771" s="24">
        <f t="shared" si="3"/>
        <v>854.7608571</v>
      </c>
      <c r="V771" s="3">
        <f t="shared" si="28"/>
        <v>0</v>
      </c>
      <c r="W771" s="3">
        <f t="shared" si="29"/>
        <v>0</v>
      </c>
      <c r="X771" s="3">
        <f t="shared" si="30"/>
        <v>0</v>
      </c>
      <c r="Y771" s="25">
        <f t="shared" si="31"/>
        <v>1</v>
      </c>
      <c r="Z771" s="26">
        <f>VLOOKUP(R771,CPI!$A$2:$F$71,6,0)</f>
        <v>1.28277786</v>
      </c>
      <c r="AA771" s="27">
        <f t="shared" si="8"/>
        <v>3837.63906</v>
      </c>
      <c r="AB771" s="27">
        <f t="shared" si="9"/>
        <v>1096.468303</v>
      </c>
      <c r="AC771" s="26" t="s">
        <v>60</v>
      </c>
      <c r="AD771" s="53" t="s">
        <v>1517</v>
      </c>
      <c r="AE771" s="130"/>
      <c r="AF771" s="130"/>
      <c r="AG771" s="130"/>
      <c r="AH771" s="130"/>
    </row>
    <row r="772">
      <c r="A772" s="26" t="s">
        <v>1518</v>
      </c>
      <c r="B772" s="26" t="s">
        <v>1519</v>
      </c>
      <c r="C772" s="326" t="s">
        <v>57</v>
      </c>
      <c r="D772" s="26" t="s">
        <v>57</v>
      </c>
      <c r="E772" s="25">
        <v>2010.0</v>
      </c>
      <c r="F772" s="25">
        <v>2014.0</v>
      </c>
      <c r="G772" s="25">
        <v>0.0</v>
      </c>
      <c r="H772" s="25">
        <v>13.7</v>
      </c>
      <c r="I772" s="50">
        <v>0.53</v>
      </c>
      <c r="J772" s="25">
        <v>7.3</v>
      </c>
      <c r="K772" s="51">
        <v>4.69</v>
      </c>
      <c r="L772" s="51">
        <v>1.749</v>
      </c>
      <c r="M772" s="25">
        <v>12.0</v>
      </c>
      <c r="N772" s="25"/>
      <c r="O772" s="26" t="s">
        <v>74</v>
      </c>
      <c r="P772" s="52">
        <v>2009.0</v>
      </c>
      <c r="Q772" s="26" t="s">
        <v>37</v>
      </c>
      <c r="R772" s="25">
        <v>2012.0</v>
      </c>
      <c r="S772" s="25">
        <v>1.74</v>
      </c>
      <c r="T772" s="25">
        <f t="shared" si="90"/>
        <v>3495.66</v>
      </c>
      <c r="U772" s="24">
        <f t="shared" si="3"/>
        <v>255.1576642</v>
      </c>
      <c r="V772" s="3">
        <f t="shared" si="28"/>
        <v>0</v>
      </c>
      <c r="W772" s="3">
        <f t="shared" si="29"/>
        <v>0</v>
      </c>
      <c r="X772" s="3">
        <f t="shared" si="30"/>
        <v>0</v>
      </c>
      <c r="Y772" s="25">
        <f t="shared" si="31"/>
        <v>0</v>
      </c>
      <c r="Z772" s="26">
        <f>VLOOKUP(R772,CPI!$A$2:$F$71,6,0)</f>
        <v>1.402974381</v>
      </c>
      <c r="AA772" s="27">
        <f t="shared" si="8"/>
        <v>4904.321424</v>
      </c>
      <c r="AB772" s="27">
        <f t="shared" si="9"/>
        <v>357.979666</v>
      </c>
      <c r="AC772" s="26" t="s">
        <v>42</v>
      </c>
      <c r="AD772" s="53" t="s">
        <v>1520</v>
      </c>
      <c r="AE772" s="130"/>
      <c r="AF772" s="130"/>
      <c r="AG772" s="130"/>
      <c r="AH772" s="130"/>
    </row>
    <row r="773">
      <c r="A773" s="26" t="s">
        <v>1518</v>
      </c>
      <c r="B773" s="26" t="s">
        <v>1519</v>
      </c>
      <c r="C773" s="26" t="s">
        <v>54</v>
      </c>
      <c r="D773" s="26" t="s">
        <v>54</v>
      </c>
      <c r="E773" s="25">
        <v>2015.0</v>
      </c>
      <c r="F773" s="25">
        <v>2019.0</v>
      </c>
      <c r="G773" s="25">
        <v>0.0</v>
      </c>
      <c r="H773" s="25">
        <v>21.0</v>
      </c>
      <c r="I773" s="50">
        <v>0.0</v>
      </c>
      <c r="J773" s="25">
        <v>0.0</v>
      </c>
      <c r="K773" s="51">
        <v>21.0</v>
      </c>
      <c r="L773" s="51">
        <v>0.0</v>
      </c>
      <c r="M773" s="25">
        <v>16.0</v>
      </c>
      <c r="N773" s="25"/>
      <c r="O773" s="26" t="s">
        <v>36</v>
      </c>
      <c r="P773" s="52">
        <v>2130.0</v>
      </c>
      <c r="Q773" s="26" t="s">
        <v>37</v>
      </c>
      <c r="R773" s="25">
        <v>2017.0</v>
      </c>
      <c r="S773" s="25">
        <v>2.01</v>
      </c>
      <c r="T773" s="25">
        <f t="shared" si="90"/>
        <v>4281.3</v>
      </c>
      <c r="U773" s="24">
        <f t="shared" si="3"/>
        <v>203.8714286</v>
      </c>
      <c r="V773" s="3">
        <f t="shared" si="28"/>
        <v>0</v>
      </c>
      <c r="W773" s="3">
        <f t="shared" si="29"/>
        <v>0</v>
      </c>
      <c r="X773" s="3">
        <f t="shared" si="30"/>
        <v>0</v>
      </c>
      <c r="Y773" s="25">
        <f t="shared" si="31"/>
        <v>0</v>
      </c>
      <c r="Z773" s="26">
        <f>VLOOKUP(R773,CPI!$A$2:$F$71,6,0)</f>
        <v>1.314109416</v>
      </c>
      <c r="AA773" s="27">
        <f t="shared" si="8"/>
        <v>5626.096642</v>
      </c>
      <c r="AB773" s="27">
        <f t="shared" si="9"/>
        <v>267.9093639</v>
      </c>
      <c r="AC773" s="26" t="s">
        <v>36</v>
      </c>
      <c r="AD773" s="53" t="s">
        <v>1521</v>
      </c>
      <c r="AE773" s="130"/>
      <c r="AF773" s="130"/>
      <c r="AG773" s="130"/>
      <c r="AH773" s="130"/>
    </row>
    <row r="774">
      <c r="A774" s="26" t="s">
        <v>1518</v>
      </c>
      <c r="B774" s="26" t="s">
        <v>1519</v>
      </c>
      <c r="C774" s="26" t="s">
        <v>87</v>
      </c>
      <c r="D774" s="26" t="s">
        <v>87</v>
      </c>
      <c r="E774" s="25">
        <v>2020.0</v>
      </c>
      <c r="F774" s="58">
        <v>2028.0</v>
      </c>
      <c r="G774" s="25">
        <v>0.0</v>
      </c>
      <c r="H774" s="58">
        <v>24.5</v>
      </c>
      <c r="I774" s="59">
        <v>0.27</v>
      </c>
      <c r="J774" s="58">
        <v>6.5</v>
      </c>
      <c r="K774" s="58">
        <v>18.0</v>
      </c>
      <c r="L774" s="51">
        <v>0.0</v>
      </c>
      <c r="M774" s="25">
        <v>14.0</v>
      </c>
      <c r="N774" s="25"/>
      <c r="O774" s="63" t="s">
        <v>74</v>
      </c>
      <c r="P774" s="55">
        <v>4000.0</v>
      </c>
      <c r="Q774" s="63" t="s">
        <v>1522</v>
      </c>
      <c r="R774" s="58">
        <v>2024.0</v>
      </c>
      <c r="S774" s="25">
        <v>2.08</v>
      </c>
      <c r="T774" s="25">
        <f t="shared" si="90"/>
        <v>8320</v>
      </c>
      <c r="U774" s="24">
        <f t="shared" si="3"/>
        <v>339.5918367</v>
      </c>
      <c r="V774" s="3">
        <f t="shared" si="28"/>
        <v>0</v>
      </c>
      <c r="W774" s="3">
        <f t="shared" si="29"/>
        <v>0</v>
      </c>
      <c r="X774" s="3">
        <f t="shared" si="30"/>
        <v>0</v>
      </c>
      <c r="Y774" s="25">
        <f t="shared" si="31"/>
        <v>0</v>
      </c>
      <c r="Z774" s="26">
        <f>VLOOKUP(R774,CPI!$A$2:$F$71,6,0)</f>
        <v>1</v>
      </c>
      <c r="AA774" s="27">
        <f t="shared" si="8"/>
        <v>8320</v>
      </c>
      <c r="AB774" s="27">
        <f t="shared" si="9"/>
        <v>339.5918367</v>
      </c>
      <c r="AC774" s="26" t="s">
        <v>36</v>
      </c>
      <c r="AD774" s="56" t="s">
        <v>1523</v>
      </c>
      <c r="AE774" s="130"/>
      <c r="AF774" s="130"/>
      <c r="AG774" s="130"/>
      <c r="AH774" s="130"/>
    </row>
    <row r="775">
      <c r="A775" s="26" t="s">
        <v>1524</v>
      </c>
      <c r="B775" s="26" t="s">
        <v>1525</v>
      </c>
      <c r="C775" s="26" t="s">
        <v>54</v>
      </c>
      <c r="D775" s="26" t="s">
        <v>54</v>
      </c>
      <c r="E775" s="25">
        <v>2014.0</v>
      </c>
      <c r="F775" s="25">
        <v>2025.0</v>
      </c>
      <c r="G775" s="25">
        <v>0.0</v>
      </c>
      <c r="H775" s="25">
        <v>35.0</v>
      </c>
      <c r="I775" s="50">
        <v>1.0</v>
      </c>
      <c r="J775" s="25">
        <v>35.0</v>
      </c>
      <c r="K775" s="51">
        <v>0.0</v>
      </c>
      <c r="L775" s="51">
        <v>0.0</v>
      </c>
      <c r="M775" s="25">
        <v>35.0</v>
      </c>
      <c r="N775" s="25"/>
      <c r="O775" s="26" t="s">
        <v>36</v>
      </c>
      <c r="P775" s="52">
        <v>5836.0</v>
      </c>
      <c r="Q775" s="26" t="s">
        <v>37</v>
      </c>
      <c r="R775" s="25">
        <v>2019.0</v>
      </c>
      <c r="S775" s="25">
        <v>1.9</v>
      </c>
      <c r="T775" s="25">
        <f t="shared" si="90"/>
        <v>11088.4</v>
      </c>
      <c r="U775" s="24">
        <f t="shared" si="3"/>
        <v>316.8114286</v>
      </c>
      <c r="V775" s="3">
        <f t="shared" si="28"/>
        <v>0</v>
      </c>
      <c r="W775" s="3">
        <f t="shared" si="29"/>
        <v>0</v>
      </c>
      <c r="X775" s="3">
        <f t="shared" si="30"/>
        <v>0</v>
      </c>
      <c r="Y775" s="25">
        <f t="shared" si="31"/>
        <v>0</v>
      </c>
      <c r="Z775" s="26">
        <f>VLOOKUP(R775,CPI!$A$2:$F$71,6,0)</f>
        <v>1.259947899</v>
      </c>
      <c r="AA775" s="27">
        <f t="shared" si="8"/>
        <v>13970.80628</v>
      </c>
      <c r="AB775" s="27">
        <f t="shared" si="9"/>
        <v>399.1658938</v>
      </c>
      <c r="AC775" s="26" t="s">
        <v>60</v>
      </c>
      <c r="AD775" s="53" t="s">
        <v>1526</v>
      </c>
      <c r="AE775" s="130"/>
      <c r="AF775" s="130"/>
      <c r="AG775" s="130"/>
      <c r="AH775" s="130"/>
    </row>
    <row r="776">
      <c r="A776" s="26" t="s">
        <v>1527</v>
      </c>
      <c r="B776" s="26" t="s">
        <v>1528</v>
      </c>
      <c r="C776" s="26" t="s">
        <v>228</v>
      </c>
      <c r="D776" s="26" t="s">
        <v>228</v>
      </c>
      <c r="E776" s="25">
        <v>2015.0</v>
      </c>
      <c r="F776" s="25">
        <v>2021.0</v>
      </c>
      <c r="G776" s="25">
        <v>0.0</v>
      </c>
      <c r="H776" s="25">
        <v>22.8</v>
      </c>
      <c r="I776" s="50">
        <v>0.15</v>
      </c>
      <c r="J776" s="25">
        <v>3.4</v>
      </c>
      <c r="K776" s="51">
        <v>0.0</v>
      </c>
      <c r="L776" s="51">
        <v>0.0</v>
      </c>
      <c r="M776" s="25">
        <v>14.0</v>
      </c>
      <c r="N776" s="25"/>
      <c r="O776" s="26" t="s">
        <v>59</v>
      </c>
      <c r="P776" s="52">
        <v>69300.0</v>
      </c>
      <c r="Q776" s="26" t="s">
        <v>1529</v>
      </c>
      <c r="R776" s="25">
        <v>2018.0</v>
      </c>
      <c r="S776" s="25">
        <v>0.055</v>
      </c>
      <c r="T776" s="25">
        <f t="shared" si="90"/>
        <v>3811.5</v>
      </c>
      <c r="U776" s="24">
        <f t="shared" si="3"/>
        <v>167.1710526</v>
      </c>
      <c r="V776" s="3">
        <f t="shared" si="28"/>
        <v>0</v>
      </c>
      <c r="W776" s="3">
        <f t="shared" si="29"/>
        <v>0</v>
      </c>
      <c r="X776" s="3">
        <f t="shared" si="30"/>
        <v>0</v>
      </c>
      <c r="Y776" s="25">
        <f t="shared" si="31"/>
        <v>0</v>
      </c>
      <c r="Z776" s="26">
        <f>VLOOKUP(R776,CPI!$A$2:$F$71,6,0)</f>
        <v>1.28277786</v>
      </c>
      <c r="AA776" s="27">
        <f t="shared" si="8"/>
        <v>4889.307812</v>
      </c>
      <c r="AB776" s="27">
        <f t="shared" si="9"/>
        <v>214.4433251</v>
      </c>
      <c r="AC776" s="26" t="s">
        <v>36</v>
      </c>
      <c r="AD776" s="57" t="s">
        <v>1530</v>
      </c>
      <c r="AE776" s="130"/>
      <c r="AF776" s="130"/>
      <c r="AG776" s="130"/>
      <c r="AH776" s="130"/>
    </row>
    <row r="777">
      <c r="A777" s="26" t="s">
        <v>1527</v>
      </c>
      <c r="B777" s="26" t="s">
        <v>1528</v>
      </c>
      <c r="C777" s="26" t="s">
        <v>84</v>
      </c>
      <c r="D777" s="26" t="s">
        <v>84</v>
      </c>
      <c r="E777" s="25">
        <v>2019.0</v>
      </c>
      <c r="F777" s="25">
        <v>2025.0</v>
      </c>
      <c r="G777" s="25">
        <v>0.0</v>
      </c>
      <c r="H777" s="25">
        <v>11.0</v>
      </c>
      <c r="I777" s="50">
        <v>1.0</v>
      </c>
      <c r="J777" s="25">
        <v>11.0</v>
      </c>
      <c r="K777" s="51">
        <v>0.0</v>
      </c>
      <c r="L777" s="51">
        <v>0.0</v>
      </c>
      <c r="M777" s="25">
        <v>10.0</v>
      </c>
      <c r="N777" s="25"/>
      <c r="O777" s="26" t="s">
        <v>42</v>
      </c>
      <c r="P777" s="52">
        <v>2500.0</v>
      </c>
      <c r="Q777" s="26" t="s">
        <v>37</v>
      </c>
      <c r="R777" s="25">
        <v>2022.0</v>
      </c>
      <c r="S777" s="25">
        <v>2.66</v>
      </c>
      <c r="T777" s="25">
        <f t="shared" si="90"/>
        <v>6650</v>
      </c>
      <c r="U777" s="24">
        <f t="shared" si="3"/>
        <v>604.5454545</v>
      </c>
      <c r="V777" s="3">
        <f t="shared" si="28"/>
        <v>0</v>
      </c>
      <c r="W777" s="3">
        <f t="shared" si="29"/>
        <v>0</v>
      </c>
      <c r="X777" s="3">
        <f t="shared" si="30"/>
        <v>0</v>
      </c>
      <c r="Y777" s="25">
        <f t="shared" si="31"/>
        <v>0</v>
      </c>
      <c r="Z777" s="26">
        <f>VLOOKUP(R777,CPI!$A$2:$F$71,6,0)</f>
        <v>1.100662897</v>
      </c>
      <c r="AA777" s="27">
        <f t="shared" si="8"/>
        <v>7319.408262</v>
      </c>
      <c r="AB777" s="27">
        <f t="shared" si="9"/>
        <v>665.4007511</v>
      </c>
      <c r="AC777" s="26" t="s">
        <v>42</v>
      </c>
      <c r="AD777" s="57" t="s">
        <v>1531</v>
      </c>
      <c r="AE777" s="130"/>
      <c r="AF777" s="130"/>
      <c r="AG777" s="130"/>
      <c r="AH777" s="130"/>
    </row>
    <row r="778">
      <c r="A778" s="26" t="s">
        <v>1527</v>
      </c>
      <c r="B778" s="26" t="s">
        <v>1528</v>
      </c>
      <c r="C778" s="26" t="s">
        <v>253</v>
      </c>
      <c r="D778" s="26" t="s">
        <v>253</v>
      </c>
      <c r="E778" s="25">
        <v>2019.0</v>
      </c>
      <c r="F778" s="25">
        <v>2025.0</v>
      </c>
      <c r="G778" s="25">
        <v>0.0</v>
      </c>
      <c r="H778" s="25">
        <v>28.3</v>
      </c>
      <c r="I778" s="50">
        <v>1.0</v>
      </c>
      <c r="J778" s="25">
        <v>28.3</v>
      </c>
      <c r="K778" s="51">
        <v>0.0</v>
      </c>
      <c r="L778" s="51">
        <v>0.0</v>
      </c>
      <c r="M778" s="25">
        <v>13.0</v>
      </c>
      <c r="N778" s="25"/>
      <c r="O778" s="26" t="s">
        <v>42</v>
      </c>
      <c r="P778" s="52">
        <v>356960.0</v>
      </c>
      <c r="Q778" s="26" t="s">
        <v>1529</v>
      </c>
      <c r="R778" s="25">
        <v>2022.0</v>
      </c>
      <c r="S778" s="25">
        <v>0.055</v>
      </c>
      <c r="T778" s="25">
        <f t="shared" si="90"/>
        <v>19632.8</v>
      </c>
      <c r="U778" s="24">
        <f t="shared" si="3"/>
        <v>693.7385159</v>
      </c>
      <c r="V778" s="3">
        <f t="shared" si="28"/>
        <v>0</v>
      </c>
      <c r="W778" s="3">
        <f t="shared" si="29"/>
        <v>0</v>
      </c>
      <c r="X778" s="3">
        <f t="shared" si="30"/>
        <v>0</v>
      </c>
      <c r="Y778" s="25">
        <f t="shared" si="31"/>
        <v>0</v>
      </c>
      <c r="Z778" s="26">
        <f>VLOOKUP(R778,CPI!$A$2:$F$71,6,0)</f>
        <v>1.100662897</v>
      </c>
      <c r="AA778" s="27">
        <f t="shared" si="8"/>
        <v>21609.09452</v>
      </c>
      <c r="AB778" s="27">
        <f t="shared" si="9"/>
        <v>763.5722444</v>
      </c>
      <c r="AC778" s="26" t="s">
        <v>42</v>
      </c>
      <c r="AD778" s="53" t="s">
        <v>1532</v>
      </c>
      <c r="AE778" s="130"/>
      <c r="AF778" s="130"/>
      <c r="AG778" s="130"/>
      <c r="AH778" s="130"/>
    </row>
    <row r="779">
      <c r="A779" s="26" t="s">
        <v>1527</v>
      </c>
      <c r="B779" s="26" t="s">
        <v>1528</v>
      </c>
      <c r="C779" s="26" t="s">
        <v>110</v>
      </c>
      <c r="D779" s="26" t="s">
        <v>110</v>
      </c>
      <c r="E779" s="25">
        <v>2021.0</v>
      </c>
      <c r="F779" s="25">
        <v>2025.0</v>
      </c>
      <c r="G779" s="25">
        <v>0.0</v>
      </c>
      <c r="H779" s="25">
        <v>15.6</v>
      </c>
      <c r="I779" s="50">
        <v>0.0</v>
      </c>
      <c r="J779" s="25">
        <v>0.0</v>
      </c>
      <c r="K779" s="51">
        <v>0.0</v>
      </c>
      <c r="L779" s="51">
        <v>0.0</v>
      </c>
      <c r="M779" s="25">
        <v>11.0</v>
      </c>
      <c r="N779" s="25"/>
      <c r="O779" s="26" t="s">
        <v>74</v>
      </c>
      <c r="P779" s="52">
        <v>59300.0</v>
      </c>
      <c r="Q779" s="26" t="s">
        <v>1529</v>
      </c>
      <c r="R779" s="25">
        <v>2023.0</v>
      </c>
      <c r="S779" s="25">
        <v>0.055</v>
      </c>
      <c r="T779" s="25">
        <f t="shared" si="90"/>
        <v>3261.5</v>
      </c>
      <c r="U779" s="24">
        <f t="shared" si="3"/>
        <v>209.0705128</v>
      </c>
      <c r="V779" s="3">
        <f t="shared" si="28"/>
        <v>0</v>
      </c>
      <c r="W779" s="3">
        <f t="shared" si="29"/>
        <v>0</v>
      </c>
      <c r="X779" s="3">
        <f t="shared" si="30"/>
        <v>0</v>
      </c>
      <c r="Y779" s="25">
        <f t="shared" si="31"/>
        <v>0</v>
      </c>
      <c r="Z779" s="26">
        <f>VLOOKUP(R779,CPI!$A$2:$F$71,6,0)</f>
        <v>1.057145998</v>
      </c>
      <c r="AA779" s="27">
        <f t="shared" si="8"/>
        <v>3447.881674</v>
      </c>
      <c r="AB779" s="27">
        <f t="shared" si="9"/>
        <v>221.018056</v>
      </c>
      <c r="AC779" s="26" t="s">
        <v>42</v>
      </c>
      <c r="AD779" s="57" t="s">
        <v>1533</v>
      </c>
      <c r="AE779" s="130"/>
      <c r="AF779" s="130"/>
      <c r="AG779" s="130"/>
      <c r="AH779" s="130"/>
    </row>
    <row r="780">
      <c r="A780" s="26" t="s">
        <v>1534</v>
      </c>
      <c r="B780" s="26" t="s">
        <v>1535</v>
      </c>
      <c r="C780" s="26" t="s">
        <v>1536</v>
      </c>
      <c r="D780" s="26" t="s">
        <v>1536</v>
      </c>
      <c r="E780" s="25">
        <v>2015.0</v>
      </c>
      <c r="F780" s="25">
        <v>2020.0</v>
      </c>
      <c r="G780" s="25">
        <v>0.0</v>
      </c>
      <c r="H780" s="25">
        <v>27.1</v>
      </c>
      <c r="I780" s="50">
        <v>0.06</v>
      </c>
      <c r="J780" s="25">
        <v>1.6</v>
      </c>
      <c r="K780" s="51">
        <v>0.0</v>
      </c>
      <c r="L780" s="51">
        <v>0.0</v>
      </c>
      <c r="M780" s="25">
        <v>26.0</v>
      </c>
      <c r="N780" s="25"/>
      <c r="O780" s="26" t="s">
        <v>74</v>
      </c>
      <c r="P780" s="52">
        <v>183000.0</v>
      </c>
      <c r="Q780" s="26" t="s">
        <v>1537</v>
      </c>
      <c r="R780" s="25">
        <v>2017.0</v>
      </c>
      <c r="S780" s="25">
        <v>0.033</v>
      </c>
      <c r="T780" s="25">
        <f t="shared" si="90"/>
        <v>6039</v>
      </c>
      <c r="U780" s="24">
        <f t="shared" si="3"/>
        <v>222.8413284</v>
      </c>
      <c r="V780" s="3">
        <f t="shared" si="28"/>
        <v>0</v>
      </c>
      <c r="W780" s="3">
        <f t="shared" si="29"/>
        <v>0</v>
      </c>
      <c r="X780" s="3">
        <f t="shared" si="30"/>
        <v>0</v>
      </c>
      <c r="Y780" s="25">
        <f t="shared" si="31"/>
        <v>0</v>
      </c>
      <c r="Z780" s="26">
        <f>VLOOKUP(R780,CPI!$A$2:$F$71,6,0)</f>
        <v>1.314109416</v>
      </c>
      <c r="AA780" s="27">
        <f t="shared" si="8"/>
        <v>7935.906762</v>
      </c>
      <c r="AB780" s="27">
        <f t="shared" si="9"/>
        <v>292.8378879</v>
      </c>
      <c r="AC780" s="26" t="s">
        <v>42</v>
      </c>
      <c r="AD780" s="57" t="s">
        <v>1538</v>
      </c>
      <c r="AE780" s="130"/>
      <c r="AF780" s="130"/>
      <c r="AG780" s="130"/>
      <c r="AH780" s="130"/>
    </row>
    <row r="781">
      <c r="A781" s="142" t="s">
        <v>1539</v>
      </c>
      <c r="B781" s="142" t="s">
        <v>1540</v>
      </c>
      <c r="C781" s="142" t="s">
        <v>1541</v>
      </c>
      <c r="D781" s="142" t="s">
        <v>1541</v>
      </c>
      <c r="E781" s="152">
        <v>2018.0</v>
      </c>
      <c r="F781" s="152">
        <v>2023.0</v>
      </c>
      <c r="G781" s="152">
        <v>1.0</v>
      </c>
      <c r="H781" s="152">
        <v>5.25</v>
      </c>
      <c r="I781" s="244">
        <v>1.0</v>
      </c>
      <c r="J781" s="152">
        <v>5.25</v>
      </c>
      <c r="K781" s="75">
        <v>0.0</v>
      </c>
      <c r="L781" s="75">
        <v>0.0</v>
      </c>
      <c r="M781" s="152">
        <v>2.0</v>
      </c>
      <c r="N781" s="152"/>
      <c r="O781" s="142" t="s">
        <v>74</v>
      </c>
      <c r="P781" s="245">
        <v>1760.0</v>
      </c>
      <c r="Q781" s="142" t="s">
        <v>1542</v>
      </c>
      <c r="R781" s="152">
        <v>2020.0</v>
      </c>
      <c r="S781" s="152">
        <v>0.561</v>
      </c>
      <c r="T781" s="75">
        <f t="shared" si="90"/>
        <v>987.36</v>
      </c>
      <c r="U781" s="24">
        <f t="shared" si="3"/>
        <v>188.0685714</v>
      </c>
      <c r="V781" s="3">
        <f t="shared" si="28"/>
        <v>0</v>
      </c>
      <c r="W781" s="3">
        <f t="shared" si="29"/>
        <v>0</v>
      </c>
      <c r="X781" s="3">
        <f t="shared" si="30"/>
        <v>0</v>
      </c>
      <c r="Y781" s="25">
        <f t="shared" si="31"/>
        <v>0</v>
      </c>
      <c r="Z781" s="26">
        <f>VLOOKUP(R781,CPI!$A$2:$F$71,6,0)</f>
        <v>1.244593545</v>
      </c>
      <c r="AA781" s="27">
        <f t="shared" si="8"/>
        <v>1228.861883</v>
      </c>
      <c r="AB781" s="27">
        <f t="shared" si="9"/>
        <v>234.06893</v>
      </c>
      <c r="AC781" s="63" t="s">
        <v>36</v>
      </c>
      <c r="AD781" s="246" t="s">
        <v>1543</v>
      </c>
      <c r="AE781" s="7"/>
      <c r="AF781" s="7"/>
      <c r="AG781" s="7"/>
      <c r="AH781" s="7"/>
    </row>
    <row r="782">
      <c r="A782" s="2" t="s">
        <v>1539</v>
      </c>
      <c r="B782" s="2" t="s">
        <v>1544</v>
      </c>
      <c r="C782" s="1" t="s">
        <v>54</v>
      </c>
      <c r="D782" s="2" t="s">
        <v>54</v>
      </c>
      <c r="E782" s="3">
        <v>2010.0</v>
      </c>
      <c r="F782" s="3">
        <v>2015.0</v>
      </c>
      <c r="G782" s="3">
        <v>0.0</v>
      </c>
      <c r="H782" s="3">
        <v>6.5</v>
      </c>
      <c r="I782" s="50">
        <v>1.0</v>
      </c>
      <c r="J782" s="3">
        <v>6.5</v>
      </c>
      <c r="K782" s="40">
        <v>0.0</v>
      </c>
      <c r="L782" s="40">
        <v>0.0</v>
      </c>
      <c r="M782" s="3">
        <v>7.0</v>
      </c>
      <c r="N782" s="3"/>
      <c r="O782" s="2" t="s">
        <v>36</v>
      </c>
      <c r="P782" s="3">
        <v>5900.0</v>
      </c>
      <c r="Q782" s="2" t="s">
        <v>1542</v>
      </c>
      <c r="R782" s="3">
        <v>2012.0</v>
      </c>
      <c r="S782" s="3">
        <v>0.557</v>
      </c>
      <c r="T782" s="3">
        <f t="shared" si="90"/>
        <v>3286.3</v>
      </c>
      <c r="U782" s="24">
        <f t="shared" si="3"/>
        <v>505.5846154</v>
      </c>
      <c r="V782" s="3">
        <f t="shared" si="28"/>
        <v>0</v>
      </c>
      <c r="W782" s="3">
        <f t="shared" si="29"/>
        <v>0</v>
      </c>
      <c r="X782" s="3">
        <f t="shared" si="30"/>
        <v>0</v>
      </c>
      <c r="Y782" s="25">
        <f t="shared" si="31"/>
        <v>0</v>
      </c>
      <c r="Z782" s="26">
        <f>VLOOKUP(R782,CPI!$A$2:$F$71,6,0)</f>
        <v>1.402974381</v>
      </c>
      <c r="AA782" s="27">
        <f t="shared" si="8"/>
        <v>4610.594708</v>
      </c>
      <c r="AB782" s="27">
        <f t="shared" si="9"/>
        <v>709.3222627</v>
      </c>
      <c r="AC782" s="2" t="s">
        <v>36</v>
      </c>
      <c r="AD782" s="327" t="s">
        <v>1545</v>
      </c>
      <c r="AE782" s="3"/>
      <c r="AF782" s="3"/>
      <c r="AG782" s="3"/>
      <c r="AH782" s="3"/>
    </row>
    <row r="783">
      <c r="A783" s="26" t="s">
        <v>1539</v>
      </c>
      <c r="B783" s="26" t="s">
        <v>1544</v>
      </c>
      <c r="C783" s="1" t="s">
        <v>54</v>
      </c>
      <c r="D783" s="26" t="s">
        <v>1546</v>
      </c>
      <c r="E783" s="25">
        <v>2015.0</v>
      </c>
      <c r="F783" s="25">
        <v>2019.0</v>
      </c>
      <c r="G783" s="25">
        <v>0.0</v>
      </c>
      <c r="H783" s="25">
        <v>3.1</v>
      </c>
      <c r="I783" s="50">
        <v>1.0</v>
      </c>
      <c r="J783" s="25">
        <v>3.1</v>
      </c>
      <c r="K783" s="51">
        <v>0.0</v>
      </c>
      <c r="L783" s="51">
        <v>0.0</v>
      </c>
      <c r="M783" s="25">
        <v>3.0</v>
      </c>
      <c r="N783" s="25"/>
      <c r="O783" s="26" t="s">
        <v>36</v>
      </c>
      <c r="P783" s="52">
        <v>1070.0</v>
      </c>
      <c r="Q783" s="26" t="s">
        <v>1542</v>
      </c>
      <c r="R783" s="25">
        <v>2017.0</v>
      </c>
      <c r="S783" s="25">
        <v>0.576</v>
      </c>
      <c r="T783" s="25">
        <f t="shared" si="90"/>
        <v>616.32</v>
      </c>
      <c r="U783" s="24">
        <f t="shared" si="3"/>
        <v>198.8129032</v>
      </c>
      <c r="V783" s="3">
        <f t="shared" si="28"/>
        <v>0</v>
      </c>
      <c r="W783" s="3">
        <f t="shared" si="29"/>
        <v>0</v>
      </c>
      <c r="X783" s="3">
        <f t="shared" si="30"/>
        <v>0</v>
      </c>
      <c r="Y783" s="25">
        <f t="shared" si="31"/>
        <v>0</v>
      </c>
      <c r="Z783" s="26">
        <f>VLOOKUP(R783,CPI!$A$2:$F$71,6,0)</f>
        <v>1.314109416</v>
      </c>
      <c r="AA783" s="27">
        <f t="shared" si="8"/>
        <v>809.9119151</v>
      </c>
      <c r="AB783" s="27">
        <f t="shared" si="9"/>
        <v>261.2619081</v>
      </c>
      <c r="AC783" s="26" t="s">
        <v>36</v>
      </c>
      <c r="AD783" s="53" t="s">
        <v>1547</v>
      </c>
      <c r="AE783" s="130"/>
      <c r="AF783" s="130"/>
      <c r="AG783" s="130"/>
      <c r="AH783" s="130"/>
    </row>
    <row r="784">
      <c r="A784" s="26" t="s">
        <v>1539</v>
      </c>
      <c r="B784" s="26" t="s">
        <v>1544</v>
      </c>
      <c r="C784" s="1" t="s">
        <v>54</v>
      </c>
      <c r="D784" s="63" t="s">
        <v>1548</v>
      </c>
      <c r="E784" s="25">
        <v>2015.0</v>
      </c>
      <c r="F784" s="25">
        <v>2020.0</v>
      </c>
      <c r="G784" s="25">
        <v>0.0</v>
      </c>
      <c r="H784" s="25">
        <v>3.4</v>
      </c>
      <c r="I784" s="50">
        <v>1.0</v>
      </c>
      <c r="J784" s="25">
        <v>3.4</v>
      </c>
      <c r="K784" s="51">
        <v>0.0</v>
      </c>
      <c r="L784" s="51">
        <v>0.0</v>
      </c>
      <c r="M784" s="25">
        <v>3.0</v>
      </c>
      <c r="N784" s="25"/>
      <c r="O784" s="26" t="s">
        <v>36</v>
      </c>
      <c r="P784" s="52">
        <v>1148.0</v>
      </c>
      <c r="Q784" s="26" t="s">
        <v>1542</v>
      </c>
      <c r="R784" s="25">
        <v>2017.0</v>
      </c>
      <c r="S784" s="25">
        <v>0.576</v>
      </c>
      <c r="T784" s="25">
        <f t="shared" si="90"/>
        <v>661.248</v>
      </c>
      <c r="U784" s="24">
        <f t="shared" si="3"/>
        <v>194.4847059</v>
      </c>
      <c r="V784" s="3">
        <f t="shared" si="28"/>
        <v>0</v>
      </c>
      <c r="W784" s="3">
        <f t="shared" si="29"/>
        <v>0</v>
      </c>
      <c r="X784" s="3">
        <f t="shared" si="30"/>
        <v>0</v>
      </c>
      <c r="Y784" s="25">
        <f t="shared" si="31"/>
        <v>0</v>
      </c>
      <c r="Z784" s="26">
        <f>VLOOKUP(R784,CPI!$A$2:$F$71,6,0)</f>
        <v>1.314109416</v>
      </c>
      <c r="AA784" s="27">
        <f t="shared" si="8"/>
        <v>868.952223</v>
      </c>
      <c r="AB784" s="27">
        <f t="shared" si="9"/>
        <v>255.5741832</v>
      </c>
      <c r="AC784" s="26" t="s">
        <v>36</v>
      </c>
      <c r="AD784" s="53" t="s">
        <v>1549</v>
      </c>
      <c r="AE784" s="301"/>
      <c r="AF784" s="301"/>
      <c r="AG784" s="130"/>
      <c r="AH784" s="130"/>
    </row>
    <row r="785">
      <c r="A785" s="26" t="s">
        <v>1539</v>
      </c>
      <c r="B785" s="26" t="s">
        <v>1544</v>
      </c>
      <c r="C785" s="1" t="s">
        <v>54</v>
      </c>
      <c r="D785" s="26" t="s">
        <v>1550</v>
      </c>
      <c r="E785" s="25">
        <v>2018.0</v>
      </c>
      <c r="F785" s="25">
        <v>2022.0</v>
      </c>
      <c r="G785" s="25">
        <v>0.0</v>
      </c>
      <c r="H785" s="25">
        <v>4.0</v>
      </c>
      <c r="I785" s="50">
        <v>1.0</v>
      </c>
      <c r="J785" s="25">
        <v>4.0</v>
      </c>
      <c r="K785" s="51">
        <v>0.0</v>
      </c>
      <c r="L785" s="51">
        <v>0.0</v>
      </c>
      <c r="M785" s="25">
        <v>3.0</v>
      </c>
      <c r="N785" s="25"/>
      <c r="O785" s="26" t="s">
        <v>36</v>
      </c>
      <c r="P785" s="52">
        <v>1400.0</v>
      </c>
      <c r="Q785" s="26" t="s">
        <v>1542</v>
      </c>
      <c r="R785" s="25">
        <v>2020.0</v>
      </c>
      <c r="S785" s="25">
        <v>0.571</v>
      </c>
      <c r="T785" s="25">
        <f t="shared" si="90"/>
        <v>799.4</v>
      </c>
      <c r="U785" s="24">
        <f t="shared" si="3"/>
        <v>199.85</v>
      </c>
      <c r="V785" s="3">
        <f t="shared" si="28"/>
        <v>0</v>
      </c>
      <c r="W785" s="3">
        <f t="shared" si="29"/>
        <v>0</v>
      </c>
      <c r="X785" s="3">
        <f t="shared" si="30"/>
        <v>0</v>
      </c>
      <c r="Y785" s="25">
        <f t="shared" si="31"/>
        <v>0</v>
      </c>
      <c r="Z785" s="26">
        <f>VLOOKUP(R785,CPI!$A$2:$F$71,6,0)</f>
        <v>1.244593545</v>
      </c>
      <c r="AA785" s="27">
        <f t="shared" si="8"/>
        <v>994.92808</v>
      </c>
      <c r="AB785" s="27">
        <f t="shared" si="9"/>
        <v>248.73202</v>
      </c>
      <c r="AC785" s="26" t="s">
        <v>36</v>
      </c>
      <c r="AD785" s="53" t="s">
        <v>1551</v>
      </c>
      <c r="AE785" s="130"/>
      <c r="AF785" s="130"/>
      <c r="AG785" s="130"/>
      <c r="AH785" s="130"/>
    </row>
    <row r="786">
      <c r="A786" s="26" t="s">
        <v>1552</v>
      </c>
      <c r="B786" s="26" t="s">
        <v>1553</v>
      </c>
      <c r="C786" s="26" t="s">
        <v>1554</v>
      </c>
      <c r="D786" s="26" t="s">
        <v>1554</v>
      </c>
      <c r="E786" s="25">
        <v>2021.0</v>
      </c>
      <c r="F786" s="25">
        <v>2023.0</v>
      </c>
      <c r="G786" s="25">
        <v>0.0</v>
      </c>
      <c r="H786" s="25">
        <v>2.0</v>
      </c>
      <c r="I786" s="50">
        <v>1.0</v>
      </c>
      <c r="J786" s="25">
        <v>2.0</v>
      </c>
      <c r="K786" s="51">
        <v>0.0</v>
      </c>
      <c r="L786" s="51">
        <v>0.0</v>
      </c>
      <c r="M786" s="25">
        <v>2.0</v>
      </c>
      <c r="N786" s="25"/>
      <c r="O786" s="26" t="s">
        <v>42</v>
      </c>
      <c r="P786" s="52">
        <v>216.0</v>
      </c>
      <c r="Q786" s="26" t="s">
        <v>52</v>
      </c>
      <c r="R786" s="25">
        <v>2021.0</v>
      </c>
      <c r="S786" s="25">
        <v>1.3</v>
      </c>
      <c r="T786" s="25">
        <f t="shared" si="90"/>
        <v>280.8</v>
      </c>
      <c r="U786" s="24">
        <f t="shared" si="3"/>
        <v>140.4</v>
      </c>
      <c r="V786" s="3">
        <f t="shared" si="28"/>
        <v>1</v>
      </c>
      <c r="W786" s="3">
        <f t="shared" si="29"/>
        <v>2</v>
      </c>
      <c r="X786" s="3">
        <f t="shared" si="30"/>
        <v>2</v>
      </c>
      <c r="Y786" s="25">
        <f t="shared" si="31"/>
        <v>0</v>
      </c>
      <c r="Z786" s="26">
        <f>VLOOKUP(R786,CPI!$A$2:$F$71,6,0)</f>
        <v>1.188745987</v>
      </c>
      <c r="AA786" s="27">
        <f t="shared" si="8"/>
        <v>333.799873</v>
      </c>
      <c r="AB786" s="27">
        <f t="shared" si="9"/>
        <v>166.8999365</v>
      </c>
      <c r="AC786" s="26" t="s">
        <v>36</v>
      </c>
      <c r="AD786" s="53" t="s">
        <v>1555</v>
      </c>
      <c r="AE786" s="130"/>
      <c r="AF786" s="130"/>
      <c r="AG786" s="130"/>
      <c r="AH786" s="130"/>
    </row>
    <row r="787">
      <c r="A787" s="26" t="s">
        <v>1552</v>
      </c>
      <c r="B787" s="26" t="s">
        <v>1556</v>
      </c>
      <c r="C787" s="26" t="s">
        <v>1557</v>
      </c>
      <c r="D787" s="26" t="s">
        <v>1557</v>
      </c>
      <c r="E787" s="25">
        <v>2019.0</v>
      </c>
      <c r="F787" s="58">
        <v>2025.0</v>
      </c>
      <c r="G787" s="25">
        <v>0.0</v>
      </c>
      <c r="H787" s="25">
        <v>6.0</v>
      </c>
      <c r="I787" s="50">
        <v>0.47</v>
      </c>
      <c r="J787" s="25">
        <v>2.8</v>
      </c>
      <c r="K787" s="51">
        <v>0.0</v>
      </c>
      <c r="L787" s="51">
        <v>0.0</v>
      </c>
      <c r="M787" s="25">
        <v>7.0</v>
      </c>
      <c r="N787" s="58">
        <v>70.0</v>
      </c>
      <c r="O787" s="26" t="s">
        <v>42</v>
      </c>
      <c r="P787" s="55">
        <v>511.0</v>
      </c>
      <c r="Q787" s="26" t="s">
        <v>52</v>
      </c>
      <c r="R787" s="58">
        <v>2022.0</v>
      </c>
      <c r="S787" s="58">
        <v>1.4</v>
      </c>
      <c r="T787" s="25">
        <f t="shared" si="90"/>
        <v>715.4</v>
      </c>
      <c r="U787" s="24">
        <f t="shared" si="3"/>
        <v>119.2333333</v>
      </c>
      <c r="V787" s="3">
        <f t="shared" si="28"/>
        <v>1</v>
      </c>
      <c r="W787" s="3">
        <f t="shared" si="29"/>
        <v>6</v>
      </c>
      <c r="X787" s="3">
        <f t="shared" si="30"/>
        <v>2.8</v>
      </c>
      <c r="Y787" s="25">
        <f t="shared" si="31"/>
        <v>0</v>
      </c>
      <c r="Z787" s="26">
        <f>VLOOKUP(R787,CPI!$A$2:$F$71,6,0)</f>
        <v>1.100662897</v>
      </c>
      <c r="AA787" s="27">
        <f t="shared" si="8"/>
        <v>787.4142362</v>
      </c>
      <c r="AB787" s="27">
        <f t="shared" si="9"/>
        <v>131.235706</v>
      </c>
      <c r="AC787" s="26" t="s">
        <v>42</v>
      </c>
      <c r="AD787" s="56" t="s">
        <v>1558</v>
      </c>
      <c r="AE787" s="130"/>
      <c r="AF787" s="130"/>
      <c r="AG787" s="130"/>
      <c r="AH787" s="130"/>
    </row>
    <row r="788">
      <c r="A788" s="63" t="s">
        <v>1552</v>
      </c>
      <c r="B788" s="63" t="s">
        <v>1556</v>
      </c>
      <c r="C788" s="63" t="s">
        <v>1559</v>
      </c>
      <c r="D788" s="63" t="s">
        <v>1559</v>
      </c>
      <c r="E788" s="58">
        <v>2020.0</v>
      </c>
      <c r="F788" s="58">
        <v>2026.0</v>
      </c>
      <c r="G788" s="58">
        <v>0.0</v>
      </c>
      <c r="H788" s="58">
        <v>6.3</v>
      </c>
      <c r="I788" s="59">
        <v>1.0</v>
      </c>
      <c r="J788" s="58">
        <v>6.3</v>
      </c>
      <c r="K788" s="58">
        <v>0.0</v>
      </c>
      <c r="L788" s="58">
        <v>0.0</v>
      </c>
      <c r="M788" s="58">
        <v>8.0</v>
      </c>
      <c r="N788" s="58">
        <v>70.0</v>
      </c>
      <c r="O788" s="63" t="s">
        <v>74</v>
      </c>
      <c r="P788" s="55">
        <v>488.0</v>
      </c>
      <c r="Q788" s="63" t="s">
        <v>52</v>
      </c>
      <c r="R788" s="58">
        <v>2023.0</v>
      </c>
      <c r="S788" s="58">
        <v>1.4</v>
      </c>
      <c r="T788" s="25">
        <f t="shared" si="90"/>
        <v>683.2</v>
      </c>
      <c r="U788" s="24">
        <f t="shared" si="3"/>
        <v>108.4444444</v>
      </c>
      <c r="V788" s="3">
        <f t="shared" si="28"/>
        <v>1</v>
      </c>
      <c r="W788" s="3">
        <f t="shared" si="29"/>
        <v>6.3</v>
      </c>
      <c r="X788" s="3">
        <f t="shared" si="30"/>
        <v>6.3</v>
      </c>
      <c r="Y788" s="25">
        <f t="shared" si="31"/>
        <v>0</v>
      </c>
      <c r="Z788" s="26">
        <f>VLOOKUP(R788,CPI!$A$2:$F$71,6,0)</f>
        <v>1.057145998</v>
      </c>
      <c r="AA788" s="27">
        <f t="shared" si="8"/>
        <v>722.2421461</v>
      </c>
      <c r="AB788" s="27">
        <f t="shared" si="9"/>
        <v>114.6416105</v>
      </c>
      <c r="AC788" s="63" t="s">
        <v>42</v>
      </c>
      <c r="AD788" s="109" t="s">
        <v>1560</v>
      </c>
      <c r="AE788" s="130"/>
      <c r="AF788" s="130"/>
      <c r="AG788" s="130"/>
      <c r="AH788" s="130"/>
    </row>
    <row r="789">
      <c r="A789" s="15" t="s">
        <v>1561</v>
      </c>
      <c r="B789" s="15" t="s">
        <v>1562</v>
      </c>
      <c r="C789" s="15" t="s">
        <v>1563</v>
      </c>
      <c r="D789" s="15" t="s">
        <v>1563</v>
      </c>
      <c r="E789" s="17">
        <v>2013.0</v>
      </c>
      <c r="F789" s="17">
        <v>2026.0</v>
      </c>
      <c r="G789" s="17">
        <v>0.0</v>
      </c>
      <c r="H789" s="18">
        <v>124.0</v>
      </c>
      <c r="I789" s="19">
        <f>J789/H789</f>
        <v>0.8991935484</v>
      </c>
      <c r="J789" s="20">
        <v>111.5</v>
      </c>
      <c r="K789" s="21">
        <v>0.0</v>
      </c>
      <c r="L789" s="21">
        <v>0.0</v>
      </c>
      <c r="M789" s="18"/>
      <c r="N789" s="17"/>
      <c r="O789" s="22" t="s">
        <v>36</v>
      </c>
      <c r="P789" s="23">
        <v>36000.0</v>
      </c>
      <c r="Q789" s="15" t="s">
        <v>37</v>
      </c>
      <c r="R789" s="18">
        <v>2013.0</v>
      </c>
      <c r="S789" s="18">
        <v>2.5</v>
      </c>
      <c r="T789" s="18">
        <f t="shared" si="90"/>
        <v>90000</v>
      </c>
      <c r="U789" s="24">
        <f t="shared" si="3"/>
        <v>725.8064516</v>
      </c>
      <c r="V789" s="3">
        <f t="shared" si="28"/>
        <v>0</v>
      </c>
      <c r="W789" s="3">
        <f t="shared" si="29"/>
        <v>0</v>
      </c>
      <c r="X789" s="3">
        <f t="shared" si="30"/>
        <v>0</v>
      </c>
      <c r="Y789" s="25">
        <f t="shared" si="31"/>
        <v>0</v>
      </c>
      <c r="Z789" s="26">
        <f>VLOOKUP(R789,CPI!$A$2:$F$71,6,0)</f>
        <v>1.382720845</v>
      </c>
      <c r="AA789" s="27">
        <f t="shared" si="8"/>
        <v>124444.8761</v>
      </c>
      <c r="AB789" s="27">
        <f t="shared" si="9"/>
        <v>1003.58771</v>
      </c>
      <c r="AC789" s="36" t="s">
        <v>42</v>
      </c>
      <c r="AD789" s="328" t="s">
        <v>1564</v>
      </c>
      <c r="AE789" s="130"/>
      <c r="AF789" s="130"/>
      <c r="AG789" s="130"/>
      <c r="AH789" s="130"/>
    </row>
    <row r="790">
      <c r="A790" s="26" t="s">
        <v>1565</v>
      </c>
      <c r="B790" s="26" t="s">
        <v>1566</v>
      </c>
      <c r="C790" s="26" t="s">
        <v>84</v>
      </c>
      <c r="D790" s="26" t="s">
        <v>84</v>
      </c>
      <c r="E790" s="25">
        <v>2014.0</v>
      </c>
      <c r="F790" s="25">
        <v>2019.0</v>
      </c>
      <c r="G790" s="25">
        <v>0.0</v>
      </c>
      <c r="H790" s="25">
        <v>6.9</v>
      </c>
      <c r="I790" s="50">
        <v>1.0</v>
      </c>
      <c r="J790" s="25">
        <v>6.9</v>
      </c>
      <c r="K790" s="51">
        <v>0.0</v>
      </c>
      <c r="L790" s="51">
        <v>0.0</v>
      </c>
      <c r="M790" s="25">
        <v>10.0</v>
      </c>
      <c r="N790" s="25"/>
      <c r="O790" s="26" t="s">
        <v>60</v>
      </c>
      <c r="P790" s="52">
        <v>3122.0</v>
      </c>
      <c r="Q790" s="26" t="s">
        <v>1567</v>
      </c>
      <c r="R790" s="25">
        <v>2016.0</v>
      </c>
      <c r="S790" s="25">
        <v>0.596</v>
      </c>
      <c r="T790" s="25">
        <f t="shared" si="90"/>
        <v>1860.712</v>
      </c>
      <c r="U790" s="24">
        <f t="shared" si="3"/>
        <v>269.6684058</v>
      </c>
      <c r="V790" s="3">
        <f t="shared" si="28"/>
        <v>0</v>
      </c>
      <c r="W790" s="3">
        <f t="shared" si="29"/>
        <v>0</v>
      </c>
      <c r="X790" s="3">
        <f t="shared" si="30"/>
        <v>0</v>
      </c>
      <c r="Y790" s="25">
        <f t="shared" si="31"/>
        <v>0</v>
      </c>
      <c r="Z790" s="26">
        <f>VLOOKUP(R790,CPI!$A$2:$F$71,6,0)</f>
        <v>1.342104605</v>
      </c>
      <c r="AA790" s="27">
        <f t="shared" si="8"/>
        <v>2497.270144</v>
      </c>
      <c r="AB790" s="27">
        <f t="shared" si="9"/>
        <v>361.9232093</v>
      </c>
      <c r="AC790" s="26" t="s">
        <v>60</v>
      </c>
      <c r="AD790" s="57" t="s">
        <v>1568</v>
      </c>
      <c r="AE790" s="130"/>
      <c r="AF790" s="130"/>
      <c r="AG790" s="130"/>
      <c r="AH790" s="130"/>
    </row>
    <row r="791">
      <c r="A791" s="115" t="s">
        <v>1565</v>
      </c>
      <c r="B791" s="115" t="s">
        <v>1569</v>
      </c>
      <c r="C791" s="115" t="s">
        <v>57</v>
      </c>
      <c r="D791" s="115" t="s">
        <v>57</v>
      </c>
      <c r="E791" s="82">
        <v>2024.0</v>
      </c>
      <c r="F791" s="115">
        <v>2031.0</v>
      </c>
      <c r="G791" s="82">
        <v>0.0</v>
      </c>
      <c r="H791" s="82">
        <v>21.0</v>
      </c>
      <c r="I791" s="247">
        <v>1.0</v>
      </c>
      <c r="J791" s="82">
        <v>21.0</v>
      </c>
      <c r="K791" s="115"/>
      <c r="L791" s="115"/>
      <c r="M791" s="82">
        <v>19.0</v>
      </c>
      <c r="N791" s="82"/>
      <c r="O791" s="115" t="s">
        <v>42</v>
      </c>
      <c r="P791" s="248">
        <v>13700.0</v>
      </c>
      <c r="Q791" s="115" t="s">
        <v>1567</v>
      </c>
      <c r="R791" s="115">
        <v>2023.0</v>
      </c>
      <c r="S791" s="115">
        <v>0.584</v>
      </c>
      <c r="T791" s="118">
        <f t="shared" si="90"/>
        <v>8000.8</v>
      </c>
      <c r="U791" s="24">
        <f t="shared" si="3"/>
        <v>380.9904762</v>
      </c>
      <c r="V791" s="3">
        <f t="shared" si="28"/>
        <v>0</v>
      </c>
      <c r="W791" s="3">
        <f t="shared" si="29"/>
        <v>0</v>
      </c>
      <c r="X791" s="3">
        <f t="shared" si="30"/>
        <v>0</v>
      </c>
      <c r="Y791" s="25">
        <f t="shared" si="31"/>
        <v>0</v>
      </c>
      <c r="Z791" s="26">
        <f>VLOOKUP(R791,CPI!$A$2:$F$71,6,0)</f>
        <v>1.057145998</v>
      </c>
      <c r="AA791" s="27">
        <f t="shared" si="8"/>
        <v>8458.013704</v>
      </c>
      <c r="AB791" s="27">
        <f t="shared" si="9"/>
        <v>402.7625573</v>
      </c>
      <c r="AC791" s="115" t="s">
        <v>42</v>
      </c>
      <c r="AD791" s="249" t="s">
        <v>1570</v>
      </c>
      <c r="AE791" s="208"/>
      <c r="AF791" s="255"/>
      <c r="AG791" s="206"/>
      <c r="AH791" s="206"/>
    </row>
    <row r="792">
      <c r="A792" s="26" t="s">
        <v>1571</v>
      </c>
      <c r="B792" s="26" t="s">
        <v>1572</v>
      </c>
      <c r="C792" s="26" t="s">
        <v>1573</v>
      </c>
      <c r="D792" s="26" t="s">
        <v>1573</v>
      </c>
      <c r="E792" s="25">
        <v>2021.0</v>
      </c>
      <c r="F792" s="25">
        <v>2026.0</v>
      </c>
      <c r="G792" s="25">
        <v>0.0</v>
      </c>
      <c r="H792" s="25">
        <v>22.0</v>
      </c>
      <c r="I792" s="50">
        <v>1.0</v>
      </c>
      <c r="J792" s="25">
        <v>22.0</v>
      </c>
      <c r="K792" s="51">
        <v>0.0</v>
      </c>
      <c r="L792" s="51">
        <v>0.0</v>
      </c>
      <c r="M792" s="25">
        <v>24.0</v>
      </c>
      <c r="N792" s="25"/>
      <c r="O792" s="26" t="s">
        <v>36</v>
      </c>
      <c r="P792" s="52">
        <v>1800.0</v>
      </c>
      <c r="Q792" s="26" t="s">
        <v>52</v>
      </c>
      <c r="R792" s="25">
        <v>2023.0</v>
      </c>
      <c r="S792" s="25">
        <v>3.05</v>
      </c>
      <c r="T792" s="25">
        <f t="shared" si="90"/>
        <v>5490</v>
      </c>
      <c r="U792" s="24">
        <f t="shared" si="3"/>
        <v>249.5454545</v>
      </c>
      <c r="V792" s="3">
        <f t="shared" si="28"/>
        <v>0</v>
      </c>
      <c r="W792" s="3">
        <f t="shared" si="29"/>
        <v>0</v>
      </c>
      <c r="X792" s="3">
        <f t="shared" si="30"/>
        <v>0</v>
      </c>
      <c r="Y792" s="25">
        <f t="shared" si="31"/>
        <v>0</v>
      </c>
      <c r="Z792" s="26">
        <f>VLOOKUP(R792,CPI!$A$2:$F$71,6,0)</f>
        <v>1.057145998</v>
      </c>
      <c r="AA792" s="27">
        <f t="shared" si="8"/>
        <v>5803.731531</v>
      </c>
      <c r="AB792" s="27">
        <f t="shared" si="9"/>
        <v>263.8059787</v>
      </c>
      <c r="AC792" s="26" t="s">
        <v>36</v>
      </c>
      <c r="AD792" s="57" t="s">
        <v>1574</v>
      </c>
      <c r="AE792" s="130"/>
      <c r="AF792" s="130"/>
      <c r="AG792" s="130"/>
      <c r="AH792" s="130"/>
    </row>
    <row r="793">
      <c r="A793" s="26" t="s">
        <v>1571</v>
      </c>
      <c r="B793" s="26" t="s">
        <v>1572</v>
      </c>
      <c r="C793" s="26" t="s">
        <v>1575</v>
      </c>
      <c r="D793" s="26" t="s">
        <v>1575</v>
      </c>
      <c r="E793" s="25">
        <v>2021.0</v>
      </c>
      <c r="F793" s="25">
        <v>2026.0</v>
      </c>
      <c r="G793" s="25">
        <v>0.0</v>
      </c>
      <c r="H793" s="25">
        <v>20.0</v>
      </c>
      <c r="I793" s="50">
        <v>1.0</v>
      </c>
      <c r="J793" s="25">
        <v>20.0</v>
      </c>
      <c r="K793" s="51">
        <v>0.0</v>
      </c>
      <c r="L793" s="51">
        <v>0.0</v>
      </c>
      <c r="M793" s="25">
        <v>21.0</v>
      </c>
      <c r="N793" s="25"/>
      <c r="O793" s="26" t="s">
        <v>36</v>
      </c>
      <c r="P793" s="52">
        <v>2200.0</v>
      </c>
      <c r="Q793" s="26" t="s">
        <v>52</v>
      </c>
      <c r="R793" s="25">
        <v>2023.0</v>
      </c>
      <c r="S793" s="25">
        <v>3.05</v>
      </c>
      <c r="T793" s="25">
        <f t="shared" si="90"/>
        <v>6710</v>
      </c>
      <c r="U793" s="24">
        <f t="shared" si="3"/>
        <v>335.5</v>
      </c>
      <c r="V793" s="3">
        <f t="shared" si="28"/>
        <v>0</v>
      </c>
      <c r="W793" s="3">
        <f t="shared" si="29"/>
        <v>0</v>
      </c>
      <c r="X793" s="3">
        <f t="shared" si="30"/>
        <v>0</v>
      </c>
      <c r="Y793" s="25">
        <f t="shared" si="31"/>
        <v>0</v>
      </c>
      <c r="Z793" s="26">
        <f>VLOOKUP(R793,CPI!$A$2:$F$71,6,0)</f>
        <v>1.057145998</v>
      </c>
      <c r="AA793" s="27">
        <f t="shared" si="8"/>
        <v>7093.449649</v>
      </c>
      <c r="AB793" s="27">
        <f t="shared" si="9"/>
        <v>354.6724825</v>
      </c>
      <c r="AC793" s="26" t="s">
        <v>36</v>
      </c>
      <c r="AD793" s="57" t="s">
        <v>1574</v>
      </c>
      <c r="AE793" s="130"/>
      <c r="AF793" s="130"/>
      <c r="AG793" s="130"/>
      <c r="AH793" s="130"/>
    </row>
    <row r="794">
      <c r="A794" s="63" t="s">
        <v>1576</v>
      </c>
      <c r="B794" s="329" t="s">
        <v>1577</v>
      </c>
      <c r="C794" s="16" t="s">
        <v>57</v>
      </c>
      <c r="D794" s="26" t="s">
        <v>1578</v>
      </c>
      <c r="E794" s="58">
        <v>2000.0</v>
      </c>
      <c r="F794" s="58">
        <v>2005.0</v>
      </c>
      <c r="G794" s="58">
        <v>0.0</v>
      </c>
      <c r="H794" s="58">
        <v>6.8</v>
      </c>
      <c r="I794" s="50">
        <f t="shared" ref="I794:I811" si="92">J794/H794</f>
        <v>0.9705882353</v>
      </c>
      <c r="J794" s="58">
        <v>6.6</v>
      </c>
      <c r="K794" s="58">
        <v>0.2</v>
      </c>
      <c r="L794" s="58">
        <v>0.0</v>
      </c>
      <c r="M794" s="58">
        <v>4.0</v>
      </c>
      <c r="N794" s="58" t="s">
        <v>1579</v>
      </c>
      <c r="O794" s="63" t="s">
        <v>74</v>
      </c>
      <c r="P794" s="55">
        <v>14000.0</v>
      </c>
      <c r="Q794" s="63" t="s">
        <v>1580</v>
      </c>
      <c r="R794" s="58">
        <v>2005.0</v>
      </c>
      <c r="S794" s="25">
        <v>0.07851678</v>
      </c>
      <c r="T794" s="330">
        <f t="shared" si="90"/>
        <v>1099.23492</v>
      </c>
      <c r="U794" s="24">
        <f t="shared" si="3"/>
        <v>161.6521941</v>
      </c>
      <c r="V794" s="3">
        <f t="shared" si="28"/>
        <v>0</v>
      </c>
      <c r="W794" s="3">
        <f t="shared" si="29"/>
        <v>0</v>
      </c>
      <c r="X794" s="3">
        <f t="shared" si="30"/>
        <v>0</v>
      </c>
      <c r="Y794" s="58">
        <v>0.0</v>
      </c>
      <c r="Z794" s="26">
        <f>VLOOKUP(R794,CPI!$A$2:$F$71,6,0)</f>
        <v>1.649331797</v>
      </c>
      <c r="AA794" s="27">
        <f t="shared" si="8"/>
        <v>1813.003106</v>
      </c>
      <c r="AB794" s="27">
        <f t="shared" si="9"/>
        <v>266.6181039</v>
      </c>
      <c r="AC794" s="63" t="s">
        <v>42</v>
      </c>
      <c r="AD794" s="56" t="s">
        <v>1581</v>
      </c>
      <c r="AE794" s="130"/>
      <c r="AF794" s="130"/>
      <c r="AG794" s="130"/>
      <c r="AH794" s="130"/>
    </row>
    <row r="795">
      <c r="A795" s="63" t="s">
        <v>1576</v>
      </c>
      <c r="B795" s="329" t="s">
        <v>1577</v>
      </c>
      <c r="C795" s="16" t="s">
        <v>57</v>
      </c>
      <c r="D795" s="26" t="s">
        <v>1583</v>
      </c>
      <c r="E795" s="58">
        <v>2006.0</v>
      </c>
      <c r="F795" s="58">
        <v>2010.0</v>
      </c>
      <c r="G795" s="58">
        <v>0.0</v>
      </c>
      <c r="H795" s="58">
        <v>2.6</v>
      </c>
      <c r="I795" s="50">
        <f t="shared" si="92"/>
        <v>1</v>
      </c>
      <c r="J795" s="58">
        <v>2.6</v>
      </c>
      <c r="K795" s="58">
        <v>0.0</v>
      </c>
      <c r="L795" s="58">
        <v>0.0</v>
      </c>
      <c r="M795" s="58">
        <v>1.0</v>
      </c>
      <c r="N795" s="58" t="s">
        <v>1579</v>
      </c>
      <c r="O795" s="63" t="s">
        <v>74</v>
      </c>
      <c r="P795" s="55">
        <v>3000.0</v>
      </c>
      <c r="Q795" s="63" t="s">
        <v>1580</v>
      </c>
      <c r="R795" s="58">
        <v>2008.0</v>
      </c>
      <c r="S795" s="58">
        <v>0.069729191</v>
      </c>
      <c r="T795" s="330">
        <f t="shared" si="90"/>
        <v>209.187573</v>
      </c>
      <c r="U795" s="24">
        <f t="shared" si="3"/>
        <v>80.45675885</v>
      </c>
      <c r="V795" s="3">
        <f t="shared" si="28"/>
        <v>0</v>
      </c>
      <c r="W795" s="3">
        <f t="shared" si="29"/>
        <v>0</v>
      </c>
      <c r="X795" s="3">
        <f t="shared" si="30"/>
        <v>0</v>
      </c>
      <c r="Y795" s="58">
        <v>0.0</v>
      </c>
      <c r="Z795" s="26">
        <f>VLOOKUP(R795,CPI!$A$2:$F$71,6,0)</f>
        <v>1.496098522</v>
      </c>
      <c r="AA795" s="27">
        <f t="shared" si="8"/>
        <v>312.9652187</v>
      </c>
      <c r="AB795" s="27">
        <f t="shared" si="9"/>
        <v>120.371238</v>
      </c>
      <c r="AC795" s="63" t="s">
        <v>42</v>
      </c>
      <c r="AD795" s="56" t="s">
        <v>1584</v>
      </c>
      <c r="AE795" s="130"/>
      <c r="AF795" s="130"/>
      <c r="AG795" s="130"/>
      <c r="AH795" s="130"/>
    </row>
    <row r="796">
      <c r="A796" s="63" t="s">
        <v>1576</v>
      </c>
      <c r="B796" s="329" t="s">
        <v>1577</v>
      </c>
      <c r="C796" s="16" t="s">
        <v>57</v>
      </c>
      <c r="D796" s="26" t="s">
        <v>1585</v>
      </c>
      <c r="E796" s="58">
        <v>2009.0</v>
      </c>
      <c r="F796" s="58">
        <v>2013.0</v>
      </c>
      <c r="G796" s="58">
        <v>0.0</v>
      </c>
      <c r="H796" s="58">
        <v>4.8</v>
      </c>
      <c r="I796" s="50">
        <f t="shared" si="92"/>
        <v>1</v>
      </c>
      <c r="J796" s="58">
        <v>4.8</v>
      </c>
      <c r="K796" s="58">
        <v>0.0</v>
      </c>
      <c r="L796" s="58">
        <v>0.0</v>
      </c>
      <c r="M796" s="58">
        <v>3.0</v>
      </c>
      <c r="N796" s="58" t="s">
        <v>1579</v>
      </c>
      <c r="O796" s="63" t="s">
        <v>74</v>
      </c>
      <c r="P796" s="55">
        <v>12000.0</v>
      </c>
      <c r="Q796" s="63" t="s">
        <v>1580</v>
      </c>
      <c r="R796" s="58">
        <v>2011.0</v>
      </c>
      <c r="S796" s="58">
        <v>0.054218971</v>
      </c>
      <c r="T796" s="330">
        <f t="shared" si="90"/>
        <v>650.627652</v>
      </c>
      <c r="U796" s="24">
        <f t="shared" si="3"/>
        <v>135.5474275</v>
      </c>
      <c r="V796" s="3">
        <f t="shared" si="28"/>
        <v>0</v>
      </c>
      <c r="W796" s="3">
        <f t="shared" si="29"/>
        <v>0</v>
      </c>
      <c r="X796" s="3">
        <f t="shared" si="30"/>
        <v>0</v>
      </c>
      <c r="Y796" s="58">
        <v>0.0</v>
      </c>
      <c r="Z796" s="26">
        <f>VLOOKUP(R796,CPI!$A$2:$F$71,6,0)</f>
        <v>1.432008233</v>
      </c>
      <c r="AA796" s="27">
        <f t="shared" si="8"/>
        <v>931.7041545</v>
      </c>
      <c r="AB796" s="27">
        <f t="shared" si="9"/>
        <v>194.1050322</v>
      </c>
      <c r="AC796" s="63" t="s">
        <v>42</v>
      </c>
      <c r="AD796" s="336" t="s">
        <v>1584</v>
      </c>
      <c r="AE796" s="301"/>
      <c r="AF796" s="301"/>
      <c r="AG796" s="301"/>
      <c r="AH796" s="301"/>
    </row>
    <row r="797">
      <c r="A797" s="63" t="s">
        <v>1576</v>
      </c>
      <c r="B797" s="329" t="s">
        <v>1577</v>
      </c>
      <c r="C797" s="16" t="s">
        <v>57</v>
      </c>
      <c r="D797" s="26" t="s">
        <v>1586</v>
      </c>
      <c r="E797" s="58">
        <v>2015.0</v>
      </c>
      <c r="F797" s="58">
        <v>2018.0</v>
      </c>
      <c r="G797" s="58">
        <v>0.0</v>
      </c>
      <c r="H797" s="58">
        <v>1.1</v>
      </c>
      <c r="I797" s="50">
        <f t="shared" si="92"/>
        <v>1</v>
      </c>
      <c r="J797" s="58">
        <v>1.1</v>
      </c>
      <c r="K797" s="58">
        <v>0.0</v>
      </c>
      <c r="L797" s="58">
        <v>0.0</v>
      </c>
      <c r="M797" s="58">
        <v>1.0</v>
      </c>
      <c r="N797" s="58" t="s">
        <v>1579</v>
      </c>
      <c r="O797" s="63" t="s">
        <v>74</v>
      </c>
      <c r="P797" s="55">
        <v>5200.0</v>
      </c>
      <c r="Q797" s="63" t="s">
        <v>1580</v>
      </c>
      <c r="R797" s="58">
        <v>2017.0</v>
      </c>
      <c r="S797" s="25">
        <v>0.04145218</v>
      </c>
      <c r="T797" s="330">
        <f t="shared" si="90"/>
        <v>215.551336</v>
      </c>
      <c r="U797" s="24">
        <f t="shared" si="3"/>
        <v>195.95576</v>
      </c>
      <c r="V797" s="3">
        <f t="shared" si="28"/>
        <v>0</v>
      </c>
      <c r="W797" s="3">
        <f t="shared" si="29"/>
        <v>0</v>
      </c>
      <c r="X797" s="3">
        <f t="shared" si="30"/>
        <v>0</v>
      </c>
      <c r="Y797" s="58">
        <v>0.0</v>
      </c>
      <c r="Z797" s="26">
        <f>VLOOKUP(R797,CPI!$A$2:$F$71,6,0)</f>
        <v>1.314109416</v>
      </c>
      <c r="AA797" s="27">
        <f t="shared" si="8"/>
        <v>283.2580402</v>
      </c>
      <c r="AB797" s="27">
        <f t="shared" si="9"/>
        <v>257.5073093</v>
      </c>
      <c r="AC797" s="63" t="s">
        <v>42</v>
      </c>
      <c r="AD797" s="56" t="s">
        <v>1587</v>
      </c>
      <c r="AE797" s="130"/>
      <c r="AF797" s="130"/>
      <c r="AG797" s="130"/>
      <c r="AH797" s="130"/>
    </row>
    <row r="798">
      <c r="A798" s="63" t="s">
        <v>1576</v>
      </c>
      <c r="B798" s="329" t="s">
        <v>1577</v>
      </c>
      <c r="C798" s="16" t="s">
        <v>54</v>
      </c>
      <c r="D798" s="26" t="s">
        <v>1588</v>
      </c>
      <c r="E798" s="58">
        <v>2019.0</v>
      </c>
      <c r="F798" s="58">
        <v>2027.0</v>
      </c>
      <c r="G798" s="58">
        <v>0.0</v>
      </c>
      <c r="H798" s="58">
        <v>5.37</v>
      </c>
      <c r="I798" s="50">
        <f t="shared" si="92"/>
        <v>1</v>
      </c>
      <c r="J798" s="58">
        <v>5.37</v>
      </c>
      <c r="K798" s="58">
        <v>0.0</v>
      </c>
      <c r="L798" s="58">
        <v>0.0</v>
      </c>
      <c r="M798" s="58">
        <v>4.0</v>
      </c>
      <c r="N798" s="58" t="s">
        <v>1579</v>
      </c>
      <c r="O798" s="63" t="s">
        <v>60</v>
      </c>
      <c r="P798" s="55">
        <v>41107.62235</v>
      </c>
      <c r="Q798" s="63" t="s">
        <v>1580</v>
      </c>
      <c r="R798" s="58">
        <v>2025.0</v>
      </c>
      <c r="S798" s="25">
        <v>0.028179223</v>
      </c>
      <c r="T798" s="330">
        <f t="shared" si="90"/>
        <v>1158.380857</v>
      </c>
      <c r="U798" s="24">
        <f t="shared" si="3"/>
        <v>215.7133812</v>
      </c>
      <c r="V798" s="3">
        <f t="shared" si="28"/>
        <v>0</v>
      </c>
      <c r="W798" s="3">
        <f t="shared" si="29"/>
        <v>0</v>
      </c>
      <c r="X798" s="3">
        <f t="shared" si="30"/>
        <v>0</v>
      </c>
      <c r="Y798" s="58">
        <v>0.0</v>
      </c>
      <c r="Z798" s="26">
        <f>VLOOKUP(R798,CPI!$A$2:$F$71,6,0)</f>
        <v>1</v>
      </c>
      <c r="AA798" s="27">
        <f t="shared" si="8"/>
        <v>1158.380857</v>
      </c>
      <c r="AB798" s="27">
        <f t="shared" si="9"/>
        <v>215.7133812</v>
      </c>
      <c r="AC798" s="63" t="s">
        <v>60</v>
      </c>
      <c r="AD798" s="337" t="s">
        <v>1589</v>
      </c>
      <c r="AE798" s="130"/>
      <c r="AF798" s="130"/>
      <c r="AG798" s="130"/>
      <c r="AH798" s="130"/>
    </row>
    <row r="799">
      <c r="A799" s="63" t="s">
        <v>1576</v>
      </c>
      <c r="B799" s="329" t="s">
        <v>1590</v>
      </c>
      <c r="C799" s="16" t="s">
        <v>287</v>
      </c>
      <c r="D799" s="26" t="s">
        <v>1594</v>
      </c>
      <c r="E799" s="58">
        <v>1999.0</v>
      </c>
      <c r="F799" s="58">
        <v>2003.0</v>
      </c>
      <c r="G799" s="58">
        <v>0.0</v>
      </c>
      <c r="H799" s="58">
        <v>5.9</v>
      </c>
      <c r="I799" s="50">
        <f t="shared" si="92"/>
        <v>0.3389830508</v>
      </c>
      <c r="J799" s="58">
        <v>2.0</v>
      </c>
      <c r="K799" s="58">
        <v>3.9</v>
      </c>
      <c r="L799" s="58">
        <v>0.0</v>
      </c>
      <c r="M799" s="58">
        <v>5.0</v>
      </c>
      <c r="N799" s="58" t="s">
        <v>1595</v>
      </c>
      <c r="O799" s="63" t="s">
        <v>74</v>
      </c>
      <c r="P799" s="55">
        <v>6560.0</v>
      </c>
      <c r="Q799" s="63" t="s">
        <v>1580</v>
      </c>
      <c r="R799" s="58">
        <v>2003.0</v>
      </c>
      <c r="S799" s="58">
        <v>0.101350115</v>
      </c>
      <c r="T799" s="330">
        <f t="shared" si="90"/>
        <v>664.8567544</v>
      </c>
      <c r="U799" s="24">
        <f t="shared" si="3"/>
        <v>112.6875855</v>
      </c>
      <c r="V799" s="3">
        <f t="shared" si="28"/>
        <v>0</v>
      </c>
      <c r="W799" s="3">
        <f t="shared" si="29"/>
        <v>0</v>
      </c>
      <c r="X799" s="3">
        <f t="shared" si="30"/>
        <v>0</v>
      </c>
      <c r="Y799" s="58">
        <v>0.0</v>
      </c>
      <c r="Z799" s="26">
        <f>VLOOKUP(R799,CPI!$A$2:$F$71,6,0)</f>
        <v>1.750622283</v>
      </c>
      <c r="AA799" s="27">
        <f t="shared" si="8"/>
        <v>1163.913049</v>
      </c>
      <c r="AB799" s="27">
        <f t="shared" si="9"/>
        <v>197.2733981</v>
      </c>
      <c r="AC799" s="63" t="s">
        <v>42</v>
      </c>
      <c r="AD799" s="338"/>
      <c r="AE799" s="130"/>
      <c r="AF799" s="130"/>
      <c r="AG799" s="130"/>
      <c r="AH799" s="130"/>
    </row>
    <row r="800">
      <c r="A800" s="63" t="s">
        <v>1576</v>
      </c>
      <c r="B800" s="329" t="s">
        <v>1590</v>
      </c>
      <c r="C800" s="16" t="s">
        <v>1598</v>
      </c>
      <c r="D800" s="26" t="s">
        <v>1599</v>
      </c>
      <c r="E800" s="58">
        <v>2001.0</v>
      </c>
      <c r="F800" s="58">
        <v>2004.0</v>
      </c>
      <c r="G800" s="58">
        <v>0.0</v>
      </c>
      <c r="H800" s="58">
        <v>5.13</v>
      </c>
      <c r="I800" s="50">
        <f t="shared" si="92"/>
        <v>0</v>
      </c>
      <c r="J800" s="58">
        <v>0.0</v>
      </c>
      <c r="K800" s="58">
        <v>5.13</v>
      </c>
      <c r="L800" s="58">
        <v>0.0</v>
      </c>
      <c r="M800" s="58">
        <v>6.0</v>
      </c>
      <c r="N800" s="58" t="s">
        <v>1600</v>
      </c>
      <c r="O800" s="63" t="s">
        <v>74</v>
      </c>
      <c r="P800" s="55">
        <v>6335.0</v>
      </c>
      <c r="Q800" s="63" t="s">
        <v>1580</v>
      </c>
      <c r="R800" s="58">
        <v>2015.0</v>
      </c>
      <c r="S800" s="58">
        <v>0.042440081</v>
      </c>
      <c r="T800" s="330">
        <f t="shared" si="90"/>
        <v>268.8579131</v>
      </c>
      <c r="U800" s="24">
        <f t="shared" si="3"/>
        <v>52.40894993</v>
      </c>
      <c r="V800" s="3">
        <f t="shared" si="28"/>
        <v>0</v>
      </c>
      <c r="W800" s="3">
        <f t="shared" si="29"/>
        <v>0</v>
      </c>
      <c r="X800" s="3">
        <f t="shared" si="30"/>
        <v>0</v>
      </c>
      <c r="Y800" s="58">
        <v>0.0</v>
      </c>
      <c r="Z800" s="26">
        <f>VLOOKUP(R800,CPI!$A$2:$F$71,6,0)</f>
        <v>1.359035428</v>
      </c>
      <c r="AA800" s="27">
        <f t="shared" si="8"/>
        <v>365.387429</v>
      </c>
      <c r="AB800" s="27">
        <f t="shared" si="9"/>
        <v>71.22561969</v>
      </c>
      <c r="AC800" s="63" t="s">
        <v>60</v>
      </c>
      <c r="AD800" s="87" t="s">
        <v>1601</v>
      </c>
      <c r="AE800" s="130"/>
      <c r="AF800" s="130"/>
      <c r="AG800" s="130"/>
      <c r="AH800" s="130"/>
    </row>
    <row r="801">
      <c r="A801" s="63" t="s">
        <v>1576</v>
      </c>
      <c r="B801" s="329" t="s">
        <v>1590</v>
      </c>
      <c r="C801" s="16" t="s">
        <v>110</v>
      </c>
      <c r="D801" s="26" t="s">
        <v>1602</v>
      </c>
      <c r="E801" s="58">
        <v>2000.0</v>
      </c>
      <c r="F801" s="58">
        <v>2006.0</v>
      </c>
      <c r="G801" s="58">
        <v>0.0</v>
      </c>
      <c r="H801" s="58">
        <v>2.72</v>
      </c>
      <c r="I801" s="50">
        <f t="shared" si="92"/>
        <v>1</v>
      </c>
      <c r="J801" s="58">
        <v>2.72</v>
      </c>
      <c r="K801" s="58">
        <v>0.0</v>
      </c>
      <c r="L801" s="58">
        <v>0.0</v>
      </c>
      <c r="M801" s="58">
        <v>1.0</v>
      </c>
      <c r="N801" s="58" t="s">
        <v>1603</v>
      </c>
      <c r="O801" s="63" t="s">
        <v>74</v>
      </c>
      <c r="P801" s="55">
        <v>5276.6</v>
      </c>
      <c r="Q801" s="63" t="s">
        <v>1580</v>
      </c>
      <c r="R801" s="58">
        <v>2001.0</v>
      </c>
      <c r="S801" s="58">
        <v>0.120151627</v>
      </c>
      <c r="T801" s="330">
        <f t="shared" si="90"/>
        <v>633.992075</v>
      </c>
      <c r="U801" s="24">
        <f t="shared" si="3"/>
        <v>233.0853217</v>
      </c>
      <c r="V801" s="3">
        <f t="shared" si="28"/>
        <v>0</v>
      </c>
      <c r="W801" s="3">
        <f t="shared" si="29"/>
        <v>0</v>
      </c>
      <c r="X801" s="3">
        <f t="shared" si="30"/>
        <v>0</v>
      </c>
      <c r="Y801" s="58">
        <v>0.0</v>
      </c>
      <c r="Z801" s="26">
        <f>VLOOKUP(R801,CPI!$A$2:$F$71,6,0)</f>
        <v>1.818828346</v>
      </c>
      <c r="AA801" s="27">
        <f t="shared" si="8"/>
        <v>1153.122757</v>
      </c>
      <c r="AB801" s="27">
        <f t="shared" si="9"/>
        <v>423.94219</v>
      </c>
      <c r="AC801" s="63" t="s">
        <v>60</v>
      </c>
      <c r="AD801" s="87" t="s">
        <v>1604</v>
      </c>
      <c r="AE801" s="130"/>
      <c r="AF801" s="130"/>
      <c r="AG801" s="130"/>
      <c r="AH801" s="130"/>
    </row>
    <row r="802">
      <c r="A802" s="63" t="s">
        <v>1576</v>
      </c>
      <c r="B802" s="329" t="s">
        <v>1590</v>
      </c>
      <c r="C802" s="16" t="s">
        <v>239</v>
      </c>
      <c r="D802" s="26" t="s">
        <v>1605</v>
      </c>
      <c r="E802" s="58">
        <v>2005.0</v>
      </c>
      <c r="F802" s="58">
        <v>2007.0</v>
      </c>
      <c r="G802" s="58">
        <v>0.0</v>
      </c>
      <c r="H802" s="58">
        <v>3.2</v>
      </c>
      <c r="I802" s="50">
        <f t="shared" si="92"/>
        <v>1</v>
      </c>
      <c r="J802" s="58">
        <v>3.2</v>
      </c>
      <c r="K802" s="58">
        <v>0.0</v>
      </c>
      <c r="L802" s="58">
        <v>0.0</v>
      </c>
      <c r="M802" s="58">
        <v>2.0</v>
      </c>
      <c r="N802" s="58" t="s">
        <v>1592</v>
      </c>
      <c r="O802" s="63" t="s">
        <v>60</v>
      </c>
      <c r="P802" s="55">
        <v>13940.0</v>
      </c>
      <c r="Q802" s="63" t="s">
        <v>1580</v>
      </c>
      <c r="R802" s="58">
        <v>2011.0</v>
      </c>
      <c r="S802" s="339">
        <v>0.05421897</v>
      </c>
      <c r="T802" s="330">
        <f t="shared" si="90"/>
        <v>755.8124418</v>
      </c>
      <c r="U802" s="24">
        <f t="shared" si="3"/>
        <v>236.1913881</v>
      </c>
      <c r="V802" s="3">
        <f t="shared" si="28"/>
        <v>0</v>
      </c>
      <c r="W802" s="3">
        <f t="shared" si="29"/>
        <v>0</v>
      </c>
      <c r="X802" s="3">
        <f t="shared" si="30"/>
        <v>0</v>
      </c>
      <c r="Y802" s="58">
        <v>0.0</v>
      </c>
      <c r="Z802" s="26">
        <f>VLOOKUP(R802,CPI!$A$2:$F$71,6,0)</f>
        <v>1.432008233</v>
      </c>
      <c r="AA802" s="27">
        <f t="shared" si="8"/>
        <v>1082.32964</v>
      </c>
      <c r="AB802" s="27">
        <f t="shared" si="9"/>
        <v>338.2280124</v>
      </c>
      <c r="AC802" s="63" t="s">
        <v>60</v>
      </c>
      <c r="AD802" s="87" t="s">
        <v>1606</v>
      </c>
      <c r="AE802" s="130"/>
      <c r="AF802" s="130"/>
      <c r="AG802" s="130"/>
      <c r="AH802" s="130"/>
    </row>
    <row r="803">
      <c r="A803" s="63" t="s">
        <v>1576</v>
      </c>
      <c r="B803" s="329" t="s">
        <v>1590</v>
      </c>
      <c r="C803" s="16" t="s">
        <v>87</v>
      </c>
      <c r="D803" s="26" t="s">
        <v>1607</v>
      </c>
      <c r="E803" s="58">
        <v>2005.0</v>
      </c>
      <c r="F803" s="58">
        <v>2008.0</v>
      </c>
      <c r="G803" s="58">
        <v>0.0</v>
      </c>
      <c r="H803" s="58">
        <v>11.49</v>
      </c>
      <c r="I803" s="50">
        <f t="shared" si="92"/>
        <v>0.9434290688</v>
      </c>
      <c r="J803" s="58">
        <v>10.84</v>
      </c>
      <c r="K803" s="58">
        <v>0.0</v>
      </c>
      <c r="L803" s="58">
        <v>0.65</v>
      </c>
      <c r="M803" s="58">
        <v>3.0</v>
      </c>
      <c r="N803" s="58" t="s">
        <v>1592</v>
      </c>
      <c r="O803" s="63" t="s">
        <v>60</v>
      </c>
      <c r="P803" s="55">
        <v>27426.7</v>
      </c>
      <c r="Q803" s="63" t="s">
        <v>1580</v>
      </c>
      <c r="R803" s="58">
        <v>2011.0</v>
      </c>
      <c r="S803" s="339">
        <v>0.05421897</v>
      </c>
      <c r="T803" s="330">
        <f t="shared" si="90"/>
        <v>1487.047424</v>
      </c>
      <c r="U803" s="24">
        <f t="shared" si="3"/>
        <v>129.4210117</v>
      </c>
      <c r="V803" s="3">
        <f t="shared" si="28"/>
        <v>0</v>
      </c>
      <c r="W803" s="3">
        <f t="shared" si="29"/>
        <v>0</v>
      </c>
      <c r="X803" s="3">
        <f t="shared" si="30"/>
        <v>0</v>
      </c>
      <c r="Y803" s="58">
        <v>0.0</v>
      </c>
      <c r="Z803" s="26">
        <f>VLOOKUP(R803,CPI!$A$2:$F$71,6,0)</f>
        <v>1.432008233</v>
      </c>
      <c r="AA803" s="27">
        <f t="shared" si="8"/>
        <v>2129.464155</v>
      </c>
      <c r="AB803" s="27">
        <f t="shared" si="9"/>
        <v>185.3319543</v>
      </c>
      <c r="AC803" s="63" t="s">
        <v>60</v>
      </c>
      <c r="AD803" s="340" t="s">
        <v>1608</v>
      </c>
      <c r="AE803" s="130"/>
      <c r="AF803" s="130"/>
      <c r="AG803" s="130"/>
      <c r="AH803" s="130"/>
    </row>
    <row r="804">
      <c r="A804" s="63" t="s">
        <v>1576</v>
      </c>
      <c r="B804" s="329" t="s">
        <v>1590</v>
      </c>
      <c r="C804" s="16" t="s">
        <v>87</v>
      </c>
      <c r="D804" s="26" t="s">
        <v>1609</v>
      </c>
      <c r="E804" s="58">
        <v>2007.0</v>
      </c>
      <c r="F804" s="58">
        <v>2009.0</v>
      </c>
      <c r="G804" s="58">
        <v>0.0</v>
      </c>
      <c r="H804" s="58">
        <v>8.51</v>
      </c>
      <c r="I804" s="50">
        <f t="shared" si="92"/>
        <v>1</v>
      </c>
      <c r="J804" s="58">
        <v>8.51</v>
      </c>
      <c r="K804" s="58">
        <v>0.0</v>
      </c>
      <c r="L804" s="58">
        <v>0.0</v>
      </c>
      <c r="M804" s="58">
        <v>3.0</v>
      </c>
      <c r="N804" s="58" t="s">
        <v>1592</v>
      </c>
      <c r="O804" s="63" t="s">
        <v>60</v>
      </c>
      <c r="P804" s="55">
        <v>35485.0</v>
      </c>
      <c r="Q804" s="63" t="s">
        <v>1580</v>
      </c>
      <c r="R804" s="58">
        <v>2011.0</v>
      </c>
      <c r="S804" s="339">
        <v>0.05421897</v>
      </c>
      <c r="T804" s="330">
        <f t="shared" si="90"/>
        <v>1923.96015</v>
      </c>
      <c r="U804" s="24">
        <f t="shared" si="3"/>
        <v>226.0822738</v>
      </c>
      <c r="V804" s="3">
        <f t="shared" si="28"/>
        <v>0</v>
      </c>
      <c r="W804" s="3">
        <f t="shared" si="29"/>
        <v>0</v>
      </c>
      <c r="X804" s="3">
        <f t="shared" si="30"/>
        <v>0</v>
      </c>
      <c r="Y804" s="58">
        <v>0.0</v>
      </c>
      <c r="Z804" s="26">
        <f>VLOOKUP(R804,CPI!$A$2:$F$71,6,0)</f>
        <v>1.432008233</v>
      </c>
      <c r="AA804" s="27">
        <f t="shared" si="8"/>
        <v>2755.126776</v>
      </c>
      <c r="AB804" s="27">
        <f t="shared" si="9"/>
        <v>323.7516776</v>
      </c>
      <c r="AC804" s="63" t="s">
        <v>60</v>
      </c>
      <c r="AD804" s="340" t="s">
        <v>1608</v>
      </c>
      <c r="AE804" s="130"/>
      <c r="AF804" s="130"/>
      <c r="AG804" s="130"/>
      <c r="AH804" s="130"/>
    </row>
    <row r="805">
      <c r="A805" s="63" t="s">
        <v>1576</v>
      </c>
      <c r="B805" s="329" t="s">
        <v>1590</v>
      </c>
      <c r="C805" s="16" t="s">
        <v>239</v>
      </c>
      <c r="D805" s="26" t="s">
        <v>1610</v>
      </c>
      <c r="E805" s="58">
        <v>2007.0</v>
      </c>
      <c r="F805" s="58">
        <v>2010.0</v>
      </c>
      <c r="G805" s="58">
        <v>0.0</v>
      </c>
      <c r="H805" s="58">
        <v>3.5</v>
      </c>
      <c r="I805" s="50">
        <f t="shared" si="92"/>
        <v>1</v>
      </c>
      <c r="J805" s="58">
        <v>3.5</v>
      </c>
      <c r="K805" s="58">
        <v>0.0</v>
      </c>
      <c r="L805" s="58">
        <v>0.0</v>
      </c>
      <c r="M805" s="58">
        <v>2.0</v>
      </c>
      <c r="N805" s="58" t="s">
        <v>1592</v>
      </c>
      <c r="O805" s="63" t="s">
        <v>60</v>
      </c>
      <c r="P805" s="55">
        <v>27447.7</v>
      </c>
      <c r="Q805" s="63" t="s">
        <v>1580</v>
      </c>
      <c r="R805" s="58">
        <v>2011.0</v>
      </c>
      <c r="S805" s="339">
        <v>0.05421897</v>
      </c>
      <c r="T805" s="330">
        <f t="shared" si="90"/>
        <v>1488.186023</v>
      </c>
      <c r="U805" s="24">
        <f t="shared" si="3"/>
        <v>425.1960065</v>
      </c>
      <c r="V805" s="3">
        <f t="shared" si="28"/>
        <v>0</v>
      </c>
      <c r="W805" s="3">
        <f t="shared" si="29"/>
        <v>0</v>
      </c>
      <c r="X805" s="3">
        <f t="shared" si="30"/>
        <v>0</v>
      </c>
      <c r="Y805" s="58">
        <v>0.0</v>
      </c>
      <c r="Z805" s="26">
        <f>VLOOKUP(R805,CPI!$A$2:$F$71,6,0)</f>
        <v>1.432008233</v>
      </c>
      <c r="AA805" s="27">
        <f t="shared" si="8"/>
        <v>2131.094637</v>
      </c>
      <c r="AB805" s="27">
        <f t="shared" si="9"/>
        <v>608.8841821</v>
      </c>
      <c r="AC805" s="63" t="s">
        <v>60</v>
      </c>
      <c r="AD805" s="87" t="s">
        <v>1608</v>
      </c>
      <c r="AE805" s="130"/>
      <c r="AF805" s="130"/>
      <c r="AG805" s="130"/>
      <c r="AH805" s="130"/>
    </row>
    <row r="806">
      <c r="A806" s="63" t="s">
        <v>1576</v>
      </c>
      <c r="B806" s="329" t="s">
        <v>1590</v>
      </c>
      <c r="C806" s="16" t="s">
        <v>239</v>
      </c>
      <c r="D806" s="26" t="s">
        <v>1611</v>
      </c>
      <c r="E806" s="58">
        <v>2008.0</v>
      </c>
      <c r="F806" s="58">
        <v>2011.0</v>
      </c>
      <c r="G806" s="58">
        <v>0.0</v>
      </c>
      <c r="H806" s="58">
        <v>4.2</v>
      </c>
      <c r="I806" s="50">
        <f t="shared" si="92"/>
        <v>1</v>
      </c>
      <c r="J806" s="58">
        <v>4.2</v>
      </c>
      <c r="K806" s="58">
        <v>0.0</v>
      </c>
      <c r="L806" s="58">
        <v>0.0</v>
      </c>
      <c r="M806" s="58">
        <v>3.0</v>
      </c>
      <c r="N806" s="58" t="s">
        <v>1592</v>
      </c>
      <c r="O806" s="63" t="s">
        <v>60</v>
      </c>
      <c r="P806" s="55">
        <v>25278.6</v>
      </c>
      <c r="Q806" s="63" t="s">
        <v>1580</v>
      </c>
      <c r="R806" s="58">
        <v>2011.0</v>
      </c>
      <c r="S806" s="339">
        <v>0.05421897</v>
      </c>
      <c r="T806" s="330">
        <f t="shared" si="90"/>
        <v>1370.579655</v>
      </c>
      <c r="U806" s="24">
        <f t="shared" si="3"/>
        <v>326.3284893</v>
      </c>
      <c r="V806" s="3">
        <f t="shared" si="28"/>
        <v>0</v>
      </c>
      <c r="W806" s="3">
        <f t="shared" si="29"/>
        <v>0</v>
      </c>
      <c r="X806" s="3">
        <f t="shared" si="30"/>
        <v>0</v>
      </c>
      <c r="Y806" s="58">
        <v>0.0</v>
      </c>
      <c r="Z806" s="26">
        <f>VLOOKUP(R806,CPI!$A$2:$F$71,6,0)</f>
        <v>1.432008233</v>
      </c>
      <c r="AA806" s="27">
        <f t="shared" si="8"/>
        <v>1962.68135</v>
      </c>
      <c r="AB806" s="27">
        <f t="shared" si="9"/>
        <v>467.3050834</v>
      </c>
      <c r="AC806" s="63" t="s">
        <v>60</v>
      </c>
      <c r="AD806" s="340" t="s">
        <v>1608</v>
      </c>
      <c r="AE806" s="130"/>
      <c r="AF806" s="130"/>
      <c r="AG806" s="130"/>
      <c r="AH806" s="130"/>
    </row>
    <row r="807">
      <c r="A807" s="63" t="s">
        <v>1576</v>
      </c>
      <c r="B807" s="329" t="s">
        <v>1590</v>
      </c>
      <c r="C807" s="16" t="s">
        <v>243</v>
      </c>
      <c r="D807" s="26" t="s">
        <v>1612</v>
      </c>
      <c r="E807" s="58">
        <v>2009.0</v>
      </c>
      <c r="F807" s="58">
        <v>2012.0</v>
      </c>
      <c r="G807" s="58">
        <v>0.0</v>
      </c>
      <c r="H807" s="58">
        <v>3.39</v>
      </c>
      <c r="I807" s="50">
        <f t="shared" si="92"/>
        <v>1</v>
      </c>
      <c r="J807" s="58">
        <v>3.39</v>
      </c>
      <c r="K807" s="58">
        <v>0.0</v>
      </c>
      <c r="L807" s="58">
        <v>0.0</v>
      </c>
      <c r="M807" s="58">
        <v>1.0</v>
      </c>
      <c r="N807" s="58" t="s">
        <v>1592</v>
      </c>
      <c r="O807" s="63" t="s">
        <v>60</v>
      </c>
      <c r="P807" s="55">
        <v>17720.0</v>
      </c>
      <c r="Q807" s="63" t="s">
        <v>1580</v>
      </c>
      <c r="R807" s="58">
        <v>2011.0</v>
      </c>
      <c r="S807" s="339">
        <v>0.05421897</v>
      </c>
      <c r="T807" s="330">
        <f t="shared" si="90"/>
        <v>960.7601484</v>
      </c>
      <c r="U807" s="24">
        <f t="shared" si="3"/>
        <v>283.4100733</v>
      </c>
      <c r="V807" s="3">
        <f t="shared" si="28"/>
        <v>0</v>
      </c>
      <c r="W807" s="3">
        <f t="shared" si="29"/>
        <v>0</v>
      </c>
      <c r="X807" s="3">
        <f t="shared" si="30"/>
        <v>0</v>
      </c>
      <c r="Y807" s="58">
        <v>0.0</v>
      </c>
      <c r="Z807" s="26">
        <f>VLOOKUP(R807,CPI!$A$2:$F$71,6,0)</f>
        <v>1.432008233</v>
      </c>
      <c r="AA807" s="27">
        <f t="shared" si="8"/>
        <v>1375.816443</v>
      </c>
      <c r="AB807" s="27">
        <f t="shared" si="9"/>
        <v>405.8455583</v>
      </c>
      <c r="AC807" s="63" t="s">
        <v>60</v>
      </c>
      <c r="AD807" s="87" t="s">
        <v>1608</v>
      </c>
      <c r="AE807" s="301"/>
      <c r="AF807" s="301"/>
      <c r="AG807" s="301"/>
      <c r="AH807" s="130"/>
    </row>
    <row r="808">
      <c r="A808" s="63" t="s">
        <v>1576</v>
      </c>
      <c r="B808" s="329" t="s">
        <v>1590</v>
      </c>
      <c r="C808" s="16" t="s">
        <v>54</v>
      </c>
      <c r="D808" s="63" t="s">
        <v>1613</v>
      </c>
      <c r="E808" s="58">
        <v>2011.0</v>
      </c>
      <c r="F808" s="58">
        <v>2012.0</v>
      </c>
      <c r="G808" s="58">
        <v>0.0</v>
      </c>
      <c r="H808" s="58">
        <v>4.2</v>
      </c>
      <c r="I808" s="50">
        <f t="shared" si="92"/>
        <v>1</v>
      </c>
      <c r="J808" s="58">
        <v>4.2</v>
      </c>
      <c r="K808" s="58">
        <v>0.0</v>
      </c>
      <c r="L808" s="58">
        <v>0.0</v>
      </c>
      <c r="M808" s="58">
        <v>1.0</v>
      </c>
      <c r="N808" s="58" t="s">
        <v>1592</v>
      </c>
      <c r="O808" s="63" t="s">
        <v>60</v>
      </c>
      <c r="P808" s="55">
        <v>15800.0</v>
      </c>
      <c r="Q808" s="63" t="s">
        <v>1580</v>
      </c>
      <c r="R808" s="58">
        <v>2011.0</v>
      </c>
      <c r="S808" s="25">
        <v>0.05421897</v>
      </c>
      <c r="T808" s="330">
        <f t="shared" si="90"/>
        <v>856.659726</v>
      </c>
      <c r="U808" s="24">
        <f t="shared" si="3"/>
        <v>203.9666014</v>
      </c>
      <c r="V808" s="3">
        <f t="shared" si="28"/>
        <v>0</v>
      </c>
      <c r="W808" s="3">
        <f t="shared" si="29"/>
        <v>0</v>
      </c>
      <c r="X808" s="3">
        <f t="shared" si="30"/>
        <v>0</v>
      </c>
      <c r="Y808" s="58">
        <v>0.0</v>
      </c>
      <c r="Z808" s="26">
        <f>VLOOKUP(R808,CPI!$A$2:$F$71,6,0)</f>
        <v>1.432008233</v>
      </c>
      <c r="AA808" s="27">
        <f t="shared" si="8"/>
        <v>1226.743781</v>
      </c>
      <c r="AB808" s="27">
        <f t="shared" si="9"/>
        <v>292.0818526</v>
      </c>
      <c r="AC808" s="63" t="s">
        <v>42</v>
      </c>
      <c r="AD808" s="336" t="s">
        <v>1614</v>
      </c>
      <c r="AE808" s="130"/>
      <c r="AF808" s="130"/>
      <c r="AG808" s="130"/>
      <c r="AH808" s="130"/>
    </row>
    <row r="809">
      <c r="A809" s="63" t="s">
        <v>1576</v>
      </c>
      <c r="B809" s="329" t="s">
        <v>1590</v>
      </c>
      <c r="C809" s="16" t="s">
        <v>87</v>
      </c>
      <c r="D809" s="26" t="s">
        <v>1615</v>
      </c>
      <c r="E809" s="58">
        <v>2011.0</v>
      </c>
      <c r="F809" s="58">
        <v>2012.0</v>
      </c>
      <c r="G809" s="58">
        <v>0.0</v>
      </c>
      <c r="H809" s="58">
        <v>1.0</v>
      </c>
      <c r="I809" s="50">
        <f t="shared" si="92"/>
        <v>1</v>
      </c>
      <c r="J809" s="58">
        <v>1.0</v>
      </c>
      <c r="K809" s="58">
        <v>0.0</v>
      </c>
      <c r="L809" s="58">
        <v>0.0</v>
      </c>
      <c r="M809" s="58">
        <v>1.0</v>
      </c>
      <c r="N809" s="58" t="s">
        <v>1592</v>
      </c>
      <c r="O809" s="63" t="s">
        <v>60</v>
      </c>
      <c r="P809" s="339">
        <v>7296.4703</v>
      </c>
      <c r="Q809" s="63" t="s">
        <v>1580</v>
      </c>
      <c r="R809" s="58">
        <v>2016.0</v>
      </c>
      <c r="S809" s="25">
        <v>0.04244008054788</v>
      </c>
      <c r="T809" s="330">
        <f t="shared" si="90"/>
        <v>309.6627872</v>
      </c>
      <c r="U809" s="24">
        <f t="shared" si="3"/>
        <v>309.6627872</v>
      </c>
      <c r="V809" s="3">
        <f t="shared" si="28"/>
        <v>0</v>
      </c>
      <c r="W809" s="3">
        <f t="shared" si="29"/>
        <v>0</v>
      </c>
      <c r="X809" s="3">
        <f t="shared" si="30"/>
        <v>0</v>
      </c>
      <c r="Y809" s="58">
        <v>0.0</v>
      </c>
      <c r="Z809" s="26">
        <f>VLOOKUP(R809,CPI!$A$2:$F$71,6,0)</f>
        <v>1.342104605</v>
      </c>
      <c r="AA809" s="27">
        <f t="shared" si="8"/>
        <v>415.5998528</v>
      </c>
      <c r="AB809" s="27">
        <f t="shared" si="9"/>
        <v>415.5998528</v>
      </c>
      <c r="AC809" s="63" t="s">
        <v>60</v>
      </c>
      <c r="AD809" s="340" t="s">
        <v>1608</v>
      </c>
      <c r="AE809" s="130"/>
      <c r="AF809" s="130"/>
      <c r="AG809" s="130"/>
      <c r="AH809" s="130"/>
    </row>
    <row r="810">
      <c r="A810" s="63" t="s">
        <v>1576</v>
      </c>
      <c r="B810" s="329" t="s">
        <v>1590</v>
      </c>
      <c r="C810" s="16" t="s">
        <v>228</v>
      </c>
      <c r="D810" s="63" t="s">
        <v>1616</v>
      </c>
      <c r="E810" s="58">
        <v>2011.0</v>
      </c>
      <c r="F810" s="58">
        <v>2013.0</v>
      </c>
      <c r="G810" s="58">
        <v>0.0</v>
      </c>
      <c r="H810" s="58">
        <v>5.18</v>
      </c>
      <c r="I810" s="50">
        <f t="shared" si="92"/>
        <v>0.9324324324</v>
      </c>
      <c r="J810" s="58">
        <v>4.83</v>
      </c>
      <c r="K810" s="58">
        <v>0.0</v>
      </c>
      <c r="L810" s="58">
        <v>0.35</v>
      </c>
      <c r="M810" s="58">
        <v>2.0</v>
      </c>
      <c r="N810" s="58" t="s">
        <v>1617</v>
      </c>
      <c r="O810" s="63" t="s">
        <v>60</v>
      </c>
      <c r="P810" s="339">
        <v>28457.0164</v>
      </c>
      <c r="Q810" s="63" t="s">
        <v>1580</v>
      </c>
      <c r="R810" s="58">
        <v>2015.0</v>
      </c>
      <c r="S810" s="25">
        <v>0.04828079208377</v>
      </c>
      <c r="T810" s="330">
        <f t="shared" si="90"/>
        <v>1373.927292</v>
      </c>
      <c r="U810" s="24">
        <f t="shared" si="3"/>
        <v>265.236929</v>
      </c>
      <c r="V810" s="3">
        <f t="shared" si="28"/>
        <v>0</v>
      </c>
      <c r="W810" s="3">
        <f t="shared" si="29"/>
        <v>0</v>
      </c>
      <c r="X810" s="3">
        <f t="shared" si="30"/>
        <v>0</v>
      </c>
      <c r="Y810" s="58">
        <v>0.0</v>
      </c>
      <c r="Z810" s="26">
        <f>VLOOKUP(R810,CPI!$A$2:$F$71,6,0)</f>
        <v>1.359035428</v>
      </c>
      <c r="AA810" s="27">
        <f t="shared" si="8"/>
        <v>1867.215865</v>
      </c>
      <c r="AB810" s="27">
        <f t="shared" si="9"/>
        <v>360.4663833</v>
      </c>
      <c r="AC810" s="63" t="s">
        <v>60</v>
      </c>
      <c r="AD810" s="340" t="s">
        <v>1618</v>
      </c>
      <c r="AE810" s="130"/>
      <c r="AF810" s="130"/>
      <c r="AG810" s="130"/>
      <c r="AH810" s="130"/>
    </row>
    <row r="811">
      <c r="A811" s="63" t="s">
        <v>1576</v>
      </c>
      <c r="B811" s="329" t="s">
        <v>1590</v>
      </c>
      <c r="C811" s="16" t="s">
        <v>287</v>
      </c>
      <c r="D811" s="26" t="s">
        <v>1619</v>
      </c>
      <c r="E811" s="58">
        <v>2010.0</v>
      </c>
      <c r="F811" s="58">
        <v>2014.0</v>
      </c>
      <c r="G811" s="58">
        <v>0.0</v>
      </c>
      <c r="H811" s="58">
        <v>4.52</v>
      </c>
      <c r="I811" s="50">
        <f t="shared" si="92"/>
        <v>1</v>
      </c>
      <c r="J811" s="58">
        <v>4.52</v>
      </c>
      <c r="K811" s="58">
        <v>0.0</v>
      </c>
      <c r="L811" s="58">
        <v>0.0</v>
      </c>
      <c r="M811" s="58">
        <v>2.0</v>
      </c>
      <c r="N811" s="58" t="s">
        <v>1595</v>
      </c>
      <c r="O811" s="63" t="s">
        <v>60</v>
      </c>
      <c r="P811" s="339">
        <v>20528.4965</v>
      </c>
      <c r="Q811" s="63" t="s">
        <v>1580</v>
      </c>
      <c r="R811" s="58">
        <v>2017.0</v>
      </c>
      <c r="S811" s="25">
        <v>0.04929274758182</v>
      </c>
      <c r="T811" s="330">
        <f t="shared" si="90"/>
        <v>1011.905996</v>
      </c>
      <c r="U811" s="24">
        <f t="shared" si="3"/>
        <v>223.873008</v>
      </c>
      <c r="V811" s="3">
        <f t="shared" si="28"/>
        <v>0</v>
      </c>
      <c r="W811" s="3">
        <f t="shared" si="29"/>
        <v>0</v>
      </c>
      <c r="X811" s="3">
        <f t="shared" si="30"/>
        <v>0</v>
      </c>
      <c r="Y811" s="58">
        <v>0.0</v>
      </c>
      <c r="Z811" s="26">
        <f>VLOOKUP(R811,CPI!$A$2:$F$71,6,0)</f>
        <v>1.314109416</v>
      </c>
      <c r="AA811" s="27">
        <f t="shared" si="8"/>
        <v>1329.755198</v>
      </c>
      <c r="AB811" s="27">
        <f t="shared" si="9"/>
        <v>294.1936278</v>
      </c>
      <c r="AC811" s="63" t="s">
        <v>60</v>
      </c>
      <c r="AD811" s="340" t="s">
        <v>1608</v>
      </c>
      <c r="AE811" s="130"/>
      <c r="AF811" s="130"/>
      <c r="AG811" s="130"/>
      <c r="AH811" s="130"/>
    </row>
    <row r="812">
      <c r="A812" s="63" t="s">
        <v>1576</v>
      </c>
      <c r="B812" s="329" t="s">
        <v>1590</v>
      </c>
      <c r="C812" s="16" t="s">
        <v>1620</v>
      </c>
      <c r="D812" s="63" t="s">
        <v>1621</v>
      </c>
      <c r="E812" s="58">
        <v>2012.0</v>
      </c>
      <c r="F812" s="58">
        <v>2014.0</v>
      </c>
      <c r="G812" s="58">
        <v>0.0</v>
      </c>
      <c r="H812" s="58">
        <v>3.35</v>
      </c>
      <c r="I812" s="50">
        <v>1.0</v>
      </c>
      <c r="J812" s="58">
        <v>3.35</v>
      </c>
      <c r="K812" s="58">
        <v>0.0</v>
      </c>
      <c r="L812" s="58">
        <v>0.0</v>
      </c>
      <c r="M812" s="58">
        <v>0.0</v>
      </c>
      <c r="N812" s="58" t="s">
        <v>1622</v>
      </c>
      <c r="O812" s="63" t="s">
        <v>60</v>
      </c>
      <c r="P812" s="339">
        <v>35534.0</v>
      </c>
      <c r="Q812" s="63" t="s">
        <v>1580</v>
      </c>
      <c r="R812" s="58">
        <v>2024.0</v>
      </c>
      <c r="S812" s="25">
        <v>0.04434558355556</v>
      </c>
      <c r="T812" s="330">
        <f t="shared" si="90"/>
        <v>1575.775966</v>
      </c>
      <c r="U812" s="24">
        <f t="shared" si="3"/>
        <v>470.3808854</v>
      </c>
      <c r="V812" s="3">
        <f t="shared" si="28"/>
        <v>0</v>
      </c>
      <c r="W812" s="3">
        <f t="shared" si="29"/>
        <v>0</v>
      </c>
      <c r="X812" s="3">
        <f t="shared" si="30"/>
        <v>0</v>
      </c>
      <c r="Y812" s="58">
        <v>0.0</v>
      </c>
      <c r="Z812" s="26">
        <f>VLOOKUP(R812,CPI!$A$2:$F$71,6,0)</f>
        <v>1</v>
      </c>
      <c r="AA812" s="27">
        <f t="shared" si="8"/>
        <v>1575.775966</v>
      </c>
      <c r="AB812" s="27">
        <f t="shared" si="9"/>
        <v>470.3808854</v>
      </c>
      <c r="AC812" s="63" t="s">
        <v>60</v>
      </c>
      <c r="AD812" s="87" t="s">
        <v>1618</v>
      </c>
      <c r="AE812" s="130"/>
      <c r="AF812" s="301"/>
      <c r="AG812" s="301"/>
      <c r="AH812" s="301"/>
    </row>
    <row r="813">
      <c r="A813" s="63" t="s">
        <v>1576</v>
      </c>
      <c r="B813" s="329" t="s">
        <v>1590</v>
      </c>
      <c r="C813" s="16" t="s">
        <v>228</v>
      </c>
      <c r="D813" s="63" t="s">
        <v>1625</v>
      </c>
      <c r="E813" s="58">
        <v>2012.0</v>
      </c>
      <c r="F813" s="58">
        <v>2015.0</v>
      </c>
      <c r="G813" s="58">
        <v>0.0</v>
      </c>
      <c r="H813" s="58">
        <v>1.54</v>
      </c>
      <c r="I813" s="50">
        <f t="shared" ref="I813:I814" si="93">J813/H813</f>
        <v>1</v>
      </c>
      <c r="J813" s="58">
        <v>1.54</v>
      </c>
      <c r="K813" s="58">
        <v>0.0</v>
      </c>
      <c r="L813" s="58">
        <v>0.0</v>
      </c>
      <c r="M813" s="58">
        <v>1.0</v>
      </c>
      <c r="N813" s="58" t="s">
        <v>1617</v>
      </c>
      <c r="O813" s="63" t="s">
        <v>60</v>
      </c>
      <c r="P813" s="339">
        <v>10343.43</v>
      </c>
      <c r="Q813" s="63" t="s">
        <v>1580</v>
      </c>
      <c r="R813" s="58">
        <v>2015.0</v>
      </c>
      <c r="S813" s="25">
        <v>0.04453936975297</v>
      </c>
      <c r="T813" s="330">
        <f t="shared" si="90"/>
        <v>460.6898533</v>
      </c>
      <c r="U813" s="24">
        <f t="shared" si="3"/>
        <v>299.1492554</v>
      </c>
      <c r="V813" s="3">
        <f t="shared" si="28"/>
        <v>0</v>
      </c>
      <c r="W813" s="3">
        <f t="shared" si="29"/>
        <v>0</v>
      </c>
      <c r="X813" s="3">
        <f t="shared" si="30"/>
        <v>0</v>
      </c>
      <c r="Y813" s="58">
        <v>0.0</v>
      </c>
      <c r="Z813" s="26">
        <f>VLOOKUP(R813,CPI!$A$2:$F$71,6,0)</f>
        <v>1.359035428</v>
      </c>
      <c r="AA813" s="27">
        <f t="shared" si="8"/>
        <v>626.0938319</v>
      </c>
      <c r="AB813" s="27">
        <f t="shared" si="9"/>
        <v>406.5544363</v>
      </c>
      <c r="AC813" s="63" t="s">
        <v>60</v>
      </c>
      <c r="AD813" s="87" t="s">
        <v>1618</v>
      </c>
      <c r="AE813" s="130"/>
      <c r="AF813" s="130"/>
      <c r="AG813" s="130"/>
      <c r="AH813" s="130"/>
    </row>
    <row r="814">
      <c r="A814" s="63" t="s">
        <v>1576</v>
      </c>
      <c r="B814" s="329" t="s">
        <v>1590</v>
      </c>
      <c r="C814" s="16" t="s">
        <v>57</v>
      </c>
      <c r="D814" s="63" t="s">
        <v>1627</v>
      </c>
      <c r="E814" s="58">
        <v>2011.0</v>
      </c>
      <c r="F814" s="58">
        <v>2016.0</v>
      </c>
      <c r="G814" s="58">
        <v>0.0</v>
      </c>
      <c r="H814" s="58">
        <v>6.83</v>
      </c>
      <c r="I814" s="50">
        <f t="shared" si="93"/>
        <v>1</v>
      </c>
      <c r="J814" s="58">
        <v>6.83</v>
      </c>
      <c r="K814" s="58">
        <v>0.0</v>
      </c>
      <c r="L814" s="58">
        <v>0.0</v>
      </c>
      <c r="M814" s="58">
        <v>3.0</v>
      </c>
      <c r="N814" s="58" t="s">
        <v>1628</v>
      </c>
      <c r="O814" s="63" t="s">
        <v>60</v>
      </c>
      <c r="P814" s="339">
        <v>42194.3627</v>
      </c>
      <c r="Q814" s="63" t="s">
        <v>1580</v>
      </c>
      <c r="R814" s="58">
        <v>2024.0</v>
      </c>
      <c r="S814" s="25">
        <v>0.04440198056778</v>
      </c>
      <c r="T814" s="330">
        <f t="shared" si="90"/>
        <v>1873.513273</v>
      </c>
      <c r="U814" s="24">
        <f t="shared" si="3"/>
        <v>274.3064821</v>
      </c>
      <c r="V814" s="3">
        <f t="shared" si="28"/>
        <v>0</v>
      </c>
      <c r="W814" s="3">
        <f t="shared" si="29"/>
        <v>0</v>
      </c>
      <c r="X814" s="3">
        <f t="shared" si="30"/>
        <v>0</v>
      </c>
      <c r="Y814" s="58">
        <v>0.0</v>
      </c>
      <c r="Z814" s="26">
        <f>VLOOKUP(R814,CPI!$A$2:$F$71,6,0)</f>
        <v>1</v>
      </c>
      <c r="AA814" s="27">
        <f t="shared" si="8"/>
        <v>1873.513273</v>
      </c>
      <c r="AB814" s="27">
        <f t="shared" si="9"/>
        <v>274.3064821</v>
      </c>
      <c r="AC814" s="63" t="s">
        <v>60</v>
      </c>
      <c r="AD814" s="340" t="s">
        <v>1618</v>
      </c>
      <c r="AE814" s="301"/>
      <c r="AF814" s="130"/>
      <c r="AG814" s="130"/>
      <c r="AH814" s="130"/>
    </row>
    <row r="815">
      <c r="A815" s="63" t="s">
        <v>1576</v>
      </c>
      <c r="B815" s="329" t="s">
        <v>1590</v>
      </c>
      <c r="C815" s="16" t="s">
        <v>1620</v>
      </c>
      <c r="D815" s="63" t="s">
        <v>1629</v>
      </c>
      <c r="E815" s="58">
        <v>2012.0</v>
      </c>
      <c r="F815" s="58">
        <v>2017.0</v>
      </c>
      <c r="G815" s="58">
        <v>0.0</v>
      </c>
      <c r="H815" s="58">
        <v>7.25</v>
      </c>
      <c r="I815" s="50">
        <v>1.0</v>
      </c>
      <c r="J815" s="58">
        <v>7.25</v>
      </c>
      <c r="K815" s="58">
        <v>0.0</v>
      </c>
      <c r="L815" s="58">
        <v>0.0</v>
      </c>
      <c r="M815" s="58">
        <v>3.0</v>
      </c>
      <c r="N815" s="58" t="s">
        <v>1617</v>
      </c>
      <c r="O815" s="63" t="s">
        <v>60</v>
      </c>
      <c r="P815" s="339">
        <v>63274.0</v>
      </c>
      <c r="Q815" s="63" t="s">
        <v>1580</v>
      </c>
      <c r="R815" s="58">
        <v>2024.0</v>
      </c>
      <c r="S815" s="25">
        <v>0.04518431182954</v>
      </c>
      <c r="T815" s="330">
        <f t="shared" si="90"/>
        <v>2858.992147</v>
      </c>
      <c r="U815" s="24">
        <f t="shared" si="3"/>
        <v>394.3437444</v>
      </c>
      <c r="V815" s="3">
        <f t="shared" si="28"/>
        <v>0</v>
      </c>
      <c r="W815" s="3">
        <f t="shared" si="29"/>
        <v>0</v>
      </c>
      <c r="X815" s="3">
        <f t="shared" si="30"/>
        <v>0</v>
      </c>
      <c r="Y815" s="58">
        <v>0.0</v>
      </c>
      <c r="Z815" s="26">
        <f>VLOOKUP(R815,CPI!$A$2:$F$71,6,0)</f>
        <v>1</v>
      </c>
      <c r="AA815" s="27">
        <f t="shared" si="8"/>
        <v>2858.992147</v>
      </c>
      <c r="AB815" s="27">
        <f t="shared" si="9"/>
        <v>394.3437444</v>
      </c>
      <c r="AC815" s="63" t="s">
        <v>60</v>
      </c>
      <c r="AD815" s="87" t="s">
        <v>1618</v>
      </c>
      <c r="AE815" s="130"/>
      <c r="AF815" s="130"/>
      <c r="AG815" s="130"/>
      <c r="AH815" s="130"/>
    </row>
    <row r="816">
      <c r="A816" s="63" t="s">
        <v>1576</v>
      </c>
      <c r="B816" s="329" t="s">
        <v>1590</v>
      </c>
      <c r="C816" s="16" t="s">
        <v>239</v>
      </c>
      <c r="D816" s="63" t="s">
        <v>1630</v>
      </c>
      <c r="E816" s="58">
        <v>2011.0</v>
      </c>
      <c r="F816" s="58">
        <v>2018.0</v>
      </c>
      <c r="G816" s="58">
        <v>0.0</v>
      </c>
      <c r="H816" s="58">
        <v>11.75</v>
      </c>
      <c r="I816" s="50">
        <v>1.0</v>
      </c>
      <c r="J816" s="58">
        <v>11.75</v>
      </c>
      <c r="K816" s="58">
        <v>0.0</v>
      </c>
      <c r="L816" s="58">
        <v>0.0</v>
      </c>
      <c r="M816" s="58">
        <v>6.0</v>
      </c>
      <c r="N816" s="58" t="s">
        <v>1628</v>
      </c>
      <c r="O816" s="63" t="s">
        <v>60</v>
      </c>
      <c r="P816" s="339">
        <v>136900.0</v>
      </c>
      <c r="Q816" s="63" t="s">
        <v>1580</v>
      </c>
      <c r="R816" s="58">
        <v>2024.0</v>
      </c>
      <c r="S816" s="25">
        <v>0.04326052881366</v>
      </c>
      <c r="T816" s="330">
        <f t="shared" si="90"/>
        <v>5922.366395</v>
      </c>
      <c r="U816" s="24">
        <f t="shared" si="3"/>
        <v>504.0311825</v>
      </c>
      <c r="V816" s="3">
        <f t="shared" si="28"/>
        <v>0</v>
      </c>
      <c r="W816" s="3">
        <f t="shared" si="29"/>
        <v>0</v>
      </c>
      <c r="X816" s="3">
        <f t="shared" si="30"/>
        <v>0</v>
      </c>
      <c r="Y816" s="58">
        <v>0.0</v>
      </c>
      <c r="Z816" s="26">
        <f>VLOOKUP(R816,CPI!$A$2:$F$71,6,0)</f>
        <v>1</v>
      </c>
      <c r="AA816" s="27">
        <f t="shared" si="8"/>
        <v>5922.366395</v>
      </c>
      <c r="AB816" s="27">
        <f t="shared" si="9"/>
        <v>504.0311825</v>
      </c>
      <c r="AC816" s="63" t="s">
        <v>60</v>
      </c>
      <c r="AD816" s="87" t="s">
        <v>1618</v>
      </c>
      <c r="AE816" s="130"/>
      <c r="AF816" s="130"/>
      <c r="AG816" s="130"/>
      <c r="AH816" s="130"/>
    </row>
    <row r="817">
      <c r="A817" s="63" t="s">
        <v>1576</v>
      </c>
      <c r="B817" s="329" t="s">
        <v>1590</v>
      </c>
      <c r="C817" s="16" t="s">
        <v>54</v>
      </c>
      <c r="D817" s="63" t="s">
        <v>1631</v>
      </c>
      <c r="E817" s="58">
        <v>2013.0</v>
      </c>
      <c r="F817" s="58">
        <v>2018.0</v>
      </c>
      <c r="G817" s="58">
        <v>0.0</v>
      </c>
      <c r="H817" s="58">
        <v>2.92</v>
      </c>
      <c r="I817" s="50">
        <f>J817/H817</f>
        <v>1</v>
      </c>
      <c r="J817" s="58">
        <v>2.92</v>
      </c>
      <c r="K817" s="58">
        <v>0.0</v>
      </c>
      <c r="L817" s="58">
        <v>0.0</v>
      </c>
      <c r="M817" s="58">
        <v>2.0</v>
      </c>
      <c r="N817" s="58" t="s">
        <v>1592</v>
      </c>
      <c r="O817" s="63" t="s">
        <v>60</v>
      </c>
      <c r="P817" s="339">
        <v>26052.0</v>
      </c>
      <c r="Q817" s="63" t="s">
        <v>1580</v>
      </c>
      <c r="R817" s="58">
        <v>2024.0</v>
      </c>
      <c r="S817" s="25">
        <v>0.04241467569204</v>
      </c>
      <c r="T817" s="330">
        <f t="shared" si="90"/>
        <v>1104.987131</v>
      </c>
      <c r="U817" s="24">
        <f t="shared" si="3"/>
        <v>378.4202504</v>
      </c>
      <c r="V817" s="3">
        <f t="shared" si="28"/>
        <v>0</v>
      </c>
      <c r="W817" s="3">
        <f t="shared" si="29"/>
        <v>0</v>
      </c>
      <c r="X817" s="3">
        <f t="shared" si="30"/>
        <v>0</v>
      </c>
      <c r="Y817" s="58">
        <v>0.0</v>
      </c>
      <c r="Z817" s="26">
        <f>VLOOKUP(R817,CPI!$A$2:$F$71,6,0)</f>
        <v>1</v>
      </c>
      <c r="AA817" s="27">
        <f t="shared" si="8"/>
        <v>1104.987131</v>
      </c>
      <c r="AB817" s="27">
        <f t="shared" si="9"/>
        <v>378.4202504</v>
      </c>
      <c r="AC817" s="63" t="s">
        <v>60</v>
      </c>
      <c r="AD817" s="87" t="s">
        <v>1618</v>
      </c>
      <c r="AE817" s="130"/>
      <c r="AF817" s="130"/>
      <c r="AG817" s="130"/>
      <c r="AH817" s="130"/>
    </row>
    <row r="818">
      <c r="A818" s="63" t="s">
        <v>1576</v>
      </c>
      <c r="B818" s="329" t="s">
        <v>1590</v>
      </c>
      <c r="C818" s="16" t="s">
        <v>1620</v>
      </c>
      <c r="D818" s="63" t="s">
        <v>1632</v>
      </c>
      <c r="E818" s="58">
        <v>2014.0</v>
      </c>
      <c r="F818" s="58">
        <v>2018.0</v>
      </c>
      <c r="G818" s="58">
        <v>0.0</v>
      </c>
      <c r="H818" s="58">
        <v>15.3</v>
      </c>
      <c r="I818" s="50">
        <v>1.0</v>
      </c>
      <c r="J818" s="58">
        <v>15.3</v>
      </c>
      <c r="K818" s="58">
        <v>0.0</v>
      </c>
      <c r="L818" s="58">
        <v>0.0</v>
      </c>
      <c r="M818" s="58">
        <v>7.0</v>
      </c>
      <c r="N818" s="58" t="s">
        <v>1617</v>
      </c>
      <c r="O818" s="63" t="s">
        <v>60</v>
      </c>
      <c r="P818" s="339">
        <v>116000.0</v>
      </c>
      <c r="Q818" s="63" t="s">
        <v>1580</v>
      </c>
      <c r="R818" s="58">
        <v>2024.0</v>
      </c>
      <c r="S818" s="25">
        <v>0.04115489876644</v>
      </c>
      <c r="T818" s="330">
        <f t="shared" si="90"/>
        <v>4773.968257</v>
      </c>
      <c r="U818" s="24">
        <f t="shared" si="3"/>
        <v>312.0240691</v>
      </c>
      <c r="V818" s="3">
        <f t="shared" si="28"/>
        <v>0</v>
      </c>
      <c r="W818" s="3">
        <f t="shared" si="29"/>
        <v>0</v>
      </c>
      <c r="X818" s="3">
        <f t="shared" si="30"/>
        <v>0</v>
      </c>
      <c r="Y818" s="58">
        <v>0.0</v>
      </c>
      <c r="Z818" s="26">
        <f>VLOOKUP(R818,CPI!$A$2:$F$71,6,0)</f>
        <v>1</v>
      </c>
      <c r="AA818" s="27">
        <f t="shared" si="8"/>
        <v>4773.968257</v>
      </c>
      <c r="AB818" s="27">
        <f t="shared" si="9"/>
        <v>312.0240691</v>
      </c>
      <c r="AC818" s="63" t="s">
        <v>60</v>
      </c>
      <c r="AD818" s="87" t="s">
        <v>1618</v>
      </c>
      <c r="AE818" s="301"/>
      <c r="AF818" s="301"/>
      <c r="AG818" s="301"/>
      <c r="AH818" s="130"/>
    </row>
    <row r="819">
      <c r="A819" s="63" t="s">
        <v>1576</v>
      </c>
      <c r="B819" s="329" t="s">
        <v>1590</v>
      </c>
      <c r="C819" s="16" t="s">
        <v>1633</v>
      </c>
      <c r="D819" s="63" t="s">
        <v>1634</v>
      </c>
      <c r="E819" s="58">
        <v>2014.0</v>
      </c>
      <c r="F819" s="58">
        <v>2018.0</v>
      </c>
      <c r="G819" s="58">
        <v>0.0</v>
      </c>
      <c r="H819" s="58">
        <v>11.45</v>
      </c>
      <c r="I819" s="50">
        <f t="shared" ref="I819:I827" si="94">J819/H819</f>
        <v>1</v>
      </c>
      <c r="J819" s="58">
        <v>11.45</v>
      </c>
      <c r="K819" s="58">
        <v>0.0</v>
      </c>
      <c r="L819" s="58">
        <v>0.0</v>
      </c>
      <c r="M819" s="58">
        <v>5.0</v>
      </c>
      <c r="N819" s="58" t="s">
        <v>1617</v>
      </c>
      <c r="O819" s="63" t="s">
        <v>60</v>
      </c>
      <c r="P819" s="339">
        <v>144582.0</v>
      </c>
      <c r="Q819" s="63" t="s">
        <v>1580</v>
      </c>
      <c r="R819" s="58">
        <v>2024.0</v>
      </c>
      <c r="S819" s="25">
        <v>0.04190132605345</v>
      </c>
      <c r="T819" s="330">
        <f t="shared" si="90"/>
        <v>6058.177523</v>
      </c>
      <c r="U819" s="24">
        <f t="shared" si="3"/>
        <v>529.0984737</v>
      </c>
      <c r="V819" s="3">
        <f t="shared" si="28"/>
        <v>0</v>
      </c>
      <c r="W819" s="3">
        <f t="shared" si="29"/>
        <v>0</v>
      </c>
      <c r="X819" s="3">
        <f t="shared" si="30"/>
        <v>0</v>
      </c>
      <c r="Y819" s="58">
        <v>0.0</v>
      </c>
      <c r="Z819" s="26">
        <f>VLOOKUP(R819,CPI!$A$2:$F$71,6,0)</f>
        <v>1</v>
      </c>
      <c r="AA819" s="27">
        <f t="shared" si="8"/>
        <v>6058.177523</v>
      </c>
      <c r="AB819" s="27">
        <f t="shared" si="9"/>
        <v>529.0984737</v>
      </c>
      <c r="AC819" s="63" t="s">
        <v>60</v>
      </c>
      <c r="AD819" s="87" t="s">
        <v>1618</v>
      </c>
      <c r="AE819" s="130"/>
      <c r="AF819" s="130"/>
      <c r="AG819" s="130"/>
      <c r="AH819" s="130"/>
    </row>
    <row r="820">
      <c r="A820" s="63" t="s">
        <v>1576</v>
      </c>
      <c r="B820" s="329" t="s">
        <v>1590</v>
      </c>
      <c r="C820" s="16" t="s">
        <v>57</v>
      </c>
      <c r="D820" s="63" t="s">
        <v>1635</v>
      </c>
      <c r="E820" s="58">
        <v>2016.0</v>
      </c>
      <c r="F820" s="58">
        <v>2019.0</v>
      </c>
      <c r="G820" s="58">
        <v>0.0</v>
      </c>
      <c r="H820" s="58">
        <v>11.51</v>
      </c>
      <c r="I820" s="50">
        <f t="shared" si="94"/>
        <v>0.5655951347</v>
      </c>
      <c r="J820" s="58">
        <v>6.51</v>
      </c>
      <c r="K820" s="58">
        <v>1.0</v>
      </c>
      <c r="L820" s="58">
        <v>4.0</v>
      </c>
      <c r="M820" s="58">
        <v>2.0</v>
      </c>
      <c r="N820" s="58" t="s">
        <v>1592</v>
      </c>
      <c r="O820" s="63" t="s">
        <v>60</v>
      </c>
      <c r="P820" s="339">
        <v>48024.4739</v>
      </c>
      <c r="Q820" s="63" t="s">
        <v>1580</v>
      </c>
      <c r="R820" s="58">
        <v>2024.0</v>
      </c>
      <c r="S820" s="25">
        <v>0.04036805100883</v>
      </c>
      <c r="T820" s="330">
        <f t="shared" si="90"/>
        <v>1938.654412</v>
      </c>
      <c r="U820" s="24">
        <f t="shared" si="3"/>
        <v>168.4321818</v>
      </c>
      <c r="V820" s="3">
        <f t="shared" si="28"/>
        <v>0</v>
      </c>
      <c r="W820" s="3">
        <f t="shared" si="29"/>
        <v>0</v>
      </c>
      <c r="X820" s="3">
        <f t="shared" si="30"/>
        <v>0</v>
      </c>
      <c r="Y820" s="58">
        <v>0.0</v>
      </c>
      <c r="Z820" s="26">
        <f>VLOOKUP(R820,CPI!$A$2:$F$71,6,0)</f>
        <v>1</v>
      </c>
      <c r="AA820" s="27">
        <f t="shared" si="8"/>
        <v>1938.654412</v>
      </c>
      <c r="AB820" s="27">
        <f t="shared" si="9"/>
        <v>168.4321818</v>
      </c>
      <c r="AC820" s="63" t="s">
        <v>60</v>
      </c>
      <c r="AD820" s="87" t="s">
        <v>1618</v>
      </c>
      <c r="AE820" s="130"/>
      <c r="AF820" s="130"/>
      <c r="AG820" s="130"/>
      <c r="AH820" s="130"/>
    </row>
    <row r="821">
      <c r="A821" s="63" t="s">
        <v>1576</v>
      </c>
      <c r="B821" s="329" t="s">
        <v>1590</v>
      </c>
      <c r="C821" s="16" t="s">
        <v>1636</v>
      </c>
      <c r="D821" s="63" t="s">
        <v>1637</v>
      </c>
      <c r="E821" s="58">
        <v>2015.0</v>
      </c>
      <c r="F821" s="58">
        <v>2020.0</v>
      </c>
      <c r="G821" s="58">
        <v>0.0</v>
      </c>
      <c r="H821" s="58">
        <v>21.43</v>
      </c>
      <c r="I821" s="50">
        <f t="shared" si="94"/>
        <v>1</v>
      </c>
      <c r="J821" s="58">
        <v>21.43</v>
      </c>
      <c r="K821" s="58">
        <v>0.0</v>
      </c>
      <c r="L821" s="58">
        <v>0.0</v>
      </c>
      <c r="M821" s="58">
        <v>8.0</v>
      </c>
      <c r="N821" s="58" t="s">
        <v>1592</v>
      </c>
      <c r="O821" s="63" t="s">
        <v>60</v>
      </c>
      <c r="P821" s="339">
        <v>213479.356</v>
      </c>
      <c r="Q821" s="63" t="s">
        <v>1580</v>
      </c>
      <c r="R821" s="58">
        <v>2024.0</v>
      </c>
      <c r="S821" s="25">
        <v>0.03997771372224</v>
      </c>
      <c r="T821" s="330">
        <f t="shared" si="90"/>
        <v>8534.41658</v>
      </c>
      <c r="U821" s="24">
        <f t="shared" si="3"/>
        <v>398.246224</v>
      </c>
      <c r="V821" s="3">
        <f t="shared" si="28"/>
        <v>0</v>
      </c>
      <c r="W821" s="3">
        <f t="shared" si="29"/>
        <v>0</v>
      </c>
      <c r="X821" s="3">
        <f t="shared" si="30"/>
        <v>0</v>
      </c>
      <c r="Y821" s="58">
        <v>0.0</v>
      </c>
      <c r="Z821" s="26">
        <f>VLOOKUP(R821,CPI!$A$2:$F$71,6,0)</f>
        <v>1</v>
      </c>
      <c r="AA821" s="27">
        <f t="shared" si="8"/>
        <v>8534.41658</v>
      </c>
      <c r="AB821" s="27">
        <f t="shared" si="9"/>
        <v>398.246224</v>
      </c>
      <c r="AC821" s="63" t="s">
        <v>60</v>
      </c>
      <c r="AD821" s="87" t="s">
        <v>1618</v>
      </c>
      <c r="AE821" s="130"/>
      <c r="AF821" s="130"/>
      <c r="AG821" s="130"/>
      <c r="AH821" s="130"/>
    </row>
    <row r="822">
      <c r="A822" s="63" t="s">
        <v>1576</v>
      </c>
      <c r="B822" s="329" t="s">
        <v>1590</v>
      </c>
      <c r="C822" s="16" t="s">
        <v>1638</v>
      </c>
      <c r="D822" s="63" t="s">
        <v>1639</v>
      </c>
      <c r="E822" s="58">
        <v>2018.0</v>
      </c>
      <c r="F822" s="58">
        <v>2020.0</v>
      </c>
      <c r="G822" s="58">
        <v>0.0</v>
      </c>
      <c r="H822" s="58">
        <v>1.4</v>
      </c>
      <c r="I822" s="50">
        <f t="shared" si="94"/>
        <v>1</v>
      </c>
      <c r="J822" s="58">
        <v>1.4</v>
      </c>
      <c r="K822" s="58">
        <v>0.0</v>
      </c>
      <c r="L822" s="58">
        <v>0.0</v>
      </c>
      <c r="M822" s="58">
        <v>0.0</v>
      </c>
      <c r="N822" s="58" t="s">
        <v>1622</v>
      </c>
      <c r="O822" s="63" t="s">
        <v>60</v>
      </c>
      <c r="P822" s="339">
        <v>20289.0</v>
      </c>
      <c r="Q822" s="63" t="s">
        <v>1580</v>
      </c>
      <c r="R822" s="58">
        <v>2024.0</v>
      </c>
      <c r="S822" s="25">
        <v>0.03855478193996</v>
      </c>
      <c r="T822" s="330">
        <f t="shared" si="90"/>
        <v>782.2379708</v>
      </c>
      <c r="U822" s="24">
        <f t="shared" si="3"/>
        <v>558.7414077</v>
      </c>
      <c r="V822" s="3">
        <f t="shared" si="28"/>
        <v>0</v>
      </c>
      <c r="W822" s="3">
        <f t="shared" si="29"/>
        <v>0</v>
      </c>
      <c r="X822" s="3">
        <f t="shared" si="30"/>
        <v>0</v>
      </c>
      <c r="Y822" s="58">
        <v>0.0</v>
      </c>
      <c r="Z822" s="26">
        <f>VLOOKUP(R822,CPI!$A$2:$F$71,6,0)</f>
        <v>1</v>
      </c>
      <c r="AA822" s="27">
        <f t="shared" si="8"/>
        <v>782.2379708</v>
      </c>
      <c r="AB822" s="27">
        <f t="shared" si="9"/>
        <v>558.7414077</v>
      </c>
      <c r="AC822" s="63" t="s">
        <v>60</v>
      </c>
      <c r="AD822" s="87" t="s">
        <v>1618</v>
      </c>
      <c r="AE822" s="130"/>
      <c r="AF822" s="130"/>
      <c r="AG822" s="130"/>
      <c r="AH822" s="130"/>
    </row>
    <row r="823">
      <c r="A823" s="63" t="s">
        <v>1576</v>
      </c>
      <c r="B823" s="329" t="s">
        <v>1590</v>
      </c>
      <c r="C823" s="16" t="s">
        <v>1640</v>
      </c>
      <c r="D823" s="63" t="s">
        <v>1641</v>
      </c>
      <c r="E823" s="58">
        <v>2017.0</v>
      </c>
      <c r="F823" s="58">
        <v>2021.0</v>
      </c>
      <c r="G823" s="58">
        <v>0.0</v>
      </c>
      <c r="H823" s="58">
        <v>8.11</v>
      </c>
      <c r="I823" s="50">
        <f t="shared" si="94"/>
        <v>1</v>
      </c>
      <c r="J823" s="58">
        <v>8.11</v>
      </c>
      <c r="K823" s="58">
        <v>0.0</v>
      </c>
      <c r="L823" s="58">
        <v>0.0</v>
      </c>
      <c r="M823" s="58">
        <v>3.0</v>
      </c>
      <c r="N823" s="58" t="s">
        <v>1592</v>
      </c>
      <c r="O823" s="63" t="s">
        <v>60</v>
      </c>
      <c r="P823" s="339">
        <v>125522.78</v>
      </c>
      <c r="Q823" s="63" t="s">
        <v>1580</v>
      </c>
      <c r="R823" s="58">
        <v>2024.0</v>
      </c>
      <c r="S823" s="25">
        <v>0.03725472052102</v>
      </c>
      <c r="T823" s="330">
        <f t="shared" si="90"/>
        <v>4676.316088</v>
      </c>
      <c r="U823" s="24">
        <f t="shared" si="3"/>
        <v>576.6111083</v>
      </c>
      <c r="V823" s="3">
        <f t="shared" si="28"/>
        <v>0</v>
      </c>
      <c r="W823" s="3">
        <f t="shared" si="29"/>
        <v>0</v>
      </c>
      <c r="X823" s="3">
        <f t="shared" si="30"/>
        <v>0</v>
      </c>
      <c r="Y823" s="58">
        <v>0.0</v>
      </c>
      <c r="Z823" s="26">
        <f>VLOOKUP(R823,CPI!$A$2:$F$71,6,0)</f>
        <v>1</v>
      </c>
      <c r="AA823" s="27">
        <f t="shared" si="8"/>
        <v>4676.316088</v>
      </c>
      <c r="AB823" s="27">
        <f t="shared" si="9"/>
        <v>576.6111083</v>
      </c>
      <c r="AC823" s="63" t="s">
        <v>60</v>
      </c>
      <c r="AD823" s="87" t="s">
        <v>1618</v>
      </c>
      <c r="AE823" s="130"/>
      <c r="AF823" s="130"/>
      <c r="AG823" s="130"/>
      <c r="AH823" s="130"/>
    </row>
    <row r="824">
      <c r="A824" s="63" t="s">
        <v>1576</v>
      </c>
      <c r="B824" s="329" t="s">
        <v>1590</v>
      </c>
      <c r="C824" s="16" t="s">
        <v>1640</v>
      </c>
      <c r="D824" s="63" t="s">
        <v>1642</v>
      </c>
      <c r="E824" s="58">
        <v>2017.0</v>
      </c>
      <c r="F824" s="58">
        <v>2021.0</v>
      </c>
      <c r="G824" s="58">
        <v>0.0</v>
      </c>
      <c r="H824" s="58">
        <v>8.41</v>
      </c>
      <c r="I824" s="50">
        <f t="shared" si="94"/>
        <v>1</v>
      </c>
      <c r="J824" s="58">
        <v>8.41</v>
      </c>
      <c r="K824" s="58">
        <v>0.0</v>
      </c>
      <c r="L824" s="58">
        <v>0.0</v>
      </c>
      <c r="M824" s="58">
        <v>4.0</v>
      </c>
      <c r="N824" s="58" t="s">
        <v>1592</v>
      </c>
      <c r="O824" s="63" t="s">
        <v>60</v>
      </c>
      <c r="P824" s="339">
        <v>125410.4</v>
      </c>
      <c r="Q824" s="63" t="s">
        <v>1580</v>
      </c>
      <c r="R824" s="58">
        <v>2024.0</v>
      </c>
      <c r="S824" s="25">
        <v>0.0364892875344</v>
      </c>
      <c r="T824" s="330">
        <f t="shared" si="90"/>
        <v>4576.136145</v>
      </c>
      <c r="U824" s="24">
        <f t="shared" si="3"/>
        <v>544.1303383</v>
      </c>
      <c r="V824" s="3">
        <f t="shared" si="28"/>
        <v>0</v>
      </c>
      <c r="W824" s="3">
        <f t="shared" si="29"/>
        <v>0</v>
      </c>
      <c r="X824" s="3">
        <f t="shared" si="30"/>
        <v>0</v>
      </c>
      <c r="Y824" s="58">
        <v>0.0</v>
      </c>
      <c r="Z824" s="26">
        <f>VLOOKUP(R824,CPI!$A$2:$F$71,6,0)</f>
        <v>1</v>
      </c>
      <c r="AA824" s="27">
        <f t="shared" si="8"/>
        <v>4576.136145</v>
      </c>
      <c r="AB824" s="27">
        <f t="shared" si="9"/>
        <v>544.1303383</v>
      </c>
      <c r="AC824" s="63" t="s">
        <v>60</v>
      </c>
      <c r="AD824" s="87" t="s">
        <v>1618</v>
      </c>
      <c r="AE824" s="301"/>
      <c r="AF824" s="301"/>
      <c r="AG824" s="301"/>
      <c r="AH824" s="301"/>
    </row>
    <row r="825">
      <c r="A825" s="63" t="s">
        <v>1576</v>
      </c>
      <c r="B825" s="329" t="s">
        <v>1590</v>
      </c>
      <c r="C825" s="16" t="s">
        <v>1640</v>
      </c>
      <c r="D825" s="63" t="s">
        <v>1643</v>
      </c>
      <c r="E825" s="58">
        <v>2017.0</v>
      </c>
      <c r="F825" s="58">
        <v>2021.0</v>
      </c>
      <c r="G825" s="58">
        <v>0.0</v>
      </c>
      <c r="H825" s="58">
        <v>8.27</v>
      </c>
      <c r="I825" s="50">
        <f t="shared" si="94"/>
        <v>1</v>
      </c>
      <c r="J825" s="58">
        <v>8.27</v>
      </c>
      <c r="K825" s="58">
        <v>0.0</v>
      </c>
      <c r="L825" s="58">
        <v>0.0</v>
      </c>
      <c r="M825" s="58">
        <v>3.0</v>
      </c>
      <c r="N825" s="58" t="s">
        <v>1592</v>
      </c>
      <c r="O825" s="63" t="s">
        <v>60</v>
      </c>
      <c r="P825" s="339">
        <v>130300.0</v>
      </c>
      <c r="Q825" s="63" t="s">
        <v>1580</v>
      </c>
      <c r="R825" s="58">
        <v>2024.0</v>
      </c>
      <c r="S825" s="25">
        <v>0.03572061031635</v>
      </c>
      <c r="T825" s="330">
        <f t="shared" si="90"/>
        <v>4654.395524</v>
      </c>
      <c r="U825" s="24">
        <f t="shared" si="3"/>
        <v>562.8047792</v>
      </c>
      <c r="V825" s="3">
        <f t="shared" si="28"/>
        <v>0</v>
      </c>
      <c r="W825" s="3">
        <f t="shared" si="29"/>
        <v>0</v>
      </c>
      <c r="X825" s="3">
        <f t="shared" si="30"/>
        <v>0</v>
      </c>
      <c r="Y825" s="58">
        <v>0.0</v>
      </c>
      <c r="Z825" s="26">
        <f>VLOOKUP(R825,CPI!$A$2:$F$71,6,0)</f>
        <v>1</v>
      </c>
      <c r="AA825" s="27">
        <f t="shared" si="8"/>
        <v>4654.395524</v>
      </c>
      <c r="AB825" s="27">
        <f t="shared" si="9"/>
        <v>562.8047792</v>
      </c>
      <c r="AC825" s="63" t="s">
        <v>60</v>
      </c>
      <c r="AD825" s="87" t="s">
        <v>1618</v>
      </c>
      <c r="AE825" s="301"/>
      <c r="AF825" s="301"/>
      <c r="AG825" s="301"/>
      <c r="AH825" s="301"/>
    </row>
    <row r="826">
      <c r="A826" s="63" t="s">
        <v>1576</v>
      </c>
      <c r="B826" s="329" t="s">
        <v>1590</v>
      </c>
      <c r="C826" s="16" t="s">
        <v>1640</v>
      </c>
      <c r="D826" s="63" t="s">
        <v>1644</v>
      </c>
      <c r="E826" s="58">
        <v>2018.0</v>
      </c>
      <c r="F826" s="58">
        <v>2022.0</v>
      </c>
      <c r="G826" s="58">
        <v>0.0</v>
      </c>
      <c r="H826" s="58">
        <v>10.7</v>
      </c>
      <c r="I826" s="50">
        <f t="shared" si="94"/>
        <v>1</v>
      </c>
      <c r="J826" s="58">
        <v>10.7</v>
      </c>
      <c r="K826" s="58">
        <v>0.0</v>
      </c>
      <c r="L826" s="58">
        <v>0.0</v>
      </c>
      <c r="M826" s="58">
        <v>4.0</v>
      </c>
      <c r="N826" s="58" t="s">
        <v>1592</v>
      </c>
      <c r="O826" s="63" t="s">
        <v>60</v>
      </c>
      <c r="P826" s="339">
        <v>130300.0</v>
      </c>
      <c r="Q826" s="63" t="s">
        <v>1580</v>
      </c>
      <c r="R826" s="58">
        <v>2024.0</v>
      </c>
      <c r="S826" s="25">
        <v>0.03974333999137</v>
      </c>
      <c r="T826" s="330">
        <f t="shared" si="90"/>
        <v>5178.557201</v>
      </c>
      <c r="U826" s="24">
        <f t="shared" si="3"/>
        <v>483.9773085</v>
      </c>
      <c r="V826" s="3">
        <f t="shared" si="28"/>
        <v>0</v>
      </c>
      <c r="W826" s="3">
        <f t="shared" si="29"/>
        <v>0</v>
      </c>
      <c r="X826" s="3">
        <f t="shared" si="30"/>
        <v>0</v>
      </c>
      <c r="Y826" s="58">
        <v>0.0</v>
      </c>
      <c r="Z826" s="26">
        <f>VLOOKUP(R826,CPI!$A$2:$F$71,6,0)</f>
        <v>1</v>
      </c>
      <c r="AA826" s="27">
        <f t="shared" si="8"/>
        <v>5178.557201</v>
      </c>
      <c r="AB826" s="27">
        <f t="shared" si="9"/>
        <v>483.9773085</v>
      </c>
      <c r="AC826" s="63" t="s">
        <v>60</v>
      </c>
      <c r="AD826" s="87" t="s">
        <v>1618</v>
      </c>
      <c r="AE826" s="130"/>
      <c r="AF826" s="130"/>
      <c r="AG826" s="130"/>
      <c r="AH826" s="130"/>
    </row>
    <row r="827">
      <c r="A827" s="63" t="s">
        <v>1576</v>
      </c>
      <c r="B827" s="329" t="s">
        <v>1590</v>
      </c>
      <c r="C827" s="16" t="s">
        <v>1640</v>
      </c>
      <c r="D827" s="63" t="s">
        <v>1645</v>
      </c>
      <c r="E827" s="58">
        <v>2017.0</v>
      </c>
      <c r="F827" s="58">
        <v>2023.0</v>
      </c>
      <c r="G827" s="58">
        <v>0.0</v>
      </c>
      <c r="H827" s="58">
        <v>10.86</v>
      </c>
      <c r="I827" s="50">
        <f t="shared" si="94"/>
        <v>1</v>
      </c>
      <c r="J827" s="58">
        <v>10.86</v>
      </c>
      <c r="K827" s="58">
        <v>0.0</v>
      </c>
      <c r="L827" s="58">
        <v>0.0</v>
      </c>
      <c r="M827" s="58">
        <v>5.0</v>
      </c>
      <c r="N827" s="58" t="s">
        <v>1617</v>
      </c>
      <c r="O827" s="63" t="s">
        <v>60</v>
      </c>
      <c r="P827" s="339">
        <v>192900.0</v>
      </c>
      <c r="Q827" s="63" t="s">
        <v>1580</v>
      </c>
      <c r="R827" s="58">
        <v>2024.0</v>
      </c>
      <c r="S827" s="25">
        <v>0.03685099509499</v>
      </c>
      <c r="T827" s="330">
        <f t="shared" si="90"/>
        <v>7108.556954</v>
      </c>
      <c r="U827" s="24">
        <f t="shared" si="3"/>
        <v>654.5632554</v>
      </c>
      <c r="V827" s="3">
        <f t="shared" si="28"/>
        <v>0</v>
      </c>
      <c r="W827" s="3">
        <f t="shared" si="29"/>
        <v>0</v>
      </c>
      <c r="X827" s="3">
        <f t="shared" si="30"/>
        <v>0</v>
      </c>
      <c r="Y827" s="58">
        <v>0.0</v>
      </c>
      <c r="Z827" s="26">
        <f>VLOOKUP(R827,CPI!$A$2:$F$71,6,0)</f>
        <v>1</v>
      </c>
      <c r="AA827" s="27">
        <f t="shared" si="8"/>
        <v>7108.556954</v>
      </c>
      <c r="AB827" s="27">
        <f t="shared" si="9"/>
        <v>654.5632554</v>
      </c>
      <c r="AC827" s="63" t="s">
        <v>60</v>
      </c>
      <c r="AD827" s="87" t="s">
        <v>1618</v>
      </c>
      <c r="AE827" s="130"/>
      <c r="AF827" s="130"/>
      <c r="AG827" s="130"/>
      <c r="AH827" s="130"/>
    </row>
    <row r="828">
      <c r="A828" s="63" t="s">
        <v>1576</v>
      </c>
      <c r="B828" s="329" t="s">
        <v>1590</v>
      </c>
      <c r="C828" s="16" t="s">
        <v>239</v>
      </c>
      <c r="D828" s="63" t="s">
        <v>1646</v>
      </c>
      <c r="E828" s="58">
        <v>2018.0</v>
      </c>
      <c r="F828" s="58">
        <v>2023.0</v>
      </c>
      <c r="G828" s="58">
        <v>0.0</v>
      </c>
      <c r="H828" s="58">
        <v>3.9</v>
      </c>
      <c r="I828" s="50">
        <v>1.0</v>
      </c>
      <c r="J828" s="58">
        <v>3.9</v>
      </c>
      <c r="K828" s="58">
        <v>0.0</v>
      </c>
      <c r="L828" s="58">
        <v>0.0</v>
      </c>
      <c r="M828" s="58">
        <v>2.0</v>
      </c>
      <c r="N828" s="58" t="s">
        <v>1592</v>
      </c>
      <c r="O828" s="63" t="s">
        <v>60</v>
      </c>
      <c r="P828" s="339">
        <v>43598.3041</v>
      </c>
      <c r="Q828" s="63" t="s">
        <v>1580</v>
      </c>
      <c r="R828" s="58">
        <v>2024.0</v>
      </c>
      <c r="S828" s="25">
        <v>0.03417479223592</v>
      </c>
      <c r="T828" s="330">
        <f t="shared" si="90"/>
        <v>1489.962984</v>
      </c>
      <c r="U828" s="24">
        <f t="shared" si="3"/>
        <v>382.0417909</v>
      </c>
      <c r="V828" s="3">
        <f t="shared" si="28"/>
        <v>0</v>
      </c>
      <c r="W828" s="3">
        <f t="shared" si="29"/>
        <v>0</v>
      </c>
      <c r="X828" s="3">
        <f t="shared" si="30"/>
        <v>0</v>
      </c>
      <c r="Y828" s="58">
        <v>0.0</v>
      </c>
      <c r="Z828" s="26">
        <f>VLOOKUP(R828,CPI!$A$2:$F$71,6,0)</f>
        <v>1</v>
      </c>
      <c r="AA828" s="27">
        <f t="shared" si="8"/>
        <v>1489.962984</v>
      </c>
      <c r="AB828" s="27">
        <f t="shared" si="9"/>
        <v>382.0417909</v>
      </c>
      <c r="AC828" s="63" t="s">
        <v>60</v>
      </c>
      <c r="AD828" s="340" t="s">
        <v>1618</v>
      </c>
      <c r="AE828" s="301"/>
      <c r="AF828" s="130"/>
      <c r="AG828" s="130"/>
      <c r="AH828" s="130"/>
    </row>
    <row r="829">
      <c r="A829" s="63" t="s">
        <v>1576</v>
      </c>
      <c r="B829" s="329" t="s">
        <v>1590</v>
      </c>
      <c r="C829" s="16" t="s">
        <v>239</v>
      </c>
      <c r="D829" s="63" t="s">
        <v>1647</v>
      </c>
      <c r="E829" s="58">
        <v>2020.0</v>
      </c>
      <c r="F829" s="58">
        <v>2023.0</v>
      </c>
      <c r="G829" s="58">
        <v>0.0</v>
      </c>
      <c r="H829" s="58">
        <v>1.9</v>
      </c>
      <c r="I829" s="50">
        <v>1.0</v>
      </c>
      <c r="J829" s="58">
        <v>1.9</v>
      </c>
      <c r="K829" s="58">
        <v>0.0</v>
      </c>
      <c r="L829" s="58">
        <v>0.0</v>
      </c>
      <c r="M829" s="58">
        <v>1.0</v>
      </c>
      <c r="N829" s="58" t="s">
        <v>1592</v>
      </c>
      <c r="O829" s="63" t="s">
        <v>60</v>
      </c>
      <c r="P829" s="339">
        <v>34400.0</v>
      </c>
      <c r="Q829" s="63" t="s">
        <v>1580</v>
      </c>
      <c r="R829" s="58">
        <v>2024.0</v>
      </c>
      <c r="S829" s="25">
        <v>0.03217924258016</v>
      </c>
      <c r="T829" s="330">
        <f t="shared" si="90"/>
        <v>1106.965945</v>
      </c>
      <c r="U829" s="24">
        <f t="shared" si="3"/>
        <v>582.6136551</v>
      </c>
      <c r="V829" s="3">
        <f t="shared" si="28"/>
        <v>0</v>
      </c>
      <c r="W829" s="3">
        <f t="shared" si="29"/>
        <v>0</v>
      </c>
      <c r="X829" s="3">
        <f t="shared" si="30"/>
        <v>0</v>
      </c>
      <c r="Y829" s="58">
        <v>0.0</v>
      </c>
      <c r="Z829" s="26">
        <f>VLOOKUP(R829,CPI!$A$2:$F$71,6,0)</f>
        <v>1</v>
      </c>
      <c r="AA829" s="27">
        <f t="shared" si="8"/>
        <v>1106.965945</v>
      </c>
      <c r="AB829" s="27">
        <f t="shared" si="9"/>
        <v>582.6136551</v>
      </c>
      <c r="AC829" s="63" t="s">
        <v>60</v>
      </c>
      <c r="AD829" s="87" t="s">
        <v>1618</v>
      </c>
      <c r="AE829" s="130"/>
      <c r="AF829" s="130"/>
      <c r="AG829" s="130"/>
      <c r="AH829" s="130"/>
    </row>
    <row r="830">
      <c r="A830" s="63" t="s">
        <v>1576</v>
      </c>
      <c r="B830" s="329" t="s">
        <v>1590</v>
      </c>
      <c r="C830" s="16" t="s">
        <v>1620</v>
      </c>
      <c r="D830" s="63" t="s">
        <v>1648</v>
      </c>
      <c r="E830" s="58">
        <v>2021.0</v>
      </c>
      <c r="F830" s="58">
        <v>2023.0</v>
      </c>
      <c r="G830" s="58">
        <v>0.0</v>
      </c>
      <c r="H830" s="58">
        <v>4.9</v>
      </c>
      <c r="I830" s="50">
        <f t="shared" ref="I830:I849" si="95">J830/H830</f>
        <v>0.906122449</v>
      </c>
      <c r="J830" s="58">
        <v>4.44</v>
      </c>
      <c r="K830" s="58">
        <v>0.46</v>
      </c>
      <c r="L830" s="58">
        <v>0.0</v>
      </c>
      <c r="M830" s="58">
        <v>2.0</v>
      </c>
      <c r="N830" s="58" t="s">
        <v>1592</v>
      </c>
      <c r="O830" s="63" t="s">
        <v>60</v>
      </c>
      <c r="P830" s="339">
        <v>56457.0</v>
      </c>
      <c r="Q830" s="63" t="s">
        <v>1580</v>
      </c>
      <c r="R830" s="58">
        <v>2024.0</v>
      </c>
      <c r="S830" s="25">
        <v>0.03327215500668</v>
      </c>
      <c r="T830" s="330">
        <f t="shared" si="90"/>
        <v>1878.446055</v>
      </c>
      <c r="U830" s="24">
        <f t="shared" si="3"/>
        <v>383.3563378</v>
      </c>
      <c r="V830" s="3">
        <f t="shared" si="28"/>
        <v>0</v>
      </c>
      <c r="W830" s="3">
        <f t="shared" si="29"/>
        <v>0</v>
      </c>
      <c r="X830" s="3">
        <f t="shared" si="30"/>
        <v>0</v>
      </c>
      <c r="Y830" s="58">
        <v>0.0</v>
      </c>
      <c r="Z830" s="26">
        <f>VLOOKUP(R830,CPI!$A$2:$F$71,6,0)</f>
        <v>1</v>
      </c>
      <c r="AA830" s="27">
        <f t="shared" si="8"/>
        <v>1878.446055</v>
      </c>
      <c r="AB830" s="27">
        <f t="shared" si="9"/>
        <v>383.3563378</v>
      </c>
      <c r="AC830" s="63" t="s">
        <v>60</v>
      </c>
      <c r="AD830" s="87" t="s">
        <v>1618</v>
      </c>
      <c r="AE830" s="130"/>
      <c r="AF830" s="130"/>
      <c r="AG830" s="130"/>
      <c r="AH830" s="130"/>
    </row>
    <row r="831">
      <c r="A831" s="63" t="s">
        <v>1576</v>
      </c>
      <c r="B831" s="329" t="s">
        <v>1590</v>
      </c>
      <c r="C831" s="16" t="s">
        <v>283</v>
      </c>
      <c r="D831" s="63" t="s">
        <v>1649</v>
      </c>
      <c r="E831" s="58">
        <v>2018.0</v>
      </c>
      <c r="F831" s="58">
        <v>2024.0</v>
      </c>
      <c r="G831" s="58">
        <v>0.0</v>
      </c>
      <c r="H831" s="58">
        <v>15.6</v>
      </c>
      <c r="I831" s="50">
        <f t="shared" si="95"/>
        <v>1</v>
      </c>
      <c r="J831" s="58">
        <v>15.6</v>
      </c>
      <c r="K831" s="58">
        <v>0.0</v>
      </c>
      <c r="L831" s="58">
        <v>0.0</v>
      </c>
      <c r="M831" s="58">
        <v>7.0</v>
      </c>
      <c r="N831" s="58" t="s">
        <v>1592</v>
      </c>
      <c r="O831" s="63" t="s">
        <v>60</v>
      </c>
      <c r="P831" s="339">
        <v>211867.8</v>
      </c>
      <c r="Q831" s="63" t="s">
        <v>1580</v>
      </c>
      <c r="R831" s="58">
        <v>2024.0</v>
      </c>
      <c r="S831" s="25">
        <v>0.03301058858796</v>
      </c>
      <c r="T831" s="330">
        <f t="shared" si="90"/>
        <v>6993.880781</v>
      </c>
      <c r="U831" s="24">
        <f t="shared" si="3"/>
        <v>448.3256911</v>
      </c>
      <c r="V831" s="3">
        <f t="shared" si="28"/>
        <v>0</v>
      </c>
      <c r="W831" s="3">
        <f t="shared" si="29"/>
        <v>0</v>
      </c>
      <c r="X831" s="3">
        <f t="shared" si="30"/>
        <v>0</v>
      </c>
      <c r="Y831" s="58">
        <v>0.0</v>
      </c>
      <c r="Z831" s="26">
        <f>VLOOKUP(R831,CPI!$A$2:$F$71,6,0)</f>
        <v>1</v>
      </c>
      <c r="AA831" s="27">
        <f t="shared" si="8"/>
        <v>6993.880781</v>
      </c>
      <c r="AB831" s="27">
        <f t="shared" si="9"/>
        <v>448.3256911</v>
      </c>
      <c r="AC831" s="63" t="s">
        <v>60</v>
      </c>
      <c r="AD831" s="340" t="s">
        <v>1618</v>
      </c>
      <c r="AE831" s="130"/>
      <c r="AF831" s="130"/>
      <c r="AG831" s="130"/>
      <c r="AH831" s="130"/>
    </row>
    <row r="832">
      <c r="A832" s="63" t="s">
        <v>1576</v>
      </c>
      <c r="B832" s="329" t="s">
        <v>1590</v>
      </c>
      <c r="C832" s="16" t="s">
        <v>57</v>
      </c>
      <c r="D832" s="63" t="s">
        <v>1650</v>
      </c>
      <c r="E832" s="58">
        <v>2019.0</v>
      </c>
      <c r="F832" s="58">
        <v>2024.0</v>
      </c>
      <c r="G832" s="58">
        <v>0.0</v>
      </c>
      <c r="H832" s="58">
        <v>2.4</v>
      </c>
      <c r="I832" s="50">
        <f t="shared" si="95"/>
        <v>0.4375</v>
      </c>
      <c r="J832" s="58">
        <v>1.05</v>
      </c>
      <c r="K832" s="58">
        <v>0.0</v>
      </c>
      <c r="L832" s="58">
        <v>1.35</v>
      </c>
      <c r="M832" s="58">
        <v>1.0</v>
      </c>
      <c r="N832" s="58" t="s">
        <v>1592</v>
      </c>
      <c r="O832" s="63" t="s">
        <v>60</v>
      </c>
      <c r="P832" s="339">
        <v>24067.28</v>
      </c>
      <c r="Q832" s="63" t="s">
        <v>1580</v>
      </c>
      <c r="R832" s="58">
        <v>2024.0</v>
      </c>
      <c r="S832" s="25">
        <v>0.03269105876105</v>
      </c>
      <c r="T832" s="330">
        <f t="shared" si="90"/>
        <v>786.7848647</v>
      </c>
      <c r="U832" s="24">
        <f t="shared" si="3"/>
        <v>327.827027</v>
      </c>
      <c r="V832" s="3">
        <f t="shared" si="28"/>
        <v>0</v>
      </c>
      <c r="W832" s="3">
        <f t="shared" si="29"/>
        <v>0</v>
      </c>
      <c r="X832" s="3">
        <f t="shared" si="30"/>
        <v>0</v>
      </c>
      <c r="Y832" s="58">
        <v>0.0</v>
      </c>
      <c r="Z832" s="26">
        <f>VLOOKUP(R832,CPI!$A$2:$F$71,6,0)</f>
        <v>1</v>
      </c>
      <c r="AA832" s="27">
        <f t="shared" si="8"/>
        <v>786.7848647</v>
      </c>
      <c r="AB832" s="27">
        <f t="shared" si="9"/>
        <v>327.827027</v>
      </c>
      <c r="AC832" s="63" t="s">
        <v>60</v>
      </c>
      <c r="AD832" s="87" t="s">
        <v>1618</v>
      </c>
      <c r="AE832" s="130"/>
      <c r="AF832" s="130"/>
      <c r="AG832" s="130"/>
      <c r="AH832" s="130"/>
    </row>
    <row r="833">
      <c r="A833" s="63" t="s">
        <v>1576</v>
      </c>
      <c r="B833" s="329" t="s">
        <v>1590</v>
      </c>
      <c r="C833" s="16" t="s">
        <v>283</v>
      </c>
      <c r="D833" s="63" t="s">
        <v>1651</v>
      </c>
      <c r="E833" s="58">
        <v>2021.0</v>
      </c>
      <c r="F833" s="58">
        <v>2025.0</v>
      </c>
      <c r="G833" s="58">
        <v>0.0</v>
      </c>
      <c r="H833" s="58">
        <v>7.1</v>
      </c>
      <c r="I833" s="50">
        <f t="shared" si="95"/>
        <v>1</v>
      </c>
      <c r="J833" s="58">
        <v>7.1</v>
      </c>
      <c r="K833" s="58">
        <v>0.0</v>
      </c>
      <c r="L833" s="58">
        <v>0.0</v>
      </c>
      <c r="M833" s="58">
        <v>3.0</v>
      </c>
      <c r="N833" s="58" t="s">
        <v>1592</v>
      </c>
      <c r="O833" s="63" t="s">
        <v>60</v>
      </c>
      <c r="P833" s="339">
        <v>97931.0</v>
      </c>
      <c r="Q833" s="63" t="s">
        <v>1580</v>
      </c>
      <c r="R833" s="58">
        <v>2024.0</v>
      </c>
      <c r="S833" s="25">
        <v>0.03097970892896</v>
      </c>
      <c r="T833" s="330">
        <f t="shared" si="90"/>
        <v>3033.873875</v>
      </c>
      <c r="U833" s="24">
        <f t="shared" si="3"/>
        <v>427.3061796</v>
      </c>
      <c r="V833" s="3">
        <f t="shared" si="28"/>
        <v>0</v>
      </c>
      <c r="W833" s="3">
        <f t="shared" si="29"/>
        <v>0</v>
      </c>
      <c r="X833" s="3">
        <f t="shared" si="30"/>
        <v>0</v>
      </c>
      <c r="Y833" s="58">
        <v>0.0</v>
      </c>
      <c r="Z833" s="26">
        <f>VLOOKUP(R833,CPI!$A$2:$F$71,6,0)</f>
        <v>1</v>
      </c>
      <c r="AA833" s="27">
        <f t="shared" si="8"/>
        <v>3033.873875</v>
      </c>
      <c r="AB833" s="27">
        <f t="shared" si="9"/>
        <v>427.3061796</v>
      </c>
      <c r="AC833" s="63" t="s">
        <v>60</v>
      </c>
      <c r="AD833" s="87" t="s">
        <v>1618</v>
      </c>
      <c r="AE833" s="130"/>
      <c r="AF833" s="130"/>
      <c r="AG833" s="130"/>
      <c r="AH833" s="130"/>
    </row>
    <row r="834">
      <c r="A834" s="63" t="s">
        <v>1576</v>
      </c>
      <c r="B834" s="329" t="s">
        <v>1590</v>
      </c>
      <c r="C834" s="16" t="s">
        <v>283</v>
      </c>
      <c r="D834" s="63" t="s">
        <v>1652</v>
      </c>
      <c r="E834" s="58">
        <v>2022.0</v>
      </c>
      <c r="F834" s="58">
        <v>2025.0</v>
      </c>
      <c r="G834" s="58">
        <v>0.0</v>
      </c>
      <c r="H834" s="58">
        <v>2.5</v>
      </c>
      <c r="I834" s="50">
        <f t="shared" si="95"/>
        <v>1</v>
      </c>
      <c r="J834" s="58">
        <v>2.5</v>
      </c>
      <c r="K834" s="58">
        <v>0.0</v>
      </c>
      <c r="L834" s="58">
        <v>0.0</v>
      </c>
      <c r="M834" s="58">
        <v>1.0</v>
      </c>
      <c r="N834" s="58" t="s">
        <v>1592</v>
      </c>
      <c r="O834" s="63" t="s">
        <v>60</v>
      </c>
      <c r="P834" s="339">
        <v>35552.0</v>
      </c>
      <c r="Q834" s="63" t="s">
        <v>1580</v>
      </c>
      <c r="R834" s="58">
        <v>2024.0</v>
      </c>
      <c r="S834" s="25">
        <v>0.03016850387055</v>
      </c>
      <c r="T834" s="330">
        <f t="shared" si="90"/>
        <v>1072.55065</v>
      </c>
      <c r="U834" s="24">
        <f t="shared" si="3"/>
        <v>429.0202598</v>
      </c>
      <c r="V834" s="3">
        <f t="shared" si="28"/>
        <v>0</v>
      </c>
      <c r="W834" s="3">
        <f t="shared" si="29"/>
        <v>0</v>
      </c>
      <c r="X834" s="3">
        <f t="shared" si="30"/>
        <v>0</v>
      </c>
      <c r="Y834" s="58">
        <v>0.0</v>
      </c>
      <c r="Z834" s="26">
        <f>VLOOKUP(R834,CPI!$A$2:$F$71,6,0)</f>
        <v>1</v>
      </c>
      <c r="AA834" s="27">
        <f t="shared" si="8"/>
        <v>1072.55065</v>
      </c>
      <c r="AB834" s="27">
        <f t="shared" si="9"/>
        <v>429.0202598</v>
      </c>
      <c r="AC834" s="63" t="s">
        <v>60</v>
      </c>
      <c r="AD834" s="340" t="s">
        <v>1618</v>
      </c>
      <c r="AE834" s="130"/>
      <c r="AF834" s="130"/>
      <c r="AG834" s="130"/>
      <c r="AH834" s="130"/>
    </row>
    <row r="835">
      <c r="A835" s="63" t="s">
        <v>1576</v>
      </c>
      <c r="B835" s="329" t="s">
        <v>1590</v>
      </c>
      <c r="C835" s="16" t="s">
        <v>121</v>
      </c>
      <c r="D835" s="63" t="s">
        <v>1653</v>
      </c>
      <c r="E835" s="58">
        <v>2022.0</v>
      </c>
      <c r="F835" s="58">
        <v>2026.0</v>
      </c>
      <c r="G835" s="58">
        <v>0.0</v>
      </c>
      <c r="H835" s="58">
        <v>19.32</v>
      </c>
      <c r="I835" s="50">
        <f t="shared" si="95"/>
        <v>1</v>
      </c>
      <c r="J835" s="58">
        <v>19.32</v>
      </c>
      <c r="K835" s="58">
        <v>0.0</v>
      </c>
      <c r="L835" s="58">
        <v>0.0</v>
      </c>
      <c r="M835" s="58">
        <v>8.0</v>
      </c>
      <c r="N835" s="58" t="s">
        <v>1592</v>
      </c>
      <c r="O835" s="63" t="s">
        <v>60</v>
      </c>
      <c r="P835" s="339">
        <v>293616.09</v>
      </c>
      <c r="Q835" s="63" t="s">
        <v>1580</v>
      </c>
      <c r="R835" s="58">
        <v>2024.0</v>
      </c>
      <c r="S835" s="25">
        <v>0.02861722432015</v>
      </c>
      <c r="T835" s="330">
        <f t="shared" si="90"/>
        <v>8402.477512</v>
      </c>
      <c r="U835" s="24">
        <f t="shared" si="3"/>
        <v>434.9108443</v>
      </c>
      <c r="V835" s="3">
        <f t="shared" si="28"/>
        <v>0</v>
      </c>
      <c r="W835" s="3">
        <f t="shared" si="29"/>
        <v>0</v>
      </c>
      <c r="X835" s="3">
        <f t="shared" si="30"/>
        <v>0</v>
      </c>
      <c r="Y835" s="58">
        <v>0.0</v>
      </c>
      <c r="Z835" s="26">
        <f>VLOOKUP(R835,CPI!$A$2:$F$71,6,0)</f>
        <v>1</v>
      </c>
      <c r="AA835" s="27">
        <f t="shared" si="8"/>
        <v>8402.477512</v>
      </c>
      <c r="AB835" s="27">
        <f t="shared" si="9"/>
        <v>434.9108443</v>
      </c>
      <c r="AC835" s="63" t="s">
        <v>60</v>
      </c>
      <c r="AD835" s="340" t="s">
        <v>1618</v>
      </c>
      <c r="AE835" s="301"/>
      <c r="AF835" s="130"/>
      <c r="AG835" s="130"/>
      <c r="AH835" s="130"/>
    </row>
    <row r="836">
      <c r="A836" s="63" t="s">
        <v>1576</v>
      </c>
      <c r="B836" s="329" t="s">
        <v>1654</v>
      </c>
      <c r="C836" s="16" t="s">
        <v>57</v>
      </c>
      <c r="D836" s="26" t="s">
        <v>1656</v>
      </c>
      <c r="E836" s="58">
        <v>2008.0</v>
      </c>
      <c r="F836" s="58">
        <v>2012.0</v>
      </c>
      <c r="G836" s="58">
        <v>0.0</v>
      </c>
      <c r="H836" s="58">
        <v>3.4</v>
      </c>
      <c r="I836" s="50">
        <f t="shared" si="95"/>
        <v>0.6370588235</v>
      </c>
      <c r="J836" s="55">
        <v>2.166</v>
      </c>
      <c r="K836" s="343">
        <v>1.234</v>
      </c>
      <c r="L836" s="58">
        <v>0.0</v>
      </c>
      <c r="M836" s="58">
        <v>1.0</v>
      </c>
      <c r="N836" s="58" t="s">
        <v>1579</v>
      </c>
      <c r="O836" s="63" t="s">
        <v>74</v>
      </c>
      <c r="P836" s="55">
        <f>20770+1230</f>
        <v>22000</v>
      </c>
      <c r="Q836" s="63" t="s">
        <v>1580</v>
      </c>
      <c r="R836" s="58">
        <v>2010.0</v>
      </c>
      <c r="S836" s="58">
        <v>0.063206562</v>
      </c>
      <c r="T836" s="330">
        <f t="shared" si="90"/>
        <v>1390.544364</v>
      </c>
      <c r="U836" s="24">
        <f t="shared" si="3"/>
        <v>408.9836365</v>
      </c>
      <c r="V836" s="3">
        <f t="shared" si="28"/>
        <v>0</v>
      </c>
      <c r="W836" s="3">
        <f t="shared" si="29"/>
        <v>0</v>
      </c>
      <c r="X836" s="3">
        <f t="shared" si="30"/>
        <v>0</v>
      </c>
      <c r="Y836" s="58">
        <v>0.0</v>
      </c>
      <c r="Z836" s="26">
        <f>VLOOKUP(R836,CPI!$A$2:$F$71,6,0)</f>
        <v>1.477209983</v>
      </c>
      <c r="AA836" s="27">
        <f t="shared" si="8"/>
        <v>2054.126016</v>
      </c>
      <c r="AB836" s="27">
        <f t="shared" si="9"/>
        <v>604.1547106</v>
      </c>
      <c r="AC836" s="63" t="s">
        <v>42</v>
      </c>
      <c r="AD836" s="337" t="s">
        <v>1657</v>
      </c>
      <c r="AE836" s="130"/>
      <c r="AF836" s="130"/>
      <c r="AG836" s="130"/>
      <c r="AH836" s="130"/>
    </row>
    <row r="837">
      <c r="A837" s="63" t="s">
        <v>1576</v>
      </c>
      <c r="B837" s="329" t="s">
        <v>1654</v>
      </c>
      <c r="C837" s="16" t="s">
        <v>54</v>
      </c>
      <c r="D837" s="63" t="s">
        <v>1658</v>
      </c>
      <c r="E837" s="58">
        <v>2015.0</v>
      </c>
      <c r="F837" s="58">
        <v>2018.0</v>
      </c>
      <c r="G837" s="58">
        <v>0.0</v>
      </c>
      <c r="H837" s="58">
        <v>3.1</v>
      </c>
      <c r="I837" s="50">
        <f t="shared" si="95"/>
        <v>1</v>
      </c>
      <c r="J837" s="58">
        <v>3.1</v>
      </c>
      <c r="K837" s="58">
        <v>0.0</v>
      </c>
      <c r="L837" s="58">
        <v>0.0</v>
      </c>
      <c r="M837" s="58">
        <v>1.0</v>
      </c>
      <c r="N837" s="58" t="s">
        <v>1579</v>
      </c>
      <c r="O837" s="63" t="s">
        <v>60</v>
      </c>
      <c r="P837" s="339">
        <v>11175.1363</v>
      </c>
      <c r="Q837" s="63" t="s">
        <v>1580</v>
      </c>
      <c r="R837" s="58">
        <v>2019.0</v>
      </c>
      <c r="S837" s="25">
        <v>0.04159821378393</v>
      </c>
      <c r="T837" s="330">
        <f t="shared" si="90"/>
        <v>464.8657089</v>
      </c>
      <c r="U837" s="24">
        <f t="shared" si="3"/>
        <v>149.9566803</v>
      </c>
      <c r="V837" s="3">
        <f t="shared" si="28"/>
        <v>0</v>
      </c>
      <c r="W837" s="3">
        <f t="shared" si="29"/>
        <v>0</v>
      </c>
      <c r="X837" s="3">
        <f t="shared" si="30"/>
        <v>0</v>
      </c>
      <c r="Y837" s="58">
        <v>0.0</v>
      </c>
      <c r="Z837" s="26">
        <f>VLOOKUP(R837,CPI!$A$2:$F$71,6,0)</f>
        <v>1.259947899</v>
      </c>
      <c r="AA837" s="27">
        <f t="shared" si="8"/>
        <v>585.7065732</v>
      </c>
      <c r="AB837" s="27">
        <f t="shared" si="9"/>
        <v>188.9376043</v>
      </c>
      <c r="AC837" s="63" t="s">
        <v>60</v>
      </c>
      <c r="AD837" s="88" t="s">
        <v>1659</v>
      </c>
      <c r="AE837" s="130"/>
      <c r="AF837" s="130"/>
      <c r="AG837" s="130"/>
      <c r="AH837" s="130"/>
    </row>
    <row r="838">
      <c r="A838" s="63" t="s">
        <v>1576</v>
      </c>
      <c r="B838" s="329" t="s">
        <v>1654</v>
      </c>
      <c r="C838" s="16" t="s">
        <v>57</v>
      </c>
      <c r="D838" s="63" t="s">
        <v>1660</v>
      </c>
      <c r="E838" s="58">
        <v>2022.0</v>
      </c>
      <c r="F838" s="58">
        <v>2026.0</v>
      </c>
      <c r="G838" s="58">
        <v>0.0</v>
      </c>
      <c r="H838" s="58">
        <v>3.29</v>
      </c>
      <c r="I838" s="50">
        <f t="shared" si="95"/>
        <v>1</v>
      </c>
      <c r="J838" s="58">
        <v>3.29</v>
      </c>
      <c r="K838" s="58">
        <v>0.0</v>
      </c>
      <c r="L838" s="58">
        <v>0.0</v>
      </c>
      <c r="M838" s="58">
        <v>2.0</v>
      </c>
      <c r="N838" s="58" t="s">
        <v>1579</v>
      </c>
      <c r="O838" s="63" t="s">
        <v>60</v>
      </c>
      <c r="P838" s="339">
        <v>35581.0528</v>
      </c>
      <c r="Q838" s="63" t="s">
        <v>1580</v>
      </c>
      <c r="R838" s="58">
        <v>2025.0</v>
      </c>
      <c r="S838" s="25">
        <v>0.02825590631215</v>
      </c>
      <c r="T838" s="330">
        <f t="shared" si="90"/>
        <v>1005.374894</v>
      </c>
      <c r="U838" s="24">
        <f t="shared" si="3"/>
        <v>305.5850743</v>
      </c>
      <c r="V838" s="3">
        <f t="shared" si="28"/>
        <v>0</v>
      </c>
      <c r="W838" s="3">
        <f t="shared" si="29"/>
        <v>0</v>
      </c>
      <c r="X838" s="3">
        <f t="shared" si="30"/>
        <v>0</v>
      </c>
      <c r="Y838" s="58">
        <v>0.0</v>
      </c>
      <c r="Z838" s="26">
        <f>VLOOKUP(R838,CPI!$A$2:$F$71,6,0)</f>
        <v>1</v>
      </c>
      <c r="AA838" s="27">
        <f t="shared" si="8"/>
        <v>1005.374894</v>
      </c>
      <c r="AB838" s="27">
        <f t="shared" si="9"/>
        <v>305.5850743</v>
      </c>
      <c r="AC838" s="63" t="s">
        <v>60</v>
      </c>
      <c r="AD838" s="337" t="s">
        <v>1661</v>
      </c>
      <c r="AE838" s="130"/>
      <c r="AF838" s="130"/>
      <c r="AG838" s="130"/>
      <c r="AH838" s="130"/>
    </row>
    <row r="839">
      <c r="A839" s="63" t="s">
        <v>1576</v>
      </c>
      <c r="B839" s="329" t="s">
        <v>1667</v>
      </c>
      <c r="C839" s="16" t="s">
        <v>57</v>
      </c>
      <c r="D839" s="63" t="s">
        <v>1668</v>
      </c>
      <c r="E839" s="58">
        <v>2022.0</v>
      </c>
      <c r="F839" s="58">
        <v>2026.0</v>
      </c>
      <c r="G839" s="58">
        <v>0.0</v>
      </c>
      <c r="H839" s="58">
        <v>1.6</v>
      </c>
      <c r="I839" s="50">
        <f t="shared" si="95"/>
        <v>1</v>
      </c>
      <c r="J839" s="58">
        <v>1.6</v>
      </c>
      <c r="K839" s="58">
        <v>0.0</v>
      </c>
      <c r="L839" s="58">
        <v>0.0</v>
      </c>
      <c r="M839" s="58">
        <v>1.0</v>
      </c>
      <c r="N839" s="58" t="s">
        <v>1579</v>
      </c>
      <c r="O839" s="63" t="s">
        <v>60</v>
      </c>
      <c r="P839" s="339">
        <v>19100.0</v>
      </c>
      <c r="Q839" s="63" t="s">
        <v>1580</v>
      </c>
      <c r="R839" s="58">
        <v>2025.0</v>
      </c>
      <c r="S839" s="25">
        <v>0.02817922305102</v>
      </c>
      <c r="T839" s="330">
        <f t="shared" si="90"/>
        <v>538.2231603</v>
      </c>
      <c r="U839" s="24">
        <f t="shared" si="3"/>
        <v>336.3894752</v>
      </c>
      <c r="V839" s="3">
        <f t="shared" si="28"/>
        <v>0</v>
      </c>
      <c r="W839" s="3">
        <f t="shared" si="29"/>
        <v>0</v>
      </c>
      <c r="X839" s="3">
        <f t="shared" si="30"/>
        <v>0</v>
      </c>
      <c r="Y839" s="58">
        <v>0.0</v>
      </c>
      <c r="Z839" s="26">
        <f>VLOOKUP(R839,CPI!$A$2:$F$71,6,0)</f>
        <v>1</v>
      </c>
      <c r="AA839" s="27">
        <f t="shared" si="8"/>
        <v>538.2231603</v>
      </c>
      <c r="AB839" s="27">
        <f t="shared" si="9"/>
        <v>336.3894752</v>
      </c>
      <c r="AC839" s="63" t="s">
        <v>42</v>
      </c>
      <c r="AD839" s="56" t="s">
        <v>1669</v>
      </c>
      <c r="AE839" s="130"/>
      <c r="AF839" s="130"/>
      <c r="AG839" s="130"/>
      <c r="AH839" s="130"/>
    </row>
    <row r="840">
      <c r="A840" s="63" t="s">
        <v>1576</v>
      </c>
      <c r="B840" s="329" t="s">
        <v>1670</v>
      </c>
      <c r="C840" s="16" t="s">
        <v>84</v>
      </c>
      <c r="D840" s="63" t="s">
        <v>1677</v>
      </c>
      <c r="E840" s="58">
        <v>2004.0</v>
      </c>
      <c r="F840" s="58">
        <v>2012.0</v>
      </c>
      <c r="G840" s="58">
        <v>0.0</v>
      </c>
      <c r="H840" s="58">
        <v>8.4</v>
      </c>
      <c r="I840" s="50">
        <f t="shared" si="95"/>
        <v>1</v>
      </c>
      <c r="J840" s="58">
        <v>8.4</v>
      </c>
      <c r="K840" s="58">
        <v>0.0</v>
      </c>
      <c r="L840" s="58">
        <v>0.0</v>
      </c>
      <c r="M840" s="58">
        <v>4.0</v>
      </c>
      <c r="N840" s="58" t="s">
        <v>1592</v>
      </c>
      <c r="O840" s="63" t="s">
        <v>60</v>
      </c>
      <c r="P840" s="339">
        <v>62840.9862</v>
      </c>
      <c r="Q840" s="63" t="s">
        <v>1580</v>
      </c>
      <c r="R840" s="58">
        <v>2025.0</v>
      </c>
      <c r="S840" s="25">
        <v>0.02973395395114</v>
      </c>
      <c r="T840" s="330">
        <f t="shared" si="90"/>
        <v>1868.51099</v>
      </c>
      <c r="U840" s="24">
        <f t="shared" si="3"/>
        <v>222.4417845</v>
      </c>
      <c r="V840" s="3">
        <f t="shared" si="28"/>
        <v>0</v>
      </c>
      <c r="W840" s="3">
        <f t="shared" si="29"/>
        <v>0</v>
      </c>
      <c r="X840" s="3">
        <f t="shared" si="30"/>
        <v>0</v>
      </c>
      <c r="Y840" s="58">
        <v>0.0</v>
      </c>
      <c r="Z840" s="26">
        <f>VLOOKUP(R840,CPI!$A$2:$F$71,6,0)</f>
        <v>1</v>
      </c>
      <c r="AA840" s="27">
        <f t="shared" si="8"/>
        <v>1868.51099</v>
      </c>
      <c r="AB840" s="27">
        <f t="shared" si="9"/>
        <v>222.4417845</v>
      </c>
      <c r="AC840" s="63" t="s">
        <v>60</v>
      </c>
      <c r="AD840" s="87" t="s">
        <v>1678</v>
      </c>
      <c r="AE840" s="130"/>
      <c r="AF840" s="130"/>
      <c r="AG840" s="130"/>
      <c r="AH840" s="130"/>
    </row>
    <row r="841">
      <c r="A841" s="63" t="s">
        <v>1576</v>
      </c>
      <c r="B841" s="329" t="s">
        <v>1670</v>
      </c>
      <c r="C841" s="16" t="s">
        <v>54</v>
      </c>
      <c r="D841" s="63" t="s">
        <v>1679</v>
      </c>
      <c r="E841" s="58">
        <v>2014.0</v>
      </c>
      <c r="F841" s="58">
        <v>2018.0</v>
      </c>
      <c r="G841" s="58">
        <v>0.0</v>
      </c>
      <c r="H841" s="58">
        <v>5.1</v>
      </c>
      <c r="I841" s="50">
        <f t="shared" si="95"/>
        <v>1</v>
      </c>
      <c r="J841" s="58">
        <v>5.1</v>
      </c>
      <c r="K841" s="58">
        <v>0.0</v>
      </c>
      <c r="L841" s="58">
        <v>0.0</v>
      </c>
      <c r="M841" s="58">
        <v>2.0</v>
      </c>
      <c r="N841" s="58" t="s">
        <v>1680</v>
      </c>
      <c r="O841" s="63" t="s">
        <v>60</v>
      </c>
      <c r="P841" s="339">
        <v>35964.4143</v>
      </c>
      <c r="Q841" s="63" t="s">
        <v>1580</v>
      </c>
      <c r="R841" s="58">
        <v>2025.0</v>
      </c>
      <c r="S841" s="25">
        <v>0.02970292013522</v>
      </c>
      <c r="T841" s="330">
        <f t="shared" si="90"/>
        <v>1068.248126</v>
      </c>
      <c r="U841" s="24">
        <f t="shared" si="3"/>
        <v>209.4604168</v>
      </c>
      <c r="V841" s="3">
        <f t="shared" si="28"/>
        <v>0</v>
      </c>
      <c r="W841" s="3">
        <f t="shared" si="29"/>
        <v>0</v>
      </c>
      <c r="X841" s="3">
        <f t="shared" si="30"/>
        <v>0</v>
      </c>
      <c r="Y841" s="58">
        <v>0.0</v>
      </c>
      <c r="Z841" s="26">
        <f>VLOOKUP(R841,CPI!$A$2:$F$71,6,0)</f>
        <v>1</v>
      </c>
      <c r="AA841" s="27">
        <f t="shared" si="8"/>
        <v>1068.248126</v>
      </c>
      <c r="AB841" s="27">
        <f t="shared" si="9"/>
        <v>209.4604168</v>
      </c>
      <c r="AC841" s="63" t="s">
        <v>60</v>
      </c>
      <c r="AD841" s="87" t="s">
        <v>1678</v>
      </c>
      <c r="AE841" s="130"/>
      <c r="AF841" s="130"/>
      <c r="AG841" s="130"/>
      <c r="AH841" s="130"/>
    </row>
    <row r="842">
      <c r="A842" s="63" t="s">
        <v>1576</v>
      </c>
      <c r="B842" s="329" t="s">
        <v>1670</v>
      </c>
      <c r="C842" s="16" t="s">
        <v>84</v>
      </c>
      <c r="D842" s="63" t="s">
        <v>1681</v>
      </c>
      <c r="E842" s="58">
        <v>2011.0</v>
      </c>
      <c r="F842" s="58">
        <v>2019.0</v>
      </c>
      <c r="G842" s="58">
        <v>0.0</v>
      </c>
      <c r="H842" s="58">
        <v>6.2</v>
      </c>
      <c r="I842" s="50">
        <f t="shared" si="95"/>
        <v>1</v>
      </c>
      <c r="J842" s="58">
        <v>6.2</v>
      </c>
      <c r="K842" s="58">
        <v>0.0</v>
      </c>
      <c r="L842" s="58">
        <v>0.0</v>
      </c>
      <c r="M842" s="58">
        <v>3.0</v>
      </c>
      <c r="N842" s="58" t="s">
        <v>1592</v>
      </c>
      <c r="O842" s="63" t="s">
        <v>60</v>
      </c>
      <c r="P842" s="339">
        <v>38392.3192</v>
      </c>
      <c r="Q842" s="63" t="s">
        <v>1580</v>
      </c>
      <c r="R842" s="58">
        <v>2025.0</v>
      </c>
      <c r="S842" s="25">
        <v>0.02970674254673</v>
      </c>
      <c r="T842" s="330">
        <f t="shared" si="90"/>
        <v>1140.510742</v>
      </c>
      <c r="U842" s="24">
        <f t="shared" si="3"/>
        <v>183.9533455</v>
      </c>
      <c r="V842" s="3">
        <f t="shared" si="28"/>
        <v>0</v>
      </c>
      <c r="W842" s="3">
        <f t="shared" si="29"/>
        <v>0</v>
      </c>
      <c r="X842" s="3">
        <f t="shared" si="30"/>
        <v>0</v>
      </c>
      <c r="Y842" s="58">
        <v>0.0</v>
      </c>
      <c r="Z842" s="26">
        <f>VLOOKUP(R842,CPI!$A$2:$F$71,6,0)</f>
        <v>1</v>
      </c>
      <c r="AA842" s="27">
        <f t="shared" si="8"/>
        <v>1140.510742</v>
      </c>
      <c r="AB842" s="27">
        <f t="shared" si="9"/>
        <v>183.9533455</v>
      </c>
      <c r="AC842" s="63" t="s">
        <v>60</v>
      </c>
      <c r="AD842" s="87" t="s">
        <v>1678</v>
      </c>
      <c r="AE842" s="130"/>
      <c r="AF842" s="130"/>
      <c r="AG842" s="130"/>
      <c r="AH842" s="130"/>
    </row>
    <row r="843">
      <c r="A843" s="63" t="s">
        <v>1576</v>
      </c>
      <c r="B843" s="329" t="s">
        <v>1670</v>
      </c>
      <c r="C843" s="16" t="s">
        <v>110</v>
      </c>
      <c r="D843" s="63" t="s">
        <v>1682</v>
      </c>
      <c r="E843" s="58">
        <v>2015.0</v>
      </c>
      <c r="F843" s="58">
        <v>2024.0</v>
      </c>
      <c r="G843" s="58">
        <v>0.0</v>
      </c>
      <c r="H843" s="58">
        <v>3.6</v>
      </c>
      <c r="I843" s="50">
        <f t="shared" si="95"/>
        <v>1</v>
      </c>
      <c r="J843" s="58">
        <v>3.6</v>
      </c>
      <c r="K843" s="58">
        <v>0.0</v>
      </c>
      <c r="L843" s="58">
        <v>0.0</v>
      </c>
      <c r="M843" s="58">
        <v>2.0</v>
      </c>
      <c r="N843" s="58" t="s">
        <v>1592</v>
      </c>
      <c r="O843" s="63" t="s">
        <v>60</v>
      </c>
      <c r="P843" s="339">
        <v>45986.3262</v>
      </c>
      <c r="Q843" s="63" t="s">
        <v>1580</v>
      </c>
      <c r="R843" s="58">
        <v>2025.0</v>
      </c>
      <c r="S843" s="25">
        <v>0.02950513115352</v>
      </c>
      <c r="T843" s="330">
        <f t="shared" si="90"/>
        <v>1356.832586</v>
      </c>
      <c r="U843" s="24">
        <f t="shared" si="3"/>
        <v>376.8979405</v>
      </c>
      <c r="V843" s="3">
        <f t="shared" si="28"/>
        <v>0</v>
      </c>
      <c r="W843" s="3">
        <f t="shared" si="29"/>
        <v>0</v>
      </c>
      <c r="X843" s="3">
        <f t="shared" si="30"/>
        <v>0</v>
      </c>
      <c r="Y843" s="58">
        <v>0.0</v>
      </c>
      <c r="Z843" s="26">
        <f>VLOOKUP(R843,CPI!$A$2:$F$71,6,0)</f>
        <v>1</v>
      </c>
      <c r="AA843" s="27">
        <f t="shared" si="8"/>
        <v>1356.832586</v>
      </c>
      <c r="AB843" s="27">
        <f t="shared" si="9"/>
        <v>376.8979405</v>
      </c>
      <c r="AC843" s="63" t="s">
        <v>60</v>
      </c>
      <c r="AD843" s="87" t="s">
        <v>1678</v>
      </c>
      <c r="AE843" s="130"/>
      <c r="AF843" s="130"/>
      <c r="AG843" s="130"/>
      <c r="AH843" s="130"/>
    </row>
    <row r="844">
      <c r="A844" s="63" t="s">
        <v>1576</v>
      </c>
      <c r="B844" s="329" t="s">
        <v>1670</v>
      </c>
      <c r="C844" s="16" t="s">
        <v>80</v>
      </c>
      <c r="D844" s="63" t="s">
        <v>1683</v>
      </c>
      <c r="E844" s="58">
        <v>2018.0</v>
      </c>
      <c r="F844" s="58">
        <v>2025.0</v>
      </c>
      <c r="G844" s="58">
        <v>0.0</v>
      </c>
      <c r="H844" s="58">
        <v>2.57</v>
      </c>
      <c r="I844" s="50">
        <f t="shared" si="95"/>
        <v>1</v>
      </c>
      <c r="J844" s="58">
        <v>2.57</v>
      </c>
      <c r="K844" s="58">
        <v>0.0</v>
      </c>
      <c r="L844" s="58">
        <v>0.0</v>
      </c>
      <c r="M844" s="58">
        <v>2.0</v>
      </c>
      <c r="N844" s="58" t="s">
        <v>1592</v>
      </c>
      <c r="O844" s="63" t="s">
        <v>60</v>
      </c>
      <c r="P844" s="339">
        <v>84053.5385</v>
      </c>
      <c r="Q844" s="63" t="s">
        <v>1580</v>
      </c>
      <c r="R844" s="58">
        <v>2025.0</v>
      </c>
      <c r="S844" s="25">
        <v>0.02915219320978</v>
      </c>
      <c r="T844" s="330">
        <f t="shared" si="90"/>
        <v>2450.344994</v>
      </c>
      <c r="U844" s="24">
        <f t="shared" si="3"/>
        <v>953.441632</v>
      </c>
      <c r="V844" s="3">
        <f t="shared" si="28"/>
        <v>0</v>
      </c>
      <c r="W844" s="3">
        <f t="shared" si="29"/>
        <v>0</v>
      </c>
      <c r="X844" s="3">
        <f t="shared" si="30"/>
        <v>0</v>
      </c>
      <c r="Y844" s="58">
        <v>0.0</v>
      </c>
      <c r="Z844" s="26">
        <f>VLOOKUP(R844,CPI!$A$2:$F$71,6,0)</f>
        <v>1</v>
      </c>
      <c r="AA844" s="27">
        <f t="shared" si="8"/>
        <v>2450.344994</v>
      </c>
      <c r="AB844" s="27">
        <f t="shared" si="9"/>
        <v>953.441632</v>
      </c>
      <c r="AC844" s="63" t="s">
        <v>60</v>
      </c>
      <c r="AD844" s="87" t="s">
        <v>1678</v>
      </c>
      <c r="AE844" s="130"/>
      <c r="AF844" s="130"/>
      <c r="AG844" s="130"/>
      <c r="AH844" s="130"/>
    </row>
    <row r="845">
      <c r="A845" s="63" t="s">
        <v>1576</v>
      </c>
      <c r="B845" s="329" t="s">
        <v>1670</v>
      </c>
      <c r="C845" s="16" t="s">
        <v>54</v>
      </c>
      <c r="D845" s="63" t="s">
        <v>1684</v>
      </c>
      <c r="E845" s="58">
        <v>2022.0</v>
      </c>
      <c r="F845" s="58">
        <v>2028.0</v>
      </c>
      <c r="G845" s="58">
        <v>0.0</v>
      </c>
      <c r="H845" s="58">
        <v>5.0</v>
      </c>
      <c r="I845" s="50">
        <f t="shared" si="95"/>
        <v>1</v>
      </c>
      <c r="J845" s="58">
        <v>5.0</v>
      </c>
      <c r="K845" s="58">
        <v>0.0</v>
      </c>
      <c r="L845" s="58">
        <v>0.0</v>
      </c>
      <c r="M845" s="58">
        <v>2.0</v>
      </c>
      <c r="N845" s="58" t="s">
        <v>1680</v>
      </c>
      <c r="O845" s="63" t="s">
        <v>60</v>
      </c>
      <c r="P845" s="339">
        <v>128087.1166</v>
      </c>
      <c r="Q845" s="63" t="s">
        <v>1580</v>
      </c>
      <c r="R845" s="58">
        <v>2025.0</v>
      </c>
      <c r="S845" s="25">
        <v>0.02823135914499</v>
      </c>
      <c r="T845" s="330">
        <f t="shared" si="90"/>
        <v>3616.073391</v>
      </c>
      <c r="U845" s="24">
        <f t="shared" si="3"/>
        <v>723.2146781</v>
      </c>
      <c r="V845" s="3">
        <f t="shared" si="28"/>
        <v>0</v>
      </c>
      <c r="W845" s="3">
        <f t="shared" si="29"/>
        <v>0</v>
      </c>
      <c r="X845" s="3">
        <f t="shared" si="30"/>
        <v>0</v>
      </c>
      <c r="Y845" s="58">
        <v>0.0</v>
      </c>
      <c r="Z845" s="26">
        <f>VLOOKUP(R845,CPI!$A$2:$F$71,6,0)</f>
        <v>1</v>
      </c>
      <c r="AA845" s="27">
        <f t="shared" si="8"/>
        <v>3616.073391</v>
      </c>
      <c r="AB845" s="27">
        <f t="shared" si="9"/>
        <v>723.2146781</v>
      </c>
      <c r="AC845" s="63" t="s">
        <v>60</v>
      </c>
      <c r="AD845" s="340" t="s">
        <v>1678</v>
      </c>
      <c r="AE845" s="130"/>
      <c r="AF845" s="130"/>
      <c r="AG845" s="130"/>
      <c r="AH845" s="130"/>
    </row>
    <row r="846">
      <c r="A846" s="63" t="s">
        <v>1576</v>
      </c>
      <c r="B846" s="329" t="s">
        <v>1670</v>
      </c>
      <c r="C846" s="16" t="s">
        <v>80</v>
      </c>
      <c r="D846" s="63" t="s">
        <v>1685</v>
      </c>
      <c r="E846" s="58">
        <v>2024.0</v>
      </c>
      <c r="F846" s="58">
        <v>2030.0</v>
      </c>
      <c r="G846" s="58">
        <v>0.0</v>
      </c>
      <c r="H846" s="58">
        <v>7.0</v>
      </c>
      <c r="I846" s="50">
        <f t="shared" si="95"/>
        <v>1</v>
      </c>
      <c r="J846" s="58">
        <v>7.0</v>
      </c>
      <c r="K846" s="58">
        <v>0.0</v>
      </c>
      <c r="L846" s="58">
        <v>0.0</v>
      </c>
      <c r="M846" s="58">
        <v>4.0</v>
      </c>
      <c r="N846" s="58" t="s">
        <v>1592</v>
      </c>
      <c r="O846" s="63" t="s">
        <v>60</v>
      </c>
      <c r="P846" s="339">
        <v>127909.0904</v>
      </c>
      <c r="Q846" s="63" t="s">
        <v>1580</v>
      </c>
      <c r="R846" s="58">
        <v>2025.0</v>
      </c>
      <c r="S846" s="25">
        <v>0.02821073481878</v>
      </c>
      <c r="T846" s="330">
        <f t="shared" si="90"/>
        <v>3608.40943</v>
      </c>
      <c r="U846" s="24">
        <f t="shared" si="3"/>
        <v>515.4870615</v>
      </c>
      <c r="V846" s="3">
        <f t="shared" si="28"/>
        <v>0</v>
      </c>
      <c r="W846" s="3">
        <f t="shared" si="29"/>
        <v>0</v>
      </c>
      <c r="X846" s="3">
        <f t="shared" si="30"/>
        <v>0</v>
      </c>
      <c r="Y846" s="58">
        <v>0.0</v>
      </c>
      <c r="Z846" s="26">
        <f>VLOOKUP(R846,CPI!$A$2:$F$71,6,0)</f>
        <v>1</v>
      </c>
      <c r="AA846" s="27">
        <f t="shared" si="8"/>
        <v>3608.40943</v>
      </c>
      <c r="AB846" s="27">
        <f t="shared" si="9"/>
        <v>515.4870615</v>
      </c>
      <c r="AC846" s="63" t="s">
        <v>60</v>
      </c>
      <c r="AD846" s="87" t="s">
        <v>1678</v>
      </c>
      <c r="AE846" s="130"/>
      <c r="AF846" s="130"/>
      <c r="AG846" s="130"/>
      <c r="AH846" s="130"/>
    </row>
    <row r="847">
      <c r="A847" s="63" t="s">
        <v>1576</v>
      </c>
      <c r="B847" s="329" t="s">
        <v>1690</v>
      </c>
      <c r="C847" s="16" t="s">
        <v>57</v>
      </c>
      <c r="D847" s="26" t="s">
        <v>1691</v>
      </c>
      <c r="E847" s="58">
        <v>2007.0</v>
      </c>
      <c r="F847" s="58">
        <v>2012.0</v>
      </c>
      <c r="G847" s="58">
        <v>0.0</v>
      </c>
      <c r="H847" s="58">
        <v>4.2</v>
      </c>
      <c r="I847" s="50">
        <f t="shared" si="95"/>
        <v>1</v>
      </c>
      <c r="J847" s="58">
        <v>4.2</v>
      </c>
      <c r="K847" s="58">
        <v>0.0</v>
      </c>
      <c r="L847" s="58">
        <v>0.0</v>
      </c>
      <c r="M847" s="58">
        <v>2.0</v>
      </c>
      <c r="N847" s="58" t="s">
        <v>1579</v>
      </c>
      <c r="O847" s="63" t="s">
        <v>74</v>
      </c>
      <c r="P847" s="55">
        <v>16000.0</v>
      </c>
      <c r="Q847" s="63" t="s">
        <v>1580</v>
      </c>
      <c r="R847" s="58">
        <v>2010.0</v>
      </c>
      <c r="S847" s="58">
        <v>0.063206562</v>
      </c>
      <c r="T847" s="330">
        <f t="shared" si="90"/>
        <v>1011.304992</v>
      </c>
      <c r="U847" s="24">
        <f t="shared" si="3"/>
        <v>240.7869029</v>
      </c>
      <c r="V847" s="3">
        <f t="shared" si="28"/>
        <v>0</v>
      </c>
      <c r="W847" s="3">
        <f t="shared" si="29"/>
        <v>0</v>
      </c>
      <c r="X847" s="3">
        <f t="shared" si="30"/>
        <v>0</v>
      </c>
      <c r="Y847" s="58">
        <v>0.0</v>
      </c>
      <c r="Z847" s="26">
        <f>VLOOKUP(R847,CPI!$A$2:$F$71,6,0)</f>
        <v>1.477209983</v>
      </c>
      <c r="AA847" s="27">
        <f t="shared" si="8"/>
        <v>1493.90983</v>
      </c>
      <c r="AB847" s="27">
        <f t="shared" si="9"/>
        <v>355.6928166</v>
      </c>
      <c r="AC847" s="63" t="s">
        <v>42</v>
      </c>
      <c r="AD847" s="56" t="s">
        <v>1692</v>
      </c>
      <c r="AE847" s="130"/>
      <c r="AF847" s="130"/>
      <c r="AG847" s="130"/>
      <c r="AH847" s="130"/>
    </row>
    <row r="848">
      <c r="A848" s="15" t="s">
        <v>1693</v>
      </c>
      <c r="B848" s="15" t="s">
        <v>1694</v>
      </c>
      <c r="C848" s="16" t="s">
        <v>1695</v>
      </c>
      <c r="D848" s="15" t="s">
        <v>1696</v>
      </c>
      <c r="E848" s="17">
        <v>2014.0</v>
      </c>
      <c r="F848" s="17"/>
      <c r="G848" s="17">
        <v>0.0</v>
      </c>
      <c r="H848" s="18">
        <v>50.0</v>
      </c>
      <c r="I848" s="19">
        <f t="shared" si="95"/>
        <v>0</v>
      </c>
      <c r="J848" s="20">
        <v>0.0</v>
      </c>
      <c r="K848" s="21">
        <v>0.0</v>
      </c>
      <c r="L848" s="21">
        <v>0.0</v>
      </c>
      <c r="M848" s="18"/>
      <c r="N848" s="17"/>
      <c r="O848" s="22"/>
      <c r="P848" s="23">
        <v>16000.0</v>
      </c>
      <c r="Q848" s="15" t="s">
        <v>37</v>
      </c>
      <c r="R848" s="18">
        <v>2010.0</v>
      </c>
      <c r="S848" s="18">
        <v>1.623</v>
      </c>
      <c r="T848" s="18">
        <f t="shared" si="90"/>
        <v>25968</v>
      </c>
      <c r="U848" s="24">
        <f t="shared" si="3"/>
        <v>519.36</v>
      </c>
      <c r="V848" s="3">
        <f t="shared" si="28"/>
        <v>0</v>
      </c>
      <c r="W848" s="3">
        <f t="shared" si="29"/>
        <v>0</v>
      </c>
      <c r="X848" s="3">
        <f t="shared" si="30"/>
        <v>0</v>
      </c>
      <c r="Y848" s="25">
        <f t="shared" ref="Y848:Y954" si="96">IF(OR(A848 = "US",A848 = "CA",A848 = "UK",A848 = "NZ",A848 = "AU",A848 = "SG"), 1, 0)</f>
        <v>0</v>
      </c>
      <c r="Z848" s="26">
        <f>VLOOKUP(R848,CPI!$A$2:$F$71,6,0)</f>
        <v>1.477209983</v>
      </c>
      <c r="AA848" s="27">
        <f t="shared" si="8"/>
        <v>38360.18883</v>
      </c>
      <c r="AB848" s="27">
        <f t="shared" si="9"/>
        <v>767.2037766</v>
      </c>
      <c r="AC848" s="36" t="s">
        <v>42</v>
      </c>
      <c r="AD848" s="37" t="s">
        <v>1697</v>
      </c>
      <c r="AE848" s="130"/>
      <c r="AF848" s="130"/>
      <c r="AG848" s="130"/>
      <c r="AH848" s="130"/>
    </row>
    <row r="849">
      <c r="A849" s="15" t="s">
        <v>1693</v>
      </c>
      <c r="B849" s="15" t="s">
        <v>1698</v>
      </c>
      <c r="C849" s="15" t="s">
        <v>1699</v>
      </c>
      <c r="D849" s="15" t="s">
        <v>1699</v>
      </c>
      <c r="E849" s="17">
        <v>2014.0</v>
      </c>
      <c r="F849" s="17">
        <v>2025.0</v>
      </c>
      <c r="G849" s="17">
        <v>0.0</v>
      </c>
      <c r="H849" s="18">
        <v>161.1</v>
      </c>
      <c r="I849" s="19">
        <f t="shared" si="95"/>
        <v>0.1241464929</v>
      </c>
      <c r="J849" s="20">
        <v>20.0</v>
      </c>
      <c r="K849" s="21">
        <v>0.0</v>
      </c>
      <c r="L849" s="21">
        <v>0.0</v>
      </c>
      <c r="M849" s="18">
        <v>81.0</v>
      </c>
      <c r="N849" s="17"/>
      <c r="O849" s="22" t="s">
        <v>36</v>
      </c>
      <c r="P849" s="23">
        <v>12000.0</v>
      </c>
      <c r="Q849" s="15" t="s">
        <v>37</v>
      </c>
      <c r="R849" s="18">
        <v>2015.0</v>
      </c>
      <c r="S849" s="18">
        <v>1.435</v>
      </c>
      <c r="T849" s="18">
        <f t="shared" si="90"/>
        <v>17220</v>
      </c>
      <c r="U849" s="24">
        <f t="shared" si="3"/>
        <v>106.8901304</v>
      </c>
      <c r="V849" s="3">
        <f t="shared" si="28"/>
        <v>0</v>
      </c>
      <c r="W849" s="3">
        <f t="shared" si="29"/>
        <v>0</v>
      </c>
      <c r="X849" s="3">
        <f t="shared" si="30"/>
        <v>0</v>
      </c>
      <c r="Y849" s="25">
        <f t="shared" si="96"/>
        <v>0</v>
      </c>
      <c r="Z849" s="26">
        <f>VLOOKUP(R849,CPI!$A$2:$F$71,6,0)</f>
        <v>1.359035428</v>
      </c>
      <c r="AA849" s="27">
        <f t="shared" si="8"/>
        <v>23402.59007</v>
      </c>
      <c r="AB849" s="27">
        <f t="shared" si="9"/>
        <v>145.267474</v>
      </c>
      <c r="AC849" s="36" t="s">
        <v>60</v>
      </c>
      <c r="AD849" s="37" t="s">
        <v>1700</v>
      </c>
      <c r="AE849" s="130"/>
      <c r="AF849" s="130"/>
      <c r="AG849" s="130"/>
      <c r="AH849" s="130"/>
    </row>
    <row r="850">
      <c r="A850" s="15" t="s">
        <v>1693</v>
      </c>
      <c r="B850" s="15" t="s">
        <v>1701</v>
      </c>
      <c r="C850" s="15" t="s">
        <v>1702</v>
      </c>
      <c r="D850" s="15" t="s">
        <v>1702</v>
      </c>
      <c r="E850" s="17">
        <v>2009.0</v>
      </c>
      <c r="F850" s="17"/>
      <c r="G850" s="17"/>
      <c r="H850" s="18">
        <v>188.0</v>
      </c>
      <c r="I850" s="19"/>
      <c r="J850" s="20"/>
      <c r="K850" s="21" t="e">
        <v>#N/A</v>
      </c>
      <c r="L850" s="21" t="e">
        <v>#N/A</v>
      </c>
      <c r="M850" s="18">
        <v>90.0</v>
      </c>
      <c r="N850" s="17"/>
      <c r="O850" s="22"/>
      <c r="P850" s="23">
        <v>62000.0</v>
      </c>
      <c r="Q850" s="15" t="s">
        <v>1703</v>
      </c>
      <c r="R850" s="18">
        <v>2010.0</v>
      </c>
      <c r="S850" s="18">
        <v>0.616</v>
      </c>
      <c r="T850" s="18">
        <f t="shared" si="90"/>
        <v>38192</v>
      </c>
      <c r="U850" s="24">
        <f t="shared" si="3"/>
        <v>203.1489362</v>
      </c>
      <c r="V850" s="3">
        <f t="shared" si="28"/>
        <v>0</v>
      </c>
      <c r="W850" s="3">
        <f t="shared" si="29"/>
        <v>0</v>
      </c>
      <c r="X850" s="3">
        <f t="shared" si="30"/>
        <v>0</v>
      </c>
      <c r="Y850" s="25">
        <f t="shared" si="96"/>
        <v>0</v>
      </c>
      <c r="Z850" s="26">
        <f>VLOOKUP(R850,CPI!$A$2:$F$71,6,0)</f>
        <v>1.477209983</v>
      </c>
      <c r="AA850" s="27">
        <f t="shared" si="8"/>
        <v>56417.60366</v>
      </c>
      <c r="AB850" s="27">
        <f t="shared" si="9"/>
        <v>300.0936365</v>
      </c>
      <c r="AC850" s="36"/>
      <c r="AD850" s="28"/>
      <c r="AE850" s="130"/>
      <c r="AF850" s="130"/>
      <c r="AG850" s="130"/>
      <c r="AH850" s="130"/>
    </row>
    <row r="851">
      <c r="A851" s="15" t="s">
        <v>1693</v>
      </c>
      <c r="B851" s="15" t="s">
        <v>1704</v>
      </c>
      <c r="C851" s="15" t="s">
        <v>1705</v>
      </c>
      <c r="D851" s="15" t="s">
        <v>1705</v>
      </c>
      <c r="E851" s="17">
        <v>2015.0</v>
      </c>
      <c r="F851" s="17">
        <v>2016.0</v>
      </c>
      <c r="G851" s="17">
        <v>0.0</v>
      </c>
      <c r="H851" s="18">
        <v>38.0</v>
      </c>
      <c r="I851" s="19">
        <f t="shared" ref="I851:I856" si="97">J851/H851</f>
        <v>0.4263157895</v>
      </c>
      <c r="J851" s="20">
        <v>16.2</v>
      </c>
      <c r="K851" s="21">
        <v>0.0</v>
      </c>
      <c r="L851" s="21">
        <v>0.0</v>
      </c>
      <c r="M851" s="18">
        <v>22.0</v>
      </c>
      <c r="N851" s="17"/>
      <c r="O851" s="22" t="s">
        <v>36</v>
      </c>
      <c r="P851" s="23">
        <v>6561.0</v>
      </c>
      <c r="Q851" s="15" t="s">
        <v>37</v>
      </c>
      <c r="R851" s="18">
        <v>2013.0</v>
      </c>
      <c r="S851" s="18">
        <v>1.82</v>
      </c>
      <c r="T851" s="18">
        <f t="shared" si="90"/>
        <v>11941.02</v>
      </c>
      <c r="U851" s="24">
        <f t="shared" si="3"/>
        <v>314.2373684</v>
      </c>
      <c r="V851" s="3">
        <f t="shared" si="28"/>
        <v>0</v>
      </c>
      <c r="W851" s="3">
        <f t="shared" si="29"/>
        <v>0</v>
      </c>
      <c r="X851" s="3">
        <f t="shared" si="30"/>
        <v>0</v>
      </c>
      <c r="Y851" s="25">
        <f t="shared" si="96"/>
        <v>0</v>
      </c>
      <c r="Z851" s="26">
        <f>VLOOKUP(R851,CPI!$A$2:$F$71,6,0)</f>
        <v>1.382720845</v>
      </c>
      <c r="AA851" s="27">
        <f t="shared" si="8"/>
        <v>16511.09727</v>
      </c>
      <c r="AB851" s="27">
        <f t="shared" si="9"/>
        <v>434.5025597</v>
      </c>
      <c r="AC851" s="36" t="s">
        <v>60</v>
      </c>
      <c r="AD851" s="37" t="s">
        <v>1706</v>
      </c>
      <c r="AE851" s="130"/>
      <c r="AF851" s="130"/>
      <c r="AG851" s="130"/>
      <c r="AH851" s="130"/>
    </row>
    <row r="852">
      <c r="A852" s="15" t="s">
        <v>1693</v>
      </c>
      <c r="B852" s="15" t="s">
        <v>1704</v>
      </c>
      <c r="C852" s="15" t="s">
        <v>1707</v>
      </c>
      <c r="D852" s="15" t="s">
        <v>1707</v>
      </c>
      <c r="E852" s="17">
        <v>2015.0</v>
      </c>
      <c r="F852" s="17">
        <v>2016.0</v>
      </c>
      <c r="G852" s="17">
        <v>0.0</v>
      </c>
      <c r="H852" s="18">
        <v>12.9</v>
      </c>
      <c r="I852" s="19">
        <f t="shared" si="97"/>
        <v>0.9302325581</v>
      </c>
      <c r="J852" s="20">
        <v>12.0</v>
      </c>
      <c r="K852" s="21">
        <v>0.0</v>
      </c>
      <c r="L852" s="21">
        <v>0.0</v>
      </c>
      <c r="M852" s="18">
        <v>11.0</v>
      </c>
      <c r="N852" s="17"/>
      <c r="O852" s="22" t="s">
        <v>36</v>
      </c>
      <c r="P852" s="23">
        <v>2220.0</v>
      </c>
      <c r="Q852" s="15" t="s">
        <v>37</v>
      </c>
      <c r="R852" s="18">
        <v>2013.0</v>
      </c>
      <c r="S852" s="18">
        <v>1.82</v>
      </c>
      <c r="T852" s="18">
        <f t="shared" si="90"/>
        <v>4040.4</v>
      </c>
      <c r="U852" s="24">
        <f t="shared" si="3"/>
        <v>313.2093023</v>
      </c>
      <c r="V852" s="3">
        <f t="shared" si="28"/>
        <v>0</v>
      </c>
      <c r="W852" s="3">
        <f t="shared" si="29"/>
        <v>0</v>
      </c>
      <c r="X852" s="3">
        <f t="shared" si="30"/>
        <v>0</v>
      </c>
      <c r="Y852" s="25">
        <f t="shared" si="96"/>
        <v>0</v>
      </c>
      <c r="Z852" s="26">
        <f>VLOOKUP(R852,CPI!$A$2:$F$71,6,0)</f>
        <v>1.382720845</v>
      </c>
      <c r="AA852" s="27">
        <f t="shared" si="8"/>
        <v>5586.745304</v>
      </c>
      <c r="AB852" s="27">
        <f t="shared" si="9"/>
        <v>433.0810313</v>
      </c>
      <c r="AC852" s="36" t="s">
        <v>36</v>
      </c>
      <c r="AD852" s="37" t="s">
        <v>1708</v>
      </c>
      <c r="AE852" s="130"/>
      <c r="AF852" s="130"/>
      <c r="AG852" s="130"/>
      <c r="AH852" s="130"/>
    </row>
    <row r="853">
      <c r="A853" s="15" t="s">
        <v>1693</v>
      </c>
      <c r="B853" s="15" t="s">
        <v>1704</v>
      </c>
      <c r="C853" s="15" t="s">
        <v>1709</v>
      </c>
      <c r="D853" s="15" t="s">
        <v>1709</v>
      </c>
      <c r="E853" s="17">
        <v>2014.0</v>
      </c>
      <c r="F853" s="17">
        <v>2017.0</v>
      </c>
      <c r="G853" s="17">
        <v>0.0</v>
      </c>
      <c r="H853" s="18">
        <v>40.7</v>
      </c>
      <c r="I853" s="19">
        <f t="shared" si="97"/>
        <v>0.14004914</v>
      </c>
      <c r="J853" s="20">
        <v>5.7</v>
      </c>
      <c r="K853" s="21">
        <v>0.0</v>
      </c>
      <c r="L853" s="21">
        <v>0.0</v>
      </c>
      <c r="M853" s="18">
        <v>20.0</v>
      </c>
      <c r="N853" s="17"/>
      <c r="O853" s="22" t="s">
        <v>36</v>
      </c>
      <c r="P853" s="23">
        <v>5002.0</v>
      </c>
      <c r="Q853" s="15" t="s">
        <v>37</v>
      </c>
      <c r="R853" s="18">
        <v>2013.0</v>
      </c>
      <c r="S853" s="18">
        <v>1.82</v>
      </c>
      <c r="T853" s="18">
        <f t="shared" si="90"/>
        <v>9103.64</v>
      </c>
      <c r="U853" s="24">
        <f t="shared" si="3"/>
        <v>223.6766585</v>
      </c>
      <c r="V853" s="3">
        <f t="shared" si="28"/>
        <v>0</v>
      </c>
      <c r="W853" s="3">
        <f t="shared" si="29"/>
        <v>0</v>
      </c>
      <c r="X853" s="3">
        <f t="shared" si="30"/>
        <v>0</v>
      </c>
      <c r="Y853" s="25">
        <f t="shared" si="96"/>
        <v>0</v>
      </c>
      <c r="Z853" s="26">
        <f>VLOOKUP(R853,CPI!$A$2:$F$71,6,0)</f>
        <v>1.382720845</v>
      </c>
      <c r="AA853" s="27">
        <f t="shared" si="8"/>
        <v>12587.7928</v>
      </c>
      <c r="AB853" s="27">
        <f t="shared" si="9"/>
        <v>309.2823783</v>
      </c>
      <c r="AC853" s="6" t="s">
        <v>42</v>
      </c>
      <c r="AD853" s="6"/>
      <c r="AE853" s="130"/>
      <c r="AF853" s="130"/>
      <c r="AG853" s="130"/>
      <c r="AH853" s="130"/>
    </row>
    <row r="854">
      <c r="A854" s="15" t="s">
        <v>1693</v>
      </c>
      <c r="B854" s="15" t="s">
        <v>1704</v>
      </c>
      <c r="C854" s="15" t="s">
        <v>1710</v>
      </c>
      <c r="D854" s="15" t="s">
        <v>1710</v>
      </c>
      <c r="E854" s="17">
        <v>2014.0</v>
      </c>
      <c r="F854" s="17">
        <v>2019.0</v>
      </c>
      <c r="G854" s="17">
        <v>0.0</v>
      </c>
      <c r="H854" s="18">
        <v>29.9</v>
      </c>
      <c r="I854" s="19">
        <f t="shared" si="97"/>
        <v>0</v>
      </c>
      <c r="J854" s="20">
        <v>0.0</v>
      </c>
      <c r="K854" s="21">
        <v>0.0</v>
      </c>
      <c r="L854" s="21">
        <v>0.0</v>
      </c>
      <c r="M854" s="18">
        <v>6.0</v>
      </c>
      <c r="N854" s="17"/>
      <c r="O854" s="22" t="s">
        <v>36</v>
      </c>
      <c r="P854" s="23">
        <v>3330.0</v>
      </c>
      <c r="Q854" s="15" t="s">
        <v>37</v>
      </c>
      <c r="R854" s="18">
        <v>2013.0</v>
      </c>
      <c r="S854" s="18">
        <v>1.82</v>
      </c>
      <c r="T854" s="18">
        <f t="shared" si="90"/>
        <v>6060.6</v>
      </c>
      <c r="U854" s="24">
        <f t="shared" si="3"/>
        <v>202.6956522</v>
      </c>
      <c r="V854" s="3">
        <f t="shared" si="28"/>
        <v>0</v>
      </c>
      <c r="W854" s="3">
        <f t="shared" si="29"/>
        <v>0</v>
      </c>
      <c r="X854" s="3">
        <f t="shared" si="30"/>
        <v>0</v>
      </c>
      <c r="Y854" s="25">
        <f t="shared" si="96"/>
        <v>0</v>
      </c>
      <c r="Z854" s="26">
        <f>VLOOKUP(R854,CPI!$A$2:$F$71,6,0)</f>
        <v>1.382720845</v>
      </c>
      <c r="AA854" s="27">
        <f t="shared" si="8"/>
        <v>8380.117956</v>
      </c>
      <c r="AB854" s="27">
        <f t="shared" si="9"/>
        <v>280.2715035</v>
      </c>
      <c r="AC854" s="36" t="s">
        <v>36</v>
      </c>
      <c r="AD854" s="37" t="s">
        <v>1711</v>
      </c>
      <c r="AE854" s="130"/>
      <c r="AF854" s="130"/>
      <c r="AG854" s="130"/>
      <c r="AH854" s="130"/>
    </row>
    <row r="855">
      <c r="A855" s="15" t="s">
        <v>1693</v>
      </c>
      <c r="B855" s="15" t="s">
        <v>1704</v>
      </c>
      <c r="C855" s="15" t="s">
        <v>1712</v>
      </c>
      <c r="D855" s="15" t="s">
        <v>1712</v>
      </c>
      <c r="E855" s="17">
        <v>2014.0</v>
      </c>
      <c r="F855" s="17">
        <v>2020.0</v>
      </c>
      <c r="G855" s="17">
        <v>0.0</v>
      </c>
      <c r="H855" s="18">
        <v>25.3</v>
      </c>
      <c r="I855" s="19">
        <f t="shared" si="97"/>
        <v>0</v>
      </c>
      <c r="J855" s="20">
        <v>0.0</v>
      </c>
      <c r="K855" s="21">
        <v>0.0</v>
      </c>
      <c r="L855" s="21">
        <v>0.0</v>
      </c>
      <c r="M855" s="18">
        <v>13.0</v>
      </c>
      <c r="N855" s="17"/>
      <c r="O855" s="22" t="s">
        <v>36</v>
      </c>
      <c r="P855" s="23">
        <v>2880.0</v>
      </c>
      <c r="Q855" s="15" t="s">
        <v>37</v>
      </c>
      <c r="R855" s="18">
        <v>2013.0</v>
      </c>
      <c r="S855" s="18">
        <v>1.82</v>
      </c>
      <c r="T855" s="18">
        <f t="shared" si="90"/>
        <v>5241.6</v>
      </c>
      <c r="U855" s="24">
        <f t="shared" si="3"/>
        <v>207.1778656</v>
      </c>
      <c r="V855" s="3">
        <f t="shared" si="28"/>
        <v>0</v>
      </c>
      <c r="W855" s="3">
        <f t="shared" si="29"/>
        <v>0</v>
      </c>
      <c r="X855" s="3">
        <f t="shared" si="30"/>
        <v>0</v>
      </c>
      <c r="Y855" s="25">
        <f t="shared" si="96"/>
        <v>0</v>
      </c>
      <c r="Z855" s="26">
        <f>VLOOKUP(R855,CPI!$A$2:$F$71,6,0)</f>
        <v>1.382720845</v>
      </c>
      <c r="AA855" s="27">
        <f t="shared" si="8"/>
        <v>7247.669584</v>
      </c>
      <c r="AB855" s="27">
        <f t="shared" si="9"/>
        <v>286.4691535</v>
      </c>
      <c r="AC855" s="6" t="s">
        <v>42</v>
      </c>
      <c r="AD855" s="6"/>
      <c r="AE855" s="130"/>
      <c r="AF855" s="130"/>
      <c r="AG855" s="130"/>
      <c r="AH855" s="130"/>
    </row>
    <row r="856">
      <c r="A856" s="15" t="s">
        <v>1693</v>
      </c>
      <c r="B856" s="15" t="s">
        <v>1704</v>
      </c>
      <c r="C856" s="15" t="s">
        <v>1713</v>
      </c>
      <c r="D856" s="15" t="s">
        <v>1713</v>
      </c>
      <c r="E856" s="17">
        <v>2014.0</v>
      </c>
      <c r="F856" s="17">
        <v>2020.0</v>
      </c>
      <c r="G856" s="17">
        <v>0.0</v>
      </c>
      <c r="H856" s="18">
        <v>29.6</v>
      </c>
      <c r="I856" s="19">
        <f t="shared" si="97"/>
        <v>0</v>
      </c>
      <c r="J856" s="20">
        <v>0.0</v>
      </c>
      <c r="K856" s="21">
        <v>0.0</v>
      </c>
      <c r="L856" s="21">
        <v>0.0</v>
      </c>
      <c r="M856" s="18">
        <v>8.0</v>
      </c>
      <c r="N856" s="17"/>
      <c r="O856" s="22" t="s">
        <v>36</v>
      </c>
      <c r="P856" s="23">
        <v>2270.0</v>
      </c>
      <c r="Q856" s="15" t="s">
        <v>37</v>
      </c>
      <c r="R856" s="18">
        <v>2013.0</v>
      </c>
      <c r="S856" s="18">
        <v>1.82</v>
      </c>
      <c r="T856" s="18">
        <f t="shared" si="90"/>
        <v>4131.4</v>
      </c>
      <c r="U856" s="24">
        <f t="shared" si="3"/>
        <v>139.5743243</v>
      </c>
      <c r="V856" s="3">
        <f t="shared" si="28"/>
        <v>0</v>
      </c>
      <c r="W856" s="3">
        <f t="shared" si="29"/>
        <v>0</v>
      </c>
      <c r="X856" s="3">
        <f t="shared" si="30"/>
        <v>0</v>
      </c>
      <c r="Y856" s="25">
        <f t="shared" si="96"/>
        <v>0</v>
      </c>
      <c r="Z856" s="26">
        <f>VLOOKUP(R856,CPI!$A$2:$F$71,6,0)</f>
        <v>1.382720845</v>
      </c>
      <c r="AA856" s="27">
        <f t="shared" si="8"/>
        <v>5712.572901</v>
      </c>
      <c r="AB856" s="27">
        <f t="shared" si="9"/>
        <v>192.9923277</v>
      </c>
      <c r="AC856" s="36" t="s">
        <v>36</v>
      </c>
      <c r="AD856" s="37" t="s">
        <v>1711</v>
      </c>
      <c r="AE856" s="130"/>
      <c r="AF856" s="130"/>
      <c r="AG856" s="130"/>
      <c r="AH856" s="130"/>
    </row>
    <row r="857">
      <c r="A857" s="6" t="s">
        <v>1714</v>
      </c>
      <c r="B857" s="6" t="s">
        <v>1715</v>
      </c>
      <c r="C857" s="6" t="s">
        <v>1716</v>
      </c>
      <c r="D857" s="6" t="s">
        <v>1716</v>
      </c>
      <c r="E857" s="3">
        <v>2018.0</v>
      </c>
      <c r="F857" s="3">
        <v>2026.0</v>
      </c>
      <c r="G857" s="3">
        <v>1.0</v>
      </c>
      <c r="H857" s="3">
        <v>8.0</v>
      </c>
      <c r="I857" s="39">
        <v>0.75</v>
      </c>
      <c r="J857" s="20">
        <v>6.0</v>
      </c>
      <c r="K857" s="40">
        <v>0.0</v>
      </c>
      <c r="L857" s="40">
        <v>0.0</v>
      </c>
      <c r="M857" s="3">
        <v>3.0</v>
      </c>
      <c r="N857" s="3"/>
      <c r="O857" s="6" t="s">
        <v>60</v>
      </c>
      <c r="P857" s="41">
        <v>20000.0</v>
      </c>
      <c r="Q857" s="6" t="s">
        <v>1717</v>
      </c>
      <c r="R857" s="3">
        <v>2009.0</v>
      </c>
      <c r="S857" s="3">
        <v>0.112</v>
      </c>
      <c r="T857" s="3">
        <f t="shared" si="90"/>
        <v>2240</v>
      </c>
      <c r="U857" s="24">
        <f t="shared" si="3"/>
        <v>280</v>
      </c>
      <c r="V857" s="3">
        <f t="shared" si="28"/>
        <v>1</v>
      </c>
      <c r="W857" s="3">
        <f t="shared" si="29"/>
        <v>8</v>
      </c>
      <c r="X857" s="3">
        <f t="shared" si="30"/>
        <v>6</v>
      </c>
      <c r="Y857" s="25">
        <f t="shared" si="96"/>
        <v>0</v>
      </c>
      <c r="Z857" s="26">
        <f>VLOOKUP(R857,CPI!$A$2:$F$71,6,0)</f>
        <v>1.501440311</v>
      </c>
      <c r="AA857" s="27">
        <f t="shared" si="8"/>
        <v>3363.226297</v>
      </c>
      <c r="AB857" s="27">
        <f t="shared" si="9"/>
        <v>420.4032871</v>
      </c>
      <c r="AC857" s="6" t="s">
        <v>60</v>
      </c>
      <c r="AD857" s="37" t="s">
        <v>1718</v>
      </c>
      <c r="AE857" s="130"/>
      <c r="AF857" s="130"/>
      <c r="AG857" s="130"/>
      <c r="AH857" s="130"/>
    </row>
    <row r="858">
      <c r="A858" s="26" t="s">
        <v>1714</v>
      </c>
      <c r="B858" s="26" t="s">
        <v>1719</v>
      </c>
      <c r="C858" s="26" t="s">
        <v>1720</v>
      </c>
      <c r="D858" s="26" t="s">
        <v>1720</v>
      </c>
      <c r="E858" s="25">
        <v>2005.0</v>
      </c>
      <c r="F858" s="25">
        <v>2010.0</v>
      </c>
      <c r="G858" s="25">
        <v>1.0</v>
      </c>
      <c r="H858" s="25">
        <v>17.0</v>
      </c>
      <c r="I858" s="50">
        <v>0.35</v>
      </c>
      <c r="J858" s="25">
        <v>6.0</v>
      </c>
      <c r="K858" s="51">
        <v>0.0</v>
      </c>
      <c r="L858" s="51">
        <v>0.0</v>
      </c>
      <c r="M858" s="25">
        <v>3.0</v>
      </c>
      <c r="N858" s="25"/>
      <c r="O858" s="26" t="s">
        <v>36</v>
      </c>
      <c r="P858" s="52">
        <v>8450.0</v>
      </c>
      <c r="Q858" s="26" t="s">
        <v>1717</v>
      </c>
      <c r="R858" s="25">
        <v>2001.0</v>
      </c>
      <c r="S858" s="25">
        <v>0.106</v>
      </c>
      <c r="T858" s="25">
        <f t="shared" si="90"/>
        <v>895.7</v>
      </c>
      <c r="U858" s="24">
        <f t="shared" si="3"/>
        <v>52.68823529</v>
      </c>
      <c r="V858" s="3">
        <f t="shared" si="28"/>
        <v>1</v>
      </c>
      <c r="W858" s="3">
        <f t="shared" si="29"/>
        <v>17</v>
      </c>
      <c r="X858" s="3">
        <f t="shared" si="30"/>
        <v>6</v>
      </c>
      <c r="Y858" s="25">
        <f t="shared" si="96"/>
        <v>0</v>
      </c>
      <c r="Z858" s="26">
        <f>VLOOKUP(R858,CPI!$A$2:$F$71,6,0)</f>
        <v>1.818828346</v>
      </c>
      <c r="AA858" s="27">
        <f t="shared" si="8"/>
        <v>1629.124549</v>
      </c>
      <c r="AB858" s="27">
        <f t="shared" si="9"/>
        <v>95.83085583</v>
      </c>
      <c r="AC858" s="26" t="s">
        <v>36</v>
      </c>
      <c r="AD858" s="53" t="s">
        <v>1721</v>
      </c>
      <c r="AE858" s="130"/>
      <c r="AF858" s="130"/>
      <c r="AG858" s="130"/>
      <c r="AH858" s="130"/>
    </row>
    <row r="859">
      <c r="A859" s="26" t="s">
        <v>1714</v>
      </c>
      <c r="B859" s="26" t="s">
        <v>1722</v>
      </c>
      <c r="C859" s="26" t="s">
        <v>1723</v>
      </c>
      <c r="D859" s="26" t="s">
        <v>1723</v>
      </c>
      <c r="E859" s="25">
        <v>2007.0</v>
      </c>
      <c r="F859" s="25">
        <v>2017.0</v>
      </c>
      <c r="G859" s="25">
        <v>1.0</v>
      </c>
      <c r="H859" s="25">
        <v>7.4</v>
      </c>
      <c r="I859" s="50">
        <v>0.81</v>
      </c>
      <c r="J859" s="25">
        <v>6.0</v>
      </c>
      <c r="K859" s="51">
        <v>0.0</v>
      </c>
      <c r="L859" s="51">
        <v>0.0</v>
      </c>
      <c r="M859" s="25">
        <v>2.0</v>
      </c>
      <c r="N859" s="58">
        <v>200.0</v>
      </c>
      <c r="O859" s="26" t="s">
        <v>60</v>
      </c>
      <c r="P859" s="52">
        <v>16800.0</v>
      </c>
      <c r="Q859" s="26" t="s">
        <v>1717</v>
      </c>
      <c r="R859" s="25">
        <v>2007.0</v>
      </c>
      <c r="S859" s="25">
        <v>0.1125</v>
      </c>
      <c r="T859" s="25">
        <f t="shared" si="90"/>
        <v>1890</v>
      </c>
      <c r="U859" s="24">
        <f t="shared" si="3"/>
        <v>255.4054054</v>
      </c>
      <c r="V859" s="3">
        <f t="shared" si="28"/>
        <v>1</v>
      </c>
      <c r="W859" s="3">
        <f t="shared" si="29"/>
        <v>7.4</v>
      </c>
      <c r="X859" s="3">
        <f t="shared" si="30"/>
        <v>6</v>
      </c>
      <c r="Y859" s="25">
        <f t="shared" si="96"/>
        <v>0</v>
      </c>
      <c r="Z859" s="26">
        <f>VLOOKUP(R859,CPI!$A$2:$F$71,6,0)</f>
        <v>1.553541974</v>
      </c>
      <c r="AA859" s="27">
        <f t="shared" si="8"/>
        <v>2936.194331</v>
      </c>
      <c r="AB859" s="27">
        <f t="shared" si="9"/>
        <v>396.7830177</v>
      </c>
      <c r="AC859" s="26" t="s">
        <v>60</v>
      </c>
      <c r="AD859" s="53" t="s">
        <v>1724</v>
      </c>
      <c r="AE859" s="130"/>
      <c r="AF859" s="130"/>
      <c r="AG859" s="130"/>
      <c r="AH859" s="130"/>
    </row>
    <row r="860">
      <c r="A860" s="26" t="s">
        <v>1714</v>
      </c>
      <c r="B860" s="26" t="s">
        <v>1722</v>
      </c>
      <c r="C860" s="63" t="s">
        <v>153</v>
      </c>
      <c r="D860" s="26" t="s">
        <v>1725</v>
      </c>
      <c r="E860" s="25">
        <v>2020.0</v>
      </c>
      <c r="F860" s="25">
        <v>2026.0</v>
      </c>
      <c r="G860" s="25">
        <v>0.0</v>
      </c>
      <c r="H860" s="25">
        <v>3.3</v>
      </c>
      <c r="I860" s="50">
        <v>1.0</v>
      </c>
      <c r="J860" s="25">
        <v>3.3</v>
      </c>
      <c r="K860" s="51">
        <v>0.0</v>
      </c>
      <c r="L860" s="51">
        <v>0.0</v>
      </c>
      <c r="M860" s="25">
        <v>2.0</v>
      </c>
      <c r="N860" s="58">
        <v>140.0</v>
      </c>
      <c r="O860" s="26" t="s">
        <v>60</v>
      </c>
      <c r="P860" s="55">
        <v>5286.0</v>
      </c>
      <c r="Q860" s="26" t="s">
        <v>1717</v>
      </c>
      <c r="R860" s="58">
        <v>2016.0</v>
      </c>
      <c r="S860" s="58">
        <v>0.113</v>
      </c>
      <c r="T860" s="25">
        <f t="shared" si="90"/>
        <v>597.318</v>
      </c>
      <c r="U860" s="24">
        <f t="shared" si="3"/>
        <v>181.0054545</v>
      </c>
      <c r="V860" s="3">
        <f t="shared" si="28"/>
        <v>1</v>
      </c>
      <c r="W860" s="3">
        <f t="shared" si="29"/>
        <v>3.3</v>
      </c>
      <c r="X860" s="3">
        <f t="shared" si="30"/>
        <v>3.3</v>
      </c>
      <c r="Y860" s="25">
        <f t="shared" si="96"/>
        <v>0</v>
      </c>
      <c r="Z860" s="26">
        <f>VLOOKUP(R860,CPI!$A$2:$F$71,6,0)</f>
        <v>1.342104605</v>
      </c>
      <c r="AA860" s="27">
        <f t="shared" si="8"/>
        <v>801.6632386</v>
      </c>
      <c r="AB860" s="27">
        <f t="shared" si="9"/>
        <v>242.9282541</v>
      </c>
      <c r="AC860" s="26" t="s">
        <v>60</v>
      </c>
      <c r="AD860" s="53" t="s">
        <v>1726</v>
      </c>
      <c r="AE860" s="130"/>
      <c r="AF860" s="130"/>
      <c r="AG860" s="130"/>
      <c r="AH860" s="130"/>
    </row>
    <row r="861">
      <c r="A861" s="26" t="s">
        <v>1714</v>
      </c>
      <c r="B861" s="26" t="s">
        <v>1722</v>
      </c>
      <c r="C861" s="63" t="s">
        <v>127</v>
      </c>
      <c r="D861" s="26" t="s">
        <v>1727</v>
      </c>
      <c r="E861" s="25">
        <v>2020.0</v>
      </c>
      <c r="F861" s="25">
        <v>2030.0</v>
      </c>
      <c r="G861" s="25">
        <v>0.0</v>
      </c>
      <c r="H861" s="25">
        <v>4.1</v>
      </c>
      <c r="I861" s="50">
        <v>1.0</v>
      </c>
      <c r="J861" s="25">
        <v>4.1</v>
      </c>
      <c r="K861" s="51">
        <v>0.0</v>
      </c>
      <c r="L861" s="51">
        <v>0.0</v>
      </c>
      <c r="M861" s="25">
        <v>2.0</v>
      </c>
      <c r="N861" s="58">
        <v>140.0</v>
      </c>
      <c r="O861" s="26" t="s">
        <v>60</v>
      </c>
      <c r="P861" s="55">
        <v>5643.0</v>
      </c>
      <c r="Q861" s="26" t="s">
        <v>1717</v>
      </c>
      <c r="R861" s="58">
        <v>2016.0</v>
      </c>
      <c r="S861" s="58">
        <v>0.113</v>
      </c>
      <c r="T861" s="25">
        <f t="shared" si="90"/>
        <v>637.659</v>
      </c>
      <c r="U861" s="24">
        <f t="shared" si="3"/>
        <v>155.5265854</v>
      </c>
      <c r="V861" s="3">
        <f t="shared" si="28"/>
        <v>1</v>
      </c>
      <c r="W861" s="3">
        <f t="shared" si="29"/>
        <v>4.1</v>
      </c>
      <c r="X861" s="3">
        <f t="shared" si="30"/>
        <v>4.1</v>
      </c>
      <c r="Y861" s="25">
        <f t="shared" si="96"/>
        <v>0</v>
      </c>
      <c r="Z861" s="26">
        <f>VLOOKUP(R861,CPI!$A$2:$F$71,6,0)</f>
        <v>1.342104605</v>
      </c>
      <c r="AA861" s="27">
        <f t="shared" si="8"/>
        <v>855.8050805</v>
      </c>
      <c r="AB861" s="27">
        <f t="shared" si="9"/>
        <v>208.7329465</v>
      </c>
      <c r="AC861" s="26" t="s">
        <v>60</v>
      </c>
      <c r="AD861" s="53" t="s">
        <v>1726</v>
      </c>
      <c r="AE861" s="130"/>
      <c r="AF861" s="130"/>
      <c r="AG861" s="130"/>
      <c r="AH861" s="130"/>
    </row>
    <row r="862">
      <c r="A862" s="26" t="s">
        <v>1714</v>
      </c>
      <c r="B862" s="26" t="s">
        <v>1722</v>
      </c>
      <c r="C862" s="63" t="s">
        <v>153</v>
      </c>
      <c r="D862" s="26" t="s">
        <v>1728</v>
      </c>
      <c r="E862" s="25">
        <v>2020.0</v>
      </c>
      <c r="F862" s="25">
        <v>2030.0</v>
      </c>
      <c r="G862" s="25">
        <v>0.0</v>
      </c>
      <c r="H862" s="25">
        <v>11.5</v>
      </c>
      <c r="I862" s="50">
        <v>1.0</v>
      </c>
      <c r="J862" s="25">
        <v>11.5</v>
      </c>
      <c r="K862" s="51">
        <v>0.0</v>
      </c>
      <c r="L862" s="51">
        <v>0.0</v>
      </c>
      <c r="M862" s="25">
        <v>6.0</v>
      </c>
      <c r="N862" s="58">
        <v>140.0</v>
      </c>
      <c r="O862" s="26" t="s">
        <v>60</v>
      </c>
      <c r="P862" s="55">
        <v>20884.0</v>
      </c>
      <c r="Q862" s="26" t="s">
        <v>1717</v>
      </c>
      <c r="R862" s="58">
        <v>2016.0</v>
      </c>
      <c r="S862" s="58">
        <v>0.113</v>
      </c>
      <c r="T862" s="25">
        <f t="shared" si="90"/>
        <v>2359.892</v>
      </c>
      <c r="U862" s="24">
        <f t="shared" si="3"/>
        <v>205.208</v>
      </c>
      <c r="V862" s="3">
        <f t="shared" si="28"/>
        <v>1</v>
      </c>
      <c r="W862" s="3">
        <f t="shared" si="29"/>
        <v>11.5</v>
      </c>
      <c r="X862" s="3">
        <f t="shared" si="30"/>
        <v>11.5</v>
      </c>
      <c r="Y862" s="25">
        <f t="shared" si="96"/>
        <v>0</v>
      </c>
      <c r="Z862" s="26">
        <f>VLOOKUP(R862,CPI!$A$2:$F$71,6,0)</f>
        <v>1.342104605</v>
      </c>
      <c r="AA862" s="27">
        <f t="shared" si="8"/>
        <v>3167.221921</v>
      </c>
      <c r="AB862" s="27">
        <f t="shared" si="9"/>
        <v>275.4106018</v>
      </c>
      <c r="AC862" s="26" t="s">
        <v>60</v>
      </c>
      <c r="AD862" s="53" t="s">
        <v>1726</v>
      </c>
      <c r="AE862" s="130"/>
      <c r="AF862" s="130"/>
      <c r="AG862" s="130"/>
      <c r="AH862" s="130"/>
    </row>
    <row r="863">
      <c r="A863" s="115" t="s">
        <v>1730</v>
      </c>
      <c r="B863" s="115" t="s">
        <v>1731</v>
      </c>
      <c r="C863" s="115" t="s">
        <v>1732</v>
      </c>
      <c r="D863" s="115" t="s">
        <v>1733</v>
      </c>
      <c r="E863" s="82">
        <v>2002.0</v>
      </c>
      <c r="F863" s="115">
        <v>2012.0</v>
      </c>
      <c r="G863" s="82">
        <v>0.0</v>
      </c>
      <c r="H863" s="82">
        <v>35.5</v>
      </c>
      <c r="I863" s="247">
        <v>1.0</v>
      </c>
      <c r="J863" s="82">
        <v>35.5</v>
      </c>
      <c r="K863" s="114"/>
      <c r="L863" s="114"/>
      <c r="M863" s="82">
        <v>30.0</v>
      </c>
      <c r="N863" s="82">
        <v>70.0</v>
      </c>
      <c r="O863" s="115" t="s">
        <v>74</v>
      </c>
      <c r="P863" s="248">
        <v>8000.0</v>
      </c>
      <c r="Q863" s="115" t="s">
        <v>1734</v>
      </c>
      <c r="R863" s="115">
        <v>2007.0</v>
      </c>
      <c r="S863" s="115">
        <v>1.16</v>
      </c>
      <c r="T863" s="118">
        <f t="shared" si="90"/>
        <v>9280</v>
      </c>
      <c r="U863" s="24">
        <f t="shared" si="3"/>
        <v>261.4084507</v>
      </c>
      <c r="V863" s="3">
        <f t="shared" si="28"/>
        <v>0</v>
      </c>
      <c r="W863" s="3">
        <f t="shared" si="29"/>
        <v>0</v>
      </c>
      <c r="X863" s="3">
        <f t="shared" si="30"/>
        <v>0</v>
      </c>
      <c r="Y863" s="25">
        <f t="shared" si="96"/>
        <v>1</v>
      </c>
      <c r="Z863" s="26">
        <f>VLOOKUP(R863,CPI!$A$2:$F$71,6,0)</f>
        <v>1.553541974</v>
      </c>
      <c r="AA863" s="27">
        <f t="shared" si="8"/>
        <v>14416.86952</v>
      </c>
      <c r="AB863" s="27">
        <f t="shared" si="9"/>
        <v>406.1090006</v>
      </c>
      <c r="AC863" s="115" t="s">
        <v>42</v>
      </c>
      <c r="AD863" s="252" t="s">
        <v>1735</v>
      </c>
      <c r="AE863" s="344"/>
      <c r="AF863" s="114"/>
      <c r="AG863" s="114"/>
      <c r="AH863" s="114"/>
    </row>
    <row r="864">
      <c r="A864" s="26" t="s">
        <v>1730</v>
      </c>
      <c r="B864" s="26" t="s">
        <v>1731</v>
      </c>
      <c r="C864" s="26" t="s">
        <v>1736</v>
      </c>
      <c r="D864" s="26" t="s">
        <v>1736</v>
      </c>
      <c r="E864" s="25">
        <v>2008.0</v>
      </c>
      <c r="F864" s="25">
        <v>2017.0</v>
      </c>
      <c r="G864" s="25">
        <v>0.0</v>
      </c>
      <c r="H864" s="25">
        <v>41.9</v>
      </c>
      <c r="I864" s="50">
        <v>1.0</v>
      </c>
      <c r="J864" s="25">
        <v>41.9</v>
      </c>
      <c r="K864" s="51">
        <v>0.0</v>
      </c>
      <c r="L864" s="51">
        <v>0.0</v>
      </c>
      <c r="M864" s="25">
        <v>34.0</v>
      </c>
      <c r="N864" s="25"/>
      <c r="O864" s="26" t="s">
        <v>74</v>
      </c>
      <c r="P864" s="52">
        <v>21000.0</v>
      </c>
      <c r="Q864" s="26" t="s">
        <v>1734</v>
      </c>
      <c r="R864" s="25">
        <v>2012.0</v>
      </c>
      <c r="S864" s="25">
        <v>1.18</v>
      </c>
      <c r="T864" s="25">
        <f t="shared" si="90"/>
        <v>24780</v>
      </c>
      <c r="U864" s="24">
        <f t="shared" si="3"/>
        <v>591.4081146</v>
      </c>
      <c r="V864" s="3">
        <f t="shared" si="28"/>
        <v>0</v>
      </c>
      <c r="W864" s="3">
        <f t="shared" si="29"/>
        <v>0</v>
      </c>
      <c r="X864" s="3">
        <f t="shared" si="30"/>
        <v>0</v>
      </c>
      <c r="Y864" s="25">
        <f t="shared" si="96"/>
        <v>1</v>
      </c>
      <c r="Z864" s="26">
        <f>VLOOKUP(R864,CPI!$A$2:$F$71,6,0)</f>
        <v>1.402974381</v>
      </c>
      <c r="AA864" s="27">
        <f t="shared" si="8"/>
        <v>34765.70516</v>
      </c>
      <c r="AB864" s="27">
        <f t="shared" si="9"/>
        <v>829.7304334</v>
      </c>
      <c r="AC864" s="26" t="s">
        <v>60</v>
      </c>
      <c r="AD864" s="57" t="s">
        <v>1737</v>
      </c>
      <c r="AE864" s="130"/>
      <c r="AF864" s="130"/>
      <c r="AG864" s="130"/>
      <c r="AH864" s="130"/>
    </row>
    <row r="865">
      <c r="A865" s="26" t="s">
        <v>1730</v>
      </c>
      <c r="B865" s="26" t="s">
        <v>1731</v>
      </c>
      <c r="C865" s="26" t="s">
        <v>1738</v>
      </c>
      <c r="D865" s="26" t="s">
        <v>1738</v>
      </c>
      <c r="E865" s="25">
        <v>2014.0</v>
      </c>
      <c r="F865" s="25">
        <v>2024.0</v>
      </c>
      <c r="G865" s="25">
        <v>0.0</v>
      </c>
      <c r="H865" s="25">
        <v>43.0</v>
      </c>
      <c r="I865" s="50">
        <v>1.0</v>
      </c>
      <c r="J865" s="25">
        <v>43.0</v>
      </c>
      <c r="K865" s="51">
        <v>0.0</v>
      </c>
      <c r="L865" s="51">
        <v>0.0</v>
      </c>
      <c r="M865" s="25">
        <v>32.0</v>
      </c>
      <c r="N865" s="25"/>
      <c r="O865" s="26" t="s">
        <v>42</v>
      </c>
      <c r="P865" s="52">
        <v>25000.0</v>
      </c>
      <c r="Q865" s="26" t="s">
        <v>1734</v>
      </c>
      <c r="R865" s="25">
        <v>2019.0</v>
      </c>
      <c r="S865" s="25">
        <v>1.13</v>
      </c>
      <c r="T865" s="25">
        <f t="shared" si="90"/>
        <v>28250</v>
      </c>
      <c r="U865" s="24">
        <f t="shared" si="3"/>
        <v>656.9767442</v>
      </c>
      <c r="V865" s="3">
        <f t="shared" si="28"/>
        <v>0</v>
      </c>
      <c r="W865" s="3">
        <f t="shared" si="29"/>
        <v>0</v>
      </c>
      <c r="X865" s="3">
        <f t="shared" si="30"/>
        <v>0</v>
      </c>
      <c r="Y865" s="25">
        <f t="shared" si="96"/>
        <v>1</v>
      </c>
      <c r="Z865" s="26">
        <f>VLOOKUP(R865,CPI!$A$2:$F$71,6,0)</f>
        <v>1.259947899</v>
      </c>
      <c r="AA865" s="27">
        <f t="shared" si="8"/>
        <v>35593.52815</v>
      </c>
      <c r="AB865" s="27">
        <f t="shared" si="9"/>
        <v>827.7564685</v>
      </c>
      <c r="AC865" s="26" t="s">
        <v>42</v>
      </c>
      <c r="AD865" s="57" t="s">
        <v>1739</v>
      </c>
      <c r="AE865" s="130"/>
      <c r="AF865" s="130"/>
      <c r="AG865" s="130"/>
      <c r="AH865" s="130"/>
    </row>
    <row r="866">
      <c r="A866" s="26" t="s">
        <v>1730</v>
      </c>
      <c r="B866" s="26" t="s">
        <v>1731</v>
      </c>
      <c r="C866" s="1" t="s">
        <v>1732</v>
      </c>
      <c r="D866" s="26" t="s">
        <v>1740</v>
      </c>
      <c r="E866" s="25">
        <v>2017.0</v>
      </c>
      <c r="F866" s="25">
        <v>2025.0</v>
      </c>
      <c r="G866" s="25">
        <v>0.0</v>
      </c>
      <c r="H866" s="25">
        <v>4.0</v>
      </c>
      <c r="I866" s="50">
        <v>1.0</v>
      </c>
      <c r="J866" s="25">
        <v>4.0</v>
      </c>
      <c r="K866" s="51">
        <v>0.0</v>
      </c>
      <c r="L866" s="51">
        <v>0.0</v>
      </c>
      <c r="M866" s="25">
        <v>3.0</v>
      </c>
      <c r="N866" s="25"/>
      <c r="O866" s="26" t="s">
        <v>42</v>
      </c>
      <c r="P866" s="52">
        <v>4850.0</v>
      </c>
      <c r="Q866" s="26" t="s">
        <v>1734</v>
      </c>
      <c r="R866" s="25">
        <v>2021.0</v>
      </c>
      <c r="S866" s="25">
        <v>1.13</v>
      </c>
      <c r="T866" s="25">
        <f t="shared" si="90"/>
        <v>5480.5</v>
      </c>
      <c r="U866" s="24">
        <f t="shared" si="3"/>
        <v>1370.125</v>
      </c>
      <c r="V866" s="3">
        <f t="shared" si="28"/>
        <v>0</v>
      </c>
      <c r="W866" s="3">
        <f t="shared" si="29"/>
        <v>0</v>
      </c>
      <c r="X866" s="3">
        <f t="shared" si="30"/>
        <v>0</v>
      </c>
      <c r="Y866" s="25">
        <f t="shared" si="96"/>
        <v>1</v>
      </c>
      <c r="Z866" s="26">
        <f>VLOOKUP(R866,CPI!$A$2:$F$71,6,0)</f>
        <v>1.188745987</v>
      </c>
      <c r="AA866" s="27">
        <f t="shared" si="8"/>
        <v>6514.92238</v>
      </c>
      <c r="AB866" s="27">
        <f t="shared" si="9"/>
        <v>1628.730595</v>
      </c>
      <c r="AC866" s="26" t="s">
        <v>42</v>
      </c>
      <c r="AD866" s="53" t="s">
        <v>1741</v>
      </c>
      <c r="AE866" s="130"/>
      <c r="AF866" s="130"/>
      <c r="AG866" s="130"/>
      <c r="AH866" s="130"/>
    </row>
    <row r="867">
      <c r="A867" s="26" t="s">
        <v>1742</v>
      </c>
      <c r="B867" s="26" t="s">
        <v>1743</v>
      </c>
      <c r="C867" s="1" t="s">
        <v>1744</v>
      </c>
      <c r="D867" s="26" t="s">
        <v>1745</v>
      </c>
      <c r="E867" s="25">
        <v>2012.0</v>
      </c>
      <c r="F867" s="25">
        <v>2018.0</v>
      </c>
      <c r="G867" s="25">
        <v>0.0</v>
      </c>
      <c r="H867" s="25">
        <v>12.8</v>
      </c>
      <c r="I867" s="50">
        <v>0.0</v>
      </c>
      <c r="J867" s="25">
        <v>0.0</v>
      </c>
      <c r="K867" s="51">
        <v>0.0</v>
      </c>
      <c r="L867" s="51">
        <v>0.0</v>
      </c>
      <c r="M867" s="25">
        <v>9.0</v>
      </c>
      <c r="N867" s="25"/>
      <c r="O867" s="26" t="s">
        <v>60</v>
      </c>
      <c r="P867" s="52">
        <v>21904.0</v>
      </c>
      <c r="Q867" s="26" t="s">
        <v>1746</v>
      </c>
      <c r="R867" s="25">
        <v>2007.0</v>
      </c>
      <c r="S867" s="25">
        <v>0.087</v>
      </c>
      <c r="T867" s="25">
        <f t="shared" si="90"/>
        <v>1905.648</v>
      </c>
      <c r="U867" s="24">
        <f t="shared" si="3"/>
        <v>148.87875</v>
      </c>
      <c r="V867" s="3">
        <f t="shared" si="28"/>
        <v>0</v>
      </c>
      <c r="W867" s="3">
        <f t="shared" si="29"/>
        <v>0</v>
      </c>
      <c r="X867" s="3">
        <f t="shared" si="30"/>
        <v>0</v>
      </c>
      <c r="Y867" s="25">
        <f t="shared" si="96"/>
        <v>0</v>
      </c>
      <c r="Z867" s="26">
        <f>VLOOKUP(R867,CPI!$A$2:$F$71,6,0)</f>
        <v>1.553541974</v>
      </c>
      <c r="AA867" s="27">
        <f t="shared" si="8"/>
        <v>2960.504156</v>
      </c>
      <c r="AB867" s="27">
        <f t="shared" si="9"/>
        <v>231.2893872</v>
      </c>
      <c r="AC867" s="26" t="s">
        <v>60</v>
      </c>
      <c r="AD867" s="53" t="s">
        <v>1747</v>
      </c>
      <c r="AE867" s="130"/>
      <c r="AF867" s="130"/>
      <c r="AG867" s="130"/>
      <c r="AH867" s="130"/>
    </row>
    <row r="868">
      <c r="A868" s="26" t="s">
        <v>1742</v>
      </c>
      <c r="B868" s="26" t="s">
        <v>1743</v>
      </c>
      <c r="C868" s="1" t="s">
        <v>153</v>
      </c>
      <c r="D868" s="26" t="s">
        <v>1748</v>
      </c>
      <c r="E868" s="25">
        <v>2011.0</v>
      </c>
      <c r="F868" s="25">
        <v>2020.0</v>
      </c>
      <c r="G868" s="25">
        <v>0.0</v>
      </c>
      <c r="H868" s="25">
        <v>26.9</v>
      </c>
      <c r="I868" s="50">
        <v>0.2</v>
      </c>
      <c r="J868" s="25">
        <v>5.4</v>
      </c>
      <c r="K868" s="51">
        <v>0.0</v>
      </c>
      <c r="L868" s="51">
        <v>0.0</v>
      </c>
      <c r="M868" s="25">
        <v>19.0</v>
      </c>
      <c r="N868" s="25"/>
      <c r="O868" s="26" t="s">
        <v>60</v>
      </c>
      <c r="P868" s="52">
        <v>71687.0</v>
      </c>
      <c r="Q868" s="26" t="s">
        <v>1746</v>
      </c>
      <c r="R868" s="25">
        <v>2015.0</v>
      </c>
      <c r="S868" s="25">
        <v>0.081</v>
      </c>
      <c r="T868" s="25">
        <f t="shared" si="90"/>
        <v>5806.647</v>
      </c>
      <c r="U868" s="24">
        <f t="shared" si="3"/>
        <v>215.8604833</v>
      </c>
      <c r="V868" s="3">
        <f t="shared" si="28"/>
        <v>0</v>
      </c>
      <c r="W868" s="3">
        <f t="shared" si="29"/>
        <v>0</v>
      </c>
      <c r="X868" s="3">
        <f t="shared" si="30"/>
        <v>0</v>
      </c>
      <c r="Y868" s="25">
        <f t="shared" si="96"/>
        <v>0</v>
      </c>
      <c r="Z868" s="26">
        <f>VLOOKUP(R868,CPI!$A$2:$F$71,6,0)</f>
        <v>1.359035428</v>
      </c>
      <c r="AA868" s="27">
        <f t="shared" si="8"/>
        <v>7891.43899</v>
      </c>
      <c r="AB868" s="27">
        <f t="shared" si="9"/>
        <v>293.3620442</v>
      </c>
      <c r="AC868" s="26" t="s">
        <v>60</v>
      </c>
      <c r="AD868" s="251" t="s">
        <v>1749</v>
      </c>
      <c r="AE868" s="130"/>
      <c r="AF868" s="130"/>
      <c r="AG868" s="130"/>
      <c r="AH868" s="130"/>
    </row>
    <row r="869">
      <c r="A869" s="26" t="s">
        <v>1742</v>
      </c>
      <c r="B869" s="26" t="s">
        <v>1743</v>
      </c>
      <c r="C869" s="1" t="s">
        <v>1744</v>
      </c>
      <c r="D869" s="26" t="s">
        <v>1750</v>
      </c>
      <c r="E869" s="25">
        <v>2015.0</v>
      </c>
      <c r="F869" s="25">
        <v>2020.0</v>
      </c>
      <c r="G869" s="25">
        <v>0.0</v>
      </c>
      <c r="H869" s="25">
        <v>19.0</v>
      </c>
      <c r="I869" s="50">
        <v>0.0</v>
      </c>
      <c r="J869" s="25">
        <v>0.0</v>
      </c>
      <c r="K869" s="51">
        <v>0.0</v>
      </c>
      <c r="L869" s="51">
        <v>0.0</v>
      </c>
      <c r="M869" s="25">
        <v>16.0</v>
      </c>
      <c r="N869" s="25"/>
      <c r="O869" s="26" t="s">
        <v>60</v>
      </c>
      <c r="P869" s="52">
        <v>58862.0</v>
      </c>
      <c r="Q869" s="26" t="s">
        <v>1746</v>
      </c>
      <c r="R869" s="25">
        <v>2017.0</v>
      </c>
      <c r="S869" s="25">
        <v>0.081</v>
      </c>
      <c r="T869" s="25">
        <f t="shared" si="90"/>
        <v>4767.822</v>
      </c>
      <c r="U869" s="24">
        <f t="shared" si="3"/>
        <v>250.938</v>
      </c>
      <c r="V869" s="3">
        <f t="shared" si="28"/>
        <v>0</v>
      </c>
      <c r="W869" s="3">
        <f t="shared" si="29"/>
        <v>0</v>
      </c>
      <c r="X869" s="3">
        <f t="shared" si="30"/>
        <v>0</v>
      </c>
      <c r="Y869" s="25">
        <f t="shared" si="96"/>
        <v>0</v>
      </c>
      <c r="Z869" s="26">
        <f>VLOOKUP(R869,CPI!$A$2:$F$71,6,0)</f>
        <v>1.314109416</v>
      </c>
      <c r="AA869" s="27">
        <f t="shared" si="8"/>
        <v>6265.439783</v>
      </c>
      <c r="AB869" s="27">
        <f t="shared" si="9"/>
        <v>329.7599886</v>
      </c>
      <c r="AC869" s="26" t="s">
        <v>60</v>
      </c>
      <c r="AD869" s="53" t="s">
        <v>1747</v>
      </c>
      <c r="AE869" s="130"/>
      <c r="AF869" s="130"/>
      <c r="AG869" s="130"/>
      <c r="AH869" s="130"/>
    </row>
    <row r="870">
      <c r="A870" s="26" t="s">
        <v>1742</v>
      </c>
      <c r="B870" s="26" t="s">
        <v>1743</v>
      </c>
      <c r="C870" s="26" t="s">
        <v>1751</v>
      </c>
      <c r="D870" s="26" t="s">
        <v>1751</v>
      </c>
      <c r="E870" s="25">
        <v>2017.0</v>
      </c>
      <c r="F870" s="25">
        <v>2022.0</v>
      </c>
      <c r="G870" s="25">
        <v>0.0</v>
      </c>
      <c r="H870" s="25">
        <v>34.5</v>
      </c>
      <c r="I870" s="50">
        <v>0.0</v>
      </c>
      <c r="J870" s="25">
        <v>0.0</v>
      </c>
      <c r="K870" s="51">
        <v>0.0</v>
      </c>
      <c r="L870" s="51">
        <v>0.0</v>
      </c>
      <c r="M870" s="25">
        <v>30.0</v>
      </c>
      <c r="N870" s="25"/>
      <c r="O870" s="26" t="s">
        <v>60</v>
      </c>
      <c r="P870" s="52">
        <v>56725.0</v>
      </c>
      <c r="Q870" s="26" t="s">
        <v>1746</v>
      </c>
      <c r="R870" s="25">
        <v>2019.0</v>
      </c>
      <c r="S870" s="25">
        <v>0.081</v>
      </c>
      <c r="T870" s="25">
        <f t="shared" si="90"/>
        <v>4594.725</v>
      </c>
      <c r="U870" s="24">
        <f t="shared" si="3"/>
        <v>133.1804348</v>
      </c>
      <c r="V870" s="3">
        <f t="shared" si="28"/>
        <v>0</v>
      </c>
      <c r="W870" s="3">
        <f t="shared" si="29"/>
        <v>0</v>
      </c>
      <c r="X870" s="3">
        <f t="shared" si="30"/>
        <v>0</v>
      </c>
      <c r="Y870" s="25">
        <f t="shared" si="96"/>
        <v>0</v>
      </c>
      <c r="Z870" s="26">
        <f>VLOOKUP(R870,CPI!$A$2:$F$71,6,0)</f>
        <v>1.259947899</v>
      </c>
      <c r="AA870" s="27">
        <f t="shared" si="8"/>
        <v>5789.11411</v>
      </c>
      <c r="AB870" s="27">
        <f t="shared" si="9"/>
        <v>167.800409</v>
      </c>
      <c r="AC870" s="26" t="s">
        <v>60</v>
      </c>
      <c r="AD870" s="57" t="s">
        <v>1752</v>
      </c>
      <c r="AE870" s="130"/>
      <c r="AF870" s="130"/>
      <c r="AG870" s="130"/>
      <c r="AH870" s="130"/>
    </row>
    <row r="871">
      <c r="A871" s="26" t="s">
        <v>1742</v>
      </c>
      <c r="B871" s="26" t="s">
        <v>1743</v>
      </c>
      <c r="C871" s="26" t="s">
        <v>1729</v>
      </c>
      <c r="D871" s="26" t="s">
        <v>1729</v>
      </c>
      <c r="E871" s="25">
        <v>2017.0</v>
      </c>
      <c r="F871" s="25">
        <v>2022.0</v>
      </c>
      <c r="G871" s="25">
        <v>0.0</v>
      </c>
      <c r="H871" s="25">
        <v>30.4</v>
      </c>
      <c r="I871" s="50">
        <v>0.0</v>
      </c>
      <c r="J871" s="25">
        <v>0.0</v>
      </c>
      <c r="K871" s="51">
        <v>0.0</v>
      </c>
      <c r="L871" s="51">
        <v>0.0</v>
      </c>
      <c r="M871" s="25">
        <v>23.0</v>
      </c>
      <c r="N871" s="25"/>
      <c r="O871" s="26" t="s">
        <v>74</v>
      </c>
      <c r="P871" s="52">
        <v>54768.0</v>
      </c>
      <c r="Q871" s="26" t="s">
        <v>1746</v>
      </c>
      <c r="R871" s="25">
        <v>2019.0</v>
      </c>
      <c r="S871" s="25">
        <v>0.081</v>
      </c>
      <c r="T871" s="25">
        <f t="shared" si="90"/>
        <v>4436.208</v>
      </c>
      <c r="U871" s="24">
        <f t="shared" si="3"/>
        <v>145.9278947</v>
      </c>
      <c r="V871" s="3">
        <f t="shared" si="28"/>
        <v>0</v>
      </c>
      <c r="W871" s="3">
        <f t="shared" si="29"/>
        <v>0</v>
      </c>
      <c r="X871" s="3">
        <f t="shared" si="30"/>
        <v>0</v>
      </c>
      <c r="Y871" s="25">
        <f t="shared" si="96"/>
        <v>0</v>
      </c>
      <c r="Z871" s="26">
        <f>VLOOKUP(R871,CPI!$A$2:$F$71,6,0)</f>
        <v>1.259947899</v>
      </c>
      <c r="AA871" s="27">
        <f t="shared" si="8"/>
        <v>5589.390949</v>
      </c>
      <c r="AB871" s="27">
        <f t="shared" si="9"/>
        <v>183.8615444</v>
      </c>
      <c r="AC871" s="26" t="s">
        <v>60</v>
      </c>
      <c r="AD871" s="53" t="s">
        <v>1753</v>
      </c>
      <c r="AE871" s="130"/>
      <c r="AF871" s="130"/>
      <c r="AG871" s="130"/>
      <c r="AH871" s="130"/>
    </row>
    <row r="872">
      <c r="A872" s="26" t="s">
        <v>1742</v>
      </c>
      <c r="B872" s="26" t="s">
        <v>1743</v>
      </c>
      <c r="C872" s="26" t="s">
        <v>1536</v>
      </c>
      <c r="D872" s="26" t="s">
        <v>1536</v>
      </c>
      <c r="E872" s="25">
        <v>2017.0</v>
      </c>
      <c r="F872" s="25">
        <v>2025.0</v>
      </c>
      <c r="G872" s="25">
        <v>0.0</v>
      </c>
      <c r="H872" s="25">
        <v>35.9</v>
      </c>
      <c r="I872" s="50">
        <v>0.75</v>
      </c>
      <c r="J872" s="25">
        <v>27.0</v>
      </c>
      <c r="K872" s="51">
        <v>0.0</v>
      </c>
      <c r="L872" s="51">
        <v>0.0</v>
      </c>
      <c r="M872" s="25">
        <v>28.0</v>
      </c>
      <c r="N872" s="25"/>
      <c r="O872" s="26" t="s">
        <v>60</v>
      </c>
      <c r="P872" s="52">
        <v>235320.0</v>
      </c>
      <c r="Q872" s="26" t="s">
        <v>1746</v>
      </c>
      <c r="R872" s="25">
        <v>2021.0</v>
      </c>
      <c r="S872" s="25">
        <v>0.081</v>
      </c>
      <c r="T872" s="25">
        <f t="shared" si="90"/>
        <v>19060.92</v>
      </c>
      <c r="U872" s="24">
        <f t="shared" si="3"/>
        <v>530.9448468</v>
      </c>
      <c r="V872" s="3">
        <f t="shared" si="28"/>
        <v>0</v>
      </c>
      <c r="W872" s="3">
        <f t="shared" si="29"/>
        <v>0</v>
      </c>
      <c r="X872" s="3">
        <f t="shared" si="30"/>
        <v>0</v>
      </c>
      <c r="Y872" s="25">
        <f t="shared" si="96"/>
        <v>0</v>
      </c>
      <c r="Z872" s="26">
        <f>VLOOKUP(R872,CPI!$A$2:$F$71,6,0)</f>
        <v>1.188745987</v>
      </c>
      <c r="AA872" s="27">
        <f t="shared" si="8"/>
        <v>22658.59215</v>
      </c>
      <c r="AB872" s="27">
        <f t="shared" si="9"/>
        <v>631.1585558</v>
      </c>
      <c r="AC872" s="26" t="s">
        <v>60</v>
      </c>
      <c r="AD872" s="53" t="s">
        <v>1754</v>
      </c>
      <c r="AE872" s="130"/>
      <c r="AF872" s="130"/>
      <c r="AG872" s="130"/>
      <c r="AH872" s="130"/>
    </row>
    <row r="873">
      <c r="A873" s="26" t="s">
        <v>1742</v>
      </c>
      <c r="B873" s="26" t="s">
        <v>1743</v>
      </c>
      <c r="C873" s="26" t="s">
        <v>1755</v>
      </c>
      <c r="D873" s="26" t="s">
        <v>1755</v>
      </c>
      <c r="E873" s="25">
        <v>2020.0</v>
      </c>
      <c r="F873" s="26"/>
      <c r="G873" s="25">
        <v>0.0</v>
      </c>
      <c r="H873" s="25">
        <v>22.1</v>
      </c>
      <c r="I873" s="50">
        <v>0.0</v>
      </c>
      <c r="J873" s="25">
        <v>0.0</v>
      </c>
      <c r="K873" s="51">
        <v>0.0</v>
      </c>
      <c r="L873" s="51">
        <v>0.0</v>
      </c>
      <c r="M873" s="25">
        <v>18.0</v>
      </c>
      <c r="N873" s="25"/>
      <c r="O873" s="26" t="s">
        <v>60</v>
      </c>
      <c r="P873" s="52">
        <v>48386.0</v>
      </c>
      <c r="Q873" s="26" t="s">
        <v>1746</v>
      </c>
      <c r="R873" s="25">
        <v>2020.0</v>
      </c>
      <c r="S873" s="25">
        <v>0.081</v>
      </c>
      <c r="T873" s="25">
        <f t="shared" si="90"/>
        <v>3919.266</v>
      </c>
      <c r="U873" s="24">
        <f t="shared" si="3"/>
        <v>177.3423529</v>
      </c>
      <c r="V873" s="3">
        <f t="shared" si="28"/>
        <v>0</v>
      </c>
      <c r="W873" s="3">
        <f t="shared" si="29"/>
        <v>0</v>
      </c>
      <c r="X873" s="3">
        <f t="shared" si="30"/>
        <v>0</v>
      </c>
      <c r="Y873" s="25">
        <f t="shared" si="96"/>
        <v>0</v>
      </c>
      <c r="Z873" s="26">
        <f>VLOOKUP(R873,CPI!$A$2:$F$71,6,0)</f>
        <v>1.244593545</v>
      </c>
      <c r="AA873" s="27">
        <f t="shared" si="8"/>
        <v>4877.893165</v>
      </c>
      <c r="AB873" s="27">
        <f t="shared" si="9"/>
        <v>220.7191477</v>
      </c>
      <c r="AC873" s="26" t="s">
        <v>60</v>
      </c>
      <c r="AD873" s="53" t="s">
        <v>1756</v>
      </c>
      <c r="AE873" s="130"/>
      <c r="AF873" s="130"/>
      <c r="AG873" s="130"/>
      <c r="AH873" s="130"/>
    </row>
    <row r="874">
      <c r="A874" s="26" t="s">
        <v>1742</v>
      </c>
      <c r="B874" s="26" t="s">
        <v>1757</v>
      </c>
      <c r="C874" s="26" t="s">
        <v>40</v>
      </c>
      <c r="D874" s="26" t="s">
        <v>40</v>
      </c>
      <c r="E874" s="25">
        <v>2022.0</v>
      </c>
      <c r="F874" s="25">
        <v>2027.0</v>
      </c>
      <c r="G874" s="25">
        <v>0.0</v>
      </c>
      <c r="H874" s="25">
        <v>15.8</v>
      </c>
      <c r="I874" s="50">
        <v>0.46</v>
      </c>
      <c r="J874" s="25">
        <v>7.2</v>
      </c>
      <c r="K874" s="51">
        <v>0.0</v>
      </c>
      <c r="L874" s="51">
        <v>0.0</v>
      </c>
      <c r="M874" s="25">
        <v>12.0</v>
      </c>
      <c r="N874" s="25"/>
      <c r="O874" s="26" t="s">
        <v>59</v>
      </c>
      <c r="P874" s="52">
        <v>27000.0</v>
      </c>
      <c r="Q874" s="26" t="s">
        <v>1746</v>
      </c>
      <c r="R874" s="25">
        <v>2024.0</v>
      </c>
      <c r="S874" s="25">
        <v>0.081</v>
      </c>
      <c r="T874" s="25">
        <f t="shared" si="90"/>
        <v>2187</v>
      </c>
      <c r="U874" s="24">
        <f t="shared" si="3"/>
        <v>138.4177215</v>
      </c>
      <c r="V874" s="3">
        <f t="shared" si="28"/>
        <v>0</v>
      </c>
      <c r="W874" s="3">
        <f t="shared" si="29"/>
        <v>0</v>
      </c>
      <c r="X874" s="3">
        <f t="shared" si="30"/>
        <v>0</v>
      </c>
      <c r="Y874" s="25">
        <f t="shared" si="96"/>
        <v>0</v>
      </c>
      <c r="Z874" s="26">
        <f>VLOOKUP(R874,CPI!$A$2:$F$71,6,0)</f>
        <v>1</v>
      </c>
      <c r="AA874" s="27">
        <f t="shared" si="8"/>
        <v>2187</v>
      </c>
      <c r="AB874" s="27">
        <f t="shared" si="9"/>
        <v>138.4177215</v>
      </c>
      <c r="AC874" s="26" t="s">
        <v>42</v>
      </c>
      <c r="AD874" s="57" t="s">
        <v>1758</v>
      </c>
      <c r="AE874" s="130"/>
      <c r="AF874" s="130"/>
      <c r="AG874" s="130"/>
      <c r="AH874" s="130"/>
    </row>
    <row r="875">
      <c r="A875" s="26" t="s">
        <v>1759</v>
      </c>
      <c r="B875" s="26" t="s">
        <v>1760</v>
      </c>
      <c r="C875" s="26" t="s">
        <v>1761</v>
      </c>
      <c r="D875" s="26" t="s">
        <v>1761</v>
      </c>
      <c r="E875" s="25">
        <v>1996.0</v>
      </c>
      <c r="F875" s="25">
        <v>2010.0</v>
      </c>
      <c r="G875" s="25">
        <v>0.0</v>
      </c>
      <c r="H875" s="25">
        <v>13.9</v>
      </c>
      <c r="I875" s="50">
        <v>0.25</v>
      </c>
      <c r="J875" s="25">
        <v>3.5</v>
      </c>
      <c r="K875" s="51">
        <v>0.0</v>
      </c>
      <c r="L875" s="51">
        <v>0.0</v>
      </c>
      <c r="M875" s="25">
        <v>13.0</v>
      </c>
      <c r="N875" s="25"/>
      <c r="O875" s="26" t="s">
        <v>74</v>
      </c>
      <c r="P875" s="52">
        <v>534.0</v>
      </c>
      <c r="Q875" s="26" t="s">
        <v>37</v>
      </c>
      <c r="R875" s="25">
        <v>2006.0</v>
      </c>
      <c r="S875" s="25">
        <v>2.0</v>
      </c>
      <c r="T875" s="25">
        <f t="shared" si="90"/>
        <v>1068</v>
      </c>
      <c r="U875" s="24">
        <f t="shared" si="3"/>
        <v>76.83453237</v>
      </c>
      <c r="V875" s="3">
        <f t="shared" si="28"/>
        <v>1</v>
      </c>
      <c r="W875" s="3">
        <f t="shared" si="29"/>
        <v>13.9</v>
      </c>
      <c r="X875" s="3">
        <f t="shared" si="30"/>
        <v>3.5</v>
      </c>
      <c r="Y875" s="25">
        <f t="shared" si="96"/>
        <v>0</v>
      </c>
      <c r="Z875" s="26">
        <f>VLOOKUP(R875,CPI!$A$2:$F$71,6,0)</f>
        <v>1.597790179</v>
      </c>
      <c r="AA875" s="27">
        <f t="shared" si="8"/>
        <v>1706.439911</v>
      </c>
      <c r="AB875" s="27">
        <f t="shared" si="9"/>
        <v>122.7654612</v>
      </c>
      <c r="AC875" s="26" t="s">
        <v>42</v>
      </c>
      <c r="AD875" s="57" t="s">
        <v>1762</v>
      </c>
      <c r="AE875" s="130"/>
      <c r="AF875" s="130"/>
      <c r="AG875" s="130"/>
      <c r="AH875" s="130"/>
    </row>
    <row r="876">
      <c r="A876" s="6" t="s">
        <v>1759</v>
      </c>
      <c r="B876" s="6" t="s">
        <v>1763</v>
      </c>
      <c r="C876" s="6" t="s">
        <v>1764</v>
      </c>
      <c r="D876" s="6" t="s">
        <v>1764</v>
      </c>
      <c r="E876" s="6">
        <v>2003.0</v>
      </c>
      <c r="F876" s="6">
        <v>2017.0</v>
      </c>
      <c r="G876" s="6">
        <v>0.0</v>
      </c>
      <c r="H876" s="6">
        <v>9.22</v>
      </c>
      <c r="I876" s="345">
        <v>1.0</v>
      </c>
      <c r="J876" s="6">
        <v>9.22</v>
      </c>
      <c r="K876" s="346">
        <v>0.0</v>
      </c>
      <c r="L876" s="346">
        <v>0.0</v>
      </c>
      <c r="M876" s="6">
        <v>9.0</v>
      </c>
      <c r="N876" s="85"/>
      <c r="O876" s="36" t="s">
        <v>60</v>
      </c>
      <c r="P876" s="347">
        <v>1000.0</v>
      </c>
      <c r="Q876" s="6" t="s">
        <v>1765</v>
      </c>
      <c r="R876" s="6">
        <v>2010.0</v>
      </c>
      <c r="S876" s="6">
        <v>1.1</v>
      </c>
      <c r="T876" s="6">
        <f t="shared" si="90"/>
        <v>1100</v>
      </c>
      <c r="U876" s="24">
        <f t="shared" si="3"/>
        <v>119.3058568</v>
      </c>
      <c r="V876" s="3">
        <f t="shared" si="28"/>
        <v>1</v>
      </c>
      <c r="W876" s="3">
        <f t="shared" si="29"/>
        <v>9.22</v>
      </c>
      <c r="X876" s="3">
        <f t="shared" si="30"/>
        <v>9.22</v>
      </c>
      <c r="Y876" s="25">
        <f t="shared" si="96"/>
        <v>0</v>
      </c>
      <c r="Z876" s="26">
        <f>VLOOKUP(R876,CPI!$A$2:$F$71,6,0)</f>
        <v>1.477209983</v>
      </c>
      <c r="AA876" s="27">
        <f t="shared" si="8"/>
        <v>1624.930981</v>
      </c>
      <c r="AB876" s="27">
        <f t="shared" si="9"/>
        <v>176.2398027</v>
      </c>
      <c r="AC876" s="36" t="s">
        <v>42</v>
      </c>
      <c r="AD876" s="182" t="s">
        <v>1766</v>
      </c>
      <c r="AE876" s="130"/>
      <c r="AF876" s="130"/>
      <c r="AG876" s="130"/>
      <c r="AH876" s="130"/>
    </row>
    <row r="877">
      <c r="A877" s="6" t="s">
        <v>1759</v>
      </c>
      <c r="B877" s="6" t="s">
        <v>1767</v>
      </c>
      <c r="C877" s="6" t="s">
        <v>1768</v>
      </c>
      <c r="D877" s="6" t="s">
        <v>1768</v>
      </c>
      <c r="E877" s="6">
        <v>1997.0</v>
      </c>
      <c r="F877" s="6">
        <v>2014.0</v>
      </c>
      <c r="G877" s="6">
        <v>0.0</v>
      </c>
      <c r="H877" s="6">
        <v>39.0</v>
      </c>
      <c r="I877" s="345">
        <v>0.1603</v>
      </c>
      <c r="J877" s="6">
        <v>6.25</v>
      </c>
      <c r="K877" s="346">
        <v>0.0</v>
      </c>
      <c r="L877" s="346">
        <v>0.0</v>
      </c>
      <c r="M877" s="6">
        <v>38.0</v>
      </c>
      <c r="N877" s="85"/>
      <c r="O877" s="36" t="s">
        <v>42</v>
      </c>
      <c r="P877" s="347">
        <v>425.0</v>
      </c>
      <c r="Q877" s="6" t="s">
        <v>52</v>
      </c>
      <c r="R877" s="6">
        <v>2006.0</v>
      </c>
      <c r="S877" s="6">
        <v>2.1</v>
      </c>
      <c r="T877" s="6">
        <f t="shared" si="90"/>
        <v>892.5</v>
      </c>
      <c r="U877" s="24">
        <f t="shared" si="3"/>
        <v>22.88461538</v>
      </c>
      <c r="V877" s="3">
        <f t="shared" si="28"/>
        <v>1</v>
      </c>
      <c r="W877" s="3">
        <f t="shared" si="29"/>
        <v>39</v>
      </c>
      <c r="X877" s="3">
        <f t="shared" si="30"/>
        <v>6.25</v>
      </c>
      <c r="Y877" s="25">
        <f t="shared" si="96"/>
        <v>0</v>
      </c>
      <c r="Z877" s="26">
        <f>VLOOKUP(R877,CPI!$A$2:$F$71,6,0)</f>
        <v>1.597790179</v>
      </c>
      <c r="AA877" s="27">
        <f t="shared" si="8"/>
        <v>1426.027734</v>
      </c>
      <c r="AB877" s="27">
        <f t="shared" si="9"/>
        <v>36.5648137</v>
      </c>
      <c r="AC877" s="36" t="s">
        <v>42</v>
      </c>
      <c r="AD877" s="348" t="s">
        <v>1769</v>
      </c>
      <c r="AE877" s="130"/>
      <c r="AF877" s="130"/>
      <c r="AG877" s="130"/>
      <c r="AH877" s="130"/>
    </row>
    <row r="878">
      <c r="A878" s="221" t="s">
        <v>1759</v>
      </c>
      <c r="B878" s="221" t="s">
        <v>1770</v>
      </c>
      <c r="C878" s="36" t="s">
        <v>1764</v>
      </c>
      <c r="D878" s="221" t="s">
        <v>1771</v>
      </c>
      <c r="E878" s="227">
        <v>2005.0</v>
      </c>
      <c r="F878" s="227">
        <v>2012.0</v>
      </c>
      <c r="G878" s="227">
        <v>0.0</v>
      </c>
      <c r="H878" s="227">
        <v>21.7</v>
      </c>
      <c r="I878" s="228">
        <v>1.0</v>
      </c>
      <c r="J878" s="227">
        <v>21.7</v>
      </c>
      <c r="K878" s="229">
        <v>0.0</v>
      </c>
      <c r="L878" s="229">
        <v>0.0</v>
      </c>
      <c r="M878" s="227">
        <v>16.0</v>
      </c>
      <c r="N878" s="349">
        <v>180.0</v>
      </c>
      <c r="O878" s="221" t="s">
        <v>60</v>
      </c>
      <c r="P878" s="350">
        <v>1299.0</v>
      </c>
      <c r="Q878" s="221" t="s">
        <v>37</v>
      </c>
      <c r="R878" s="227">
        <v>2009.0</v>
      </c>
      <c r="S878" s="227">
        <v>1.7</v>
      </c>
      <c r="T878" s="227">
        <f t="shared" si="90"/>
        <v>2208.3</v>
      </c>
      <c r="U878" s="24">
        <f t="shared" si="3"/>
        <v>101.764977</v>
      </c>
      <c r="V878" s="3">
        <f t="shared" si="28"/>
        <v>1</v>
      </c>
      <c r="W878" s="3">
        <f t="shared" si="29"/>
        <v>21.7</v>
      </c>
      <c r="X878" s="3">
        <f t="shared" si="30"/>
        <v>21.7</v>
      </c>
      <c r="Y878" s="25">
        <f t="shared" si="96"/>
        <v>0</v>
      </c>
      <c r="Z878" s="26">
        <f>VLOOKUP(R878,CPI!$A$2:$F$71,6,0)</f>
        <v>1.501440311</v>
      </c>
      <c r="AA878" s="27">
        <f t="shared" si="8"/>
        <v>3315.630639</v>
      </c>
      <c r="AB878" s="27">
        <f t="shared" si="9"/>
        <v>152.7940387</v>
      </c>
      <c r="AC878" s="221" t="s">
        <v>42</v>
      </c>
      <c r="AD878" s="351" t="s">
        <v>1772</v>
      </c>
      <c r="AE878" s="301"/>
      <c r="AF878" s="130"/>
      <c r="AG878" s="130"/>
      <c r="AH878" s="130"/>
    </row>
    <row r="879">
      <c r="A879" s="221" t="s">
        <v>1759</v>
      </c>
      <c r="B879" s="221" t="s">
        <v>1770</v>
      </c>
      <c r="C879" s="352" t="s">
        <v>1773</v>
      </c>
      <c r="D879" s="221" t="s">
        <v>1774</v>
      </c>
      <c r="E879" s="227">
        <v>2004.0</v>
      </c>
      <c r="F879" s="227">
        <v>2013.0</v>
      </c>
      <c r="G879" s="227">
        <v>1.0</v>
      </c>
      <c r="H879" s="227">
        <v>13.6</v>
      </c>
      <c r="I879" s="228">
        <v>1.0</v>
      </c>
      <c r="J879" s="227">
        <v>13.6</v>
      </c>
      <c r="K879" s="349">
        <v>0.0</v>
      </c>
      <c r="L879" s="349">
        <v>0.0</v>
      </c>
      <c r="M879" s="77">
        <v>4.0</v>
      </c>
      <c r="N879" s="349">
        <v>225.0</v>
      </c>
      <c r="O879" s="221" t="s">
        <v>60</v>
      </c>
      <c r="P879" s="353">
        <v>1823.0</v>
      </c>
      <c r="Q879" s="221" t="s">
        <v>37</v>
      </c>
      <c r="R879" s="227">
        <v>2009.0</v>
      </c>
      <c r="S879" s="227">
        <v>1.7</v>
      </c>
      <c r="T879" s="227">
        <f t="shared" si="90"/>
        <v>3099.1</v>
      </c>
      <c r="U879" s="24">
        <f t="shared" si="3"/>
        <v>227.875</v>
      </c>
      <c r="V879" s="3">
        <f t="shared" si="28"/>
        <v>1</v>
      </c>
      <c r="W879" s="3">
        <f t="shared" si="29"/>
        <v>13.6</v>
      </c>
      <c r="X879" s="3">
        <f t="shared" si="30"/>
        <v>13.6</v>
      </c>
      <c r="Y879" s="25">
        <f t="shared" si="96"/>
        <v>0</v>
      </c>
      <c r="Z879" s="26">
        <f>VLOOKUP(R879,CPI!$A$2:$F$71,6,0)</f>
        <v>1.501440311</v>
      </c>
      <c r="AA879" s="27">
        <f t="shared" si="8"/>
        <v>4653.113668</v>
      </c>
      <c r="AB879" s="27">
        <f t="shared" si="9"/>
        <v>342.1407109</v>
      </c>
      <c r="AC879" s="221" t="s">
        <v>60</v>
      </c>
      <c r="AD879" s="72"/>
      <c r="AE879" s="130"/>
      <c r="AF879" s="130"/>
      <c r="AG879" s="130"/>
      <c r="AH879" s="130"/>
    </row>
    <row r="880">
      <c r="A880" s="221" t="s">
        <v>1759</v>
      </c>
      <c r="B880" s="221" t="s">
        <v>1770</v>
      </c>
      <c r="C880" s="36" t="s">
        <v>856</v>
      </c>
      <c r="D880" s="221" t="s">
        <v>1775</v>
      </c>
      <c r="E880" s="227">
        <v>2006.0</v>
      </c>
      <c r="F880" s="227">
        <v>2013.0</v>
      </c>
      <c r="G880" s="227">
        <v>0.0</v>
      </c>
      <c r="H880" s="227">
        <v>16.1</v>
      </c>
      <c r="I880" s="228">
        <v>1.0</v>
      </c>
      <c r="J880" s="227">
        <v>15.9</v>
      </c>
      <c r="K880" s="229">
        <v>0.0</v>
      </c>
      <c r="L880" s="229">
        <v>0.0</v>
      </c>
      <c r="M880" s="227">
        <v>11.0</v>
      </c>
      <c r="N880" s="349">
        <v>180.0</v>
      </c>
      <c r="O880" s="221" t="s">
        <v>42</v>
      </c>
      <c r="P880" s="353">
        <v>1344.0</v>
      </c>
      <c r="Q880" s="221" t="s">
        <v>37</v>
      </c>
      <c r="R880" s="227">
        <v>2010.0</v>
      </c>
      <c r="S880" s="227">
        <v>1.6</v>
      </c>
      <c r="T880" s="227">
        <f t="shared" si="90"/>
        <v>2150.4</v>
      </c>
      <c r="U880" s="24">
        <f t="shared" si="3"/>
        <v>133.5652174</v>
      </c>
      <c r="V880" s="3">
        <f t="shared" si="28"/>
        <v>1</v>
      </c>
      <c r="W880" s="3">
        <f t="shared" si="29"/>
        <v>16.1</v>
      </c>
      <c r="X880" s="3">
        <f t="shared" si="30"/>
        <v>15.9</v>
      </c>
      <c r="Y880" s="25">
        <f t="shared" si="96"/>
        <v>0</v>
      </c>
      <c r="Z880" s="26">
        <f>VLOOKUP(R880,CPI!$A$2:$F$71,6,0)</f>
        <v>1.477209983</v>
      </c>
      <c r="AA880" s="27">
        <f t="shared" si="8"/>
        <v>3176.592347</v>
      </c>
      <c r="AB880" s="27">
        <f t="shared" si="9"/>
        <v>197.3038725</v>
      </c>
      <c r="AC880" s="221" t="s">
        <v>42</v>
      </c>
      <c r="AD880" s="354" t="s">
        <v>1776</v>
      </c>
      <c r="AE880" s="130"/>
      <c r="AF880" s="130"/>
      <c r="AG880" s="130"/>
      <c r="AH880" s="130"/>
    </row>
    <row r="881">
      <c r="A881" s="123" t="s">
        <v>1759</v>
      </c>
      <c r="B881" s="123" t="s">
        <v>1770</v>
      </c>
      <c r="C881" s="36" t="s">
        <v>866</v>
      </c>
      <c r="D881" s="123" t="s">
        <v>1777</v>
      </c>
      <c r="E881" s="75">
        <v>1987.0</v>
      </c>
      <c r="F881" s="75">
        <v>2014.0</v>
      </c>
      <c r="G881" s="75">
        <v>0.0</v>
      </c>
      <c r="H881" s="75">
        <v>26.6</v>
      </c>
      <c r="I881" s="124">
        <f t="shared" ref="I881:I883" si="98">J881/H881</f>
        <v>0.3646616541</v>
      </c>
      <c r="J881" s="75">
        <v>9.7</v>
      </c>
      <c r="K881" s="125">
        <v>0.0</v>
      </c>
      <c r="L881" s="125">
        <v>0.0</v>
      </c>
      <c r="M881" s="75">
        <v>23.0</v>
      </c>
      <c r="N881" s="152" t="s">
        <v>1778</v>
      </c>
      <c r="O881" s="123" t="s">
        <v>60</v>
      </c>
      <c r="P881" s="157">
        <v>882.0</v>
      </c>
      <c r="Q881" s="123" t="s">
        <v>37</v>
      </c>
      <c r="R881" s="75">
        <v>2000.0</v>
      </c>
      <c r="S881" s="75">
        <v>2.2</v>
      </c>
      <c r="T881" s="75">
        <f t="shared" si="90"/>
        <v>1940.4</v>
      </c>
      <c r="U881" s="24">
        <f t="shared" si="3"/>
        <v>72.94736842</v>
      </c>
      <c r="V881" s="3">
        <f t="shared" si="28"/>
        <v>1</v>
      </c>
      <c r="W881" s="3">
        <f t="shared" si="29"/>
        <v>26.6</v>
      </c>
      <c r="X881" s="3">
        <f t="shared" si="30"/>
        <v>9.7</v>
      </c>
      <c r="Y881" s="25">
        <f t="shared" si="96"/>
        <v>0</v>
      </c>
      <c r="Z881" s="26">
        <f>VLOOKUP(R881,CPI!$A$2:$F$71,6,0)</f>
        <v>1.870583624</v>
      </c>
      <c r="AA881" s="27">
        <f t="shared" si="8"/>
        <v>3629.680463</v>
      </c>
      <c r="AB881" s="27">
        <f t="shared" si="9"/>
        <v>136.4541528</v>
      </c>
      <c r="AC881" s="26" t="s">
        <v>60</v>
      </c>
      <c r="AD881" s="235"/>
      <c r="AE881" s="130"/>
      <c r="AF881" s="130"/>
      <c r="AG881" s="130"/>
      <c r="AH881" s="130"/>
    </row>
    <row r="882">
      <c r="A882" s="34" t="s">
        <v>1759</v>
      </c>
      <c r="B882" s="221" t="s">
        <v>1770</v>
      </c>
      <c r="C882" s="221" t="s">
        <v>864</v>
      </c>
      <c r="D882" s="221" t="s">
        <v>864</v>
      </c>
      <c r="E882" s="227">
        <v>1992.0</v>
      </c>
      <c r="F882" s="227">
        <v>2014.0</v>
      </c>
      <c r="G882" s="227">
        <v>0.0</v>
      </c>
      <c r="H882" s="227">
        <v>23.5</v>
      </c>
      <c r="I882" s="228">
        <f t="shared" si="98"/>
        <v>0.914893617</v>
      </c>
      <c r="J882" s="227">
        <v>21.5</v>
      </c>
      <c r="K882" s="229">
        <v>0.0</v>
      </c>
      <c r="L882" s="229">
        <v>0.0</v>
      </c>
      <c r="M882" s="227">
        <v>17.0</v>
      </c>
      <c r="N882" s="349">
        <v>180.0</v>
      </c>
      <c r="O882" s="221" t="s">
        <v>60</v>
      </c>
      <c r="P882" s="353">
        <v>2510.0</v>
      </c>
      <c r="Q882" s="221" t="s">
        <v>37</v>
      </c>
      <c r="R882" s="227">
        <v>2003.0</v>
      </c>
      <c r="S882" s="227">
        <v>2.0</v>
      </c>
      <c r="T882" s="227">
        <f t="shared" si="90"/>
        <v>5020</v>
      </c>
      <c r="U882" s="24">
        <f t="shared" si="3"/>
        <v>213.6170213</v>
      </c>
      <c r="V882" s="3">
        <f t="shared" si="28"/>
        <v>1</v>
      </c>
      <c r="W882" s="3">
        <f t="shared" si="29"/>
        <v>23.5</v>
      </c>
      <c r="X882" s="3">
        <f t="shared" si="30"/>
        <v>21.5</v>
      </c>
      <c r="Y882" s="25">
        <f t="shared" si="96"/>
        <v>0</v>
      </c>
      <c r="Z882" s="26">
        <f>VLOOKUP(R882,CPI!$A$2:$F$71,6,0)</f>
        <v>1.750622283</v>
      </c>
      <c r="AA882" s="27">
        <f t="shared" si="8"/>
        <v>8788.123859</v>
      </c>
      <c r="AB882" s="27">
        <f t="shared" si="9"/>
        <v>373.9627174</v>
      </c>
      <c r="AC882" s="355" t="s">
        <v>60</v>
      </c>
      <c r="AD882" s="356" t="s">
        <v>2092</v>
      </c>
      <c r="AE882" s="130"/>
      <c r="AF882" s="130"/>
      <c r="AG882" s="130"/>
      <c r="AH882" s="130"/>
    </row>
    <row r="883">
      <c r="A883" s="123" t="s">
        <v>1759</v>
      </c>
      <c r="B883" s="123" t="s">
        <v>1770</v>
      </c>
      <c r="C883" s="123" t="s">
        <v>1780</v>
      </c>
      <c r="D883" s="123" t="s">
        <v>1780</v>
      </c>
      <c r="E883" s="75">
        <v>2013.0</v>
      </c>
      <c r="F883" s="75">
        <v>2015.0</v>
      </c>
      <c r="G883" s="75">
        <v>0.0</v>
      </c>
      <c r="H883" s="75">
        <v>3.3</v>
      </c>
      <c r="I883" s="124">
        <f t="shared" si="98"/>
        <v>1</v>
      </c>
      <c r="J883" s="75">
        <v>3.3</v>
      </c>
      <c r="K883" s="125">
        <v>0.0</v>
      </c>
      <c r="L883" s="125">
        <v>0.0</v>
      </c>
      <c r="M883" s="75">
        <v>4.0</v>
      </c>
      <c r="N883" s="152">
        <v>90.0</v>
      </c>
      <c r="O883" s="123" t="s">
        <v>60</v>
      </c>
      <c r="P883" s="157">
        <v>124.6</v>
      </c>
      <c r="Q883" s="123" t="s">
        <v>37</v>
      </c>
      <c r="R883" s="75">
        <v>2014.0</v>
      </c>
      <c r="S883" s="75">
        <v>2.0</v>
      </c>
      <c r="T883" s="75">
        <f t="shared" si="90"/>
        <v>249.2</v>
      </c>
      <c r="U883" s="24">
        <f t="shared" si="3"/>
        <v>75.51515152</v>
      </c>
      <c r="V883" s="3">
        <f t="shared" si="28"/>
        <v>1</v>
      </c>
      <c r="W883" s="3">
        <f t="shared" si="29"/>
        <v>3.3</v>
      </c>
      <c r="X883" s="3">
        <f t="shared" si="30"/>
        <v>3.3</v>
      </c>
      <c r="Y883" s="25">
        <f t="shared" si="96"/>
        <v>0</v>
      </c>
      <c r="Z883" s="26">
        <f>VLOOKUP(R883,CPI!$A$2:$F$71,6,0)</f>
        <v>1.360648571</v>
      </c>
      <c r="AA883" s="27">
        <f t="shared" si="8"/>
        <v>339.0736238</v>
      </c>
      <c r="AB883" s="27">
        <f t="shared" si="9"/>
        <v>102.749583</v>
      </c>
      <c r="AC883" s="26" t="s">
        <v>60</v>
      </c>
      <c r="AD883" s="354" t="s">
        <v>1781</v>
      </c>
      <c r="AE883" s="130"/>
      <c r="AF883" s="130"/>
      <c r="AG883" s="130"/>
      <c r="AH883" s="130"/>
    </row>
    <row r="884">
      <c r="A884" s="221" t="s">
        <v>1759</v>
      </c>
      <c r="B884" s="221" t="s">
        <v>1770</v>
      </c>
      <c r="C884" s="36" t="s">
        <v>1764</v>
      </c>
      <c r="D884" s="221" t="s">
        <v>1782</v>
      </c>
      <c r="E884" s="227">
        <v>2013.0</v>
      </c>
      <c r="F884" s="227">
        <v>2016.0</v>
      </c>
      <c r="G884" s="227">
        <v>0.0</v>
      </c>
      <c r="H884" s="227">
        <v>4.4</v>
      </c>
      <c r="I884" s="228">
        <v>1.0</v>
      </c>
      <c r="J884" s="227">
        <v>4.4</v>
      </c>
      <c r="K884" s="229">
        <v>0.0</v>
      </c>
      <c r="L884" s="229">
        <v>0.0</v>
      </c>
      <c r="M884" s="227">
        <v>3.0</v>
      </c>
      <c r="N884" s="349">
        <v>180.0</v>
      </c>
      <c r="O884" s="221" t="s">
        <v>42</v>
      </c>
      <c r="P884" s="353">
        <v>151.0</v>
      </c>
      <c r="Q884" s="221" t="s">
        <v>37</v>
      </c>
      <c r="R884" s="227">
        <v>2015.0</v>
      </c>
      <c r="S884" s="227">
        <v>2.3</v>
      </c>
      <c r="T884" s="227">
        <f t="shared" si="90"/>
        <v>347.3</v>
      </c>
      <c r="U884" s="24">
        <f t="shared" si="3"/>
        <v>78.93181818</v>
      </c>
      <c r="V884" s="3">
        <f t="shared" si="28"/>
        <v>1</v>
      </c>
      <c r="W884" s="3">
        <f t="shared" si="29"/>
        <v>4.4</v>
      </c>
      <c r="X884" s="3">
        <f t="shared" si="30"/>
        <v>4.4</v>
      </c>
      <c r="Y884" s="25">
        <f t="shared" si="96"/>
        <v>0</v>
      </c>
      <c r="Z884" s="26">
        <f>VLOOKUP(R884,CPI!$A$2:$F$71,6,0)</f>
        <v>1.359035428</v>
      </c>
      <c r="AA884" s="27">
        <f t="shared" si="8"/>
        <v>471.9930041</v>
      </c>
      <c r="AB884" s="27">
        <f t="shared" si="9"/>
        <v>107.2711373</v>
      </c>
      <c r="AC884" s="221" t="s">
        <v>42</v>
      </c>
      <c r="AD884" s="354" t="s">
        <v>1772</v>
      </c>
      <c r="AE884" s="130"/>
      <c r="AF884" s="130"/>
      <c r="AG884" s="130"/>
      <c r="AH884" s="130"/>
    </row>
    <row r="885">
      <c r="A885" s="221" t="s">
        <v>1759</v>
      </c>
      <c r="B885" s="221" t="s">
        <v>1770</v>
      </c>
      <c r="C885" s="36" t="s">
        <v>1364</v>
      </c>
      <c r="D885" s="221" t="s">
        <v>1783</v>
      </c>
      <c r="E885" s="227">
        <v>2011.0</v>
      </c>
      <c r="F885" s="227">
        <v>2018.0</v>
      </c>
      <c r="G885" s="227">
        <v>0.0</v>
      </c>
      <c r="H885" s="227">
        <v>19.7</v>
      </c>
      <c r="I885" s="228">
        <v>1.0</v>
      </c>
      <c r="J885" s="227">
        <v>19.7</v>
      </c>
      <c r="K885" s="229">
        <v>0.0</v>
      </c>
      <c r="L885" s="229">
        <v>0.0</v>
      </c>
      <c r="M885" s="227">
        <v>16.0</v>
      </c>
      <c r="N885" s="349">
        <v>140.0</v>
      </c>
      <c r="O885" s="221" t="s">
        <v>60</v>
      </c>
      <c r="P885" s="353">
        <v>866.0</v>
      </c>
      <c r="Q885" s="221" t="s">
        <v>37</v>
      </c>
      <c r="R885" s="227">
        <v>2015.0</v>
      </c>
      <c r="S885" s="227">
        <v>2.3</v>
      </c>
      <c r="T885" s="227">
        <f t="shared" si="90"/>
        <v>1991.8</v>
      </c>
      <c r="U885" s="24">
        <f t="shared" si="3"/>
        <v>101.106599</v>
      </c>
      <c r="V885" s="3">
        <f t="shared" si="28"/>
        <v>1</v>
      </c>
      <c r="W885" s="3">
        <f t="shared" si="29"/>
        <v>19.7</v>
      </c>
      <c r="X885" s="3">
        <f t="shared" si="30"/>
        <v>19.7</v>
      </c>
      <c r="Y885" s="25">
        <f t="shared" si="96"/>
        <v>0</v>
      </c>
      <c r="Z885" s="26">
        <f>VLOOKUP(R885,CPI!$A$2:$F$71,6,0)</f>
        <v>1.359035428</v>
      </c>
      <c r="AA885" s="27">
        <f t="shared" si="8"/>
        <v>2706.926765</v>
      </c>
      <c r="AB885" s="27">
        <f t="shared" si="9"/>
        <v>137.40745</v>
      </c>
      <c r="AC885" s="221" t="s">
        <v>42</v>
      </c>
      <c r="AD885" s="351" t="s">
        <v>1784</v>
      </c>
      <c r="AE885" s="301"/>
      <c r="AF885" s="130"/>
      <c r="AG885" s="130"/>
      <c r="AH885" s="130"/>
    </row>
    <row r="886">
      <c r="A886" s="221" t="s">
        <v>1759</v>
      </c>
      <c r="B886" s="221" t="s">
        <v>1770</v>
      </c>
      <c r="C886" s="352" t="s">
        <v>1773</v>
      </c>
      <c r="D886" s="221" t="s">
        <v>1785</v>
      </c>
      <c r="E886" s="227">
        <v>2011.0</v>
      </c>
      <c r="F886" s="227">
        <v>2019.0</v>
      </c>
      <c r="G886" s="227">
        <v>1.0</v>
      </c>
      <c r="H886" s="227">
        <v>63.0</v>
      </c>
      <c r="I886" s="228">
        <v>0.0</v>
      </c>
      <c r="J886" s="227">
        <v>0.0</v>
      </c>
      <c r="K886" s="229">
        <v>0.0</v>
      </c>
      <c r="L886" s="229">
        <v>0.0</v>
      </c>
      <c r="M886" s="227">
        <v>36.0</v>
      </c>
      <c r="N886" s="349">
        <v>225.0</v>
      </c>
      <c r="O886" s="221" t="s">
        <v>60</v>
      </c>
      <c r="P886" s="353">
        <v>1298.0</v>
      </c>
      <c r="Q886" s="221" t="s">
        <v>37</v>
      </c>
      <c r="R886" s="227">
        <v>2015.0</v>
      </c>
      <c r="S886" s="227">
        <v>2.3</v>
      </c>
      <c r="T886" s="227">
        <f t="shared" si="90"/>
        <v>2985.4</v>
      </c>
      <c r="U886" s="24">
        <f t="shared" si="3"/>
        <v>47.38730159</v>
      </c>
      <c r="V886" s="3">
        <f t="shared" si="28"/>
        <v>1</v>
      </c>
      <c r="W886" s="3">
        <f t="shared" si="29"/>
        <v>63</v>
      </c>
      <c r="X886" s="3">
        <f t="shared" si="30"/>
        <v>0</v>
      </c>
      <c r="Y886" s="25">
        <f t="shared" si="96"/>
        <v>0</v>
      </c>
      <c r="Z886" s="26">
        <f>VLOOKUP(R886,CPI!$A$2:$F$71,6,0)</f>
        <v>1.359035428</v>
      </c>
      <c r="AA886" s="27">
        <f t="shared" si="8"/>
        <v>4057.264366</v>
      </c>
      <c r="AB886" s="27">
        <f t="shared" si="9"/>
        <v>64.40102169</v>
      </c>
      <c r="AC886" s="221" t="s">
        <v>36</v>
      </c>
      <c r="AD886" s="351" t="s">
        <v>1786</v>
      </c>
      <c r="AE886" s="301"/>
      <c r="AF886" s="130"/>
      <c r="AG886" s="130"/>
      <c r="AH886" s="130"/>
    </row>
    <row r="887">
      <c r="A887" s="221" t="s">
        <v>1759</v>
      </c>
      <c r="B887" s="221" t="s">
        <v>1770</v>
      </c>
      <c r="C887" s="36" t="s">
        <v>1764</v>
      </c>
      <c r="D887" s="221" t="s">
        <v>1787</v>
      </c>
      <c r="E887" s="227">
        <v>2015.0</v>
      </c>
      <c r="F887" s="349">
        <v>2022.0</v>
      </c>
      <c r="G887" s="227">
        <v>0.0</v>
      </c>
      <c r="H887" s="227">
        <v>7.5</v>
      </c>
      <c r="I887" s="228">
        <v>1.0</v>
      </c>
      <c r="J887" s="227">
        <v>7.5</v>
      </c>
      <c r="K887" s="229">
        <v>0.0</v>
      </c>
      <c r="L887" s="229">
        <v>0.0</v>
      </c>
      <c r="M887" s="227">
        <v>4.0</v>
      </c>
      <c r="N887" s="349">
        <v>180.0</v>
      </c>
      <c r="O887" s="221" t="s">
        <v>60</v>
      </c>
      <c r="P887" s="353">
        <v>170.0</v>
      </c>
      <c r="Q887" s="221" t="s">
        <v>52</v>
      </c>
      <c r="R887" s="227">
        <v>2018.0</v>
      </c>
      <c r="S887" s="349">
        <v>3.0</v>
      </c>
      <c r="T887" s="25">
        <f t="shared" si="90"/>
        <v>510</v>
      </c>
      <c r="U887" s="24">
        <f t="shared" si="3"/>
        <v>68</v>
      </c>
      <c r="V887" s="3">
        <f t="shared" si="28"/>
        <v>1</v>
      </c>
      <c r="W887" s="3">
        <f t="shared" si="29"/>
        <v>7.5</v>
      </c>
      <c r="X887" s="3">
        <f t="shared" si="30"/>
        <v>7.5</v>
      </c>
      <c r="Y887" s="25">
        <f t="shared" si="96"/>
        <v>0</v>
      </c>
      <c r="Z887" s="26">
        <f>VLOOKUP(R887,CPI!$A$2:$F$71,6,0)</f>
        <v>1.28277786</v>
      </c>
      <c r="AA887" s="27">
        <f t="shared" si="8"/>
        <v>654.2167084</v>
      </c>
      <c r="AB887" s="27">
        <f t="shared" si="9"/>
        <v>87.22889446</v>
      </c>
      <c r="AC887" s="26" t="s">
        <v>60</v>
      </c>
      <c r="AD887" s="354" t="s">
        <v>1788</v>
      </c>
      <c r="AE887" s="130"/>
      <c r="AF887" s="130"/>
      <c r="AG887" s="130"/>
      <c r="AH887" s="130"/>
    </row>
    <row r="888">
      <c r="A888" s="221" t="s">
        <v>1759</v>
      </c>
      <c r="B888" s="221" t="s">
        <v>1770</v>
      </c>
      <c r="C888" s="36" t="s">
        <v>846</v>
      </c>
      <c r="D888" s="221" t="s">
        <v>847</v>
      </c>
      <c r="E888" s="227">
        <v>2016.0</v>
      </c>
      <c r="F888" s="349">
        <v>2022.0</v>
      </c>
      <c r="G888" s="227">
        <v>0.0</v>
      </c>
      <c r="H888" s="227">
        <v>37.5</v>
      </c>
      <c r="I888" s="228">
        <v>1.0</v>
      </c>
      <c r="J888" s="227">
        <v>37.5</v>
      </c>
      <c r="K888" s="229">
        <v>0.0</v>
      </c>
      <c r="L888" s="229">
        <v>0.0</v>
      </c>
      <c r="M888" s="227">
        <v>9.0</v>
      </c>
      <c r="N888" s="349">
        <v>180.0</v>
      </c>
      <c r="O888" s="221" t="s">
        <v>60</v>
      </c>
      <c r="P888" s="353">
        <v>1130.0</v>
      </c>
      <c r="Q888" s="221" t="s">
        <v>37</v>
      </c>
      <c r="R888" s="227">
        <v>2019.0</v>
      </c>
      <c r="S888" s="349">
        <v>3.0</v>
      </c>
      <c r="T888" s="25">
        <f t="shared" si="90"/>
        <v>3390</v>
      </c>
      <c r="U888" s="24">
        <f t="shared" si="3"/>
        <v>90.4</v>
      </c>
      <c r="V888" s="3">
        <f t="shared" si="28"/>
        <v>1</v>
      </c>
      <c r="W888" s="3">
        <f t="shared" si="29"/>
        <v>37.5</v>
      </c>
      <c r="X888" s="3">
        <f t="shared" si="30"/>
        <v>37.5</v>
      </c>
      <c r="Y888" s="25">
        <f t="shared" si="96"/>
        <v>0</v>
      </c>
      <c r="Z888" s="26">
        <f>VLOOKUP(R888,CPI!$A$2:$F$71,6,0)</f>
        <v>1.259947899</v>
      </c>
      <c r="AA888" s="27">
        <f t="shared" si="8"/>
        <v>4271.223377</v>
      </c>
      <c r="AB888" s="27">
        <f t="shared" si="9"/>
        <v>113.8992901</v>
      </c>
      <c r="AC888" s="26" t="s">
        <v>42</v>
      </c>
      <c r="AD888" s="354" t="s">
        <v>1789</v>
      </c>
      <c r="AE888" s="130"/>
      <c r="AF888" s="130"/>
      <c r="AG888" s="130"/>
      <c r="AH888" s="130"/>
    </row>
    <row r="889">
      <c r="A889" s="221" t="s">
        <v>1759</v>
      </c>
      <c r="B889" s="221" t="s">
        <v>1770</v>
      </c>
      <c r="C889" s="221" t="s">
        <v>838</v>
      </c>
      <c r="D889" s="221" t="s">
        <v>838</v>
      </c>
      <c r="E889" s="227">
        <v>2016.0</v>
      </c>
      <c r="F889" s="349">
        <v>2022.0</v>
      </c>
      <c r="G889" s="227">
        <v>0.0</v>
      </c>
      <c r="H889" s="227">
        <v>14.3</v>
      </c>
      <c r="I889" s="228">
        <v>1.0</v>
      </c>
      <c r="J889" s="227">
        <v>14.3</v>
      </c>
      <c r="K889" s="229">
        <v>0.0</v>
      </c>
      <c r="L889" s="229">
        <v>0.0</v>
      </c>
      <c r="M889" s="227">
        <v>11.0</v>
      </c>
      <c r="N889" s="349">
        <v>100.0</v>
      </c>
      <c r="O889" s="221" t="s">
        <v>60</v>
      </c>
      <c r="P889" s="353">
        <v>635.0</v>
      </c>
      <c r="Q889" s="221" t="s">
        <v>37</v>
      </c>
      <c r="R889" s="227">
        <v>2019.0</v>
      </c>
      <c r="S889" s="349">
        <v>3.0</v>
      </c>
      <c r="T889" s="25">
        <f t="shared" si="90"/>
        <v>1905</v>
      </c>
      <c r="U889" s="24">
        <f t="shared" si="3"/>
        <v>133.2167832</v>
      </c>
      <c r="V889" s="3">
        <f t="shared" si="28"/>
        <v>1</v>
      </c>
      <c r="W889" s="3">
        <f t="shared" si="29"/>
        <v>14.3</v>
      </c>
      <c r="X889" s="3">
        <f t="shared" si="30"/>
        <v>14.3</v>
      </c>
      <c r="Y889" s="25">
        <f t="shared" si="96"/>
        <v>0</v>
      </c>
      <c r="Z889" s="26">
        <f>VLOOKUP(R889,CPI!$A$2:$F$71,6,0)</f>
        <v>1.259947899</v>
      </c>
      <c r="AA889" s="27">
        <f t="shared" si="8"/>
        <v>2400.200747</v>
      </c>
      <c r="AB889" s="27">
        <f t="shared" si="9"/>
        <v>167.8462061</v>
      </c>
      <c r="AC889" s="26" t="s">
        <v>60</v>
      </c>
      <c r="AD889" s="354" t="s">
        <v>1790</v>
      </c>
      <c r="AE889" s="130"/>
      <c r="AF889" s="130"/>
      <c r="AG889" s="130"/>
      <c r="AH889" s="130"/>
    </row>
    <row r="890">
      <c r="A890" s="123" t="s">
        <v>1759</v>
      </c>
      <c r="B890" s="123" t="s">
        <v>1770</v>
      </c>
      <c r="C890" s="36" t="s">
        <v>856</v>
      </c>
      <c r="D890" s="123" t="s">
        <v>1791</v>
      </c>
      <c r="E890" s="75">
        <v>2017.0</v>
      </c>
      <c r="F890" s="75">
        <v>2022.0</v>
      </c>
      <c r="G890" s="75">
        <v>0.0</v>
      </c>
      <c r="H890" s="75">
        <v>6.2</v>
      </c>
      <c r="I890" s="124">
        <f>J890/H890</f>
        <v>1</v>
      </c>
      <c r="J890" s="75">
        <v>6.2</v>
      </c>
      <c r="K890" s="125">
        <v>0.0</v>
      </c>
      <c r="L890" s="125">
        <v>0.0</v>
      </c>
      <c r="M890" s="75">
        <v>4.0</v>
      </c>
      <c r="N890" s="349">
        <v>180.0</v>
      </c>
      <c r="O890" s="123" t="s">
        <v>60</v>
      </c>
      <c r="P890" s="157">
        <v>205.9</v>
      </c>
      <c r="Q890" s="123" t="s">
        <v>37</v>
      </c>
      <c r="R890" s="75">
        <v>2020.0</v>
      </c>
      <c r="S890" s="152">
        <v>3.3</v>
      </c>
      <c r="T890" s="75">
        <f t="shared" si="90"/>
        <v>679.47</v>
      </c>
      <c r="U890" s="24">
        <f t="shared" si="3"/>
        <v>109.5919355</v>
      </c>
      <c r="V890" s="3">
        <f t="shared" si="28"/>
        <v>1</v>
      </c>
      <c r="W890" s="3">
        <f t="shared" si="29"/>
        <v>6.2</v>
      </c>
      <c r="X890" s="3">
        <f t="shared" si="30"/>
        <v>6.2</v>
      </c>
      <c r="Y890" s="25">
        <f t="shared" si="96"/>
        <v>0</v>
      </c>
      <c r="Z890" s="26">
        <f>VLOOKUP(R890,CPI!$A$2:$F$71,6,0)</f>
        <v>1.244593545</v>
      </c>
      <c r="AA890" s="27">
        <f t="shared" si="8"/>
        <v>845.6639761</v>
      </c>
      <c r="AB890" s="27">
        <f t="shared" si="9"/>
        <v>136.3974155</v>
      </c>
      <c r="AC890" s="26" t="s">
        <v>60</v>
      </c>
      <c r="AD890" s="354" t="s">
        <v>1792</v>
      </c>
      <c r="AE890" s="130"/>
      <c r="AF890" s="130"/>
      <c r="AG890" s="130"/>
      <c r="AH890" s="130"/>
    </row>
    <row r="891">
      <c r="A891" s="221" t="s">
        <v>1759</v>
      </c>
      <c r="B891" s="221" t="s">
        <v>1770</v>
      </c>
      <c r="C891" s="36" t="s">
        <v>846</v>
      </c>
      <c r="D891" s="221" t="s">
        <v>1793</v>
      </c>
      <c r="E891" s="349">
        <v>2018.0</v>
      </c>
      <c r="F891" s="227">
        <v>2022.0</v>
      </c>
      <c r="G891" s="227">
        <v>0.0</v>
      </c>
      <c r="H891" s="227">
        <v>32.0</v>
      </c>
      <c r="I891" s="228">
        <v>1.0</v>
      </c>
      <c r="J891" s="227">
        <v>32.0</v>
      </c>
      <c r="K891" s="229">
        <v>0.0</v>
      </c>
      <c r="L891" s="229">
        <v>0.0</v>
      </c>
      <c r="M891" s="227">
        <v>7.0</v>
      </c>
      <c r="N891" s="349">
        <v>180.0</v>
      </c>
      <c r="O891" s="221" t="s">
        <v>60</v>
      </c>
      <c r="P891" s="353">
        <v>916.0</v>
      </c>
      <c r="Q891" s="221" t="s">
        <v>37</v>
      </c>
      <c r="R891" s="227">
        <v>2020.0</v>
      </c>
      <c r="S891" s="349">
        <v>3.3</v>
      </c>
      <c r="T891" s="227">
        <f t="shared" si="90"/>
        <v>3022.8</v>
      </c>
      <c r="U891" s="24">
        <f t="shared" si="3"/>
        <v>94.4625</v>
      </c>
      <c r="V891" s="3">
        <f t="shared" si="28"/>
        <v>1</v>
      </c>
      <c r="W891" s="3">
        <f t="shared" si="29"/>
        <v>32</v>
      </c>
      <c r="X891" s="3">
        <f t="shared" si="30"/>
        <v>32</v>
      </c>
      <c r="Y891" s="25">
        <f t="shared" si="96"/>
        <v>0</v>
      </c>
      <c r="Z891" s="26">
        <f>VLOOKUP(R891,CPI!$A$2:$F$71,6,0)</f>
        <v>1.244593545</v>
      </c>
      <c r="AA891" s="27">
        <f t="shared" si="8"/>
        <v>3762.157368</v>
      </c>
      <c r="AB891" s="27">
        <f t="shared" si="9"/>
        <v>117.5674178</v>
      </c>
      <c r="AC891" s="26" t="s">
        <v>36</v>
      </c>
      <c r="AD891" s="354" t="s">
        <v>1794</v>
      </c>
      <c r="AE891" s="130"/>
      <c r="AF891" s="130"/>
      <c r="AG891" s="130"/>
      <c r="AH891" s="130"/>
    </row>
    <row r="892">
      <c r="A892" s="221" t="s">
        <v>1759</v>
      </c>
      <c r="B892" s="221" t="s">
        <v>1770</v>
      </c>
      <c r="C892" s="36" t="s">
        <v>856</v>
      </c>
      <c r="D892" s="221" t="s">
        <v>857</v>
      </c>
      <c r="E892" s="227">
        <v>2015.0</v>
      </c>
      <c r="F892" s="227">
        <v>2023.0</v>
      </c>
      <c r="G892" s="227">
        <v>0.0</v>
      </c>
      <c r="H892" s="349">
        <v>8.9</v>
      </c>
      <c r="I892" s="228">
        <v>1.0</v>
      </c>
      <c r="J892" s="227">
        <v>8.4</v>
      </c>
      <c r="K892" s="229">
        <v>0.0</v>
      </c>
      <c r="L892" s="229">
        <v>0.0</v>
      </c>
      <c r="M892" s="349">
        <v>8.0</v>
      </c>
      <c r="N892" s="349">
        <v>180.0</v>
      </c>
      <c r="O892" s="221" t="s">
        <v>60</v>
      </c>
      <c r="P892" s="353">
        <v>333.0</v>
      </c>
      <c r="Q892" s="221" t="s">
        <v>37</v>
      </c>
      <c r="R892" s="227">
        <v>2019.0</v>
      </c>
      <c r="S892" s="349">
        <v>3.0</v>
      </c>
      <c r="T892" s="25">
        <f t="shared" si="90"/>
        <v>999</v>
      </c>
      <c r="U892" s="24">
        <f t="shared" si="3"/>
        <v>112.247191</v>
      </c>
      <c r="V892" s="3">
        <f t="shared" si="28"/>
        <v>1</v>
      </c>
      <c r="W892" s="3">
        <f t="shared" si="29"/>
        <v>8.9</v>
      </c>
      <c r="X892" s="3">
        <f t="shared" si="30"/>
        <v>8.4</v>
      </c>
      <c r="Y892" s="25">
        <f t="shared" si="96"/>
        <v>0</v>
      </c>
      <c r="Z892" s="26">
        <f>VLOOKUP(R892,CPI!$A$2:$F$71,6,0)</f>
        <v>1.259947899</v>
      </c>
      <c r="AA892" s="27">
        <f t="shared" si="8"/>
        <v>1258.687951</v>
      </c>
      <c r="AB892" s="27">
        <f t="shared" si="9"/>
        <v>141.4256125</v>
      </c>
      <c r="AC892" s="26" t="s">
        <v>60</v>
      </c>
      <c r="AD892" s="354" t="s">
        <v>1790</v>
      </c>
      <c r="AE892" s="130"/>
      <c r="AF892" s="130"/>
      <c r="AG892" s="130"/>
      <c r="AH892" s="130"/>
    </row>
    <row r="893">
      <c r="A893" s="123" t="s">
        <v>1759</v>
      </c>
      <c r="B893" s="123" t="s">
        <v>1770</v>
      </c>
      <c r="C893" s="123" t="s">
        <v>1795</v>
      </c>
      <c r="D893" s="123" t="s">
        <v>1795</v>
      </c>
      <c r="E893" s="75">
        <v>2016.0</v>
      </c>
      <c r="F893" s="152">
        <v>2023.0</v>
      </c>
      <c r="G893" s="75">
        <v>0.0</v>
      </c>
      <c r="H893" s="152">
        <v>13.4</v>
      </c>
      <c r="I893" s="124">
        <f>J893/H893</f>
        <v>1</v>
      </c>
      <c r="J893" s="152">
        <v>13.4</v>
      </c>
      <c r="K893" s="125">
        <v>0.0</v>
      </c>
      <c r="L893" s="125">
        <v>0.0</v>
      </c>
      <c r="M893" s="75">
        <v>12.0</v>
      </c>
      <c r="N893" s="152">
        <v>90.0</v>
      </c>
      <c r="O893" s="123" t="s">
        <v>60</v>
      </c>
      <c r="P893" s="157">
        <v>386.7</v>
      </c>
      <c r="Q893" s="123" t="s">
        <v>37</v>
      </c>
      <c r="R893" s="75">
        <v>2020.0</v>
      </c>
      <c r="S893" s="152">
        <v>3.3</v>
      </c>
      <c r="T893" s="75">
        <f t="shared" si="90"/>
        <v>1276.11</v>
      </c>
      <c r="U893" s="24">
        <f t="shared" si="3"/>
        <v>95.23208955</v>
      </c>
      <c r="V893" s="3">
        <f t="shared" si="28"/>
        <v>1</v>
      </c>
      <c r="W893" s="3">
        <f t="shared" si="29"/>
        <v>13.4</v>
      </c>
      <c r="X893" s="3">
        <f t="shared" si="30"/>
        <v>13.4</v>
      </c>
      <c r="Y893" s="25">
        <f t="shared" si="96"/>
        <v>0</v>
      </c>
      <c r="Z893" s="26">
        <f>VLOOKUP(R893,CPI!$A$2:$F$71,6,0)</f>
        <v>1.244593545</v>
      </c>
      <c r="AA893" s="27">
        <f t="shared" si="8"/>
        <v>1588.238269</v>
      </c>
      <c r="AB893" s="27">
        <f t="shared" si="9"/>
        <v>118.5252439</v>
      </c>
      <c r="AC893" s="26" t="s">
        <v>60</v>
      </c>
      <c r="AD893" s="354" t="s">
        <v>1796</v>
      </c>
      <c r="AE893" s="130"/>
      <c r="AF893" s="130"/>
      <c r="AG893" s="130"/>
      <c r="AH893" s="130"/>
    </row>
    <row r="894">
      <c r="A894" s="221" t="s">
        <v>1759</v>
      </c>
      <c r="B894" s="221" t="s">
        <v>1770</v>
      </c>
      <c r="C894" s="36" t="s">
        <v>1797</v>
      </c>
      <c r="D894" s="221" t="s">
        <v>1798</v>
      </c>
      <c r="E894" s="227">
        <v>2017.0</v>
      </c>
      <c r="F894" s="349">
        <v>2023.0</v>
      </c>
      <c r="G894" s="227">
        <v>0.0</v>
      </c>
      <c r="H894" s="227">
        <v>13.0</v>
      </c>
      <c r="I894" s="228">
        <v>1.0</v>
      </c>
      <c r="J894" s="227">
        <v>13.0</v>
      </c>
      <c r="K894" s="229">
        <v>0.0</v>
      </c>
      <c r="L894" s="229">
        <v>0.0</v>
      </c>
      <c r="M894" s="349">
        <v>11.0</v>
      </c>
      <c r="N894" s="349">
        <v>100.0</v>
      </c>
      <c r="O894" s="221" t="s">
        <v>60</v>
      </c>
      <c r="P894" s="350">
        <v>698.0</v>
      </c>
      <c r="Q894" s="221" t="s">
        <v>37</v>
      </c>
      <c r="R894" s="227">
        <v>2020.0</v>
      </c>
      <c r="S894" s="349">
        <v>3.3</v>
      </c>
      <c r="T894" s="25">
        <f t="shared" si="90"/>
        <v>2303.4</v>
      </c>
      <c r="U894" s="24">
        <f t="shared" si="3"/>
        <v>177.1846154</v>
      </c>
      <c r="V894" s="3">
        <f t="shared" si="28"/>
        <v>1</v>
      </c>
      <c r="W894" s="3">
        <f t="shared" si="29"/>
        <v>13</v>
      </c>
      <c r="X894" s="3">
        <f t="shared" si="30"/>
        <v>13</v>
      </c>
      <c r="Y894" s="25">
        <f t="shared" si="96"/>
        <v>0</v>
      </c>
      <c r="Z894" s="26">
        <f>VLOOKUP(R894,CPI!$A$2:$F$71,6,0)</f>
        <v>1.244593545</v>
      </c>
      <c r="AA894" s="27">
        <f t="shared" si="8"/>
        <v>2866.796772</v>
      </c>
      <c r="AB894" s="27">
        <f t="shared" si="9"/>
        <v>220.5228286</v>
      </c>
      <c r="AC894" s="26" t="s">
        <v>60</v>
      </c>
      <c r="AD894" s="354" t="s">
        <v>1790</v>
      </c>
      <c r="AE894" s="130"/>
      <c r="AF894" s="130"/>
      <c r="AG894" s="130"/>
      <c r="AH894" s="130"/>
    </row>
    <row r="895">
      <c r="A895" s="221" t="s">
        <v>1759</v>
      </c>
      <c r="B895" s="221" t="s">
        <v>1770</v>
      </c>
      <c r="C895" s="36" t="s">
        <v>849</v>
      </c>
      <c r="D895" s="221" t="s">
        <v>1799</v>
      </c>
      <c r="E895" s="227">
        <v>2014.0</v>
      </c>
      <c r="F895" s="349">
        <v>2024.0</v>
      </c>
      <c r="G895" s="227">
        <v>0.0</v>
      </c>
      <c r="H895" s="227">
        <v>23.75</v>
      </c>
      <c r="I895" s="228">
        <v>0.9621</v>
      </c>
      <c r="J895" s="227">
        <v>22.85</v>
      </c>
      <c r="K895" s="229">
        <v>0.0</v>
      </c>
      <c r="L895" s="229">
        <v>0.0</v>
      </c>
      <c r="M895" s="227">
        <v>19.0</v>
      </c>
      <c r="N895" s="349">
        <v>180.0</v>
      </c>
      <c r="O895" s="221" t="s">
        <v>60</v>
      </c>
      <c r="P895" s="353">
        <v>896.0</v>
      </c>
      <c r="Q895" s="221" t="s">
        <v>37</v>
      </c>
      <c r="R895" s="349">
        <v>2019.0</v>
      </c>
      <c r="S895" s="227">
        <v>3.0</v>
      </c>
      <c r="T895" s="227">
        <f t="shared" si="90"/>
        <v>2688</v>
      </c>
      <c r="U895" s="24">
        <f t="shared" si="3"/>
        <v>113.1789474</v>
      </c>
      <c r="V895" s="3">
        <f t="shared" si="28"/>
        <v>1</v>
      </c>
      <c r="W895" s="3">
        <f t="shared" si="29"/>
        <v>23.75</v>
      </c>
      <c r="X895" s="3">
        <f t="shared" si="30"/>
        <v>22.85</v>
      </c>
      <c r="Y895" s="25">
        <f t="shared" si="96"/>
        <v>0</v>
      </c>
      <c r="Z895" s="26">
        <f>VLOOKUP(R895,CPI!$A$2:$F$71,6,0)</f>
        <v>1.259947899</v>
      </c>
      <c r="AA895" s="27">
        <f t="shared" si="8"/>
        <v>3386.739952</v>
      </c>
      <c r="AB895" s="27">
        <f t="shared" si="9"/>
        <v>142.5995769</v>
      </c>
      <c r="AC895" s="221" t="s">
        <v>42</v>
      </c>
      <c r="AD895" s="354" t="s">
        <v>1800</v>
      </c>
      <c r="AE895" s="130"/>
      <c r="AF895" s="130"/>
      <c r="AG895" s="130"/>
      <c r="AH895" s="130"/>
    </row>
    <row r="896">
      <c r="A896" s="123" t="s">
        <v>1759</v>
      </c>
      <c r="B896" s="123" t="s">
        <v>1770</v>
      </c>
      <c r="C896" s="123" t="s">
        <v>1801</v>
      </c>
      <c r="D896" s="123" t="s">
        <v>1801</v>
      </c>
      <c r="E896" s="152">
        <v>2017.0</v>
      </c>
      <c r="F896" s="152">
        <v>2024.0</v>
      </c>
      <c r="G896" s="75">
        <v>0.0</v>
      </c>
      <c r="H896" s="75">
        <v>14.0</v>
      </c>
      <c r="I896" s="124">
        <v>1.0</v>
      </c>
      <c r="J896" s="152">
        <v>14.0</v>
      </c>
      <c r="K896" s="75">
        <v>0.0</v>
      </c>
      <c r="L896" s="75">
        <v>0.0</v>
      </c>
      <c r="M896" s="75">
        <v>8.0</v>
      </c>
      <c r="N896" s="152">
        <v>180.0</v>
      </c>
      <c r="O896" s="142" t="s">
        <v>60</v>
      </c>
      <c r="P896" s="157">
        <v>344.0</v>
      </c>
      <c r="Q896" s="123" t="s">
        <v>37</v>
      </c>
      <c r="R896" s="75">
        <v>2020.0</v>
      </c>
      <c r="S896" s="152">
        <v>3.3</v>
      </c>
      <c r="T896" s="75">
        <f t="shared" si="90"/>
        <v>1135.2</v>
      </c>
      <c r="U896" s="24">
        <f t="shared" si="3"/>
        <v>81.08571429</v>
      </c>
      <c r="V896" s="3">
        <f t="shared" si="28"/>
        <v>1</v>
      </c>
      <c r="W896" s="3">
        <f t="shared" si="29"/>
        <v>14</v>
      </c>
      <c r="X896" s="3">
        <f t="shared" si="30"/>
        <v>14</v>
      </c>
      <c r="Y896" s="25">
        <f t="shared" si="96"/>
        <v>0</v>
      </c>
      <c r="Z896" s="26">
        <f>VLOOKUP(R896,CPI!$A$2:$F$71,6,0)</f>
        <v>1.244593545</v>
      </c>
      <c r="AA896" s="27">
        <f t="shared" si="8"/>
        <v>1412.862592</v>
      </c>
      <c r="AB896" s="27">
        <f t="shared" si="9"/>
        <v>100.9187566</v>
      </c>
      <c r="AC896" s="26" t="s">
        <v>42</v>
      </c>
      <c r="AD896" s="351" t="s">
        <v>1790</v>
      </c>
      <c r="AE896" s="320"/>
      <c r="AF896" s="7"/>
      <c r="AG896" s="7"/>
      <c r="AH896" s="7"/>
    </row>
    <row r="897">
      <c r="A897" s="237" t="s">
        <v>1759</v>
      </c>
      <c r="B897" s="357" t="s">
        <v>1770</v>
      </c>
      <c r="C897" s="357" t="s">
        <v>843</v>
      </c>
      <c r="D897" s="357" t="s">
        <v>1802</v>
      </c>
      <c r="E897" s="358">
        <v>2022.0</v>
      </c>
      <c r="F897" s="358">
        <v>2026.0</v>
      </c>
      <c r="G897" s="358">
        <v>0.0</v>
      </c>
      <c r="H897" s="358">
        <v>3.9</v>
      </c>
      <c r="I897" s="359">
        <v>1.0</v>
      </c>
      <c r="J897" s="358">
        <v>3.9</v>
      </c>
      <c r="K897" s="358">
        <v>0.0</v>
      </c>
      <c r="L897" s="358">
        <v>0.0</v>
      </c>
      <c r="M897" s="358">
        <v>2.0</v>
      </c>
      <c r="N897" s="358">
        <v>180.0</v>
      </c>
      <c r="O897" s="357" t="s">
        <v>60</v>
      </c>
      <c r="P897" s="360">
        <v>2897.0</v>
      </c>
      <c r="Q897" s="357" t="s">
        <v>1765</v>
      </c>
      <c r="R897" s="358">
        <v>2024.0</v>
      </c>
      <c r="S897" s="358">
        <v>0.27</v>
      </c>
      <c r="T897" s="118">
        <f t="shared" si="90"/>
        <v>782.19</v>
      </c>
      <c r="U897" s="24">
        <f t="shared" si="3"/>
        <v>200.5615385</v>
      </c>
      <c r="V897" s="3">
        <f t="shared" si="28"/>
        <v>1</v>
      </c>
      <c r="W897" s="3">
        <f t="shared" si="29"/>
        <v>3.9</v>
      </c>
      <c r="X897" s="3">
        <f t="shared" si="30"/>
        <v>3.9</v>
      </c>
      <c r="Y897" s="25">
        <f t="shared" si="96"/>
        <v>0</v>
      </c>
      <c r="Z897" s="26">
        <f>VLOOKUP(R897,CPI!$A$2:$F$71,6,0)</f>
        <v>1</v>
      </c>
      <c r="AA897" s="27">
        <f t="shared" si="8"/>
        <v>782.19</v>
      </c>
      <c r="AB897" s="27">
        <f t="shared" si="9"/>
        <v>200.5615385</v>
      </c>
      <c r="AC897" s="115" t="s">
        <v>74</v>
      </c>
      <c r="AD897" s="361"/>
      <c r="AE897" s="208"/>
      <c r="AF897" s="255"/>
      <c r="AG897" s="206"/>
      <c r="AH897" s="206"/>
    </row>
    <row r="898">
      <c r="A898" s="221" t="s">
        <v>1759</v>
      </c>
      <c r="B898" s="221" t="s">
        <v>1770</v>
      </c>
      <c r="C898" s="36" t="s">
        <v>1364</v>
      </c>
      <c r="D898" s="221" t="s">
        <v>1803</v>
      </c>
      <c r="E898" s="227">
        <v>2016.0</v>
      </c>
      <c r="F898" s="349">
        <v>2027.0</v>
      </c>
      <c r="G898" s="227">
        <v>0.0</v>
      </c>
      <c r="H898" s="227">
        <v>17.8</v>
      </c>
      <c r="I898" s="228">
        <v>1.0</v>
      </c>
      <c r="J898" s="227">
        <v>17.8</v>
      </c>
      <c r="K898" s="229">
        <v>0.0</v>
      </c>
      <c r="L898" s="229">
        <v>0.0</v>
      </c>
      <c r="M898" s="349">
        <v>13.0</v>
      </c>
      <c r="N898" s="349">
        <v>140.0</v>
      </c>
      <c r="O898" s="221" t="s">
        <v>60</v>
      </c>
      <c r="P898" s="353">
        <v>657.0</v>
      </c>
      <c r="Q898" s="221" t="s">
        <v>37</v>
      </c>
      <c r="R898" s="227">
        <v>2019.0</v>
      </c>
      <c r="S898" s="349">
        <v>3.0</v>
      </c>
      <c r="T898" s="25">
        <f t="shared" si="90"/>
        <v>1971</v>
      </c>
      <c r="U898" s="24">
        <f t="shared" si="3"/>
        <v>110.7303371</v>
      </c>
      <c r="V898" s="3">
        <f t="shared" si="28"/>
        <v>1</v>
      </c>
      <c r="W898" s="3">
        <f t="shared" si="29"/>
        <v>17.8</v>
      </c>
      <c r="X898" s="3">
        <f t="shared" si="30"/>
        <v>17.8</v>
      </c>
      <c r="Y898" s="25">
        <f t="shared" si="96"/>
        <v>0</v>
      </c>
      <c r="Z898" s="26">
        <f>VLOOKUP(R898,CPI!$A$2:$F$71,6,0)</f>
        <v>1.259947899</v>
      </c>
      <c r="AA898" s="27">
        <f t="shared" si="8"/>
        <v>2483.357309</v>
      </c>
      <c r="AB898" s="27">
        <f t="shared" si="9"/>
        <v>139.5144556</v>
      </c>
      <c r="AC898" s="26" t="s">
        <v>60</v>
      </c>
      <c r="AD898" s="354" t="s">
        <v>1790</v>
      </c>
      <c r="AE898" s="130"/>
      <c r="AF898" s="130"/>
      <c r="AG898" s="130"/>
      <c r="AH898" s="130"/>
    </row>
    <row r="899">
      <c r="A899" s="123" t="s">
        <v>1759</v>
      </c>
      <c r="B899" s="123" t="s">
        <v>1770</v>
      </c>
      <c r="C899" s="36" t="s">
        <v>866</v>
      </c>
      <c r="D899" s="123" t="s">
        <v>1804</v>
      </c>
      <c r="E899" s="152">
        <v>2017.0</v>
      </c>
      <c r="F899" s="152">
        <v>2027.0</v>
      </c>
      <c r="G899" s="75">
        <v>0.0</v>
      </c>
      <c r="H899" s="75">
        <v>9.7</v>
      </c>
      <c r="I899" s="244">
        <v>0.95</v>
      </c>
      <c r="J899" s="152">
        <v>9.3</v>
      </c>
      <c r="K899" s="75">
        <v>0.0</v>
      </c>
      <c r="L899" s="75">
        <v>0.0</v>
      </c>
      <c r="M899" s="152">
        <v>10.0</v>
      </c>
      <c r="N899" s="152">
        <v>125.0</v>
      </c>
      <c r="O899" s="142" t="s">
        <v>60</v>
      </c>
      <c r="P899" s="245">
        <v>786.0</v>
      </c>
      <c r="Q899" s="123" t="s">
        <v>37</v>
      </c>
      <c r="R899" s="75">
        <v>2020.0</v>
      </c>
      <c r="S899" s="152">
        <v>3.3</v>
      </c>
      <c r="T899" s="75">
        <f t="shared" si="90"/>
        <v>2593.8</v>
      </c>
      <c r="U899" s="24">
        <f t="shared" si="3"/>
        <v>267.4020619</v>
      </c>
      <c r="V899" s="3">
        <f t="shared" si="28"/>
        <v>1</v>
      </c>
      <c r="W899" s="3">
        <f t="shared" si="29"/>
        <v>9.7</v>
      </c>
      <c r="X899" s="3">
        <f t="shared" si="30"/>
        <v>9.3</v>
      </c>
      <c r="Y899" s="25">
        <f t="shared" si="96"/>
        <v>0</v>
      </c>
      <c r="Z899" s="26">
        <f>VLOOKUP(R899,CPI!$A$2:$F$71,6,0)</f>
        <v>1.244593545</v>
      </c>
      <c r="AA899" s="27">
        <f t="shared" si="8"/>
        <v>3228.226737</v>
      </c>
      <c r="AB899" s="27">
        <f t="shared" si="9"/>
        <v>332.8068801</v>
      </c>
      <c r="AC899" s="26" t="s">
        <v>42</v>
      </c>
      <c r="AD899" s="354" t="s">
        <v>1790</v>
      </c>
      <c r="AE899" s="7"/>
      <c r="AF899" s="7"/>
      <c r="AG899" s="7"/>
      <c r="AH899" s="7"/>
    </row>
    <row r="900">
      <c r="A900" s="123" t="s">
        <v>1759</v>
      </c>
      <c r="B900" s="123" t="s">
        <v>1770</v>
      </c>
      <c r="C900" s="36" t="s">
        <v>849</v>
      </c>
      <c r="D900" s="123" t="s">
        <v>1805</v>
      </c>
      <c r="E900" s="75">
        <v>2017.0</v>
      </c>
      <c r="F900" s="152">
        <v>2027.0</v>
      </c>
      <c r="G900" s="75">
        <v>0.0</v>
      </c>
      <c r="H900" s="75">
        <v>18.5</v>
      </c>
      <c r="I900" s="124">
        <f>J900/H900</f>
        <v>0.972972973</v>
      </c>
      <c r="J900" s="75">
        <v>18.0</v>
      </c>
      <c r="K900" s="125">
        <v>0.0</v>
      </c>
      <c r="L900" s="125">
        <v>0.0</v>
      </c>
      <c r="M900" s="75">
        <v>11.0</v>
      </c>
      <c r="N900" s="152">
        <v>180.0</v>
      </c>
      <c r="O900" s="123" t="s">
        <v>60</v>
      </c>
      <c r="P900" s="157">
        <v>896.3</v>
      </c>
      <c r="Q900" s="123" t="s">
        <v>37</v>
      </c>
      <c r="R900" s="75">
        <v>2020.0</v>
      </c>
      <c r="S900" s="152">
        <v>3.3</v>
      </c>
      <c r="T900" s="75">
        <f t="shared" si="90"/>
        <v>2957.79</v>
      </c>
      <c r="U900" s="24">
        <f t="shared" si="3"/>
        <v>159.8805405</v>
      </c>
      <c r="V900" s="3">
        <f t="shared" si="28"/>
        <v>1</v>
      </c>
      <c r="W900" s="3">
        <f t="shared" si="29"/>
        <v>18.5</v>
      </c>
      <c r="X900" s="3">
        <f t="shared" si="30"/>
        <v>18</v>
      </c>
      <c r="Y900" s="25">
        <f t="shared" si="96"/>
        <v>0</v>
      </c>
      <c r="Z900" s="26">
        <f>VLOOKUP(R900,CPI!$A$2:$F$71,6,0)</f>
        <v>1.244593545</v>
      </c>
      <c r="AA900" s="27">
        <f t="shared" si="8"/>
        <v>3681.246342</v>
      </c>
      <c r="AB900" s="27">
        <f t="shared" si="9"/>
        <v>198.9862887</v>
      </c>
      <c r="AC900" s="26" t="s">
        <v>60</v>
      </c>
      <c r="AD900" s="354" t="s">
        <v>1796</v>
      </c>
      <c r="AE900" s="130"/>
      <c r="AF900" s="130"/>
      <c r="AG900" s="130"/>
      <c r="AH900" s="130"/>
    </row>
    <row r="901">
      <c r="A901" s="6" t="s">
        <v>1759</v>
      </c>
      <c r="B901" s="362" t="s">
        <v>1806</v>
      </c>
      <c r="C901" s="36" t="s">
        <v>866</v>
      </c>
      <c r="D901" s="6" t="s">
        <v>1807</v>
      </c>
      <c r="E901" s="6">
        <v>1995.0</v>
      </c>
      <c r="F901" s="6">
        <v>2000.0</v>
      </c>
      <c r="G901" s="6">
        <v>0.0</v>
      </c>
      <c r="H901" s="6">
        <v>11.6</v>
      </c>
      <c r="I901" s="345">
        <v>0.2931</v>
      </c>
      <c r="J901" s="6">
        <v>3.4</v>
      </c>
      <c r="K901" s="346">
        <v>0.0</v>
      </c>
      <c r="L901" s="346">
        <v>0.0</v>
      </c>
      <c r="M901" s="6">
        <v>10.0</v>
      </c>
      <c r="N901" s="85"/>
      <c r="O901" s="36" t="s">
        <v>60</v>
      </c>
      <c r="P901" s="347">
        <v>600.0</v>
      </c>
      <c r="Q901" s="6" t="s">
        <v>37</v>
      </c>
      <c r="R901" s="6">
        <v>1998.0</v>
      </c>
      <c r="S901" s="6">
        <v>2.0</v>
      </c>
      <c r="T901" s="6">
        <f t="shared" si="90"/>
        <v>1200</v>
      </c>
      <c r="U901" s="24">
        <f t="shared" si="3"/>
        <v>103.4482759</v>
      </c>
      <c r="V901" s="3">
        <f t="shared" si="28"/>
        <v>1</v>
      </c>
      <c r="W901" s="3">
        <f t="shared" si="29"/>
        <v>11.6</v>
      </c>
      <c r="X901" s="3">
        <f t="shared" si="30"/>
        <v>3.4</v>
      </c>
      <c r="Y901" s="25">
        <f t="shared" si="96"/>
        <v>0</v>
      </c>
      <c r="Z901" s="26">
        <f>VLOOKUP(R901,CPI!$A$2:$F$71,6,0)</f>
        <v>1.976162577</v>
      </c>
      <c r="AA901" s="27">
        <f t="shared" si="8"/>
        <v>2371.395092</v>
      </c>
      <c r="AB901" s="27">
        <f t="shared" si="9"/>
        <v>204.4306114</v>
      </c>
      <c r="AC901" s="36" t="s">
        <v>42</v>
      </c>
      <c r="AD901" s="182" t="s">
        <v>1808</v>
      </c>
      <c r="AE901" s="130"/>
      <c r="AF901" s="130"/>
      <c r="AG901" s="130"/>
      <c r="AH901" s="130"/>
    </row>
    <row r="902">
      <c r="A902" s="6" t="s">
        <v>1759</v>
      </c>
      <c r="B902" s="362" t="s">
        <v>1806</v>
      </c>
      <c r="C902" s="36" t="s">
        <v>866</v>
      </c>
      <c r="D902" s="6" t="s">
        <v>1809</v>
      </c>
      <c r="E902" s="6">
        <v>2010.0</v>
      </c>
      <c r="F902" s="6">
        <v>2012.0</v>
      </c>
      <c r="G902" s="6">
        <v>0.0</v>
      </c>
      <c r="H902" s="6">
        <v>2.25</v>
      </c>
      <c r="I902" s="345">
        <v>1.0</v>
      </c>
      <c r="J902" s="6">
        <v>2.25</v>
      </c>
      <c r="K902" s="346">
        <v>0.0</v>
      </c>
      <c r="L902" s="346">
        <v>0.0</v>
      </c>
      <c r="M902" s="6">
        <v>2.0</v>
      </c>
      <c r="N902" s="85"/>
      <c r="O902" s="36" t="s">
        <v>60</v>
      </c>
      <c r="P902" s="347">
        <v>106.0</v>
      </c>
      <c r="Q902" s="6" t="s">
        <v>1765</v>
      </c>
      <c r="R902" s="6">
        <v>2011.0</v>
      </c>
      <c r="S902" s="6">
        <v>1.0</v>
      </c>
      <c r="T902" s="6">
        <f t="shared" si="90"/>
        <v>106</v>
      </c>
      <c r="U902" s="24">
        <f t="shared" si="3"/>
        <v>47.11111111</v>
      </c>
      <c r="V902" s="3">
        <f t="shared" si="28"/>
        <v>1</v>
      </c>
      <c r="W902" s="3">
        <f t="shared" si="29"/>
        <v>2.25</v>
      </c>
      <c r="X902" s="3">
        <f t="shared" si="30"/>
        <v>2.25</v>
      </c>
      <c r="Y902" s="25">
        <f t="shared" si="96"/>
        <v>0</v>
      </c>
      <c r="Z902" s="26">
        <f>VLOOKUP(R902,CPI!$A$2:$F$71,6,0)</f>
        <v>1.432008233</v>
      </c>
      <c r="AA902" s="27">
        <f t="shared" si="8"/>
        <v>151.7928727</v>
      </c>
      <c r="AB902" s="27">
        <f t="shared" si="9"/>
        <v>67.46349899</v>
      </c>
      <c r="AC902" s="36" t="s">
        <v>60</v>
      </c>
      <c r="AD902" s="182" t="s">
        <v>1810</v>
      </c>
      <c r="AE902" s="130"/>
      <c r="AF902" s="130"/>
      <c r="AG902" s="130"/>
      <c r="AH902" s="130"/>
    </row>
    <row r="903">
      <c r="A903" s="6" t="s">
        <v>1759</v>
      </c>
      <c r="B903" s="362" t="s">
        <v>1806</v>
      </c>
      <c r="C903" s="36" t="s">
        <v>866</v>
      </c>
      <c r="D903" s="6" t="s">
        <v>1811</v>
      </c>
      <c r="E903" s="6">
        <v>2005.0</v>
      </c>
      <c r="F903" s="6">
        <v>2014.0</v>
      </c>
      <c r="G903" s="6">
        <v>0.0</v>
      </c>
      <c r="H903" s="6">
        <v>5.35</v>
      </c>
      <c r="I903" s="345">
        <v>1.0</v>
      </c>
      <c r="J903" s="6">
        <v>5.35</v>
      </c>
      <c r="K903" s="346">
        <v>0.0</v>
      </c>
      <c r="L903" s="346">
        <v>0.0</v>
      </c>
      <c r="M903" s="6">
        <v>6.0</v>
      </c>
      <c r="N903" s="85"/>
      <c r="O903" s="36" t="s">
        <v>60</v>
      </c>
      <c r="P903" s="347">
        <v>252.0</v>
      </c>
      <c r="Q903" s="6" t="s">
        <v>1765</v>
      </c>
      <c r="R903" s="6">
        <v>2010.0</v>
      </c>
      <c r="S903" s="6">
        <v>1.1</v>
      </c>
      <c r="T903" s="6">
        <f t="shared" si="90"/>
        <v>277.2</v>
      </c>
      <c r="U903" s="24">
        <f t="shared" si="3"/>
        <v>51.81308411</v>
      </c>
      <c r="V903" s="3">
        <f t="shared" si="28"/>
        <v>1</v>
      </c>
      <c r="W903" s="3">
        <f t="shared" si="29"/>
        <v>5.35</v>
      </c>
      <c r="X903" s="3">
        <f t="shared" si="30"/>
        <v>5.35</v>
      </c>
      <c r="Y903" s="25">
        <f t="shared" si="96"/>
        <v>0</v>
      </c>
      <c r="Z903" s="26">
        <f>VLOOKUP(R903,CPI!$A$2:$F$71,6,0)</f>
        <v>1.477209983</v>
      </c>
      <c r="AA903" s="27">
        <f t="shared" si="8"/>
        <v>409.4826072</v>
      </c>
      <c r="AB903" s="27">
        <f t="shared" si="9"/>
        <v>76.53880509</v>
      </c>
      <c r="AC903" s="36" t="s">
        <v>60</v>
      </c>
      <c r="AD903" s="182" t="s">
        <v>1810</v>
      </c>
      <c r="AE903" s="130"/>
      <c r="AF903" s="130"/>
      <c r="AG903" s="130"/>
      <c r="AH903" s="130"/>
    </row>
    <row r="904">
      <c r="A904" s="26" t="s">
        <v>1812</v>
      </c>
      <c r="B904" s="26" t="s">
        <v>1813</v>
      </c>
      <c r="C904" s="26" t="s">
        <v>1814</v>
      </c>
      <c r="D904" s="26" t="s">
        <v>1814</v>
      </c>
      <c r="E904" s="25">
        <v>2001.0</v>
      </c>
      <c r="F904" s="25">
        <v>2008.0</v>
      </c>
      <c r="G904" s="25">
        <v>0.0</v>
      </c>
      <c r="H904" s="25">
        <v>43.0</v>
      </c>
      <c r="I904" s="50">
        <v>0.74</v>
      </c>
      <c r="J904" s="25">
        <v>31.8</v>
      </c>
      <c r="K904" s="51">
        <v>0.0</v>
      </c>
      <c r="L904" s="51">
        <v>0.0</v>
      </c>
      <c r="M904" s="25">
        <v>38.0</v>
      </c>
      <c r="N904" s="25"/>
      <c r="O904" s="26" t="s">
        <v>59</v>
      </c>
      <c r="P904" s="52">
        <v>181300.0</v>
      </c>
      <c r="Q904" s="26" t="s">
        <v>1815</v>
      </c>
      <c r="R904" s="25">
        <v>2004.0</v>
      </c>
      <c r="S904" s="25">
        <v>0.0664</v>
      </c>
      <c r="T904" s="25">
        <f t="shared" si="90"/>
        <v>12038.32</v>
      </c>
      <c r="U904" s="24">
        <f t="shared" si="3"/>
        <v>279.9609302</v>
      </c>
      <c r="V904" s="3">
        <f t="shared" si="28"/>
        <v>0</v>
      </c>
      <c r="W904" s="3">
        <f t="shared" si="29"/>
        <v>0</v>
      </c>
      <c r="X904" s="3">
        <f t="shared" si="30"/>
        <v>0</v>
      </c>
      <c r="Y904" s="25">
        <f t="shared" si="96"/>
        <v>0</v>
      </c>
      <c r="Z904" s="26">
        <f>VLOOKUP(R904,CPI!$A$2:$F$71,6,0)</f>
        <v>1.705211752</v>
      </c>
      <c r="AA904" s="27">
        <f t="shared" si="8"/>
        <v>20527.88474</v>
      </c>
      <c r="AB904" s="27">
        <f t="shared" si="9"/>
        <v>477.3926684</v>
      </c>
      <c r="AC904" s="26" t="s">
        <v>36</v>
      </c>
      <c r="AD904" s="251" t="s">
        <v>1816</v>
      </c>
      <c r="AE904" s="130"/>
      <c r="AF904" s="130"/>
      <c r="AG904" s="130"/>
      <c r="AH904" s="130"/>
    </row>
    <row r="905">
      <c r="A905" s="26" t="s">
        <v>1812</v>
      </c>
      <c r="B905" s="26" t="s">
        <v>1813</v>
      </c>
      <c r="C905" s="26" t="s">
        <v>1817</v>
      </c>
      <c r="D905" s="26" t="s">
        <v>1817</v>
      </c>
      <c r="E905" s="25">
        <v>2008.0</v>
      </c>
      <c r="F905" s="25">
        <v>2018.0</v>
      </c>
      <c r="G905" s="25">
        <v>1.0</v>
      </c>
      <c r="H905" s="25">
        <v>15.4</v>
      </c>
      <c r="I905" s="50">
        <v>1.0</v>
      </c>
      <c r="J905" s="25">
        <v>15.4</v>
      </c>
      <c r="K905" s="51">
        <v>0.0</v>
      </c>
      <c r="L905" s="51">
        <v>0.0</v>
      </c>
      <c r="M905" s="25">
        <v>10.0</v>
      </c>
      <c r="N905" s="25"/>
      <c r="O905" s="26" t="s">
        <v>60</v>
      </c>
      <c r="P905" s="52">
        <v>99870.0</v>
      </c>
      <c r="Q905" s="26" t="s">
        <v>1815</v>
      </c>
      <c r="R905" s="25">
        <v>2013.0</v>
      </c>
      <c r="S905" s="25">
        <v>0.0664</v>
      </c>
      <c r="T905" s="25">
        <f t="shared" si="90"/>
        <v>6631.368</v>
      </c>
      <c r="U905" s="24">
        <f t="shared" si="3"/>
        <v>430.6083117</v>
      </c>
      <c r="V905" s="3">
        <f t="shared" si="28"/>
        <v>0</v>
      </c>
      <c r="W905" s="3">
        <f t="shared" si="29"/>
        <v>0</v>
      </c>
      <c r="X905" s="3">
        <f t="shared" si="30"/>
        <v>0</v>
      </c>
      <c r="Y905" s="25">
        <f t="shared" si="96"/>
        <v>0</v>
      </c>
      <c r="Z905" s="26">
        <f>VLOOKUP(R905,CPI!$A$2:$F$71,6,0)</f>
        <v>1.382720845</v>
      </c>
      <c r="AA905" s="27">
        <f t="shared" si="8"/>
        <v>9169.330768</v>
      </c>
      <c r="AB905" s="27">
        <f t="shared" si="9"/>
        <v>595.4110888</v>
      </c>
      <c r="AC905" s="26" t="s">
        <v>60</v>
      </c>
      <c r="AD905" s="251" t="s">
        <v>1818</v>
      </c>
      <c r="AE905" s="130"/>
      <c r="AF905" s="130"/>
      <c r="AG905" s="130"/>
      <c r="AH905" s="130"/>
    </row>
    <row r="906">
      <c r="A906" s="26" t="s">
        <v>1812</v>
      </c>
      <c r="B906" s="26" t="s">
        <v>1819</v>
      </c>
      <c r="C906" s="26" t="s">
        <v>127</v>
      </c>
      <c r="D906" s="26" t="s">
        <v>127</v>
      </c>
      <c r="E906" s="25">
        <v>2010.0</v>
      </c>
      <c r="F906" s="25">
        <v>2020.0</v>
      </c>
      <c r="G906" s="25">
        <v>0.0</v>
      </c>
      <c r="H906" s="25">
        <v>16.7</v>
      </c>
      <c r="I906" s="50">
        <v>0.0</v>
      </c>
      <c r="J906" s="25">
        <v>0.0</v>
      </c>
      <c r="K906" s="51">
        <v>0.0</v>
      </c>
      <c r="L906" s="51">
        <v>0.0</v>
      </c>
      <c r="M906" s="25">
        <v>18.0</v>
      </c>
      <c r="N906" s="25"/>
      <c r="O906" s="26" t="s">
        <v>60</v>
      </c>
      <c r="P906" s="52">
        <v>59337.0</v>
      </c>
      <c r="Q906" s="26" t="s">
        <v>1815</v>
      </c>
      <c r="R906" s="25">
        <v>2015.0</v>
      </c>
      <c r="S906" s="25">
        <v>0.0664</v>
      </c>
      <c r="T906" s="25">
        <f t="shared" si="90"/>
        <v>3939.9768</v>
      </c>
      <c r="U906" s="24">
        <f t="shared" si="3"/>
        <v>235.9267545</v>
      </c>
      <c r="V906" s="3">
        <f t="shared" si="28"/>
        <v>0</v>
      </c>
      <c r="W906" s="3">
        <f t="shared" si="29"/>
        <v>0</v>
      </c>
      <c r="X906" s="3">
        <f t="shared" si="30"/>
        <v>0</v>
      </c>
      <c r="Y906" s="25">
        <f t="shared" si="96"/>
        <v>0</v>
      </c>
      <c r="Z906" s="26">
        <f>VLOOKUP(R906,CPI!$A$2:$F$71,6,0)</f>
        <v>1.359035428</v>
      </c>
      <c r="AA906" s="27">
        <f t="shared" si="8"/>
        <v>5354.568056</v>
      </c>
      <c r="AB906" s="27">
        <f t="shared" si="9"/>
        <v>320.6328177</v>
      </c>
      <c r="AC906" s="26" t="s">
        <v>60</v>
      </c>
      <c r="AD906" s="53" t="s">
        <v>1820</v>
      </c>
      <c r="AE906" s="130"/>
      <c r="AF906" s="130"/>
      <c r="AG906" s="130"/>
      <c r="AH906" s="130"/>
    </row>
    <row r="907">
      <c r="A907" s="26" t="s">
        <v>1812</v>
      </c>
      <c r="B907" s="26" t="s">
        <v>1821</v>
      </c>
      <c r="C907" s="26" t="s">
        <v>1822</v>
      </c>
      <c r="D907" s="26" t="s">
        <v>1822</v>
      </c>
      <c r="E907" s="25">
        <v>2019.0</v>
      </c>
      <c r="F907" s="25">
        <v>2024.0</v>
      </c>
      <c r="G907" s="25">
        <v>1.0</v>
      </c>
      <c r="H907" s="25">
        <v>8.2</v>
      </c>
      <c r="I907" s="50">
        <v>1.0</v>
      </c>
      <c r="J907" s="25">
        <v>8.2</v>
      </c>
      <c r="K907" s="51">
        <v>0.0</v>
      </c>
      <c r="L907" s="51">
        <v>0.0</v>
      </c>
      <c r="M907" s="25">
        <v>3.0</v>
      </c>
      <c r="N907" s="25"/>
      <c r="O907" s="26" t="s">
        <v>60</v>
      </c>
      <c r="P907" s="52">
        <v>29360.0</v>
      </c>
      <c r="Q907" s="26" t="s">
        <v>1815</v>
      </c>
      <c r="R907" s="25">
        <v>2021.0</v>
      </c>
      <c r="S907" s="25">
        <v>0.0664</v>
      </c>
      <c r="T907" s="25">
        <f t="shared" si="90"/>
        <v>1949.504</v>
      </c>
      <c r="U907" s="24">
        <f t="shared" si="3"/>
        <v>237.7443902</v>
      </c>
      <c r="V907" s="3">
        <f t="shared" si="28"/>
        <v>0</v>
      </c>
      <c r="W907" s="3">
        <f t="shared" si="29"/>
        <v>0</v>
      </c>
      <c r="X907" s="3">
        <f t="shared" si="30"/>
        <v>0</v>
      </c>
      <c r="Y907" s="25">
        <f t="shared" si="96"/>
        <v>0</v>
      </c>
      <c r="Z907" s="26">
        <f>VLOOKUP(R907,CPI!$A$2:$F$71,6,0)</f>
        <v>1.188745987</v>
      </c>
      <c r="AA907" s="27">
        <f t="shared" si="8"/>
        <v>2317.465056</v>
      </c>
      <c r="AB907" s="27">
        <f t="shared" si="9"/>
        <v>282.6176897</v>
      </c>
      <c r="AC907" s="26" t="s">
        <v>60</v>
      </c>
      <c r="AD907" s="53" t="s">
        <v>1823</v>
      </c>
      <c r="AE907" s="130"/>
      <c r="AF907" s="130"/>
      <c r="AG907" s="130"/>
      <c r="AH907" s="130"/>
    </row>
    <row r="908">
      <c r="A908" s="26" t="s">
        <v>1812</v>
      </c>
      <c r="B908" s="26" t="s">
        <v>1824</v>
      </c>
      <c r="C908" s="26" t="s">
        <v>1825</v>
      </c>
      <c r="D908" s="26" t="s">
        <v>1825</v>
      </c>
      <c r="E908" s="25">
        <v>2002.0</v>
      </c>
      <c r="F908" s="25">
        <v>2009.0</v>
      </c>
      <c r="G908" s="25">
        <v>0.0</v>
      </c>
      <c r="H908" s="25">
        <v>14.8</v>
      </c>
      <c r="I908" s="50">
        <v>0.26</v>
      </c>
      <c r="J908" s="25">
        <v>3.8</v>
      </c>
      <c r="K908" s="51">
        <v>0.0</v>
      </c>
      <c r="L908" s="51">
        <v>0.0</v>
      </c>
      <c r="M908" s="25">
        <v>12.0</v>
      </c>
      <c r="N908" s="25"/>
      <c r="O908" s="26" t="s">
        <v>59</v>
      </c>
      <c r="P908" s="52">
        <v>63714.0</v>
      </c>
      <c r="Q908" s="26" t="s">
        <v>1815</v>
      </c>
      <c r="R908" s="25">
        <v>2005.0</v>
      </c>
      <c r="S908" s="25">
        <v>0.0664</v>
      </c>
      <c r="T908" s="25">
        <f t="shared" si="90"/>
        <v>4230.6096</v>
      </c>
      <c r="U908" s="24">
        <f t="shared" si="3"/>
        <v>285.852</v>
      </c>
      <c r="V908" s="3">
        <f t="shared" si="28"/>
        <v>0</v>
      </c>
      <c r="W908" s="3">
        <f t="shared" si="29"/>
        <v>0</v>
      </c>
      <c r="X908" s="3">
        <f t="shared" si="30"/>
        <v>0</v>
      </c>
      <c r="Y908" s="25">
        <f t="shared" si="96"/>
        <v>0</v>
      </c>
      <c r="Z908" s="26">
        <f>VLOOKUP(R908,CPI!$A$2:$F$71,6,0)</f>
        <v>1.649331797</v>
      </c>
      <c r="AA908" s="27">
        <f t="shared" si="8"/>
        <v>6977.678935</v>
      </c>
      <c r="AB908" s="27">
        <f t="shared" si="9"/>
        <v>471.4647929</v>
      </c>
      <c r="AC908" s="26" t="s">
        <v>60</v>
      </c>
      <c r="AD908" s="53" t="s">
        <v>1826</v>
      </c>
      <c r="AE908" s="130"/>
      <c r="AF908" s="130"/>
      <c r="AG908" s="130"/>
      <c r="AH908" s="130"/>
    </row>
    <row r="909">
      <c r="A909" s="26" t="s">
        <v>1812</v>
      </c>
      <c r="B909" s="26" t="s">
        <v>1824</v>
      </c>
      <c r="C909" s="16" t="s">
        <v>1827</v>
      </c>
      <c r="D909" s="26" t="s">
        <v>1827</v>
      </c>
      <c r="E909" s="25">
        <v>1988.0</v>
      </c>
      <c r="F909" s="25">
        <v>2012.0</v>
      </c>
      <c r="G909" s="25">
        <v>0.0</v>
      </c>
      <c r="H909" s="25">
        <f>25.1+22.8+12.5+23.7+24.6-14.8</f>
        <v>93.9</v>
      </c>
      <c r="I909" s="50">
        <v>0.65</v>
      </c>
      <c r="J909" s="25">
        <f>0+3.9+12.5+23.7+24.6-3.8</f>
        <v>60.9</v>
      </c>
      <c r="K909" s="51">
        <v>0.0</v>
      </c>
      <c r="L909" s="51">
        <v>0.0</v>
      </c>
      <c r="M909" s="25">
        <f>24+21+13+24+22-12</f>
        <v>92</v>
      </c>
      <c r="N909" s="25"/>
      <c r="O909" s="26" t="s">
        <v>59</v>
      </c>
      <c r="P909" s="52">
        <f>621000-63714</f>
        <v>557286</v>
      </c>
      <c r="Q909" s="26" t="s">
        <v>1815</v>
      </c>
      <c r="R909" s="25">
        <v>2000.0</v>
      </c>
      <c r="S909" s="25">
        <v>0.0664</v>
      </c>
      <c r="T909" s="25">
        <f t="shared" si="90"/>
        <v>37003.7904</v>
      </c>
      <c r="U909" s="24">
        <f t="shared" si="3"/>
        <v>394.0765751</v>
      </c>
      <c r="V909" s="3">
        <f t="shared" si="28"/>
        <v>0</v>
      </c>
      <c r="W909" s="3">
        <f t="shared" si="29"/>
        <v>0</v>
      </c>
      <c r="X909" s="3">
        <f t="shared" si="30"/>
        <v>0</v>
      </c>
      <c r="Y909" s="25">
        <f t="shared" si="96"/>
        <v>0</v>
      </c>
      <c r="Z909" s="26">
        <f>VLOOKUP(R909,CPI!$A$2:$F$71,6,0)</f>
        <v>1.870583624</v>
      </c>
      <c r="AA909" s="27">
        <f t="shared" si="8"/>
        <v>69218.68434</v>
      </c>
      <c r="AB909" s="27">
        <f t="shared" si="9"/>
        <v>737.1531878</v>
      </c>
      <c r="AC909" s="26" t="s">
        <v>36</v>
      </c>
      <c r="AD909" s="251" t="s">
        <v>1816</v>
      </c>
      <c r="AE909" s="130"/>
      <c r="AF909" s="130"/>
      <c r="AG909" s="130"/>
      <c r="AH909" s="130"/>
    </row>
    <row r="910">
      <c r="A910" s="26" t="s">
        <v>1812</v>
      </c>
      <c r="B910" s="26" t="s">
        <v>1824</v>
      </c>
      <c r="C910" s="1" t="s">
        <v>1828</v>
      </c>
      <c r="D910" s="26" t="s">
        <v>1828</v>
      </c>
      <c r="E910" s="25">
        <v>2002.0</v>
      </c>
      <c r="F910" s="25">
        <v>2013.0</v>
      </c>
      <c r="G910" s="25">
        <v>0.0</v>
      </c>
      <c r="H910" s="25">
        <v>6.5</v>
      </c>
      <c r="I910" s="50">
        <v>1.0</v>
      </c>
      <c r="J910" s="25">
        <v>6.5</v>
      </c>
      <c r="K910" s="51">
        <v>0.0</v>
      </c>
      <c r="L910" s="51">
        <v>0.0</v>
      </c>
      <c r="M910" s="58">
        <v>7.0</v>
      </c>
      <c r="N910" s="25"/>
      <c r="O910" s="26" t="s">
        <v>42</v>
      </c>
      <c r="P910" s="52">
        <v>39000.0</v>
      </c>
      <c r="Q910" s="26" t="s">
        <v>1815</v>
      </c>
      <c r="R910" s="25">
        <v>2007.0</v>
      </c>
      <c r="S910" s="25">
        <v>0.0664</v>
      </c>
      <c r="T910" s="25">
        <f t="shared" si="90"/>
        <v>2589.6</v>
      </c>
      <c r="U910" s="24">
        <f t="shared" si="3"/>
        <v>398.4</v>
      </c>
      <c r="V910" s="3">
        <f t="shared" si="28"/>
        <v>0</v>
      </c>
      <c r="W910" s="3">
        <f t="shared" si="29"/>
        <v>0</v>
      </c>
      <c r="X910" s="3">
        <f t="shared" si="30"/>
        <v>0</v>
      </c>
      <c r="Y910" s="25">
        <f t="shared" si="96"/>
        <v>0</v>
      </c>
      <c r="Z910" s="26">
        <f>VLOOKUP(R910,CPI!$A$2:$F$71,6,0)</f>
        <v>1.553541974</v>
      </c>
      <c r="AA910" s="27">
        <f t="shared" si="8"/>
        <v>4023.052296</v>
      </c>
      <c r="AB910" s="27">
        <f t="shared" si="9"/>
        <v>618.9311225</v>
      </c>
      <c r="AC910" s="26" t="s">
        <v>42</v>
      </c>
      <c r="AD910" s="53" t="s">
        <v>1829</v>
      </c>
      <c r="AE910" s="301"/>
      <c r="AF910" s="301"/>
      <c r="AG910" s="301"/>
      <c r="AH910" s="301"/>
    </row>
    <row r="911">
      <c r="A911" s="26" t="s">
        <v>1812</v>
      </c>
      <c r="B911" s="26" t="s">
        <v>1824</v>
      </c>
      <c r="C911" s="26" t="s">
        <v>1830</v>
      </c>
      <c r="D911" s="26" t="s">
        <v>1830</v>
      </c>
      <c r="E911" s="25">
        <v>2006.0</v>
      </c>
      <c r="F911" s="25">
        <v>2017.0</v>
      </c>
      <c r="G911" s="25">
        <v>0.0</v>
      </c>
      <c r="H911" s="25">
        <v>51.0</v>
      </c>
      <c r="I911" s="50">
        <v>0.21</v>
      </c>
      <c r="J911" s="25">
        <v>10.7</v>
      </c>
      <c r="K911" s="51">
        <v>0.0</v>
      </c>
      <c r="L911" s="51">
        <v>0.0</v>
      </c>
      <c r="M911" s="25">
        <v>22.0</v>
      </c>
      <c r="N911" s="25"/>
      <c r="O911" s="26" t="s">
        <v>74</v>
      </c>
      <c r="P911" s="52">
        <v>113850.0</v>
      </c>
      <c r="Q911" s="26" t="s">
        <v>1815</v>
      </c>
      <c r="R911" s="25">
        <v>2011.0</v>
      </c>
      <c r="S911" s="25">
        <v>0.0664</v>
      </c>
      <c r="T911" s="25">
        <f t="shared" si="90"/>
        <v>7559.64</v>
      </c>
      <c r="U911" s="24">
        <f t="shared" si="3"/>
        <v>148.2282353</v>
      </c>
      <c r="V911" s="3">
        <f t="shared" si="28"/>
        <v>0</v>
      </c>
      <c r="W911" s="3">
        <f t="shared" si="29"/>
        <v>0</v>
      </c>
      <c r="X911" s="3">
        <f t="shared" si="30"/>
        <v>0</v>
      </c>
      <c r="Y911" s="25">
        <f t="shared" si="96"/>
        <v>0</v>
      </c>
      <c r="Z911" s="26">
        <f>VLOOKUP(R911,CPI!$A$2:$F$71,6,0)</f>
        <v>1.432008233</v>
      </c>
      <c r="AA911" s="27">
        <f t="shared" si="8"/>
        <v>10825.46672</v>
      </c>
      <c r="AB911" s="27">
        <f t="shared" si="9"/>
        <v>212.2640534</v>
      </c>
      <c r="AC911" s="26" t="s">
        <v>42</v>
      </c>
      <c r="AD911" s="57" t="s">
        <v>1831</v>
      </c>
      <c r="AE911" s="130"/>
      <c r="AF911" s="130"/>
      <c r="AG911" s="130"/>
      <c r="AH911" s="130"/>
    </row>
    <row r="912">
      <c r="A912" s="26" t="s">
        <v>1812</v>
      </c>
      <c r="B912" s="26" t="s">
        <v>1824</v>
      </c>
      <c r="C912" s="16" t="s">
        <v>1832</v>
      </c>
      <c r="D912" s="26" t="s">
        <v>1833</v>
      </c>
      <c r="E912" s="25">
        <v>2011.0</v>
      </c>
      <c r="F912" s="25">
        <v>2020.0</v>
      </c>
      <c r="G912" s="25">
        <v>0.0</v>
      </c>
      <c r="H912" s="25">
        <v>15.4</v>
      </c>
      <c r="I912" s="50">
        <v>0.07</v>
      </c>
      <c r="J912" s="25">
        <v>1.1</v>
      </c>
      <c r="K912" s="51">
        <v>0.0</v>
      </c>
      <c r="L912" s="51">
        <v>0.0</v>
      </c>
      <c r="M912" s="25">
        <v>14.0</v>
      </c>
      <c r="N912" s="25"/>
      <c r="O912" s="26" t="s">
        <v>59</v>
      </c>
      <c r="P912" s="52">
        <v>69970.0</v>
      </c>
      <c r="Q912" s="26" t="s">
        <v>1815</v>
      </c>
      <c r="R912" s="25">
        <v>2015.0</v>
      </c>
      <c r="S912" s="25">
        <v>0.0664</v>
      </c>
      <c r="T912" s="25">
        <f t="shared" si="90"/>
        <v>4646.008</v>
      </c>
      <c r="U912" s="24">
        <f t="shared" si="3"/>
        <v>301.6888312</v>
      </c>
      <c r="V912" s="3">
        <f t="shared" si="28"/>
        <v>0</v>
      </c>
      <c r="W912" s="3">
        <f t="shared" si="29"/>
        <v>0</v>
      </c>
      <c r="X912" s="3">
        <f t="shared" si="30"/>
        <v>0</v>
      </c>
      <c r="Y912" s="25">
        <f t="shared" si="96"/>
        <v>0</v>
      </c>
      <c r="Z912" s="26">
        <f>VLOOKUP(R912,CPI!$A$2:$F$71,6,0)</f>
        <v>1.359035428</v>
      </c>
      <c r="AA912" s="27">
        <f t="shared" si="8"/>
        <v>6314.08947</v>
      </c>
      <c r="AB912" s="27">
        <f t="shared" si="9"/>
        <v>410.0058097</v>
      </c>
      <c r="AC912" s="26" t="s">
        <v>42</v>
      </c>
      <c r="AD912" s="57" t="s">
        <v>1834</v>
      </c>
      <c r="AE912" s="130"/>
      <c r="AF912" s="130"/>
      <c r="AG912" s="130"/>
      <c r="AH912" s="130"/>
    </row>
    <row r="913">
      <c r="A913" s="26" t="s">
        <v>1812</v>
      </c>
      <c r="B913" s="26" t="s">
        <v>1824</v>
      </c>
      <c r="C913" s="1" t="s">
        <v>1828</v>
      </c>
      <c r="D913" s="26" t="s">
        <v>1835</v>
      </c>
      <c r="E913" s="25">
        <v>2016.0</v>
      </c>
      <c r="F913" s="25">
        <v>2022.0</v>
      </c>
      <c r="G913" s="25">
        <v>0.0</v>
      </c>
      <c r="H913" s="25">
        <v>1.4</v>
      </c>
      <c r="I913" s="50">
        <v>1.0</v>
      </c>
      <c r="J913" s="25">
        <v>1.4</v>
      </c>
      <c r="K913" s="51">
        <v>0.0</v>
      </c>
      <c r="L913" s="51">
        <v>0.0</v>
      </c>
      <c r="M913" s="25">
        <v>1.0</v>
      </c>
      <c r="N913" s="25"/>
      <c r="O913" s="26" t="s">
        <v>60</v>
      </c>
      <c r="P913" s="52">
        <v>9000.0</v>
      </c>
      <c r="Q913" s="26" t="s">
        <v>1815</v>
      </c>
      <c r="R913" s="25">
        <v>2019.0</v>
      </c>
      <c r="S913" s="25">
        <v>0.0664</v>
      </c>
      <c r="T913" s="25">
        <f t="shared" si="90"/>
        <v>597.6</v>
      </c>
      <c r="U913" s="24">
        <f t="shared" si="3"/>
        <v>426.8571429</v>
      </c>
      <c r="V913" s="3">
        <f t="shared" si="28"/>
        <v>0</v>
      </c>
      <c r="W913" s="3">
        <f t="shared" si="29"/>
        <v>0</v>
      </c>
      <c r="X913" s="3">
        <f t="shared" si="30"/>
        <v>0</v>
      </c>
      <c r="Y913" s="25">
        <f t="shared" si="96"/>
        <v>0</v>
      </c>
      <c r="Z913" s="26">
        <f>VLOOKUP(R913,CPI!$A$2:$F$71,6,0)</f>
        <v>1.259947899</v>
      </c>
      <c r="AA913" s="27">
        <f t="shared" si="8"/>
        <v>752.9448644</v>
      </c>
      <c r="AB913" s="27">
        <f t="shared" si="9"/>
        <v>537.8177603</v>
      </c>
      <c r="AC913" s="26" t="s">
        <v>60</v>
      </c>
      <c r="AD913" s="53" t="s">
        <v>1836</v>
      </c>
      <c r="AE913" s="130"/>
      <c r="AF913" s="130"/>
      <c r="AG913" s="130"/>
      <c r="AH913" s="130"/>
    </row>
    <row r="914">
      <c r="A914" s="26" t="s">
        <v>1812</v>
      </c>
      <c r="B914" s="26" t="s">
        <v>1824</v>
      </c>
      <c r="C914" s="26" t="s">
        <v>1837</v>
      </c>
      <c r="D914" s="26" t="s">
        <v>1837</v>
      </c>
      <c r="E914" s="25">
        <v>2016.0</v>
      </c>
      <c r="F914" s="25">
        <v>2023.0</v>
      </c>
      <c r="G914" s="25">
        <v>0.0</v>
      </c>
      <c r="H914" s="25">
        <v>14.29</v>
      </c>
      <c r="I914" s="50">
        <v>0.0</v>
      </c>
      <c r="J914" s="25">
        <v>0.0</v>
      </c>
      <c r="K914" s="51">
        <v>0.0</v>
      </c>
      <c r="L914" s="51">
        <v>0.0</v>
      </c>
      <c r="M914" s="25">
        <v>12.0</v>
      </c>
      <c r="N914" s="25"/>
      <c r="O914" s="26" t="s">
        <v>60</v>
      </c>
      <c r="P914" s="52">
        <v>50200.0</v>
      </c>
      <c r="Q914" s="26" t="s">
        <v>1815</v>
      </c>
      <c r="R914" s="25">
        <v>2019.0</v>
      </c>
      <c r="S914" s="25">
        <v>0.0664</v>
      </c>
      <c r="T914" s="25">
        <f t="shared" si="90"/>
        <v>3333.28</v>
      </c>
      <c r="U914" s="24">
        <f t="shared" si="3"/>
        <v>233.2596221</v>
      </c>
      <c r="V914" s="3">
        <f t="shared" si="28"/>
        <v>0</v>
      </c>
      <c r="W914" s="3">
        <f t="shared" si="29"/>
        <v>0</v>
      </c>
      <c r="X914" s="3">
        <f t="shared" si="30"/>
        <v>0</v>
      </c>
      <c r="Y914" s="25">
        <f t="shared" si="96"/>
        <v>0</v>
      </c>
      <c r="Z914" s="26">
        <f>VLOOKUP(R914,CPI!$A$2:$F$71,6,0)</f>
        <v>1.259947899</v>
      </c>
      <c r="AA914" s="27">
        <f t="shared" si="8"/>
        <v>4199.759133</v>
      </c>
      <c r="AB914" s="27">
        <f t="shared" si="9"/>
        <v>293.8949708</v>
      </c>
      <c r="AC914" s="26" t="s">
        <v>60</v>
      </c>
      <c r="AD914" s="53" t="s">
        <v>1838</v>
      </c>
      <c r="AE914" s="130"/>
      <c r="AF914" s="130"/>
      <c r="AG914" s="130"/>
      <c r="AH914" s="130"/>
    </row>
    <row r="915">
      <c r="A915" s="26" t="s">
        <v>1812</v>
      </c>
      <c r="B915" s="26" t="s">
        <v>1824</v>
      </c>
      <c r="C915" s="26" t="s">
        <v>1839</v>
      </c>
      <c r="D915" s="26" t="s">
        <v>1839</v>
      </c>
      <c r="E915" s="25">
        <v>2014.0</v>
      </c>
      <c r="F915" s="25">
        <v>2024.0</v>
      </c>
      <c r="G915" s="25">
        <v>0.0</v>
      </c>
      <c r="H915" s="25">
        <v>14.0</v>
      </c>
      <c r="I915" s="50">
        <v>0.0</v>
      </c>
      <c r="J915" s="25">
        <v>0.0</v>
      </c>
      <c r="K915" s="51">
        <v>0.0</v>
      </c>
      <c r="L915" s="51">
        <v>0.0</v>
      </c>
      <c r="M915" s="25">
        <v>20.0</v>
      </c>
      <c r="N915" s="25"/>
      <c r="O915" s="26" t="s">
        <v>74</v>
      </c>
      <c r="P915" s="52">
        <v>15300.0</v>
      </c>
      <c r="Q915" s="26" t="s">
        <v>1815</v>
      </c>
      <c r="R915" s="25">
        <v>2016.0</v>
      </c>
      <c r="S915" s="25">
        <v>0.0664</v>
      </c>
      <c r="T915" s="25">
        <f t="shared" si="90"/>
        <v>1015.92</v>
      </c>
      <c r="U915" s="24">
        <f t="shared" si="3"/>
        <v>72.56571429</v>
      </c>
      <c r="V915" s="3">
        <f t="shared" si="28"/>
        <v>0</v>
      </c>
      <c r="W915" s="3">
        <f t="shared" si="29"/>
        <v>0</v>
      </c>
      <c r="X915" s="3">
        <f t="shared" si="30"/>
        <v>0</v>
      </c>
      <c r="Y915" s="25">
        <f t="shared" si="96"/>
        <v>0</v>
      </c>
      <c r="Z915" s="26">
        <f>VLOOKUP(R915,CPI!$A$2:$F$71,6,0)</f>
        <v>1.342104605</v>
      </c>
      <c r="AA915" s="27">
        <f t="shared" si="8"/>
        <v>1363.470911</v>
      </c>
      <c r="AB915" s="27">
        <f t="shared" si="9"/>
        <v>97.39077933</v>
      </c>
      <c r="AC915" s="26" t="s">
        <v>42</v>
      </c>
      <c r="AD915" s="57" t="s">
        <v>1840</v>
      </c>
      <c r="AE915" s="130"/>
      <c r="AF915" s="130"/>
      <c r="AG915" s="130"/>
      <c r="AH915" s="130"/>
    </row>
    <row r="916">
      <c r="A916" s="26" t="s">
        <v>1812</v>
      </c>
      <c r="B916" s="26" t="s">
        <v>1824</v>
      </c>
      <c r="C916" s="26" t="s">
        <v>1841</v>
      </c>
      <c r="D916" s="26" t="s">
        <v>1841</v>
      </c>
      <c r="E916" s="25">
        <v>2019.0</v>
      </c>
      <c r="F916" s="25">
        <v>2026.0</v>
      </c>
      <c r="G916" s="25">
        <v>0.0</v>
      </c>
      <c r="H916" s="25">
        <v>27.8</v>
      </c>
      <c r="I916" s="50">
        <v>0.45</v>
      </c>
      <c r="J916" s="25">
        <v>12.5</v>
      </c>
      <c r="K916" s="51">
        <v>0.0</v>
      </c>
      <c r="L916" s="51">
        <v>0.0</v>
      </c>
      <c r="M916" s="25">
        <v>21.0</v>
      </c>
      <c r="N916" s="25"/>
      <c r="O916" s="26" t="s">
        <v>42</v>
      </c>
      <c r="P916" s="52">
        <v>98264.0</v>
      </c>
      <c r="Q916" s="26" t="s">
        <v>1815</v>
      </c>
      <c r="R916" s="25">
        <v>2022.0</v>
      </c>
      <c r="S916" s="25">
        <v>0.0664</v>
      </c>
      <c r="T916" s="25">
        <f t="shared" si="90"/>
        <v>6524.7296</v>
      </c>
      <c r="U916" s="24">
        <f t="shared" si="3"/>
        <v>234.7025036</v>
      </c>
      <c r="V916" s="3">
        <f t="shared" si="28"/>
        <v>0</v>
      </c>
      <c r="W916" s="3">
        <f t="shared" si="29"/>
        <v>0</v>
      </c>
      <c r="X916" s="3">
        <f t="shared" si="30"/>
        <v>0</v>
      </c>
      <c r="Y916" s="25">
        <f t="shared" si="96"/>
        <v>0</v>
      </c>
      <c r="Z916" s="26">
        <f>VLOOKUP(R916,CPI!$A$2:$F$71,6,0)</f>
        <v>1.100662897</v>
      </c>
      <c r="AA916" s="27">
        <f t="shared" si="8"/>
        <v>7181.527781</v>
      </c>
      <c r="AB916" s="27">
        <f t="shared" si="9"/>
        <v>258.3283374</v>
      </c>
      <c r="AC916" s="26" t="s">
        <v>60</v>
      </c>
      <c r="AD916" s="53" t="s">
        <v>1842</v>
      </c>
      <c r="AE916" s="130"/>
      <c r="AF916" s="130"/>
      <c r="AG916" s="130"/>
      <c r="AH916" s="130"/>
    </row>
    <row r="917">
      <c r="A917" s="26" t="s">
        <v>1812</v>
      </c>
      <c r="B917" s="26" t="s">
        <v>1824</v>
      </c>
      <c r="C917" s="16" t="s">
        <v>1843</v>
      </c>
      <c r="D917" s="26" t="s">
        <v>1844</v>
      </c>
      <c r="E917" s="25">
        <v>2021.0</v>
      </c>
      <c r="F917" s="25">
        <v>2028.0</v>
      </c>
      <c r="G917" s="25">
        <v>0.0</v>
      </c>
      <c r="H917" s="25">
        <v>13.3</v>
      </c>
      <c r="I917" s="50">
        <f>J917/H917</f>
        <v>0.2105263158</v>
      </c>
      <c r="J917" s="25">
        <v>2.8</v>
      </c>
      <c r="K917" s="51">
        <v>0.0</v>
      </c>
      <c r="L917" s="51">
        <v>0.0</v>
      </c>
      <c r="M917" s="25">
        <v>13.0</v>
      </c>
      <c r="N917" s="25"/>
      <c r="O917" s="26" t="s">
        <v>42</v>
      </c>
      <c r="P917" s="52">
        <v>55530.0</v>
      </c>
      <c r="Q917" s="26" t="s">
        <v>1815</v>
      </c>
      <c r="R917" s="25">
        <v>2018.0</v>
      </c>
      <c r="S917" s="25">
        <v>0.068</v>
      </c>
      <c r="T917" s="25">
        <f t="shared" si="90"/>
        <v>3776.04</v>
      </c>
      <c r="U917" s="24">
        <f t="shared" si="3"/>
        <v>283.912782</v>
      </c>
      <c r="V917" s="3">
        <f t="shared" si="28"/>
        <v>0</v>
      </c>
      <c r="W917" s="3">
        <f t="shared" si="29"/>
        <v>0</v>
      </c>
      <c r="X917" s="3">
        <f t="shared" si="30"/>
        <v>0</v>
      </c>
      <c r="Y917" s="25">
        <f t="shared" si="96"/>
        <v>0</v>
      </c>
      <c r="Z917" s="26">
        <f>VLOOKUP(R917,CPI!$A$2:$F$71,6,0)</f>
        <v>1.28277786</v>
      </c>
      <c r="AA917" s="27">
        <f t="shared" si="8"/>
        <v>4843.820509</v>
      </c>
      <c r="AB917" s="27">
        <f t="shared" si="9"/>
        <v>364.1970308</v>
      </c>
      <c r="AC917" s="26" t="s">
        <v>42</v>
      </c>
      <c r="AD917" s="57" t="s">
        <v>1845</v>
      </c>
      <c r="AE917" s="130"/>
      <c r="AF917" s="130"/>
      <c r="AG917" s="130"/>
      <c r="AH917" s="130"/>
    </row>
    <row r="918">
      <c r="A918" s="26" t="s">
        <v>1812</v>
      </c>
      <c r="B918" s="26" t="s">
        <v>1824</v>
      </c>
      <c r="C918" s="26" t="s">
        <v>1846</v>
      </c>
      <c r="D918" s="26" t="s">
        <v>1846</v>
      </c>
      <c r="E918" s="25">
        <v>2019.0</v>
      </c>
      <c r="F918" s="25">
        <v>2030.0</v>
      </c>
      <c r="G918" s="25">
        <v>1.0</v>
      </c>
      <c r="H918" s="25">
        <v>17.9</v>
      </c>
      <c r="I918" s="50">
        <v>1.0</v>
      </c>
      <c r="J918" s="25">
        <v>17.9</v>
      </c>
      <c r="K918" s="51">
        <v>0.0</v>
      </c>
      <c r="L918" s="51">
        <v>0.0</v>
      </c>
      <c r="M918" s="25">
        <v>8.0</v>
      </c>
      <c r="N918" s="25"/>
      <c r="O918" s="26" t="s">
        <v>74</v>
      </c>
      <c r="P918" s="52">
        <v>105600.0</v>
      </c>
      <c r="Q918" s="26" t="s">
        <v>1815</v>
      </c>
      <c r="R918" s="25">
        <v>2024.0</v>
      </c>
      <c r="S918" s="25">
        <v>0.0664</v>
      </c>
      <c r="T918" s="25">
        <f t="shared" si="90"/>
        <v>7011.84</v>
      </c>
      <c r="U918" s="24">
        <f t="shared" si="3"/>
        <v>391.722905</v>
      </c>
      <c r="V918" s="3">
        <f t="shared" si="28"/>
        <v>0</v>
      </c>
      <c r="W918" s="3">
        <f t="shared" si="29"/>
        <v>0</v>
      </c>
      <c r="X918" s="3">
        <f t="shared" si="30"/>
        <v>0</v>
      </c>
      <c r="Y918" s="25">
        <f t="shared" si="96"/>
        <v>0</v>
      </c>
      <c r="Z918" s="26">
        <f>VLOOKUP(R918,CPI!$A$2:$F$71,6,0)</f>
        <v>1</v>
      </c>
      <c r="AA918" s="27">
        <f t="shared" si="8"/>
        <v>7011.84</v>
      </c>
      <c r="AB918" s="27">
        <f t="shared" si="9"/>
        <v>391.722905</v>
      </c>
      <c r="AC918" s="26" t="s">
        <v>42</v>
      </c>
      <c r="AD918" s="53" t="s">
        <v>1847</v>
      </c>
      <c r="AE918" s="130"/>
      <c r="AF918" s="130"/>
      <c r="AG918" s="130"/>
      <c r="AH918" s="130"/>
    </row>
    <row r="919">
      <c r="A919" s="142" t="s">
        <v>1812</v>
      </c>
      <c r="B919" s="142" t="s">
        <v>1824</v>
      </c>
      <c r="C919" s="142" t="s">
        <v>1848</v>
      </c>
      <c r="D919" s="142" t="s">
        <v>1848</v>
      </c>
      <c r="E919" s="152">
        <v>2023.0</v>
      </c>
      <c r="F919" s="152">
        <v>2032.0</v>
      </c>
      <c r="G919" s="152">
        <v>0.0</v>
      </c>
      <c r="H919" s="152">
        <v>16.0</v>
      </c>
      <c r="I919" s="244">
        <v>0.1</v>
      </c>
      <c r="J919" s="152">
        <v>1.6</v>
      </c>
      <c r="K919" s="152">
        <v>12.8</v>
      </c>
      <c r="L919" s="152">
        <v>1.6</v>
      </c>
      <c r="M919" s="152">
        <v>13.0</v>
      </c>
      <c r="N919" s="152"/>
      <c r="O919" s="142" t="s">
        <v>42</v>
      </c>
      <c r="P919" s="245">
        <v>42500.0</v>
      </c>
      <c r="Q919" s="142" t="s">
        <v>1815</v>
      </c>
      <c r="R919" s="152">
        <v>2027.0</v>
      </c>
      <c r="S919" s="152">
        <v>0.0664</v>
      </c>
      <c r="T919" s="75">
        <f t="shared" si="90"/>
        <v>2822</v>
      </c>
      <c r="U919" s="24">
        <f t="shared" si="3"/>
        <v>176.375</v>
      </c>
      <c r="V919" s="3">
        <f t="shared" si="28"/>
        <v>0</v>
      </c>
      <c r="W919" s="3">
        <f t="shared" si="29"/>
        <v>0</v>
      </c>
      <c r="X919" s="3">
        <f t="shared" si="30"/>
        <v>0</v>
      </c>
      <c r="Y919" s="25">
        <f t="shared" si="96"/>
        <v>0</v>
      </c>
      <c r="Z919" s="26">
        <f>VLOOKUP(R919,CPI!$A$2:$F$71,6,0)</f>
        <v>1</v>
      </c>
      <c r="AA919" s="27">
        <f t="shared" si="8"/>
        <v>2822</v>
      </c>
      <c r="AB919" s="27">
        <f t="shared" si="9"/>
        <v>176.375</v>
      </c>
      <c r="AC919" s="63" t="s">
        <v>42</v>
      </c>
      <c r="AD919" s="246" t="s">
        <v>1849</v>
      </c>
      <c r="AE919" s="7"/>
      <c r="AF919" s="7"/>
      <c r="AG919" s="7"/>
      <c r="AH919" s="7"/>
    </row>
    <row r="920">
      <c r="A920" s="26" t="s">
        <v>1812</v>
      </c>
      <c r="B920" s="26" t="s">
        <v>1824</v>
      </c>
      <c r="C920" s="26" t="s">
        <v>1850</v>
      </c>
      <c r="D920" s="26" t="s">
        <v>1850</v>
      </c>
      <c r="E920" s="25">
        <v>2019.0</v>
      </c>
      <c r="F920" s="25"/>
      <c r="G920" s="25">
        <v>0.0</v>
      </c>
      <c r="H920" s="25">
        <v>11.5</v>
      </c>
      <c r="I920" s="50">
        <v>0.0</v>
      </c>
      <c r="J920" s="25">
        <v>0.0</v>
      </c>
      <c r="K920" s="51">
        <v>0.0</v>
      </c>
      <c r="L920" s="51">
        <v>0.0</v>
      </c>
      <c r="M920" s="25">
        <v>8.0</v>
      </c>
      <c r="N920" s="25"/>
      <c r="O920" s="26" t="s">
        <v>60</v>
      </c>
      <c r="P920" s="52">
        <v>19558.0</v>
      </c>
      <c r="Q920" s="26" t="s">
        <v>1815</v>
      </c>
      <c r="R920" s="25">
        <v>2020.0</v>
      </c>
      <c r="S920" s="25">
        <v>0.0664</v>
      </c>
      <c r="T920" s="25">
        <f t="shared" si="90"/>
        <v>1298.6512</v>
      </c>
      <c r="U920" s="24">
        <f t="shared" si="3"/>
        <v>112.9261913</v>
      </c>
      <c r="V920" s="3">
        <f t="shared" si="28"/>
        <v>0</v>
      </c>
      <c r="W920" s="3">
        <f t="shared" si="29"/>
        <v>0</v>
      </c>
      <c r="X920" s="3">
        <f t="shared" si="30"/>
        <v>0</v>
      </c>
      <c r="Y920" s="25">
        <f t="shared" si="96"/>
        <v>0</v>
      </c>
      <c r="Z920" s="26">
        <f>VLOOKUP(R920,CPI!$A$2:$F$71,6,0)</f>
        <v>1.244593545</v>
      </c>
      <c r="AA920" s="27">
        <f t="shared" si="8"/>
        <v>1616.292901</v>
      </c>
      <c r="AB920" s="27">
        <f t="shared" si="9"/>
        <v>140.5472088</v>
      </c>
      <c r="AC920" s="26" t="s">
        <v>60</v>
      </c>
      <c r="AD920" s="53" t="s">
        <v>1851</v>
      </c>
      <c r="AE920" s="130"/>
      <c r="AF920" s="130"/>
      <c r="AG920" s="130"/>
      <c r="AH920" s="130"/>
    </row>
    <row r="921">
      <c r="A921" s="26" t="s">
        <v>1852</v>
      </c>
      <c r="B921" s="26" t="s">
        <v>1853</v>
      </c>
      <c r="C921" s="1" t="s">
        <v>856</v>
      </c>
      <c r="D921" s="26" t="s">
        <v>1854</v>
      </c>
      <c r="E921" s="25">
        <v>2018.0</v>
      </c>
      <c r="F921" s="25">
        <v>2024.0</v>
      </c>
      <c r="G921" s="25">
        <v>0.0</v>
      </c>
      <c r="H921" s="25">
        <v>3.5</v>
      </c>
      <c r="I921" s="50">
        <v>1.0</v>
      </c>
      <c r="J921" s="25">
        <v>3.5</v>
      </c>
      <c r="K921" s="51">
        <v>0.0</v>
      </c>
      <c r="L921" s="51">
        <v>0.0</v>
      </c>
      <c r="M921" s="25">
        <v>2.0</v>
      </c>
      <c r="N921" s="25"/>
      <c r="O921" s="26" t="s">
        <v>60</v>
      </c>
      <c r="P921" s="52">
        <v>382.0</v>
      </c>
      <c r="Q921" s="26" t="s">
        <v>52</v>
      </c>
      <c r="R921" s="25">
        <v>2021.0</v>
      </c>
      <c r="S921" s="25">
        <v>3.9</v>
      </c>
      <c r="T921" s="25">
        <f t="shared" si="90"/>
        <v>1489.8</v>
      </c>
      <c r="U921" s="24">
        <f t="shared" si="3"/>
        <v>425.6571429</v>
      </c>
      <c r="V921" s="3">
        <f t="shared" si="28"/>
        <v>0</v>
      </c>
      <c r="W921" s="3">
        <f t="shared" si="29"/>
        <v>0</v>
      </c>
      <c r="X921" s="3">
        <f t="shared" si="30"/>
        <v>0</v>
      </c>
      <c r="Y921" s="25">
        <f t="shared" si="96"/>
        <v>0</v>
      </c>
      <c r="Z921" s="26">
        <f>VLOOKUP(R921,CPI!$A$2:$F$71,6,0)</f>
        <v>1.188745987</v>
      </c>
      <c r="AA921" s="27">
        <f t="shared" si="8"/>
        <v>1770.993771</v>
      </c>
      <c r="AB921" s="27">
        <f t="shared" si="9"/>
        <v>505.9982203</v>
      </c>
      <c r="AC921" s="26" t="s">
        <v>36</v>
      </c>
      <c r="AD921" s="53" t="s">
        <v>1855</v>
      </c>
      <c r="AE921" s="130"/>
      <c r="AF921" s="130"/>
      <c r="AG921" s="130"/>
      <c r="AH921" s="130"/>
    </row>
    <row r="922">
      <c r="A922" s="363" t="s">
        <v>1852</v>
      </c>
      <c r="B922" s="363" t="s">
        <v>1856</v>
      </c>
      <c r="C922" s="1" t="s">
        <v>856</v>
      </c>
      <c r="D922" s="363" t="s">
        <v>1857</v>
      </c>
      <c r="E922" s="18">
        <v>2018.0</v>
      </c>
      <c r="F922" s="18">
        <v>2022.0</v>
      </c>
      <c r="G922" s="18">
        <v>0.0</v>
      </c>
      <c r="H922" s="18">
        <v>3.7</v>
      </c>
      <c r="I922" s="364">
        <v>1.0</v>
      </c>
      <c r="J922" s="18">
        <v>3.7</v>
      </c>
      <c r="K922" s="21">
        <v>0.0</v>
      </c>
      <c r="L922" s="21">
        <v>0.0</v>
      </c>
      <c r="M922" s="18">
        <v>2.0</v>
      </c>
      <c r="N922" s="18"/>
      <c r="O922" s="363" t="s">
        <v>60</v>
      </c>
      <c r="P922" s="365">
        <v>5993.0</v>
      </c>
      <c r="Q922" s="363" t="s">
        <v>1858</v>
      </c>
      <c r="R922" s="18">
        <v>2020.0</v>
      </c>
      <c r="S922" s="18">
        <v>0.121</v>
      </c>
      <c r="T922" s="18">
        <f t="shared" si="90"/>
        <v>725.153</v>
      </c>
      <c r="U922" s="24">
        <f t="shared" si="3"/>
        <v>195.9872973</v>
      </c>
      <c r="V922" s="3">
        <f t="shared" si="28"/>
        <v>0</v>
      </c>
      <c r="W922" s="3">
        <f t="shared" si="29"/>
        <v>0</v>
      </c>
      <c r="X922" s="3">
        <f t="shared" si="30"/>
        <v>0</v>
      </c>
      <c r="Y922" s="25">
        <f t="shared" si="96"/>
        <v>0</v>
      </c>
      <c r="Z922" s="26">
        <f>VLOOKUP(R922,CPI!$A$2:$F$71,6,0)</f>
        <v>1.244593545</v>
      </c>
      <c r="AA922" s="27">
        <f t="shared" si="8"/>
        <v>902.520743</v>
      </c>
      <c r="AB922" s="27">
        <f t="shared" si="9"/>
        <v>243.9245251</v>
      </c>
      <c r="AC922" s="363" t="s">
        <v>42</v>
      </c>
      <c r="AD922" s="366" t="s">
        <v>1859</v>
      </c>
      <c r="AE922" s="130"/>
      <c r="AF922" s="130"/>
      <c r="AG922" s="130"/>
      <c r="AH922" s="130"/>
    </row>
    <row r="923">
      <c r="A923" s="2" t="s">
        <v>1852</v>
      </c>
      <c r="B923" s="2" t="s">
        <v>1856</v>
      </c>
      <c r="C923" s="1" t="s">
        <v>1764</v>
      </c>
      <c r="D923" s="2" t="s">
        <v>1764</v>
      </c>
      <c r="E923" s="3">
        <v>2021.0</v>
      </c>
      <c r="F923" s="3">
        <v>2026.0</v>
      </c>
      <c r="G923" s="3">
        <v>0.0</v>
      </c>
      <c r="H923" s="3">
        <v>20.0</v>
      </c>
      <c r="I923" s="39">
        <v>0.65</v>
      </c>
      <c r="J923" s="3">
        <v>13.0</v>
      </c>
      <c r="K923" s="40">
        <v>0.0</v>
      </c>
      <c r="L923" s="40">
        <v>0.0</v>
      </c>
      <c r="M923" s="3">
        <v>13.0</v>
      </c>
      <c r="N923" s="3"/>
      <c r="O923" s="2" t="s">
        <v>36</v>
      </c>
      <c r="P923" s="41">
        <v>2000.0</v>
      </c>
      <c r="Q923" s="2" t="s">
        <v>37</v>
      </c>
      <c r="R923" s="3">
        <v>2023.0</v>
      </c>
      <c r="S923" s="3">
        <v>3.0</v>
      </c>
      <c r="T923" s="3">
        <f t="shared" si="90"/>
        <v>6000</v>
      </c>
      <c r="U923" s="24">
        <f t="shared" si="3"/>
        <v>300</v>
      </c>
      <c r="V923" s="3">
        <f t="shared" si="28"/>
        <v>0</v>
      </c>
      <c r="W923" s="3">
        <f t="shared" si="29"/>
        <v>0</v>
      </c>
      <c r="X923" s="3">
        <f t="shared" si="30"/>
        <v>0</v>
      </c>
      <c r="Y923" s="25">
        <f t="shared" si="96"/>
        <v>0</v>
      </c>
      <c r="Z923" s="26">
        <f>VLOOKUP(R923,CPI!$A$2:$F$71,6,0)</f>
        <v>1.057145998</v>
      </c>
      <c r="AA923" s="27">
        <f t="shared" si="8"/>
        <v>6342.87599</v>
      </c>
      <c r="AB923" s="27">
        <f t="shared" si="9"/>
        <v>317.1437995</v>
      </c>
      <c r="AC923" s="2" t="s">
        <v>36</v>
      </c>
      <c r="AD923" s="42" t="s">
        <v>1860</v>
      </c>
      <c r="AE923" s="130"/>
      <c r="AF923" s="130"/>
      <c r="AG923" s="130"/>
      <c r="AH923" s="130"/>
    </row>
    <row r="924">
      <c r="A924" s="26" t="s">
        <v>1861</v>
      </c>
      <c r="B924" s="26" t="s">
        <v>1862</v>
      </c>
      <c r="C924" s="1" t="s">
        <v>1863</v>
      </c>
      <c r="D924" s="26" t="s">
        <v>1864</v>
      </c>
      <c r="E924" s="25">
        <v>1993.0</v>
      </c>
      <c r="F924" s="25">
        <v>1999.0</v>
      </c>
      <c r="G924" s="25">
        <v>0.0</v>
      </c>
      <c r="H924" s="25">
        <v>16.0</v>
      </c>
      <c r="I924" s="50">
        <v>0.8</v>
      </c>
      <c r="J924" s="25">
        <v>12.8</v>
      </c>
      <c r="K924" s="51">
        <v>0.0</v>
      </c>
      <c r="L924" s="51">
        <v>0.0</v>
      </c>
      <c r="M924" s="58">
        <v>11.0</v>
      </c>
      <c r="N924" s="58">
        <v>125.0</v>
      </c>
      <c r="O924" s="26" t="s">
        <v>74</v>
      </c>
      <c r="P924" s="55">
        <v>3132.0</v>
      </c>
      <c r="Q924" s="26" t="s">
        <v>1865</v>
      </c>
      <c r="R924" s="25">
        <v>1996.0</v>
      </c>
      <c r="S924" s="25">
        <v>1.4</v>
      </c>
      <c r="T924" s="25">
        <f t="shared" si="90"/>
        <v>4384.8</v>
      </c>
      <c r="U924" s="24">
        <f t="shared" si="3"/>
        <v>274.05</v>
      </c>
      <c r="V924" s="3">
        <f t="shared" si="28"/>
        <v>0</v>
      </c>
      <c r="W924" s="3">
        <f t="shared" si="29"/>
        <v>0</v>
      </c>
      <c r="X924" s="3">
        <f t="shared" si="30"/>
        <v>0</v>
      </c>
      <c r="Y924" s="25">
        <f t="shared" si="96"/>
        <v>1</v>
      </c>
      <c r="Z924" s="26">
        <f>VLOOKUP(R924,CPI!$A$2:$F$71,6,0)</f>
        <v>2.052992352</v>
      </c>
      <c r="AA924" s="27">
        <f t="shared" si="8"/>
        <v>9001.960864</v>
      </c>
      <c r="AB924" s="27">
        <f t="shared" si="9"/>
        <v>562.622554</v>
      </c>
      <c r="AC924" s="26" t="s">
        <v>42</v>
      </c>
      <c r="AD924" s="87" t="s">
        <v>1866</v>
      </c>
      <c r="AE924" s="6"/>
      <c r="AF924" s="6"/>
      <c r="AG924" s="6"/>
      <c r="AH924" s="6"/>
    </row>
    <row r="925">
      <c r="A925" s="2" t="s">
        <v>1861</v>
      </c>
      <c r="B925" s="2" t="s">
        <v>1862</v>
      </c>
      <c r="C925" s="2" t="s">
        <v>1867</v>
      </c>
      <c r="D925" s="1" t="s">
        <v>1868</v>
      </c>
      <c r="E925" s="3">
        <v>2009.0</v>
      </c>
      <c r="F925" s="85">
        <v>2022.0</v>
      </c>
      <c r="G925" s="3">
        <v>1.0</v>
      </c>
      <c r="H925" s="3">
        <v>21.0</v>
      </c>
      <c r="I925" s="39">
        <v>1.0</v>
      </c>
      <c r="J925" s="3">
        <v>21.0</v>
      </c>
      <c r="K925" s="40">
        <v>0.0</v>
      </c>
      <c r="L925" s="40">
        <v>0.0</v>
      </c>
      <c r="M925" s="3">
        <v>8.0</v>
      </c>
      <c r="N925" s="3"/>
      <c r="O925" s="2" t="s">
        <v>59</v>
      </c>
      <c r="P925" s="41">
        <v>13328.0</v>
      </c>
      <c r="Q925" s="2" t="s">
        <v>1865</v>
      </c>
      <c r="R925" s="3">
        <v>2015.0</v>
      </c>
      <c r="S925" s="3">
        <v>1.4</v>
      </c>
      <c r="T925" s="3">
        <f t="shared" si="90"/>
        <v>18659.2</v>
      </c>
      <c r="U925" s="24">
        <f t="shared" si="3"/>
        <v>888.5333333</v>
      </c>
      <c r="V925" s="3">
        <f t="shared" si="28"/>
        <v>0</v>
      </c>
      <c r="W925" s="3">
        <f t="shared" si="29"/>
        <v>0</v>
      </c>
      <c r="X925" s="3">
        <f t="shared" si="30"/>
        <v>0</v>
      </c>
      <c r="Y925" s="25">
        <f t="shared" si="96"/>
        <v>1</v>
      </c>
      <c r="Z925" s="26">
        <f>VLOOKUP(R925,CPI!$A$2:$F$71,6,0)</f>
        <v>1.359035428</v>
      </c>
      <c r="AA925" s="27">
        <f t="shared" si="8"/>
        <v>25358.51386</v>
      </c>
      <c r="AB925" s="27">
        <f t="shared" si="9"/>
        <v>1207.548279</v>
      </c>
      <c r="AC925" s="1" t="s">
        <v>60</v>
      </c>
      <c r="AD925" s="2"/>
      <c r="AE925" s="6"/>
      <c r="AF925" s="6"/>
      <c r="AG925" s="6"/>
      <c r="AH925" s="6"/>
    </row>
    <row r="926">
      <c r="A926" s="26" t="s">
        <v>1861</v>
      </c>
      <c r="B926" s="26" t="s">
        <v>1862</v>
      </c>
      <c r="C926" s="16" t="s">
        <v>1869</v>
      </c>
      <c r="D926" s="26" t="s">
        <v>1870</v>
      </c>
      <c r="E926" s="25">
        <v>2015.0</v>
      </c>
      <c r="F926" s="25">
        <v>2021.0</v>
      </c>
      <c r="G926" s="25">
        <v>0.0</v>
      </c>
      <c r="H926" s="25">
        <v>3.2</v>
      </c>
      <c r="I926" s="50">
        <v>1.0</v>
      </c>
      <c r="J926" s="25">
        <v>3.2</v>
      </c>
      <c r="K926" s="51">
        <v>0.0</v>
      </c>
      <c r="L926" s="51">
        <v>0.0</v>
      </c>
      <c r="M926" s="25">
        <v>2.0</v>
      </c>
      <c r="N926" s="58">
        <v>107.0</v>
      </c>
      <c r="O926" s="26" t="s">
        <v>42</v>
      </c>
      <c r="P926" s="52">
        <v>1200.0</v>
      </c>
      <c r="Q926" s="26" t="s">
        <v>1865</v>
      </c>
      <c r="R926" s="25">
        <v>2017.0</v>
      </c>
      <c r="S926" s="25">
        <v>1.47</v>
      </c>
      <c r="T926" s="25">
        <f t="shared" si="90"/>
        <v>1764</v>
      </c>
      <c r="U926" s="24">
        <f t="shared" si="3"/>
        <v>551.25</v>
      </c>
      <c r="V926" s="3">
        <f t="shared" si="28"/>
        <v>0</v>
      </c>
      <c r="W926" s="3">
        <f t="shared" si="29"/>
        <v>0</v>
      </c>
      <c r="X926" s="3">
        <f t="shared" si="30"/>
        <v>0</v>
      </c>
      <c r="Y926" s="25">
        <f t="shared" si="96"/>
        <v>1</v>
      </c>
      <c r="Z926" s="26">
        <f>VLOOKUP(R926,CPI!$A$2:$F$71,6,0)</f>
        <v>1.314109416</v>
      </c>
      <c r="AA926" s="27">
        <f t="shared" si="8"/>
        <v>2318.089009</v>
      </c>
      <c r="AB926" s="27">
        <f t="shared" si="9"/>
        <v>724.4028155</v>
      </c>
      <c r="AC926" s="26" t="s">
        <v>42</v>
      </c>
      <c r="AD926" s="57" t="s">
        <v>1871</v>
      </c>
      <c r="AE926" s="6"/>
      <c r="AF926" s="6"/>
      <c r="AG926" s="6"/>
      <c r="AH926" s="6"/>
    </row>
    <row r="927">
      <c r="A927" s="34" t="s">
        <v>1872</v>
      </c>
      <c r="B927" s="34" t="s">
        <v>1873</v>
      </c>
      <c r="C927" s="367" t="s">
        <v>127</v>
      </c>
      <c r="D927" s="34" t="s">
        <v>1874</v>
      </c>
      <c r="E927" s="34">
        <v>2013.0</v>
      </c>
      <c r="F927" s="367">
        <v>2022.0</v>
      </c>
      <c r="G927" s="34">
        <v>0.0</v>
      </c>
      <c r="H927" s="34">
        <v>7.6</v>
      </c>
      <c r="I927" s="368">
        <v>0.0</v>
      </c>
      <c r="J927" s="34">
        <v>0.0</v>
      </c>
      <c r="K927" s="369">
        <v>0.78</v>
      </c>
      <c r="L927" s="369">
        <v>6.82</v>
      </c>
      <c r="M927" s="34">
        <v>7.0</v>
      </c>
      <c r="N927" s="25"/>
      <c r="O927" s="34" t="s">
        <v>60</v>
      </c>
      <c r="P927" s="370">
        <v>2289.0</v>
      </c>
      <c r="Q927" s="34" t="s">
        <v>37</v>
      </c>
      <c r="R927" s="34">
        <v>2020.0</v>
      </c>
      <c r="S927" s="34">
        <v>1.0</v>
      </c>
      <c r="T927" s="25">
        <f t="shared" si="90"/>
        <v>2289</v>
      </c>
      <c r="U927" s="24">
        <f t="shared" si="3"/>
        <v>301.1842105</v>
      </c>
      <c r="V927" s="3">
        <f t="shared" si="28"/>
        <v>0</v>
      </c>
      <c r="W927" s="3">
        <f t="shared" si="29"/>
        <v>0</v>
      </c>
      <c r="X927" s="3">
        <f t="shared" si="30"/>
        <v>0</v>
      </c>
      <c r="Y927" s="25">
        <f t="shared" si="96"/>
        <v>1</v>
      </c>
      <c r="Z927" s="26">
        <f>VLOOKUP(R927,CPI!$A$2:$F$71,6,0)</f>
        <v>1.244593545</v>
      </c>
      <c r="AA927" s="27">
        <f t="shared" si="8"/>
        <v>2848.874625</v>
      </c>
      <c r="AB927" s="27">
        <f t="shared" si="9"/>
        <v>374.8519243</v>
      </c>
      <c r="AC927" s="34" t="s">
        <v>60</v>
      </c>
      <c r="AD927" s="325" t="s">
        <v>1875</v>
      </c>
      <c r="AE927" s="6"/>
      <c r="AF927" s="6"/>
      <c r="AG927" s="6"/>
      <c r="AH927" s="6"/>
    </row>
    <row r="928">
      <c r="A928" s="115" t="s">
        <v>1872</v>
      </c>
      <c r="B928" s="115" t="s">
        <v>1876</v>
      </c>
      <c r="C928" s="115" t="s">
        <v>1536</v>
      </c>
      <c r="D928" s="115" t="s">
        <v>1536</v>
      </c>
      <c r="E928" s="82">
        <v>1987.0</v>
      </c>
      <c r="F928" s="115">
        <v>1993.0</v>
      </c>
      <c r="G928" s="82">
        <v>0.0</v>
      </c>
      <c r="H928" s="82">
        <v>14.4</v>
      </c>
      <c r="I928" s="247">
        <v>0.0</v>
      </c>
      <c r="J928" s="82">
        <v>0.0</v>
      </c>
      <c r="K928" s="115">
        <v>4.0</v>
      </c>
      <c r="L928" s="115">
        <v>10.4</v>
      </c>
      <c r="M928" s="82">
        <v>7.0</v>
      </c>
      <c r="N928" s="82">
        <v>120.0</v>
      </c>
      <c r="O928" s="115" t="s">
        <v>59</v>
      </c>
      <c r="P928" s="248">
        <v>500.0</v>
      </c>
      <c r="Q928" s="115" t="s">
        <v>37</v>
      </c>
      <c r="R928" s="115">
        <v>1990.0</v>
      </c>
      <c r="S928" s="115">
        <v>1.0</v>
      </c>
      <c r="T928" s="118">
        <f t="shared" si="90"/>
        <v>500</v>
      </c>
      <c r="U928" s="24">
        <f t="shared" si="3"/>
        <v>34.72222222</v>
      </c>
      <c r="V928" s="3">
        <f t="shared" si="28"/>
        <v>0</v>
      </c>
      <c r="W928" s="3">
        <f t="shared" si="29"/>
        <v>0</v>
      </c>
      <c r="X928" s="3">
        <f t="shared" si="30"/>
        <v>0</v>
      </c>
      <c r="Y928" s="25">
        <f t="shared" si="96"/>
        <v>1</v>
      </c>
      <c r="Z928" s="26">
        <f>VLOOKUP(R928,CPI!$A$2:$F$71,6,0)</f>
        <v>2.464533282</v>
      </c>
      <c r="AA928" s="27">
        <f t="shared" si="8"/>
        <v>1232.266641</v>
      </c>
      <c r="AB928" s="27">
        <f t="shared" si="9"/>
        <v>85.5740723</v>
      </c>
      <c r="AC928" s="115" t="s">
        <v>36</v>
      </c>
      <c r="AD928" s="249" t="s">
        <v>1877</v>
      </c>
      <c r="AE928" s="344"/>
      <c r="AF928" s="114"/>
      <c r="AG928" s="114"/>
      <c r="AH928" s="114"/>
    </row>
    <row r="929">
      <c r="A929" s="34" t="s">
        <v>1872</v>
      </c>
      <c r="B929" s="34" t="s">
        <v>1878</v>
      </c>
      <c r="C929" s="34" t="s">
        <v>1879</v>
      </c>
      <c r="D929" s="34" t="s">
        <v>1879</v>
      </c>
      <c r="E929" s="34">
        <v>2011.0</v>
      </c>
      <c r="F929" s="34">
        <v>2026.0</v>
      </c>
      <c r="G929" s="34">
        <v>0.0</v>
      </c>
      <c r="H929" s="34">
        <v>32.0</v>
      </c>
      <c r="I929" s="368">
        <v>0.0</v>
      </c>
      <c r="J929" s="34">
        <v>0.0</v>
      </c>
      <c r="K929" s="369">
        <v>0.0</v>
      </c>
      <c r="L929" s="369">
        <v>0.0</v>
      </c>
      <c r="M929" s="34">
        <v>21.0</v>
      </c>
      <c r="N929" s="25"/>
      <c r="O929" s="34" t="s">
        <v>36</v>
      </c>
      <c r="P929" s="371">
        <v>11371.0</v>
      </c>
      <c r="Q929" s="34" t="s">
        <v>37</v>
      </c>
      <c r="R929" s="367">
        <v>2018.0</v>
      </c>
      <c r="S929" s="34">
        <v>1.0</v>
      </c>
      <c r="T929" s="25">
        <f t="shared" si="90"/>
        <v>11371</v>
      </c>
      <c r="U929" s="24">
        <f t="shared" si="3"/>
        <v>355.34375</v>
      </c>
      <c r="V929" s="3">
        <f t="shared" si="28"/>
        <v>0</v>
      </c>
      <c r="W929" s="3">
        <f t="shared" si="29"/>
        <v>0</v>
      </c>
      <c r="X929" s="3">
        <f t="shared" si="30"/>
        <v>0</v>
      </c>
      <c r="Y929" s="25">
        <f t="shared" si="96"/>
        <v>1</v>
      </c>
      <c r="Z929" s="26">
        <f>VLOOKUP(R929,CPI!$A$2:$F$71,6,0)</f>
        <v>1.28277786</v>
      </c>
      <c r="AA929" s="27">
        <f t="shared" si="8"/>
        <v>14586.46704</v>
      </c>
      <c r="AB929" s="27">
        <f t="shared" si="9"/>
        <v>455.8270951</v>
      </c>
      <c r="AC929" s="367" t="s">
        <v>42</v>
      </c>
      <c r="AD929" s="372" t="s">
        <v>1880</v>
      </c>
      <c r="AE929" s="6"/>
      <c r="AF929" s="6"/>
      <c r="AG929" s="6"/>
      <c r="AH929" s="6"/>
    </row>
    <row r="930">
      <c r="A930" s="34" t="s">
        <v>1872</v>
      </c>
      <c r="B930" s="34" t="s">
        <v>1881</v>
      </c>
      <c r="C930" s="34" t="s">
        <v>1882</v>
      </c>
      <c r="D930" s="34" t="s">
        <v>1882</v>
      </c>
      <c r="E930" s="34">
        <v>2014.0</v>
      </c>
      <c r="F930" s="367">
        <v>2022.0</v>
      </c>
      <c r="G930" s="34">
        <v>0.0</v>
      </c>
      <c r="H930" s="34">
        <v>13.7</v>
      </c>
      <c r="I930" s="368">
        <v>0.34</v>
      </c>
      <c r="J930" s="34">
        <v>4.7</v>
      </c>
      <c r="K930" s="369">
        <v>0.0</v>
      </c>
      <c r="L930" s="369">
        <v>0.0</v>
      </c>
      <c r="M930" s="34">
        <v>9.0</v>
      </c>
      <c r="N930" s="25"/>
      <c r="O930" s="34" t="s">
        <v>74</v>
      </c>
      <c r="P930" s="370">
        <v>2100.0</v>
      </c>
      <c r="Q930" s="34" t="s">
        <v>37</v>
      </c>
      <c r="R930" s="34">
        <v>2017.0</v>
      </c>
      <c r="S930" s="34">
        <v>1.0</v>
      </c>
      <c r="T930" s="58">
        <v>2058.0</v>
      </c>
      <c r="U930" s="24">
        <f t="shared" si="3"/>
        <v>150.2189781</v>
      </c>
      <c r="V930" s="3">
        <f t="shared" si="28"/>
        <v>0</v>
      </c>
      <c r="W930" s="3">
        <f t="shared" si="29"/>
        <v>0</v>
      </c>
      <c r="X930" s="3">
        <f t="shared" si="30"/>
        <v>0</v>
      </c>
      <c r="Y930" s="25">
        <f t="shared" si="96"/>
        <v>1</v>
      </c>
      <c r="Z930" s="26">
        <f>VLOOKUP(R930,CPI!$A$2:$F$71,6,0)</f>
        <v>1.314109416</v>
      </c>
      <c r="AA930" s="27">
        <f t="shared" si="8"/>
        <v>2704.437178</v>
      </c>
      <c r="AB930" s="27">
        <f t="shared" si="9"/>
        <v>197.4041736</v>
      </c>
      <c r="AC930" s="34" t="s">
        <v>42</v>
      </c>
      <c r="AD930" s="372" t="s">
        <v>1883</v>
      </c>
      <c r="AE930" s="6"/>
      <c r="AF930" s="6"/>
      <c r="AG930" s="6"/>
      <c r="AH930" s="6"/>
    </row>
    <row r="931">
      <c r="A931" s="26" t="s">
        <v>1872</v>
      </c>
      <c r="B931" s="26" t="s">
        <v>1881</v>
      </c>
      <c r="C931" s="26" t="s">
        <v>1884</v>
      </c>
      <c r="D931" s="26" t="s">
        <v>1884</v>
      </c>
      <c r="E931" s="25">
        <v>2014.0</v>
      </c>
      <c r="F931" s="25">
        <v>2022.0</v>
      </c>
      <c r="G931" s="25">
        <v>0.0</v>
      </c>
      <c r="H931" s="25">
        <v>3.1</v>
      </c>
      <c r="I931" s="50">
        <v>1.0</v>
      </c>
      <c r="J931" s="25">
        <v>3.1</v>
      </c>
      <c r="K931" s="51">
        <v>0.0</v>
      </c>
      <c r="L931" s="51">
        <v>0.0</v>
      </c>
      <c r="M931" s="25">
        <v>3.0</v>
      </c>
      <c r="N931" s="25"/>
      <c r="O931" s="26" t="s">
        <v>60</v>
      </c>
      <c r="P931" s="52">
        <v>1756.0</v>
      </c>
      <c r="Q931" s="26" t="s">
        <v>37</v>
      </c>
      <c r="R931" s="25">
        <v>2018.0</v>
      </c>
      <c r="S931" s="25">
        <v>1.0</v>
      </c>
      <c r="T931" s="25">
        <f t="shared" ref="T931:T1021" si="99">P931*S931</f>
        <v>1756</v>
      </c>
      <c r="U931" s="24">
        <f t="shared" si="3"/>
        <v>566.4516129</v>
      </c>
      <c r="V931" s="3">
        <f t="shared" si="28"/>
        <v>0</v>
      </c>
      <c r="W931" s="3">
        <f t="shared" si="29"/>
        <v>0</v>
      </c>
      <c r="X931" s="3">
        <f t="shared" si="30"/>
        <v>0</v>
      </c>
      <c r="Y931" s="25">
        <f t="shared" si="96"/>
        <v>1</v>
      </c>
      <c r="Z931" s="26">
        <f>VLOOKUP(R931,CPI!$A$2:$F$71,6,0)</f>
        <v>1.28277786</v>
      </c>
      <c r="AA931" s="27">
        <f t="shared" si="8"/>
        <v>2252.557922</v>
      </c>
      <c r="AB931" s="27">
        <f t="shared" si="9"/>
        <v>726.6315876</v>
      </c>
      <c r="AC931" s="26" t="s">
        <v>60</v>
      </c>
      <c r="AD931" s="53" t="s">
        <v>1885</v>
      </c>
      <c r="AE931" s="373"/>
      <c r="AF931" s="373"/>
      <c r="AG931" s="373"/>
      <c r="AH931" s="373"/>
    </row>
    <row r="932">
      <c r="A932" s="26" t="s">
        <v>1872</v>
      </c>
      <c r="B932" s="26" t="s">
        <v>1881</v>
      </c>
      <c r="C932" s="1" t="s">
        <v>1886</v>
      </c>
      <c r="D932" s="26" t="s">
        <v>1887</v>
      </c>
      <c r="E932" s="25">
        <v>2014.0</v>
      </c>
      <c r="F932" s="58">
        <v>2024.0</v>
      </c>
      <c r="G932" s="25">
        <v>0.0</v>
      </c>
      <c r="H932" s="25">
        <v>6.3</v>
      </c>
      <c r="I932" s="50">
        <v>1.0</v>
      </c>
      <c r="J932" s="25">
        <v>6.3</v>
      </c>
      <c r="K932" s="51">
        <v>0.0</v>
      </c>
      <c r="L932" s="51">
        <v>0.0</v>
      </c>
      <c r="M932" s="25">
        <v>3.0</v>
      </c>
      <c r="N932" s="25"/>
      <c r="O932" s="26" t="s">
        <v>42</v>
      </c>
      <c r="P932" s="52">
        <v>2800.0</v>
      </c>
      <c r="Q932" s="26" t="s">
        <v>37</v>
      </c>
      <c r="R932" s="25">
        <v>2018.0</v>
      </c>
      <c r="S932" s="25">
        <v>1.0</v>
      </c>
      <c r="T932" s="25">
        <f t="shared" si="99"/>
        <v>2800</v>
      </c>
      <c r="U932" s="24">
        <f t="shared" si="3"/>
        <v>444.4444444</v>
      </c>
      <c r="V932" s="3">
        <f t="shared" si="28"/>
        <v>0</v>
      </c>
      <c r="W932" s="3">
        <f t="shared" si="29"/>
        <v>0</v>
      </c>
      <c r="X932" s="374">
        <f t="shared" si="30"/>
        <v>0</v>
      </c>
      <c r="Y932" s="25">
        <f t="shared" si="96"/>
        <v>1</v>
      </c>
      <c r="Z932" s="26">
        <f>VLOOKUP(R932,CPI!$A$2:$F$71,6,0)</f>
        <v>1.28277786</v>
      </c>
      <c r="AA932" s="27">
        <f t="shared" si="8"/>
        <v>3591.778007</v>
      </c>
      <c r="AB932" s="27">
        <f t="shared" si="9"/>
        <v>570.1234932</v>
      </c>
      <c r="AC932" s="26" t="s">
        <v>42</v>
      </c>
      <c r="AD932" s="53" t="s">
        <v>1888</v>
      </c>
      <c r="AE932" s="373"/>
      <c r="AF932" s="373"/>
      <c r="AG932" s="373"/>
      <c r="AH932" s="373"/>
    </row>
    <row r="933">
      <c r="A933" s="26" t="s">
        <v>1872</v>
      </c>
      <c r="B933" s="26" t="s">
        <v>1881</v>
      </c>
      <c r="C933" s="1" t="s">
        <v>1886</v>
      </c>
      <c r="D933" s="26" t="s">
        <v>1889</v>
      </c>
      <c r="E933" s="25">
        <v>2018.0</v>
      </c>
      <c r="F933" s="25">
        <v>2026.0</v>
      </c>
      <c r="G933" s="25">
        <v>0.0</v>
      </c>
      <c r="H933" s="25">
        <v>4.2</v>
      </c>
      <c r="I933" s="50">
        <v>1.0</v>
      </c>
      <c r="J933" s="25">
        <v>4.2</v>
      </c>
      <c r="K933" s="51">
        <v>0.0</v>
      </c>
      <c r="L933" s="51">
        <v>0.0</v>
      </c>
      <c r="M933" s="25">
        <v>2.0</v>
      </c>
      <c r="N933" s="25"/>
      <c r="O933" s="26" t="s">
        <v>36</v>
      </c>
      <c r="P933" s="52">
        <v>2400.0</v>
      </c>
      <c r="Q933" s="26" t="s">
        <v>37</v>
      </c>
      <c r="R933" s="25">
        <v>2021.0</v>
      </c>
      <c r="S933" s="25">
        <v>1.0</v>
      </c>
      <c r="T933" s="25">
        <f t="shared" si="99"/>
        <v>2400</v>
      </c>
      <c r="U933" s="24">
        <f t="shared" si="3"/>
        <v>571.4285714</v>
      </c>
      <c r="V933" s="3">
        <f t="shared" si="28"/>
        <v>0</v>
      </c>
      <c r="W933" s="3">
        <f t="shared" si="29"/>
        <v>0</v>
      </c>
      <c r="X933" s="3">
        <f t="shared" si="30"/>
        <v>0</v>
      </c>
      <c r="Y933" s="25">
        <f t="shared" si="96"/>
        <v>1</v>
      </c>
      <c r="Z933" s="26">
        <f>VLOOKUP(R933,CPI!$A$2:$F$71,6,0)</f>
        <v>1.188745987</v>
      </c>
      <c r="AA933" s="27">
        <f t="shared" si="8"/>
        <v>2852.990368</v>
      </c>
      <c r="AB933" s="27">
        <f t="shared" si="9"/>
        <v>679.2834209</v>
      </c>
      <c r="AC933" s="26" t="s">
        <v>36</v>
      </c>
      <c r="AD933" s="57" t="s">
        <v>1890</v>
      </c>
      <c r="AE933" s="6"/>
      <c r="AF933" s="6"/>
      <c r="AG933" s="6"/>
      <c r="AH933" s="6"/>
    </row>
    <row r="934">
      <c r="A934" s="26" t="s">
        <v>1872</v>
      </c>
      <c r="B934" s="26" t="s">
        <v>1881</v>
      </c>
      <c r="C934" s="1" t="s">
        <v>1886</v>
      </c>
      <c r="D934" s="26" t="s">
        <v>1891</v>
      </c>
      <c r="E934" s="25">
        <v>2020.0</v>
      </c>
      <c r="F934" s="25">
        <v>2027.0</v>
      </c>
      <c r="G934" s="25">
        <v>0.0</v>
      </c>
      <c r="H934" s="25">
        <v>4.2</v>
      </c>
      <c r="I934" s="50">
        <v>1.0</v>
      </c>
      <c r="J934" s="25">
        <v>4.2</v>
      </c>
      <c r="K934" s="51">
        <v>0.0</v>
      </c>
      <c r="L934" s="51">
        <v>0.0</v>
      </c>
      <c r="M934" s="25">
        <v>2.0</v>
      </c>
      <c r="N934" s="25"/>
      <c r="O934" s="26" t="s">
        <v>42</v>
      </c>
      <c r="P934" s="52">
        <v>3600.0</v>
      </c>
      <c r="Q934" s="26" t="s">
        <v>37</v>
      </c>
      <c r="R934" s="25">
        <v>2023.0</v>
      </c>
      <c r="S934" s="25">
        <v>1.0</v>
      </c>
      <c r="T934" s="25">
        <f t="shared" si="99"/>
        <v>3600</v>
      </c>
      <c r="U934" s="24">
        <f t="shared" si="3"/>
        <v>857.1428571</v>
      </c>
      <c r="V934" s="3">
        <f t="shared" si="28"/>
        <v>0</v>
      </c>
      <c r="W934" s="3">
        <f t="shared" si="29"/>
        <v>0</v>
      </c>
      <c r="X934" s="3">
        <f t="shared" si="30"/>
        <v>0</v>
      </c>
      <c r="Y934" s="25">
        <f t="shared" si="96"/>
        <v>1</v>
      </c>
      <c r="Z934" s="26">
        <f>VLOOKUP(R934,CPI!$A$2:$F$71,6,0)</f>
        <v>1.057145998</v>
      </c>
      <c r="AA934" s="27">
        <f t="shared" si="8"/>
        <v>3805.725594</v>
      </c>
      <c r="AB934" s="27">
        <f t="shared" si="9"/>
        <v>906.1251415</v>
      </c>
      <c r="AC934" s="26" t="s">
        <v>42</v>
      </c>
      <c r="AD934" s="57" t="s">
        <v>1892</v>
      </c>
      <c r="AE934" s="6"/>
      <c r="AF934" s="6"/>
      <c r="AG934" s="6"/>
      <c r="AH934" s="6"/>
    </row>
    <row r="935">
      <c r="A935" s="26" t="s">
        <v>1872</v>
      </c>
      <c r="B935" s="26" t="s">
        <v>1893</v>
      </c>
      <c r="C935" s="26" t="s">
        <v>1894</v>
      </c>
      <c r="D935" s="26" t="s">
        <v>1894</v>
      </c>
      <c r="E935" s="25">
        <v>2009.0</v>
      </c>
      <c r="F935" s="25">
        <v>2012.0</v>
      </c>
      <c r="G935" s="25">
        <v>0.0</v>
      </c>
      <c r="H935" s="25">
        <v>3.9</v>
      </c>
      <c r="I935" s="50">
        <v>0.0</v>
      </c>
      <c r="J935" s="25">
        <v>0.0</v>
      </c>
      <c r="K935" s="58">
        <v>3.9</v>
      </c>
      <c r="L935" s="51">
        <v>0.0</v>
      </c>
      <c r="M935" s="25">
        <v>1.0</v>
      </c>
      <c r="N935" s="25"/>
      <c r="O935" s="26" t="s">
        <v>60</v>
      </c>
      <c r="P935" s="52">
        <v>506.0</v>
      </c>
      <c r="Q935" s="26" t="s">
        <v>37</v>
      </c>
      <c r="R935" s="25">
        <v>2010.0</v>
      </c>
      <c r="S935" s="25">
        <v>1.0</v>
      </c>
      <c r="T935" s="25">
        <f t="shared" si="99"/>
        <v>506</v>
      </c>
      <c r="U935" s="24">
        <f t="shared" si="3"/>
        <v>129.7435897</v>
      </c>
      <c r="V935" s="3">
        <f t="shared" si="28"/>
        <v>0</v>
      </c>
      <c r="W935" s="3">
        <f t="shared" si="29"/>
        <v>0</v>
      </c>
      <c r="X935" s="3">
        <f t="shared" si="30"/>
        <v>0</v>
      </c>
      <c r="Y935" s="25">
        <f t="shared" si="96"/>
        <v>1</v>
      </c>
      <c r="Z935" s="26">
        <f>VLOOKUP(R935,CPI!$A$2:$F$71,6,0)</f>
        <v>1.477209983</v>
      </c>
      <c r="AA935" s="27">
        <f t="shared" si="8"/>
        <v>747.4682513</v>
      </c>
      <c r="AB935" s="27">
        <f t="shared" si="9"/>
        <v>191.658526</v>
      </c>
      <c r="AC935" s="26" t="s">
        <v>60</v>
      </c>
      <c r="AD935" s="53" t="s">
        <v>1895</v>
      </c>
      <c r="AE935" s="373"/>
      <c r="AF935" s="373"/>
      <c r="AG935" s="373"/>
      <c r="AH935" s="373"/>
    </row>
    <row r="936">
      <c r="A936" s="26" t="s">
        <v>1872</v>
      </c>
      <c r="B936" s="26" t="s">
        <v>1896</v>
      </c>
      <c r="C936" s="1" t="s">
        <v>228</v>
      </c>
      <c r="D936" s="26" t="s">
        <v>1897</v>
      </c>
      <c r="E936" s="25">
        <v>2007.0</v>
      </c>
      <c r="F936" s="25">
        <v>2014.0</v>
      </c>
      <c r="G936" s="25">
        <v>0.0</v>
      </c>
      <c r="H936" s="25">
        <v>1.6</v>
      </c>
      <c r="I936" s="50">
        <v>1.0</v>
      </c>
      <c r="J936" s="25">
        <v>1.6</v>
      </c>
      <c r="K936" s="51">
        <v>0.0</v>
      </c>
      <c r="L936" s="51">
        <v>0.0</v>
      </c>
      <c r="M936" s="25">
        <v>1.0</v>
      </c>
      <c r="N936" s="25"/>
      <c r="O936" s="26" t="s">
        <v>59</v>
      </c>
      <c r="P936" s="52">
        <v>2400.0</v>
      </c>
      <c r="Q936" s="26" t="s">
        <v>37</v>
      </c>
      <c r="R936" s="58">
        <v>2010.0</v>
      </c>
      <c r="S936" s="25">
        <v>1.0</v>
      </c>
      <c r="T936" s="25">
        <f t="shared" si="99"/>
        <v>2400</v>
      </c>
      <c r="U936" s="24">
        <f t="shared" si="3"/>
        <v>1500</v>
      </c>
      <c r="V936" s="3">
        <f t="shared" si="28"/>
        <v>0</v>
      </c>
      <c r="W936" s="3">
        <f t="shared" si="29"/>
        <v>0</v>
      </c>
      <c r="X936" s="3">
        <f t="shared" si="30"/>
        <v>0</v>
      </c>
      <c r="Y936" s="25">
        <f t="shared" si="96"/>
        <v>1</v>
      </c>
      <c r="Z936" s="26">
        <f>VLOOKUP(R936,CPI!$A$2:$F$71,6,0)</f>
        <v>1.477209983</v>
      </c>
      <c r="AA936" s="27">
        <f t="shared" si="8"/>
        <v>3545.303959</v>
      </c>
      <c r="AB936" s="27">
        <f t="shared" si="9"/>
        <v>2215.814974</v>
      </c>
      <c r="AC936" s="26" t="s">
        <v>60</v>
      </c>
      <c r="AD936" s="53" t="s">
        <v>1898</v>
      </c>
      <c r="AE936" s="6"/>
      <c r="AF936" s="6"/>
      <c r="AG936" s="6"/>
      <c r="AH936" s="6"/>
    </row>
    <row r="937">
      <c r="A937" s="26" t="s">
        <v>1872</v>
      </c>
      <c r="B937" s="26" t="s">
        <v>1896</v>
      </c>
      <c r="C937" s="1" t="s">
        <v>1899</v>
      </c>
      <c r="D937" s="26" t="s">
        <v>1900</v>
      </c>
      <c r="E937" s="25">
        <v>2007.0</v>
      </c>
      <c r="F937" s="25">
        <v>2016.0</v>
      </c>
      <c r="G937" s="25">
        <v>0.0</v>
      </c>
      <c r="H937" s="58">
        <v>2.7</v>
      </c>
      <c r="I937" s="50">
        <v>1.0</v>
      </c>
      <c r="J937" s="58">
        <v>2.7</v>
      </c>
      <c r="K937" s="51">
        <v>0.0</v>
      </c>
      <c r="L937" s="51">
        <v>0.0</v>
      </c>
      <c r="M937" s="25">
        <v>3.0</v>
      </c>
      <c r="N937" s="58">
        <v>187.0</v>
      </c>
      <c r="O937" s="26" t="s">
        <v>59</v>
      </c>
      <c r="P937" s="55">
        <v>4601.0</v>
      </c>
      <c r="Q937" s="26" t="s">
        <v>37</v>
      </c>
      <c r="R937" s="58">
        <v>2011.0</v>
      </c>
      <c r="S937" s="25">
        <v>1.0</v>
      </c>
      <c r="T937" s="25">
        <f t="shared" si="99"/>
        <v>4601</v>
      </c>
      <c r="U937" s="24">
        <f t="shared" si="3"/>
        <v>1704.074074</v>
      </c>
      <c r="V937" s="3">
        <f t="shared" si="28"/>
        <v>0</v>
      </c>
      <c r="W937" s="3">
        <f t="shared" si="29"/>
        <v>0</v>
      </c>
      <c r="X937" s="3">
        <f t="shared" si="30"/>
        <v>0</v>
      </c>
      <c r="Y937" s="25">
        <f t="shared" si="96"/>
        <v>1</v>
      </c>
      <c r="Z937" s="26">
        <f>VLOOKUP(R937,CPI!$A$2:$F$71,6,0)</f>
        <v>1.432008233</v>
      </c>
      <c r="AA937" s="27">
        <f t="shared" si="8"/>
        <v>6588.669882</v>
      </c>
      <c r="AB937" s="27">
        <f t="shared" si="9"/>
        <v>2440.248104</v>
      </c>
      <c r="AC937" s="26" t="s">
        <v>42</v>
      </c>
      <c r="AD937" s="83" t="s">
        <v>1901</v>
      </c>
      <c r="AE937" s="6"/>
      <c r="AF937" s="6"/>
      <c r="AG937" s="6"/>
      <c r="AH937" s="6"/>
    </row>
    <row r="938">
      <c r="A938" s="26" t="s">
        <v>1872</v>
      </c>
      <c r="B938" s="26" t="s">
        <v>1896</v>
      </c>
      <c r="C938" s="26" t="s">
        <v>1902</v>
      </c>
      <c r="D938" s="26" t="s">
        <v>1902</v>
      </c>
      <c r="E938" s="25">
        <v>2007.0</v>
      </c>
      <c r="F938" s="25">
        <v>2022.0</v>
      </c>
      <c r="G938" s="25">
        <v>1.0</v>
      </c>
      <c r="H938" s="25">
        <v>2.8</v>
      </c>
      <c r="I938" s="50">
        <v>1.0</v>
      </c>
      <c r="J938" s="25">
        <v>2.8</v>
      </c>
      <c r="K938" s="51">
        <v>0.0</v>
      </c>
      <c r="L938" s="51">
        <v>0.0</v>
      </c>
      <c r="M938" s="25">
        <v>1.0</v>
      </c>
      <c r="N938" s="25"/>
      <c r="O938" s="26" t="s">
        <v>59</v>
      </c>
      <c r="P938" s="52">
        <v>11000.0</v>
      </c>
      <c r="Q938" s="26" t="s">
        <v>37</v>
      </c>
      <c r="R938" s="25">
        <v>2015.0</v>
      </c>
      <c r="S938" s="25">
        <v>1.0</v>
      </c>
      <c r="T938" s="25">
        <f t="shared" si="99"/>
        <v>11000</v>
      </c>
      <c r="U938" s="24">
        <f t="shared" si="3"/>
        <v>3928.571429</v>
      </c>
      <c r="V938" s="3">
        <f t="shared" si="28"/>
        <v>0</v>
      </c>
      <c r="W938" s="3">
        <f t="shared" si="29"/>
        <v>0</v>
      </c>
      <c r="X938" s="3">
        <f t="shared" si="30"/>
        <v>0</v>
      </c>
      <c r="Y938" s="25">
        <f t="shared" si="96"/>
        <v>1</v>
      </c>
      <c r="Z938" s="26">
        <f>VLOOKUP(R938,CPI!$A$2:$F$71,6,0)</f>
        <v>1.359035428</v>
      </c>
      <c r="AA938" s="27">
        <f t="shared" si="8"/>
        <v>14949.38971</v>
      </c>
      <c r="AB938" s="27">
        <f t="shared" si="9"/>
        <v>5339.067752</v>
      </c>
      <c r="AC938" s="26" t="s">
        <v>42</v>
      </c>
      <c r="AD938" s="53" t="s">
        <v>1903</v>
      </c>
      <c r="AE938" s="15"/>
      <c r="AF938" s="15"/>
      <c r="AG938" s="15"/>
      <c r="AH938" s="15"/>
    </row>
    <row r="939">
      <c r="A939" s="26" t="s">
        <v>1872</v>
      </c>
      <c r="B939" s="26" t="s">
        <v>1896</v>
      </c>
      <c r="C939" s="26" t="s">
        <v>1904</v>
      </c>
      <c r="D939" s="26" t="s">
        <v>1904</v>
      </c>
      <c r="E939" s="25">
        <v>2019.0</v>
      </c>
      <c r="F939" s="25">
        <v>2026.0</v>
      </c>
      <c r="G939" s="25">
        <v>1.0</v>
      </c>
      <c r="H939" s="25">
        <v>5.3</v>
      </c>
      <c r="I939" s="50">
        <v>1.0</v>
      </c>
      <c r="J939" s="25">
        <v>5.3</v>
      </c>
      <c r="K939" s="51">
        <v>0.0</v>
      </c>
      <c r="L939" s="51">
        <v>0.0</v>
      </c>
      <c r="M939" s="25">
        <v>0.0</v>
      </c>
      <c r="N939" s="25"/>
      <c r="O939" s="26" t="s">
        <v>59</v>
      </c>
      <c r="P939" s="52">
        <v>9500.0</v>
      </c>
      <c r="Q939" s="26" t="s">
        <v>37</v>
      </c>
      <c r="R939" s="25">
        <v>2023.0</v>
      </c>
      <c r="S939" s="25">
        <v>1.0</v>
      </c>
      <c r="T939" s="25">
        <f t="shared" si="99"/>
        <v>9500</v>
      </c>
      <c r="U939" s="24">
        <f t="shared" si="3"/>
        <v>1792.45283</v>
      </c>
      <c r="V939" s="3">
        <f t="shared" si="28"/>
        <v>0</v>
      </c>
      <c r="W939" s="3">
        <f t="shared" si="29"/>
        <v>0</v>
      </c>
      <c r="X939" s="3">
        <f t="shared" si="30"/>
        <v>0</v>
      </c>
      <c r="Y939" s="25">
        <f t="shared" si="96"/>
        <v>1</v>
      </c>
      <c r="Z939" s="26">
        <f>VLOOKUP(R939,CPI!$A$2:$F$71,6,0)</f>
        <v>1.057145998</v>
      </c>
      <c r="AA939" s="27">
        <f t="shared" si="8"/>
        <v>10042.88698</v>
      </c>
      <c r="AB939" s="27">
        <f t="shared" si="9"/>
        <v>1894.884337</v>
      </c>
      <c r="AC939" s="26" t="s">
        <v>60</v>
      </c>
      <c r="AD939" s="53" t="s">
        <v>1905</v>
      </c>
      <c r="AE939" s="6"/>
      <c r="AF939" s="6"/>
      <c r="AG939" s="6"/>
      <c r="AH939" s="6"/>
    </row>
    <row r="940">
      <c r="A940" s="26" t="s">
        <v>1872</v>
      </c>
      <c r="B940" s="26" t="s">
        <v>1896</v>
      </c>
      <c r="C940" s="1" t="s">
        <v>1899</v>
      </c>
      <c r="D940" s="26" t="s">
        <v>1906</v>
      </c>
      <c r="E940" s="25">
        <v>2019.0</v>
      </c>
      <c r="F940" s="25">
        <v>2029.0</v>
      </c>
      <c r="G940" s="25">
        <v>0.0</v>
      </c>
      <c r="H940" s="25">
        <v>2.6</v>
      </c>
      <c r="I940" s="50">
        <v>1.0</v>
      </c>
      <c r="J940" s="25">
        <v>2.6</v>
      </c>
      <c r="K940" s="51">
        <v>0.0</v>
      </c>
      <c r="L940" s="51">
        <v>0.0</v>
      </c>
      <c r="M940" s="25">
        <v>3.0</v>
      </c>
      <c r="N940" s="58">
        <v>187.0</v>
      </c>
      <c r="O940" s="26" t="s">
        <v>59</v>
      </c>
      <c r="P940" s="55">
        <v>6949.0</v>
      </c>
      <c r="Q940" s="26" t="s">
        <v>37</v>
      </c>
      <c r="R940" s="25">
        <v>2024.0</v>
      </c>
      <c r="S940" s="25">
        <v>1.0</v>
      </c>
      <c r="T940" s="25">
        <f t="shared" si="99"/>
        <v>6949</v>
      </c>
      <c r="U940" s="24">
        <f t="shared" si="3"/>
        <v>2672.692308</v>
      </c>
      <c r="V940" s="3">
        <f t="shared" si="28"/>
        <v>0</v>
      </c>
      <c r="W940" s="3">
        <f t="shared" si="29"/>
        <v>0</v>
      </c>
      <c r="X940" s="3">
        <f t="shared" si="30"/>
        <v>0</v>
      </c>
      <c r="Y940" s="25">
        <f t="shared" si="96"/>
        <v>1</v>
      </c>
      <c r="Z940" s="26">
        <f>VLOOKUP(R940,CPI!$A$2:$F$71,6,0)</f>
        <v>1</v>
      </c>
      <c r="AA940" s="27">
        <f t="shared" si="8"/>
        <v>6949</v>
      </c>
      <c r="AB940" s="27">
        <f t="shared" si="9"/>
        <v>2672.692308</v>
      </c>
      <c r="AC940" s="26" t="s">
        <v>36</v>
      </c>
      <c r="AD940" s="88" t="s">
        <v>1907</v>
      </c>
      <c r="AE940" s="15"/>
      <c r="AF940" s="15"/>
      <c r="AG940" s="15"/>
      <c r="AH940" s="15"/>
    </row>
    <row r="941">
      <c r="A941" s="115" t="s">
        <v>1872</v>
      </c>
      <c r="B941" s="115" t="s">
        <v>1908</v>
      </c>
      <c r="C941" s="115" t="s">
        <v>1909</v>
      </c>
      <c r="D941" s="115" t="s">
        <v>1910</v>
      </c>
      <c r="E941" s="82">
        <v>1976.0</v>
      </c>
      <c r="F941" s="115">
        <v>1984.0</v>
      </c>
      <c r="G941" s="82">
        <v>1.0</v>
      </c>
      <c r="H941" s="82">
        <v>2.9</v>
      </c>
      <c r="I941" s="247">
        <v>0.69</v>
      </c>
      <c r="J941" s="82">
        <v>2.0</v>
      </c>
      <c r="K941" s="115"/>
      <c r="L941" s="115"/>
      <c r="M941" s="82">
        <v>1.0</v>
      </c>
      <c r="N941" s="82">
        <v>350.0</v>
      </c>
      <c r="O941" s="115" t="s">
        <v>59</v>
      </c>
      <c r="P941" s="248">
        <v>330.0</v>
      </c>
      <c r="Q941" s="115" t="s">
        <v>37</v>
      </c>
      <c r="R941" s="115">
        <v>1980.0</v>
      </c>
      <c r="S941" s="115">
        <v>1.0</v>
      </c>
      <c r="T941" s="118">
        <f t="shared" si="99"/>
        <v>330</v>
      </c>
      <c r="U941" s="24">
        <f t="shared" si="3"/>
        <v>113.7931034</v>
      </c>
      <c r="V941" s="3">
        <f t="shared" si="28"/>
        <v>0</v>
      </c>
      <c r="W941" s="3">
        <f t="shared" si="29"/>
        <v>0</v>
      </c>
      <c r="X941" s="3">
        <f t="shared" si="30"/>
        <v>0</v>
      </c>
      <c r="Y941" s="25">
        <f t="shared" si="96"/>
        <v>1</v>
      </c>
      <c r="Z941" s="26">
        <f>VLOOKUP(R941,CPI!$A$2:$F$71,6,0)</f>
        <v>3.909156553</v>
      </c>
      <c r="AA941" s="27">
        <f t="shared" si="8"/>
        <v>1290.021663</v>
      </c>
      <c r="AB941" s="27">
        <f t="shared" si="9"/>
        <v>444.8350561</v>
      </c>
      <c r="AC941" s="115" t="s">
        <v>42</v>
      </c>
      <c r="AD941" s="249" t="s">
        <v>1911</v>
      </c>
      <c r="AE941" s="344"/>
      <c r="AF941" s="114"/>
      <c r="AG941" s="114"/>
      <c r="AH941" s="114"/>
    </row>
    <row r="942">
      <c r="A942" s="26" t="s">
        <v>1872</v>
      </c>
      <c r="B942" s="26" t="s">
        <v>1912</v>
      </c>
      <c r="C942" s="26" t="s">
        <v>1913</v>
      </c>
      <c r="D942" s="26" t="s">
        <v>1913</v>
      </c>
      <c r="E942" s="25">
        <v>2010.0</v>
      </c>
      <c r="F942" s="25">
        <v>2021.0</v>
      </c>
      <c r="G942" s="25">
        <v>0.0</v>
      </c>
      <c r="H942" s="25">
        <v>2.7</v>
      </c>
      <c r="I942" s="50">
        <v>1.0</v>
      </c>
      <c r="J942" s="25">
        <v>2.7</v>
      </c>
      <c r="K942" s="51">
        <v>0.0</v>
      </c>
      <c r="L942" s="51">
        <v>0.0</v>
      </c>
      <c r="M942" s="25">
        <v>4.0</v>
      </c>
      <c r="N942" s="25"/>
      <c r="O942" s="26" t="s">
        <v>42</v>
      </c>
      <c r="P942" s="52">
        <v>1670.0</v>
      </c>
      <c r="Q942" s="26" t="s">
        <v>37</v>
      </c>
      <c r="R942" s="25">
        <v>2014.0</v>
      </c>
      <c r="S942" s="25">
        <v>1.0</v>
      </c>
      <c r="T942" s="25">
        <f t="shared" si="99"/>
        <v>1670</v>
      </c>
      <c r="U942" s="24">
        <f t="shared" si="3"/>
        <v>618.5185185</v>
      </c>
      <c r="V942" s="3">
        <f t="shared" si="28"/>
        <v>0</v>
      </c>
      <c r="W942" s="3">
        <f t="shared" si="29"/>
        <v>0</v>
      </c>
      <c r="X942" s="3">
        <f t="shared" si="30"/>
        <v>0</v>
      </c>
      <c r="Y942" s="25">
        <f t="shared" si="96"/>
        <v>1</v>
      </c>
      <c r="Z942" s="26">
        <f>VLOOKUP(R942,CPI!$A$2:$F$71,6,0)</f>
        <v>1.360648571</v>
      </c>
      <c r="AA942" s="27">
        <f t="shared" si="8"/>
        <v>2272.283113</v>
      </c>
      <c r="AB942" s="27">
        <f t="shared" si="9"/>
        <v>841.5863381</v>
      </c>
      <c r="AC942" s="26" t="s">
        <v>42</v>
      </c>
      <c r="AD942" s="53" t="s">
        <v>1914</v>
      </c>
      <c r="AE942" s="6"/>
      <c r="AF942" s="6"/>
      <c r="AG942" s="6"/>
      <c r="AH942" s="6"/>
    </row>
    <row r="943">
      <c r="A943" s="26" t="s">
        <v>1872</v>
      </c>
      <c r="B943" s="26" t="s">
        <v>1912</v>
      </c>
      <c r="C943" s="26" t="s">
        <v>1915</v>
      </c>
      <c r="D943" s="26" t="s">
        <v>1915</v>
      </c>
      <c r="E943" s="58">
        <v>2024.0</v>
      </c>
      <c r="F943" s="58">
        <v>2036.0</v>
      </c>
      <c r="G943" s="25">
        <v>0.0</v>
      </c>
      <c r="H943" s="25">
        <v>9.6</v>
      </c>
      <c r="I943" s="50">
        <v>0.83</v>
      </c>
      <c r="J943" s="25">
        <v>8.0</v>
      </c>
      <c r="K943" s="51">
        <v>0.0</v>
      </c>
      <c r="L943" s="51">
        <v>0.0</v>
      </c>
      <c r="M943" s="25">
        <v>4.0</v>
      </c>
      <c r="N943" s="25"/>
      <c r="O943" s="26" t="s">
        <v>60</v>
      </c>
      <c r="P943" s="55">
        <v>12200.0</v>
      </c>
      <c r="Q943" s="26" t="s">
        <v>37</v>
      </c>
      <c r="R943" s="58">
        <v>2030.0</v>
      </c>
      <c r="S943" s="25">
        <v>1.0</v>
      </c>
      <c r="T943" s="25">
        <f t="shared" si="99"/>
        <v>12200</v>
      </c>
      <c r="U943" s="24">
        <f t="shared" si="3"/>
        <v>1270.833333</v>
      </c>
      <c r="V943" s="3">
        <f t="shared" si="28"/>
        <v>0</v>
      </c>
      <c r="W943" s="3">
        <f t="shared" si="29"/>
        <v>0</v>
      </c>
      <c r="X943" s="3">
        <f t="shared" si="30"/>
        <v>0</v>
      </c>
      <c r="Y943" s="25">
        <f t="shared" si="96"/>
        <v>1</v>
      </c>
      <c r="Z943" s="26">
        <f>VLOOKUP(R943,CPI!$A$2:$F$71,6,0)</f>
        <v>1</v>
      </c>
      <c r="AA943" s="27">
        <f t="shared" si="8"/>
        <v>12200</v>
      </c>
      <c r="AB943" s="27">
        <f t="shared" si="9"/>
        <v>1270.833333</v>
      </c>
      <c r="AC943" s="63" t="s">
        <v>42</v>
      </c>
      <c r="AD943" s="56" t="s">
        <v>1916</v>
      </c>
      <c r="AE943" s="6"/>
      <c r="AF943" s="6"/>
      <c r="AG943" s="6"/>
      <c r="AH943" s="6"/>
    </row>
    <row r="944">
      <c r="A944" s="26" t="s">
        <v>1872</v>
      </c>
      <c r="B944" s="26" t="s">
        <v>1917</v>
      </c>
      <c r="C944" s="26" t="s">
        <v>1918</v>
      </c>
      <c r="D944" s="26" t="s">
        <v>1918</v>
      </c>
      <c r="E944" s="25">
        <v>2009.0</v>
      </c>
      <c r="F944" s="25">
        <v>2016.0</v>
      </c>
      <c r="G944" s="25">
        <v>0.0</v>
      </c>
      <c r="H944" s="25">
        <v>5.1</v>
      </c>
      <c r="I944" s="50">
        <v>1.0</v>
      </c>
      <c r="J944" s="25">
        <v>5.1</v>
      </c>
      <c r="K944" s="51">
        <v>0.0</v>
      </c>
      <c r="L944" s="51">
        <v>0.0</v>
      </c>
      <c r="M944" s="25">
        <v>2.0</v>
      </c>
      <c r="N944" s="25"/>
      <c r="O944" s="26" t="s">
        <v>42</v>
      </c>
      <c r="P944" s="52">
        <v>1756.0</v>
      </c>
      <c r="Q944" s="26" t="s">
        <v>37</v>
      </c>
      <c r="R944" s="25">
        <v>2012.0</v>
      </c>
      <c r="S944" s="25">
        <v>1.0</v>
      </c>
      <c r="T944" s="25">
        <f t="shared" si="99"/>
        <v>1756</v>
      </c>
      <c r="U944" s="24">
        <f t="shared" si="3"/>
        <v>344.3137255</v>
      </c>
      <c r="V944" s="3">
        <f t="shared" si="28"/>
        <v>0</v>
      </c>
      <c r="W944" s="3">
        <f t="shared" si="29"/>
        <v>0</v>
      </c>
      <c r="X944" s="3">
        <f t="shared" si="30"/>
        <v>0</v>
      </c>
      <c r="Y944" s="25">
        <f t="shared" si="96"/>
        <v>1</v>
      </c>
      <c r="Z944" s="26">
        <f>VLOOKUP(R944,CPI!$A$2:$F$71,6,0)</f>
        <v>1.402974381</v>
      </c>
      <c r="AA944" s="27">
        <f t="shared" si="8"/>
        <v>2463.623013</v>
      </c>
      <c r="AB944" s="27">
        <f t="shared" si="9"/>
        <v>483.0633358</v>
      </c>
      <c r="AC944" s="26" t="s">
        <v>60</v>
      </c>
      <c r="AD944" s="57" t="s">
        <v>1919</v>
      </c>
      <c r="AE944" s="6"/>
      <c r="AF944" s="6"/>
      <c r="AG944" s="6"/>
      <c r="AH944" s="6"/>
    </row>
    <row r="945">
      <c r="A945" s="26" t="s">
        <v>1872</v>
      </c>
      <c r="B945" s="26" t="s">
        <v>1917</v>
      </c>
      <c r="C945" s="26" t="s">
        <v>2093</v>
      </c>
      <c r="D945" s="26" t="s">
        <v>2093</v>
      </c>
      <c r="E945" s="25">
        <v>2026.0</v>
      </c>
      <c r="F945" s="25">
        <v>2036.0</v>
      </c>
      <c r="G945" s="25">
        <v>0.0</v>
      </c>
      <c r="H945" s="25">
        <v>19.0</v>
      </c>
      <c r="I945" s="50">
        <v>0.32</v>
      </c>
      <c r="J945" s="25">
        <v>6.0</v>
      </c>
      <c r="K945" s="51">
        <v>0.0</v>
      </c>
      <c r="L945" s="51">
        <v>0.0</v>
      </c>
      <c r="M945" s="25">
        <v>13.0</v>
      </c>
      <c r="N945" s="25"/>
      <c r="O945" s="26" t="s">
        <v>60</v>
      </c>
      <c r="P945" s="52">
        <v>12341.0</v>
      </c>
      <c r="Q945" s="26" t="s">
        <v>37</v>
      </c>
      <c r="R945" s="25">
        <v>2020.0</v>
      </c>
      <c r="S945" s="25">
        <v>1.0</v>
      </c>
      <c r="T945" s="25">
        <f t="shared" si="99"/>
        <v>12341</v>
      </c>
      <c r="U945" s="24">
        <f t="shared" si="3"/>
        <v>649.5263158</v>
      </c>
      <c r="V945" s="3">
        <f t="shared" si="28"/>
        <v>0</v>
      </c>
      <c r="W945" s="3">
        <f t="shared" si="29"/>
        <v>0</v>
      </c>
      <c r="X945" s="3">
        <f t="shared" si="30"/>
        <v>0</v>
      </c>
      <c r="Y945" s="25">
        <f t="shared" si="96"/>
        <v>1</v>
      </c>
      <c r="Z945" s="26">
        <f>VLOOKUP(R945,CPI!$A$2:$F$71,6,0)</f>
        <v>1.244593545</v>
      </c>
      <c r="AA945" s="27">
        <f t="shared" si="8"/>
        <v>15359.52894</v>
      </c>
      <c r="AB945" s="27">
        <f t="shared" si="9"/>
        <v>808.39626</v>
      </c>
      <c r="AC945" s="26" t="s">
        <v>60</v>
      </c>
      <c r="AD945" s="53" t="s">
        <v>2094</v>
      </c>
      <c r="AE945" s="6"/>
      <c r="AF945" s="6"/>
      <c r="AG945" s="6"/>
      <c r="AH945" s="6"/>
    </row>
    <row r="946">
      <c r="A946" s="26" t="s">
        <v>1872</v>
      </c>
      <c r="B946" s="26" t="s">
        <v>1924</v>
      </c>
      <c r="C946" s="1" t="s">
        <v>1925</v>
      </c>
      <c r="D946" s="26" t="s">
        <v>1926</v>
      </c>
      <c r="E946" s="25">
        <v>2009.0</v>
      </c>
      <c r="F946" s="25">
        <v>2014.0</v>
      </c>
      <c r="G946" s="25">
        <v>0.0</v>
      </c>
      <c r="H946" s="25">
        <v>18.8</v>
      </c>
      <c r="I946" s="50">
        <v>0.04</v>
      </c>
      <c r="J946" s="25">
        <v>0.7</v>
      </c>
      <c r="K946" s="51">
        <v>0.0</v>
      </c>
      <c r="L946" s="51">
        <v>0.0</v>
      </c>
      <c r="M946" s="25">
        <v>5.0</v>
      </c>
      <c r="N946" s="25"/>
      <c r="O946" s="26" t="s">
        <v>59</v>
      </c>
      <c r="P946" s="52">
        <v>2982.0</v>
      </c>
      <c r="Q946" s="26" t="s">
        <v>37</v>
      </c>
      <c r="R946" s="25">
        <v>2011.0</v>
      </c>
      <c r="S946" s="25">
        <v>1.0</v>
      </c>
      <c r="T946" s="25">
        <f t="shared" si="99"/>
        <v>2982</v>
      </c>
      <c r="U946" s="24">
        <f t="shared" si="3"/>
        <v>158.6170213</v>
      </c>
      <c r="V946" s="3">
        <f t="shared" si="28"/>
        <v>0</v>
      </c>
      <c r="W946" s="3">
        <f t="shared" si="29"/>
        <v>0</v>
      </c>
      <c r="X946" s="3">
        <f t="shared" si="30"/>
        <v>0</v>
      </c>
      <c r="Y946" s="25">
        <f t="shared" si="96"/>
        <v>1</v>
      </c>
      <c r="Z946" s="26">
        <f>VLOOKUP(R946,CPI!$A$2:$F$71,6,0)</f>
        <v>1.432008233</v>
      </c>
      <c r="AA946" s="27">
        <f t="shared" si="8"/>
        <v>4270.248552</v>
      </c>
      <c r="AB946" s="27">
        <f t="shared" si="9"/>
        <v>227.1408804</v>
      </c>
      <c r="AC946" s="26" t="s">
        <v>60</v>
      </c>
      <c r="AD946" s="57" t="s">
        <v>1927</v>
      </c>
      <c r="AE946" s="6"/>
      <c r="AF946" s="6"/>
      <c r="AG946" s="6"/>
      <c r="AH946" s="6"/>
    </row>
    <row r="947">
      <c r="A947" s="26" t="s">
        <v>1872</v>
      </c>
      <c r="B947" s="26" t="s">
        <v>1924</v>
      </c>
      <c r="C947" s="1" t="s">
        <v>1925</v>
      </c>
      <c r="D947" s="26" t="s">
        <v>1928</v>
      </c>
      <c r="E947" s="25">
        <v>2013.0</v>
      </c>
      <c r="F947" s="58">
        <v>2022.0</v>
      </c>
      <c r="G947" s="25">
        <v>0.0</v>
      </c>
      <c r="H947" s="25">
        <v>18.3</v>
      </c>
      <c r="I947" s="50">
        <v>0.0</v>
      </c>
      <c r="J947" s="25">
        <v>0.0</v>
      </c>
      <c r="K947" s="51">
        <v>0.0</v>
      </c>
      <c r="L947" s="51">
        <v>0.0</v>
      </c>
      <c r="M947" s="25">
        <v>6.0</v>
      </c>
      <c r="N947" s="25"/>
      <c r="O947" s="26" t="s">
        <v>60</v>
      </c>
      <c r="P947" s="55">
        <v>3050.0</v>
      </c>
      <c r="Q947" s="26" t="s">
        <v>37</v>
      </c>
      <c r="R947" s="25">
        <v>2017.0</v>
      </c>
      <c r="S947" s="25">
        <v>1.0</v>
      </c>
      <c r="T947" s="25">
        <f t="shared" si="99"/>
        <v>3050</v>
      </c>
      <c r="U947" s="24">
        <f t="shared" si="3"/>
        <v>166.6666667</v>
      </c>
      <c r="V947" s="3">
        <f t="shared" si="28"/>
        <v>0</v>
      </c>
      <c r="W947" s="3">
        <f t="shared" si="29"/>
        <v>0</v>
      </c>
      <c r="X947" s="3">
        <f t="shared" si="30"/>
        <v>0</v>
      </c>
      <c r="Y947" s="25">
        <f t="shared" si="96"/>
        <v>1</v>
      </c>
      <c r="Z947" s="26">
        <f>VLOOKUP(R947,CPI!$A$2:$F$71,6,0)</f>
        <v>1.314109416</v>
      </c>
      <c r="AA947" s="27">
        <f t="shared" si="8"/>
        <v>4008.033718</v>
      </c>
      <c r="AB947" s="27">
        <f t="shared" si="9"/>
        <v>219.018236</v>
      </c>
      <c r="AC947" s="26" t="s">
        <v>60</v>
      </c>
      <c r="AD947" s="109" t="s">
        <v>1929</v>
      </c>
      <c r="AE947" s="6"/>
      <c r="AF947" s="6"/>
      <c r="AG947" s="6"/>
      <c r="AH947" s="6"/>
    </row>
    <row r="948">
      <c r="A948" s="26" t="s">
        <v>1930</v>
      </c>
      <c r="B948" s="26" t="s">
        <v>1931</v>
      </c>
      <c r="C948" s="26" t="s">
        <v>1932</v>
      </c>
      <c r="D948" s="26" t="s">
        <v>1932</v>
      </c>
      <c r="E948" s="25">
        <v>2017.0</v>
      </c>
      <c r="F948" s="25">
        <v>2020.0</v>
      </c>
      <c r="G948" s="25">
        <v>0.0</v>
      </c>
      <c r="H948" s="58">
        <v>6.94</v>
      </c>
      <c r="I948" s="50">
        <v>0.0</v>
      </c>
      <c r="J948" s="58">
        <v>0.0</v>
      </c>
      <c r="K948" s="58">
        <v>6.94</v>
      </c>
      <c r="L948" s="51">
        <v>0.0</v>
      </c>
      <c r="M948" s="25">
        <v>6.0</v>
      </c>
      <c r="N948" s="25"/>
      <c r="O948" s="26" t="s">
        <v>36</v>
      </c>
      <c r="P948" s="52">
        <v>142.2</v>
      </c>
      <c r="Q948" s="26" t="s">
        <v>37</v>
      </c>
      <c r="R948" s="25">
        <v>2018.0</v>
      </c>
      <c r="S948" s="25">
        <v>5.0</v>
      </c>
      <c r="T948" s="25">
        <f t="shared" si="99"/>
        <v>711</v>
      </c>
      <c r="U948" s="24">
        <f t="shared" si="3"/>
        <v>102.4495677</v>
      </c>
      <c r="V948" s="3">
        <f t="shared" si="28"/>
        <v>0</v>
      </c>
      <c r="W948" s="3">
        <f t="shared" si="29"/>
        <v>0</v>
      </c>
      <c r="X948" s="3">
        <f t="shared" si="30"/>
        <v>0</v>
      </c>
      <c r="Y948" s="25">
        <f t="shared" si="96"/>
        <v>0</v>
      </c>
      <c r="Z948" s="26">
        <f>VLOOKUP(R948,CPI!$A$2:$F$71,6,0)</f>
        <v>1.28277786</v>
      </c>
      <c r="AA948" s="27">
        <f t="shared" si="8"/>
        <v>912.0550582</v>
      </c>
      <c r="AB948" s="27">
        <f t="shared" si="9"/>
        <v>131.4200372</v>
      </c>
      <c r="AC948" s="26" t="s">
        <v>60</v>
      </c>
      <c r="AD948" s="53" t="s">
        <v>1933</v>
      </c>
      <c r="AE948" s="6"/>
      <c r="AF948" s="6"/>
      <c r="AG948" s="6"/>
      <c r="AH948" s="6"/>
    </row>
    <row r="949">
      <c r="A949" s="26" t="s">
        <v>1930</v>
      </c>
      <c r="B949" s="26" t="s">
        <v>1931</v>
      </c>
      <c r="C949" s="1" t="s">
        <v>1934</v>
      </c>
      <c r="D949" s="26" t="s">
        <v>1935</v>
      </c>
      <c r="E949" s="25">
        <v>2017.0</v>
      </c>
      <c r="F949" s="25">
        <v>2020.0</v>
      </c>
      <c r="G949" s="25">
        <v>0.0</v>
      </c>
      <c r="H949" s="25">
        <v>2.9</v>
      </c>
      <c r="I949" s="50">
        <v>1.0</v>
      </c>
      <c r="J949" s="25">
        <v>2.9</v>
      </c>
      <c r="K949" s="51">
        <v>0.0</v>
      </c>
      <c r="L949" s="51">
        <v>0.0</v>
      </c>
      <c r="M949" s="25">
        <v>2.0</v>
      </c>
      <c r="N949" s="25"/>
      <c r="O949" s="26" t="s">
        <v>36</v>
      </c>
      <c r="P949" s="52">
        <v>124.8</v>
      </c>
      <c r="Q949" s="26" t="s">
        <v>37</v>
      </c>
      <c r="R949" s="25">
        <v>2018.0</v>
      </c>
      <c r="S949" s="25">
        <v>5.0</v>
      </c>
      <c r="T949" s="25">
        <f t="shared" si="99"/>
        <v>624</v>
      </c>
      <c r="U949" s="24">
        <f t="shared" si="3"/>
        <v>215.1724138</v>
      </c>
      <c r="V949" s="3">
        <f t="shared" si="28"/>
        <v>0</v>
      </c>
      <c r="W949" s="3">
        <f t="shared" si="29"/>
        <v>0</v>
      </c>
      <c r="X949" s="3">
        <f t="shared" si="30"/>
        <v>0</v>
      </c>
      <c r="Y949" s="25">
        <f t="shared" si="96"/>
        <v>0</v>
      </c>
      <c r="Z949" s="26">
        <f>VLOOKUP(R949,CPI!$A$2:$F$71,6,0)</f>
        <v>1.28277786</v>
      </c>
      <c r="AA949" s="27">
        <f t="shared" si="8"/>
        <v>800.4533844</v>
      </c>
      <c r="AB949" s="27">
        <f t="shared" si="9"/>
        <v>276.0184084</v>
      </c>
      <c r="AC949" s="26" t="s">
        <v>36</v>
      </c>
      <c r="AD949" s="53" t="s">
        <v>1936</v>
      </c>
      <c r="AE949" s="6"/>
      <c r="AF949" s="6"/>
      <c r="AG949" s="6"/>
      <c r="AH949" s="6"/>
    </row>
    <row r="950">
      <c r="A950" s="26" t="s">
        <v>1937</v>
      </c>
      <c r="B950" s="26" t="s">
        <v>1938</v>
      </c>
      <c r="C950" s="26" t="s">
        <v>54</v>
      </c>
      <c r="D950" s="26" t="s">
        <v>54</v>
      </c>
      <c r="E950" s="25">
        <v>2011.0</v>
      </c>
      <c r="F950" s="58">
        <v>2021.0</v>
      </c>
      <c r="G950" s="25">
        <v>0.0</v>
      </c>
      <c r="H950" s="25">
        <v>11.5</v>
      </c>
      <c r="I950" s="50">
        <v>0.74</v>
      </c>
      <c r="J950" s="25">
        <v>8.5</v>
      </c>
      <c r="K950" s="51">
        <v>2.99</v>
      </c>
      <c r="L950" s="51">
        <v>0.0</v>
      </c>
      <c r="M950" s="25">
        <v>12.0</v>
      </c>
      <c r="N950" s="25"/>
      <c r="O950" s="26" t="s">
        <v>42</v>
      </c>
      <c r="P950" s="52">
        <v>1.9555E7</v>
      </c>
      <c r="Q950" s="26" t="s">
        <v>1939</v>
      </c>
      <c r="R950" s="25">
        <v>2015.0</v>
      </c>
      <c r="S950" s="25">
        <v>1.26E-4</v>
      </c>
      <c r="T950" s="25">
        <f t="shared" si="99"/>
        <v>2463.93</v>
      </c>
      <c r="U950" s="24">
        <f t="shared" si="3"/>
        <v>214.2547826</v>
      </c>
      <c r="V950" s="3">
        <f t="shared" si="28"/>
        <v>0</v>
      </c>
      <c r="W950" s="3">
        <f t="shared" si="29"/>
        <v>0</v>
      </c>
      <c r="X950" s="3">
        <f t="shared" si="30"/>
        <v>0</v>
      </c>
      <c r="Y950" s="25">
        <f t="shared" si="96"/>
        <v>0</v>
      </c>
      <c r="Z950" s="26">
        <f>VLOOKUP(R950,CPI!$A$2:$F$71,6,0)</f>
        <v>1.359035428</v>
      </c>
      <c r="AA950" s="27">
        <f t="shared" si="8"/>
        <v>3348.568162</v>
      </c>
      <c r="AB950" s="27">
        <f t="shared" si="9"/>
        <v>291.1798401</v>
      </c>
      <c r="AC950" s="26" t="s">
        <v>42</v>
      </c>
      <c r="AD950" s="57" t="s">
        <v>1940</v>
      </c>
      <c r="AE950" s="6"/>
      <c r="AF950" s="6"/>
      <c r="AG950" s="6"/>
      <c r="AH950" s="6"/>
    </row>
    <row r="951">
      <c r="A951" s="26" t="s">
        <v>1937</v>
      </c>
      <c r="B951" s="26" t="s">
        <v>1938</v>
      </c>
      <c r="C951" s="26" t="s">
        <v>87</v>
      </c>
      <c r="D951" s="26" t="s">
        <v>87</v>
      </c>
      <c r="E951" s="25">
        <v>2010.0</v>
      </c>
      <c r="F951" s="58">
        <v>2024.0</v>
      </c>
      <c r="G951" s="25">
        <v>0.0</v>
      </c>
      <c r="H951" s="25">
        <v>12.5</v>
      </c>
      <c r="I951" s="50">
        <v>0.32</v>
      </c>
      <c r="J951" s="25">
        <v>4.0</v>
      </c>
      <c r="K951" s="51">
        <v>8.5</v>
      </c>
      <c r="L951" s="51">
        <v>0.0</v>
      </c>
      <c r="M951" s="25">
        <v>12.0</v>
      </c>
      <c r="N951" s="25"/>
      <c r="O951" s="26" t="s">
        <v>42</v>
      </c>
      <c r="P951" s="55">
        <v>3.482605E7</v>
      </c>
      <c r="Q951" s="26" t="s">
        <v>1939</v>
      </c>
      <c r="R951" s="25">
        <v>2016.0</v>
      </c>
      <c r="S951" s="25">
        <v>1.26E-4</v>
      </c>
      <c r="T951" s="25">
        <f t="shared" si="99"/>
        <v>4388.0823</v>
      </c>
      <c r="U951" s="24">
        <f t="shared" si="3"/>
        <v>351.046584</v>
      </c>
      <c r="V951" s="3">
        <f t="shared" si="28"/>
        <v>0</v>
      </c>
      <c r="W951" s="3">
        <f t="shared" si="29"/>
        <v>0</v>
      </c>
      <c r="X951" s="3">
        <f t="shared" si="30"/>
        <v>0</v>
      </c>
      <c r="Y951" s="25">
        <f t="shared" si="96"/>
        <v>0</v>
      </c>
      <c r="Z951" s="26">
        <f>VLOOKUP(R951,CPI!$A$2:$F$71,6,0)</f>
        <v>1.342104605</v>
      </c>
      <c r="AA951" s="27">
        <f t="shared" si="8"/>
        <v>5889.265463</v>
      </c>
      <c r="AB951" s="27">
        <f t="shared" si="9"/>
        <v>471.1412371</v>
      </c>
      <c r="AC951" s="26" t="s">
        <v>42</v>
      </c>
      <c r="AD951" s="109" t="s">
        <v>1941</v>
      </c>
      <c r="AE951" s="6"/>
      <c r="AF951" s="6"/>
      <c r="AG951" s="6"/>
      <c r="AH951" s="6"/>
    </row>
    <row r="952">
      <c r="A952" s="26" t="s">
        <v>1937</v>
      </c>
      <c r="B952" s="26" t="s">
        <v>1942</v>
      </c>
      <c r="C952" s="26" t="s">
        <v>57</v>
      </c>
      <c r="D952" s="26" t="s">
        <v>57</v>
      </c>
      <c r="E952" s="25">
        <v>2012.0</v>
      </c>
      <c r="F952" s="25">
        <v>2021.0</v>
      </c>
      <c r="G952" s="25">
        <v>0.0</v>
      </c>
      <c r="H952" s="25">
        <v>19.7</v>
      </c>
      <c r="I952" s="50">
        <v>0.13</v>
      </c>
      <c r="J952" s="25">
        <v>2.6</v>
      </c>
      <c r="K952" s="51">
        <v>0.0</v>
      </c>
      <c r="L952" s="51">
        <v>0.0</v>
      </c>
      <c r="M952" s="25">
        <v>14.0</v>
      </c>
      <c r="N952" s="25"/>
      <c r="O952" s="26" t="s">
        <v>60</v>
      </c>
      <c r="P952" s="52">
        <v>4.36E7</v>
      </c>
      <c r="Q952" s="26" t="s">
        <v>1939</v>
      </c>
      <c r="R952" s="25">
        <v>2016.0</v>
      </c>
      <c r="S952" s="25">
        <v>1.26E-4</v>
      </c>
      <c r="T952" s="25">
        <f t="shared" si="99"/>
        <v>5493.6</v>
      </c>
      <c r="U952" s="24">
        <f t="shared" si="3"/>
        <v>278.8629442</v>
      </c>
      <c r="V952" s="3">
        <f t="shared" si="28"/>
        <v>0</v>
      </c>
      <c r="W952" s="3">
        <f t="shared" si="29"/>
        <v>0</v>
      </c>
      <c r="X952" s="3">
        <f t="shared" si="30"/>
        <v>0</v>
      </c>
      <c r="Y952" s="25">
        <f t="shared" si="96"/>
        <v>0</v>
      </c>
      <c r="Z952" s="26">
        <f>VLOOKUP(R952,CPI!$A$2:$F$71,6,0)</f>
        <v>1.342104605</v>
      </c>
      <c r="AA952" s="27">
        <f t="shared" si="8"/>
        <v>7372.98586</v>
      </c>
      <c r="AB952" s="27">
        <f t="shared" si="9"/>
        <v>374.2632416</v>
      </c>
      <c r="AC952" s="26" t="s">
        <v>42</v>
      </c>
      <c r="AD952" s="57" t="s">
        <v>1943</v>
      </c>
      <c r="AE952" s="34"/>
      <c r="AF952" s="34"/>
      <c r="AG952" s="34"/>
      <c r="AH952" s="34"/>
    </row>
    <row r="953">
      <c r="A953" s="26" t="s">
        <v>1937</v>
      </c>
      <c r="B953" s="26" t="s">
        <v>1942</v>
      </c>
      <c r="C953" s="1" t="s">
        <v>54</v>
      </c>
      <c r="D953" s="26" t="s">
        <v>1944</v>
      </c>
      <c r="E953" s="25">
        <v>2020.0</v>
      </c>
      <c r="F953" s="25">
        <v>2026.0</v>
      </c>
      <c r="G953" s="25">
        <v>0.0</v>
      </c>
      <c r="H953" s="25">
        <v>11.3</v>
      </c>
      <c r="I953" s="50">
        <v>0.82</v>
      </c>
      <c r="J953" s="25">
        <v>9.3</v>
      </c>
      <c r="K953" s="51">
        <v>0.0</v>
      </c>
      <c r="L953" s="51">
        <v>0.0</v>
      </c>
      <c r="M953" s="25">
        <v>11.0</v>
      </c>
      <c r="N953" s="25"/>
      <c r="O953" s="26" t="s">
        <v>42</v>
      </c>
      <c r="P953" s="52">
        <v>4.8E7</v>
      </c>
      <c r="Q953" s="26" t="s">
        <v>1939</v>
      </c>
      <c r="R953" s="25">
        <v>2023.0</v>
      </c>
      <c r="S953" s="25">
        <v>1.26E-4</v>
      </c>
      <c r="T953" s="25">
        <f t="shared" si="99"/>
        <v>6048</v>
      </c>
      <c r="U953" s="24">
        <f t="shared" si="3"/>
        <v>535.2212389</v>
      </c>
      <c r="V953" s="3">
        <f t="shared" si="28"/>
        <v>0</v>
      </c>
      <c r="W953" s="3">
        <f t="shared" si="29"/>
        <v>0</v>
      </c>
      <c r="X953" s="3">
        <f t="shared" si="30"/>
        <v>0</v>
      </c>
      <c r="Y953" s="25">
        <f t="shared" si="96"/>
        <v>0</v>
      </c>
      <c r="Z953" s="26">
        <f>VLOOKUP(R953,CPI!$A$2:$F$71,6,0)</f>
        <v>1.057145998</v>
      </c>
      <c r="AA953" s="27">
        <f t="shared" si="8"/>
        <v>6393.618998</v>
      </c>
      <c r="AB953" s="27">
        <f t="shared" si="9"/>
        <v>565.806991</v>
      </c>
      <c r="AC953" s="26" t="s">
        <v>42</v>
      </c>
      <c r="AD953" s="57" t="s">
        <v>1945</v>
      </c>
      <c r="AE953" s="34"/>
      <c r="AF953" s="34"/>
      <c r="AG953" s="34"/>
      <c r="AH953" s="34"/>
    </row>
    <row r="954">
      <c r="A954" s="26" t="s">
        <v>1937</v>
      </c>
      <c r="B954" s="26" t="s">
        <v>1942</v>
      </c>
      <c r="C954" s="1" t="s">
        <v>84</v>
      </c>
      <c r="D954" s="26" t="s">
        <v>1946</v>
      </c>
      <c r="E954" s="25">
        <v>2025.0</v>
      </c>
      <c r="F954" s="25">
        <v>2029.0</v>
      </c>
      <c r="G954" s="25">
        <v>0.0</v>
      </c>
      <c r="H954" s="25">
        <v>8.9</v>
      </c>
      <c r="I954" s="50">
        <v>0.84</v>
      </c>
      <c r="J954" s="25">
        <v>7.5</v>
      </c>
      <c r="K954" s="51">
        <v>0.0</v>
      </c>
      <c r="L954" s="51">
        <v>0.0</v>
      </c>
      <c r="M954" s="25">
        <v>7.0</v>
      </c>
      <c r="N954" s="25"/>
      <c r="O954" s="26" t="s">
        <v>42</v>
      </c>
      <c r="P954" s="52">
        <v>4.16E7</v>
      </c>
      <c r="Q954" s="26" t="s">
        <v>1939</v>
      </c>
      <c r="R954" s="25">
        <v>2027.0</v>
      </c>
      <c r="S954" s="25">
        <v>1.26E-4</v>
      </c>
      <c r="T954" s="25">
        <f t="shared" si="99"/>
        <v>5241.6</v>
      </c>
      <c r="U954" s="24">
        <f t="shared" si="3"/>
        <v>588.9438202</v>
      </c>
      <c r="V954" s="3">
        <f t="shared" si="28"/>
        <v>0</v>
      </c>
      <c r="W954" s="3">
        <f t="shared" si="29"/>
        <v>0</v>
      </c>
      <c r="X954" s="3">
        <f t="shared" si="30"/>
        <v>0</v>
      </c>
      <c r="Y954" s="25">
        <f t="shared" si="96"/>
        <v>0</v>
      </c>
      <c r="Z954" s="26">
        <f>VLOOKUP(R954,CPI!$A$2:$F$71,6,0)</f>
        <v>1</v>
      </c>
      <c r="AA954" s="27">
        <f t="shared" si="8"/>
        <v>5241.6</v>
      </c>
      <c r="AB954" s="27">
        <f t="shared" si="9"/>
        <v>588.9438202</v>
      </c>
      <c r="AC954" s="26" t="s">
        <v>42</v>
      </c>
      <c r="AD954" s="57" t="s">
        <v>1947</v>
      </c>
      <c r="AE954" s="34"/>
      <c r="AF954" s="34"/>
      <c r="AG954" s="34"/>
      <c r="AH954" s="34"/>
    </row>
    <row r="955">
      <c r="A955" s="74" t="s">
        <v>1861</v>
      </c>
      <c r="B955" s="74" t="s">
        <v>1862</v>
      </c>
      <c r="C955" s="237" t="s">
        <v>1948</v>
      </c>
      <c r="D955" s="74" t="s">
        <v>1949</v>
      </c>
      <c r="E955" s="70">
        <v>2004.0</v>
      </c>
      <c r="F955" s="70">
        <v>2005.0</v>
      </c>
      <c r="G955" s="115">
        <v>0.0</v>
      </c>
      <c r="H955" s="70">
        <v>4.4</v>
      </c>
      <c r="I955" s="71">
        <v>0.0</v>
      </c>
      <c r="J955" s="70">
        <v>0.0</v>
      </c>
      <c r="K955" s="70">
        <v>2.8</v>
      </c>
      <c r="L955" s="70">
        <v>1.6</v>
      </c>
      <c r="M955" s="70">
        <v>4.0</v>
      </c>
      <c r="N955" s="70">
        <v>82.0</v>
      </c>
      <c r="O955" s="254" t="s">
        <v>60</v>
      </c>
      <c r="P955" s="73">
        <v>115.0</v>
      </c>
      <c r="Q955" s="74" t="s">
        <v>1950</v>
      </c>
      <c r="R955" s="70">
        <v>2005.0</v>
      </c>
      <c r="S955" s="115">
        <v>1.4</v>
      </c>
      <c r="T955" s="376">
        <f t="shared" si="99"/>
        <v>161</v>
      </c>
      <c r="U955" s="24">
        <f t="shared" si="3"/>
        <v>36.59090909</v>
      </c>
      <c r="V955" s="3">
        <f t="shared" si="28"/>
        <v>0</v>
      </c>
      <c r="W955" s="3">
        <f t="shared" si="29"/>
        <v>0</v>
      </c>
      <c r="X955" s="3">
        <f t="shared" si="30"/>
        <v>0</v>
      </c>
      <c r="Y955" s="69">
        <v>1.0</v>
      </c>
      <c r="Z955" s="26">
        <f>VLOOKUP(R955,CPI!$A$2:$F$71,6,0)</f>
        <v>1.649331797</v>
      </c>
      <c r="AA955" s="27">
        <f t="shared" si="8"/>
        <v>265.5424194</v>
      </c>
      <c r="AB955" s="27">
        <f t="shared" si="9"/>
        <v>60.35054985</v>
      </c>
      <c r="AC955" s="74" t="s">
        <v>1951</v>
      </c>
      <c r="AD955" s="72" t="s">
        <v>1952</v>
      </c>
      <c r="AE955" s="208"/>
      <c r="AF955" s="74"/>
      <c r="AG955" s="114"/>
      <c r="AH955" s="114"/>
    </row>
    <row r="956">
      <c r="A956" s="74" t="s">
        <v>1861</v>
      </c>
      <c r="B956" s="74" t="s">
        <v>1862</v>
      </c>
      <c r="C956" s="237" t="s">
        <v>1948</v>
      </c>
      <c r="D956" s="74" t="s">
        <v>1953</v>
      </c>
      <c r="E956" s="70">
        <v>1996.0</v>
      </c>
      <c r="F956" s="70">
        <v>1999.0</v>
      </c>
      <c r="G956" s="115">
        <v>0.0</v>
      </c>
      <c r="H956" s="70">
        <v>4.2</v>
      </c>
      <c r="I956" s="71">
        <v>0.405</v>
      </c>
      <c r="J956" s="70">
        <v>1.7</v>
      </c>
      <c r="K956" s="70">
        <v>0.8</v>
      </c>
      <c r="L956" s="70">
        <v>1.7</v>
      </c>
      <c r="M956" s="70">
        <v>7.0</v>
      </c>
      <c r="N956" s="70">
        <v>82.0</v>
      </c>
      <c r="O956" s="254" t="s">
        <v>60</v>
      </c>
      <c r="P956" s="73">
        <v>200.0</v>
      </c>
      <c r="Q956" s="74" t="s">
        <v>1950</v>
      </c>
      <c r="R956" s="70">
        <v>1999.0</v>
      </c>
      <c r="S956" s="115">
        <v>1.4</v>
      </c>
      <c r="T956" s="376">
        <f t="shared" si="99"/>
        <v>280</v>
      </c>
      <c r="U956" s="24">
        <f t="shared" si="3"/>
        <v>66.66666667</v>
      </c>
      <c r="V956" s="3">
        <f t="shared" si="28"/>
        <v>0</v>
      </c>
      <c r="W956" s="3">
        <f t="shared" si="29"/>
        <v>0</v>
      </c>
      <c r="X956" s="3">
        <f t="shared" si="30"/>
        <v>0</v>
      </c>
      <c r="Y956" s="69">
        <v>1.0</v>
      </c>
      <c r="Z956" s="26">
        <f>VLOOKUP(R956,CPI!$A$2:$F$71,6,0)</f>
        <v>1.933460384</v>
      </c>
      <c r="AA956" s="27">
        <f t="shared" si="8"/>
        <v>541.3689076</v>
      </c>
      <c r="AB956" s="27">
        <f t="shared" si="9"/>
        <v>128.8973589</v>
      </c>
      <c r="AC956" s="74" t="s">
        <v>1951</v>
      </c>
      <c r="AD956" s="79" t="s">
        <v>2095</v>
      </c>
      <c r="AE956" s="208"/>
      <c r="AF956" s="74"/>
      <c r="AG956" s="114"/>
      <c r="AH956" s="114"/>
    </row>
    <row r="957">
      <c r="A957" s="74" t="s">
        <v>1861</v>
      </c>
      <c r="B957" s="74" t="s">
        <v>1862</v>
      </c>
      <c r="C957" s="237" t="s">
        <v>1948</v>
      </c>
      <c r="D957" s="74" t="s">
        <v>1955</v>
      </c>
      <c r="E957" s="70">
        <v>2005.0</v>
      </c>
      <c r="F957" s="70">
        <v>2009.0</v>
      </c>
      <c r="G957" s="115">
        <v>0.0</v>
      </c>
      <c r="H957" s="70">
        <v>2.5</v>
      </c>
      <c r="I957" s="71">
        <v>0.9113</v>
      </c>
      <c r="J957" s="70">
        <v>2.3</v>
      </c>
      <c r="K957" s="115">
        <v>0.0</v>
      </c>
      <c r="L957" s="70">
        <v>0.25</v>
      </c>
      <c r="M957" s="115">
        <v>1.0</v>
      </c>
      <c r="N957" s="70">
        <v>82.0</v>
      </c>
      <c r="O957" s="254" t="s">
        <v>60</v>
      </c>
      <c r="P957" s="73">
        <v>180.0</v>
      </c>
      <c r="Q957" s="74" t="s">
        <v>1950</v>
      </c>
      <c r="R957" s="70">
        <v>2005.0</v>
      </c>
      <c r="S957" s="115">
        <v>1.4</v>
      </c>
      <c r="T957" s="376">
        <f t="shared" si="99"/>
        <v>252</v>
      </c>
      <c r="U957" s="24">
        <f t="shared" si="3"/>
        <v>100.8</v>
      </c>
      <c r="V957" s="3">
        <f t="shared" si="28"/>
        <v>0</v>
      </c>
      <c r="W957" s="3">
        <f t="shared" si="29"/>
        <v>0</v>
      </c>
      <c r="X957" s="3">
        <f t="shared" si="30"/>
        <v>0</v>
      </c>
      <c r="Y957" s="69">
        <v>1.0</v>
      </c>
      <c r="Z957" s="26">
        <f>VLOOKUP(R957,CPI!$A$2:$F$71,6,0)</f>
        <v>1.649331797</v>
      </c>
      <c r="AA957" s="27">
        <f t="shared" si="8"/>
        <v>415.6316129</v>
      </c>
      <c r="AB957" s="27">
        <f t="shared" si="9"/>
        <v>166.2526452</v>
      </c>
      <c r="AC957" s="74" t="s">
        <v>1951</v>
      </c>
      <c r="AD957" s="377" t="s">
        <v>1956</v>
      </c>
      <c r="AE957" s="208"/>
      <c r="AF957" s="74"/>
      <c r="AG957" s="114"/>
      <c r="AH957" s="114"/>
    </row>
    <row r="958">
      <c r="A958" s="74" t="s">
        <v>1861</v>
      </c>
      <c r="B958" s="74" t="s">
        <v>1862</v>
      </c>
      <c r="C958" s="237" t="s">
        <v>1948</v>
      </c>
      <c r="D958" s="74" t="s">
        <v>1957</v>
      </c>
      <c r="E958" s="70">
        <v>1988.0</v>
      </c>
      <c r="F958" s="70">
        <v>1991.0</v>
      </c>
      <c r="G958" s="115">
        <v>0.0</v>
      </c>
      <c r="H958" s="73">
        <v>2.01</v>
      </c>
      <c r="I958" s="117">
        <v>0.8</v>
      </c>
      <c r="J958" s="70">
        <v>1.79</v>
      </c>
      <c r="K958" s="70">
        <v>0.2</v>
      </c>
      <c r="L958" s="378">
        <v>0.0</v>
      </c>
      <c r="M958" s="70">
        <v>1.0</v>
      </c>
      <c r="N958" s="70">
        <v>82.0</v>
      </c>
      <c r="O958" s="254" t="s">
        <v>60</v>
      </c>
      <c r="P958" s="248">
        <v>149.0</v>
      </c>
      <c r="Q958" s="74" t="s">
        <v>1950</v>
      </c>
      <c r="R958" s="70">
        <v>1991.0</v>
      </c>
      <c r="S958" s="115">
        <v>1.5</v>
      </c>
      <c r="T958" s="376">
        <f t="shared" si="99"/>
        <v>223.5</v>
      </c>
      <c r="U958" s="24">
        <f t="shared" si="3"/>
        <v>111.1940299</v>
      </c>
      <c r="V958" s="3">
        <f t="shared" si="28"/>
        <v>0</v>
      </c>
      <c r="W958" s="3">
        <f t="shared" si="29"/>
        <v>0</v>
      </c>
      <c r="X958" s="3">
        <f t="shared" si="30"/>
        <v>0</v>
      </c>
      <c r="Y958" s="69">
        <v>1.0</v>
      </c>
      <c r="Z958" s="26">
        <f>VLOOKUP(R958,CPI!$A$2:$F$71,6,0)</f>
        <v>2.365011013</v>
      </c>
      <c r="AA958" s="27">
        <f t="shared" si="8"/>
        <v>528.5799615</v>
      </c>
      <c r="AB958" s="27">
        <f t="shared" si="9"/>
        <v>262.9751052</v>
      </c>
      <c r="AC958" s="74" t="s">
        <v>1951</v>
      </c>
      <c r="AD958" s="115" t="s">
        <v>1958</v>
      </c>
      <c r="AE958" s="208"/>
      <c r="AF958" s="74"/>
      <c r="AG958" s="114"/>
      <c r="AH958" s="114"/>
    </row>
    <row r="959">
      <c r="A959" s="74" t="s">
        <v>1861</v>
      </c>
      <c r="B959" s="74" t="s">
        <v>1862</v>
      </c>
      <c r="C959" s="237" t="s">
        <v>1948</v>
      </c>
      <c r="D959" s="74" t="s">
        <v>1959</v>
      </c>
      <c r="E959" s="70">
        <v>1991.0</v>
      </c>
      <c r="F959" s="70">
        <v>1994.0</v>
      </c>
      <c r="G959" s="115">
        <v>0.0</v>
      </c>
      <c r="H959" s="70">
        <v>12.73</v>
      </c>
      <c r="I959" s="71">
        <v>0.0</v>
      </c>
      <c r="J959" s="70">
        <v>0.0</v>
      </c>
      <c r="K959" s="70">
        <v>4.92</v>
      </c>
      <c r="L959" s="70">
        <v>7.81</v>
      </c>
      <c r="M959" s="70">
        <v>12.0</v>
      </c>
      <c r="N959" s="70">
        <v>54.0</v>
      </c>
      <c r="O959" s="254" t="s">
        <v>1960</v>
      </c>
      <c r="P959" s="73">
        <v>280.0</v>
      </c>
      <c r="Q959" s="74" t="s">
        <v>1950</v>
      </c>
      <c r="R959" s="70">
        <v>1994.0</v>
      </c>
      <c r="S959" s="115">
        <v>1.5</v>
      </c>
      <c r="T959" s="376">
        <f t="shared" si="99"/>
        <v>420</v>
      </c>
      <c r="U959" s="24">
        <f t="shared" si="3"/>
        <v>32.99293009</v>
      </c>
      <c r="V959" s="3">
        <f t="shared" si="28"/>
        <v>0</v>
      </c>
      <c r="W959" s="3">
        <f t="shared" si="29"/>
        <v>0</v>
      </c>
      <c r="X959" s="3">
        <f t="shared" si="30"/>
        <v>0</v>
      </c>
      <c r="Y959" s="69">
        <v>1.0</v>
      </c>
      <c r="Z959" s="26">
        <f>VLOOKUP(R959,CPI!$A$2:$F$71,6,0)</f>
        <v>2.173512146</v>
      </c>
      <c r="AA959" s="27">
        <f t="shared" si="8"/>
        <v>912.8751012</v>
      </c>
      <c r="AB959" s="27">
        <f t="shared" si="9"/>
        <v>71.71053427</v>
      </c>
      <c r="AC959" s="74" t="s">
        <v>1951</v>
      </c>
      <c r="AD959" s="72" t="s">
        <v>1961</v>
      </c>
      <c r="AE959" s="208"/>
      <c r="AF959" s="74"/>
      <c r="AG959" s="114"/>
      <c r="AH959" s="114"/>
    </row>
    <row r="960">
      <c r="A960" s="74" t="s">
        <v>1861</v>
      </c>
      <c r="B960" s="114" t="s">
        <v>1862</v>
      </c>
      <c r="C960" s="114" t="s">
        <v>1962</v>
      </c>
      <c r="D960" s="114" t="s">
        <v>1962</v>
      </c>
      <c r="E960" s="116">
        <v>1993.0</v>
      </c>
      <c r="F960" s="116">
        <v>1998.0</v>
      </c>
      <c r="G960" s="115">
        <v>1.0</v>
      </c>
      <c r="H960" s="116">
        <v>11.12</v>
      </c>
      <c r="I960" s="71">
        <v>0.6115</v>
      </c>
      <c r="J960" s="116">
        <v>6.8</v>
      </c>
      <c r="K960" s="116">
        <v>2.24</v>
      </c>
      <c r="L960" s="116">
        <v>2.08</v>
      </c>
      <c r="M960" s="116">
        <v>2.0</v>
      </c>
      <c r="N960" s="116">
        <v>200.0</v>
      </c>
      <c r="O960" s="114" t="s">
        <v>1963</v>
      </c>
      <c r="P960" s="116">
        <v>500.0</v>
      </c>
      <c r="Q960" s="114" t="s">
        <v>1950</v>
      </c>
      <c r="R960" s="116">
        <v>1998.0</v>
      </c>
      <c r="S960" s="193">
        <f>1/0.72</f>
        <v>1.388888889</v>
      </c>
      <c r="T960" s="376">
        <f t="shared" si="99"/>
        <v>694.4444444</v>
      </c>
      <c r="U960" s="24">
        <f t="shared" si="3"/>
        <v>62.45003997</v>
      </c>
      <c r="V960" s="3">
        <f t="shared" si="28"/>
        <v>0</v>
      </c>
      <c r="W960" s="3">
        <f t="shared" si="29"/>
        <v>0</v>
      </c>
      <c r="X960" s="3">
        <f t="shared" si="30"/>
        <v>0</v>
      </c>
      <c r="Y960" s="69">
        <v>1.0</v>
      </c>
      <c r="Z960" s="26">
        <f>VLOOKUP(R960,CPI!$A$2:$F$71,6,0)</f>
        <v>1.976162577</v>
      </c>
      <c r="AA960" s="27">
        <f t="shared" si="8"/>
        <v>1372.335123</v>
      </c>
      <c r="AB960" s="27">
        <f t="shared" si="9"/>
        <v>123.4114319</v>
      </c>
      <c r="AC960" s="114" t="s">
        <v>1964</v>
      </c>
      <c r="AD960" s="114" t="s">
        <v>1965</v>
      </c>
      <c r="AE960" s="344"/>
      <c r="AF960" s="114"/>
      <c r="AG960" s="114"/>
      <c r="AH960" s="114"/>
    </row>
    <row r="961">
      <c r="A961" s="74" t="s">
        <v>1861</v>
      </c>
      <c r="B961" s="114" t="s">
        <v>1862</v>
      </c>
      <c r="C961" s="326" t="s">
        <v>1966</v>
      </c>
      <c r="D961" s="114" t="s">
        <v>1967</v>
      </c>
      <c r="E961" s="116">
        <v>1986.0</v>
      </c>
      <c r="F961" s="116">
        <v>1991.0</v>
      </c>
      <c r="G961" s="115">
        <v>1.0</v>
      </c>
      <c r="H961" s="116">
        <v>3.02</v>
      </c>
      <c r="I961" s="117">
        <v>0.3</v>
      </c>
      <c r="J961" s="116">
        <v>0.9</v>
      </c>
      <c r="K961" s="114"/>
      <c r="L961" s="82">
        <v>2.12</v>
      </c>
      <c r="M961" s="116">
        <v>1.0</v>
      </c>
      <c r="N961" s="116">
        <v>240.0</v>
      </c>
      <c r="O961" s="114" t="s">
        <v>1963</v>
      </c>
      <c r="P961" s="116">
        <v>44.0</v>
      </c>
      <c r="Q961" s="114" t="s">
        <v>1950</v>
      </c>
      <c r="R961" s="116">
        <v>1991.0</v>
      </c>
      <c r="S961" s="193">
        <v>1.54</v>
      </c>
      <c r="T961" s="376">
        <f t="shared" si="99"/>
        <v>67.76</v>
      </c>
      <c r="U961" s="24">
        <f t="shared" si="3"/>
        <v>22.43708609</v>
      </c>
      <c r="V961" s="3">
        <f t="shared" si="28"/>
        <v>0</v>
      </c>
      <c r="W961" s="3">
        <f t="shared" si="29"/>
        <v>0</v>
      </c>
      <c r="X961" s="3">
        <f t="shared" si="30"/>
        <v>0</v>
      </c>
      <c r="Y961" s="69">
        <v>1.0</v>
      </c>
      <c r="Z961" s="26">
        <f>VLOOKUP(R961,CPI!$A$2:$F$71,6,0)</f>
        <v>2.365011013</v>
      </c>
      <c r="AA961" s="27">
        <f t="shared" si="8"/>
        <v>160.2531463</v>
      </c>
      <c r="AB961" s="27">
        <f t="shared" si="9"/>
        <v>53.06395571</v>
      </c>
      <c r="AC961" s="114" t="s">
        <v>1964</v>
      </c>
      <c r="AD961" s="114" t="s">
        <v>1968</v>
      </c>
      <c r="AE961" s="344"/>
      <c r="AF961" s="114"/>
      <c r="AG961" s="114"/>
      <c r="AH961" s="114"/>
    </row>
    <row r="962">
      <c r="A962" s="74" t="s">
        <v>1861</v>
      </c>
      <c r="B962" s="114" t="s">
        <v>1862</v>
      </c>
      <c r="C962" s="114" t="s">
        <v>1969</v>
      </c>
      <c r="D962" s="115" t="s">
        <v>1970</v>
      </c>
      <c r="E962" s="116">
        <v>1967.0</v>
      </c>
      <c r="F962" s="116">
        <v>1971.0</v>
      </c>
      <c r="G962" s="115">
        <v>0.0</v>
      </c>
      <c r="H962" s="116">
        <v>5.63</v>
      </c>
      <c r="I962" s="117">
        <v>1.0</v>
      </c>
      <c r="J962" s="116">
        <v>5.63</v>
      </c>
      <c r="K962" s="115">
        <v>0.0</v>
      </c>
      <c r="L962" s="115">
        <v>0.0</v>
      </c>
      <c r="M962" s="116">
        <v>4.0</v>
      </c>
      <c r="N962" s="116">
        <v>135.0</v>
      </c>
      <c r="O962" s="114" t="s">
        <v>42</v>
      </c>
      <c r="P962" s="379">
        <v>260.06</v>
      </c>
      <c r="Q962" s="114" t="s">
        <v>1950</v>
      </c>
      <c r="R962" s="82">
        <v>2023.0</v>
      </c>
      <c r="S962" s="193">
        <v>1.47</v>
      </c>
      <c r="T962" s="376">
        <f t="shared" si="99"/>
        <v>382.2882</v>
      </c>
      <c r="U962" s="24">
        <f t="shared" si="3"/>
        <v>67.90198934</v>
      </c>
      <c r="V962" s="3">
        <f t="shared" si="28"/>
        <v>0</v>
      </c>
      <c r="W962" s="3">
        <f t="shared" si="29"/>
        <v>0</v>
      </c>
      <c r="X962" s="3">
        <f t="shared" si="30"/>
        <v>0</v>
      </c>
      <c r="Y962" s="69">
        <v>1.0</v>
      </c>
      <c r="Z962" s="26">
        <f>VLOOKUP(R962,CPI!$A$2:$F$71,6,0)</f>
        <v>1.057145998</v>
      </c>
      <c r="AA962" s="27">
        <f t="shared" si="8"/>
        <v>404.1344409</v>
      </c>
      <c r="AB962" s="27">
        <f t="shared" si="9"/>
        <v>71.78231632</v>
      </c>
      <c r="AC962" s="114" t="s">
        <v>60</v>
      </c>
      <c r="AD962" s="380" t="s">
        <v>1971</v>
      </c>
      <c r="AE962" s="344"/>
      <c r="AF962" s="114"/>
      <c r="AG962" s="114"/>
      <c r="AH962" s="114"/>
    </row>
    <row r="963">
      <c r="A963" s="74" t="s">
        <v>1861</v>
      </c>
      <c r="B963" s="114" t="s">
        <v>1862</v>
      </c>
      <c r="C963" s="114" t="s">
        <v>1969</v>
      </c>
      <c r="D963" s="115" t="s">
        <v>1972</v>
      </c>
      <c r="E963" s="116">
        <v>1962.0</v>
      </c>
      <c r="F963" s="116">
        <v>1969.0</v>
      </c>
      <c r="G963" s="115">
        <v>0.0</v>
      </c>
      <c r="H963" s="116">
        <v>16.989</v>
      </c>
      <c r="I963" s="117">
        <v>1.0</v>
      </c>
      <c r="J963" s="116">
        <v>16.989</v>
      </c>
      <c r="K963" s="115">
        <v>0.0</v>
      </c>
      <c r="L963" s="115">
        <v>0.0</v>
      </c>
      <c r="M963" s="116">
        <v>12.0</v>
      </c>
      <c r="N963" s="116">
        <v>135.0</v>
      </c>
      <c r="O963" s="114" t="s">
        <v>42</v>
      </c>
      <c r="P963" s="379">
        <v>1024.55</v>
      </c>
      <c r="Q963" s="114" t="s">
        <v>1950</v>
      </c>
      <c r="R963" s="82">
        <v>2023.0</v>
      </c>
      <c r="S963" s="193">
        <v>1.47</v>
      </c>
      <c r="T963" s="376">
        <f t="shared" si="99"/>
        <v>1506.0885</v>
      </c>
      <c r="U963" s="24">
        <f t="shared" si="3"/>
        <v>88.65080346</v>
      </c>
      <c r="V963" s="3">
        <f t="shared" si="28"/>
        <v>0</v>
      </c>
      <c r="W963" s="3">
        <f t="shared" si="29"/>
        <v>0</v>
      </c>
      <c r="X963" s="3">
        <f t="shared" si="30"/>
        <v>0</v>
      </c>
      <c r="Y963" s="69">
        <v>1.0</v>
      </c>
      <c r="Z963" s="26">
        <f>VLOOKUP(R963,CPI!$A$2:$F$71,6,0)</f>
        <v>1.057145998</v>
      </c>
      <c r="AA963" s="27">
        <f t="shared" si="8"/>
        <v>1592.155431</v>
      </c>
      <c r="AB963" s="27">
        <f t="shared" si="9"/>
        <v>93.71684213</v>
      </c>
      <c r="AC963" s="114" t="s">
        <v>60</v>
      </c>
      <c r="AD963" s="380" t="s">
        <v>1973</v>
      </c>
      <c r="AE963" s="344"/>
      <c r="AF963" s="114"/>
      <c r="AG963" s="114"/>
      <c r="AH963" s="114"/>
    </row>
    <row r="964">
      <c r="A964" s="74" t="s">
        <v>1861</v>
      </c>
      <c r="B964" s="114" t="s">
        <v>1862</v>
      </c>
      <c r="C964" s="326" t="s">
        <v>1974</v>
      </c>
      <c r="D964" s="115" t="s">
        <v>1975</v>
      </c>
      <c r="E964" s="116">
        <v>1971.0</v>
      </c>
      <c r="F964" s="116">
        <v>1979.0</v>
      </c>
      <c r="G964" s="115">
        <v>0.0</v>
      </c>
      <c r="H964" s="116">
        <v>4.43</v>
      </c>
      <c r="I964" s="117">
        <v>1.0</v>
      </c>
      <c r="J964" s="116">
        <v>4.43</v>
      </c>
      <c r="K964" s="115">
        <v>0.0</v>
      </c>
      <c r="L964" s="115">
        <v>0.0</v>
      </c>
      <c r="M964" s="116">
        <v>4.0</v>
      </c>
      <c r="N964" s="116">
        <v>125.0</v>
      </c>
      <c r="O964" s="114" t="s">
        <v>42</v>
      </c>
      <c r="P964" s="82">
        <v>424.1</v>
      </c>
      <c r="Q964" s="114" t="s">
        <v>1950</v>
      </c>
      <c r="R964" s="82">
        <v>2023.0</v>
      </c>
      <c r="S964" s="193">
        <v>1.47</v>
      </c>
      <c r="T964" s="376">
        <f t="shared" si="99"/>
        <v>623.427</v>
      </c>
      <c r="U964" s="24">
        <f t="shared" si="3"/>
        <v>140.7284424</v>
      </c>
      <c r="V964" s="3">
        <f t="shared" si="28"/>
        <v>0</v>
      </c>
      <c r="W964" s="3">
        <f t="shared" si="29"/>
        <v>0</v>
      </c>
      <c r="X964" s="3">
        <f t="shared" si="30"/>
        <v>0</v>
      </c>
      <c r="Y964" s="69">
        <v>1.0</v>
      </c>
      <c r="Z964" s="26">
        <f>VLOOKUP(R964,CPI!$A$2:$F$71,6,0)</f>
        <v>1.057145998</v>
      </c>
      <c r="AA964" s="27">
        <f t="shared" si="8"/>
        <v>659.0533583</v>
      </c>
      <c r="AB964" s="27">
        <f t="shared" si="9"/>
        <v>148.7705098</v>
      </c>
      <c r="AC964" s="114" t="s">
        <v>60</v>
      </c>
      <c r="AD964" s="114" t="s">
        <v>1976</v>
      </c>
      <c r="AE964" s="344"/>
      <c r="AF964" s="114"/>
      <c r="AG964" s="114"/>
      <c r="AH964" s="114"/>
    </row>
    <row r="965">
      <c r="A965" s="114" t="s">
        <v>1861</v>
      </c>
      <c r="B965" s="114" t="s">
        <v>1862</v>
      </c>
      <c r="C965" s="326" t="s">
        <v>1977</v>
      </c>
      <c r="D965" s="114" t="s">
        <v>1978</v>
      </c>
      <c r="E965" s="70">
        <v>1971.0</v>
      </c>
      <c r="F965" s="116">
        <v>1977.0</v>
      </c>
      <c r="G965" s="115">
        <v>0.0</v>
      </c>
      <c r="H965" s="116">
        <v>5.6</v>
      </c>
      <c r="I965" s="117">
        <v>0.84</v>
      </c>
      <c r="J965" s="116">
        <v>4.69</v>
      </c>
      <c r="K965" s="115">
        <v>0.0</v>
      </c>
      <c r="L965" s="116">
        <v>0.91</v>
      </c>
      <c r="M965" s="116">
        <v>2.0</v>
      </c>
      <c r="N965" s="116">
        <v>107.0</v>
      </c>
      <c r="O965" s="114" t="s">
        <v>42</v>
      </c>
      <c r="P965" s="82">
        <v>163.06</v>
      </c>
      <c r="Q965" s="114" t="s">
        <v>1950</v>
      </c>
      <c r="R965" s="82">
        <v>2023.0</v>
      </c>
      <c r="S965" s="82">
        <v>1.5</v>
      </c>
      <c r="T965" s="376">
        <f t="shared" si="99"/>
        <v>244.59</v>
      </c>
      <c r="U965" s="24">
        <f t="shared" si="3"/>
        <v>43.67678571</v>
      </c>
      <c r="V965" s="3">
        <f t="shared" si="28"/>
        <v>0</v>
      </c>
      <c r="W965" s="3">
        <f t="shared" si="29"/>
        <v>0</v>
      </c>
      <c r="X965" s="3">
        <f t="shared" si="30"/>
        <v>0</v>
      </c>
      <c r="Y965" s="69">
        <v>1.0</v>
      </c>
      <c r="Z965" s="26">
        <f>VLOOKUP(R965,CPI!$A$2:$F$71,6,0)</f>
        <v>1.057145998</v>
      </c>
      <c r="AA965" s="27">
        <f t="shared" si="8"/>
        <v>258.5673397</v>
      </c>
      <c r="AB965" s="27">
        <f t="shared" si="9"/>
        <v>46.17273924</v>
      </c>
      <c r="AC965" s="114" t="s">
        <v>60</v>
      </c>
      <c r="AD965" s="381" t="s">
        <v>1979</v>
      </c>
      <c r="AE965" s="344"/>
      <c r="AF965" s="114"/>
      <c r="AG965" s="114"/>
      <c r="AH965" s="114"/>
    </row>
    <row r="966">
      <c r="A966" s="114" t="s">
        <v>1861</v>
      </c>
      <c r="B966" s="114" t="s">
        <v>1862</v>
      </c>
      <c r="C966" s="326" t="s">
        <v>1977</v>
      </c>
      <c r="D966" s="114" t="s">
        <v>1980</v>
      </c>
      <c r="E966" s="70">
        <v>1983.0</v>
      </c>
      <c r="F966" s="116">
        <v>1986.0</v>
      </c>
      <c r="G966" s="115">
        <v>0.0</v>
      </c>
      <c r="H966" s="116">
        <v>2.9</v>
      </c>
      <c r="I966" s="117">
        <v>1.0</v>
      </c>
      <c r="J966" s="116">
        <v>2.9</v>
      </c>
      <c r="K966" s="115">
        <v>0.0</v>
      </c>
      <c r="L966" s="115">
        <v>0.0</v>
      </c>
      <c r="M966" s="116">
        <v>1.0</v>
      </c>
      <c r="N966" s="116">
        <v>107.0</v>
      </c>
      <c r="O966" s="114" t="s">
        <v>42</v>
      </c>
      <c r="P966" s="82">
        <v>77.18</v>
      </c>
      <c r="Q966" s="114" t="s">
        <v>1950</v>
      </c>
      <c r="R966" s="82">
        <v>2023.0</v>
      </c>
      <c r="S966" s="82">
        <v>1.5</v>
      </c>
      <c r="T966" s="376">
        <f t="shared" si="99"/>
        <v>115.77</v>
      </c>
      <c r="U966" s="24">
        <f t="shared" si="3"/>
        <v>39.92068966</v>
      </c>
      <c r="V966" s="3">
        <f t="shared" si="28"/>
        <v>0</v>
      </c>
      <c r="W966" s="3">
        <f t="shared" si="29"/>
        <v>0</v>
      </c>
      <c r="X966" s="3">
        <f t="shared" si="30"/>
        <v>0</v>
      </c>
      <c r="Y966" s="69">
        <v>1.0</v>
      </c>
      <c r="Z966" s="26">
        <f>VLOOKUP(R966,CPI!$A$2:$F$71,6,0)</f>
        <v>1.057145998</v>
      </c>
      <c r="AA966" s="27">
        <f t="shared" si="8"/>
        <v>122.3857922</v>
      </c>
      <c r="AB966" s="27">
        <f t="shared" si="9"/>
        <v>42.20199732</v>
      </c>
      <c r="AC966" s="114" t="s">
        <v>60</v>
      </c>
      <c r="AD966" s="381" t="s">
        <v>1981</v>
      </c>
      <c r="AE966" s="382"/>
      <c r="AF966" s="382"/>
      <c r="AG966" s="382"/>
      <c r="AH966" s="382"/>
    </row>
    <row r="967">
      <c r="A967" s="114" t="s">
        <v>1861</v>
      </c>
      <c r="B967" s="206" t="s">
        <v>1862</v>
      </c>
      <c r="C967" s="255" t="s">
        <v>1982</v>
      </c>
      <c r="D967" s="206" t="s">
        <v>1983</v>
      </c>
      <c r="E967" s="253">
        <v>2017.0</v>
      </c>
      <c r="F967" s="383">
        <v>2022.0</v>
      </c>
      <c r="G967" s="255" t="s">
        <v>1984</v>
      </c>
      <c r="H967" s="383">
        <v>4.0</v>
      </c>
      <c r="I967" s="384">
        <v>0.0</v>
      </c>
      <c r="J967" s="206"/>
      <c r="K967" s="253">
        <v>1.5</v>
      </c>
      <c r="L967" s="253">
        <v>2.4</v>
      </c>
      <c r="M967" s="383">
        <v>1.0</v>
      </c>
      <c r="N967" s="383">
        <v>82.0</v>
      </c>
      <c r="O967" s="206" t="s">
        <v>60</v>
      </c>
      <c r="P967" s="253">
        <v>327.0</v>
      </c>
      <c r="Q967" s="206" t="s">
        <v>1950</v>
      </c>
      <c r="R967" s="253">
        <v>2022.0</v>
      </c>
      <c r="S967" s="253">
        <f>1/0.64</f>
        <v>1.5625</v>
      </c>
      <c r="T967" s="376">
        <f t="shared" si="99"/>
        <v>510.9375</v>
      </c>
      <c r="U967" s="24">
        <f t="shared" si="3"/>
        <v>127.734375</v>
      </c>
      <c r="V967" s="3">
        <f t="shared" si="28"/>
        <v>0</v>
      </c>
      <c r="W967" s="3">
        <f t="shared" si="29"/>
        <v>0</v>
      </c>
      <c r="X967" s="3">
        <f t="shared" si="30"/>
        <v>0</v>
      </c>
      <c r="Y967" s="69">
        <v>1.0</v>
      </c>
      <c r="Z967" s="26">
        <f>VLOOKUP(R967,CPI!$A$2:$F$71,6,0)</f>
        <v>1.100662897</v>
      </c>
      <c r="AA967" s="27">
        <f t="shared" si="8"/>
        <v>562.3699487</v>
      </c>
      <c r="AB967" s="27">
        <f t="shared" si="9"/>
        <v>140.5924872</v>
      </c>
      <c r="AC967" s="114" t="s">
        <v>60</v>
      </c>
      <c r="AD967" s="54" t="s">
        <v>1985</v>
      </c>
      <c r="AE967" s="382"/>
      <c r="AF967" s="382"/>
      <c r="AG967" s="382"/>
      <c r="AH967" s="382"/>
    </row>
    <row r="968">
      <c r="A968" s="385" t="s">
        <v>1403</v>
      </c>
      <c r="B968" s="206" t="s">
        <v>1986</v>
      </c>
      <c r="C968" s="255" t="s">
        <v>1987</v>
      </c>
      <c r="D968" s="206" t="s">
        <v>1988</v>
      </c>
      <c r="E968" s="253">
        <v>1986.0</v>
      </c>
      <c r="F968" s="383">
        <v>1992.0</v>
      </c>
      <c r="G968" s="385">
        <v>0.0</v>
      </c>
      <c r="H968" s="383">
        <v>1.1</v>
      </c>
      <c r="I968" s="386">
        <v>0.1818</v>
      </c>
      <c r="J968" s="383">
        <v>0.2</v>
      </c>
      <c r="K968" s="253">
        <v>1.0</v>
      </c>
      <c r="L968" s="255"/>
      <c r="M968" s="383">
        <v>1.0</v>
      </c>
      <c r="N968" s="383">
        <v>120.0</v>
      </c>
      <c r="O968" s="206" t="s">
        <v>60</v>
      </c>
      <c r="P968" s="387">
        <v>9700.0</v>
      </c>
      <c r="Q968" s="206" t="s">
        <v>1407</v>
      </c>
      <c r="R968" s="253">
        <v>1992.0</v>
      </c>
      <c r="S968" s="383">
        <f>1/185.65</f>
        <v>0.005386479935</v>
      </c>
      <c r="T968" s="376">
        <f t="shared" si="99"/>
        <v>52.24885537</v>
      </c>
      <c r="U968" s="24">
        <f t="shared" si="3"/>
        <v>47.49895943</v>
      </c>
      <c r="V968" s="3">
        <f t="shared" si="28"/>
        <v>0</v>
      </c>
      <c r="W968" s="3">
        <f t="shared" si="29"/>
        <v>0</v>
      </c>
      <c r="X968" s="3">
        <f t="shared" si="30"/>
        <v>0</v>
      </c>
      <c r="Y968" s="385">
        <v>0.0</v>
      </c>
      <c r="Z968" s="26">
        <f>VLOOKUP(R968,CPI!$A$2:$F$71,6,0)</f>
        <v>2.295898076</v>
      </c>
      <c r="AA968" s="27">
        <f t="shared" si="8"/>
        <v>119.9580465</v>
      </c>
      <c r="AB968" s="27">
        <f t="shared" si="9"/>
        <v>109.0527695</v>
      </c>
      <c r="AC968" s="388" t="s">
        <v>42</v>
      </c>
      <c r="AD968" s="389" t="s">
        <v>2096</v>
      </c>
      <c r="AE968" s="382"/>
      <c r="AF968" s="382"/>
      <c r="AG968" s="382"/>
      <c r="AH968" s="382"/>
    </row>
    <row r="969">
      <c r="A969" s="385" t="s">
        <v>1403</v>
      </c>
      <c r="B969" s="206" t="s">
        <v>1986</v>
      </c>
      <c r="C969" s="206" t="s">
        <v>1987</v>
      </c>
      <c r="D969" s="206" t="s">
        <v>1990</v>
      </c>
      <c r="E969" s="253">
        <v>1981.0</v>
      </c>
      <c r="F969" s="383">
        <v>1987.0</v>
      </c>
      <c r="G969" s="385">
        <v>0.0</v>
      </c>
      <c r="H969" s="383">
        <v>15.44</v>
      </c>
      <c r="I969" s="384">
        <v>0.76</v>
      </c>
      <c r="J969" s="383">
        <v>11.59</v>
      </c>
      <c r="K969" s="383">
        <v>2.75</v>
      </c>
      <c r="L969" s="206"/>
      <c r="M969" s="383">
        <v>16.0</v>
      </c>
      <c r="N969" s="383">
        <v>120.0</v>
      </c>
      <c r="O969" s="206" t="s">
        <v>60</v>
      </c>
      <c r="P969" s="387">
        <v>292500.0</v>
      </c>
      <c r="Q969" s="206" t="s">
        <v>1407</v>
      </c>
      <c r="R969" s="387">
        <v>2023.0</v>
      </c>
      <c r="S969" s="390">
        <f>1/95.27</f>
        <v>0.01049648368</v>
      </c>
      <c r="T969" s="376">
        <f t="shared" si="99"/>
        <v>3070.221476</v>
      </c>
      <c r="U969" s="24">
        <f t="shared" si="3"/>
        <v>198.8485412</v>
      </c>
      <c r="V969" s="3">
        <f t="shared" si="28"/>
        <v>0</v>
      </c>
      <c r="W969" s="3">
        <f t="shared" si="29"/>
        <v>0</v>
      </c>
      <c r="X969" s="3">
        <f t="shared" si="30"/>
        <v>0</v>
      </c>
      <c r="Y969" s="385">
        <v>0.0</v>
      </c>
      <c r="Z969" s="26">
        <f>VLOOKUP(R969,CPI!$A$2:$F$71,6,0)</f>
        <v>1.057145998</v>
      </c>
      <c r="AA969" s="27">
        <f t="shared" si="8"/>
        <v>3245.672347</v>
      </c>
      <c r="AB969" s="27">
        <f t="shared" si="9"/>
        <v>210.2119396</v>
      </c>
      <c r="AC969" s="206" t="s">
        <v>42</v>
      </c>
      <c r="AD969" s="206" t="s">
        <v>1991</v>
      </c>
      <c r="AE969" s="7"/>
      <c r="AF969" s="7"/>
      <c r="AG969" s="7"/>
      <c r="AH969" s="7"/>
    </row>
    <row r="970">
      <c r="A970" s="385" t="s">
        <v>1403</v>
      </c>
      <c r="B970" s="206" t="s">
        <v>1986</v>
      </c>
      <c r="C970" s="206" t="s">
        <v>1992</v>
      </c>
      <c r="D970" s="385" t="s">
        <v>1993</v>
      </c>
      <c r="E970" s="253">
        <v>2006.0</v>
      </c>
      <c r="F970" s="383">
        <v>2015.0</v>
      </c>
      <c r="G970" s="385">
        <v>0.0</v>
      </c>
      <c r="H970" s="383">
        <v>14.4</v>
      </c>
      <c r="I970" s="253">
        <f>100-4.17</f>
        <v>95.83</v>
      </c>
      <c r="J970" s="383">
        <v>13.78</v>
      </c>
      <c r="K970" s="383">
        <v>0.6</v>
      </c>
      <c r="L970" s="206"/>
      <c r="M970" s="383">
        <v>13.0</v>
      </c>
      <c r="N970" s="383">
        <v>82.5</v>
      </c>
      <c r="O970" s="206" t="s">
        <v>60</v>
      </c>
      <c r="P970" s="387">
        <v>232700.0</v>
      </c>
      <c r="Q970" s="255" t="s">
        <v>1407</v>
      </c>
      <c r="R970" s="383">
        <v>2015.0</v>
      </c>
      <c r="S970" s="383">
        <f>1/103.45</f>
        <v>0.009666505558</v>
      </c>
      <c r="T970" s="376">
        <f t="shared" si="99"/>
        <v>2249.395843</v>
      </c>
      <c r="U970" s="24">
        <f t="shared" si="3"/>
        <v>156.2080447</v>
      </c>
      <c r="V970" s="3">
        <f t="shared" si="28"/>
        <v>0</v>
      </c>
      <c r="W970" s="3">
        <f t="shared" si="29"/>
        <v>0</v>
      </c>
      <c r="X970" s="3">
        <f t="shared" si="30"/>
        <v>0</v>
      </c>
      <c r="Y970" s="385">
        <v>0.0</v>
      </c>
      <c r="Z970" s="26">
        <f>VLOOKUP(R970,CPI!$A$2:$F$71,6,0)</f>
        <v>1.359035428</v>
      </c>
      <c r="AA970" s="27">
        <f t="shared" si="8"/>
        <v>3057.008642</v>
      </c>
      <c r="AB970" s="27">
        <f t="shared" si="9"/>
        <v>212.2922668</v>
      </c>
      <c r="AC970" s="391" t="s">
        <v>42</v>
      </c>
      <c r="AD970" s="206" t="s">
        <v>1994</v>
      </c>
      <c r="AE970" s="7"/>
      <c r="AF970" s="7"/>
      <c r="AG970" s="7"/>
      <c r="AH970" s="7"/>
    </row>
    <row r="971">
      <c r="A971" s="385" t="s">
        <v>1403</v>
      </c>
      <c r="B971" s="206" t="s">
        <v>1986</v>
      </c>
      <c r="C971" s="206" t="s">
        <v>663</v>
      </c>
      <c r="D971" s="385" t="s">
        <v>1995</v>
      </c>
      <c r="E971" s="253">
        <v>2002.0</v>
      </c>
      <c r="F971" s="383">
        <v>2007.0</v>
      </c>
      <c r="G971" s="383">
        <v>1.0</v>
      </c>
      <c r="H971" s="383">
        <v>3.55</v>
      </c>
      <c r="I971" s="384">
        <v>0.08</v>
      </c>
      <c r="J971" s="383">
        <v>0.3</v>
      </c>
      <c r="K971" s="383">
        <v>5.8</v>
      </c>
      <c r="L971" s="383">
        <v>0.4</v>
      </c>
      <c r="M971" s="383">
        <v>3.0</v>
      </c>
      <c r="N971" s="383">
        <v>120.0</v>
      </c>
      <c r="O971" s="206" t="s">
        <v>60</v>
      </c>
      <c r="P971" s="385">
        <v>32900.0</v>
      </c>
      <c r="Q971" s="255" t="s">
        <v>1407</v>
      </c>
      <c r="R971" s="383">
        <v>2007.0</v>
      </c>
      <c r="S971" s="383">
        <f>1/120.32</f>
        <v>0.008311170213</v>
      </c>
      <c r="T971" s="376">
        <f t="shared" si="99"/>
        <v>273.4375</v>
      </c>
      <c r="U971" s="24">
        <f t="shared" si="3"/>
        <v>77.02464789</v>
      </c>
      <c r="V971" s="3">
        <f t="shared" si="28"/>
        <v>0</v>
      </c>
      <c r="W971" s="3">
        <f t="shared" si="29"/>
        <v>0</v>
      </c>
      <c r="X971" s="3">
        <f t="shared" si="30"/>
        <v>0</v>
      </c>
      <c r="Y971" s="385">
        <v>0.0</v>
      </c>
      <c r="Z971" s="26">
        <f>VLOOKUP(R971,CPI!$A$2:$F$71,6,0)</f>
        <v>1.553541974</v>
      </c>
      <c r="AA971" s="27">
        <f t="shared" si="8"/>
        <v>424.7966336</v>
      </c>
      <c r="AB971" s="27">
        <f t="shared" si="9"/>
        <v>119.6610235</v>
      </c>
      <c r="AC971" s="391" t="s">
        <v>42</v>
      </c>
      <c r="AD971" s="389" t="s">
        <v>2097</v>
      </c>
      <c r="AE971" s="7"/>
      <c r="AF971" s="7"/>
      <c r="AG971" s="7"/>
      <c r="AH971" s="7"/>
    </row>
    <row r="972">
      <c r="A972" s="385" t="s">
        <v>1403</v>
      </c>
      <c r="B972" s="206" t="s">
        <v>1986</v>
      </c>
      <c r="C972" s="385" t="s">
        <v>1997</v>
      </c>
      <c r="D972" s="385" t="s">
        <v>1998</v>
      </c>
      <c r="E972" s="383">
        <v>1981.0</v>
      </c>
      <c r="F972" s="383">
        <v>2000.0</v>
      </c>
      <c r="G972" s="253">
        <v>1.0</v>
      </c>
      <c r="H972" s="383">
        <v>3.9</v>
      </c>
      <c r="I972" s="386">
        <v>0.8974</v>
      </c>
      <c r="J972" s="383">
        <v>3.5</v>
      </c>
      <c r="K972" s="206"/>
      <c r="L972" s="383">
        <v>0.4</v>
      </c>
      <c r="M972" s="383">
        <v>5.0</v>
      </c>
      <c r="N972" s="383">
        <v>80.0</v>
      </c>
      <c r="O972" s="206" t="s">
        <v>60</v>
      </c>
      <c r="P972" s="392">
        <v>65400.0</v>
      </c>
      <c r="Q972" s="206" t="s">
        <v>1407</v>
      </c>
      <c r="R972" s="383">
        <v>2000.0</v>
      </c>
      <c r="S972" s="383">
        <f>1/154.69</f>
        <v>0.006464541987</v>
      </c>
      <c r="T972" s="376">
        <f t="shared" si="99"/>
        <v>422.781046</v>
      </c>
      <c r="U972" s="24">
        <f t="shared" si="3"/>
        <v>108.4053964</v>
      </c>
      <c r="V972" s="3">
        <f t="shared" si="28"/>
        <v>0</v>
      </c>
      <c r="W972" s="3">
        <f t="shared" si="29"/>
        <v>0</v>
      </c>
      <c r="X972" s="3">
        <f t="shared" si="30"/>
        <v>0</v>
      </c>
      <c r="Y972" s="385">
        <v>0.0</v>
      </c>
      <c r="Z972" s="26">
        <f>VLOOKUP(R972,CPI!$A$2:$F$71,6,0)</f>
        <v>1.870583624</v>
      </c>
      <c r="AA972" s="27">
        <f t="shared" si="8"/>
        <v>790.847301</v>
      </c>
      <c r="AB972" s="27">
        <f t="shared" si="9"/>
        <v>202.7813592</v>
      </c>
      <c r="AC972" s="391" t="s">
        <v>42</v>
      </c>
      <c r="AD972" s="393" t="s">
        <v>1999</v>
      </c>
    </row>
    <row r="973">
      <c r="A973" s="385" t="s">
        <v>1403</v>
      </c>
      <c r="B973" s="206" t="s">
        <v>2000</v>
      </c>
      <c r="C973" s="255" t="s">
        <v>2001</v>
      </c>
      <c r="D973" s="255" t="s">
        <v>2002</v>
      </c>
      <c r="E973" s="383">
        <v>1969.0</v>
      </c>
      <c r="F973" s="383">
        <v>1971.0</v>
      </c>
      <c r="G973" s="255"/>
      <c r="H973" s="383">
        <v>7.95</v>
      </c>
      <c r="I973" s="384">
        <v>1.0</v>
      </c>
      <c r="J973" s="383">
        <v>7.95</v>
      </c>
      <c r="K973" s="206"/>
      <c r="L973" s="206"/>
      <c r="M973" s="383">
        <v>9.0</v>
      </c>
      <c r="N973" s="383">
        <v>110.0</v>
      </c>
      <c r="O973" s="206" t="s">
        <v>60</v>
      </c>
      <c r="P973" s="387">
        <v>99952.1</v>
      </c>
      <c r="Q973" s="206" t="s">
        <v>1407</v>
      </c>
      <c r="R973" s="387">
        <v>2023.0</v>
      </c>
      <c r="S973" s="390">
        <f t="shared" ref="S973:S975" si="100">1/95.27</f>
        <v>0.01049648368</v>
      </c>
      <c r="T973" s="376">
        <f t="shared" si="99"/>
        <v>1049.145586</v>
      </c>
      <c r="U973" s="24">
        <f t="shared" si="3"/>
        <v>131.9679983</v>
      </c>
      <c r="V973" s="3">
        <f t="shared" si="28"/>
        <v>0</v>
      </c>
      <c r="W973" s="3">
        <f t="shared" si="29"/>
        <v>0</v>
      </c>
      <c r="X973" s="3">
        <f t="shared" si="30"/>
        <v>0</v>
      </c>
      <c r="Y973" s="385">
        <v>0.0</v>
      </c>
      <c r="Z973" s="26">
        <f>VLOOKUP(R973,CPI!$A$2:$F$71,6,0)</f>
        <v>1.057145998</v>
      </c>
      <c r="AA973" s="27">
        <f t="shared" si="8"/>
        <v>1109.100058</v>
      </c>
      <c r="AB973" s="27">
        <f t="shared" si="9"/>
        <v>139.5094413</v>
      </c>
      <c r="AC973" s="255" t="s">
        <v>60</v>
      </c>
      <c r="AD973" s="54" t="s">
        <v>2003</v>
      </c>
    </row>
    <row r="974">
      <c r="A974" s="385" t="s">
        <v>1403</v>
      </c>
      <c r="B974" s="54" t="s">
        <v>2000</v>
      </c>
      <c r="C974" s="54" t="s">
        <v>2001</v>
      </c>
      <c r="D974" s="388" t="s">
        <v>2004</v>
      </c>
      <c r="E974" s="383">
        <v>1970.0</v>
      </c>
      <c r="F974" s="383">
        <v>1971.0</v>
      </c>
      <c r="G974" s="206"/>
      <c r="H974" s="394">
        <v>4.675</v>
      </c>
      <c r="I974" s="386">
        <v>3.7E-4</v>
      </c>
      <c r="J974" s="383">
        <f>H974-K974</f>
        <v>0.175</v>
      </c>
      <c r="K974" s="383">
        <v>4.5</v>
      </c>
      <c r="L974" s="206"/>
      <c r="M974" s="383">
        <v>4.0</v>
      </c>
      <c r="N974" s="383">
        <v>110.0</v>
      </c>
      <c r="O974" s="206" t="s">
        <v>60</v>
      </c>
      <c r="P974" s="387">
        <v>38443.1</v>
      </c>
      <c r="Q974" s="206" t="s">
        <v>1407</v>
      </c>
      <c r="R974" s="387">
        <v>2023.0</v>
      </c>
      <c r="S974" s="390">
        <f t="shared" si="100"/>
        <v>0.01049648368</v>
      </c>
      <c r="T974" s="376">
        <f t="shared" si="99"/>
        <v>403.5173717</v>
      </c>
      <c r="U974" s="24">
        <f t="shared" si="3"/>
        <v>86.3138763</v>
      </c>
      <c r="V974" s="3">
        <f t="shared" si="28"/>
        <v>0</v>
      </c>
      <c r="W974" s="3">
        <f t="shared" si="29"/>
        <v>0</v>
      </c>
      <c r="X974" s="3">
        <f t="shared" si="30"/>
        <v>0</v>
      </c>
      <c r="Y974" s="385">
        <v>0.0</v>
      </c>
      <c r="Z974" s="26">
        <f>VLOOKUP(R974,CPI!$A$2:$F$71,6,0)</f>
        <v>1.057145998</v>
      </c>
      <c r="AA974" s="27">
        <f t="shared" si="8"/>
        <v>426.5767748</v>
      </c>
      <c r="AB974" s="27">
        <f t="shared" si="9"/>
        <v>91.24636893</v>
      </c>
      <c r="AC974" s="206" t="s">
        <v>60</v>
      </c>
      <c r="AD974" s="206" t="s">
        <v>2003</v>
      </c>
    </row>
    <row r="975">
      <c r="A975" s="385" t="s">
        <v>1403</v>
      </c>
      <c r="B975" s="54" t="s">
        <v>2000</v>
      </c>
      <c r="C975" s="54" t="s">
        <v>2001</v>
      </c>
      <c r="D975" s="388" t="s">
        <v>2005</v>
      </c>
      <c r="E975" s="383">
        <v>1974.0</v>
      </c>
      <c r="F975" s="383">
        <v>1978.0</v>
      </c>
      <c r="G975" s="206"/>
      <c r="H975" s="394">
        <v>2.2</v>
      </c>
      <c r="I975" s="384">
        <v>1.0</v>
      </c>
      <c r="J975" s="394">
        <v>2.2</v>
      </c>
      <c r="K975" s="206"/>
      <c r="L975" s="206"/>
      <c r="M975" s="383">
        <v>3.0</v>
      </c>
      <c r="N975" s="383">
        <v>110.0</v>
      </c>
      <c r="O975" s="206" t="s">
        <v>60</v>
      </c>
      <c r="P975" s="387">
        <v>62941.2</v>
      </c>
      <c r="Q975" s="206" t="s">
        <v>1407</v>
      </c>
      <c r="R975" s="387">
        <v>2023.0</v>
      </c>
      <c r="S975" s="390">
        <f t="shared" si="100"/>
        <v>0.01049648368</v>
      </c>
      <c r="T975" s="376">
        <f t="shared" si="99"/>
        <v>660.6612785</v>
      </c>
      <c r="U975" s="24">
        <f t="shared" si="3"/>
        <v>300.3005811</v>
      </c>
      <c r="V975" s="3">
        <f t="shared" si="28"/>
        <v>0</v>
      </c>
      <c r="W975" s="3">
        <f t="shared" si="29"/>
        <v>0</v>
      </c>
      <c r="X975" s="3">
        <f t="shared" si="30"/>
        <v>0</v>
      </c>
      <c r="Y975" s="385">
        <v>0.0</v>
      </c>
      <c r="Z975" s="26">
        <f>VLOOKUP(R975,CPI!$A$2:$F$71,6,0)</f>
        <v>1.057145998</v>
      </c>
      <c r="AA975" s="27">
        <f t="shared" si="8"/>
        <v>698.4154268</v>
      </c>
      <c r="AB975" s="27">
        <f t="shared" si="9"/>
        <v>317.4615576</v>
      </c>
      <c r="AC975" s="206" t="s">
        <v>60</v>
      </c>
      <c r="AD975" s="206" t="s">
        <v>2003</v>
      </c>
    </row>
    <row r="976">
      <c r="A976" s="385" t="s">
        <v>1403</v>
      </c>
      <c r="B976" s="54" t="s">
        <v>2000</v>
      </c>
      <c r="C976" s="54" t="s">
        <v>2006</v>
      </c>
      <c r="D976" s="388" t="s">
        <v>2007</v>
      </c>
      <c r="E976" s="383">
        <v>1995.0</v>
      </c>
      <c r="F976" s="383">
        <v>1999.0</v>
      </c>
      <c r="G976" s="206"/>
      <c r="H976" s="394">
        <v>2.79</v>
      </c>
      <c r="I976" s="384">
        <v>1.0</v>
      </c>
      <c r="J976" s="394">
        <v>2.79</v>
      </c>
      <c r="K976" s="206"/>
      <c r="L976" s="206"/>
      <c r="M976" s="383">
        <v>3.0</v>
      </c>
      <c r="N976" s="383">
        <v>144.0</v>
      </c>
      <c r="O976" s="206" t="s">
        <v>60</v>
      </c>
      <c r="P976" s="387">
        <v>47900.0</v>
      </c>
      <c r="Q976" s="255" t="s">
        <v>1407</v>
      </c>
      <c r="R976" s="383">
        <v>1999.0</v>
      </c>
      <c r="S976" s="395">
        <v>0.00617131572</v>
      </c>
      <c r="T976" s="376">
        <f t="shared" si="99"/>
        <v>295.606023</v>
      </c>
      <c r="U976" s="24">
        <f t="shared" si="3"/>
        <v>105.9519796</v>
      </c>
      <c r="V976" s="3">
        <f t="shared" si="28"/>
        <v>0</v>
      </c>
      <c r="W976" s="3">
        <f t="shared" si="29"/>
        <v>0</v>
      </c>
      <c r="X976" s="3">
        <f t="shared" si="30"/>
        <v>0</v>
      </c>
      <c r="Y976" s="385">
        <v>0.0</v>
      </c>
      <c r="Z976" s="26">
        <f>VLOOKUP(R976,CPI!$A$2:$F$71,6,0)</f>
        <v>1.933460384</v>
      </c>
      <c r="AA976" s="27">
        <f t="shared" si="8"/>
        <v>571.5425348</v>
      </c>
      <c r="AB976" s="27">
        <f t="shared" si="9"/>
        <v>204.8539551</v>
      </c>
      <c r="AC976" s="206" t="s">
        <v>60</v>
      </c>
      <c r="AD976" s="206" t="s">
        <v>2003</v>
      </c>
    </row>
    <row r="977">
      <c r="A977" s="385" t="s">
        <v>1403</v>
      </c>
      <c r="B977" s="54" t="s">
        <v>2000</v>
      </c>
      <c r="C977" s="54" t="s">
        <v>2006</v>
      </c>
      <c r="D977" s="388" t="s">
        <v>2008</v>
      </c>
      <c r="E977" s="383">
        <v>1973.0</v>
      </c>
      <c r="F977" s="383">
        <v>1976.0</v>
      </c>
      <c r="G977" s="206"/>
      <c r="H977" s="394">
        <v>10.67</v>
      </c>
      <c r="I977" s="384">
        <v>1.0</v>
      </c>
      <c r="J977" s="394">
        <v>10.67</v>
      </c>
      <c r="K977" s="206"/>
      <c r="L977" s="206"/>
      <c r="M977" s="383">
        <v>11.0</v>
      </c>
      <c r="N977" s="383">
        <v>162.0</v>
      </c>
      <c r="O977" s="206" t="s">
        <v>60</v>
      </c>
      <c r="P977" s="387">
        <v>198350.3</v>
      </c>
      <c r="Q977" s="255" t="s">
        <v>1407</v>
      </c>
      <c r="R977" s="387">
        <v>2023.0</v>
      </c>
      <c r="S977" s="390">
        <f t="shared" ref="S977:S979" si="101">1/95.27</f>
        <v>0.01049648368</v>
      </c>
      <c r="T977" s="376">
        <f t="shared" si="99"/>
        <v>2081.980686</v>
      </c>
      <c r="U977" s="24">
        <f t="shared" si="3"/>
        <v>195.1247129</v>
      </c>
      <c r="V977" s="3">
        <f t="shared" si="28"/>
        <v>0</v>
      </c>
      <c r="W977" s="3">
        <f t="shared" si="29"/>
        <v>0</v>
      </c>
      <c r="X977" s="3">
        <f t="shared" si="30"/>
        <v>0</v>
      </c>
      <c r="Y977" s="385">
        <v>0.0</v>
      </c>
      <c r="Z977" s="26">
        <f>VLOOKUP(R977,CPI!$A$2:$F$71,6,0)</f>
        <v>1.057145998</v>
      </c>
      <c r="AA977" s="27">
        <f t="shared" si="8"/>
        <v>2200.957551</v>
      </c>
      <c r="AB977" s="27">
        <f t="shared" si="9"/>
        <v>206.2753094</v>
      </c>
      <c r="AC977" s="206" t="s">
        <v>60</v>
      </c>
      <c r="AD977" s="206" t="s">
        <v>2003</v>
      </c>
    </row>
    <row r="978">
      <c r="A978" s="385" t="s">
        <v>1403</v>
      </c>
      <c r="B978" s="54" t="s">
        <v>2000</v>
      </c>
      <c r="C978" s="54" t="s">
        <v>2006</v>
      </c>
      <c r="D978" s="388" t="s">
        <v>2009</v>
      </c>
      <c r="E978" s="383">
        <v>1978.0</v>
      </c>
      <c r="F978" s="383">
        <v>1982.0</v>
      </c>
      <c r="G978" s="206"/>
      <c r="H978" s="394">
        <v>7.34</v>
      </c>
      <c r="I978" s="384">
        <v>1.0</v>
      </c>
      <c r="J978" s="394">
        <v>7.34</v>
      </c>
      <c r="K978" s="206"/>
      <c r="L978" s="206"/>
      <c r="M978" s="383">
        <v>7.0</v>
      </c>
      <c r="N978" s="383">
        <v>162.0</v>
      </c>
      <c r="O978" s="206" t="s">
        <v>60</v>
      </c>
      <c r="P978" s="387">
        <v>177306.6</v>
      </c>
      <c r="Q978" s="255" t="s">
        <v>1407</v>
      </c>
      <c r="R978" s="387">
        <v>2023.0</v>
      </c>
      <c r="S978" s="390">
        <f t="shared" si="101"/>
        <v>0.01049648368</v>
      </c>
      <c r="T978" s="376">
        <f t="shared" si="99"/>
        <v>1861.095833</v>
      </c>
      <c r="U978" s="24">
        <f t="shared" si="3"/>
        <v>253.5552906</v>
      </c>
      <c r="V978" s="3">
        <f t="shared" si="28"/>
        <v>0</v>
      </c>
      <c r="W978" s="3">
        <f t="shared" si="29"/>
        <v>0</v>
      </c>
      <c r="X978" s="3">
        <f t="shared" si="30"/>
        <v>0</v>
      </c>
      <c r="Y978" s="385">
        <v>0.0</v>
      </c>
      <c r="Z978" s="26">
        <f>VLOOKUP(R978,CPI!$A$2:$F$71,6,0)</f>
        <v>1.057145998</v>
      </c>
      <c r="AA978" s="27">
        <f t="shared" si="8"/>
        <v>1967.450012</v>
      </c>
      <c r="AB978" s="27">
        <f t="shared" si="9"/>
        <v>268.0449608</v>
      </c>
      <c r="AC978" s="206" t="s">
        <v>60</v>
      </c>
      <c r="AD978" s="206" t="s">
        <v>2003</v>
      </c>
    </row>
    <row r="979">
      <c r="A979" s="385" t="s">
        <v>1403</v>
      </c>
      <c r="B979" s="54" t="s">
        <v>2000</v>
      </c>
      <c r="C979" s="54" t="s">
        <v>2010</v>
      </c>
      <c r="D979" s="388" t="s">
        <v>2011</v>
      </c>
      <c r="E979" s="383">
        <v>1983.0</v>
      </c>
      <c r="F979" s="383">
        <v>1988.0</v>
      </c>
      <c r="G979" s="206"/>
      <c r="H979" s="394">
        <v>8.995</v>
      </c>
      <c r="I979" s="384">
        <v>1.0</v>
      </c>
      <c r="J979" s="394">
        <v>8.995</v>
      </c>
      <c r="K979" s="206"/>
      <c r="L979" s="206"/>
      <c r="M979" s="383">
        <v>9.0</v>
      </c>
      <c r="N979" s="383">
        <v>144.0</v>
      </c>
      <c r="O979" s="206" t="s">
        <v>60</v>
      </c>
      <c r="P979" s="387">
        <v>290091.6</v>
      </c>
      <c r="Q979" s="255" t="s">
        <v>1407</v>
      </c>
      <c r="R979" s="387">
        <v>2023.0</v>
      </c>
      <c r="S979" s="390">
        <f t="shared" si="101"/>
        <v>0.01049648368</v>
      </c>
      <c r="T979" s="376">
        <f t="shared" si="99"/>
        <v>3044.941745</v>
      </c>
      <c r="U979" s="24">
        <f t="shared" si="3"/>
        <v>338.5149243</v>
      </c>
      <c r="V979" s="3">
        <f t="shared" si="28"/>
        <v>0</v>
      </c>
      <c r="W979" s="3">
        <f t="shared" si="29"/>
        <v>0</v>
      </c>
      <c r="X979" s="3">
        <f t="shared" si="30"/>
        <v>0</v>
      </c>
      <c r="Y979" s="385">
        <v>0.0</v>
      </c>
      <c r="Z979" s="26">
        <f>VLOOKUP(R979,CPI!$A$2:$F$71,6,0)</f>
        <v>1.057145998</v>
      </c>
      <c r="AA979" s="27">
        <f t="shared" si="8"/>
        <v>3218.947981</v>
      </c>
      <c r="AB979" s="27">
        <f t="shared" si="9"/>
        <v>357.8596977</v>
      </c>
      <c r="AC979" s="206" t="s">
        <v>60</v>
      </c>
      <c r="AD979" s="206" t="s">
        <v>2003</v>
      </c>
    </row>
    <row r="980">
      <c r="A980" s="385" t="s">
        <v>1403</v>
      </c>
      <c r="B980" s="54" t="s">
        <v>2000</v>
      </c>
      <c r="C980" s="54" t="s">
        <v>2010</v>
      </c>
      <c r="D980" s="388" t="s">
        <v>2012</v>
      </c>
      <c r="E980" s="383">
        <v>1990.0</v>
      </c>
      <c r="F980" s="383">
        <v>1994.0</v>
      </c>
      <c r="G980" s="206"/>
      <c r="H980" s="394">
        <v>5.535</v>
      </c>
      <c r="I980" s="384">
        <v>1.0</v>
      </c>
      <c r="J980" s="394">
        <v>5.535</v>
      </c>
      <c r="K980" s="206"/>
      <c r="L980" s="206"/>
      <c r="M980" s="383">
        <v>5.0</v>
      </c>
      <c r="N980" s="383">
        <v>108.0</v>
      </c>
      <c r="O980" s="206" t="s">
        <v>60</v>
      </c>
      <c r="P980" s="387">
        <v>96600.0</v>
      </c>
      <c r="Q980" s="255" t="s">
        <v>1407</v>
      </c>
      <c r="R980" s="383">
        <v>1994.0</v>
      </c>
      <c r="S980" s="383">
        <f>1/178.83</f>
        <v>0.005591902925</v>
      </c>
      <c r="T980" s="376">
        <f t="shared" si="99"/>
        <v>540.1778225</v>
      </c>
      <c r="U980" s="24">
        <f t="shared" si="3"/>
        <v>97.59310253</v>
      </c>
      <c r="V980" s="3">
        <f t="shared" si="28"/>
        <v>0</v>
      </c>
      <c r="W980" s="3">
        <f t="shared" si="29"/>
        <v>0</v>
      </c>
      <c r="X980" s="3">
        <f t="shared" si="30"/>
        <v>0</v>
      </c>
      <c r="Y980" s="385">
        <v>0.0</v>
      </c>
      <c r="Z980" s="26">
        <f>VLOOKUP(R980,CPI!$A$2:$F$71,6,0)</f>
        <v>2.173512146</v>
      </c>
      <c r="AA980" s="27">
        <f t="shared" si="8"/>
        <v>1174.083058</v>
      </c>
      <c r="AB980" s="27">
        <f t="shared" si="9"/>
        <v>212.1197937</v>
      </c>
      <c r="AC980" s="206" t="s">
        <v>60</v>
      </c>
      <c r="AD980" s="206" t="s">
        <v>2003</v>
      </c>
    </row>
    <row r="981">
      <c r="A981" s="385" t="s">
        <v>1403</v>
      </c>
      <c r="B981" s="54" t="s">
        <v>1418</v>
      </c>
      <c r="C981" s="385" t="s">
        <v>2013</v>
      </c>
      <c r="D981" s="388" t="s">
        <v>2014</v>
      </c>
      <c r="E981" s="383">
        <v>1987.0</v>
      </c>
      <c r="F981" s="383">
        <v>1993.0</v>
      </c>
      <c r="G981" s="206"/>
      <c r="H981" s="383">
        <v>10.7</v>
      </c>
      <c r="I981" s="386">
        <v>0.3925</v>
      </c>
      <c r="J981" s="383">
        <v>4.2</v>
      </c>
      <c r="K981" s="383">
        <v>6.5</v>
      </c>
      <c r="L981" s="206"/>
      <c r="M981" s="383">
        <v>7.0</v>
      </c>
      <c r="N981" s="383">
        <v>144.0</v>
      </c>
      <c r="O981" s="206" t="s">
        <v>1964</v>
      </c>
      <c r="P981" s="396">
        <v>200000.0</v>
      </c>
      <c r="Q981" s="255" t="s">
        <v>1407</v>
      </c>
      <c r="R981" s="383">
        <v>1993.0</v>
      </c>
      <c r="S981" s="383">
        <f>1/182.31</f>
        <v>0.005485162635</v>
      </c>
      <c r="T981" s="376">
        <f t="shared" si="99"/>
        <v>1097.032527</v>
      </c>
      <c r="U981" s="24">
        <f t="shared" si="3"/>
        <v>102.5264044</v>
      </c>
      <c r="V981" s="3">
        <f t="shared" si="28"/>
        <v>0</v>
      </c>
      <c r="W981" s="3">
        <f t="shared" si="29"/>
        <v>0</v>
      </c>
      <c r="X981" s="3">
        <f t="shared" si="30"/>
        <v>0</v>
      </c>
      <c r="Y981" s="385">
        <v>0.0</v>
      </c>
      <c r="Z981" s="26">
        <f>VLOOKUP(R981,CPI!$A$2:$F$71,6,0)</f>
        <v>2.22916609</v>
      </c>
      <c r="AA981" s="27">
        <f t="shared" si="8"/>
        <v>2445.467709</v>
      </c>
      <c r="AB981" s="27">
        <f t="shared" si="9"/>
        <v>228.548384</v>
      </c>
      <c r="AC981" s="255" t="s">
        <v>60</v>
      </c>
      <c r="AD981" s="397" t="s">
        <v>2015</v>
      </c>
    </row>
    <row r="982">
      <c r="A982" s="385" t="s">
        <v>1403</v>
      </c>
      <c r="B982" s="54" t="s">
        <v>1418</v>
      </c>
      <c r="C982" s="385" t="s">
        <v>2013</v>
      </c>
      <c r="D982" s="388" t="s">
        <v>2016</v>
      </c>
      <c r="E982" s="383">
        <v>1995.0</v>
      </c>
      <c r="F982" s="383">
        <v>1999.0</v>
      </c>
      <c r="G982" s="206"/>
      <c r="H982" s="383">
        <v>7.4</v>
      </c>
      <c r="I982" s="386">
        <v>0.9595</v>
      </c>
      <c r="J982" s="383">
        <v>7.1</v>
      </c>
      <c r="K982" s="383">
        <v>0.3</v>
      </c>
      <c r="L982" s="206"/>
      <c r="M982" s="383">
        <v>6.0</v>
      </c>
      <c r="N982" s="383">
        <v>144.0</v>
      </c>
      <c r="O982" s="206" t="s">
        <v>1964</v>
      </c>
      <c r="P982" s="396">
        <v>164200.0</v>
      </c>
      <c r="Q982" s="255" t="s">
        <v>1407</v>
      </c>
      <c r="R982" s="383">
        <v>1999.0</v>
      </c>
      <c r="S982" s="383">
        <f>1/162.04</f>
        <v>0.006171315725</v>
      </c>
      <c r="T982" s="376">
        <f t="shared" si="99"/>
        <v>1013.330042</v>
      </c>
      <c r="U982" s="24">
        <f t="shared" si="3"/>
        <v>136.9364922</v>
      </c>
      <c r="V982" s="3">
        <f t="shared" si="28"/>
        <v>0</v>
      </c>
      <c r="W982" s="3">
        <f t="shared" si="29"/>
        <v>0</v>
      </c>
      <c r="X982" s="3">
        <f t="shared" si="30"/>
        <v>0</v>
      </c>
      <c r="Y982" s="385">
        <v>0.0</v>
      </c>
      <c r="Z982" s="26">
        <f>VLOOKUP(R982,CPI!$A$2:$F$71,6,0)</f>
        <v>1.933460384</v>
      </c>
      <c r="AA982" s="27">
        <f t="shared" si="8"/>
        <v>1959.233492</v>
      </c>
      <c r="AB982" s="27">
        <f t="shared" si="9"/>
        <v>264.7612827</v>
      </c>
      <c r="AC982" s="255" t="s">
        <v>60</v>
      </c>
      <c r="AD982" s="397" t="s">
        <v>2015</v>
      </c>
    </row>
    <row r="983">
      <c r="A983" s="385" t="s">
        <v>1403</v>
      </c>
      <c r="B983" s="54" t="s">
        <v>1418</v>
      </c>
      <c r="C983" s="385" t="s">
        <v>2017</v>
      </c>
      <c r="D983" s="388" t="s">
        <v>2018</v>
      </c>
      <c r="E983" s="383">
        <v>2001.0</v>
      </c>
      <c r="F983" s="383">
        <v>2008.0</v>
      </c>
      <c r="G983" s="206"/>
      <c r="H983" s="383">
        <v>13.1</v>
      </c>
      <c r="I983" s="386">
        <v>0.8168</v>
      </c>
      <c r="J983" s="383">
        <v>10.7</v>
      </c>
      <c r="K983" s="383">
        <v>2.4</v>
      </c>
      <c r="L983" s="206"/>
      <c r="M983" s="383">
        <v>10.0</v>
      </c>
      <c r="N983" s="383">
        <v>93.0</v>
      </c>
      <c r="O983" s="206" t="s">
        <v>1964</v>
      </c>
      <c r="P983" s="396">
        <v>241200.0</v>
      </c>
      <c r="Q983" s="255" t="s">
        <v>1407</v>
      </c>
      <c r="R983" s="383">
        <v>2008.0</v>
      </c>
      <c r="S983" s="383">
        <f>1/116.85</f>
        <v>0.008557980317</v>
      </c>
      <c r="T983" s="376">
        <f t="shared" si="99"/>
        <v>2064.184852</v>
      </c>
      <c r="U983" s="24">
        <f t="shared" si="3"/>
        <v>157.5713628</v>
      </c>
      <c r="V983" s="3">
        <f t="shared" si="28"/>
        <v>0</v>
      </c>
      <c r="W983" s="3">
        <f t="shared" si="29"/>
        <v>0</v>
      </c>
      <c r="X983" s="3">
        <f t="shared" si="30"/>
        <v>0</v>
      </c>
      <c r="Y983" s="385">
        <v>0.0</v>
      </c>
      <c r="Z983" s="26">
        <f>VLOOKUP(R983,CPI!$A$2:$F$71,6,0)</f>
        <v>1.496098522</v>
      </c>
      <c r="AA983" s="27">
        <f t="shared" si="8"/>
        <v>3088.223906</v>
      </c>
      <c r="AB983" s="27">
        <f t="shared" si="9"/>
        <v>235.7422829</v>
      </c>
      <c r="AC983" s="255" t="s">
        <v>60</v>
      </c>
      <c r="AD983" s="397" t="s">
        <v>2015</v>
      </c>
    </row>
    <row r="984">
      <c r="A984" s="385" t="s">
        <v>1403</v>
      </c>
      <c r="B984" s="54" t="s">
        <v>1418</v>
      </c>
      <c r="C984" s="385" t="s">
        <v>2013</v>
      </c>
      <c r="D984" s="388" t="s">
        <v>2019</v>
      </c>
      <c r="E984" s="383">
        <v>1967.0</v>
      </c>
      <c r="F984" s="383">
        <v>1972.0</v>
      </c>
      <c r="G984" s="206"/>
      <c r="H984" s="383">
        <v>5.7</v>
      </c>
      <c r="I984" s="384">
        <v>1.0</v>
      </c>
      <c r="J984" s="383">
        <v>5.7</v>
      </c>
      <c r="K984" s="206"/>
      <c r="L984" s="206"/>
      <c r="M984" s="383">
        <v>6.0</v>
      </c>
      <c r="N984" s="383">
        <v>144.0</v>
      </c>
      <c r="O984" s="206" t="s">
        <v>1964</v>
      </c>
      <c r="P984" s="387">
        <v>87434.3</v>
      </c>
      <c r="Q984" s="255" t="s">
        <v>1407</v>
      </c>
      <c r="R984" s="387">
        <v>2023.0</v>
      </c>
      <c r="S984" s="390">
        <f t="shared" ref="S984:S987" si="102">1/95.27</f>
        <v>0.01049648368</v>
      </c>
      <c r="T984" s="376">
        <f t="shared" si="99"/>
        <v>917.7527028</v>
      </c>
      <c r="U984" s="24">
        <f t="shared" si="3"/>
        <v>161.0092461</v>
      </c>
      <c r="V984" s="3">
        <f t="shared" si="28"/>
        <v>0</v>
      </c>
      <c r="W984" s="3">
        <f t="shared" si="29"/>
        <v>0</v>
      </c>
      <c r="X984" s="3">
        <f t="shared" si="30"/>
        <v>0</v>
      </c>
      <c r="Y984" s="385">
        <v>0.0</v>
      </c>
      <c r="Z984" s="26">
        <f>VLOOKUP(R984,CPI!$A$2:$F$71,6,0)</f>
        <v>1.057145998</v>
      </c>
      <c r="AA984" s="27">
        <f t="shared" si="8"/>
        <v>970.1985973</v>
      </c>
      <c r="AB984" s="27">
        <f t="shared" si="9"/>
        <v>170.2102802</v>
      </c>
      <c r="AC984" s="255" t="s">
        <v>60</v>
      </c>
      <c r="AD984" s="397" t="s">
        <v>2015</v>
      </c>
    </row>
    <row r="985">
      <c r="A985" s="385" t="s">
        <v>1403</v>
      </c>
      <c r="B985" s="54" t="s">
        <v>1418</v>
      </c>
      <c r="C985" s="385" t="s">
        <v>2013</v>
      </c>
      <c r="D985" s="388" t="s">
        <v>2020</v>
      </c>
      <c r="E985" s="383">
        <v>1973.0</v>
      </c>
      <c r="F985" s="383">
        <v>1976.0</v>
      </c>
      <c r="G985" s="206"/>
      <c r="H985" s="383">
        <v>6.6</v>
      </c>
      <c r="I985" s="384">
        <v>1.0</v>
      </c>
      <c r="J985" s="383">
        <v>6.6</v>
      </c>
      <c r="K985" s="206"/>
      <c r="L985" s="206"/>
      <c r="M985" s="383">
        <v>6.0</v>
      </c>
      <c r="N985" s="383">
        <v>144.0</v>
      </c>
      <c r="O985" s="206" t="s">
        <v>1964</v>
      </c>
      <c r="P985" s="387">
        <v>132476.2</v>
      </c>
      <c r="Q985" s="255" t="s">
        <v>1407</v>
      </c>
      <c r="R985" s="387">
        <v>2023.0</v>
      </c>
      <c r="S985" s="390">
        <f t="shared" si="102"/>
        <v>0.01049648368</v>
      </c>
      <c r="T985" s="376">
        <f t="shared" si="99"/>
        <v>1390.534271</v>
      </c>
      <c r="U985" s="24">
        <f t="shared" si="3"/>
        <v>210.6870108</v>
      </c>
      <c r="V985" s="3">
        <f t="shared" si="28"/>
        <v>0</v>
      </c>
      <c r="W985" s="3">
        <f t="shared" si="29"/>
        <v>0</v>
      </c>
      <c r="X985" s="3">
        <f t="shared" si="30"/>
        <v>0</v>
      </c>
      <c r="Y985" s="385">
        <v>0.0</v>
      </c>
      <c r="Z985" s="26">
        <f>VLOOKUP(R985,CPI!$A$2:$F$71,6,0)</f>
        <v>1.057145998</v>
      </c>
      <c r="AA985" s="27">
        <f t="shared" si="8"/>
        <v>1469.99774</v>
      </c>
      <c r="AB985" s="27">
        <f t="shared" si="9"/>
        <v>222.7269303</v>
      </c>
      <c r="AC985" s="255" t="s">
        <v>60</v>
      </c>
      <c r="AD985" s="397" t="s">
        <v>2015</v>
      </c>
    </row>
    <row r="986">
      <c r="A986" s="385" t="s">
        <v>1403</v>
      </c>
      <c r="B986" s="54" t="s">
        <v>1418</v>
      </c>
      <c r="C986" s="385" t="s">
        <v>2013</v>
      </c>
      <c r="D986" s="388" t="s">
        <v>2021</v>
      </c>
      <c r="E986" s="383">
        <v>1983.0</v>
      </c>
      <c r="F986" s="383">
        <v>1985.0</v>
      </c>
      <c r="G986" s="206"/>
      <c r="H986" s="383">
        <v>9.1</v>
      </c>
      <c r="I986" s="386">
        <v>0.8236</v>
      </c>
      <c r="J986" s="383">
        <v>7.495</v>
      </c>
      <c r="K986" s="383">
        <v>1.605</v>
      </c>
      <c r="L986" s="206"/>
      <c r="M986" s="383">
        <v>4.0</v>
      </c>
      <c r="N986" s="383">
        <v>144.0</v>
      </c>
      <c r="O986" s="206" t="s">
        <v>1964</v>
      </c>
      <c r="P986" s="253">
        <v>194992.0</v>
      </c>
      <c r="Q986" s="255" t="s">
        <v>1407</v>
      </c>
      <c r="R986" s="387">
        <v>2023.0</v>
      </c>
      <c r="S986" s="390">
        <f t="shared" si="102"/>
        <v>0.01049648368</v>
      </c>
      <c r="T986" s="376">
        <f t="shared" si="99"/>
        <v>2046.730345</v>
      </c>
      <c r="U986" s="24">
        <f t="shared" si="3"/>
        <v>224.9154226</v>
      </c>
      <c r="V986" s="3">
        <f t="shared" si="28"/>
        <v>0</v>
      </c>
      <c r="W986" s="3">
        <f t="shared" si="29"/>
        <v>0</v>
      </c>
      <c r="X986" s="3">
        <f t="shared" si="30"/>
        <v>0</v>
      </c>
      <c r="Y986" s="385">
        <v>0.0</v>
      </c>
      <c r="Z986" s="26">
        <f>VLOOKUP(R986,CPI!$A$2:$F$71,6,0)</f>
        <v>1.057145998</v>
      </c>
      <c r="AA986" s="27">
        <f t="shared" si="8"/>
        <v>2163.692794</v>
      </c>
      <c r="AB986" s="27">
        <f t="shared" si="9"/>
        <v>237.7684389</v>
      </c>
      <c r="AC986" s="255" t="s">
        <v>60</v>
      </c>
      <c r="AD986" s="397" t="s">
        <v>2015</v>
      </c>
    </row>
    <row r="987">
      <c r="A987" s="385" t="s">
        <v>1403</v>
      </c>
      <c r="B987" s="54" t="s">
        <v>1418</v>
      </c>
      <c r="C987" s="385" t="s">
        <v>2013</v>
      </c>
      <c r="D987" s="388" t="s">
        <v>2022</v>
      </c>
      <c r="E987" s="383">
        <v>1983.0</v>
      </c>
      <c r="F987" s="383">
        <v>1987.0</v>
      </c>
      <c r="G987" s="206"/>
      <c r="H987" s="383">
        <v>1.6</v>
      </c>
      <c r="I987" s="384">
        <v>1.0</v>
      </c>
      <c r="J987" s="383">
        <v>1.6</v>
      </c>
      <c r="K987" s="206"/>
      <c r="L987" s="206"/>
      <c r="M987" s="383">
        <v>2.0</v>
      </c>
      <c r="N987" s="383">
        <v>144.0</v>
      </c>
      <c r="O987" s="206" t="s">
        <v>1964</v>
      </c>
      <c r="P987" s="253">
        <v>52625.0</v>
      </c>
      <c r="Q987" s="255" t="s">
        <v>1407</v>
      </c>
      <c r="R987" s="387">
        <v>2023.0</v>
      </c>
      <c r="S987" s="390">
        <f t="shared" si="102"/>
        <v>0.01049648368</v>
      </c>
      <c r="T987" s="376">
        <f t="shared" si="99"/>
        <v>552.3774536</v>
      </c>
      <c r="U987" s="24">
        <f t="shared" si="3"/>
        <v>345.2359085</v>
      </c>
      <c r="V987" s="3">
        <f t="shared" si="28"/>
        <v>0</v>
      </c>
      <c r="W987" s="3">
        <f t="shared" si="29"/>
        <v>0</v>
      </c>
      <c r="X987" s="3">
        <f t="shared" si="30"/>
        <v>0</v>
      </c>
      <c r="Y987" s="385">
        <v>0.0</v>
      </c>
      <c r="Z987" s="26">
        <f>VLOOKUP(R987,CPI!$A$2:$F$71,6,0)</f>
        <v>1.057145998</v>
      </c>
      <c r="AA987" s="27">
        <f t="shared" si="8"/>
        <v>583.9436146</v>
      </c>
      <c r="AB987" s="27">
        <f t="shared" si="9"/>
        <v>364.9647591</v>
      </c>
      <c r="AC987" s="255" t="s">
        <v>60</v>
      </c>
      <c r="AD987" s="397" t="s">
        <v>2015</v>
      </c>
    </row>
    <row r="988">
      <c r="A988" s="255" t="s">
        <v>1403</v>
      </c>
      <c r="B988" s="54" t="s">
        <v>2023</v>
      </c>
      <c r="C988" s="54" t="s">
        <v>2024</v>
      </c>
      <c r="D988" s="388" t="s">
        <v>2025</v>
      </c>
      <c r="E988" s="383">
        <v>1981.0</v>
      </c>
      <c r="F988" s="383">
        <v>1993.0</v>
      </c>
      <c r="G988" s="206"/>
      <c r="H988" s="383">
        <v>1.4</v>
      </c>
      <c r="I988" s="384">
        <v>1.0</v>
      </c>
      <c r="J988" s="383">
        <v>1.4</v>
      </c>
      <c r="K988" s="206"/>
      <c r="L988" s="206"/>
      <c r="M988" s="383">
        <v>1.0</v>
      </c>
      <c r="N988" s="383">
        <v>160.0</v>
      </c>
      <c r="O988" s="206" t="s">
        <v>42</v>
      </c>
      <c r="P988" s="387">
        <v>39600.0</v>
      </c>
      <c r="Q988" s="255" t="s">
        <v>1407</v>
      </c>
      <c r="R988" s="253">
        <v>1993.0</v>
      </c>
      <c r="S988" s="383">
        <f>1/182.31</f>
        <v>0.005485162635</v>
      </c>
      <c r="T988" s="376">
        <f t="shared" si="99"/>
        <v>217.2124403</v>
      </c>
      <c r="U988" s="24">
        <f t="shared" si="3"/>
        <v>155.1517431</v>
      </c>
      <c r="V988" s="3">
        <f t="shared" si="28"/>
        <v>0</v>
      </c>
      <c r="W988" s="3">
        <f t="shared" si="29"/>
        <v>0</v>
      </c>
      <c r="X988" s="3">
        <f t="shared" si="30"/>
        <v>0</v>
      </c>
      <c r="Y988" s="385">
        <v>0.0</v>
      </c>
      <c r="Z988" s="26">
        <f>VLOOKUP(R988,CPI!$A$2:$F$71,6,0)</f>
        <v>2.22916609</v>
      </c>
      <c r="AA988" s="27">
        <f t="shared" si="8"/>
        <v>484.2026063</v>
      </c>
      <c r="AB988" s="27">
        <f t="shared" si="9"/>
        <v>345.8590045</v>
      </c>
      <c r="AC988" s="255"/>
      <c r="AD988" s="397" t="s">
        <v>2026</v>
      </c>
    </row>
    <row r="989">
      <c r="A989" s="255" t="s">
        <v>1403</v>
      </c>
      <c r="B989" s="54" t="s">
        <v>2023</v>
      </c>
      <c r="C989" s="54" t="s">
        <v>2027</v>
      </c>
      <c r="D989" s="388" t="s">
        <v>2028</v>
      </c>
      <c r="E989" s="383">
        <v>1987.0</v>
      </c>
      <c r="F989" s="383">
        <v>1994.0</v>
      </c>
      <c r="G989" s="206"/>
      <c r="H989" s="383">
        <v>8.3</v>
      </c>
      <c r="I989" s="384">
        <v>1.0</v>
      </c>
      <c r="J989" s="383">
        <v>8.3</v>
      </c>
      <c r="K989" s="206"/>
      <c r="L989" s="206"/>
      <c r="M989" s="383">
        <v>9.0</v>
      </c>
      <c r="N989" s="383">
        <v>160.0</v>
      </c>
      <c r="O989" s="206" t="s">
        <v>42</v>
      </c>
      <c r="P989" s="398">
        <v>177540.0</v>
      </c>
      <c r="Q989" s="255" t="s">
        <v>1407</v>
      </c>
      <c r="R989" s="253">
        <v>1994.0</v>
      </c>
      <c r="S989" s="383">
        <f>1/178.83</f>
        <v>0.005591902925</v>
      </c>
      <c r="T989" s="376">
        <f t="shared" si="99"/>
        <v>992.7864452</v>
      </c>
      <c r="U989" s="24">
        <f t="shared" si="3"/>
        <v>119.6128247</v>
      </c>
      <c r="V989" s="3">
        <f t="shared" si="28"/>
        <v>0</v>
      </c>
      <c r="W989" s="3">
        <f t="shared" si="29"/>
        <v>0</v>
      </c>
      <c r="X989" s="3">
        <f t="shared" si="30"/>
        <v>0</v>
      </c>
      <c r="Y989" s="385">
        <v>0.0</v>
      </c>
      <c r="Z989" s="26">
        <f>VLOOKUP(R989,CPI!$A$2:$F$71,6,0)</f>
        <v>2.173512146</v>
      </c>
      <c r="AA989" s="27">
        <f t="shared" si="8"/>
        <v>2157.833397</v>
      </c>
      <c r="AB989" s="27">
        <f t="shared" si="9"/>
        <v>259.9799273</v>
      </c>
      <c r="AC989" s="255"/>
      <c r="AD989" s="397" t="s">
        <v>2026</v>
      </c>
    </row>
    <row r="990">
      <c r="A990" s="255" t="s">
        <v>1403</v>
      </c>
      <c r="B990" s="54" t="s">
        <v>2023</v>
      </c>
      <c r="C990" s="54" t="s">
        <v>2029</v>
      </c>
      <c r="D990" s="388" t="s">
        <v>2030</v>
      </c>
      <c r="E990" s="383">
        <v>1996.0</v>
      </c>
      <c r="F990" s="383">
        <v>2003.0</v>
      </c>
      <c r="G990" s="206"/>
      <c r="H990" s="383">
        <v>6.2</v>
      </c>
      <c r="I990" s="384">
        <v>1.0</v>
      </c>
      <c r="J990" s="383">
        <v>6.2</v>
      </c>
      <c r="K990" s="206"/>
      <c r="L990" s="206"/>
      <c r="M990" s="383">
        <v>8.0</v>
      </c>
      <c r="N990" s="206" t="s">
        <v>2031</v>
      </c>
      <c r="O990" s="206" t="s">
        <v>42</v>
      </c>
      <c r="P990" s="398">
        <v>160980.0</v>
      </c>
      <c r="Q990" s="255" t="s">
        <v>1407</v>
      </c>
      <c r="R990" s="253">
        <v>2003.0</v>
      </c>
      <c r="S990" s="383">
        <f>1/139.58</f>
        <v>0.007164350193</v>
      </c>
      <c r="T990" s="376">
        <f t="shared" si="99"/>
        <v>1153.317094</v>
      </c>
      <c r="U990" s="24">
        <f t="shared" si="3"/>
        <v>186.0188862</v>
      </c>
      <c r="V990" s="3">
        <f t="shared" si="28"/>
        <v>0</v>
      </c>
      <c r="W990" s="3">
        <f t="shared" si="29"/>
        <v>0</v>
      </c>
      <c r="X990" s="3">
        <f t="shared" si="30"/>
        <v>0</v>
      </c>
      <c r="Y990" s="385">
        <v>0.0</v>
      </c>
      <c r="Z990" s="26">
        <f>VLOOKUP(R990,CPI!$A$2:$F$71,6,0)</f>
        <v>1.750622283</v>
      </c>
      <c r="AA990" s="27">
        <f t="shared" si="8"/>
        <v>2019.022604</v>
      </c>
      <c r="AB990" s="27">
        <f t="shared" si="9"/>
        <v>325.6488071</v>
      </c>
      <c r="AC990" s="255"/>
      <c r="AD990" s="397" t="s">
        <v>2026</v>
      </c>
    </row>
    <row r="991">
      <c r="A991" s="255" t="s">
        <v>1403</v>
      </c>
      <c r="B991" s="54" t="s">
        <v>2023</v>
      </c>
      <c r="C991" s="54" t="s">
        <v>2032</v>
      </c>
      <c r="D991" s="388" t="s">
        <v>2033</v>
      </c>
      <c r="E991" s="383">
        <v>1997.0</v>
      </c>
      <c r="F991" s="383">
        <v>2004.0</v>
      </c>
      <c r="G991" s="206"/>
      <c r="H991" s="383">
        <v>5.1</v>
      </c>
      <c r="I991" s="384">
        <v>1.0</v>
      </c>
      <c r="J991" s="383">
        <v>5.1</v>
      </c>
      <c r="K991" s="206"/>
      <c r="L991" s="206"/>
      <c r="M991" s="383">
        <v>5.0</v>
      </c>
      <c r="N991" s="383">
        <v>93.48</v>
      </c>
      <c r="O991" s="206" t="s">
        <v>42</v>
      </c>
      <c r="P991" s="387">
        <v>93740.0</v>
      </c>
      <c r="Q991" s="255" t="s">
        <v>1407</v>
      </c>
      <c r="R991" s="253">
        <v>2004.0</v>
      </c>
      <c r="S991" s="383">
        <f>1/134.4</f>
        <v>0.00744047619</v>
      </c>
      <c r="T991" s="376">
        <f t="shared" si="99"/>
        <v>697.4702381</v>
      </c>
      <c r="U991" s="24">
        <f t="shared" si="3"/>
        <v>136.7588702</v>
      </c>
      <c r="V991" s="3">
        <f t="shared" si="28"/>
        <v>0</v>
      </c>
      <c r="W991" s="3">
        <f t="shared" si="29"/>
        <v>0</v>
      </c>
      <c r="X991" s="3">
        <f t="shared" si="30"/>
        <v>0</v>
      </c>
      <c r="Y991" s="385">
        <v>0.0</v>
      </c>
      <c r="Z991" s="26">
        <f>VLOOKUP(R991,CPI!$A$2:$F$71,6,0)</f>
        <v>1.705211752</v>
      </c>
      <c r="AA991" s="27">
        <f t="shared" si="8"/>
        <v>1189.334447</v>
      </c>
      <c r="AB991" s="27">
        <f t="shared" si="9"/>
        <v>233.2028327</v>
      </c>
      <c r="AC991" s="255"/>
      <c r="AD991" s="397" t="s">
        <v>2026</v>
      </c>
    </row>
    <row r="992">
      <c r="A992" s="255" t="s">
        <v>1403</v>
      </c>
      <c r="B992" s="54" t="s">
        <v>2023</v>
      </c>
      <c r="C992" s="54" t="s">
        <v>2027</v>
      </c>
      <c r="D992" s="388" t="s">
        <v>2034</v>
      </c>
      <c r="E992" s="383">
        <v>2006.0</v>
      </c>
      <c r="F992" s="383">
        <v>2011.0</v>
      </c>
      <c r="G992" s="206"/>
      <c r="H992" s="383">
        <v>4.1</v>
      </c>
      <c r="I992" s="384">
        <v>1.0</v>
      </c>
      <c r="J992" s="383">
        <v>4.1</v>
      </c>
      <c r="K992" s="206"/>
      <c r="L992" s="206"/>
      <c r="M992" s="383">
        <v>4.0</v>
      </c>
      <c r="N992" s="383">
        <v>120.0</v>
      </c>
      <c r="O992" s="206" t="s">
        <v>42</v>
      </c>
      <c r="P992" s="387">
        <v>67150.0</v>
      </c>
      <c r="Q992" s="255" t="s">
        <v>1407</v>
      </c>
      <c r="R992" s="253">
        <v>2011.0</v>
      </c>
      <c r="S992" s="383">
        <f>1/107.45</f>
        <v>0.009306654258</v>
      </c>
      <c r="T992" s="376">
        <f t="shared" si="99"/>
        <v>624.9418334</v>
      </c>
      <c r="U992" s="24">
        <f t="shared" si="3"/>
        <v>152.4248374</v>
      </c>
      <c r="V992" s="3">
        <f t="shared" si="28"/>
        <v>0</v>
      </c>
      <c r="W992" s="3">
        <f t="shared" si="29"/>
        <v>0</v>
      </c>
      <c r="X992" s="3">
        <f t="shared" si="30"/>
        <v>0</v>
      </c>
      <c r="Y992" s="385">
        <v>0.0</v>
      </c>
      <c r="Z992" s="26">
        <f>VLOOKUP(R992,CPI!$A$2:$F$71,6,0)</f>
        <v>1.432008233</v>
      </c>
      <c r="AA992" s="27">
        <f t="shared" si="8"/>
        <v>894.9218508</v>
      </c>
      <c r="AB992" s="27">
        <f t="shared" si="9"/>
        <v>218.2736221</v>
      </c>
      <c r="AC992" s="255"/>
      <c r="AD992" s="397" t="s">
        <v>2026</v>
      </c>
    </row>
    <row r="993">
      <c r="A993" s="255" t="s">
        <v>1403</v>
      </c>
      <c r="B993" s="54" t="s">
        <v>2023</v>
      </c>
      <c r="C993" s="54" t="s">
        <v>2027</v>
      </c>
      <c r="D993" s="388" t="s">
        <v>2035</v>
      </c>
      <c r="E993" s="383">
        <v>1983.0</v>
      </c>
      <c r="F993" s="383">
        <v>1989.0</v>
      </c>
      <c r="G993" s="206"/>
      <c r="H993" s="383">
        <v>7.5</v>
      </c>
      <c r="I993" s="384">
        <v>1.0</v>
      </c>
      <c r="J993" s="383">
        <v>7.5</v>
      </c>
      <c r="K993" s="206"/>
      <c r="L993" s="206"/>
      <c r="M993" s="383">
        <v>8.0</v>
      </c>
      <c r="N993" s="383">
        <v>160.0</v>
      </c>
      <c r="O993" s="206" t="s">
        <v>42</v>
      </c>
      <c r="P993" s="399">
        <v>306450.0</v>
      </c>
      <c r="Q993" s="255" t="s">
        <v>1407</v>
      </c>
      <c r="R993" s="387">
        <v>2023.0</v>
      </c>
      <c r="S993" s="390">
        <f t="shared" ref="S993:S1007" si="103">1/95.27</f>
        <v>0.01049648368</v>
      </c>
      <c r="T993" s="376">
        <f t="shared" si="99"/>
        <v>3216.647423</v>
      </c>
      <c r="U993" s="24">
        <f t="shared" si="3"/>
        <v>428.8863231</v>
      </c>
      <c r="V993" s="3">
        <f t="shared" si="28"/>
        <v>0</v>
      </c>
      <c r="W993" s="3">
        <f t="shared" si="29"/>
        <v>0</v>
      </c>
      <c r="X993" s="3">
        <f t="shared" si="30"/>
        <v>0</v>
      </c>
      <c r="Y993" s="385">
        <v>0.0</v>
      </c>
      <c r="Z993" s="26">
        <f>VLOOKUP(R993,CPI!$A$2:$F$71,6,0)</f>
        <v>1.057145998</v>
      </c>
      <c r="AA993" s="27">
        <f t="shared" si="8"/>
        <v>3400.465952</v>
      </c>
      <c r="AB993" s="27">
        <f t="shared" si="9"/>
        <v>453.3954602</v>
      </c>
      <c r="AC993" s="255"/>
      <c r="AD993" s="397" t="s">
        <v>2026</v>
      </c>
    </row>
    <row r="994">
      <c r="A994" s="255" t="s">
        <v>1403</v>
      </c>
      <c r="B994" s="54" t="s">
        <v>2023</v>
      </c>
      <c r="C994" s="54" t="s">
        <v>2036</v>
      </c>
      <c r="D994" s="388" t="s">
        <v>2037</v>
      </c>
      <c r="E994" s="383">
        <v>1954.0</v>
      </c>
      <c r="F994" s="383">
        <v>1957.0</v>
      </c>
      <c r="G994" s="206"/>
      <c r="H994" s="383">
        <v>2.6</v>
      </c>
      <c r="I994" s="384">
        <v>1.0</v>
      </c>
      <c r="J994" s="383">
        <v>2.6</v>
      </c>
      <c r="K994" s="206"/>
      <c r="L994" s="206"/>
      <c r="M994" s="383">
        <v>3.0</v>
      </c>
      <c r="N994" s="383">
        <v>93.48</v>
      </c>
      <c r="O994" s="206" t="s">
        <v>42</v>
      </c>
      <c r="P994" s="383">
        <v>16264.0</v>
      </c>
      <c r="Q994" s="255" t="s">
        <v>1407</v>
      </c>
      <c r="R994" s="387">
        <v>2023.0</v>
      </c>
      <c r="S994" s="390">
        <f t="shared" si="103"/>
        <v>0.01049648368</v>
      </c>
      <c r="T994" s="376">
        <f t="shared" si="99"/>
        <v>170.7148105</v>
      </c>
      <c r="U994" s="24">
        <f t="shared" si="3"/>
        <v>65.65954251</v>
      </c>
      <c r="V994" s="3">
        <f t="shared" si="28"/>
        <v>0</v>
      </c>
      <c r="W994" s="3">
        <f t="shared" si="29"/>
        <v>0</v>
      </c>
      <c r="X994" s="3">
        <f t="shared" si="30"/>
        <v>0</v>
      </c>
      <c r="Y994" s="385">
        <v>0.0</v>
      </c>
      <c r="Z994" s="26">
        <f>VLOOKUP(R994,CPI!$A$2:$F$71,6,0)</f>
        <v>1.057145998</v>
      </c>
      <c r="AA994" s="27">
        <f t="shared" si="8"/>
        <v>180.4704788</v>
      </c>
      <c r="AB994" s="27">
        <f t="shared" si="9"/>
        <v>69.41172263</v>
      </c>
      <c r="AC994" s="255"/>
      <c r="AD994" s="397" t="s">
        <v>2026</v>
      </c>
      <c r="AE994" s="206"/>
      <c r="AF994" s="206"/>
      <c r="AG994" s="206"/>
      <c r="AH994" s="206"/>
    </row>
    <row r="995">
      <c r="A995" s="255" t="s">
        <v>1403</v>
      </c>
      <c r="B995" s="54" t="s">
        <v>2023</v>
      </c>
      <c r="C995" s="255" t="s">
        <v>2036</v>
      </c>
      <c r="D995" s="388" t="s">
        <v>2038</v>
      </c>
      <c r="E995" s="383">
        <v>1954.0</v>
      </c>
      <c r="F995" s="383">
        <v>1960.0</v>
      </c>
      <c r="G995" s="206"/>
      <c r="H995" s="383">
        <v>3.5</v>
      </c>
      <c r="I995" s="384">
        <v>1.0</v>
      </c>
      <c r="J995" s="383">
        <v>3.5</v>
      </c>
      <c r="K995" s="206"/>
      <c r="L995" s="206"/>
      <c r="M995" s="383">
        <v>4.0</v>
      </c>
      <c r="N995" s="383">
        <v>93.48</v>
      </c>
      <c r="O995" s="206" t="s">
        <v>42</v>
      </c>
      <c r="P995" s="383">
        <v>22282.0</v>
      </c>
      <c r="Q995" s="255" t="s">
        <v>1407</v>
      </c>
      <c r="R995" s="387">
        <v>2023.0</v>
      </c>
      <c r="S995" s="390">
        <f t="shared" si="103"/>
        <v>0.01049648368</v>
      </c>
      <c r="T995" s="376">
        <f t="shared" si="99"/>
        <v>233.8826493</v>
      </c>
      <c r="U995" s="24">
        <f t="shared" si="3"/>
        <v>66.82361409</v>
      </c>
      <c r="V995" s="3">
        <f t="shared" si="28"/>
        <v>0</v>
      </c>
      <c r="W995" s="3">
        <f t="shared" si="29"/>
        <v>0</v>
      </c>
      <c r="X995" s="3">
        <f t="shared" si="30"/>
        <v>0</v>
      </c>
      <c r="Y995" s="385">
        <v>0.0</v>
      </c>
      <c r="Z995" s="26">
        <f>VLOOKUP(R995,CPI!$A$2:$F$71,6,0)</f>
        <v>1.057145998</v>
      </c>
      <c r="AA995" s="27">
        <f t="shared" si="8"/>
        <v>247.2481068</v>
      </c>
      <c r="AB995" s="27">
        <f t="shared" si="9"/>
        <v>70.64231623</v>
      </c>
      <c r="AC995" s="206"/>
      <c r="AD995" s="393" t="s">
        <v>2026</v>
      </c>
      <c r="AE995" s="206"/>
      <c r="AF995" s="206"/>
      <c r="AG995" s="206"/>
      <c r="AH995" s="206"/>
    </row>
    <row r="996">
      <c r="A996" s="206" t="s">
        <v>1403</v>
      </c>
      <c r="B996" s="206" t="s">
        <v>2023</v>
      </c>
      <c r="C996" s="206" t="s">
        <v>2036</v>
      </c>
      <c r="D996" s="206" t="s">
        <v>2039</v>
      </c>
      <c r="E996" s="383">
        <v>1961.0</v>
      </c>
      <c r="F996" s="383">
        <v>1963.0</v>
      </c>
      <c r="G996" s="206"/>
      <c r="H996" s="383">
        <v>2.6</v>
      </c>
      <c r="I996" s="384">
        <v>1.0</v>
      </c>
      <c r="J996" s="383">
        <v>2.6</v>
      </c>
      <c r="K996" s="206"/>
      <c r="L996" s="206"/>
      <c r="M996" s="383">
        <v>3.0</v>
      </c>
      <c r="N996" s="383">
        <v>93.48</v>
      </c>
      <c r="O996" s="206" t="s">
        <v>42</v>
      </c>
      <c r="P996" s="383">
        <v>23696.0</v>
      </c>
      <c r="Q996" s="255" t="s">
        <v>1407</v>
      </c>
      <c r="R996" s="387">
        <v>2023.0</v>
      </c>
      <c r="S996" s="390">
        <f t="shared" si="103"/>
        <v>0.01049648368</v>
      </c>
      <c r="T996" s="376">
        <f t="shared" si="99"/>
        <v>248.7246772</v>
      </c>
      <c r="U996" s="24">
        <f t="shared" si="3"/>
        <v>95.6633374</v>
      </c>
      <c r="V996" s="3">
        <f t="shared" si="28"/>
        <v>0</v>
      </c>
      <c r="W996" s="3">
        <f t="shared" si="29"/>
        <v>0</v>
      </c>
      <c r="X996" s="3">
        <f t="shared" si="30"/>
        <v>0</v>
      </c>
      <c r="Y996" s="385">
        <v>0.0</v>
      </c>
      <c r="Z996" s="26">
        <f>VLOOKUP(R996,CPI!$A$2:$F$71,6,0)</f>
        <v>1.057145998</v>
      </c>
      <c r="AA996" s="27">
        <f t="shared" si="8"/>
        <v>262.9382972</v>
      </c>
      <c r="AB996" s="27">
        <f t="shared" si="9"/>
        <v>101.1301143</v>
      </c>
      <c r="AC996" s="206"/>
      <c r="AD996" s="393" t="s">
        <v>2026</v>
      </c>
      <c r="AE996" s="206"/>
      <c r="AF996" s="206"/>
      <c r="AG996" s="206"/>
      <c r="AH996" s="206"/>
    </row>
    <row r="997">
      <c r="A997" s="206" t="s">
        <v>1403</v>
      </c>
      <c r="B997" s="391" t="s">
        <v>2023</v>
      </c>
      <c r="C997" s="391" t="s">
        <v>2032</v>
      </c>
      <c r="D997" s="388" t="s">
        <v>2040</v>
      </c>
      <c r="E997" s="383">
        <v>1964.0</v>
      </c>
      <c r="F997" s="383">
        <v>1967.0</v>
      </c>
      <c r="G997" s="206"/>
      <c r="H997" s="383">
        <v>4.6</v>
      </c>
      <c r="I997" s="384">
        <v>1.0</v>
      </c>
      <c r="J997" s="383">
        <v>4.6</v>
      </c>
      <c r="K997" s="206"/>
      <c r="L997" s="206"/>
      <c r="M997" s="383">
        <v>7.0</v>
      </c>
      <c r="N997" s="383">
        <v>93.48</v>
      </c>
      <c r="O997" s="206" t="s">
        <v>42</v>
      </c>
      <c r="P997" s="383">
        <v>40337.0</v>
      </c>
      <c r="Q997" s="255" t="s">
        <v>1407</v>
      </c>
      <c r="R997" s="387">
        <v>2023.0</v>
      </c>
      <c r="S997" s="390">
        <f t="shared" si="103"/>
        <v>0.01049648368</v>
      </c>
      <c r="T997" s="376">
        <f t="shared" si="99"/>
        <v>423.3966621</v>
      </c>
      <c r="U997" s="24">
        <f t="shared" si="3"/>
        <v>92.04275263</v>
      </c>
      <c r="V997" s="3">
        <f t="shared" si="28"/>
        <v>0</v>
      </c>
      <c r="W997" s="3">
        <f t="shared" si="29"/>
        <v>0</v>
      </c>
      <c r="X997" s="3">
        <f t="shared" si="30"/>
        <v>0</v>
      </c>
      <c r="Y997" s="385">
        <v>0.0</v>
      </c>
      <c r="Z997" s="26">
        <f>VLOOKUP(R997,CPI!$A$2:$F$71,6,0)</f>
        <v>1.057145998</v>
      </c>
      <c r="AA997" s="27">
        <f t="shared" si="8"/>
        <v>447.5920871</v>
      </c>
      <c r="AB997" s="27">
        <f t="shared" si="9"/>
        <v>97.30262763</v>
      </c>
      <c r="AC997" s="206"/>
      <c r="AD997" s="393" t="s">
        <v>2026</v>
      </c>
      <c r="AE997" s="206"/>
      <c r="AF997" s="206"/>
      <c r="AG997" s="206"/>
      <c r="AH997" s="206"/>
    </row>
    <row r="998">
      <c r="A998" s="206" t="s">
        <v>1403</v>
      </c>
      <c r="B998" s="391" t="s">
        <v>2023</v>
      </c>
      <c r="C998" s="206" t="s">
        <v>2041</v>
      </c>
      <c r="D998" s="388" t="s">
        <v>2042</v>
      </c>
      <c r="E998" s="383">
        <v>1965.0</v>
      </c>
      <c r="F998" s="383">
        <v>1967.0</v>
      </c>
      <c r="G998" s="206"/>
      <c r="H998" s="383">
        <v>1.2</v>
      </c>
      <c r="I998" s="384">
        <v>1.0</v>
      </c>
      <c r="J998" s="383">
        <v>1.2</v>
      </c>
      <c r="K998" s="206"/>
      <c r="L998" s="206"/>
      <c r="M998" s="383">
        <v>1.0</v>
      </c>
      <c r="N998" s="383">
        <v>93.48</v>
      </c>
      <c r="O998" s="206" t="s">
        <v>42</v>
      </c>
      <c r="P998" s="383">
        <v>10054.0</v>
      </c>
      <c r="Q998" s="255" t="s">
        <v>1407</v>
      </c>
      <c r="R998" s="387">
        <v>2023.0</v>
      </c>
      <c r="S998" s="390">
        <f t="shared" si="103"/>
        <v>0.01049648368</v>
      </c>
      <c r="T998" s="376">
        <f t="shared" si="99"/>
        <v>105.5316469</v>
      </c>
      <c r="U998" s="24">
        <f t="shared" si="3"/>
        <v>87.94303908</v>
      </c>
      <c r="V998" s="3">
        <f t="shared" si="28"/>
        <v>0</v>
      </c>
      <c r="W998" s="3">
        <f t="shared" si="29"/>
        <v>0</v>
      </c>
      <c r="X998" s="3">
        <f t="shared" si="30"/>
        <v>0</v>
      </c>
      <c r="Y998" s="385">
        <v>0.0</v>
      </c>
      <c r="Z998" s="26">
        <f>VLOOKUP(R998,CPI!$A$2:$F$71,6,0)</f>
        <v>1.057145998</v>
      </c>
      <c r="AA998" s="27">
        <f t="shared" si="8"/>
        <v>111.5623582</v>
      </c>
      <c r="AB998" s="27">
        <f t="shared" si="9"/>
        <v>92.96863185</v>
      </c>
      <c r="AC998" s="206"/>
      <c r="AD998" s="393" t="s">
        <v>2026</v>
      </c>
      <c r="AE998" s="206"/>
      <c r="AF998" s="206"/>
      <c r="AG998" s="206"/>
      <c r="AH998" s="206"/>
    </row>
    <row r="999">
      <c r="A999" s="206" t="s">
        <v>1403</v>
      </c>
      <c r="B999" s="391" t="s">
        <v>2023</v>
      </c>
      <c r="C999" s="391" t="s">
        <v>2036</v>
      </c>
      <c r="D999" s="388" t="s">
        <v>2043</v>
      </c>
      <c r="E999" s="383">
        <v>1962.0</v>
      </c>
      <c r="F999" s="383">
        <v>1969.0</v>
      </c>
      <c r="G999" s="206"/>
      <c r="H999" s="383">
        <v>8.5</v>
      </c>
      <c r="I999" s="384">
        <f>J999/H999</f>
        <v>0.5647058824</v>
      </c>
      <c r="J999" s="383">
        <v>4.8</v>
      </c>
      <c r="K999" s="383">
        <v>3.7</v>
      </c>
      <c r="L999" s="206"/>
      <c r="M999" s="383">
        <v>4.0</v>
      </c>
      <c r="N999" s="383">
        <v>93.48</v>
      </c>
      <c r="O999" s="206" t="s">
        <v>42</v>
      </c>
      <c r="P999" s="383">
        <v>69259.0</v>
      </c>
      <c r="Q999" s="255" t="s">
        <v>1407</v>
      </c>
      <c r="R999" s="387">
        <v>2023.0</v>
      </c>
      <c r="S999" s="390">
        <f t="shared" si="103"/>
        <v>0.01049648368</v>
      </c>
      <c r="T999" s="376">
        <f t="shared" si="99"/>
        <v>726.9759631</v>
      </c>
      <c r="U999" s="24">
        <f t="shared" si="3"/>
        <v>85.52658389</v>
      </c>
      <c r="V999" s="3">
        <f t="shared" si="28"/>
        <v>0</v>
      </c>
      <c r="W999" s="3">
        <f t="shared" si="29"/>
        <v>0</v>
      </c>
      <c r="X999" s="3">
        <f t="shared" si="30"/>
        <v>0</v>
      </c>
      <c r="Y999" s="385">
        <v>0.0</v>
      </c>
      <c r="Z999" s="26">
        <f>VLOOKUP(R999,CPI!$A$2:$F$71,6,0)</f>
        <v>1.057145998</v>
      </c>
      <c r="AA999" s="27">
        <f t="shared" si="8"/>
        <v>768.5197303</v>
      </c>
      <c r="AB999" s="27">
        <f t="shared" si="9"/>
        <v>90.41408591</v>
      </c>
      <c r="AC999" s="206"/>
      <c r="AD999" s="393" t="s">
        <v>2026</v>
      </c>
      <c r="AE999" s="206"/>
      <c r="AF999" s="206"/>
      <c r="AG999" s="206"/>
      <c r="AH999" s="206"/>
    </row>
    <row r="1000">
      <c r="A1000" s="206" t="s">
        <v>1403</v>
      </c>
      <c r="B1000" s="255" t="s">
        <v>2023</v>
      </c>
      <c r="C1000" s="206" t="s">
        <v>2044</v>
      </c>
      <c r="D1000" s="388" t="s">
        <v>2045</v>
      </c>
      <c r="E1000" s="383">
        <v>1969.0</v>
      </c>
      <c r="F1000" s="383">
        <v>1971.0</v>
      </c>
      <c r="G1000" s="206"/>
      <c r="H1000" s="383">
        <v>6.1</v>
      </c>
      <c r="I1000" s="384">
        <v>1.0</v>
      </c>
      <c r="J1000" s="383">
        <v>6.1</v>
      </c>
      <c r="K1000" s="206"/>
      <c r="L1000" s="206"/>
      <c r="M1000" s="383">
        <v>7.0</v>
      </c>
      <c r="N1000" s="383">
        <v>93.48</v>
      </c>
      <c r="O1000" s="206" t="s">
        <v>42</v>
      </c>
      <c r="P1000" s="383">
        <v>76021.0</v>
      </c>
      <c r="Q1000" s="255" t="s">
        <v>1407</v>
      </c>
      <c r="R1000" s="387">
        <v>2023.0</v>
      </c>
      <c r="S1000" s="390">
        <f t="shared" si="103"/>
        <v>0.01049648368</v>
      </c>
      <c r="T1000" s="376">
        <f t="shared" si="99"/>
        <v>797.9531857</v>
      </c>
      <c r="U1000" s="24">
        <f t="shared" si="3"/>
        <v>130.8119977</v>
      </c>
      <c r="V1000" s="3">
        <f t="shared" si="28"/>
        <v>0</v>
      </c>
      <c r="W1000" s="3">
        <f t="shared" si="29"/>
        <v>0</v>
      </c>
      <c r="X1000" s="3">
        <f t="shared" si="30"/>
        <v>0</v>
      </c>
      <c r="Y1000" s="385">
        <v>0.0</v>
      </c>
      <c r="Z1000" s="26">
        <f>VLOOKUP(R1000,CPI!$A$2:$F$71,6,0)</f>
        <v>1.057145998</v>
      </c>
      <c r="AA1000" s="27">
        <f t="shared" si="8"/>
        <v>843.5530171</v>
      </c>
      <c r="AB1000" s="27">
        <f t="shared" si="9"/>
        <v>138.2873799</v>
      </c>
      <c r="AC1000" s="206"/>
      <c r="AD1000" s="393" t="s">
        <v>2026</v>
      </c>
      <c r="AE1000" s="206"/>
      <c r="AF1000" s="206"/>
      <c r="AG1000" s="206"/>
      <c r="AH1000" s="206"/>
    </row>
    <row r="1001">
      <c r="A1001" s="206" t="s">
        <v>1403</v>
      </c>
      <c r="B1001" s="391" t="s">
        <v>2023</v>
      </c>
      <c r="C1001" s="391" t="s">
        <v>2032</v>
      </c>
      <c r="D1001" s="391" t="s">
        <v>2046</v>
      </c>
      <c r="E1001" s="383">
        <v>1969.0</v>
      </c>
      <c r="F1001" s="383">
        <v>1971.0</v>
      </c>
      <c r="G1001" s="206"/>
      <c r="H1001" s="383">
        <v>4.6</v>
      </c>
      <c r="I1001" s="384">
        <v>1.0</v>
      </c>
      <c r="J1001" s="383">
        <v>4.6</v>
      </c>
      <c r="K1001" s="206"/>
      <c r="L1001" s="206"/>
      <c r="M1001" s="383">
        <v>5.0</v>
      </c>
      <c r="N1001" s="383">
        <v>93.48</v>
      </c>
      <c r="O1001" s="206" t="s">
        <v>42</v>
      </c>
      <c r="P1001" s="383">
        <v>61285.0</v>
      </c>
      <c r="Q1001" s="255" t="s">
        <v>1407</v>
      </c>
      <c r="R1001" s="387">
        <v>2023.0</v>
      </c>
      <c r="S1001" s="390">
        <f t="shared" si="103"/>
        <v>0.01049648368</v>
      </c>
      <c r="T1001" s="376">
        <f t="shared" si="99"/>
        <v>643.2770022</v>
      </c>
      <c r="U1001" s="24">
        <f t="shared" si="3"/>
        <v>139.8428266</v>
      </c>
      <c r="V1001" s="3">
        <f t="shared" si="28"/>
        <v>0</v>
      </c>
      <c r="W1001" s="3">
        <f t="shared" si="29"/>
        <v>0</v>
      </c>
      <c r="X1001" s="3">
        <f t="shared" si="30"/>
        <v>0</v>
      </c>
      <c r="Y1001" s="385">
        <v>0.0</v>
      </c>
      <c r="Z1001" s="26">
        <f>VLOOKUP(R1001,CPI!$A$2:$F$71,6,0)</f>
        <v>1.057145998</v>
      </c>
      <c r="AA1001" s="27">
        <f t="shared" si="8"/>
        <v>680.0377087</v>
      </c>
      <c r="AB1001" s="27">
        <f t="shared" si="9"/>
        <v>147.8342845</v>
      </c>
      <c r="AC1001" s="206"/>
      <c r="AD1001" s="393" t="s">
        <v>2026</v>
      </c>
      <c r="AE1001" s="206"/>
      <c r="AF1001" s="206"/>
      <c r="AG1001" s="206"/>
      <c r="AH1001" s="206"/>
    </row>
    <row r="1002">
      <c r="A1002" s="206" t="s">
        <v>1403</v>
      </c>
      <c r="B1002" s="206" t="s">
        <v>2023</v>
      </c>
      <c r="C1002" s="206" t="s">
        <v>2032</v>
      </c>
      <c r="D1002" s="206" t="s">
        <v>2047</v>
      </c>
      <c r="E1002" s="383">
        <v>1971.0</v>
      </c>
      <c r="F1002" s="383">
        <v>1974.0</v>
      </c>
      <c r="G1002" s="206"/>
      <c r="H1002" s="383">
        <v>5.6</v>
      </c>
      <c r="I1002" s="384">
        <v>1.0</v>
      </c>
      <c r="J1002" s="383">
        <v>5.6</v>
      </c>
      <c r="K1002" s="206"/>
      <c r="L1002" s="206"/>
      <c r="M1002" s="383">
        <v>6.0</v>
      </c>
      <c r="N1002" s="383">
        <v>93.48</v>
      </c>
      <c r="O1002" s="206" t="s">
        <v>42</v>
      </c>
      <c r="P1002" s="383">
        <v>58628.0</v>
      </c>
      <c r="Q1002" s="255" t="s">
        <v>1407</v>
      </c>
      <c r="R1002" s="387">
        <v>2023.0</v>
      </c>
      <c r="S1002" s="390">
        <f t="shared" si="103"/>
        <v>0.01049648368</v>
      </c>
      <c r="T1002" s="376">
        <f t="shared" si="99"/>
        <v>615.3878451</v>
      </c>
      <c r="U1002" s="24">
        <f t="shared" si="3"/>
        <v>109.8906866</v>
      </c>
      <c r="V1002" s="3">
        <f t="shared" si="28"/>
        <v>0</v>
      </c>
      <c r="W1002" s="3">
        <f t="shared" si="29"/>
        <v>0</v>
      </c>
      <c r="X1002" s="3">
        <f t="shared" si="30"/>
        <v>0</v>
      </c>
      <c r="Y1002" s="385">
        <v>0.0</v>
      </c>
      <c r="Z1002" s="26">
        <f>VLOOKUP(R1002,CPI!$A$2:$F$71,6,0)</f>
        <v>1.057145998</v>
      </c>
      <c r="AA1002" s="27">
        <f t="shared" si="8"/>
        <v>650.5547979</v>
      </c>
      <c r="AB1002" s="27">
        <f t="shared" si="9"/>
        <v>116.1704996</v>
      </c>
      <c r="AC1002" s="206"/>
      <c r="AD1002" s="393" t="s">
        <v>2026</v>
      </c>
      <c r="AE1002" s="206"/>
      <c r="AF1002" s="206"/>
      <c r="AG1002" s="206"/>
      <c r="AH1002" s="206"/>
    </row>
    <row r="1003">
      <c r="A1003" s="206" t="s">
        <v>1403</v>
      </c>
      <c r="B1003" s="255" t="s">
        <v>2023</v>
      </c>
      <c r="C1003" s="255" t="s">
        <v>2024</v>
      </c>
      <c r="D1003" s="255" t="s">
        <v>2048</v>
      </c>
      <c r="E1003" s="383">
        <v>1973.0</v>
      </c>
      <c r="F1003" s="383">
        <v>1977.0</v>
      </c>
      <c r="G1003" s="206"/>
      <c r="H1003" s="383">
        <v>8.4</v>
      </c>
      <c r="I1003" s="384">
        <v>1.0</v>
      </c>
      <c r="J1003" s="383">
        <v>8.4</v>
      </c>
      <c r="K1003" s="206"/>
      <c r="L1003" s="206"/>
      <c r="M1003" s="383">
        <v>8.0</v>
      </c>
      <c r="N1003" s="383">
        <v>160.0</v>
      </c>
      <c r="O1003" s="206" t="s">
        <v>42</v>
      </c>
      <c r="P1003" s="383">
        <v>125041.0</v>
      </c>
      <c r="Q1003" s="255" t="s">
        <v>1407</v>
      </c>
      <c r="R1003" s="387">
        <v>2023.0</v>
      </c>
      <c r="S1003" s="390">
        <f t="shared" si="103"/>
        <v>0.01049648368</v>
      </c>
      <c r="T1003" s="376">
        <f t="shared" si="99"/>
        <v>1312.490816</v>
      </c>
      <c r="U1003" s="24">
        <f t="shared" si="3"/>
        <v>156.2489066</v>
      </c>
      <c r="V1003" s="3">
        <f t="shared" si="28"/>
        <v>0</v>
      </c>
      <c r="W1003" s="3">
        <f t="shared" si="29"/>
        <v>0</v>
      </c>
      <c r="X1003" s="3">
        <f t="shared" si="30"/>
        <v>0</v>
      </c>
      <c r="Y1003" s="385">
        <v>0.0</v>
      </c>
      <c r="Z1003" s="26">
        <f>VLOOKUP(R1003,CPI!$A$2:$F$71,6,0)</f>
        <v>1.057145998</v>
      </c>
      <c r="AA1003" s="27">
        <f t="shared" si="8"/>
        <v>1387.494414</v>
      </c>
      <c r="AB1003" s="27">
        <f t="shared" si="9"/>
        <v>165.1779064</v>
      </c>
      <c r="AC1003" s="206"/>
      <c r="AD1003" s="393" t="s">
        <v>2026</v>
      </c>
      <c r="AE1003" s="206"/>
      <c r="AF1003" s="206"/>
      <c r="AG1003" s="206"/>
      <c r="AH1003" s="206"/>
    </row>
    <row r="1004">
      <c r="A1004" s="206" t="s">
        <v>1403</v>
      </c>
      <c r="B1004" s="255" t="s">
        <v>2023</v>
      </c>
      <c r="C1004" s="255" t="s">
        <v>2024</v>
      </c>
      <c r="D1004" s="206" t="s">
        <v>2049</v>
      </c>
      <c r="E1004" s="383">
        <v>1975.0</v>
      </c>
      <c r="F1004" s="383">
        <v>1978.0</v>
      </c>
      <c r="G1004" s="206"/>
      <c r="H1004" s="383">
        <v>5.7</v>
      </c>
      <c r="I1004" s="384">
        <f>J1004/H1004</f>
        <v>0.9473684211</v>
      </c>
      <c r="J1004" s="383">
        <v>5.4</v>
      </c>
      <c r="K1004" s="383">
        <v>0.3</v>
      </c>
      <c r="L1004" s="206"/>
      <c r="M1004" s="383">
        <v>5.0</v>
      </c>
      <c r="N1004" s="383">
        <v>160.0</v>
      </c>
      <c r="O1004" s="206" t="s">
        <v>42</v>
      </c>
      <c r="P1004" s="383">
        <v>93395.0</v>
      </c>
      <c r="Q1004" s="255" t="s">
        <v>1407</v>
      </c>
      <c r="R1004" s="387">
        <v>2023.0</v>
      </c>
      <c r="S1004" s="390">
        <f t="shared" si="103"/>
        <v>0.01049648368</v>
      </c>
      <c r="T1004" s="376">
        <f t="shared" si="99"/>
        <v>980.3190931</v>
      </c>
      <c r="U1004" s="24">
        <f t="shared" si="3"/>
        <v>171.9858058</v>
      </c>
      <c r="V1004" s="3">
        <f t="shared" si="28"/>
        <v>0</v>
      </c>
      <c r="W1004" s="3">
        <f t="shared" si="29"/>
        <v>0</v>
      </c>
      <c r="X1004" s="3">
        <f t="shared" si="30"/>
        <v>0</v>
      </c>
      <c r="Y1004" s="385">
        <v>0.0</v>
      </c>
      <c r="Z1004" s="26">
        <f>VLOOKUP(R1004,CPI!$A$2:$F$71,6,0)</f>
        <v>1.057145998</v>
      </c>
      <c r="AA1004" s="27">
        <f t="shared" si="8"/>
        <v>1036.340406</v>
      </c>
      <c r="AB1004" s="27">
        <f t="shared" si="9"/>
        <v>181.8141064</v>
      </c>
      <c r="AC1004" s="206"/>
      <c r="AD1004" s="393" t="s">
        <v>2026</v>
      </c>
      <c r="AE1004" s="206"/>
      <c r="AF1004" s="206"/>
      <c r="AG1004" s="206"/>
      <c r="AH1004" s="206"/>
    </row>
    <row r="1005">
      <c r="A1005" s="206" t="s">
        <v>1403</v>
      </c>
      <c r="B1005" s="255" t="s">
        <v>2023</v>
      </c>
      <c r="C1005" s="206" t="s">
        <v>2024</v>
      </c>
      <c r="D1005" s="206" t="s">
        <v>2050</v>
      </c>
      <c r="E1005" s="383">
        <v>1977.0</v>
      </c>
      <c r="F1005" s="383">
        <v>1981.0</v>
      </c>
      <c r="G1005" s="206"/>
      <c r="H1005" s="383">
        <v>2.9</v>
      </c>
      <c r="I1005" s="384">
        <v>1.0</v>
      </c>
      <c r="J1005" s="383">
        <v>2.9</v>
      </c>
      <c r="K1005" s="206"/>
      <c r="L1005" s="206"/>
      <c r="M1005" s="383">
        <v>3.0</v>
      </c>
      <c r="N1005" s="383">
        <v>160.0</v>
      </c>
      <c r="O1005" s="206" t="s">
        <v>42</v>
      </c>
      <c r="P1005" s="383">
        <v>67803.0</v>
      </c>
      <c r="Q1005" s="255" t="s">
        <v>1407</v>
      </c>
      <c r="R1005" s="387">
        <v>2023.0</v>
      </c>
      <c r="S1005" s="390">
        <f t="shared" si="103"/>
        <v>0.01049648368</v>
      </c>
      <c r="T1005" s="376">
        <f t="shared" si="99"/>
        <v>711.6930828</v>
      </c>
      <c r="U1005" s="24">
        <f t="shared" si="3"/>
        <v>245.4114079</v>
      </c>
      <c r="V1005" s="3">
        <f t="shared" si="28"/>
        <v>0</v>
      </c>
      <c r="W1005" s="3">
        <f t="shared" si="29"/>
        <v>0</v>
      </c>
      <c r="X1005" s="3">
        <f t="shared" si="30"/>
        <v>0</v>
      </c>
      <c r="Y1005" s="385">
        <v>0.0</v>
      </c>
      <c r="Z1005" s="26">
        <f>VLOOKUP(R1005,CPI!$A$2:$F$71,6,0)</f>
        <v>1.057145998</v>
      </c>
      <c r="AA1005" s="27">
        <f t="shared" si="8"/>
        <v>752.3634946</v>
      </c>
      <c r="AB1005" s="27">
        <f t="shared" si="9"/>
        <v>259.4356878</v>
      </c>
      <c r="AC1005" s="206"/>
      <c r="AD1005" s="393" t="s">
        <v>2026</v>
      </c>
      <c r="AE1005" s="206"/>
      <c r="AF1005" s="206"/>
      <c r="AG1005" s="206"/>
      <c r="AH1005" s="206"/>
    </row>
    <row r="1006">
      <c r="A1006" s="206" t="s">
        <v>1403</v>
      </c>
      <c r="B1006" s="206" t="s">
        <v>2023</v>
      </c>
      <c r="C1006" s="206" t="s">
        <v>2036</v>
      </c>
      <c r="D1006" s="206" t="s">
        <v>2051</v>
      </c>
      <c r="E1006" s="383">
        <v>1978.0</v>
      </c>
      <c r="F1006" s="383">
        <v>1982.0</v>
      </c>
      <c r="G1006" s="206"/>
      <c r="H1006" s="383">
        <v>3.0</v>
      </c>
      <c r="I1006" s="384">
        <v>1.0</v>
      </c>
      <c r="J1006" s="383">
        <v>3.0</v>
      </c>
      <c r="K1006" s="206"/>
      <c r="L1006" s="206"/>
      <c r="M1006" s="383">
        <v>3.0</v>
      </c>
      <c r="N1006" s="383">
        <v>93.48</v>
      </c>
      <c r="O1006" s="206" t="s">
        <v>42</v>
      </c>
      <c r="P1006" s="383">
        <v>81502.0</v>
      </c>
      <c r="Q1006" s="255" t="s">
        <v>1407</v>
      </c>
      <c r="R1006" s="387">
        <v>2023.0</v>
      </c>
      <c r="S1006" s="390">
        <f t="shared" si="103"/>
        <v>0.01049648368</v>
      </c>
      <c r="T1006" s="376">
        <f t="shared" si="99"/>
        <v>855.4844127</v>
      </c>
      <c r="U1006" s="24">
        <f t="shared" si="3"/>
        <v>285.1614709</v>
      </c>
      <c r="V1006" s="3">
        <f t="shared" si="28"/>
        <v>0</v>
      </c>
      <c r="W1006" s="3">
        <f t="shared" si="29"/>
        <v>0</v>
      </c>
      <c r="X1006" s="3">
        <f t="shared" si="30"/>
        <v>0</v>
      </c>
      <c r="Y1006" s="385">
        <v>0.0</v>
      </c>
      <c r="Z1006" s="26">
        <f>VLOOKUP(R1006,CPI!$A$2:$F$71,6,0)</f>
        <v>1.057145998</v>
      </c>
      <c r="AA1006" s="27">
        <f t="shared" si="8"/>
        <v>904.3719236</v>
      </c>
      <c r="AB1006" s="27">
        <f t="shared" si="9"/>
        <v>301.4573079</v>
      </c>
      <c r="AC1006" s="206"/>
      <c r="AD1006" s="393" t="s">
        <v>2026</v>
      </c>
      <c r="AE1006" s="206"/>
      <c r="AF1006" s="206"/>
      <c r="AG1006" s="206"/>
      <c r="AH1006" s="206"/>
    </row>
    <row r="1007">
      <c r="A1007" s="206" t="s">
        <v>1403</v>
      </c>
      <c r="B1007" s="206" t="s">
        <v>2023</v>
      </c>
      <c r="C1007" s="206" t="s">
        <v>2024</v>
      </c>
      <c r="D1007" s="206" t="s">
        <v>2052</v>
      </c>
      <c r="E1007" s="383">
        <v>1980.0</v>
      </c>
      <c r="F1007" s="383">
        <v>1984.0</v>
      </c>
      <c r="G1007" s="206"/>
      <c r="H1007" s="383">
        <v>2.8</v>
      </c>
      <c r="I1007" s="384">
        <v>1.0</v>
      </c>
      <c r="J1007" s="383">
        <v>2.8</v>
      </c>
      <c r="K1007" s="206"/>
      <c r="L1007" s="206"/>
      <c r="M1007" s="383">
        <v>2.0</v>
      </c>
      <c r="N1007" s="383">
        <v>160.0</v>
      </c>
      <c r="O1007" s="206" t="s">
        <v>42</v>
      </c>
      <c r="P1007" s="383">
        <v>57366.0</v>
      </c>
      <c r="Q1007" s="255" t="s">
        <v>1407</v>
      </c>
      <c r="R1007" s="387">
        <v>2023.0</v>
      </c>
      <c r="S1007" s="390">
        <f t="shared" si="103"/>
        <v>0.01049648368</v>
      </c>
      <c r="T1007" s="376">
        <f t="shared" si="99"/>
        <v>602.1412827</v>
      </c>
      <c r="U1007" s="24">
        <f t="shared" si="3"/>
        <v>215.0504581</v>
      </c>
      <c r="V1007" s="3">
        <f t="shared" si="28"/>
        <v>0</v>
      </c>
      <c r="W1007" s="3">
        <f t="shared" si="29"/>
        <v>0</v>
      </c>
      <c r="X1007" s="3">
        <f t="shared" si="30"/>
        <v>0</v>
      </c>
      <c r="Y1007" s="385">
        <v>0.0</v>
      </c>
      <c r="Z1007" s="26">
        <f>VLOOKUP(R1007,CPI!$A$2:$F$71,6,0)</f>
        <v>1.057145998</v>
      </c>
      <c r="AA1007" s="27">
        <f t="shared" si="8"/>
        <v>636.5512474</v>
      </c>
      <c r="AB1007" s="27">
        <f t="shared" si="9"/>
        <v>227.3397312</v>
      </c>
      <c r="AC1007" s="206"/>
      <c r="AD1007" s="393" t="s">
        <v>2026</v>
      </c>
      <c r="AE1007" s="206"/>
      <c r="AF1007" s="206"/>
      <c r="AG1007" s="206"/>
      <c r="AH1007" s="206"/>
    </row>
    <row r="1008">
      <c r="A1008" s="206" t="s">
        <v>1403</v>
      </c>
      <c r="B1008" s="206" t="s">
        <v>2053</v>
      </c>
      <c r="C1008" s="206" t="s">
        <v>2054</v>
      </c>
      <c r="D1008" s="385" t="s">
        <v>2055</v>
      </c>
      <c r="E1008" s="383">
        <v>1994.0</v>
      </c>
      <c r="F1008" s="383">
        <v>2001.0</v>
      </c>
      <c r="G1008" s="206"/>
      <c r="H1008" s="383">
        <v>8.1</v>
      </c>
      <c r="I1008" s="384">
        <v>1.0</v>
      </c>
      <c r="J1008" s="383">
        <v>8.1</v>
      </c>
      <c r="K1008" s="206"/>
      <c r="L1008" s="206"/>
      <c r="M1008" s="383">
        <v>10.0</v>
      </c>
      <c r="N1008" s="383">
        <v>94.0</v>
      </c>
      <c r="O1008" s="206" t="s">
        <v>1963</v>
      </c>
      <c r="P1008" s="401">
        <v>235000.0</v>
      </c>
      <c r="Q1008" s="255" t="s">
        <v>1407</v>
      </c>
      <c r="R1008" s="383">
        <v>1998.0</v>
      </c>
      <c r="S1008" s="402">
        <f>1/166.39</f>
        <v>0.006009976561</v>
      </c>
      <c r="T1008" s="376">
        <f t="shared" si="99"/>
        <v>1412.344492</v>
      </c>
      <c r="U1008" s="24">
        <f t="shared" si="3"/>
        <v>174.3635175</v>
      </c>
      <c r="V1008" s="3">
        <f t="shared" si="28"/>
        <v>0</v>
      </c>
      <c r="W1008" s="3">
        <f t="shared" si="29"/>
        <v>0</v>
      </c>
      <c r="X1008" s="3">
        <f t="shared" si="30"/>
        <v>0</v>
      </c>
      <c r="Y1008" s="326">
        <v>0.0</v>
      </c>
      <c r="Z1008" s="26">
        <f>VLOOKUP(R1008,CPI!$A$2:$F$71,6,0)</f>
        <v>1.976162577</v>
      </c>
      <c r="AA1008" s="27">
        <f t="shared" si="8"/>
        <v>2791.02233</v>
      </c>
      <c r="AB1008" s="27">
        <f t="shared" si="9"/>
        <v>344.570658</v>
      </c>
      <c r="AC1008" s="206" t="s">
        <v>1963</v>
      </c>
      <c r="AD1008" s="206" t="s">
        <v>2056</v>
      </c>
    </row>
    <row r="1009">
      <c r="A1009" s="206" t="s">
        <v>1403</v>
      </c>
      <c r="B1009" s="206" t="s">
        <v>2053</v>
      </c>
      <c r="C1009" s="206" t="s">
        <v>2057</v>
      </c>
      <c r="D1009" s="206" t="s">
        <v>2058</v>
      </c>
      <c r="E1009" s="383">
        <v>1982.0</v>
      </c>
      <c r="F1009" s="383">
        <v>1988.0</v>
      </c>
      <c r="G1009" s="206"/>
      <c r="H1009" s="383">
        <v>7.9</v>
      </c>
      <c r="I1009" s="384">
        <v>0.95</v>
      </c>
      <c r="J1009" s="383">
        <v>7.5</v>
      </c>
      <c r="K1009" s="383">
        <v>0.4</v>
      </c>
      <c r="L1009" s="206"/>
      <c r="M1009" s="383">
        <v>2.0</v>
      </c>
      <c r="N1009" s="383">
        <v>148.0</v>
      </c>
      <c r="O1009" s="206" t="s">
        <v>1963</v>
      </c>
      <c r="P1009" s="387">
        <v>69900.0</v>
      </c>
      <c r="Q1009" s="255" t="s">
        <v>1407</v>
      </c>
      <c r="R1009" s="387">
        <v>2023.0</v>
      </c>
      <c r="S1009" s="390">
        <f>1/95.27</f>
        <v>0.01049648368</v>
      </c>
      <c r="T1009" s="376">
        <f t="shared" si="99"/>
        <v>733.7042091</v>
      </c>
      <c r="U1009" s="24">
        <f t="shared" si="3"/>
        <v>92.87395052</v>
      </c>
      <c r="V1009" s="3">
        <f t="shared" si="28"/>
        <v>0</v>
      </c>
      <c r="W1009" s="3">
        <f t="shared" si="29"/>
        <v>0</v>
      </c>
      <c r="X1009" s="3">
        <f t="shared" si="30"/>
        <v>0</v>
      </c>
      <c r="Y1009" s="326">
        <v>0.0</v>
      </c>
      <c r="Z1009" s="26">
        <f>VLOOKUP(R1009,CPI!$A$2:$F$71,6,0)</f>
        <v>1.057145998</v>
      </c>
      <c r="AA1009" s="27">
        <f t="shared" si="8"/>
        <v>775.6324686</v>
      </c>
      <c r="AB1009" s="27">
        <f t="shared" si="9"/>
        <v>98.18132514</v>
      </c>
      <c r="AC1009" s="206" t="s">
        <v>1963</v>
      </c>
      <c r="AD1009" s="393" t="s">
        <v>2059</v>
      </c>
    </row>
    <row r="1010">
      <c r="A1010" s="206" t="s">
        <v>1403</v>
      </c>
      <c r="B1010" s="206" t="s">
        <v>1409</v>
      </c>
      <c r="C1010" s="206" t="s">
        <v>2060</v>
      </c>
      <c r="D1010" s="206" t="s">
        <v>2061</v>
      </c>
      <c r="E1010" s="383">
        <v>2000.0</v>
      </c>
      <c r="F1010" s="383">
        <v>2006.0</v>
      </c>
      <c r="G1010" s="206"/>
      <c r="H1010" s="383">
        <v>12.1</v>
      </c>
      <c r="I1010" s="384">
        <v>1.0</v>
      </c>
      <c r="J1010" s="383">
        <v>12.1</v>
      </c>
      <c r="K1010" s="206"/>
      <c r="L1010" s="206"/>
      <c r="M1010" s="383">
        <v>11.0</v>
      </c>
      <c r="N1010" s="383">
        <v>90.0</v>
      </c>
      <c r="O1010" s="206" t="s">
        <v>42</v>
      </c>
      <c r="P1010" s="401">
        <v>266300.0</v>
      </c>
      <c r="Q1010" s="255" t="s">
        <v>1407</v>
      </c>
      <c r="R1010" s="383">
        <v>2003.0</v>
      </c>
      <c r="S1010" s="403">
        <f>1/139.58</f>
        <v>0.007164350193</v>
      </c>
      <c r="T1010" s="376">
        <f t="shared" si="99"/>
        <v>1907.866457</v>
      </c>
      <c r="U1010" s="24">
        <f t="shared" si="3"/>
        <v>157.6749138</v>
      </c>
      <c r="V1010" s="3">
        <f t="shared" si="28"/>
        <v>0</v>
      </c>
      <c r="W1010" s="3">
        <f t="shared" si="29"/>
        <v>0</v>
      </c>
      <c r="X1010" s="3">
        <f t="shared" si="30"/>
        <v>0</v>
      </c>
      <c r="Y1010" s="326">
        <v>0.0</v>
      </c>
      <c r="Z1010" s="26">
        <f>VLOOKUP(R1010,CPI!$A$2:$F$71,6,0)</f>
        <v>1.750622283</v>
      </c>
      <c r="AA1010" s="27">
        <f t="shared" si="8"/>
        <v>3339.953531</v>
      </c>
      <c r="AB1010" s="27">
        <f t="shared" si="9"/>
        <v>276.0292174</v>
      </c>
      <c r="AC1010" s="206" t="s">
        <v>1963</v>
      </c>
      <c r="AD1010" s="389" t="s">
        <v>2098</v>
      </c>
    </row>
    <row r="1011">
      <c r="A1011" s="206" t="s">
        <v>1403</v>
      </c>
      <c r="B1011" s="206" t="s">
        <v>1409</v>
      </c>
      <c r="C1011" s="206" t="s">
        <v>2063</v>
      </c>
      <c r="D1011" s="206" t="s">
        <v>2064</v>
      </c>
      <c r="E1011" s="383">
        <v>1986.0</v>
      </c>
      <c r="F1011" s="383">
        <v>1990.0</v>
      </c>
      <c r="G1011" s="206"/>
      <c r="H1011" s="383">
        <v>5.6</v>
      </c>
      <c r="I1011" s="384">
        <v>1.0</v>
      </c>
      <c r="J1011" s="383">
        <v>5.6</v>
      </c>
      <c r="K1011" s="206"/>
      <c r="L1011" s="206"/>
      <c r="M1011" s="383">
        <v>5.0</v>
      </c>
      <c r="N1011" s="383">
        <v>120.0</v>
      </c>
      <c r="O1011" s="206" t="s">
        <v>42</v>
      </c>
      <c r="P1011" s="401">
        <v>110800.0</v>
      </c>
      <c r="Q1011" s="255" t="s">
        <v>1407</v>
      </c>
      <c r="R1011" s="383">
        <v>1990.0</v>
      </c>
      <c r="S1011" s="383">
        <f>1/187.62</f>
        <v>0.005329922183</v>
      </c>
      <c r="T1011" s="376">
        <f t="shared" si="99"/>
        <v>590.5553779</v>
      </c>
      <c r="U1011" s="24">
        <f t="shared" si="3"/>
        <v>105.4563175</v>
      </c>
      <c r="V1011" s="3">
        <f t="shared" si="28"/>
        <v>0</v>
      </c>
      <c r="W1011" s="3">
        <f t="shared" si="29"/>
        <v>0</v>
      </c>
      <c r="X1011" s="3">
        <f t="shared" si="30"/>
        <v>0</v>
      </c>
      <c r="Y1011" s="326">
        <v>0.0</v>
      </c>
      <c r="Z1011" s="26">
        <f>VLOOKUP(R1011,CPI!$A$2:$F$71,6,0)</f>
        <v>2.464533282</v>
      </c>
      <c r="AA1011" s="27">
        <f t="shared" si="8"/>
        <v>1455.443384</v>
      </c>
      <c r="AB1011" s="27">
        <f t="shared" si="9"/>
        <v>259.9006043</v>
      </c>
      <c r="AC1011" s="206" t="s">
        <v>42</v>
      </c>
      <c r="AD1011" s="206" t="s">
        <v>2065</v>
      </c>
    </row>
    <row r="1012">
      <c r="A1012" s="206" t="s">
        <v>1403</v>
      </c>
      <c r="B1012" s="206" t="s">
        <v>1409</v>
      </c>
      <c r="C1012" s="206" t="s">
        <v>2063</v>
      </c>
      <c r="D1012" s="206" t="s">
        <v>2066</v>
      </c>
      <c r="E1012" s="383">
        <v>1987.0</v>
      </c>
      <c r="F1012" s="383">
        <v>1996.0</v>
      </c>
      <c r="G1012" s="206"/>
      <c r="H1012" s="383">
        <v>5.5</v>
      </c>
      <c r="I1012" s="384">
        <v>1.0</v>
      </c>
      <c r="J1012" s="383">
        <v>5.5</v>
      </c>
      <c r="K1012" s="206"/>
      <c r="L1012" s="206"/>
      <c r="M1012" s="383">
        <v>7.0</v>
      </c>
      <c r="N1012" s="383">
        <v>90.0</v>
      </c>
      <c r="O1012" s="206" t="s">
        <v>42</v>
      </c>
      <c r="P1012" s="401">
        <v>152400.0</v>
      </c>
      <c r="Q1012" s="255" t="s">
        <v>1407</v>
      </c>
      <c r="R1012" s="383">
        <v>1992.0</v>
      </c>
      <c r="S1012" s="383">
        <f t="shared" ref="S1012:S1014" si="104">1/185.66</f>
        <v>0.005386189809</v>
      </c>
      <c r="T1012" s="376">
        <f t="shared" si="99"/>
        <v>820.8553269</v>
      </c>
      <c r="U1012" s="24">
        <f t="shared" si="3"/>
        <v>149.2464231</v>
      </c>
      <c r="V1012" s="3">
        <f t="shared" si="28"/>
        <v>0</v>
      </c>
      <c r="W1012" s="3">
        <f t="shared" si="29"/>
        <v>0</v>
      </c>
      <c r="X1012" s="3">
        <f t="shared" si="30"/>
        <v>0</v>
      </c>
      <c r="Y1012" s="326">
        <v>0.0</v>
      </c>
      <c r="Z1012" s="26">
        <f>VLOOKUP(R1012,CPI!$A$2:$F$71,6,0)</f>
        <v>2.295898076</v>
      </c>
      <c r="AA1012" s="27">
        <f t="shared" si="8"/>
        <v>1884.600165</v>
      </c>
      <c r="AB1012" s="27">
        <f t="shared" si="9"/>
        <v>342.6545755</v>
      </c>
      <c r="AC1012" s="206" t="s">
        <v>42</v>
      </c>
      <c r="AD1012" s="206" t="s">
        <v>2065</v>
      </c>
    </row>
    <row r="1013">
      <c r="A1013" s="206" t="s">
        <v>1403</v>
      </c>
      <c r="B1013" s="206" t="s">
        <v>1409</v>
      </c>
      <c r="C1013" s="206" t="s">
        <v>2063</v>
      </c>
      <c r="D1013" s="206" t="s">
        <v>2067</v>
      </c>
      <c r="E1013" s="383">
        <v>1987.0</v>
      </c>
      <c r="F1013" s="383">
        <v>1997.0</v>
      </c>
      <c r="G1013" s="206"/>
      <c r="H1013" s="383">
        <v>2.9</v>
      </c>
      <c r="I1013" s="384">
        <v>1.0</v>
      </c>
      <c r="J1013" s="383">
        <v>2.9</v>
      </c>
      <c r="K1013" s="206"/>
      <c r="L1013" s="206"/>
      <c r="M1013" s="383">
        <v>4.0</v>
      </c>
      <c r="N1013" s="383">
        <v>90.0</v>
      </c>
      <c r="O1013" s="206" t="s">
        <v>42</v>
      </c>
      <c r="P1013" s="387">
        <v>80600.0</v>
      </c>
      <c r="Q1013" s="255" t="s">
        <v>1407</v>
      </c>
      <c r="R1013" s="383">
        <v>1992.0</v>
      </c>
      <c r="S1013" s="383">
        <f t="shared" si="104"/>
        <v>0.005386189809</v>
      </c>
      <c r="T1013" s="376">
        <f t="shared" si="99"/>
        <v>434.1268986</v>
      </c>
      <c r="U1013" s="24">
        <f t="shared" si="3"/>
        <v>149.6989306</v>
      </c>
      <c r="V1013" s="3">
        <f t="shared" si="28"/>
        <v>0</v>
      </c>
      <c r="W1013" s="3">
        <f t="shared" si="29"/>
        <v>0</v>
      </c>
      <c r="X1013" s="3">
        <f t="shared" si="30"/>
        <v>0</v>
      </c>
      <c r="Y1013" s="326">
        <v>0.0</v>
      </c>
      <c r="Z1013" s="26">
        <f>VLOOKUP(R1013,CPI!$A$2:$F$71,6,0)</f>
        <v>2.295898076</v>
      </c>
      <c r="AA1013" s="27">
        <f t="shared" si="8"/>
        <v>996.7111111</v>
      </c>
      <c r="AB1013" s="27">
        <f t="shared" si="9"/>
        <v>343.6934866</v>
      </c>
      <c r="AC1013" s="206" t="s">
        <v>42</v>
      </c>
      <c r="AD1013" s="206" t="s">
        <v>2065</v>
      </c>
    </row>
    <row r="1014">
      <c r="A1014" s="206" t="s">
        <v>1403</v>
      </c>
      <c r="B1014" s="206" t="s">
        <v>1409</v>
      </c>
      <c r="C1014" s="206" t="s">
        <v>2063</v>
      </c>
      <c r="D1014" s="206" t="s">
        <v>2068</v>
      </c>
      <c r="E1014" s="383">
        <v>1987.0</v>
      </c>
      <c r="F1014" s="383">
        <v>1997.0</v>
      </c>
      <c r="G1014" s="206"/>
      <c r="H1014" s="383">
        <v>1.3</v>
      </c>
      <c r="I1014" s="384">
        <v>1.0</v>
      </c>
      <c r="J1014" s="383">
        <v>1.3</v>
      </c>
      <c r="K1014" s="206"/>
      <c r="L1014" s="206"/>
      <c r="M1014" s="383">
        <v>1.0</v>
      </c>
      <c r="N1014" s="383">
        <v>90.0</v>
      </c>
      <c r="O1014" s="206" t="s">
        <v>42</v>
      </c>
      <c r="P1014" s="387">
        <v>23200.0</v>
      </c>
      <c r="Q1014" s="255" t="s">
        <v>1407</v>
      </c>
      <c r="R1014" s="383">
        <v>1992.0</v>
      </c>
      <c r="S1014" s="383">
        <f t="shared" si="104"/>
        <v>0.005386189809</v>
      </c>
      <c r="T1014" s="376">
        <f t="shared" si="99"/>
        <v>124.9596036</v>
      </c>
      <c r="U1014" s="24">
        <f t="shared" si="3"/>
        <v>96.12277198</v>
      </c>
      <c r="V1014" s="3">
        <f t="shared" si="28"/>
        <v>0</v>
      </c>
      <c r="W1014" s="3">
        <f t="shared" si="29"/>
        <v>0</v>
      </c>
      <c r="X1014" s="3">
        <f t="shared" si="30"/>
        <v>0</v>
      </c>
      <c r="Y1014" s="326">
        <v>0.0</v>
      </c>
      <c r="Z1014" s="26">
        <f>VLOOKUP(R1014,CPI!$A$2:$F$71,6,0)</f>
        <v>2.295898076</v>
      </c>
      <c r="AA1014" s="27">
        <f t="shared" si="8"/>
        <v>286.8945134</v>
      </c>
      <c r="AB1014" s="27">
        <f t="shared" si="9"/>
        <v>220.6880872</v>
      </c>
      <c r="AC1014" s="206" t="s">
        <v>42</v>
      </c>
      <c r="AD1014" s="206" t="s">
        <v>2065</v>
      </c>
    </row>
    <row r="1015">
      <c r="A1015" s="206" t="s">
        <v>1403</v>
      </c>
      <c r="B1015" s="206" t="s">
        <v>1409</v>
      </c>
      <c r="C1015" s="206" t="s">
        <v>2069</v>
      </c>
      <c r="D1015" s="206" t="s">
        <v>2070</v>
      </c>
      <c r="E1015" s="206" t="s">
        <v>2071</v>
      </c>
      <c r="F1015" s="383">
        <v>1993.0</v>
      </c>
      <c r="H1015" s="383">
        <v>1.7</v>
      </c>
      <c r="I1015" s="384">
        <v>1.0</v>
      </c>
      <c r="J1015" s="383">
        <v>1.7</v>
      </c>
      <c r="K1015" s="206"/>
      <c r="M1015" s="383">
        <v>1.0</v>
      </c>
      <c r="N1015" s="383">
        <v>152.0</v>
      </c>
      <c r="O1015" s="206" t="s">
        <v>42</v>
      </c>
      <c r="P1015" s="387">
        <v>68600.0</v>
      </c>
      <c r="Q1015" s="255" t="s">
        <v>1407</v>
      </c>
      <c r="R1015" s="383">
        <v>1993.0</v>
      </c>
      <c r="S1015" s="383">
        <f>1/182.31</f>
        <v>0.005485162635</v>
      </c>
      <c r="T1015" s="376">
        <f t="shared" si="99"/>
        <v>376.2821568</v>
      </c>
      <c r="U1015" s="24">
        <f t="shared" si="3"/>
        <v>221.3424452</v>
      </c>
      <c r="V1015" s="3">
        <f t="shared" si="28"/>
        <v>0</v>
      </c>
      <c r="W1015" s="3">
        <f t="shared" si="29"/>
        <v>0</v>
      </c>
      <c r="X1015" s="3">
        <f t="shared" si="30"/>
        <v>0</v>
      </c>
      <c r="Y1015" s="326">
        <v>0.0</v>
      </c>
      <c r="Z1015" s="26">
        <f>VLOOKUP(R1015,CPI!$A$2:$F$71,6,0)</f>
        <v>2.22916609</v>
      </c>
      <c r="AA1015" s="27">
        <f t="shared" si="8"/>
        <v>838.7954241</v>
      </c>
      <c r="AB1015" s="27">
        <f t="shared" si="9"/>
        <v>493.409073</v>
      </c>
      <c r="AC1015" s="206" t="s">
        <v>42</v>
      </c>
      <c r="AD1015" s="389" t="s">
        <v>2099</v>
      </c>
    </row>
    <row r="1016">
      <c r="A1016" s="206" t="s">
        <v>1403</v>
      </c>
      <c r="B1016" s="206" t="s">
        <v>1409</v>
      </c>
      <c r="C1016" s="385" t="s">
        <v>2073</v>
      </c>
      <c r="D1016" s="385" t="s">
        <v>2074</v>
      </c>
      <c r="E1016" s="383">
        <v>2019.0</v>
      </c>
      <c r="F1016" s="383">
        <v>2026.0</v>
      </c>
      <c r="G1016" s="383">
        <v>0.0</v>
      </c>
      <c r="H1016" s="383">
        <v>3.2</v>
      </c>
      <c r="I1016" s="384">
        <v>1.0</v>
      </c>
      <c r="J1016" s="383">
        <v>3.2</v>
      </c>
      <c r="K1016" s="206"/>
      <c r="L1016" s="206"/>
      <c r="M1016" s="383">
        <v>1.0</v>
      </c>
      <c r="N1016" s="387">
        <v>150.0</v>
      </c>
      <c r="O1016" s="206" t="s">
        <v>60</v>
      </c>
      <c r="P1016" s="387">
        <v>34600.0</v>
      </c>
      <c r="Q1016" s="206" t="s">
        <v>1407</v>
      </c>
      <c r="R1016" s="387">
        <v>2024.0</v>
      </c>
      <c r="S1016" s="206">
        <f>1/94.46</f>
        <v>0.01058649164</v>
      </c>
      <c r="T1016" s="376">
        <f t="shared" si="99"/>
        <v>366.2926106</v>
      </c>
      <c r="U1016" s="24">
        <f t="shared" si="3"/>
        <v>114.4664408</v>
      </c>
      <c r="V1016" s="3">
        <f t="shared" si="28"/>
        <v>0</v>
      </c>
      <c r="W1016" s="3">
        <f t="shared" si="29"/>
        <v>0</v>
      </c>
      <c r="X1016" s="3">
        <f t="shared" si="30"/>
        <v>0</v>
      </c>
      <c r="Y1016" s="326">
        <v>0.0</v>
      </c>
      <c r="Z1016" s="26">
        <f>VLOOKUP(R1016,CPI!$A$2:$F$71,6,0)</f>
        <v>1</v>
      </c>
      <c r="AA1016" s="27">
        <f t="shared" si="8"/>
        <v>366.2926106</v>
      </c>
      <c r="AB1016" s="27">
        <f t="shared" si="9"/>
        <v>114.4664408</v>
      </c>
      <c r="AC1016" s="206" t="s">
        <v>42</v>
      </c>
      <c r="AD1016" s="206" t="s">
        <v>2075</v>
      </c>
    </row>
    <row r="1017">
      <c r="A1017" s="206" t="s">
        <v>1403</v>
      </c>
      <c r="B1017" s="206" t="s">
        <v>1409</v>
      </c>
      <c r="C1017" s="206" t="s">
        <v>2076</v>
      </c>
      <c r="D1017" s="206" t="s">
        <v>2077</v>
      </c>
      <c r="E1017" s="383">
        <v>2016.0</v>
      </c>
      <c r="F1017" s="383">
        <v>2024.0</v>
      </c>
      <c r="G1017" s="206"/>
      <c r="H1017" s="383">
        <v>2.5</v>
      </c>
      <c r="I1017" s="384">
        <v>0.68</v>
      </c>
      <c r="J1017" s="383">
        <v>1.7</v>
      </c>
      <c r="K1017" s="383">
        <v>0.8</v>
      </c>
      <c r="L1017" s="206"/>
      <c r="M1017" s="383">
        <v>2.0</v>
      </c>
      <c r="N1017" s="326">
        <v>187.0</v>
      </c>
      <c r="O1017" s="206" t="s">
        <v>60</v>
      </c>
      <c r="P1017" s="387">
        <v>81100.0</v>
      </c>
      <c r="Q1017" s="206" t="s">
        <v>1407</v>
      </c>
      <c r="R1017" s="383">
        <v>2022.0</v>
      </c>
      <c r="S1017" s="206">
        <f>1/94.92</f>
        <v>0.01053518753</v>
      </c>
      <c r="T1017" s="376">
        <f t="shared" si="99"/>
        <v>854.4037084</v>
      </c>
      <c r="U1017" s="24">
        <f t="shared" si="3"/>
        <v>341.7614834</v>
      </c>
      <c r="V1017" s="3">
        <f t="shared" si="28"/>
        <v>0</v>
      </c>
      <c r="W1017" s="3">
        <f t="shared" si="29"/>
        <v>0</v>
      </c>
      <c r="X1017" s="3">
        <f t="shared" si="30"/>
        <v>0</v>
      </c>
      <c r="Y1017" s="326">
        <v>0.0</v>
      </c>
      <c r="Z1017" s="26">
        <f>VLOOKUP(R1017,CPI!$A$2:$F$71,6,0)</f>
        <v>1.100662897</v>
      </c>
      <c r="AA1017" s="27">
        <f t="shared" si="8"/>
        <v>940.4104605</v>
      </c>
      <c r="AB1017" s="27">
        <f t="shared" si="9"/>
        <v>376.1641842</v>
      </c>
      <c r="AC1017" s="206" t="s">
        <v>42</v>
      </c>
      <c r="AD1017" s="206" t="s">
        <v>2078</v>
      </c>
    </row>
    <row r="1018">
      <c r="A1018" s="206" t="s">
        <v>1403</v>
      </c>
      <c r="B1018" s="54" t="s">
        <v>1418</v>
      </c>
      <c r="C1018" s="206" t="s">
        <v>2079</v>
      </c>
      <c r="D1018" s="206" t="s">
        <v>2080</v>
      </c>
      <c r="E1018" s="383">
        <v>1995.0</v>
      </c>
      <c r="F1018" s="383">
        <v>2001.0</v>
      </c>
      <c r="G1018" s="383">
        <v>1.0</v>
      </c>
      <c r="H1018" s="383">
        <v>14.6</v>
      </c>
      <c r="I1018" s="386">
        <f t="shared" ref="I1018:I1019" si="105">J1018/H1018</f>
        <v>0.9726027397</v>
      </c>
      <c r="J1018" s="383">
        <v>14.2</v>
      </c>
      <c r="K1018" s="206"/>
      <c r="L1018" s="383">
        <v>0.4</v>
      </c>
      <c r="M1018" s="383">
        <v>7.0</v>
      </c>
      <c r="N1018" s="387">
        <v>180.0</v>
      </c>
      <c r="O1018" s="206" t="s">
        <v>1963</v>
      </c>
      <c r="P1018" s="401">
        <v>256100.0</v>
      </c>
      <c r="Q1018" s="206" t="s">
        <v>1407</v>
      </c>
      <c r="R1018" s="383">
        <v>2001.0</v>
      </c>
      <c r="S1018" s="383">
        <f>1/149.64</f>
        <v>0.006682705159</v>
      </c>
      <c r="T1018" s="376">
        <f t="shared" si="99"/>
        <v>1711.440791</v>
      </c>
      <c r="U1018" s="24">
        <f t="shared" si="3"/>
        <v>117.221972</v>
      </c>
      <c r="V1018" s="3">
        <f t="shared" si="28"/>
        <v>0</v>
      </c>
      <c r="W1018" s="3">
        <f t="shared" si="29"/>
        <v>0</v>
      </c>
      <c r="X1018" s="3">
        <f t="shared" si="30"/>
        <v>0</v>
      </c>
      <c r="Y1018" s="326">
        <v>0.0</v>
      </c>
      <c r="Z1018" s="26">
        <f>VLOOKUP(R1018,CPI!$A$2:$F$71,6,0)</f>
        <v>1.818828346</v>
      </c>
      <c r="AA1018" s="27">
        <f t="shared" si="8"/>
        <v>3112.817023</v>
      </c>
      <c r="AB1018" s="27">
        <f t="shared" si="9"/>
        <v>213.2066454</v>
      </c>
      <c r="AC1018" s="206" t="s">
        <v>42</v>
      </c>
      <c r="AD1018" s="389" t="s">
        <v>2100</v>
      </c>
    </row>
    <row r="1019">
      <c r="A1019" s="206" t="s">
        <v>1403</v>
      </c>
      <c r="B1019" s="54" t="s">
        <v>1418</v>
      </c>
      <c r="C1019" s="206" t="s">
        <v>2082</v>
      </c>
      <c r="D1019" s="206" t="s">
        <v>2083</v>
      </c>
      <c r="E1019" s="383">
        <v>1985.0</v>
      </c>
      <c r="F1019" s="383">
        <v>1996.0</v>
      </c>
      <c r="G1019" s="383">
        <v>1.0</v>
      </c>
      <c r="H1019" s="383">
        <v>16.2</v>
      </c>
      <c r="I1019" s="386">
        <f t="shared" si="105"/>
        <v>0.3518518519</v>
      </c>
      <c r="J1019" s="383">
        <v>5.7</v>
      </c>
      <c r="K1019" s="383">
        <v>10.5</v>
      </c>
      <c r="L1019" s="206"/>
      <c r="M1019" s="383">
        <v>9.0</v>
      </c>
      <c r="N1019" s="383">
        <v>200.0</v>
      </c>
      <c r="O1019" s="206" t="s">
        <v>1963</v>
      </c>
      <c r="P1019" s="401">
        <v>316800.0</v>
      </c>
      <c r="Q1019" s="206" t="s">
        <v>1407</v>
      </c>
      <c r="R1019" s="383">
        <v>1996.0</v>
      </c>
      <c r="S1019" s="383">
        <f>1/170.35</f>
        <v>0.005870267097</v>
      </c>
      <c r="T1019" s="376">
        <f t="shared" si="99"/>
        <v>1859.700616</v>
      </c>
      <c r="U1019" s="24">
        <f t="shared" si="3"/>
        <v>114.7963343</v>
      </c>
      <c r="V1019" s="3">
        <f t="shared" si="28"/>
        <v>0</v>
      </c>
      <c r="W1019" s="3">
        <f t="shared" si="29"/>
        <v>0</v>
      </c>
      <c r="X1019" s="3">
        <f t="shared" si="30"/>
        <v>0</v>
      </c>
      <c r="Y1019" s="326">
        <v>0.0</v>
      </c>
      <c r="Z1019" s="26">
        <f>VLOOKUP(R1019,CPI!$A$2:$F$71,6,0)</f>
        <v>2.052992352</v>
      </c>
      <c r="AA1019" s="27">
        <f t="shared" si="8"/>
        <v>3817.951142</v>
      </c>
      <c r="AB1019" s="27">
        <f t="shared" si="9"/>
        <v>235.6759964</v>
      </c>
      <c r="AC1019" s="206" t="s">
        <v>42</v>
      </c>
      <c r="AD1019" s="389" t="s">
        <v>2101</v>
      </c>
    </row>
    <row r="1020">
      <c r="A1020" s="206" t="s">
        <v>1403</v>
      </c>
      <c r="B1020" s="206" t="s">
        <v>1404</v>
      </c>
      <c r="C1020" s="206" t="s">
        <v>2085</v>
      </c>
      <c r="D1020" s="206" t="s">
        <v>2086</v>
      </c>
      <c r="E1020" s="383">
        <v>1996.0</v>
      </c>
      <c r="F1020" s="383">
        <v>2005.0</v>
      </c>
      <c r="G1020" s="206"/>
      <c r="H1020" s="383">
        <v>12.0</v>
      </c>
      <c r="I1020" s="384">
        <v>1.0</v>
      </c>
      <c r="J1020" s="383">
        <v>12.0</v>
      </c>
      <c r="K1020" s="206"/>
      <c r="L1020" s="206"/>
      <c r="M1020" s="383">
        <v>16.0</v>
      </c>
      <c r="N1020" s="383">
        <f>6*16.5</f>
        <v>99</v>
      </c>
      <c r="O1020" s="206" t="s">
        <v>42</v>
      </c>
      <c r="P1020" s="401">
        <v>281100.0</v>
      </c>
      <c r="Q1020" s="206" t="s">
        <v>1407</v>
      </c>
      <c r="R1020" s="383">
        <v>2005.0</v>
      </c>
      <c r="S1020" s="383">
        <f>1/129.55</f>
        <v>0.007719027403</v>
      </c>
      <c r="T1020" s="376">
        <f t="shared" si="99"/>
        <v>2169.818603</v>
      </c>
      <c r="U1020" s="24">
        <f t="shared" si="3"/>
        <v>180.8182169</v>
      </c>
      <c r="V1020" s="3">
        <f t="shared" si="28"/>
        <v>0</v>
      </c>
      <c r="W1020" s="3">
        <f t="shared" si="29"/>
        <v>0</v>
      </c>
      <c r="X1020" s="3">
        <f t="shared" si="30"/>
        <v>0</v>
      </c>
      <c r="Y1020" s="326">
        <v>0.0</v>
      </c>
      <c r="Z1020" s="26">
        <f>VLOOKUP(R1020,CPI!$A$2:$F$71,6,0)</f>
        <v>1.649331797</v>
      </c>
      <c r="AA1020" s="27">
        <f t="shared" si="8"/>
        <v>3578.750816</v>
      </c>
      <c r="AB1020" s="27">
        <f t="shared" si="9"/>
        <v>298.2292347</v>
      </c>
      <c r="AD1020" s="393" t="s">
        <v>2087</v>
      </c>
    </row>
    <row r="1021">
      <c r="A1021" s="206" t="s">
        <v>1403</v>
      </c>
      <c r="B1021" s="206" t="s">
        <v>2088</v>
      </c>
      <c r="C1021" s="206" t="s">
        <v>2089</v>
      </c>
      <c r="D1021" s="206" t="s">
        <v>2090</v>
      </c>
      <c r="E1021" s="383">
        <v>1988.0</v>
      </c>
      <c r="F1021" s="383">
        <v>1994.0</v>
      </c>
      <c r="G1021" s="206"/>
      <c r="H1021" s="383">
        <v>18.7</v>
      </c>
      <c r="I1021" s="386">
        <f>2.2/18.4</f>
        <v>0.1195652174</v>
      </c>
      <c r="J1021" s="383">
        <f>H1021-K1021</f>
        <v>2.2</v>
      </c>
      <c r="K1021" s="383">
        <v>16.5</v>
      </c>
      <c r="L1021" s="206"/>
      <c r="M1021" s="383">
        <v>22.0</v>
      </c>
      <c r="N1021" s="383">
        <f>6*8.4</f>
        <v>50.4</v>
      </c>
      <c r="O1021" s="206" t="s">
        <v>1963</v>
      </c>
      <c r="P1021" s="396">
        <v>78800.0</v>
      </c>
      <c r="Q1021" s="206" t="s">
        <v>1407</v>
      </c>
      <c r="R1021" s="383">
        <v>1994.0</v>
      </c>
      <c r="S1021" s="383">
        <f>1/178.84</f>
        <v>0.005591590248</v>
      </c>
      <c r="T1021" s="376">
        <f t="shared" si="99"/>
        <v>440.6173116</v>
      </c>
      <c r="U1021" s="24">
        <f t="shared" si="3"/>
        <v>23.56242308</v>
      </c>
      <c r="V1021" s="3">
        <f t="shared" si="28"/>
        <v>0</v>
      </c>
      <c r="W1021" s="3">
        <f t="shared" si="29"/>
        <v>0</v>
      </c>
      <c r="X1021" s="3">
        <f t="shared" si="30"/>
        <v>0</v>
      </c>
      <c r="Y1021" s="326">
        <v>0.0</v>
      </c>
      <c r="Z1021" s="26">
        <f>VLOOKUP(R1021,CPI!$A$2:$F$71,6,0)</f>
        <v>2.173512146</v>
      </c>
      <c r="AA1021" s="27">
        <f t="shared" si="8"/>
        <v>957.6870783</v>
      </c>
      <c r="AB1021" s="27">
        <f t="shared" si="9"/>
        <v>51.21321274</v>
      </c>
      <c r="AD1021" s="393" t="s">
        <v>2087</v>
      </c>
    </row>
  </sheetData>
  <autoFilter ref="$AB$1:$AB$1021"/>
  <mergeCells count="52">
    <mergeCell ref="AD71:AH71"/>
    <mergeCell ref="AE108:AH108"/>
    <mergeCell ref="AE146:AH146"/>
    <mergeCell ref="AE159:AH159"/>
    <mergeCell ref="AE160:AH160"/>
    <mergeCell ref="AE167:AH167"/>
    <mergeCell ref="AE186:AH186"/>
    <mergeCell ref="AF187:AH187"/>
    <mergeCell ref="AE197:AH197"/>
    <mergeCell ref="AE198:AH198"/>
    <mergeCell ref="AE199:AH199"/>
    <mergeCell ref="AE207:AH207"/>
    <mergeCell ref="AE222:AH222"/>
    <mergeCell ref="AE250:AH250"/>
    <mergeCell ref="AE290:AH290"/>
    <mergeCell ref="AE303:AH303"/>
    <mergeCell ref="AE304:AH304"/>
    <mergeCell ref="AE310:AH310"/>
    <mergeCell ref="AE314:AH314"/>
    <mergeCell ref="AE319:AH319"/>
    <mergeCell ref="AE321:AH321"/>
    <mergeCell ref="AE322:AH322"/>
    <mergeCell ref="AE323:AH323"/>
    <mergeCell ref="AE324:AH324"/>
    <mergeCell ref="AE336:AH336"/>
    <mergeCell ref="AE344:AH344"/>
    <mergeCell ref="AE380:AH380"/>
    <mergeCell ref="AE387:AH387"/>
    <mergeCell ref="AE396:AH396"/>
    <mergeCell ref="AE401:AH401"/>
    <mergeCell ref="AE428:AH428"/>
    <mergeCell ref="AE439:AH439"/>
    <mergeCell ref="AE440:AH440"/>
    <mergeCell ref="AD455:AE455"/>
    <mergeCell ref="AE466:AH466"/>
    <mergeCell ref="AE499:AH499"/>
    <mergeCell ref="AD505:AE505"/>
    <mergeCell ref="AE508:AH508"/>
    <mergeCell ref="AE509:AH509"/>
    <mergeCell ref="AE513:AH513"/>
    <mergeCell ref="AE525:AH525"/>
    <mergeCell ref="AE536:AH536"/>
    <mergeCell ref="AD756:AE756"/>
    <mergeCell ref="AD758:AE758"/>
    <mergeCell ref="AD759:AE759"/>
    <mergeCell ref="AE537:AH537"/>
    <mergeCell ref="AE553:AH553"/>
    <mergeCell ref="AD748:AE748"/>
    <mergeCell ref="AD751:AE751"/>
    <mergeCell ref="AD753:AE753"/>
    <mergeCell ref="AD754:AE754"/>
    <mergeCell ref="AD755:AE755"/>
  </mergeCells>
  <conditionalFormatting sqref="AB863:AB919 AB950:AB1021 AC968 AC970 AC972">
    <cfRule type="cellIs" dxfId="1" priority="1" operator="equal">
      <formula>0</formula>
    </cfRule>
  </conditionalFormatting>
  <conditionalFormatting sqref="AB847:AB862">
    <cfRule type="cellIs" dxfId="1" priority="2" operator="equal">
      <formula>0</formula>
    </cfRule>
  </conditionalFormatting>
  <conditionalFormatting sqref="AB840:AB846">
    <cfRule type="cellIs" dxfId="1" priority="3" operator="equal">
      <formula>0</formula>
    </cfRule>
  </conditionalFormatting>
  <conditionalFormatting sqref="AB839">
    <cfRule type="cellIs" dxfId="1" priority="4" operator="equal">
      <formula>0</formula>
    </cfRule>
  </conditionalFormatting>
  <conditionalFormatting sqref="AB836:AB838">
    <cfRule type="cellIs" dxfId="1" priority="5" operator="equal">
      <formula>0</formula>
    </cfRule>
  </conditionalFormatting>
  <conditionalFormatting sqref="AB800:AB835">
    <cfRule type="cellIs" dxfId="1" priority="6" operator="equal">
      <formula>0</formula>
    </cfRule>
  </conditionalFormatting>
  <conditionalFormatting sqref="AB799">
    <cfRule type="cellIs" dxfId="1" priority="7" operator="equal">
      <formula>0</formula>
    </cfRule>
  </conditionalFormatting>
  <conditionalFormatting sqref="AB795:AB798">
    <cfRule type="cellIs" dxfId="1" priority="8" operator="equal">
      <formula>0</formula>
    </cfRule>
  </conditionalFormatting>
  <conditionalFormatting sqref="A779 A793">
    <cfRule type="expression" dxfId="0" priority="9">
      <formula>"countif(A:A,A1)&gt;1"</formula>
    </cfRule>
  </conditionalFormatting>
  <conditionalFormatting sqref="AB763:AB794">
    <cfRule type="cellIs" dxfId="1" priority="10" operator="equal">
      <formula>0</formula>
    </cfRule>
  </conditionalFormatting>
  <conditionalFormatting sqref="A747:A759 A761">
    <cfRule type="expression" dxfId="0" priority="11">
      <formula>"countif(A:A,A1)&gt;1"</formula>
    </cfRule>
  </conditionalFormatting>
  <conditionalFormatting sqref="AB747:AB762">
    <cfRule type="cellIs" dxfId="1" priority="12" operator="equal">
      <formula>0</formula>
    </cfRule>
  </conditionalFormatting>
  <conditionalFormatting sqref="A665:A699 A701:A704 A719:A728 B724:B725 A730 A744:A746">
    <cfRule type="expression" dxfId="0" priority="13">
      <formula>"countif(A:A,A1)&gt;1"</formula>
    </cfRule>
  </conditionalFormatting>
  <conditionalFormatting sqref="AB643:AB746">
    <cfRule type="cellIs" dxfId="1" priority="14" operator="equal">
      <formula>0</formula>
    </cfRule>
  </conditionalFormatting>
  <conditionalFormatting sqref="AB595:AB642">
    <cfRule type="cellIs" dxfId="1" priority="15" operator="equal">
      <formula>0</formula>
    </cfRule>
  </conditionalFormatting>
  <conditionalFormatting sqref="AB594">
    <cfRule type="cellIs" dxfId="1" priority="16" operator="equal">
      <formula>0</formula>
    </cfRule>
  </conditionalFormatting>
  <conditionalFormatting sqref="AB593">
    <cfRule type="cellIs" dxfId="1" priority="17" operator="equal">
      <formula>0</formula>
    </cfRule>
  </conditionalFormatting>
  <conditionalFormatting sqref="AB591:AB592">
    <cfRule type="cellIs" dxfId="1" priority="18" operator="equal">
      <formula>0</formula>
    </cfRule>
  </conditionalFormatting>
  <conditionalFormatting sqref="AB590">
    <cfRule type="cellIs" dxfId="1" priority="19" operator="equal">
      <formula>0</formula>
    </cfRule>
  </conditionalFormatting>
  <conditionalFormatting sqref="AB475:AB589">
    <cfRule type="cellIs" dxfId="1" priority="20" operator="equal">
      <formula>0</formula>
    </cfRule>
  </conditionalFormatting>
  <conditionalFormatting sqref="AB469:AB474">
    <cfRule type="cellIs" dxfId="1" priority="21" operator="equal">
      <formula>0</formula>
    </cfRule>
  </conditionalFormatting>
  <conditionalFormatting sqref="AB412:AB468">
    <cfRule type="cellIs" dxfId="1" priority="22" operator="equal">
      <formula>0</formula>
    </cfRule>
  </conditionalFormatting>
  <conditionalFormatting sqref="AB408:AB411">
    <cfRule type="cellIs" dxfId="1" priority="23" operator="equal">
      <formula>0</formula>
    </cfRule>
  </conditionalFormatting>
  <conditionalFormatting sqref="AB383:AB407">
    <cfRule type="cellIs" dxfId="1" priority="24" operator="equal">
      <formula>0</formula>
    </cfRule>
  </conditionalFormatting>
  <conditionalFormatting sqref="AB94:AB382">
    <cfRule type="cellIs" dxfId="1" priority="25" operator="equal">
      <formula>0</formula>
    </cfRule>
  </conditionalFormatting>
  <conditionalFormatting sqref="AB89:AB93">
    <cfRule type="cellIs" dxfId="1" priority="26" operator="equal">
      <formula>0</formula>
    </cfRule>
  </conditionalFormatting>
  <conditionalFormatting sqref="AB77:AB88">
    <cfRule type="cellIs" dxfId="1" priority="27" operator="equal">
      <formula>0</formula>
    </cfRule>
  </conditionalFormatting>
  <conditionalFormatting sqref="AB74:AB76">
    <cfRule type="cellIs" dxfId="1" priority="28" operator="equal">
      <formula>0</formula>
    </cfRule>
  </conditionalFormatting>
  <conditionalFormatting sqref="AB71:AB73">
    <cfRule type="cellIs" dxfId="1" priority="29" operator="equal">
      <formula>0</formula>
    </cfRule>
  </conditionalFormatting>
  <conditionalFormatting sqref="AB64:AB70">
    <cfRule type="cellIs" dxfId="1" priority="30" operator="equal">
      <formula>0</formula>
    </cfRule>
  </conditionalFormatting>
  <conditionalFormatting sqref="AB58:AB63">
    <cfRule type="cellIs" dxfId="1" priority="31" operator="equal">
      <formula>0</formula>
    </cfRule>
  </conditionalFormatting>
  <conditionalFormatting sqref="AB1:AB57">
    <cfRule type="cellIs" dxfId="1" priority="32" operator="equal">
      <formula>0</formula>
    </cfRule>
  </conditionalFormatting>
  <hyperlinks>
    <hyperlink r:id="rId2" ref="AD4"/>
    <hyperlink r:id="rId3" ref="AD5"/>
    <hyperlink r:id="rId4" ref="AD7"/>
    <hyperlink r:id="rId5" ref="AD8"/>
    <hyperlink r:id="rId6" ref="AD9"/>
    <hyperlink r:id="rId7" ref="AD10"/>
    <hyperlink r:id="rId8" ref="AD11"/>
    <hyperlink r:id="rId9" ref="AD12"/>
    <hyperlink r:id="rId10" ref="AD13"/>
    <hyperlink r:id="rId11" ref="AD14"/>
    <hyperlink r:id="rId12" ref="AD15"/>
    <hyperlink r:id="rId13" ref="AD16"/>
    <hyperlink r:id="rId14" ref="AD17"/>
    <hyperlink r:id="rId15" ref="AD18"/>
    <hyperlink r:id="rId16" ref="AD19"/>
    <hyperlink r:id="rId17" ref="AD20"/>
    <hyperlink r:id="rId18" ref="AD21"/>
    <hyperlink r:id="rId19" ref="AD22"/>
    <hyperlink r:id="rId20" ref="AD23"/>
    <hyperlink r:id="rId21" ref="AD24"/>
    <hyperlink r:id="rId22" ref="AD25"/>
    <hyperlink r:id="rId23" ref="AD27"/>
    <hyperlink r:id="rId24" ref="AD29"/>
    <hyperlink r:id="rId25" ref="AD31"/>
    <hyperlink r:id="rId26" ref="AD33"/>
    <hyperlink r:id="rId27" location=":" ref="AD34"/>
    <hyperlink r:id="rId28" ref="AD37"/>
    <hyperlink r:id="rId29" ref="AD38"/>
    <hyperlink r:id="rId30" ref="AD41"/>
    <hyperlink r:id="rId31" ref="AD44"/>
    <hyperlink r:id="rId32" ref="AD45"/>
    <hyperlink r:id="rId33" location=":~:text=Construction%20began%20in%202011%2C%20when,to%20at%20least%20%2412.8%20billion." ref="AD46"/>
    <hyperlink r:id="rId34" ref="AD47"/>
    <hyperlink r:id="rId35" ref="AD48"/>
    <hyperlink r:id="rId36" ref="AD49"/>
    <hyperlink r:id="rId37" ref="AD50"/>
    <hyperlink r:id="rId38" ref="AD51"/>
    <hyperlink r:id="rId39" ref="AD57"/>
    <hyperlink r:id="rId40" ref="AE57"/>
    <hyperlink r:id="rId41" ref="AD58"/>
    <hyperlink r:id="rId42" location="federation=archive.wikiwix.com&amp;tab=url" ref="AD59"/>
    <hyperlink r:id="rId43" ref="AD60"/>
    <hyperlink r:id="rId44" ref="AD61"/>
    <hyperlink r:id="rId45" ref="AD62"/>
    <hyperlink r:id="rId46" ref="AD63"/>
    <hyperlink r:id="rId47" ref="AD64"/>
    <hyperlink r:id="rId48" ref="AD65"/>
    <hyperlink r:id="rId49" ref="AD66"/>
    <hyperlink r:id="rId50" ref="AD67"/>
    <hyperlink r:id="rId51" ref="AD69"/>
    <hyperlink r:id="rId52" ref="AD70"/>
    <hyperlink r:id="rId53" ref="AD71"/>
    <hyperlink r:id="rId54" ref="AD72"/>
    <hyperlink r:id="rId55" ref="AD73"/>
    <hyperlink r:id="rId56" ref="AD74"/>
    <hyperlink r:id="rId57" ref="AD75"/>
    <hyperlink r:id="rId58" ref="AD76"/>
    <hyperlink r:id="rId59" location="%E4%B8%89%E6%9C%9F%E5%8F%8A%E5%9B%9B%E6%9C%9F%E5%B7%A5%E7%A8%8B" ref="AD77"/>
    <hyperlink r:id="rId60" ref="AD78"/>
    <hyperlink r:id="rId61" ref="AD79"/>
    <hyperlink r:id="rId62" ref="AD80"/>
    <hyperlink r:id="rId63" ref="AD81"/>
    <hyperlink r:id="rId64" ref="AD84"/>
    <hyperlink r:id="rId65" ref="AD85"/>
    <hyperlink r:id="rId66" ref="AD87"/>
    <hyperlink r:id="rId67" ref="AD88"/>
    <hyperlink r:id="rId68" ref="AD89"/>
    <hyperlink r:id="rId69" ref="AD91"/>
    <hyperlink r:id="rId70" ref="AD92"/>
    <hyperlink r:id="rId71" ref="AD93"/>
    <hyperlink r:id="rId72" ref="AD94"/>
    <hyperlink r:id="rId73" ref="AD95"/>
    <hyperlink r:id="rId74" ref="AD96"/>
    <hyperlink r:id="rId75" ref="AD97"/>
    <hyperlink r:id="rId76" ref="AD98"/>
    <hyperlink r:id="rId77" ref="AD99"/>
    <hyperlink r:id="rId78" ref="AD100"/>
    <hyperlink r:id="rId79" ref="AD101"/>
    <hyperlink r:id="rId80" ref="AD103"/>
    <hyperlink r:id="rId81" ref="AD104"/>
    <hyperlink r:id="rId82" ref="AD105"/>
    <hyperlink r:id="rId83" ref="AD106"/>
    <hyperlink r:id="rId84" ref="AD107"/>
    <hyperlink r:id="rId85" ref="AD108"/>
    <hyperlink r:id="rId86" ref="AE108"/>
    <hyperlink r:id="rId87" ref="AD109"/>
    <hyperlink r:id="rId88" ref="AD110"/>
    <hyperlink r:id="rId89" ref="AD111"/>
    <hyperlink r:id="rId90" ref="AD112"/>
    <hyperlink r:id="rId91" ref="AD113"/>
    <hyperlink r:id="rId92" ref="AD114"/>
    <hyperlink r:id="rId93" ref="AD115"/>
    <hyperlink r:id="rId94" ref="AD116"/>
    <hyperlink r:id="rId95" ref="AD117"/>
    <hyperlink r:id="rId96" ref="AD118"/>
    <hyperlink r:id="rId97" ref="AD119"/>
    <hyperlink r:id="rId98" ref="AD120"/>
    <hyperlink r:id="rId99" ref="AD121"/>
    <hyperlink r:id="rId100" ref="AD122"/>
    <hyperlink r:id="rId101" ref="AD123"/>
    <hyperlink r:id="rId102" ref="AD124"/>
    <hyperlink r:id="rId103" ref="AD125"/>
    <hyperlink r:id="rId104" ref="AD126"/>
    <hyperlink r:id="rId105" ref="AD127"/>
    <hyperlink r:id="rId106" ref="AD128"/>
    <hyperlink r:id="rId107" ref="AD129"/>
    <hyperlink r:id="rId108" ref="AD130"/>
    <hyperlink r:id="rId109" ref="AD131"/>
    <hyperlink r:id="rId110" ref="AD132"/>
    <hyperlink r:id="rId111" ref="AD133"/>
    <hyperlink r:id="rId112" ref="AD134"/>
    <hyperlink r:id="rId113" ref="AD135"/>
    <hyperlink r:id="rId114" ref="AD136"/>
    <hyperlink r:id="rId115" ref="AD137"/>
    <hyperlink r:id="rId116" ref="AD138"/>
    <hyperlink r:id="rId117" ref="AD139"/>
    <hyperlink r:id="rId118" ref="AD140"/>
    <hyperlink r:id="rId119" ref="AD141"/>
    <hyperlink r:id="rId120" ref="AD142"/>
    <hyperlink r:id="rId121" ref="AD143"/>
    <hyperlink r:id="rId122" ref="AE143"/>
    <hyperlink r:id="rId123" ref="AD144"/>
    <hyperlink r:id="rId124" ref="AE144"/>
    <hyperlink r:id="rId125" ref="AD145"/>
    <hyperlink r:id="rId126" ref="AD146"/>
    <hyperlink r:id="rId127" ref="AE146"/>
    <hyperlink r:id="rId128" ref="AD147"/>
    <hyperlink r:id="rId129" ref="AD148"/>
    <hyperlink r:id="rId130" ref="AD149"/>
    <hyperlink r:id="rId131" ref="AD150"/>
    <hyperlink r:id="rId132" ref="AD151"/>
    <hyperlink r:id="rId133" ref="AD152"/>
    <hyperlink r:id="rId134" ref="AD153"/>
    <hyperlink r:id="rId135" ref="AD154"/>
    <hyperlink r:id="rId136" ref="AD155"/>
    <hyperlink r:id="rId137" ref="AD156"/>
    <hyperlink r:id="rId138" ref="AE156"/>
    <hyperlink r:id="rId139" ref="AD157"/>
    <hyperlink r:id="rId140" ref="AD158"/>
    <hyperlink r:id="rId141" ref="AE158"/>
    <hyperlink r:id="rId142" ref="AD159"/>
    <hyperlink r:id="rId143" ref="AE159"/>
    <hyperlink r:id="rId144" ref="AD160"/>
    <hyperlink r:id="rId145" ref="AE160"/>
    <hyperlink r:id="rId146" ref="AD161"/>
    <hyperlink r:id="rId147" ref="AD162"/>
    <hyperlink r:id="rId148" ref="AD163"/>
    <hyperlink r:id="rId149" ref="AD164"/>
    <hyperlink r:id="rId150" ref="AD165"/>
    <hyperlink r:id="rId151" ref="AD166"/>
    <hyperlink r:id="rId152" ref="AE166"/>
    <hyperlink r:id="rId153" ref="AF166"/>
    <hyperlink r:id="rId154" ref="AD167"/>
    <hyperlink r:id="rId155" ref="AE167"/>
    <hyperlink r:id="rId156" ref="AD168"/>
    <hyperlink r:id="rId157" ref="AD169"/>
    <hyperlink r:id="rId158" ref="AD170"/>
    <hyperlink r:id="rId159" ref="AD171"/>
    <hyperlink r:id="rId160" ref="AD172"/>
    <hyperlink r:id="rId161" ref="AD173"/>
    <hyperlink r:id="rId162" ref="AD174"/>
    <hyperlink r:id="rId163" ref="AD175"/>
    <hyperlink r:id="rId164" ref="AD176"/>
    <hyperlink r:id="rId165" ref="AD177"/>
    <hyperlink r:id="rId166" ref="AD178"/>
    <hyperlink r:id="rId167" ref="AD179"/>
    <hyperlink r:id="rId168" ref="AD180"/>
    <hyperlink r:id="rId169" ref="AD181"/>
    <hyperlink r:id="rId170" ref="AD182"/>
    <hyperlink r:id="rId171" ref="AD183"/>
    <hyperlink r:id="rId172" ref="AD184"/>
    <hyperlink r:id="rId173" ref="AD185"/>
    <hyperlink r:id="rId174" ref="AD186"/>
    <hyperlink r:id="rId175" ref="AE186"/>
    <hyperlink r:id="rId176" ref="AD187"/>
    <hyperlink r:id="rId177" ref="AE187"/>
    <hyperlink r:id="rId178" ref="AF187"/>
    <hyperlink r:id="rId179" ref="AD188"/>
    <hyperlink r:id="rId180" ref="AD189"/>
    <hyperlink r:id="rId181" ref="AD190"/>
    <hyperlink r:id="rId182" ref="AD191"/>
    <hyperlink r:id="rId183" ref="AD192"/>
    <hyperlink r:id="rId184" ref="AE192"/>
    <hyperlink r:id="rId185" ref="AD193"/>
    <hyperlink r:id="rId186" ref="AD194"/>
    <hyperlink r:id="rId187" ref="AE194"/>
    <hyperlink r:id="rId188" ref="AD195"/>
    <hyperlink r:id="rId189" ref="AD196"/>
    <hyperlink r:id="rId190" ref="AD197"/>
    <hyperlink r:id="rId191" ref="AE197"/>
    <hyperlink r:id="rId192" ref="AD198"/>
    <hyperlink r:id="rId193" ref="AE198"/>
    <hyperlink r:id="rId194" ref="AD199"/>
    <hyperlink r:id="rId195" ref="AE199"/>
    <hyperlink r:id="rId196" ref="AD200"/>
    <hyperlink r:id="rId197" ref="AD201"/>
    <hyperlink r:id="rId198" ref="AD202"/>
    <hyperlink r:id="rId199" ref="AD203"/>
    <hyperlink r:id="rId200" ref="AD204"/>
    <hyperlink r:id="rId201" ref="AD205"/>
    <hyperlink r:id="rId202" ref="AD206"/>
    <hyperlink r:id="rId203" ref="AD207"/>
    <hyperlink r:id="rId204" ref="AE207"/>
    <hyperlink r:id="rId205" ref="AD208"/>
    <hyperlink r:id="rId206" ref="AD209"/>
    <hyperlink r:id="rId207" ref="AD210"/>
    <hyperlink r:id="rId208" ref="AD211"/>
    <hyperlink r:id="rId209" ref="AD212"/>
    <hyperlink r:id="rId210" ref="AD213"/>
    <hyperlink r:id="rId211" ref="AD214"/>
    <hyperlink r:id="rId212" ref="AD215"/>
    <hyperlink r:id="rId213" ref="AD216"/>
    <hyperlink r:id="rId214" ref="AD217"/>
    <hyperlink r:id="rId215" ref="AD218"/>
    <hyperlink r:id="rId216" ref="AD219"/>
    <hyperlink r:id="rId217" ref="AD220"/>
    <hyperlink r:id="rId218" ref="AD221"/>
    <hyperlink r:id="rId219" ref="AD222"/>
    <hyperlink r:id="rId220" ref="AE222"/>
    <hyperlink r:id="rId221" ref="AD223"/>
    <hyperlink r:id="rId222" ref="AD224"/>
    <hyperlink r:id="rId223" ref="AD225"/>
    <hyperlink r:id="rId224" ref="AD226"/>
    <hyperlink r:id="rId225" ref="AD227"/>
    <hyperlink r:id="rId226" location="reference-[2]-15957490-wrap" ref="AD228"/>
    <hyperlink r:id="rId227" ref="AD229"/>
    <hyperlink r:id="rId228" ref="AD231"/>
    <hyperlink r:id="rId229" ref="AD232"/>
    <hyperlink r:id="rId230" ref="AD233"/>
    <hyperlink r:id="rId231" ref="AD234"/>
    <hyperlink r:id="rId232" ref="AD235"/>
    <hyperlink r:id="rId233" ref="AD236"/>
    <hyperlink r:id="rId234" ref="AD237"/>
    <hyperlink r:id="rId235" ref="AD238"/>
    <hyperlink r:id="rId236" ref="AD239"/>
    <hyperlink r:id="rId237" ref="AD240"/>
    <hyperlink r:id="rId238" ref="AD241"/>
    <hyperlink r:id="rId239" ref="AD242"/>
    <hyperlink r:id="rId240" ref="AD243"/>
    <hyperlink r:id="rId241" ref="AD244"/>
    <hyperlink r:id="rId242" ref="AD245"/>
    <hyperlink r:id="rId243" ref="AD246"/>
    <hyperlink r:id="rId244" ref="AD247"/>
    <hyperlink r:id="rId245" ref="AD248"/>
    <hyperlink r:id="rId246" ref="AD249"/>
    <hyperlink r:id="rId247" ref="AD250"/>
    <hyperlink r:id="rId248" ref="AE250"/>
    <hyperlink r:id="rId249" ref="AD251"/>
    <hyperlink r:id="rId250" ref="AD252"/>
    <hyperlink r:id="rId251" ref="AD253"/>
    <hyperlink r:id="rId252" ref="AD254"/>
    <hyperlink r:id="rId253" ref="AD255"/>
    <hyperlink r:id="rId254" ref="AD256"/>
    <hyperlink r:id="rId255" ref="AD257"/>
    <hyperlink r:id="rId256" ref="AD258"/>
    <hyperlink r:id="rId257" ref="AD259"/>
    <hyperlink r:id="rId258" ref="AD260"/>
    <hyperlink r:id="rId259" ref="AD261"/>
    <hyperlink r:id="rId260" ref="AD262"/>
    <hyperlink r:id="rId261" ref="AD263"/>
    <hyperlink r:id="rId262" ref="AD264"/>
    <hyperlink r:id="rId263" ref="AD265"/>
    <hyperlink r:id="rId264" ref="AD266"/>
    <hyperlink r:id="rId265" ref="AD267"/>
    <hyperlink r:id="rId266" ref="AD268"/>
    <hyperlink r:id="rId267" ref="AD269"/>
    <hyperlink r:id="rId268" ref="AD270"/>
    <hyperlink r:id="rId269" ref="AD271"/>
    <hyperlink r:id="rId270" ref="AD272"/>
    <hyperlink r:id="rId271" ref="AD273"/>
    <hyperlink r:id="rId272" ref="AD274"/>
    <hyperlink r:id="rId273" ref="AD275"/>
    <hyperlink r:id="rId274" ref="AD276"/>
    <hyperlink r:id="rId275" ref="AD277"/>
    <hyperlink r:id="rId276" ref="AD278"/>
    <hyperlink r:id="rId277" ref="AE278"/>
    <hyperlink r:id="rId278" ref="AD279"/>
    <hyperlink r:id="rId279" ref="AD280"/>
    <hyperlink r:id="rId280" ref="AD281"/>
    <hyperlink r:id="rId281" ref="AD282"/>
    <hyperlink r:id="rId282" ref="AD283"/>
    <hyperlink r:id="rId283" ref="AD284"/>
    <hyperlink r:id="rId284" ref="AD285"/>
    <hyperlink r:id="rId285" ref="AD286"/>
    <hyperlink r:id="rId286" ref="AD287"/>
    <hyperlink r:id="rId287" ref="AD288"/>
    <hyperlink r:id="rId288" ref="AD289"/>
    <hyperlink r:id="rId289" ref="AD290"/>
    <hyperlink r:id="rId290" ref="AE290"/>
    <hyperlink r:id="rId291" ref="AD291"/>
    <hyperlink r:id="rId292" ref="AD292"/>
    <hyperlink r:id="rId293" ref="AD293"/>
    <hyperlink r:id="rId294" ref="AD294"/>
    <hyperlink r:id="rId295" ref="AD295"/>
    <hyperlink r:id="rId296" ref="AD296"/>
    <hyperlink r:id="rId297" ref="AD297"/>
    <hyperlink r:id="rId298" ref="AD298"/>
    <hyperlink r:id="rId299" ref="AD299"/>
    <hyperlink r:id="rId300" ref="AD300"/>
    <hyperlink r:id="rId301" ref="AD301"/>
    <hyperlink r:id="rId302" ref="AD302"/>
    <hyperlink r:id="rId303" ref="AD303"/>
    <hyperlink r:id="rId304" ref="AE303"/>
    <hyperlink r:id="rId305" ref="AD304"/>
    <hyperlink r:id="rId306" ref="AE304"/>
    <hyperlink r:id="rId307" ref="AD305"/>
    <hyperlink r:id="rId308" ref="AD306"/>
    <hyperlink r:id="rId309" ref="AD307"/>
    <hyperlink r:id="rId310" ref="AD308"/>
    <hyperlink r:id="rId311" ref="AD309"/>
    <hyperlink r:id="rId312" ref="AD310"/>
    <hyperlink r:id="rId313" ref="AE310"/>
    <hyperlink r:id="rId314" ref="AD311"/>
    <hyperlink r:id="rId315" ref="AD312"/>
    <hyperlink r:id="rId316" ref="AD313"/>
    <hyperlink r:id="rId317" ref="AD314"/>
    <hyperlink r:id="rId318" ref="AE314"/>
    <hyperlink r:id="rId319" ref="AD315"/>
    <hyperlink r:id="rId320" ref="AD316"/>
    <hyperlink r:id="rId321" ref="AD317"/>
    <hyperlink r:id="rId322" ref="AD318"/>
    <hyperlink r:id="rId323" ref="AD319"/>
    <hyperlink r:id="rId324" ref="AE319"/>
    <hyperlink r:id="rId325" ref="AD320"/>
    <hyperlink r:id="rId326" ref="AD321"/>
    <hyperlink r:id="rId327" ref="AE321"/>
    <hyperlink r:id="rId328" ref="AD322"/>
    <hyperlink r:id="rId329" ref="AE322"/>
    <hyperlink r:id="rId330" ref="AD323"/>
    <hyperlink r:id="rId331" ref="AE323"/>
    <hyperlink r:id="rId332" ref="AD324"/>
    <hyperlink r:id="rId333" ref="AE324"/>
    <hyperlink r:id="rId334" ref="AD325"/>
    <hyperlink r:id="rId335" ref="AD326"/>
    <hyperlink r:id="rId336" ref="AD327"/>
    <hyperlink r:id="rId337" ref="AD328"/>
    <hyperlink r:id="rId338" ref="AD329"/>
    <hyperlink r:id="rId339" ref="AD330"/>
    <hyperlink r:id="rId340" ref="AD331"/>
    <hyperlink r:id="rId341" ref="AD332"/>
    <hyperlink r:id="rId342" ref="AD333"/>
    <hyperlink r:id="rId343" ref="AD334"/>
    <hyperlink r:id="rId344" ref="AD335"/>
    <hyperlink r:id="rId345" ref="AD336"/>
    <hyperlink r:id="rId346" ref="AE336"/>
    <hyperlink r:id="rId347" ref="AD337"/>
    <hyperlink r:id="rId348" ref="AD338"/>
    <hyperlink r:id="rId349" ref="AD339"/>
    <hyperlink r:id="rId350" ref="AD340"/>
    <hyperlink r:id="rId351" ref="AD341"/>
    <hyperlink r:id="rId352" ref="AD342"/>
    <hyperlink r:id="rId353" ref="AD343"/>
    <hyperlink r:id="rId354" ref="AD344"/>
    <hyperlink r:id="rId355" ref="AE344"/>
    <hyperlink r:id="rId356" ref="AD345"/>
    <hyperlink r:id="rId357" ref="AD346"/>
    <hyperlink r:id="rId358" ref="AD347"/>
    <hyperlink r:id="rId359" ref="AD348"/>
    <hyperlink r:id="rId360" ref="AE348"/>
    <hyperlink r:id="rId361" ref="AD349"/>
    <hyperlink r:id="rId362" ref="AE349"/>
    <hyperlink r:id="rId363" ref="AD350"/>
    <hyperlink r:id="rId364" ref="AE350"/>
    <hyperlink r:id="rId365" ref="AD351"/>
    <hyperlink r:id="rId366" ref="AD352"/>
    <hyperlink r:id="rId367" ref="AE352"/>
    <hyperlink r:id="rId368" ref="AD353"/>
    <hyperlink r:id="rId369" ref="AD354"/>
    <hyperlink r:id="rId370" ref="AD355"/>
    <hyperlink r:id="rId371" ref="AE355"/>
    <hyperlink r:id="rId372" ref="AD356"/>
    <hyperlink r:id="rId373" ref="AD357"/>
    <hyperlink r:id="rId374" ref="AD358"/>
    <hyperlink r:id="rId375" ref="AD359"/>
    <hyperlink r:id="rId376" ref="AD360"/>
    <hyperlink r:id="rId377" ref="AD361"/>
    <hyperlink r:id="rId378" ref="AD362"/>
    <hyperlink r:id="rId379" ref="AD363"/>
    <hyperlink r:id="rId380" ref="AD364"/>
    <hyperlink r:id="rId381" ref="AD365"/>
    <hyperlink r:id="rId382" ref="AD366"/>
    <hyperlink r:id="rId383" ref="AD367"/>
    <hyperlink r:id="rId384" ref="AD368"/>
    <hyperlink r:id="rId385" ref="AD369"/>
    <hyperlink r:id="rId386" ref="AD370"/>
    <hyperlink r:id="rId387" ref="AD371"/>
    <hyperlink r:id="rId388" ref="AD372"/>
    <hyperlink r:id="rId389" ref="AD373"/>
    <hyperlink r:id="rId390" ref="AD374"/>
    <hyperlink r:id="rId391" ref="AD375"/>
    <hyperlink r:id="rId392" ref="AD376"/>
    <hyperlink r:id="rId393" ref="AD377"/>
    <hyperlink r:id="rId394" ref="AD379"/>
    <hyperlink r:id="rId395" ref="AD380"/>
    <hyperlink r:id="rId396" ref="AE380"/>
    <hyperlink r:id="rId397" ref="AD381"/>
    <hyperlink r:id="rId398" location="cite_note-4" ref="AD382"/>
    <hyperlink r:id="rId399" ref="AD383"/>
    <hyperlink r:id="rId400" ref="AD384"/>
    <hyperlink r:id="rId401" ref="AD385"/>
    <hyperlink r:id="rId402" ref="AD386"/>
    <hyperlink r:id="rId403" ref="AD387"/>
    <hyperlink r:id="rId404" ref="AE387"/>
    <hyperlink r:id="rId405" ref="AD388"/>
    <hyperlink r:id="rId406" ref="AD389"/>
    <hyperlink r:id="rId407" ref="AD390"/>
    <hyperlink r:id="rId408" ref="AD391"/>
    <hyperlink r:id="rId409" ref="AD393"/>
    <hyperlink r:id="rId410" ref="AD395"/>
    <hyperlink r:id="rId411" ref="AD396"/>
    <hyperlink r:id="rId412" ref="AE396"/>
    <hyperlink r:id="rId413" ref="AD397"/>
    <hyperlink r:id="rId414" ref="AD398"/>
    <hyperlink r:id="rId415" ref="AD399"/>
    <hyperlink r:id="rId416" ref="AD400"/>
    <hyperlink r:id="rId417" ref="AD401"/>
    <hyperlink r:id="rId418" ref="AE401"/>
    <hyperlink r:id="rId419" ref="AD402"/>
    <hyperlink r:id="rId420" ref="AD404"/>
    <hyperlink r:id="rId421" ref="AD405"/>
    <hyperlink r:id="rId422" ref="AD406"/>
    <hyperlink r:id="rId423" ref="AD407"/>
    <hyperlink r:id="rId424" ref="AD408"/>
    <hyperlink r:id="rId425" ref="AD409"/>
    <hyperlink r:id="rId426" ref="AD410"/>
    <hyperlink r:id="rId427" ref="AD411"/>
    <hyperlink r:id="rId428" ref="AD412"/>
    <hyperlink r:id="rId429" ref="AD414"/>
    <hyperlink r:id="rId430" ref="AD415"/>
    <hyperlink r:id="rId431" ref="AD416"/>
    <hyperlink r:id="rId432" ref="AD417"/>
    <hyperlink r:id="rId433" ref="AD418"/>
    <hyperlink r:id="rId434" ref="AD419"/>
    <hyperlink r:id="rId435" ref="AD420"/>
    <hyperlink r:id="rId436" ref="AD421"/>
    <hyperlink r:id="rId437" ref="AD422"/>
    <hyperlink r:id="rId438" ref="AD423"/>
    <hyperlink r:id="rId439" ref="AD424"/>
    <hyperlink r:id="rId440" ref="AD425"/>
    <hyperlink r:id="rId441" ref="AD426"/>
    <hyperlink r:id="rId442" ref="AD427"/>
    <hyperlink r:id="rId443" ref="AD428"/>
    <hyperlink r:id="rId444" location="2647" ref="AE428"/>
    <hyperlink r:id="rId445" ref="AD429"/>
    <hyperlink r:id="rId446" ref="AD430"/>
    <hyperlink r:id="rId447" ref="AD431"/>
    <hyperlink r:id="rId448" ref="AD432"/>
    <hyperlink r:id="rId449" ref="AD433"/>
    <hyperlink r:id="rId450" ref="AD434"/>
    <hyperlink r:id="rId451" ref="AD435"/>
    <hyperlink r:id="rId452" ref="AD436"/>
    <hyperlink r:id="rId453" ref="AD437"/>
    <hyperlink r:id="rId454" ref="AD438"/>
    <hyperlink r:id="rId455" ref="AD439"/>
    <hyperlink r:id="rId456" ref="AE439"/>
    <hyperlink r:id="rId457" ref="AD440"/>
    <hyperlink r:id="rId458" ref="AE440"/>
    <hyperlink r:id="rId459" ref="AD441"/>
    <hyperlink r:id="rId460" ref="AD442"/>
    <hyperlink r:id="rId461" ref="AD443"/>
    <hyperlink r:id="rId462" ref="AD444"/>
    <hyperlink r:id="rId463" ref="AD445"/>
    <hyperlink r:id="rId464" ref="AD446"/>
    <hyperlink r:id="rId465" ref="AD447"/>
    <hyperlink r:id="rId466" ref="AD448"/>
    <hyperlink r:id="rId467" ref="AD449"/>
    <hyperlink r:id="rId468" ref="AD450"/>
    <hyperlink r:id="rId469" ref="AD451"/>
    <hyperlink r:id="rId470" ref="AD452"/>
    <hyperlink r:id="rId471" ref="AD453"/>
    <hyperlink r:id="rId472" ref="AD454"/>
    <hyperlink r:id="rId473" ref="AD455"/>
    <hyperlink r:id="rId474" ref="AD456"/>
    <hyperlink r:id="rId475" ref="AE456"/>
    <hyperlink r:id="rId476" ref="AD457"/>
    <hyperlink r:id="rId477" ref="AD458"/>
    <hyperlink r:id="rId478" ref="AD459"/>
    <hyperlink r:id="rId479" ref="AD460"/>
    <hyperlink r:id="rId480" ref="AD461"/>
    <hyperlink r:id="rId481" ref="AD462"/>
    <hyperlink r:id="rId482" ref="AD463"/>
    <hyperlink r:id="rId483" ref="AD464"/>
    <hyperlink r:id="rId484" ref="AD465"/>
    <hyperlink r:id="rId485" ref="AD466"/>
    <hyperlink r:id="rId486" ref="AE466"/>
    <hyperlink r:id="rId487" ref="AD467"/>
    <hyperlink r:id="rId488" ref="AD468"/>
    <hyperlink r:id="rId489" ref="AD469"/>
    <hyperlink r:id="rId490" ref="AD470"/>
    <hyperlink r:id="rId491" ref="AD471"/>
    <hyperlink r:id="rId492" ref="AD472"/>
    <hyperlink r:id="rId493" ref="AD476"/>
    <hyperlink r:id="rId494" location="一期工程" ref="AD477"/>
    <hyperlink r:id="rId495" ref="AD478"/>
    <hyperlink r:id="rId496" ref="AD479"/>
    <hyperlink r:id="rId497" ref="AD480"/>
    <hyperlink r:id="rId498" ref="AD481"/>
    <hyperlink r:id="rId499" ref="AD482"/>
    <hyperlink r:id="rId500" ref="AD483"/>
    <hyperlink r:id="rId501" ref="AD484"/>
    <hyperlink r:id="rId502" ref="AD485"/>
    <hyperlink r:id="rId503" location="%E4%B8%80%E6%9C%9F%E5%B7%A5%E7%A8%8B" ref="AD486"/>
    <hyperlink r:id="rId504" ref="AD487"/>
    <hyperlink r:id="rId505" ref="AD488"/>
    <hyperlink r:id="rId506" ref="AE488"/>
    <hyperlink r:id="rId507" ref="AD489"/>
    <hyperlink r:id="rId508" ref="AD490"/>
    <hyperlink r:id="rId509" ref="AD491"/>
    <hyperlink r:id="rId510" ref="AD492"/>
    <hyperlink r:id="rId511" ref="AD493"/>
    <hyperlink r:id="rId512" ref="AD494"/>
    <hyperlink r:id="rId513" ref="AD495"/>
    <hyperlink r:id="rId514" ref="AD496"/>
    <hyperlink r:id="rId515" ref="AD497"/>
    <hyperlink r:id="rId516" ref="AD498"/>
    <hyperlink r:id="rId517" ref="AD499"/>
    <hyperlink r:id="rId518" ref="AE499"/>
    <hyperlink r:id="rId519" ref="AD500"/>
    <hyperlink r:id="rId520" ref="AD501"/>
    <hyperlink r:id="rId521" ref="AD502"/>
    <hyperlink r:id="rId522" ref="AD503"/>
    <hyperlink r:id="rId523" ref="AD504"/>
    <hyperlink r:id="rId524" ref="AD505"/>
    <hyperlink r:id="rId525" ref="AD506"/>
    <hyperlink r:id="rId526" ref="AD507"/>
    <hyperlink r:id="rId527" ref="AD508"/>
    <hyperlink r:id="rId528" ref="AE508"/>
    <hyperlink r:id="rId529" ref="AD509"/>
    <hyperlink r:id="rId530" ref="AE509"/>
    <hyperlink r:id="rId531" ref="AD510"/>
    <hyperlink r:id="rId532" ref="AD511"/>
    <hyperlink r:id="rId533" ref="AD512"/>
    <hyperlink r:id="rId534" ref="AD513"/>
    <hyperlink r:id="rId535" ref="AE513"/>
    <hyperlink r:id="rId536" ref="AD514"/>
    <hyperlink r:id="rId537" ref="AD515"/>
    <hyperlink r:id="rId538" ref="AD516"/>
    <hyperlink r:id="rId539" ref="AD517"/>
    <hyperlink r:id="rId540" ref="AD518"/>
    <hyperlink r:id="rId541" ref="AD519"/>
    <hyperlink r:id="rId542" ref="AD520"/>
    <hyperlink r:id="rId543" ref="AD521"/>
    <hyperlink r:id="rId544" ref="AD522"/>
    <hyperlink r:id="rId545" ref="AD523"/>
    <hyperlink r:id="rId546" ref="AD524"/>
    <hyperlink r:id="rId547" ref="AD525"/>
    <hyperlink r:id="rId548" ref="AE525"/>
    <hyperlink r:id="rId549" ref="AD526"/>
    <hyperlink r:id="rId550" ref="AD527"/>
    <hyperlink r:id="rId551" ref="AD528"/>
    <hyperlink r:id="rId552" ref="AD529"/>
    <hyperlink r:id="rId553" ref="AD530"/>
    <hyperlink r:id="rId554" ref="AD531"/>
    <hyperlink r:id="rId555" ref="AD532"/>
    <hyperlink r:id="rId556" ref="AD533"/>
    <hyperlink r:id="rId557" ref="AD534"/>
    <hyperlink r:id="rId558" ref="AD535"/>
    <hyperlink r:id="rId559" ref="AD536"/>
    <hyperlink r:id="rId560" ref="AE536"/>
    <hyperlink r:id="rId561" ref="AD537"/>
    <hyperlink r:id="rId562" ref="AE537"/>
    <hyperlink r:id="rId563" ref="AD538"/>
    <hyperlink r:id="rId564" ref="AD539"/>
    <hyperlink r:id="rId565" ref="AD540"/>
    <hyperlink r:id="rId566" ref="AD541"/>
    <hyperlink r:id="rId567" ref="AD542"/>
    <hyperlink r:id="rId568" ref="AD543"/>
    <hyperlink r:id="rId569" ref="AD544"/>
    <hyperlink r:id="rId570" ref="AD545"/>
    <hyperlink r:id="rId571" ref="AD546"/>
    <hyperlink r:id="rId572" ref="AD547"/>
    <hyperlink r:id="rId573" ref="AD548"/>
    <hyperlink r:id="rId574" ref="AD549"/>
    <hyperlink r:id="rId575" ref="AD550"/>
    <hyperlink r:id="rId576" ref="AD551"/>
    <hyperlink r:id="rId577" ref="AD552"/>
    <hyperlink r:id="rId578" ref="AD553"/>
    <hyperlink r:id="rId579" ref="AE553"/>
    <hyperlink r:id="rId580" ref="AD554"/>
    <hyperlink r:id="rId581" ref="AD555"/>
    <hyperlink r:id="rId582" ref="AD556"/>
    <hyperlink r:id="rId583" ref="AD557"/>
    <hyperlink r:id="rId584" ref="AD558"/>
    <hyperlink r:id="rId585" ref="AD559"/>
    <hyperlink r:id="rId586" ref="AD560"/>
    <hyperlink r:id="rId587" ref="AD561"/>
    <hyperlink r:id="rId588" ref="AD562"/>
    <hyperlink r:id="rId589" ref="AD563"/>
    <hyperlink r:id="rId590" ref="AD564"/>
    <hyperlink r:id="rId591" ref="AD565"/>
    <hyperlink r:id="rId592" ref="AD566"/>
    <hyperlink r:id="rId593" ref="AD567"/>
    <hyperlink r:id="rId594" ref="AD568"/>
    <hyperlink r:id="rId595" ref="AD569"/>
    <hyperlink r:id="rId596" ref="AD570"/>
    <hyperlink r:id="rId597" ref="AD571"/>
    <hyperlink r:id="rId598" ref="AD572"/>
    <hyperlink r:id="rId599" ref="AD573"/>
    <hyperlink r:id="rId600" ref="AD574"/>
    <hyperlink r:id="rId601" ref="AD575"/>
    <hyperlink r:id="rId602" ref="AD576"/>
    <hyperlink r:id="rId603" ref="AD577"/>
    <hyperlink r:id="rId604" ref="AD578"/>
    <hyperlink r:id="rId605" ref="AD579"/>
    <hyperlink r:id="rId606" ref="AD580"/>
    <hyperlink r:id="rId607" ref="AD581"/>
    <hyperlink r:id="rId608" ref="AD582"/>
    <hyperlink r:id="rId609" ref="AD583"/>
    <hyperlink r:id="rId610" ref="AD584"/>
    <hyperlink r:id="rId611" ref="AD585"/>
    <hyperlink r:id="rId612" ref="AD586"/>
    <hyperlink r:id="rId613" ref="AD587"/>
    <hyperlink r:id="rId614" ref="AD588"/>
    <hyperlink r:id="rId615" ref="AD589"/>
    <hyperlink r:id="rId616" ref="AD592"/>
    <hyperlink r:id="rId617" ref="AD593"/>
    <hyperlink r:id="rId618" ref="AD595"/>
    <hyperlink r:id="rId619" ref="AD596"/>
    <hyperlink r:id="rId620" ref="AD597"/>
    <hyperlink r:id="rId621" ref="AD598"/>
    <hyperlink r:id="rId622" ref="AD599"/>
    <hyperlink r:id="rId623" ref="AD600"/>
    <hyperlink r:id="rId624" ref="AD601"/>
    <hyperlink r:id="rId625" ref="AD602"/>
    <hyperlink r:id="rId626" ref="AD603"/>
    <hyperlink r:id="rId627" ref="AD604"/>
    <hyperlink r:id="rId628" ref="AD605"/>
    <hyperlink r:id="rId629" ref="AD606"/>
    <hyperlink r:id="rId630" ref="AD607"/>
    <hyperlink r:id="rId631" ref="AD608"/>
    <hyperlink r:id="rId632" ref="AD609"/>
    <hyperlink r:id="rId633" ref="AD610"/>
    <hyperlink r:id="rId634" ref="AD611"/>
    <hyperlink r:id="rId635" ref="AD612"/>
    <hyperlink r:id="rId636" ref="AD613"/>
    <hyperlink r:id="rId637" ref="AD614"/>
    <hyperlink r:id="rId638" ref="AD615"/>
    <hyperlink r:id="rId639" ref="AD616"/>
    <hyperlink r:id="rId640" ref="AD617"/>
    <hyperlink r:id="rId641" ref="AD618"/>
    <hyperlink r:id="rId642" ref="AD619"/>
    <hyperlink r:id="rId643" ref="AD620"/>
    <hyperlink r:id="rId644" ref="AD621"/>
    <hyperlink r:id="rId645" ref="AD622"/>
    <hyperlink r:id="rId646" ref="AD623"/>
    <hyperlink r:id="rId647" ref="AD624"/>
    <hyperlink r:id="rId648" ref="AD625"/>
    <hyperlink r:id="rId649" ref="AD626"/>
    <hyperlink r:id="rId650" ref="AD627"/>
    <hyperlink r:id="rId651" ref="AD630"/>
    <hyperlink r:id="rId652" ref="AD631"/>
    <hyperlink r:id="rId653" ref="AD632"/>
    <hyperlink r:id="rId654" ref="AD633"/>
    <hyperlink r:id="rId655" ref="AD634"/>
    <hyperlink r:id="rId656" location=".YW2ctNha4E8.link" ref="AD635"/>
    <hyperlink r:id="rId657" location=".YW1kGBtofbY.link" ref="AD636"/>
    <hyperlink r:id="rId658" location=".YW1js87Ueak.link" ref="AD637"/>
    <hyperlink r:id="rId659" location=".YW423bEbO3o.link" ref="AD638"/>
    <hyperlink r:id="rId660" ref="AD639"/>
    <hyperlink r:id="rId661" ref="AD649"/>
    <hyperlink r:id="rId662" ref="AD650"/>
    <hyperlink r:id="rId663" ref="AD651"/>
    <hyperlink r:id="rId664" ref="AD652"/>
    <hyperlink r:id="rId665" ref="AD653"/>
    <hyperlink r:id="rId666" ref="AD654"/>
    <hyperlink r:id="rId667" ref="AD655"/>
    <hyperlink r:id="rId668" ref="AD656"/>
    <hyperlink r:id="rId669" ref="AD657"/>
    <hyperlink r:id="rId670" ref="AD658"/>
    <hyperlink r:id="rId671" ref="AD659"/>
    <hyperlink r:id="rId672" ref="AD661"/>
    <hyperlink r:id="rId673" ref="AD662"/>
    <hyperlink r:id="rId674" ref="AD663"/>
    <hyperlink r:id="rId675" ref="AD664"/>
    <hyperlink r:id="rId676" ref="AD665"/>
    <hyperlink r:id="rId677" ref="AD666"/>
    <hyperlink r:id="rId678" ref="AD667"/>
    <hyperlink r:id="rId679" ref="AD669"/>
    <hyperlink r:id="rId680" ref="AD670"/>
    <hyperlink r:id="rId681" ref="AD672"/>
    <hyperlink r:id="rId682" ref="AD673"/>
    <hyperlink r:id="rId683" ref="AD674"/>
    <hyperlink r:id="rId684" ref="AD675"/>
    <hyperlink r:id="rId685" ref="AD676"/>
    <hyperlink r:id="rId686" ref="AD677"/>
    <hyperlink r:id="rId687" ref="AD678"/>
    <hyperlink r:id="rId688" ref="AD679"/>
    <hyperlink r:id="rId689" ref="AD680"/>
    <hyperlink r:id="rId690" ref="AD681"/>
    <hyperlink r:id="rId691" ref="AD682"/>
    <hyperlink r:id="rId692" ref="AD683"/>
    <hyperlink r:id="rId693" ref="AD684"/>
    <hyperlink r:id="rId694" ref="AD685"/>
    <hyperlink r:id="rId695" ref="AD686"/>
    <hyperlink r:id="rId696" ref="AD687"/>
    <hyperlink r:id="rId697" ref="AD688"/>
    <hyperlink r:id="rId698" ref="AD689"/>
    <hyperlink r:id="rId699" ref="AD690"/>
    <hyperlink r:id="rId700" ref="AD691"/>
    <hyperlink r:id="rId701" ref="AD692"/>
    <hyperlink r:id="rId702" ref="AD693"/>
    <hyperlink r:id="rId703" ref="AD695"/>
    <hyperlink r:id="rId704" ref="AD696"/>
    <hyperlink r:id="rId705" ref="AD697"/>
    <hyperlink r:id="rId706" ref="AD698"/>
    <hyperlink r:id="rId707" ref="AD699"/>
    <hyperlink r:id="rId708" ref="AD700"/>
    <hyperlink r:id="rId709" ref="AD701"/>
    <hyperlink r:id="rId710" ref="AD702"/>
    <hyperlink r:id="rId711" ref="AD703"/>
    <hyperlink r:id="rId712" ref="AD704"/>
    <hyperlink r:id="rId713" ref="AD705"/>
    <hyperlink r:id="rId714" ref="AD706"/>
    <hyperlink r:id="rId715" ref="AD707"/>
    <hyperlink r:id="rId716" ref="AD708"/>
    <hyperlink r:id="rId717" ref="AD709"/>
    <hyperlink r:id="rId718" ref="AD711"/>
    <hyperlink r:id="rId719" ref="AD712"/>
    <hyperlink r:id="rId720" ref="AD714"/>
    <hyperlink r:id="rId721" ref="AD715"/>
    <hyperlink r:id="rId722" ref="AD717"/>
    <hyperlink r:id="rId723" ref="AD718"/>
    <hyperlink r:id="rId724" ref="AD720"/>
    <hyperlink r:id="rId725" ref="AD721"/>
    <hyperlink r:id="rId726" ref="AD722"/>
    <hyperlink r:id="rId727" ref="AD723"/>
    <hyperlink r:id="rId728" ref="AD724"/>
    <hyperlink r:id="rId729" ref="AD725"/>
    <hyperlink r:id="rId730" ref="AD726"/>
    <hyperlink r:id="rId731" ref="AD727"/>
    <hyperlink r:id="rId732" ref="AD728"/>
    <hyperlink r:id="rId733" ref="AD729"/>
    <hyperlink r:id="rId734" ref="AD730"/>
    <hyperlink r:id="rId735" ref="AD731"/>
    <hyperlink r:id="rId736" ref="AD732"/>
    <hyperlink r:id="rId737" ref="AD733"/>
    <hyperlink r:id="rId738" ref="AD734"/>
    <hyperlink r:id="rId739" ref="AD735"/>
    <hyperlink r:id="rId740" ref="AD736"/>
    <hyperlink r:id="rId741" ref="AD737"/>
    <hyperlink r:id="rId742" ref="AD738"/>
    <hyperlink r:id="rId743" ref="AD739"/>
    <hyperlink r:id="rId744" ref="AD740"/>
    <hyperlink r:id="rId745" ref="AD741"/>
    <hyperlink r:id="rId746" ref="AD742"/>
    <hyperlink r:id="rId747" ref="AD743"/>
    <hyperlink r:id="rId748" ref="AD744"/>
    <hyperlink r:id="rId749" ref="AD745"/>
    <hyperlink r:id="rId750" ref="AD746"/>
    <hyperlink r:id="rId751" location="v=onepage&amp;q=shinbundang%20line%20construction%20cost%2011690&amp;f=false" ref="AD747"/>
    <hyperlink r:id="rId752" ref="AD748"/>
    <hyperlink r:id="rId753" ref="AD749"/>
    <hyperlink r:id="rId754" ref="AD750"/>
    <hyperlink r:id="rId755" ref="AD751"/>
    <hyperlink r:id="rId756" ref="AD752"/>
    <hyperlink r:id="rId757" ref="AD753"/>
    <hyperlink r:id="rId758" ref="AD754"/>
    <hyperlink r:id="rId759" ref="AD755"/>
    <hyperlink r:id="rId760" ref="AD756"/>
    <hyperlink r:id="rId761" ref="AD757"/>
    <hyperlink r:id="rId762" ref="AD758"/>
    <hyperlink r:id="rId763" ref="AD759"/>
    <hyperlink r:id="rId764" ref="AD760"/>
    <hyperlink r:id="rId765" ref="AD761"/>
    <hyperlink r:id="rId766" ref="AD762"/>
    <hyperlink r:id="rId767" ref="AD763"/>
    <hyperlink r:id="rId768" ref="AD764"/>
    <hyperlink r:id="rId769" ref="AD765"/>
    <hyperlink r:id="rId770" ref="AD766"/>
    <hyperlink r:id="rId771" ref="AD767"/>
    <hyperlink r:id="rId772" ref="AD768"/>
    <hyperlink r:id="rId773" ref="AD769"/>
    <hyperlink r:id="rId774" ref="AD770"/>
    <hyperlink r:id="rId775" ref="AD771"/>
    <hyperlink r:id="rId776" ref="AD772"/>
    <hyperlink r:id="rId777" ref="AD773"/>
    <hyperlink r:id="rId778" ref="AD774"/>
    <hyperlink r:id="rId779" ref="AD775"/>
    <hyperlink r:id="rId780" ref="AD776"/>
    <hyperlink r:id="rId781" ref="AD777"/>
    <hyperlink r:id="rId782" ref="AD778"/>
    <hyperlink r:id="rId783" ref="AD779"/>
    <hyperlink r:id="rId784" ref="AD780"/>
    <hyperlink r:id="rId785" ref="AD781"/>
    <hyperlink r:id="rId786" ref="AD782"/>
    <hyperlink r:id="rId787" ref="AD783"/>
    <hyperlink r:id="rId788" ref="AD784"/>
    <hyperlink r:id="rId789" ref="AD785"/>
    <hyperlink r:id="rId790" ref="AD786"/>
    <hyperlink r:id="rId791" ref="AD787"/>
    <hyperlink r:id="rId792" location="iss=https%3A%2F%2Fsso.noticiasilimitadas.pt%2Frealms%2FNI_PRD" ref="AD788"/>
    <hyperlink r:id="rId793" ref="AD789"/>
    <hyperlink r:id="rId794" ref="AD790"/>
    <hyperlink r:id="rId795" ref="AD791"/>
    <hyperlink r:id="rId796" ref="AD794"/>
    <hyperlink r:id="rId797" ref="AD795"/>
    <hyperlink r:id="rId798" ref="AD796"/>
    <hyperlink r:id="rId799" ref="AD797"/>
    <hyperlink r:id="rId800" ref="AD798"/>
    <hyperlink r:id="rId801" ref="AD808"/>
    <hyperlink r:id="rId802" ref="AD836"/>
    <hyperlink r:id="rId803" ref="AD837"/>
    <hyperlink r:id="rId804" ref="AD838"/>
    <hyperlink r:id="rId805" ref="AD839"/>
    <hyperlink r:id="rId806" ref="AD847"/>
    <hyperlink r:id="rId807" ref="AD848"/>
    <hyperlink r:id="rId808" ref="AD849"/>
    <hyperlink r:id="rId809" ref="AD851"/>
    <hyperlink r:id="rId810" ref="AD852"/>
    <hyperlink r:id="rId811" ref="AD854"/>
    <hyperlink r:id="rId812" ref="AD856"/>
    <hyperlink r:id="rId813" ref="AD858"/>
    <hyperlink r:id="rId814" ref="AD859"/>
    <hyperlink r:id="rId815" ref="AD860"/>
    <hyperlink r:id="rId816" ref="AD861"/>
    <hyperlink r:id="rId817" ref="AD862"/>
    <hyperlink r:id="rId818" ref="AD863"/>
    <hyperlink r:id="rId819" ref="AD864"/>
    <hyperlink r:id="rId820" ref="AD865"/>
    <hyperlink r:id="rId821" ref="AD866"/>
    <hyperlink r:id="rId822" ref="AD867"/>
    <hyperlink r:id="rId823" ref="AD868"/>
    <hyperlink r:id="rId824" ref="AD869"/>
    <hyperlink r:id="rId825" ref="AD870"/>
    <hyperlink r:id="rId826" ref="AD871"/>
    <hyperlink r:id="rId827" ref="AD872"/>
    <hyperlink r:id="rId828" ref="AD873"/>
    <hyperlink r:id="rId829" ref="AD874"/>
    <hyperlink r:id="rId830" ref="AD876"/>
    <hyperlink r:id="rId831" ref="AD878"/>
    <hyperlink r:id="rId832" ref="AD880"/>
    <hyperlink r:id="rId833" ref="AD882"/>
    <hyperlink r:id="rId834" ref="AD883"/>
    <hyperlink r:id="rId835" ref="AD884"/>
    <hyperlink r:id="rId836" ref="AD885"/>
    <hyperlink r:id="rId837" ref="AD886"/>
    <hyperlink r:id="rId838" ref="AD887"/>
    <hyperlink r:id="rId839" ref="AD888"/>
    <hyperlink r:id="rId840" ref="AD889"/>
    <hyperlink r:id="rId841" ref="AD890"/>
    <hyperlink r:id="rId842" ref="AD891"/>
    <hyperlink r:id="rId843" ref="AD892"/>
    <hyperlink r:id="rId844" ref="AD893"/>
    <hyperlink r:id="rId845" ref="AD894"/>
    <hyperlink r:id="rId846" ref="AD895"/>
    <hyperlink r:id="rId847" ref="AD896"/>
    <hyperlink r:id="rId848" ref="AD898"/>
    <hyperlink r:id="rId849" ref="AD899"/>
    <hyperlink r:id="rId850" ref="AD900"/>
    <hyperlink r:id="rId851" ref="AD901"/>
    <hyperlink r:id="rId852" ref="AD902"/>
    <hyperlink r:id="rId853" ref="AD903"/>
    <hyperlink r:id="rId854" ref="AD904"/>
    <hyperlink r:id="rId855" ref="AD905"/>
    <hyperlink r:id="rId856" ref="AD906"/>
    <hyperlink r:id="rId857" ref="AD907"/>
    <hyperlink r:id="rId858" ref="AD911"/>
    <hyperlink r:id="rId859" ref="AD912"/>
    <hyperlink r:id="rId860" ref="AD914"/>
    <hyperlink r:id="rId861" ref="AD915"/>
    <hyperlink r:id="rId862" ref="AD916"/>
    <hyperlink r:id="rId863" ref="AD917"/>
    <hyperlink r:id="rId864" ref="AD918"/>
    <hyperlink r:id="rId865" ref="AD919"/>
    <hyperlink r:id="rId866" ref="AD920"/>
    <hyperlink r:id="rId867" ref="AD921"/>
    <hyperlink r:id="rId868" ref="AD922"/>
    <hyperlink r:id="rId869" ref="AD923"/>
    <hyperlink r:id="rId870" ref="AD926"/>
    <hyperlink r:id="rId871" ref="AD927"/>
    <hyperlink r:id="rId872" ref="AD928"/>
    <hyperlink r:id="rId873" ref="AD929"/>
    <hyperlink r:id="rId874" ref="AD930"/>
    <hyperlink r:id="rId875" ref="AD931"/>
    <hyperlink r:id="rId876" ref="AD932"/>
    <hyperlink r:id="rId877" ref="AD933"/>
    <hyperlink r:id="rId878" ref="AD934"/>
    <hyperlink r:id="rId879" ref="AD935"/>
    <hyperlink r:id="rId880" ref="AD936"/>
    <hyperlink r:id="rId881" ref="AD937"/>
    <hyperlink r:id="rId882" ref="AD938"/>
    <hyperlink r:id="rId883" ref="AD939"/>
    <hyperlink r:id="rId884" ref="AD940"/>
    <hyperlink r:id="rId885" ref="AD941"/>
    <hyperlink r:id="rId886" ref="AD942"/>
    <hyperlink r:id="rId887" ref="AD943"/>
    <hyperlink r:id="rId888" ref="AD944"/>
    <hyperlink r:id="rId889" ref="AD947"/>
    <hyperlink r:id="rId890" ref="AD948"/>
    <hyperlink r:id="rId891" ref="AD949"/>
    <hyperlink r:id="rId892" ref="AD950"/>
    <hyperlink r:id="rId893" ref="AD951"/>
    <hyperlink r:id="rId894" ref="AD952"/>
    <hyperlink r:id="rId895" ref="AD953"/>
    <hyperlink r:id="rId896" ref="AD954"/>
    <hyperlink r:id="rId897" ref="AD956"/>
    <hyperlink r:id="rId898" ref="AD968"/>
    <hyperlink r:id="rId899" ref="AD971"/>
    <hyperlink r:id="rId900" ref="AD972"/>
    <hyperlink r:id="rId901" ref="AD981"/>
    <hyperlink r:id="rId902" ref="AD982"/>
    <hyperlink r:id="rId903" ref="AD983"/>
    <hyperlink r:id="rId904" ref="AD984"/>
    <hyperlink r:id="rId905" ref="AD985"/>
    <hyperlink r:id="rId906" ref="AD986"/>
    <hyperlink r:id="rId907" ref="AD987"/>
    <hyperlink r:id="rId908" ref="AD988"/>
    <hyperlink r:id="rId909" ref="AD989"/>
    <hyperlink r:id="rId910" ref="AD990"/>
    <hyperlink r:id="rId911" ref="AD991"/>
    <hyperlink r:id="rId912" ref="AD992"/>
    <hyperlink r:id="rId913" ref="AD993"/>
    <hyperlink r:id="rId914" ref="AD994"/>
    <hyperlink r:id="rId915" ref="AD995"/>
    <hyperlink r:id="rId916" ref="AD996"/>
    <hyperlink r:id="rId917" ref="AD997"/>
    <hyperlink r:id="rId918" ref="AD998"/>
    <hyperlink r:id="rId919" ref="AD999"/>
    <hyperlink r:id="rId920" ref="AD1000"/>
    <hyperlink r:id="rId921" ref="AD1001"/>
    <hyperlink r:id="rId922" ref="AD1002"/>
    <hyperlink r:id="rId923" ref="AD1003"/>
    <hyperlink r:id="rId924" ref="AD1004"/>
    <hyperlink r:id="rId925" ref="AD1005"/>
    <hyperlink r:id="rId926" ref="AD1006"/>
    <hyperlink r:id="rId927" ref="AD1007"/>
    <hyperlink r:id="rId928" ref="AD1009"/>
    <hyperlink r:id="rId929" ref="AD1010"/>
    <hyperlink r:id="rId930" ref="AD1015"/>
    <hyperlink r:id="rId931" ref="AD1018"/>
    <hyperlink r:id="rId932" ref="AD1019"/>
    <hyperlink r:id="rId933" ref="AD1020"/>
    <hyperlink r:id="rId934" ref="AD1021"/>
  </hyperlinks>
  <drawing r:id="rId935"/>
  <legacyDrawing r:id="rId9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71"/>
    <col customWidth="1" min="2" max="2" width="16.86"/>
  </cols>
  <sheetData>
    <row r="1">
      <c r="A1" s="8" t="s">
        <v>2102</v>
      </c>
      <c r="B1" s="8" t="s">
        <v>2</v>
      </c>
      <c r="C1" s="9" t="s">
        <v>3</v>
      </c>
      <c r="D1" s="8" t="s">
        <v>4</v>
      </c>
      <c r="E1" s="8" t="s">
        <v>5</v>
      </c>
      <c r="F1" s="9" t="s">
        <v>6</v>
      </c>
      <c r="G1" s="9" t="s">
        <v>7</v>
      </c>
      <c r="H1" s="9" t="s">
        <v>8</v>
      </c>
      <c r="I1" s="9" t="s">
        <v>9</v>
      </c>
      <c r="J1" s="9" t="s">
        <v>10</v>
      </c>
      <c r="K1" s="9" t="s">
        <v>11</v>
      </c>
      <c r="L1" s="8" t="s">
        <v>12</v>
      </c>
      <c r="M1" s="8" t="s">
        <v>13</v>
      </c>
      <c r="N1" s="9" t="s">
        <v>14</v>
      </c>
      <c r="O1" s="8" t="s">
        <v>15</v>
      </c>
      <c r="P1" s="9" t="s">
        <v>16</v>
      </c>
      <c r="Q1" s="10" t="s">
        <v>17</v>
      </c>
      <c r="R1" s="9" t="s">
        <v>18</v>
      </c>
      <c r="S1" s="9" t="s">
        <v>19</v>
      </c>
      <c r="T1" s="9" t="s">
        <v>20</v>
      </c>
      <c r="U1" s="9" t="s">
        <v>21</v>
      </c>
      <c r="V1" s="11" t="s">
        <v>22</v>
      </c>
      <c r="W1" s="9" t="s">
        <v>23</v>
      </c>
      <c r="X1" s="9" t="s">
        <v>24</v>
      </c>
      <c r="Y1" s="9" t="s">
        <v>25</v>
      </c>
      <c r="Z1" s="9" t="s">
        <v>26</v>
      </c>
      <c r="AA1" s="8" t="s">
        <v>27</v>
      </c>
      <c r="AB1" s="8" t="s">
        <v>2103</v>
      </c>
      <c r="AC1" s="8" t="s">
        <v>2104</v>
      </c>
    </row>
    <row r="2">
      <c r="A2" s="14">
        <v>8200.0</v>
      </c>
      <c r="B2" s="15" t="s">
        <v>32</v>
      </c>
      <c r="C2" s="15" t="s">
        <v>33</v>
      </c>
      <c r="D2" s="16" t="s">
        <v>34</v>
      </c>
      <c r="E2" s="15" t="s">
        <v>35</v>
      </c>
      <c r="F2" s="17">
        <v>2005.0</v>
      </c>
      <c r="G2" s="17">
        <v>2010.0</v>
      </c>
      <c r="H2" s="17">
        <v>0.0</v>
      </c>
      <c r="I2" s="18">
        <v>35.0</v>
      </c>
      <c r="J2" s="19">
        <f t="shared" ref="J2:J4" si="1">K2/I2</f>
        <v>0.1342857143</v>
      </c>
      <c r="K2" s="20">
        <v>4.7</v>
      </c>
      <c r="L2" s="21">
        <v>0.0</v>
      </c>
      <c r="M2" s="21">
        <v>0.0</v>
      </c>
      <c r="N2" s="18">
        <v>29.0</v>
      </c>
      <c r="O2" s="17"/>
      <c r="P2" s="22" t="s">
        <v>36</v>
      </c>
      <c r="Q2" s="23">
        <v>4200.0</v>
      </c>
      <c r="R2" s="15" t="s">
        <v>37</v>
      </c>
      <c r="S2" s="18">
        <v>2005.0</v>
      </c>
      <c r="T2" s="18">
        <v>1.8</v>
      </c>
      <c r="U2" s="18">
        <f t="shared" ref="U2:U39" si="2">Q2*T2</f>
        <v>7560</v>
      </c>
      <c r="V2" s="24">
        <f t="shared" ref="V2:V1008" si="3">U2/I2</f>
        <v>216</v>
      </c>
      <c r="W2" s="3">
        <f t="shared" ref="W2:W33" si="4">IF(OR(B2 = "BG",B2 = "GR",B2 = "IT",B2 = "ES",B2 = "PT",B2 = "TR", B2 = "KR",B2 = "SE",B2 = "CH",B2 = "NO",B2 = "DK",B2 = "FI"), 1, 0)</f>
        <v>0</v>
      </c>
      <c r="X2" s="3">
        <f t="shared" ref="X2:X33" si="5">W2*I2</f>
        <v>0</v>
      </c>
      <c r="Y2" s="3">
        <f t="shared" ref="Y2:Y33" si="6">W2*K2</f>
        <v>0</v>
      </c>
      <c r="Z2" s="25">
        <f t="shared" ref="Z2:Z33" si="7">IF(OR(B2 = "US",B2 = "CA",B2 = "UK",B2 = "NZ",B2 = "AU",B2 = "SG"), 1, 0)</f>
        <v>0</v>
      </c>
      <c r="AA2" s="26">
        <f>VLOOKUP(S2,CPI!$A$2:$E$67,5,0)</f>
        <v>1.560174091</v>
      </c>
      <c r="AB2" s="27">
        <f t="shared" ref="AB2:AB1008" si="8">U2*AA2</f>
        <v>11794.91613</v>
      </c>
      <c r="AC2" s="27">
        <f t="shared" ref="AC2:AC1008" si="9">V2*AA2</f>
        <v>336.9976037</v>
      </c>
    </row>
    <row r="3">
      <c r="A3" s="14">
        <v>8201.0</v>
      </c>
      <c r="B3" s="15" t="s">
        <v>32</v>
      </c>
      <c r="C3" s="15" t="s">
        <v>33</v>
      </c>
      <c r="D3" s="15" t="s">
        <v>38</v>
      </c>
      <c r="E3" s="15" t="s">
        <v>39</v>
      </c>
      <c r="F3" s="17">
        <v>2006.0</v>
      </c>
      <c r="G3" s="17">
        <v>2010.0</v>
      </c>
      <c r="H3" s="17">
        <v>0.0</v>
      </c>
      <c r="I3" s="18">
        <v>22.5</v>
      </c>
      <c r="J3" s="19">
        <f t="shared" si="1"/>
        <v>0.3511111111</v>
      </c>
      <c r="K3" s="20">
        <v>7.9</v>
      </c>
      <c r="L3" s="21">
        <v>0.0</v>
      </c>
      <c r="M3" s="21">
        <v>0.0</v>
      </c>
      <c r="N3" s="18">
        <v>20.0</v>
      </c>
      <c r="O3" s="17"/>
      <c r="P3" s="22"/>
      <c r="Q3" s="23">
        <v>3600.0</v>
      </c>
      <c r="R3" s="15" t="s">
        <v>37</v>
      </c>
      <c r="S3" s="18">
        <v>2006.0</v>
      </c>
      <c r="T3" s="18">
        <v>1.9</v>
      </c>
      <c r="U3" s="18">
        <f t="shared" si="2"/>
        <v>6840</v>
      </c>
      <c r="V3" s="24">
        <f t="shared" si="3"/>
        <v>304</v>
      </c>
      <c r="W3" s="3">
        <f t="shared" si="4"/>
        <v>0</v>
      </c>
      <c r="X3" s="3">
        <f t="shared" si="5"/>
        <v>0</v>
      </c>
      <c r="Y3" s="3">
        <f t="shared" si="6"/>
        <v>0</v>
      </c>
      <c r="Z3" s="25">
        <f t="shared" si="7"/>
        <v>0</v>
      </c>
      <c r="AA3" s="26">
        <f>VLOOKUP(S3,CPI!$A$2:$E$67,5,0)</f>
        <v>1.511418651</v>
      </c>
      <c r="AB3" s="27">
        <f t="shared" si="8"/>
        <v>10338.10357</v>
      </c>
      <c r="AC3" s="27">
        <f t="shared" si="9"/>
        <v>459.4712698</v>
      </c>
    </row>
    <row r="4">
      <c r="A4" s="14">
        <v>8202.0</v>
      </c>
      <c r="B4" s="15" t="s">
        <v>32</v>
      </c>
      <c r="C4" s="15" t="s">
        <v>33</v>
      </c>
      <c r="D4" s="36" t="s">
        <v>40</v>
      </c>
      <c r="E4" s="15" t="s">
        <v>41</v>
      </c>
      <c r="F4" s="17">
        <v>2016.0</v>
      </c>
      <c r="G4" s="17">
        <v>2020.0</v>
      </c>
      <c r="H4" s="17">
        <v>0.0</v>
      </c>
      <c r="I4" s="18">
        <v>15.0</v>
      </c>
      <c r="J4" s="19">
        <f t="shared" si="1"/>
        <v>0.2133333333</v>
      </c>
      <c r="K4" s="20">
        <v>3.2</v>
      </c>
      <c r="L4" s="21">
        <v>0.0</v>
      </c>
      <c r="M4" s="21">
        <v>0.0</v>
      </c>
      <c r="N4" s="18">
        <v>7.0</v>
      </c>
      <c r="O4" s="17"/>
      <c r="P4" s="22" t="s">
        <v>36</v>
      </c>
      <c r="Q4" s="23">
        <v>2900.0</v>
      </c>
      <c r="R4" s="15" t="s">
        <v>37</v>
      </c>
      <c r="S4" s="18">
        <v>2016.0</v>
      </c>
      <c r="T4" s="18">
        <v>1.9</v>
      </c>
      <c r="U4" s="18">
        <f t="shared" si="2"/>
        <v>5510</v>
      </c>
      <c r="V4" s="24">
        <f t="shared" si="3"/>
        <v>367.3333333</v>
      </c>
      <c r="W4" s="3">
        <f t="shared" si="4"/>
        <v>0</v>
      </c>
      <c r="X4" s="3">
        <f t="shared" si="5"/>
        <v>0</v>
      </c>
      <c r="Y4" s="3">
        <f t="shared" si="6"/>
        <v>0</v>
      </c>
      <c r="Z4" s="25">
        <f t="shared" si="7"/>
        <v>0</v>
      </c>
      <c r="AA4" s="26">
        <f>VLOOKUP(S4,CPI!$A$2:$E$67,5,0)</f>
        <v>1.269554638</v>
      </c>
      <c r="AB4" s="27">
        <f t="shared" si="8"/>
        <v>6995.246055</v>
      </c>
      <c r="AC4" s="27">
        <f t="shared" si="9"/>
        <v>466.349737</v>
      </c>
    </row>
    <row r="5">
      <c r="A5" s="38">
        <v>7593.0</v>
      </c>
      <c r="B5" s="2" t="s">
        <v>44</v>
      </c>
      <c r="C5" s="2" t="s">
        <v>45</v>
      </c>
      <c r="D5" s="2" t="s">
        <v>46</v>
      </c>
      <c r="E5" s="2" t="s">
        <v>46</v>
      </c>
      <c r="F5" s="3">
        <v>2020.0</v>
      </c>
      <c r="G5" s="3">
        <v>2026.0</v>
      </c>
      <c r="H5" s="3">
        <v>1.0</v>
      </c>
      <c r="I5" s="3">
        <v>20.0</v>
      </c>
      <c r="J5" s="39">
        <v>1.0</v>
      </c>
      <c r="K5" s="3">
        <v>20.0</v>
      </c>
      <c r="L5" s="40">
        <v>0.0</v>
      </c>
      <c r="M5" s="40">
        <v>0.0</v>
      </c>
      <c r="N5" s="3">
        <v>4.0</v>
      </c>
      <c r="O5" s="3"/>
      <c r="P5" s="2" t="s">
        <v>42</v>
      </c>
      <c r="Q5" s="41">
        <v>2300.0</v>
      </c>
      <c r="R5" s="2" t="s">
        <v>37</v>
      </c>
      <c r="S5" s="3">
        <v>2023.0</v>
      </c>
      <c r="T5" s="3">
        <v>2.02</v>
      </c>
      <c r="U5" s="3">
        <f t="shared" si="2"/>
        <v>4646</v>
      </c>
      <c r="V5" s="24">
        <f t="shared" si="3"/>
        <v>232.3</v>
      </c>
      <c r="W5" s="3">
        <f t="shared" si="4"/>
        <v>0</v>
      </c>
      <c r="X5" s="3">
        <f t="shared" si="5"/>
        <v>0</v>
      </c>
      <c r="Y5" s="3">
        <f t="shared" si="6"/>
        <v>0</v>
      </c>
      <c r="Z5" s="25">
        <f t="shared" si="7"/>
        <v>0</v>
      </c>
      <c r="AA5" s="26">
        <f>VLOOKUP(S5,CPI!$A$2:$E$67,5,0)</f>
        <v>1</v>
      </c>
      <c r="AB5" s="27">
        <f t="shared" si="8"/>
        <v>4646</v>
      </c>
      <c r="AC5" s="27">
        <f t="shared" si="9"/>
        <v>232.3</v>
      </c>
    </row>
    <row r="6">
      <c r="A6" s="38">
        <v>9753.0</v>
      </c>
      <c r="B6" s="43" t="s">
        <v>48</v>
      </c>
      <c r="C6" s="43" t="s">
        <v>49</v>
      </c>
      <c r="D6" s="44" t="s">
        <v>50</v>
      </c>
      <c r="E6" s="43" t="s">
        <v>51</v>
      </c>
      <c r="F6" s="45">
        <v>1999.0</v>
      </c>
      <c r="G6" s="45">
        <v>2012.0</v>
      </c>
      <c r="H6" s="45">
        <v>1.0</v>
      </c>
      <c r="I6" s="45">
        <v>12.8</v>
      </c>
      <c r="J6" s="46">
        <v>1.0</v>
      </c>
      <c r="K6" s="45">
        <v>12.8</v>
      </c>
      <c r="L6" s="47">
        <v>0.0</v>
      </c>
      <c r="M6" s="47">
        <v>0.0</v>
      </c>
      <c r="N6" s="45">
        <v>0.0</v>
      </c>
      <c r="O6" s="45"/>
      <c r="P6" s="43" t="s">
        <v>42</v>
      </c>
      <c r="Q6" s="48">
        <v>1300.0</v>
      </c>
      <c r="R6" s="43" t="s">
        <v>52</v>
      </c>
      <c r="S6" s="45">
        <v>2005.0</v>
      </c>
      <c r="T6" s="45">
        <v>1.25</v>
      </c>
      <c r="U6" s="45">
        <f t="shared" si="2"/>
        <v>1625</v>
      </c>
      <c r="V6" s="24">
        <f t="shared" si="3"/>
        <v>126.953125</v>
      </c>
      <c r="W6" s="3">
        <f t="shared" si="4"/>
        <v>0</v>
      </c>
      <c r="X6" s="3">
        <f t="shared" si="5"/>
        <v>0</v>
      </c>
      <c r="Y6" s="3">
        <f t="shared" si="6"/>
        <v>0</v>
      </c>
      <c r="Z6" s="25">
        <f t="shared" si="7"/>
        <v>0</v>
      </c>
      <c r="AA6" s="26">
        <f>VLOOKUP(S6,CPI!$A$2:$E$67,5,0)</f>
        <v>1.560174091</v>
      </c>
      <c r="AB6" s="27">
        <f t="shared" si="8"/>
        <v>2535.282898</v>
      </c>
      <c r="AC6" s="27">
        <f t="shared" si="9"/>
        <v>198.0689764</v>
      </c>
    </row>
    <row r="7">
      <c r="A7" s="38">
        <v>7360.0</v>
      </c>
      <c r="B7" s="26" t="s">
        <v>48</v>
      </c>
      <c r="C7" s="26" t="s">
        <v>49</v>
      </c>
      <c r="D7" s="1" t="s">
        <v>54</v>
      </c>
      <c r="E7" s="26" t="s">
        <v>55</v>
      </c>
      <c r="F7" s="25">
        <v>2010.0</v>
      </c>
      <c r="G7" s="25">
        <v>2013.0</v>
      </c>
      <c r="H7" s="25">
        <v>0.0</v>
      </c>
      <c r="I7" s="25">
        <v>4.2</v>
      </c>
      <c r="J7" s="50">
        <v>0.0</v>
      </c>
      <c r="K7" s="25">
        <v>0.0</v>
      </c>
      <c r="L7" s="51">
        <v>2.63</v>
      </c>
      <c r="M7" s="51">
        <v>1.57</v>
      </c>
      <c r="N7" s="25">
        <v>3.0</v>
      </c>
      <c r="O7" s="25"/>
      <c r="P7" s="26" t="s">
        <v>42</v>
      </c>
      <c r="Q7" s="52">
        <v>320.0</v>
      </c>
      <c r="R7" s="26" t="s">
        <v>52</v>
      </c>
      <c r="S7" s="25">
        <v>2012.0</v>
      </c>
      <c r="T7" s="25">
        <v>1.3</v>
      </c>
      <c r="U7" s="25">
        <f t="shared" si="2"/>
        <v>416</v>
      </c>
      <c r="V7" s="24">
        <f t="shared" si="3"/>
        <v>99.04761905</v>
      </c>
      <c r="W7" s="3">
        <f t="shared" si="4"/>
        <v>0</v>
      </c>
      <c r="X7" s="3">
        <f t="shared" si="5"/>
        <v>0</v>
      </c>
      <c r="Y7" s="3">
        <f t="shared" si="6"/>
        <v>0</v>
      </c>
      <c r="Z7" s="25">
        <f t="shared" si="7"/>
        <v>0</v>
      </c>
      <c r="AA7" s="26">
        <f>VLOOKUP(S7,CPI!$A$2:$E$67,5,0)</f>
        <v>1.327133984</v>
      </c>
      <c r="AB7" s="27">
        <f t="shared" si="8"/>
        <v>552.0877375</v>
      </c>
      <c r="AC7" s="27">
        <f t="shared" si="9"/>
        <v>131.4494613</v>
      </c>
    </row>
    <row r="8">
      <c r="A8" s="38">
        <v>7361.0</v>
      </c>
      <c r="B8" s="26" t="s">
        <v>48</v>
      </c>
      <c r="C8" s="26" t="s">
        <v>49</v>
      </c>
      <c r="D8" s="1" t="s">
        <v>57</v>
      </c>
      <c r="E8" s="26" t="s">
        <v>58</v>
      </c>
      <c r="F8" s="25">
        <v>2012.0</v>
      </c>
      <c r="G8" s="25">
        <v>2017.0</v>
      </c>
      <c r="H8" s="25">
        <v>0.0</v>
      </c>
      <c r="I8" s="25">
        <v>4.7</v>
      </c>
      <c r="J8" s="50">
        <v>0.57</v>
      </c>
      <c r="K8" s="25">
        <v>2.7</v>
      </c>
      <c r="L8" s="51">
        <v>0.06</v>
      </c>
      <c r="M8" s="51">
        <v>2.008</v>
      </c>
      <c r="N8" s="25">
        <v>5.0</v>
      </c>
      <c r="O8" s="25"/>
      <c r="P8" s="26" t="s">
        <v>59</v>
      </c>
      <c r="Q8" s="52">
        <v>600.0</v>
      </c>
      <c r="R8" s="26" t="s">
        <v>52</v>
      </c>
      <c r="S8" s="25">
        <v>2015.0</v>
      </c>
      <c r="T8" s="25">
        <v>1.3</v>
      </c>
      <c r="U8" s="25">
        <f t="shared" si="2"/>
        <v>780</v>
      </c>
      <c r="V8" s="24">
        <f t="shared" si="3"/>
        <v>165.9574468</v>
      </c>
      <c r="W8" s="3">
        <f t="shared" si="4"/>
        <v>0</v>
      </c>
      <c r="X8" s="3">
        <f t="shared" si="5"/>
        <v>0</v>
      </c>
      <c r="Y8" s="3">
        <f t="shared" si="6"/>
        <v>0</v>
      </c>
      <c r="Z8" s="25">
        <f t="shared" si="7"/>
        <v>0</v>
      </c>
      <c r="AA8" s="26">
        <f>VLOOKUP(S8,CPI!$A$2:$E$67,5,0)</f>
        <v>1.285570233</v>
      </c>
      <c r="AB8" s="27">
        <f t="shared" si="8"/>
        <v>1002.744782</v>
      </c>
      <c r="AC8" s="27">
        <f t="shared" si="9"/>
        <v>213.3499536</v>
      </c>
    </row>
    <row r="9">
      <c r="A9" s="38">
        <v>7362.0</v>
      </c>
      <c r="B9" s="26" t="s">
        <v>48</v>
      </c>
      <c r="C9" s="26" t="s">
        <v>49</v>
      </c>
      <c r="D9" s="26" t="s">
        <v>62</v>
      </c>
      <c r="E9" s="26" t="s">
        <v>62</v>
      </c>
      <c r="F9" s="25">
        <v>2019.0</v>
      </c>
      <c r="G9" s="25">
        <v>2029.0</v>
      </c>
      <c r="H9" s="25">
        <v>0.0</v>
      </c>
      <c r="I9" s="25">
        <v>9.0</v>
      </c>
      <c r="J9" s="50">
        <v>1.0</v>
      </c>
      <c r="K9" s="25">
        <v>9.0</v>
      </c>
      <c r="L9" s="51">
        <v>0.0</v>
      </c>
      <c r="M9" s="51">
        <v>0.0</v>
      </c>
      <c r="N9" s="25">
        <v>11.0</v>
      </c>
      <c r="O9" s="25"/>
      <c r="P9" s="26" t="s">
        <v>60</v>
      </c>
      <c r="Q9" s="52">
        <v>2200.0</v>
      </c>
      <c r="R9" s="26" t="s">
        <v>52</v>
      </c>
      <c r="S9" s="25">
        <v>2023.0</v>
      </c>
      <c r="T9" s="25">
        <v>1.3</v>
      </c>
      <c r="U9" s="25">
        <f t="shared" si="2"/>
        <v>2860</v>
      </c>
      <c r="V9" s="24">
        <f t="shared" si="3"/>
        <v>317.7777778</v>
      </c>
      <c r="W9" s="3">
        <f t="shared" si="4"/>
        <v>0</v>
      </c>
      <c r="X9" s="3">
        <f t="shared" si="5"/>
        <v>0</v>
      </c>
      <c r="Y9" s="3">
        <f t="shared" si="6"/>
        <v>0</v>
      </c>
      <c r="Z9" s="25">
        <f t="shared" si="7"/>
        <v>0</v>
      </c>
      <c r="AA9" s="26">
        <f>VLOOKUP(S9,CPI!$A$2:$E$67,5,0)</f>
        <v>1</v>
      </c>
      <c r="AB9" s="27">
        <f t="shared" si="8"/>
        <v>2860</v>
      </c>
      <c r="AC9" s="27">
        <f t="shared" si="9"/>
        <v>317.7777778</v>
      </c>
    </row>
    <row r="10">
      <c r="A10" s="38">
        <v>7280.0</v>
      </c>
      <c r="B10" s="26" t="s">
        <v>64</v>
      </c>
      <c r="C10" s="26" t="s">
        <v>65</v>
      </c>
      <c r="D10" s="26" t="s">
        <v>66</v>
      </c>
      <c r="E10" s="26" t="s">
        <v>66</v>
      </c>
      <c r="F10" s="25">
        <v>2018.0</v>
      </c>
      <c r="G10" s="25">
        <v>2025.0</v>
      </c>
      <c r="H10" s="25">
        <v>0.0</v>
      </c>
      <c r="I10" s="25">
        <v>9.0</v>
      </c>
      <c r="J10" s="50">
        <v>1.0</v>
      </c>
      <c r="K10" s="25">
        <v>9.0</v>
      </c>
      <c r="L10" s="51">
        <v>0.0</v>
      </c>
      <c r="M10" s="51">
        <v>0.0</v>
      </c>
      <c r="N10" s="25">
        <v>5.0</v>
      </c>
      <c r="O10" s="25"/>
      <c r="P10" s="26" t="s">
        <v>60</v>
      </c>
      <c r="Q10" s="55">
        <v>12584.4</v>
      </c>
      <c r="R10" s="26" t="s">
        <v>67</v>
      </c>
      <c r="S10" s="25">
        <v>2021.0</v>
      </c>
      <c r="T10" s="25">
        <v>0.69</v>
      </c>
      <c r="U10" s="25">
        <f t="shared" si="2"/>
        <v>8683.236</v>
      </c>
      <c r="V10" s="24">
        <f t="shared" si="3"/>
        <v>964.804</v>
      </c>
      <c r="W10" s="3">
        <f t="shared" si="4"/>
        <v>0</v>
      </c>
      <c r="X10" s="3">
        <f t="shared" si="5"/>
        <v>0</v>
      </c>
      <c r="Y10" s="3">
        <f t="shared" si="6"/>
        <v>0</v>
      </c>
      <c r="Z10" s="25">
        <f t="shared" si="7"/>
        <v>1</v>
      </c>
      <c r="AA10" s="26">
        <f>VLOOKUP(S10,CPI!$A$2:$E$67,5,0)</f>
        <v>1.124486105</v>
      </c>
      <c r="AB10" s="27">
        <f t="shared" si="8"/>
        <v>9764.178233</v>
      </c>
      <c r="AC10" s="27">
        <f t="shared" si="9"/>
        <v>1084.908693</v>
      </c>
    </row>
    <row r="11">
      <c r="A11" s="38">
        <v>7587.0</v>
      </c>
      <c r="B11" s="26" t="s">
        <v>64</v>
      </c>
      <c r="C11" s="26" t="s">
        <v>69</v>
      </c>
      <c r="D11" s="26" t="s">
        <v>70</v>
      </c>
      <c r="E11" s="26" t="s">
        <v>70</v>
      </c>
      <c r="F11" s="25">
        <v>2016.0</v>
      </c>
      <c r="G11" s="25">
        <v>2021.0</v>
      </c>
      <c r="H11" s="25">
        <v>1.0</v>
      </c>
      <c r="I11" s="25">
        <v>8.5</v>
      </c>
      <c r="J11" s="50">
        <v>1.0</v>
      </c>
      <c r="K11" s="25">
        <v>8.5</v>
      </c>
      <c r="L11" s="51">
        <v>0.0</v>
      </c>
      <c r="M11" s="51">
        <v>0.0</v>
      </c>
      <c r="N11" s="25">
        <v>3.0</v>
      </c>
      <c r="O11" s="25"/>
      <c r="P11" s="26" t="s">
        <v>60</v>
      </c>
      <c r="Q11" s="52">
        <v>1860.0</v>
      </c>
      <c r="R11" s="26" t="s">
        <v>67</v>
      </c>
      <c r="S11" s="25">
        <v>2018.0</v>
      </c>
      <c r="T11" s="25">
        <v>0.69</v>
      </c>
      <c r="U11" s="25">
        <f t="shared" si="2"/>
        <v>1283.4</v>
      </c>
      <c r="V11" s="24">
        <f t="shared" si="3"/>
        <v>150.9882353</v>
      </c>
      <c r="W11" s="3">
        <f t="shared" si="4"/>
        <v>0</v>
      </c>
      <c r="X11" s="3">
        <f t="shared" si="5"/>
        <v>0</v>
      </c>
      <c r="Y11" s="3">
        <f t="shared" si="6"/>
        <v>0</v>
      </c>
      <c r="Z11" s="25">
        <f t="shared" si="7"/>
        <v>1</v>
      </c>
      <c r="AA11" s="26">
        <f>VLOOKUP(S11,CPI!$A$2:$E$67,5,0)</f>
        <v>1.21343491</v>
      </c>
      <c r="AB11" s="27">
        <f t="shared" si="8"/>
        <v>1557.322364</v>
      </c>
      <c r="AC11" s="27">
        <f t="shared" si="9"/>
        <v>183.2143957</v>
      </c>
    </row>
    <row r="12">
      <c r="A12" s="38">
        <v>7275.0</v>
      </c>
      <c r="B12" s="26" t="s">
        <v>64</v>
      </c>
      <c r="C12" s="26" t="s">
        <v>72</v>
      </c>
      <c r="D12" s="26" t="s">
        <v>73</v>
      </c>
      <c r="E12" s="26" t="s">
        <v>73</v>
      </c>
      <c r="F12" s="25">
        <v>2013.0</v>
      </c>
      <c r="G12" s="25">
        <v>2019.0</v>
      </c>
      <c r="H12" s="25">
        <v>0.0</v>
      </c>
      <c r="I12" s="25">
        <v>36.0</v>
      </c>
      <c r="J12" s="50">
        <v>0.42</v>
      </c>
      <c r="K12" s="25">
        <v>15.1</v>
      </c>
      <c r="L12" s="51">
        <v>0.0</v>
      </c>
      <c r="M12" s="51">
        <v>0.0</v>
      </c>
      <c r="N12" s="25">
        <v>13.0</v>
      </c>
      <c r="O12" s="25"/>
      <c r="P12" s="26" t="s">
        <v>74</v>
      </c>
      <c r="Q12" s="52">
        <v>7800.0</v>
      </c>
      <c r="R12" s="26" t="s">
        <v>67</v>
      </c>
      <c r="S12" s="25">
        <v>2016.0</v>
      </c>
      <c r="T12" s="25">
        <v>0.69</v>
      </c>
      <c r="U12" s="25">
        <f t="shared" si="2"/>
        <v>5382</v>
      </c>
      <c r="V12" s="24">
        <f t="shared" si="3"/>
        <v>149.5</v>
      </c>
      <c r="W12" s="3">
        <f t="shared" si="4"/>
        <v>0</v>
      </c>
      <c r="X12" s="3">
        <f t="shared" si="5"/>
        <v>0</v>
      </c>
      <c r="Y12" s="3">
        <f t="shared" si="6"/>
        <v>0</v>
      </c>
      <c r="Z12" s="25">
        <f t="shared" si="7"/>
        <v>1</v>
      </c>
      <c r="AA12" s="26">
        <f>VLOOKUP(S12,CPI!$A$2:$E$67,5,0)</f>
        <v>1.269554638</v>
      </c>
      <c r="AB12" s="27">
        <f t="shared" si="8"/>
        <v>6832.743062</v>
      </c>
      <c r="AC12" s="27">
        <f t="shared" si="9"/>
        <v>189.7984184</v>
      </c>
    </row>
    <row r="13">
      <c r="A13" s="38">
        <v>7274.0</v>
      </c>
      <c r="B13" s="26" t="s">
        <v>64</v>
      </c>
      <c r="C13" s="26" t="s">
        <v>72</v>
      </c>
      <c r="D13" s="26" t="s">
        <v>76</v>
      </c>
      <c r="E13" s="26" t="s">
        <v>76</v>
      </c>
      <c r="F13" s="25">
        <v>2017.0</v>
      </c>
      <c r="G13" s="25">
        <v>2024.0</v>
      </c>
      <c r="H13" s="25">
        <v>0.0</v>
      </c>
      <c r="I13" s="25">
        <v>30.0</v>
      </c>
      <c r="J13" s="50">
        <v>0.51</v>
      </c>
      <c r="K13" s="25">
        <v>15.3</v>
      </c>
      <c r="L13" s="51">
        <v>0.0</v>
      </c>
      <c r="M13" s="51">
        <v>0.0</v>
      </c>
      <c r="N13" s="25">
        <v>7.0</v>
      </c>
      <c r="O13" s="25"/>
      <c r="P13" s="26" t="s">
        <v>74</v>
      </c>
      <c r="Q13" s="52">
        <v>15500.0</v>
      </c>
      <c r="R13" s="26" t="s">
        <v>67</v>
      </c>
      <c r="S13" s="25">
        <v>2021.0</v>
      </c>
      <c r="T13" s="25">
        <v>0.69</v>
      </c>
      <c r="U13" s="25">
        <f t="shared" si="2"/>
        <v>10695</v>
      </c>
      <c r="V13" s="24">
        <f t="shared" si="3"/>
        <v>356.5</v>
      </c>
      <c r="W13" s="3">
        <f t="shared" si="4"/>
        <v>0</v>
      </c>
      <c r="X13" s="3">
        <f t="shared" si="5"/>
        <v>0</v>
      </c>
      <c r="Y13" s="3">
        <f t="shared" si="6"/>
        <v>0</v>
      </c>
      <c r="Z13" s="25">
        <f t="shared" si="7"/>
        <v>1</v>
      </c>
      <c r="AA13" s="26">
        <f>VLOOKUP(S13,CPI!$A$2:$E$67,5,0)</f>
        <v>1.124486105</v>
      </c>
      <c r="AB13" s="27">
        <f t="shared" si="8"/>
        <v>12026.3789</v>
      </c>
      <c r="AC13" s="27">
        <f t="shared" si="9"/>
        <v>400.8792966</v>
      </c>
    </row>
    <row r="14">
      <c r="A14" s="38">
        <v>7464.0</v>
      </c>
      <c r="B14" s="26" t="s">
        <v>78</v>
      </c>
      <c r="C14" s="26" t="s">
        <v>79</v>
      </c>
      <c r="D14" s="26" t="s">
        <v>80</v>
      </c>
      <c r="E14" s="26" t="s">
        <v>80</v>
      </c>
      <c r="F14" s="25">
        <v>2015.0</v>
      </c>
      <c r="G14" s="58">
        <v>2022.0</v>
      </c>
      <c r="H14" s="25">
        <v>0.0</v>
      </c>
      <c r="I14" s="58">
        <v>21.3</v>
      </c>
      <c r="J14" s="50">
        <v>0.0</v>
      </c>
      <c r="K14" s="25">
        <v>0.0</v>
      </c>
      <c r="L14" s="51">
        <v>0.0</v>
      </c>
      <c r="M14" s="51">
        <v>0.0</v>
      </c>
      <c r="N14" s="25">
        <v>16.0</v>
      </c>
      <c r="O14" s="25"/>
      <c r="P14" s="26" t="s">
        <v>42</v>
      </c>
      <c r="Q14" s="55">
        <v>334720.0</v>
      </c>
      <c r="R14" s="26" t="s">
        <v>81</v>
      </c>
      <c r="S14" s="58">
        <v>2019.0</v>
      </c>
      <c r="T14" s="25">
        <v>0.032</v>
      </c>
      <c r="U14" s="25">
        <f t="shared" si="2"/>
        <v>10711.04</v>
      </c>
      <c r="V14" s="24">
        <f t="shared" si="3"/>
        <v>502.8657277</v>
      </c>
      <c r="W14" s="3">
        <f t="shared" si="4"/>
        <v>0</v>
      </c>
      <c r="X14" s="3">
        <f t="shared" si="5"/>
        <v>0</v>
      </c>
      <c r="Y14" s="3">
        <f t="shared" si="6"/>
        <v>0</v>
      </c>
      <c r="Z14" s="25">
        <f t="shared" si="7"/>
        <v>0</v>
      </c>
      <c r="AA14" s="26">
        <f>VLOOKUP(S14,CPI!$A$2:$E$67,5,0)</f>
        <v>1.191839066</v>
      </c>
      <c r="AB14" s="27">
        <f t="shared" si="8"/>
        <v>12765.83591</v>
      </c>
      <c r="AC14" s="27">
        <f t="shared" si="9"/>
        <v>599.335019</v>
      </c>
    </row>
    <row r="15">
      <c r="A15" s="38">
        <v>7465.0</v>
      </c>
      <c r="B15" s="26" t="s">
        <v>78</v>
      </c>
      <c r="C15" s="26" t="s">
        <v>79</v>
      </c>
      <c r="D15" s="26" t="s">
        <v>57</v>
      </c>
      <c r="E15" s="26" t="s">
        <v>57</v>
      </c>
      <c r="F15" s="25">
        <v>2020.0</v>
      </c>
      <c r="G15" s="25">
        <v>2026.0</v>
      </c>
      <c r="H15" s="25">
        <v>0.0</v>
      </c>
      <c r="I15" s="25">
        <v>31.2</v>
      </c>
      <c r="J15" s="59">
        <v>0.64</v>
      </c>
      <c r="K15" s="58">
        <v>19.9</v>
      </c>
      <c r="L15" s="51">
        <v>0.0</v>
      </c>
      <c r="M15" s="51">
        <v>0.0</v>
      </c>
      <c r="N15" s="25">
        <v>19.0</v>
      </c>
      <c r="O15" s="25"/>
      <c r="P15" s="26" t="s">
        <v>42</v>
      </c>
      <c r="Q15" s="52">
        <v>525610.0</v>
      </c>
      <c r="R15" s="26" t="s">
        <v>81</v>
      </c>
      <c r="S15" s="25">
        <v>2023.0</v>
      </c>
      <c r="T15" s="25">
        <v>0.032</v>
      </c>
      <c r="U15" s="25">
        <f t="shared" si="2"/>
        <v>16819.52</v>
      </c>
      <c r="V15" s="24">
        <f t="shared" si="3"/>
        <v>539.0871795</v>
      </c>
      <c r="W15" s="3">
        <f t="shared" si="4"/>
        <v>0</v>
      </c>
      <c r="X15" s="3">
        <f t="shared" si="5"/>
        <v>0</v>
      </c>
      <c r="Y15" s="3">
        <f t="shared" si="6"/>
        <v>0</v>
      </c>
      <c r="Z15" s="25">
        <f t="shared" si="7"/>
        <v>0</v>
      </c>
      <c r="AA15" s="26">
        <f>VLOOKUP(S15,CPI!$A$2:$E$67,5,0)</f>
        <v>1</v>
      </c>
      <c r="AB15" s="27">
        <f t="shared" si="8"/>
        <v>16819.52</v>
      </c>
      <c r="AC15" s="27">
        <f t="shared" si="9"/>
        <v>539.0871795</v>
      </c>
    </row>
    <row r="16">
      <c r="A16" s="38">
        <v>7466.0</v>
      </c>
      <c r="B16" s="26" t="s">
        <v>78</v>
      </c>
      <c r="C16" s="26" t="s">
        <v>79</v>
      </c>
      <c r="D16" s="26" t="s">
        <v>84</v>
      </c>
      <c r="E16" s="26" t="s">
        <v>84</v>
      </c>
      <c r="F16" s="25">
        <v>2020.0</v>
      </c>
      <c r="G16" s="25">
        <v>2028.0</v>
      </c>
      <c r="H16" s="25">
        <v>0.0</v>
      </c>
      <c r="I16" s="25">
        <v>19.6</v>
      </c>
      <c r="J16" s="50">
        <v>0.7</v>
      </c>
      <c r="K16" s="25">
        <v>14.0</v>
      </c>
      <c r="L16" s="51">
        <v>0.0</v>
      </c>
      <c r="M16" s="51">
        <v>0.0</v>
      </c>
      <c r="N16" s="25">
        <v>14.0</v>
      </c>
      <c r="O16" s="25"/>
      <c r="P16" s="26" t="s">
        <v>42</v>
      </c>
      <c r="Q16" s="52">
        <v>412380.0</v>
      </c>
      <c r="R16" s="26" t="s">
        <v>81</v>
      </c>
      <c r="S16" s="25">
        <v>2024.0</v>
      </c>
      <c r="T16" s="25">
        <v>0.032</v>
      </c>
      <c r="U16" s="25">
        <f t="shared" si="2"/>
        <v>13196.16</v>
      </c>
      <c r="V16" s="24">
        <f t="shared" si="3"/>
        <v>673.2734694</v>
      </c>
      <c r="W16" s="3">
        <f t="shared" si="4"/>
        <v>0</v>
      </c>
      <c r="X16" s="3">
        <f t="shared" si="5"/>
        <v>0</v>
      </c>
      <c r="Y16" s="3">
        <f t="shared" si="6"/>
        <v>0</v>
      </c>
      <c r="Z16" s="25">
        <f t="shared" si="7"/>
        <v>0</v>
      </c>
      <c r="AA16" s="26">
        <f>VLOOKUP(S16,CPI!$A$2:$E$67,5,0)</f>
        <v>1</v>
      </c>
      <c r="AB16" s="27">
        <f t="shared" si="8"/>
        <v>13196.16</v>
      </c>
      <c r="AC16" s="27">
        <f t="shared" si="9"/>
        <v>673.2734694</v>
      </c>
    </row>
    <row r="17">
      <c r="A17" s="38">
        <v>7266.0</v>
      </c>
      <c r="B17" s="26" t="s">
        <v>85</v>
      </c>
      <c r="C17" s="26" t="s">
        <v>86</v>
      </c>
      <c r="D17" s="26" t="s">
        <v>87</v>
      </c>
      <c r="E17" s="26" t="s">
        <v>87</v>
      </c>
      <c r="F17" s="25">
        <v>2020.0</v>
      </c>
      <c r="G17" s="25">
        <v>2028.0</v>
      </c>
      <c r="H17" s="25">
        <v>0.0</v>
      </c>
      <c r="I17" s="58">
        <v>4.8</v>
      </c>
      <c r="J17" s="50">
        <v>1.0</v>
      </c>
      <c r="K17" s="58">
        <v>4.8</v>
      </c>
      <c r="L17" s="51">
        <v>0.0</v>
      </c>
      <c r="M17" s="51">
        <v>0.0</v>
      </c>
      <c r="N17" s="25">
        <v>7.0</v>
      </c>
      <c r="O17" s="25"/>
      <c r="P17" s="26" t="s">
        <v>60</v>
      </c>
      <c r="Q17" s="55">
        <v>2600.0</v>
      </c>
      <c r="R17" s="26" t="s">
        <v>52</v>
      </c>
      <c r="S17" s="25">
        <v>2024.0</v>
      </c>
      <c r="T17" s="25">
        <v>1.3</v>
      </c>
      <c r="U17" s="25">
        <f t="shared" si="2"/>
        <v>3380</v>
      </c>
      <c r="V17" s="24">
        <f t="shared" si="3"/>
        <v>704.1666667</v>
      </c>
      <c r="W17" s="3">
        <f t="shared" si="4"/>
        <v>0</v>
      </c>
      <c r="X17" s="3">
        <f t="shared" si="5"/>
        <v>0</v>
      </c>
      <c r="Y17" s="3">
        <f t="shared" si="6"/>
        <v>0</v>
      </c>
      <c r="Z17" s="25">
        <f t="shared" si="7"/>
        <v>0</v>
      </c>
      <c r="AA17" s="26">
        <f>VLOOKUP(S17,CPI!$A$2:$E$67,5,0)</f>
        <v>1</v>
      </c>
      <c r="AB17" s="27">
        <f t="shared" si="8"/>
        <v>3380</v>
      </c>
      <c r="AC17" s="27">
        <f t="shared" si="9"/>
        <v>704.1666667</v>
      </c>
    </row>
    <row r="18">
      <c r="A18" s="38">
        <v>7170.0</v>
      </c>
      <c r="B18" s="26" t="s">
        <v>89</v>
      </c>
      <c r="C18" s="26" t="s">
        <v>90</v>
      </c>
      <c r="D18" s="1" t="s">
        <v>54</v>
      </c>
      <c r="E18" s="26" t="s">
        <v>54</v>
      </c>
      <c r="F18" s="25">
        <v>2008.0</v>
      </c>
      <c r="G18" s="25">
        <v>2012.0</v>
      </c>
      <c r="H18" s="25">
        <v>0.0</v>
      </c>
      <c r="I18" s="25">
        <v>17.0</v>
      </c>
      <c r="J18" s="50">
        <v>0.9</v>
      </c>
      <c r="K18" s="25">
        <v>15.3</v>
      </c>
      <c r="L18" s="51">
        <v>0.0</v>
      </c>
      <c r="M18" s="51">
        <v>0.0</v>
      </c>
      <c r="N18" s="25">
        <v>11.0</v>
      </c>
      <c r="O18" s="25"/>
      <c r="P18" s="26" t="s">
        <v>36</v>
      </c>
      <c r="Q18" s="52">
        <v>952.0</v>
      </c>
      <c r="R18" s="26" t="s">
        <v>52</v>
      </c>
      <c r="S18" s="25">
        <v>2010.0</v>
      </c>
      <c r="T18" s="25">
        <v>3.32</v>
      </c>
      <c r="U18" s="25">
        <f t="shared" si="2"/>
        <v>3160.64</v>
      </c>
      <c r="V18" s="24">
        <f t="shared" si="3"/>
        <v>185.92</v>
      </c>
      <c r="W18" s="3">
        <f t="shared" si="4"/>
        <v>1</v>
      </c>
      <c r="X18" s="3">
        <f t="shared" si="5"/>
        <v>17</v>
      </c>
      <c r="Y18" s="3">
        <f t="shared" si="6"/>
        <v>15.3</v>
      </c>
      <c r="Z18" s="25">
        <f t="shared" si="7"/>
        <v>0</v>
      </c>
      <c r="AA18" s="26">
        <f>VLOOKUP(S18,CPI!$A$2:$E$67,5,0)</f>
        <v>1.397356642</v>
      </c>
      <c r="AB18" s="27">
        <f t="shared" si="8"/>
        <v>4416.541298</v>
      </c>
      <c r="AC18" s="27">
        <f t="shared" si="9"/>
        <v>259.7965469</v>
      </c>
    </row>
    <row r="19">
      <c r="A19" s="38">
        <v>7169.0</v>
      </c>
      <c r="B19" s="26" t="s">
        <v>89</v>
      </c>
      <c r="C19" s="26" t="s">
        <v>90</v>
      </c>
      <c r="D19" s="1" t="s">
        <v>57</v>
      </c>
      <c r="E19" s="26" t="s">
        <v>92</v>
      </c>
      <c r="F19" s="25">
        <v>2013.0</v>
      </c>
      <c r="G19" s="25">
        <v>2015.0</v>
      </c>
      <c r="H19" s="25">
        <v>0.0</v>
      </c>
      <c r="I19" s="25">
        <v>3.0</v>
      </c>
      <c r="J19" s="50">
        <v>1.0</v>
      </c>
      <c r="K19" s="25">
        <v>3.0</v>
      </c>
      <c r="L19" s="51">
        <v>0.0</v>
      </c>
      <c r="M19" s="51">
        <v>0.0</v>
      </c>
      <c r="N19" s="25">
        <v>3.0</v>
      </c>
      <c r="O19" s="25"/>
      <c r="P19" s="26" t="s">
        <v>42</v>
      </c>
      <c r="Q19" s="52">
        <v>44.0</v>
      </c>
      <c r="R19" s="26" t="s">
        <v>52</v>
      </c>
      <c r="S19" s="25">
        <v>2014.0</v>
      </c>
      <c r="T19" s="25">
        <v>3.32</v>
      </c>
      <c r="U19" s="25">
        <f t="shared" si="2"/>
        <v>146.08</v>
      </c>
      <c r="V19" s="24">
        <f t="shared" si="3"/>
        <v>48.69333333</v>
      </c>
      <c r="W19" s="3">
        <f t="shared" si="4"/>
        <v>1</v>
      </c>
      <c r="X19" s="3">
        <f t="shared" si="5"/>
        <v>3</v>
      </c>
      <c r="Y19" s="3">
        <f t="shared" si="6"/>
        <v>3</v>
      </c>
      <c r="Z19" s="25">
        <f t="shared" si="7"/>
        <v>0</v>
      </c>
      <c r="AA19" s="26">
        <f>VLOOKUP(S19,CPI!$A$2:$E$67,5,0)</f>
        <v>1.287096175</v>
      </c>
      <c r="AB19" s="27">
        <f t="shared" si="8"/>
        <v>188.0190092</v>
      </c>
      <c r="AC19" s="27">
        <f t="shared" si="9"/>
        <v>62.67300306</v>
      </c>
    </row>
    <row r="20">
      <c r="A20" s="38">
        <v>7171.0</v>
      </c>
      <c r="B20" s="26" t="s">
        <v>89</v>
      </c>
      <c r="C20" s="26" t="s">
        <v>90</v>
      </c>
      <c r="D20" s="1" t="s">
        <v>54</v>
      </c>
      <c r="E20" s="26" t="s">
        <v>55</v>
      </c>
      <c r="F20" s="25">
        <v>2012.0</v>
      </c>
      <c r="G20" s="25">
        <v>2016.0</v>
      </c>
      <c r="H20" s="25">
        <v>0.0</v>
      </c>
      <c r="I20" s="25">
        <v>1.3</v>
      </c>
      <c r="J20" s="50">
        <v>1.0</v>
      </c>
      <c r="K20" s="25">
        <v>1.3</v>
      </c>
      <c r="L20" s="51">
        <v>0.0</v>
      </c>
      <c r="M20" s="51">
        <v>0.0</v>
      </c>
      <c r="N20" s="25">
        <v>1.0</v>
      </c>
      <c r="O20" s="25"/>
      <c r="P20" s="26" t="s">
        <v>42</v>
      </c>
      <c r="Q20" s="52">
        <v>21.0</v>
      </c>
      <c r="R20" s="26" t="s">
        <v>52</v>
      </c>
      <c r="S20" s="25">
        <v>2014.0</v>
      </c>
      <c r="T20" s="25">
        <v>3.32</v>
      </c>
      <c r="U20" s="25">
        <f t="shared" si="2"/>
        <v>69.72</v>
      </c>
      <c r="V20" s="24">
        <f t="shared" si="3"/>
        <v>53.63076923</v>
      </c>
      <c r="W20" s="3">
        <f t="shared" si="4"/>
        <v>1</v>
      </c>
      <c r="X20" s="3">
        <f t="shared" si="5"/>
        <v>1.3</v>
      </c>
      <c r="Y20" s="3">
        <f t="shared" si="6"/>
        <v>1.3</v>
      </c>
      <c r="Z20" s="25">
        <f t="shared" si="7"/>
        <v>0</v>
      </c>
      <c r="AA20" s="26">
        <f>VLOOKUP(S20,CPI!$A$2:$E$67,5,0)</f>
        <v>1.287096175</v>
      </c>
      <c r="AB20" s="27">
        <f t="shared" si="8"/>
        <v>89.7363453</v>
      </c>
      <c r="AC20" s="27">
        <f t="shared" si="9"/>
        <v>69.02795792</v>
      </c>
    </row>
    <row r="21">
      <c r="A21" s="38">
        <v>7176.0</v>
      </c>
      <c r="B21" s="26" t="s">
        <v>89</v>
      </c>
      <c r="C21" s="26" t="s">
        <v>90</v>
      </c>
      <c r="D21" s="1" t="s">
        <v>87</v>
      </c>
      <c r="E21" s="26" t="s">
        <v>87</v>
      </c>
      <c r="F21" s="25">
        <v>2016.0</v>
      </c>
      <c r="G21" s="25">
        <v>2021.0</v>
      </c>
      <c r="H21" s="25">
        <v>0.0</v>
      </c>
      <c r="I21" s="25">
        <v>12.0</v>
      </c>
      <c r="J21" s="50">
        <v>1.0</v>
      </c>
      <c r="K21" s="25">
        <v>12.0</v>
      </c>
      <c r="L21" s="51">
        <v>0.0</v>
      </c>
      <c r="M21" s="51">
        <v>0.0</v>
      </c>
      <c r="N21" s="25">
        <v>12.0</v>
      </c>
      <c r="O21" s="25"/>
      <c r="P21" s="26" t="s">
        <v>60</v>
      </c>
      <c r="Q21" s="52">
        <v>500.0</v>
      </c>
      <c r="R21" s="26" t="s">
        <v>52</v>
      </c>
      <c r="S21" s="25">
        <v>2018.0</v>
      </c>
      <c r="T21" s="25">
        <v>3.32</v>
      </c>
      <c r="U21" s="25">
        <f t="shared" si="2"/>
        <v>1660</v>
      </c>
      <c r="V21" s="24">
        <f t="shared" si="3"/>
        <v>138.3333333</v>
      </c>
      <c r="W21" s="3">
        <f t="shared" si="4"/>
        <v>1</v>
      </c>
      <c r="X21" s="3">
        <f t="shared" si="5"/>
        <v>12</v>
      </c>
      <c r="Y21" s="3">
        <f t="shared" si="6"/>
        <v>12</v>
      </c>
      <c r="Z21" s="25">
        <f t="shared" si="7"/>
        <v>0</v>
      </c>
      <c r="AA21" s="26">
        <f>VLOOKUP(S21,CPI!$A$2:$E$67,5,0)</f>
        <v>1.21343491</v>
      </c>
      <c r="AB21" s="27">
        <f t="shared" si="8"/>
        <v>2014.301951</v>
      </c>
      <c r="AC21" s="27">
        <f t="shared" si="9"/>
        <v>167.8584959</v>
      </c>
    </row>
    <row r="22">
      <c r="A22" s="38">
        <v>7177.0</v>
      </c>
      <c r="B22" s="26" t="s">
        <v>89</v>
      </c>
      <c r="C22" s="26" t="s">
        <v>90</v>
      </c>
      <c r="D22" s="1" t="s">
        <v>87</v>
      </c>
      <c r="E22" s="26" t="s">
        <v>96</v>
      </c>
      <c r="F22" s="25">
        <v>2021.0</v>
      </c>
      <c r="G22" s="58">
        <v>2026.0</v>
      </c>
      <c r="H22" s="25">
        <v>0.0</v>
      </c>
      <c r="I22" s="25">
        <v>3.1</v>
      </c>
      <c r="J22" s="50">
        <v>1.0</v>
      </c>
      <c r="K22" s="25">
        <v>3.1</v>
      </c>
      <c r="L22" s="51">
        <v>0.0</v>
      </c>
      <c r="M22" s="51">
        <v>0.0</v>
      </c>
      <c r="N22" s="25">
        <v>4.0</v>
      </c>
      <c r="O22" s="25"/>
      <c r="P22" s="26" t="s">
        <v>60</v>
      </c>
      <c r="Q22" s="52">
        <v>112.5</v>
      </c>
      <c r="R22" s="26" t="s">
        <v>52</v>
      </c>
      <c r="S22" s="25">
        <v>2021.0</v>
      </c>
      <c r="T22" s="25">
        <v>3.32</v>
      </c>
      <c r="U22" s="25">
        <f t="shared" si="2"/>
        <v>373.5</v>
      </c>
      <c r="V22" s="24">
        <f t="shared" si="3"/>
        <v>120.483871</v>
      </c>
      <c r="W22" s="3">
        <f t="shared" si="4"/>
        <v>1</v>
      </c>
      <c r="X22" s="3">
        <f t="shared" si="5"/>
        <v>3.1</v>
      </c>
      <c r="Y22" s="3">
        <f t="shared" si="6"/>
        <v>3.1</v>
      </c>
      <c r="Z22" s="25">
        <f t="shared" si="7"/>
        <v>0</v>
      </c>
      <c r="AA22" s="26">
        <f>VLOOKUP(S22,CPI!$A$2:$E$67,5,0)</f>
        <v>1.124486105</v>
      </c>
      <c r="AB22" s="27">
        <f t="shared" si="8"/>
        <v>419.9955604</v>
      </c>
      <c r="AC22" s="27">
        <f t="shared" si="9"/>
        <v>135.4824388</v>
      </c>
    </row>
    <row r="23">
      <c r="A23" s="38">
        <v>7168.0</v>
      </c>
      <c r="B23" s="26" t="s">
        <v>89</v>
      </c>
      <c r="C23" s="26" t="s">
        <v>90</v>
      </c>
      <c r="D23" s="1" t="s">
        <v>57</v>
      </c>
      <c r="E23" s="26" t="s">
        <v>98</v>
      </c>
      <c r="F23" s="25">
        <v>2009.0</v>
      </c>
      <c r="G23" s="58" t="s">
        <v>99</v>
      </c>
      <c r="H23" s="25">
        <v>0.0</v>
      </c>
      <c r="I23" s="25">
        <v>5.1</v>
      </c>
      <c r="J23" s="50">
        <v>0.6</v>
      </c>
      <c r="K23" s="25">
        <v>3.1</v>
      </c>
      <c r="L23" s="51">
        <v>0.0</v>
      </c>
      <c r="M23" s="51">
        <v>0.0</v>
      </c>
      <c r="N23" s="25">
        <v>4.0</v>
      </c>
      <c r="O23" s="25"/>
      <c r="P23" s="26" t="s">
        <v>59</v>
      </c>
      <c r="Q23" s="52">
        <v>407.0</v>
      </c>
      <c r="R23" s="26" t="s">
        <v>100</v>
      </c>
      <c r="S23" s="25">
        <v>2010.0</v>
      </c>
      <c r="T23" s="25">
        <v>1.69</v>
      </c>
      <c r="U23" s="25">
        <f t="shared" si="2"/>
        <v>687.83</v>
      </c>
      <c r="V23" s="24">
        <f t="shared" si="3"/>
        <v>134.8686275</v>
      </c>
      <c r="W23" s="3">
        <f t="shared" si="4"/>
        <v>1</v>
      </c>
      <c r="X23" s="3">
        <f t="shared" si="5"/>
        <v>5.1</v>
      </c>
      <c r="Y23" s="3">
        <f t="shared" si="6"/>
        <v>3.1</v>
      </c>
      <c r="Z23" s="25">
        <f t="shared" si="7"/>
        <v>0</v>
      </c>
      <c r="AA23" s="26">
        <f>VLOOKUP(S23,CPI!$A$2:$E$67,5,0)</f>
        <v>1.397356642</v>
      </c>
      <c r="AB23" s="27">
        <f t="shared" si="8"/>
        <v>961.1438193</v>
      </c>
      <c r="AC23" s="27">
        <f t="shared" si="9"/>
        <v>188.4595724</v>
      </c>
    </row>
    <row r="24">
      <c r="A24" s="14">
        <v>8194.0</v>
      </c>
      <c r="B24" s="15" t="s">
        <v>102</v>
      </c>
      <c r="C24" s="15" t="s">
        <v>103</v>
      </c>
      <c r="D24" s="16" t="s">
        <v>34</v>
      </c>
      <c r="E24" s="15" t="s">
        <v>104</v>
      </c>
      <c r="F24" s="17">
        <v>2018.0</v>
      </c>
      <c r="G24" s="17">
        <v>2023.0</v>
      </c>
      <c r="H24" s="17">
        <v>1.0</v>
      </c>
      <c r="I24" s="18">
        <v>28.6</v>
      </c>
      <c r="J24" s="19">
        <f t="shared" ref="J24:J25" si="10">K24/I24</f>
        <v>0</v>
      </c>
      <c r="K24" s="20">
        <v>0.0</v>
      </c>
      <c r="L24" s="21">
        <v>0.0</v>
      </c>
      <c r="M24" s="21">
        <v>0.0</v>
      </c>
      <c r="N24" s="18">
        <v>20.0</v>
      </c>
      <c r="O24" s="17"/>
      <c r="P24" s="22"/>
      <c r="Q24" s="23">
        <v>453.0</v>
      </c>
      <c r="R24" s="15" t="s">
        <v>78</v>
      </c>
      <c r="S24" s="18">
        <v>2019.0</v>
      </c>
      <c r="T24" s="18">
        <f t="shared" ref="T24:T25" si="11">1/0.2</f>
        <v>5</v>
      </c>
      <c r="U24" s="18">
        <f t="shared" si="2"/>
        <v>2265</v>
      </c>
      <c r="V24" s="24">
        <f t="shared" si="3"/>
        <v>79.1958042</v>
      </c>
      <c r="W24" s="3">
        <f t="shared" si="4"/>
        <v>0</v>
      </c>
      <c r="X24" s="3">
        <f t="shared" si="5"/>
        <v>0</v>
      </c>
      <c r="Y24" s="3">
        <f t="shared" si="6"/>
        <v>0</v>
      </c>
      <c r="Z24" s="25">
        <f t="shared" si="7"/>
        <v>0</v>
      </c>
      <c r="AA24" s="26">
        <f>VLOOKUP(S24,CPI!$A$2:$E$67,5,0)</f>
        <v>1.191839066</v>
      </c>
      <c r="AB24" s="27">
        <f t="shared" si="8"/>
        <v>2699.515484</v>
      </c>
      <c r="AC24" s="27">
        <f t="shared" si="9"/>
        <v>94.38865327</v>
      </c>
    </row>
    <row r="25">
      <c r="A25" s="14">
        <v>8195.0</v>
      </c>
      <c r="B25" s="15" t="s">
        <v>102</v>
      </c>
      <c r="C25" s="15" t="s">
        <v>103</v>
      </c>
      <c r="D25" s="15" t="s">
        <v>38</v>
      </c>
      <c r="E25" s="15" t="s">
        <v>38</v>
      </c>
      <c r="F25" s="17">
        <v>2020.0</v>
      </c>
      <c r="G25" s="17" t="s">
        <v>106</v>
      </c>
      <c r="H25" s="17">
        <v>1.0</v>
      </c>
      <c r="I25" s="18">
        <v>72.7</v>
      </c>
      <c r="J25" s="19">
        <f t="shared" si="10"/>
        <v>0</v>
      </c>
      <c r="K25" s="20">
        <v>0.0</v>
      </c>
      <c r="L25" s="21">
        <v>0.0</v>
      </c>
      <c r="M25" s="21">
        <v>0.0</v>
      </c>
      <c r="N25" s="18"/>
      <c r="O25" s="17"/>
      <c r="P25" s="22"/>
      <c r="Q25" s="23">
        <v>1500.0</v>
      </c>
      <c r="R25" s="15" t="s">
        <v>78</v>
      </c>
      <c r="S25" s="18">
        <v>2010.0</v>
      </c>
      <c r="T25" s="18">
        <f t="shared" si="11"/>
        <v>5</v>
      </c>
      <c r="U25" s="18">
        <f t="shared" si="2"/>
        <v>7500</v>
      </c>
      <c r="V25" s="24">
        <f t="shared" si="3"/>
        <v>103.1636864</v>
      </c>
      <c r="W25" s="3">
        <f t="shared" si="4"/>
        <v>0</v>
      </c>
      <c r="X25" s="3">
        <f t="shared" si="5"/>
        <v>0</v>
      </c>
      <c r="Y25" s="3">
        <f t="shared" si="6"/>
        <v>0</v>
      </c>
      <c r="Z25" s="25">
        <f t="shared" si="7"/>
        <v>0</v>
      </c>
      <c r="AA25" s="26">
        <f>VLOOKUP(S25,CPI!$A$2:$E$67,5,0)</f>
        <v>1.397356642</v>
      </c>
      <c r="AB25" s="27">
        <f t="shared" si="8"/>
        <v>10480.17482</v>
      </c>
      <c r="AC25" s="27">
        <f t="shared" si="9"/>
        <v>144.1564624</v>
      </c>
    </row>
    <row r="26">
      <c r="A26" s="38">
        <v>9754.0</v>
      </c>
      <c r="B26" s="26" t="s">
        <v>108</v>
      </c>
      <c r="C26" s="26" t="s">
        <v>109</v>
      </c>
      <c r="D26" s="26" t="s">
        <v>110</v>
      </c>
      <c r="E26" s="26" t="s">
        <v>110</v>
      </c>
      <c r="F26" s="25">
        <v>2010.0</v>
      </c>
      <c r="G26" s="25">
        <v>2016.0</v>
      </c>
      <c r="H26" s="25">
        <v>0.0</v>
      </c>
      <c r="I26" s="25">
        <v>16.0</v>
      </c>
      <c r="J26" s="50">
        <v>0.96</v>
      </c>
      <c r="K26" s="25">
        <v>15.4</v>
      </c>
      <c r="L26" s="51">
        <v>0.0</v>
      </c>
      <c r="M26" s="51">
        <v>0.0</v>
      </c>
      <c r="N26" s="25">
        <v>7.0</v>
      </c>
      <c r="O26" s="25"/>
      <c r="P26" s="26" t="s">
        <v>59</v>
      </c>
      <c r="Q26" s="52">
        <v>10300.0</v>
      </c>
      <c r="R26" s="26" t="s">
        <v>111</v>
      </c>
      <c r="S26" s="25">
        <v>2013.0</v>
      </c>
      <c r="T26" s="25">
        <v>0.59</v>
      </c>
      <c r="U26" s="25">
        <f t="shared" si="2"/>
        <v>6077</v>
      </c>
      <c r="V26" s="24">
        <f t="shared" si="3"/>
        <v>379.8125</v>
      </c>
      <c r="W26" s="3">
        <f t="shared" si="4"/>
        <v>0</v>
      </c>
      <c r="X26" s="3">
        <f t="shared" si="5"/>
        <v>0</v>
      </c>
      <c r="Y26" s="3">
        <f t="shared" si="6"/>
        <v>0</v>
      </c>
      <c r="Z26" s="25">
        <f t="shared" si="7"/>
        <v>0</v>
      </c>
      <c r="AA26" s="26">
        <f>VLOOKUP(S26,CPI!$A$2:$E$67,5,0)</f>
        <v>1.307975292</v>
      </c>
      <c r="AB26" s="27">
        <f t="shared" si="8"/>
        <v>7948.565847</v>
      </c>
      <c r="AC26" s="27">
        <f t="shared" si="9"/>
        <v>496.7853654</v>
      </c>
    </row>
    <row r="27">
      <c r="A27" s="38">
        <v>7344.0</v>
      </c>
      <c r="B27" s="26" t="s">
        <v>108</v>
      </c>
      <c r="C27" s="26" t="s">
        <v>113</v>
      </c>
      <c r="D27" s="26" t="s">
        <v>114</v>
      </c>
      <c r="E27" s="26" t="s">
        <v>114</v>
      </c>
      <c r="F27" s="25">
        <v>2000.0</v>
      </c>
      <c r="G27" s="25">
        <v>2017.0</v>
      </c>
      <c r="H27" s="25">
        <v>0.0</v>
      </c>
      <c r="I27" s="25">
        <v>33.0</v>
      </c>
      <c r="J27" s="50">
        <v>0.04</v>
      </c>
      <c r="K27" s="25">
        <v>1.4</v>
      </c>
      <c r="L27" s="51">
        <v>10.935</v>
      </c>
      <c r="M27" s="51">
        <v>20.745</v>
      </c>
      <c r="N27" s="25">
        <v>20.0</v>
      </c>
      <c r="O27" s="25"/>
      <c r="P27" s="26" t="s">
        <v>74</v>
      </c>
      <c r="Q27" s="52">
        <v>4800.0</v>
      </c>
      <c r="R27" s="26" t="s">
        <v>111</v>
      </c>
      <c r="S27" s="25">
        <v>2012.0</v>
      </c>
      <c r="T27" s="25">
        <v>0.62</v>
      </c>
      <c r="U27" s="25">
        <f t="shared" si="2"/>
        <v>2976</v>
      </c>
      <c r="V27" s="24">
        <f t="shared" si="3"/>
        <v>90.18181818</v>
      </c>
      <c r="W27" s="3">
        <f t="shared" si="4"/>
        <v>0</v>
      </c>
      <c r="X27" s="3">
        <f t="shared" si="5"/>
        <v>0</v>
      </c>
      <c r="Y27" s="3">
        <f t="shared" si="6"/>
        <v>0</v>
      </c>
      <c r="Z27" s="25">
        <f t="shared" si="7"/>
        <v>0</v>
      </c>
      <c r="AA27" s="26">
        <f>VLOOKUP(S27,CPI!$A$2:$E$67,5,0)</f>
        <v>1.327133984</v>
      </c>
      <c r="AB27" s="27">
        <f t="shared" si="8"/>
        <v>3949.550737</v>
      </c>
      <c r="AC27" s="27">
        <f t="shared" si="9"/>
        <v>119.6833557</v>
      </c>
    </row>
    <row r="28">
      <c r="A28" s="61">
        <v>9755.0</v>
      </c>
      <c r="B28" s="26" t="s">
        <v>108</v>
      </c>
      <c r="C28" s="26" t="s">
        <v>113</v>
      </c>
      <c r="D28" s="26" t="s">
        <v>116</v>
      </c>
      <c r="E28" s="26" t="s">
        <v>116</v>
      </c>
      <c r="F28" s="25">
        <v>2020.0</v>
      </c>
      <c r="G28" s="25">
        <v>2022.0</v>
      </c>
      <c r="H28" s="25">
        <v>0.0</v>
      </c>
      <c r="I28" s="25">
        <v>23.3</v>
      </c>
      <c r="J28" s="50">
        <v>0.0</v>
      </c>
      <c r="K28" s="25">
        <v>0.0</v>
      </c>
      <c r="L28" s="51">
        <v>0.0</v>
      </c>
      <c r="M28" s="51">
        <v>0.0</v>
      </c>
      <c r="N28" s="25">
        <v>26.0</v>
      </c>
      <c r="O28" s="25"/>
      <c r="P28" s="26" t="s">
        <v>36</v>
      </c>
      <c r="Q28" s="52">
        <v>689.0</v>
      </c>
      <c r="R28" s="26" t="s">
        <v>37</v>
      </c>
      <c r="S28" s="25">
        <v>2021.0</v>
      </c>
      <c r="T28" s="25">
        <v>2.3</v>
      </c>
      <c r="U28" s="25">
        <f t="shared" si="2"/>
        <v>1584.7</v>
      </c>
      <c r="V28" s="24">
        <f t="shared" si="3"/>
        <v>68.01287554</v>
      </c>
      <c r="W28" s="3">
        <f t="shared" si="4"/>
        <v>0</v>
      </c>
      <c r="X28" s="3">
        <f t="shared" si="5"/>
        <v>0</v>
      </c>
      <c r="Y28" s="3">
        <f t="shared" si="6"/>
        <v>0</v>
      </c>
      <c r="Z28" s="25">
        <f t="shared" si="7"/>
        <v>0</v>
      </c>
      <c r="AA28" s="26">
        <f>VLOOKUP(S28,CPI!$A$2:$E$67,5,0)</f>
        <v>1.124486105</v>
      </c>
      <c r="AB28" s="27">
        <f t="shared" si="8"/>
        <v>1781.973131</v>
      </c>
      <c r="AC28" s="27">
        <f t="shared" si="9"/>
        <v>76.47953353</v>
      </c>
    </row>
    <row r="29">
      <c r="A29" s="38">
        <v>7339.0</v>
      </c>
      <c r="B29" s="26" t="s">
        <v>108</v>
      </c>
      <c r="C29" s="26" t="s">
        <v>118</v>
      </c>
      <c r="D29" s="1" t="s">
        <v>84</v>
      </c>
      <c r="E29" s="26" t="s">
        <v>119</v>
      </c>
      <c r="F29" s="25">
        <v>2010.0</v>
      </c>
      <c r="G29" s="25">
        <v>2019.0</v>
      </c>
      <c r="H29" s="25">
        <v>0.0</v>
      </c>
      <c r="I29" s="25">
        <v>12.0</v>
      </c>
      <c r="J29" s="50">
        <v>1.0</v>
      </c>
      <c r="K29" s="25">
        <v>12.0</v>
      </c>
      <c r="L29" s="51">
        <v>0.0</v>
      </c>
      <c r="M29" s="51">
        <v>0.0</v>
      </c>
      <c r="N29" s="25">
        <v>11.0</v>
      </c>
      <c r="O29" s="25"/>
      <c r="P29" s="26" t="s">
        <v>74</v>
      </c>
      <c r="Q29" s="52">
        <v>6900.0</v>
      </c>
      <c r="R29" s="26" t="s">
        <v>111</v>
      </c>
      <c r="S29" s="25">
        <v>2014.0</v>
      </c>
      <c r="T29" s="25">
        <v>0.55</v>
      </c>
      <c r="U29" s="25">
        <f t="shared" si="2"/>
        <v>3795</v>
      </c>
      <c r="V29" s="24">
        <f t="shared" si="3"/>
        <v>316.25</v>
      </c>
      <c r="W29" s="3">
        <f t="shared" si="4"/>
        <v>0</v>
      </c>
      <c r="X29" s="3">
        <f t="shared" si="5"/>
        <v>0</v>
      </c>
      <c r="Y29" s="3">
        <f t="shared" si="6"/>
        <v>0</v>
      </c>
      <c r="Z29" s="25">
        <f t="shared" si="7"/>
        <v>0</v>
      </c>
      <c r="AA29" s="26">
        <f>VLOOKUP(S29,CPI!$A$2:$E$67,5,0)</f>
        <v>1.287096175</v>
      </c>
      <c r="AB29" s="27">
        <f t="shared" si="8"/>
        <v>4884.529983</v>
      </c>
      <c r="AC29" s="27">
        <f t="shared" si="9"/>
        <v>407.0441652</v>
      </c>
    </row>
    <row r="30">
      <c r="A30" s="61">
        <v>9756.0</v>
      </c>
      <c r="B30" s="26" t="s">
        <v>108</v>
      </c>
      <c r="C30" s="26" t="s">
        <v>118</v>
      </c>
      <c r="D30" s="26" t="s">
        <v>121</v>
      </c>
      <c r="E30" s="26" t="s">
        <v>121</v>
      </c>
      <c r="F30" s="25">
        <v>2012.0</v>
      </c>
      <c r="G30" s="25">
        <v>2021.0</v>
      </c>
      <c r="H30" s="25">
        <v>0.0</v>
      </c>
      <c r="I30" s="25">
        <v>7.7</v>
      </c>
      <c r="J30" s="50">
        <v>0.0</v>
      </c>
      <c r="K30" s="25">
        <v>0.0</v>
      </c>
      <c r="L30" s="51">
        <v>0.0</v>
      </c>
      <c r="M30" s="51">
        <v>0.0</v>
      </c>
      <c r="N30" s="25">
        <v>8.0</v>
      </c>
      <c r="O30" s="25"/>
      <c r="P30" s="26" t="s">
        <v>36</v>
      </c>
      <c r="Q30" s="52">
        <v>1300.0</v>
      </c>
      <c r="R30" s="26" t="s">
        <v>37</v>
      </c>
      <c r="S30" s="25">
        <v>2016.0</v>
      </c>
      <c r="T30" s="25">
        <v>2.3</v>
      </c>
      <c r="U30" s="25">
        <f t="shared" si="2"/>
        <v>2990</v>
      </c>
      <c r="V30" s="24">
        <f t="shared" si="3"/>
        <v>388.3116883</v>
      </c>
      <c r="W30" s="3">
        <f t="shared" si="4"/>
        <v>0</v>
      </c>
      <c r="X30" s="3">
        <f t="shared" si="5"/>
        <v>0</v>
      </c>
      <c r="Y30" s="3">
        <f t="shared" si="6"/>
        <v>0</v>
      </c>
      <c r="Z30" s="25">
        <f t="shared" si="7"/>
        <v>0</v>
      </c>
      <c r="AA30" s="26">
        <f>VLOOKUP(S30,CPI!$A$2:$E$67,5,0)</f>
        <v>1.269554638</v>
      </c>
      <c r="AB30" s="27">
        <f t="shared" si="8"/>
        <v>3795.968368</v>
      </c>
      <c r="AC30" s="27">
        <f t="shared" si="9"/>
        <v>492.9829049</v>
      </c>
    </row>
    <row r="31">
      <c r="A31" s="38">
        <v>7528.0</v>
      </c>
      <c r="B31" s="26" t="s">
        <v>108</v>
      </c>
      <c r="C31" s="26" t="s">
        <v>118</v>
      </c>
      <c r="D31" s="1" t="s">
        <v>80</v>
      </c>
      <c r="E31" s="26" t="s">
        <v>123</v>
      </c>
      <c r="F31" s="25">
        <v>2015.0</v>
      </c>
      <c r="G31" s="25">
        <v>2023.0</v>
      </c>
      <c r="H31" s="25">
        <v>0.0</v>
      </c>
      <c r="I31" s="25">
        <v>15.9</v>
      </c>
      <c r="J31" s="50">
        <v>0.84</v>
      </c>
      <c r="K31" s="25">
        <v>13.4</v>
      </c>
      <c r="L31" s="51">
        <v>0.0</v>
      </c>
      <c r="M31" s="51">
        <v>0.0</v>
      </c>
      <c r="N31" s="25">
        <v>15.0</v>
      </c>
      <c r="O31" s="25"/>
      <c r="P31" s="26" t="s">
        <v>36</v>
      </c>
      <c r="Q31" s="52">
        <v>9600.0</v>
      </c>
      <c r="R31" s="26" t="s">
        <v>111</v>
      </c>
      <c r="S31" s="25">
        <v>2020.0</v>
      </c>
      <c r="T31" s="25">
        <v>0.44</v>
      </c>
      <c r="U31" s="25">
        <f t="shared" si="2"/>
        <v>4224</v>
      </c>
      <c r="V31" s="24">
        <f t="shared" si="3"/>
        <v>265.6603774</v>
      </c>
      <c r="W31" s="3">
        <f t="shared" si="4"/>
        <v>0</v>
      </c>
      <c r="X31" s="3">
        <f t="shared" si="5"/>
        <v>0</v>
      </c>
      <c r="Y31" s="3">
        <f t="shared" si="6"/>
        <v>0</v>
      </c>
      <c r="Z31" s="25">
        <f t="shared" si="7"/>
        <v>0</v>
      </c>
      <c r="AA31" s="26">
        <f>VLOOKUP(S31,CPI!$A$2:$E$67,5,0)</f>
        <v>1.17731472</v>
      </c>
      <c r="AB31" s="27">
        <f t="shared" si="8"/>
        <v>4972.977377</v>
      </c>
      <c r="AC31" s="27">
        <f t="shared" si="9"/>
        <v>312.7658728</v>
      </c>
    </row>
    <row r="32">
      <c r="A32" s="61">
        <v>9761.0</v>
      </c>
      <c r="B32" s="26" t="s">
        <v>125</v>
      </c>
      <c r="C32" s="26" t="s">
        <v>126</v>
      </c>
      <c r="D32" s="16" t="s">
        <v>127</v>
      </c>
      <c r="E32" s="26" t="s">
        <v>128</v>
      </c>
      <c r="F32" s="25">
        <v>2021.0</v>
      </c>
      <c r="G32" s="25">
        <v>2027.0</v>
      </c>
      <c r="H32" s="25">
        <v>0.0</v>
      </c>
      <c r="I32" s="25">
        <v>20.0</v>
      </c>
      <c r="J32" s="50">
        <v>0.2</v>
      </c>
      <c r="K32" s="25">
        <v>4.0</v>
      </c>
      <c r="L32" s="51">
        <v>0.0</v>
      </c>
      <c r="M32" s="51">
        <v>0.0</v>
      </c>
      <c r="N32" s="25">
        <v>15.0</v>
      </c>
      <c r="O32" s="25"/>
      <c r="P32" s="26" t="s">
        <v>74</v>
      </c>
      <c r="Q32" s="52">
        <v>5500.0</v>
      </c>
      <c r="R32" s="26" t="s">
        <v>129</v>
      </c>
      <c r="S32" s="25">
        <v>2024.0</v>
      </c>
      <c r="T32" s="25">
        <v>0.84</v>
      </c>
      <c r="U32" s="25">
        <f t="shared" si="2"/>
        <v>4620</v>
      </c>
      <c r="V32" s="24">
        <f t="shared" si="3"/>
        <v>231</v>
      </c>
      <c r="W32" s="3">
        <f t="shared" si="4"/>
        <v>0</v>
      </c>
      <c r="X32" s="3">
        <f t="shared" si="5"/>
        <v>0</v>
      </c>
      <c r="Y32" s="3">
        <f t="shared" si="6"/>
        <v>0</v>
      </c>
      <c r="Z32" s="25">
        <f t="shared" si="7"/>
        <v>1</v>
      </c>
      <c r="AA32" s="26">
        <f>VLOOKUP(S32,CPI!$A$2:$E$67,5,0)</f>
        <v>1</v>
      </c>
      <c r="AB32" s="27">
        <f t="shared" si="8"/>
        <v>4620</v>
      </c>
      <c r="AC32" s="27">
        <f t="shared" si="9"/>
        <v>231</v>
      </c>
    </row>
    <row r="33">
      <c r="A33" s="65"/>
      <c r="B33" s="66" t="s">
        <v>125</v>
      </c>
      <c r="C33" s="67" t="s">
        <v>134</v>
      </c>
      <c r="D33" s="67" t="s">
        <v>135</v>
      </c>
      <c r="E33" s="68" t="s">
        <v>136</v>
      </c>
      <c r="F33" s="69">
        <v>2016.0</v>
      </c>
      <c r="G33" s="69">
        <v>2023.0</v>
      </c>
      <c r="H33" s="70">
        <v>0.0</v>
      </c>
      <c r="I33" s="69">
        <v>13.1</v>
      </c>
      <c r="J33" s="71">
        <v>0.03</v>
      </c>
      <c r="K33" s="69">
        <v>0.4</v>
      </c>
      <c r="L33" s="54"/>
      <c r="M33" s="54"/>
      <c r="N33" s="69">
        <v>12.0</v>
      </c>
      <c r="O33" s="69">
        <v>125.0</v>
      </c>
      <c r="P33" s="72" t="s">
        <v>74</v>
      </c>
      <c r="Q33" s="73">
        <v>1800.0</v>
      </c>
      <c r="R33" s="74" t="s">
        <v>129</v>
      </c>
      <c r="S33" s="69">
        <v>2019.0</v>
      </c>
      <c r="T33" s="69">
        <v>0.802</v>
      </c>
      <c r="U33" s="75">
        <f t="shared" si="2"/>
        <v>1443.6</v>
      </c>
      <c r="V33" s="76">
        <f t="shared" si="3"/>
        <v>110.1984733</v>
      </c>
      <c r="W33" s="69">
        <f t="shared" si="4"/>
        <v>0</v>
      </c>
      <c r="X33" s="69">
        <f t="shared" si="5"/>
        <v>0</v>
      </c>
      <c r="Y33" s="69">
        <f t="shared" si="6"/>
        <v>0</v>
      </c>
      <c r="Z33" s="77">
        <f t="shared" si="7"/>
        <v>1</v>
      </c>
      <c r="AA33" s="409">
        <f>VLOOKUP(S33,CPI!$A$2:$E$67,5,0)</f>
        <v>1.191839066</v>
      </c>
      <c r="AB33" s="78">
        <f t="shared" si="8"/>
        <v>1720.538875</v>
      </c>
      <c r="AC33" s="78">
        <f t="shared" si="9"/>
        <v>131.3388454</v>
      </c>
    </row>
    <row r="34">
      <c r="A34" s="62">
        <v>7104.0</v>
      </c>
      <c r="B34" s="63" t="s">
        <v>125</v>
      </c>
      <c r="C34" s="63" t="s">
        <v>134</v>
      </c>
      <c r="D34" s="1" t="s">
        <v>138</v>
      </c>
      <c r="E34" s="63" t="s">
        <v>139</v>
      </c>
      <c r="F34" s="58">
        <v>2020.0</v>
      </c>
      <c r="G34" s="58">
        <v>2024.0</v>
      </c>
      <c r="H34" s="58">
        <v>0.0</v>
      </c>
      <c r="I34" s="58">
        <v>1.6</v>
      </c>
      <c r="J34" s="59">
        <v>0.0</v>
      </c>
      <c r="K34" s="58">
        <v>0.0</v>
      </c>
      <c r="L34" s="58">
        <v>0.0</v>
      </c>
      <c r="M34" s="58">
        <v>1.6</v>
      </c>
      <c r="N34" s="58">
        <v>2.0</v>
      </c>
      <c r="O34" s="69">
        <v>125.0</v>
      </c>
      <c r="P34" s="63" t="s">
        <v>60</v>
      </c>
      <c r="Q34" s="55">
        <v>291.0</v>
      </c>
      <c r="R34" s="63" t="s">
        <v>129</v>
      </c>
      <c r="S34" s="58">
        <v>2020.0</v>
      </c>
      <c r="T34" s="82">
        <v>0.81</v>
      </c>
      <c r="U34" s="75">
        <f t="shared" si="2"/>
        <v>235.71</v>
      </c>
      <c r="V34" s="76">
        <f t="shared" si="3"/>
        <v>147.31875</v>
      </c>
      <c r="W34" s="3"/>
      <c r="X34" s="3"/>
      <c r="Y34" s="3"/>
      <c r="Z34" s="58">
        <v>1.0</v>
      </c>
      <c r="AA34" s="409">
        <f>VLOOKUP(S34,CPI!$A$2:$E$67,5,0)</f>
        <v>1.17731472</v>
      </c>
      <c r="AB34" s="78">
        <f t="shared" si="8"/>
        <v>277.5048527</v>
      </c>
      <c r="AC34" s="78">
        <f t="shared" si="9"/>
        <v>173.4405329</v>
      </c>
    </row>
    <row r="35">
      <c r="A35" s="84">
        <v>7103.0</v>
      </c>
      <c r="B35" s="63" t="s">
        <v>125</v>
      </c>
      <c r="C35" s="63" t="s">
        <v>134</v>
      </c>
      <c r="D35" s="1" t="s">
        <v>141</v>
      </c>
      <c r="E35" s="63" t="s">
        <v>142</v>
      </c>
      <c r="F35" s="58">
        <v>2022.0</v>
      </c>
      <c r="G35" s="58">
        <v>2028.0</v>
      </c>
      <c r="H35" s="58">
        <v>0.0</v>
      </c>
      <c r="I35" s="58">
        <v>14.0</v>
      </c>
      <c r="J35" s="59">
        <v>0.0</v>
      </c>
      <c r="K35" s="58">
        <v>0.0</v>
      </c>
      <c r="L35" s="58">
        <v>2.1</v>
      </c>
      <c r="M35" s="58">
        <f>14-2.1</f>
        <v>11.9</v>
      </c>
      <c r="N35" s="58">
        <v>14.0</v>
      </c>
      <c r="O35" s="69">
        <v>125.0</v>
      </c>
      <c r="P35" s="63" t="s">
        <v>60</v>
      </c>
      <c r="Q35" s="55">
        <v>2700.0</v>
      </c>
      <c r="R35" s="63" t="s">
        <v>129</v>
      </c>
      <c r="S35" s="58">
        <v>2022.0</v>
      </c>
      <c r="T35" s="58">
        <v>0.88</v>
      </c>
      <c r="U35" s="25">
        <f t="shared" si="2"/>
        <v>2376</v>
      </c>
      <c r="V35" s="24">
        <f t="shared" si="3"/>
        <v>169.7142857</v>
      </c>
      <c r="W35" s="85">
        <v>0.0</v>
      </c>
      <c r="X35" s="3"/>
      <c r="Y35" s="3"/>
      <c r="Z35" s="58">
        <v>1.0</v>
      </c>
      <c r="AA35" s="409">
        <f>VLOOKUP(S35,CPI!$A$2:$E$67,5,0)</f>
        <v>1.041164511</v>
      </c>
      <c r="AB35" s="78">
        <f t="shared" si="8"/>
        <v>2473.806878</v>
      </c>
      <c r="AC35" s="78">
        <f t="shared" si="9"/>
        <v>176.7004913</v>
      </c>
    </row>
    <row r="36">
      <c r="A36" s="62">
        <v>7116.0</v>
      </c>
      <c r="B36" s="63" t="s">
        <v>125</v>
      </c>
      <c r="C36" s="63" t="s">
        <v>144</v>
      </c>
      <c r="D36" s="1" t="s">
        <v>145</v>
      </c>
      <c r="E36" s="63" t="s">
        <v>34</v>
      </c>
      <c r="F36" s="58">
        <v>2025.0</v>
      </c>
      <c r="G36" s="58">
        <v>2029.0</v>
      </c>
      <c r="H36" s="58">
        <v>0.0</v>
      </c>
      <c r="I36" s="58">
        <v>14.0</v>
      </c>
      <c r="J36" s="59">
        <v>0.0</v>
      </c>
      <c r="K36" s="58">
        <v>0.0</v>
      </c>
      <c r="L36" s="58">
        <v>0.0</v>
      </c>
      <c r="M36" s="58">
        <v>14.0</v>
      </c>
      <c r="N36" s="58">
        <v>17.0</v>
      </c>
      <c r="O36" s="58">
        <v>50.0</v>
      </c>
      <c r="P36" s="26" t="s">
        <v>60</v>
      </c>
      <c r="Q36" s="55">
        <v>3400.0</v>
      </c>
      <c r="R36" s="63" t="s">
        <v>129</v>
      </c>
      <c r="S36" s="58">
        <v>2025.0</v>
      </c>
      <c r="T36" s="58">
        <v>1.0</v>
      </c>
      <c r="U36" s="25">
        <f t="shared" si="2"/>
        <v>3400</v>
      </c>
      <c r="V36" s="24">
        <f t="shared" si="3"/>
        <v>242.8571429</v>
      </c>
      <c r="W36" s="3"/>
      <c r="X36" s="3"/>
      <c r="Y36" s="3"/>
      <c r="Z36" s="25"/>
      <c r="AA36" s="26">
        <f>VLOOKUP(S36,CPI!$A$2:$E$67,5,0)</f>
        <v>1</v>
      </c>
      <c r="AB36" s="27">
        <f t="shared" si="8"/>
        <v>3400</v>
      </c>
      <c r="AC36" s="27">
        <f t="shared" si="9"/>
        <v>242.8571429</v>
      </c>
    </row>
    <row r="37">
      <c r="A37" s="62">
        <v>7114.0</v>
      </c>
      <c r="B37" s="63" t="s">
        <v>125</v>
      </c>
      <c r="C37" s="63" t="s">
        <v>147</v>
      </c>
      <c r="D37" s="1" t="s">
        <v>148</v>
      </c>
      <c r="E37" s="63" t="s">
        <v>34</v>
      </c>
      <c r="F37" s="58">
        <v>2020.0</v>
      </c>
      <c r="G37" s="58">
        <v>2027.0</v>
      </c>
      <c r="H37" s="58">
        <v>0.0</v>
      </c>
      <c r="I37" s="58">
        <v>18.0</v>
      </c>
      <c r="J37" s="50">
        <f>(1/19)%</f>
        <v>0.0005263157895</v>
      </c>
      <c r="K37" s="58">
        <v>1.0</v>
      </c>
      <c r="L37" s="58"/>
      <c r="M37" s="58">
        <v>18.0</v>
      </c>
      <c r="N37" s="58">
        <v>19.0</v>
      </c>
      <c r="O37" s="58">
        <v>50.0</v>
      </c>
      <c r="P37" s="63" t="s">
        <v>60</v>
      </c>
      <c r="Q37" s="55">
        <v>4700.0</v>
      </c>
      <c r="R37" s="63" t="s">
        <v>129</v>
      </c>
      <c r="S37" s="58">
        <v>2020.0</v>
      </c>
      <c r="T37" s="25">
        <v>0.84</v>
      </c>
      <c r="U37" s="25">
        <f t="shared" si="2"/>
        <v>3948</v>
      </c>
      <c r="V37" s="24">
        <f t="shared" si="3"/>
        <v>219.3333333</v>
      </c>
      <c r="W37" s="3"/>
      <c r="X37" s="3"/>
      <c r="Y37" s="3"/>
      <c r="Z37" s="25"/>
      <c r="AA37" s="26">
        <f>VLOOKUP(S37,CPI!$A$2:$E$67,5,0)</f>
        <v>1.17731472</v>
      </c>
      <c r="AB37" s="27">
        <f t="shared" si="8"/>
        <v>4648.038515</v>
      </c>
      <c r="AC37" s="27">
        <f t="shared" si="9"/>
        <v>258.2243619</v>
      </c>
    </row>
    <row r="38">
      <c r="A38" s="38">
        <v>7401.0</v>
      </c>
      <c r="B38" s="26" t="s">
        <v>125</v>
      </c>
      <c r="C38" s="26" t="s">
        <v>150</v>
      </c>
      <c r="D38" s="26" t="s">
        <v>151</v>
      </c>
      <c r="E38" s="26" t="s">
        <v>151</v>
      </c>
      <c r="F38" s="25">
        <v>2001.0</v>
      </c>
      <c r="G38" s="25">
        <v>2007.0</v>
      </c>
      <c r="H38" s="25">
        <v>0.0</v>
      </c>
      <c r="I38" s="25">
        <v>5.2</v>
      </c>
      <c r="J38" s="50">
        <v>1.0</v>
      </c>
      <c r="K38" s="25">
        <v>5.2</v>
      </c>
      <c r="L38" s="51">
        <v>0.0</v>
      </c>
      <c r="M38" s="51">
        <v>0.0</v>
      </c>
      <c r="N38" s="25">
        <v>3.0</v>
      </c>
      <c r="O38" s="25"/>
      <c r="P38" s="26" t="s">
        <v>74</v>
      </c>
      <c r="Q38" s="52">
        <v>745.0</v>
      </c>
      <c r="R38" s="26" t="s">
        <v>129</v>
      </c>
      <c r="S38" s="25">
        <v>2004.0</v>
      </c>
      <c r="T38" s="25">
        <v>0.81</v>
      </c>
      <c r="U38" s="25">
        <f t="shared" si="2"/>
        <v>603.45</v>
      </c>
      <c r="V38" s="24">
        <f t="shared" si="3"/>
        <v>116.0480769</v>
      </c>
      <c r="W38" s="3">
        <f t="shared" ref="W38:W39" si="12">IF(OR(B38 = "BG",B38 = "GR",B38 = "IT",B38 = "ES",B38 = "PT",B38 = "TR", B38 = "KR",B38 = "SE",B38 = "CH",B38 = "NO",B38 = "DK",B38 = "FI"), 1, 0)</f>
        <v>0</v>
      </c>
      <c r="X38" s="3">
        <f t="shared" ref="X38:X39" si="13">W38*I38</f>
        <v>0</v>
      </c>
      <c r="Y38" s="3">
        <f t="shared" ref="Y38:Y39" si="14">W38*K38</f>
        <v>0</v>
      </c>
      <c r="Z38" s="25">
        <f t="shared" ref="Z38:Z39" si="15">IF(OR(B38 = "US",B38 = "CA",B38 = "UK",B38 = "NZ",B38 = "AU",B38 = "SG"), 1, 0)</f>
        <v>1</v>
      </c>
      <c r="AA38" s="26">
        <f>VLOOKUP(S38,CPI!$A$2:$E$67,5,0)</f>
        <v>1.613033351</v>
      </c>
      <c r="AB38" s="27">
        <f t="shared" si="8"/>
        <v>973.3849756</v>
      </c>
      <c r="AC38" s="27">
        <f t="shared" si="9"/>
        <v>187.1894184</v>
      </c>
    </row>
    <row r="39">
      <c r="A39" s="63">
        <v>7146.0</v>
      </c>
      <c r="B39" s="26" t="s">
        <v>125</v>
      </c>
      <c r="C39" s="26" t="s">
        <v>150</v>
      </c>
      <c r="D39" s="63" t="s">
        <v>153</v>
      </c>
      <c r="E39" s="63" t="s">
        <v>153</v>
      </c>
      <c r="F39" s="25">
        <v>2020.0</v>
      </c>
      <c r="G39" s="25">
        <v>2026.0</v>
      </c>
      <c r="H39" s="58">
        <v>0.0</v>
      </c>
      <c r="I39" s="25">
        <v>5.8</v>
      </c>
      <c r="J39" s="50">
        <v>1.0</v>
      </c>
      <c r="K39" s="25">
        <v>5.8</v>
      </c>
      <c r="L39" s="51">
        <v>0.0</v>
      </c>
      <c r="M39" s="51">
        <v>0.0</v>
      </c>
      <c r="N39" s="25">
        <v>5.0</v>
      </c>
      <c r="O39" s="25"/>
      <c r="P39" s="26" t="s">
        <v>42</v>
      </c>
      <c r="Q39" s="55">
        <v>7600.0</v>
      </c>
      <c r="R39" s="63" t="s">
        <v>129</v>
      </c>
      <c r="S39" s="25">
        <v>2018.0</v>
      </c>
      <c r="T39" s="25">
        <v>0.84</v>
      </c>
      <c r="U39" s="25">
        <f t="shared" si="2"/>
        <v>6384</v>
      </c>
      <c r="V39" s="24">
        <f t="shared" si="3"/>
        <v>1100.689655</v>
      </c>
      <c r="W39" s="3">
        <f t="shared" si="12"/>
        <v>0</v>
      </c>
      <c r="X39" s="3">
        <f t="shared" si="13"/>
        <v>0</v>
      </c>
      <c r="Y39" s="3">
        <f t="shared" si="14"/>
        <v>0</v>
      </c>
      <c r="Z39" s="25">
        <f t="shared" si="15"/>
        <v>1</v>
      </c>
      <c r="AA39" s="26">
        <f>VLOOKUP(S39,CPI!$A$2:$E$67,5,0)</f>
        <v>1.21343491</v>
      </c>
      <c r="AB39" s="27">
        <f t="shared" si="8"/>
        <v>7746.568467</v>
      </c>
      <c r="AC39" s="27">
        <f t="shared" si="9"/>
        <v>1335.615253</v>
      </c>
    </row>
    <row r="40">
      <c r="A40" s="84">
        <v>7130.0</v>
      </c>
      <c r="B40" s="26" t="s">
        <v>125</v>
      </c>
      <c r="C40" s="26" t="s">
        <v>150</v>
      </c>
      <c r="D40" s="63" t="s">
        <v>155</v>
      </c>
      <c r="E40" s="63" t="s">
        <v>34</v>
      </c>
      <c r="F40" s="58">
        <v>2025.0</v>
      </c>
      <c r="G40" s="58">
        <v>2033.0</v>
      </c>
      <c r="H40" s="58">
        <v>0.0</v>
      </c>
      <c r="I40" s="58">
        <v>31.0</v>
      </c>
      <c r="J40" s="59">
        <v>0.0</v>
      </c>
      <c r="K40" s="58">
        <v>0.0</v>
      </c>
      <c r="L40" s="58">
        <v>0.0</v>
      </c>
      <c r="M40" s="58">
        <v>31.0</v>
      </c>
      <c r="N40" s="58" t="s">
        <v>156</v>
      </c>
      <c r="O40" s="25"/>
      <c r="P40" s="63" t="s">
        <v>60</v>
      </c>
      <c r="Q40" s="55">
        <v>19000.0</v>
      </c>
      <c r="R40" s="63" t="s">
        <v>129</v>
      </c>
      <c r="S40" s="58">
        <v>2025.0</v>
      </c>
      <c r="T40" s="58">
        <v>1.0</v>
      </c>
      <c r="U40" s="58">
        <v>19000.0</v>
      </c>
      <c r="V40" s="24">
        <f t="shared" si="3"/>
        <v>612.9032258</v>
      </c>
      <c r="W40" s="3"/>
      <c r="X40" s="3"/>
      <c r="Y40" s="3"/>
      <c r="Z40" s="58">
        <v>0.0</v>
      </c>
      <c r="AA40" s="63">
        <v>1.0</v>
      </c>
      <c r="AB40" s="27">
        <f t="shared" si="8"/>
        <v>19000</v>
      </c>
      <c r="AC40" s="27">
        <f t="shared" si="9"/>
        <v>612.9032258</v>
      </c>
    </row>
    <row r="41">
      <c r="A41" s="62">
        <v>7125.0</v>
      </c>
      <c r="B41" s="26" t="s">
        <v>125</v>
      </c>
      <c r="C41" s="26" t="s">
        <v>150</v>
      </c>
      <c r="D41" s="63" t="s">
        <v>158</v>
      </c>
      <c r="E41" s="63" t="s">
        <v>159</v>
      </c>
      <c r="F41" s="58">
        <v>2018.0</v>
      </c>
      <c r="G41" s="58">
        <v>2027.0</v>
      </c>
      <c r="H41" s="58">
        <v>0.0</v>
      </c>
      <c r="I41" s="58">
        <v>67.0</v>
      </c>
      <c r="J41" s="50">
        <f>10.5/67</f>
        <v>0.1567164179</v>
      </c>
      <c r="K41" s="58">
        <v>10.5</v>
      </c>
      <c r="L41" s="58">
        <v>16.3</v>
      </c>
      <c r="M41" s="58">
        <v>36.7</v>
      </c>
      <c r="N41" s="58">
        <v>24.0</v>
      </c>
      <c r="O41" s="58">
        <v>26.0</v>
      </c>
      <c r="P41" s="63" t="s">
        <v>60</v>
      </c>
      <c r="Q41" s="55">
        <v>9400.0</v>
      </c>
      <c r="R41" s="63" t="s">
        <v>129</v>
      </c>
      <c r="S41" s="58">
        <v>2018.0</v>
      </c>
      <c r="T41" s="25">
        <v>0.84</v>
      </c>
      <c r="U41" s="25">
        <f t="shared" ref="U41:U65" si="17">Q41*T41</f>
        <v>7896</v>
      </c>
      <c r="V41" s="24">
        <f t="shared" si="3"/>
        <v>117.8507463</v>
      </c>
      <c r="W41" s="85">
        <v>0.0</v>
      </c>
      <c r="X41" s="3">
        <f t="shared" ref="X41:Y41" si="16">W41*I41</f>
        <v>0</v>
      </c>
      <c r="Y41" s="3">
        <f t="shared" si="16"/>
        <v>0</v>
      </c>
      <c r="Z41" s="58">
        <v>1.0</v>
      </c>
      <c r="AA41" s="26">
        <f>VLOOKUP(S41,CPI!$A$2:$E$67,5,0)</f>
        <v>1.21343491</v>
      </c>
      <c r="AB41" s="27">
        <f t="shared" si="8"/>
        <v>9581.282051</v>
      </c>
      <c r="AC41" s="27">
        <f t="shared" si="9"/>
        <v>143.0042097</v>
      </c>
    </row>
    <row r="42">
      <c r="A42" s="94">
        <v>7117.0</v>
      </c>
      <c r="B42" s="26" t="s">
        <v>125</v>
      </c>
      <c r="C42" s="26" t="s">
        <v>161</v>
      </c>
      <c r="D42" s="26" t="s">
        <v>162</v>
      </c>
      <c r="E42" s="26" t="s">
        <v>162</v>
      </c>
      <c r="F42" s="25">
        <v>2013.0</v>
      </c>
      <c r="G42" s="25">
        <v>2019.0</v>
      </c>
      <c r="H42" s="25">
        <v>0.0</v>
      </c>
      <c r="I42" s="25">
        <v>12.5</v>
      </c>
      <c r="J42" s="50">
        <v>0.2</v>
      </c>
      <c r="K42" s="25">
        <v>2.5</v>
      </c>
      <c r="L42" s="51">
        <v>0.84</v>
      </c>
      <c r="M42" s="51">
        <v>9.16</v>
      </c>
      <c r="N42" s="25">
        <v>13.0</v>
      </c>
      <c r="O42" s="58" t="s">
        <v>163</v>
      </c>
      <c r="P42" s="26" t="s">
        <v>36</v>
      </c>
      <c r="Q42" s="52">
        <v>2100.0</v>
      </c>
      <c r="R42" s="63" t="s">
        <v>129</v>
      </c>
      <c r="S42" s="25">
        <v>2016.0</v>
      </c>
      <c r="T42" s="25">
        <v>0.83</v>
      </c>
      <c r="U42" s="25">
        <f t="shared" si="17"/>
        <v>1743</v>
      </c>
      <c r="V42" s="24">
        <f t="shared" si="3"/>
        <v>139.44</v>
      </c>
      <c r="W42" s="3">
        <f>IF(OR(B42 = "BG",B42 = "GR",B42 = "IT",B42 = "ES",B42 = "PT",B42 = "TR", B42 = "KR",B42 = "SE",B42 = "CH",B42 = "NO",B42 = "DK",B42 = "FI"), 1, 0)</f>
        <v>0</v>
      </c>
      <c r="X42" s="3">
        <f>W42*I42</f>
        <v>0</v>
      </c>
      <c r="Y42" s="3">
        <f>W42*K42</f>
        <v>0</v>
      </c>
      <c r="Z42" s="25">
        <f>IF(OR(B42 = "US",B42 = "CA",B42 = "UK",B42 = "NZ",B42 = "AU",B42 = "SG"), 1, 0)</f>
        <v>1</v>
      </c>
      <c r="AA42" s="26">
        <f>VLOOKUP(S42,CPI!$A$2:$E$67,5,0)</f>
        <v>1.269554638</v>
      </c>
      <c r="AB42" s="27">
        <f t="shared" si="8"/>
        <v>2212.833734</v>
      </c>
      <c r="AC42" s="27">
        <f t="shared" si="9"/>
        <v>177.0266987</v>
      </c>
    </row>
    <row r="43">
      <c r="A43" s="62">
        <v>7118.0</v>
      </c>
      <c r="B43" s="26" t="s">
        <v>125</v>
      </c>
      <c r="C43" s="26" t="s">
        <v>161</v>
      </c>
      <c r="D43" s="26" t="s">
        <v>162</v>
      </c>
      <c r="E43" s="63" t="s">
        <v>165</v>
      </c>
      <c r="F43" s="58">
        <v>2019.0</v>
      </c>
      <c r="G43" s="58">
        <v>2025.0</v>
      </c>
      <c r="H43" s="58">
        <v>0.0</v>
      </c>
      <c r="I43" s="58">
        <v>28.0</v>
      </c>
      <c r="J43" s="50">
        <f>(3.4/28)</f>
        <v>0.1214285714</v>
      </c>
      <c r="K43" s="58">
        <v>3.4</v>
      </c>
      <c r="L43" s="58">
        <v>0.0</v>
      </c>
      <c r="M43" s="58">
        <v>12.0</v>
      </c>
      <c r="N43" s="58">
        <v>17.0</v>
      </c>
      <c r="O43" s="58" t="s">
        <v>163</v>
      </c>
      <c r="P43" s="63" t="s">
        <v>60</v>
      </c>
      <c r="Q43" s="55">
        <v>2600.0</v>
      </c>
      <c r="R43" s="63" t="s">
        <v>129</v>
      </c>
      <c r="S43" s="58">
        <v>2019.0</v>
      </c>
      <c r="T43" s="69">
        <v>0.802</v>
      </c>
      <c r="U43" s="25">
        <f t="shared" si="17"/>
        <v>2085.2</v>
      </c>
      <c r="V43" s="24">
        <f t="shared" si="3"/>
        <v>74.47142857</v>
      </c>
      <c r="W43" s="3"/>
      <c r="X43" s="3"/>
      <c r="Y43" s="3"/>
      <c r="Z43" s="58">
        <v>1.0</v>
      </c>
      <c r="AA43" s="26">
        <f>VLOOKUP(S43,CPI!$A$2:$E$67,5,0)</f>
        <v>1.191839066</v>
      </c>
      <c r="AB43" s="27">
        <f t="shared" si="8"/>
        <v>2485.22282</v>
      </c>
      <c r="AC43" s="27">
        <f t="shared" si="9"/>
        <v>88.75795784</v>
      </c>
    </row>
    <row r="44">
      <c r="A44" s="99">
        <v>7121.0</v>
      </c>
      <c r="B44" s="63" t="s">
        <v>125</v>
      </c>
      <c r="C44" s="26" t="s">
        <v>161</v>
      </c>
      <c r="D44" s="63" t="s">
        <v>167</v>
      </c>
      <c r="E44" s="63" t="s">
        <v>168</v>
      </c>
      <c r="F44" s="58">
        <v>2020.0</v>
      </c>
      <c r="G44" s="58">
        <v>2025.0</v>
      </c>
      <c r="H44" s="58">
        <v>0.0</v>
      </c>
      <c r="I44" s="58">
        <v>20.0</v>
      </c>
      <c r="J44" s="59">
        <v>0.0</v>
      </c>
      <c r="K44" s="58">
        <v>0.0</v>
      </c>
      <c r="L44" s="58">
        <v>0.5</v>
      </c>
      <c r="M44" s="58">
        <v>15.5</v>
      </c>
      <c r="N44" s="58">
        <v>13.0</v>
      </c>
      <c r="O44" s="58" t="s">
        <v>163</v>
      </c>
      <c r="P44" s="63" t="s">
        <v>60</v>
      </c>
      <c r="Q44" s="55">
        <v>1660.0</v>
      </c>
      <c r="R44" s="63" t="s">
        <v>129</v>
      </c>
      <c r="S44" s="58">
        <v>2019.0</v>
      </c>
      <c r="T44" s="69">
        <v>0.802</v>
      </c>
      <c r="U44" s="25">
        <f t="shared" si="17"/>
        <v>1331.32</v>
      </c>
      <c r="V44" s="24">
        <f t="shared" si="3"/>
        <v>66.566</v>
      </c>
      <c r="W44" s="3"/>
      <c r="X44" s="3"/>
      <c r="Y44" s="3"/>
      <c r="Z44" s="25"/>
      <c r="AA44" s="26">
        <f>VLOOKUP(S44,CPI!$A$2:$E$67,5,0)</f>
        <v>1.191839066</v>
      </c>
      <c r="AB44" s="27">
        <f t="shared" si="8"/>
        <v>1586.719185</v>
      </c>
      <c r="AC44" s="27">
        <f t="shared" si="9"/>
        <v>79.33595924</v>
      </c>
    </row>
    <row r="45">
      <c r="A45" s="105">
        <v>7400.0</v>
      </c>
      <c r="B45" s="26" t="s">
        <v>125</v>
      </c>
      <c r="C45" s="26" t="s">
        <v>170</v>
      </c>
      <c r="D45" s="26" t="s">
        <v>171</v>
      </c>
      <c r="E45" s="26" t="s">
        <v>171</v>
      </c>
      <c r="F45" s="25">
        <v>1994.0</v>
      </c>
      <c r="G45" s="25">
        <v>2002.0</v>
      </c>
      <c r="H45" s="25">
        <v>0.0</v>
      </c>
      <c r="I45" s="25">
        <v>5.5</v>
      </c>
      <c r="J45" s="50">
        <v>1.0</v>
      </c>
      <c r="K45" s="25">
        <v>5.5</v>
      </c>
      <c r="L45" s="51">
        <v>0.0</v>
      </c>
      <c r="M45" s="51">
        <v>0.0</v>
      </c>
      <c r="N45" s="25">
        <v>5.0</v>
      </c>
      <c r="O45" s="25"/>
      <c r="P45" s="26" t="s">
        <v>42</v>
      </c>
      <c r="Q45" s="52">
        <v>1000.0</v>
      </c>
      <c r="R45" s="26" t="s">
        <v>129</v>
      </c>
      <c r="S45" s="25">
        <v>1998.0</v>
      </c>
      <c r="T45" s="25">
        <v>0.81</v>
      </c>
      <c r="U45" s="25">
        <f t="shared" si="17"/>
        <v>810</v>
      </c>
      <c r="V45" s="24">
        <f t="shared" si="3"/>
        <v>147.2727273</v>
      </c>
      <c r="W45" s="3">
        <f t="shared" ref="W45:W47" si="18">IF(OR(B45 = "BG",B45 = "GR",B45 = "IT",B45 = "ES",B45 = "PT",B45 = "TR", B45 = "KR",B45 = "SE",B45 = "CH",B45 = "NO",B45 = "DK",B45 = "FI"), 1, 0)</f>
        <v>0</v>
      </c>
      <c r="X45" s="3">
        <f t="shared" ref="X45:X47" si="19">W45*I45</f>
        <v>0</v>
      </c>
      <c r="Y45" s="3">
        <f t="shared" ref="Y45:Y47" si="20">W45*K45</f>
        <v>0</v>
      </c>
      <c r="Z45" s="25">
        <f>IF(OR(B45 = "US",B45 = "CA",B45 = "UK",B45 = "NZ",B45 = "AU",B45 = "SG"), 1, 0)</f>
        <v>1</v>
      </c>
      <c r="AA45" s="26">
        <f>VLOOKUP(S45,CPI!$A$2:$E$67,5,0)</f>
        <v>1.869337423</v>
      </c>
      <c r="AB45" s="27">
        <f t="shared" si="8"/>
        <v>1514.163313</v>
      </c>
      <c r="AC45" s="27">
        <f t="shared" si="9"/>
        <v>275.3024205</v>
      </c>
    </row>
    <row r="46">
      <c r="A46" s="106">
        <v>7108.0</v>
      </c>
      <c r="B46" s="26" t="s">
        <v>125</v>
      </c>
      <c r="C46" s="26" t="s">
        <v>170</v>
      </c>
      <c r="D46" s="1" t="s">
        <v>173</v>
      </c>
      <c r="E46" s="26" t="s">
        <v>174</v>
      </c>
      <c r="F46" s="25">
        <v>2009.0</v>
      </c>
      <c r="G46" s="25">
        <v>2017.0</v>
      </c>
      <c r="H46" s="25">
        <v>0.0</v>
      </c>
      <c r="I46" s="25">
        <v>8.6</v>
      </c>
      <c r="J46" s="50">
        <v>1.0</v>
      </c>
      <c r="K46" s="25">
        <v>8.6</v>
      </c>
      <c r="L46" s="51">
        <v>0.0</v>
      </c>
      <c r="M46" s="51">
        <v>0.0</v>
      </c>
      <c r="N46" s="25">
        <v>6.0</v>
      </c>
      <c r="O46" s="25"/>
      <c r="P46" s="26" t="s">
        <v>42</v>
      </c>
      <c r="Q46" s="52">
        <v>3200.0</v>
      </c>
      <c r="R46" s="63" t="s">
        <v>129</v>
      </c>
      <c r="S46" s="25">
        <v>2013.0</v>
      </c>
      <c r="T46" s="25">
        <v>0.81</v>
      </c>
      <c r="U46" s="25">
        <f t="shared" si="17"/>
        <v>2592</v>
      </c>
      <c r="V46" s="24">
        <f t="shared" si="3"/>
        <v>301.3953488</v>
      </c>
      <c r="W46" s="3">
        <f t="shared" si="18"/>
        <v>0</v>
      </c>
      <c r="X46" s="3">
        <f t="shared" si="19"/>
        <v>0</v>
      </c>
      <c r="Y46" s="3">
        <f t="shared" si="20"/>
        <v>0</v>
      </c>
      <c r="Z46" s="58">
        <v>1.0</v>
      </c>
      <c r="AA46" s="26">
        <f>VLOOKUP(S46,CPI!$A$2:$E$67,5,0)</f>
        <v>1.307975292</v>
      </c>
      <c r="AB46" s="27">
        <f t="shared" si="8"/>
        <v>3390.271956</v>
      </c>
      <c r="AC46" s="27">
        <f t="shared" si="9"/>
        <v>394.2176693</v>
      </c>
    </row>
    <row r="47">
      <c r="A47" s="107">
        <v>7283.0</v>
      </c>
      <c r="B47" s="26" t="s">
        <v>125</v>
      </c>
      <c r="C47" s="26" t="s">
        <v>170</v>
      </c>
      <c r="D47" s="26" t="s">
        <v>176</v>
      </c>
      <c r="E47" s="26" t="s">
        <v>176</v>
      </c>
      <c r="F47" s="25">
        <v>2011.0</v>
      </c>
      <c r="G47" s="58">
        <v>2025.0</v>
      </c>
      <c r="H47" s="25">
        <v>0.0</v>
      </c>
      <c r="I47" s="25">
        <v>19.0</v>
      </c>
      <c r="J47" s="50">
        <v>0.53</v>
      </c>
      <c r="K47" s="25">
        <v>10.0</v>
      </c>
      <c r="L47" s="51">
        <v>0.62</v>
      </c>
      <c r="M47" s="51">
        <v>8.31</v>
      </c>
      <c r="N47" s="25">
        <v>25.0</v>
      </c>
      <c r="O47" s="25"/>
      <c r="P47" s="26" t="s">
        <v>60</v>
      </c>
      <c r="Q47" s="55">
        <v>12800.0</v>
      </c>
      <c r="R47" s="63" t="s">
        <v>129</v>
      </c>
      <c r="S47" s="25">
        <v>2016.0</v>
      </c>
      <c r="T47" s="25">
        <v>0.83</v>
      </c>
      <c r="U47" s="25">
        <f t="shared" si="17"/>
        <v>10624</v>
      </c>
      <c r="V47" s="24">
        <f t="shared" si="3"/>
        <v>559.1578947</v>
      </c>
      <c r="W47" s="3">
        <f t="shared" si="18"/>
        <v>0</v>
      </c>
      <c r="X47" s="3">
        <f t="shared" si="19"/>
        <v>0</v>
      </c>
      <c r="Y47" s="3">
        <f t="shared" si="20"/>
        <v>0</v>
      </c>
      <c r="Z47" s="25">
        <f>IF(OR(B47 = "US",B47 = "CA",B47 = "UK",B47 = "NZ",B47 = "AU",B47 = "SG"), 1, 0)</f>
        <v>1</v>
      </c>
      <c r="AA47" s="26">
        <f>VLOOKUP(S47,CPI!$A$2:$E$67,5,0)</f>
        <v>1.269554638</v>
      </c>
      <c r="AB47" s="27">
        <f t="shared" si="8"/>
        <v>13487.74847</v>
      </c>
      <c r="AC47" s="27">
        <f t="shared" si="9"/>
        <v>709.8814986</v>
      </c>
    </row>
    <row r="48">
      <c r="A48" s="99">
        <v>7115.0</v>
      </c>
      <c r="B48" s="63" t="s">
        <v>125</v>
      </c>
      <c r="C48" s="63" t="s">
        <v>170</v>
      </c>
      <c r="D48" s="1" t="s">
        <v>178</v>
      </c>
      <c r="E48" s="63" t="s">
        <v>34</v>
      </c>
      <c r="F48" s="58">
        <v>2019.0</v>
      </c>
      <c r="G48" s="58">
        <v>2025.0</v>
      </c>
      <c r="H48" s="58">
        <v>0.0</v>
      </c>
      <c r="I48" s="58">
        <v>10.3</v>
      </c>
      <c r="J48" s="50">
        <f>(1/19)%</f>
        <v>0.0005263157895</v>
      </c>
      <c r="K48" s="58">
        <v>1.0</v>
      </c>
      <c r="L48" s="58"/>
      <c r="M48" s="58">
        <v>17.0</v>
      </c>
      <c r="N48" s="58">
        <v>18.0</v>
      </c>
      <c r="O48" s="58">
        <v>50.0</v>
      </c>
      <c r="P48" s="26" t="s">
        <v>60</v>
      </c>
      <c r="Q48" s="55">
        <v>2500.0</v>
      </c>
      <c r="R48" s="63" t="s">
        <v>129</v>
      </c>
      <c r="S48" s="58">
        <v>2019.0</v>
      </c>
      <c r="T48" s="25">
        <v>0.84</v>
      </c>
      <c r="U48" s="25">
        <f t="shared" si="17"/>
        <v>2100</v>
      </c>
      <c r="V48" s="24">
        <f t="shared" si="3"/>
        <v>203.8834951</v>
      </c>
      <c r="W48" s="3"/>
      <c r="X48" s="3"/>
      <c r="Y48" s="3"/>
      <c r="Z48" s="25"/>
      <c r="AA48" s="26">
        <f>VLOOKUP(S48,CPI!$A$2:$E$67,5,0)</f>
        <v>1.191839066</v>
      </c>
      <c r="AB48" s="27">
        <f t="shared" si="8"/>
        <v>2502.862038</v>
      </c>
      <c r="AC48" s="27">
        <f t="shared" si="9"/>
        <v>242.9963144</v>
      </c>
    </row>
    <row r="49">
      <c r="A49" s="108">
        <v>7109.0</v>
      </c>
      <c r="B49" s="26" t="s">
        <v>125</v>
      </c>
      <c r="C49" s="26" t="s">
        <v>170</v>
      </c>
      <c r="D49" s="63" t="s">
        <v>180</v>
      </c>
      <c r="E49" s="26" t="s">
        <v>181</v>
      </c>
      <c r="F49" s="25">
        <v>2020.0</v>
      </c>
      <c r="G49" s="25">
        <v>2030.0</v>
      </c>
      <c r="H49" s="25">
        <v>0.0</v>
      </c>
      <c r="I49" s="25">
        <v>7.8</v>
      </c>
      <c r="J49" s="50">
        <v>1.0</v>
      </c>
      <c r="K49" s="25">
        <v>7.8</v>
      </c>
      <c r="L49" s="51">
        <v>0.0</v>
      </c>
      <c r="M49" s="51">
        <v>0.0</v>
      </c>
      <c r="N49" s="25">
        <v>3.0</v>
      </c>
      <c r="O49" s="25"/>
      <c r="P49" s="26" t="s">
        <v>74</v>
      </c>
      <c r="Q49" s="52">
        <v>5500.0</v>
      </c>
      <c r="R49" s="63" t="s">
        <v>129</v>
      </c>
      <c r="S49" s="25">
        <v>2018.0</v>
      </c>
      <c r="T49" s="25">
        <v>0.84</v>
      </c>
      <c r="U49" s="25">
        <f t="shared" si="17"/>
        <v>4620</v>
      </c>
      <c r="V49" s="24">
        <f t="shared" si="3"/>
        <v>592.3076923</v>
      </c>
      <c r="W49" s="3">
        <f t="shared" ref="W49:W50" si="21">IF(OR(B49 = "BG",B49 = "GR",B49 = "IT",B49 = "ES",B49 = "PT",B49 = "TR", B49 = "KR",B49 = "SE",B49 = "CH",B49 = "NO",B49 = "DK",B49 = "FI"), 1, 0)</f>
        <v>0</v>
      </c>
      <c r="X49" s="3">
        <f t="shared" ref="X49:X50" si="22">W49*I49</f>
        <v>0</v>
      </c>
      <c r="Y49" s="3">
        <f t="shared" ref="Y49:Y50" si="23">W49*K49</f>
        <v>0</v>
      </c>
      <c r="Z49" s="25">
        <f t="shared" ref="Z49:Z50" si="24">IF(OR(B49 = "US",B49 = "CA",B49 = "UK",B49 = "NZ",B49 = "AU",B49 = "SG"), 1, 0)</f>
        <v>1</v>
      </c>
      <c r="AA49" s="26">
        <f>VLOOKUP(S49,CPI!$A$2:$E$67,5,0)</f>
        <v>1.21343491</v>
      </c>
      <c r="AB49" s="27">
        <f t="shared" si="8"/>
        <v>5606.069285</v>
      </c>
      <c r="AC49" s="27">
        <f t="shared" si="9"/>
        <v>718.7268314</v>
      </c>
    </row>
    <row r="50">
      <c r="A50" s="108">
        <v>7111.0</v>
      </c>
      <c r="B50" s="26" t="s">
        <v>125</v>
      </c>
      <c r="C50" s="26" t="s">
        <v>170</v>
      </c>
      <c r="D50" s="1" t="s">
        <v>183</v>
      </c>
      <c r="E50" s="26" t="s">
        <v>184</v>
      </c>
      <c r="F50" s="25">
        <v>2020.0</v>
      </c>
      <c r="G50" s="25">
        <v>2030.0</v>
      </c>
      <c r="H50" s="25">
        <v>0.0</v>
      </c>
      <c r="I50" s="25">
        <v>7.4</v>
      </c>
      <c r="J50" s="50">
        <v>1.0</v>
      </c>
      <c r="K50" s="25">
        <v>7.4</v>
      </c>
      <c r="L50" s="51">
        <v>0.0</v>
      </c>
      <c r="M50" s="51">
        <v>0.0</v>
      </c>
      <c r="N50" s="25">
        <v>6.0</v>
      </c>
      <c r="O50" s="25"/>
      <c r="P50" s="26" t="s">
        <v>60</v>
      </c>
      <c r="Q50" s="52">
        <v>5600.0</v>
      </c>
      <c r="R50" s="63" t="s">
        <v>129</v>
      </c>
      <c r="S50" s="25">
        <v>2020.0</v>
      </c>
      <c r="T50" s="25">
        <v>0.84</v>
      </c>
      <c r="U50" s="25">
        <f t="shared" si="17"/>
        <v>4704</v>
      </c>
      <c r="V50" s="24">
        <f t="shared" si="3"/>
        <v>635.6756757</v>
      </c>
      <c r="W50" s="3">
        <f t="shared" si="21"/>
        <v>0</v>
      </c>
      <c r="X50" s="3">
        <f t="shared" si="22"/>
        <v>0</v>
      </c>
      <c r="Y50" s="3">
        <f t="shared" si="23"/>
        <v>0</v>
      </c>
      <c r="Z50" s="25">
        <f t="shared" si="24"/>
        <v>1</v>
      </c>
      <c r="AA50" s="26">
        <f>VLOOKUP(S50,CPI!$A$2:$E$67,5,0)</f>
        <v>1.17731472</v>
      </c>
      <c r="AB50" s="27">
        <f t="shared" si="8"/>
        <v>5538.088443</v>
      </c>
      <c r="AC50" s="27">
        <f t="shared" si="9"/>
        <v>748.3903301</v>
      </c>
    </row>
    <row r="51">
      <c r="A51" s="99">
        <v>7113.0</v>
      </c>
      <c r="B51" s="63" t="s">
        <v>125</v>
      </c>
      <c r="C51" s="63" t="s">
        <v>170</v>
      </c>
      <c r="D51" s="1" t="s">
        <v>176</v>
      </c>
      <c r="E51" s="63" t="s">
        <v>186</v>
      </c>
      <c r="F51" s="58">
        <v>2022.0</v>
      </c>
      <c r="G51" s="58">
        <v>2031.0</v>
      </c>
      <c r="H51" s="58">
        <v>0.0</v>
      </c>
      <c r="I51" s="58">
        <v>9.2</v>
      </c>
      <c r="J51" s="50">
        <f>6.8/9.2</f>
        <v>0.7391304348</v>
      </c>
      <c r="K51" s="58">
        <v>6.8</v>
      </c>
      <c r="L51" s="58">
        <v>1.5</v>
      </c>
      <c r="M51" s="58">
        <v>0.9</v>
      </c>
      <c r="N51" s="58">
        <v>7.0</v>
      </c>
      <c r="O51" s="58">
        <v>50.0</v>
      </c>
      <c r="P51" s="26" t="s">
        <v>60</v>
      </c>
      <c r="Q51" s="55">
        <v>2500.0</v>
      </c>
      <c r="R51" s="63" t="s">
        <v>129</v>
      </c>
      <c r="S51" s="58">
        <v>2022.0</v>
      </c>
      <c r="T51" s="25">
        <v>0.84</v>
      </c>
      <c r="U51" s="25">
        <f t="shared" si="17"/>
        <v>2100</v>
      </c>
      <c r="V51" s="24">
        <f t="shared" si="3"/>
        <v>228.2608696</v>
      </c>
      <c r="W51" s="3"/>
      <c r="X51" s="3"/>
      <c r="Y51" s="3"/>
      <c r="Z51" s="25"/>
      <c r="AA51" s="26">
        <f>VLOOKUP(S51,CPI!$A$2:$E$67,5,0)</f>
        <v>1.041164511</v>
      </c>
      <c r="AB51" s="27">
        <f t="shared" si="8"/>
        <v>2186.445473</v>
      </c>
      <c r="AC51" s="27">
        <f t="shared" si="9"/>
        <v>237.6571167</v>
      </c>
    </row>
    <row r="52">
      <c r="A52" s="106">
        <v>7110.0</v>
      </c>
      <c r="B52" s="26" t="s">
        <v>125</v>
      </c>
      <c r="C52" s="26" t="s">
        <v>170</v>
      </c>
      <c r="D52" s="63" t="s">
        <v>188</v>
      </c>
      <c r="E52" s="26" t="s">
        <v>189</v>
      </c>
      <c r="F52" s="58">
        <v>2022.0</v>
      </c>
      <c r="G52" s="58">
        <v>2031.0</v>
      </c>
      <c r="H52" s="25">
        <v>0.0</v>
      </c>
      <c r="I52" s="25">
        <v>15.5</v>
      </c>
      <c r="J52" s="50">
        <v>0.57</v>
      </c>
      <c r="K52" s="25">
        <v>8.8</v>
      </c>
      <c r="L52" s="51">
        <v>5.76</v>
      </c>
      <c r="M52" s="51">
        <v>1.06</v>
      </c>
      <c r="N52" s="25">
        <v>15.0</v>
      </c>
      <c r="O52" s="25"/>
      <c r="P52" s="26" t="s">
        <v>60</v>
      </c>
      <c r="Q52" s="55">
        <v>27200.0</v>
      </c>
      <c r="R52" s="63" t="s">
        <v>129</v>
      </c>
      <c r="S52" s="58">
        <v>2023.0</v>
      </c>
      <c r="T52" s="25">
        <v>0.84</v>
      </c>
      <c r="U52" s="25">
        <f t="shared" si="17"/>
        <v>22848</v>
      </c>
      <c r="V52" s="24">
        <f t="shared" si="3"/>
        <v>1474.064516</v>
      </c>
      <c r="W52" s="3">
        <f t="shared" ref="W52:W56" si="25">IF(OR(B52 = "BG",B52 = "GR",B52 = "IT",B52 = "ES",B52 = "PT",B52 = "TR", B52 = "KR",B52 = "SE",B52 = "CH",B52 = "NO",B52 = "DK",B52 = "FI"), 1, 0)</f>
        <v>0</v>
      </c>
      <c r="X52" s="3">
        <f t="shared" ref="X52:X56" si="26">W52*I52</f>
        <v>0</v>
      </c>
      <c r="Y52" s="3">
        <f t="shared" ref="Y52:Y56" si="27">W52*K52</f>
        <v>0</v>
      </c>
      <c r="Z52" s="25">
        <f t="shared" ref="Z52:Z56" si="28">IF(OR(B52 = "US",B52 = "CA",B52 = "UK",B52 = "NZ",B52 = "AU",B52 = "SG"), 1, 0)</f>
        <v>1</v>
      </c>
      <c r="AA52" s="26">
        <f>VLOOKUP(S52,CPI!$A$2:$E$67,5,0)</f>
        <v>1</v>
      </c>
      <c r="AB52" s="27">
        <f t="shared" si="8"/>
        <v>22848</v>
      </c>
      <c r="AC52" s="27">
        <f t="shared" si="9"/>
        <v>1474.064516</v>
      </c>
    </row>
    <row r="53">
      <c r="A53" s="110">
        <v>9762.0</v>
      </c>
      <c r="B53" s="26" t="s">
        <v>125</v>
      </c>
      <c r="C53" s="26" t="s">
        <v>191</v>
      </c>
      <c r="D53" s="16" t="s">
        <v>192</v>
      </c>
      <c r="E53" s="63" t="s">
        <v>193</v>
      </c>
      <c r="F53" s="25">
        <v>1998.0</v>
      </c>
      <c r="G53" s="25">
        <v>2002.0</v>
      </c>
      <c r="H53" s="25">
        <v>0.0</v>
      </c>
      <c r="I53" s="25">
        <v>19.9</v>
      </c>
      <c r="J53" s="50">
        <v>0.0</v>
      </c>
      <c r="K53" s="25">
        <v>0.0</v>
      </c>
      <c r="L53" s="51">
        <v>0.0</v>
      </c>
      <c r="M53" s="51">
        <v>0.0</v>
      </c>
      <c r="N53" s="25">
        <v>13.0</v>
      </c>
      <c r="O53" s="25"/>
      <c r="P53" s="26" t="s">
        <v>74</v>
      </c>
      <c r="Q53" s="52">
        <v>1200.0</v>
      </c>
      <c r="R53" s="26" t="s">
        <v>129</v>
      </c>
      <c r="S53" s="25">
        <v>2000.0</v>
      </c>
      <c r="T53" s="25">
        <v>0.81</v>
      </c>
      <c r="U53" s="25">
        <f t="shared" si="17"/>
        <v>972</v>
      </c>
      <c r="V53" s="24">
        <f t="shared" si="3"/>
        <v>48.84422111</v>
      </c>
      <c r="W53" s="3">
        <f t="shared" si="25"/>
        <v>0</v>
      </c>
      <c r="X53" s="3">
        <f t="shared" si="26"/>
        <v>0</v>
      </c>
      <c r="Y53" s="3">
        <f t="shared" si="27"/>
        <v>0</v>
      </c>
      <c r="Z53" s="25">
        <f t="shared" si="28"/>
        <v>1</v>
      </c>
      <c r="AA53" s="26">
        <f>VLOOKUP(S53,CPI!$A$2:$E$67,5,0)</f>
        <v>1.769465738</v>
      </c>
      <c r="AB53" s="27">
        <f t="shared" si="8"/>
        <v>1719.920697</v>
      </c>
      <c r="AC53" s="27">
        <f t="shared" si="9"/>
        <v>86.42817572</v>
      </c>
    </row>
    <row r="54">
      <c r="A54" s="110">
        <v>9763.0</v>
      </c>
      <c r="B54" s="26" t="s">
        <v>125</v>
      </c>
      <c r="C54" s="26" t="s">
        <v>191</v>
      </c>
      <c r="D54" s="26" t="s">
        <v>195</v>
      </c>
      <c r="E54" s="26" t="s">
        <v>195</v>
      </c>
      <c r="F54" s="25">
        <v>2005.0</v>
      </c>
      <c r="G54" s="25">
        <v>2009.0</v>
      </c>
      <c r="H54" s="25">
        <v>0.0</v>
      </c>
      <c r="I54" s="25">
        <v>18.4</v>
      </c>
      <c r="J54" s="50">
        <v>0.49</v>
      </c>
      <c r="K54" s="25">
        <v>9.1</v>
      </c>
      <c r="L54" s="51">
        <v>0.0</v>
      </c>
      <c r="M54" s="51">
        <v>0.0</v>
      </c>
      <c r="N54" s="25">
        <v>16.0</v>
      </c>
      <c r="O54" s="25"/>
      <c r="P54" s="26" t="s">
        <v>74</v>
      </c>
      <c r="Q54" s="52">
        <v>2050.0</v>
      </c>
      <c r="R54" s="26" t="s">
        <v>129</v>
      </c>
      <c r="S54" s="25">
        <v>2007.0</v>
      </c>
      <c r="T54" s="25">
        <v>0.82</v>
      </c>
      <c r="U54" s="25">
        <f t="shared" si="17"/>
        <v>1681</v>
      </c>
      <c r="V54" s="24">
        <f t="shared" si="3"/>
        <v>91.35869565</v>
      </c>
      <c r="W54" s="3">
        <f t="shared" si="25"/>
        <v>0</v>
      </c>
      <c r="X54" s="3">
        <f t="shared" si="26"/>
        <v>0</v>
      </c>
      <c r="Y54" s="3">
        <f t="shared" si="27"/>
        <v>0</v>
      </c>
      <c r="Z54" s="25">
        <f t="shared" si="28"/>
        <v>1</v>
      </c>
      <c r="AA54" s="26">
        <f>VLOOKUP(S54,CPI!$A$2:$E$67,5,0)</f>
        <v>1.469562366</v>
      </c>
      <c r="AB54" s="27">
        <f t="shared" si="8"/>
        <v>2470.334337</v>
      </c>
      <c r="AC54" s="27">
        <f t="shared" si="9"/>
        <v>134.2573009</v>
      </c>
    </row>
    <row r="55">
      <c r="A55" s="110">
        <v>9764.0</v>
      </c>
      <c r="B55" s="26" t="s">
        <v>125</v>
      </c>
      <c r="C55" s="26" t="s">
        <v>191</v>
      </c>
      <c r="D55" s="26" t="s">
        <v>197</v>
      </c>
      <c r="E55" s="26" t="s">
        <v>197</v>
      </c>
      <c r="F55" s="25">
        <v>2012.0</v>
      </c>
      <c r="G55" s="25">
        <v>2016.0</v>
      </c>
      <c r="H55" s="25">
        <v>0.0</v>
      </c>
      <c r="I55" s="25">
        <v>10.9</v>
      </c>
      <c r="J55" s="50">
        <v>0.18</v>
      </c>
      <c r="K55" s="25">
        <v>2.0</v>
      </c>
      <c r="L55" s="51">
        <v>0.0</v>
      </c>
      <c r="M55" s="51">
        <v>0.0</v>
      </c>
      <c r="N55" s="25">
        <v>6.0</v>
      </c>
      <c r="O55" s="25"/>
      <c r="P55" s="26" t="s">
        <v>74</v>
      </c>
      <c r="Q55" s="52">
        <v>1430.0</v>
      </c>
      <c r="R55" s="26" t="s">
        <v>129</v>
      </c>
      <c r="S55" s="25">
        <v>2014.0</v>
      </c>
      <c r="T55" s="25">
        <v>0.81</v>
      </c>
      <c r="U55" s="25">
        <f t="shared" si="17"/>
        <v>1158.3</v>
      </c>
      <c r="V55" s="24">
        <f t="shared" si="3"/>
        <v>106.266055</v>
      </c>
      <c r="W55" s="3">
        <f t="shared" si="25"/>
        <v>0</v>
      </c>
      <c r="X55" s="3">
        <f t="shared" si="26"/>
        <v>0</v>
      </c>
      <c r="Y55" s="3">
        <f t="shared" si="27"/>
        <v>0</v>
      </c>
      <c r="Z55" s="25">
        <f t="shared" si="28"/>
        <v>1</v>
      </c>
      <c r="AA55" s="26">
        <f>VLOOKUP(S55,CPI!$A$2:$E$67,5,0)</f>
        <v>1.287096175</v>
      </c>
      <c r="AB55" s="27">
        <f t="shared" si="8"/>
        <v>1490.843499</v>
      </c>
      <c r="AC55" s="27">
        <f t="shared" si="9"/>
        <v>136.7746329</v>
      </c>
    </row>
    <row r="56">
      <c r="A56" s="111">
        <v>7136.0</v>
      </c>
      <c r="B56" s="26" t="s">
        <v>125</v>
      </c>
      <c r="C56" s="26" t="s">
        <v>191</v>
      </c>
      <c r="D56" s="1" t="s">
        <v>199</v>
      </c>
      <c r="E56" s="26" t="s">
        <v>200</v>
      </c>
      <c r="F56" s="25">
        <v>2020.0</v>
      </c>
      <c r="G56" s="58">
        <v>2027.0</v>
      </c>
      <c r="H56" s="25">
        <v>0.0</v>
      </c>
      <c r="I56" s="25">
        <v>5.7</v>
      </c>
      <c r="J56" s="50">
        <f>5/5.7</f>
        <v>0.8771929825</v>
      </c>
      <c r="K56" s="25">
        <v>5.0</v>
      </c>
      <c r="L56" s="51">
        <v>0.295</v>
      </c>
      <c r="M56" s="51">
        <v>0.446</v>
      </c>
      <c r="N56" s="25">
        <v>6.0</v>
      </c>
      <c r="O56" s="25"/>
      <c r="P56" s="26" t="s">
        <v>60</v>
      </c>
      <c r="Q56" s="55">
        <v>2954.0</v>
      </c>
      <c r="R56" s="26" t="s">
        <v>129</v>
      </c>
      <c r="S56" s="25">
        <v>2018.0</v>
      </c>
      <c r="T56" s="25">
        <v>0.84</v>
      </c>
      <c r="U56" s="25">
        <f t="shared" si="17"/>
        <v>2481.36</v>
      </c>
      <c r="V56" s="24">
        <f t="shared" si="3"/>
        <v>435.3263158</v>
      </c>
      <c r="W56" s="3">
        <f t="shared" si="25"/>
        <v>0</v>
      </c>
      <c r="X56" s="3">
        <f t="shared" si="26"/>
        <v>0</v>
      </c>
      <c r="Y56" s="3">
        <f t="shared" si="27"/>
        <v>0</v>
      </c>
      <c r="Z56" s="25">
        <f t="shared" si="28"/>
        <v>1</v>
      </c>
      <c r="AA56" s="26">
        <f>VLOOKUP(S56,CPI!$A$2:$E$67,5,0)</f>
        <v>1.21343491</v>
      </c>
      <c r="AB56" s="27">
        <f t="shared" si="8"/>
        <v>3010.968849</v>
      </c>
      <c r="AC56" s="27">
        <f t="shared" si="9"/>
        <v>528.2401489</v>
      </c>
    </row>
    <row r="57">
      <c r="A57" s="112">
        <v>7102.0</v>
      </c>
      <c r="B57" s="26" t="s">
        <v>125</v>
      </c>
      <c r="C57" s="26" t="s">
        <v>191</v>
      </c>
      <c r="D57" s="1" t="s">
        <v>202</v>
      </c>
      <c r="E57" s="63" t="s">
        <v>203</v>
      </c>
      <c r="F57" s="58">
        <v>2024.0</v>
      </c>
      <c r="G57" s="58">
        <v>2029.0</v>
      </c>
      <c r="H57" s="58">
        <v>0.0</v>
      </c>
      <c r="I57" s="58">
        <v>16.0</v>
      </c>
      <c r="J57" s="59">
        <v>0.0</v>
      </c>
      <c r="K57" s="58">
        <v>0.0</v>
      </c>
      <c r="L57" s="58">
        <v>1.0</v>
      </c>
      <c r="M57" s="58">
        <v>0.0</v>
      </c>
      <c r="N57" s="58">
        <v>8.0</v>
      </c>
      <c r="O57" s="58">
        <v>80.0</v>
      </c>
      <c r="P57" s="26" t="s">
        <v>60</v>
      </c>
      <c r="Q57" s="55">
        <v>5996.0</v>
      </c>
      <c r="R57" s="63" t="s">
        <v>129</v>
      </c>
      <c r="S57" s="58">
        <v>2024.0</v>
      </c>
      <c r="T57" s="58">
        <v>1.0</v>
      </c>
      <c r="U57" s="25">
        <f t="shared" si="17"/>
        <v>5996</v>
      </c>
      <c r="V57" s="24">
        <f t="shared" si="3"/>
        <v>374.75</v>
      </c>
      <c r="W57" s="85">
        <v>0.0</v>
      </c>
      <c r="X57" s="3"/>
      <c r="Y57" s="3"/>
      <c r="Z57" s="58">
        <v>1.0</v>
      </c>
      <c r="AA57" s="409">
        <f>VLOOKUP(S57,CPI!$A$2:$E$67,5,0)</f>
        <v>1</v>
      </c>
      <c r="AB57" s="78">
        <f t="shared" si="8"/>
        <v>5996</v>
      </c>
      <c r="AC57" s="78">
        <f t="shared" si="9"/>
        <v>374.75</v>
      </c>
    </row>
    <row r="58">
      <c r="A58" s="113"/>
      <c r="B58" s="114" t="s">
        <v>125</v>
      </c>
      <c r="C58" s="114" t="s">
        <v>191</v>
      </c>
      <c r="D58" s="115" t="s">
        <v>205</v>
      </c>
      <c r="E58" s="115" t="s">
        <v>206</v>
      </c>
      <c r="F58" s="116">
        <v>2022.0</v>
      </c>
      <c r="G58" s="114"/>
      <c r="H58" s="116">
        <v>0.0</v>
      </c>
      <c r="I58" s="116">
        <v>16.0</v>
      </c>
      <c r="J58" s="117">
        <v>0.0</v>
      </c>
      <c r="K58" s="116">
        <v>0.0</v>
      </c>
      <c r="L58" s="114"/>
      <c r="M58" s="114"/>
      <c r="N58" s="116">
        <v>8.0</v>
      </c>
      <c r="O58" s="116"/>
      <c r="P58" s="114"/>
      <c r="Q58" s="73">
        <v>3940.0</v>
      </c>
      <c r="R58" s="114" t="s">
        <v>129</v>
      </c>
      <c r="S58" s="115">
        <v>2021.0</v>
      </c>
      <c r="T58" s="115">
        <v>0.798</v>
      </c>
      <c r="U58" s="118">
        <f t="shared" si="17"/>
        <v>3144.12</v>
      </c>
      <c r="V58" s="24">
        <f t="shared" si="3"/>
        <v>196.5075</v>
      </c>
      <c r="W58" s="3">
        <f t="shared" ref="W58:W980" si="29">IF(OR(B58 = "BG",B58 = "GR",B58 = "IT",B58 = "ES",B58 = "PT",B58 = "TR", B58 = "KR",B58 = "SE",B58 = "CH",B58 = "NO",B58 = "DK",B58 = "FI"), 1, 0)</f>
        <v>0</v>
      </c>
      <c r="X58" s="3">
        <f t="shared" ref="X58:X980" si="30">W58*I58</f>
        <v>0</v>
      </c>
      <c r="Y58" s="3">
        <f t="shared" ref="Y58:Y967" si="31">W58*K58</f>
        <v>0</v>
      </c>
      <c r="Z58" s="25">
        <f t="shared" ref="Z58:Z794" si="32">IF(OR(B58 = "US",B58 = "CA",B58 = "UK",B58 = "NZ",B58 = "AU",B58 = "SG"), 1, 0)</f>
        <v>1</v>
      </c>
      <c r="AA58" s="26">
        <f>VLOOKUP(S58,CPI!$A$2:$E$67,5,0)</f>
        <v>1.124486105</v>
      </c>
      <c r="AB58" s="27">
        <f t="shared" si="8"/>
        <v>3535.519254</v>
      </c>
      <c r="AC58" s="27">
        <f t="shared" si="9"/>
        <v>220.9699534</v>
      </c>
    </row>
    <row r="59">
      <c r="A59" s="105">
        <v>7560.0</v>
      </c>
      <c r="B59" s="26" t="s">
        <v>211</v>
      </c>
      <c r="C59" s="26" t="s">
        <v>212</v>
      </c>
      <c r="D59" s="26" t="s">
        <v>213</v>
      </c>
      <c r="E59" s="26" t="s">
        <v>213</v>
      </c>
      <c r="F59" s="25">
        <v>2013.0</v>
      </c>
      <c r="G59" s="25">
        <v>2019.0</v>
      </c>
      <c r="H59" s="25">
        <v>1.0</v>
      </c>
      <c r="I59" s="25">
        <v>8.8</v>
      </c>
      <c r="J59" s="50">
        <v>0.96</v>
      </c>
      <c r="K59" s="25">
        <v>8.4</v>
      </c>
      <c r="L59" s="51">
        <v>0.14</v>
      </c>
      <c r="M59" s="51">
        <v>0.212</v>
      </c>
      <c r="N59" s="25">
        <v>4.0</v>
      </c>
      <c r="O59" s="25"/>
      <c r="P59" s="26" t="s">
        <v>59</v>
      </c>
      <c r="Q59" s="52">
        <v>1567.0</v>
      </c>
      <c r="R59" s="26" t="s">
        <v>214</v>
      </c>
      <c r="S59" s="25">
        <v>2016.0</v>
      </c>
      <c r="T59" s="25">
        <v>0.68</v>
      </c>
      <c r="U59" s="25">
        <f t="shared" si="17"/>
        <v>1065.56</v>
      </c>
      <c r="V59" s="24">
        <f t="shared" si="3"/>
        <v>121.0863636</v>
      </c>
      <c r="W59" s="3">
        <f t="shared" si="29"/>
        <v>1</v>
      </c>
      <c r="X59" s="3">
        <f t="shared" si="30"/>
        <v>8.8</v>
      </c>
      <c r="Y59" s="3">
        <f t="shared" si="31"/>
        <v>8.4</v>
      </c>
      <c r="Z59" s="25">
        <f t="shared" si="32"/>
        <v>0</v>
      </c>
      <c r="AA59" s="26">
        <f>VLOOKUP(S59,CPI!$A$2:$E$67,5,0)</f>
        <v>1.269554638</v>
      </c>
      <c r="AB59" s="27">
        <f t="shared" si="8"/>
        <v>1352.78664</v>
      </c>
      <c r="AC59" s="27">
        <f t="shared" si="9"/>
        <v>153.7257546</v>
      </c>
    </row>
    <row r="60">
      <c r="A60" s="105"/>
      <c r="B60" s="63" t="s">
        <v>211</v>
      </c>
      <c r="C60" s="63" t="s">
        <v>216</v>
      </c>
      <c r="D60" s="63" t="s">
        <v>54</v>
      </c>
      <c r="E60" s="63" t="s">
        <v>54</v>
      </c>
      <c r="F60" s="58">
        <v>2002.0</v>
      </c>
      <c r="G60" s="58">
        <v>2008.0</v>
      </c>
      <c r="H60" s="58">
        <v>0.0</v>
      </c>
      <c r="I60" s="58">
        <v>6.0</v>
      </c>
      <c r="J60" s="50"/>
      <c r="K60" s="58">
        <v>4.5</v>
      </c>
      <c r="L60" s="58">
        <v>1.5</v>
      </c>
      <c r="M60" s="58">
        <v>0.0</v>
      </c>
      <c r="N60" s="58">
        <v>14.0</v>
      </c>
      <c r="O60" s="58">
        <v>30.0</v>
      </c>
      <c r="P60" s="63" t="s">
        <v>74</v>
      </c>
      <c r="Q60" s="55">
        <v>410.0</v>
      </c>
      <c r="R60" s="63" t="s">
        <v>214</v>
      </c>
      <c r="S60" s="58">
        <v>2000.0</v>
      </c>
      <c r="T60" s="58">
        <v>0.65</v>
      </c>
      <c r="U60" s="25">
        <f t="shared" si="17"/>
        <v>266.5</v>
      </c>
      <c r="V60" s="24">
        <f t="shared" si="3"/>
        <v>44.41666667</v>
      </c>
      <c r="W60" s="3">
        <f t="shared" si="29"/>
        <v>1</v>
      </c>
      <c r="X60" s="3">
        <f t="shared" si="30"/>
        <v>6</v>
      </c>
      <c r="Y60" s="3">
        <f t="shared" si="31"/>
        <v>4.5</v>
      </c>
      <c r="Z60" s="25">
        <f t="shared" si="32"/>
        <v>0</v>
      </c>
      <c r="AA60" s="26">
        <f>VLOOKUP(S60,CPI!$A$2:$E$67,5,0)</f>
        <v>1.769465738</v>
      </c>
      <c r="AB60" s="27">
        <f t="shared" si="8"/>
        <v>471.562619</v>
      </c>
      <c r="AC60" s="27">
        <f t="shared" si="9"/>
        <v>78.59376984</v>
      </c>
    </row>
    <row r="61">
      <c r="A61" s="105">
        <v>7529.0</v>
      </c>
      <c r="B61" s="26" t="s">
        <v>211</v>
      </c>
      <c r="C61" s="26" t="s">
        <v>218</v>
      </c>
      <c r="D61" s="26" t="s">
        <v>219</v>
      </c>
      <c r="E61" s="26" t="s">
        <v>219</v>
      </c>
      <c r="F61" s="25">
        <v>2008.0</v>
      </c>
      <c r="G61" s="25">
        <v>2013.0</v>
      </c>
      <c r="H61" s="25">
        <v>1.0</v>
      </c>
      <c r="I61" s="25">
        <v>1.5</v>
      </c>
      <c r="J61" s="50">
        <v>0.9</v>
      </c>
      <c r="K61" s="25">
        <v>1.4</v>
      </c>
      <c r="L61" s="51">
        <v>0.0</v>
      </c>
      <c r="M61" s="51">
        <v>0.0</v>
      </c>
      <c r="N61" s="25">
        <v>1.0</v>
      </c>
      <c r="O61" s="25"/>
      <c r="P61" s="26" t="s">
        <v>60</v>
      </c>
      <c r="Q61" s="52">
        <v>220.2</v>
      </c>
      <c r="R61" s="26" t="s">
        <v>214</v>
      </c>
      <c r="S61" s="25">
        <v>2010.0</v>
      </c>
      <c r="T61" s="25">
        <v>0.68</v>
      </c>
      <c r="U61" s="25">
        <f t="shared" si="17"/>
        <v>149.736</v>
      </c>
      <c r="V61" s="24">
        <f t="shared" si="3"/>
        <v>99.824</v>
      </c>
      <c r="W61" s="3">
        <f t="shared" si="29"/>
        <v>1</v>
      </c>
      <c r="X61" s="3">
        <f t="shared" si="30"/>
        <v>1.5</v>
      </c>
      <c r="Y61" s="3">
        <f t="shared" si="31"/>
        <v>1.4</v>
      </c>
      <c r="Z61" s="25">
        <f t="shared" si="32"/>
        <v>0</v>
      </c>
      <c r="AA61" s="26">
        <f>VLOOKUP(S61,CPI!$A$2:$E$67,5,0)</f>
        <v>1.397356642</v>
      </c>
      <c r="AB61" s="27">
        <f t="shared" si="8"/>
        <v>209.2345942</v>
      </c>
      <c r="AC61" s="27">
        <f t="shared" si="9"/>
        <v>139.4897295</v>
      </c>
    </row>
    <row r="62">
      <c r="A62" s="105">
        <v>7530.0</v>
      </c>
      <c r="B62" s="26" t="s">
        <v>211</v>
      </c>
      <c r="C62" s="26" t="s">
        <v>221</v>
      </c>
      <c r="D62" s="26" t="s">
        <v>222</v>
      </c>
      <c r="E62" s="26" t="s">
        <v>222</v>
      </c>
      <c r="F62" s="25">
        <v>2007.0</v>
      </c>
      <c r="G62" s="25">
        <v>2014.0</v>
      </c>
      <c r="H62" s="25">
        <v>1.0</v>
      </c>
      <c r="I62" s="25">
        <v>9.6</v>
      </c>
      <c r="J62" s="50">
        <v>0.5</v>
      </c>
      <c r="K62" s="25">
        <v>4.8</v>
      </c>
      <c r="L62" s="51">
        <v>0.2</v>
      </c>
      <c r="M62" s="51">
        <v>4.6</v>
      </c>
      <c r="N62" s="25">
        <v>1.0</v>
      </c>
      <c r="O62" s="25"/>
      <c r="P62" s="26" t="s">
        <v>36</v>
      </c>
      <c r="Q62" s="52">
        <v>2030.0</v>
      </c>
      <c r="R62" s="26" t="s">
        <v>214</v>
      </c>
      <c r="S62" s="25">
        <v>2010.0</v>
      </c>
      <c r="T62" s="25">
        <v>0.68</v>
      </c>
      <c r="U62" s="25">
        <f t="shared" si="17"/>
        <v>1380.4</v>
      </c>
      <c r="V62" s="24">
        <f t="shared" si="3"/>
        <v>143.7916667</v>
      </c>
      <c r="W62" s="3">
        <f t="shared" si="29"/>
        <v>1</v>
      </c>
      <c r="X62" s="3">
        <f t="shared" si="30"/>
        <v>9.6</v>
      </c>
      <c r="Y62" s="3">
        <f t="shared" si="31"/>
        <v>4.8</v>
      </c>
      <c r="Z62" s="25">
        <f t="shared" si="32"/>
        <v>0</v>
      </c>
      <c r="AA62" s="26">
        <f>VLOOKUP(S62,CPI!$A$2:$E$67,5,0)</f>
        <v>1.397356642</v>
      </c>
      <c r="AB62" s="27">
        <f t="shared" si="8"/>
        <v>1928.911109</v>
      </c>
      <c r="AC62" s="27">
        <f t="shared" si="9"/>
        <v>200.9282405</v>
      </c>
    </row>
    <row r="63">
      <c r="A63" s="105">
        <v>7338.0</v>
      </c>
      <c r="B63" s="26" t="s">
        <v>224</v>
      </c>
      <c r="C63" s="26" t="s">
        <v>225</v>
      </c>
      <c r="D63" s="26" t="s">
        <v>226</v>
      </c>
      <c r="E63" s="26" t="s">
        <v>226</v>
      </c>
      <c r="F63" s="25">
        <v>2013.0</v>
      </c>
      <c r="G63" s="25">
        <v>2019.0</v>
      </c>
      <c r="H63" s="25">
        <v>0.0</v>
      </c>
      <c r="I63" s="25">
        <v>37.0</v>
      </c>
      <c r="J63" s="50">
        <v>1.0</v>
      </c>
      <c r="K63" s="25">
        <v>37.0</v>
      </c>
      <c r="L63" s="51">
        <v>0.0</v>
      </c>
      <c r="M63" s="51">
        <v>0.0</v>
      </c>
      <c r="N63" s="25">
        <v>28.0</v>
      </c>
      <c r="O63" s="25"/>
      <c r="P63" s="26" t="s">
        <v>60</v>
      </c>
      <c r="Q63" s="52">
        <v>3000.0</v>
      </c>
      <c r="R63" s="26" t="s">
        <v>37</v>
      </c>
      <c r="S63" s="25">
        <v>2016.0</v>
      </c>
      <c r="T63" s="25">
        <v>1.7</v>
      </c>
      <c r="U63" s="25">
        <f t="shared" si="17"/>
        <v>5100</v>
      </c>
      <c r="V63" s="24">
        <f t="shared" si="3"/>
        <v>137.8378378</v>
      </c>
      <c r="W63" s="3">
        <f t="shared" si="29"/>
        <v>0</v>
      </c>
      <c r="X63" s="3">
        <f t="shared" si="30"/>
        <v>0</v>
      </c>
      <c r="Y63" s="3">
        <f t="shared" si="31"/>
        <v>0</v>
      </c>
      <c r="Z63" s="25">
        <f t="shared" si="32"/>
        <v>0</v>
      </c>
      <c r="AA63" s="26">
        <f>VLOOKUP(S63,CPI!$A$2:$E$67,5,0)</f>
        <v>1.269554638</v>
      </c>
      <c r="AB63" s="27">
        <f t="shared" si="8"/>
        <v>6474.728654</v>
      </c>
      <c r="AC63" s="27">
        <f t="shared" si="9"/>
        <v>174.9926663</v>
      </c>
    </row>
    <row r="64">
      <c r="A64" s="105">
        <v>7337.0</v>
      </c>
      <c r="B64" s="26" t="s">
        <v>224</v>
      </c>
      <c r="C64" s="26" t="s">
        <v>225</v>
      </c>
      <c r="D64" s="26" t="s">
        <v>228</v>
      </c>
      <c r="E64" s="26" t="s">
        <v>228</v>
      </c>
      <c r="F64" s="25">
        <v>2021.0</v>
      </c>
      <c r="G64" s="25">
        <v>2026.0</v>
      </c>
      <c r="H64" s="25">
        <v>0.0</v>
      </c>
      <c r="I64" s="25">
        <v>24.8</v>
      </c>
      <c r="J64" s="50">
        <v>1.0</v>
      </c>
      <c r="K64" s="25">
        <v>24.8</v>
      </c>
      <c r="L64" s="51">
        <v>0.0</v>
      </c>
      <c r="M64" s="51">
        <v>0.0</v>
      </c>
      <c r="N64" s="25">
        <v>21.0</v>
      </c>
      <c r="O64" s="25"/>
      <c r="P64" s="26" t="s">
        <v>60</v>
      </c>
      <c r="Q64" s="52">
        <v>2900.0</v>
      </c>
      <c r="R64" s="26" t="s">
        <v>37</v>
      </c>
      <c r="S64" s="25">
        <v>2022.0</v>
      </c>
      <c r="T64" s="25">
        <v>1.7</v>
      </c>
      <c r="U64" s="25">
        <f t="shared" si="17"/>
        <v>4930</v>
      </c>
      <c r="V64" s="24">
        <f t="shared" si="3"/>
        <v>198.7903226</v>
      </c>
      <c r="W64" s="3">
        <f t="shared" si="29"/>
        <v>0</v>
      </c>
      <c r="X64" s="3">
        <f t="shared" si="30"/>
        <v>0</v>
      </c>
      <c r="Y64" s="3">
        <f t="shared" si="31"/>
        <v>0</v>
      </c>
      <c r="Z64" s="25">
        <f t="shared" si="32"/>
        <v>0</v>
      </c>
      <c r="AA64" s="26">
        <f>VLOOKUP(S64,CPI!$A$2:$E$67,5,0)</f>
        <v>1.041164511</v>
      </c>
      <c r="AB64" s="27">
        <f t="shared" si="8"/>
        <v>5132.94104</v>
      </c>
      <c r="AC64" s="27">
        <f t="shared" si="9"/>
        <v>206.973429</v>
      </c>
    </row>
    <row r="65">
      <c r="A65" s="105">
        <v>7649.0</v>
      </c>
      <c r="B65" s="130" t="s">
        <v>230</v>
      </c>
      <c r="C65" s="130" t="s">
        <v>231</v>
      </c>
      <c r="D65" s="36" t="s">
        <v>236</v>
      </c>
      <c r="E65" s="130" t="s">
        <v>236</v>
      </c>
      <c r="F65" s="130">
        <v>1999.0</v>
      </c>
      <c r="G65" s="130">
        <v>2003.0</v>
      </c>
      <c r="H65" s="130">
        <v>0.0</v>
      </c>
      <c r="I65" s="130">
        <v>40.85</v>
      </c>
      <c r="J65" s="131">
        <v>0.0</v>
      </c>
      <c r="K65" s="130">
        <v>0.0</v>
      </c>
      <c r="L65" s="132">
        <v>13.855</v>
      </c>
      <c r="M65" s="132">
        <v>26.995</v>
      </c>
      <c r="N65" s="130">
        <v>17.0</v>
      </c>
      <c r="O65" s="133">
        <v>117.0</v>
      </c>
      <c r="P65" s="134" t="s">
        <v>74</v>
      </c>
      <c r="Q65" s="135">
        <f>6.57*10^3</f>
        <v>6570</v>
      </c>
      <c r="R65" s="130" t="s">
        <v>234</v>
      </c>
      <c r="S65" s="130">
        <v>1999.0</v>
      </c>
      <c r="T65" s="136">
        <v>0.367</v>
      </c>
      <c r="U65" s="128">
        <f t="shared" si="17"/>
        <v>2411.19</v>
      </c>
      <c r="V65" s="24">
        <f t="shared" si="3"/>
        <v>59.025459</v>
      </c>
      <c r="W65" s="3">
        <f t="shared" si="29"/>
        <v>0</v>
      </c>
      <c r="X65" s="3">
        <f t="shared" si="30"/>
        <v>0</v>
      </c>
      <c r="Y65" s="3">
        <f t="shared" si="31"/>
        <v>0</v>
      </c>
      <c r="Z65" s="25">
        <f t="shared" si="32"/>
        <v>0</v>
      </c>
      <c r="AA65" s="26">
        <f>VLOOKUP(S65,CPI!$A$2:$E$67,5,0)</f>
        <v>1.828943577</v>
      </c>
      <c r="AB65" s="27">
        <f t="shared" si="8"/>
        <v>4409.930464</v>
      </c>
      <c r="AC65" s="27">
        <f t="shared" si="9"/>
        <v>107.9542341</v>
      </c>
    </row>
    <row r="66">
      <c r="A66" s="105">
        <v>8065.0</v>
      </c>
      <c r="B66" s="130" t="s">
        <v>230</v>
      </c>
      <c r="C66" s="130" t="s">
        <v>231</v>
      </c>
      <c r="D66" s="130" t="s">
        <v>84</v>
      </c>
      <c r="E66" s="130" t="s">
        <v>84</v>
      </c>
      <c r="F66" s="130">
        <v>2002.0</v>
      </c>
      <c r="G66" s="130">
        <v>2007.0</v>
      </c>
      <c r="H66" s="130">
        <v>0.0</v>
      </c>
      <c r="I66" s="130">
        <v>27.6</v>
      </c>
      <c r="J66" s="131"/>
      <c r="K66" s="130"/>
      <c r="L66" s="132" t="e">
        <v>#N/A</v>
      </c>
      <c r="M66" s="132" t="e">
        <v>#N/A</v>
      </c>
      <c r="N66" s="130">
        <v>23.0</v>
      </c>
      <c r="O66" s="138"/>
      <c r="P66" s="130" t="s">
        <v>42</v>
      </c>
      <c r="Q66" s="135">
        <v>12000.0</v>
      </c>
      <c r="R66" s="130" t="s">
        <v>234</v>
      </c>
      <c r="S66" s="130">
        <v>2004.0</v>
      </c>
      <c r="T66" s="136">
        <v>0.355</v>
      </c>
      <c r="U66" s="128">
        <f>T66*Q66</f>
        <v>4260</v>
      </c>
      <c r="V66" s="24">
        <f t="shared" si="3"/>
        <v>154.3478261</v>
      </c>
      <c r="W66" s="3">
        <f t="shared" si="29"/>
        <v>0</v>
      </c>
      <c r="X66" s="3">
        <f t="shared" si="30"/>
        <v>0</v>
      </c>
      <c r="Y66" s="3">
        <f t="shared" si="31"/>
        <v>0</v>
      </c>
      <c r="Z66" s="25">
        <f t="shared" si="32"/>
        <v>0</v>
      </c>
      <c r="AA66" s="26">
        <f>VLOOKUP(S66,CPI!$A$2:$E$67,5,0)</f>
        <v>1.613033351</v>
      </c>
      <c r="AB66" s="27">
        <f t="shared" si="8"/>
        <v>6871.522075</v>
      </c>
      <c r="AC66" s="27">
        <f t="shared" si="9"/>
        <v>248.9681911</v>
      </c>
    </row>
    <row r="67">
      <c r="A67" s="139">
        <v>7960.0</v>
      </c>
      <c r="B67" s="123" t="s">
        <v>230</v>
      </c>
      <c r="C67" s="123" t="s">
        <v>231</v>
      </c>
      <c r="D67" s="36" t="s">
        <v>239</v>
      </c>
      <c r="E67" s="123" t="s">
        <v>240</v>
      </c>
      <c r="F67" s="75">
        <v>2003.0</v>
      </c>
      <c r="G67" s="75">
        <v>2008.0</v>
      </c>
      <c r="H67" s="75">
        <v>0.0</v>
      </c>
      <c r="I67" s="75">
        <v>24.64</v>
      </c>
      <c r="J67" s="124">
        <v>1.0</v>
      </c>
      <c r="K67" s="75">
        <v>24.64</v>
      </c>
      <c r="L67" s="125">
        <v>0.0</v>
      </c>
      <c r="M67" s="125">
        <v>0.0</v>
      </c>
      <c r="N67" s="75">
        <v>22.0</v>
      </c>
      <c r="O67" s="75"/>
      <c r="P67" s="123" t="s">
        <v>42</v>
      </c>
      <c r="Q67" s="126">
        <v>13700.0</v>
      </c>
      <c r="R67" s="123" t="s">
        <v>234</v>
      </c>
      <c r="S67" s="75">
        <v>2005.0</v>
      </c>
      <c r="T67" s="136">
        <v>0.3519</v>
      </c>
      <c r="U67" s="128">
        <f>Q67*T67</f>
        <v>4821.03</v>
      </c>
      <c r="V67" s="24">
        <f t="shared" si="3"/>
        <v>195.6586851</v>
      </c>
      <c r="W67" s="3">
        <f t="shared" si="29"/>
        <v>0</v>
      </c>
      <c r="X67" s="3">
        <f t="shared" si="30"/>
        <v>0</v>
      </c>
      <c r="Y67" s="3">
        <f t="shared" si="31"/>
        <v>0</v>
      </c>
      <c r="Z67" s="25">
        <f t="shared" si="32"/>
        <v>0</v>
      </c>
      <c r="AA67" s="26">
        <f>VLOOKUP(S67,CPI!$A$2:$E$67,5,0)</f>
        <v>1.560174091</v>
      </c>
      <c r="AB67" s="27">
        <f t="shared" si="8"/>
        <v>7521.646099</v>
      </c>
      <c r="AC67" s="27">
        <f t="shared" si="9"/>
        <v>305.2616111</v>
      </c>
    </row>
    <row r="68">
      <c r="A68" s="105">
        <v>8139.0</v>
      </c>
      <c r="B68" s="130" t="s">
        <v>230</v>
      </c>
      <c r="C68" s="130" t="s">
        <v>231</v>
      </c>
      <c r="D68" s="36" t="s">
        <v>242</v>
      </c>
      <c r="E68" s="130" t="s">
        <v>242</v>
      </c>
      <c r="F68" s="130">
        <v>2005.0</v>
      </c>
      <c r="G68" s="130">
        <v>2008.0</v>
      </c>
      <c r="H68" s="130">
        <v>0.0</v>
      </c>
      <c r="I68" s="130">
        <v>28.1</v>
      </c>
      <c r="J68" s="131">
        <v>0.0</v>
      </c>
      <c r="K68" s="130">
        <v>0.0</v>
      </c>
      <c r="L68" s="132">
        <v>17.315</v>
      </c>
      <c r="M68" s="132">
        <v>10.785</v>
      </c>
      <c r="N68" s="130">
        <v>4.0</v>
      </c>
      <c r="O68" s="138"/>
      <c r="P68" s="130" t="s">
        <v>59</v>
      </c>
      <c r="Q68" s="135">
        <v>622.3</v>
      </c>
      <c r="R68" s="130" t="s">
        <v>234</v>
      </c>
      <c r="S68" s="130">
        <v>2005.0</v>
      </c>
      <c r="T68" s="136">
        <v>0.3519</v>
      </c>
      <c r="U68" s="128">
        <f t="shared" ref="U68:U69" si="33">T68*Q68</f>
        <v>218.98737</v>
      </c>
      <c r="V68" s="24">
        <f t="shared" si="3"/>
        <v>7.79314484</v>
      </c>
      <c r="W68" s="3">
        <f t="shared" si="29"/>
        <v>0</v>
      </c>
      <c r="X68" s="3">
        <f t="shared" si="30"/>
        <v>0</v>
      </c>
      <c r="Y68" s="3">
        <f t="shared" si="31"/>
        <v>0</v>
      </c>
      <c r="Z68" s="25">
        <f t="shared" si="32"/>
        <v>0</v>
      </c>
      <c r="AA68" s="26">
        <f>VLOOKUP(S68,CPI!$A$2:$E$67,5,0)</f>
        <v>1.560174091</v>
      </c>
      <c r="AB68" s="27">
        <f t="shared" si="8"/>
        <v>341.658421</v>
      </c>
      <c r="AC68" s="27">
        <f t="shared" si="9"/>
        <v>12.15866267</v>
      </c>
    </row>
    <row r="69">
      <c r="A69" s="105">
        <v>7987.0</v>
      </c>
      <c r="B69" s="130" t="s">
        <v>230</v>
      </c>
      <c r="C69" s="130" t="s">
        <v>231</v>
      </c>
      <c r="D69" s="36" t="s">
        <v>243</v>
      </c>
      <c r="E69" s="130" t="s">
        <v>244</v>
      </c>
      <c r="F69" s="130">
        <v>2005.0</v>
      </c>
      <c r="G69" s="130">
        <v>2008.0</v>
      </c>
      <c r="H69" s="130">
        <v>0.0</v>
      </c>
      <c r="I69" s="130">
        <v>4.528</v>
      </c>
      <c r="J69" s="131">
        <v>1.0</v>
      </c>
      <c r="K69" s="130">
        <v>4.528</v>
      </c>
      <c r="L69" s="132">
        <v>0.0</v>
      </c>
      <c r="M69" s="132">
        <v>0.0</v>
      </c>
      <c r="N69" s="130">
        <v>4.0</v>
      </c>
      <c r="O69" s="138"/>
      <c r="P69" s="130" t="s">
        <v>42</v>
      </c>
      <c r="Q69" s="135">
        <v>2420.0</v>
      </c>
      <c r="R69" s="130" t="s">
        <v>234</v>
      </c>
      <c r="S69" s="130">
        <v>2005.0</v>
      </c>
      <c r="T69" s="136">
        <v>0.3519</v>
      </c>
      <c r="U69" s="128">
        <f t="shared" si="33"/>
        <v>851.598</v>
      </c>
      <c r="V69" s="24">
        <f t="shared" si="3"/>
        <v>188.0737633</v>
      </c>
      <c r="W69" s="3">
        <f t="shared" si="29"/>
        <v>0</v>
      </c>
      <c r="X69" s="3">
        <f t="shared" si="30"/>
        <v>0</v>
      </c>
      <c r="Y69" s="3">
        <f t="shared" si="31"/>
        <v>0</v>
      </c>
      <c r="Z69" s="25">
        <f t="shared" si="32"/>
        <v>0</v>
      </c>
      <c r="AA69" s="26">
        <f>VLOOKUP(S69,CPI!$A$2:$E$67,5,0)</f>
        <v>1.560174091</v>
      </c>
      <c r="AB69" s="27">
        <f t="shared" si="8"/>
        <v>1328.641136</v>
      </c>
      <c r="AC69" s="27">
        <f t="shared" si="9"/>
        <v>293.4278126</v>
      </c>
    </row>
    <row r="70">
      <c r="A70" s="105">
        <v>7640.0</v>
      </c>
      <c r="B70" s="130" t="s">
        <v>230</v>
      </c>
      <c r="C70" s="130" t="s">
        <v>231</v>
      </c>
      <c r="D70" s="130" t="s">
        <v>110</v>
      </c>
      <c r="E70" s="130" t="s">
        <v>110</v>
      </c>
      <c r="F70" s="130">
        <v>2004.0</v>
      </c>
      <c r="G70" s="130">
        <v>2009.0</v>
      </c>
      <c r="H70" s="130">
        <v>0.0</v>
      </c>
      <c r="I70" s="130">
        <v>28.2</v>
      </c>
      <c r="J70" s="131">
        <f>K70/I70</f>
        <v>0.9516666667</v>
      </c>
      <c r="K70" s="130">
        <v>26.837</v>
      </c>
      <c r="L70" s="132">
        <v>0.0</v>
      </c>
      <c r="M70" s="132">
        <v>0.0</v>
      </c>
      <c r="N70" s="130">
        <v>24.0</v>
      </c>
      <c r="O70" s="133">
        <v>117.0</v>
      </c>
      <c r="P70" s="130" t="s">
        <v>42</v>
      </c>
      <c r="Q70" s="140">
        <v>15380.0</v>
      </c>
      <c r="R70" s="130" t="s">
        <v>234</v>
      </c>
      <c r="S70" s="130">
        <v>2005.0</v>
      </c>
      <c r="T70" s="136">
        <v>0.3519</v>
      </c>
      <c r="U70" s="128">
        <f>Q70*T70</f>
        <v>5412.222</v>
      </c>
      <c r="V70" s="24">
        <f t="shared" si="3"/>
        <v>191.922766</v>
      </c>
      <c r="W70" s="3">
        <f t="shared" si="29"/>
        <v>0</v>
      </c>
      <c r="X70" s="3">
        <f t="shared" si="30"/>
        <v>0</v>
      </c>
      <c r="Y70" s="3">
        <f t="shared" si="31"/>
        <v>0</v>
      </c>
      <c r="Z70" s="25">
        <f t="shared" si="32"/>
        <v>0</v>
      </c>
      <c r="AA70" s="26">
        <f>VLOOKUP(S70,CPI!$A$2:$E$67,5,0)</f>
        <v>1.560174091</v>
      </c>
      <c r="AB70" s="27">
        <f t="shared" si="8"/>
        <v>8444.00854</v>
      </c>
      <c r="AC70" s="27">
        <f t="shared" si="9"/>
        <v>299.4329269</v>
      </c>
    </row>
    <row r="71">
      <c r="A71" s="105">
        <v>8041.0</v>
      </c>
      <c r="B71" s="130" t="s">
        <v>230</v>
      </c>
      <c r="C71" s="130" t="s">
        <v>231</v>
      </c>
      <c r="D71" s="130" t="s">
        <v>247</v>
      </c>
      <c r="E71" s="130" t="s">
        <v>247</v>
      </c>
      <c r="F71" s="130">
        <v>2007.0</v>
      </c>
      <c r="G71" s="130">
        <v>2010.0</v>
      </c>
      <c r="H71" s="130">
        <v>0.0</v>
      </c>
      <c r="I71" s="130">
        <v>21.8</v>
      </c>
      <c r="J71" s="131">
        <v>0.8027522936</v>
      </c>
      <c r="K71" s="130">
        <v>17.5</v>
      </c>
      <c r="L71" s="132">
        <v>4.36</v>
      </c>
      <c r="M71" s="132">
        <v>0.0</v>
      </c>
      <c r="N71" s="130">
        <v>11.0</v>
      </c>
      <c r="O71" s="138"/>
      <c r="P71" s="130" t="s">
        <v>42</v>
      </c>
      <c r="Q71" s="135">
        <v>10930.0</v>
      </c>
      <c r="R71" s="130" t="s">
        <v>234</v>
      </c>
      <c r="S71" s="130">
        <v>2007.0</v>
      </c>
      <c r="T71" s="136">
        <v>0.333</v>
      </c>
      <c r="U71" s="128">
        <f>T71*Q71</f>
        <v>3639.69</v>
      </c>
      <c r="V71" s="24">
        <f t="shared" si="3"/>
        <v>166.9582569</v>
      </c>
      <c r="W71" s="3">
        <f t="shared" si="29"/>
        <v>0</v>
      </c>
      <c r="X71" s="3">
        <f t="shared" si="30"/>
        <v>0</v>
      </c>
      <c r="Y71" s="3">
        <f t="shared" si="31"/>
        <v>0</v>
      </c>
      <c r="Z71" s="25">
        <f t="shared" si="32"/>
        <v>0</v>
      </c>
      <c r="AA71" s="26">
        <f>VLOOKUP(S71,CPI!$A$2:$E$67,5,0)</f>
        <v>1.469562366</v>
      </c>
      <c r="AB71" s="27">
        <f t="shared" si="8"/>
        <v>5348.751446</v>
      </c>
      <c r="AC71" s="27">
        <f t="shared" si="9"/>
        <v>245.3555709</v>
      </c>
    </row>
    <row r="72">
      <c r="A72" s="146"/>
      <c r="B72" s="114" t="s">
        <v>230</v>
      </c>
      <c r="C72" s="114" t="s">
        <v>231</v>
      </c>
      <c r="D72" s="114" t="s">
        <v>253</v>
      </c>
      <c r="E72" s="114" t="s">
        <v>253</v>
      </c>
      <c r="F72" s="116">
        <v>2007.0</v>
      </c>
      <c r="G72" s="116">
        <v>2012.0</v>
      </c>
      <c r="H72" s="116">
        <v>0.0</v>
      </c>
      <c r="I72" s="116">
        <v>16.5</v>
      </c>
      <c r="J72" s="117">
        <v>1.0</v>
      </c>
      <c r="K72" s="116">
        <v>16.5</v>
      </c>
      <c r="L72" s="114"/>
      <c r="M72" s="114"/>
      <c r="N72" s="116">
        <v>13.0</v>
      </c>
      <c r="O72" s="116">
        <v>117.0</v>
      </c>
      <c r="P72" s="114"/>
      <c r="Q72" s="140">
        <v>12900.0</v>
      </c>
      <c r="R72" s="114" t="s">
        <v>234</v>
      </c>
      <c r="S72" s="115">
        <v>2010.0</v>
      </c>
      <c r="T72" s="85">
        <v>0.3</v>
      </c>
      <c r="U72" s="118">
        <f t="shared" ref="U72:U73" si="34">Q72*T72</f>
        <v>3870</v>
      </c>
      <c r="V72" s="24">
        <f t="shared" si="3"/>
        <v>234.5454545</v>
      </c>
      <c r="W72" s="3">
        <f t="shared" si="29"/>
        <v>0</v>
      </c>
      <c r="X72" s="3">
        <f t="shared" si="30"/>
        <v>0</v>
      </c>
      <c r="Y72" s="3">
        <f t="shared" si="31"/>
        <v>0</v>
      </c>
      <c r="Z72" s="25">
        <f t="shared" si="32"/>
        <v>0</v>
      </c>
      <c r="AA72" s="26">
        <f>VLOOKUP(S72,CPI!$A$2:$E$67,5,0)</f>
        <v>1.397356642</v>
      </c>
      <c r="AB72" s="27">
        <f t="shared" si="8"/>
        <v>5407.770206</v>
      </c>
      <c r="AC72" s="27">
        <f t="shared" si="9"/>
        <v>327.7436488</v>
      </c>
    </row>
    <row r="73">
      <c r="A73" s="147">
        <v>7832.0</v>
      </c>
      <c r="B73" s="72" t="s">
        <v>230</v>
      </c>
      <c r="C73" s="72" t="s">
        <v>231</v>
      </c>
      <c r="D73" s="36" t="s">
        <v>80</v>
      </c>
      <c r="E73" s="115" t="s">
        <v>255</v>
      </c>
      <c r="F73" s="69">
        <v>2008.0</v>
      </c>
      <c r="G73" s="69">
        <v>2012.0</v>
      </c>
      <c r="H73" s="69">
        <v>0.0</v>
      </c>
      <c r="I73" s="69">
        <v>30.4</v>
      </c>
      <c r="J73" s="117">
        <v>1.0</v>
      </c>
      <c r="K73" s="69">
        <v>30.4</v>
      </c>
      <c r="L73" s="72"/>
      <c r="M73" s="72"/>
      <c r="N73" s="69">
        <v>20.0</v>
      </c>
      <c r="O73" s="69">
        <v>156.0</v>
      </c>
      <c r="P73" s="72" t="s">
        <v>74</v>
      </c>
      <c r="Q73" s="140">
        <v>28000.0</v>
      </c>
      <c r="R73" s="72" t="s">
        <v>234</v>
      </c>
      <c r="S73" s="6">
        <v>2010.0</v>
      </c>
      <c r="T73" s="136">
        <v>0.3</v>
      </c>
      <c r="U73" s="148">
        <f t="shared" si="34"/>
        <v>8400</v>
      </c>
      <c r="V73" s="24">
        <f t="shared" si="3"/>
        <v>276.3157895</v>
      </c>
      <c r="W73" s="3">
        <f t="shared" si="29"/>
        <v>0</v>
      </c>
      <c r="X73" s="3">
        <f t="shared" si="30"/>
        <v>0</v>
      </c>
      <c r="Y73" s="3">
        <f t="shared" si="31"/>
        <v>0</v>
      </c>
      <c r="Z73" s="25">
        <f t="shared" si="32"/>
        <v>0</v>
      </c>
      <c r="AA73" s="26">
        <f>VLOOKUP(S73,CPI!$A$2:$E$67,5,0)</f>
        <v>1.397356642</v>
      </c>
      <c r="AB73" s="27">
        <f t="shared" si="8"/>
        <v>11737.7958</v>
      </c>
      <c r="AC73" s="27">
        <f t="shared" si="9"/>
        <v>386.1117038</v>
      </c>
    </row>
    <row r="74">
      <c r="A74" s="105">
        <v>8131.0</v>
      </c>
      <c r="B74" s="130" t="s">
        <v>230</v>
      </c>
      <c r="C74" s="130" t="s">
        <v>231</v>
      </c>
      <c r="D74" s="36" t="s">
        <v>243</v>
      </c>
      <c r="E74" s="130" t="s">
        <v>256</v>
      </c>
      <c r="F74" s="130">
        <v>2011.0</v>
      </c>
      <c r="G74" s="130">
        <v>2013.0</v>
      </c>
      <c r="H74" s="130">
        <v>0.0</v>
      </c>
      <c r="I74" s="130">
        <v>6.328</v>
      </c>
      <c r="J74" s="131">
        <v>0.7345132743</v>
      </c>
      <c r="K74" s="130">
        <v>4.648</v>
      </c>
      <c r="L74" s="132">
        <v>1.7091</v>
      </c>
      <c r="M74" s="132">
        <v>0.0</v>
      </c>
      <c r="N74" s="130">
        <v>3.0</v>
      </c>
      <c r="O74" s="138"/>
      <c r="P74" s="130" t="s">
        <v>59</v>
      </c>
      <c r="Q74" s="135">
        <v>3212.2</v>
      </c>
      <c r="R74" s="130" t="s">
        <v>234</v>
      </c>
      <c r="S74" s="130">
        <v>2011.0</v>
      </c>
      <c r="T74" s="136">
        <v>0.284</v>
      </c>
      <c r="U74" s="128">
        <f t="shared" ref="U74:U75" si="35">T74*Q74</f>
        <v>912.2648</v>
      </c>
      <c r="V74" s="24">
        <f t="shared" si="3"/>
        <v>144.1632111</v>
      </c>
      <c r="W74" s="3">
        <f t="shared" si="29"/>
        <v>0</v>
      </c>
      <c r="X74" s="3">
        <f t="shared" si="30"/>
        <v>0</v>
      </c>
      <c r="Y74" s="3">
        <f t="shared" si="31"/>
        <v>0</v>
      </c>
      <c r="Z74" s="25">
        <f t="shared" si="32"/>
        <v>0</v>
      </c>
      <c r="AA74" s="26">
        <f>VLOOKUP(S74,CPI!$A$2:$E$67,5,0)</f>
        <v>1.354598358</v>
      </c>
      <c r="AB74" s="27">
        <f t="shared" si="8"/>
        <v>1235.7524</v>
      </c>
      <c r="AC74" s="27">
        <f t="shared" si="9"/>
        <v>195.283249</v>
      </c>
    </row>
    <row r="75">
      <c r="A75" s="105">
        <v>8112.0</v>
      </c>
      <c r="B75" s="130" t="s">
        <v>230</v>
      </c>
      <c r="C75" s="130" t="s">
        <v>231</v>
      </c>
      <c r="D75" s="16" t="s">
        <v>260</v>
      </c>
      <c r="E75" s="130" t="s">
        <v>261</v>
      </c>
      <c r="F75" s="130">
        <v>2009.0</v>
      </c>
      <c r="G75" s="130">
        <v>2014.0</v>
      </c>
      <c r="H75" s="130">
        <v>0.0</v>
      </c>
      <c r="I75" s="130">
        <v>41.4</v>
      </c>
      <c r="J75" s="131">
        <v>0.6690821256</v>
      </c>
      <c r="K75" s="130">
        <v>27.7</v>
      </c>
      <c r="L75" s="132">
        <v>13.605</v>
      </c>
      <c r="M75" s="132">
        <v>0.471</v>
      </c>
      <c r="N75" s="130">
        <v>18.0</v>
      </c>
      <c r="O75" s="133">
        <v>117.0</v>
      </c>
      <c r="P75" s="130" t="s">
        <v>42</v>
      </c>
      <c r="Q75" s="135">
        <v>18100.0</v>
      </c>
      <c r="R75" s="130" t="s">
        <v>234</v>
      </c>
      <c r="S75" s="130">
        <v>2010.0</v>
      </c>
      <c r="T75" s="136">
        <v>0.3</v>
      </c>
      <c r="U75" s="128">
        <f t="shared" si="35"/>
        <v>5430</v>
      </c>
      <c r="V75" s="24">
        <f t="shared" si="3"/>
        <v>131.1594203</v>
      </c>
      <c r="W75" s="3">
        <f t="shared" si="29"/>
        <v>0</v>
      </c>
      <c r="X75" s="3">
        <f t="shared" si="30"/>
        <v>0</v>
      </c>
      <c r="Y75" s="3">
        <f t="shared" si="31"/>
        <v>0</v>
      </c>
      <c r="Z75" s="25">
        <f t="shared" si="32"/>
        <v>0</v>
      </c>
      <c r="AA75" s="26">
        <f>VLOOKUP(S75,CPI!$A$2:$E$67,5,0)</f>
        <v>1.397356642</v>
      </c>
      <c r="AB75" s="27">
        <f t="shared" si="8"/>
        <v>7587.646568</v>
      </c>
      <c r="AC75" s="27">
        <f t="shared" si="9"/>
        <v>183.2764871</v>
      </c>
    </row>
    <row r="76">
      <c r="A76" s="139">
        <v>7904.0</v>
      </c>
      <c r="B76" s="123" t="s">
        <v>230</v>
      </c>
      <c r="C76" s="123" t="s">
        <v>231</v>
      </c>
      <c r="D76" s="36" t="s">
        <v>228</v>
      </c>
      <c r="E76" s="123" t="s">
        <v>263</v>
      </c>
      <c r="F76" s="75">
        <v>2009.0</v>
      </c>
      <c r="G76" s="75">
        <v>2014.0</v>
      </c>
      <c r="H76" s="75">
        <v>0.0</v>
      </c>
      <c r="I76" s="75">
        <v>23.7</v>
      </c>
      <c r="J76" s="124">
        <v>1.0</v>
      </c>
      <c r="K76" s="75">
        <v>23.7</v>
      </c>
      <c r="L76" s="125">
        <v>0.0</v>
      </c>
      <c r="M76" s="125">
        <v>0.0</v>
      </c>
      <c r="N76" s="75">
        <v>21.0</v>
      </c>
      <c r="O76" s="152"/>
      <c r="P76" s="123" t="s">
        <v>60</v>
      </c>
      <c r="Q76" s="126">
        <v>16000.0</v>
      </c>
      <c r="R76" s="123" t="s">
        <v>234</v>
      </c>
      <c r="S76" s="75">
        <v>2014.0</v>
      </c>
      <c r="T76" s="136">
        <v>0.266</v>
      </c>
      <c r="U76" s="128">
        <f t="shared" ref="U76:U78" si="36">Q76*T76</f>
        <v>4256</v>
      </c>
      <c r="V76" s="24">
        <f t="shared" si="3"/>
        <v>179.5780591</v>
      </c>
      <c r="W76" s="3">
        <f t="shared" si="29"/>
        <v>0</v>
      </c>
      <c r="X76" s="3">
        <f t="shared" si="30"/>
        <v>0</v>
      </c>
      <c r="Y76" s="3">
        <f t="shared" si="31"/>
        <v>0</v>
      </c>
      <c r="Z76" s="25">
        <f t="shared" si="32"/>
        <v>0</v>
      </c>
      <c r="AA76" s="26">
        <f>VLOOKUP(S76,CPI!$A$2:$E$67,5,0)</f>
        <v>1.287096175</v>
      </c>
      <c r="AB76" s="27">
        <f t="shared" si="8"/>
        <v>5477.881319</v>
      </c>
      <c r="AC76" s="27">
        <f t="shared" si="9"/>
        <v>231.1342329</v>
      </c>
    </row>
    <row r="77">
      <c r="A77" s="146"/>
      <c r="B77" s="114" t="s">
        <v>230</v>
      </c>
      <c r="C77" s="114" t="s">
        <v>231</v>
      </c>
      <c r="D77" s="115" t="s">
        <v>80</v>
      </c>
      <c r="E77" s="115" t="s">
        <v>265</v>
      </c>
      <c r="F77" s="116">
        <v>2011.0</v>
      </c>
      <c r="G77" s="116">
        <v>2014.0</v>
      </c>
      <c r="H77" s="116">
        <v>0.0</v>
      </c>
      <c r="I77" s="116">
        <v>12.4</v>
      </c>
      <c r="J77" s="117">
        <v>1.0</v>
      </c>
      <c r="K77" s="116">
        <v>12.4</v>
      </c>
      <c r="L77" s="114"/>
      <c r="M77" s="114"/>
      <c r="N77" s="116">
        <v>8.0</v>
      </c>
      <c r="O77" s="116">
        <v>156.0</v>
      </c>
      <c r="P77" s="114"/>
      <c r="Q77" s="140">
        <v>6000.0</v>
      </c>
      <c r="R77" s="114" t="s">
        <v>234</v>
      </c>
      <c r="S77" s="115">
        <v>2013.0</v>
      </c>
      <c r="T77" s="85">
        <v>0.273</v>
      </c>
      <c r="U77" s="118">
        <f t="shared" si="36"/>
        <v>1638</v>
      </c>
      <c r="V77" s="24">
        <f t="shared" si="3"/>
        <v>132.0967742</v>
      </c>
      <c r="W77" s="3">
        <f t="shared" si="29"/>
        <v>0</v>
      </c>
      <c r="X77" s="3">
        <f t="shared" si="30"/>
        <v>0</v>
      </c>
      <c r="Y77" s="3">
        <f t="shared" si="31"/>
        <v>0</v>
      </c>
      <c r="Z77" s="25">
        <f t="shared" si="32"/>
        <v>0</v>
      </c>
      <c r="AA77" s="26">
        <f>VLOOKUP(S77,CPI!$A$2:$E$67,5,0)</f>
        <v>1.307975292</v>
      </c>
      <c r="AB77" s="27">
        <f t="shared" si="8"/>
        <v>2142.463528</v>
      </c>
      <c r="AC77" s="27">
        <f t="shared" si="9"/>
        <v>172.7793167</v>
      </c>
    </row>
    <row r="78">
      <c r="A78" s="139">
        <v>7785.0</v>
      </c>
      <c r="B78" s="123" t="s">
        <v>230</v>
      </c>
      <c r="C78" s="123" t="s">
        <v>231</v>
      </c>
      <c r="D78" s="36" t="s">
        <v>243</v>
      </c>
      <c r="E78" s="123" t="s">
        <v>272</v>
      </c>
      <c r="F78" s="75">
        <v>2016.0</v>
      </c>
      <c r="G78" s="75">
        <v>2018.0</v>
      </c>
      <c r="H78" s="75">
        <v>0.0</v>
      </c>
      <c r="I78" s="75">
        <v>3.4</v>
      </c>
      <c r="J78" s="124">
        <f>K78/I78</f>
        <v>0.2907647059</v>
      </c>
      <c r="K78" s="75">
        <v>0.9886</v>
      </c>
      <c r="L78" s="125">
        <v>2.414</v>
      </c>
      <c r="M78" s="125">
        <v>0.0</v>
      </c>
      <c r="N78" s="75">
        <v>2.0</v>
      </c>
      <c r="O78" s="75"/>
      <c r="P78" s="123" t="s">
        <v>74</v>
      </c>
      <c r="Q78" s="126">
        <v>3420.0</v>
      </c>
      <c r="R78" s="123" t="s">
        <v>234</v>
      </c>
      <c r="S78" s="75">
        <v>2015.0</v>
      </c>
      <c r="T78" s="136">
        <v>0.258</v>
      </c>
      <c r="U78" s="128">
        <f t="shared" si="36"/>
        <v>882.36</v>
      </c>
      <c r="V78" s="24">
        <f t="shared" si="3"/>
        <v>259.5176471</v>
      </c>
      <c r="W78" s="3">
        <f t="shared" si="29"/>
        <v>0</v>
      </c>
      <c r="X78" s="3">
        <f t="shared" si="30"/>
        <v>0</v>
      </c>
      <c r="Y78" s="3">
        <f t="shared" si="31"/>
        <v>0</v>
      </c>
      <c r="Z78" s="25">
        <f t="shared" si="32"/>
        <v>0</v>
      </c>
      <c r="AA78" s="26">
        <f>VLOOKUP(S78,CPI!$A$2:$E$67,5,0)</f>
        <v>1.285570233</v>
      </c>
      <c r="AB78" s="27">
        <f t="shared" si="8"/>
        <v>1134.335751</v>
      </c>
      <c r="AC78" s="27">
        <f t="shared" si="9"/>
        <v>333.6281621</v>
      </c>
    </row>
    <row r="79">
      <c r="A79" s="105">
        <v>7985.0</v>
      </c>
      <c r="B79" s="130" t="s">
        <v>230</v>
      </c>
      <c r="C79" s="130" t="s">
        <v>231</v>
      </c>
      <c r="D79" s="36" t="s">
        <v>274</v>
      </c>
      <c r="E79" s="130" t="s">
        <v>275</v>
      </c>
      <c r="F79" s="130">
        <v>2016.0</v>
      </c>
      <c r="G79" s="130">
        <v>2019.0</v>
      </c>
      <c r="H79" s="130">
        <v>0.0</v>
      </c>
      <c r="I79" s="130">
        <v>44.0</v>
      </c>
      <c r="J79" s="131"/>
      <c r="K79" s="130"/>
      <c r="L79" s="132" t="e">
        <v>#N/A</v>
      </c>
      <c r="M79" s="132" t="e">
        <v>#N/A</v>
      </c>
      <c r="N79" s="130">
        <v>3.0</v>
      </c>
      <c r="O79" s="138"/>
      <c r="P79" s="130" t="s">
        <v>60</v>
      </c>
      <c r="Q79" s="135">
        <v>27820.0</v>
      </c>
      <c r="R79" s="130" t="s">
        <v>234</v>
      </c>
      <c r="S79" s="130">
        <v>2019.0</v>
      </c>
      <c r="T79" s="136">
        <v>0.238</v>
      </c>
      <c r="U79" s="128">
        <f>T79*Q79</f>
        <v>6621.16</v>
      </c>
      <c r="V79" s="24">
        <f t="shared" si="3"/>
        <v>150.4809091</v>
      </c>
      <c r="W79" s="3">
        <f t="shared" si="29"/>
        <v>0</v>
      </c>
      <c r="X79" s="3">
        <f t="shared" si="30"/>
        <v>0</v>
      </c>
      <c r="Y79" s="3">
        <f t="shared" si="31"/>
        <v>0</v>
      </c>
      <c r="Z79" s="25">
        <f t="shared" si="32"/>
        <v>0</v>
      </c>
      <c r="AA79" s="26">
        <f>VLOOKUP(S79,CPI!$A$2:$E$67,5,0)</f>
        <v>1.191839066</v>
      </c>
      <c r="AB79" s="27">
        <f t="shared" si="8"/>
        <v>7891.357148</v>
      </c>
      <c r="AC79" s="27">
        <f t="shared" si="9"/>
        <v>179.3490261</v>
      </c>
    </row>
    <row r="80">
      <c r="A80" s="107">
        <v>7648.0</v>
      </c>
      <c r="B80" s="72" t="s">
        <v>230</v>
      </c>
      <c r="C80" s="72" t="s">
        <v>231</v>
      </c>
      <c r="D80" s="36" t="s">
        <v>242</v>
      </c>
      <c r="E80" s="72" t="s">
        <v>277</v>
      </c>
      <c r="F80" s="69">
        <v>2016.0</v>
      </c>
      <c r="G80" s="69">
        <v>2020.0</v>
      </c>
      <c r="H80" s="69">
        <v>0.0</v>
      </c>
      <c r="I80" s="69">
        <v>1.83</v>
      </c>
      <c r="J80" s="117">
        <v>1.0</v>
      </c>
      <c r="K80" s="69">
        <v>1.83</v>
      </c>
      <c r="L80" s="72"/>
      <c r="M80" s="72"/>
      <c r="N80" s="69">
        <v>1.0</v>
      </c>
      <c r="O80" s="69">
        <v>68.0</v>
      </c>
      <c r="P80" s="72"/>
      <c r="Q80" s="140">
        <v>1800.0</v>
      </c>
      <c r="R80" s="72" t="s">
        <v>234</v>
      </c>
      <c r="S80" s="69">
        <v>2018.0</v>
      </c>
      <c r="T80" s="136">
        <v>0.237</v>
      </c>
      <c r="U80" s="148">
        <f t="shared" ref="U80:U91" si="37">Q80*T80</f>
        <v>426.6</v>
      </c>
      <c r="V80" s="24">
        <f t="shared" si="3"/>
        <v>233.1147541</v>
      </c>
      <c r="W80" s="3">
        <f t="shared" si="29"/>
        <v>0</v>
      </c>
      <c r="X80" s="3">
        <f t="shared" si="30"/>
        <v>0</v>
      </c>
      <c r="Y80" s="3">
        <f t="shared" si="31"/>
        <v>0</v>
      </c>
      <c r="Z80" s="25">
        <f t="shared" si="32"/>
        <v>0</v>
      </c>
      <c r="AA80" s="26">
        <f>VLOOKUP(S80,CPI!$A$2:$E$67,5,0)</f>
        <v>1.21343491</v>
      </c>
      <c r="AB80" s="27">
        <f t="shared" si="8"/>
        <v>517.6513327</v>
      </c>
      <c r="AC80" s="27">
        <f t="shared" si="9"/>
        <v>282.8695807</v>
      </c>
    </row>
    <row r="81">
      <c r="A81" s="139">
        <v>7816.0</v>
      </c>
      <c r="B81" s="123" t="s">
        <v>230</v>
      </c>
      <c r="C81" s="123" t="s">
        <v>231</v>
      </c>
      <c r="D81" s="36" t="s">
        <v>228</v>
      </c>
      <c r="E81" s="123" t="s">
        <v>279</v>
      </c>
      <c r="F81" s="75">
        <v>2016.0</v>
      </c>
      <c r="G81" s="75">
        <v>2020.0</v>
      </c>
      <c r="H81" s="75">
        <v>0.0</v>
      </c>
      <c r="I81" s="75">
        <v>17.2</v>
      </c>
      <c r="J81" s="124">
        <v>0.8720930233</v>
      </c>
      <c r="K81" s="75">
        <v>15.0</v>
      </c>
      <c r="L81" s="125">
        <v>0.0</v>
      </c>
      <c r="M81" s="125">
        <v>0.0</v>
      </c>
      <c r="N81" s="75">
        <v>9.0</v>
      </c>
      <c r="O81" s="75"/>
      <c r="P81" s="123" t="s">
        <v>60</v>
      </c>
      <c r="Q81" s="126">
        <v>15330.0</v>
      </c>
      <c r="R81" s="123" t="s">
        <v>234</v>
      </c>
      <c r="S81" s="75">
        <v>2016.0</v>
      </c>
      <c r="T81" s="136">
        <v>0.251</v>
      </c>
      <c r="U81" s="128">
        <f t="shared" si="37"/>
        <v>3847.83</v>
      </c>
      <c r="V81" s="24">
        <f t="shared" si="3"/>
        <v>223.7110465</v>
      </c>
      <c r="W81" s="3">
        <f t="shared" si="29"/>
        <v>0</v>
      </c>
      <c r="X81" s="3">
        <f t="shared" si="30"/>
        <v>0</v>
      </c>
      <c r="Y81" s="3">
        <f t="shared" si="31"/>
        <v>0</v>
      </c>
      <c r="Z81" s="25">
        <f t="shared" si="32"/>
        <v>0</v>
      </c>
      <c r="AA81" s="26">
        <f>VLOOKUP(S81,CPI!$A$2:$E$67,5,0)</f>
        <v>1.269554638</v>
      </c>
      <c r="AB81" s="27">
        <f t="shared" si="8"/>
        <v>4885.030423</v>
      </c>
      <c r="AC81" s="27">
        <f t="shared" si="9"/>
        <v>284.0133967</v>
      </c>
    </row>
    <row r="82">
      <c r="A82" s="139">
        <v>7795.0</v>
      </c>
      <c r="B82" s="123" t="s">
        <v>230</v>
      </c>
      <c r="C82" s="123" t="s">
        <v>231</v>
      </c>
      <c r="D82" s="36" t="s">
        <v>281</v>
      </c>
      <c r="E82" s="123" t="s">
        <v>282</v>
      </c>
      <c r="F82" s="75">
        <v>2017.0</v>
      </c>
      <c r="G82" s="75">
        <v>2020.0</v>
      </c>
      <c r="H82" s="75">
        <v>0.0</v>
      </c>
      <c r="I82" s="75">
        <v>5.0</v>
      </c>
      <c r="J82" s="155"/>
      <c r="K82" s="123"/>
      <c r="L82" s="125" t="e">
        <v>#N/A</v>
      </c>
      <c r="M82" s="125" t="e">
        <v>#N/A</v>
      </c>
      <c r="N82" s="75">
        <v>4.0</v>
      </c>
      <c r="O82" s="75"/>
      <c r="P82" s="123" t="s">
        <v>60</v>
      </c>
      <c r="Q82" s="126">
        <v>4860.0</v>
      </c>
      <c r="R82" s="123" t="s">
        <v>234</v>
      </c>
      <c r="S82" s="75">
        <v>2015.0</v>
      </c>
      <c r="T82" s="136">
        <v>0.258</v>
      </c>
      <c r="U82" s="128">
        <f t="shared" si="37"/>
        <v>1253.88</v>
      </c>
      <c r="V82" s="24">
        <f t="shared" si="3"/>
        <v>250.776</v>
      </c>
      <c r="W82" s="3">
        <f t="shared" si="29"/>
        <v>0</v>
      </c>
      <c r="X82" s="3">
        <f t="shared" si="30"/>
        <v>0</v>
      </c>
      <c r="Y82" s="3">
        <f t="shared" si="31"/>
        <v>0</v>
      </c>
      <c r="Z82" s="25">
        <f t="shared" si="32"/>
        <v>0</v>
      </c>
      <c r="AA82" s="26">
        <f>VLOOKUP(S82,CPI!$A$2:$E$67,5,0)</f>
        <v>1.285570233</v>
      </c>
      <c r="AB82" s="27">
        <f t="shared" si="8"/>
        <v>1611.950804</v>
      </c>
      <c r="AC82" s="27">
        <f t="shared" si="9"/>
        <v>322.3901608</v>
      </c>
    </row>
    <row r="83">
      <c r="A83" s="156">
        <v>7794.0</v>
      </c>
      <c r="B83" s="123" t="s">
        <v>230</v>
      </c>
      <c r="C83" s="123" t="s">
        <v>231</v>
      </c>
      <c r="D83" s="123" t="s">
        <v>283</v>
      </c>
      <c r="E83" s="123" t="s">
        <v>283</v>
      </c>
      <c r="F83" s="75">
        <v>2013.0</v>
      </c>
      <c r="G83" s="75">
        <v>2021.0</v>
      </c>
      <c r="H83" s="75">
        <v>0.0</v>
      </c>
      <c r="I83" s="75">
        <v>49.8</v>
      </c>
      <c r="J83" s="124">
        <v>1.0</v>
      </c>
      <c r="K83" s="75">
        <v>49.8</v>
      </c>
      <c r="L83" s="125">
        <v>0.0</v>
      </c>
      <c r="M83" s="125">
        <v>0.0</v>
      </c>
      <c r="N83" s="75">
        <v>29.0</v>
      </c>
      <c r="O83" s="75"/>
      <c r="P83" s="123" t="s">
        <v>42</v>
      </c>
      <c r="Q83" s="157">
        <v>49500.0</v>
      </c>
      <c r="R83" s="123" t="s">
        <v>234</v>
      </c>
      <c r="S83" s="75">
        <v>2013.0</v>
      </c>
      <c r="T83" s="136">
        <v>0.273</v>
      </c>
      <c r="U83" s="128">
        <f t="shared" si="37"/>
        <v>13513.5</v>
      </c>
      <c r="V83" s="24">
        <f t="shared" si="3"/>
        <v>271.3554217</v>
      </c>
      <c r="W83" s="3">
        <f t="shared" si="29"/>
        <v>0</v>
      </c>
      <c r="X83" s="3">
        <f t="shared" si="30"/>
        <v>0</v>
      </c>
      <c r="Y83" s="3">
        <f t="shared" si="31"/>
        <v>0</v>
      </c>
      <c r="Z83" s="25">
        <f t="shared" si="32"/>
        <v>0</v>
      </c>
      <c r="AA83" s="26">
        <f>VLOOKUP(S83,CPI!$A$2:$E$67,5,0)</f>
        <v>1.307975292</v>
      </c>
      <c r="AB83" s="27">
        <f t="shared" si="8"/>
        <v>17675.3241</v>
      </c>
      <c r="AC83" s="27">
        <f t="shared" si="9"/>
        <v>354.9261868</v>
      </c>
    </row>
    <row r="84">
      <c r="A84" s="139">
        <v>7776.0</v>
      </c>
      <c r="B84" s="123" t="s">
        <v>230</v>
      </c>
      <c r="C84" s="123" t="s">
        <v>231</v>
      </c>
      <c r="D84" s="36" t="s">
        <v>87</v>
      </c>
      <c r="E84" s="123" t="s">
        <v>285</v>
      </c>
      <c r="F84" s="75">
        <v>2016.0</v>
      </c>
      <c r="G84" s="75">
        <v>2021.0</v>
      </c>
      <c r="H84" s="75">
        <v>0.0</v>
      </c>
      <c r="I84" s="75">
        <v>37.4</v>
      </c>
      <c r="J84" s="124">
        <v>0.5561497326</v>
      </c>
      <c r="K84" s="75">
        <v>20.8</v>
      </c>
      <c r="L84" s="125">
        <v>0.0</v>
      </c>
      <c r="M84" s="125">
        <v>0.0</v>
      </c>
      <c r="N84" s="75">
        <v>27.0</v>
      </c>
      <c r="O84" s="75"/>
      <c r="P84" s="123" t="s">
        <v>60</v>
      </c>
      <c r="Q84" s="126">
        <v>41500.0</v>
      </c>
      <c r="R84" s="123" t="s">
        <v>234</v>
      </c>
      <c r="S84" s="75">
        <v>2015.0</v>
      </c>
      <c r="T84" s="136">
        <v>0.258</v>
      </c>
      <c r="U84" s="128">
        <f t="shared" si="37"/>
        <v>10707</v>
      </c>
      <c r="V84" s="24">
        <f t="shared" si="3"/>
        <v>286.2834225</v>
      </c>
      <c r="W84" s="3">
        <f t="shared" si="29"/>
        <v>0</v>
      </c>
      <c r="X84" s="3">
        <f t="shared" si="30"/>
        <v>0</v>
      </c>
      <c r="Y84" s="3">
        <f t="shared" si="31"/>
        <v>0</v>
      </c>
      <c r="Z84" s="25">
        <f t="shared" si="32"/>
        <v>0</v>
      </c>
      <c r="AA84" s="26">
        <f>VLOOKUP(S84,CPI!$A$2:$E$67,5,0)</f>
        <v>1.285570233</v>
      </c>
      <c r="AB84" s="27">
        <f t="shared" si="8"/>
        <v>13764.60049</v>
      </c>
      <c r="AC84" s="27">
        <f t="shared" si="9"/>
        <v>368.0374462</v>
      </c>
    </row>
    <row r="85">
      <c r="A85" s="139">
        <v>7777.0</v>
      </c>
      <c r="B85" s="123" t="s">
        <v>230</v>
      </c>
      <c r="C85" s="123" t="s">
        <v>231</v>
      </c>
      <c r="D85" s="36" t="s">
        <v>287</v>
      </c>
      <c r="E85" s="123" t="s">
        <v>287</v>
      </c>
      <c r="F85" s="75">
        <v>2017.0</v>
      </c>
      <c r="G85" s="75">
        <v>2021.0</v>
      </c>
      <c r="H85" s="75">
        <v>0.0</v>
      </c>
      <c r="I85" s="75">
        <v>29.2</v>
      </c>
      <c r="J85" s="124">
        <v>1.0</v>
      </c>
      <c r="K85" s="75">
        <v>29.2</v>
      </c>
      <c r="L85" s="125">
        <v>0.0</v>
      </c>
      <c r="M85" s="125">
        <v>0.0</v>
      </c>
      <c r="N85" s="75">
        <v>21.0</v>
      </c>
      <c r="O85" s="75"/>
      <c r="P85" s="123" t="s">
        <v>60</v>
      </c>
      <c r="Q85" s="126">
        <v>32400.0</v>
      </c>
      <c r="R85" s="123" t="s">
        <v>234</v>
      </c>
      <c r="S85" s="75">
        <v>2015.0</v>
      </c>
      <c r="T85" s="136">
        <v>0.258</v>
      </c>
      <c r="U85" s="128">
        <f t="shared" si="37"/>
        <v>8359.2</v>
      </c>
      <c r="V85" s="24">
        <f t="shared" si="3"/>
        <v>286.2739726</v>
      </c>
      <c r="W85" s="3">
        <f t="shared" si="29"/>
        <v>0</v>
      </c>
      <c r="X85" s="3">
        <f t="shared" si="30"/>
        <v>0</v>
      </c>
      <c r="Y85" s="3">
        <f t="shared" si="31"/>
        <v>0</v>
      </c>
      <c r="Z85" s="25">
        <f t="shared" si="32"/>
        <v>0</v>
      </c>
      <c r="AA85" s="26">
        <f>VLOOKUP(S85,CPI!$A$2:$E$67,5,0)</f>
        <v>1.285570233</v>
      </c>
      <c r="AB85" s="27">
        <f t="shared" si="8"/>
        <v>10746.33869</v>
      </c>
      <c r="AC85" s="27">
        <f t="shared" si="9"/>
        <v>368.0252978</v>
      </c>
    </row>
    <row r="86">
      <c r="A86" s="139">
        <v>7792.0</v>
      </c>
      <c r="B86" s="123" t="s">
        <v>230</v>
      </c>
      <c r="C86" s="123" t="s">
        <v>231</v>
      </c>
      <c r="D86" s="36" t="s">
        <v>288</v>
      </c>
      <c r="E86" s="123" t="s">
        <v>289</v>
      </c>
      <c r="F86" s="75">
        <v>2017.0</v>
      </c>
      <c r="G86" s="75">
        <v>2021.0</v>
      </c>
      <c r="H86" s="75">
        <v>0.0</v>
      </c>
      <c r="I86" s="75">
        <v>22.4</v>
      </c>
      <c r="J86" s="124">
        <v>1.0</v>
      </c>
      <c r="K86" s="75">
        <v>22.4</v>
      </c>
      <c r="L86" s="125">
        <v>0.0</v>
      </c>
      <c r="M86" s="125">
        <v>0.0</v>
      </c>
      <c r="N86" s="75">
        <v>10.0</v>
      </c>
      <c r="O86" s="75"/>
      <c r="P86" s="123" t="s">
        <v>60</v>
      </c>
      <c r="Q86" s="126">
        <v>22180.0</v>
      </c>
      <c r="R86" s="123" t="s">
        <v>234</v>
      </c>
      <c r="S86" s="75">
        <v>2015.0</v>
      </c>
      <c r="T86" s="136">
        <v>0.258</v>
      </c>
      <c r="U86" s="128">
        <f t="shared" si="37"/>
        <v>5722.44</v>
      </c>
      <c r="V86" s="24">
        <f t="shared" si="3"/>
        <v>255.4660714</v>
      </c>
      <c r="W86" s="3">
        <f t="shared" si="29"/>
        <v>0</v>
      </c>
      <c r="X86" s="3">
        <f t="shared" si="30"/>
        <v>0</v>
      </c>
      <c r="Y86" s="3">
        <f t="shared" si="31"/>
        <v>0</v>
      </c>
      <c r="Z86" s="25">
        <f t="shared" si="32"/>
        <v>0</v>
      </c>
      <c r="AA86" s="26">
        <f>VLOOKUP(S86,CPI!$A$2:$E$67,5,0)</f>
        <v>1.285570233</v>
      </c>
      <c r="AB86" s="27">
        <f t="shared" si="8"/>
        <v>7356.598526</v>
      </c>
      <c r="AC86" s="27">
        <f t="shared" si="9"/>
        <v>328.4195771</v>
      </c>
    </row>
    <row r="87">
      <c r="A87" s="139">
        <v>7760.0</v>
      </c>
      <c r="B87" s="123" t="s">
        <v>230</v>
      </c>
      <c r="C87" s="123" t="s">
        <v>231</v>
      </c>
      <c r="D87" s="36" t="s">
        <v>290</v>
      </c>
      <c r="E87" s="123" t="s">
        <v>290</v>
      </c>
      <c r="F87" s="75">
        <v>2017.0</v>
      </c>
      <c r="G87" s="75">
        <v>2021.0</v>
      </c>
      <c r="H87" s="75">
        <v>0.0</v>
      </c>
      <c r="I87" s="75">
        <v>8.777</v>
      </c>
      <c r="J87" s="124">
        <v>1.0</v>
      </c>
      <c r="K87" s="75">
        <v>8.777</v>
      </c>
      <c r="L87" s="125">
        <v>0.0</v>
      </c>
      <c r="M87" s="125">
        <v>0.0</v>
      </c>
      <c r="N87" s="75">
        <v>9.0</v>
      </c>
      <c r="O87" s="75"/>
      <c r="P87" s="123" t="s">
        <v>42</v>
      </c>
      <c r="Q87" s="126">
        <f>12.75*1000</f>
        <v>12750</v>
      </c>
      <c r="R87" s="123" t="s">
        <v>234</v>
      </c>
      <c r="S87" s="75">
        <v>2019.0</v>
      </c>
      <c r="T87" s="136">
        <v>0.238</v>
      </c>
      <c r="U87" s="128">
        <f t="shared" si="37"/>
        <v>3034.5</v>
      </c>
      <c r="V87" s="24">
        <f t="shared" si="3"/>
        <v>345.7331662</v>
      </c>
      <c r="W87" s="3">
        <f t="shared" si="29"/>
        <v>0</v>
      </c>
      <c r="X87" s="3">
        <f t="shared" si="30"/>
        <v>0</v>
      </c>
      <c r="Y87" s="3">
        <f t="shared" si="31"/>
        <v>0</v>
      </c>
      <c r="Z87" s="25">
        <f t="shared" si="32"/>
        <v>0</v>
      </c>
      <c r="AA87" s="26">
        <f>VLOOKUP(S87,CPI!$A$2:$E$67,5,0)</f>
        <v>1.191839066</v>
      </c>
      <c r="AB87" s="27">
        <f t="shared" si="8"/>
        <v>3616.635645</v>
      </c>
      <c r="AC87" s="27">
        <f t="shared" si="9"/>
        <v>412.0582938</v>
      </c>
    </row>
    <row r="88">
      <c r="A88" s="139">
        <v>7769.0</v>
      </c>
      <c r="B88" s="72" t="s">
        <v>230</v>
      </c>
      <c r="C88" s="72" t="s">
        <v>231</v>
      </c>
      <c r="D88" s="115" t="s">
        <v>292</v>
      </c>
      <c r="E88" s="72" t="s">
        <v>293</v>
      </c>
      <c r="F88" s="69">
        <v>2019.0</v>
      </c>
      <c r="G88" s="69">
        <v>2021.0</v>
      </c>
      <c r="H88" s="69">
        <v>0.0</v>
      </c>
      <c r="I88" s="69">
        <v>4.2</v>
      </c>
      <c r="J88" s="117">
        <v>1.0</v>
      </c>
      <c r="K88" s="69">
        <v>4.2</v>
      </c>
      <c r="L88" s="72"/>
      <c r="M88" s="72"/>
      <c r="N88" s="69">
        <v>4.0</v>
      </c>
      <c r="O88" s="69">
        <v>138.0</v>
      </c>
      <c r="P88" s="72"/>
      <c r="Q88" s="140">
        <v>5715.0</v>
      </c>
      <c r="R88" s="72" t="s">
        <v>234</v>
      </c>
      <c r="S88" s="75">
        <v>2020.0</v>
      </c>
      <c r="T88" s="136">
        <v>0.239</v>
      </c>
      <c r="U88" s="118">
        <f t="shared" si="37"/>
        <v>1365.885</v>
      </c>
      <c r="V88" s="24">
        <f t="shared" si="3"/>
        <v>325.2107143</v>
      </c>
      <c r="W88" s="3">
        <f t="shared" si="29"/>
        <v>0</v>
      </c>
      <c r="X88" s="3">
        <f t="shared" si="30"/>
        <v>0</v>
      </c>
      <c r="Y88" s="3">
        <f t="shared" si="31"/>
        <v>0</v>
      </c>
      <c r="Z88" s="25">
        <f t="shared" si="32"/>
        <v>0</v>
      </c>
      <c r="AA88" s="26">
        <f>VLOOKUP(S88,CPI!$A$2:$E$67,5,0)</f>
        <v>1.17731472</v>
      </c>
      <c r="AB88" s="27">
        <f t="shared" si="8"/>
        <v>1608.076516</v>
      </c>
      <c r="AC88" s="27">
        <f t="shared" si="9"/>
        <v>382.875361</v>
      </c>
    </row>
    <row r="89">
      <c r="A89" s="139">
        <v>7824.0</v>
      </c>
      <c r="B89" s="123" t="s">
        <v>230</v>
      </c>
      <c r="C89" s="123" t="s">
        <v>231</v>
      </c>
      <c r="D89" s="16" t="s">
        <v>295</v>
      </c>
      <c r="E89" s="123" t="s">
        <v>296</v>
      </c>
      <c r="F89" s="75">
        <v>2019.0</v>
      </c>
      <c r="G89" s="75">
        <v>2021.0</v>
      </c>
      <c r="H89" s="75">
        <v>0.0</v>
      </c>
      <c r="I89" s="75">
        <v>16.6</v>
      </c>
      <c r="J89" s="155"/>
      <c r="K89" s="123"/>
      <c r="L89" s="125" t="e">
        <v>#N/A</v>
      </c>
      <c r="M89" s="125" t="e">
        <v>#N/A</v>
      </c>
      <c r="N89" s="75">
        <v>8.0</v>
      </c>
      <c r="O89" s="75"/>
      <c r="P89" s="123" t="s">
        <v>60</v>
      </c>
      <c r="Q89" s="126">
        <v>14230.0</v>
      </c>
      <c r="R89" s="123" t="s">
        <v>234</v>
      </c>
      <c r="S89" s="75">
        <v>2015.0</v>
      </c>
      <c r="T89" s="136">
        <v>0.258</v>
      </c>
      <c r="U89" s="128">
        <f t="shared" si="37"/>
        <v>3671.34</v>
      </c>
      <c r="V89" s="24">
        <f t="shared" si="3"/>
        <v>221.1650602</v>
      </c>
      <c r="W89" s="3">
        <f t="shared" si="29"/>
        <v>0</v>
      </c>
      <c r="X89" s="3">
        <f t="shared" si="30"/>
        <v>0</v>
      </c>
      <c r="Y89" s="3">
        <f t="shared" si="31"/>
        <v>0</v>
      </c>
      <c r="Z89" s="25">
        <f t="shared" si="32"/>
        <v>0</v>
      </c>
      <c r="AA89" s="26">
        <f>VLOOKUP(S89,CPI!$A$2:$E$67,5,0)</f>
        <v>1.285570233</v>
      </c>
      <c r="AB89" s="27">
        <f t="shared" si="8"/>
        <v>4719.765421</v>
      </c>
      <c r="AC89" s="27">
        <f t="shared" si="9"/>
        <v>284.3232181</v>
      </c>
    </row>
    <row r="90">
      <c r="A90" s="139">
        <v>7793.0</v>
      </c>
      <c r="B90" s="72" t="s">
        <v>230</v>
      </c>
      <c r="C90" s="72" t="s">
        <v>231</v>
      </c>
      <c r="D90" s="115" t="s">
        <v>121</v>
      </c>
      <c r="E90" s="72" t="s">
        <v>121</v>
      </c>
      <c r="F90" s="69">
        <v>2015.0</v>
      </c>
      <c r="G90" s="69">
        <v>2022.0</v>
      </c>
      <c r="H90" s="69">
        <v>0.0</v>
      </c>
      <c r="I90" s="69">
        <v>49.7</v>
      </c>
      <c r="J90" s="117">
        <v>1.0</v>
      </c>
      <c r="K90" s="69">
        <v>49.7</v>
      </c>
      <c r="L90" s="72"/>
      <c r="M90" s="72"/>
      <c r="N90" s="69">
        <v>20.0</v>
      </c>
      <c r="O90" s="69">
        <v>184.0</v>
      </c>
      <c r="P90" s="72"/>
      <c r="Q90" s="140">
        <v>51085.0</v>
      </c>
      <c r="R90" s="72" t="s">
        <v>234</v>
      </c>
      <c r="S90" s="75">
        <v>2019.0</v>
      </c>
      <c r="T90" s="136">
        <v>0.238</v>
      </c>
      <c r="U90" s="128">
        <f t="shared" si="37"/>
        <v>12158.23</v>
      </c>
      <c r="V90" s="24">
        <f t="shared" si="3"/>
        <v>244.6323944</v>
      </c>
      <c r="W90" s="3">
        <f t="shared" si="29"/>
        <v>0</v>
      </c>
      <c r="X90" s="3">
        <f t="shared" si="30"/>
        <v>0</v>
      </c>
      <c r="Y90" s="3">
        <f t="shared" si="31"/>
        <v>0</v>
      </c>
      <c r="Z90" s="25">
        <f t="shared" si="32"/>
        <v>0</v>
      </c>
      <c r="AA90" s="26">
        <f>VLOOKUP(S90,CPI!$A$2:$E$67,5,0)</f>
        <v>1.191839066</v>
      </c>
      <c r="AB90" s="27">
        <f t="shared" si="8"/>
        <v>14490.65348</v>
      </c>
      <c r="AC90" s="27">
        <f t="shared" si="9"/>
        <v>291.5624443</v>
      </c>
    </row>
    <row r="91">
      <c r="A91" s="139">
        <v>7883.0</v>
      </c>
      <c r="B91" s="123" t="s">
        <v>230</v>
      </c>
      <c r="C91" s="123" t="s">
        <v>231</v>
      </c>
      <c r="D91" s="36" t="s">
        <v>236</v>
      </c>
      <c r="E91" s="123" t="s">
        <v>299</v>
      </c>
      <c r="F91" s="75">
        <v>2019.0</v>
      </c>
      <c r="G91" s="75">
        <v>2022.0</v>
      </c>
      <c r="H91" s="75">
        <v>0.0</v>
      </c>
      <c r="I91" s="75">
        <v>30.2</v>
      </c>
      <c r="J91" s="124">
        <f t="shared" ref="J91:J92" si="38">K91/I91</f>
        <v>0.6026490066</v>
      </c>
      <c r="K91" s="75">
        <v>18.2</v>
      </c>
      <c r="L91" s="125">
        <v>12.08</v>
      </c>
      <c r="M91" s="125">
        <v>0.0</v>
      </c>
      <c r="N91" s="75">
        <v>18.0</v>
      </c>
      <c r="O91" s="75"/>
      <c r="P91" s="123" t="s">
        <v>60</v>
      </c>
      <c r="Q91" s="126">
        <v>23960.0</v>
      </c>
      <c r="R91" s="123" t="s">
        <v>234</v>
      </c>
      <c r="S91" s="75">
        <v>2019.0</v>
      </c>
      <c r="T91" s="136">
        <v>0.238</v>
      </c>
      <c r="U91" s="128">
        <f t="shared" si="37"/>
        <v>5702.48</v>
      </c>
      <c r="V91" s="24">
        <f t="shared" si="3"/>
        <v>188.8238411</v>
      </c>
      <c r="W91" s="3">
        <f t="shared" si="29"/>
        <v>0</v>
      </c>
      <c r="X91" s="3">
        <f t="shared" si="30"/>
        <v>0</v>
      </c>
      <c r="Y91" s="3">
        <f t="shared" si="31"/>
        <v>0</v>
      </c>
      <c r="Z91" s="25">
        <f t="shared" si="32"/>
        <v>0</v>
      </c>
      <c r="AA91" s="26">
        <f>VLOOKUP(S91,CPI!$A$2:$E$67,5,0)</f>
        <v>1.191839066</v>
      </c>
      <c r="AB91" s="27">
        <f t="shared" si="8"/>
        <v>6796.438435</v>
      </c>
      <c r="AC91" s="27">
        <f t="shared" si="9"/>
        <v>225.0476303</v>
      </c>
    </row>
    <row r="92">
      <c r="A92" s="105">
        <v>8129.0</v>
      </c>
      <c r="B92" s="130" t="s">
        <v>230</v>
      </c>
      <c r="C92" s="130" t="s">
        <v>231</v>
      </c>
      <c r="D92" s="36" t="s">
        <v>236</v>
      </c>
      <c r="E92" s="130" t="s">
        <v>301</v>
      </c>
      <c r="F92" s="130">
        <v>2019.0</v>
      </c>
      <c r="G92" s="130">
        <v>2022.0</v>
      </c>
      <c r="H92" s="130">
        <v>0.0</v>
      </c>
      <c r="I92" s="130">
        <v>32.2</v>
      </c>
      <c r="J92" s="131">
        <f t="shared" si="38"/>
        <v>0.3198757764</v>
      </c>
      <c r="K92" s="130">
        <v>10.3</v>
      </c>
      <c r="L92" s="132">
        <v>12.11</v>
      </c>
      <c r="M92" s="132">
        <v>10.108</v>
      </c>
      <c r="N92" s="130">
        <v>15.0</v>
      </c>
      <c r="O92" s="138"/>
      <c r="P92" s="130" t="s">
        <v>60</v>
      </c>
      <c r="Q92" s="135">
        <v>12640.0</v>
      </c>
      <c r="R92" s="130" t="s">
        <v>234</v>
      </c>
      <c r="S92" s="130">
        <v>2019.0</v>
      </c>
      <c r="T92" s="136">
        <v>0.238</v>
      </c>
      <c r="U92" s="128">
        <f>T92*Q92</f>
        <v>3008.32</v>
      </c>
      <c r="V92" s="24">
        <f t="shared" si="3"/>
        <v>93.42608696</v>
      </c>
      <c r="W92" s="3">
        <f t="shared" si="29"/>
        <v>0</v>
      </c>
      <c r="X92" s="3">
        <f t="shared" si="30"/>
        <v>0</v>
      </c>
      <c r="Y92" s="3">
        <f t="shared" si="31"/>
        <v>0</v>
      </c>
      <c r="Z92" s="25">
        <f t="shared" si="32"/>
        <v>0</v>
      </c>
      <c r="AA92" s="26">
        <f>VLOOKUP(S92,CPI!$A$2:$E$67,5,0)</f>
        <v>1.191839066</v>
      </c>
      <c r="AB92" s="27">
        <f t="shared" si="8"/>
        <v>3585.433298</v>
      </c>
      <c r="AC92" s="27">
        <f t="shared" si="9"/>
        <v>111.3488602</v>
      </c>
    </row>
    <row r="93">
      <c r="A93" s="139">
        <v>7864.0</v>
      </c>
      <c r="B93" s="123" t="s">
        <v>230</v>
      </c>
      <c r="C93" s="123" t="s">
        <v>231</v>
      </c>
      <c r="D93" s="36" t="s">
        <v>302</v>
      </c>
      <c r="E93" s="123" t="s">
        <v>302</v>
      </c>
      <c r="F93" s="142">
        <v>2019.0</v>
      </c>
      <c r="G93" s="142">
        <v>2022.0</v>
      </c>
      <c r="H93" s="75">
        <v>0.0</v>
      </c>
      <c r="I93" s="75">
        <v>78.6</v>
      </c>
      <c r="J93" s="124">
        <v>0.62</v>
      </c>
      <c r="K93" s="75">
        <v>48.5</v>
      </c>
      <c r="L93" s="125">
        <v>0.0</v>
      </c>
      <c r="M93" s="125">
        <v>0.0</v>
      </c>
      <c r="N93" s="75">
        <v>20.0</v>
      </c>
      <c r="O93" s="75"/>
      <c r="P93" s="123" t="s">
        <v>60</v>
      </c>
      <c r="Q93" s="126">
        <v>63930.0</v>
      </c>
      <c r="R93" s="123" t="s">
        <v>234</v>
      </c>
      <c r="S93" s="75">
        <v>2019.0</v>
      </c>
      <c r="T93" s="136">
        <v>0.238</v>
      </c>
      <c r="U93" s="128">
        <f t="shared" ref="U93:U94" si="39">Q93*T93</f>
        <v>15215.34</v>
      </c>
      <c r="V93" s="24">
        <f t="shared" si="3"/>
        <v>193.5793893</v>
      </c>
      <c r="W93" s="3">
        <f t="shared" si="29"/>
        <v>0</v>
      </c>
      <c r="X93" s="3">
        <f t="shared" si="30"/>
        <v>0</v>
      </c>
      <c r="Y93" s="3">
        <f t="shared" si="31"/>
        <v>0</v>
      </c>
      <c r="Z93" s="25">
        <f t="shared" si="32"/>
        <v>0</v>
      </c>
      <c r="AA93" s="26">
        <f>VLOOKUP(S93,CPI!$A$2:$E$67,5,0)</f>
        <v>1.191839066</v>
      </c>
      <c r="AB93" s="27">
        <f t="shared" si="8"/>
        <v>18134.23661</v>
      </c>
      <c r="AC93" s="27">
        <f t="shared" si="9"/>
        <v>230.7154785</v>
      </c>
    </row>
    <row r="94">
      <c r="A94" s="146"/>
      <c r="B94" s="114" t="s">
        <v>230</v>
      </c>
      <c r="C94" s="114" t="s">
        <v>231</v>
      </c>
      <c r="D94" s="114" t="s">
        <v>303</v>
      </c>
      <c r="E94" s="114" t="s">
        <v>303</v>
      </c>
      <c r="F94" s="116">
        <v>2022.0</v>
      </c>
      <c r="G94" s="116">
        <v>2027.0</v>
      </c>
      <c r="H94" s="116">
        <v>0.0</v>
      </c>
      <c r="I94" s="116">
        <v>19.0</v>
      </c>
      <c r="J94" s="117">
        <v>1.0</v>
      </c>
      <c r="K94" s="116">
        <v>19.0</v>
      </c>
      <c r="L94" s="114"/>
      <c r="M94" s="114"/>
      <c r="N94" s="116">
        <v>14.0</v>
      </c>
      <c r="O94" s="116">
        <v>138.0</v>
      </c>
      <c r="P94" s="114"/>
      <c r="Q94" s="140">
        <v>18753.93</v>
      </c>
      <c r="R94" s="114" t="s">
        <v>234</v>
      </c>
      <c r="S94" s="115">
        <v>2021.0</v>
      </c>
      <c r="T94" s="136">
        <v>0.239000000000001</v>
      </c>
      <c r="U94" s="118">
        <f t="shared" si="39"/>
        <v>4482.18927</v>
      </c>
      <c r="V94" s="24">
        <f t="shared" si="3"/>
        <v>235.9046984</v>
      </c>
      <c r="W94" s="3">
        <f t="shared" si="29"/>
        <v>0</v>
      </c>
      <c r="X94" s="3">
        <f t="shared" si="30"/>
        <v>0</v>
      </c>
      <c r="Y94" s="3">
        <f t="shared" si="31"/>
        <v>0</v>
      </c>
      <c r="Z94" s="25">
        <f t="shared" si="32"/>
        <v>0</v>
      </c>
      <c r="AA94" s="26">
        <f>VLOOKUP(S94,CPI!$A$2:$E$67,5,0)</f>
        <v>1.124486105</v>
      </c>
      <c r="AB94" s="27">
        <f t="shared" si="8"/>
        <v>5040.159556</v>
      </c>
      <c r="AC94" s="27">
        <f t="shared" si="9"/>
        <v>265.2715556</v>
      </c>
    </row>
    <row r="95">
      <c r="A95" s="105">
        <v>7986.0</v>
      </c>
      <c r="B95" s="130" t="s">
        <v>230</v>
      </c>
      <c r="C95" s="130" t="s">
        <v>231</v>
      </c>
      <c r="D95" s="36" t="s">
        <v>274</v>
      </c>
      <c r="E95" s="130" t="s">
        <v>306</v>
      </c>
      <c r="F95" s="130">
        <v>2019.0</v>
      </c>
      <c r="G95" s="130"/>
      <c r="H95" s="130">
        <v>0.0</v>
      </c>
      <c r="I95" s="130">
        <v>3.5</v>
      </c>
      <c r="J95" s="131"/>
      <c r="K95" s="130"/>
      <c r="L95" s="132" t="e">
        <v>#N/A</v>
      </c>
      <c r="M95" s="132" t="e">
        <v>#N/A</v>
      </c>
      <c r="N95" s="130">
        <v>2.0</v>
      </c>
      <c r="O95" s="138"/>
      <c r="P95" s="130" t="s">
        <v>60</v>
      </c>
      <c r="Q95" s="135">
        <v>4040.0</v>
      </c>
      <c r="R95" s="130" t="s">
        <v>234</v>
      </c>
      <c r="S95" s="130">
        <v>2019.0</v>
      </c>
      <c r="T95" s="136">
        <v>0.238</v>
      </c>
      <c r="U95" s="128">
        <f>T95*Q95</f>
        <v>961.52</v>
      </c>
      <c r="V95" s="24">
        <f t="shared" si="3"/>
        <v>274.72</v>
      </c>
      <c r="W95" s="3">
        <f t="shared" si="29"/>
        <v>0</v>
      </c>
      <c r="X95" s="3">
        <f t="shared" si="30"/>
        <v>0</v>
      </c>
      <c r="Y95" s="3">
        <f t="shared" si="31"/>
        <v>0</v>
      </c>
      <c r="Z95" s="25">
        <f t="shared" si="32"/>
        <v>0</v>
      </c>
      <c r="AA95" s="26">
        <f>VLOOKUP(S95,CPI!$A$2:$E$67,5,0)</f>
        <v>1.191839066</v>
      </c>
      <c r="AB95" s="27">
        <f t="shared" si="8"/>
        <v>1145.977098</v>
      </c>
      <c r="AC95" s="27">
        <f t="shared" si="9"/>
        <v>327.4220281</v>
      </c>
    </row>
    <row r="96">
      <c r="A96" s="146"/>
      <c r="B96" s="114" t="s">
        <v>230</v>
      </c>
      <c r="C96" s="114" t="s">
        <v>231</v>
      </c>
      <c r="D96" s="114" t="s">
        <v>307</v>
      </c>
      <c r="E96" s="114" t="s">
        <v>307</v>
      </c>
      <c r="F96" s="116">
        <v>2020.0</v>
      </c>
      <c r="G96" s="114"/>
      <c r="H96" s="116">
        <v>0.0</v>
      </c>
      <c r="I96" s="116">
        <v>6.015</v>
      </c>
      <c r="J96" s="117">
        <v>0.0</v>
      </c>
      <c r="K96" s="116">
        <v>0.0</v>
      </c>
      <c r="L96" s="114"/>
      <c r="M96" s="114"/>
      <c r="N96" s="116">
        <v>3.0</v>
      </c>
      <c r="O96" s="116">
        <v>117.0</v>
      </c>
      <c r="P96" s="114"/>
      <c r="Q96" s="140">
        <v>4500.0</v>
      </c>
      <c r="R96" s="114" t="s">
        <v>234</v>
      </c>
      <c r="S96" s="115">
        <v>2020.0</v>
      </c>
      <c r="T96" s="136">
        <v>0.239</v>
      </c>
      <c r="U96" s="118">
        <f t="shared" ref="U96:U100" si="40">Q96*T96</f>
        <v>1075.5</v>
      </c>
      <c r="V96" s="24">
        <f t="shared" si="3"/>
        <v>178.8029925</v>
      </c>
      <c r="W96" s="3">
        <f t="shared" si="29"/>
        <v>0</v>
      </c>
      <c r="X96" s="3">
        <f t="shared" si="30"/>
        <v>0</v>
      </c>
      <c r="Y96" s="3">
        <f t="shared" si="31"/>
        <v>0</v>
      </c>
      <c r="Z96" s="25">
        <f t="shared" si="32"/>
        <v>0</v>
      </c>
      <c r="AA96" s="26">
        <f>VLOOKUP(S96,CPI!$A$2:$E$67,5,0)</f>
        <v>1.17731472</v>
      </c>
      <c r="AB96" s="27">
        <f t="shared" si="8"/>
        <v>1266.201981</v>
      </c>
      <c r="AC96" s="27">
        <f t="shared" si="9"/>
        <v>210.5073951</v>
      </c>
    </row>
    <row r="97">
      <c r="A97" s="146"/>
      <c r="B97" s="114" t="s">
        <v>230</v>
      </c>
      <c r="C97" s="114" t="s">
        <v>309</v>
      </c>
      <c r="D97" s="16" t="s">
        <v>57</v>
      </c>
      <c r="E97" s="114" t="s">
        <v>310</v>
      </c>
      <c r="F97" s="116">
        <v>2010.0</v>
      </c>
      <c r="G97" s="116">
        <v>2019.0</v>
      </c>
      <c r="H97" s="116">
        <v>0.0</v>
      </c>
      <c r="I97" s="116">
        <v>8.0</v>
      </c>
      <c r="J97" s="117">
        <v>1.0</v>
      </c>
      <c r="K97" s="116">
        <v>8.0</v>
      </c>
      <c r="L97" s="114"/>
      <c r="M97" s="114"/>
      <c r="N97" s="116">
        <v>6.0</v>
      </c>
      <c r="O97" s="116">
        <v>117.0</v>
      </c>
      <c r="P97" s="114"/>
      <c r="Q97" s="140">
        <v>5520.0</v>
      </c>
      <c r="R97" s="114" t="s">
        <v>234</v>
      </c>
      <c r="S97" s="115">
        <v>2015.0</v>
      </c>
      <c r="T97" s="85">
        <v>0.258</v>
      </c>
      <c r="U97" s="118">
        <f t="shared" si="40"/>
        <v>1424.16</v>
      </c>
      <c r="V97" s="24">
        <f t="shared" si="3"/>
        <v>178.02</v>
      </c>
      <c r="W97" s="3">
        <f t="shared" si="29"/>
        <v>0</v>
      </c>
      <c r="X97" s="3">
        <f t="shared" si="30"/>
        <v>0</v>
      </c>
      <c r="Y97" s="3">
        <f t="shared" si="31"/>
        <v>0</v>
      </c>
      <c r="Z97" s="25">
        <f t="shared" si="32"/>
        <v>0</v>
      </c>
      <c r="AA97" s="26">
        <f>VLOOKUP(S97,CPI!$A$2:$E$67,5,0)</f>
        <v>1.285570233</v>
      </c>
      <c r="AB97" s="27">
        <f t="shared" si="8"/>
        <v>1830.857704</v>
      </c>
      <c r="AC97" s="27">
        <f t="shared" si="9"/>
        <v>228.8572129</v>
      </c>
    </row>
    <row r="98">
      <c r="A98" s="146"/>
      <c r="B98" s="114" t="s">
        <v>230</v>
      </c>
      <c r="C98" s="114" t="s">
        <v>309</v>
      </c>
      <c r="D98" s="114" t="s">
        <v>312</v>
      </c>
      <c r="E98" s="114" t="s">
        <v>312</v>
      </c>
      <c r="F98" s="116">
        <v>2010.0</v>
      </c>
      <c r="G98" s="116">
        <v>2019.0</v>
      </c>
      <c r="H98" s="116">
        <v>0.0</v>
      </c>
      <c r="I98" s="116">
        <v>13.4</v>
      </c>
      <c r="J98" s="117">
        <v>0.0</v>
      </c>
      <c r="K98" s="116">
        <v>0.0</v>
      </c>
      <c r="L98" s="114"/>
      <c r="M98" s="114"/>
      <c r="N98" s="116">
        <v>13.0</v>
      </c>
      <c r="O98" s="116">
        <v>55.0</v>
      </c>
      <c r="P98" s="114"/>
      <c r="Q98" s="140">
        <v>4210.0</v>
      </c>
      <c r="R98" s="114" t="s">
        <v>234</v>
      </c>
      <c r="S98" s="115">
        <v>2015.0</v>
      </c>
      <c r="T98" s="85">
        <v>0.258</v>
      </c>
      <c r="U98" s="118">
        <f t="shared" si="40"/>
        <v>1086.18</v>
      </c>
      <c r="V98" s="24">
        <f t="shared" si="3"/>
        <v>81.05820896</v>
      </c>
      <c r="W98" s="3">
        <f t="shared" si="29"/>
        <v>0</v>
      </c>
      <c r="X98" s="3">
        <f t="shared" si="30"/>
        <v>0</v>
      </c>
      <c r="Y98" s="3">
        <f t="shared" si="31"/>
        <v>0</v>
      </c>
      <c r="Z98" s="25">
        <f t="shared" si="32"/>
        <v>0</v>
      </c>
      <c r="AA98" s="26">
        <f>VLOOKUP(S98,CPI!$A$2:$E$67,5,0)</f>
        <v>1.285570233</v>
      </c>
      <c r="AB98" s="27">
        <f t="shared" si="8"/>
        <v>1396.360676</v>
      </c>
      <c r="AC98" s="27">
        <f t="shared" si="9"/>
        <v>104.2060206</v>
      </c>
    </row>
    <row r="99">
      <c r="A99" s="146"/>
      <c r="B99" s="114" t="s">
        <v>230</v>
      </c>
      <c r="C99" s="114" t="s">
        <v>309</v>
      </c>
      <c r="D99" s="115" t="s">
        <v>54</v>
      </c>
      <c r="E99" s="114" t="s">
        <v>313</v>
      </c>
      <c r="F99" s="116">
        <v>2015.0</v>
      </c>
      <c r="G99" s="116">
        <v>2019.0</v>
      </c>
      <c r="H99" s="116">
        <v>0.0</v>
      </c>
      <c r="I99" s="116">
        <v>5.3</v>
      </c>
      <c r="J99" s="117">
        <v>1.0</v>
      </c>
      <c r="K99" s="116">
        <v>5.3</v>
      </c>
      <c r="L99" s="114"/>
      <c r="M99" s="114"/>
      <c r="N99" s="116">
        <v>3.0</v>
      </c>
      <c r="O99" s="116">
        <v>117.0</v>
      </c>
      <c r="P99" s="114"/>
      <c r="Q99" s="140">
        <v>3350.0</v>
      </c>
      <c r="R99" s="114" t="s">
        <v>234</v>
      </c>
      <c r="S99" s="115">
        <v>2017.0</v>
      </c>
      <c r="T99" s="85">
        <v>0.239</v>
      </c>
      <c r="U99" s="118">
        <f t="shared" si="40"/>
        <v>800.65</v>
      </c>
      <c r="V99" s="24">
        <f t="shared" si="3"/>
        <v>151.0660377</v>
      </c>
      <c r="W99" s="3">
        <f t="shared" si="29"/>
        <v>0</v>
      </c>
      <c r="X99" s="3">
        <f t="shared" si="30"/>
        <v>0</v>
      </c>
      <c r="Y99" s="3">
        <f t="shared" si="31"/>
        <v>0</v>
      </c>
      <c r="Z99" s="25">
        <f t="shared" si="32"/>
        <v>0</v>
      </c>
      <c r="AA99" s="26">
        <f>VLOOKUP(S99,CPI!$A$2:$E$67,5,0)</f>
        <v>1.243072781</v>
      </c>
      <c r="AB99" s="27">
        <f t="shared" si="8"/>
        <v>995.2662219</v>
      </c>
      <c r="AC99" s="27">
        <f t="shared" si="9"/>
        <v>187.7860796</v>
      </c>
    </row>
    <row r="100">
      <c r="A100" s="146"/>
      <c r="B100" s="114" t="s">
        <v>230</v>
      </c>
      <c r="C100" s="114" t="s">
        <v>309</v>
      </c>
      <c r="D100" s="115" t="s">
        <v>54</v>
      </c>
      <c r="E100" s="114" t="s">
        <v>54</v>
      </c>
      <c r="F100" s="114"/>
      <c r="G100" s="116">
        <v>2020.0</v>
      </c>
      <c r="H100" s="116">
        <v>0.0</v>
      </c>
      <c r="I100" s="116">
        <v>22.8</v>
      </c>
      <c r="J100" s="117">
        <v>1.0</v>
      </c>
      <c r="K100" s="116">
        <v>22.8</v>
      </c>
      <c r="L100" s="114"/>
      <c r="M100" s="114"/>
      <c r="N100" s="116">
        <v>19.0</v>
      </c>
      <c r="O100" s="116">
        <v>117.0</v>
      </c>
      <c r="P100" s="114"/>
      <c r="Q100" s="140">
        <v>15400.0</v>
      </c>
      <c r="R100" s="114" t="s">
        <v>234</v>
      </c>
      <c r="S100" s="115">
        <v>2020.0</v>
      </c>
      <c r="T100" s="85">
        <v>0.239</v>
      </c>
      <c r="U100" s="118">
        <f t="shared" si="40"/>
        <v>3680.6</v>
      </c>
      <c r="V100" s="24">
        <f t="shared" si="3"/>
        <v>161.4298246</v>
      </c>
      <c r="W100" s="3">
        <f t="shared" si="29"/>
        <v>0</v>
      </c>
      <c r="X100" s="3">
        <f t="shared" si="30"/>
        <v>0</v>
      </c>
      <c r="Y100" s="3">
        <f t="shared" si="31"/>
        <v>0</v>
      </c>
      <c r="Z100" s="25">
        <f t="shared" si="32"/>
        <v>0</v>
      </c>
      <c r="AA100" s="26">
        <f>VLOOKUP(S100,CPI!$A$2:$E$67,5,0)</f>
        <v>1.17731472</v>
      </c>
      <c r="AB100" s="27">
        <f t="shared" si="8"/>
        <v>4333.224558</v>
      </c>
      <c r="AC100" s="27">
        <f t="shared" si="9"/>
        <v>190.0537087</v>
      </c>
    </row>
    <row r="101">
      <c r="A101" s="105">
        <v>8056.0</v>
      </c>
      <c r="B101" s="130" t="s">
        <v>230</v>
      </c>
      <c r="C101" s="130" t="s">
        <v>309</v>
      </c>
      <c r="D101" s="36" t="s">
        <v>54</v>
      </c>
      <c r="E101" s="130" t="s">
        <v>315</v>
      </c>
      <c r="F101" s="130">
        <v>2019.0</v>
      </c>
      <c r="G101" s="130">
        <v>2025.0</v>
      </c>
      <c r="H101" s="130">
        <v>0.0</v>
      </c>
      <c r="I101" s="130">
        <v>9.1</v>
      </c>
      <c r="J101" s="131">
        <v>1.0</v>
      </c>
      <c r="K101" s="130">
        <v>9.1</v>
      </c>
      <c r="L101" s="132">
        <v>0.0</v>
      </c>
      <c r="M101" s="132">
        <v>0.0</v>
      </c>
      <c r="N101" s="130">
        <v>5.0</v>
      </c>
      <c r="O101" s="138"/>
      <c r="P101" s="130" t="s">
        <v>60</v>
      </c>
      <c r="Q101" s="135">
        <v>5131.0</v>
      </c>
      <c r="R101" s="130" t="s">
        <v>234</v>
      </c>
      <c r="S101" s="130">
        <v>2018.0</v>
      </c>
      <c r="T101" s="136">
        <v>0.237</v>
      </c>
      <c r="U101" s="128">
        <f t="shared" ref="U101:U102" si="41">T101*Q101</f>
        <v>1216.047</v>
      </c>
      <c r="V101" s="24">
        <f t="shared" si="3"/>
        <v>133.6315385</v>
      </c>
      <c r="W101" s="3">
        <f t="shared" si="29"/>
        <v>0</v>
      </c>
      <c r="X101" s="3">
        <f t="shared" si="30"/>
        <v>0</v>
      </c>
      <c r="Y101" s="3">
        <f t="shared" si="31"/>
        <v>0</v>
      </c>
      <c r="Z101" s="25">
        <f t="shared" si="32"/>
        <v>0</v>
      </c>
      <c r="AA101" s="26">
        <f>VLOOKUP(S101,CPI!$A$2:$E$67,5,0)</f>
        <v>1.21343491</v>
      </c>
      <c r="AB101" s="27">
        <f t="shared" si="8"/>
        <v>1475.593882</v>
      </c>
      <c r="AC101" s="27">
        <f t="shared" si="9"/>
        <v>162.1531739</v>
      </c>
    </row>
    <row r="102">
      <c r="A102" s="105">
        <v>8115.0</v>
      </c>
      <c r="B102" s="130" t="s">
        <v>230</v>
      </c>
      <c r="C102" s="130" t="s">
        <v>309</v>
      </c>
      <c r="D102" s="16" t="s">
        <v>253</v>
      </c>
      <c r="E102" s="130" t="s">
        <v>317</v>
      </c>
      <c r="F102" s="130">
        <v>2019.0</v>
      </c>
      <c r="G102" s="130">
        <v>2025.0</v>
      </c>
      <c r="H102" s="130">
        <v>0.0</v>
      </c>
      <c r="I102" s="130">
        <v>28.2</v>
      </c>
      <c r="J102" s="131">
        <v>0.4929078014</v>
      </c>
      <c r="K102" s="130">
        <v>13.9</v>
      </c>
      <c r="L102" s="132">
        <v>0.0</v>
      </c>
      <c r="M102" s="132">
        <v>0.0</v>
      </c>
      <c r="N102" s="130">
        <v>8.0</v>
      </c>
      <c r="O102" s="138"/>
      <c r="P102" s="130" t="s">
        <v>60</v>
      </c>
      <c r="Q102" s="135">
        <v>12640.0</v>
      </c>
      <c r="R102" s="130" t="s">
        <v>234</v>
      </c>
      <c r="S102" s="130">
        <v>2018.0</v>
      </c>
      <c r="T102" s="136">
        <v>0.237</v>
      </c>
      <c r="U102" s="128">
        <f t="shared" si="41"/>
        <v>2995.68</v>
      </c>
      <c r="V102" s="24">
        <f t="shared" si="3"/>
        <v>106.2297872</v>
      </c>
      <c r="W102" s="3">
        <f t="shared" si="29"/>
        <v>0</v>
      </c>
      <c r="X102" s="3">
        <f t="shared" si="30"/>
        <v>0</v>
      </c>
      <c r="Y102" s="3">
        <f t="shared" si="31"/>
        <v>0</v>
      </c>
      <c r="Z102" s="25">
        <f t="shared" si="32"/>
        <v>0</v>
      </c>
      <c r="AA102" s="26">
        <f>VLOOKUP(S102,CPI!$A$2:$E$67,5,0)</f>
        <v>1.21343491</v>
      </c>
      <c r="AB102" s="27">
        <f t="shared" si="8"/>
        <v>3635.062692</v>
      </c>
      <c r="AC102" s="27">
        <f t="shared" si="9"/>
        <v>128.9029323</v>
      </c>
    </row>
    <row r="103">
      <c r="A103" s="139">
        <v>7963.0</v>
      </c>
      <c r="B103" s="123" t="s">
        <v>230</v>
      </c>
      <c r="C103" s="123" t="s">
        <v>309</v>
      </c>
      <c r="D103" s="16" t="s">
        <v>228</v>
      </c>
      <c r="E103" s="123" t="s">
        <v>263</v>
      </c>
      <c r="F103" s="75">
        <v>2020.0</v>
      </c>
      <c r="G103" s="75">
        <v>2025.0</v>
      </c>
      <c r="H103" s="75">
        <v>0.0</v>
      </c>
      <c r="I103" s="75">
        <v>22.5</v>
      </c>
      <c r="J103" s="124">
        <v>1.0</v>
      </c>
      <c r="K103" s="75">
        <v>22.5</v>
      </c>
      <c r="L103" s="125">
        <v>0.0</v>
      </c>
      <c r="M103" s="125">
        <v>0.0</v>
      </c>
      <c r="N103" s="75">
        <v>19.0</v>
      </c>
      <c r="O103" s="75"/>
      <c r="P103" s="123" t="s">
        <v>60</v>
      </c>
      <c r="Q103" s="126">
        <v>15583.0</v>
      </c>
      <c r="R103" s="123" t="s">
        <v>234</v>
      </c>
      <c r="S103" s="75">
        <v>2018.0</v>
      </c>
      <c r="T103" s="136">
        <v>0.237</v>
      </c>
      <c r="U103" s="128">
        <f t="shared" ref="U103:U104" si="42">Q103*T103</f>
        <v>3693.171</v>
      </c>
      <c r="V103" s="24">
        <f t="shared" si="3"/>
        <v>164.1409333</v>
      </c>
      <c r="W103" s="3">
        <f t="shared" si="29"/>
        <v>0</v>
      </c>
      <c r="X103" s="3">
        <f t="shared" si="30"/>
        <v>0</v>
      </c>
      <c r="Y103" s="3">
        <f t="shared" si="31"/>
        <v>0</v>
      </c>
      <c r="Z103" s="25">
        <f t="shared" si="32"/>
        <v>0</v>
      </c>
      <c r="AA103" s="26">
        <f>VLOOKUP(S103,CPI!$A$2:$E$67,5,0)</f>
        <v>1.21343491</v>
      </c>
      <c r="AB103" s="27">
        <f t="shared" si="8"/>
        <v>4481.422621</v>
      </c>
      <c r="AC103" s="27">
        <f t="shared" si="9"/>
        <v>199.1743387</v>
      </c>
    </row>
    <row r="104">
      <c r="A104" s="162">
        <v>7889.0</v>
      </c>
      <c r="B104" s="72" t="s">
        <v>230</v>
      </c>
      <c r="C104" s="72" t="s">
        <v>309</v>
      </c>
      <c r="D104" s="115" t="s">
        <v>84</v>
      </c>
      <c r="E104" s="115" t="s">
        <v>319</v>
      </c>
      <c r="F104" s="69">
        <v>2021.0</v>
      </c>
      <c r="G104" s="69"/>
      <c r="H104" s="69">
        <v>0.0</v>
      </c>
      <c r="I104" s="69">
        <v>19.567</v>
      </c>
      <c r="J104" s="117">
        <v>1.0</v>
      </c>
      <c r="K104" s="69">
        <v>19.567</v>
      </c>
      <c r="L104" s="72"/>
      <c r="M104" s="72"/>
      <c r="N104" s="69">
        <v>18.0</v>
      </c>
      <c r="O104" s="69">
        <v>117.0</v>
      </c>
      <c r="P104" s="72"/>
      <c r="Q104" s="140">
        <v>20000.0</v>
      </c>
      <c r="R104" s="72" t="s">
        <v>234</v>
      </c>
      <c r="S104" s="69">
        <v>2019.0</v>
      </c>
      <c r="T104" s="136">
        <v>0.238</v>
      </c>
      <c r="U104" s="148">
        <f t="shared" si="42"/>
        <v>4760</v>
      </c>
      <c r="V104" s="24">
        <f t="shared" si="3"/>
        <v>243.2667246</v>
      </c>
      <c r="W104" s="3">
        <f t="shared" si="29"/>
        <v>0</v>
      </c>
      <c r="X104" s="3">
        <f t="shared" si="30"/>
        <v>0</v>
      </c>
      <c r="Y104" s="3">
        <f t="shared" si="31"/>
        <v>0</v>
      </c>
      <c r="Z104" s="25">
        <f t="shared" si="32"/>
        <v>0</v>
      </c>
      <c r="AA104" s="26">
        <f>VLOOKUP(S104,CPI!$A$2:$E$67,5,0)</f>
        <v>1.191839066</v>
      </c>
      <c r="AB104" s="27">
        <f t="shared" si="8"/>
        <v>5673.153952</v>
      </c>
      <c r="AC104" s="27">
        <f t="shared" si="9"/>
        <v>289.9347857</v>
      </c>
    </row>
    <row r="105">
      <c r="A105" s="38">
        <v>8138.0</v>
      </c>
      <c r="B105" s="130" t="s">
        <v>230</v>
      </c>
      <c r="C105" s="130" t="s">
        <v>309</v>
      </c>
      <c r="D105" s="16" t="s">
        <v>87</v>
      </c>
      <c r="E105" s="130" t="s">
        <v>321</v>
      </c>
      <c r="F105" s="130"/>
      <c r="G105" s="130"/>
      <c r="H105" s="130">
        <v>0.0</v>
      </c>
      <c r="I105" s="130">
        <v>3.0</v>
      </c>
      <c r="J105" s="131">
        <v>0.2666666667</v>
      </c>
      <c r="K105" s="130">
        <v>0.8</v>
      </c>
      <c r="L105" s="132">
        <v>0.0</v>
      </c>
      <c r="M105" s="132">
        <v>0.0</v>
      </c>
      <c r="N105" s="130">
        <v>2.0</v>
      </c>
      <c r="O105" s="138"/>
      <c r="P105" s="130" t="s">
        <v>60</v>
      </c>
      <c r="Q105" s="135">
        <v>839.0</v>
      </c>
      <c r="R105" s="130" t="s">
        <v>234</v>
      </c>
      <c r="S105" s="130">
        <v>2018.0</v>
      </c>
      <c r="T105" s="136">
        <v>0.237</v>
      </c>
      <c r="U105" s="128">
        <f t="shared" ref="U105:U107" si="43">T105*Q105</f>
        <v>198.843</v>
      </c>
      <c r="V105" s="24">
        <f t="shared" si="3"/>
        <v>66.281</v>
      </c>
      <c r="W105" s="3">
        <f t="shared" si="29"/>
        <v>0</v>
      </c>
      <c r="X105" s="3">
        <f t="shared" si="30"/>
        <v>0</v>
      </c>
      <c r="Y105" s="3">
        <f t="shared" si="31"/>
        <v>0</v>
      </c>
      <c r="Z105" s="25">
        <f t="shared" si="32"/>
        <v>0</v>
      </c>
      <c r="AA105" s="26">
        <f>VLOOKUP(S105,CPI!$A$2:$E$67,5,0)</f>
        <v>1.21343491</v>
      </c>
      <c r="AB105" s="27">
        <f t="shared" si="8"/>
        <v>241.2830379</v>
      </c>
      <c r="AC105" s="27">
        <f t="shared" si="9"/>
        <v>80.42767928</v>
      </c>
    </row>
    <row r="106">
      <c r="A106" s="38">
        <v>8097.0</v>
      </c>
      <c r="B106" s="130" t="s">
        <v>230</v>
      </c>
      <c r="C106" s="130" t="s">
        <v>309</v>
      </c>
      <c r="D106" s="16" t="s">
        <v>110</v>
      </c>
      <c r="E106" s="130" t="s">
        <v>322</v>
      </c>
      <c r="F106" s="130"/>
      <c r="G106" s="130"/>
      <c r="H106" s="130">
        <v>0.0</v>
      </c>
      <c r="I106" s="130">
        <v>4.0</v>
      </c>
      <c r="J106" s="131">
        <v>0.0</v>
      </c>
      <c r="K106" s="130">
        <v>0.0</v>
      </c>
      <c r="L106" s="132">
        <v>0.0</v>
      </c>
      <c r="M106" s="132">
        <v>0.0</v>
      </c>
      <c r="N106" s="130">
        <v>6.0</v>
      </c>
      <c r="O106" s="138"/>
      <c r="P106" s="130" t="s">
        <v>60</v>
      </c>
      <c r="Q106" s="135">
        <v>2013.0</v>
      </c>
      <c r="R106" s="130" t="s">
        <v>234</v>
      </c>
      <c r="S106" s="130">
        <v>2018.0</v>
      </c>
      <c r="T106" s="136">
        <v>0.237</v>
      </c>
      <c r="U106" s="128">
        <f t="shared" si="43"/>
        <v>477.081</v>
      </c>
      <c r="V106" s="24">
        <f t="shared" si="3"/>
        <v>119.27025</v>
      </c>
      <c r="W106" s="3">
        <f t="shared" si="29"/>
        <v>0</v>
      </c>
      <c r="X106" s="3">
        <f t="shared" si="30"/>
        <v>0</v>
      </c>
      <c r="Y106" s="3">
        <f t="shared" si="31"/>
        <v>0</v>
      </c>
      <c r="Z106" s="25">
        <f t="shared" si="32"/>
        <v>0</v>
      </c>
      <c r="AA106" s="26">
        <f>VLOOKUP(S106,CPI!$A$2:$E$67,5,0)</f>
        <v>1.21343491</v>
      </c>
      <c r="AB106" s="27">
        <f t="shared" si="8"/>
        <v>578.9067404</v>
      </c>
      <c r="AC106" s="27">
        <f t="shared" si="9"/>
        <v>144.7266851</v>
      </c>
    </row>
    <row r="107">
      <c r="A107" s="38">
        <v>8008.0</v>
      </c>
      <c r="B107" s="130" t="s">
        <v>230</v>
      </c>
      <c r="C107" s="130" t="s">
        <v>309</v>
      </c>
      <c r="D107" s="130" t="s">
        <v>80</v>
      </c>
      <c r="E107" s="130" t="s">
        <v>80</v>
      </c>
      <c r="F107" s="130"/>
      <c r="G107" s="130"/>
      <c r="H107" s="130">
        <v>0.0</v>
      </c>
      <c r="I107" s="130">
        <v>29.7</v>
      </c>
      <c r="J107" s="131">
        <v>1.0</v>
      </c>
      <c r="K107" s="130">
        <v>29.7</v>
      </c>
      <c r="L107" s="132">
        <v>0.0</v>
      </c>
      <c r="M107" s="132">
        <v>0.0</v>
      </c>
      <c r="N107" s="130">
        <v>22.0</v>
      </c>
      <c r="O107" s="138"/>
      <c r="P107" s="130" t="s">
        <v>60</v>
      </c>
      <c r="Q107" s="135">
        <v>19549.0</v>
      </c>
      <c r="R107" s="130" t="s">
        <v>234</v>
      </c>
      <c r="S107" s="130">
        <v>2018.0</v>
      </c>
      <c r="T107" s="136">
        <v>0.237</v>
      </c>
      <c r="U107" s="128">
        <f t="shared" si="43"/>
        <v>4633.113</v>
      </c>
      <c r="V107" s="24">
        <f t="shared" si="3"/>
        <v>155.9970707</v>
      </c>
      <c r="W107" s="3">
        <f t="shared" si="29"/>
        <v>0</v>
      </c>
      <c r="X107" s="3">
        <f t="shared" si="30"/>
        <v>0</v>
      </c>
      <c r="Y107" s="3">
        <f t="shared" si="31"/>
        <v>0</v>
      </c>
      <c r="Z107" s="25">
        <f t="shared" si="32"/>
        <v>0</v>
      </c>
      <c r="AA107" s="26">
        <f>VLOOKUP(S107,CPI!$A$2:$E$67,5,0)</f>
        <v>1.21343491</v>
      </c>
      <c r="AB107" s="27">
        <f t="shared" si="8"/>
        <v>5621.981057</v>
      </c>
      <c r="AC107" s="27">
        <f t="shared" si="9"/>
        <v>189.2922915</v>
      </c>
    </row>
    <row r="108">
      <c r="A108" s="163"/>
      <c r="B108" s="114" t="s">
        <v>230</v>
      </c>
      <c r="C108" s="114" t="s">
        <v>323</v>
      </c>
      <c r="D108" s="114" t="s">
        <v>324</v>
      </c>
      <c r="E108" s="114" t="s">
        <v>324</v>
      </c>
      <c r="F108" s="116">
        <v>2008.0</v>
      </c>
      <c r="G108" s="116">
        <v>2015.0</v>
      </c>
      <c r="H108" s="116">
        <v>0.0</v>
      </c>
      <c r="I108" s="116">
        <v>45.92</v>
      </c>
      <c r="J108" s="117">
        <v>0.97</v>
      </c>
      <c r="K108" s="116">
        <v>44.61</v>
      </c>
      <c r="L108" s="114"/>
      <c r="M108" s="114"/>
      <c r="N108" s="116">
        <v>32.0</v>
      </c>
      <c r="O108" s="116">
        <v>117.0</v>
      </c>
      <c r="P108" s="114"/>
      <c r="Q108" s="140">
        <v>22171.0</v>
      </c>
      <c r="R108" s="114" t="s">
        <v>234</v>
      </c>
      <c r="S108" s="115">
        <v>2012.0</v>
      </c>
      <c r="T108" s="85">
        <v>0.281</v>
      </c>
      <c r="U108" s="118">
        <f t="shared" ref="U108:U109" si="44">Q108*T108</f>
        <v>6230.051</v>
      </c>
      <c r="V108" s="24">
        <f t="shared" si="3"/>
        <v>135.6718423</v>
      </c>
      <c r="W108" s="3">
        <f t="shared" si="29"/>
        <v>0</v>
      </c>
      <c r="X108" s="3">
        <f t="shared" si="30"/>
        <v>0</v>
      </c>
      <c r="Y108" s="3">
        <f t="shared" si="31"/>
        <v>0</v>
      </c>
      <c r="Z108" s="25">
        <f t="shared" si="32"/>
        <v>0</v>
      </c>
      <c r="AA108" s="26">
        <f>VLOOKUP(S108,CPI!$A$2:$E$67,5,0)</f>
        <v>1.327133984</v>
      </c>
      <c r="AB108" s="27">
        <f t="shared" si="8"/>
        <v>8268.112406</v>
      </c>
      <c r="AC108" s="27">
        <f t="shared" si="9"/>
        <v>180.0547127</v>
      </c>
    </row>
    <row r="109">
      <c r="A109" s="163"/>
      <c r="B109" s="114" t="s">
        <v>230</v>
      </c>
      <c r="C109" s="114" t="s">
        <v>323</v>
      </c>
      <c r="D109" s="115" t="s">
        <v>54</v>
      </c>
      <c r="E109" s="115" t="s">
        <v>326</v>
      </c>
      <c r="F109" s="116">
        <v>2011.0</v>
      </c>
      <c r="G109" s="116">
        <v>2015.0</v>
      </c>
      <c r="H109" s="116">
        <v>0.0</v>
      </c>
      <c r="I109" s="116">
        <v>21.926</v>
      </c>
      <c r="J109" s="117">
        <v>1.0</v>
      </c>
      <c r="K109" s="116">
        <v>21.926</v>
      </c>
      <c r="L109" s="114"/>
      <c r="M109" s="114"/>
      <c r="N109" s="116">
        <v>19.0</v>
      </c>
      <c r="O109" s="116">
        <v>117.0</v>
      </c>
      <c r="P109" s="114"/>
      <c r="Q109" s="140">
        <v>11900.0</v>
      </c>
      <c r="R109" s="114" t="s">
        <v>234</v>
      </c>
      <c r="S109" s="115">
        <v>2013.0</v>
      </c>
      <c r="T109" s="85">
        <v>0.273</v>
      </c>
      <c r="U109" s="118">
        <f t="shared" si="44"/>
        <v>3248.7</v>
      </c>
      <c r="V109" s="24">
        <f t="shared" si="3"/>
        <v>148.1665602</v>
      </c>
      <c r="W109" s="3">
        <f t="shared" si="29"/>
        <v>0</v>
      </c>
      <c r="X109" s="3">
        <f t="shared" si="30"/>
        <v>0</v>
      </c>
      <c r="Y109" s="3">
        <f t="shared" si="31"/>
        <v>0</v>
      </c>
      <c r="Z109" s="25">
        <f t="shared" si="32"/>
        <v>0</v>
      </c>
      <c r="AA109" s="26">
        <f>VLOOKUP(S109,CPI!$A$2:$E$67,5,0)</f>
        <v>1.307975292</v>
      </c>
      <c r="AB109" s="27">
        <f t="shared" si="8"/>
        <v>4249.21933</v>
      </c>
      <c r="AC109" s="27">
        <f t="shared" si="9"/>
        <v>193.7981998</v>
      </c>
    </row>
    <row r="110">
      <c r="A110" s="38">
        <v>8064.0</v>
      </c>
      <c r="B110" s="130" t="s">
        <v>230</v>
      </c>
      <c r="C110" s="130" t="s">
        <v>323</v>
      </c>
      <c r="D110" s="36" t="s">
        <v>54</v>
      </c>
      <c r="E110" s="130" t="s">
        <v>329</v>
      </c>
      <c r="F110" s="130">
        <v>2012.0</v>
      </c>
      <c r="G110" s="130">
        <v>2015.0</v>
      </c>
      <c r="H110" s="130">
        <v>0.0</v>
      </c>
      <c r="I110" s="130">
        <v>4.5</v>
      </c>
      <c r="J110" s="131"/>
      <c r="K110" s="130"/>
      <c r="L110" s="132" t="e">
        <v>#N/A</v>
      </c>
      <c r="M110" s="132" t="e">
        <v>#N/A</v>
      </c>
      <c r="N110" s="130">
        <v>4.0</v>
      </c>
      <c r="O110" s="138"/>
      <c r="P110" s="130" t="s">
        <v>60</v>
      </c>
      <c r="Q110" s="135">
        <v>2466.0</v>
      </c>
      <c r="R110" s="130" t="s">
        <v>234</v>
      </c>
      <c r="S110" s="130">
        <v>2012.0</v>
      </c>
      <c r="T110" s="136">
        <v>0.2808</v>
      </c>
      <c r="U110" s="128">
        <f t="shared" ref="U110:U112" si="45">T110*Q110</f>
        <v>692.4528</v>
      </c>
      <c r="V110" s="24">
        <f t="shared" si="3"/>
        <v>153.8784</v>
      </c>
      <c r="W110" s="3">
        <f t="shared" si="29"/>
        <v>0</v>
      </c>
      <c r="X110" s="3">
        <f t="shared" si="30"/>
        <v>0</v>
      </c>
      <c r="Y110" s="3">
        <f t="shared" si="31"/>
        <v>0</v>
      </c>
      <c r="Z110" s="25">
        <f t="shared" si="32"/>
        <v>0</v>
      </c>
      <c r="AA110" s="26">
        <f>VLOOKUP(S110,CPI!$A$2:$E$67,5,0)</f>
        <v>1.327133984</v>
      </c>
      <c r="AB110" s="27">
        <f t="shared" si="8"/>
        <v>918.9776434</v>
      </c>
      <c r="AC110" s="27">
        <f t="shared" si="9"/>
        <v>204.2172541</v>
      </c>
    </row>
    <row r="111">
      <c r="A111" s="38">
        <v>7993.0</v>
      </c>
      <c r="B111" s="130" t="s">
        <v>230</v>
      </c>
      <c r="C111" s="130" t="s">
        <v>323</v>
      </c>
      <c r="D111" s="16" t="s">
        <v>87</v>
      </c>
      <c r="E111" s="130" t="s">
        <v>331</v>
      </c>
      <c r="F111" s="130">
        <v>2012.0</v>
      </c>
      <c r="G111" s="130">
        <v>2016.0</v>
      </c>
      <c r="H111" s="130">
        <v>0.0</v>
      </c>
      <c r="I111" s="130">
        <v>35.6</v>
      </c>
      <c r="J111" s="131"/>
      <c r="K111" s="130"/>
      <c r="L111" s="132" t="e">
        <v>#N/A</v>
      </c>
      <c r="M111" s="132" t="e">
        <v>#N/A</v>
      </c>
      <c r="N111" s="130">
        <v>25.0</v>
      </c>
      <c r="O111" s="138"/>
      <c r="P111" s="130" t="s">
        <v>60</v>
      </c>
      <c r="Q111" s="135">
        <v>23628.0</v>
      </c>
      <c r="R111" s="130" t="s">
        <v>234</v>
      </c>
      <c r="S111" s="75">
        <v>2017.0</v>
      </c>
      <c r="T111" s="136">
        <v>0.239</v>
      </c>
      <c r="U111" s="128">
        <f t="shared" si="45"/>
        <v>5647.092</v>
      </c>
      <c r="V111" s="24">
        <f t="shared" si="3"/>
        <v>158.6261798</v>
      </c>
      <c r="W111" s="3">
        <f t="shared" si="29"/>
        <v>0</v>
      </c>
      <c r="X111" s="3">
        <f t="shared" si="30"/>
        <v>0</v>
      </c>
      <c r="Y111" s="3">
        <f t="shared" si="31"/>
        <v>0</v>
      </c>
      <c r="Z111" s="25">
        <f t="shared" si="32"/>
        <v>0</v>
      </c>
      <c r="AA111" s="26">
        <f>VLOOKUP(S111,CPI!$A$2:$E$67,5,0)</f>
        <v>1.243072781</v>
      </c>
      <c r="AB111" s="27">
        <f t="shared" si="8"/>
        <v>7019.746355</v>
      </c>
      <c r="AC111" s="27">
        <f t="shared" si="9"/>
        <v>197.1838864</v>
      </c>
    </row>
    <row r="112">
      <c r="A112" s="38">
        <v>8003.0</v>
      </c>
      <c r="B112" s="130" t="s">
        <v>230</v>
      </c>
      <c r="C112" s="130" t="s">
        <v>323</v>
      </c>
      <c r="D112" s="36" t="s">
        <v>110</v>
      </c>
      <c r="E112" s="130" t="s">
        <v>332</v>
      </c>
      <c r="F112" s="130">
        <v>2013.0</v>
      </c>
      <c r="G112" s="130">
        <v>2017.0</v>
      </c>
      <c r="H112" s="130">
        <v>0.0</v>
      </c>
      <c r="I112" s="130">
        <v>33.5</v>
      </c>
      <c r="J112" s="131"/>
      <c r="K112" s="130"/>
      <c r="L112" s="132" t="e">
        <v>#N/A</v>
      </c>
      <c r="M112" s="132" t="e">
        <v>#N/A</v>
      </c>
      <c r="N112" s="130">
        <v>24.0</v>
      </c>
      <c r="O112" s="138"/>
      <c r="P112" s="130" t="s">
        <v>60</v>
      </c>
      <c r="Q112" s="135">
        <v>21938.0</v>
      </c>
      <c r="R112" s="130" t="s">
        <v>234</v>
      </c>
      <c r="S112" s="130">
        <v>2012.0</v>
      </c>
      <c r="T112" s="136">
        <v>0.2808</v>
      </c>
      <c r="U112" s="128">
        <f t="shared" si="45"/>
        <v>6160.1904</v>
      </c>
      <c r="V112" s="24">
        <f t="shared" si="3"/>
        <v>183.8862806</v>
      </c>
      <c r="W112" s="3">
        <f t="shared" si="29"/>
        <v>0</v>
      </c>
      <c r="X112" s="3">
        <f t="shared" si="30"/>
        <v>0</v>
      </c>
      <c r="Y112" s="3">
        <f t="shared" si="31"/>
        <v>0</v>
      </c>
      <c r="Z112" s="25">
        <f t="shared" si="32"/>
        <v>0</v>
      </c>
      <c r="AA112" s="26">
        <f>VLOOKUP(S112,CPI!$A$2:$E$67,5,0)</f>
        <v>1.327133984</v>
      </c>
      <c r="AB112" s="27">
        <f t="shared" si="8"/>
        <v>8175.39803</v>
      </c>
      <c r="AC112" s="27">
        <f t="shared" si="9"/>
        <v>244.0417322</v>
      </c>
    </row>
    <row r="113">
      <c r="A113" s="170">
        <v>7961.0</v>
      </c>
      <c r="B113" s="123" t="s">
        <v>230</v>
      </c>
      <c r="C113" s="123" t="s">
        <v>323</v>
      </c>
      <c r="D113" s="36" t="s">
        <v>84</v>
      </c>
      <c r="E113" s="123" t="s">
        <v>319</v>
      </c>
      <c r="F113" s="75">
        <v>2014.0</v>
      </c>
      <c r="G113" s="152">
        <v>2021.0</v>
      </c>
      <c r="H113" s="75">
        <v>0.0</v>
      </c>
      <c r="I113" s="75">
        <v>22.7</v>
      </c>
      <c r="J113" s="124">
        <f>K113/I113</f>
        <v>1</v>
      </c>
      <c r="K113" s="75">
        <f>I113</f>
        <v>22.7</v>
      </c>
      <c r="L113" s="125">
        <v>0.0</v>
      </c>
      <c r="M113" s="125">
        <v>0.0</v>
      </c>
      <c r="N113" s="75">
        <v>18.0</v>
      </c>
      <c r="O113" s="152">
        <v>117.0</v>
      </c>
      <c r="P113" s="123" t="s">
        <v>60</v>
      </c>
      <c r="Q113" s="126">
        <v>16393.0</v>
      </c>
      <c r="R113" s="123" t="s">
        <v>234</v>
      </c>
      <c r="S113" s="75">
        <v>2012.0</v>
      </c>
      <c r="T113" s="136">
        <v>0.2808</v>
      </c>
      <c r="U113" s="128">
        <f>Q113*T113</f>
        <v>4603.1544</v>
      </c>
      <c r="V113" s="24">
        <f t="shared" si="3"/>
        <v>202.7821322</v>
      </c>
      <c r="W113" s="3">
        <f t="shared" si="29"/>
        <v>0</v>
      </c>
      <c r="X113" s="3">
        <f t="shared" si="30"/>
        <v>0</v>
      </c>
      <c r="Y113" s="3">
        <f t="shared" si="31"/>
        <v>0</v>
      </c>
      <c r="Z113" s="25">
        <f t="shared" si="32"/>
        <v>0</v>
      </c>
      <c r="AA113" s="26">
        <f>VLOOKUP(S113,CPI!$A$2:$E$67,5,0)</f>
        <v>1.327133984</v>
      </c>
      <c r="AB113" s="27">
        <f t="shared" si="8"/>
        <v>6109.002639</v>
      </c>
      <c r="AC113" s="27">
        <f t="shared" si="9"/>
        <v>269.119059</v>
      </c>
    </row>
    <row r="114">
      <c r="A114" s="38">
        <v>8067.0</v>
      </c>
      <c r="B114" s="130" t="s">
        <v>230</v>
      </c>
      <c r="C114" s="130" t="s">
        <v>323</v>
      </c>
      <c r="D114" s="171" t="s">
        <v>333</v>
      </c>
      <c r="E114" s="130" t="s">
        <v>334</v>
      </c>
      <c r="F114" s="130">
        <v>2017.0</v>
      </c>
      <c r="G114" s="130">
        <v>2021.0</v>
      </c>
      <c r="H114" s="130">
        <v>0.0</v>
      </c>
      <c r="I114" s="130">
        <v>9.93</v>
      </c>
      <c r="J114" s="131">
        <v>0.5438066465</v>
      </c>
      <c r="K114" s="130">
        <v>5.4</v>
      </c>
      <c r="L114" s="132">
        <v>0.0</v>
      </c>
      <c r="M114" s="132">
        <v>0.0</v>
      </c>
      <c r="N114" s="130">
        <v>5.0</v>
      </c>
      <c r="O114" s="133">
        <v>117.0</v>
      </c>
      <c r="P114" s="130" t="s">
        <v>60</v>
      </c>
      <c r="Q114" s="140">
        <v>6111.0</v>
      </c>
      <c r="R114" s="130" t="s">
        <v>234</v>
      </c>
      <c r="S114" s="130">
        <v>2017.0</v>
      </c>
      <c r="T114" s="136">
        <v>0.239</v>
      </c>
      <c r="U114" s="128">
        <f t="shared" ref="U114:U115" si="46">T114*Q114</f>
        <v>1460.529</v>
      </c>
      <c r="V114" s="24">
        <f t="shared" si="3"/>
        <v>147.0824773</v>
      </c>
      <c r="W114" s="3">
        <f t="shared" si="29"/>
        <v>0</v>
      </c>
      <c r="X114" s="3">
        <f t="shared" si="30"/>
        <v>0</v>
      </c>
      <c r="Y114" s="3">
        <f t="shared" si="31"/>
        <v>0</v>
      </c>
      <c r="Z114" s="25">
        <f t="shared" si="32"/>
        <v>0</v>
      </c>
      <c r="AA114" s="26">
        <f>VLOOKUP(S114,CPI!$A$2:$E$67,5,0)</f>
        <v>1.243072781</v>
      </c>
      <c r="AB114" s="27">
        <f t="shared" si="8"/>
        <v>1815.543845</v>
      </c>
      <c r="AC114" s="27">
        <f t="shared" si="9"/>
        <v>182.8342241</v>
      </c>
    </row>
    <row r="115">
      <c r="A115" s="38">
        <v>8018.0</v>
      </c>
      <c r="B115" s="130" t="s">
        <v>230</v>
      </c>
      <c r="C115" s="130" t="s">
        <v>323</v>
      </c>
      <c r="D115" s="36" t="s">
        <v>54</v>
      </c>
      <c r="E115" s="130" t="s">
        <v>336</v>
      </c>
      <c r="F115" s="130">
        <v>2017.0</v>
      </c>
      <c r="G115" s="130">
        <v>2021.0</v>
      </c>
      <c r="H115" s="130">
        <v>0.0</v>
      </c>
      <c r="I115" s="130">
        <v>14.72</v>
      </c>
      <c r="J115" s="131">
        <v>0.7826086957</v>
      </c>
      <c r="K115" s="130">
        <v>11.52</v>
      </c>
      <c r="L115" s="132">
        <v>0.0</v>
      </c>
      <c r="M115" s="132">
        <v>0.0</v>
      </c>
      <c r="N115" s="130">
        <v>11.0</v>
      </c>
      <c r="O115" s="138"/>
      <c r="P115" s="130" t="s">
        <v>60</v>
      </c>
      <c r="Q115" s="135">
        <v>9513.0</v>
      </c>
      <c r="R115" s="130" t="s">
        <v>234</v>
      </c>
      <c r="S115" s="130">
        <v>2017.0</v>
      </c>
      <c r="T115" s="136">
        <v>0.239</v>
      </c>
      <c r="U115" s="128">
        <f t="shared" si="46"/>
        <v>2273.607</v>
      </c>
      <c r="V115" s="24">
        <f t="shared" si="3"/>
        <v>154.4569973</v>
      </c>
      <c r="W115" s="3">
        <f t="shared" si="29"/>
        <v>0</v>
      </c>
      <c r="X115" s="3">
        <f t="shared" si="30"/>
        <v>0</v>
      </c>
      <c r="Y115" s="3">
        <f t="shared" si="31"/>
        <v>0</v>
      </c>
      <c r="Z115" s="25">
        <f t="shared" si="32"/>
        <v>0</v>
      </c>
      <c r="AA115" s="26">
        <f>VLOOKUP(S115,CPI!$A$2:$E$67,5,0)</f>
        <v>1.243072781</v>
      </c>
      <c r="AB115" s="27">
        <f t="shared" si="8"/>
        <v>2826.258976</v>
      </c>
      <c r="AC115" s="27">
        <f t="shared" si="9"/>
        <v>192.0012891</v>
      </c>
    </row>
    <row r="116">
      <c r="A116" s="170">
        <v>7833.0</v>
      </c>
      <c r="B116" s="123" t="s">
        <v>230</v>
      </c>
      <c r="C116" s="123" t="s">
        <v>323</v>
      </c>
      <c r="D116" s="36" t="s">
        <v>80</v>
      </c>
      <c r="E116" s="123" t="s">
        <v>338</v>
      </c>
      <c r="F116" s="75">
        <v>2017.0</v>
      </c>
      <c r="G116" s="75">
        <v>2021.0</v>
      </c>
      <c r="H116" s="75">
        <v>0.0</v>
      </c>
      <c r="I116" s="75">
        <v>26.5</v>
      </c>
      <c r="J116" s="124">
        <v>1.0</v>
      </c>
      <c r="K116" s="75">
        <v>26.5</v>
      </c>
      <c r="L116" s="125">
        <v>0.0</v>
      </c>
      <c r="M116" s="125">
        <v>0.0</v>
      </c>
      <c r="N116" s="75">
        <v>20.0</v>
      </c>
      <c r="O116" s="75"/>
      <c r="P116" s="123" t="s">
        <v>60</v>
      </c>
      <c r="Q116" s="126">
        <v>22360.0</v>
      </c>
      <c r="R116" s="123" t="s">
        <v>234</v>
      </c>
      <c r="S116" s="75">
        <v>2017.0</v>
      </c>
      <c r="T116" s="136">
        <v>0.239</v>
      </c>
      <c r="U116" s="128">
        <f t="shared" ref="U116:U117" si="47">Q116*T116</f>
        <v>5344.04</v>
      </c>
      <c r="V116" s="24">
        <f t="shared" si="3"/>
        <v>201.6618868</v>
      </c>
      <c r="W116" s="3">
        <f t="shared" si="29"/>
        <v>0</v>
      </c>
      <c r="X116" s="3">
        <f t="shared" si="30"/>
        <v>0</v>
      </c>
      <c r="Y116" s="3">
        <f t="shared" si="31"/>
        <v>0</v>
      </c>
      <c r="Z116" s="25">
        <f t="shared" si="32"/>
        <v>0</v>
      </c>
      <c r="AA116" s="26">
        <f>VLOOKUP(S116,CPI!$A$2:$E$67,5,0)</f>
        <v>1.243072781</v>
      </c>
      <c r="AB116" s="27">
        <f t="shared" si="8"/>
        <v>6643.030663</v>
      </c>
      <c r="AC116" s="27">
        <f t="shared" si="9"/>
        <v>250.6804024</v>
      </c>
    </row>
    <row r="117">
      <c r="A117" s="170">
        <v>7841.0</v>
      </c>
      <c r="B117" s="123" t="s">
        <v>230</v>
      </c>
      <c r="C117" s="123" t="s">
        <v>323</v>
      </c>
      <c r="D117" s="36" t="s">
        <v>228</v>
      </c>
      <c r="E117" s="123" t="s">
        <v>263</v>
      </c>
      <c r="F117" s="75">
        <v>2017.0</v>
      </c>
      <c r="G117" s="75">
        <v>2021.0</v>
      </c>
      <c r="H117" s="75">
        <v>0.0</v>
      </c>
      <c r="I117" s="75">
        <v>21.6</v>
      </c>
      <c r="J117" s="124">
        <v>1.0</v>
      </c>
      <c r="K117" s="75">
        <v>21.6</v>
      </c>
      <c r="L117" s="125">
        <v>0.0</v>
      </c>
      <c r="M117" s="125">
        <v>0.0</v>
      </c>
      <c r="N117" s="75">
        <v>16.0</v>
      </c>
      <c r="O117" s="75"/>
      <c r="P117" s="123" t="s">
        <v>60</v>
      </c>
      <c r="Q117" s="126">
        <v>18132.0</v>
      </c>
      <c r="R117" s="123" t="s">
        <v>234</v>
      </c>
      <c r="S117" s="75">
        <v>2017.0</v>
      </c>
      <c r="T117" s="136">
        <v>0.239</v>
      </c>
      <c r="U117" s="128">
        <f t="shared" si="47"/>
        <v>4333.548</v>
      </c>
      <c r="V117" s="24">
        <f t="shared" si="3"/>
        <v>200.6272222</v>
      </c>
      <c r="W117" s="3">
        <f t="shared" si="29"/>
        <v>0</v>
      </c>
      <c r="X117" s="3">
        <f t="shared" si="30"/>
        <v>0</v>
      </c>
      <c r="Y117" s="3">
        <f t="shared" si="31"/>
        <v>0</v>
      </c>
      <c r="Z117" s="25">
        <f t="shared" si="32"/>
        <v>0</v>
      </c>
      <c r="AA117" s="26">
        <f>VLOOKUP(S117,CPI!$A$2:$E$67,5,0)</f>
        <v>1.243072781</v>
      </c>
      <c r="AB117" s="27">
        <f t="shared" si="8"/>
        <v>5386.915563</v>
      </c>
      <c r="AC117" s="27">
        <f t="shared" si="9"/>
        <v>249.394239</v>
      </c>
    </row>
    <row r="118">
      <c r="A118" s="38">
        <v>8104.0</v>
      </c>
      <c r="B118" s="130" t="s">
        <v>230</v>
      </c>
      <c r="C118" s="130" t="s">
        <v>323</v>
      </c>
      <c r="D118" s="36" t="s">
        <v>110</v>
      </c>
      <c r="E118" s="130" t="s">
        <v>339</v>
      </c>
      <c r="F118" s="130">
        <v>2018.0</v>
      </c>
      <c r="G118" s="130">
        <v>2022.0</v>
      </c>
      <c r="H118" s="130">
        <v>0.0</v>
      </c>
      <c r="I118" s="130">
        <v>14.26</v>
      </c>
      <c r="J118" s="131">
        <v>0.1444600281</v>
      </c>
      <c r="K118" s="130">
        <v>2.06</v>
      </c>
      <c r="L118" s="132">
        <v>0.0</v>
      </c>
      <c r="M118" s="132">
        <v>0.0</v>
      </c>
      <c r="N118" s="130">
        <v>8.0</v>
      </c>
      <c r="O118" s="138"/>
      <c r="P118" s="130" t="s">
        <v>60</v>
      </c>
      <c r="Q118" s="135">
        <v>6831.0</v>
      </c>
      <c r="R118" s="130" t="s">
        <v>234</v>
      </c>
      <c r="S118" s="130">
        <v>2017.0</v>
      </c>
      <c r="T118" s="136">
        <v>0.239</v>
      </c>
      <c r="U118" s="128">
        <f>T118*Q118</f>
        <v>1632.609</v>
      </c>
      <c r="V118" s="24">
        <f t="shared" si="3"/>
        <v>114.4887097</v>
      </c>
      <c r="W118" s="3">
        <f t="shared" si="29"/>
        <v>0</v>
      </c>
      <c r="X118" s="3">
        <f t="shared" si="30"/>
        <v>0</v>
      </c>
      <c r="Y118" s="3">
        <f t="shared" si="31"/>
        <v>0</v>
      </c>
      <c r="Z118" s="25">
        <f t="shared" si="32"/>
        <v>0</v>
      </c>
      <c r="AA118" s="26">
        <f>VLOOKUP(S118,CPI!$A$2:$E$67,5,0)</f>
        <v>1.243072781</v>
      </c>
      <c r="AB118" s="27">
        <f t="shared" si="8"/>
        <v>2029.451809</v>
      </c>
      <c r="AC118" s="27">
        <f t="shared" si="9"/>
        <v>142.3177987</v>
      </c>
    </row>
    <row r="119">
      <c r="A119" s="170">
        <v>7880.0</v>
      </c>
      <c r="B119" s="123" t="s">
        <v>230</v>
      </c>
      <c r="C119" s="123" t="s">
        <v>323</v>
      </c>
      <c r="D119" s="36" t="s">
        <v>84</v>
      </c>
      <c r="E119" s="123" t="s">
        <v>340</v>
      </c>
      <c r="F119" s="75">
        <v>2018.0</v>
      </c>
      <c r="G119" s="75">
        <v>2022.0</v>
      </c>
      <c r="H119" s="75">
        <v>0.0</v>
      </c>
      <c r="I119" s="75">
        <v>8.43</v>
      </c>
      <c r="J119" s="124">
        <v>1.0</v>
      </c>
      <c r="K119" s="75">
        <v>8.43</v>
      </c>
      <c r="L119" s="125">
        <v>0.0</v>
      </c>
      <c r="M119" s="125">
        <v>0.0</v>
      </c>
      <c r="N119" s="75">
        <v>7.0</v>
      </c>
      <c r="O119" s="75"/>
      <c r="P119" s="123" t="s">
        <v>60</v>
      </c>
      <c r="Q119" s="126">
        <v>6727.0</v>
      </c>
      <c r="R119" s="123" t="s">
        <v>234</v>
      </c>
      <c r="S119" s="75">
        <v>2017.0</v>
      </c>
      <c r="T119" s="136">
        <v>0.239</v>
      </c>
      <c r="U119" s="128">
        <f t="shared" ref="U119:U120" si="48">Q119*T119</f>
        <v>1607.753</v>
      </c>
      <c r="V119" s="24">
        <f t="shared" si="3"/>
        <v>190.7180308</v>
      </c>
      <c r="W119" s="3">
        <f t="shared" si="29"/>
        <v>0</v>
      </c>
      <c r="X119" s="3">
        <f t="shared" si="30"/>
        <v>0</v>
      </c>
      <c r="Y119" s="3">
        <f t="shared" si="31"/>
        <v>0</v>
      </c>
      <c r="Z119" s="25">
        <f t="shared" si="32"/>
        <v>0</v>
      </c>
      <c r="AA119" s="26">
        <f>VLOOKUP(S119,CPI!$A$2:$E$67,5,0)</f>
        <v>1.243072781</v>
      </c>
      <c r="AB119" s="27">
        <f t="shared" si="8"/>
        <v>1998.553992</v>
      </c>
      <c r="AC119" s="27">
        <f t="shared" si="9"/>
        <v>237.0763929</v>
      </c>
    </row>
    <row r="120">
      <c r="A120" s="170">
        <v>7913.0</v>
      </c>
      <c r="B120" s="123" t="s">
        <v>230</v>
      </c>
      <c r="C120" s="123" t="s">
        <v>323</v>
      </c>
      <c r="D120" s="36" t="s">
        <v>80</v>
      </c>
      <c r="E120" s="123" t="s">
        <v>341</v>
      </c>
      <c r="F120" s="75">
        <v>2018.0</v>
      </c>
      <c r="G120" s="75">
        <v>2022.0</v>
      </c>
      <c r="H120" s="75">
        <v>0.0</v>
      </c>
      <c r="I120" s="75">
        <v>10.05</v>
      </c>
      <c r="J120" s="124">
        <v>1.0</v>
      </c>
      <c r="K120" s="75">
        <v>10.05</v>
      </c>
      <c r="L120" s="125">
        <v>0.0</v>
      </c>
      <c r="M120" s="125">
        <v>0.0</v>
      </c>
      <c r="N120" s="75">
        <v>7.0</v>
      </c>
      <c r="O120" s="75"/>
      <c r="P120" s="123" t="s">
        <v>60</v>
      </c>
      <c r="Q120" s="126">
        <v>7565.0</v>
      </c>
      <c r="R120" s="123" t="s">
        <v>234</v>
      </c>
      <c r="S120" s="75">
        <v>2017.0</v>
      </c>
      <c r="T120" s="136">
        <v>0.239</v>
      </c>
      <c r="U120" s="128">
        <f t="shared" si="48"/>
        <v>1808.035</v>
      </c>
      <c r="V120" s="24">
        <f t="shared" si="3"/>
        <v>179.9039801</v>
      </c>
      <c r="W120" s="3">
        <f t="shared" si="29"/>
        <v>0</v>
      </c>
      <c r="X120" s="3">
        <f t="shared" si="30"/>
        <v>0</v>
      </c>
      <c r="Y120" s="3">
        <f t="shared" si="31"/>
        <v>0</v>
      </c>
      <c r="Z120" s="25">
        <f t="shared" si="32"/>
        <v>0</v>
      </c>
      <c r="AA120" s="26">
        <f>VLOOKUP(S120,CPI!$A$2:$E$67,5,0)</f>
        <v>1.243072781</v>
      </c>
      <c r="AB120" s="27">
        <f t="shared" si="8"/>
        <v>2247.519095</v>
      </c>
      <c r="AC120" s="27">
        <f t="shared" si="9"/>
        <v>223.6337408</v>
      </c>
    </row>
    <row r="121">
      <c r="A121" s="38">
        <v>8096.0</v>
      </c>
      <c r="B121" s="130" t="s">
        <v>230</v>
      </c>
      <c r="C121" s="130" t="s">
        <v>323</v>
      </c>
      <c r="D121" s="36" t="s">
        <v>80</v>
      </c>
      <c r="E121" s="130" t="s">
        <v>342</v>
      </c>
      <c r="F121" s="130">
        <v>2018.0</v>
      </c>
      <c r="G121" s="130">
        <v>2022.0</v>
      </c>
      <c r="H121" s="130">
        <v>0.0</v>
      </c>
      <c r="I121" s="130">
        <v>12.15</v>
      </c>
      <c r="J121" s="131">
        <v>1.0</v>
      </c>
      <c r="K121" s="130">
        <v>12.15</v>
      </c>
      <c r="L121" s="132">
        <v>0.0</v>
      </c>
      <c r="M121" s="132">
        <v>0.0</v>
      </c>
      <c r="N121" s="130">
        <v>5.0</v>
      </c>
      <c r="O121" s="138"/>
      <c r="P121" s="130" t="s">
        <v>60</v>
      </c>
      <c r="Q121" s="135">
        <v>6140.0</v>
      </c>
      <c r="R121" s="130" t="s">
        <v>234</v>
      </c>
      <c r="S121" s="130">
        <v>2017.0</v>
      </c>
      <c r="T121" s="136">
        <v>0.239</v>
      </c>
      <c r="U121" s="128">
        <f t="shared" ref="U121:U122" si="49">T121*Q121</f>
        <v>1467.46</v>
      </c>
      <c r="V121" s="24">
        <f t="shared" si="3"/>
        <v>120.7786008</v>
      </c>
      <c r="W121" s="3">
        <f t="shared" si="29"/>
        <v>0</v>
      </c>
      <c r="X121" s="3">
        <f t="shared" si="30"/>
        <v>0</v>
      </c>
      <c r="Y121" s="3">
        <f t="shared" si="31"/>
        <v>0</v>
      </c>
      <c r="Z121" s="25">
        <f t="shared" si="32"/>
        <v>0</v>
      </c>
      <c r="AA121" s="26">
        <f>VLOOKUP(S121,CPI!$A$2:$E$67,5,0)</f>
        <v>1.243072781</v>
      </c>
      <c r="AB121" s="27">
        <f t="shared" si="8"/>
        <v>1824.159583</v>
      </c>
      <c r="AC121" s="27">
        <f t="shared" si="9"/>
        <v>150.1365912</v>
      </c>
    </row>
    <row r="122">
      <c r="A122" s="38">
        <v>8130.0</v>
      </c>
      <c r="B122" s="130" t="s">
        <v>230</v>
      </c>
      <c r="C122" s="130" t="s">
        <v>323</v>
      </c>
      <c r="D122" s="36" t="s">
        <v>84</v>
      </c>
      <c r="E122" s="130" t="s">
        <v>343</v>
      </c>
      <c r="F122" s="130">
        <v>2019.0</v>
      </c>
      <c r="G122" s="130">
        <v>2022.0</v>
      </c>
      <c r="H122" s="130">
        <v>0.0</v>
      </c>
      <c r="I122" s="130">
        <v>3.65</v>
      </c>
      <c r="J122" s="131">
        <v>0.4849315068</v>
      </c>
      <c r="K122" s="130">
        <v>1.77</v>
      </c>
      <c r="L122" s="132">
        <v>0.0</v>
      </c>
      <c r="M122" s="132">
        <v>0.0</v>
      </c>
      <c r="N122" s="130">
        <v>2.0</v>
      </c>
      <c r="O122" s="138"/>
      <c r="P122" s="130" t="s">
        <v>60</v>
      </c>
      <c r="Q122" s="135">
        <v>1409.0</v>
      </c>
      <c r="R122" s="130" t="s">
        <v>234</v>
      </c>
      <c r="S122" s="130">
        <v>2017.0</v>
      </c>
      <c r="T122" s="136">
        <v>0.239</v>
      </c>
      <c r="U122" s="128">
        <f t="shared" si="49"/>
        <v>336.751</v>
      </c>
      <c r="V122" s="24">
        <f t="shared" si="3"/>
        <v>92.26054795</v>
      </c>
      <c r="W122" s="3">
        <f t="shared" si="29"/>
        <v>0</v>
      </c>
      <c r="X122" s="3">
        <f t="shared" si="30"/>
        <v>0</v>
      </c>
      <c r="Y122" s="3">
        <f t="shared" si="31"/>
        <v>0</v>
      </c>
      <c r="Z122" s="25">
        <f t="shared" si="32"/>
        <v>0</v>
      </c>
      <c r="AA122" s="26">
        <f>VLOOKUP(S122,CPI!$A$2:$E$67,5,0)</f>
        <v>1.243072781</v>
      </c>
      <c r="AB122" s="27">
        <f t="shared" si="8"/>
        <v>418.606002</v>
      </c>
      <c r="AC122" s="27">
        <f t="shared" si="9"/>
        <v>114.6865759</v>
      </c>
    </row>
    <row r="123">
      <c r="A123" s="163"/>
      <c r="B123" s="114" t="s">
        <v>230</v>
      </c>
      <c r="C123" s="114" t="s">
        <v>323</v>
      </c>
      <c r="D123" s="171" t="s">
        <v>336</v>
      </c>
      <c r="E123" s="115" t="s">
        <v>344</v>
      </c>
      <c r="F123" s="116">
        <v>2021.0</v>
      </c>
      <c r="G123" s="116">
        <v>2025.0</v>
      </c>
      <c r="H123" s="116">
        <v>0.0</v>
      </c>
      <c r="I123" s="116">
        <v>13.99</v>
      </c>
      <c r="J123" s="117">
        <v>0.98</v>
      </c>
      <c r="K123" s="116">
        <v>13.78</v>
      </c>
      <c r="L123" s="114"/>
      <c r="M123" s="114"/>
      <c r="N123" s="116">
        <v>11.0</v>
      </c>
      <c r="O123" s="116">
        <v>117.0</v>
      </c>
      <c r="P123" s="114"/>
      <c r="Q123" s="140">
        <v>12342.0</v>
      </c>
      <c r="R123" s="114" t="s">
        <v>234</v>
      </c>
      <c r="S123" s="115">
        <v>2021.0</v>
      </c>
      <c r="T123" s="136">
        <v>0.239000000000001</v>
      </c>
      <c r="U123" s="118">
        <f t="shared" ref="U123:U137" si="50">Q123*T123</f>
        <v>2949.738</v>
      </c>
      <c r="V123" s="24">
        <f t="shared" si="3"/>
        <v>210.8461758</v>
      </c>
      <c r="W123" s="3">
        <f t="shared" si="29"/>
        <v>0</v>
      </c>
      <c r="X123" s="3">
        <f t="shared" si="30"/>
        <v>0</v>
      </c>
      <c r="Y123" s="3">
        <f t="shared" si="31"/>
        <v>0</v>
      </c>
      <c r="Z123" s="25">
        <f t="shared" si="32"/>
        <v>0</v>
      </c>
      <c r="AA123" s="26">
        <f>VLOOKUP(S123,CPI!$A$2:$E$67,5,0)</f>
        <v>1.124486105</v>
      </c>
      <c r="AB123" s="27">
        <f t="shared" si="8"/>
        <v>3316.939396</v>
      </c>
      <c r="AC123" s="27">
        <f t="shared" si="9"/>
        <v>237.0935951</v>
      </c>
    </row>
    <row r="124">
      <c r="A124" s="7"/>
      <c r="B124" s="114" t="s">
        <v>230</v>
      </c>
      <c r="C124" s="114" t="s">
        <v>346</v>
      </c>
      <c r="D124" s="16" t="s">
        <v>57</v>
      </c>
      <c r="E124" s="115" t="s">
        <v>232</v>
      </c>
      <c r="F124" s="116">
        <v>2019.0</v>
      </c>
      <c r="G124" s="114"/>
      <c r="H124" s="116">
        <v>0.0</v>
      </c>
      <c r="I124" s="116">
        <v>34.237</v>
      </c>
      <c r="J124" s="117">
        <v>0.92</v>
      </c>
      <c r="K124" s="116">
        <v>31.635</v>
      </c>
      <c r="L124" s="114"/>
      <c r="M124" s="114"/>
      <c r="N124" s="116">
        <v>29.0</v>
      </c>
      <c r="O124" s="116">
        <v>117.0</v>
      </c>
      <c r="P124" s="114"/>
      <c r="Q124" s="140">
        <v>23297.0</v>
      </c>
      <c r="R124" s="114" t="s">
        <v>234</v>
      </c>
      <c r="S124" s="115">
        <v>2021.0</v>
      </c>
      <c r="T124" s="136">
        <v>0.239</v>
      </c>
      <c r="U124" s="118">
        <f t="shared" si="50"/>
        <v>5567.983</v>
      </c>
      <c r="V124" s="24">
        <f t="shared" si="3"/>
        <v>162.6305751</v>
      </c>
      <c r="W124" s="3">
        <f t="shared" si="29"/>
        <v>0</v>
      </c>
      <c r="X124" s="3">
        <f t="shared" si="30"/>
        <v>0</v>
      </c>
      <c r="Y124" s="3">
        <f t="shared" si="31"/>
        <v>0</v>
      </c>
      <c r="Z124" s="25">
        <f t="shared" si="32"/>
        <v>0</v>
      </c>
      <c r="AA124" s="26">
        <f>VLOOKUP(S124,CPI!$A$2:$E$67,5,0)</f>
        <v>1.124486105</v>
      </c>
      <c r="AB124" s="27">
        <f t="shared" si="8"/>
        <v>6261.119519</v>
      </c>
      <c r="AC124" s="27">
        <f t="shared" si="9"/>
        <v>182.875822</v>
      </c>
    </row>
    <row r="125">
      <c r="A125" s="7"/>
      <c r="B125" s="114" t="s">
        <v>230</v>
      </c>
      <c r="C125" s="114" t="s">
        <v>346</v>
      </c>
      <c r="D125" s="16" t="s">
        <v>54</v>
      </c>
      <c r="E125" s="115" t="s">
        <v>348</v>
      </c>
      <c r="F125" s="116">
        <v>2021.0</v>
      </c>
      <c r="G125" s="114"/>
      <c r="H125" s="116">
        <v>0.0</v>
      </c>
      <c r="I125" s="116">
        <v>19.79</v>
      </c>
      <c r="J125" s="117">
        <v>1.0</v>
      </c>
      <c r="K125" s="116">
        <v>19.79</v>
      </c>
      <c r="L125" s="114"/>
      <c r="M125" s="114"/>
      <c r="N125" s="116">
        <v>15.0</v>
      </c>
      <c r="O125" s="116">
        <v>117.0</v>
      </c>
      <c r="P125" s="114"/>
      <c r="Q125" s="140">
        <v>14864.0</v>
      </c>
      <c r="R125" s="114" t="s">
        <v>234</v>
      </c>
      <c r="S125" s="115">
        <v>2021.0</v>
      </c>
      <c r="T125" s="136">
        <v>0.239</v>
      </c>
      <c r="U125" s="118">
        <f t="shared" si="50"/>
        <v>3552.496</v>
      </c>
      <c r="V125" s="24">
        <f t="shared" si="3"/>
        <v>179.5096513</v>
      </c>
      <c r="W125" s="3">
        <f t="shared" si="29"/>
        <v>0</v>
      </c>
      <c r="X125" s="3">
        <f t="shared" si="30"/>
        <v>0</v>
      </c>
      <c r="Y125" s="3">
        <f t="shared" si="31"/>
        <v>0</v>
      </c>
      <c r="Z125" s="25">
        <f t="shared" si="32"/>
        <v>0</v>
      </c>
      <c r="AA125" s="26">
        <f>VLOOKUP(S125,CPI!$A$2:$E$67,5,0)</f>
        <v>1.124486105</v>
      </c>
      <c r="AB125" s="27">
        <f t="shared" si="8"/>
        <v>3994.732392</v>
      </c>
      <c r="AC125" s="27">
        <f t="shared" si="9"/>
        <v>201.8561087</v>
      </c>
    </row>
    <row r="126">
      <c r="A126" s="163"/>
      <c r="B126" s="114" t="s">
        <v>230</v>
      </c>
      <c r="C126" s="114" t="s">
        <v>350</v>
      </c>
      <c r="D126" s="115" t="s">
        <v>351</v>
      </c>
      <c r="E126" s="115" t="s">
        <v>352</v>
      </c>
      <c r="F126" s="116">
        <v>2016.0</v>
      </c>
      <c r="G126" s="116">
        <v>2019.0</v>
      </c>
      <c r="H126" s="116">
        <v>0.0</v>
      </c>
      <c r="I126" s="116">
        <v>58.6</v>
      </c>
      <c r="J126" s="117">
        <v>0.65</v>
      </c>
      <c r="K126" s="116">
        <v>37.9</v>
      </c>
      <c r="L126" s="114"/>
      <c r="M126" s="114"/>
      <c r="N126" s="116">
        <v>13.0</v>
      </c>
      <c r="O126" s="116">
        <v>184.0</v>
      </c>
      <c r="P126" s="114"/>
      <c r="Q126" s="140">
        <v>34700.0</v>
      </c>
      <c r="R126" s="114" t="s">
        <v>234</v>
      </c>
      <c r="S126" s="115">
        <v>2018.0</v>
      </c>
      <c r="T126" s="85">
        <v>0.237</v>
      </c>
      <c r="U126" s="118">
        <f t="shared" si="50"/>
        <v>8223.9</v>
      </c>
      <c r="V126" s="24">
        <f t="shared" si="3"/>
        <v>140.3395904</v>
      </c>
      <c r="W126" s="3">
        <f t="shared" si="29"/>
        <v>0</v>
      </c>
      <c r="X126" s="3">
        <f t="shared" si="30"/>
        <v>0</v>
      </c>
      <c r="Y126" s="3">
        <f t="shared" si="31"/>
        <v>0</v>
      </c>
      <c r="Z126" s="25">
        <f t="shared" si="32"/>
        <v>0</v>
      </c>
      <c r="AA126" s="26">
        <f>VLOOKUP(S126,CPI!$A$2:$E$67,5,0)</f>
        <v>1.21343491</v>
      </c>
      <c r="AB126" s="27">
        <f t="shared" si="8"/>
        <v>9979.167358</v>
      </c>
      <c r="AC126" s="27">
        <f t="shared" si="9"/>
        <v>170.2929583</v>
      </c>
    </row>
    <row r="127">
      <c r="A127" s="163"/>
      <c r="B127" s="114" t="s">
        <v>230</v>
      </c>
      <c r="C127" s="114" t="s">
        <v>350</v>
      </c>
      <c r="D127" s="115" t="s">
        <v>57</v>
      </c>
      <c r="E127" s="115" t="s">
        <v>354</v>
      </c>
      <c r="F127" s="116">
        <v>2013.0</v>
      </c>
      <c r="G127" s="116">
        <v>2020.0</v>
      </c>
      <c r="H127" s="116">
        <v>0.0</v>
      </c>
      <c r="I127" s="116">
        <v>13.0</v>
      </c>
      <c r="J127" s="117">
        <v>0.43</v>
      </c>
      <c r="K127" s="116">
        <v>5.6</v>
      </c>
      <c r="L127" s="114"/>
      <c r="M127" s="114"/>
      <c r="N127" s="116">
        <v>10.0</v>
      </c>
      <c r="O127" s="116">
        <v>117.0</v>
      </c>
      <c r="P127" s="114"/>
      <c r="Q127" s="140">
        <v>5820.0</v>
      </c>
      <c r="R127" s="114" t="s">
        <v>234</v>
      </c>
      <c r="S127" s="115">
        <v>2017.0</v>
      </c>
      <c r="T127" s="85">
        <v>0.239</v>
      </c>
      <c r="U127" s="118">
        <f t="shared" si="50"/>
        <v>1390.98</v>
      </c>
      <c r="V127" s="24">
        <f t="shared" si="3"/>
        <v>106.9984615</v>
      </c>
      <c r="W127" s="3">
        <f t="shared" si="29"/>
        <v>0</v>
      </c>
      <c r="X127" s="3">
        <f t="shared" si="30"/>
        <v>0</v>
      </c>
      <c r="Y127" s="3">
        <f t="shared" si="31"/>
        <v>0</v>
      </c>
      <c r="Z127" s="25">
        <f t="shared" si="32"/>
        <v>0</v>
      </c>
      <c r="AA127" s="26">
        <f>VLOOKUP(S127,CPI!$A$2:$E$67,5,0)</f>
        <v>1.243072781</v>
      </c>
      <c r="AB127" s="27">
        <f t="shared" si="8"/>
        <v>1729.089376</v>
      </c>
      <c r="AC127" s="27">
        <f t="shared" si="9"/>
        <v>133.0068751</v>
      </c>
    </row>
    <row r="128">
      <c r="A128" s="163"/>
      <c r="B128" s="114" t="s">
        <v>230</v>
      </c>
      <c r="C128" s="114" t="s">
        <v>350</v>
      </c>
      <c r="D128" s="115" t="s">
        <v>239</v>
      </c>
      <c r="E128" s="115" t="s">
        <v>356</v>
      </c>
      <c r="F128" s="116">
        <v>2013.0</v>
      </c>
      <c r="G128" s="116">
        <v>2020.0</v>
      </c>
      <c r="H128" s="116">
        <v>0.0</v>
      </c>
      <c r="I128" s="116">
        <v>10.9</v>
      </c>
      <c r="J128" s="117">
        <v>1.0</v>
      </c>
      <c r="K128" s="116">
        <v>10.9</v>
      </c>
      <c r="L128" s="114"/>
      <c r="M128" s="114"/>
      <c r="N128" s="116">
        <v>5.0</v>
      </c>
      <c r="O128" s="116">
        <v>138.0</v>
      </c>
      <c r="P128" s="114"/>
      <c r="Q128" s="140">
        <v>5520.0</v>
      </c>
      <c r="R128" s="114" t="s">
        <v>234</v>
      </c>
      <c r="S128" s="115">
        <v>2017.0</v>
      </c>
      <c r="T128" s="85">
        <v>0.239</v>
      </c>
      <c r="U128" s="118">
        <f t="shared" si="50"/>
        <v>1319.28</v>
      </c>
      <c r="V128" s="24">
        <f t="shared" si="3"/>
        <v>121.0348624</v>
      </c>
      <c r="W128" s="3">
        <f t="shared" si="29"/>
        <v>0</v>
      </c>
      <c r="X128" s="3">
        <f t="shared" si="30"/>
        <v>0</v>
      </c>
      <c r="Y128" s="3">
        <f t="shared" si="31"/>
        <v>0</v>
      </c>
      <c r="Z128" s="25">
        <f t="shared" si="32"/>
        <v>0</v>
      </c>
      <c r="AA128" s="26">
        <f>VLOOKUP(S128,CPI!$A$2:$E$67,5,0)</f>
        <v>1.243072781</v>
      </c>
      <c r="AB128" s="27">
        <f t="shared" si="8"/>
        <v>1639.961058</v>
      </c>
      <c r="AC128" s="27">
        <f t="shared" si="9"/>
        <v>150.4551429</v>
      </c>
    </row>
    <row r="129">
      <c r="A129" s="163"/>
      <c r="B129" s="114" t="s">
        <v>230</v>
      </c>
      <c r="C129" s="114" t="s">
        <v>350</v>
      </c>
      <c r="D129" s="115" t="s">
        <v>87</v>
      </c>
      <c r="E129" s="115" t="s">
        <v>357</v>
      </c>
      <c r="F129" s="116">
        <v>2013.0</v>
      </c>
      <c r="G129" s="116">
        <v>2020.0</v>
      </c>
      <c r="H129" s="116">
        <v>0.0</v>
      </c>
      <c r="I129" s="116">
        <v>15.0</v>
      </c>
      <c r="J129" s="117">
        <v>0.6</v>
      </c>
      <c r="K129" s="116">
        <v>9.0</v>
      </c>
      <c r="L129" s="114"/>
      <c r="M129" s="114"/>
      <c r="N129" s="116">
        <v>9.0</v>
      </c>
      <c r="O129" s="116">
        <v>117.0</v>
      </c>
      <c r="P129" s="114"/>
      <c r="Q129" s="140">
        <v>7030.0</v>
      </c>
      <c r="R129" s="114" t="s">
        <v>234</v>
      </c>
      <c r="S129" s="115">
        <v>2017.0</v>
      </c>
      <c r="T129" s="85">
        <v>0.239</v>
      </c>
      <c r="U129" s="118">
        <f t="shared" si="50"/>
        <v>1680.17</v>
      </c>
      <c r="V129" s="24">
        <f t="shared" si="3"/>
        <v>112.0113333</v>
      </c>
      <c r="W129" s="3">
        <f t="shared" si="29"/>
        <v>0</v>
      </c>
      <c r="X129" s="3">
        <f t="shared" si="30"/>
        <v>0</v>
      </c>
      <c r="Y129" s="3">
        <f t="shared" si="31"/>
        <v>0</v>
      </c>
      <c r="Z129" s="25">
        <f t="shared" si="32"/>
        <v>0</v>
      </c>
      <c r="AA129" s="26">
        <f>VLOOKUP(S129,CPI!$A$2:$E$67,5,0)</f>
        <v>1.243072781</v>
      </c>
      <c r="AB129" s="27">
        <f t="shared" si="8"/>
        <v>2088.573594</v>
      </c>
      <c r="AC129" s="27">
        <f t="shared" si="9"/>
        <v>139.2382396</v>
      </c>
    </row>
    <row r="130">
      <c r="A130" s="163"/>
      <c r="B130" s="114" t="s">
        <v>230</v>
      </c>
      <c r="C130" s="114" t="s">
        <v>350</v>
      </c>
      <c r="D130" s="115" t="s">
        <v>110</v>
      </c>
      <c r="E130" s="115" t="s">
        <v>358</v>
      </c>
      <c r="F130" s="116">
        <v>2013.0</v>
      </c>
      <c r="G130" s="116">
        <v>2020.0</v>
      </c>
      <c r="H130" s="116">
        <v>0.0</v>
      </c>
      <c r="I130" s="116">
        <v>21.3</v>
      </c>
      <c r="J130" s="117">
        <v>1.0</v>
      </c>
      <c r="K130" s="116">
        <v>21.3</v>
      </c>
      <c r="L130" s="114"/>
      <c r="M130" s="114"/>
      <c r="N130" s="116">
        <v>13.0</v>
      </c>
      <c r="O130" s="116">
        <v>117.0</v>
      </c>
      <c r="P130" s="114"/>
      <c r="Q130" s="140">
        <v>10220.0</v>
      </c>
      <c r="R130" s="114" t="s">
        <v>234</v>
      </c>
      <c r="S130" s="115">
        <v>2017.0</v>
      </c>
      <c r="T130" s="85">
        <v>0.239</v>
      </c>
      <c r="U130" s="118">
        <f t="shared" si="50"/>
        <v>2442.58</v>
      </c>
      <c r="V130" s="24">
        <f t="shared" si="3"/>
        <v>114.6751174</v>
      </c>
      <c r="W130" s="3">
        <f t="shared" si="29"/>
        <v>0</v>
      </c>
      <c r="X130" s="3">
        <f t="shared" si="30"/>
        <v>0</v>
      </c>
      <c r="Y130" s="3">
        <f t="shared" si="31"/>
        <v>0</v>
      </c>
      <c r="Z130" s="25">
        <f t="shared" si="32"/>
        <v>0</v>
      </c>
      <c r="AA130" s="26">
        <f>VLOOKUP(S130,CPI!$A$2:$E$67,5,0)</f>
        <v>1.243072781</v>
      </c>
      <c r="AB130" s="27">
        <f t="shared" si="8"/>
        <v>3036.304713</v>
      </c>
      <c r="AC130" s="27">
        <f t="shared" si="9"/>
        <v>142.549517</v>
      </c>
    </row>
    <row r="131">
      <c r="A131" s="163"/>
      <c r="B131" s="114" t="s">
        <v>230</v>
      </c>
      <c r="C131" s="114" t="s">
        <v>350</v>
      </c>
      <c r="D131" s="114" t="s">
        <v>228</v>
      </c>
      <c r="E131" s="114" t="s">
        <v>228</v>
      </c>
      <c r="F131" s="116">
        <v>2013.0</v>
      </c>
      <c r="G131" s="116">
        <v>2020.0</v>
      </c>
      <c r="H131" s="116">
        <v>0.0</v>
      </c>
      <c r="I131" s="116">
        <v>38.6</v>
      </c>
      <c r="J131" s="117">
        <v>1.0</v>
      </c>
      <c r="K131" s="116">
        <v>38.6</v>
      </c>
      <c r="L131" s="114"/>
      <c r="M131" s="114"/>
      <c r="N131" s="116">
        <v>31.0</v>
      </c>
      <c r="O131" s="116">
        <v>138.0</v>
      </c>
      <c r="P131" s="114"/>
      <c r="Q131" s="140">
        <v>27010.0</v>
      </c>
      <c r="R131" s="114" t="s">
        <v>234</v>
      </c>
      <c r="S131" s="115">
        <v>2017.0</v>
      </c>
      <c r="T131" s="85">
        <v>0.239</v>
      </c>
      <c r="U131" s="118">
        <f t="shared" si="50"/>
        <v>6455.39</v>
      </c>
      <c r="V131" s="24">
        <f t="shared" si="3"/>
        <v>167.2380829</v>
      </c>
      <c r="W131" s="3">
        <f t="shared" si="29"/>
        <v>0</v>
      </c>
      <c r="X131" s="3">
        <f t="shared" si="30"/>
        <v>0</v>
      </c>
      <c r="Y131" s="3">
        <f t="shared" si="31"/>
        <v>0</v>
      </c>
      <c r="Z131" s="25">
        <f t="shared" si="32"/>
        <v>0</v>
      </c>
      <c r="AA131" s="26">
        <f>VLOOKUP(S131,CPI!$A$2:$E$67,5,0)</f>
        <v>1.243072781</v>
      </c>
      <c r="AB131" s="27">
        <f t="shared" si="8"/>
        <v>8024.519598</v>
      </c>
      <c r="AC131" s="27">
        <f t="shared" si="9"/>
        <v>207.8891087</v>
      </c>
    </row>
    <row r="132">
      <c r="A132" s="163"/>
      <c r="B132" s="114" t="s">
        <v>230</v>
      </c>
      <c r="C132" s="114" t="s">
        <v>350</v>
      </c>
      <c r="D132" s="115" t="s">
        <v>84</v>
      </c>
      <c r="E132" s="115" t="s">
        <v>359</v>
      </c>
      <c r="F132" s="116">
        <v>2015.0</v>
      </c>
      <c r="G132" s="116">
        <v>2020.0</v>
      </c>
      <c r="H132" s="116">
        <v>0.0</v>
      </c>
      <c r="I132" s="116">
        <v>49.0</v>
      </c>
      <c r="J132" s="117">
        <v>0.68</v>
      </c>
      <c r="K132" s="116">
        <v>33.2</v>
      </c>
      <c r="L132" s="114"/>
      <c r="M132" s="114"/>
      <c r="N132" s="116">
        <v>39.0</v>
      </c>
      <c r="O132" s="116">
        <v>184.0</v>
      </c>
      <c r="P132" s="114"/>
      <c r="Q132" s="140">
        <v>32480.0</v>
      </c>
      <c r="R132" s="114" t="s">
        <v>234</v>
      </c>
      <c r="S132" s="115">
        <v>2018.0</v>
      </c>
      <c r="T132" s="85">
        <v>0.237</v>
      </c>
      <c r="U132" s="118">
        <f t="shared" si="50"/>
        <v>7697.76</v>
      </c>
      <c r="V132" s="24">
        <f t="shared" si="3"/>
        <v>157.0971429</v>
      </c>
      <c r="W132" s="3">
        <f t="shared" si="29"/>
        <v>0</v>
      </c>
      <c r="X132" s="3">
        <f t="shared" si="30"/>
        <v>0</v>
      </c>
      <c r="Y132" s="3">
        <f t="shared" si="31"/>
        <v>0</v>
      </c>
      <c r="Z132" s="25">
        <f t="shared" si="32"/>
        <v>0</v>
      </c>
      <c r="AA132" s="26">
        <f>VLOOKUP(S132,CPI!$A$2:$E$67,5,0)</f>
        <v>1.21343491</v>
      </c>
      <c r="AB132" s="27">
        <f t="shared" si="8"/>
        <v>9340.730714</v>
      </c>
      <c r="AC132" s="27">
        <f t="shared" si="9"/>
        <v>190.6271574</v>
      </c>
    </row>
    <row r="133">
      <c r="A133" s="14">
        <v>9499.0</v>
      </c>
      <c r="B133" s="22" t="s">
        <v>230</v>
      </c>
      <c r="C133" s="22" t="s">
        <v>350</v>
      </c>
      <c r="D133" s="36" t="s">
        <v>239</v>
      </c>
      <c r="E133" s="22" t="s">
        <v>360</v>
      </c>
      <c r="F133" s="17">
        <v>2016.0</v>
      </c>
      <c r="G133" s="176">
        <v>2020.0</v>
      </c>
      <c r="H133" s="17">
        <v>0.0</v>
      </c>
      <c r="I133" s="17">
        <v>26.7</v>
      </c>
      <c r="J133" s="19">
        <f t="shared" ref="J133:J135" si="51">K133/I133</f>
        <v>0.3895131086</v>
      </c>
      <c r="K133" s="17">
        <v>10.4</v>
      </c>
      <c r="L133" s="177">
        <v>16.554</v>
      </c>
      <c r="M133" s="177">
        <v>0.0</v>
      </c>
      <c r="N133" s="17">
        <v>9.0</v>
      </c>
      <c r="O133" s="176">
        <v>138.0</v>
      </c>
      <c r="P133" s="22" t="s">
        <v>60</v>
      </c>
      <c r="Q133" s="23">
        <v>13156.0</v>
      </c>
      <c r="R133" s="22" t="s">
        <v>234</v>
      </c>
      <c r="S133" s="17">
        <v>2016.0</v>
      </c>
      <c r="T133" s="136">
        <v>0.251</v>
      </c>
      <c r="U133" s="3">
        <f t="shared" si="50"/>
        <v>3302.156</v>
      </c>
      <c r="V133" s="24">
        <f t="shared" si="3"/>
        <v>123.6762547</v>
      </c>
      <c r="W133" s="3">
        <f t="shared" si="29"/>
        <v>0</v>
      </c>
      <c r="X133" s="3">
        <f t="shared" si="30"/>
        <v>0</v>
      </c>
      <c r="Y133" s="3">
        <f t="shared" si="31"/>
        <v>0</v>
      </c>
      <c r="Z133" s="25">
        <f t="shared" si="32"/>
        <v>0</v>
      </c>
      <c r="AA133" s="26">
        <f>VLOOKUP(S133,CPI!$A$2:$E$67,5,0)</f>
        <v>1.269554638</v>
      </c>
      <c r="AB133" s="27">
        <f t="shared" si="8"/>
        <v>4192.267465</v>
      </c>
      <c r="AC133" s="27">
        <f t="shared" si="9"/>
        <v>157.0137627</v>
      </c>
    </row>
    <row r="134">
      <c r="A134" s="14">
        <v>9494.0</v>
      </c>
      <c r="B134" s="22" t="s">
        <v>230</v>
      </c>
      <c r="C134" s="22" t="s">
        <v>350</v>
      </c>
      <c r="D134" s="22" t="s">
        <v>253</v>
      </c>
      <c r="E134" s="22" t="s">
        <v>362</v>
      </c>
      <c r="F134" s="17">
        <v>2016.0</v>
      </c>
      <c r="G134" s="17">
        <v>2020.0</v>
      </c>
      <c r="H134" s="17">
        <v>0.0</v>
      </c>
      <c r="I134" s="17">
        <v>22.2</v>
      </c>
      <c r="J134" s="19">
        <f t="shared" si="51"/>
        <v>1</v>
      </c>
      <c r="K134" s="17">
        <v>22.2</v>
      </c>
      <c r="L134" s="177">
        <v>0.0</v>
      </c>
      <c r="M134" s="177">
        <v>0.0</v>
      </c>
      <c r="N134" s="17">
        <v>13.0</v>
      </c>
      <c r="O134" s="17"/>
      <c r="P134" s="22" t="s">
        <v>60</v>
      </c>
      <c r="Q134" s="23">
        <v>20253.0923</v>
      </c>
      <c r="R134" s="22" t="s">
        <v>234</v>
      </c>
      <c r="S134" s="17">
        <v>2017.0</v>
      </c>
      <c r="T134" s="136">
        <v>0.239</v>
      </c>
      <c r="U134" s="3">
        <f t="shared" si="50"/>
        <v>4840.48906</v>
      </c>
      <c r="V134" s="24">
        <f t="shared" si="3"/>
        <v>218.0400477</v>
      </c>
      <c r="W134" s="3">
        <f t="shared" si="29"/>
        <v>0</v>
      </c>
      <c r="X134" s="3">
        <f t="shared" si="30"/>
        <v>0</v>
      </c>
      <c r="Y134" s="3">
        <f t="shared" si="31"/>
        <v>0</v>
      </c>
      <c r="Z134" s="25">
        <f t="shared" si="32"/>
        <v>0</v>
      </c>
      <c r="AA134" s="26">
        <f>VLOOKUP(S134,CPI!$A$2:$E$67,5,0)</f>
        <v>1.243072781</v>
      </c>
      <c r="AB134" s="27">
        <f t="shared" si="8"/>
        <v>6017.080195</v>
      </c>
      <c r="AC134" s="27">
        <f t="shared" si="9"/>
        <v>271.0396484</v>
      </c>
    </row>
    <row r="135">
      <c r="A135" s="170">
        <v>7856.0</v>
      </c>
      <c r="B135" s="123" t="s">
        <v>230</v>
      </c>
      <c r="C135" s="123" t="s">
        <v>350</v>
      </c>
      <c r="D135" s="36" t="s">
        <v>236</v>
      </c>
      <c r="E135" s="123" t="s">
        <v>364</v>
      </c>
      <c r="F135" s="75">
        <v>2019.0</v>
      </c>
      <c r="G135" s="75">
        <v>2024.0</v>
      </c>
      <c r="H135" s="75">
        <v>0.0</v>
      </c>
      <c r="I135" s="75">
        <v>28.85</v>
      </c>
      <c r="J135" s="124">
        <f t="shared" si="51"/>
        <v>0.9116117851</v>
      </c>
      <c r="K135" s="75">
        <v>26.3</v>
      </c>
      <c r="L135" s="125">
        <v>0.0</v>
      </c>
      <c r="M135" s="125">
        <v>0.0</v>
      </c>
      <c r="N135" s="75">
        <v>19.0</v>
      </c>
      <c r="O135" s="75"/>
      <c r="P135" s="123" t="s">
        <v>60</v>
      </c>
      <c r="Q135" s="126">
        <v>23644.0</v>
      </c>
      <c r="R135" s="123" t="s">
        <v>234</v>
      </c>
      <c r="S135" s="75">
        <v>2019.0</v>
      </c>
      <c r="T135" s="136">
        <v>0.238</v>
      </c>
      <c r="U135" s="128">
        <f t="shared" si="50"/>
        <v>5627.272</v>
      </c>
      <c r="V135" s="24">
        <f t="shared" si="3"/>
        <v>195.0527556</v>
      </c>
      <c r="W135" s="3">
        <f t="shared" si="29"/>
        <v>0</v>
      </c>
      <c r="X135" s="3">
        <f t="shared" si="30"/>
        <v>0</v>
      </c>
      <c r="Y135" s="3">
        <f t="shared" si="31"/>
        <v>0</v>
      </c>
      <c r="Z135" s="25">
        <f t="shared" si="32"/>
        <v>0</v>
      </c>
      <c r="AA135" s="26">
        <f>VLOOKUP(S135,CPI!$A$2:$E$67,5,0)</f>
        <v>1.191839066</v>
      </c>
      <c r="AB135" s="27">
        <f t="shared" si="8"/>
        <v>6706.802602</v>
      </c>
      <c r="AC135" s="27">
        <f t="shared" si="9"/>
        <v>232.471494</v>
      </c>
    </row>
    <row r="136">
      <c r="A136" s="170">
        <v>7928.0</v>
      </c>
      <c r="B136" s="123" t="s">
        <v>230</v>
      </c>
      <c r="C136" s="123" t="s">
        <v>350</v>
      </c>
      <c r="D136" s="36" t="s">
        <v>121</v>
      </c>
      <c r="E136" s="123" t="s">
        <v>366</v>
      </c>
      <c r="F136" s="75">
        <v>2019.0</v>
      </c>
      <c r="G136" s="75">
        <v>2024.0</v>
      </c>
      <c r="H136" s="75">
        <v>0.0</v>
      </c>
      <c r="I136" s="75">
        <v>27.6</v>
      </c>
      <c r="J136" s="124">
        <v>1.0</v>
      </c>
      <c r="K136" s="75">
        <v>27.6</v>
      </c>
      <c r="L136" s="125">
        <v>0.0</v>
      </c>
      <c r="M136" s="125">
        <v>0.0</v>
      </c>
      <c r="N136" s="75">
        <v>17.0</v>
      </c>
      <c r="O136" s="75"/>
      <c r="P136" s="123" t="s">
        <v>60</v>
      </c>
      <c r="Q136" s="126">
        <v>20014.0</v>
      </c>
      <c r="R136" s="123" t="s">
        <v>234</v>
      </c>
      <c r="S136" s="75">
        <v>2019.0</v>
      </c>
      <c r="T136" s="136">
        <v>0.238</v>
      </c>
      <c r="U136" s="128">
        <f t="shared" si="50"/>
        <v>4763.332</v>
      </c>
      <c r="V136" s="24">
        <f t="shared" si="3"/>
        <v>172.5844928</v>
      </c>
      <c r="W136" s="3">
        <f t="shared" si="29"/>
        <v>0</v>
      </c>
      <c r="X136" s="3">
        <f t="shared" si="30"/>
        <v>0</v>
      </c>
      <c r="Y136" s="3">
        <f t="shared" si="31"/>
        <v>0</v>
      </c>
      <c r="Z136" s="25">
        <f t="shared" si="32"/>
        <v>0</v>
      </c>
      <c r="AA136" s="26">
        <f>VLOOKUP(S136,CPI!$A$2:$E$67,5,0)</f>
        <v>1.191839066</v>
      </c>
      <c r="AB136" s="27">
        <f t="shared" si="8"/>
        <v>5677.12516</v>
      </c>
      <c r="AC136" s="27">
        <f t="shared" si="9"/>
        <v>205.6929406</v>
      </c>
    </row>
    <row r="137">
      <c r="A137" s="170">
        <v>7786.0</v>
      </c>
      <c r="B137" s="123" t="s">
        <v>230</v>
      </c>
      <c r="C137" s="123" t="s">
        <v>350</v>
      </c>
      <c r="D137" s="36" t="s">
        <v>351</v>
      </c>
      <c r="E137" s="123" t="s">
        <v>367</v>
      </c>
      <c r="F137" s="75">
        <v>2019.0</v>
      </c>
      <c r="G137" s="75">
        <v>2024.0</v>
      </c>
      <c r="H137" s="75">
        <v>0.0</v>
      </c>
      <c r="I137" s="75">
        <f>11.01+3.28</f>
        <v>14.29</v>
      </c>
      <c r="J137" s="124">
        <v>1.0</v>
      </c>
      <c r="K137" s="75">
        <v>14.29</v>
      </c>
      <c r="L137" s="125">
        <v>0.0</v>
      </c>
      <c r="M137" s="125">
        <v>0.0</v>
      </c>
      <c r="N137" s="75">
        <v>7.0</v>
      </c>
      <c r="O137" s="75"/>
      <c r="P137" s="123" t="s">
        <v>60</v>
      </c>
      <c r="Q137" s="126">
        <v>14656.0</v>
      </c>
      <c r="R137" s="123" t="s">
        <v>234</v>
      </c>
      <c r="S137" s="75">
        <v>2019.0</v>
      </c>
      <c r="T137" s="136">
        <v>0.238</v>
      </c>
      <c r="U137" s="128">
        <f t="shared" si="50"/>
        <v>3488.128</v>
      </c>
      <c r="V137" s="24">
        <f t="shared" si="3"/>
        <v>244.0957313</v>
      </c>
      <c r="W137" s="3">
        <f t="shared" si="29"/>
        <v>0</v>
      </c>
      <c r="X137" s="3">
        <f t="shared" si="30"/>
        <v>0</v>
      </c>
      <c r="Y137" s="3">
        <f t="shared" si="31"/>
        <v>0</v>
      </c>
      <c r="Z137" s="25">
        <f t="shared" si="32"/>
        <v>0</v>
      </c>
      <c r="AA137" s="26">
        <f>VLOOKUP(S137,CPI!$A$2:$E$67,5,0)</f>
        <v>1.191839066</v>
      </c>
      <c r="AB137" s="27">
        <f t="shared" si="8"/>
        <v>4157.287216</v>
      </c>
      <c r="AC137" s="27">
        <f t="shared" si="9"/>
        <v>290.9228283</v>
      </c>
    </row>
    <row r="138">
      <c r="A138" s="180">
        <v>8026.0</v>
      </c>
      <c r="B138" s="6" t="s">
        <v>230</v>
      </c>
      <c r="C138" s="6" t="s">
        <v>350</v>
      </c>
      <c r="D138" s="16" t="s">
        <v>288</v>
      </c>
      <c r="E138" s="6" t="s">
        <v>368</v>
      </c>
      <c r="F138" s="6">
        <v>2019.0</v>
      </c>
      <c r="G138" s="6">
        <v>2024.0</v>
      </c>
      <c r="H138" s="69">
        <v>0.0</v>
      </c>
      <c r="I138" s="69">
        <v>42.87</v>
      </c>
      <c r="J138" s="117">
        <v>1.0</v>
      </c>
      <c r="K138" s="69">
        <v>42.87</v>
      </c>
      <c r="L138" s="72"/>
      <c r="M138" s="72"/>
      <c r="N138" s="69">
        <v>12.0</v>
      </c>
      <c r="O138" s="69">
        <v>184.0</v>
      </c>
      <c r="P138" s="72"/>
      <c r="Q138" s="140">
        <v>35518.0</v>
      </c>
      <c r="R138" s="72" t="s">
        <v>234</v>
      </c>
      <c r="S138" s="6">
        <v>2019.0</v>
      </c>
      <c r="T138" s="136">
        <v>0.238</v>
      </c>
      <c r="U138" s="148">
        <f t="shared" ref="U138:U139" si="52">T138*Q138</f>
        <v>8453.284</v>
      </c>
      <c r="V138" s="24">
        <f t="shared" si="3"/>
        <v>197.1841381</v>
      </c>
      <c r="W138" s="3">
        <f t="shared" si="29"/>
        <v>0</v>
      </c>
      <c r="X138" s="3">
        <f t="shared" si="30"/>
        <v>0</v>
      </c>
      <c r="Y138" s="3">
        <f t="shared" si="31"/>
        <v>0</v>
      </c>
      <c r="Z138" s="25">
        <f t="shared" si="32"/>
        <v>0</v>
      </c>
      <c r="AA138" s="26">
        <f>VLOOKUP(S138,CPI!$A$2:$E$67,5,0)</f>
        <v>1.191839066</v>
      </c>
      <c r="AB138" s="27">
        <f t="shared" si="8"/>
        <v>10074.9541</v>
      </c>
      <c r="AC138" s="27">
        <f t="shared" si="9"/>
        <v>235.0117589</v>
      </c>
    </row>
    <row r="139">
      <c r="A139" s="180">
        <v>7994.0</v>
      </c>
      <c r="B139" s="6" t="s">
        <v>230</v>
      </c>
      <c r="C139" s="6" t="s">
        <v>350</v>
      </c>
      <c r="D139" s="16" t="s">
        <v>295</v>
      </c>
      <c r="E139" s="6" t="s">
        <v>370</v>
      </c>
      <c r="F139" s="6">
        <v>2019.0</v>
      </c>
      <c r="G139" s="6">
        <v>2024.0</v>
      </c>
      <c r="H139" s="6">
        <v>0.0</v>
      </c>
      <c r="I139" s="69">
        <v>24.86</v>
      </c>
      <c r="J139" s="117">
        <v>0.7</v>
      </c>
      <c r="K139" s="69">
        <v>17.35</v>
      </c>
      <c r="L139" s="72"/>
      <c r="M139" s="72"/>
      <c r="N139" s="69">
        <v>17.0</v>
      </c>
      <c r="O139" s="69">
        <v>117.0</v>
      </c>
      <c r="P139" s="72"/>
      <c r="Q139" s="140">
        <v>16587.0</v>
      </c>
      <c r="R139" s="72" t="s">
        <v>234</v>
      </c>
      <c r="S139" s="6">
        <v>2019.0</v>
      </c>
      <c r="T139" s="136">
        <v>0.238</v>
      </c>
      <c r="U139" s="148">
        <f t="shared" si="52"/>
        <v>3947.706</v>
      </c>
      <c r="V139" s="24">
        <f t="shared" si="3"/>
        <v>158.797506</v>
      </c>
      <c r="W139" s="3">
        <f t="shared" si="29"/>
        <v>0</v>
      </c>
      <c r="X139" s="3">
        <f t="shared" si="30"/>
        <v>0</v>
      </c>
      <c r="Y139" s="3">
        <f t="shared" si="31"/>
        <v>0</v>
      </c>
      <c r="Z139" s="25">
        <f t="shared" si="32"/>
        <v>0</v>
      </c>
      <c r="AA139" s="26">
        <f>VLOOKUP(S139,CPI!$A$2:$E$67,5,0)</f>
        <v>1.191839066</v>
      </c>
      <c r="AB139" s="27">
        <f t="shared" si="8"/>
        <v>4705.03023</v>
      </c>
      <c r="AC139" s="27">
        <f t="shared" si="9"/>
        <v>189.2610712</v>
      </c>
    </row>
    <row r="140">
      <c r="A140" s="170">
        <v>7899.0</v>
      </c>
      <c r="B140" s="123" t="s">
        <v>230</v>
      </c>
      <c r="C140" s="123" t="s">
        <v>350</v>
      </c>
      <c r="D140" s="16" t="s">
        <v>371</v>
      </c>
      <c r="E140" s="123" t="s">
        <v>372</v>
      </c>
      <c r="F140" s="75">
        <v>2019.0</v>
      </c>
      <c r="G140" s="75">
        <v>2024.0</v>
      </c>
      <c r="H140" s="75">
        <v>0.0</v>
      </c>
      <c r="I140" s="75">
        <v>24.78</v>
      </c>
      <c r="J140" s="124">
        <v>1.0</v>
      </c>
      <c r="K140" s="75">
        <v>24.78</v>
      </c>
      <c r="L140" s="125">
        <v>0.0</v>
      </c>
      <c r="M140" s="125">
        <v>0.0</v>
      </c>
      <c r="N140" s="75">
        <v>24.0</v>
      </c>
      <c r="O140" s="152">
        <v>117.0</v>
      </c>
      <c r="P140" s="123" t="s">
        <v>60</v>
      </c>
      <c r="Q140" s="126">
        <v>19112.0</v>
      </c>
      <c r="R140" s="123" t="s">
        <v>234</v>
      </c>
      <c r="S140" s="69">
        <v>2019.0</v>
      </c>
      <c r="T140" s="136">
        <v>0.238</v>
      </c>
      <c r="U140" s="128">
        <f t="shared" ref="U140:U148" si="53">Q140*T140</f>
        <v>4548.656</v>
      </c>
      <c r="V140" s="24">
        <f t="shared" si="3"/>
        <v>183.5615819</v>
      </c>
      <c r="W140" s="3">
        <f t="shared" si="29"/>
        <v>0</v>
      </c>
      <c r="X140" s="3">
        <f t="shared" si="30"/>
        <v>0</v>
      </c>
      <c r="Y140" s="3">
        <f t="shared" si="31"/>
        <v>0</v>
      </c>
      <c r="Z140" s="25">
        <f t="shared" si="32"/>
        <v>0</v>
      </c>
      <c r="AA140" s="26">
        <f>VLOOKUP(S140,CPI!$A$2:$E$67,5,0)</f>
        <v>1.191839066</v>
      </c>
      <c r="AB140" s="27">
        <f t="shared" si="8"/>
        <v>5421.265917</v>
      </c>
      <c r="AC140" s="27">
        <f t="shared" si="9"/>
        <v>218.7758643</v>
      </c>
    </row>
    <row r="141">
      <c r="A141" s="170">
        <v>7808.0</v>
      </c>
      <c r="B141" s="123" t="s">
        <v>230</v>
      </c>
      <c r="C141" s="123" t="s">
        <v>350</v>
      </c>
      <c r="D141" s="36" t="s">
        <v>243</v>
      </c>
      <c r="E141" s="123" t="s">
        <v>373</v>
      </c>
      <c r="F141" s="75">
        <v>2019.0</v>
      </c>
      <c r="G141" s="75">
        <v>2024.0</v>
      </c>
      <c r="H141" s="75">
        <v>0.0</v>
      </c>
      <c r="I141" s="75">
        <f>6.51+1.32</f>
        <v>7.83</v>
      </c>
      <c r="J141" s="124">
        <f t="shared" ref="J141:J142" si="54">K141/I141</f>
        <v>1</v>
      </c>
      <c r="K141" s="75">
        <f>I141</f>
        <v>7.83</v>
      </c>
      <c r="L141" s="125">
        <v>0.0</v>
      </c>
      <c r="M141" s="125">
        <v>0.0</v>
      </c>
      <c r="N141" s="75">
        <v>7.0</v>
      </c>
      <c r="O141" s="75"/>
      <c r="P141" s="123" t="s">
        <v>60</v>
      </c>
      <c r="Q141" s="126">
        <v>7452.0</v>
      </c>
      <c r="R141" s="123" t="s">
        <v>234</v>
      </c>
      <c r="S141" s="75">
        <v>2019.0</v>
      </c>
      <c r="T141" s="183">
        <f>T131</f>
        <v>0.239</v>
      </c>
      <c r="U141" s="128">
        <f t="shared" si="53"/>
        <v>1781.028</v>
      </c>
      <c r="V141" s="24">
        <f t="shared" si="3"/>
        <v>227.462069</v>
      </c>
      <c r="W141" s="3">
        <f t="shared" si="29"/>
        <v>0</v>
      </c>
      <c r="X141" s="3">
        <f t="shared" si="30"/>
        <v>0</v>
      </c>
      <c r="Y141" s="3">
        <f t="shared" si="31"/>
        <v>0</v>
      </c>
      <c r="Z141" s="25">
        <f t="shared" si="32"/>
        <v>0</v>
      </c>
      <c r="AA141" s="26">
        <f>VLOOKUP(S141,CPI!$A$2:$E$67,5,0)</f>
        <v>1.191839066</v>
      </c>
      <c r="AB141" s="27">
        <f t="shared" si="8"/>
        <v>2122.698747</v>
      </c>
      <c r="AC141" s="27">
        <f t="shared" si="9"/>
        <v>271.0981797</v>
      </c>
    </row>
    <row r="142">
      <c r="A142" s="170">
        <v>7977.0</v>
      </c>
      <c r="B142" s="123" t="s">
        <v>230</v>
      </c>
      <c r="C142" s="123" t="s">
        <v>350</v>
      </c>
      <c r="D142" s="36" t="s">
        <v>239</v>
      </c>
      <c r="E142" s="123" t="s">
        <v>374</v>
      </c>
      <c r="F142" s="75">
        <v>2019.0</v>
      </c>
      <c r="G142" s="152">
        <v>2025.0</v>
      </c>
      <c r="H142" s="75">
        <v>0.0</v>
      </c>
      <c r="I142" s="75">
        <v>5.5</v>
      </c>
      <c r="J142" s="124">
        <f t="shared" si="54"/>
        <v>1</v>
      </c>
      <c r="K142" s="75">
        <v>5.5</v>
      </c>
      <c r="L142" s="125">
        <v>0.0</v>
      </c>
      <c r="M142" s="125">
        <v>0.0</v>
      </c>
      <c r="N142" s="75">
        <v>4.0</v>
      </c>
      <c r="O142" s="152">
        <v>138.0</v>
      </c>
      <c r="P142" s="123" t="s">
        <v>60</v>
      </c>
      <c r="Q142" s="126">
        <v>3716.0</v>
      </c>
      <c r="R142" s="123" t="s">
        <v>234</v>
      </c>
      <c r="S142" s="75">
        <v>2019.0</v>
      </c>
      <c r="T142" s="136">
        <v>0.238</v>
      </c>
      <c r="U142" s="128">
        <f t="shared" si="53"/>
        <v>884.408</v>
      </c>
      <c r="V142" s="24">
        <f t="shared" si="3"/>
        <v>160.8014545</v>
      </c>
      <c r="W142" s="3">
        <f t="shared" si="29"/>
        <v>0</v>
      </c>
      <c r="X142" s="3">
        <f t="shared" si="30"/>
        <v>0</v>
      </c>
      <c r="Y142" s="3">
        <f t="shared" si="31"/>
        <v>0</v>
      </c>
      <c r="Z142" s="25">
        <f t="shared" si="32"/>
        <v>0</v>
      </c>
      <c r="AA142" s="26">
        <f>VLOOKUP(S142,CPI!$A$2:$E$67,5,0)</f>
        <v>1.191839066</v>
      </c>
      <c r="AB142" s="27">
        <f t="shared" si="8"/>
        <v>1054.072004</v>
      </c>
      <c r="AC142" s="27">
        <f t="shared" si="9"/>
        <v>191.6494553</v>
      </c>
    </row>
    <row r="143">
      <c r="A143" s="163"/>
      <c r="B143" s="114" t="s">
        <v>230</v>
      </c>
      <c r="C143" s="114" t="s">
        <v>350</v>
      </c>
      <c r="D143" s="115" t="s">
        <v>87</v>
      </c>
      <c r="E143" s="115" t="s">
        <v>375</v>
      </c>
      <c r="F143" s="116">
        <v>2015.0</v>
      </c>
      <c r="G143" s="114"/>
      <c r="H143" s="116">
        <v>0.0</v>
      </c>
      <c r="I143" s="116">
        <v>12.6</v>
      </c>
      <c r="J143" s="117">
        <v>0.57</v>
      </c>
      <c r="K143" s="116">
        <v>7.2</v>
      </c>
      <c r="L143" s="114"/>
      <c r="M143" s="114"/>
      <c r="N143" s="116">
        <v>9.0</v>
      </c>
      <c r="O143" s="116">
        <v>117.0</v>
      </c>
      <c r="P143" s="114"/>
      <c r="Q143" s="140">
        <v>6240.0</v>
      </c>
      <c r="R143" s="114" t="s">
        <v>234</v>
      </c>
      <c r="S143" s="115">
        <v>2015.0</v>
      </c>
      <c r="T143" s="85">
        <v>0.258</v>
      </c>
      <c r="U143" s="118">
        <f t="shared" si="53"/>
        <v>1609.92</v>
      </c>
      <c r="V143" s="24">
        <f t="shared" si="3"/>
        <v>127.7714286</v>
      </c>
      <c r="W143" s="3">
        <f t="shared" si="29"/>
        <v>0</v>
      </c>
      <c r="X143" s="3">
        <f t="shared" si="30"/>
        <v>0</v>
      </c>
      <c r="Y143" s="3">
        <f t="shared" si="31"/>
        <v>0</v>
      </c>
      <c r="Z143" s="25">
        <f t="shared" si="32"/>
        <v>0</v>
      </c>
      <c r="AA143" s="26">
        <f>VLOOKUP(S143,CPI!$A$2:$E$67,5,0)</f>
        <v>1.285570233</v>
      </c>
      <c r="AB143" s="27">
        <f t="shared" si="8"/>
        <v>2069.66523</v>
      </c>
      <c r="AC143" s="27">
        <f t="shared" si="9"/>
        <v>164.2591452</v>
      </c>
    </row>
    <row r="144">
      <c r="A144" s="163"/>
      <c r="B144" s="114" t="s">
        <v>230</v>
      </c>
      <c r="C144" s="114" t="s">
        <v>350</v>
      </c>
      <c r="D144" s="115" t="s">
        <v>121</v>
      </c>
      <c r="E144" s="115" t="s">
        <v>376</v>
      </c>
      <c r="F144" s="116">
        <v>2021.0</v>
      </c>
      <c r="G144" s="116"/>
      <c r="H144" s="116">
        <v>0.0</v>
      </c>
      <c r="I144" s="116">
        <v>26.14</v>
      </c>
      <c r="J144" s="117">
        <v>0.79</v>
      </c>
      <c r="K144" s="116">
        <v>20.64</v>
      </c>
      <c r="L144" s="114"/>
      <c r="M144" s="114"/>
      <c r="N144" s="116">
        <v>9.0</v>
      </c>
      <c r="O144" s="116">
        <v>184.0</v>
      </c>
      <c r="P144" s="114"/>
      <c r="Q144" s="140">
        <v>17151.0</v>
      </c>
      <c r="R144" s="114" t="s">
        <v>234</v>
      </c>
      <c r="S144" s="115">
        <v>2021.0</v>
      </c>
      <c r="T144" s="136">
        <v>0.239000000000001</v>
      </c>
      <c r="U144" s="118">
        <f t="shared" si="53"/>
        <v>4099.089</v>
      </c>
      <c r="V144" s="24">
        <f t="shared" si="3"/>
        <v>156.8128921</v>
      </c>
      <c r="W144" s="3">
        <f t="shared" si="29"/>
        <v>0</v>
      </c>
      <c r="X144" s="3">
        <f t="shared" si="30"/>
        <v>0</v>
      </c>
      <c r="Y144" s="3">
        <f t="shared" si="31"/>
        <v>0</v>
      </c>
      <c r="Z144" s="25">
        <f t="shared" si="32"/>
        <v>0</v>
      </c>
      <c r="AA144" s="26">
        <f>VLOOKUP(S144,CPI!$A$2:$E$67,5,0)</f>
        <v>1.124486105</v>
      </c>
      <c r="AB144" s="27">
        <f t="shared" si="8"/>
        <v>4609.368626</v>
      </c>
      <c r="AC144" s="27">
        <f t="shared" si="9"/>
        <v>176.3339183</v>
      </c>
    </row>
    <row r="145">
      <c r="A145" s="162">
        <v>9493.0</v>
      </c>
      <c r="B145" s="72" t="s">
        <v>230</v>
      </c>
      <c r="C145" s="72" t="s">
        <v>350</v>
      </c>
      <c r="D145" s="115" t="s">
        <v>243</v>
      </c>
      <c r="E145" s="115" t="s">
        <v>379</v>
      </c>
      <c r="F145" s="69">
        <v>2021.0</v>
      </c>
      <c r="G145" s="69"/>
      <c r="H145" s="69">
        <v>0.0</v>
      </c>
      <c r="I145" s="69">
        <v>29.1</v>
      </c>
      <c r="J145" s="117">
        <v>1.0</v>
      </c>
      <c r="K145" s="69">
        <v>29.1</v>
      </c>
      <c r="L145" s="72"/>
      <c r="M145" s="72"/>
      <c r="N145" s="69">
        <v>25.0</v>
      </c>
      <c r="O145" s="69">
        <v>138.0</v>
      </c>
      <c r="P145" s="72"/>
      <c r="Q145" s="140">
        <v>23757.0</v>
      </c>
      <c r="R145" s="72" t="s">
        <v>234</v>
      </c>
      <c r="S145" s="130">
        <v>2019.0</v>
      </c>
      <c r="T145" s="136">
        <v>0.238</v>
      </c>
      <c r="U145" s="3">
        <f t="shared" si="53"/>
        <v>5654.166</v>
      </c>
      <c r="V145" s="24">
        <f t="shared" si="3"/>
        <v>194.3012371</v>
      </c>
      <c r="W145" s="3">
        <f t="shared" si="29"/>
        <v>0</v>
      </c>
      <c r="X145" s="3">
        <f t="shared" si="30"/>
        <v>0</v>
      </c>
      <c r="Y145" s="3">
        <f t="shared" si="31"/>
        <v>0</v>
      </c>
      <c r="Z145" s="25">
        <f t="shared" si="32"/>
        <v>0</v>
      </c>
      <c r="AA145" s="26">
        <f>VLOOKUP(S145,CPI!$A$2:$E$67,5,0)</f>
        <v>1.191839066</v>
      </c>
      <c r="AB145" s="27">
        <f t="shared" si="8"/>
        <v>6738.855922</v>
      </c>
      <c r="AC145" s="27">
        <f t="shared" si="9"/>
        <v>231.5758049</v>
      </c>
    </row>
    <row r="146">
      <c r="A146" s="163"/>
      <c r="B146" s="114" t="s">
        <v>230</v>
      </c>
      <c r="C146" s="114" t="s">
        <v>350</v>
      </c>
      <c r="D146" s="114" t="s">
        <v>382</v>
      </c>
      <c r="E146" s="114" t="s">
        <v>382</v>
      </c>
      <c r="F146" s="116">
        <v>2021.0</v>
      </c>
      <c r="G146" s="114"/>
      <c r="H146" s="116">
        <v>1.0</v>
      </c>
      <c r="I146" s="116">
        <v>38.7</v>
      </c>
      <c r="J146" s="117">
        <v>0.27</v>
      </c>
      <c r="K146" s="116">
        <v>10.42</v>
      </c>
      <c r="L146" s="114"/>
      <c r="M146" s="114"/>
      <c r="N146" s="116">
        <v>7.0</v>
      </c>
      <c r="O146" s="116">
        <v>184.0</v>
      </c>
      <c r="P146" s="114"/>
      <c r="Q146" s="140">
        <v>12903.0</v>
      </c>
      <c r="R146" s="114" t="s">
        <v>234</v>
      </c>
      <c r="S146" s="115">
        <v>2021.0</v>
      </c>
      <c r="T146" s="136">
        <v>0.239000000000001</v>
      </c>
      <c r="U146" s="118">
        <f t="shared" si="53"/>
        <v>3083.817</v>
      </c>
      <c r="V146" s="24">
        <f t="shared" si="3"/>
        <v>79.6851938</v>
      </c>
      <c r="W146" s="3">
        <f t="shared" si="29"/>
        <v>0</v>
      </c>
      <c r="X146" s="3">
        <f t="shared" si="30"/>
        <v>0</v>
      </c>
      <c r="Y146" s="3">
        <f t="shared" si="31"/>
        <v>0</v>
      </c>
      <c r="Z146" s="25">
        <f t="shared" si="32"/>
        <v>0</v>
      </c>
      <c r="AA146" s="26">
        <f>VLOOKUP(S146,CPI!$A$2:$E$67,5,0)</f>
        <v>1.124486105</v>
      </c>
      <c r="AB146" s="27">
        <f t="shared" si="8"/>
        <v>3467.709368</v>
      </c>
      <c r="AC146" s="27">
        <f t="shared" si="9"/>
        <v>89.60489324</v>
      </c>
    </row>
    <row r="147">
      <c r="A147" s="163"/>
      <c r="B147" s="114" t="s">
        <v>230</v>
      </c>
      <c r="C147" s="114" t="s">
        <v>350</v>
      </c>
      <c r="D147" s="114" t="s">
        <v>384</v>
      </c>
      <c r="E147" s="114" t="s">
        <v>384</v>
      </c>
      <c r="F147" s="116">
        <v>2022.0</v>
      </c>
      <c r="G147" s="114"/>
      <c r="H147" s="116">
        <v>1.0</v>
      </c>
      <c r="I147" s="116">
        <v>59.0</v>
      </c>
      <c r="J147" s="117">
        <v>0.17</v>
      </c>
      <c r="K147" s="116">
        <v>9.85</v>
      </c>
      <c r="L147" s="114"/>
      <c r="M147" s="114"/>
      <c r="N147" s="116">
        <v>13.0</v>
      </c>
      <c r="O147" s="116">
        <v>184.0</v>
      </c>
      <c r="P147" s="114"/>
      <c r="Q147" s="140">
        <v>22600.0</v>
      </c>
      <c r="R147" s="114" t="s">
        <v>234</v>
      </c>
      <c r="S147" s="115">
        <v>2021.0</v>
      </c>
      <c r="T147" s="136">
        <v>0.239000000000001</v>
      </c>
      <c r="U147" s="118">
        <f t="shared" si="53"/>
        <v>5401.4</v>
      </c>
      <c r="V147" s="24">
        <f t="shared" si="3"/>
        <v>91.54915254</v>
      </c>
      <c r="W147" s="3">
        <f t="shared" si="29"/>
        <v>0</v>
      </c>
      <c r="X147" s="3">
        <f t="shared" si="30"/>
        <v>0</v>
      </c>
      <c r="Y147" s="3">
        <f t="shared" si="31"/>
        <v>0</v>
      </c>
      <c r="Z147" s="25">
        <f t="shared" si="32"/>
        <v>0</v>
      </c>
      <c r="AA147" s="26">
        <f>VLOOKUP(S147,CPI!$A$2:$E$67,5,0)</f>
        <v>1.124486105</v>
      </c>
      <c r="AB147" s="27">
        <f t="shared" si="8"/>
        <v>6073.79925</v>
      </c>
      <c r="AC147" s="27">
        <f t="shared" si="9"/>
        <v>102.94575</v>
      </c>
    </row>
    <row r="148">
      <c r="A148" s="38">
        <v>8066.0</v>
      </c>
      <c r="B148" s="72" t="s">
        <v>230</v>
      </c>
      <c r="C148" s="72" t="s">
        <v>387</v>
      </c>
      <c r="D148" s="72" t="s">
        <v>388</v>
      </c>
      <c r="E148" s="72" t="s">
        <v>388</v>
      </c>
      <c r="F148" s="69">
        <v>2012.0</v>
      </c>
      <c r="G148" s="69">
        <v>2016.0</v>
      </c>
      <c r="H148" s="69">
        <v>0.0</v>
      </c>
      <c r="I148" s="69">
        <v>50.93</v>
      </c>
      <c r="J148" s="117">
        <v>0.86</v>
      </c>
      <c r="K148" s="69">
        <v>43.622</v>
      </c>
      <c r="L148" s="72"/>
      <c r="M148" s="72"/>
      <c r="N148" s="69">
        <v>33.0</v>
      </c>
      <c r="O148" s="69">
        <v>117.0</v>
      </c>
      <c r="P148" s="72"/>
      <c r="Q148" s="140">
        <v>34163.0</v>
      </c>
      <c r="R148" s="72" t="s">
        <v>234</v>
      </c>
      <c r="S148" s="115">
        <v>2014.0</v>
      </c>
      <c r="T148" s="136">
        <v>0.266</v>
      </c>
      <c r="U148" s="118">
        <f t="shared" si="53"/>
        <v>9087.358</v>
      </c>
      <c r="V148" s="24">
        <f t="shared" si="3"/>
        <v>178.4283919</v>
      </c>
      <c r="W148" s="3">
        <f t="shared" si="29"/>
        <v>0</v>
      </c>
      <c r="X148" s="3">
        <f t="shared" si="30"/>
        <v>0</v>
      </c>
      <c r="Y148" s="3">
        <f t="shared" si="31"/>
        <v>0</v>
      </c>
      <c r="Z148" s="25">
        <f t="shared" si="32"/>
        <v>0</v>
      </c>
      <c r="AA148" s="26">
        <f>VLOOKUP(S148,CPI!$A$2:$E$67,5,0)</f>
        <v>1.287096175</v>
      </c>
      <c r="AB148" s="27">
        <f t="shared" si="8"/>
        <v>11696.30372</v>
      </c>
      <c r="AC148" s="27">
        <f t="shared" si="9"/>
        <v>229.6545007</v>
      </c>
    </row>
    <row r="149">
      <c r="A149" s="38">
        <v>8123.0</v>
      </c>
      <c r="B149" s="130" t="s">
        <v>230</v>
      </c>
      <c r="C149" s="130" t="s">
        <v>387</v>
      </c>
      <c r="D149" s="36" t="s">
        <v>84</v>
      </c>
      <c r="E149" s="130" t="s">
        <v>319</v>
      </c>
      <c r="F149" s="130">
        <v>2013.0</v>
      </c>
      <c r="G149" s="130">
        <v>2017.0</v>
      </c>
      <c r="H149" s="130">
        <v>0.0</v>
      </c>
      <c r="I149" s="130">
        <v>40.0</v>
      </c>
      <c r="J149" s="131"/>
      <c r="K149" s="130"/>
      <c r="L149" s="132" t="e">
        <v>#N/A</v>
      </c>
      <c r="M149" s="132" t="e">
        <v>#N/A</v>
      </c>
      <c r="N149" s="130">
        <v>25.0</v>
      </c>
      <c r="O149" s="138"/>
      <c r="P149" s="130" t="s">
        <v>42</v>
      </c>
      <c r="Q149" s="135">
        <v>20046.0</v>
      </c>
      <c r="R149" s="130" t="s">
        <v>234</v>
      </c>
      <c r="S149" s="130">
        <v>2013.0</v>
      </c>
      <c r="T149" s="136">
        <v>0.273</v>
      </c>
      <c r="U149" s="128">
        <f t="shared" ref="U149:U150" si="55">T149*Q149</f>
        <v>5472.558</v>
      </c>
      <c r="V149" s="24">
        <f t="shared" si="3"/>
        <v>136.81395</v>
      </c>
      <c r="W149" s="3">
        <f t="shared" si="29"/>
        <v>0</v>
      </c>
      <c r="X149" s="3">
        <f t="shared" si="30"/>
        <v>0</v>
      </c>
      <c r="Y149" s="3">
        <f t="shared" si="31"/>
        <v>0</v>
      </c>
      <c r="Z149" s="25">
        <f t="shared" si="32"/>
        <v>0</v>
      </c>
      <c r="AA149" s="26">
        <f>VLOOKUP(S149,CPI!$A$2:$E$67,5,0)</f>
        <v>1.307975292</v>
      </c>
      <c r="AB149" s="27">
        <f t="shared" si="8"/>
        <v>7157.970646</v>
      </c>
      <c r="AC149" s="27">
        <f t="shared" si="9"/>
        <v>178.9492661</v>
      </c>
    </row>
    <row r="150">
      <c r="A150" s="38">
        <v>8090.0</v>
      </c>
      <c r="B150" s="130" t="s">
        <v>230</v>
      </c>
      <c r="C150" s="130" t="s">
        <v>387</v>
      </c>
      <c r="D150" s="36" t="s">
        <v>110</v>
      </c>
      <c r="E150" s="130" t="s">
        <v>332</v>
      </c>
      <c r="F150" s="130">
        <v>2013.0</v>
      </c>
      <c r="G150" s="130">
        <v>2018.0</v>
      </c>
      <c r="H150" s="130">
        <v>0.0</v>
      </c>
      <c r="I150" s="130">
        <v>15.77</v>
      </c>
      <c r="J150" s="131">
        <v>0.7006975269</v>
      </c>
      <c r="K150" s="130">
        <v>11.05</v>
      </c>
      <c r="L150" s="132">
        <v>4.731</v>
      </c>
      <c r="M150" s="132">
        <v>0.0</v>
      </c>
      <c r="N150" s="130">
        <v>9.0</v>
      </c>
      <c r="O150" s="138"/>
      <c r="P150" s="130" t="s">
        <v>60</v>
      </c>
      <c r="Q150" s="135">
        <v>8805.0</v>
      </c>
      <c r="R150" s="130" t="s">
        <v>234</v>
      </c>
      <c r="S150" s="130">
        <v>2013.0</v>
      </c>
      <c r="T150" s="136">
        <v>0.273</v>
      </c>
      <c r="U150" s="128">
        <f t="shared" si="55"/>
        <v>2403.765</v>
      </c>
      <c r="V150" s="24">
        <f t="shared" si="3"/>
        <v>152.4264426</v>
      </c>
      <c r="W150" s="3">
        <f t="shared" si="29"/>
        <v>0</v>
      </c>
      <c r="X150" s="3">
        <f t="shared" si="30"/>
        <v>0</v>
      </c>
      <c r="Y150" s="3">
        <f t="shared" si="31"/>
        <v>0</v>
      </c>
      <c r="Z150" s="25">
        <f t="shared" si="32"/>
        <v>0</v>
      </c>
      <c r="AA150" s="26">
        <f>VLOOKUP(S150,CPI!$A$2:$E$67,5,0)</f>
        <v>1.307975292</v>
      </c>
      <c r="AB150" s="27">
        <f t="shared" si="8"/>
        <v>3144.065227</v>
      </c>
      <c r="AC150" s="27">
        <f t="shared" si="9"/>
        <v>199.3700207</v>
      </c>
    </row>
    <row r="151">
      <c r="A151" s="170">
        <v>7944.0</v>
      </c>
      <c r="B151" s="123" t="s">
        <v>230</v>
      </c>
      <c r="C151" s="123" t="s">
        <v>387</v>
      </c>
      <c r="D151" s="16" t="s">
        <v>239</v>
      </c>
      <c r="E151" s="123" t="s">
        <v>239</v>
      </c>
      <c r="F151" s="75">
        <v>2014.0</v>
      </c>
      <c r="G151" s="75">
        <v>2020.0</v>
      </c>
      <c r="H151" s="75">
        <v>0.0</v>
      </c>
      <c r="I151" s="75">
        <v>44.09</v>
      </c>
      <c r="J151" s="124">
        <v>0.811521887</v>
      </c>
      <c r="K151" s="75">
        <v>35.78</v>
      </c>
      <c r="L151" s="125">
        <v>7.06</v>
      </c>
      <c r="M151" s="125">
        <v>1.3171</v>
      </c>
      <c r="N151" s="75">
        <v>27.0</v>
      </c>
      <c r="O151" s="75"/>
      <c r="P151" s="123" t="s">
        <v>60</v>
      </c>
      <c r="Q151" s="126">
        <v>31098.0</v>
      </c>
      <c r="R151" s="123" t="s">
        <v>234</v>
      </c>
      <c r="S151" s="75">
        <v>2018.0</v>
      </c>
      <c r="T151" s="136">
        <v>0.237</v>
      </c>
      <c r="U151" s="128">
        <f>Q151*T151</f>
        <v>7370.226</v>
      </c>
      <c r="V151" s="24">
        <f t="shared" si="3"/>
        <v>167.1632116</v>
      </c>
      <c r="W151" s="3">
        <f t="shared" si="29"/>
        <v>0</v>
      </c>
      <c r="X151" s="3">
        <f t="shared" si="30"/>
        <v>0</v>
      </c>
      <c r="Y151" s="3">
        <f t="shared" si="31"/>
        <v>0</v>
      </c>
      <c r="Z151" s="25">
        <f t="shared" si="32"/>
        <v>0</v>
      </c>
      <c r="AA151" s="26">
        <f>VLOOKUP(S151,CPI!$A$2:$E$67,5,0)</f>
        <v>1.21343491</v>
      </c>
      <c r="AB151" s="27">
        <f t="shared" si="8"/>
        <v>8943.289525</v>
      </c>
      <c r="AC151" s="27">
        <f t="shared" si="9"/>
        <v>202.8416767</v>
      </c>
    </row>
    <row r="152">
      <c r="A152" s="38">
        <v>8074.0</v>
      </c>
      <c r="B152" s="130" t="s">
        <v>230</v>
      </c>
      <c r="C152" s="130" t="s">
        <v>387</v>
      </c>
      <c r="D152" s="36" t="s">
        <v>80</v>
      </c>
      <c r="E152" s="130" t="s">
        <v>392</v>
      </c>
      <c r="F152" s="130">
        <v>2016.0</v>
      </c>
      <c r="G152" s="130">
        <v>2020.0</v>
      </c>
      <c r="H152" s="130">
        <v>0.0</v>
      </c>
      <c r="I152" s="130">
        <v>13.99</v>
      </c>
      <c r="J152" s="131">
        <v>0.6383130808</v>
      </c>
      <c r="K152" s="130">
        <v>8.93</v>
      </c>
      <c r="L152" s="132">
        <v>0.0</v>
      </c>
      <c r="M152" s="132">
        <v>0.0</v>
      </c>
      <c r="N152" s="130">
        <v>7.0</v>
      </c>
      <c r="O152" s="133">
        <v>117.0</v>
      </c>
      <c r="P152" s="134" t="s">
        <v>60</v>
      </c>
      <c r="Q152" s="135">
        <v>7474.0</v>
      </c>
      <c r="R152" s="130" t="s">
        <v>234</v>
      </c>
      <c r="S152" s="130">
        <v>2018.0</v>
      </c>
      <c r="T152" s="136">
        <v>0.237</v>
      </c>
      <c r="U152" s="128">
        <f t="shared" ref="U152:U153" si="56">T152*Q152</f>
        <v>1771.338</v>
      </c>
      <c r="V152" s="24">
        <f t="shared" si="3"/>
        <v>126.6145818</v>
      </c>
      <c r="W152" s="3">
        <f t="shared" si="29"/>
        <v>0</v>
      </c>
      <c r="X152" s="3">
        <f t="shared" si="30"/>
        <v>0</v>
      </c>
      <c r="Y152" s="3">
        <f t="shared" si="31"/>
        <v>0</v>
      </c>
      <c r="Z152" s="25">
        <f t="shared" si="32"/>
        <v>0</v>
      </c>
      <c r="AA152" s="26">
        <f>VLOOKUP(S152,CPI!$A$2:$E$67,5,0)</f>
        <v>1.21343491</v>
      </c>
      <c r="AB152" s="27">
        <f t="shared" si="8"/>
        <v>2149.403367</v>
      </c>
      <c r="AC152" s="27">
        <f t="shared" si="9"/>
        <v>153.6385538</v>
      </c>
    </row>
    <row r="153">
      <c r="A153" s="38">
        <v>8081.0</v>
      </c>
      <c r="B153" s="130" t="s">
        <v>230</v>
      </c>
      <c r="C153" s="130" t="s">
        <v>387</v>
      </c>
      <c r="D153" s="36" t="s">
        <v>253</v>
      </c>
      <c r="E153" s="130" t="s">
        <v>393</v>
      </c>
      <c r="F153" s="130">
        <v>2016.0</v>
      </c>
      <c r="G153" s="130">
        <v>2020.0</v>
      </c>
      <c r="H153" s="130">
        <v>0.0</v>
      </c>
      <c r="I153" s="130">
        <v>10.77</v>
      </c>
      <c r="J153" s="131"/>
      <c r="K153" s="130"/>
      <c r="L153" s="132" t="e">
        <v>#N/A</v>
      </c>
      <c r="M153" s="132" t="e">
        <v>#N/A</v>
      </c>
      <c r="N153" s="130">
        <v>5.0</v>
      </c>
      <c r="O153" s="138"/>
      <c r="P153" s="130" t="s">
        <v>42</v>
      </c>
      <c r="Q153" s="135">
        <v>5613.0</v>
      </c>
      <c r="R153" s="130" t="s">
        <v>234</v>
      </c>
      <c r="S153" s="130">
        <v>2013.0</v>
      </c>
      <c r="T153" s="136">
        <v>0.273</v>
      </c>
      <c r="U153" s="128">
        <f t="shared" si="56"/>
        <v>1532.349</v>
      </c>
      <c r="V153" s="24">
        <f t="shared" si="3"/>
        <v>142.2793872</v>
      </c>
      <c r="W153" s="3">
        <f t="shared" si="29"/>
        <v>0</v>
      </c>
      <c r="X153" s="3">
        <f t="shared" si="30"/>
        <v>0</v>
      </c>
      <c r="Y153" s="3">
        <f t="shared" si="31"/>
        <v>0</v>
      </c>
      <c r="Z153" s="25">
        <f t="shared" si="32"/>
        <v>0</v>
      </c>
      <c r="AA153" s="26">
        <f>VLOOKUP(S153,CPI!$A$2:$E$67,5,0)</f>
        <v>1.307975292</v>
      </c>
      <c r="AB153" s="27">
        <f t="shared" si="8"/>
        <v>2004.27463</v>
      </c>
      <c r="AC153" s="27">
        <f t="shared" si="9"/>
        <v>186.0979229</v>
      </c>
    </row>
    <row r="154">
      <c r="A154" s="170">
        <v>7882.0</v>
      </c>
      <c r="B154" s="123" t="s">
        <v>230</v>
      </c>
      <c r="C154" s="123" t="s">
        <v>387</v>
      </c>
      <c r="D154" s="36" t="s">
        <v>84</v>
      </c>
      <c r="E154" s="123" t="s">
        <v>394</v>
      </c>
      <c r="F154" s="75">
        <v>2019.0</v>
      </c>
      <c r="G154" s="75">
        <v>2024.0</v>
      </c>
      <c r="H154" s="69">
        <v>0.0</v>
      </c>
      <c r="I154" s="69">
        <v>8.95</v>
      </c>
      <c r="J154" s="117">
        <v>1.0</v>
      </c>
      <c r="K154" s="69">
        <v>8.95</v>
      </c>
      <c r="L154" s="72"/>
      <c r="M154" s="72"/>
      <c r="N154" s="69">
        <v>7.0</v>
      </c>
      <c r="O154" s="69">
        <v>117.0</v>
      </c>
      <c r="P154" s="72"/>
      <c r="Q154" s="140">
        <v>8900.0</v>
      </c>
      <c r="R154" s="72" t="s">
        <v>234</v>
      </c>
      <c r="S154" s="115">
        <v>2021.0</v>
      </c>
      <c r="T154" s="136">
        <v>0.239</v>
      </c>
      <c r="U154" s="118">
        <f t="shared" ref="U154:U164" si="57">Q154*T154</f>
        <v>2127.1</v>
      </c>
      <c r="V154" s="24">
        <f t="shared" si="3"/>
        <v>237.6648045</v>
      </c>
      <c r="W154" s="3">
        <f t="shared" si="29"/>
        <v>0</v>
      </c>
      <c r="X154" s="3">
        <f t="shared" si="30"/>
        <v>0</v>
      </c>
      <c r="Y154" s="3">
        <f t="shared" si="31"/>
        <v>0</v>
      </c>
      <c r="Z154" s="25">
        <f t="shared" si="32"/>
        <v>0</v>
      </c>
      <c r="AA154" s="26">
        <f>VLOOKUP(S154,CPI!$A$2:$E$67,5,0)</f>
        <v>1.124486105</v>
      </c>
      <c r="AB154" s="27">
        <f t="shared" si="8"/>
        <v>2391.894395</v>
      </c>
      <c r="AC154" s="27">
        <f t="shared" si="9"/>
        <v>267.2507704</v>
      </c>
    </row>
    <row r="155">
      <c r="A155" s="170">
        <v>7952.0</v>
      </c>
      <c r="B155" s="123" t="s">
        <v>230</v>
      </c>
      <c r="C155" s="123" t="s">
        <v>387</v>
      </c>
      <c r="D155" s="36" t="s">
        <v>84</v>
      </c>
      <c r="E155" s="123" t="s">
        <v>396</v>
      </c>
      <c r="F155" s="75">
        <v>2019.0</v>
      </c>
      <c r="G155" s="75">
        <v>2024.0</v>
      </c>
      <c r="H155" s="75">
        <v>0.0</v>
      </c>
      <c r="I155" s="75">
        <v>28.96</v>
      </c>
      <c r="J155" s="124">
        <v>0.6256906077</v>
      </c>
      <c r="K155" s="75">
        <v>18.12</v>
      </c>
      <c r="L155" s="125">
        <v>0.0</v>
      </c>
      <c r="M155" s="125">
        <v>0.0</v>
      </c>
      <c r="N155" s="75">
        <v>19.0</v>
      </c>
      <c r="O155" s="75"/>
      <c r="P155" s="123" t="s">
        <v>60</v>
      </c>
      <c r="Q155" s="126">
        <v>20334.0</v>
      </c>
      <c r="R155" s="123" t="s">
        <v>234</v>
      </c>
      <c r="S155" s="75">
        <v>2018.0</v>
      </c>
      <c r="T155" s="136">
        <v>0.237</v>
      </c>
      <c r="U155" s="128">
        <f t="shared" si="57"/>
        <v>4819.158</v>
      </c>
      <c r="V155" s="24">
        <f t="shared" si="3"/>
        <v>166.4073895</v>
      </c>
      <c r="W155" s="3">
        <f t="shared" si="29"/>
        <v>0</v>
      </c>
      <c r="X155" s="3">
        <f t="shared" si="30"/>
        <v>0</v>
      </c>
      <c r="Y155" s="3">
        <f t="shared" si="31"/>
        <v>0</v>
      </c>
      <c r="Z155" s="25">
        <f t="shared" si="32"/>
        <v>0</v>
      </c>
      <c r="AA155" s="26">
        <f>VLOOKUP(S155,CPI!$A$2:$E$67,5,0)</f>
        <v>1.21343491</v>
      </c>
      <c r="AB155" s="27">
        <f t="shared" si="8"/>
        <v>5847.734555</v>
      </c>
      <c r="AC155" s="27">
        <f t="shared" si="9"/>
        <v>201.9245357</v>
      </c>
    </row>
    <row r="156">
      <c r="A156" s="163"/>
      <c r="B156" s="114" t="s">
        <v>230</v>
      </c>
      <c r="C156" s="114" t="s">
        <v>387</v>
      </c>
      <c r="D156" s="16" t="s">
        <v>351</v>
      </c>
      <c r="E156" s="115" t="s">
        <v>397</v>
      </c>
      <c r="F156" s="82">
        <v>2020.0</v>
      </c>
      <c r="G156" s="116">
        <v>2025.0</v>
      </c>
      <c r="H156" s="116">
        <v>0.0</v>
      </c>
      <c r="I156" s="116">
        <v>10.61</v>
      </c>
      <c r="J156" s="117">
        <v>1.0</v>
      </c>
      <c r="K156" s="116">
        <v>10.61</v>
      </c>
      <c r="L156" s="114"/>
      <c r="M156" s="114"/>
      <c r="N156" s="116">
        <v>8.0</v>
      </c>
      <c r="O156" s="116">
        <v>117.0</v>
      </c>
      <c r="P156" s="114"/>
      <c r="Q156" s="140">
        <v>9966.0</v>
      </c>
      <c r="R156" s="114" t="s">
        <v>234</v>
      </c>
      <c r="S156" s="115">
        <v>2023.0</v>
      </c>
      <c r="T156" s="136">
        <v>0.239000000000001</v>
      </c>
      <c r="U156" s="118">
        <f t="shared" si="57"/>
        <v>2381.874</v>
      </c>
      <c r="V156" s="24">
        <f t="shared" si="3"/>
        <v>224.4933082</v>
      </c>
      <c r="W156" s="3">
        <f t="shared" si="29"/>
        <v>0</v>
      </c>
      <c r="X156" s="3">
        <f t="shared" si="30"/>
        <v>0</v>
      </c>
      <c r="Y156" s="3">
        <f t="shared" si="31"/>
        <v>0</v>
      </c>
      <c r="Z156" s="25">
        <f t="shared" si="32"/>
        <v>0</v>
      </c>
      <c r="AA156" s="26">
        <f>VLOOKUP(S156,CPI!$A$2:$E$67,5,0)</f>
        <v>1</v>
      </c>
      <c r="AB156" s="27">
        <f t="shared" si="8"/>
        <v>2381.874</v>
      </c>
      <c r="AC156" s="27">
        <f t="shared" si="9"/>
        <v>224.4933082</v>
      </c>
    </row>
    <row r="157">
      <c r="A157" s="163"/>
      <c r="B157" s="114" t="s">
        <v>230</v>
      </c>
      <c r="C157" s="114" t="s">
        <v>387</v>
      </c>
      <c r="D157" s="36" t="s">
        <v>110</v>
      </c>
      <c r="E157" s="114" t="s">
        <v>399</v>
      </c>
      <c r="F157" s="116">
        <v>2021.0</v>
      </c>
      <c r="G157" s="116">
        <v>2026.0</v>
      </c>
      <c r="H157" s="116">
        <v>0.0</v>
      </c>
      <c r="I157" s="116">
        <v>10.9</v>
      </c>
      <c r="J157" s="117">
        <v>1.0</v>
      </c>
      <c r="K157" s="116">
        <v>10.9</v>
      </c>
      <c r="L157" s="114"/>
      <c r="M157" s="114"/>
      <c r="N157" s="116">
        <v>9.0</v>
      </c>
      <c r="O157" s="116">
        <v>117.0</v>
      </c>
      <c r="P157" s="114"/>
      <c r="Q157" s="140">
        <v>10603.0</v>
      </c>
      <c r="R157" s="114" t="s">
        <v>234</v>
      </c>
      <c r="S157" s="115">
        <v>2021.0</v>
      </c>
      <c r="T157" s="136">
        <v>0.239000000000001</v>
      </c>
      <c r="U157" s="118">
        <f t="shared" si="57"/>
        <v>2534.117</v>
      </c>
      <c r="V157" s="24">
        <f t="shared" si="3"/>
        <v>232.4877982</v>
      </c>
      <c r="W157" s="3">
        <f t="shared" si="29"/>
        <v>0</v>
      </c>
      <c r="X157" s="3">
        <f t="shared" si="30"/>
        <v>0</v>
      </c>
      <c r="Y157" s="3">
        <f t="shared" si="31"/>
        <v>0</v>
      </c>
      <c r="Z157" s="25">
        <f t="shared" si="32"/>
        <v>0</v>
      </c>
      <c r="AA157" s="26">
        <f>VLOOKUP(S157,CPI!$A$2:$E$67,5,0)</f>
        <v>1.124486105</v>
      </c>
      <c r="AB157" s="27">
        <f t="shared" si="8"/>
        <v>2849.579356</v>
      </c>
      <c r="AC157" s="27">
        <f t="shared" si="9"/>
        <v>261.4292987</v>
      </c>
    </row>
    <row r="158">
      <c r="A158" s="163"/>
      <c r="B158" s="114" t="s">
        <v>230</v>
      </c>
      <c r="C158" s="114" t="s">
        <v>387</v>
      </c>
      <c r="D158" s="16" t="s">
        <v>121</v>
      </c>
      <c r="E158" s="115" t="s">
        <v>402</v>
      </c>
      <c r="F158" s="116">
        <v>2022.0</v>
      </c>
      <c r="G158" s="116">
        <v>2026.0</v>
      </c>
      <c r="H158" s="116">
        <v>0.0</v>
      </c>
      <c r="I158" s="116">
        <v>14.18</v>
      </c>
      <c r="J158" s="117">
        <v>1.0</v>
      </c>
      <c r="K158" s="116">
        <v>14.18</v>
      </c>
      <c r="L158" s="114"/>
      <c r="M158" s="114"/>
      <c r="N158" s="116">
        <v>9.0</v>
      </c>
      <c r="O158" s="116">
        <v>117.0</v>
      </c>
      <c r="P158" s="114"/>
      <c r="Q158" s="140">
        <v>12256.96</v>
      </c>
      <c r="R158" s="114" t="s">
        <v>234</v>
      </c>
      <c r="S158" s="115">
        <v>2024.0</v>
      </c>
      <c r="T158" s="136">
        <v>0.239000000000001</v>
      </c>
      <c r="U158" s="118">
        <f t="shared" si="57"/>
        <v>2929.41344</v>
      </c>
      <c r="V158" s="24">
        <f t="shared" si="3"/>
        <v>206.5876897</v>
      </c>
      <c r="W158" s="3">
        <f t="shared" si="29"/>
        <v>0</v>
      </c>
      <c r="X158" s="3">
        <f t="shared" si="30"/>
        <v>0</v>
      </c>
      <c r="Y158" s="3">
        <f t="shared" si="31"/>
        <v>0</v>
      </c>
      <c r="Z158" s="25">
        <f t="shared" si="32"/>
        <v>0</v>
      </c>
      <c r="AA158" s="26">
        <f>VLOOKUP(S158,CPI!$A$2:$E$67,5,0)</f>
        <v>1</v>
      </c>
      <c r="AB158" s="27">
        <f t="shared" si="8"/>
        <v>2929.41344</v>
      </c>
      <c r="AC158" s="27">
        <f t="shared" si="9"/>
        <v>206.5876897</v>
      </c>
    </row>
    <row r="159">
      <c r="A159" s="163"/>
      <c r="B159" s="114" t="s">
        <v>230</v>
      </c>
      <c r="C159" s="114" t="s">
        <v>387</v>
      </c>
      <c r="D159" s="115" t="s">
        <v>260</v>
      </c>
      <c r="E159" s="115" t="s">
        <v>261</v>
      </c>
      <c r="F159" s="116">
        <v>2021.0</v>
      </c>
      <c r="G159" s="116">
        <v>2027.0</v>
      </c>
      <c r="H159" s="116">
        <v>1.0</v>
      </c>
      <c r="I159" s="116">
        <v>38.73</v>
      </c>
      <c r="J159" s="117">
        <v>0.92</v>
      </c>
      <c r="K159" s="116">
        <v>35.463</v>
      </c>
      <c r="L159" s="114"/>
      <c r="M159" s="114"/>
      <c r="N159" s="116">
        <v>14.0</v>
      </c>
      <c r="O159" s="116">
        <v>138.0</v>
      </c>
      <c r="P159" s="114"/>
      <c r="Q159" s="140">
        <v>27398.0</v>
      </c>
      <c r="R159" s="114" t="s">
        <v>234</v>
      </c>
      <c r="S159" s="115">
        <v>2021.0</v>
      </c>
      <c r="T159" s="136">
        <v>0.239000000000001</v>
      </c>
      <c r="U159" s="118">
        <f t="shared" si="57"/>
        <v>6548.122</v>
      </c>
      <c r="V159" s="24">
        <f t="shared" si="3"/>
        <v>169.071056</v>
      </c>
      <c r="W159" s="3">
        <f t="shared" si="29"/>
        <v>0</v>
      </c>
      <c r="X159" s="3">
        <f t="shared" si="30"/>
        <v>0</v>
      </c>
      <c r="Y159" s="3">
        <f t="shared" si="31"/>
        <v>0</v>
      </c>
      <c r="Z159" s="25">
        <f t="shared" si="32"/>
        <v>0</v>
      </c>
      <c r="AA159" s="26">
        <f>VLOOKUP(S159,CPI!$A$2:$E$67,5,0)</f>
        <v>1.124486105</v>
      </c>
      <c r="AB159" s="27">
        <f t="shared" si="8"/>
        <v>7363.272206</v>
      </c>
      <c r="AC159" s="27">
        <f t="shared" si="9"/>
        <v>190.1180533</v>
      </c>
    </row>
    <row r="160">
      <c r="A160" s="163"/>
      <c r="B160" s="114" t="s">
        <v>230</v>
      </c>
      <c r="C160" s="114" t="s">
        <v>387</v>
      </c>
      <c r="D160" s="114" t="s">
        <v>295</v>
      </c>
      <c r="E160" s="114" t="s">
        <v>295</v>
      </c>
      <c r="F160" s="116">
        <v>2021.0</v>
      </c>
      <c r="G160" s="116">
        <v>2027.0</v>
      </c>
      <c r="H160" s="116">
        <v>1.0</v>
      </c>
      <c r="I160" s="116">
        <v>51.789</v>
      </c>
      <c r="J160" s="117">
        <v>0.98</v>
      </c>
      <c r="K160" s="116">
        <v>50.529</v>
      </c>
      <c r="L160" s="114"/>
      <c r="M160" s="114"/>
      <c r="N160" s="116">
        <v>14.0</v>
      </c>
      <c r="O160" s="116">
        <v>138.0</v>
      </c>
      <c r="P160" s="114"/>
      <c r="Q160" s="140">
        <v>34587.0</v>
      </c>
      <c r="R160" s="114" t="s">
        <v>234</v>
      </c>
      <c r="S160" s="115">
        <v>2021.0</v>
      </c>
      <c r="T160" s="136">
        <v>0.239000000000001</v>
      </c>
      <c r="U160" s="118">
        <f t="shared" si="57"/>
        <v>8266.293</v>
      </c>
      <c r="V160" s="24">
        <f t="shared" si="3"/>
        <v>159.614841</v>
      </c>
      <c r="W160" s="3">
        <f t="shared" si="29"/>
        <v>0</v>
      </c>
      <c r="X160" s="3">
        <f t="shared" si="30"/>
        <v>0</v>
      </c>
      <c r="Y160" s="3">
        <f t="shared" si="31"/>
        <v>0</v>
      </c>
      <c r="Z160" s="25">
        <f t="shared" si="32"/>
        <v>0</v>
      </c>
      <c r="AA160" s="26">
        <f>VLOOKUP(S160,CPI!$A$2:$E$67,5,0)</f>
        <v>1.124486105</v>
      </c>
      <c r="AB160" s="27">
        <f t="shared" si="8"/>
        <v>9295.331622</v>
      </c>
      <c r="AC160" s="27">
        <f t="shared" si="9"/>
        <v>179.4846709</v>
      </c>
    </row>
    <row r="161">
      <c r="A161" s="163"/>
      <c r="B161" s="114" t="s">
        <v>230</v>
      </c>
      <c r="C161" s="114" t="s">
        <v>387</v>
      </c>
      <c r="D161" s="114" t="s">
        <v>54</v>
      </c>
      <c r="E161" s="114" t="s">
        <v>54</v>
      </c>
      <c r="F161" s="116">
        <v>2000.0</v>
      </c>
      <c r="G161" s="114"/>
      <c r="H161" s="116">
        <v>0.0</v>
      </c>
      <c r="I161" s="116">
        <v>19.15</v>
      </c>
      <c r="J161" s="114"/>
      <c r="K161" s="114"/>
      <c r="L161" s="114"/>
      <c r="M161" s="114"/>
      <c r="N161" s="116">
        <v>18.0</v>
      </c>
      <c r="O161" s="116">
        <v>120.0</v>
      </c>
      <c r="P161" s="114"/>
      <c r="Q161" s="140">
        <v>4300.0</v>
      </c>
      <c r="R161" s="114" t="s">
        <v>234</v>
      </c>
      <c r="S161" s="115">
        <v>2000.0</v>
      </c>
      <c r="T161" s="85">
        <v>0.367</v>
      </c>
      <c r="U161" s="118">
        <f t="shared" si="57"/>
        <v>1578.1</v>
      </c>
      <c r="V161" s="24">
        <f t="shared" si="3"/>
        <v>82.4073107</v>
      </c>
      <c r="W161" s="3">
        <f t="shared" si="29"/>
        <v>0</v>
      </c>
      <c r="X161" s="3">
        <f t="shared" si="30"/>
        <v>0</v>
      </c>
      <c r="Y161" s="3">
        <f t="shared" si="31"/>
        <v>0</v>
      </c>
      <c r="Z161" s="25">
        <f t="shared" si="32"/>
        <v>0</v>
      </c>
      <c r="AA161" s="26">
        <f>VLOOKUP(S161,CPI!$A$2:$E$67,5,0)</f>
        <v>1.769465738</v>
      </c>
      <c r="AB161" s="27">
        <f t="shared" si="8"/>
        <v>2792.39388</v>
      </c>
      <c r="AC161" s="27">
        <f t="shared" si="9"/>
        <v>145.8169128</v>
      </c>
    </row>
    <row r="162">
      <c r="A162" s="163"/>
      <c r="B162" s="114" t="s">
        <v>230</v>
      </c>
      <c r="C162" s="114" t="s">
        <v>387</v>
      </c>
      <c r="D162" s="115" t="s">
        <v>57</v>
      </c>
      <c r="E162" s="115" t="s">
        <v>410</v>
      </c>
      <c r="F162" s="116">
        <v>2007.0</v>
      </c>
      <c r="G162" s="114"/>
      <c r="H162" s="116">
        <v>0.0</v>
      </c>
      <c r="I162" s="116">
        <v>15.5</v>
      </c>
      <c r="J162" s="114"/>
      <c r="K162" s="114"/>
      <c r="L162" s="114"/>
      <c r="M162" s="114"/>
      <c r="N162" s="116">
        <v>9.0</v>
      </c>
      <c r="O162" s="116">
        <v>117.0</v>
      </c>
      <c r="P162" s="114"/>
      <c r="Q162" s="140">
        <v>5014.0</v>
      </c>
      <c r="R162" s="114" t="s">
        <v>234</v>
      </c>
      <c r="S162" s="115">
        <v>2007.0</v>
      </c>
      <c r="T162" s="85">
        <v>0.333</v>
      </c>
      <c r="U162" s="118">
        <f t="shared" si="57"/>
        <v>1669.662</v>
      </c>
      <c r="V162" s="24">
        <f t="shared" si="3"/>
        <v>107.720129</v>
      </c>
      <c r="W162" s="3">
        <f t="shared" si="29"/>
        <v>0</v>
      </c>
      <c r="X162" s="3">
        <f t="shared" si="30"/>
        <v>0</v>
      </c>
      <c r="Y162" s="3">
        <f t="shared" si="31"/>
        <v>0</v>
      </c>
      <c r="Z162" s="25">
        <f t="shared" si="32"/>
        <v>0</v>
      </c>
      <c r="AA162" s="26">
        <f>VLOOKUP(S162,CPI!$A$2:$E$67,5,0)</f>
        <v>1.469562366</v>
      </c>
      <c r="AB162" s="27">
        <f t="shared" si="8"/>
        <v>2453.672438</v>
      </c>
      <c r="AC162" s="27">
        <f t="shared" si="9"/>
        <v>158.3014476</v>
      </c>
    </row>
    <row r="163">
      <c r="A163" s="163"/>
      <c r="B163" s="114" t="s">
        <v>230</v>
      </c>
      <c r="C163" s="114" t="s">
        <v>387</v>
      </c>
      <c r="D163" s="115" t="s">
        <v>57</v>
      </c>
      <c r="E163" s="115" t="s">
        <v>232</v>
      </c>
      <c r="F163" s="116">
        <v>2007.0</v>
      </c>
      <c r="G163" s="114"/>
      <c r="H163" s="116">
        <v>0.0</v>
      </c>
      <c r="I163" s="116">
        <v>16.5</v>
      </c>
      <c r="J163" s="114"/>
      <c r="K163" s="114"/>
      <c r="L163" s="114"/>
      <c r="M163" s="114"/>
      <c r="N163" s="116">
        <v>14.0</v>
      </c>
      <c r="O163" s="116">
        <v>117.0</v>
      </c>
      <c r="P163" s="114"/>
      <c r="Q163" s="140">
        <v>7500.0</v>
      </c>
      <c r="R163" s="114" t="s">
        <v>234</v>
      </c>
      <c r="S163" s="115">
        <v>2007.0</v>
      </c>
      <c r="T163" s="85">
        <v>0.333</v>
      </c>
      <c r="U163" s="118">
        <f t="shared" si="57"/>
        <v>2497.5</v>
      </c>
      <c r="V163" s="24">
        <f t="shared" si="3"/>
        <v>151.3636364</v>
      </c>
      <c r="W163" s="3">
        <f t="shared" si="29"/>
        <v>0</v>
      </c>
      <c r="X163" s="3">
        <f t="shared" si="30"/>
        <v>0</v>
      </c>
      <c r="Y163" s="3">
        <f t="shared" si="31"/>
        <v>0</v>
      </c>
      <c r="Z163" s="25">
        <f t="shared" si="32"/>
        <v>0</v>
      </c>
      <c r="AA163" s="26">
        <f>VLOOKUP(S163,CPI!$A$2:$E$67,5,0)</f>
        <v>1.469562366</v>
      </c>
      <c r="AB163" s="27">
        <f t="shared" si="8"/>
        <v>3670.232008</v>
      </c>
      <c r="AC163" s="27">
        <f t="shared" si="9"/>
        <v>222.4383035</v>
      </c>
    </row>
    <row r="164">
      <c r="A164" s="163"/>
      <c r="B164" s="114" t="s">
        <v>230</v>
      </c>
      <c r="C164" s="114" t="s">
        <v>387</v>
      </c>
      <c r="D164" s="114" t="s">
        <v>87</v>
      </c>
      <c r="E164" s="114" t="s">
        <v>87</v>
      </c>
      <c r="F164" s="116">
        <v>2007.0</v>
      </c>
      <c r="G164" s="114"/>
      <c r="H164" s="116">
        <v>0.0</v>
      </c>
      <c r="I164" s="116">
        <v>39.1</v>
      </c>
      <c r="J164" s="114"/>
      <c r="K164" s="114"/>
      <c r="L164" s="114"/>
      <c r="M164" s="114"/>
      <c r="N164" s="116">
        <v>29.0</v>
      </c>
      <c r="O164" s="116">
        <v>120.0</v>
      </c>
      <c r="P164" s="114"/>
      <c r="Q164" s="140">
        <v>13800.0</v>
      </c>
      <c r="R164" s="114" t="s">
        <v>234</v>
      </c>
      <c r="S164" s="115">
        <v>2007.0</v>
      </c>
      <c r="T164" s="85">
        <v>0.333</v>
      </c>
      <c r="U164" s="118">
        <f t="shared" si="57"/>
        <v>4595.4</v>
      </c>
      <c r="V164" s="24">
        <f t="shared" si="3"/>
        <v>117.5294118</v>
      </c>
      <c r="W164" s="3">
        <f t="shared" si="29"/>
        <v>0</v>
      </c>
      <c r="X164" s="3">
        <f t="shared" si="30"/>
        <v>0</v>
      </c>
      <c r="Y164" s="3">
        <f t="shared" si="31"/>
        <v>0</v>
      </c>
      <c r="Z164" s="25">
        <f t="shared" si="32"/>
        <v>0</v>
      </c>
      <c r="AA164" s="26">
        <f>VLOOKUP(S164,CPI!$A$2:$E$67,5,0)</f>
        <v>1.469562366</v>
      </c>
      <c r="AB164" s="27">
        <f t="shared" si="8"/>
        <v>6753.226895</v>
      </c>
      <c r="AC164" s="27">
        <f t="shared" si="9"/>
        <v>172.7168004</v>
      </c>
    </row>
    <row r="165">
      <c r="A165" s="38">
        <v>8121.0</v>
      </c>
      <c r="B165" s="130" t="s">
        <v>230</v>
      </c>
      <c r="C165" s="130" t="s">
        <v>387</v>
      </c>
      <c r="D165" s="36" t="s">
        <v>80</v>
      </c>
      <c r="E165" s="72" t="s">
        <v>413</v>
      </c>
      <c r="F165" s="69">
        <v>2013.0</v>
      </c>
      <c r="G165" s="72"/>
      <c r="H165" s="69">
        <v>0.0</v>
      </c>
      <c r="I165" s="69">
        <v>12.1</v>
      </c>
      <c r="J165" s="117">
        <v>0.98</v>
      </c>
      <c r="K165" s="69">
        <v>11.9</v>
      </c>
      <c r="L165" s="72"/>
      <c r="M165" s="72"/>
      <c r="N165" s="69">
        <v>5.0</v>
      </c>
      <c r="O165" s="70">
        <v>117.0</v>
      </c>
      <c r="P165" s="72"/>
      <c r="Q165" s="140">
        <v>5563.0</v>
      </c>
      <c r="R165" s="72" t="s">
        <v>234</v>
      </c>
      <c r="S165" s="130">
        <v>2013.0</v>
      </c>
      <c r="T165" s="136">
        <v>0.273</v>
      </c>
      <c r="U165" s="128">
        <f>T165*Q165</f>
        <v>1518.699</v>
      </c>
      <c r="V165" s="24">
        <f t="shared" si="3"/>
        <v>125.512314</v>
      </c>
      <c r="W165" s="3">
        <f t="shared" si="29"/>
        <v>0</v>
      </c>
      <c r="X165" s="3">
        <f t="shared" si="30"/>
        <v>0</v>
      </c>
      <c r="Y165" s="3">
        <f t="shared" si="31"/>
        <v>0</v>
      </c>
      <c r="Z165" s="25">
        <f t="shared" si="32"/>
        <v>0</v>
      </c>
      <c r="AA165" s="26">
        <f>VLOOKUP(S165,CPI!$A$2:$E$67,5,0)</f>
        <v>1.307975292</v>
      </c>
      <c r="AB165" s="27">
        <f t="shared" si="8"/>
        <v>1986.420767</v>
      </c>
      <c r="AC165" s="27">
        <f t="shared" si="9"/>
        <v>164.1670056</v>
      </c>
    </row>
    <row r="166">
      <c r="A166" s="163"/>
      <c r="B166" s="114" t="s">
        <v>230</v>
      </c>
      <c r="C166" s="114" t="s">
        <v>387</v>
      </c>
      <c r="D166" s="171" t="s">
        <v>414</v>
      </c>
      <c r="E166" s="114" t="s">
        <v>415</v>
      </c>
      <c r="F166" s="116">
        <v>2018.0</v>
      </c>
      <c r="G166" s="114"/>
      <c r="H166" s="116">
        <v>0.0</v>
      </c>
      <c r="I166" s="116">
        <v>4.6</v>
      </c>
      <c r="J166" s="114"/>
      <c r="K166" s="114"/>
      <c r="L166" s="114"/>
      <c r="M166" s="114"/>
      <c r="N166" s="116">
        <v>2.0</v>
      </c>
      <c r="O166" s="116">
        <v>117.0</v>
      </c>
      <c r="P166" s="114"/>
      <c r="Q166" s="140">
        <v>3500.0</v>
      </c>
      <c r="R166" s="114" t="s">
        <v>234</v>
      </c>
      <c r="S166" s="115">
        <v>2018.0</v>
      </c>
      <c r="T166" s="85">
        <v>0.237</v>
      </c>
      <c r="U166" s="118">
        <f t="shared" ref="U166:U172" si="58">Q166*T166</f>
        <v>829.5</v>
      </c>
      <c r="V166" s="24">
        <f t="shared" si="3"/>
        <v>180.326087</v>
      </c>
      <c r="W166" s="3">
        <f t="shared" si="29"/>
        <v>0</v>
      </c>
      <c r="X166" s="3">
        <f t="shared" si="30"/>
        <v>0</v>
      </c>
      <c r="Y166" s="3">
        <f t="shared" si="31"/>
        <v>0</v>
      </c>
      <c r="Z166" s="25">
        <f t="shared" si="32"/>
        <v>0</v>
      </c>
      <c r="AA166" s="26">
        <f>VLOOKUP(S166,CPI!$A$2:$E$67,5,0)</f>
        <v>1.21343491</v>
      </c>
      <c r="AB166" s="27">
        <f t="shared" si="8"/>
        <v>1006.544258</v>
      </c>
      <c r="AC166" s="27">
        <f t="shared" si="9"/>
        <v>218.8139691</v>
      </c>
    </row>
    <row r="167">
      <c r="A167" s="163"/>
      <c r="B167" s="114" t="s">
        <v>230</v>
      </c>
      <c r="C167" s="114" t="s">
        <v>387</v>
      </c>
      <c r="D167" s="114" t="s">
        <v>417</v>
      </c>
      <c r="E167" s="114" t="s">
        <v>417</v>
      </c>
      <c r="F167" s="116">
        <v>2020.0</v>
      </c>
      <c r="G167" s="114"/>
      <c r="H167" s="116">
        <v>0.0</v>
      </c>
      <c r="I167" s="116">
        <v>37.353</v>
      </c>
      <c r="J167" s="117">
        <v>0.28</v>
      </c>
      <c r="K167" s="116">
        <v>10.386</v>
      </c>
      <c r="L167" s="114"/>
      <c r="M167" s="114"/>
      <c r="N167" s="116">
        <v>9.0</v>
      </c>
      <c r="O167" s="116">
        <v>92.0</v>
      </c>
      <c r="P167" s="114"/>
      <c r="Q167" s="140">
        <v>8642.0</v>
      </c>
      <c r="R167" s="114" t="s">
        <v>234</v>
      </c>
      <c r="S167" s="115">
        <v>2020.0</v>
      </c>
      <c r="T167" s="136">
        <v>0.239</v>
      </c>
      <c r="U167" s="118">
        <f t="shared" si="58"/>
        <v>2065.438</v>
      </c>
      <c r="V167" s="24">
        <f t="shared" si="3"/>
        <v>55.29510347</v>
      </c>
      <c r="W167" s="3">
        <f t="shared" si="29"/>
        <v>0</v>
      </c>
      <c r="X167" s="3">
        <f t="shared" si="30"/>
        <v>0</v>
      </c>
      <c r="Y167" s="3">
        <f t="shared" si="31"/>
        <v>0</v>
      </c>
      <c r="Z167" s="25">
        <f t="shared" si="32"/>
        <v>0</v>
      </c>
      <c r="AA167" s="26">
        <f>VLOOKUP(S167,CPI!$A$2:$E$67,5,0)</f>
        <v>1.17731472</v>
      </c>
      <c r="AB167" s="27">
        <f t="shared" si="8"/>
        <v>2431.670561</v>
      </c>
      <c r="AC167" s="27">
        <f t="shared" si="9"/>
        <v>65.09973926</v>
      </c>
    </row>
    <row r="168">
      <c r="A168" s="163"/>
      <c r="B168" s="114" t="s">
        <v>230</v>
      </c>
      <c r="C168" s="114" t="s">
        <v>387</v>
      </c>
      <c r="D168" s="171" t="s">
        <v>414</v>
      </c>
      <c r="E168" s="114" t="s">
        <v>414</v>
      </c>
      <c r="F168" s="116">
        <v>2020.0</v>
      </c>
      <c r="G168" s="114"/>
      <c r="H168" s="116">
        <v>0.0</v>
      </c>
      <c r="I168" s="116">
        <v>28.22</v>
      </c>
      <c r="J168" s="117">
        <v>0.21</v>
      </c>
      <c r="K168" s="116">
        <v>5.8</v>
      </c>
      <c r="L168" s="114"/>
      <c r="M168" s="114"/>
      <c r="N168" s="116">
        <v>7.0</v>
      </c>
      <c r="O168" s="116">
        <v>117.0</v>
      </c>
      <c r="P168" s="114"/>
      <c r="Q168" s="140">
        <v>6892.0</v>
      </c>
      <c r="R168" s="114" t="s">
        <v>234</v>
      </c>
      <c r="S168" s="115">
        <v>2020.0</v>
      </c>
      <c r="T168" s="136">
        <v>0.239</v>
      </c>
      <c r="U168" s="118">
        <f t="shared" si="58"/>
        <v>1647.188</v>
      </c>
      <c r="V168" s="24">
        <f t="shared" si="3"/>
        <v>58.36952516</v>
      </c>
      <c r="W168" s="3">
        <f t="shared" si="29"/>
        <v>0</v>
      </c>
      <c r="X168" s="3">
        <f t="shared" si="30"/>
        <v>0</v>
      </c>
      <c r="Y168" s="3">
        <f t="shared" si="31"/>
        <v>0</v>
      </c>
      <c r="Z168" s="25">
        <f t="shared" si="32"/>
        <v>0</v>
      </c>
      <c r="AA168" s="26">
        <f>VLOOKUP(S168,CPI!$A$2:$E$67,5,0)</f>
        <v>1.17731472</v>
      </c>
      <c r="AB168" s="27">
        <f t="shared" si="8"/>
        <v>1939.258679</v>
      </c>
      <c r="AC168" s="27">
        <f t="shared" si="9"/>
        <v>68.71930117</v>
      </c>
    </row>
    <row r="169">
      <c r="A169" s="163"/>
      <c r="B169" s="114" t="s">
        <v>230</v>
      </c>
      <c r="C169" s="114" t="s">
        <v>387</v>
      </c>
      <c r="D169" s="115" t="s">
        <v>260</v>
      </c>
      <c r="E169" s="115" t="s">
        <v>423</v>
      </c>
      <c r="F169" s="116">
        <v>2021.0</v>
      </c>
      <c r="G169" s="114"/>
      <c r="H169" s="116">
        <v>1.0</v>
      </c>
      <c r="I169" s="116">
        <v>32.8</v>
      </c>
      <c r="J169" s="117">
        <v>0.93</v>
      </c>
      <c r="K169" s="116">
        <v>30.5</v>
      </c>
      <c r="L169" s="114"/>
      <c r="M169" s="114"/>
      <c r="N169" s="116">
        <v>11.0</v>
      </c>
      <c r="O169" s="116">
        <v>138.0</v>
      </c>
      <c r="P169" s="114"/>
      <c r="Q169" s="140">
        <v>22659.0</v>
      </c>
      <c r="R169" s="114" t="s">
        <v>234</v>
      </c>
      <c r="S169" s="115">
        <v>2021.0</v>
      </c>
      <c r="T169" s="136">
        <v>0.239000000000001</v>
      </c>
      <c r="U169" s="118">
        <f t="shared" si="58"/>
        <v>5415.501</v>
      </c>
      <c r="V169" s="24">
        <f t="shared" si="3"/>
        <v>165.1067378</v>
      </c>
      <c r="W169" s="3">
        <f t="shared" si="29"/>
        <v>0</v>
      </c>
      <c r="X169" s="3">
        <f t="shared" si="30"/>
        <v>0</v>
      </c>
      <c r="Y169" s="3">
        <f t="shared" si="31"/>
        <v>0</v>
      </c>
      <c r="Z169" s="25">
        <f t="shared" si="32"/>
        <v>0</v>
      </c>
      <c r="AA169" s="26">
        <f>VLOOKUP(S169,CPI!$A$2:$E$67,5,0)</f>
        <v>1.124486105</v>
      </c>
      <c r="AB169" s="27">
        <f t="shared" si="8"/>
        <v>6089.655629</v>
      </c>
      <c r="AC169" s="27">
        <f t="shared" si="9"/>
        <v>185.6602326</v>
      </c>
    </row>
    <row r="170">
      <c r="A170" s="163"/>
      <c r="B170" s="114" t="s">
        <v>230</v>
      </c>
      <c r="C170" s="114" t="s">
        <v>387</v>
      </c>
      <c r="D170" s="16" t="s">
        <v>425</v>
      </c>
      <c r="E170" s="115" t="s">
        <v>426</v>
      </c>
      <c r="F170" s="116">
        <v>2021.0</v>
      </c>
      <c r="G170" s="114"/>
      <c r="H170" s="116">
        <v>0.0</v>
      </c>
      <c r="I170" s="116">
        <v>18.9</v>
      </c>
      <c r="J170" s="117">
        <v>1.0</v>
      </c>
      <c r="K170" s="116">
        <v>18.9</v>
      </c>
      <c r="L170" s="114"/>
      <c r="M170" s="114"/>
      <c r="N170" s="116">
        <v>12.0</v>
      </c>
      <c r="O170" s="116">
        <v>117.0</v>
      </c>
      <c r="P170" s="114"/>
      <c r="Q170" s="140">
        <v>15364.0</v>
      </c>
      <c r="R170" s="114" t="s">
        <v>234</v>
      </c>
      <c r="S170" s="115">
        <v>2021.0</v>
      </c>
      <c r="T170" s="136">
        <v>0.239000000000001</v>
      </c>
      <c r="U170" s="118">
        <f t="shared" si="58"/>
        <v>3671.996</v>
      </c>
      <c r="V170" s="24">
        <f t="shared" si="3"/>
        <v>194.2855026</v>
      </c>
      <c r="W170" s="3">
        <f t="shared" si="29"/>
        <v>0</v>
      </c>
      <c r="X170" s="3">
        <f t="shared" si="30"/>
        <v>0</v>
      </c>
      <c r="Y170" s="3">
        <f t="shared" si="31"/>
        <v>0</v>
      </c>
      <c r="Z170" s="25">
        <f t="shared" si="32"/>
        <v>0</v>
      </c>
      <c r="AA170" s="26">
        <f>VLOOKUP(S170,CPI!$A$2:$E$67,5,0)</f>
        <v>1.124486105</v>
      </c>
      <c r="AB170" s="27">
        <f t="shared" si="8"/>
        <v>4129.108481</v>
      </c>
      <c r="AC170" s="27">
        <f t="shared" si="9"/>
        <v>218.4713482</v>
      </c>
    </row>
    <row r="171">
      <c r="A171" s="38">
        <v>8082.0</v>
      </c>
      <c r="B171" s="72" t="s">
        <v>230</v>
      </c>
      <c r="C171" s="72" t="s">
        <v>387</v>
      </c>
      <c r="D171" s="36" t="s">
        <v>253</v>
      </c>
      <c r="E171" s="115" t="s">
        <v>362</v>
      </c>
      <c r="F171" s="69">
        <v>2021.0</v>
      </c>
      <c r="G171" s="72"/>
      <c r="H171" s="69">
        <v>0.0</v>
      </c>
      <c r="I171" s="69">
        <v>32.3</v>
      </c>
      <c r="J171" s="192"/>
      <c r="K171" s="72"/>
      <c r="L171" s="72"/>
      <c r="M171" s="72"/>
      <c r="N171" s="69">
        <v>26.0</v>
      </c>
      <c r="O171" s="69">
        <v>117.0</v>
      </c>
      <c r="P171" s="72"/>
      <c r="Q171" s="140">
        <v>21100.0</v>
      </c>
      <c r="R171" s="72" t="s">
        <v>234</v>
      </c>
      <c r="S171" s="115">
        <v>2021.0</v>
      </c>
      <c r="T171" s="136">
        <v>0.239</v>
      </c>
      <c r="U171" s="118">
        <f t="shared" si="58"/>
        <v>5042.9</v>
      </c>
      <c r="V171" s="24">
        <f t="shared" si="3"/>
        <v>156.126935</v>
      </c>
      <c r="W171" s="3">
        <f t="shared" si="29"/>
        <v>0</v>
      </c>
      <c r="X171" s="3">
        <f t="shared" si="30"/>
        <v>0</v>
      </c>
      <c r="Y171" s="3">
        <f t="shared" si="31"/>
        <v>0</v>
      </c>
      <c r="Z171" s="25">
        <f t="shared" si="32"/>
        <v>0</v>
      </c>
      <c r="AA171" s="26">
        <f>VLOOKUP(S171,CPI!$A$2:$E$67,5,0)</f>
        <v>1.124486105</v>
      </c>
      <c r="AB171" s="27">
        <f t="shared" si="8"/>
        <v>5670.670981</v>
      </c>
      <c r="AC171" s="27">
        <f t="shared" si="9"/>
        <v>175.5625691</v>
      </c>
    </row>
    <row r="172">
      <c r="A172" s="163"/>
      <c r="B172" s="114" t="s">
        <v>230</v>
      </c>
      <c r="C172" s="114" t="s">
        <v>387</v>
      </c>
      <c r="D172" s="171" t="s">
        <v>80</v>
      </c>
      <c r="E172" s="114" t="s">
        <v>342</v>
      </c>
      <c r="F172" s="116">
        <v>2022.0</v>
      </c>
      <c r="G172" s="114"/>
      <c r="H172" s="116">
        <v>0.0</v>
      </c>
      <c r="I172" s="116">
        <v>6.7</v>
      </c>
      <c r="J172" s="114"/>
      <c r="K172" s="114"/>
      <c r="L172" s="114"/>
      <c r="M172" s="114"/>
      <c r="N172" s="116">
        <v>3.0</v>
      </c>
      <c r="O172" s="116">
        <v>117.0</v>
      </c>
      <c r="P172" s="114"/>
      <c r="Q172" s="140">
        <v>4469.0</v>
      </c>
      <c r="R172" s="114" t="s">
        <v>234</v>
      </c>
      <c r="S172" s="115">
        <v>2021.0</v>
      </c>
      <c r="T172" s="136">
        <v>0.239000000000001</v>
      </c>
      <c r="U172" s="118">
        <f t="shared" si="58"/>
        <v>1068.091</v>
      </c>
      <c r="V172" s="24">
        <f t="shared" si="3"/>
        <v>159.4165672</v>
      </c>
      <c r="W172" s="3">
        <f t="shared" si="29"/>
        <v>0</v>
      </c>
      <c r="X172" s="3">
        <f t="shared" si="30"/>
        <v>0</v>
      </c>
      <c r="Y172" s="3">
        <f t="shared" si="31"/>
        <v>0</v>
      </c>
      <c r="Z172" s="25">
        <f t="shared" si="32"/>
        <v>0</v>
      </c>
      <c r="AA172" s="26">
        <f>VLOOKUP(S172,CPI!$A$2:$E$67,5,0)</f>
        <v>1.124486105</v>
      </c>
      <c r="AB172" s="27">
        <f t="shared" si="8"/>
        <v>1201.053489</v>
      </c>
      <c r="AC172" s="27">
        <f t="shared" si="9"/>
        <v>179.2617148</v>
      </c>
    </row>
    <row r="173">
      <c r="A173" s="38">
        <v>8059.0</v>
      </c>
      <c r="B173" s="130" t="s">
        <v>230</v>
      </c>
      <c r="C173" s="130" t="s">
        <v>387</v>
      </c>
      <c r="D173" s="36" t="s">
        <v>110</v>
      </c>
      <c r="E173" s="130" t="s">
        <v>358</v>
      </c>
      <c r="F173" s="130"/>
      <c r="G173" s="130"/>
      <c r="H173" s="130">
        <v>0.0</v>
      </c>
      <c r="I173" s="130">
        <v>32.6</v>
      </c>
      <c r="J173" s="131">
        <v>0.6340490798</v>
      </c>
      <c r="K173" s="130">
        <v>20.67</v>
      </c>
      <c r="L173" s="132">
        <v>0.0</v>
      </c>
      <c r="M173" s="132">
        <v>0.0</v>
      </c>
      <c r="N173" s="130">
        <v>14.0</v>
      </c>
      <c r="O173" s="138"/>
      <c r="P173" s="130" t="s">
        <v>60</v>
      </c>
      <c r="Q173" s="135">
        <v>18068.0</v>
      </c>
      <c r="R173" s="130" t="s">
        <v>234</v>
      </c>
      <c r="S173" s="130">
        <v>2018.0</v>
      </c>
      <c r="T173" s="136">
        <v>0.237</v>
      </c>
      <c r="U173" s="128">
        <f>T173*Q173</f>
        <v>4282.116</v>
      </c>
      <c r="V173" s="24">
        <f t="shared" si="3"/>
        <v>131.3532515</v>
      </c>
      <c r="W173" s="3">
        <f t="shared" si="29"/>
        <v>0</v>
      </c>
      <c r="X173" s="3">
        <f t="shared" si="30"/>
        <v>0</v>
      </c>
      <c r="Y173" s="3">
        <f t="shared" si="31"/>
        <v>0</v>
      </c>
      <c r="Z173" s="25">
        <f t="shared" si="32"/>
        <v>0</v>
      </c>
      <c r="AA173" s="26">
        <f>VLOOKUP(S173,CPI!$A$2:$E$67,5,0)</f>
        <v>1.21343491</v>
      </c>
      <c r="AB173" s="27">
        <f t="shared" si="8"/>
        <v>5196.069044</v>
      </c>
      <c r="AC173" s="27">
        <f t="shared" si="9"/>
        <v>159.388621</v>
      </c>
    </row>
    <row r="174">
      <c r="A174" s="7"/>
      <c r="B174" s="114" t="s">
        <v>230</v>
      </c>
      <c r="C174" s="114" t="s">
        <v>430</v>
      </c>
      <c r="D174" s="115" t="s">
        <v>57</v>
      </c>
      <c r="E174" s="115" t="s">
        <v>354</v>
      </c>
      <c r="F174" s="116">
        <v>2010.0</v>
      </c>
      <c r="G174" s="116">
        <v>2021.0</v>
      </c>
      <c r="H174" s="116">
        <v>0.0</v>
      </c>
      <c r="I174" s="116">
        <v>13.2</v>
      </c>
      <c r="J174" s="117">
        <v>0.14</v>
      </c>
      <c r="K174" s="116">
        <v>1.8</v>
      </c>
      <c r="L174" s="114"/>
      <c r="M174" s="114"/>
      <c r="N174" s="116">
        <v>3.0</v>
      </c>
      <c r="O174" s="116">
        <v>117.0</v>
      </c>
      <c r="P174" s="114" t="s">
        <v>60</v>
      </c>
      <c r="Q174" s="140">
        <v>7200.0</v>
      </c>
      <c r="R174" s="114" t="s">
        <v>234</v>
      </c>
      <c r="S174" s="115">
        <v>2016.0</v>
      </c>
      <c r="T174" s="85">
        <v>0.251</v>
      </c>
      <c r="U174" s="118">
        <f t="shared" ref="U174:U175" si="59">Q174*T174</f>
        <v>1807.2</v>
      </c>
      <c r="V174" s="24">
        <f t="shared" si="3"/>
        <v>136.9090909</v>
      </c>
      <c r="W174" s="3">
        <f t="shared" si="29"/>
        <v>0</v>
      </c>
      <c r="X174" s="3">
        <f t="shared" si="30"/>
        <v>0</v>
      </c>
      <c r="Y174" s="3">
        <f t="shared" si="31"/>
        <v>0</v>
      </c>
      <c r="Z174" s="25">
        <f t="shared" si="32"/>
        <v>0</v>
      </c>
      <c r="AA174" s="26">
        <f>VLOOKUP(S174,CPI!$A$2:$E$67,5,0)</f>
        <v>1.269554638</v>
      </c>
      <c r="AB174" s="27">
        <f t="shared" si="8"/>
        <v>2294.339142</v>
      </c>
      <c r="AC174" s="27">
        <f t="shared" si="9"/>
        <v>173.8135713</v>
      </c>
    </row>
    <row r="175">
      <c r="A175" s="7"/>
      <c r="B175" s="114" t="s">
        <v>230</v>
      </c>
      <c r="C175" s="114" t="s">
        <v>430</v>
      </c>
      <c r="D175" s="114" t="s">
        <v>110</v>
      </c>
      <c r="E175" s="114" t="s">
        <v>110</v>
      </c>
      <c r="F175" s="116">
        <v>2010.0</v>
      </c>
      <c r="G175" s="116">
        <v>2022.0</v>
      </c>
      <c r="H175" s="114">
        <v>0.0</v>
      </c>
      <c r="I175" s="114">
        <v>24.484</v>
      </c>
      <c r="J175" s="116">
        <v>1.0</v>
      </c>
      <c r="K175" s="116">
        <v>24.484</v>
      </c>
      <c r="L175" s="114"/>
      <c r="M175" s="114"/>
      <c r="N175" s="114">
        <v>18.0</v>
      </c>
      <c r="O175" s="116">
        <v>117.0</v>
      </c>
      <c r="P175" s="114" t="s">
        <v>36</v>
      </c>
      <c r="Q175" s="140">
        <v>18217.0</v>
      </c>
      <c r="R175" s="114" t="s">
        <v>234</v>
      </c>
      <c r="S175" s="115">
        <v>2016.0</v>
      </c>
      <c r="T175" s="85">
        <v>0.251</v>
      </c>
      <c r="U175" s="118">
        <f t="shared" si="59"/>
        <v>4572.467</v>
      </c>
      <c r="V175" s="24">
        <f t="shared" si="3"/>
        <v>186.7532674</v>
      </c>
      <c r="W175" s="3">
        <f t="shared" si="29"/>
        <v>0</v>
      </c>
      <c r="X175" s="3">
        <f t="shared" si="30"/>
        <v>0</v>
      </c>
      <c r="Y175" s="3">
        <f t="shared" si="31"/>
        <v>0</v>
      </c>
      <c r="Z175" s="25">
        <f t="shared" si="32"/>
        <v>0</v>
      </c>
      <c r="AA175" s="26">
        <f>VLOOKUP(S175,CPI!$A$2:$E$67,5,0)</f>
        <v>1.269554638</v>
      </c>
      <c r="AB175" s="27">
        <f t="shared" si="8"/>
        <v>5804.996687</v>
      </c>
      <c r="AC175" s="27">
        <f t="shared" si="9"/>
        <v>237.0934768</v>
      </c>
    </row>
    <row r="176">
      <c r="A176" s="38">
        <v>8160.0</v>
      </c>
      <c r="B176" s="130" t="s">
        <v>230</v>
      </c>
      <c r="C176" s="130" t="s">
        <v>433</v>
      </c>
      <c r="D176" s="36" t="s">
        <v>57</v>
      </c>
      <c r="E176" s="130" t="s">
        <v>232</v>
      </c>
      <c r="F176" s="69">
        <v>2021.0</v>
      </c>
      <c r="G176" s="69">
        <v>2026.0</v>
      </c>
      <c r="H176" s="69">
        <v>0.0</v>
      </c>
      <c r="I176" s="69">
        <v>57.46</v>
      </c>
      <c r="J176" s="117">
        <v>0.86</v>
      </c>
      <c r="K176" s="193">
        <v>49.4</v>
      </c>
      <c r="L176" s="72"/>
      <c r="M176" s="72"/>
      <c r="N176" s="69">
        <v>25.0</v>
      </c>
      <c r="O176" s="69">
        <v>117.0</v>
      </c>
      <c r="P176" s="72"/>
      <c r="Q176" s="73">
        <v>37976.0</v>
      </c>
      <c r="R176" s="72" t="s">
        <v>234</v>
      </c>
      <c r="S176" s="138">
        <v>2019.0</v>
      </c>
      <c r="T176" s="136">
        <v>0.238</v>
      </c>
      <c r="U176" s="194">
        <f t="shared" ref="U176:U182" si="60">T176*Q176</f>
        <v>9038.288</v>
      </c>
      <c r="V176" s="24">
        <f t="shared" si="3"/>
        <v>157.2970414</v>
      </c>
      <c r="W176" s="3">
        <f t="shared" si="29"/>
        <v>0</v>
      </c>
      <c r="X176" s="3">
        <f t="shared" si="30"/>
        <v>0</v>
      </c>
      <c r="Y176" s="3">
        <f t="shared" si="31"/>
        <v>0</v>
      </c>
      <c r="Z176" s="25">
        <f t="shared" si="32"/>
        <v>0</v>
      </c>
      <c r="AA176" s="26">
        <f>VLOOKUP(S176,CPI!$A$2:$E$67,5,0)</f>
        <v>1.191839066</v>
      </c>
      <c r="AB176" s="27">
        <f t="shared" si="8"/>
        <v>10772.18472</v>
      </c>
      <c r="AC176" s="27">
        <f t="shared" si="9"/>
        <v>187.4727589</v>
      </c>
    </row>
    <row r="177">
      <c r="A177" s="38">
        <v>8162.0</v>
      </c>
      <c r="B177" s="130" t="s">
        <v>230</v>
      </c>
      <c r="C177" s="130" t="s">
        <v>433</v>
      </c>
      <c r="D177" s="36" t="s">
        <v>57</v>
      </c>
      <c r="E177" s="130" t="s">
        <v>354</v>
      </c>
      <c r="F177" s="69">
        <v>2021.0</v>
      </c>
      <c r="G177" s="69">
        <v>2026.0</v>
      </c>
      <c r="H177" s="69">
        <v>0.0</v>
      </c>
      <c r="I177" s="69">
        <v>51.5</v>
      </c>
      <c r="J177" s="117">
        <v>1.0</v>
      </c>
      <c r="K177" s="193">
        <v>51.5</v>
      </c>
      <c r="L177" s="72"/>
      <c r="M177" s="72"/>
      <c r="N177" s="69">
        <v>20.0</v>
      </c>
      <c r="O177" s="69">
        <v>117.0</v>
      </c>
      <c r="P177" s="72"/>
      <c r="Q177" s="73">
        <v>36807.0</v>
      </c>
      <c r="R177" s="130" t="s">
        <v>234</v>
      </c>
      <c r="S177" s="138">
        <v>2019.0</v>
      </c>
      <c r="T177" s="136">
        <v>0.238</v>
      </c>
      <c r="U177" s="194">
        <f t="shared" si="60"/>
        <v>8760.066</v>
      </c>
      <c r="V177" s="24">
        <f t="shared" si="3"/>
        <v>170.0983689</v>
      </c>
      <c r="W177" s="3">
        <f t="shared" si="29"/>
        <v>0</v>
      </c>
      <c r="X177" s="3">
        <f t="shared" si="30"/>
        <v>0</v>
      </c>
      <c r="Y177" s="3">
        <f t="shared" si="31"/>
        <v>0</v>
      </c>
      <c r="Z177" s="25">
        <f t="shared" si="32"/>
        <v>0</v>
      </c>
      <c r="AA177" s="26">
        <f>VLOOKUP(S177,CPI!$A$2:$E$67,5,0)</f>
        <v>1.191839066</v>
      </c>
      <c r="AB177" s="27">
        <f t="shared" si="8"/>
        <v>10440.58888</v>
      </c>
      <c r="AC177" s="27">
        <f t="shared" si="9"/>
        <v>202.7298811</v>
      </c>
    </row>
    <row r="178">
      <c r="A178" s="38">
        <v>8163.0</v>
      </c>
      <c r="B178" s="130" t="s">
        <v>230</v>
      </c>
      <c r="C178" s="130" t="s">
        <v>433</v>
      </c>
      <c r="D178" s="36" t="s">
        <v>57</v>
      </c>
      <c r="E178" s="130" t="s">
        <v>436</v>
      </c>
      <c r="F178" s="138">
        <v>2022.0</v>
      </c>
      <c r="G178" s="138">
        <v>2027.0</v>
      </c>
      <c r="H178" s="138">
        <v>0.0</v>
      </c>
      <c r="I178" s="138">
        <v>25.56</v>
      </c>
      <c r="J178" s="197">
        <f>K178/I178</f>
        <v>1</v>
      </c>
      <c r="K178" s="198">
        <v>25.56</v>
      </c>
      <c r="L178" s="199">
        <v>0.0</v>
      </c>
      <c r="M178" s="199">
        <v>0.0</v>
      </c>
      <c r="N178" s="138">
        <v>10.0</v>
      </c>
      <c r="O178" s="138"/>
      <c r="P178" s="130" t="s">
        <v>60</v>
      </c>
      <c r="Q178" s="200">
        <v>17499.0</v>
      </c>
      <c r="R178" s="130" t="s">
        <v>234</v>
      </c>
      <c r="S178" s="138">
        <v>2019.0</v>
      </c>
      <c r="T178" s="136">
        <v>0.238</v>
      </c>
      <c r="U178" s="194">
        <f t="shared" si="60"/>
        <v>4164.762</v>
      </c>
      <c r="V178" s="24">
        <f t="shared" si="3"/>
        <v>162.9406103</v>
      </c>
      <c r="W178" s="3">
        <f t="shared" si="29"/>
        <v>0</v>
      </c>
      <c r="X178" s="3">
        <f t="shared" si="30"/>
        <v>0</v>
      </c>
      <c r="Y178" s="3">
        <f t="shared" si="31"/>
        <v>0</v>
      </c>
      <c r="Z178" s="25">
        <f t="shared" si="32"/>
        <v>0</v>
      </c>
      <c r="AA178" s="26">
        <f>VLOOKUP(S178,CPI!$A$2:$E$67,5,0)</f>
        <v>1.191839066</v>
      </c>
      <c r="AB178" s="27">
        <f t="shared" si="8"/>
        <v>4963.726051</v>
      </c>
      <c r="AC178" s="27">
        <f t="shared" si="9"/>
        <v>194.1989848</v>
      </c>
    </row>
    <row r="179">
      <c r="A179" s="38">
        <v>8168.0</v>
      </c>
      <c r="B179" s="72" t="s">
        <v>230</v>
      </c>
      <c r="C179" s="72" t="s">
        <v>433</v>
      </c>
      <c r="D179" s="16" t="s">
        <v>54</v>
      </c>
      <c r="E179" s="115" t="s">
        <v>437</v>
      </c>
      <c r="F179" s="69">
        <v>2022.0</v>
      </c>
      <c r="G179" s="69">
        <v>2027.0</v>
      </c>
      <c r="H179" s="69">
        <v>0.0</v>
      </c>
      <c r="I179" s="69">
        <v>17.5</v>
      </c>
      <c r="J179" s="117">
        <v>0.96</v>
      </c>
      <c r="K179" s="193">
        <v>16.8</v>
      </c>
      <c r="L179" s="72"/>
      <c r="M179" s="72"/>
      <c r="N179" s="69">
        <v>9.0</v>
      </c>
      <c r="O179" s="69">
        <v>117.0</v>
      </c>
      <c r="P179" s="72"/>
      <c r="Q179" s="73">
        <v>14690.0</v>
      </c>
      <c r="R179" s="72" t="s">
        <v>234</v>
      </c>
      <c r="S179" s="138">
        <v>2019.0</v>
      </c>
      <c r="T179" s="136">
        <v>0.238</v>
      </c>
      <c r="U179" s="194">
        <f t="shared" si="60"/>
        <v>3496.22</v>
      </c>
      <c r="V179" s="24">
        <f t="shared" si="3"/>
        <v>199.784</v>
      </c>
      <c r="W179" s="3">
        <f t="shared" si="29"/>
        <v>0</v>
      </c>
      <c r="X179" s="3">
        <f t="shared" si="30"/>
        <v>0</v>
      </c>
      <c r="Y179" s="3">
        <f t="shared" si="31"/>
        <v>0</v>
      </c>
      <c r="Z179" s="25">
        <f t="shared" si="32"/>
        <v>0</v>
      </c>
      <c r="AA179" s="26">
        <f>VLOOKUP(S179,CPI!$A$2:$E$67,5,0)</f>
        <v>1.191839066</v>
      </c>
      <c r="AB179" s="27">
        <f t="shared" si="8"/>
        <v>4166.931578</v>
      </c>
      <c r="AC179" s="27">
        <f t="shared" si="9"/>
        <v>238.1103759</v>
      </c>
    </row>
    <row r="180">
      <c r="A180" s="38">
        <v>8161.0</v>
      </c>
      <c r="B180" s="130" t="s">
        <v>230</v>
      </c>
      <c r="C180" s="130" t="s">
        <v>433</v>
      </c>
      <c r="D180" s="36" t="s">
        <v>57</v>
      </c>
      <c r="E180" s="130" t="s">
        <v>410</v>
      </c>
      <c r="F180" s="138">
        <v>2023.0</v>
      </c>
      <c r="G180" s="138">
        <v>2028.0</v>
      </c>
      <c r="H180" s="138">
        <v>0.0</v>
      </c>
      <c r="I180" s="138">
        <v>10.9</v>
      </c>
      <c r="J180" s="197">
        <f t="shared" ref="J180:J182" si="61">K180/I180</f>
        <v>0.3486238532</v>
      </c>
      <c r="K180" s="198">
        <v>3.8</v>
      </c>
      <c r="L180" s="199">
        <v>0.0</v>
      </c>
      <c r="M180" s="199">
        <v>0.0</v>
      </c>
      <c r="N180" s="138">
        <v>4.0</v>
      </c>
      <c r="O180" s="138"/>
      <c r="P180" s="130" t="s">
        <v>60</v>
      </c>
      <c r="Q180" s="200">
        <v>6055.0</v>
      </c>
      <c r="R180" s="130" t="s">
        <v>234</v>
      </c>
      <c r="S180" s="138">
        <v>2019.0</v>
      </c>
      <c r="T180" s="136">
        <v>0.238</v>
      </c>
      <c r="U180" s="194">
        <f t="shared" si="60"/>
        <v>1441.09</v>
      </c>
      <c r="V180" s="24">
        <f t="shared" si="3"/>
        <v>132.2100917</v>
      </c>
      <c r="W180" s="3">
        <f t="shared" si="29"/>
        <v>0</v>
      </c>
      <c r="X180" s="3">
        <f t="shared" si="30"/>
        <v>0</v>
      </c>
      <c r="Y180" s="3">
        <f t="shared" si="31"/>
        <v>0</v>
      </c>
      <c r="Z180" s="25">
        <f t="shared" si="32"/>
        <v>0</v>
      </c>
      <c r="AA180" s="26">
        <f>VLOOKUP(S180,CPI!$A$2:$E$67,5,0)</f>
        <v>1.191839066</v>
      </c>
      <c r="AB180" s="27">
        <f t="shared" si="8"/>
        <v>1717.547359</v>
      </c>
      <c r="AC180" s="27">
        <f t="shared" si="9"/>
        <v>157.5731522</v>
      </c>
    </row>
    <row r="181">
      <c r="A181" s="38">
        <v>8169.0</v>
      </c>
      <c r="B181" s="130" t="s">
        <v>230</v>
      </c>
      <c r="C181" s="130" t="s">
        <v>433</v>
      </c>
      <c r="D181" s="36" t="s">
        <v>87</v>
      </c>
      <c r="E181" s="130" t="s">
        <v>331</v>
      </c>
      <c r="F181" s="138">
        <v>2023.0</v>
      </c>
      <c r="G181" s="138">
        <v>2028.0</v>
      </c>
      <c r="H181" s="138">
        <v>0.0</v>
      </c>
      <c r="I181" s="138">
        <v>50.14</v>
      </c>
      <c r="J181" s="197">
        <f t="shared" si="61"/>
        <v>1</v>
      </c>
      <c r="K181" s="198">
        <v>50.14</v>
      </c>
      <c r="L181" s="199">
        <v>0.0</v>
      </c>
      <c r="M181" s="199">
        <v>0.0</v>
      </c>
      <c r="N181" s="138">
        <v>18.0</v>
      </c>
      <c r="O181" s="138"/>
      <c r="P181" s="130" t="s">
        <v>60</v>
      </c>
      <c r="Q181" s="200">
        <v>32178.0</v>
      </c>
      <c r="R181" s="130" t="s">
        <v>234</v>
      </c>
      <c r="S181" s="138">
        <v>2019.0</v>
      </c>
      <c r="T181" s="136">
        <v>0.238</v>
      </c>
      <c r="U181" s="194">
        <f t="shared" si="60"/>
        <v>7658.364</v>
      </c>
      <c r="V181" s="24">
        <f t="shared" si="3"/>
        <v>152.7396091</v>
      </c>
      <c r="W181" s="3">
        <f t="shared" si="29"/>
        <v>0</v>
      </c>
      <c r="X181" s="3">
        <f t="shared" si="30"/>
        <v>0</v>
      </c>
      <c r="Y181" s="3">
        <f t="shared" si="31"/>
        <v>0</v>
      </c>
      <c r="Z181" s="25">
        <f t="shared" si="32"/>
        <v>0</v>
      </c>
      <c r="AA181" s="26">
        <f>VLOOKUP(S181,CPI!$A$2:$E$67,5,0)</f>
        <v>1.191839066</v>
      </c>
      <c r="AB181" s="27">
        <f t="shared" si="8"/>
        <v>9127.537394</v>
      </c>
      <c r="AC181" s="27">
        <f t="shared" si="9"/>
        <v>182.041033</v>
      </c>
    </row>
    <row r="182">
      <c r="A182" s="38">
        <v>8170.0</v>
      </c>
      <c r="B182" s="130" t="s">
        <v>230</v>
      </c>
      <c r="C182" s="130" t="s">
        <v>433</v>
      </c>
      <c r="D182" s="36" t="s">
        <v>87</v>
      </c>
      <c r="E182" s="130" t="s">
        <v>439</v>
      </c>
      <c r="F182" s="138">
        <v>2024.0</v>
      </c>
      <c r="G182" s="138">
        <v>2028.0</v>
      </c>
      <c r="H182" s="138">
        <v>0.0</v>
      </c>
      <c r="I182" s="138">
        <v>1.8</v>
      </c>
      <c r="J182" s="197">
        <f t="shared" si="61"/>
        <v>1</v>
      </c>
      <c r="K182" s="198">
        <v>1.8</v>
      </c>
      <c r="L182" s="199">
        <v>0.0</v>
      </c>
      <c r="M182" s="199">
        <v>0.0</v>
      </c>
      <c r="N182" s="138">
        <v>1.0</v>
      </c>
      <c r="O182" s="138"/>
      <c r="P182" s="130" t="s">
        <v>60</v>
      </c>
      <c r="Q182" s="200">
        <v>1297.0</v>
      </c>
      <c r="R182" s="130" t="s">
        <v>234</v>
      </c>
      <c r="S182" s="138">
        <v>2019.0</v>
      </c>
      <c r="T182" s="136">
        <v>0.238</v>
      </c>
      <c r="U182" s="194">
        <f t="shared" si="60"/>
        <v>308.686</v>
      </c>
      <c r="V182" s="24">
        <f t="shared" si="3"/>
        <v>171.4922222</v>
      </c>
      <c r="W182" s="3">
        <f t="shared" si="29"/>
        <v>0</v>
      </c>
      <c r="X182" s="3">
        <f t="shared" si="30"/>
        <v>0</v>
      </c>
      <c r="Y182" s="3">
        <f t="shared" si="31"/>
        <v>0</v>
      </c>
      <c r="Z182" s="25">
        <f t="shared" si="32"/>
        <v>0</v>
      </c>
      <c r="AA182" s="26">
        <f>VLOOKUP(S182,CPI!$A$2:$E$67,5,0)</f>
        <v>1.191839066</v>
      </c>
      <c r="AB182" s="27">
        <f t="shared" si="8"/>
        <v>367.9040338</v>
      </c>
      <c r="AC182" s="27">
        <f t="shared" si="9"/>
        <v>204.3911299</v>
      </c>
    </row>
    <row r="183">
      <c r="A183" s="7"/>
      <c r="B183" s="114" t="s">
        <v>230</v>
      </c>
      <c r="C183" s="114" t="s">
        <v>440</v>
      </c>
      <c r="D183" s="114" t="s">
        <v>441</v>
      </c>
      <c r="E183" s="114" t="s">
        <v>441</v>
      </c>
      <c r="F183" s="116">
        <v>2007.0</v>
      </c>
      <c r="G183" s="116">
        <v>2011.0</v>
      </c>
      <c r="H183" s="116">
        <v>0.0</v>
      </c>
      <c r="I183" s="116">
        <v>32.16</v>
      </c>
      <c r="J183" s="117">
        <v>1.0</v>
      </c>
      <c r="K183" s="116">
        <v>32.16</v>
      </c>
      <c r="L183" s="114"/>
      <c r="M183" s="114"/>
      <c r="N183" s="116">
        <v>21.0</v>
      </c>
      <c r="O183" s="116">
        <v>78.0</v>
      </c>
      <c r="P183" s="114"/>
      <c r="Q183" s="140">
        <v>14519.0</v>
      </c>
      <c r="R183" s="114" t="s">
        <v>234</v>
      </c>
      <c r="S183" s="115">
        <v>2009.0</v>
      </c>
      <c r="T183" s="85">
        <v>0.317</v>
      </c>
      <c r="U183" s="118">
        <f t="shared" ref="U183:U206" si="62">Q183*T183</f>
        <v>4602.523</v>
      </c>
      <c r="V183" s="24">
        <f t="shared" si="3"/>
        <v>143.1132774</v>
      </c>
      <c r="W183" s="3">
        <f t="shared" si="29"/>
        <v>0</v>
      </c>
      <c r="X183" s="3">
        <f t="shared" si="30"/>
        <v>0</v>
      </c>
      <c r="Y183" s="3">
        <f t="shared" si="31"/>
        <v>0</v>
      </c>
      <c r="Z183" s="25">
        <f t="shared" si="32"/>
        <v>0</v>
      </c>
      <c r="AA183" s="26">
        <f>VLOOKUP(S183,CPI!$A$2:$E$67,5,0)</f>
        <v>1.420277155</v>
      </c>
      <c r="AB183" s="27">
        <f t="shared" si="8"/>
        <v>6536.858272</v>
      </c>
      <c r="AC183" s="27">
        <f t="shared" si="9"/>
        <v>203.2605184</v>
      </c>
    </row>
    <row r="184">
      <c r="A184" s="7"/>
      <c r="B184" s="114" t="s">
        <v>230</v>
      </c>
      <c r="C184" s="114" t="s">
        <v>440</v>
      </c>
      <c r="D184" s="115" t="s">
        <v>54</v>
      </c>
      <c r="E184" s="115" t="s">
        <v>348</v>
      </c>
      <c r="F184" s="116">
        <v>2014.0</v>
      </c>
      <c r="G184" s="116">
        <v>2021.0</v>
      </c>
      <c r="H184" s="116">
        <v>0.0</v>
      </c>
      <c r="I184" s="116">
        <v>32.41</v>
      </c>
      <c r="J184" s="117">
        <v>0.78</v>
      </c>
      <c r="K184" s="116">
        <v>25.3</v>
      </c>
      <c r="L184" s="114"/>
      <c r="M184" s="114"/>
      <c r="N184" s="116">
        <v>17.0</v>
      </c>
      <c r="O184" s="116">
        <v>117.0</v>
      </c>
      <c r="P184" s="114"/>
      <c r="Q184" s="140">
        <v>20671.0</v>
      </c>
      <c r="R184" s="114" t="s">
        <v>234</v>
      </c>
      <c r="S184" s="115">
        <v>2018.0</v>
      </c>
      <c r="T184" s="85">
        <v>0.237</v>
      </c>
      <c r="U184" s="118">
        <f t="shared" si="62"/>
        <v>4899.027</v>
      </c>
      <c r="V184" s="24">
        <f t="shared" si="3"/>
        <v>151.1578834</v>
      </c>
      <c r="W184" s="3">
        <f t="shared" si="29"/>
        <v>0</v>
      </c>
      <c r="X184" s="3">
        <f t="shared" si="30"/>
        <v>0</v>
      </c>
      <c r="Y184" s="3">
        <f t="shared" si="31"/>
        <v>0</v>
      </c>
      <c r="Z184" s="25">
        <f t="shared" si="32"/>
        <v>0</v>
      </c>
      <c r="AA184" s="26">
        <f>VLOOKUP(S184,CPI!$A$2:$E$67,5,0)</f>
        <v>1.21343491</v>
      </c>
      <c r="AB184" s="27">
        <f t="shared" si="8"/>
        <v>5944.650388</v>
      </c>
      <c r="AC184" s="27">
        <f t="shared" si="9"/>
        <v>183.4202526</v>
      </c>
    </row>
    <row r="185">
      <c r="A185" s="7"/>
      <c r="B185" s="114" t="s">
        <v>230</v>
      </c>
      <c r="C185" s="114" t="s">
        <v>440</v>
      </c>
      <c r="D185" s="16" t="s">
        <v>87</v>
      </c>
      <c r="E185" s="115" t="s">
        <v>331</v>
      </c>
      <c r="F185" s="116">
        <v>2016.0</v>
      </c>
      <c r="G185" s="116">
        <v>2022.0</v>
      </c>
      <c r="H185" s="116">
        <v>0.0</v>
      </c>
      <c r="I185" s="116">
        <v>69.5</v>
      </c>
      <c r="J185" s="117">
        <v>0.86</v>
      </c>
      <c r="K185" s="116">
        <v>59.5</v>
      </c>
      <c r="L185" s="114"/>
      <c r="M185" s="114"/>
      <c r="N185" s="116">
        <v>37.0</v>
      </c>
      <c r="O185" s="116">
        <v>117.0</v>
      </c>
      <c r="P185" s="114"/>
      <c r="Q185" s="140">
        <v>42572.0</v>
      </c>
      <c r="R185" s="114" t="s">
        <v>234</v>
      </c>
      <c r="S185" s="115">
        <v>2019.0</v>
      </c>
      <c r="T185" s="136">
        <v>0.238</v>
      </c>
      <c r="U185" s="118">
        <f t="shared" si="62"/>
        <v>10132.136</v>
      </c>
      <c r="V185" s="24">
        <f t="shared" si="3"/>
        <v>145.7861295</v>
      </c>
      <c r="W185" s="3">
        <f t="shared" si="29"/>
        <v>0</v>
      </c>
      <c r="X185" s="3">
        <f t="shared" si="30"/>
        <v>0</v>
      </c>
      <c r="Y185" s="3">
        <f t="shared" si="31"/>
        <v>0</v>
      </c>
      <c r="Z185" s="25">
        <f t="shared" si="32"/>
        <v>0</v>
      </c>
      <c r="AA185" s="26">
        <f>VLOOKUP(S185,CPI!$A$2:$E$67,5,0)</f>
        <v>1.191839066</v>
      </c>
      <c r="AB185" s="27">
        <f t="shared" si="8"/>
        <v>12075.8755</v>
      </c>
      <c r="AC185" s="27">
        <f t="shared" si="9"/>
        <v>173.7536044</v>
      </c>
    </row>
    <row r="186">
      <c r="A186" s="7"/>
      <c r="B186" s="114" t="s">
        <v>230</v>
      </c>
      <c r="C186" s="114" t="s">
        <v>440</v>
      </c>
      <c r="D186" s="114" t="s">
        <v>292</v>
      </c>
      <c r="E186" s="114" t="s">
        <v>292</v>
      </c>
      <c r="F186" s="116">
        <v>2021.0</v>
      </c>
      <c r="G186" s="116">
        <v>2026.0</v>
      </c>
      <c r="H186" s="116">
        <v>0.0</v>
      </c>
      <c r="I186" s="116">
        <v>36.4</v>
      </c>
      <c r="J186" s="117">
        <v>0.66</v>
      </c>
      <c r="K186" s="116">
        <v>24.0</v>
      </c>
      <c r="L186" s="114"/>
      <c r="M186" s="114"/>
      <c r="N186" s="116">
        <v>18.0</v>
      </c>
      <c r="O186" s="116">
        <v>117.0</v>
      </c>
      <c r="P186" s="114"/>
      <c r="Q186" s="140">
        <v>26060.0</v>
      </c>
      <c r="R186" s="114" t="s">
        <v>234</v>
      </c>
      <c r="S186" s="115">
        <v>2021.0</v>
      </c>
      <c r="T186" s="136">
        <v>0.239</v>
      </c>
      <c r="U186" s="118">
        <f t="shared" si="62"/>
        <v>6228.34</v>
      </c>
      <c r="V186" s="24">
        <f t="shared" si="3"/>
        <v>171.1082418</v>
      </c>
      <c r="W186" s="3">
        <f t="shared" si="29"/>
        <v>0</v>
      </c>
      <c r="X186" s="3">
        <f t="shared" si="30"/>
        <v>0</v>
      </c>
      <c r="Y186" s="3">
        <f t="shared" si="31"/>
        <v>0</v>
      </c>
      <c r="Z186" s="25">
        <f t="shared" si="32"/>
        <v>0</v>
      </c>
      <c r="AA186" s="26">
        <f>VLOOKUP(S186,CPI!$A$2:$E$67,5,0)</f>
        <v>1.124486105</v>
      </c>
      <c r="AB186" s="27">
        <f t="shared" si="8"/>
        <v>7003.68179</v>
      </c>
      <c r="AC186" s="27">
        <f t="shared" si="9"/>
        <v>192.4088404</v>
      </c>
    </row>
    <row r="187">
      <c r="A187" s="163"/>
      <c r="B187" s="114" t="s">
        <v>230</v>
      </c>
      <c r="C187" s="114" t="s">
        <v>440</v>
      </c>
      <c r="D187" s="115" t="s">
        <v>54</v>
      </c>
      <c r="E187" s="115" t="s">
        <v>326</v>
      </c>
      <c r="F187" s="114">
        <v>2021.0</v>
      </c>
      <c r="G187" s="114">
        <v>2026.0</v>
      </c>
      <c r="H187" s="114">
        <v>0.0</v>
      </c>
      <c r="I187" s="114">
        <v>23.5</v>
      </c>
      <c r="J187" s="114">
        <v>0.54</v>
      </c>
      <c r="K187" s="114">
        <v>12.7</v>
      </c>
      <c r="L187" s="114"/>
      <c r="M187" s="114"/>
      <c r="N187" s="114">
        <v>10.0</v>
      </c>
      <c r="O187" s="116">
        <v>117.0</v>
      </c>
      <c r="P187" s="114"/>
      <c r="Q187" s="114">
        <v>12228.0</v>
      </c>
      <c r="R187" s="114" t="s">
        <v>234</v>
      </c>
      <c r="S187" s="115">
        <v>2021.0</v>
      </c>
      <c r="T187" s="136">
        <v>0.239</v>
      </c>
      <c r="U187" s="118">
        <f t="shared" si="62"/>
        <v>2922.492</v>
      </c>
      <c r="V187" s="24">
        <f t="shared" si="3"/>
        <v>124.3613617</v>
      </c>
      <c r="W187" s="3">
        <f t="shared" si="29"/>
        <v>0</v>
      </c>
      <c r="X187" s="3">
        <f t="shared" si="30"/>
        <v>0</v>
      </c>
      <c r="Y187" s="3">
        <f t="shared" si="31"/>
        <v>0</v>
      </c>
      <c r="Z187" s="25">
        <f t="shared" si="32"/>
        <v>0</v>
      </c>
      <c r="AA187" s="26">
        <f>VLOOKUP(S187,CPI!$A$2:$E$67,5,0)</f>
        <v>1.124486105</v>
      </c>
      <c r="AB187" s="27">
        <f t="shared" si="8"/>
        <v>3286.301647</v>
      </c>
      <c r="AC187" s="27">
        <f t="shared" si="9"/>
        <v>139.8426233</v>
      </c>
    </row>
    <row r="188">
      <c r="A188" s="7"/>
      <c r="B188" s="114" t="s">
        <v>230</v>
      </c>
      <c r="C188" s="114" t="s">
        <v>440</v>
      </c>
      <c r="D188" s="16" t="s">
        <v>110</v>
      </c>
      <c r="E188" s="115" t="s">
        <v>332</v>
      </c>
      <c r="F188" s="116">
        <v>2021.0</v>
      </c>
      <c r="G188" s="116">
        <v>2026.0</v>
      </c>
      <c r="H188" s="116">
        <v>0.0</v>
      </c>
      <c r="I188" s="116">
        <v>55.91</v>
      </c>
      <c r="J188" s="117">
        <v>0.88</v>
      </c>
      <c r="K188" s="116">
        <v>49.1</v>
      </c>
      <c r="L188" s="114"/>
      <c r="M188" s="114"/>
      <c r="N188" s="116">
        <v>33.0</v>
      </c>
      <c r="O188" s="116">
        <v>117.0</v>
      </c>
      <c r="P188" s="114"/>
      <c r="Q188" s="140">
        <v>44601.0</v>
      </c>
      <c r="R188" s="114" t="s">
        <v>234</v>
      </c>
      <c r="S188" s="115">
        <v>2021.0</v>
      </c>
      <c r="T188" s="136">
        <v>0.239</v>
      </c>
      <c r="U188" s="118">
        <f t="shared" si="62"/>
        <v>10659.639</v>
      </c>
      <c r="V188" s="24">
        <f t="shared" si="3"/>
        <v>190.6571096</v>
      </c>
      <c r="W188" s="3">
        <f t="shared" si="29"/>
        <v>0</v>
      </c>
      <c r="X188" s="3">
        <f t="shared" si="30"/>
        <v>0</v>
      </c>
      <c r="Y188" s="3">
        <f t="shared" si="31"/>
        <v>0</v>
      </c>
      <c r="Z188" s="25">
        <f t="shared" si="32"/>
        <v>0</v>
      </c>
      <c r="AA188" s="26">
        <f>VLOOKUP(S188,CPI!$A$2:$E$67,5,0)</f>
        <v>1.124486105</v>
      </c>
      <c r="AB188" s="27">
        <f t="shared" si="8"/>
        <v>11986.61594</v>
      </c>
      <c r="AC188" s="27">
        <f t="shared" si="9"/>
        <v>214.3912707</v>
      </c>
    </row>
    <row r="189">
      <c r="A189" s="7"/>
      <c r="B189" s="114" t="s">
        <v>230</v>
      </c>
      <c r="C189" s="114" t="s">
        <v>449</v>
      </c>
      <c r="D189" s="115" t="s">
        <v>57</v>
      </c>
      <c r="E189" s="115" t="s">
        <v>232</v>
      </c>
      <c r="F189" s="116">
        <v>2009.0</v>
      </c>
      <c r="G189" s="116">
        <v>2017.0</v>
      </c>
      <c r="H189" s="116">
        <v>0.0</v>
      </c>
      <c r="I189" s="116">
        <v>24.6</v>
      </c>
      <c r="J189" s="117">
        <v>1.0</v>
      </c>
      <c r="K189" s="116">
        <v>24.6</v>
      </c>
      <c r="L189" s="114"/>
      <c r="M189" s="114"/>
      <c r="N189" s="116">
        <v>21.0</v>
      </c>
      <c r="O189" s="116">
        <v>117.0</v>
      </c>
      <c r="P189" s="114"/>
      <c r="Q189" s="140">
        <v>17337.0</v>
      </c>
      <c r="R189" s="114" t="s">
        <v>234</v>
      </c>
      <c r="S189" s="115">
        <v>2013.0</v>
      </c>
      <c r="T189" s="85">
        <v>0.273</v>
      </c>
      <c r="U189" s="118">
        <f t="shared" si="62"/>
        <v>4733.001</v>
      </c>
      <c r="V189" s="24">
        <f t="shared" si="3"/>
        <v>192.3984146</v>
      </c>
      <c r="W189" s="3">
        <f t="shared" si="29"/>
        <v>0</v>
      </c>
      <c r="X189" s="3">
        <f t="shared" si="30"/>
        <v>0</v>
      </c>
      <c r="Y189" s="3">
        <f t="shared" si="31"/>
        <v>0</v>
      </c>
      <c r="Z189" s="25">
        <f t="shared" si="32"/>
        <v>0</v>
      </c>
      <c r="AA189" s="26">
        <f>VLOOKUP(S189,CPI!$A$2:$E$67,5,0)</f>
        <v>1.307975292</v>
      </c>
      <c r="AB189" s="27">
        <f t="shared" si="8"/>
        <v>6190.648363</v>
      </c>
      <c r="AC189" s="27">
        <f t="shared" si="9"/>
        <v>251.6523725</v>
      </c>
    </row>
    <row r="190">
      <c r="A190" s="170">
        <v>7953.0</v>
      </c>
      <c r="B190" s="123" t="s">
        <v>230</v>
      </c>
      <c r="C190" s="123" t="s">
        <v>449</v>
      </c>
      <c r="D190" s="36" t="s">
        <v>80</v>
      </c>
      <c r="E190" s="123" t="s">
        <v>80</v>
      </c>
      <c r="F190" s="75">
        <v>2015.0</v>
      </c>
      <c r="G190" s="75">
        <v>2019.0</v>
      </c>
      <c r="H190" s="75">
        <v>0.0</v>
      </c>
      <c r="I190" s="75">
        <v>40.5</v>
      </c>
      <c r="J190" s="124">
        <v>0.7901234568</v>
      </c>
      <c r="K190" s="75">
        <v>32.0</v>
      </c>
      <c r="L190" s="125">
        <v>0.455</v>
      </c>
      <c r="M190" s="125">
        <v>8.05</v>
      </c>
      <c r="N190" s="75">
        <v>20.0</v>
      </c>
      <c r="O190" s="75"/>
      <c r="P190" s="123" t="s">
        <v>60</v>
      </c>
      <c r="Q190" s="126">
        <v>27716.0</v>
      </c>
      <c r="R190" s="123" t="s">
        <v>234</v>
      </c>
      <c r="S190" s="75">
        <v>2015.0</v>
      </c>
      <c r="T190" s="136">
        <v>0.258</v>
      </c>
      <c r="U190" s="128">
        <f t="shared" si="62"/>
        <v>7150.728</v>
      </c>
      <c r="V190" s="24">
        <f t="shared" si="3"/>
        <v>176.5611852</v>
      </c>
      <c r="W190" s="3">
        <f t="shared" si="29"/>
        <v>0</v>
      </c>
      <c r="X190" s="3">
        <f t="shared" si="30"/>
        <v>0</v>
      </c>
      <c r="Y190" s="3">
        <f t="shared" si="31"/>
        <v>0</v>
      </c>
      <c r="Z190" s="25">
        <f t="shared" si="32"/>
        <v>0</v>
      </c>
      <c r="AA190" s="26">
        <f>VLOOKUP(S190,CPI!$A$2:$E$67,5,0)</f>
        <v>1.285570233</v>
      </c>
      <c r="AB190" s="27">
        <f t="shared" si="8"/>
        <v>9192.763064</v>
      </c>
      <c r="AC190" s="27">
        <f t="shared" si="9"/>
        <v>226.981804</v>
      </c>
    </row>
    <row r="191">
      <c r="A191" s="7"/>
      <c r="B191" s="114" t="s">
        <v>230</v>
      </c>
      <c r="C191" s="114" t="s">
        <v>449</v>
      </c>
      <c r="D191" s="115" t="s">
        <v>57</v>
      </c>
      <c r="E191" s="114" t="s">
        <v>310</v>
      </c>
      <c r="F191" s="116">
        <v>2015.0</v>
      </c>
      <c r="G191" s="116">
        <v>2020.0</v>
      </c>
      <c r="H191" s="116">
        <v>0.0</v>
      </c>
      <c r="I191" s="116">
        <v>4.924</v>
      </c>
      <c r="J191" s="117">
        <v>1.0</v>
      </c>
      <c r="K191" s="116">
        <v>4.924</v>
      </c>
      <c r="L191" s="114"/>
      <c r="M191" s="114"/>
      <c r="N191" s="116">
        <v>4.0</v>
      </c>
      <c r="O191" s="116">
        <v>117.0</v>
      </c>
      <c r="P191" s="114"/>
      <c r="Q191" s="140">
        <v>2883.0</v>
      </c>
      <c r="R191" s="114" t="s">
        <v>234</v>
      </c>
      <c r="S191" s="115">
        <v>2018.0</v>
      </c>
      <c r="T191" s="85">
        <v>0.237</v>
      </c>
      <c r="U191" s="118">
        <f t="shared" si="62"/>
        <v>683.271</v>
      </c>
      <c r="V191" s="24">
        <f t="shared" si="3"/>
        <v>138.7634037</v>
      </c>
      <c r="W191" s="3">
        <f t="shared" si="29"/>
        <v>0</v>
      </c>
      <c r="X191" s="3">
        <f t="shared" si="30"/>
        <v>0</v>
      </c>
      <c r="Y191" s="3">
        <f t="shared" si="31"/>
        <v>0</v>
      </c>
      <c r="Z191" s="25">
        <f t="shared" si="32"/>
        <v>0</v>
      </c>
      <c r="AA191" s="26">
        <f>VLOOKUP(S191,CPI!$A$2:$E$67,5,0)</f>
        <v>1.21343491</v>
      </c>
      <c r="AB191" s="27">
        <f t="shared" si="8"/>
        <v>829.1048845</v>
      </c>
      <c r="AC191" s="27">
        <f t="shared" si="9"/>
        <v>168.3803584</v>
      </c>
    </row>
    <row r="192">
      <c r="A192" s="170">
        <v>7898.0</v>
      </c>
      <c r="B192" s="123" t="s">
        <v>230</v>
      </c>
      <c r="C192" s="123" t="s">
        <v>449</v>
      </c>
      <c r="D192" s="16" t="s">
        <v>110</v>
      </c>
      <c r="E192" s="123" t="s">
        <v>332</v>
      </c>
      <c r="F192" s="75">
        <v>2017.0</v>
      </c>
      <c r="G192" s="75">
        <v>2021.0</v>
      </c>
      <c r="H192" s="75">
        <v>0.0</v>
      </c>
      <c r="I192" s="75">
        <v>24.2</v>
      </c>
      <c r="J192" s="124">
        <v>1.0</v>
      </c>
      <c r="K192" s="75">
        <v>24.2</v>
      </c>
      <c r="L192" s="125">
        <v>0.0</v>
      </c>
      <c r="M192" s="125">
        <v>0.0</v>
      </c>
      <c r="N192" s="75">
        <v>21.0</v>
      </c>
      <c r="O192" s="75"/>
      <c r="P192" s="123" t="s">
        <v>60</v>
      </c>
      <c r="Q192" s="126">
        <v>18436.0</v>
      </c>
      <c r="R192" s="123" t="s">
        <v>234</v>
      </c>
      <c r="S192" s="75">
        <v>2015.0</v>
      </c>
      <c r="T192" s="136">
        <v>0.258</v>
      </c>
      <c r="U192" s="128">
        <f t="shared" si="62"/>
        <v>4756.488</v>
      </c>
      <c r="V192" s="24">
        <f t="shared" si="3"/>
        <v>196.5490909</v>
      </c>
      <c r="W192" s="3">
        <f t="shared" si="29"/>
        <v>0</v>
      </c>
      <c r="X192" s="3">
        <f t="shared" si="30"/>
        <v>0</v>
      </c>
      <c r="Y192" s="3">
        <f t="shared" si="31"/>
        <v>0</v>
      </c>
      <c r="Z192" s="25">
        <f t="shared" si="32"/>
        <v>0</v>
      </c>
      <c r="AA192" s="26">
        <f>VLOOKUP(S192,CPI!$A$2:$E$67,5,0)</f>
        <v>1.285570233</v>
      </c>
      <c r="AB192" s="27">
        <f t="shared" si="8"/>
        <v>6114.799388</v>
      </c>
      <c r="AC192" s="27">
        <f t="shared" si="9"/>
        <v>252.6776607</v>
      </c>
    </row>
    <row r="193">
      <c r="A193" s="7"/>
      <c r="B193" s="114" t="s">
        <v>230</v>
      </c>
      <c r="C193" s="114" t="s">
        <v>449</v>
      </c>
      <c r="D193" s="16" t="s">
        <v>54</v>
      </c>
      <c r="E193" s="114" t="s">
        <v>453</v>
      </c>
      <c r="F193" s="116">
        <v>2020.0</v>
      </c>
      <c r="G193" s="114"/>
      <c r="H193" s="116">
        <v>0.0</v>
      </c>
      <c r="I193" s="116">
        <v>16.88</v>
      </c>
      <c r="J193" s="117">
        <v>1.0</v>
      </c>
      <c r="K193" s="116">
        <v>16.88</v>
      </c>
      <c r="L193" s="114"/>
      <c r="M193" s="114"/>
      <c r="N193" s="116">
        <v>12.0</v>
      </c>
      <c r="O193" s="116">
        <v>117.0</v>
      </c>
      <c r="P193" s="114"/>
      <c r="Q193" s="140">
        <v>12706.0</v>
      </c>
      <c r="R193" s="114" t="s">
        <v>234</v>
      </c>
      <c r="S193" s="115">
        <v>2020.0</v>
      </c>
      <c r="T193" s="136">
        <v>0.239</v>
      </c>
      <c r="U193" s="118">
        <f t="shared" si="62"/>
        <v>3036.734</v>
      </c>
      <c r="V193" s="24">
        <f t="shared" si="3"/>
        <v>179.9013033</v>
      </c>
      <c r="W193" s="3">
        <f t="shared" si="29"/>
        <v>0</v>
      </c>
      <c r="X193" s="3">
        <f t="shared" si="30"/>
        <v>0</v>
      </c>
      <c r="Y193" s="3">
        <f t="shared" si="31"/>
        <v>0</v>
      </c>
      <c r="Z193" s="25">
        <f t="shared" si="32"/>
        <v>0</v>
      </c>
      <c r="AA193" s="26">
        <f>VLOOKUP(S193,CPI!$A$2:$E$67,5,0)</f>
        <v>1.17731472</v>
      </c>
      <c r="AB193" s="27">
        <f t="shared" si="8"/>
        <v>3575.191639</v>
      </c>
      <c r="AC193" s="27">
        <f t="shared" si="9"/>
        <v>211.8004525</v>
      </c>
    </row>
    <row r="194">
      <c r="A194" s="170">
        <v>7874.0</v>
      </c>
      <c r="B194" s="72" t="s">
        <v>230</v>
      </c>
      <c r="C194" s="72" t="s">
        <v>449</v>
      </c>
      <c r="D194" s="16" t="s">
        <v>84</v>
      </c>
      <c r="E194" s="115" t="s">
        <v>319</v>
      </c>
      <c r="F194" s="69">
        <v>2020.0</v>
      </c>
      <c r="G194" s="72"/>
      <c r="H194" s="69">
        <v>0.0</v>
      </c>
      <c r="I194" s="69">
        <v>27.7</v>
      </c>
      <c r="J194" s="117">
        <v>1.0</v>
      </c>
      <c r="K194" s="69">
        <v>27.7</v>
      </c>
      <c r="L194" s="72"/>
      <c r="M194" s="72"/>
      <c r="N194" s="69">
        <v>20.0</v>
      </c>
      <c r="O194" s="69">
        <v>117.0</v>
      </c>
      <c r="P194" s="72"/>
      <c r="Q194" s="140">
        <v>21786.0</v>
      </c>
      <c r="R194" s="72" t="s">
        <v>234</v>
      </c>
      <c r="S194" s="115">
        <v>2020.0</v>
      </c>
      <c r="T194" s="136">
        <v>0.239</v>
      </c>
      <c r="U194" s="118">
        <f t="shared" si="62"/>
        <v>5206.854</v>
      </c>
      <c r="V194" s="24">
        <f t="shared" si="3"/>
        <v>187.9730686</v>
      </c>
      <c r="W194" s="3">
        <f t="shared" si="29"/>
        <v>0</v>
      </c>
      <c r="X194" s="3">
        <f t="shared" si="30"/>
        <v>0</v>
      </c>
      <c r="Y194" s="3">
        <f t="shared" si="31"/>
        <v>0</v>
      </c>
      <c r="Z194" s="25">
        <f t="shared" si="32"/>
        <v>0</v>
      </c>
      <c r="AA194" s="26">
        <f>VLOOKUP(S194,CPI!$A$2:$E$67,5,0)</f>
        <v>1.17731472</v>
      </c>
      <c r="AB194" s="27">
        <f t="shared" si="8"/>
        <v>6130.105859</v>
      </c>
      <c r="AC194" s="27">
        <f t="shared" si="9"/>
        <v>221.3034606</v>
      </c>
    </row>
    <row r="195">
      <c r="A195" s="163"/>
      <c r="B195" s="114" t="s">
        <v>230</v>
      </c>
      <c r="C195" s="114" t="s">
        <v>449</v>
      </c>
      <c r="D195" s="36" t="s">
        <v>80</v>
      </c>
      <c r="E195" s="114" t="s">
        <v>457</v>
      </c>
      <c r="F195" s="116">
        <v>2020.0</v>
      </c>
      <c r="G195" s="114"/>
      <c r="H195" s="116">
        <v>0.0</v>
      </c>
      <c r="I195" s="116">
        <v>5.29</v>
      </c>
      <c r="J195" s="117">
        <v>1.0</v>
      </c>
      <c r="K195" s="116">
        <v>5.29</v>
      </c>
      <c r="L195" s="114"/>
      <c r="M195" s="114"/>
      <c r="N195" s="116">
        <v>6.0</v>
      </c>
      <c r="O195" s="116">
        <v>117.0</v>
      </c>
      <c r="P195" s="114"/>
      <c r="Q195" s="140">
        <v>4083.0</v>
      </c>
      <c r="R195" s="114" t="s">
        <v>234</v>
      </c>
      <c r="S195" s="115">
        <v>2020.0</v>
      </c>
      <c r="T195" s="136">
        <v>0.239</v>
      </c>
      <c r="U195" s="118">
        <f t="shared" si="62"/>
        <v>975.837</v>
      </c>
      <c r="V195" s="24">
        <f t="shared" si="3"/>
        <v>184.468242</v>
      </c>
      <c r="W195" s="3">
        <f t="shared" si="29"/>
        <v>0</v>
      </c>
      <c r="X195" s="3">
        <f t="shared" si="30"/>
        <v>0</v>
      </c>
      <c r="Y195" s="3">
        <f t="shared" si="31"/>
        <v>0</v>
      </c>
      <c r="Z195" s="25">
        <f t="shared" si="32"/>
        <v>0</v>
      </c>
      <c r="AA195" s="26">
        <f>VLOOKUP(S195,CPI!$A$2:$E$67,5,0)</f>
        <v>1.17731472</v>
      </c>
      <c r="AB195" s="27">
        <f t="shared" si="8"/>
        <v>1148.867264</v>
      </c>
      <c r="AC195" s="27">
        <f t="shared" si="9"/>
        <v>217.1771766</v>
      </c>
    </row>
    <row r="196">
      <c r="A196" s="7"/>
      <c r="B196" s="114" t="s">
        <v>230</v>
      </c>
      <c r="C196" s="114" t="s">
        <v>449</v>
      </c>
      <c r="D196" s="115" t="s">
        <v>458</v>
      </c>
      <c r="E196" s="114" t="s">
        <v>459</v>
      </c>
      <c r="F196" s="116">
        <v>2021.0</v>
      </c>
      <c r="G196" s="114"/>
      <c r="H196" s="116">
        <v>0.0</v>
      </c>
      <c r="I196" s="116">
        <v>62.4</v>
      </c>
      <c r="J196" s="117">
        <v>0.76</v>
      </c>
      <c r="K196" s="116">
        <v>47.2</v>
      </c>
      <c r="L196" s="114"/>
      <c r="M196" s="114"/>
      <c r="N196" s="116">
        <v>15.0</v>
      </c>
      <c r="O196" s="116">
        <v>138.0</v>
      </c>
      <c r="P196" s="114"/>
      <c r="Q196" s="140">
        <v>39890.0</v>
      </c>
      <c r="R196" s="114" t="s">
        <v>234</v>
      </c>
      <c r="S196" s="115">
        <v>2021.0</v>
      </c>
      <c r="T196" s="136">
        <v>0.239</v>
      </c>
      <c r="U196" s="118">
        <f t="shared" si="62"/>
        <v>9533.71</v>
      </c>
      <c r="V196" s="24">
        <f t="shared" si="3"/>
        <v>152.7838141</v>
      </c>
      <c r="W196" s="3">
        <f t="shared" si="29"/>
        <v>0</v>
      </c>
      <c r="X196" s="3">
        <f t="shared" si="30"/>
        <v>0</v>
      </c>
      <c r="Y196" s="3">
        <f t="shared" si="31"/>
        <v>0</v>
      </c>
      <c r="Z196" s="25">
        <f t="shared" si="32"/>
        <v>0</v>
      </c>
      <c r="AA196" s="26">
        <f>VLOOKUP(S196,CPI!$A$2:$E$67,5,0)</f>
        <v>1.124486105</v>
      </c>
      <c r="AB196" s="27">
        <f t="shared" si="8"/>
        <v>10720.52443</v>
      </c>
      <c r="AC196" s="27">
        <f t="shared" si="9"/>
        <v>171.8032761</v>
      </c>
    </row>
    <row r="197">
      <c r="A197" s="14">
        <v>9486.0</v>
      </c>
      <c r="B197" s="22" t="s">
        <v>230</v>
      </c>
      <c r="C197" s="22" t="s">
        <v>461</v>
      </c>
      <c r="D197" s="36" t="s">
        <v>236</v>
      </c>
      <c r="E197" s="22" t="s">
        <v>364</v>
      </c>
      <c r="F197" s="17">
        <v>2013.0</v>
      </c>
      <c r="G197" s="17">
        <v>2017.0</v>
      </c>
      <c r="H197" s="17">
        <v>0.0</v>
      </c>
      <c r="I197" s="17">
        <v>27.03</v>
      </c>
      <c r="J197" s="19">
        <f>K197/I197</f>
        <v>1</v>
      </c>
      <c r="K197" s="17">
        <f>I197</f>
        <v>27.03</v>
      </c>
      <c r="L197" s="177">
        <v>0.0</v>
      </c>
      <c r="M197" s="177">
        <v>0.0</v>
      </c>
      <c r="N197" s="17">
        <v>11.0</v>
      </c>
      <c r="O197" s="17"/>
      <c r="P197" s="22" t="s">
        <v>42</v>
      </c>
      <c r="Q197" s="23">
        <v>19038.0</v>
      </c>
      <c r="R197" s="22" t="s">
        <v>234</v>
      </c>
      <c r="S197" s="17">
        <v>2013.0</v>
      </c>
      <c r="T197" s="136">
        <v>0.273</v>
      </c>
      <c r="U197" s="3">
        <f t="shared" si="62"/>
        <v>5197.374</v>
      </c>
      <c r="V197" s="24">
        <f t="shared" si="3"/>
        <v>192.281687</v>
      </c>
      <c r="W197" s="3">
        <f t="shared" si="29"/>
        <v>0</v>
      </c>
      <c r="X197" s="3">
        <f t="shared" si="30"/>
        <v>0</v>
      </c>
      <c r="Y197" s="3">
        <f t="shared" si="31"/>
        <v>0</v>
      </c>
      <c r="Z197" s="25">
        <f t="shared" si="32"/>
        <v>0</v>
      </c>
      <c r="AA197" s="26">
        <f>VLOOKUP(S197,CPI!$A$2:$E$67,5,0)</f>
        <v>1.307975292</v>
      </c>
      <c r="AB197" s="27">
        <f t="shared" si="8"/>
        <v>6798.036773</v>
      </c>
      <c r="AC197" s="27">
        <f t="shared" si="9"/>
        <v>251.4996956</v>
      </c>
    </row>
    <row r="198">
      <c r="A198" s="163"/>
      <c r="B198" s="114" t="s">
        <v>230</v>
      </c>
      <c r="C198" s="114" t="s">
        <v>461</v>
      </c>
      <c r="D198" s="115" t="s">
        <v>267</v>
      </c>
      <c r="E198" s="115" t="s">
        <v>463</v>
      </c>
      <c r="F198" s="116">
        <v>2012.0</v>
      </c>
      <c r="G198" s="116">
        <v>2018.0</v>
      </c>
      <c r="H198" s="116">
        <v>0.0</v>
      </c>
      <c r="I198" s="116">
        <v>54.4</v>
      </c>
      <c r="J198" s="117">
        <v>0.4</v>
      </c>
      <c r="K198" s="116">
        <v>21.9</v>
      </c>
      <c r="L198" s="114"/>
      <c r="M198" s="114"/>
      <c r="N198" s="116">
        <v>13.0</v>
      </c>
      <c r="O198" s="116">
        <v>117.0</v>
      </c>
      <c r="P198" s="114"/>
      <c r="Q198" s="140">
        <v>18913.0</v>
      </c>
      <c r="R198" s="114" t="s">
        <v>234</v>
      </c>
      <c r="S198" s="115">
        <v>2015.0</v>
      </c>
      <c r="T198" s="85">
        <v>0.258</v>
      </c>
      <c r="U198" s="118">
        <f t="shared" si="62"/>
        <v>4879.554</v>
      </c>
      <c r="V198" s="24">
        <f t="shared" si="3"/>
        <v>89.69768382</v>
      </c>
      <c r="W198" s="3">
        <f t="shared" si="29"/>
        <v>0</v>
      </c>
      <c r="X198" s="3">
        <f t="shared" si="30"/>
        <v>0</v>
      </c>
      <c r="Y198" s="3">
        <f t="shared" si="31"/>
        <v>0</v>
      </c>
      <c r="Z198" s="25">
        <f t="shared" si="32"/>
        <v>0</v>
      </c>
      <c r="AA198" s="26">
        <f>VLOOKUP(S198,CPI!$A$2:$E$67,5,0)</f>
        <v>1.285570233</v>
      </c>
      <c r="AB198" s="27">
        <f t="shared" si="8"/>
        <v>6273.009374</v>
      </c>
      <c r="AC198" s="27">
        <f t="shared" si="9"/>
        <v>115.3126723</v>
      </c>
    </row>
    <row r="199">
      <c r="A199" s="163"/>
      <c r="B199" s="114" t="s">
        <v>230</v>
      </c>
      <c r="C199" s="114" t="s">
        <v>461</v>
      </c>
      <c r="D199" s="115" t="s">
        <v>267</v>
      </c>
      <c r="E199" s="114" t="s">
        <v>466</v>
      </c>
      <c r="F199" s="116">
        <v>2012.0</v>
      </c>
      <c r="G199" s="116">
        <v>2018.0</v>
      </c>
      <c r="H199" s="116">
        <v>0.0</v>
      </c>
      <c r="I199" s="116">
        <v>21.6</v>
      </c>
      <c r="J199" s="117">
        <v>0.92</v>
      </c>
      <c r="K199" s="116">
        <v>19.9</v>
      </c>
      <c r="L199" s="114"/>
      <c r="M199" s="114"/>
      <c r="N199" s="116">
        <v>5.0</v>
      </c>
      <c r="O199" s="116">
        <v>117.0</v>
      </c>
      <c r="P199" s="114"/>
      <c r="Q199" s="140">
        <v>7802.0</v>
      </c>
      <c r="R199" s="114" t="s">
        <v>234</v>
      </c>
      <c r="S199" s="115">
        <v>2015.0</v>
      </c>
      <c r="T199" s="85">
        <v>0.258</v>
      </c>
      <c r="U199" s="118">
        <f t="shared" si="62"/>
        <v>2012.916</v>
      </c>
      <c r="V199" s="24">
        <f t="shared" si="3"/>
        <v>93.19055556</v>
      </c>
      <c r="W199" s="3">
        <f t="shared" si="29"/>
        <v>0</v>
      </c>
      <c r="X199" s="3">
        <f t="shared" si="30"/>
        <v>0</v>
      </c>
      <c r="Y199" s="3">
        <f t="shared" si="31"/>
        <v>0</v>
      </c>
      <c r="Z199" s="25">
        <f t="shared" si="32"/>
        <v>0</v>
      </c>
      <c r="AA199" s="26">
        <f>VLOOKUP(S199,CPI!$A$2:$E$67,5,0)</f>
        <v>1.285570233</v>
      </c>
      <c r="AB199" s="27">
        <f t="shared" si="8"/>
        <v>2587.744892</v>
      </c>
      <c r="AC199" s="27">
        <f t="shared" si="9"/>
        <v>119.8030043</v>
      </c>
    </row>
    <row r="200">
      <c r="A200" s="163"/>
      <c r="B200" s="114" t="s">
        <v>230</v>
      </c>
      <c r="C200" s="114" t="s">
        <v>461</v>
      </c>
      <c r="D200" s="16" t="s">
        <v>468</v>
      </c>
      <c r="E200" s="114" t="s">
        <v>468</v>
      </c>
      <c r="F200" s="116">
        <v>2012.0</v>
      </c>
      <c r="G200" s="116">
        <v>2018.0</v>
      </c>
      <c r="H200" s="116">
        <v>0.0</v>
      </c>
      <c r="I200" s="116">
        <v>61.6</v>
      </c>
      <c r="J200" s="117">
        <v>0.69</v>
      </c>
      <c r="K200" s="116">
        <v>42.5</v>
      </c>
      <c r="L200" s="114"/>
      <c r="M200" s="114"/>
      <c r="N200" s="116">
        <v>14.0</v>
      </c>
      <c r="O200" s="116">
        <v>117.0</v>
      </c>
      <c r="P200" s="114"/>
      <c r="Q200" s="140">
        <v>29133.0</v>
      </c>
      <c r="R200" s="114" t="s">
        <v>234</v>
      </c>
      <c r="S200" s="115">
        <v>2015.0</v>
      </c>
      <c r="T200" s="85">
        <v>0.258</v>
      </c>
      <c r="U200" s="118">
        <f t="shared" si="62"/>
        <v>7516.314</v>
      </c>
      <c r="V200" s="24">
        <f t="shared" si="3"/>
        <v>122.0180844</v>
      </c>
      <c r="W200" s="3">
        <f t="shared" si="29"/>
        <v>0</v>
      </c>
      <c r="X200" s="3">
        <f t="shared" si="30"/>
        <v>0</v>
      </c>
      <c r="Y200" s="3">
        <f t="shared" si="31"/>
        <v>0</v>
      </c>
      <c r="Z200" s="25">
        <f t="shared" si="32"/>
        <v>0</v>
      </c>
      <c r="AA200" s="26">
        <f>VLOOKUP(S200,CPI!$A$2:$E$67,5,0)</f>
        <v>1.285570233</v>
      </c>
      <c r="AB200" s="27">
        <f t="shared" si="8"/>
        <v>9662.749543</v>
      </c>
      <c r="AC200" s="27">
        <f t="shared" si="9"/>
        <v>156.8628173</v>
      </c>
    </row>
    <row r="201">
      <c r="A201" s="163"/>
      <c r="B201" s="114" t="s">
        <v>230</v>
      </c>
      <c r="C201" s="114" t="s">
        <v>461</v>
      </c>
      <c r="D201" s="16" t="s">
        <v>110</v>
      </c>
      <c r="E201" s="114" t="s">
        <v>470</v>
      </c>
      <c r="F201" s="116">
        <v>2012.0</v>
      </c>
      <c r="G201" s="116">
        <v>2018.0</v>
      </c>
      <c r="H201" s="116">
        <v>0.0</v>
      </c>
      <c r="I201" s="116">
        <v>12.5</v>
      </c>
      <c r="J201" s="117">
        <v>0.96</v>
      </c>
      <c r="K201" s="116">
        <v>12.01</v>
      </c>
      <c r="L201" s="114"/>
      <c r="M201" s="114"/>
      <c r="N201" s="116">
        <v>6.0</v>
      </c>
      <c r="O201" s="116">
        <v>68.0</v>
      </c>
      <c r="P201" s="114"/>
      <c r="Q201" s="140">
        <v>7849.42</v>
      </c>
      <c r="R201" s="114" t="s">
        <v>234</v>
      </c>
      <c r="S201" s="115">
        <v>2015.0</v>
      </c>
      <c r="T201" s="85">
        <v>0.258</v>
      </c>
      <c r="U201" s="118">
        <f t="shared" si="62"/>
        <v>2025.15036</v>
      </c>
      <c r="V201" s="24">
        <f t="shared" si="3"/>
        <v>162.0120288</v>
      </c>
      <c r="W201" s="3">
        <f t="shared" si="29"/>
        <v>0</v>
      </c>
      <c r="X201" s="3">
        <f t="shared" si="30"/>
        <v>0</v>
      </c>
      <c r="Y201" s="3">
        <f t="shared" si="31"/>
        <v>0</v>
      </c>
      <c r="Z201" s="25">
        <f t="shared" si="32"/>
        <v>0</v>
      </c>
      <c r="AA201" s="26">
        <f>VLOOKUP(S201,CPI!$A$2:$E$67,5,0)</f>
        <v>1.285570233</v>
      </c>
      <c r="AB201" s="27">
        <f t="shared" si="8"/>
        <v>2603.473021</v>
      </c>
      <c r="AC201" s="27">
        <f t="shared" si="9"/>
        <v>208.2778417</v>
      </c>
    </row>
    <row r="202">
      <c r="A202" s="170">
        <v>7851.0</v>
      </c>
      <c r="B202" s="123" t="s">
        <v>230</v>
      </c>
      <c r="C202" s="123" t="s">
        <v>461</v>
      </c>
      <c r="D202" s="36" t="s">
        <v>267</v>
      </c>
      <c r="E202" s="123" t="s">
        <v>472</v>
      </c>
      <c r="F202" s="75">
        <v>2017.0</v>
      </c>
      <c r="G202" s="75">
        <v>2021.0</v>
      </c>
      <c r="H202" s="75">
        <v>0.0</v>
      </c>
      <c r="I202" s="75">
        <v>11.6</v>
      </c>
      <c r="J202" s="124">
        <v>1.0</v>
      </c>
      <c r="K202" s="75">
        <v>11.6</v>
      </c>
      <c r="L202" s="125">
        <v>0.0</v>
      </c>
      <c r="M202" s="125">
        <v>0.0</v>
      </c>
      <c r="N202" s="75">
        <v>7.0</v>
      </c>
      <c r="O202" s="75"/>
      <c r="P202" s="123" t="s">
        <v>60</v>
      </c>
      <c r="Q202" s="126">
        <v>9494.0</v>
      </c>
      <c r="R202" s="123" t="s">
        <v>234</v>
      </c>
      <c r="S202" s="75">
        <v>2017.0</v>
      </c>
      <c r="T202" s="136">
        <v>0.239</v>
      </c>
      <c r="U202" s="128">
        <f t="shared" si="62"/>
        <v>2269.066</v>
      </c>
      <c r="V202" s="24">
        <f t="shared" si="3"/>
        <v>195.6091379</v>
      </c>
      <c r="W202" s="3">
        <f t="shared" si="29"/>
        <v>0</v>
      </c>
      <c r="X202" s="3">
        <f t="shared" si="30"/>
        <v>0</v>
      </c>
      <c r="Y202" s="3">
        <f t="shared" si="31"/>
        <v>0</v>
      </c>
      <c r="Z202" s="25">
        <f t="shared" si="32"/>
        <v>0</v>
      </c>
      <c r="AA202" s="26">
        <f>VLOOKUP(S202,CPI!$A$2:$E$67,5,0)</f>
        <v>1.243072781</v>
      </c>
      <c r="AB202" s="27">
        <f t="shared" si="8"/>
        <v>2820.614182</v>
      </c>
      <c r="AC202" s="27">
        <f t="shared" si="9"/>
        <v>243.156395</v>
      </c>
    </row>
    <row r="203">
      <c r="A203" s="170">
        <v>7859.0</v>
      </c>
      <c r="B203" s="72" t="s">
        <v>230</v>
      </c>
      <c r="C203" s="72" t="s">
        <v>461</v>
      </c>
      <c r="D203" s="36" t="s">
        <v>302</v>
      </c>
      <c r="E203" s="72" t="s">
        <v>302</v>
      </c>
      <c r="F203" s="69">
        <v>2017.0</v>
      </c>
      <c r="G203" s="69">
        <v>2021.0</v>
      </c>
      <c r="H203" s="69">
        <v>1.0</v>
      </c>
      <c r="I203" s="69">
        <v>31.0</v>
      </c>
      <c r="J203" s="117">
        <v>1.0</v>
      </c>
      <c r="K203" s="69">
        <v>31.0</v>
      </c>
      <c r="L203" s="72"/>
      <c r="M203" s="72"/>
      <c r="N203" s="69">
        <v>6.0</v>
      </c>
      <c r="O203" s="69">
        <v>184.0</v>
      </c>
      <c r="P203" s="72"/>
      <c r="Q203" s="140">
        <v>26400.0</v>
      </c>
      <c r="R203" s="72" t="s">
        <v>234</v>
      </c>
      <c r="S203" s="115">
        <v>2020.0</v>
      </c>
      <c r="T203" s="136">
        <v>0.239</v>
      </c>
      <c r="U203" s="118">
        <f t="shared" si="62"/>
        <v>6309.6</v>
      </c>
      <c r="V203" s="24">
        <f t="shared" si="3"/>
        <v>203.5354839</v>
      </c>
      <c r="W203" s="3">
        <f t="shared" si="29"/>
        <v>0</v>
      </c>
      <c r="X203" s="3">
        <f t="shared" si="30"/>
        <v>0</v>
      </c>
      <c r="Y203" s="3">
        <f t="shared" si="31"/>
        <v>0</v>
      </c>
      <c r="Z203" s="25">
        <f t="shared" si="32"/>
        <v>0</v>
      </c>
      <c r="AA203" s="26">
        <f>VLOOKUP(S203,CPI!$A$2:$E$67,5,0)</f>
        <v>1.17731472</v>
      </c>
      <c r="AB203" s="27">
        <f t="shared" si="8"/>
        <v>7428.384957</v>
      </c>
      <c r="AC203" s="27">
        <f t="shared" si="9"/>
        <v>239.6253212</v>
      </c>
    </row>
    <row r="204">
      <c r="A204" s="203">
        <v>7779.0</v>
      </c>
      <c r="B204" s="72" t="s">
        <v>230</v>
      </c>
      <c r="C204" s="72" t="s">
        <v>461</v>
      </c>
      <c r="D204" s="115" t="s">
        <v>239</v>
      </c>
      <c r="E204" s="72" t="s">
        <v>239</v>
      </c>
      <c r="F204" s="69">
        <v>2017.0</v>
      </c>
      <c r="G204" s="69">
        <v>2022.0</v>
      </c>
      <c r="H204" s="69">
        <v>0.0</v>
      </c>
      <c r="I204" s="69">
        <v>19.41</v>
      </c>
      <c r="J204" s="117">
        <v>1.0</v>
      </c>
      <c r="K204" s="69">
        <v>19.41</v>
      </c>
      <c r="L204" s="72"/>
      <c r="M204" s="72"/>
      <c r="N204" s="69">
        <v>14.0</v>
      </c>
      <c r="O204" s="69">
        <v>117.0</v>
      </c>
      <c r="P204" s="72"/>
      <c r="Q204" s="140">
        <v>23143.0</v>
      </c>
      <c r="R204" s="72" t="s">
        <v>234</v>
      </c>
      <c r="S204" s="115">
        <v>2020.0</v>
      </c>
      <c r="T204" s="136">
        <v>0.239</v>
      </c>
      <c r="U204" s="118">
        <f t="shared" si="62"/>
        <v>5531.177</v>
      </c>
      <c r="V204" s="24">
        <f t="shared" si="3"/>
        <v>284.9653272</v>
      </c>
      <c r="W204" s="3">
        <f t="shared" si="29"/>
        <v>0</v>
      </c>
      <c r="X204" s="3">
        <f t="shared" si="30"/>
        <v>0</v>
      </c>
      <c r="Y204" s="3">
        <f t="shared" si="31"/>
        <v>0</v>
      </c>
      <c r="Z204" s="25">
        <f t="shared" si="32"/>
        <v>0</v>
      </c>
      <c r="AA204" s="26">
        <f>VLOOKUP(S204,CPI!$A$2:$E$67,5,0)</f>
        <v>1.17731472</v>
      </c>
      <c r="AB204" s="27">
        <f t="shared" si="8"/>
        <v>6511.936101</v>
      </c>
      <c r="AC204" s="27">
        <f t="shared" si="9"/>
        <v>335.4938743</v>
      </c>
    </row>
    <row r="205">
      <c r="A205" s="170">
        <v>7865.0</v>
      </c>
      <c r="B205" s="123" t="s">
        <v>230</v>
      </c>
      <c r="C205" s="123" t="s">
        <v>461</v>
      </c>
      <c r="D205" s="36" t="s">
        <v>84</v>
      </c>
      <c r="E205" s="123" t="s">
        <v>476</v>
      </c>
      <c r="F205" s="75">
        <v>2018.0</v>
      </c>
      <c r="G205" s="75">
        <v>2022.0</v>
      </c>
      <c r="H205" s="75">
        <v>0.0</v>
      </c>
      <c r="I205" s="75">
        <v>9.7</v>
      </c>
      <c r="J205" s="124">
        <v>1.0</v>
      </c>
      <c r="K205" s="75">
        <v>9.7</v>
      </c>
      <c r="L205" s="125">
        <v>0.0</v>
      </c>
      <c r="M205" s="125">
        <v>0.0</v>
      </c>
      <c r="N205" s="75">
        <v>6.0</v>
      </c>
      <c r="O205" s="75"/>
      <c r="P205" s="123" t="s">
        <v>60</v>
      </c>
      <c r="Q205" s="126">
        <v>7862.0</v>
      </c>
      <c r="R205" s="123" t="s">
        <v>234</v>
      </c>
      <c r="S205" s="75">
        <v>2017.0</v>
      </c>
      <c r="T205" s="136">
        <v>0.239</v>
      </c>
      <c r="U205" s="128">
        <f t="shared" si="62"/>
        <v>1879.018</v>
      </c>
      <c r="V205" s="24">
        <f t="shared" si="3"/>
        <v>193.7131959</v>
      </c>
      <c r="W205" s="3">
        <f t="shared" si="29"/>
        <v>0</v>
      </c>
      <c r="X205" s="3">
        <f t="shared" si="30"/>
        <v>0</v>
      </c>
      <c r="Y205" s="3">
        <f t="shared" si="31"/>
        <v>0</v>
      </c>
      <c r="Z205" s="25">
        <f t="shared" si="32"/>
        <v>0</v>
      </c>
      <c r="AA205" s="26">
        <f>VLOOKUP(S205,CPI!$A$2:$E$67,5,0)</f>
        <v>1.243072781</v>
      </c>
      <c r="AB205" s="27">
        <f t="shared" si="8"/>
        <v>2335.75613</v>
      </c>
      <c r="AC205" s="27">
        <f t="shared" si="9"/>
        <v>240.7996011</v>
      </c>
    </row>
    <row r="206">
      <c r="A206" s="170">
        <v>7915.0</v>
      </c>
      <c r="B206" s="123" t="s">
        <v>230</v>
      </c>
      <c r="C206" s="123" t="s">
        <v>461</v>
      </c>
      <c r="D206" s="36" t="s">
        <v>228</v>
      </c>
      <c r="E206" s="123" t="s">
        <v>477</v>
      </c>
      <c r="F206" s="75">
        <v>2018.0</v>
      </c>
      <c r="G206" s="75">
        <v>2022.0</v>
      </c>
      <c r="H206" s="75">
        <v>0.0</v>
      </c>
      <c r="I206" s="75">
        <v>21.8</v>
      </c>
      <c r="J206" s="124">
        <v>1.0</v>
      </c>
      <c r="K206" s="75">
        <v>21.8</v>
      </c>
      <c r="L206" s="125">
        <v>0.0</v>
      </c>
      <c r="M206" s="125">
        <v>0.0</v>
      </c>
      <c r="N206" s="75">
        <v>11.0</v>
      </c>
      <c r="O206" s="75"/>
      <c r="P206" s="123" t="s">
        <v>60</v>
      </c>
      <c r="Q206" s="126">
        <v>16235.0</v>
      </c>
      <c r="R206" s="123" t="s">
        <v>234</v>
      </c>
      <c r="S206" s="75">
        <v>2017.0</v>
      </c>
      <c r="T206" s="136">
        <v>0.239</v>
      </c>
      <c r="U206" s="128">
        <f t="shared" si="62"/>
        <v>3880.165</v>
      </c>
      <c r="V206" s="24">
        <f t="shared" si="3"/>
        <v>177.9892202</v>
      </c>
      <c r="W206" s="3">
        <f t="shared" si="29"/>
        <v>0</v>
      </c>
      <c r="X206" s="3">
        <f t="shared" si="30"/>
        <v>0</v>
      </c>
      <c r="Y206" s="3">
        <f t="shared" si="31"/>
        <v>0</v>
      </c>
      <c r="Z206" s="25">
        <f t="shared" si="32"/>
        <v>0</v>
      </c>
      <c r="AA206" s="26">
        <f>VLOOKUP(S206,CPI!$A$2:$E$67,5,0)</f>
        <v>1.243072781</v>
      </c>
      <c r="AB206" s="27">
        <f t="shared" si="8"/>
        <v>4823.327496</v>
      </c>
      <c r="AC206" s="27">
        <f t="shared" si="9"/>
        <v>221.2535549</v>
      </c>
    </row>
    <row r="207">
      <c r="A207" s="38">
        <v>8040.0</v>
      </c>
      <c r="B207" s="130" t="s">
        <v>230</v>
      </c>
      <c r="C207" s="130" t="s">
        <v>461</v>
      </c>
      <c r="D207" s="16" t="s">
        <v>87</v>
      </c>
      <c r="E207" s="130" t="s">
        <v>478</v>
      </c>
      <c r="F207" s="130">
        <v>2019.0</v>
      </c>
      <c r="G207" s="130">
        <v>2022.0</v>
      </c>
      <c r="H207" s="130">
        <v>0.0</v>
      </c>
      <c r="I207" s="130">
        <v>9.6</v>
      </c>
      <c r="J207" s="131">
        <v>1.0</v>
      </c>
      <c r="K207" s="130">
        <v>9.6</v>
      </c>
      <c r="L207" s="132">
        <v>0.0</v>
      </c>
      <c r="M207" s="132">
        <v>0.0</v>
      </c>
      <c r="N207" s="130">
        <v>4.0</v>
      </c>
      <c r="O207" s="138"/>
      <c r="P207" s="130" t="s">
        <v>60</v>
      </c>
      <c r="Q207" s="135">
        <v>5698.0</v>
      </c>
      <c r="R207" s="130" t="s">
        <v>234</v>
      </c>
      <c r="S207" s="130">
        <v>2017.0</v>
      </c>
      <c r="T207" s="136">
        <v>0.239</v>
      </c>
      <c r="U207" s="128">
        <f>T207*Q207</f>
        <v>1361.822</v>
      </c>
      <c r="V207" s="24">
        <f t="shared" si="3"/>
        <v>141.8564583</v>
      </c>
      <c r="W207" s="3">
        <f t="shared" si="29"/>
        <v>0</v>
      </c>
      <c r="X207" s="3">
        <f t="shared" si="30"/>
        <v>0</v>
      </c>
      <c r="Y207" s="3">
        <f t="shared" si="31"/>
        <v>0</v>
      </c>
      <c r="Z207" s="25">
        <f t="shared" si="32"/>
        <v>0</v>
      </c>
      <c r="AA207" s="26">
        <f>VLOOKUP(S207,CPI!$A$2:$E$67,5,0)</f>
        <v>1.243072781</v>
      </c>
      <c r="AB207" s="27">
        <f t="shared" si="8"/>
        <v>1692.84386</v>
      </c>
      <c r="AC207" s="27">
        <f t="shared" si="9"/>
        <v>176.3379021</v>
      </c>
    </row>
    <row r="208">
      <c r="A208" s="170">
        <v>7922.0</v>
      </c>
      <c r="B208" s="72" t="s">
        <v>230</v>
      </c>
      <c r="C208" s="72" t="s">
        <v>461</v>
      </c>
      <c r="D208" s="72" t="s">
        <v>351</v>
      </c>
      <c r="E208" s="72" t="s">
        <v>351</v>
      </c>
      <c r="F208" s="69">
        <v>2017.0</v>
      </c>
      <c r="G208" s="69">
        <v>2023.0</v>
      </c>
      <c r="H208" s="69">
        <v>1.0</v>
      </c>
      <c r="I208" s="69">
        <v>62.5</v>
      </c>
      <c r="J208" s="117">
        <v>1.0</v>
      </c>
      <c r="K208" s="69">
        <v>62.5</v>
      </c>
      <c r="L208" s="72"/>
      <c r="M208" s="72"/>
      <c r="N208" s="69">
        <v>9.0</v>
      </c>
      <c r="O208" s="69">
        <v>184.0</v>
      </c>
      <c r="P208" s="72"/>
      <c r="Q208" s="140">
        <v>48600.0</v>
      </c>
      <c r="R208" s="72" t="s">
        <v>234</v>
      </c>
      <c r="S208" s="115">
        <v>2020.0</v>
      </c>
      <c r="T208" s="136">
        <v>0.239</v>
      </c>
      <c r="U208" s="118">
        <f t="shared" ref="U208:U225" si="63">Q208*T208</f>
        <v>11615.4</v>
      </c>
      <c r="V208" s="24">
        <f t="shared" si="3"/>
        <v>185.8464</v>
      </c>
      <c r="W208" s="3">
        <f t="shared" si="29"/>
        <v>0</v>
      </c>
      <c r="X208" s="3">
        <f t="shared" si="30"/>
        <v>0</v>
      </c>
      <c r="Y208" s="3">
        <f t="shared" si="31"/>
        <v>0</v>
      </c>
      <c r="Z208" s="25">
        <f t="shared" si="32"/>
        <v>0</v>
      </c>
      <c r="AA208" s="26">
        <f>VLOOKUP(S208,CPI!$A$2:$E$67,5,0)</f>
        <v>1.17731472</v>
      </c>
      <c r="AB208" s="27">
        <f t="shared" si="8"/>
        <v>13674.9814</v>
      </c>
      <c r="AC208" s="27">
        <f t="shared" si="9"/>
        <v>218.7997024</v>
      </c>
    </row>
    <row r="209">
      <c r="A209" s="170">
        <v>7912.0</v>
      </c>
      <c r="B209" s="72" t="s">
        <v>230</v>
      </c>
      <c r="C209" s="72" t="s">
        <v>461</v>
      </c>
      <c r="D209" s="115" t="s">
        <v>243</v>
      </c>
      <c r="E209" s="72" t="s">
        <v>256</v>
      </c>
      <c r="F209" s="69">
        <v>2017.0</v>
      </c>
      <c r="G209" s="69">
        <v>2023.0</v>
      </c>
      <c r="H209" s="69">
        <v>0.0</v>
      </c>
      <c r="I209" s="69">
        <v>20.0</v>
      </c>
      <c r="J209" s="117">
        <v>0.57</v>
      </c>
      <c r="K209" s="69">
        <v>11.3</v>
      </c>
      <c r="L209" s="72"/>
      <c r="M209" s="72"/>
      <c r="N209" s="69">
        <v>9.0</v>
      </c>
      <c r="O209" s="70">
        <v>138.0</v>
      </c>
      <c r="P209" s="72"/>
      <c r="Q209" s="140">
        <v>15083.0</v>
      </c>
      <c r="R209" s="72" t="s">
        <v>234</v>
      </c>
      <c r="S209" s="115">
        <v>2020.0</v>
      </c>
      <c r="T209" s="136">
        <v>0.239</v>
      </c>
      <c r="U209" s="118">
        <f t="shared" si="63"/>
        <v>3604.837</v>
      </c>
      <c r="V209" s="24">
        <f t="shared" si="3"/>
        <v>180.24185</v>
      </c>
      <c r="W209" s="3">
        <f t="shared" si="29"/>
        <v>0</v>
      </c>
      <c r="X209" s="3">
        <f t="shared" si="30"/>
        <v>0</v>
      </c>
      <c r="Y209" s="3">
        <f t="shared" si="31"/>
        <v>0</v>
      </c>
      <c r="Z209" s="25">
        <f t="shared" si="32"/>
        <v>0</v>
      </c>
      <c r="AA209" s="26">
        <f>VLOOKUP(S209,CPI!$A$2:$E$67,5,0)</f>
        <v>1.17731472</v>
      </c>
      <c r="AB209" s="27">
        <f t="shared" si="8"/>
        <v>4244.027663</v>
      </c>
      <c r="AC209" s="27">
        <f t="shared" si="9"/>
        <v>212.2013832</v>
      </c>
    </row>
    <row r="210">
      <c r="A210" s="170">
        <v>7811.0</v>
      </c>
      <c r="B210" s="72" t="s">
        <v>230</v>
      </c>
      <c r="C210" s="72" t="s">
        <v>461</v>
      </c>
      <c r="D210" s="115" t="s">
        <v>287</v>
      </c>
      <c r="E210" s="72" t="s">
        <v>287</v>
      </c>
      <c r="F210" s="69">
        <v>2018.0</v>
      </c>
      <c r="G210" s="69">
        <v>2023.0</v>
      </c>
      <c r="H210" s="69">
        <v>0.0</v>
      </c>
      <c r="I210" s="69">
        <v>37.6</v>
      </c>
      <c r="J210" s="117">
        <v>1.0</v>
      </c>
      <c r="K210" s="69">
        <v>37.6</v>
      </c>
      <c r="L210" s="72"/>
      <c r="M210" s="72"/>
      <c r="N210" s="69">
        <v>25.0</v>
      </c>
      <c r="O210" s="69">
        <v>138.0</v>
      </c>
      <c r="P210" s="72"/>
      <c r="Q210" s="140">
        <v>37500.0</v>
      </c>
      <c r="R210" s="72" t="s">
        <v>234</v>
      </c>
      <c r="S210" s="115">
        <v>2020.0</v>
      </c>
      <c r="T210" s="136">
        <v>0.239</v>
      </c>
      <c r="U210" s="118">
        <f t="shared" si="63"/>
        <v>8962.5</v>
      </c>
      <c r="V210" s="24">
        <f t="shared" si="3"/>
        <v>238.3643617</v>
      </c>
      <c r="W210" s="3">
        <f t="shared" si="29"/>
        <v>0</v>
      </c>
      <c r="X210" s="3">
        <f t="shared" si="30"/>
        <v>0</v>
      </c>
      <c r="Y210" s="3">
        <f t="shared" si="31"/>
        <v>0</v>
      </c>
      <c r="Z210" s="25">
        <f t="shared" si="32"/>
        <v>0</v>
      </c>
      <c r="AA210" s="26">
        <f>VLOOKUP(S210,CPI!$A$2:$E$67,5,0)</f>
        <v>1.17731472</v>
      </c>
      <c r="AB210" s="27">
        <f t="shared" si="8"/>
        <v>10551.68318</v>
      </c>
      <c r="AC210" s="27">
        <f t="shared" si="9"/>
        <v>280.6298718</v>
      </c>
    </row>
    <row r="211">
      <c r="A211" s="163"/>
      <c r="B211" s="114" t="s">
        <v>230</v>
      </c>
      <c r="C211" s="114" t="s">
        <v>461</v>
      </c>
      <c r="D211" s="115" t="s">
        <v>87</v>
      </c>
      <c r="E211" s="115" t="s">
        <v>331</v>
      </c>
      <c r="F211" s="116">
        <v>2000.0</v>
      </c>
      <c r="G211" s="114"/>
      <c r="H211" s="116">
        <v>0.0</v>
      </c>
      <c r="I211" s="116">
        <v>35.86</v>
      </c>
      <c r="J211" s="117">
        <v>1.0</v>
      </c>
      <c r="K211" s="116">
        <v>35.86</v>
      </c>
      <c r="L211" s="114"/>
      <c r="M211" s="114"/>
      <c r="N211" s="116">
        <v>18.0</v>
      </c>
      <c r="O211" s="116">
        <v>117.0</v>
      </c>
      <c r="P211" s="114"/>
      <c r="Q211" s="140">
        <v>15300.0</v>
      </c>
      <c r="R211" s="114" t="s">
        <v>234</v>
      </c>
      <c r="S211" s="115">
        <v>2000.0</v>
      </c>
      <c r="T211" s="85">
        <v>0.367</v>
      </c>
      <c r="U211" s="118">
        <f t="shared" si="63"/>
        <v>5615.1</v>
      </c>
      <c r="V211" s="24">
        <f t="shared" si="3"/>
        <v>156.5839375</v>
      </c>
      <c r="W211" s="3">
        <f t="shared" si="29"/>
        <v>0</v>
      </c>
      <c r="X211" s="3">
        <f t="shared" si="30"/>
        <v>0</v>
      </c>
      <c r="Y211" s="3">
        <f t="shared" si="31"/>
        <v>0</v>
      </c>
      <c r="Z211" s="25">
        <f t="shared" si="32"/>
        <v>0</v>
      </c>
      <c r="AA211" s="26">
        <f>VLOOKUP(S211,CPI!$A$2:$E$67,5,0)</f>
        <v>1.769465738</v>
      </c>
      <c r="AB211" s="27">
        <f t="shared" si="8"/>
        <v>9935.727063</v>
      </c>
      <c r="AC211" s="27">
        <f t="shared" si="9"/>
        <v>277.0699125</v>
      </c>
    </row>
    <row r="212">
      <c r="A212" s="163"/>
      <c r="B212" s="114" t="s">
        <v>230</v>
      </c>
      <c r="C212" s="114" t="s">
        <v>461</v>
      </c>
      <c r="D212" s="115" t="s">
        <v>80</v>
      </c>
      <c r="E212" s="115" t="s">
        <v>255</v>
      </c>
      <c r="F212" s="116">
        <v>2006.0</v>
      </c>
      <c r="G212" s="114"/>
      <c r="H212" s="116">
        <v>0.0</v>
      </c>
      <c r="I212" s="116">
        <v>24.3</v>
      </c>
      <c r="J212" s="117">
        <v>0.87</v>
      </c>
      <c r="K212" s="116">
        <v>21.2</v>
      </c>
      <c r="L212" s="114"/>
      <c r="M212" s="114"/>
      <c r="N212" s="116">
        <v>22.0</v>
      </c>
      <c r="O212" s="116">
        <v>68.0</v>
      </c>
      <c r="P212" s="114"/>
      <c r="Q212" s="140">
        <v>11529.0</v>
      </c>
      <c r="R212" s="114" t="s">
        <v>234</v>
      </c>
      <c r="S212" s="115">
        <v>2006.0</v>
      </c>
      <c r="T212" s="85">
        <v>0.349</v>
      </c>
      <c r="U212" s="118">
        <f t="shared" si="63"/>
        <v>4023.621</v>
      </c>
      <c r="V212" s="24">
        <f t="shared" si="3"/>
        <v>165.5811111</v>
      </c>
      <c r="W212" s="3">
        <f t="shared" si="29"/>
        <v>0</v>
      </c>
      <c r="X212" s="3">
        <f t="shared" si="30"/>
        <v>0</v>
      </c>
      <c r="Y212" s="3">
        <f t="shared" si="31"/>
        <v>0</v>
      </c>
      <c r="Z212" s="25">
        <f t="shared" si="32"/>
        <v>0</v>
      </c>
      <c r="AA212" s="26">
        <f>VLOOKUP(S212,CPI!$A$2:$E$67,5,0)</f>
        <v>1.511418651</v>
      </c>
      <c r="AB212" s="27">
        <f t="shared" si="8"/>
        <v>6081.375823</v>
      </c>
      <c r="AC212" s="27">
        <f t="shared" si="9"/>
        <v>250.2623796</v>
      </c>
    </row>
    <row r="213">
      <c r="A213" s="163"/>
      <c r="B213" s="114" t="s">
        <v>230</v>
      </c>
      <c r="C213" s="114" t="s">
        <v>461</v>
      </c>
      <c r="D213" s="16" t="s">
        <v>485</v>
      </c>
      <c r="E213" s="114" t="s">
        <v>486</v>
      </c>
      <c r="F213" s="116">
        <v>2007.0</v>
      </c>
      <c r="G213" s="114"/>
      <c r="H213" s="116">
        <v>0.0</v>
      </c>
      <c r="I213" s="116">
        <v>28.55</v>
      </c>
      <c r="J213" s="114"/>
      <c r="K213" s="114"/>
      <c r="L213" s="114"/>
      <c r="M213" s="114"/>
      <c r="N213" s="116">
        <v>22.0</v>
      </c>
      <c r="O213" s="116">
        <v>138.0</v>
      </c>
      <c r="P213" s="114"/>
      <c r="Q213" s="140">
        <v>14729.0</v>
      </c>
      <c r="R213" s="114" t="s">
        <v>234</v>
      </c>
      <c r="S213" s="115">
        <v>2007.0</v>
      </c>
      <c r="T213" s="85">
        <v>0.333</v>
      </c>
      <c r="U213" s="118">
        <f t="shared" si="63"/>
        <v>4904.757</v>
      </c>
      <c r="V213" s="24">
        <f t="shared" si="3"/>
        <v>171.7953415</v>
      </c>
      <c r="W213" s="3">
        <f t="shared" si="29"/>
        <v>0</v>
      </c>
      <c r="X213" s="3">
        <f t="shared" si="30"/>
        <v>0</v>
      </c>
      <c r="Y213" s="3">
        <f t="shared" si="31"/>
        <v>0</v>
      </c>
      <c r="Z213" s="25">
        <f t="shared" si="32"/>
        <v>0</v>
      </c>
      <c r="AA213" s="26">
        <f>VLOOKUP(S213,CPI!$A$2:$E$67,5,0)</f>
        <v>1.469562366</v>
      </c>
      <c r="AB213" s="27">
        <f t="shared" si="8"/>
        <v>7207.846299</v>
      </c>
      <c r="AC213" s="27">
        <f t="shared" si="9"/>
        <v>252.4639685</v>
      </c>
    </row>
    <row r="214">
      <c r="A214" s="163"/>
      <c r="B214" s="114" t="s">
        <v>230</v>
      </c>
      <c r="C214" s="114" t="s">
        <v>461</v>
      </c>
      <c r="D214" s="115" t="s">
        <v>80</v>
      </c>
      <c r="E214" s="115" t="s">
        <v>488</v>
      </c>
      <c r="F214" s="116">
        <v>2009.0</v>
      </c>
      <c r="G214" s="114"/>
      <c r="H214" s="116">
        <v>0.0</v>
      </c>
      <c r="I214" s="116">
        <v>17.6</v>
      </c>
      <c r="J214" s="117">
        <v>1.0</v>
      </c>
      <c r="K214" s="116">
        <v>17.6</v>
      </c>
      <c r="L214" s="114"/>
      <c r="M214" s="114"/>
      <c r="N214" s="114"/>
      <c r="O214" s="116">
        <v>102.0</v>
      </c>
      <c r="P214" s="114"/>
      <c r="Q214" s="140">
        <v>7156.0</v>
      </c>
      <c r="R214" s="114" t="s">
        <v>234</v>
      </c>
      <c r="S214" s="115">
        <v>2009.0</v>
      </c>
      <c r="T214" s="85">
        <v>0.317</v>
      </c>
      <c r="U214" s="118">
        <f t="shared" si="63"/>
        <v>2268.452</v>
      </c>
      <c r="V214" s="24">
        <f t="shared" si="3"/>
        <v>128.8893182</v>
      </c>
      <c r="W214" s="3">
        <f t="shared" si="29"/>
        <v>0</v>
      </c>
      <c r="X214" s="3">
        <f t="shared" si="30"/>
        <v>0</v>
      </c>
      <c r="Y214" s="3">
        <f t="shared" si="31"/>
        <v>0</v>
      </c>
      <c r="Z214" s="25">
        <f t="shared" si="32"/>
        <v>0</v>
      </c>
      <c r="AA214" s="26">
        <f>VLOOKUP(S214,CPI!$A$2:$E$67,5,0)</f>
        <v>1.420277155</v>
      </c>
      <c r="AB214" s="27">
        <f t="shared" si="8"/>
        <v>3221.830553</v>
      </c>
      <c r="AC214" s="27">
        <f t="shared" si="9"/>
        <v>183.0585541</v>
      </c>
    </row>
    <row r="215">
      <c r="A215" s="163"/>
      <c r="B215" s="114" t="s">
        <v>230</v>
      </c>
      <c r="C215" s="114" t="s">
        <v>461</v>
      </c>
      <c r="D215" s="114" t="s">
        <v>253</v>
      </c>
      <c r="E215" s="114" t="s">
        <v>253</v>
      </c>
      <c r="F215" s="116">
        <v>2009.0</v>
      </c>
      <c r="G215" s="114"/>
      <c r="H215" s="116">
        <v>0.0</v>
      </c>
      <c r="I215" s="116">
        <v>18.3</v>
      </c>
      <c r="J215" s="117">
        <v>1.0</v>
      </c>
      <c r="K215" s="116">
        <v>18.3</v>
      </c>
      <c r="L215" s="114"/>
      <c r="M215" s="114"/>
      <c r="N215" s="114"/>
      <c r="O215" s="116">
        <v>117.0</v>
      </c>
      <c r="P215" s="114"/>
      <c r="Q215" s="140">
        <v>7750.0</v>
      </c>
      <c r="R215" s="114" t="s">
        <v>234</v>
      </c>
      <c r="S215" s="115">
        <v>2009.0</v>
      </c>
      <c r="T215" s="85">
        <v>0.317</v>
      </c>
      <c r="U215" s="118">
        <f t="shared" si="63"/>
        <v>2456.75</v>
      </c>
      <c r="V215" s="24">
        <f t="shared" si="3"/>
        <v>134.2486339</v>
      </c>
      <c r="W215" s="3">
        <f t="shared" si="29"/>
        <v>0</v>
      </c>
      <c r="X215" s="3">
        <f t="shared" si="30"/>
        <v>0</v>
      </c>
      <c r="Y215" s="3">
        <f t="shared" si="31"/>
        <v>0</v>
      </c>
      <c r="Z215" s="25">
        <f t="shared" si="32"/>
        <v>0</v>
      </c>
      <c r="AA215" s="26">
        <f>VLOOKUP(S215,CPI!$A$2:$E$67,5,0)</f>
        <v>1.420277155</v>
      </c>
      <c r="AB215" s="27">
        <f t="shared" si="8"/>
        <v>3489.265901</v>
      </c>
      <c r="AC215" s="27">
        <f t="shared" si="9"/>
        <v>190.6702678</v>
      </c>
    </row>
    <row r="216">
      <c r="A216" s="163"/>
      <c r="B216" s="114" t="s">
        <v>230</v>
      </c>
      <c r="C216" s="114" t="s">
        <v>461</v>
      </c>
      <c r="D216" s="115" t="s">
        <v>228</v>
      </c>
      <c r="E216" s="114" t="s">
        <v>228</v>
      </c>
      <c r="F216" s="116">
        <v>2012.0</v>
      </c>
      <c r="G216" s="114"/>
      <c r="H216" s="116">
        <v>0.0</v>
      </c>
      <c r="I216" s="116">
        <v>17.6</v>
      </c>
      <c r="J216" s="117">
        <v>1.0</v>
      </c>
      <c r="K216" s="116">
        <v>17.6</v>
      </c>
      <c r="L216" s="114"/>
      <c r="M216" s="114"/>
      <c r="N216" s="114"/>
      <c r="O216" s="116">
        <v>117.0</v>
      </c>
      <c r="P216" s="114"/>
      <c r="Q216" s="140">
        <v>9230.0</v>
      </c>
      <c r="R216" s="114" t="s">
        <v>234</v>
      </c>
      <c r="S216" s="115">
        <v>2012.0</v>
      </c>
      <c r="T216" s="85">
        <v>0.281</v>
      </c>
      <c r="U216" s="118">
        <f t="shared" si="63"/>
        <v>2593.63</v>
      </c>
      <c r="V216" s="24">
        <f t="shared" si="3"/>
        <v>147.3653409</v>
      </c>
      <c r="W216" s="3">
        <f t="shared" si="29"/>
        <v>0</v>
      </c>
      <c r="X216" s="3">
        <f t="shared" si="30"/>
        <v>0</v>
      </c>
      <c r="Y216" s="3">
        <f t="shared" si="31"/>
        <v>0</v>
      </c>
      <c r="Z216" s="25">
        <f t="shared" si="32"/>
        <v>0</v>
      </c>
      <c r="AA216" s="26">
        <f>VLOOKUP(S216,CPI!$A$2:$E$67,5,0)</f>
        <v>1.327133984</v>
      </c>
      <c r="AB216" s="27">
        <f t="shared" si="8"/>
        <v>3442.094516</v>
      </c>
      <c r="AC216" s="27">
        <f t="shared" si="9"/>
        <v>195.573552</v>
      </c>
    </row>
    <row r="217">
      <c r="A217" s="7"/>
      <c r="B217" s="114" t="s">
        <v>230</v>
      </c>
      <c r="C217" s="114" t="s">
        <v>461</v>
      </c>
      <c r="D217" s="114" t="s">
        <v>292</v>
      </c>
      <c r="E217" s="114" t="s">
        <v>292</v>
      </c>
      <c r="F217" s="116">
        <v>2019.0</v>
      </c>
      <c r="G217" s="114"/>
      <c r="H217" s="116">
        <v>0.0</v>
      </c>
      <c r="I217" s="116">
        <v>44.2</v>
      </c>
      <c r="J217" s="117">
        <v>1.0</v>
      </c>
      <c r="K217" s="116">
        <v>44.2</v>
      </c>
      <c r="L217" s="114"/>
      <c r="M217" s="114"/>
      <c r="N217" s="116">
        <v>32.0</v>
      </c>
      <c r="O217" s="116">
        <v>184.0</v>
      </c>
      <c r="P217" s="114"/>
      <c r="Q217" s="140">
        <v>45521.0</v>
      </c>
      <c r="R217" s="114" t="s">
        <v>234</v>
      </c>
      <c r="S217" s="115">
        <v>2019.0</v>
      </c>
      <c r="T217" s="136">
        <v>0.238</v>
      </c>
      <c r="U217" s="118">
        <f t="shared" si="63"/>
        <v>10833.998</v>
      </c>
      <c r="V217" s="24">
        <f t="shared" si="3"/>
        <v>245.1130769</v>
      </c>
      <c r="W217" s="3">
        <f t="shared" si="29"/>
        <v>0</v>
      </c>
      <c r="X217" s="3">
        <f t="shared" si="30"/>
        <v>0</v>
      </c>
      <c r="Y217" s="3">
        <f t="shared" si="31"/>
        <v>0</v>
      </c>
      <c r="Z217" s="25">
        <f t="shared" si="32"/>
        <v>0</v>
      </c>
      <c r="AA217" s="26">
        <f>VLOOKUP(S217,CPI!$A$2:$E$67,5,0)</f>
        <v>1.191839066</v>
      </c>
      <c r="AB217" s="27">
        <f t="shared" si="8"/>
        <v>12912.38205</v>
      </c>
      <c r="AC217" s="27">
        <f t="shared" si="9"/>
        <v>292.1353406</v>
      </c>
    </row>
    <row r="218">
      <c r="A218" s="170">
        <v>7778.0</v>
      </c>
      <c r="B218" s="114" t="s">
        <v>230</v>
      </c>
      <c r="C218" s="114" t="s">
        <v>461</v>
      </c>
      <c r="D218" s="115" t="s">
        <v>236</v>
      </c>
      <c r="E218" s="115" t="s">
        <v>492</v>
      </c>
      <c r="F218" s="116">
        <v>2019.0</v>
      </c>
      <c r="G218" s="114"/>
      <c r="H218" s="116">
        <v>0.0</v>
      </c>
      <c r="I218" s="116">
        <v>33.5</v>
      </c>
      <c r="J218" s="117">
        <v>1.0</v>
      </c>
      <c r="K218" s="116">
        <v>33.5</v>
      </c>
      <c r="L218" s="114"/>
      <c r="M218" s="114"/>
      <c r="N218" s="116">
        <v>23.0</v>
      </c>
      <c r="O218" s="116">
        <v>184.0</v>
      </c>
      <c r="P218" s="114"/>
      <c r="Q218" s="140">
        <v>41085.0</v>
      </c>
      <c r="R218" s="114" t="s">
        <v>234</v>
      </c>
      <c r="S218" s="115">
        <v>2019.0</v>
      </c>
      <c r="T218" s="136">
        <v>0.238</v>
      </c>
      <c r="U218" s="118">
        <f t="shared" si="63"/>
        <v>9778.23</v>
      </c>
      <c r="V218" s="24">
        <f t="shared" si="3"/>
        <v>291.8874627</v>
      </c>
      <c r="W218" s="3">
        <f t="shared" si="29"/>
        <v>0</v>
      </c>
      <c r="X218" s="3">
        <f t="shared" si="30"/>
        <v>0</v>
      </c>
      <c r="Y218" s="3">
        <f t="shared" si="31"/>
        <v>0</v>
      </c>
      <c r="Z218" s="25">
        <f t="shared" si="32"/>
        <v>0</v>
      </c>
      <c r="AA218" s="26">
        <f>VLOOKUP(S218,CPI!$A$2:$E$67,5,0)</f>
        <v>1.191839066</v>
      </c>
      <c r="AB218" s="27">
        <f t="shared" si="8"/>
        <v>11654.07651</v>
      </c>
      <c r="AC218" s="27">
        <f t="shared" si="9"/>
        <v>347.8828808</v>
      </c>
    </row>
    <row r="219">
      <c r="A219" s="7"/>
      <c r="B219" s="114" t="s">
        <v>230</v>
      </c>
      <c r="C219" s="114" t="s">
        <v>461</v>
      </c>
      <c r="D219" s="115" t="s">
        <v>351</v>
      </c>
      <c r="E219" s="114" t="s">
        <v>494</v>
      </c>
      <c r="F219" s="116">
        <v>2020.0</v>
      </c>
      <c r="G219" s="114"/>
      <c r="H219" s="116">
        <v>1.0</v>
      </c>
      <c r="I219" s="116">
        <v>79.0</v>
      </c>
      <c r="J219" s="117">
        <v>1.0</v>
      </c>
      <c r="K219" s="116">
        <v>79.0</v>
      </c>
      <c r="L219" s="114"/>
      <c r="M219" s="114"/>
      <c r="N219" s="114"/>
      <c r="O219" s="116">
        <v>184.0</v>
      </c>
      <c r="P219" s="114"/>
      <c r="Q219" s="140">
        <v>48600.0</v>
      </c>
      <c r="R219" s="114" t="s">
        <v>234</v>
      </c>
      <c r="S219" s="115">
        <v>2020.0</v>
      </c>
      <c r="T219" s="136">
        <v>0.239</v>
      </c>
      <c r="U219" s="118">
        <f t="shared" si="63"/>
        <v>11615.4</v>
      </c>
      <c r="V219" s="24">
        <f t="shared" si="3"/>
        <v>147.0303797</v>
      </c>
      <c r="W219" s="3">
        <f t="shared" si="29"/>
        <v>0</v>
      </c>
      <c r="X219" s="3">
        <f t="shared" si="30"/>
        <v>0</v>
      </c>
      <c r="Y219" s="3">
        <f t="shared" si="31"/>
        <v>0</v>
      </c>
      <c r="Z219" s="25">
        <f t="shared" si="32"/>
        <v>0</v>
      </c>
      <c r="AA219" s="26">
        <f>VLOOKUP(S219,CPI!$A$2:$E$67,5,0)</f>
        <v>1.17731472</v>
      </c>
      <c r="AB219" s="27">
        <f t="shared" si="8"/>
        <v>13674.9814</v>
      </c>
      <c r="AC219" s="27">
        <f t="shared" si="9"/>
        <v>173.1010304</v>
      </c>
    </row>
    <row r="220">
      <c r="A220" s="7"/>
      <c r="B220" s="114" t="s">
        <v>230</v>
      </c>
      <c r="C220" s="114" t="s">
        <v>461</v>
      </c>
      <c r="D220" s="115" t="s">
        <v>302</v>
      </c>
      <c r="E220" s="115" t="s">
        <v>496</v>
      </c>
      <c r="F220" s="116">
        <v>2020.0</v>
      </c>
      <c r="G220" s="114"/>
      <c r="H220" s="116">
        <v>1.0</v>
      </c>
      <c r="I220" s="116">
        <v>39.0</v>
      </c>
      <c r="J220" s="117">
        <v>1.0</v>
      </c>
      <c r="K220" s="116">
        <v>39.0</v>
      </c>
      <c r="L220" s="114"/>
      <c r="M220" s="114"/>
      <c r="N220" s="114"/>
      <c r="O220" s="116">
        <v>184.0</v>
      </c>
      <c r="P220" s="114"/>
      <c r="Q220" s="140">
        <v>32500.0</v>
      </c>
      <c r="R220" s="114" t="s">
        <v>234</v>
      </c>
      <c r="S220" s="115">
        <v>2020.0</v>
      </c>
      <c r="T220" s="136">
        <v>0.239</v>
      </c>
      <c r="U220" s="118">
        <f t="shared" si="63"/>
        <v>7767.5</v>
      </c>
      <c r="V220" s="24">
        <f t="shared" si="3"/>
        <v>199.1666667</v>
      </c>
      <c r="W220" s="3">
        <f t="shared" si="29"/>
        <v>0</v>
      </c>
      <c r="X220" s="3">
        <f t="shared" si="30"/>
        <v>0</v>
      </c>
      <c r="Y220" s="3">
        <f t="shared" si="31"/>
        <v>0</v>
      </c>
      <c r="Z220" s="25">
        <f t="shared" si="32"/>
        <v>0</v>
      </c>
      <c r="AA220" s="26">
        <f>VLOOKUP(S220,CPI!$A$2:$E$67,5,0)</f>
        <v>1.17731472</v>
      </c>
      <c r="AB220" s="27">
        <f t="shared" si="8"/>
        <v>9144.792088</v>
      </c>
      <c r="AC220" s="27">
        <f t="shared" si="9"/>
        <v>234.4818484</v>
      </c>
    </row>
    <row r="221">
      <c r="A221" s="7"/>
      <c r="B221" s="114" t="s">
        <v>230</v>
      </c>
      <c r="C221" s="114" t="s">
        <v>461</v>
      </c>
      <c r="D221" s="114" t="s">
        <v>290</v>
      </c>
      <c r="E221" s="114" t="s">
        <v>290</v>
      </c>
      <c r="F221" s="116">
        <v>2020.0</v>
      </c>
      <c r="G221" s="114"/>
      <c r="H221" s="116">
        <v>1.0</v>
      </c>
      <c r="I221" s="116">
        <v>107.0</v>
      </c>
      <c r="J221" s="117">
        <v>1.0</v>
      </c>
      <c r="K221" s="116">
        <v>107.0</v>
      </c>
      <c r="L221" s="114"/>
      <c r="M221" s="114"/>
      <c r="N221" s="114"/>
      <c r="O221" s="116">
        <v>184.0</v>
      </c>
      <c r="P221" s="114"/>
      <c r="Q221" s="140">
        <v>95300.0</v>
      </c>
      <c r="R221" s="114" t="s">
        <v>234</v>
      </c>
      <c r="S221" s="115">
        <v>2020.0</v>
      </c>
      <c r="T221" s="136">
        <v>0.239</v>
      </c>
      <c r="U221" s="118">
        <f t="shared" si="63"/>
        <v>22776.7</v>
      </c>
      <c r="V221" s="24">
        <f t="shared" si="3"/>
        <v>212.8663551</v>
      </c>
      <c r="W221" s="3">
        <f t="shared" si="29"/>
        <v>0</v>
      </c>
      <c r="X221" s="3">
        <f t="shared" si="30"/>
        <v>0</v>
      </c>
      <c r="Y221" s="3">
        <f t="shared" si="31"/>
        <v>0</v>
      </c>
      <c r="Z221" s="25">
        <f t="shared" si="32"/>
        <v>0</v>
      </c>
      <c r="AA221" s="26">
        <f>VLOOKUP(S221,CPI!$A$2:$E$67,5,0)</f>
        <v>1.17731472</v>
      </c>
      <c r="AB221" s="27">
        <f t="shared" si="8"/>
        <v>26815.34418</v>
      </c>
      <c r="AC221" s="27">
        <f t="shared" si="9"/>
        <v>250.6106933</v>
      </c>
    </row>
    <row r="222">
      <c r="A222" s="7"/>
      <c r="B222" s="114" t="s">
        <v>230</v>
      </c>
      <c r="C222" s="114" t="s">
        <v>461</v>
      </c>
      <c r="D222" s="115" t="s">
        <v>351</v>
      </c>
      <c r="E222" s="114" t="s">
        <v>497</v>
      </c>
      <c r="F222" s="116">
        <v>2021.0</v>
      </c>
      <c r="G222" s="114"/>
      <c r="H222" s="116">
        <v>1.0</v>
      </c>
      <c r="I222" s="116">
        <v>41.1</v>
      </c>
      <c r="J222" s="117">
        <v>1.0</v>
      </c>
      <c r="K222" s="116">
        <v>41.1</v>
      </c>
      <c r="L222" s="114"/>
      <c r="M222" s="114"/>
      <c r="N222" s="116">
        <v>10.0</v>
      </c>
      <c r="O222" s="116">
        <v>184.0</v>
      </c>
      <c r="P222" s="114"/>
      <c r="Q222" s="140">
        <v>38130.0</v>
      </c>
      <c r="R222" s="114" t="s">
        <v>234</v>
      </c>
      <c r="S222" s="115">
        <v>2021.0</v>
      </c>
      <c r="T222" s="136">
        <v>0.239000000000001</v>
      </c>
      <c r="U222" s="118">
        <f t="shared" si="63"/>
        <v>9113.07</v>
      </c>
      <c r="V222" s="24">
        <f t="shared" si="3"/>
        <v>221.7291971</v>
      </c>
      <c r="W222" s="3">
        <f t="shared" si="29"/>
        <v>0</v>
      </c>
      <c r="X222" s="3">
        <f t="shared" si="30"/>
        <v>0</v>
      </c>
      <c r="Y222" s="3">
        <f t="shared" si="31"/>
        <v>0</v>
      </c>
      <c r="Z222" s="25">
        <f t="shared" si="32"/>
        <v>0</v>
      </c>
      <c r="AA222" s="26">
        <f>VLOOKUP(S222,CPI!$A$2:$E$67,5,0)</f>
        <v>1.124486105</v>
      </c>
      <c r="AB222" s="27">
        <f t="shared" si="8"/>
        <v>10247.52059</v>
      </c>
      <c r="AC222" s="27">
        <f t="shared" si="9"/>
        <v>249.3314013</v>
      </c>
    </row>
    <row r="223">
      <c r="A223" s="163"/>
      <c r="B223" s="114" t="s">
        <v>230</v>
      </c>
      <c r="C223" s="114" t="s">
        <v>461</v>
      </c>
      <c r="D223" s="115" t="s">
        <v>243</v>
      </c>
      <c r="E223" s="114" t="s">
        <v>499</v>
      </c>
      <c r="F223" s="116">
        <v>2021.0</v>
      </c>
      <c r="G223" s="114"/>
      <c r="H223" s="116">
        <v>0.0</v>
      </c>
      <c r="I223" s="116">
        <v>18.0</v>
      </c>
      <c r="J223" s="117">
        <v>1.0</v>
      </c>
      <c r="K223" s="116">
        <v>18.0</v>
      </c>
      <c r="L223" s="114"/>
      <c r="M223" s="114"/>
      <c r="N223" s="116">
        <v>7.0</v>
      </c>
      <c r="O223" s="116">
        <v>138.0</v>
      </c>
      <c r="P223" s="114"/>
      <c r="Q223" s="140">
        <v>16576.0</v>
      </c>
      <c r="R223" s="114" t="s">
        <v>234</v>
      </c>
      <c r="S223" s="115">
        <v>2021.0</v>
      </c>
      <c r="T223" s="136">
        <v>0.239000000000001</v>
      </c>
      <c r="U223" s="118">
        <f t="shared" si="63"/>
        <v>3961.664</v>
      </c>
      <c r="V223" s="24">
        <f t="shared" si="3"/>
        <v>220.0924444</v>
      </c>
      <c r="W223" s="3">
        <f t="shared" si="29"/>
        <v>0</v>
      </c>
      <c r="X223" s="3">
        <f t="shared" si="30"/>
        <v>0</v>
      </c>
      <c r="Y223" s="3">
        <f t="shared" si="31"/>
        <v>0</v>
      </c>
      <c r="Z223" s="25">
        <f t="shared" si="32"/>
        <v>0</v>
      </c>
      <c r="AA223" s="26">
        <f>VLOOKUP(S223,CPI!$A$2:$E$67,5,0)</f>
        <v>1.124486105</v>
      </c>
      <c r="AB223" s="27">
        <f t="shared" si="8"/>
        <v>4454.836123</v>
      </c>
      <c r="AC223" s="27">
        <f t="shared" si="9"/>
        <v>247.4908957</v>
      </c>
    </row>
    <row r="224">
      <c r="A224" s="7"/>
      <c r="B224" s="114" t="s">
        <v>230</v>
      </c>
      <c r="C224" s="114" t="s">
        <v>502</v>
      </c>
      <c r="D224" s="114" t="s">
        <v>57</v>
      </c>
      <c r="E224" s="114" t="s">
        <v>57</v>
      </c>
      <c r="F224" s="116">
        <v>2020.0</v>
      </c>
      <c r="G224" s="114"/>
      <c r="H224" s="116">
        <v>0.0</v>
      </c>
      <c r="I224" s="116">
        <v>29.27</v>
      </c>
      <c r="J224" s="117">
        <v>0.06</v>
      </c>
      <c r="K224" s="116">
        <v>1.9</v>
      </c>
      <c r="L224" s="114"/>
      <c r="M224" s="114"/>
      <c r="N224" s="116">
        <v>13.0</v>
      </c>
      <c r="O224" s="116"/>
      <c r="P224" s="114"/>
      <c r="Q224" s="140">
        <v>8299.0</v>
      </c>
      <c r="R224" s="114" t="s">
        <v>234</v>
      </c>
      <c r="S224" s="115">
        <v>2020.0</v>
      </c>
      <c r="T224" s="136">
        <v>0.239</v>
      </c>
      <c r="U224" s="118">
        <f t="shared" si="63"/>
        <v>1983.461</v>
      </c>
      <c r="V224" s="24">
        <f t="shared" si="3"/>
        <v>67.76429792</v>
      </c>
      <c r="W224" s="3">
        <f t="shared" si="29"/>
        <v>0</v>
      </c>
      <c r="X224" s="3">
        <f t="shared" si="30"/>
        <v>0</v>
      </c>
      <c r="Y224" s="3">
        <f t="shared" si="31"/>
        <v>0</v>
      </c>
      <c r="Z224" s="25">
        <f t="shared" si="32"/>
        <v>0</v>
      </c>
      <c r="AA224" s="26">
        <f>VLOOKUP(S224,CPI!$A$2:$E$67,5,0)</f>
        <v>1.17731472</v>
      </c>
      <c r="AB224" s="27">
        <f t="shared" si="8"/>
        <v>2335.157832</v>
      </c>
      <c r="AC224" s="27">
        <f t="shared" si="9"/>
        <v>79.77990543</v>
      </c>
    </row>
    <row r="225">
      <c r="A225" s="14">
        <v>9491.0</v>
      </c>
      <c r="B225" s="22" t="s">
        <v>230</v>
      </c>
      <c r="C225" s="22" t="s">
        <v>504</v>
      </c>
      <c r="D225" s="16" t="s">
        <v>57</v>
      </c>
      <c r="E225" s="22" t="s">
        <v>232</v>
      </c>
      <c r="F225" s="17">
        <v>2013.0</v>
      </c>
      <c r="G225" s="17">
        <v>2017.0</v>
      </c>
      <c r="H225" s="17">
        <v>0.0</v>
      </c>
      <c r="I225" s="17">
        <v>34.3</v>
      </c>
      <c r="J225" s="19">
        <f>K225/I225</f>
        <v>0.8454810496</v>
      </c>
      <c r="K225" s="17">
        <v>29.0</v>
      </c>
      <c r="L225" s="177">
        <v>5.14</v>
      </c>
      <c r="M225" s="177">
        <v>0.348</v>
      </c>
      <c r="N225" s="17">
        <v>25.0</v>
      </c>
      <c r="O225" s="17"/>
      <c r="P225" s="22" t="s">
        <v>42</v>
      </c>
      <c r="Q225" s="23">
        <v>19370.0</v>
      </c>
      <c r="R225" s="22" t="s">
        <v>234</v>
      </c>
      <c r="S225" s="17">
        <v>2010.0</v>
      </c>
      <c r="T225" s="136">
        <v>0.3</v>
      </c>
      <c r="U225" s="3">
        <f t="shared" si="63"/>
        <v>5811</v>
      </c>
      <c r="V225" s="24">
        <f t="shared" si="3"/>
        <v>169.4169096</v>
      </c>
      <c r="W225" s="3">
        <f t="shared" si="29"/>
        <v>0</v>
      </c>
      <c r="X225" s="3">
        <f t="shared" si="30"/>
        <v>0</v>
      </c>
      <c r="Y225" s="3">
        <f t="shared" si="31"/>
        <v>0</v>
      </c>
      <c r="Z225" s="25">
        <f t="shared" si="32"/>
        <v>0</v>
      </c>
      <c r="AA225" s="26">
        <f>VLOOKUP(S225,CPI!$A$2:$E$67,5,0)</f>
        <v>1.397356642</v>
      </c>
      <c r="AB225" s="27">
        <f t="shared" si="8"/>
        <v>8120.039449</v>
      </c>
      <c r="AC225" s="27">
        <f t="shared" si="9"/>
        <v>236.735844</v>
      </c>
    </row>
    <row r="226">
      <c r="A226" s="38">
        <v>8058.0</v>
      </c>
      <c r="B226" s="130" t="s">
        <v>230</v>
      </c>
      <c r="C226" s="130" t="s">
        <v>504</v>
      </c>
      <c r="D226" s="16" t="s">
        <v>506</v>
      </c>
      <c r="E226" s="130" t="s">
        <v>507</v>
      </c>
      <c r="F226" s="130">
        <v>2016.0</v>
      </c>
      <c r="G226" s="130">
        <v>2020.0</v>
      </c>
      <c r="H226" s="130">
        <v>0.0</v>
      </c>
      <c r="I226" s="130">
        <v>28.5</v>
      </c>
      <c r="J226" s="131">
        <v>0.5298245614</v>
      </c>
      <c r="K226" s="130">
        <v>15.1</v>
      </c>
      <c r="L226" s="132">
        <v>0.0</v>
      </c>
      <c r="M226" s="132">
        <v>0.0</v>
      </c>
      <c r="N226" s="130">
        <v>12.0</v>
      </c>
      <c r="O226" s="138"/>
      <c r="P226" s="130" t="s">
        <v>60</v>
      </c>
      <c r="Q226" s="135">
        <v>15479.0</v>
      </c>
      <c r="R226" s="130" t="s">
        <v>234</v>
      </c>
      <c r="S226" s="130">
        <v>2016.0</v>
      </c>
      <c r="T226" s="136">
        <v>0.251</v>
      </c>
      <c r="U226" s="128">
        <f>T226*Q226</f>
        <v>3885.229</v>
      </c>
      <c r="V226" s="24">
        <f t="shared" si="3"/>
        <v>136.3238246</v>
      </c>
      <c r="W226" s="3">
        <f t="shared" si="29"/>
        <v>0</v>
      </c>
      <c r="X226" s="3">
        <f t="shared" si="30"/>
        <v>0</v>
      </c>
      <c r="Y226" s="3">
        <f t="shared" si="31"/>
        <v>0</v>
      </c>
      <c r="Z226" s="25">
        <f t="shared" si="32"/>
        <v>0</v>
      </c>
      <c r="AA226" s="26">
        <f>VLOOKUP(S226,CPI!$A$2:$E$67,5,0)</f>
        <v>1.269554638</v>
      </c>
      <c r="AB226" s="27">
        <f t="shared" si="8"/>
        <v>4932.510497</v>
      </c>
      <c r="AC226" s="27">
        <f t="shared" si="9"/>
        <v>173.0705437</v>
      </c>
    </row>
    <row r="227">
      <c r="A227" s="7"/>
      <c r="B227" s="114" t="s">
        <v>230</v>
      </c>
      <c r="C227" s="114" t="s">
        <v>504</v>
      </c>
      <c r="D227" s="115" t="s">
        <v>54</v>
      </c>
      <c r="E227" s="115" t="s">
        <v>348</v>
      </c>
      <c r="F227" s="114"/>
      <c r="G227" s="114">
        <v>2021.0</v>
      </c>
      <c r="H227" s="114">
        <v>0.0</v>
      </c>
      <c r="I227" s="114">
        <v>27.6</v>
      </c>
      <c r="J227" s="117">
        <v>1.0</v>
      </c>
      <c r="K227" s="114">
        <v>27.6</v>
      </c>
      <c r="L227" s="114"/>
      <c r="M227" s="114"/>
      <c r="N227" s="114">
        <v>24.0</v>
      </c>
      <c r="O227" s="116">
        <v>117.0</v>
      </c>
      <c r="P227" s="114"/>
      <c r="Q227" s="140">
        <v>19459.0</v>
      </c>
      <c r="R227" s="114" t="s">
        <v>234</v>
      </c>
      <c r="S227" s="115">
        <v>2021.0</v>
      </c>
      <c r="T227" s="136">
        <v>0.239000000000001</v>
      </c>
      <c r="U227" s="118">
        <f t="shared" ref="U227:U234" si="64">Q227*T227</f>
        <v>4650.701</v>
      </c>
      <c r="V227" s="24">
        <f t="shared" si="3"/>
        <v>168.5036594</v>
      </c>
      <c r="W227" s="3">
        <f t="shared" si="29"/>
        <v>0</v>
      </c>
      <c r="X227" s="3">
        <f t="shared" si="30"/>
        <v>0</v>
      </c>
      <c r="Y227" s="3">
        <f t="shared" si="31"/>
        <v>0</v>
      </c>
      <c r="Z227" s="25">
        <f t="shared" si="32"/>
        <v>0</v>
      </c>
      <c r="AA227" s="26">
        <f>VLOOKUP(S227,CPI!$A$2:$E$67,5,0)</f>
        <v>1.124486105</v>
      </c>
      <c r="AB227" s="27">
        <f t="shared" si="8"/>
        <v>5229.648655</v>
      </c>
      <c r="AC227" s="27">
        <f t="shared" si="9"/>
        <v>189.4800237</v>
      </c>
    </row>
    <row r="228">
      <c r="A228" s="170">
        <v>7976.0</v>
      </c>
      <c r="B228" s="123" t="s">
        <v>230</v>
      </c>
      <c r="C228" s="123" t="s">
        <v>504</v>
      </c>
      <c r="D228" s="36" t="s">
        <v>54</v>
      </c>
      <c r="E228" s="123" t="s">
        <v>326</v>
      </c>
      <c r="F228" s="75">
        <v>2017.0</v>
      </c>
      <c r="G228" s="75">
        <v>2022.0</v>
      </c>
      <c r="H228" s="75">
        <v>0.0</v>
      </c>
      <c r="I228" s="75">
        <v>12.8</v>
      </c>
      <c r="J228" s="124">
        <v>0.8125</v>
      </c>
      <c r="K228" s="75">
        <v>10.4</v>
      </c>
      <c r="L228" s="125">
        <v>2.27</v>
      </c>
      <c r="M228" s="125">
        <v>0.162</v>
      </c>
      <c r="N228" s="75">
        <v>8.0</v>
      </c>
      <c r="O228" s="75"/>
      <c r="P228" s="123" t="s">
        <v>60</v>
      </c>
      <c r="Q228" s="126">
        <v>8475.0</v>
      </c>
      <c r="R228" s="123" t="s">
        <v>234</v>
      </c>
      <c r="S228" s="75">
        <v>2016.0</v>
      </c>
      <c r="T228" s="136">
        <v>0.251</v>
      </c>
      <c r="U228" s="128">
        <f t="shared" si="64"/>
        <v>2127.225</v>
      </c>
      <c r="V228" s="24">
        <f t="shared" si="3"/>
        <v>166.1894531</v>
      </c>
      <c r="W228" s="3">
        <f t="shared" si="29"/>
        <v>0</v>
      </c>
      <c r="X228" s="3">
        <f t="shared" si="30"/>
        <v>0</v>
      </c>
      <c r="Y228" s="3">
        <f t="shared" si="31"/>
        <v>0</v>
      </c>
      <c r="Z228" s="25">
        <f t="shared" si="32"/>
        <v>0</v>
      </c>
      <c r="AA228" s="26">
        <f>VLOOKUP(S228,CPI!$A$2:$E$67,5,0)</f>
        <v>1.269554638</v>
      </c>
      <c r="AB228" s="27">
        <f t="shared" si="8"/>
        <v>2700.628365</v>
      </c>
      <c r="AC228" s="27">
        <f t="shared" si="9"/>
        <v>210.986591</v>
      </c>
    </row>
    <row r="229">
      <c r="A229" s="170">
        <v>7931.0</v>
      </c>
      <c r="B229" s="123" t="s">
        <v>230</v>
      </c>
      <c r="C229" s="123" t="s">
        <v>504</v>
      </c>
      <c r="D229" s="16" t="s">
        <v>87</v>
      </c>
      <c r="E229" s="123" t="s">
        <v>331</v>
      </c>
      <c r="F229" s="75">
        <v>2018.0</v>
      </c>
      <c r="G229" s="75">
        <v>2023.0</v>
      </c>
      <c r="H229" s="75">
        <v>0.0</v>
      </c>
      <c r="I229" s="75">
        <v>43.135</v>
      </c>
      <c r="J229" s="124">
        <v>1.0</v>
      </c>
      <c r="K229" s="75">
        <v>43.135</v>
      </c>
      <c r="L229" s="125">
        <v>0.0</v>
      </c>
      <c r="M229" s="125">
        <v>0.0</v>
      </c>
      <c r="N229" s="75">
        <v>29.0</v>
      </c>
      <c r="O229" s="75"/>
      <c r="P229" s="123" t="s">
        <v>42</v>
      </c>
      <c r="Q229" s="126">
        <v>31545.0</v>
      </c>
      <c r="R229" s="123" t="s">
        <v>234</v>
      </c>
      <c r="S229" s="75">
        <v>2017.0</v>
      </c>
      <c r="T229" s="136">
        <v>0.239</v>
      </c>
      <c r="U229" s="128">
        <f t="shared" si="64"/>
        <v>7539.255</v>
      </c>
      <c r="V229" s="24">
        <f t="shared" si="3"/>
        <v>174.782775</v>
      </c>
      <c r="W229" s="3">
        <f t="shared" si="29"/>
        <v>0</v>
      </c>
      <c r="X229" s="3">
        <f t="shared" si="30"/>
        <v>0</v>
      </c>
      <c r="Y229" s="3">
        <f t="shared" si="31"/>
        <v>0</v>
      </c>
      <c r="Z229" s="25">
        <f t="shared" si="32"/>
        <v>0</v>
      </c>
      <c r="AA229" s="26">
        <f>VLOOKUP(S229,CPI!$A$2:$E$67,5,0)</f>
        <v>1.243072781</v>
      </c>
      <c r="AB229" s="27">
        <f t="shared" si="8"/>
        <v>9371.842677</v>
      </c>
      <c r="AC229" s="27">
        <f t="shared" si="9"/>
        <v>217.2677101</v>
      </c>
    </row>
    <row r="230">
      <c r="A230" s="38">
        <v>8011.0</v>
      </c>
      <c r="B230" s="72" t="s">
        <v>230</v>
      </c>
      <c r="C230" s="72" t="s">
        <v>504</v>
      </c>
      <c r="D230" s="115" t="s">
        <v>511</v>
      </c>
      <c r="E230" s="115" t="s">
        <v>512</v>
      </c>
      <c r="F230" s="69">
        <v>2021.0</v>
      </c>
      <c r="G230" s="72"/>
      <c r="H230" s="69">
        <v>0.0</v>
      </c>
      <c r="I230" s="69">
        <v>30.32</v>
      </c>
      <c r="J230" s="117">
        <v>0.75</v>
      </c>
      <c r="K230" s="69">
        <v>22.64</v>
      </c>
      <c r="L230" s="72"/>
      <c r="M230" s="72"/>
      <c r="N230" s="69">
        <v>13.0</v>
      </c>
      <c r="O230" s="69">
        <v>117.0</v>
      </c>
      <c r="P230" s="72"/>
      <c r="Q230" s="140">
        <v>17252.45</v>
      </c>
      <c r="R230" s="72" t="s">
        <v>234</v>
      </c>
      <c r="S230" s="115">
        <v>2021.0</v>
      </c>
      <c r="T230" s="136">
        <v>0.239</v>
      </c>
      <c r="U230" s="118">
        <f t="shared" si="64"/>
        <v>4123.33555</v>
      </c>
      <c r="V230" s="24">
        <f t="shared" si="3"/>
        <v>135.9939166</v>
      </c>
      <c r="W230" s="3">
        <f t="shared" si="29"/>
        <v>0</v>
      </c>
      <c r="X230" s="3">
        <f t="shared" si="30"/>
        <v>0</v>
      </c>
      <c r="Y230" s="3">
        <f t="shared" si="31"/>
        <v>0</v>
      </c>
      <c r="Z230" s="25">
        <f t="shared" si="32"/>
        <v>0</v>
      </c>
      <c r="AA230" s="26">
        <f>VLOOKUP(S230,CPI!$A$2:$E$67,5,0)</f>
        <v>1.124486105</v>
      </c>
      <c r="AB230" s="27">
        <f t="shared" si="8"/>
        <v>4636.633534</v>
      </c>
      <c r="AC230" s="27">
        <f t="shared" si="9"/>
        <v>152.9232696</v>
      </c>
    </row>
    <row r="231">
      <c r="A231" s="170">
        <v>7729.0</v>
      </c>
      <c r="B231" s="123" t="s">
        <v>230</v>
      </c>
      <c r="C231" s="123" t="s">
        <v>514</v>
      </c>
      <c r="D231" s="36" t="s">
        <v>57</v>
      </c>
      <c r="E231" s="123" t="s">
        <v>232</v>
      </c>
      <c r="F231" s="75">
        <v>2007.0</v>
      </c>
      <c r="G231" s="75">
        <v>2012.0</v>
      </c>
      <c r="H231" s="75">
        <v>0.0</v>
      </c>
      <c r="I231" s="75">
        <v>48.0</v>
      </c>
      <c r="J231" s="155"/>
      <c r="K231" s="123"/>
      <c r="L231" s="125" t="e">
        <v>#N/A</v>
      </c>
      <c r="M231" s="125" t="e">
        <v>#N/A</v>
      </c>
      <c r="N231" s="75">
        <v>31.0</v>
      </c>
      <c r="O231" s="75"/>
      <c r="P231" s="123" t="s">
        <v>60</v>
      </c>
      <c r="Q231" s="126">
        <f>(137.86+82.9)*10^2</f>
        <v>22076</v>
      </c>
      <c r="R231" s="123" t="s">
        <v>234</v>
      </c>
      <c r="S231" s="75">
        <v>2007.0</v>
      </c>
      <c r="T231" s="136">
        <v>0.333</v>
      </c>
      <c r="U231" s="128">
        <f t="shared" si="64"/>
        <v>7351.308</v>
      </c>
      <c r="V231" s="24">
        <f t="shared" si="3"/>
        <v>153.15225</v>
      </c>
      <c r="W231" s="3">
        <f t="shared" si="29"/>
        <v>0</v>
      </c>
      <c r="X231" s="3">
        <f t="shared" si="30"/>
        <v>0</v>
      </c>
      <c r="Y231" s="3">
        <f t="shared" si="31"/>
        <v>0</v>
      </c>
      <c r="Z231" s="25">
        <f t="shared" si="32"/>
        <v>0</v>
      </c>
      <c r="AA231" s="26">
        <f>VLOOKUP(S231,CPI!$A$2:$E$67,5,0)</f>
        <v>1.469562366</v>
      </c>
      <c r="AB231" s="27">
        <f t="shared" si="8"/>
        <v>10803.20557</v>
      </c>
      <c r="AC231" s="27">
        <f t="shared" si="9"/>
        <v>225.0667828</v>
      </c>
    </row>
    <row r="232">
      <c r="A232" s="163"/>
      <c r="B232" s="114" t="s">
        <v>230</v>
      </c>
      <c r="C232" s="72" t="s">
        <v>514</v>
      </c>
      <c r="D232" s="115" t="s">
        <v>84</v>
      </c>
      <c r="E232" s="115" t="s">
        <v>319</v>
      </c>
      <c r="F232" s="116">
        <v>2014.0</v>
      </c>
      <c r="G232" s="116">
        <v>2020.0</v>
      </c>
      <c r="H232" s="116">
        <v>0.0</v>
      </c>
      <c r="I232" s="116">
        <v>51.6</v>
      </c>
      <c r="J232" s="117">
        <v>1.0</v>
      </c>
      <c r="K232" s="116">
        <v>51.6</v>
      </c>
      <c r="L232" s="114"/>
      <c r="M232" s="114"/>
      <c r="N232" s="116">
        <v>36.0</v>
      </c>
      <c r="O232" s="116">
        <v>117.0</v>
      </c>
      <c r="P232" s="114"/>
      <c r="Q232" s="140">
        <v>36064.0</v>
      </c>
      <c r="R232" s="114" t="s">
        <v>234</v>
      </c>
      <c r="S232" s="115">
        <v>2017.0</v>
      </c>
      <c r="T232" s="85">
        <v>0.239</v>
      </c>
      <c r="U232" s="118">
        <f t="shared" si="64"/>
        <v>8619.296</v>
      </c>
      <c r="V232" s="24">
        <f t="shared" si="3"/>
        <v>167.0406202</v>
      </c>
      <c r="W232" s="3">
        <f t="shared" si="29"/>
        <v>0</v>
      </c>
      <c r="X232" s="3">
        <f t="shared" si="30"/>
        <v>0</v>
      </c>
      <c r="Y232" s="3">
        <f t="shared" si="31"/>
        <v>0</v>
      </c>
      <c r="Z232" s="25">
        <f t="shared" si="32"/>
        <v>0</v>
      </c>
      <c r="AA232" s="26">
        <f>VLOOKUP(S232,CPI!$A$2:$E$67,5,0)</f>
        <v>1.243072781</v>
      </c>
      <c r="AB232" s="27">
        <f t="shared" si="8"/>
        <v>10714.41225</v>
      </c>
      <c r="AC232" s="27">
        <f t="shared" si="9"/>
        <v>207.6436482</v>
      </c>
    </row>
    <row r="233">
      <c r="A233" s="7"/>
      <c r="B233" s="114" t="s">
        <v>230</v>
      </c>
      <c r="C233" s="114" t="s">
        <v>514</v>
      </c>
      <c r="D233" s="115" t="s">
        <v>517</v>
      </c>
      <c r="E233" s="114" t="s">
        <v>518</v>
      </c>
      <c r="F233" s="116">
        <v>2016.0</v>
      </c>
      <c r="G233" s="116">
        <v>2020.0</v>
      </c>
      <c r="H233" s="116">
        <v>0.0</v>
      </c>
      <c r="I233" s="116">
        <v>14.26</v>
      </c>
      <c r="J233" s="117">
        <v>0.3</v>
      </c>
      <c r="K233" s="116">
        <v>4.32</v>
      </c>
      <c r="L233" s="114"/>
      <c r="M233" s="114"/>
      <c r="N233" s="116">
        <v>6.0</v>
      </c>
      <c r="O233" s="116">
        <v>78.0</v>
      </c>
      <c r="P233" s="114"/>
      <c r="Q233" s="140">
        <v>4590.0</v>
      </c>
      <c r="R233" s="114" t="s">
        <v>234</v>
      </c>
      <c r="S233" s="115">
        <v>2018.0</v>
      </c>
      <c r="T233" s="85">
        <v>0.237</v>
      </c>
      <c r="U233" s="118">
        <f t="shared" si="64"/>
        <v>1087.83</v>
      </c>
      <c r="V233" s="24">
        <f t="shared" si="3"/>
        <v>76.28541374</v>
      </c>
      <c r="W233" s="3">
        <f t="shared" si="29"/>
        <v>0</v>
      </c>
      <c r="X233" s="3">
        <f t="shared" si="30"/>
        <v>0</v>
      </c>
      <c r="Y233" s="3">
        <f t="shared" si="31"/>
        <v>0</v>
      </c>
      <c r="Z233" s="25">
        <f t="shared" si="32"/>
        <v>0</v>
      </c>
      <c r="AA233" s="26">
        <f>VLOOKUP(S233,CPI!$A$2:$E$67,5,0)</f>
        <v>1.21343491</v>
      </c>
      <c r="AB233" s="27">
        <f t="shared" si="8"/>
        <v>1320.010898</v>
      </c>
      <c r="AC233" s="27">
        <f t="shared" si="9"/>
        <v>92.56738418</v>
      </c>
    </row>
    <row r="234">
      <c r="A234" s="163"/>
      <c r="B234" s="114" t="s">
        <v>230</v>
      </c>
      <c r="C234" s="72" t="s">
        <v>514</v>
      </c>
      <c r="D234" s="115" t="s">
        <v>517</v>
      </c>
      <c r="E234" s="72" t="s">
        <v>520</v>
      </c>
      <c r="F234" s="116">
        <v>2016.0</v>
      </c>
      <c r="G234" s="116">
        <v>2020.0</v>
      </c>
      <c r="H234" s="116">
        <v>0.0</v>
      </c>
      <c r="I234" s="116">
        <v>20.72</v>
      </c>
      <c r="J234" s="117">
        <v>0.42</v>
      </c>
      <c r="K234" s="116">
        <v>8.64</v>
      </c>
      <c r="L234" s="114"/>
      <c r="M234" s="114"/>
      <c r="N234" s="116">
        <v>6.0</v>
      </c>
      <c r="O234" s="116">
        <v>78.0</v>
      </c>
      <c r="P234" s="114"/>
      <c r="Q234" s="140">
        <v>6740.0</v>
      </c>
      <c r="R234" s="114" t="s">
        <v>234</v>
      </c>
      <c r="S234" s="115">
        <v>2018.0</v>
      </c>
      <c r="T234" s="85">
        <v>0.237</v>
      </c>
      <c r="U234" s="118">
        <f t="shared" si="64"/>
        <v>1597.38</v>
      </c>
      <c r="V234" s="24">
        <f t="shared" si="3"/>
        <v>77.09362934</v>
      </c>
      <c r="W234" s="3">
        <f t="shared" si="29"/>
        <v>0</v>
      </c>
      <c r="X234" s="3">
        <f t="shared" si="30"/>
        <v>0</v>
      </c>
      <c r="Y234" s="3">
        <f t="shared" si="31"/>
        <v>0</v>
      </c>
      <c r="Z234" s="25">
        <f t="shared" si="32"/>
        <v>0</v>
      </c>
      <c r="AA234" s="26">
        <f>VLOOKUP(S234,CPI!$A$2:$E$67,5,0)</f>
        <v>1.21343491</v>
      </c>
      <c r="AB234" s="27">
        <f t="shared" si="8"/>
        <v>1938.316657</v>
      </c>
      <c r="AC234" s="27">
        <f t="shared" si="9"/>
        <v>93.5481012</v>
      </c>
    </row>
    <row r="235">
      <c r="A235" s="38">
        <v>8024.0</v>
      </c>
      <c r="B235" s="130" t="s">
        <v>230</v>
      </c>
      <c r="C235" s="130" t="s">
        <v>514</v>
      </c>
      <c r="D235" s="36" t="s">
        <v>54</v>
      </c>
      <c r="E235" s="130" t="s">
        <v>437</v>
      </c>
      <c r="F235" s="130">
        <v>2017.0</v>
      </c>
      <c r="G235" s="130">
        <v>2020.0</v>
      </c>
      <c r="H235" s="130">
        <v>0.0</v>
      </c>
      <c r="I235" s="130">
        <v>1.6</v>
      </c>
      <c r="J235" s="131"/>
      <c r="K235" s="130"/>
      <c r="L235" s="132" t="e">
        <v>#N/A</v>
      </c>
      <c r="M235" s="132" t="e">
        <v>#N/A</v>
      </c>
      <c r="N235" s="130">
        <v>1.0</v>
      </c>
      <c r="O235" s="138"/>
      <c r="P235" s="130" t="s">
        <v>60</v>
      </c>
      <c r="Q235" s="135">
        <v>988.0</v>
      </c>
      <c r="R235" s="130" t="s">
        <v>234</v>
      </c>
      <c r="S235" s="130">
        <v>2016.0</v>
      </c>
      <c r="T235" s="136">
        <v>0.251</v>
      </c>
      <c r="U235" s="128">
        <f t="shared" ref="U235:U236" si="65">T235*Q235</f>
        <v>247.988</v>
      </c>
      <c r="V235" s="24">
        <f t="shared" si="3"/>
        <v>154.9925</v>
      </c>
      <c r="W235" s="3">
        <f t="shared" si="29"/>
        <v>0</v>
      </c>
      <c r="X235" s="3">
        <f t="shared" si="30"/>
        <v>0</v>
      </c>
      <c r="Y235" s="3">
        <f t="shared" si="31"/>
        <v>0</v>
      </c>
      <c r="Z235" s="25">
        <f t="shared" si="32"/>
        <v>0</v>
      </c>
      <c r="AA235" s="26">
        <f>VLOOKUP(S235,CPI!$A$2:$E$67,5,0)</f>
        <v>1.269554638</v>
      </c>
      <c r="AB235" s="27">
        <f t="shared" si="8"/>
        <v>314.8343156</v>
      </c>
      <c r="AC235" s="27">
        <f t="shared" si="9"/>
        <v>196.7714472</v>
      </c>
    </row>
    <row r="236">
      <c r="A236" s="38">
        <v>8057.0</v>
      </c>
      <c r="B236" s="130" t="s">
        <v>230</v>
      </c>
      <c r="C236" s="130" t="s">
        <v>514</v>
      </c>
      <c r="D236" s="36" t="s">
        <v>84</v>
      </c>
      <c r="E236" s="130" t="s">
        <v>522</v>
      </c>
      <c r="F236" s="130">
        <v>2017.0</v>
      </c>
      <c r="G236" s="130">
        <v>2020.0</v>
      </c>
      <c r="H236" s="130">
        <v>0.0</v>
      </c>
      <c r="I236" s="130">
        <v>3.2</v>
      </c>
      <c r="J236" s="131"/>
      <c r="K236" s="130"/>
      <c r="L236" s="132" t="e">
        <v>#N/A</v>
      </c>
      <c r="M236" s="132" t="e">
        <v>#N/A</v>
      </c>
      <c r="N236" s="130">
        <v>2.0</v>
      </c>
      <c r="O236" s="138"/>
      <c r="P236" s="130" t="s">
        <v>60</v>
      </c>
      <c r="Q236" s="135">
        <v>1754.0</v>
      </c>
      <c r="R236" s="130" t="s">
        <v>234</v>
      </c>
      <c r="S236" s="130">
        <v>2016.0</v>
      </c>
      <c r="T236" s="136">
        <v>0.251</v>
      </c>
      <c r="U236" s="128">
        <f t="shared" si="65"/>
        <v>440.254</v>
      </c>
      <c r="V236" s="24">
        <f t="shared" si="3"/>
        <v>137.579375</v>
      </c>
      <c r="W236" s="3">
        <f t="shared" si="29"/>
        <v>0</v>
      </c>
      <c r="X236" s="3">
        <f t="shared" si="30"/>
        <v>0</v>
      </c>
      <c r="Y236" s="3">
        <f t="shared" si="31"/>
        <v>0</v>
      </c>
      <c r="Z236" s="25">
        <f t="shared" si="32"/>
        <v>0</v>
      </c>
      <c r="AA236" s="26">
        <f>VLOOKUP(S236,CPI!$A$2:$E$67,5,0)</f>
        <v>1.269554638</v>
      </c>
      <c r="AB236" s="27">
        <f t="shared" si="8"/>
        <v>558.9265076</v>
      </c>
      <c r="AC236" s="27">
        <f t="shared" si="9"/>
        <v>174.6645336</v>
      </c>
    </row>
    <row r="237">
      <c r="A237" s="162">
        <v>7937.0</v>
      </c>
      <c r="B237" s="72" t="s">
        <v>230</v>
      </c>
      <c r="C237" s="72" t="s">
        <v>514</v>
      </c>
      <c r="D237" s="115" t="s">
        <v>87</v>
      </c>
      <c r="E237" s="115" t="s">
        <v>331</v>
      </c>
      <c r="F237" s="69">
        <v>2017.0</v>
      </c>
      <c r="G237" s="69">
        <v>2021.0</v>
      </c>
      <c r="H237" s="69">
        <v>0.0</v>
      </c>
      <c r="I237" s="69">
        <v>52.9</v>
      </c>
      <c r="J237" s="117">
        <v>1.0</v>
      </c>
      <c r="K237" s="69">
        <v>52.9</v>
      </c>
      <c r="L237" s="72"/>
      <c r="M237" s="72"/>
      <c r="N237" s="69">
        <v>35.0</v>
      </c>
      <c r="O237" s="69">
        <v>117.0</v>
      </c>
      <c r="P237" s="72"/>
      <c r="Q237" s="140">
        <v>42062.0</v>
      </c>
      <c r="R237" s="72" t="s">
        <v>234</v>
      </c>
      <c r="S237" s="115">
        <v>2020.0</v>
      </c>
      <c r="T237" s="136">
        <v>0.239</v>
      </c>
      <c r="U237" s="118">
        <f>Q237*T237</f>
        <v>10052.818</v>
      </c>
      <c r="V237" s="24">
        <f t="shared" si="3"/>
        <v>190.0343667</v>
      </c>
      <c r="W237" s="3">
        <f t="shared" si="29"/>
        <v>0</v>
      </c>
      <c r="X237" s="3">
        <f t="shared" si="30"/>
        <v>0</v>
      </c>
      <c r="Y237" s="3">
        <f t="shared" si="31"/>
        <v>0</v>
      </c>
      <c r="Z237" s="25">
        <f t="shared" si="32"/>
        <v>0</v>
      </c>
      <c r="AA237" s="26">
        <f>VLOOKUP(S237,CPI!$A$2:$E$67,5,0)</f>
        <v>1.17731472</v>
      </c>
      <c r="AB237" s="27">
        <f t="shared" si="8"/>
        <v>11835.33061</v>
      </c>
      <c r="AC237" s="27">
        <f t="shared" si="9"/>
        <v>223.7302573</v>
      </c>
    </row>
    <row r="238">
      <c r="A238" s="38">
        <v>8001.0</v>
      </c>
      <c r="B238" s="130" t="s">
        <v>230</v>
      </c>
      <c r="C238" s="130" t="s">
        <v>514</v>
      </c>
      <c r="D238" s="130" t="s">
        <v>228</v>
      </c>
      <c r="E238" s="130" t="s">
        <v>228</v>
      </c>
      <c r="F238" s="130">
        <v>2017.0</v>
      </c>
      <c r="G238" s="130">
        <v>2021.0</v>
      </c>
      <c r="H238" s="130">
        <v>0.0</v>
      </c>
      <c r="I238" s="130">
        <v>45.0</v>
      </c>
      <c r="J238" s="131"/>
      <c r="K238" s="130"/>
      <c r="L238" s="132" t="e">
        <v>#N/A</v>
      </c>
      <c r="M238" s="132" t="e">
        <v>#N/A</v>
      </c>
      <c r="N238" s="130">
        <v>22.0</v>
      </c>
      <c r="O238" s="138"/>
      <c r="P238" s="130" t="s">
        <v>60</v>
      </c>
      <c r="Q238" s="135">
        <v>28997.0</v>
      </c>
      <c r="R238" s="130" t="s">
        <v>234</v>
      </c>
      <c r="S238" s="130">
        <v>2016.0</v>
      </c>
      <c r="T238" s="136">
        <v>0.251</v>
      </c>
      <c r="U238" s="128">
        <f>T238*Q238</f>
        <v>7278.247</v>
      </c>
      <c r="V238" s="24">
        <f t="shared" si="3"/>
        <v>161.7388222</v>
      </c>
      <c r="W238" s="3">
        <f t="shared" si="29"/>
        <v>0</v>
      </c>
      <c r="X238" s="3">
        <f t="shared" si="30"/>
        <v>0</v>
      </c>
      <c r="Y238" s="3">
        <f t="shared" si="31"/>
        <v>0</v>
      </c>
      <c r="Z238" s="25">
        <f t="shared" si="32"/>
        <v>0</v>
      </c>
      <c r="AA238" s="26">
        <f>VLOOKUP(S238,CPI!$A$2:$E$67,5,0)</f>
        <v>1.269554638</v>
      </c>
      <c r="AB238" s="27">
        <f t="shared" si="8"/>
        <v>9240.132235</v>
      </c>
      <c r="AC238" s="27">
        <f t="shared" si="9"/>
        <v>205.3362719</v>
      </c>
    </row>
    <row r="239">
      <c r="A239" s="163"/>
      <c r="B239" s="114" t="s">
        <v>230</v>
      </c>
      <c r="C239" s="72" t="s">
        <v>514</v>
      </c>
      <c r="D239" s="72" t="s">
        <v>524</v>
      </c>
      <c r="E239" s="72" t="s">
        <v>524</v>
      </c>
      <c r="F239" s="114"/>
      <c r="G239" s="116">
        <v>2021.0</v>
      </c>
      <c r="H239" s="116">
        <v>0.0</v>
      </c>
      <c r="I239" s="116">
        <v>23.508</v>
      </c>
      <c r="J239" s="117">
        <v>1.0</v>
      </c>
      <c r="K239" s="116">
        <v>23.508</v>
      </c>
      <c r="L239" s="114"/>
      <c r="M239" s="114"/>
      <c r="N239" s="116">
        <v>11.0</v>
      </c>
      <c r="O239" s="116">
        <v>117.0</v>
      </c>
      <c r="P239" s="114"/>
      <c r="Q239" s="140">
        <v>13298.0</v>
      </c>
      <c r="R239" s="114" t="s">
        <v>234</v>
      </c>
      <c r="S239" s="115">
        <v>2021.0</v>
      </c>
      <c r="T239" s="136">
        <v>0.239000000000001</v>
      </c>
      <c r="U239" s="118">
        <f t="shared" ref="U239:U282" si="66">Q239*T239</f>
        <v>3178.222</v>
      </c>
      <c r="V239" s="24">
        <f t="shared" si="3"/>
        <v>135.1974647</v>
      </c>
      <c r="W239" s="3">
        <f t="shared" si="29"/>
        <v>0</v>
      </c>
      <c r="X239" s="3">
        <f t="shared" si="30"/>
        <v>0</v>
      </c>
      <c r="Y239" s="3">
        <f t="shared" si="31"/>
        <v>0</v>
      </c>
      <c r="Z239" s="25">
        <f t="shared" si="32"/>
        <v>0</v>
      </c>
      <c r="AA239" s="26">
        <f>VLOOKUP(S239,CPI!$A$2:$E$67,5,0)</f>
        <v>1.124486105</v>
      </c>
      <c r="AB239" s="27">
        <f t="shared" si="8"/>
        <v>3573.866479</v>
      </c>
      <c r="AC239" s="27">
        <f t="shared" si="9"/>
        <v>152.0276705</v>
      </c>
    </row>
    <row r="240">
      <c r="A240" s="7"/>
      <c r="B240" s="114" t="s">
        <v>230</v>
      </c>
      <c r="C240" s="114" t="s">
        <v>514</v>
      </c>
      <c r="D240" s="114" t="s">
        <v>526</v>
      </c>
      <c r="E240" s="114" t="s">
        <v>526</v>
      </c>
      <c r="F240" s="114"/>
      <c r="G240" s="116">
        <v>2021.0</v>
      </c>
      <c r="H240" s="116">
        <v>0.0</v>
      </c>
      <c r="I240" s="116">
        <v>48.18</v>
      </c>
      <c r="J240" s="117">
        <v>0.31</v>
      </c>
      <c r="K240" s="116">
        <v>14.81</v>
      </c>
      <c r="L240" s="114"/>
      <c r="M240" s="114"/>
      <c r="N240" s="116">
        <v>12.0</v>
      </c>
      <c r="O240" s="116">
        <v>78.0</v>
      </c>
      <c r="P240" s="114"/>
      <c r="Q240" s="140">
        <v>13611.0</v>
      </c>
      <c r="R240" s="114" t="s">
        <v>234</v>
      </c>
      <c r="S240" s="115">
        <v>2021.0</v>
      </c>
      <c r="T240" s="136">
        <v>0.239000000000001</v>
      </c>
      <c r="U240" s="118">
        <f t="shared" si="66"/>
        <v>3253.029</v>
      </c>
      <c r="V240" s="24">
        <f t="shared" si="3"/>
        <v>67.51824408</v>
      </c>
      <c r="W240" s="3">
        <f t="shared" si="29"/>
        <v>0</v>
      </c>
      <c r="X240" s="3">
        <f t="shared" si="30"/>
        <v>0</v>
      </c>
      <c r="Y240" s="3">
        <f t="shared" si="31"/>
        <v>0</v>
      </c>
      <c r="Z240" s="25">
        <f t="shared" si="32"/>
        <v>0</v>
      </c>
      <c r="AA240" s="26">
        <f>VLOOKUP(S240,CPI!$A$2:$E$67,5,0)</f>
        <v>1.124486105</v>
      </c>
      <c r="AB240" s="27">
        <f t="shared" si="8"/>
        <v>3657.985911</v>
      </c>
      <c r="AC240" s="27">
        <f t="shared" si="9"/>
        <v>75.92332734</v>
      </c>
    </row>
    <row r="241">
      <c r="A241" s="162">
        <v>7835.0</v>
      </c>
      <c r="B241" s="72" t="s">
        <v>230</v>
      </c>
      <c r="C241" s="72" t="s">
        <v>514</v>
      </c>
      <c r="D241" s="115" t="s">
        <v>239</v>
      </c>
      <c r="E241" s="115" t="s">
        <v>356</v>
      </c>
      <c r="F241" s="72"/>
      <c r="G241" s="72">
        <v>2021.0</v>
      </c>
      <c r="H241" s="72">
        <v>0.0</v>
      </c>
      <c r="I241" s="72">
        <v>15.184</v>
      </c>
      <c r="J241" s="117">
        <v>1.0</v>
      </c>
      <c r="K241" s="72">
        <v>15.184</v>
      </c>
      <c r="L241" s="72"/>
      <c r="M241" s="72"/>
      <c r="N241" s="72">
        <v>12.0</v>
      </c>
      <c r="O241" s="69">
        <v>138.0</v>
      </c>
      <c r="P241" s="72"/>
      <c r="Q241" s="140">
        <v>15702.0</v>
      </c>
      <c r="R241" s="72" t="s">
        <v>234</v>
      </c>
      <c r="S241" s="115">
        <v>2021.0</v>
      </c>
      <c r="T241" s="136">
        <v>0.239</v>
      </c>
      <c r="U241" s="118">
        <f t="shared" si="66"/>
        <v>3752.778</v>
      </c>
      <c r="V241" s="24">
        <f t="shared" si="3"/>
        <v>247.153451</v>
      </c>
      <c r="W241" s="3">
        <f t="shared" si="29"/>
        <v>0</v>
      </c>
      <c r="X241" s="3">
        <f t="shared" si="30"/>
        <v>0</v>
      </c>
      <c r="Y241" s="3">
        <f t="shared" si="31"/>
        <v>0</v>
      </c>
      <c r="Z241" s="25">
        <f t="shared" si="32"/>
        <v>0</v>
      </c>
      <c r="AA241" s="26">
        <f>VLOOKUP(S241,CPI!$A$2:$E$67,5,0)</f>
        <v>1.124486105</v>
      </c>
      <c r="AB241" s="27">
        <f t="shared" si="8"/>
        <v>4219.946718</v>
      </c>
      <c r="AC241" s="27">
        <f t="shared" si="9"/>
        <v>277.9206216</v>
      </c>
    </row>
    <row r="242">
      <c r="A242" s="163"/>
      <c r="B242" s="114" t="s">
        <v>230</v>
      </c>
      <c r="C242" s="72" t="s">
        <v>514</v>
      </c>
      <c r="D242" s="115" t="s">
        <v>80</v>
      </c>
      <c r="E242" s="115" t="s">
        <v>255</v>
      </c>
      <c r="F242" s="114"/>
      <c r="G242" s="116">
        <v>2021.0</v>
      </c>
      <c r="H242" s="116">
        <v>0.0</v>
      </c>
      <c r="I242" s="116">
        <v>26.955</v>
      </c>
      <c r="J242" s="117">
        <v>1.0</v>
      </c>
      <c r="K242" s="116">
        <v>26.955</v>
      </c>
      <c r="L242" s="114"/>
      <c r="M242" s="114"/>
      <c r="N242" s="116">
        <v>19.0</v>
      </c>
      <c r="O242" s="116">
        <v>117.0</v>
      </c>
      <c r="P242" s="114"/>
      <c r="Q242" s="140">
        <v>17830.0</v>
      </c>
      <c r="R242" s="114" t="s">
        <v>234</v>
      </c>
      <c r="S242" s="115">
        <v>2021.0</v>
      </c>
      <c r="T242" s="136">
        <v>0.239000000000001</v>
      </c>
      <c r="U242" s="118">
        <f t="shared" si="66"/>
        <v>4261.37</v>
      </c>
      <c r="V242" s="24">
        <f t="shared" si="3"/>
        <v>158.0920052</v>
      </c>
      <c r="W242" s="3">
        <f t="shared" si="29"/>
        <v>0</v>
      </c>
      <c r="X242" s="3">
        <f t="shared" si="30"/>
        <v>0</v>
      </c>
      <c r="Y242" s="3">
        <f t="shared" si="31"/>
        <v>0</v>
      </c>
      <c r="Z242" s="25">
        <f t="shared" si="32"/>
        <v>0</v>
      </c>
      <c r="AA242" s="26">
        <f>VLOOKUP(S242,CPI!$A$2:$E$67,5,0)</f>
        <v>1.124486105</v>
      </c>
      <c r="AB242" s="27">
        <f t="shared" si="8"/>
        <v>4791.851355</v>
      </c>
      <c r="AC242" s="27">
        <f t="shared" si="9"/>
        <v>177.7722632</v>
      </c>
    </row>
    <row r="243">
      <c r="A243" s="170">
        <v>7907.0</v>
      </c>
      <c r="B243" s="72" t="s">
        <v>230</v>
      </c>
      <c r="C243" s="72" t="s">
        <v>514</v>
      </c>
      <c r="D243" s="115" t="s">
        <v>110</v>
      </c>
      <c r="E243" s="115" t="s">
        <v>358</v>
      </c>
      <c r="F243" s="69">
        <v>2017.0</v>
      </c>
      <c r="G243" s="69">
        <v>2022.0</v>
      </c>
      <c r="H243" s="69">
        <v>0.0</v>
      </c>
      <c r="I243" s="69">
        <v>23.9</v>
      </c>
      <c r="J243" s="117">
        <v>1.0</v>
      </c>
      <c r="K243" s="69">
        <v>23.9</v>
      </c>
      <c r="L243" s="72"/>
      <c r="M243" s="72"/>
      <c r="N243" s="69">
        <v>15.0</v>
      </c>
      <c r="O243" s="69">
        <v>117.0</v>
      </c>
      <c r="P243" s="72"/>
      <c r="Q243" s="140">
        <v>20686.0</v>
      </c>
      <c r="R243" s="72" t="s">
        <v>234</v>
      </c>
      <c r="S243" s="115">
        <v>2020.0</v>
      </c>
      <c r="T243" s="136">
        <v>0.239</v>
      </c>
      <c r="U243" s="118">
        <f t="shared" si="66"/>
        <v>4943.954</v>
      </c>
      <c r="V243" s="24">
        <f t="shared" si="3"/>
        <v>206.86</v>
      </c>
      <c r="W243" s="3">
        <f t="shared" si="29"/>
        <v>0</v>
      </c>
      <c r="X243" s="3">
        <f t="shared" si="30"/>
        <v>0</v>
      </c>
      <c r="Y243" s="3">
        <f t="shared" si="31"/>
        <v>0</v>
      </c>
      <c r="Z243" s="25">
        <f t="shared" si="32"/>
        <v>0</v>
      </c>
      <c r="AA243" s="26">
        <f>VLOOKUP(S243,CPI!$A$2:$E$67,5,0)</f>
        <v>1.17731472</v>
      </c>
      <c r="AB243" s="27">
        <f t="shared" si="8"/>
        <v>5820.589819</v>
      </c>
      <c r="AC243" s="27">
        <f t="shared" si="9"/>
        <v>243.539323</v>
      </c>
    </row>
    <row r="244">
      <c r="A244" s="170">
        <v>7866.0</v>
      </c>
      <c r="B244" s="72" t="s">
        <v>230</v>
      </c>
      <c r="C244" s="72" t="s">
        <v>514</v>
      </c>
      <c r="D244" s="115" t="s">
        <v>80</v>
      </c>
      <c r="E244" s="115" t="s">
        <v>265</v>
      </c>
      <c r="F244" s="69">
        <v>2017.0</v>
      </c>
      <c r="G244" s="69">
        <v>2022.0</v>
      </c>
      <c r="H244" s="69">
        <v>0.0</v>
      </c>
      <c r="I244" s="69">
        <v>8.366</v>
      </c>
      <c r="J244" s="117">
        <v>1.0</v>
      </c>
      <c r="K244" s="69">
        <v>8.366</v>
      </c>
      <c r="L244" s="72"/>
      <c r="M244" s="72"/>
      <c r="N244" s="69">
        <v>5.0</v>
      </c>
      <c r="O244" s="69">
        <v>117.0</v>
      </c>
      <c r="P244" s="72"/>
      <c r="Q244" s="140">
        <v>6226.0</v>
      </c>
      <c r="R244" s="72" t="s">
        <v>234</v>
      </c>
      <c r="S244" s="115">
        <v>2020.0</v>
      </c>
      <c r="T244" s="136">
        <v>0.239</v>
      </c>
      <c r="U244" s="118">
        <f t="shared" si="66"/>
        <v>1488.014</v>
      </c>
      <c r="V244" s="24">
        <f t="shared" si="3"/>
        <v>177.8644514</v>
      </c>
      <c r="W244" s="3">
        <f t="shared" si="29"/>
        <v>0</v>
      </c>
      <c r="X244" s="3">
        <f t="shared" si="30"/>
        <v>0</v>
      </c>
      <c r="Y244" s="3">
        <f t="shared" si="31"/>
        <v>0</v>
      </c>
      <c r="Z244" s="25">
        <f t="shared" si="32"/>
        <v>0</v>
      </c>
      <c r="AA244" s="26">
        <f>VLOOKUP(S244,CPI!$A$2:$E$67,5,0)</f>
        <v>1.17731472</v>
      </c>
      <c r="AB244" s="27">
        <f t="shared" si="8"/>
        <v>1751.860786</v>
      </c>
      <c r="AC244" s="27">
        <f t="shared" si="9"/>
        <v>209.4024367</v>
      </c>
    </row>
    <row r="245">
      <c r="A245" s="170">
        <v>7818.0</v>
      </c>
      <c r="B245" s="123" t="s">
        <v>230</v>
      </c>
      <c r="C245" s="123" t="s">
        <v>514</v>
      </c>
      <c r="D245" s="36" t="s">
        <v>253</v>
      </c>
      <c r="E245" s="123" t="s">
        <v>362</v>
      </c>
      <c r="F245" s="75">
        <v>2017.0</v>
      </c>
      <c r="G245" s="75">
        <v>2022.0</v>
      </c>
      <c r="H245" s="75">
        <v>0.0</v>
      </c>
      <c r="I245" s="75">
        <v>17.8</v>
      </c>
      <c r="J245" s="155"/>
      <c r="K245" s="123"/>
      <c r="L245" s="125" t="e">
        <v>#N/A</v>
      </c>
      <c r="M245" s="125" t="e">
        <v>#N/A</v>
      </c>
      <c r="N245" s="75">
        <v>14.0</v>
      </c>
      <c r="O245" s="75"/>
      <c r="P245" s="123" t="s">
        <v>60</v>
      </c>
      <c r="Q245" s="126">
        <v>15657.0</v>
      </c>
      <c r="R245" s="123" t="s">
        <v>234</v>
      </c>
      <c r="S245" s="75">
        <v>2016.0</v>
      </c>
      <c r="T245" s="136">
        <v>0.251</v>
      </c>
      <c r="U245" s="128">
        <f t="shared" si="66"/>
        <v>3929.907</v>
      </c>
      <c r="V245" s="24">
        <f t="shared" si="3"/>
        <v>220.7812921</v>
      </c>
      <c r="W245" s="3">
        <f t="shared" si="29"/>
        <v>0</v>
      </c>
      <c r="X245" s="3">
        <f t="shared" si="30"/>
        <v>0</v>
      </c>
      <c r="Y245" s="3">
        <f t="shared" si="31"/>
        <v>0</v>
      </c>
      <c r="Z245" s="25">
        <f t="shared" si="32"/>
        <v>0</v>
      </c>
      <c r="AA245" s="26">
        <f>VLOOKUP(S245,CPI!$A$2:$E$67,5,0)</f>
        <v>1.269554638</v>
      </c>
      <c r="AB245" s="27">
        <f t="shared" si="8"/>
        <v>4989.231659</v>
      </c>
      <c r="AC245" s="27">
        <f t="shared" si="9"/>
        <v>280.2939134</v>
      </c>
    </row>
    <row r="246">
      <c r="A246" s="170">
        <v>7914.0</v>
      </c>
      <c r="B246" s="72" t="s">
        <v>230</v>
      </c>
      <c r="C246" s="72" t="s">
        <v>514</v>
      </c>
      <c r="D246" s="16" t="s">
        <v>243</v>
      </c>
      <c r="E246" s="115" t="s">
        <v>379</v>
      </c>
      <c r="F246" s="69">
        <v>2018.0</v>
      </c>
      <c r="G246" s="69">
        <v>2022.0</v>
      </c>
      <c r="H246" s="69">
        <v>0.0</v>
      </c>
      <c r="I246" s="69">
        <v>17.1</v>
      </c>
      <c r="J246" s="117">
        <v>1.0</v>
      </c>
      <c r="K246" s="69">
        <v>17.1</v>
      </c>
      <c r="L246" s="72"/>
      <c r="M246" s="72"/>
      <c r="N246" s="69">
        <v>9.0</v>
      </c>
      <c r="O246" s="69">
        <v>138.0</v>
      </c>
      <c r="P246" s="72"/>
      <c r="Q246" s="140">
        <v>13526.0</v>
      </c>
      <c r="R246" s="72" t="s">
        <v>234</v>
      </c>
      <c r="S246" s="115">
        <v>2020.0</v>
      </c>
      <c r="T246" s="136">
        <v>0.239</v>
      </c>
      <c r="U246" s="118">
        <f t="shared" si="66"/>
        <v>3232.714</v>
      </c>
      <c r="V246" s="24">
        <f t="shared" si="3"/>
        <v>189.0476023</v>
      </c>
      <c r="W246" s="3">
        <f t="shared" si="29"/>
        <v>0</v>
      </c>
      <c r="X246" s="3">
        <f t="shared" si="30"/>
        <v>0</v>
      </c>
      <c r="Y246" s="3">
        <f t="shared" si="31"/>
        <v>0</v>
      </c>
      <c r="Z246" s="25">
        <f t="shared" si="32"/>
        <v>0</v>
      </c>
      <c r="AA246" s="26">
        <f>VLOOKUP(S246,CPI!$A$2:$E$67,5,0)</f>
        <v>1.17731472</v>
      </c>
      <c r="AB246" s="27">
        <f t="shared" si="8"/>
        <v>3805.921778</v>
      </c>
      <c r="AC246" s="27">
        <f t="shared" si="9"/>
        <v>222.568525</v>
      </c>
    </row>
    <row r="247">
      <c r="A247" s="163"/>
      <c r="B247" s="114" t="s">
        <v>230</v>
      </c>
      <c r="C247" s="72" t="s">
        <v>514</v>
      </c>
      <c r="D247" s="72" t="s">
        <v>533</v>
      </c>
      <c r="E247" s="72" t="s">
        <v>533</v>
      </c>
      <c r="F247" s="116">
        <v>2019.0</v>
      </c>
      <c r="G247" s="116">
        <v>2022.0</v>
      </c>
      <c r="H247" s="116">
        <v>0.0</v>
      </c>
      <c r="I247" s="116">
        <v>59.1316</v>
      </c>
      <c r="J247" s="117">
        <v>0.79</v>
      </c>
      <c r="K247" s="116">
        <v>46.5</v>
      </c>
      <c r="L247" s="114"/>
      <c r="M247" s="114"/>
      <c r="N247" s="116">
        <v>15.0</v>
      </c>
      <c r="O247" s="116">
        <v>138.0</v>
      </c>
      <c r="P247" s="114"/>
      <c r="Q247" s="140">
        <v>43206.0</v>
      </c>
      <c r="R247" s="114" t="s">
        <v>234</v>
      </c>
      <c r="S247" s="115">
        <v>2021.0</v>
      </c>
      <c r="T247" s="136">
        <v>0.239000000000001</v>
      </c>
      <c r="U247" s="118">
        <f t="shared" si="66"/>
        <v>10326.234</v>
      </c>
      <c r="V247" s="24">
        <f t="shared" si="3"/>
        <v>174.6313984</v>
      </c>
      <c r="W247" s="3">
        <f t="shared" si="29"/>
        <v>0</v>
      </c>
      <c r="X247" s="3">
        <f t="shared" si="30"/>
        <v>0</v>
      </c>
      <c r="Y247" s="3">
        <f t="shared" si="31"/>
        <v>0</v>
      </c>
      <c r="Z247" s="25">
        <f t="shared" si="32"/>
        <v>0</v>
      </c>
      <c r="AA247" s="26">
        <f>VLOOKUP(S247,CPI!$A$2:$E$67,5,0)</f>
        <v>1.124486105</v>
      </c>
      <c r="AB247" s="27">
        <f t="shared" si="8"/>
        <v>11611.70665</v>
      </c>
      <c r="AC247" s="27">
        <f t="shared" si="9"/>
        <v>196.3705811</v>
      </c>
    </row>
    <row r="248">
      <c r="A248" s="163"/>
      <c r="B248" s="114" t="s">
        <v>230</v>
      </c>
      <c r="C248" s="72" t="s">
        <v>514</v>
      </c>
      <c r="D248" s="115" t="s">
        <v>87</v>
      </c>
      <c r="E248" s="72" t="s">
        <v>535</v>
      </c>
      <c r="F248" s="116">
        <v>2020.0</v>
      </c>
      <c r="G248" s="116">
        <v>2022.0</v>
      </c>
      <c r="H248" s="116">
        <v>0.0</v>
      </c>
      <c r="I248" s="116">
        <v>4.7</v>
      </c>
      <c r="J248" s="117">
        <v>1.0</v>
      </c>
      <c r="K248" s="116">
        <v>4.7</v>
      </c>
      <c r="L248" s="114"/>
      <c r="M248" s="114"/>
      <c r="N248" s="116">
        <v>4.0</v>
      </c>
      <c r="O248" s="116">
        <v>117.0</v>
      </c>
      <c r="P248" s="114"/>
      <c r="Q248" s="140">
        <v>10870.0</v>
      </c>
      <c r="R248" s="114" t="s">
        <v>234</v>
      </c>
      <c r="S248" s="115">
        <v>2020.0</v>
      </c>
      <c r="T248" s="136">
        <v>0.239</v>
      </c>
      <c r="U248" s="118">
        <f t="shared" si="66"/>
        <v>2597.93</v>
      </c>
      <c r="V248" s="24">
        <f t="shared" si="3"/>
        <v>552.7510638</v>
      </c>
      <c r="W248" s="3">
        <f t="shared" si="29"/>
        <v>0</v>
      </c>
      <c r="X248" s="3">
        <f t="shared" si="30"/>
        <v>0</v>
      </c>
      <c r="Y248" s="3">
        <f t="shared" si="31"/>
        <v>0</v>
      </c>
      <c r="Z248" s="25">
        <f t="shared" si="32"/>
        <v>0</v>
      </c>
      <c r="AA248" s="26">
        <f>VLOOKUP(S248,CPI!$A$2:$E$67,5,0)</f>
        <v>1.17731472</v>
      </c>
      <c r="AB248" s="27">
        <f t="shared" si="8"/>
        <v>3058.581231</v>
      </c>
      <c r="AC248" s="27">
        <f t="shared" si="9"/>
        <v>650.7619639</v>
      </c>
    </row>
    <row r="249">
      <c r="A249" s="163"/>
      <c r="B249" s="114" t="s">
        <v>230</v>
      </c>
      <c r="C249" s="72" t="s">
        <v>514</v>
      </c>
      <c r="D249" s="115" t="s">
        <v>54</v>
      </c>
      <c r="E249" s="115" t="s">
        <v>537</v>
      </c>
      <c r="F249" s="116">
        <v>2008.0</v>
      </c>
      <c r="G249" s="114"/>
      <c r="H249" s="116">
        <v>0.0</v>
      </c>
      <c r="I249" s="116">
        <v>18.2</v>
      </c>
      <c r="J249" s="117">
        <v>1.0</v>
      </c>
      <c r="K249" s="116">
        <v>18.2</v>
      </c>
      <c r="L249" s="114"/>
      <c r="M249" s="114"/>
      <c r="N249" s="116">
        <v>13.0</v>
      </c>
      <c r="O249" s="116">
        <v>117.0</v>
      </c>
      <c r="P249" s="114"/>
      <c r="Q249" s="140">
        <v>10500.0</v>
      </c>
      <c r="R249" s="114" t="s">
        <v>234</v>
      </c>
      <c r="S249" s="115">
        <v>2008.0</v>
      </c>
      <c r="T249" s="85">
        <v>0.315</v>
      </c>
      <c r="U249" s="118">
        <f t="shared" si="66"/>
        <v>3307.5</v>
      </c>
      <c r="V249" s="24">
        <f t="shared" si="3"/>
        <v>181.7307692</v>
      </c>
      <c r="W249" s="3">
        <f t="shared" si="29"/>
        <v>0</v>
      </c>
      <c r="X249" s="3">
        <f t="shared" si="30"/>
        <v>0</v>
      </c>
      <c r="Y249" s="3">
        <f t="shared" si="31"/>
        <v>0</v>
      </c>
      <c r="Z249" s="25">
        <f t="shared" si="32"/>
        <v>0</v>
      </c>
      <c r="AA249" s="26">
        <f>VLOOKUP(S249,CPI!$A$2:$E$67,5,0)</f>
        <v>1.415224126</v>
      </c>
      <c r="AB249" s="27">
        <f t="shared" si="8"/>
        <v>4680.853797</v>
      </c>
      <c r="AC249" s="27">
        <f t="shared" si="9"/>
        <v>257.1897691</v>
      </c>
    </row>
    <row r="250">
      <c r="A250" s="163"/>
      <c r="B250" s="114" t="s">
        <v>230</v>
      </c>
      <c r="C250" s="72" t="s">
        <v>514</v>
      </c>
      <c r="D250" s="115" t="s">
        <v>110</v>
      </c>
      <c r="E250" s="115" t="s">
        <v>332</v>
      </c>
      <c r="F250" s="116">
        <v>2013.0</v>
      </c>
      <c r="G250" s="114"/>
      <c r="H250" s="116">
        <v>0.0</v>
      </c>
      <c r="I250" s="116">
        <v>20.8</v>
      </c>
      <c r="J250" s="117">
        <v>1.0</v>
      </c>
      <c r="K250" s="116">
        <v>20.8</v>
      </c>
      <c r="L250" s="114"/>
      <c r="M250" s="114"/>
      <c r="N250" s="116">
        <v>18.0</v>
      </c>
      <c r="O250" s="116">
        <v>117.0</v>
      </c>
      <c r="P250" s="114"/>
      <c r="Q250" s="140">
        <v>14350.0</v>
      </c>
      <c r="R250" s="114" t="s">
        <v>234</v>
      </c>
      <c r="S250" s="115">
        <v>2013.0</v>
      </c>
      <c r="T250" s="85">
        <v>0.273</v>
      </c>
      <c r="U250" s="118">
        <f t="shared" si="66"/>
        <v>3917.55</v>
      </c>
      <c r="V250" s="24">
        <f t="shared" si="3"/>
        <v>188.34375</v>
      </c>
      <c r="W250" s="3">
        <f t="shared" si="29"/>
        <v>0</v>
      </c>
      <c r="X250" s="3">
        <f t="shared" si="30"/>
        <v>0</v>
      </c>
      <c r="Y250" s="3">
        <f t="shared" si="31"/>
        <v>0</v>
      </c>
      <c r="Z250" s="25">
        <f t="shared" si="32"/>
        <v>0</v>
      </c>
      <c r="AA250" s="26">
        <f>VLOOKUP(S250,CPI!$A$2:$E$67,5,0)</f>
        <v>1.307975292</v>
      </c>
      <c r="AB250" s="27">
        <f t="shared" si="8"/>
        <v>5124.058604</v>
      </c>
      <c r="AC250" s="27">
        <f t="shared" si="9"/>
        <v>246.3489713</v>
      </c>
    </row>
    <row r="251">
      <c r="A251" s="163"/>
      <c r="B251" s="114" t="s">
        <v>230</v>
      </c>
      <c r="C251" s="114" t="s">
        <v>514</v>
      </c>
      <c r="D251" s="115" t="s">
        <v>54</v>
      </c>
      <c r="E251" s="115" t="s">
        <v>326</v>
      </c>
      <c r="F251" s="116">
        <v>2014.0</v>
      </c>
      <c r="G251" s="114"/>
      <c r="H251" s="116">
        <v>0.0</v>
      </c>
      <c r="I251" s="116">
        <v>11.281</v>
      </c>
      <c r="J251" s="117">
        <v>1.0</v>
      </c>
      <c r="K251" s="116">
        <v>11.281</v>
      </c>
      <c r="L251" s="114"/>
      <c r="M251" s="114"/>
      <c r="N251" s="116">
        <v>9.0</v>
      </c>
      <c r="O251" s="116">
        <v>117.0</v>
      </c>
      <c r="P251" s="114"/>
      <c r="Q251" s="140">
        <v>7900.0</v>
      </c>
      <c r="R251" s="114" t="s">
        <v>234</v>
      </c>
      <c r="S251" s="115">
        <v>2014.0</v>
      </c>
      <c r="T251" s="85">
        <v>0.266</v>
      </c>
      <c r="U251" s="118">
        <f t="shared" si="66"/>
        <v>2101.4</v>
      </c>
      <c r="V251" s="24">
        <f t="shared" si="3"/>
        <v>186.2778123</v>
      </c>
      <c r="W251" s="3">
        <f t="shared" si="29"/>
        <v>0</v>
      </c>
      <c r="X251" s="3">
        <f t="shared" si="30"/>
        <v>0</v>
      </c>
      <c r="Y251" s="3">
        <f t="shared" si="31"/>
        <v>0</v>
      </c>
      <c r="Z251" s="25">
        <f t="shared" si="32"/>
        <v>0</v>
      </c>
      <c r="AA251" s="26">
        <f>VLOOKUP(S251,CPI!$A$2:$E$67,5,0)</f>
        <v>1.287096175</v>
      </c>
      <c r="AB251" s="27">
        <f t="shared" si="8"/>
        <v>2704.703901</v>
      </c>
      <c r="AC251" s="27">
        <f t="shared" si="9"/>
        <v>239.7574596</v>
      </c>
    </row>
    <row r="252">
      <c r="A252" s="163"/>
      <c r="B252" s="114" t="s">
        <v>230</v>
      </c>
      <c r="C252" s="72" t="s">
        <v>514</v>
      </c>
      <c r="D252" s="115" t="s">
        <v>54</v>
      </c>
      <c r="E252" s="115" t="s">
        <v>542</v>
      </c>
      <c r="F252" s="116">
        <v>2017.0</v>
      </c>
      <c r="G252" s="116"/>
      <c r="H252" s="116">
        <v>0.0</v>
      </c>
      <c r="I252" s="116">
        <v>30.5</v>
      </c>
      <c r="J252" s="117">
        <v>1.0</v>
      </c>
      <c r="K252" s="116">
        <v>30.5</v>
      </c>
      <c r="L252" s="114"/>
      <c r="M252" s="114"/>
      <c r="N252" s="116">
        <v>24.0</v>
      </c>
      <c r="O252" s="116">
        <v>117.0</v>
      </c>
      <c r="P252" s="114"/>
      <c r="Q252" s="140">
        <v>17783.0</v>
      </c>
      <c r="R252" s="114" t="s">
        <v>234</v>
      </c>
      <c r="S252" s="115">
        <v>2017.0</v>
      </c>
      <c r="T252" s="85">
        <v>0.239</v>
      </c>
      <c r="U252" s="118">
        <f t="shared" si="66"/>
        <v>4250.137</v>
      </c>
      <c r="V252" s="24">
        <f t="shared" si="3"/>
        <v>139.3487541</v>
      </c>
      <c r="W252" s="3">
        <f t="shared" si="29"/>
        <v>0</v>
      </c>
      <c r="X252" s="3">
        <f t="shared" si="30"/>
        <v>0</v>
      </c>
      <c r="Y252" s="3">
        <f t="shared" si="31"/>
        <v>0</v>
      </c>
      <c r="Z252" s="25">
        <f t="shared" si="32"/>
        <v>0</v>
      </c>
      <c r="AA252" s="26">
        <f>VLOOKUP(S252,CPI!$A$2:$E$67,5,0)</f>
        <v>1.243072781</v>
      </c>
      <c r="AB252" s="27">
        <f t="shared" si="8"/>
        <v>5283.229619</v>
      </c>
      <c r="AC252" s="27">
        <f t="shared" si="9"/>
        <v>173.2206432</v>
      </c>
    </row>
    <row r="253">
      <c r="A253" s="163"/>
      <c r="B253" s="114" t="s">
        <v>230</v>
      </c>
      <c r="C253" s="72" t="s">
        <v>514</v>
      </c>
      <c r="D253" s="115" t="s">
        <v>84</v>
      </c>
      <c r="E253" s="115" t="s">
        <v>544</v>
      </c>
      <c r="F253" s="116">
        <v>2020.0</v>
      </c>
      <c r="G253" s="114"/>
      <c r="H253" s="116">
        <v>0.0</v>
      </c>
      <c r="I253" s="116">
        <v>4.95</v>
      </c>
      <c r="J253" s="117">
        <v>1.0</v>
      </c>
      <c r="K253" s="116">
        <v>4.95</v>
      </c>
      <c r="L253" s="114"/>
      <c r="M253" s="114"/>
      <c r="N253" s="116">
        <v>2.0</v>
      </c>
      <c r="O253" s="116">
        <v>117.0</v>
      </c>
      <c r="P253" s="114"/>
      <c r="Q253" s="140">
        <v>3038.0</v>
      </c>
      <c r="R253" s="114" t="s">
        <v>234</v>
      </c>
      <c r="S253" s="115">
        <v>2020.0</v>
      </c>
      <c r="T253" s="136">
        <v>0.239</v>
      </c>
      <c r="U253" s="118">
        <f t="shared" si="66"/>
        <v>726.082</v>
      </c>
      <c r="V253" s="24">
        <f t="shared" si="3"/>
        <v>146.6832323</v>
      </c>
      <c r="W253" s="3">
        <f t="shared" si="29"/>
        <v>0</v>
      </c>
      <c r="X253" s="3">
        <f t="shared" si="30"/>
        <v>0</v>
      </c>
      <c r="Y253" s="3">
        <f t="shared" si="31"/>
        <v>0</v>
      </c>
      <c r="Z253" s="25">
        <f t="shared" si="32"/>
        <v>0</v>
      </c>
      <c r="AA253" s="26">
        <f>VLOOKUP(S253,CPI!$A$2:$E$67,5,0)</f>
        <v>1.17731472</v>
      </c>
      <c r="AB253" s="27">
        <f t="shared" si="8"/>
        <v>854.8270265</v>
      </c>
      <c r="AC253" s="27">
        <f t="shared" si="9"/>
        <v>172.6923286</v>
      </c>
    </row>
    <row r="254">
      <c r="A254" s="163"/>
      <c r="B254" s="114" t="s">
        <v>230</v>
      </c>
      <c r="C254" s="72" t="s">
        <v>514</v>
      </c>
      <c r="D254" s="115" t="s">
        <v>239</v>
      </c>
      <c r="E254" s="115" t="s">
        <v>360</v>
      </c>
      <c r="F254" s="116">
        <v>2022.0</v>
      </c>
      <c r="G254" s="114"/>
      <c r="H254" s="116">
        <v>0.0</v>
      </c>
      <c r="I254" s="116">
        <v>13.33</v>
      </c>
      <c r="J254" s="117">
        <v>1.0</v>
      </c>
      <c r="K254" s="116">
        <v>13.33</v>
      </c>
      <c r="L254" s="114"/>
      <c r="M254" s="114"/>
      <c r="N254" s="116">
        <v>10.0</v>
      </c>
      <c r="O254" s="116">
        <v>138.0</v>
      </c>
      <c r="P254" s="114"/>
      <c r="Q254" s="140">
        <v>10508.0</v>
      </c>
      <c r="R254" s="114" t="s">
        <v>234</v>
      </c>
      <c r="S254" s="115">
        <v>2021.0</v>
      </c>
      <c r="T254" s="136">
        <v>0.239000000000001</v>
      </c>
      <c r="U254" s="118">
        <f t="shared" si="66"/>
        <v>2511.412</v>
      </c>
      <c r="V254" s="24">
        <f t="shared" si="3"/>
        <v>188.4030008</v>
      </c>
      <c r="W254" s="3">
        <f t="shared" si="29"/>
        <v>0</v>
      </c>
      <c r="X254" s="3">
        <f t="shared" si="30"/>
        <v>0</v>
      </c>
      <c r="Y254" s="3">
        <f t="shared" si="31"/>
        <v>0</v>
      </c>
      <c r="Z254" s="25">
        <f t="shared" si="32"/>
        <v>0</v>
      </c>
      <c r="AA254" s="26">
        <f>VLOOKUP(S254,CPI!$A$2:$E$67,5,0)</f>
        <v>1.124486105</v>
      </c>
      <c r="AB254" s="27">
        <f t="shared" si="8"/>
        <v>2824.047899</v>
      </c>
      <c r="AC254" s="27">
        <f t="shared" si="9"/>
        <v>211.8565566</v>
      </c>
    </row>
    <row r="255">
      <c r="A255" s="7"/>
      <c r="B255" s="114" t="s">
        <v>230</v>
      </c>
      <c r="C255" s="114" t="s">
        <v>547</v>
      </c>
      <c r="D255" s="171" t="s">
        <v>57</v>
      </c>
      <c r="E255" s="115" t="s">
        <v>232</v>
      </c>
      <c r="F255" s="116">
        <v>2005.0</v>
      </c>
      <c r="G255" s="114"/>
      <c r="H255" s="116">
        <v>0.0</v>
      </c>
      <c r="I255" s="116">
        <v>14.4</v>
      </c>
      <c r="J255" s="117">
        <v>1.0</v>
      </c>
      <c r="K255" s="116">
        <v>14.4</v>
      </c>
      <c r="L255" s="114"/>
      <c r="M255" s="114"/>
      <c r="N255" s="116">
        <v>16.0</v>
      </c>
      <c r="O255" s="116">
        <v>117.0</v>
      </c>
      <c r="P255" s="114"/>
      <c r="Q255" s="140">
        <v>5890.0</v>
      </c>
      <c r="R255" s="114" t="s">
        <v>234</v>
      </c>
      <c r="S255" s="115">
        <v>2005.0</v>
      </c>
      <c r="T255" s="85">
        <v>0.352</v>
      </c>
      <c r="U255" s="118">
        <f t="shared" si="66"/>
        <v>2073.28</v>
      </c>
      <c r="V255" s="24">
        <f t="shared" si="3"/>
        <v>143.9777778</v>
      </c>
      <c r="W255" s="3">
        <f t="shared" si="29"/>
        <v>0</v>
      </c>
      <c r="X255" s="3">
        <f t="shared" si="30"/>
        <v>0</v>
      </c>
      <c r="Y255" s="3">
        <f t="shared" si="31"/>
        <v>0</v>
      </c>
      <c r="Z255" s="25">
        <f t="shared" si="32"/>
        <v>0</v>
      </c>
      <c r="AA255" s="26">
        <f>VLOOKUP(S255,CPI!$A$2:$E$67,5,0)</f>
        <v>1.560174091</v>
      </c>
      <c r="AB255" s="27">
        <f t="shared" si="8"/>
        <v>3234.67774</v>
      </c>
      <c r="AC255" s="27">
        <f t="shared" si="9"/>
        <v>224.6303986</v>
      </c>
    </row>
    <row r="256">
      <c r="A256" s="7"/>
      <c r="B256" s="114" t="s">
        <v>230</v>
      </c>
      <c r="C256" s="114" t="s">
        <v>547</v>
      </c>
      <c r="D256" s="171" t="s">
        <v>57</v>
      </c>
      <c r="E256" s="115" t="s">
        <v>549</v>
      </c>
      <c r="F256" s="116">
        <v>2016.0</v>
      </c>
      <c r="G256" s="114"/>
      <c r="H256" s="116">
        <v>0.0</v>
      </c>
      <c r="I256" s="116">
        <v>2.6</v>
      </c>
      <c r="J256" s="117">
        <v>1.0</v>
      </c>
      <c r="K256" s="116">
        <v>2.6</v>
      </c>
      <c r="L256" s="114"/>
      <c r="M256" s="114"/>
      <c r="N256" s="116">
        <v>2.0</v>
      </c>
      <c r="O256" s="116">
        <v>117.0</v>
      </c>
      <c r="P256" s="114"/>
      <c r="Q256" s="140">
        <v>1750.0</v>
      </c>
      <c r="R256" s="114" t="s">
        <v>234</v>
      </c>
      <c r="S256" s="115">
        <v>2016.0</v>
      </c>
      <c r="T256" s="85">
        <v>0.251</v>
      </c>
      <c r="U256" s="118">
        <f t="shared" si="66"/>
        <v>439.25</v>
      </c>
      <c r="V256" s="24">
        <f t="shared" si="3"/>
        <v>168.9423077</v>
      </c>
      <c r="W256" s="3">
        <f t="shared" si="29"/>
        <v>0</v>
      </c>
      <c r="X256" s="3">
        <f t="shared" si="30"/>
        <v>0</v>
      </c>
      <c r="Y256" s="3">
        <f t="shared" si="31"/>
        <v>0</v>
      </c>
      <c r="Z256" s="25">
        <f t="shared" si="32"/>
        <v>0</v>
      </c>
      <c r="AA256" s="26">
        <f>VLOOKUP(S256,CPI!$A$2:$E$67,5,0)</f>
        <v>1.269554638</v>
      </c>
      <c r="AB256" s="27">
        <f t="shared" si="8"/>
        <v>557.6518747</v>
      </c>
      <c r="AC256" s="27">
        <f t="shared" si="9"/>
        <v>214.4814903</v>
      </c>
    </row>
    <row r="257">
      <c r="A257" s="7"/>
      <c r="B257" s="114" t="s">
        <v>230</v>
      </c>
      <c r="C257" s="114" t="s">
        <v>547</v>
      </c>
      <c r="D257" s="115" t="s">
        <v>54</v>
      </c>
      <c r="E257" s="115" t="s">
        <v>551</v>
      </c>
      <c r="F257" s="116">
        <v>2016.0</v>
      </c>
      <c r="G257" s="114"/>
      <c r="H257" s="116">
        <v>0.0</v>
      </c>
      <c r="I257" s="116">
        <v>14.1</v>
      </c>
      <c r="J257" s="117">
        <v>1.0</v>
      </c>
      <c r="K257" s="116">
        <v>14.1</v>
      </c>
      <c r="L257" s="114"/>
      <c r="M257" s="114"/>
      <c r="N257" s="116">
        <v>11.0</v>
      </c>
      <c r="O257" s="116">
        <v>117.0</v>
      </c>
      <c r="P257" s="114"/>
      <c r="Q257" s="140">
        <v>8750.0</v>
      </c>
      <c r="R257" s="114" t="s">
        <v>234</v>
      </c>
      <c r="S257" s="115">
        <v>2016.0</v>
      </c>
      <c r="T257" s="85">
        <v>0.251</v>
      </c>
      <c r="U257" s="118">
        <f t="shared" si="66"/>
        <v>2196.25</v>
      </c>
      <c r="V257" s="24">
        <f t="shared" si="3"/>
        <v>155.7624113</v>
      </c>
      <c r="W257" s="3">
        <f t="shared" si="29"/>
        <v>0</v>
      </c>
      <c r="X257" s="3">
        <f t="shared" si="30"/>
        <v>0</v>
      </c>
      <c r="Y257" s="3">
        <f t="shared" si="31"/>
        <v>0</v>
      </c>
      <c r="Z257" s="25">
        <f t="shared" si="32"/>
        <v>0</v>
      </c>
      <c r="AA257" s="26">
        <f>VLOOKUP(S257,CPI!$A$2:$E$67,5,0)</f>
        <v>1.269554638</v>
      </c>
      <c r="AB257" s="27">
        <f t="shared" si="8"/>
        <v>2788.259374</v>
      </c>
      <c r="AC257" s="27">
        <f t="shared" si="9"/>
        <v>197.7488918</v>
      </c>
    </row>
    <row r="258">
      <c r="A258" s="7"/>
      <c r="B258" s="114" t="s">
        <v>230</v>
      </c>
      <c r="C258" s="114" t="s">
        <v>547</v>
      </c>
      <c r="D258" s="16" t="s">
        <v>110</v>
      </c>
      <c r="E258" s="115" t="s">
        <v>332</v>
      </c>
      <c r="F258" s="116">
        <v>2016.0</v>
      </c>
      <c r="G258" s="114"/>
      <c r="H258" s="116">
        <v>0.0</v>
      </c>
      <c r="I258" s="116">
        <v>32.2</v>
      </c>
      <c r="J258" s="117">
        <v>1.0</v>
      </c>
      <c r="K258" s="116">
        <v>32.2</v>
      </c>
      <c r="L258" s="114"/>
      <c r="M258" s="114"/>
      <c r="N258" s="116">
        <v>27.0</v>
      </c>
      <c r="O258" s="116"/>
      <c r="P258" s="114"/>
      <c r="Q258" s="140">
        <v>23760.0</v>
      </c>
      <c r="R258" s="114" t="s">
        <v>234</v>
      </c>
      <c r="S258" s="115">
        <v>2016.0</v>
      </c>
      <c r="T258" s="85">
        <v>0.251</v>
      </c>
      <c r="U258" s="118">
        <f t="shared" si="66"/>
        <v>5963.76</v>
      </c>
      <c r="V258" s="24">
        <f t="shared" si="3"/>
        <v>185.2099379</v>
      </c>
      <c r="W258" s="3">
        <f t="shared" si="29"/>
        <v>0</v>
      </c>
      <c r="X258" s="3">
        <f t="shared" si="30"/>
        <v>0</v>
      </c>
      <c r="Y258" s="3">
        <f t="shared" si="31"/>
        <v>0</v>
      </c>
      <c r="Z258" s="25">
        <f t="shared" si="32"/>
        <v>0</v>
      </c>
      <c r="AA258" s="26">
        <f>VLOOKUP(S258,CPI!$A$2:$E$67,5,0)</f>
        <v>1.269554638</v>
      </c>
      <c r="AB258" s="27">
        <f t="shared" si="8"/>
        <v>7571.319168</v>
      </c>
      <c r="AC258" s="27">
        <f t="shared" si="9"/>
        <v>235.1341356</v>
      </c>
    </row>
    <row r="259">
      <c r="A259" s="7"/>
      <c r="B259" s="114" t="s">
        <v>230</v>
      </c>
      <c r="C259" s="114" t="s">
        <v>547</v>
      </c>
      <c r="D259" s="16" t="s">
        <v>84</v>
      </c>
      <c r="E259" s="115" t="s">
        <v>319</v>
      </c>
      <c r="F259" s="116">
        <v>2016.0</v>
      </c>
      <c r="G259" s="114"/>
      <c r="H259" s="116">
        <v>0.0</v>
      </c>
      <c r="I259" s="116">
        <v>36.1</v>
      </c>
      <c r="J259" s="117">
        <v>1.0</v>
      </c>
      <c r="K259" s="116">
        <v>36.1</v>
      </c>
      <c r="L259" s="114"/>
      <c r="M259" s="114"/>
      <c r="N259" s="116">
        <v>25.0</v>
      </c>
      <c r="O259" s="116"/>
      <c r="P259" s="114"/>
      <c r="Q259" s="140">
        <v>22230.0</v>
      </c>
      <c r="R259" s="114" t="s">
        <v>234</v>
      </c>
      <c r="S259" s="115">
        <v>2016.0</v>
      </c>
      <c r="T259" s="85">
        <v>0.251</v>
      </c>
      <c r="U259" s="118">
        <f t="shared" si="66"/>
        <v>5579.73</v>
      </c>
      <c r="V259" s="24">
        <f t="shared" si="3"/>
        <v>154.5631579</v>
      </c>
      <c r="W259" s="3">
        <f t="shared" si="29"/>
        <v>0</v>
      </c>
      <c r="X259" s="3">
        <f t="shared" si="30"/>
        <v>0</v>
      </c>
      <c r="Y259" s="3">
        <f t="shared" si="31"/>
        <v>0</v>
      </c>
      <c r="Z259" s="25">
        <f t="shared" si="32"/>
        <v>0</v>
      </c>
      <c r="AA259" s="26">
        <f>VLOOKUP(S259,CPI!$A$2:$E$67,5,0)</f>
        <v>1.269554638</v>
      </c>
      <c r="AB259" s="27">
        <f t="shared" si="8"/>
        <v>7083.7721</v>
      </c>
      <c r="AC259" s="27">
        <f t="shared" si="9"/>
        <v>196.226374</v>
      </c>
    </row>
    <row r="260">
      <c r="A260" s="7"/>
      <c r="B260" s="114" t="s">
        <v>230</v>
      </c>
      <c r="C260" s="114" t="s">
        <v>547</v>
      </c>
      <c r="D260" s="171" t="s">
        <v>54</v>
      </c>
      <c r="E260" s="115" t="s">
        <v>348</v>
      </c>
      <c r="F260" s="116">
        <v>2021.0</v>
      </c>
      <c r="G260" s="114"/>
      <c r="H260" s="116">
        <v>0.0</v>
      </c>
      <c r="I260" s="116">
        <v>28.7</v>
      </c>
      <c r="J260" s="117">
        <v>1.0</v>
      </c>
      <c r="K260" s="116">
        <v>28.7</v>
      </c>
      <c r="L260" s="114"/>
      <c r="M260" s="114"/>
      <c r="N260" s="116">
        <v>19.0</v>
      </c>
      <c r="O260" s="116">
        <v>117.0</v>
      </c>
      <c r="P260" s="114"/>
      <c r="Q260" s="73">
        <v>20488.0</v>
      </c>
      <c r="R260" s="114" t="s">
        <v>234</v>
      </c>
      <c r="S260" s="115">
        <v>2021.0</v>
      </c>
      <c r="T260" s="136">
        <v>0.239</v>
      </c>
      <c r="U260" s="118">
        <f t="shared" si="66"/>
        <v>4896.632</v>
      </c>
      <c r="V260" s="24">
        <f t="shared" si="3"/>
        <v>170.6143554</v>
      </c>
      <c r="W260" s="3">
        <f t="shared" si="29"/>
        <v>0</v>
      </c>
      <c r="X260" s="3">
        <f t="shared" si="30"/>
        <v>0</v>
      </c>
      <c r="Y260" s="3">
        <f t="shared" si="31"/>
        <v>0</v>
      </c>
      <c r="Z260" s="25">
        <f t="shared" si="32"/>
        <v>0</v>
      </c>
      <c r="AA260" s="26">
        <f>VLOOKUP(S260,CPI!$A$2:$E$67,5,0)</f>
        <v>1.124486105</v>
      </c>
      <c r="AB260" s="27">
        <f t="shared" si="8"/>
        <v>5506.194648</v>
      </c>
      <c r="AC260" s="27">
        <f t="shared" si="9"/>
        <v>191.853472</v>
      </c>
    </row>
    <row r="261">
      <c r="A261" s="7"/>
      <c r="B261" s="114" t="s">
        <v>230</v>
      </c>
      <c r="C261" s="114" t="s">
        <v>547</v>
      </c>
      <c r="D261" s="16" t="s">
        <v>87</v>
      </c>
      <c r="E261" s="115" t="s">
        <v>357</v>
      </c>
      <c r="F261" s="116">
        <v>2021.0</v>
      </c>
      <c r="G261" s="114"/>
      <c r="H261" s="116">
        <v>0.0</v>
      </c>
      <c r="I261" s="116">
        <v>32.18</v>
      </c>
      <c r="J261" s="117">
        <v>1.0</v>
      </c>
      <c r="K261" s="116">
        <v>32.2</v>
      </c>
      <c r="L261" s="114"/>
      <c r="M261" s="114"/>
      <c r="N261" s="116">
        <v>31.0</v>
      </c>
      <c r="O261" s="116">
        <v>117.0</v>
      </c>
      <c r="P261" s="114"/>
      <c r="Q261" s="73">
        <v>26700.0</v>
      </c>
      <c r="R261" s="114" t="s">
        <v>234</v>
      </c>
      <c r="S261" s="115">
        <v>2021.0</v>
      </c>
      <c r="T261" s="136">
        <v>0.239</v>
      </c>
      <c r="U261" s="118">
        <f t="shared" si="66"/>
        <v>6381.3</v>
      </c>
      <c r="V261" s="24">
        <f t="shared" si="3"/>
        <v>198.3001865</v>
      </c>
      <c r="W261" s="3">
        <f t="shared" si="29"/>
        <v>0</v>
      </c>
      <c r="X261" s="3">
        <f t="shared" si="30"/>
        <v>0</v>
      </c>
      <c r="Y261" s="3">
        <f t="shared" si="31"/>
        <v>0</v>
      </c>
      <c r="Z261" s="25">
        <f t="shared" si="32"/>
        <v>0</v>
      </c>
      <c r="AA261" s="26">
        <f>VLOOKUP(S261,CPI!$A$2:$E$67,5,0)</f>
        <v>1.124486105</v>
      </c>
      <c r="AB261" s="27">
        <f t="shared" si="8"/>
        <v>7175.683185</v>
      </c>
      <c r="AC261" s="27">
        <f t="shared" si="9"/>
        <v>222.9858044</v>
      </c>
    </row>
    <row r="262">
      <c r="A262" s="170">
        <v>7978.0</v>
      </c>
      <c r="B262" s="123" t="s">
        <v>230</v>
      </c>
      <c r="C262" s="123" t="s">
        <v>555</v>
      </c>
      <c r="D262" s="36" t="s">
        <v>57</v>
      </c>
      <c r="E262" s="123" t="s">
        <v>556</v>
      </c>
      <c r="F262" s="75">
        <v>2012.0</v>
      </c>
      <c r="G262" s="142">
        <v>2016.0</v>
      </c>
      <c r="H262" s="75">
        <v>0.0</v>
      </c>
      <c r="I262" s="75">
        <v>24.58</v>
      </c>
      <c r="J262" s="124">
        <v>1.0</v>
      </c>
      <c r="K262" s="75">
        <v>24.58</v>
      </c>
      <c r="L262" s="125">
        <v>0.0</v>
      </c>
      <c r="M262" s="125">
        <v>0.0</v>
      </c>
      <c r="N262" s="75">
        <v>26.0</v>
      </c>
      <c r="O262" s="152">
        <v>117.0</v>
      </c>
      <c r="P262" s="123" t="s">
        <v>59</v>
      </c>
      <c r="Q262" s="126">
        <v>16496.0</v>
      </c>
      <c r="R262" s="123" t="s">
        <v>234</v>
      </c>
      <c r="S262" s="75">
        <v>2012.0</v>
      </c>
      <c r="T262" s="136">
        <v>0.2808</v>
      </c>
      <c r="U262" s="128">
        <f t="shared" si="66"/>
        <v>4632.0768</v>
      </c>
      <c r="V262" s="24">
        <f t="shared" si="3"/>
        <v>188.4490155</v>
      </c>
      <c r="W262" s="3">
        <f t="shared" si="29"/>
        <v>0</v>
      </c>
      <c r="X262" s="3">
        <f t="shared" si="30"/>
        <v>0</v>
      </c>
      <c r="Y262" s="3">
        <f t="shared" si="31"/>
        <v>0</v>
      </c>
      <c r="Z262" s="25">
        <f t="shared" si="32"/>
        <v>0</v>
      </c>
      <c r="AA262" s="26">
        <f>VLOOKUP(S262,CPI!$A$2:$E$67,5,0)</f>
        <v>1.327133984</v>
      </c>
      <c r="AB262" s="27">
        <f t="shared" si="8"/>
        <v>6147.386539</v>
      </c>
      <c r="AC262" s="27">
        <f t="shared" si="9"/>
        <v>250.0970927</v>
      </c>
    </row>
    <row r="263">
      <c r="A263" s="170">
        <v>7946.0</v>
      </c>
      <c r="B263" s="72" t="s">
        <v>230</v>
      </c>
      <c r="C263" s="72" t="s">
        <v>555</v>
      </c>
      <c r="D263" s="115" t="s">
        <v>87</v>
      </c>
      <c r="E263" s="115" t="s">
        <v>331</v>
      </c>
      <c r="F263" s="69">
        <v>2014.0</v>
      </c>
      <c r="G263" s="69">
        <v>2019.0</v>
      </c>
      <c r="H263" s="69">
        <v>0.0</v>
      </c>
      <c r="I263" s="69">
        <v>37.2</v>
      </c>
      <c r="J263" s="117">
        <v>0.89</v>
      </c>
      <c r="K263" s="69">
        <v>32.97</v>
      </c>
      <c r="L263" s="72"/>
      <c r="M263" s="72"/>
      <c r="N263" s="69">
        <v>33.0</v>
      </c>
      <c r="O263" s="69">
        <v>117.0</v>
      </c>
      <c r="P263" s="72"/>
      <c r="Q263" s="140">
        <v>26102.0</v>
      </c>
      <c r="R263" s="72" t="s">
        <v>234</v>
      </c>
      <c r="S263" s="115">
        <v>2017.0</v>
      </c>
      <c r="T263" s="136">
        <v>0.239</v>
      </c>
      <c r="U263" s="118">
        <f t="shared" si="66"/>
        <v>6238.378</v>
      </c>
      <c r="V263" s="24">
        <f t="shared" si="3"/>
        <v>167.6983333</v>
      </c>
      <c r="W263" s="3">
        <f t="shared" si="29"/>
        <v>0</v>
      </c>
      <c r="X263" s="3">
        <f t="shared" si="30"/>
        <v>0</v>
      </c>
      <c r="Y263" s="3">
        <f t="shared" si="31"/>
        <v>0</v>
      </c>
      <c r="Z263" s="25">
        <f t="shared" si="32"/>
        <v>0</v>
      </c>
      <c r="AA263" s="26">
        <f>VLOOKUP(S263,CPI!$A$2:$E$67,5,0)</f>
        <v>1.243072781</v>
      </c>
      <c r="AB263" s="27">
        <f t="shared" si="8"/>
        <v>7754.757887</v>
      </c>
      <c r="AC263" s="27">
        <f t="shared" si="9"/>
        <v>208.4612335</v>
      </c>
    </row>
    <row r="264">
      <c r="A264" s="170">
        <v>7971.0</v>
      </c>
      <c r="B264" s="123" t="s">
        <v>230</v>
      </c>
      <c r="C264" s="123" t="s">
        <v>555</v>
      </c>
      <c r="D264" s="36" t="s">
        <v>110</v>
      </c>
      <c r="E264" s="123" t="s">
        <v>332</v>
      </c>
      <c r="F264" s="75">
        <v>2015.0</v>
      </c>
      <c r="G264" s="75">
        <v>2020.0</v>
      </c>
      <c r="H264" s="75">
        <v>0.0</v>
      </c>
      <c r="I264" s="75">
        <v>36.0</v>
      </c>
      <c r="J264" s="124">
        <v>1.0</v>
      </c>
      <c r="K264" s="75">
        <v>36.0</v>
      </c>
      <c r="L264" s="125">
        <v>0.0</v>
      </c>
      <c r="M264" s="125">
        <v>0.0</v>
      </c>
      <c r="N264" s="75">
        <v>28.0</v>
      </c>
      <c r="O264" s="152">
        <v>117.0</v>
      </c>
      <c r="P264" s="123" t="s">
        <v>60</v>
      </c>
      <c r="Q264" s="126">
        <v>24289.0</v>
      </c>
      <c r="R264" s="123" t="s">
        <v>234</v>
      </c>
      <c r="S264" s="75">
        <v>2014.0</v>
      </c>
      <c r="T264" s="136">
        <v>0.266</v>
      </c>
      <c r="U264" s="128">
        <f t="shared" si="66"/>
        <v>6460.874</v>
      </c>
      <c r="V264" s="24">
        <f t="shared" si="3"/>
        <v>179.4687222</v>
      </c>
      <c r="W264" s="3">
        <f t="shared" si="29"/>
        <v>0</v>
      </c>
      <c r="X264" s="3">
        <f t="shared" si="30"/>
        <v>0</v>
      </c>
      <c r="Y264" s="3">
        <f t="shared" si="31"/>
        <v>0</v>
      </c>
      <c r="Z264" s="25">
        <f t="shared" si="32"/>
        <v>0</v>
      </c>
      <c r="AA264" s="26">
        <f>VLOOKUP(S264,CPI!$A$2:$E$67,5,0)</f>
        <v>1.287096175</v>
      </c>
      <c r="AB264" s="27">
        <f t="shared" si="8"/>
        <v>8315.76621</v>
      </c>
      <c r="AC264" s="27">
        <f t="shared" si="9"/>
        <v>230.9935058</v>
      </c>
    </row>
    <row r="265">
      <c r="A265" s="170">
        <v>7739.0</v>
      </c>
      <c r="B265" s="72" t="s">
        <v>230</v>
      </c>
      <c r="C265" s="72" t="s">
        <v>555</v>
      </c>
      <c r="D265" s="36" t="s">
        <v>54</v>
      </c>
      <c r="E265" s="72" t="s">
        <v>315</v>
      </c>
      <c r="F265" s="70">
        <v>2020.0</v>
      </c>
      <c r="G265" s="69">
        <v>2024.0</v>
      </c>
      <c r="H265" s="69">
        <v>0.0</v>
      </c>
      <c r="I265" s="69">
        <v>14.5</v>
      </c>
      <c r="J265" s="117">
        <v>1.0</v>
      </c>
      <c r="K265" s="69">
        <v>14.5</v>
      </c>
      <c r="L265" s="72"/>
      <c r="M265" s="72"/>
      <c r="N265" s="69">
        <v>11.0</v>
      </c>
      <c r="O265" s="69">
        <v>117.0</v>
      </c>
      <c r="P265" s="72"/>
      <c r="Q265" s="140">
        <v>9702.0</v>
      </c>
      <c r="R265" s="72" t="s">
        <v>234</v>
      </c>
      <c r="S265" s="75">
        <v>2020.0</v>
      </c>
      <c r="T265" s="136">
        <v>0.239</v>
      </c>
      <c r="U265" s="128">
        <f t="shared" si="66"/>
        <v>2318.778</v>
      </c>
      <c r="V265" s="24">
        <f t="shared" si="3"/>
        <v>159.9157241</v>
      </c>
      <c r="W265" s="3">
        <f t="shared" si="29"/>
        <v>0</v>
      </c>
      <c r="X265" s="3">
        <f t="shared" si="30"/>
        <v>0</v>
      </c>
      <c r="Y265" s="3">
        <f t="shared" si="31"/>
        <v>0</v>
      </c>
      <c r="Z265" s="25">
        <f t="shared" si="32"/>
        <v>0</v>
      </c>
      <c r="AA265" s="26">
        <f>VLOOKUP(S265,CPI!$A$2:$E$67,5,0)</f>
        <v>1.17731472</v>
      </c>
      <c r="AB265" s="27">
        <f t="shared" si="8"/>
        <v>2729.931472</v>
      </c>
      <c r="AC265" s="27">
        <f t="shared" si="9"/>
        <v>188.271136</v>
      </c>
    </row>
    <row r="266">
      <c r="A266" s="170">
        <v>7744.0</v>
      </c>
      <c r="B266" s="72" t="s">
        <v>230</v>
      </c>
      <c r="C266" s="72" t="s">
        <v>555</v>
      </c>
      <c r="D266" s="36" t="s">
        <v>87</v>
      </c>
      <c r="E266" s="72" t="s">
        <v>321</v>
      </c>
      <c r="F266" s="70">
        <v>2020.0</v>
      </c>
      <c r="G266" s="69">
        <v>2024.0</v>
      </c>
      <c r="H266" s="69">
        <v>0.0</v>
      </c>
      <c r="I266" s="69">
        <v>11.25</v>
      </c>
      <c r="J266" s="117">
        <v>1.0</v>
      </c>
      <c r="K266" s="69">
        <v>11.25</v>
      </c>
      <c r="L266" s="72"/>
      <c r="M266" s="72"/>
      <c r="N266" s="69">
        <v>8.0</v>
      </c>
      <c r="O266" s="69">
        <v>117.0</v>
      </c>
      <c r="P266" s="72"/>
      <c r="Q266" s="140">
        <v>9103.0</v>
      </c>
      <c r="R266" s="72" t="s">
        <v>234</v>
      </c>
      <c r="S266" s="75">
        <v>2020.0</v>
      </c>
      <c r="T266" s="136">
        <v>0.239</v>
      </c>
      <c r="U266" s="128">
        <f t="shared" si="66"/>
        <v>2175.617</v>
      </c>
      <c r="V266" s="24">
        <f t="shared" si="3"/>
        <v>193.3881778</v>
      </c>
      <c r="W266" s="3">
        <f t="shared" si="29"/>
        <v>0</v>
      </c>
      <c r="X266" s="3">
        <f t="shared" si="30"/>
        <v>0</v>
      </c>
      <c r="Y266" s="3">
        <f t="shared" si="31"/>
        <v>0</v>
      </c>
      <c r="Z266" s="25">
        <f t="shared" si="32"/>
        <v>0</v>
      </c>
      <c r="AA266" s="26">
        <f>VLOOKUP(S266,CPI!$A$2:$E$67,5,0)</f>
        <v>1.17731472</v>
      </c>
      <c r="AB266" s="27">
        <f t="shared" si="8"/>
        <v>2561.385919</v>
      </c>
      <c r="AC266" s="27">
        <f t="shared" si="9"/>
        <v>227.6787484</v>
      </c>
    </row>
    <row r="267">
      <c r="A267" s="163"/>
      <c r="B267" s="114" t="s">
        <v>230</v>
      </c>
      <c r="C267" s="114" t="s">
        <v>555</v>
      </c>
      <c r="D267" s="114" t="s">
        <v>562</v>
      </c>
      <c r="E267" s="114" t="s">
        <v>562</v>
      </c>
      <c r="F267" s="116">
        <v>2018.0</v>
      </c>
      <c r="G267" s="114"/>
      <c r="H267" s="116">
        <v>0.0</v>
      </c>
      <c r="I267" s="116">
        <v>63.1</v>
      </c>
      <c r="J267" s="117">
        <v>0.19</v>
      </c>
      <c r="K267" s="116">
        <v>11.94</v>
      </c>
      <c r="L267" s="114"/>
      <c r="M267" s="114"/>
      <c r="N267" s="116">
        <v>19.0</v>
      </c>
      <c r="O267" s="116">
        <v>117.0</v>
      </c>
      <c r="P267" s="114"/>
      <c r="Q267" s="140">
        <v>22190.0</v>
      </c>
      <c r="R267" s="114" t="s">
        <v>234</v>
      </c>
      <c r="S267" s="75">
        <v>2020.0</v>
      </c>
      <c r="T267" s="136">
        <v>0.239</v>
      </c>
      <c r="U267" s="128">
        <f t="shared" si="66"/>
        <v>5303.41</v>
      </c>
      <c r="V267" s="24">
        <f t="shared" si="3"/>
        <v>84.04770206</v>
      </c>
      <c r="W267" s="3">
        <f t="shared" si="29"/>
        <v>0</v>
      </c>
      <c r="X267" s="3">
        <f t="shared" si="30"/>
        <v>0</v>
      </c>
      <c r="Y267" s="3">
        <f t="shared" si="31"/>
        <v>0</v>
      </c>
      <c r="Z267" s="25">
        <f t="shared" si="32"/>
        <v>0</v>
      </c>
      <c r="AA267" s="26">
        <f>VLOOKUP(S267,CPI!$A$2:$E$67,5,0)</f>
        <v>1.17731472</v>
      </c>
      <c r="AB267" s="27">
        <f t="shared" si="8"/>
        <v>6243.782659</v>
      </c>
      <c r="AC267" s="27">
        <f t="shared" si="9"/>
        <v>98.95059682</v>
      </c>
    </row>
    <row r="268">
      <c r="A268" s="163"/>
      <c r="B268" s="114" t="s">
        <v>230</v>
      </c>
      <c r="C268" s="114" t="s">
        <v>555</v>
      </c>
      <c r="D268" s="115" t="s">
        <v>57</v>
      </c>
      <c r="E268" s="114" t="s">
        <v>564</v>
      </c>
      <c r="F268" s="116">
        <v>2019.0</v>
      </c>
      <c r="G268" s="114"/>
      <c r="H268" s="116">
        <v>0.0</v>
      </c>
      <c r="I268" s="116">
        <v>4.54</v>
      </c>
      <c r="J268" s="117">
        <v>1.0</v>
      </c>
      <c r="K268" s="116">
        <v>4.54</v>
      </c>
      <c r="L268" s="114"/>
      <c r="M268" s="114"/>
      <c r="N268" s="116">
        <v>3.0</v>
      </c>
      <c r="O268" s="116">
        <v>117.0</v>
      </c>
      <c r="P268" s="114"/>
      <c r="Q268" s="140">
        <v>4257.0</v>
      </c>
      <c r="R268" s="114" t="s">
        <v>234</v>
      </c>
      <c r="S268" s="115">
        <v>2019.0</v>
      </c>
      <c r="T268" s="136">
        <v>0.238</v>
      </c>
      <c r="U268" s="118">
        <f t="shared" si="66"/>
        <v>1013.166</v>
      </c>
      <c r="V268" s="24">
        <f t="shared" si="3"/>
        <v>223.1643172</v>
      </c>
      <c r="W268" s="3">
        <f t="shared" si="29"/>
        <v>0</v>
      </c>
      <c r="X268" s="3">
        <f t="shared" si="30"/>
        <v>0</v>
      </c>
      <c r="Y268" s="3">
        <f t="shared" si="31"/>
        <v>0</v>
      </c>
      <c r="Z268" s="25">
        <f t="shared" si="32"/>
        <v>0</v>
      </c>
      <c r="AA268" s="26">
        <f>VLOOKUP(S268,CPI!$A$2:$E$67,5,0)</f>
        <v>1.191839066</v>
      </c>
      <c r="AB268" s="27">
        <f t="shared" si="8"/>
        <v>1207.530819</v>
      </c>
      <c r="AC268" s="27">
        <f t="shared" si="9"/>
        <v>265.9759513</v>
      </c>
    </row>
    <row r="269">
      <c r="A269" s="170">
        <v>7936.0</v>
      </c>
      <c r="B269" s="72" t="s">
        <v>230</v>
      </c>
      <c r="C269" s="72" t="s">
        <v>555</v>
      </c>
      <c r="D269" s="16" t="s">
        <v>84</v>
      </c>
      <c r="E269" s="115" t="s">
        <v>319</v>
      </c>
      <c r="F269" s="69">
        <v>2020.0</v>
      </c>
      <c r="G269" s="72"/>
      <c r="H269" s="69">
        <v>0.0</v>
      </c>
      <c r="I269" s="69">
        <v>40.22</v>
      </c>
      <c r="J269" s="117">
        <v>1.0</v>
      </c>
      <c r="K269" s="69">
        <v>40.22</v>
      </c>
      <c r="L269" s="72"/>
      <c r="M269" s="72"/>
      <c r="N269" s="69">
        <v>33.0</v>
      </c>
      <c r="O269" s="69">
        <v>117.0</v>
      </c>
      <c r="P269" s="72"/>
      <c r="Q269" s="140">
        <v>30638.0</v>
      </c>
      <c r="R269" s="72" t="s">
        <v>234</v>
      </c>
      <c r="S269" s="115">
        <v>2020.0</v>
      </c>
      <c r="T269" s="136">
        <v>0.239</v>
      </c>
      <c r="U269" s="118">
        <f t="shared" si="66"/>
        <v>7322.482</v>
      </c>
      <c r="V269" s="24">
        <f t="shared" si="3"/>
        <v>182.0607161</v>
      </c>
      <c r="W269" s="3">
        <f t="shared" si="29"/>
        <v>0</v>
      </c>
      <c r="X269" s="3">
        <f t="shared" si="30"/>
        <v>0</v>
      </c>
      <c r="Y269" s="3">
        <f t="shared" si="31"/>
        <v>0</v>
      </c>
      <c r="Z269" s="25">
        <f t="shared" si="32"/>
        <v>0</v>
      </c>
      <c r="AA269" s="26">
        <f>VLOOKUP(S269,CPI!$A$2:$E$67,5,0)</f>
        <v>1.17731472</v>
      </c>
      <c r="AB269" s="27">
        <f t="shared" si="8"/>
        <v>8620.865846</v>
      </c>
      <c r="AC269" s="27">
        <f t="shared" si="9"/>
        <v>214.342761</v>
      </c>
    </row>
    <row r="270">
      <c r="A270" s="163"/>
      <c r="B270" s="114" t="s">
        <v>230</v>
      </c>
      <c r="C270" s="114" t="s">
        <v>555</v>
      </c>
      <c r="D270" s="115" t="s">
        <v>54</v>
      </c>
      <c r="E270" s="114" t="s">
        <v>313</v>
      </c>
      <c r="F270" s="116">
        <v>2021.0</v>
      </c>
      <c r="G270" s="114"/>
      <c r="H270" s="116">
        <v>0.0</v>
      </c>
      <c r="I270" s="116">
        <v>12.7</v>
      </c>
      <c r="J270" s="117">
        <v>1.0</v>
      </c>
      <c r="K270" s="116">
        <v>12.7</v>
      </c>
      <c r="L270" s="114"/>
      <c r="M270" s="114"/>
      <c r="N270" s="116">
        <v>8.0</v>
      </c>
      <c r="O270" s="116">
        <v>117.0</v>
      </c>
      <c r="P270" s="114"/>
      <c r="Q270" s="140">
        <v>8965.0</v>
      </c>
      <c r="R270" s="114" t="s">
        <v>234</v>
      </c>
      <c r="S270" s="115">
        <v>2021.0</v>
      </c>
      <c r="T270" s="136">
        <v>0.239000000000001</v>
      </c>
      <c r="U270" s="118">
        <f t="shared" si="66"/>
        <v>2142.635</v>
      </c>
      <c r="V270" s="24">
        <f t="shared" si="3"/>
        <v>168.7114173</v>
      </c>
      <c r="W270" s="3">
        <f t="shared" si="29"/>
        <v>0</v>
      </c>
      <c r="X270" s="3">
        <f t="shared" si="30"/>
        <v>0</v>
      </c>
      <c r="Y270" s="3">
        <f t="shared" si="31"/>
        <v>0</v>
      </c>
      <c r="Z270" s="25">
        <f t="shared" si="32"/>
        <v>0</v>
      </c>
      <c r="AA270" s="26">
        <f>VLOOKUP(S270,CPI!$A$2:$E$67,5,0)</f>
        <v>1.124486105</v>
      </c>
      <c r="AB270" s="27">
        <f t="shared" si="8"/>
        <v>2409.363287</v>
      </c>
      <c r="AC270" s="27">
        <f t="shared" si="9"/>
        <v>189.7136446</v>
      </c>
    </row>
    <row r="271">
      <c r="A271" s="170">
        <v>7746.0</v>
      </c>
      <c r="B271" s="72" t="s">
        <v>230</v>
      </c>
      <c r="C271" s="72" t="s">
        <v>555</v>
      </c>
      <c r="D271" s="115" t="s">
        <v>80</v>
      </c>
      <c r="E271" s="115" t="s">
        <v>255</v>
      </c>
      <c r="F271" s="70">
        <v>2021.0</v>
      </c>
      <c r="G271" s="72"/>
      <c r="H271" s="69">
        <v>0.0</v>
      </c>
      <c r="I271" s="69">
        <v>27.5</v>
      </c>
      <c r="J271" s="117">
        <v>1.0</v>
      </c>
      <c r="K271" s="69">
        <v>27.5</v>
      </c>
      <c r="L271" s="72"/>
      <c r="M271" s="72"/>
      <c r="N271" s="69">
        <v>17.0</v>
      </c>
      <c r="O271" s="69">
        <v>117.0</v>
      </c>
      <c r="P271" s="72"/>
      <c r="Q271" s="140">
        <v>20983.6</v>
      </c>
      <c r="R271" s="72" t="s">
        <v>234</v>
      </c>
      <c r="S271" s="115">
        <v>2021.0</v>
      </c>
      <c r="T271" s="136">
        <v>0.239</v>
      </c>
      <c r="U271" s="118">
        <f t="shared" si="66"/>
        <v>5015.0804</v>
      </c>
      <c r="V271" s="24">
        <f t="shared" si="3"/>
        <v>182.36656</v>
      </c>
      <c r="W271" s="3">
        <f t="shared" si="29"/>
        <v>0</v>
      </c>
      <c r="X271" s="3">
        <f t="shared" si="30"/>
        <v>0</v>
      </c>
      <c r="Y271" s="3">
        <f t="shared" si="31"/>
        <v>0</v>
      </c>
      <c r="Z271" s="25">
        <f t="shared" si="32"/>
        <v>0</v>
      </c>
      <c r="AA271" s="26">
        <f>VLOOKUP(S271,CPI!$A$2:$E$67,5,0)</f>
        <v>1.124486105</v>
      </c>
      <c r="AB271" s="27">
        <f t="shared" si="8"/>
        <v>5639.388228</v>
      </c>
      <c r="AC271" s="27">
        <f t="shared" si="9"/>
        <v>205.0686628</v>
      </c>
    </row>
    <row r="272">
      <c r="A272" s="163"/>
      <c r="B272" s="114" t="s">
        <v>230</v>
      </c>
      <c r="C272" s="72" t="s">
        <v>555</v>
      </c>
      <c r="D272" s="36" t="s">
        <v>80</v>
      </c>
      <c r="E272" s="72" t="s">
        <v>457</v>
      </c>
      <c r="F272" s="116">
        <v>2021.0</v>
      </c>
      <c r="G272" s="114"/>
      <c r="H272" s="116">
        <v>0.0</v>
      </c>
      <c r="I272" s="116">
        <v>10.0</v>
      </c>
      <c r="J272" s="117">
        <v>1.0</v>
      </c>
      <c r="K272" s="116">
        <v>10.0</v>
      </c>
      <c r="L272" s="114"/>
      <c r="M272" s="114"/>
      <c r="N272" s="116">
        <v>4.0</v>
      </c>
      <c r="O272" s="116">
        <v>117.0</v>
      </c>
      <c r="P272" s="114"/>
      <c r="Q272" s="140">
        <v>6887.0</v>
      </c>
      <c r="R272" s="114" t="s">
        <v>234</v>
      </c>
      <c r="S272" s="75">
        <v>2020.0</v>
      </c>
      <c r="T272" s="136">
        <v>0.239</v>
      </c>
      <c r="U272" s="128">
        <f t="shared" si="66"/>
        <v>1645.993</v>
      </c>
      <c r="V272" s="24">
        <f t="shared" si="3"/>
        <v>164.5993</v>
      </c>
      <c r="W272" s="3">
        <f t="shared" si="29"/>
        <v>0</v>
      </c>
      <c r="X272" s="3">
        <f t="shared" si="30"/>
        <v>0</v>
      </c>
      <c r="Y272" s="3">
        <f t="shared" si="31"/>
        <v>0</v>
      </c>
      <c r="Z272" s="25">
        <f t="shared" si="32"/>
        <v>0</v>
      </c>
      <c r="AA272" s="26">
        <f>VLOOKUP(S272,CPI!$A$2:$E$67,5,0)</f>
        <v>1.17731472</v>
      </c>
      <c r="AB272" s="27">
        <f t="shared" si="8"/>
        <v>1937.851788</v>
      </c>
      <c r="AC272" s="27">
        <f t="shared" si="9"/>
        <v>193.7851788</v>
      </c>
    </row>
    <row r="273">
      <c r="A273" s="170">
        <v>7745.0</v>
      </c>
      <c r="B273" s="72" t="s">
        <v>230</v>
      </c>
      <c r="C273" s="72" t="s">
        <v>555</v>
      </c>
      <c r="D273" s="115" t="s">
        <v>110</v>
      </c>
      <c r="E273" s="72" t="s">
        <v>322</v>
      </c>
      <c r="F273" s="70">
        <v>2022.0</v>
      </c>
      <c r="G273" s="72"/>
      <c r="H273" s="69">
        <v>0.0</v>
      </c>
      <c r="I273" s="69">
        <v>13.97</v>
      </c>
      <c r="J273" s="117">
        <v>0.47</v>
      </c>
      <c r="K273" s="69">
        <v>6.55</v>
      </c>
      <c r="L273" s="72"/>
      <c r="M273" s="72"/>
      <c r="N273" s="69">
        <v>8.0</v>
      </c>
      <c r="O273" s="69">
        <v>117.0</v>
      </c>
      <c r="P273" s="72"/>
      <c r="Q273" s="140">
        <v>7396.0</v>
      </c>
      <c r="R273" s="72" t="s">
        <v>234</v>
      </c>
      <c r="S273" s="75">
        <v>2020.0</v>
      </c>
      <c r="T273" s="136">
        <v>0.239</v>
      </c>
      <c r="U273" s="128">
        <f t="shared" si="66"/>
        <v>1767.644</v>
      </c>
      <c r="V273" s="24">
        <f t="shared" si="3"/>
        <v>126.5314245</v>
      </c>
      <c r="W273" s="3">
        <f t="shared" si="29"/>
        <v>0</v>
      </c>
      <c r="X273" s="3">
        <f t="shared" si="30"/>
        <v>0</v>
      </c>
      <c r="Y273" s="3">
        <f t="shared" si="31"/>
        <v>0</v>
      </c>
      <c r="Z273" s="25">
        <f t="shared" si="32"/>
        <v>0</v>
      </c>
      <c r="AA273" s="26">
        <f>VLOOKUP(S273,CPI!$A$2:$E$67,5,0)</f>
        <v>1.17731472</v>
      </c>
      <c r="AB273" s="27">
        <f t="shared" si="8"/>
        <v>2081.073301</v>
      </c>
      <c r="AC273" s="27">
        <f t="shared" si="9"/>
        <v>148.9673086</v>
      </c>
    </row>
    <row r="274">
      <c r="A274" s="170">
        <v>7747.0</v>
      </c>
      <c r="B274" s="123" t="s">
        <v>230</v>
      </c>
      <c r="C274" s="123" t="s">
        <v>555</v>
      </c>
      <c r="D274" s="36" t="s">
        <v>228</v>
      </c>
      <c r="E274" s="123" t="s">
        <v>263</v>
      </c>
      <c r="F274" s="142" t="s">
        <v>571</v>
      </c>
      <c r="G274" s="123"/>
      <c r="H274" s="75">
        <v>0.0</v>
      </c>
      <c r="I274" s="75">
        <v>21.0</v>
      </c>
      <c r="J274" s="124">
        <v>1.0</v>
      </c>
      <c r="K274" s="75">
        <v>21.0</v>
      </c>
      <c r="L274" s="125">
        <v>0.0</v>
      </c>
      <c r="M274" s="125">
        <v>0.0</v>
      </c>
      <c r="N274" s="75">
        <v>17.0</v>
      </c>
      <c r="O274" s="75"/>
      <c r="P274" s="123" t="s">
        <v>60</v>
      </c>
      <c r="Q274" s="126">
        <f>16.881*10^3</f>
        <v>16881</v>
      </c>
      <c r="R274" s="123" t="s">
        <v>234</v>
      </c>
      <c r="S274" s="75">
        <v>2020.0</v>
      </c>
      <c r="T274" s="136">
        <v>0.239</v>
      </c>
      <c r="U274" s="128">
        <f t="shared" si="66"/>
        <v>4034.559</v>
      </c>
      <c r="V274" s="24">
        <f t="shared" si="3"/>
        <v>192.1218571</v>
      </c>
      <c r="W274" s="3">
        <f t="shared" si="29"/>
        <v>0</v>
      </c>
      <c r="X274" s="3">
        <f t="shared" si="30"/>
        <v>0</v>
      </c>
      <c r="Y274" s="3">
        <f t="shared" si="31"/>
        <v>0</v>
      </c>
      <c r="Z274" s="25">
        <f t="shared" si="32"/>
        <v>0</v>
      </c>
      <c r="AA274" s="26">
        <f>VLOOKUP(S274,CPI!$A$2:$E$67,5,0)</f>
        <v>1.17731472</v>
      </c>
      <c r="AB274" s="27">
        <f t="shared" si="8"/>
        <v>4749.945699</v>
      </c>
      <c r="AC274" s="27">
        <f t="shared" si="9"/>
        <v>226.1878904</v>
      </c>
    </row>
    <row r="275">
      <c r="A275" s="170">
        <v>7752.0</v>
      </c>
      <c r="B275" s="123" t="s">
        <v>230</v>
      </c>
      <c r="C275" s="123" t="s">
        <v>555</v>
      </c>
      <c r="D275" s="36" t="s">
        <v>243</v>
      </c>
      <c r="E275" s="123" t="s">
        <v>379</v>
      </c>
      <c r="F275" s="142" t="s">
        <v>571</v>
      </c>
      <c r="G275" s="123"/>
      <c r="H275" s="75">
        <v>0.0</v>
      </c>
      <c r="I275" s="75">
        <v>23.0</v>
      </c>
      <c r="J275" s="124">
        <v>1.0</v>
      </c>
      <c r="K275" s="75">
        <v>23.0</v>
      </c>
      <c r="L275" s="125">
        <v>0.0</v>
      </c>
      <c r="M275" s="125">
        <v>0.0</v>
      </c>
      <c r="N275" s="75">
        <v>12.0</v>
      </c>
      <c r="O275" s="75"/>
      <c r="P275" s="123" t="s">
        <v>60</v>
      </c>
      <c r="Q275" s="126">
        <f>16.201*10^3</f>
        <v>16201</v>
      </c>
      <c r="R275" s="123" t="s">
        <v>234</v>
      </c>
      <c r="S275" s="75">
        <v>2020.0</v>
      </c>
      <c r="T275" s="136">
        <v>0.239</v>
      </c>
      <c r="U275" s="128">
        <f t="shared" si="66"/>
        <v>3872.039</v>
      </c>
      <c r="V275" s="24">
        <f t="shared" si="3"/>
        <v>168.3495217</v>
      </c>
      <c r="W275" s="3">
        <f t="shared" si="29"/>
        <v>0</v>
      </c>
      <c r="X275" s="3">
        <f t="shared" si="30"/>
        <v>0</v>
      </c>
      <c r="Y275" s="3">
        <f t="shared" si="31"/>
        <v>0</v>
      </c>
      <c r="Z275" s="25">
        <f t="shared" si="32"/>
        <v>0</v>
      </c>
      <c r="AA275" s="26">
        <f>VLOOKUP(S275,CPI!$A$2:$E$67,5,0)</f>
        <v>1.17731472</v>
      </c>
      <c r="AB275" s="27">
        <f t="shared" si="8"/>
        <v>4558.608511</v>
      </c>
      <c r="AC275" s="27">
        <f t="shared" si="9"/>
        <v>198.20037</v>
      </c>
    </row>
    <row r="276">
      <c r="A276" s="7"/>
      <c r="B276" s="114" t="s">
        <v>230</v>
      </c>
      <c r="C276" s="114" t="s">
        <v>573</v>
      </c>
      <c r="D276" s="114" t="s">
        <v>54</v>
      </c>
      <c r="E276" s="114" t="s">
        <v>54</v>
      </c>
      <c r="F276" s="116">
        <v>2020.0</v>
      </c>
      <c r="G276" s="114"/>
      <c r="H276" s="116">
        <v>0.0</v>
      </c>
      <c r="I276" s="116">
        <v>27.3</v>
      </c>
      <c r="J276" s="117">
        <v>1.0</v>
      </c>
      <c r="K276" s="116">
        <v>27.3</v>
      </c>
      <c r="L276" s="114"/>
      <c r="M276" s="114"/>
      <c r="N276" s="116">
        <v>24.0</v>
      </c>
      <c r="O276" s="116">
        <v>117.0</v>
      </c>
      <c r="P276" s="114"/>
      <c r="Q276" s="140">
        <v>20304.0</v>
      </c>
      <c r="R276" s="114" t="s">
        <v>234</v>
      </c>
      <c r="S276" s="115">
        <v>2020.0</v>
      </c>
      <c r="T276" s="136">
        <v>0.239</v>
      </c>
      <c r="U276" s="118">
        <f t="shared" si="66"/>
        <v>4852.656</v>
      </c>
      <c r="V276" s="24">
        <f t="shared" si="3"/>
        <v>177.752967</v>
      </c>
      <c r="W276" s="3">
        <f t="shared" si="29"/>
        <v>0</v>
      </c>
      <c r="X276" s="3">
        <f t="shared" si="30"/>
        <v>0</v>
      </c>
      <c r="Y276" s="3">
        <f t="shared" si="31"/>
        <v>0</v>
      </c>
      <c r="Z276" s="25">
        <f t="shared" si="32"/>
        <v>0</v>
      </c>
      <c r="AA276" s="26">
        <f>VLOOKUP(S276,CPI!$A$2:$E$67,5,0)</f>
        <v>1.17731472</v>
      </c>
      <c r="AB276" s="27">
        <f t="shared" si="8"/>
        <v>5713.10334</v>
      </c>
      <c r="AC276" s="27">
        <f t="shared" si="9"/>
        <v>209.2711846</v>
      </c>
    </row>
    <row r="277">
      <c r="A277" s="7"/>
      <c r="B277" s="114" t="s">
        <v>230</v>
      </c>
      <c r="C277" s="114" t="s">
        <v>575</v>
      </c>
      <c r="D277" s="114" t="s">
        <v>57</v>
      </c>
      <c r="E277" s="114" t="s">
        <v>57</v>
      </c>
      <c r="F277" s="116">
        <v>2018.0</v>
      </c>
      <c r="G277" s="114"/>
      <c r="H277" s="116">
        <v>0.0</v>
      </c>
      <c r="I277" s="116">
        <v>58.0</v>
      </c>
      <c r="J277" s="114"/>
      <c r="K277" s="114"/>
      <c r="L277" s="114"/>
      <c r="M277" s="114"/>
      <c r="N277" s="116">
        <v>26.0</v>
      </c>
      <c r="O277" s="116"/>
      <c r="P277" s="114"/>
      <c r="Q277" s="140">
        <v>40000.0</v>
      </c>
      <c r="R277" s="114" t="s">
        <v>234</v>
      </c>
      <c r="S277" s="115">
        <v>2018.0</v>
      </c>
      <c r="T277" s="85">
        <v>0.237</v>
      </c>
      <c r="U277" s="118">
        <f t="shared" si="66"/>
        <v>9480</v>
      </c>
      <c r="V277" s="24">
        <f t="shared" si="3"/>
        <v>163.4482759</v>
      </c>
      <c r="W277" s="3">
        <f t="shared" si="29"/>
        <v>0</v>
      </c>
      <c r="X277" s="3">
        <f t="shared" si="30"/>
        <v>0</v>
      </c>
      <c r="Y277" s="3">
        <f t="shared" si="31"/>
        <v>0</v>
      </c>
      <c r="Z277" s="25">
        <f t="shared" si="32"/>
        <v>0</v>
      </c>
      <c r="AA277" s="26">
        <f>VLOOKUP(S277,CPI!$A$2:$E$67,5,0)</f>
        <v>1.21343491</v>
      </c>
      <c r="AB277" s="27">
        <f t="shared" si="8"/>
        <v>11503.36295</v>
      </c>
      <c r="AC277" s="27">
        <f t="shared" si="9"/>
        <v>198.3338439</v>
      </c>
    </row>
    <row r="278">
      <c r="A278" s="7"/>
      <c r="B278" s="114" t="s">
        <v>230</v>
      </c>
      <c r="C278" s="114" t="s">
        <v>577</v>
      </c>
      <c r="D278" s="16" t="s">
        <v>578</v>
      </c>
      <c r="E278" s="114" t="s">
        <v>579</v>
      </c>
      <c r="F278" s="116">
        <v>2020.0</v>
      </c>
      <c r="G278" s="114"/>
      <c r="H278" s="116">
        <v>1.0</v>
      </c>
      <c r="I278" s="116">
        <v>35.01</v>
      </c>
      <c r="J278" s="117">
        <v>0.0</v>
      </c>
      <c r="K278" s="116">
        <v>0.0</v>
      </c>
      <c r="L278" s="114"/>
      <c r="M278" s="114"/>
      <c r="N278" s="116">
        <v>8.0</v>
      </c>
      <c r="O278" s="116">
        <v>184.0</v>
      </c>
      <c r="P278" s="114"/>
      <c r="Q278" s="140">
        <v>17000.0</v>
      </c>
      <c r="R278" s="114" t="s">
        <v>234</v>
      </c>
      <c r="S278" s="115">
        <v>2020.0</v>
      </c>
      <c r="T278" s="136">
        <v>0.239</v>
      </c>
      <c r="U278" s="118">
        <f t="shared" si="66"/>
        <v>4063</v>
      </c>
      <c r="V278" s="24">
        <f t="shared" si="3"/>
        <v>116.0525564</v>
      </c>
      <c r="W278" s="3">
        <f t="shared" si="29"/>
        <v>0</v>
      </c>
      <c r="X278" s="3">
        <f t="shared" si="30"/>
        <v>0</v>
      </c>
      <c r="Y278" s="3">
        <f t="shared" si="31"/>
        <v>0</v>
      </c>
      <c r="Z278" s="25">
        <f t="shared" si="32"/>
        <v>0</v>
      </c>
      <c r="AA278" s="26">
        <f>VLOOKUP(S278,CPI!$A$2:$E$67,5,0)</f>
        <v>1.17731472</v>
      </c>
      <c r="AB278" s="27">
        <f t="shared" si="8"/>
        <v>4783.429707</v>
      </c>
      <c r="AC278" s="27">
        <f t="shared" si="9"/>
        <v>136.630383</v>
      </c>
    </row>
    <row r="279">
      <c r="A279" s="7"/>
      <c r="B279" s="114" t="s">
        <v>230</v>
      </c>
      <c r="C279" s="114" t="s">
        <v>581</v>
      </c>
      <c r="D279" s="115" t="s">
        <v>87</v>
      </c>
      <c r="E279" s="115" t="s">
        <v>331</v>
      </c>
      <c r="F279" s="114"/>
      <c r="G279" s="116">
        <v>2022.0</v>
      </c>
      <c r="H279" s="116">
        <v>0.0</v>
      </c>
      <c r="I279" s="116">
        <v>21.57</v>
      </c>
      <c r="J279" s="116">
        <v>1.0</v>
      </c>
      <c r="K279" s="116">
        <v>21.6</v>
      </c>
      <c r="L279" s="114"/>
      <c r="M279" s="114"/>
      <c r="N279" s="116">
        <v>13.0</v>
      </c>
      <c r="O279" s="116">
        <v>117.0</v>
      </c>
      <c r="P279" s="114"/>
      <c r="Q279" s="116">
        <v>13446.0</v>
      </c>
      <c r="R279" s="114" t="s">
        <v>234</v>
      </c>
      <c r="S279" s="115">
        <v>2021.0</v>
      </c>
      <c r="T279" s="136">
        <v>0.239</v>
      </c>
      <c r="U279" s="118">
        <f t="shared" si="66"/>
        <v>3213.594</v>
      </c>
      <c r="V279" s="24">
        <f t="shared" si="3"/>
        <v>148.9844228</v>
      </c>
      <c r="W279" s="3">
        <f t="shared" si="29"/>
        <v>0</v>
      </c>
      <c r="X279" s="3">
        <f t="shared" si="30"/>
        <v>0</v>
      </c>
      <c r="Y279" s="3">
        <f t="shared" si="31"/>
        <v>0</v>
      </c>
      <c r="Z279" s="25">
        <f t="shared" si="32"/>
        <v>0</v>
      </c>
      <c r="AA279" s="26">
        <f>VLOOKUP(S279,CPI!$A$2:$E$67,5,0)</f>
        <v>1.124486105</v>
      </c>
      <c r="AB279" s="27">
        <f t="shared" si="8"/>
        <v>3613.641802</v>
      </c>
      <c r="AC279" s="27">
        <f t="shared" si="9"/>
        <v>167.5309134</v>
      </c>
    </row>
    <row r="280">
      <c r="A280" s="163"/>
      <c r="B280" s="114" t="s">
        <v>230</v>
      </c>
      <c r="C280" s="114" t="s">
        <v>581</v>
      </c>
      <c r="D280" s="114" t="s">
        <v>54</v>
      </c>
      <c r="E280" s="114" t="s">
        <v>54</v>
      </c>
      <c r="F280" s="116">
        <v>2021.0</v>
      </c>
      <c r="G280" s="114"/>
      <c r="H280" s="116">
        <v>0.0</v>
      </c>
      <c r="I280" s="116">
        <v>36.39</v>
      </c>
      <c r="J280" s="117">
        <v>0.95</v>
      </c>
      <c r="K280" s="116">
        <v>34.6</v>
      </c>
      <c r="L280" s="114"/>
      <c r="M280" s="114"/>
      <c r="N280" s="116">
        <v>18.0</v>
      </c>
      <c r="O280" s="116">
        <v>117.0</v>
      </c>
      <c r="P280" s="114"/>
      <c r="Q280" s="140">
        <v>22800.0</v>
      </c>
      <c r="R280" s="114" t="s">
        <v>234</v>
      </c>
      <c r="S280" s="115">
        <v>2021.0</v>
      </c>
      <c r="T280" s="136">
        <v>0.239</v>
      </c>
      <c r="U280" s="118">
        <f t="shared" si="66"/>
        <v>5449.2</v>
      </c>
      <c r="V280" s="24">
        <f t="shared" si="3"/>
        <v>149.7444353</v>
      </c>
      <c r="W280" s="3">
        <f t="shared" si="29"/>
        <v>0</v>
      </c>
      <c r="X280" s="3">
        <f t="shared" si="30"/>
        <v>0</v>
      </c>
      <c r="Y280" s="3">
        <f t="shared" si="31"/>
        <v>0</v>
      </c>
      <c r="Z280" s="25">
        <f t="shared" si="32"/>
        <v>0</v>
      </c>
      <c r="AA280" s="26">
        <f>VLOOKUP(S280,CPI!$A$2:$E$67,5,0)</f>
        <v>1.124486105</v>
      </c>
      <c r="AB280" s="27">
        <f t="shared" si="8"/>
        <v>6127.549686</v>
      </c>
      <c r="AC280" s="27">
        <f t="shared" si="9"/>
        <v>168.3855368</v>
      </c>
    </row>
    <row r="281">
      <c r="A281" s="163"/>
      <c r="B281" s="114" t="s">
        <v>230</v>
      </c>
      <c r="C281" s="114" t="s">
        <v>581</v>
      </c>
      <c r="D281" s="115" t="s">
        <v>110</v>
      </c>
      <c r="E281" s="115" t="s">
        <v>332</v>
      </c>
      <c r="F281" s="116">
        <v>2021.0</v>
      </c>
      <c r="G281" s="114"/>
      <c r="H281" s="116">
        <v>0.0</v>
      </c>
      <c r="I281" s="116">
        <v>40.3</v>
      </c>
      <c r="J281" s="116">
        <v>1.0</v>
      </c>
      <c r="K281" s="116">
        <v>40.3</v>
      </c>
      <c r="L281" s="114"/>
      <c r="M281" s="114"/>
      <c r="N281" s="116">
        <v>33.0</v>
      </c>
      <c r="O281" s="116">
        <v>138.0</v>
      </c>
      <c r="P281" s="114"/>
      <c r="Q281" s="116">
        <v>39900.0</v>
      </c>
      <c r="R281" s="114" t="s">
        <v>234</v>
      </c>
      <c r="S281" s="115">
        <v>2021.0</v>
      </c>
      <c r="T281" s="136">
        <v>0.239000000000001</v>
      </c>
      <c r="U281" s="118">
        <f t="shared" si="66"/>
        <v>9536.1</v>
      </c>
      <c r="V281" s="24">
        <f t="shared" si="3"/>
        <v>236.6277916</v>
      </c>
      <c r="W281" s="3">
        <f t="shared" si="29"/>
        <v>0</v>
      </c>
      <c r="X281" s="3">
        <f t="shared" si="30"/>
        <v>0</v>
      </c>
      <c r="Y281" s="3">
        <f t="shared" si="31"/>
        <v>0</v>
      </c>
      <c r="Z281" s="25">
        <f t="shared" si="32"/>
        <v>0</v>
      </c>
      <c r="AA281" s="26">
        <f>VLOOKUP(S281,CPI!$A$2:$E$67,5,0)</f>
        <v>1.124486105</v>
      </c>
      <c r="AB281" s="27">
        <f t="shared" si="8"/>
        <v>10723.21195</v>
      </c>
      <c r="AC281" s="27">
        <f t="shared" si="9"/>
        <v>266.0846638</v>
      </c>
    </row>
    <row r="282">
      <c r="A282" s="170">
        <v>7753.0</v>
      </c>
      <c r="B282" s="123" t="s">
        <v>230</v>
      </c>
      <c r="C282" s="123" t="s">
        <v>586</v>
      </c>
      <c r="D282" s="36" t="s">
        <v>57</v>
      </c>
      <c r="E282" s="123" t="s">
        <v>587</v>
      </c>
      <c r="F282" s="75">
        <v>2010.0</v>
      </c>
      <c r="G282" s="75">
        <v>2014.0</v>
      </c>
      <c r="H282" s="75">
        <v>0.0</v>
      </c>
      <c r="I282" s="75">
        <v>42.1</v>
      </c>
      <c r="J282" s="124">
        <v>0.6983372922</v>
      </c>
      <c r="K282" s="75">
        <v>29.4</v>
      </c>
      <c r="L282" s="125">
        <v>12.09</v>
      </c>
      <c r="M282" s="125">
        <v>0.961</v>
      </c>
      <c r="N282" s="75">
        <v>31.0</v>
      </c>
      <c r="O282" s="75"/>
      <c r="P282" s="123" t="s">
        <v>60</v>
      </c>
      <c r="Q282" s="126">
        <f>231.37*10^2</f>
        <v>23137</v>
      </c>
      <c r="R282" s="123" t="s">
        <v>234</v>
      </c>
      <c r="S282" s="130">
        <v>2010.0</v>
      </c>
      <c r="T282" s="136">
        <v>0.3</v>
      </c>
      <c r="U282" s="128">
        <f t="shared" si="66"/>
        <v>6941.1</v>
      </c>
      <c r="V282" s="24">
        <f t="shared" si="3"/>
        <v>164.871734</v>
      </c>
      <c r="W282" s="3">
        <f t="shared" si="29"/>
        <v>0</v>
      </c>
      <c r="X282" s="3">
        <f t="shared" si="30"/>
        <v>0</v>
      </c>
      <c r="Y282" s="3">
        <f t="shared" si="31"/>
        <v>0</v>
      </c>
      <c r="Z282" s="25">
        <f t="shared" si="32"/>
        <v>0</v>
      </c>
      <c r="AA282" s="26">
        <f>VLOOKUP(S282,CPI!$A$2:$E$67,5,0)</f>
        <v>1.397356642</v>
      </c>
      <c r="AB282" s="27">
        <f t="shared" si="8"/>
        <v>9699.19219</v>
      </c>
      <c r="AC282" s="27">
        <f t="shared" si="9"/>
        <v>230.3846126</v>
      </c>
    </row>
    <row r="283">
      <c r="A283" s="38">
        <v>8019.0</v>
      </c>
      <c r="B283" s="130" t="s">
        <v>230</v>
      </c>
      <c r="C283" s="130" t="s">
        <v>586</v>
      </c>
      <c r="D283" s="36" t="s">
        <v>57</v>
      </c>
      <c r="E283" s="130" t="s">
        <v>589</v>
      </c>
      <c r="F283" s="130">
        <v>2013.0</v>
      </c>
      <c r="G283" s="130">
        <v>2015.0</v>
      </c>
      <c r="H283" s="130">
        <v>0.0</v>
      </c>
      <c r="I283" s="130">
        <v>5.2</v>
      </c>
      <c r="J283" s="131"/>
      <c r="K283" s="130"/>
      <c r="L283" s="132" t="e">
        <v>#N/A</v>
      </c>
      <c r="M283" s="132" t="e">
        <v>#N/A</v>
      </c>
      <c r="N283" s="130">
        <v>4.0</v>
      </c>
      <c r="O283" s="138"/>
      <c r="P283" s="130" t="s">
        <v>60</v>
      </c>
      <c r="Q283" s="135">
        <v>3306.0</v>
      </c>
      <c r="R283" s="130" t="s">
        <v>234</v>
      </c>
      <c r="S283" s="130">
        <v>2013.0</v>
      </c>
      <c r="T283" s="136">
        <v>0.273</v>
      </c>
      <c r="U283" s="128">
        <f t="shared" ref="U283:U284" si="67">T283*Q283</f>
        <v>902.538</v>
      </c>
      <c r="V283" s="24">
        <f t="shared" si="3"/>
        <v>173.565</v>
      </c>
      <c r="W283" s="3">
        <f t="shared" si="29"/>
        <v>0</v>
      </c>
      <c r="X283" s="3">
        <f t="shared" si="30"/>
        <v>0</v>
      </c>
      <c r="Y283" s="3">
        <f t="shared" si="31"/>
        <v>0</v>
      </c>
      <c r="Z283" s="25">
        <f t="shared" si="32"/>
        <v>0</v>
      </c>
      <c r="AA283" s="26">
        <f>VLOOKUP(S283,CPI!$A$2:$E$67,5,0)</f>
        <v>1.307975292</v>
      </c>
      <c r="AB283" s="27">
        <f t="shared" si="8"/>
        <v>1180.497404</v>
      </c>
      <c r="AC283" s="27">
        <f t="shared" si="9"/>
        <v>227.0187315</v>
      </c>
    </row>
    <row r="284">
      <c r="A284" s="38">
        <v>8137.0</v>
      </c>
      <c r="B284" s="130" t="s">
        <v>230</v>
      </c>
      <c r="C284" s="130" t="s">
        <v>586</v>
      </c>
      <c r="D284" s="36" t="s">
        <v>57</v>
      </c>
      <c r="E284" s="130" t="s">
        <v>591</v>
      </c>
      <c r="F284" s="130">
        <v>2013.0</v>
      </c>
      <c r="G284" s="130">
        <v>2015.0</v>
      </c>
      <c r="H284" s="130">
        <v>0.0</v>
      </c>
      <c r="I284" s="130">
        <v>7.3</v>
      </c>
      <c r="J284" s="131"/>
      <c r="K284" s="130"/>
      <c r="L284" s="132" t="e">
        <v>#N/A</v>
      </c>
      <c r="M284" s="132" t="e">
        <v>#N/A</v>
      </c>
      <c r="N284" s="130">
        <v>3.0</v>
      </c>
      <c r="O284" s="138"/>
      <c r="P284" s="130" t="s">
        <v>60</v>
      </c>
      <c r="Q284" s="135">
        <v>2395.0</v>
      </c>
      <c r="R284" s="130" t="s">
        <v>234</v>
      </c>
      <c r="S284" s="130">
        <v>2013.0</v>
      </c>
      <c r="T284" s="136">
        <v>0.273</v>
      </c>
      <c r="U284" s="128">
        <f t="shared" si="67"/>
        <v>653.835</v>
      </c>
      <c r="V284" s="24">
        <f t="shared" si="3"/>
        <v>89.56643836</v>
      </c>
      <c r="W284" s="3">
        <f t="shared" si="29"/>
        <v>0</v>
      </c>
      <c r="X284" s="3">
        <f t="shared" si="30"/>
        <v>0</v>
      </c>
      <c r="Y284" s="3">
        <f t="shared" si="31"/>
        <v>0</v>
      </c>
      <c r="Z284" s="25">
        <f t="shared" si="32"/>
        <v>0</v>
      </c>
      <c r="AA284" s="26">
        <f>VLOOKUP(S284,CPI!$A$2:$E$67,5,0)</f>
        <v>1.307975292</v>
      </c>
      <c r="AB284" s="27">
        <f t="shared" si="8"/>
        <v>855.2000248</v>
      </c>
      <c r="AC284" s="27">
        <f t="shared" si="9"/>
        <v>117.1506883</v>
      </c>
    </row>
    <row r="285">
      <c r="A285" s="38">
        <v>8051.0</v>
      </c>
      <c r="B285" s="72" t="s">
        <v>230</v>
      </c>
      <c r="C285" s="72" t="s">
        <v>586</v>
      </c>
      <c r="D285" s="115" t="s">
        <v>87</v>
      </c>
      <c r="E285" s="115" t="s">
        <v>357</v>
      </c>
      <c r="F285" s="69">
        <v>2013.0</v>
      </c>
      <c r="G285" s="69">
        <v>2018.0</v>
      </c>
      <c r="H285" s="69">
        <v>0.0</v>
      </c>
      <c r="I285" s="69">
        <v>4.0</v>
      </c>
      <c r="J285" s="192"/>
      <c r="K285" s="72"/>
      <c r="L285" s="72"/>
      <c r="M285" s="72"/>
      <c r="N285" s="69">
        <v>3.0</v>
      </c>
      <c r="O285" s="69">
        <v>117.0</v>
      </c>
      <c r="P285" s="72"/>
      <c r="Q285" s="140">
        <v>2493.0</v>
      </c>
      <c r="R285" s="72" t="s">
        <v>234</v>
      </c>
      <c r="S285" s="115">
        <v>2016.0</v>
      </c>
      <c r="T285" s="136">
        <v>0.251</v>
      </c>
      <c r="U285" s="118">
        <f>Q285*T285</f>
        <v>625.743</v>
      </c>
      <c r="V285" s="24">
        <f t="shared" si="3"/>
        <v>156.43575</v>
      </c>
      <c r="W285" s="3">
        <f t="shared" si="29"/>
        <v>0</v>
      </c>
      <c r="X285" s="3">
        <f t="shared" si="30"/>
        <v>0</v>
      </c>
      <c r="Y285" s="3">
        <f t="shared" si="31"/>
        <v>0</v>
      </c>
      <c r="Z285" s="25">
        <f t="shared" si="32"/>
        <v>0</v>
      </c>
      <c r="AA285" s="26">
        <f>VLOOKUP(S285,CPI!$A$2:$E$67,5,0)</f>
        <v>1.269554638</v>
      </c>
      <c r="AB285" s="27">
        <f t="shared" si="8"/>
        <v>794.4149278</v>
      </c>
      <c r="AC285" s="27">
        <f t="shared" si="9"/>
        <v>198.603732</v>
      </c>
    </row>
    <row r="286">
      <c r="A286" s="38">
        <v>8122.0</v>
      </c>
      <c r="B286" s="130" t="s">
        <v>230</v>
      </c>
      <c r="C286" s="130" t="s">
        <v>586</v>
      </c>
      <c r="D286" s="16" t="s">
        <v>54</v>
      </c>
      <c r="E286" s="130" t="s">
        <v>326</v>
      </c>
      <c r="F286" s="130">
        <v>2017.0</v>
      </c>
      <c r="G286" s="130">
        <v>2019.0</v>
      </c>
      <c r="H286" s="130">
        <v>0.0</v>
      </c>
      <c r="I286" s="130">
        <v>9.2</v>
      </c>
      <c r="J286" s="131">
        <v>1.0</v>
      </c>
      <c r="K286" s="130">
        <v>9.2</v>
      </c>
      <c r="L286" s="132">
        <v>0.0</v>
      </c>
      <c r="M286" s="132">
        <v>0.0</v>
      </c>
      <c r="N286" s="130">
        <v>8.0</v>
      </c>
      <c r="O286" s="138"/>
      <c r="P286" s="130" t="s">
        <v>60</v>
      </c>
      <c r="Q286" s="135">
        <v>5326.0</v>
      </c>
      <c r="R286" s="130" t="s">
        <v>234</v>
      </c>
      <c r="S286" s="130">
        <v>2013.0</v>
      </c>
      <c r="T286" s="136">
        <v>0.273</v>
      </c>
      <c r="U286" s="128">
        <f>T286*Q286</f>
        <v>1453.998</v>
      </c>
      <c r="V286" s="24">
        <f t="shared" si="3"/>
        <v>158.0432609</v>
      </c>
      <c r="W286" s="3">
        <f t="shared" si="29"/>
        <v>0</v>
      </c>
      <c r="X286" s="3">
        <f t="shared" si="30"/>
        <v>0</v>
      </c>
      <c r="Y286" s="3">
        <f t="shared" si="31"/>
        <v>0</v>
      </c>
      <c r="Z286" s="25">
        <f t="shared" si="32"/>
        <v>0</v>
      </c>
      <c r="AA286" s="26">
        <f>VLOOKUP(S286,CPI!$A$2:$E$67,5,0)</f>
        <v>1.307975292</v>
      </c>
      <c r="AB286" s="27">
        <f t="shared" si="8"/>
        <v>1901.793458</v>
      </c>
      <c r="AC286" s="27">
        <f t="shared" si="9"/>
        <v>206.7166802</v>
      </c>
    </row>
    <row r="287">
      <c r="A287" s="163"/>
      <c r="B287" s="114" t="s">
        <v>230</v>
      </c>
      <c r="C287" s="72" t="s">
        <v>586</v>
      </c>
      <c r="D287" s="115" t="s">
        <v>87</v>
      </c>
      <c r="E287" s="115" t="s">
        <v>331</v>
      </c>
      <c r="F287" s="116">
        <v>2017.0</v>
      </c>
      <c r="G287" s="114"/>
      <c r="H287" s="116">
        <v>0.0</v>
      </c>
      <c r="I287" s="116">
        <v>19.5</v>
      </c>
      <c r="J287" s="114"/>
      <c r="K287" s="114"/>
      <c r="L287" s="114"/>
      <c r="M287" s="114"/>
      <c r="N287" s="114"/>
      <c r="O287" s="116">
        <v>117.0</v>
      </c>
      <c r="P287" s="114"/>
      <c r="Q287" s="140">
        <v>13057.0</v>
      </c>
      <c r="R287" s="114" t="s">
        <v>234</v>
      </c>
      <c r="S287" s="115">
        <v>2017.0</v>
      </c>
      <c r="T287" s="85">
        <v>0.239</v>
      </c>
      <c r="U287" s="118">
        <f t="shared" ref="U287:U296" si="68">Q287*T287</f>
        <v>3120.623</v>
      </c>
      <c r="V287" s="24">
        <f t="shared" si="3"/>
        <v>160.0319487</v>
      </c>
      <c r="W287" s="3">
        <f t="shared" si="29"/>
        <v>0</v>
      </c>
      <c r="X287" s="3">
        <f t="shared" si="30"/>
        <v>0</v>
      </c>
      <c r="Y287" s="3">
        <f t="shared" si="31"/>
        <v>0</v>
      </c>
      <c r="Z287" s="25">
        <f t="shared" si="32"/>
        <v>0</v>
      </c>
      <c r="AA287" s="26">
        <f>VLOOKUP(S287,CPI!$A$2:$E$67,5,0)</f>
        <v>1.243072781</v>
      </c>
      <c r="AB287" s="27">
        <f t="shared" si="8"/>
        <v>3879.16151</v>
      </c>
      <c r="AC287" s="27">
        <f t="shared" si="9"/>
        <v>198.9313595</v>
      </c>
    </row>
    <row r="288">
      <c r="A288" s="170">
        <v>7939.0</v>
      </c>
      <c r="B288" s="72" t="s">
        <v>230</v>
      </c>
      <c r="C288" s="72" t="s">
        <v>586</v>
      </c>
      <c r="D288" s="115" t="s">
        <v>57</v>
      </c>
      <c r="E288" s="72" t="s">
        <v>592</v>
      </c>
      <c r="F288" s="69">
        <v>2020.0</v>
      </c>
      <c r="G288" s="72"/>
      <c r="H288" s="69">
        <v>0.0</v>
      </c>
      <c r="I288" s="69">
        <v>7.594</v>
      </c>
      <c r="J288" s="117">
        <v>1.0</v>
      </c>
      <c r="K288" s="69">
        <v>7.594</v>
      </c>
      <c r="L288" s="72"/>
      <c r="M288" s="72"/>
      <c r="N288" s="69">
        <v>7.0</v>
      </c>
      <c r="O288" s="69">
        <v>117.0</v>
      </c>
      <c r="P288" s="72"/>
      <c r="Q288" s="140">
        <v>8940.0</v>
      </c>
      <c r="R288" s="72" t="s">
        <v>234</v>
      </c>
      <c r="S288" s="115">
        <v>2020.0</v>
      </c>
      <c r="T288" s="136">
        <v>0.239</v>
      </c>
      <c r="U288" s="118">
        <f t="shared" si="68"/>
        <v>2136.66</v>
      </c>
      <c r="V288" s="24">
        <f t="shared" si="3"/>
        <v>281.3616013</v>
      </c>
      <c r="W288" s="3">
        <f t="shared" si="29"/>
        <v>0</v>
      </c>
      <c r="X288" s="3">
        <f t="shared" si="30"/>
        <v>0</v>
      </c>
      <c r="Y288" s="3">
        <f t="shared" si="31"/>
        <v>0</v>
      </c>
      <c r="Z288" s="25">
        <f t="shared" si="32"/>
        <v>0</v>
      </c>
      <c r="AA288" s="26">
        <f>VLOOKUP(S288,CPI!$A$2:$E$67,5,0)</f>
        <v>1.17731472</v>
      </c>
      <c r="AB288" s="27">
        <f t="shared" si="8"/>
        <v>2515.52127</v>
      </c>
      <c r="AC288" s="27">
        <f t="shared" si="9"/>
        <v>331.2511548</v>
      </c>
    </row>
    <row r="289">
      <c r="A289" s="38">
        <v>8098.0</v>
      </c>
      <c r="B289" s="72" t="s">
        <v>230</v>
      </c>
      <c r="C289" s="72" t="s">
        <v>586</v>
      </c>
      <c r="D289" s="72" t="s">
        <v>110</v>
      </c>
      <c r="E289" s="72" t="s">
        <v>110</v>
      </c>
      <c r="F289" s="69">
        <v>2020.0</v>
      </c>
      <c r="G289" s="72"/>
      <c r="H289" s="69">
        <v>0.0</v>
      </c>
      <c r="I289" s="69">
        <v>43.5</v>
      </c>
      <c r="J289" s="117">
        <v>1.0</v>
      </c>
      <c r="K289" s="69">
        <v>43.5</v>
      </c>
      <c r="L289" s="72"/>
      <c r="M289" s="72"/>
      <c r="N289" s="69">
        <v>26.0</v>
      </c>
      <c r="O289" s="69">
        <v>117.0</v>
      </c>
      <c r="P289" s="72"/>
      <c r="Q289" s="140">
        <v>30302.0</v>
      </c>
      <c r="R289" s="72" t="s">
        <v>234</v>
      </c>
      <c r="S289" s="115">
        <v>2020.0</v>
      </c>
      <c r="T289" s="136">
        <v>0.239</v>
      </c>
      <c r="U289" s="118">
        <f t="shared" si="68"/>
        <v>7242.178</v>
      </c>
      <c r="V289" s="24">
        <f t="shared" si="3"/>
        <v>166.4868506</v>
      </c>
      <c r="W289" s="3">
        <f t="shared" si="29"/>
        <v>0</v>
      </c>
      <c r="X289" s="3">
        <f t="shared" si="30"/>
        <v>0</v>
      </c>
      <c r="Y289" s="3">
        <f t="shared" si="31"/>
        <v>0</v>
      </c>
      <c r="Z289" s="25">
        <f t="shared" si="32"/>
        <v>0</v>
      </c>
      <c r="AA289" s="26">
        <f>VLOOKUP(S289,CPI!$A$2:$E$67,5,0)</f>
        <v>1.17731472</v>
      </c>
      <c r="AB289" s="27">
        <f t="shared" si="8"/>
        <v>8526.322764</v>
      </c>
      <c r="AC289" s="27">
        <f t="shared" si="9"/>
        <v>196.0074199</v>
      </c>
    </row>
    <row r="290">
      <c r="A290" s="38">
        <v>8072.0</v>
      </c>
      <c r="B290" s="72" t="s">
        <v>230</v>
      </c>
      <c r="C290" s="72" t="s">
        <v>586</v>
      </c>
      <c r="D290" s="72" t="s">
        <v>84</v>
      </c>
      <c r="E290" s="72" t="s">
        <v>84</v>
      </c>
      <c r="F290" s="69">
        <v>2020.0</v>
      </c>
      <c r="G290" s="72"/>
      <c r="H290" s="69">
        <v>0.0</v>
      </c>
      <c r="I290" s="69">
        <v>26.45</v>
      </c>
      <c r="J290" s="117">
        <v>1.0</v>
      </c>
      <c r="K290" s="69">
        <v>26.45</v>
      </c>
      <c r="L290" s="72"/>
      <c r="M290" s="72"/>
      <c r="N290" s="69">
        <v>22.0</v>
      </c>
      <c r="O290" s="69">
        <v>117.0</v>
      </c>
      <c r="P290" s="72"/>
      <c r="Q290" s="140">
        <v>22848.0</v>
      </c>
      <c r="R290" s="72" t="s">
        <v>234</v>
      </c>
      <c r="S290" s="115">
        <v>2020.0</v>
      </c>
      <c r="T290" s="136">
        <v>0.239</v>
      </c>
      <c r="U290" s="118">
        <f t="shared" si="68"/>
        <v>5460.672</v>
      </c>
      <c r="V290" s="24">
        <f t="shared" si="3"/>
        <v>206.4526276</v>
      </c>
      <c r="W290" s="3">
        <f t="shared" si="29"/>
        <v>0</v>
      </c>
      <c r="X290" s="3">
        <f t="shared" si="30"/>
        <v>0</v>
      </c>
      <c r="Y290" s="3">
        <f t="shared" si="31"/>
        <v>0</v>
      </c>
      <c r="Z290" s="25">
        <f t="shared" si="32"/>
        <v>0</v>
      </c>
      <c r="AA290" s="26">
        <f>VLOOKUP(S290,CPI!$A$2:$E$67,5,0)</f>
        <v>1.17731472</v>
      </c>
      <c r="AB290" s="27">
        <f t="shared" si="8"/>
        <v>6428.929527</v>
      </c>
      <c r="AC290" s="27">
        <f t="shared" si="9"/>
        <v>243.0597175</v>
      </c>
    </row>
    <row r="291">
      <c r="A291" s="38">
        <v>8128.0</v>
      </c>
      <c r="B291" s="72" t="s">
        <v>230</v>
      </c>
      <c r="C291" s="72" t="s">
        <v>586</v>
      </c>
      <c r="D291" s="72" t="s">
        <v>80</v>
      </c>
      <c r="E291" s="72" t="s">
        <v>80</v>
      </c>
      <c r="F291" s="69">
        <v>2020.0</v>
      </c>
      <c r="G291" s="72"/>
      <c r="H291" s="69">
        <v>0.0</v>
      </c>
      <c r="I291" s="69">
        <v>25.61</v>
      </c>
      <c r="J291" s="117">
        <v>0.59</v>
      </c>
      <c r="K291" s="69">
        <v>15.01</v>
      </c>
      <c r="L291" s="72"/>
      <c r="M291" s="72"/>
      <c r="N291" s="69">
        <v>8.0</v>
      </c>
      <c r="O291" s="69">
        <v>117.0</v>
      </c>
      <c r="P291" s="72"/>
      <c r="Q291" s="140">
        <v>14171.0</v>
      </c>
      <c r="R291" s="72" t="s">
        <v>234</v>
      </c>
      <c r="S291" s="115">
        <v>2020.0</v>
      </c>
      <c r="T291" s="136">
        <v>0.239</v>
      </c>
      <c r="U291" s="118">
        <f t="shared" si="68"/>
        <v>3386.869</v>
      </c>
      <c r="V291" s="24">
        <f t="shared" si="3"/>
        <v>132.247911</v>
      </c>
      <c r="W291" s="3">
        <f t="shared" si="29"/>
        <v>0</v>
      </c>
      <c r="X291" s="3">
        <f t="shared" si="30"/>
        <v>0</v>
      </c>
      <c r="Y291" s="3">
        <f t="shared" si="31"/>
        <v>0</v>
      </c>
      <c r="Z291" s="25">
        <f t="shared" si="32"/>
        <v>0</v>
      </c>
      <c r="AA291" s="26">
        <f>VLOOKUP(S291,CPI!$A$2:$E$67,5,0)</f>
        <v>1.17731472</v>
      </c>
      <c r="AB291" s="27">
        <f t="shared" si="8"/>
        <v>3987.410728</v>
      </c>
      <c r="AC291" s="27">
        <f t="shared" si="9"/>
        <v>155.6974123</v>
      </c>
    </row>
    <row r="292">
      <c r="A292" s="38">
        <v>8155.0</v>
      </c>
      <c r="B292" s="72" t="s">
        <v>230</v>
      </c>
      <c r="C292" s="72" t="s">
        <v>595</v>
      </c>
      <c r="D292" s="16" t="s">
        <v>57</v>
      </c>
      <c r="E292" s="115" t="s">
        <v>232</v>
      </c>
      <c r="F292" s="72"/>
      <c r="G292" s="70">
        <v>2019.0</v>
      </c>
      <c r="H292" s="69">
        <v>0.0</v>
      </c>
      <c r="I292" s="69">
        <v>25.9</v>
      </c>
      <c r="J292" s="117">
        <v>1.0</v>
      </c>
      <c r="K292" s="193">
        <v>25.9</v>
      </c>
      <c r="L292" s="72"/>
      <c r="M292" s="72"/>
      <c r="N292" s="69">
        <v>20.0</v>
      </c>
      <c r="O292" s="70">
        <v>138.0</v>
      </c>
      <c r="P292" s="72"/>
      <c r="Q292" s="140">
        <v>19816.0</v>
      </c>
      <c r="R292" s="72" t="s">
        <v>234</v>
      </c>
      <c r="S292" s="115">
        <v>2019.0</v>
      </c>
      <c r="T292" s="136">
        <v>0.238</v>
      </c>
      <c r="U292" s="118">
        <f t="shared" si="68"/>
        <v>4716.208</v>
      </c>
      <c r="V292" s="24">
        <f t="shared" si="3"/>
        <v>182.092973</v>
      </c>
      <c r="W292" s="3">
        <f t="shared" si="29"/>
        <v>0</v>
      </c>
      <c r="X292" s="3">
        <f t="shared" si="30"/>
        <v>0</v>
      </c>
      <c r="Y292" s="3">
        <f t="shared" si="31"/>
        <v>0</v>
      </c>
      <c r="Z292" s="25">
        <f t="shared" si="32"/>
        <v>0</v>
      </c>
      <c r="AA292" s="26">
        <f>VLOOKUP(S292,CPI!$A$2:$E$67,5,0)</f>
        <v>1.191839066</v>
      </c>
      <c r="AB292" s="27">
        <f t="shared" si="8"/>
        <v>5620.960936</v>
      </c>
      <c r="AC292" s="27">
        <f t="shared" si="9"/>
        <v>217.0255188</v>
      </c>
    </row>
    <row r="293">
      <c r="A293" s="163"/>
      <c r="B293" s="114" t="s">
        <v>230</v>
      </c>
      <c r="C293" s="72" t="s">
        <v>595</v>
      </c>
      <c r="D293" s="115" t="s">
        <v>110</v>
      </c>
      <c r="E293" s="115" t="s">
        <v>332</v>
      </c>
      <c r="F293" s="116">
        <v>2019.0</v>
      </c>
      <c r="G293" s="114"/>
      <c r="H293" s="116">
        <v>0.0</v>
      </c>
      <c r="I293" s="116">
        <v>26.8</v>
      </c>
      <c r="J293" s="117">
        <v>0.6</v>
      </c>
      <c r="K293" s="116">
        <v>16.0</v>
      </c>
      <c r="L293" s="114"/>
      <c r="M293" s="114"/>
      <c r="N293" s="116">
        <v>11.0</v>
      </c>
      <c r="O293" s="116"/>
      <c r="P293" s="114"/>
      <c r="Q293" s="140">
        <v>17062.0</v>
      </c>
      <c r="R293" s="114" t="s">
        <v>234</v>
      </c>
      <c r="S293" s="115">
        <v>2019.0</v>
      </c>
      <c r="T293" s="136">
        <v>0.238</v>
      </c>
      <c r="U293" s="118">
        <f t="shared" si="68"/>
        <v>4060.756</v>
      </c>
      <c r="V293" s="24">
        <f t="shared" si="3"/>
        <v>151.5207463</v>
      </c>
      <c r="W293" s="3">
        <f t="shared" si="29"/>
        <v>0</v>
      </c>
      <c r="X293" s="3">
        <f t="shared" si="30"/>
        <v>0</v>
      </c>
      <c r="Y293" s="3">
        <f t="shared" si="31"/>
        <v>0</v>
      </c>
      <c r="Z293" s="25">
        <f t="shared" si="32"/>
        <v>0</v>
      </c>
      <c r="AA293" s="26">
        <f>VLOOKUP(S293,CPI!$A$2:$E$67,5,0)</f>
        <v>1.191839066</v>
      </c>
      <c r="AB293" s="27">
        <f t="shared" si="8"/>
        <v>4839.767637</v>
      </c>
      <c r="AC293" s="27">
        <f t="shared" si="9"/>
        <v>180.5883447</v>
      </c>
    </row>
    <row r="294">
      <c r="A294" s="38">
        <v>8154.0</v>
      </c>
      <c r="B294" s="72" t="s">
        <v>230</v>
      </c>
      <c r="C294" s="72" t="s">
        <v>595</v>
      </c>
      <c r="D294" s="16" t="s">
        <v>54</v>
      </c>
      <c r="E294" s="115" t="s">
        <v>348</v>
      </c>
      <c r="F294" s="69">
        <v>2021.0</v>
      </c>
      <c r="G294" s="72"/>
      <c r="H294" s="69">
        <v>0.0</v>
      </c>
      <c r="I294" s="69">
        <v>9.6</v>
      </c>
      <c r="J294" s="117">
        <v>1.0</v>
      </c>
      <c r="K294" s="193">
        <v>9.6</v>
      </c>
      <c r="L294" s="72"/>
      <c r="M294" s="72"/>
      <c r="N294" s="69">
        <v>9.0</v>
      </c>
      <c r="O294" s="69">
        <v>138.0</v>
      </c>
      <c r="P294" s="72"/>
      <c r="Q294" s="140">
        <v>8960.0</v>
      </c>
      <c r="R294" s="72" t="s">
        <v>234</v>
      </c>
      <c r="S294" s="115">
        <v>2021.0</v>
      </c>
      <c r="T294" s="136">
        <v>0.239</v>
      </c>
      <c r="U294" s="118">
        <f t="shared" si="68"/>
        <v>2141.44</v>
      </c>
      <c r="V294" s="24">
        <f t="shared" si="3"/>
        <v>223.0666667</v>
      </c>
      <c r="W294" s="3">
        <f t="shared" si="29"/>
        <v>0</v>
      </c>
      <c r="X294" s="3">
        <f t="shared" si="30"/>
        <v>0</v>
      </c>
      <c r="Y294" s="3">
        <f t="shared" si="31"/>
        <v>0</v>
      </c>
      <c r="Z294" s="25">
        <f t="shared" si="32"/>
        <v>0</v>
      </c>
      <c r="AA294" s="26">
        <f>VLOOKUP(S294,CPI!$A$2:$E$67,5,0)</f>
        <v>1.124486105</v>
      </c>
      <c r="AB294" s="27">
        <f t="shared" si="8"/>
        <v>2408.019526</v>
      </c>
      <c r="AC294" s="27">
        <f t="shared" si="9"/>
        <v>250.8353673</v>
      </c>
    </row>
    <row r="295">
      <c r="A295" s="163"/>
      <c r="B295" s="114" t="s">
        <v>230</v>
      </c>
      <c r="C295" s="114" t="s">
        <v>599</v>
      </c>
      <c r="D295" s="114" t="s">
        <v>54</v>
      </c>
      <c r="E295" s="114" t="s">
        <v>54</v>
      </c>
      <c r="F295" s="116">
        <v>2022.0</v>
      </c>
      <c r="G295" s="114"/>
      <c r="H295" s="116">
        <v>0.0</v>
      </c>
      <c r="I295" s="116">
        <v>18.216</v>
      </c>
      <c r="J295" s="117">
        <v>1.0</v>
      </c>
      <c r="K295" s="116">
        <v>18.216</v>
      </c>
      <c r="L295" s="114"/>
      <c r="M295" s="114"/>
      <c r="N295" s="116">
        <v>15.0</v>
      </c>
      <c r="O295" s="116">
        <v>117.0</v>
      </c>
      <c r="P295" s="114"/>
      <c r="Q295" s="140">
        <v>14832.21</v>
      </c>
      <c r="R295" s="114" t="s">
        <v>234</v>
      </c>
      <c r="S295" s="115">
        <v>2021.0</v>
      </c>
      <c r="T295" s="136">
        <v>0.239000000000001</v>
      </c>
      <c r="U295" s="118">
        <f t="shared" si="68"/>
        <v>3544.89819</v>
      </c>
      <c r="V295" s="24">
        <f t="shared" si="3"/>
        <v>194.6035458</v>
      </c>
      <c r="W295" s="3">
        <f t="shared" si="29"/>
        <v>0</v>
      </c>
      <c r="X295" s="3">
        <f t="shared" si="30"/>
        <v>0</v>
      </c>
      <c r="Y295" s="3">
        <f t="shared" si="31"/>
        <v>0</v>
      </c>
      <c r="Z295" s="25">
        <f t="shared" si="32"/>
        <v>0</v>
      </c>
      <c r="AA295" s="26">
        <f>VLOOKUP(S295,CPI!$A$2:$E$67,5,0)</f>
        <v>1.124486105</v>
      </c>
      <c r="AB295" s="27">
        <f t="shared" si="8"/>
        <v>3986.18876</v>
      </c>
      <c r="AC295" s="27">
        <f t="shared" si="9"/>
        <v>218.8289833</v>
      </c>
    </row>
    <row r="296">
      <c r="A296" s="163"/>
      <c r="B296" s="66" t="s">
        <v>230</v>
      </c>
      <c r="C296" s="114" t="s">
        <v>601</v>
      </c>
      <c r="D296" s="16" t="s">
        <v>34</v>
      </c>
      <c r="E296" s="114" t="s">
        <v>602</v>
      </c>
      <c r="F296" s="116">
        <v>2009.0</v>
      </c>
      <c r="G296" s="116">
        <v>2016.0</v>
      </c>
      <c r="H296" s="116">
        <v>0.0</v>
      </c>
      <c r="I296" s="116">
        <v>50.6</v>
      </c>
      <c r="J296" s="117">
        <v>1.0</v>
      </c>
      <c r="K296" s="116">
        <v>50.6</v>
      </c>
      <c r="L296" s="114"/>
      <c r="M296" s="114"/>
      <c r="N296" s="116">
        <v>50.0</v>
      </c>
      <c r="O296" s="116">
        <v>117.0</v>
      </c>
      <c r="P296" s="114"/>
      <c r="Q296" s="140">
        <v>27440.0</v>
      </c>
      <c r="R296" s="114" t="s">
        <v>234</v>
      </c>
      <c r="S296" s="115">
        <v>2013.0</v>
      </c>
      <c r="T296" s="85">
        <v>0.273</v>
      </c>
      <c r="U296" s="118">
        <f t="shared" si="68"/>
        <v>7491.12</v>
      </c>
      <c r="V296" s="24">
        <f t="shared" si="3"/>
        <v>148.0458498</v>
      </c>
      <c r="W296" s="3">
        <f t="shared" si="29"/>
        <v>0</v>
      </c>
      <c r="X296" s="3">
        <f t="shared" si="30"/>
        <v>0</v>
      </c>
      <c r="Y296" s="3">
        <f t="shared" si="31"/>
        <v>0</v>
      </c>
      <c r="Z296" s="25">
        <f t="shared" si="32"/>
        <v>0</v>
      </c>
      <c r="AA296" s="26">
        <f>VLOOKUP(S296,CPI!$A$2:$E$67,5,0)</f>
        <v>1.307975292</v>
      </c>
      <c r="AB296" s="27">
        <f t="shared" si="8"/>
        <v>9798.199866</v>
      </c>
      <c r="AC296" s="27">
        <f t="shared" si="9"/>
        <v>193.6403136</v>
      </c>
    </row>
    <row r="297">
      <c r="A297" s="38">
        <v>8107.0</v>
      </c>
      <c r="B297" s="130" t="s">
        <v>230</v>
      </c>
      <c r="C297" s="130" t="s">
        <v>601</v>
      </c>
      <c r="D297" s="36" t="s">
        <v>54</v>
      </c>
      <c r="E297" s="130" t="s">
        <v>313</v>
      </c>
      <c r="F297" s="130">
        <v>2015.0</v>
      </c>
      <c r="G297" s="130">
        <v>2018.0</v>
      </c>
      <c r="H297" s="130">
        <v>0.0</v>
      </c>
      <c r="I297" s="130">
        <v>8.5</v>
      </c>
      <c r="J297" s="131">
        <v>1.0</v>
      </c>
      <c r="K297" s="130">
        <v>8.5</v>
      </c>
      <c r="L297" s="132">
        <v>0.0</v>
      </c>
      <c r="M297" s="132">
        <v>0.0</v>
      </c>
      <c r="N297" s="130">
        <v>7.0</v>
      </c>
      <c r="O297" s="138"/>
      <c r="P297" s="130" t="s">
        <v>60</v>
      </c>
      <c r="Q297" s="135">
        <v>3930.0</v>
      </c>
      <c r="R297" s="130" t="s">
        <v>234</v>
      </c>
      <c r="S297" s="130">
        <v>2015.0</v>
      </c>
      <c r="T297" s="136">
        <v>0.258</v>
      </c>
      <c r="U297" s="128">
        <f>T297*Q297</f>
        <v>1013.94</v>
      </c>
      <c r="V297" s="24">
        <f t="shared" si="3"/>
        <v>119.2870588</v>
      </c>
      <c r="W297" s="3">
        <f t="shared" si="29"/>
        <v>0</v>
      </c>
      <c r="X297" s="3">
        <f t="shared" si="30"/>
        <v>0</v>
      </c>
      <c r="Y297" s="3">
        <f t="shared" si="31"/>
        <v>0</v>
      </c>
      <c r="Z297" s="25">
        <f t="shared" si="32"/>
        <v>0</v>
      </c>
      <c r="AA297" s="26">
        <f>VLOOKUP(S297,CPI!$A$2:$E$67,5,0)</f>
        <v>1.285570233</v>
      </c>
      <c r="AB297" s="27">
        <f t="shared" si="8"/>
        <v>1303.491082</v>
      </c>
      <c r="AC297" s="27">
        <f t="shared" si="9"/>
        <v>153.351892</v>
      </c>
    </row>
    <row r="298">
      <c r="A298" s="170">
        <v>7905.0</v>
      </c>
      <c r="B298" s="123" t="s">
        <v>230</v>
      </c>
      <c r="C298" s="123" t="s">
        <v>601</v>
      </c>
      <c r="D298" s="16" t="s">
        <v>110</v>
      </c>
      <c r="E298" s="123" t="s">
        <v>332</v>
      </c>
      <c r="F298" s="75">
        <v>2016.0</v>
      </c>
      <c r="G298" s="75">
        <v>2021.0</v>
      </c>
      <c r="H298" s="75">
        <v>0.0</v>
      </c>
      <c r="I298" s="75">
        <v>38.2</v>
      </c>
      <c r="J298" s="124">
        <v>0.8429319372</v>
      </c>
      <c r="K298" s="75">
        <v>32.2</v>
      </c>
      <c r="L298" s="125">
        <v>0.0</v>
      </c>
      <c r="M298" s="125">
        <v>0.0</v>
      </c>
      <c r="N298" s="75">
        <v>29.0</v>
      </c>
      <c r="O298" s="75"/>
      <c r="P298" s="123" t="s">
        <v>60</v>
      </c>
      <c r="Q298" s="126">
        <v>28650.0</v>
      </c>
      <c r="R298" s="123" t="s">
        <v>234</v>
      </c>
      <c r="S298" s="75">
        <v>2015.0</v>
      </c>
      <c r="T298" s="136">
        <v>0.258</v>
      </c>
      <c r="U298" s="128">
        <f>Q298*T298</f>
        <v>7391.7</v>
      </c>
      <c r="V298" s="24">
        <f t="shared" si="3"/>
        <v>193.5</v>
      </c>
      <c r="W298" s="3">
        <f t="shared" si="29"/>
        <v>0</v>
      </c>
      <c r="X298" s="3">
        <f t="shared" si="30"/>
        <v>0</v>
      </c>
      <c r="Y298" s="3">
        <f t="shared" si="31"/>
        <v>0</v>
      </c>
      <c r="Z298" s="25">
        <f t="shared" si="32"/>
        <v>0</v>
      </c>
      <c r="AA298" s="26">
        <f>VLOOKUP(S298,CPI!$A$2:$E$67,5,0)</f>
        <v>1.285570233</v>
      </c>
      <c r="AB298" s="27">
        <f t="shared" si="8"/>
        <v>9502.549494</v>
      </c>
      <c r="AC298" s="27">
        <f t="shared" si="9"/>
        <v>248.7578402</v>
      </c>
    </row>
    <row r="299">
      <c r="A299" s="38">
        <v>8091.0</v>
      </c>
      <c r="B299" s="130" t="s">
        <v>230</v>
      </c>
      <c r="C299" s="130" t="s">
        <v>601</v>
      </c>
      <c r="D299" s="36" t="s">
        <v>57</v>
      </c>
      <c r="E299" s="130" t="s">
        <v>605</v>
      </c>
      <c r="F299" s="130">
        <v>2018.0</v>
      </c>
      <c r="G299" s="130">
        <v>2021.0</v>
      </c>
      <c r="H299" s="130">
        <v>0.0</v>
      </c>
      <c r="I299" s="130">
        <v>4.1</v>
      </c>
      <c r="J299" s="131">
        <v>1.0</v>
      </c>
      <c r="K299" s="130">
        <v>4.1</v>
      </c>
      <c r="L299" s="132">
        <v>0.0</v>
      </c>
      <c r="M299" s="132">
        <v>0.0</v>
      </c>
      <c r="N299" s="130">
        <v>2.0</v>
      </c>
      <c r="O299" s="138"/>
      <c r="P299" s="130" t="s">
        <v>60</v>
      </c>
      <c r="Q299" s="135">
        <v>2040.0</v>
      </c>
      <c r="R299" s="130" t="s">
        <v>234</v>
      </c>
      <c r="S299" s="130">
        <v>2015.0</v>
      </c>
      <c r="T299" s="136">
        <v>0.258</v>
      </c>
      <c r="U299" s="128">
        <f>T299*Q299</f>
        <v>526.32</v>
      </c>
      <c r="V299" s="24">
        <f t="shared" si="3"/>
        <v>128.3707317</v>
      </c>
      <c r="W299" s="3">
        <f t="shared" si="29"/>
        <v>0</v>
      </c>
      <c r="X299" s="3">
        <f t="shared" si="30"/>
        <v>0</v>
      </c>
      <c r="Y299" s="3">
        <f t="shared" si="31"/>
        <v>0</v>
      </c>
      <c r="Z299" s="25">
        <f t="shared" si="32"/>
        <v>0</v>
      </c>
      <c r="AA299" s="26">
        <f>VLOOKUP(S299,CPI!$A$2:$E$67,5,0)</f>
        <v>1.285570233</v>
      </c>
      <c r="AB299" s="27">
        <f t="shared" si="8"/>
        <v>676.6213252</v>
      </c>
      <c r="AC299" s="27">
        <f t="shared" si="9"/>
        <v>165.0295915</v>
      </c>
    </row>
    <row r="300">
      <c r="A300" s="170">
        <v>7842.0</v>
      </c>
      <c r="B300" s="72" t="s">
        <v>230</v>
      </c>
      <c r="C300" s="72" t="s">
        <v>601</v>
      </c>
      <c r="D300" s="72" t="s">
        <v>87</v>
      </c>
      <c r="E300" s="72" t="s">
        <v>87</v>
      </c>
      <c r="F300" s="72"/>
      <c r="G300" s="69">
        <v>2021.0</v>
      </c>
      <c r="H300" s="69">
        <v>0.0</v>
      </c>
      <c r="I300" s="69">
        <v>28.5</v>
      </c>
      <c r="J300" s="117">
        <v>1.0</v>
      </c>
      <c r="K300" s="69">
        <v>28.5</v>
      </c>
      <c r="L300" s="72"/>
      <c r="M300" s="72"/>
      <c r="N300" s="69">
        <v>22.0</v>
      </c>
      <c r="O300" s="69">
        <v>117.0</v>
      </c>
      <c r="P300" s="72"/>
      <c r="Q300" s="140">
        <v>22347.0</v>
      </c>
      <c r="R300" s="72" t="s">
        <v>234</v>
      </c>
      <c r="S300" s="115">
        <v>2021.0</v>
      </c>
      <c r="T300" s="136">
        <v>0.239</v>
      </c>
      <c r="U300" s="118">
        <f t="shared" ref="U300:U305" si="69">Q300*T300</f>
        <v>5340.933</v>
      </c>
      <c r="V300" s="24">
        <f t="shared" si="3"/>
        <v>187.4011579</v>
      </c>
      <c r="W300" s="3">
        <f t="shared" si="29"/>
        <v>0</v>
      </c>
      <c r="X300" s="3">
        <f t="shared" si="30"/>
        <v>0</v>
      </c>
      <c r="Y300" s="3">
        <f t="shared" si="31"/>
        <v>0</v>
      </c>
      <c r="Z300" s="25">
        <f t="shared" si="32"/>
        <v>0</v>
      </c>
      <c r="AA300" s="26">
        <f>VLOOKUP(S300,CPI!$A$2:$E$67,5,0)</f>
        <v>1.124486105</v>
      </c>
      <c r="AB300" s="27">
        <f t="shared" si="8"/>
        <v>6005.804949</v>
      </c>
      <c r="AC300" s="27">
        <f t="shared" si="9"/>
        <v>210.7299982</v>
      </c>
    </row>
    <row r="301">
      <c r="A301" s="163"/>
      <c r="B301" s="66" t="s">
        <v>230</v>
      </c>
      <c r="C301" s="114" t="s">
        <v>601</v>
      </c>
      <c r="D301" s="115" t="s">
        <v>57</v>
      </c>
      <c r="E301" s="114" t="s">
        <v>333</v>
      </c>
      <c r="F301" s="116">
        <v>2021.0</v>
      </c>
      <c r="G301" s="114"/>
      <c r="H301" s="116">
        <v>0.0</v>
      </c>
      <c r="I301" s="116">
        <v>16.973</v>
      </c>
      <c r="J301" s="117">
        <v>0.8</v>
      </c>
      <c r="K301" s="116">
        <v>13.528</v>
      </c>
      <c r="L301" s="114"/>
      <c r="M301" s="114"/>
      <c r="N301" s="116">
        <v>8.0</v>
      </c>
      <c r="O301" s="116">
        <v>117.0</v>
      </c>
      <c r="P301" s="114"/>
      <c r="Q301" s="140">
        <v>10341.0</v>
      </c>
      <c r="R301" s="114" t="s">
        <v>234</v>
      </c>
      <c r="S301" s="115">
        <v>2021.0</v>
      </c>
      <c r="T301" s="136">
        <v>0.239000000000001</v>
      </c>
      <c r="U301" s="118">
        <f t="shared" si="69"/>
        <v>2471.499</v>
      </c>
      <c r="V301" s="24">
        <f t="shared" si="3"/>
        <v>145.6135627</v>
      </c>
      <c r="W301" s="3">
        <f t="shared" si="29"/>
        <v>0</v>
      </c>
      <c r="X301" s="3">
        <f t="shared" si="30"/>
        <v>0</v>
      </c>
      <c r="Y301" s="3">
        <f t="shared" si="31"/>
        <v>0</v>
      </c>
      <c r="Z301" s="25">
        <f t="shared" si="32"/>
        <v>0</v>
      </c>
      <c r="AA301" s="26">
        <f>VLOOKUP(S301,CPI!$A$2:$E$67,5,0)</f>
        <v>1.124486105</v>
      </c>
      <c r="AB301" s="27">
        <f t="shared" si="8"/>
        <v>2779.166285</v>
      </c>
      <c r="AC301" s="27">
        <f t="shared" si="9"/>
        <v>163.740428</v>
      </c>
    </row>
    <row r="302">
      <c r="A302" s="170">
        <v>7803.0</v>
      </c>
      <c r="B302" s="72" t="s">
        <v>230</v>
      </c>
      <c r="C302" s="72" t="s">
        <v>601</v>
      </c>
      <c r="D302" s="115" t="s">
        <v>54</v>
      </c>
      <c r="E302" s="72" t="s">
        <v>315</v>
      </c>
      <c r="F302" s="69">
        <v>2021.0</v>
      </c>
      <c r="G302" s="72"/>
      <c r="H302" s="69">
        <v>0.0</v>
      </c>
      <c r="I302" s="69">
        <v>10.42</v>
      </c>
      <c r="J302" s="117">
        <v>1.0</v>
      </c>
      <c r="K302" s="69">
        <v>10.42</v>
      </c>
      <c r="L302" s="72"/>
      <c r="M302" s="72"/>
      <c r="N302" s="69">
        <v>9.0</v>
      </c>
      <c r="O302" s="69">
        <v>117.0</v>
      </c>
      <c r="P302" s="72"/>
      <c r="Q302" s="140">
        <v>10301.0</v>
      </c>
      <c r="R302" s="72" t="s">
        <v>234</v>
      </c>
      <c r="S302" s="115">
        <v>2021.0</v>
      </c>
      <c r="T302" s="136">
        <v>0.239</v>
      </c>
      <c r="U302" s="118">
        <f t="shared" si="69"/>
        <v>2461.939</v>
      </c>
      <c r="V302" s="24">
        <f t="shared" si="3"/>
        <v>236.2705374</v>
      </c>
      <c r="W302" s="3">
        <f t="shared" si="29"/>
        <v>0</v>
      </c>
      <c r="X302" s="3">
        <f t="shared" si="30"/>
        <v>0</v>
      </c>
      <c r="Y302" s="3">
        <f t="shared" si="31"/>
        <v>0</v>
      </c>
      <c r="Z302" s="25">
        <f t="shared" si="32"/>
        <v>0</v>
      </c>
      <c r="AA302" s="26">
        <f>VLOOKUP(S302,CPI!$A$2:$E$67,5,0)</f>
        <v>1.124486105</v>
      </c>
      <c r="AB302" s="27">
        <f t="shared" si="8"/>
        <v>2768.416198</v>
      </c>
      <c r="AC302" s="27">
        <f t="shared" si="9"/>
        <v>265.6829365</v>
      </c>
    </row>
    <row r="303">
      <c r="A303" s="170">
        <v>7730.0</v>
      </c>
      <c r="B303" s="123" t="s">
        <v>230</v>
      </c>
      <c r="C303" s="123" t="s">
        <v>609</v>
      </c>
      <c r="D303" s="36" t="s">
        <v>57</v>
      </c>
      <c r="E303" s="123" t="s">
        <v>232</v>
      </c>
      <c r="F303" s="75">
        <v>2000.0</v>
      </c>
      <c r="G303" s="75">
        <v>2005.0</v>
      </c>
      <c r="H303" s="75">
        <v>0.0</v>
      </c>
      <c r="I303" s="75">
        <v>21.72</v>
      </c>
      <c r="J303" s="124">
        <v>0.6597605893</v>
      </c>
      <c r="K303" s="75">
        <v>14.33</v>
      </c>
      <c r="L303" s="125">
        <v>6.05</v>
      </c>
      <c r="M303" s="125">
        <v>1.552</v>
      </c>
      <c r="N303" s="75">
        <v>16.0</v>
      </c>
      <c r="O303" s="75"/>
      <c r="P303" s="123" t="s">
        <v>42</v>
      </c>
      <c r="Q303" s="126">
        <f>8.5*10^3</f>
        <v>8500</v>
      </c>
      <c r="R303" s="123" t="s">
        <v>234</v>
      </c>
      <c r="S303" s="75">
        <v>2000.0</v>
      </c>
      <c r="T303" s="136">
        <v>0.367</v>
      </c>
      <c r="U303" s="128">
        <f t="shared" si="69"/>
        <v>3119.5</v>
      </c>
      <c r="V303" s="24">
        <f t="shared" si="3"/>
        <v>143.6233886</v>
      </c>
      <c r="W303" s="3">
        <f t="shared" si="29"/>
        <v>0</v>
      </c>
      <c r="X303" s="3">
        <f t="shared" si="30"/>
        <v>0</v>
      </c>
      <c r="Y303" s="3">
        <f t="shared" si="31"/>
        <v>0</v>
      </c>
      <c r="Z303" s="25">
        <f t="shared" si="32"/>
        <v>0</v>
      </c>
      <c r="AA303" s="26">
        <f>VLOOKUP(S303,CPI!$A$2:$E$67,5,0)</f>
        <v>1.769465738</v>
      </c>
      <c r="AB303" s="27">
        <f t="shared" si="8"/>
        <v>5519.848368</v>
      </c>
      <c r="AC303" s="27">
        <f t="shared" si="9"/>
        <v>254.1366652</v>
      </c>
    </row>
    <row r="304">
      <c r="A304" s="163"/>
      <c r="B304" s="114" t="s">
        <v>230</v>
      </c>
      <c r="C304" s="72" t="s">
        <v>609</v>
      </c>
      <c r="D304" s="115" t="s">
        <v>611</v>
      </c>
      <c r="E304" s="115" t="s">
        <v>612</v>
      </c>
      <c r="F304" s="116">
        <v>2012.0</v>
      </c>
      <c r="G304" s="116">
        <v>2014.0</v>
      </c>
      <c r="H304" s="116">
        <v>0.0</v>
      </c>
      <c r="I304" s="116">
        <v>45.2</v>
      </c>
      <c r="J304" s="117">
        <v>0.27</v>
      </c>
      <c r="K304" s="116">
        <v>12.2</v>
      </c>
      <c r="L304" s="114"/>
      <c r="M304" s="114"/>
      <c r="N304" s="116">
        <v>17.0</v>
      </c>
      <c r="O304" s="116">
        <v>78.0</v>
      </c>
      <c r="P304" s="114"/>
      <c r="Q304" s="140">
        <v>14379.0</v>
      </c>
      <c r="R304" s="114" t="s">
        <v>234</v>
      </c>
      <c r="S304" s="115">
        <v>2021.0</v>
      </c>
      <c r="T304" s="136">
        <v>0.239000000000001</v>
      </c>
      <c r="U304" s="118">
        <f t="shared" si="69"/>
        <v>3436.581</v>
      </c>
      <c r="V304" s="24">
        <f t="shared" si="3"/>
        <v>76.0305531</v>
      </c>
      <c r="W304" s="3">
        <f t="shared" si="29"/>
        <v>0</v>
      </c>
      <c r="X304" s="3">
        <f t="shared" si="30"/>
        <v>0</v>
      </c>
      <c r="Y304" s="3">
        <f t="shared" si="31"/>
        <v>0</v>
      </c>
      <c r="Z304" s="25">
        <f t="shared" si="32"/>
        <v>0</v>
      </c>
      <c r="AA304" s="26">
        <f>VLOOKUP(S304,CPI!$A$2:$E$67,5,0)</f>
        <v>1.124486105</v>
      </c>
      <c r="AB304" s="27">
        <f t="shared" si="8"/>
        <v>3864.387585</v>
      </c>
      <c r="AC304" s="27">
        <f t="shared" si="9"/>
        <v>85.49530055</v>
      </c>
    </row>
    <row r="305">
      <c r="A305" s="163"/>
      <c r="B305" s="114" t="s">
        <v>230</v>
      </c>
      <c r="C305" s="72" t="s">
        <v>609</v>
      </c>
      <c r="D305" s="115" t="s">
        <v>110</v>
      </c>
      <c r="E305" s="115" t="s">
        <v>332</v>
      </c>
      <c r="F305" s="116">
        <v>2004.0</v>
      </c>
      <c r="G305" s="116">
        <v>2015.0</v>
      </c>
      <c r="H305" s="116">
        <v>0.0</v>
      </c>
      <c r="I305" s="116">
        <v>43.9</v>
      </c>
      <c r="J305" s="117">
        <v>0.95</v>
      </c>
      <c r="K305" s="116">
        <v>41.7</v>
      </c>
      <c r="L305" s="114"/>
      <c r="M305" s="114"/>
      <c r="N305" s="114"/>
      <c r="O305" s="116">
        <v>117.0</v>
      </c>
      <c r="P305" s="114"/>
      <c r="Q305" s="140">
        <v>20070.0</v>
      </c>
      <c r="R305" s="114" t="s">
        <v>234</v>
      </c>
      <c r="S305" s="115">
        <v>2010.0</v>
      </c>
      <c r="T305" s="85">
        <v>0.3</v>
      </c>
      <c r="U305" s="118">
        <f t="shared" si="69"/>
        <v>6021</v>
      </c>
      <c r="V305" s="24">
        <f t="shared" si="3"/>
        <v>137.1526196</v>
      </c>
      <c r="W305" s="3">
        <f t="shared" si="29"/>
        <v>0</v>
      </c>
      <c r="X305" s="3">
        <f t="shared" si="30"/>
        <v>0</v>
      </c>
      <c r="Y305" s="3">
        <f t="shared" si="31"/>
        <v>0</v>
      </c>
      <c r="Z305" s="25">
        <f t="shared" si="32"/>
        <v>0</v>
      </c>
      <c r="AA305" s="26">
        <f>VLOOKUP(S305,CPI!$A$2:$E$67,5,0)</f>
        <v>1.397356642</v>
      </c>
      <c r="AB305" s="27">
        <f t="shared" si="8"/>
        <v>8413.484343</v>
      </c>
      <c r="AC305" s="27">
        <f t="shared" si="9"/>
        <v>191.651124</v>
      </c>
    </row>
    <row r="306">
      <c r="A306" s="38">
        <v>8080.0</v>
      </c>
      <c r="B306" s="130" t="s">
        <v>230</v>
      </c>
      <c r="C306" s="130" t="s">
        <v>609</v>
      </c>
      <c r="D306" s="16" t="s">
        <v>87</v>
      </c>
      <c r="E306" s="130" t="s">
        <v>616</v>
      </c>
      <c r="F306" s="130">
        <v>2015.0</v>
      </c>
      <c r="G306" s="130">
        <v>2017.0</v>
      </c>
      <c r="H306" s="130">
        <v>0.0</v>
      </c>
      <c r="I306" s="130">
        <v>6.6</v>
      </c>
      <c r="J306" s="131">
        <v>1.0</v>
      </c>
      <c r="K306" s="130">
        <v>6.6</v>
      </c>
      <c r="L306" s="132">
        <v>0.0</v>
      </c>
      <c r="M306" s="132">
        <v>0.0</v>
      </c>
      <c r="N306" s="130">
        <v>2.0</v>
      </c>
      <c r="O306" s="138"/>
      <c r="P306" s="130" t="s">
        <v>60</v>
      </c>
      <c r="Q306" s="135">
        <v>3370.0</v>
      </c>
      <c r="R306" s="130" t="s">
        <v>234</v>
      </c>
      <c r="S306" s="130">
        <v>2015.0</v>
      </c>
      <c r="T306" s="136">
        <v>0.258</v>
      </c>
      <c r="U306" s="128">
        <f>T306*Q306</f>
        <v>869.46</v>
      </c>
      <c r="V306" s="24">
        <f t="shared" si="3"/>
        <v>131.7363636</v>
      </c>
      <c r="W306" s="3">
        <f t="shared" si="29"/>
        <v>0</v>
      </c>
      <c r="X306" s="3">
        <f t="shared" si="30"/>
        <v>0</v>
      </c>
      <c r="Y306" s="3">
        <f t="shared" si="31"/>
        <v>0</v>
      </c>
      <c r="Z306" s="25">
        <f t="shared" si="32"/>
        <v>0</v>
      </c>
      <c r="AA306" s="26">
        <f>VLOOKUP(S306,CPI!$A$2:$E$67,5,0)</f>
        <v>1.285570233</v>
      </c>
      <c r="AB306" s="27">
        <f t="shared" si="8"/>
        <v>1117.751895</v>
      </c>
      <c r="AC306" s="27">
        <f t="shared" si="9"/>
        <v>169.3563477</v>
      </c>
    </row>
    <row r="307">
      <c r="A307" s="170">
        <v>7875.0</v>
      </c>
      <c r="B307" s="72" t="s">
        <v>230</v>
      </c>
      <c r="C307" s="72" t="s">
        <v>609</v>
      </c>
      <c r="D307" s="16" t="s">
        <v>253</v>
      </c>
      <c r="E307" s="115" t="s">
        <v>618</v>
      </c>
      <c r="F307" s="69">
        <v>2016.0</v>
      </c>
      <c r="G307" s="69">
        <v>2020.0</v>
      </c>
      <c r="H307" s="69">
        <v>0.0</v>
      </c>
      <c r="I307" s="69">
        <v>19.677</v>
      </c>
      <c r="J307" s="117">
        <v>1.0</v>
      </c>
      <c r="K307" s="69">
        <v>19.677</v>
      </c>
      <c r="L307" s="72"/>
      <c r="M307" s="72"/>
      <c r="N307" s="69">
        <v>16.0</v>
      </c>
      <c r="O307" s="69">
        <v>117.0</v>
      </c>
      <c r="P307" s="72"/>
      <c r="Q307" s="140">
        <v>21250.0</v>
      </c>
      <c r="R307" s="72" t="s">
        <v>234</v>
      </c>
      <c r="S307" s="75">
        <v>2018.0</v>
      </c>
      <c r="T307" s="136">
        <v>0.237</v>
      </c>
      <c r="U307" s="118">
        <f t="shared" ref="U307:U373" si="70">Q307*T307</f>
        <v>5036.25</v>
      </c>
      <c r="V307" s="24">
        <f t="shared" si="3"/>
        <v>255.9460284</v>
      </c>
      <c r="W307" s="3">
        <f t="shared" si="29"/>
        <v>0</v>
      </c>
      <c r="X307" s="3">
        <f t="shared" si="30"/>
        <v>0</v>
      </c>
      <c r="Y307" s="3">
        <f t="shared" si="31"/>
        <v>0</v>
      </c>
      <c r="Z307" s="25">
        <f t="shared" si="32"/>
        <v>0</v>
      </c>
      <c r="AA307" s="26">
        <f>VLOOKUP(S307,CPI!$A$2:$E$67,5,0)</f>
        <v>1.21343491</v>
      </c>
      <c r="AB307" s="27">
        <f t="shared" si="8"/>
        <v>6111.161567</v>
      </c>
      <c r="AC307" s="27">
        <f t="shared" si="9"/>
        <v>310.5738459</v>
      </c>
    </row>
    <row r="308">
      <c r="A308" s="170">
        <v>7891.0</v>
      </c>
      <c r="B308" s="123" t="s">
        <v>230</v>
      </c>
      <c r="C308" s="123" t="s">
        <v>609</v>
      </c>
      <c r="D308" s="36" t="s">
        <v>54</v>
      </c>
      <c r="E308" s="123" t="s">
        <v>313</v>
      </c>
      <c r="F308" s="75">
        <v>2017.0</v>
      </c>
      <c r="G308" s="75">
        <v>2020.0</v>
      </c>
      <c r="H308" s="75">
        <v>0.0</v>
      </c>
      <c r="I308" s="75">
        <v>5.6</v>
      </c>
      <c r="J308" s="124">
        <v>1.0</v>
      </c>
      <c r="K308" s="75">
        <v>5.6</v>
      </c>
      <c r="L308" s="125">
        <v>0.0</v>
      </c>
      <c r="M308" s="125">
        <v>0.0</v>
      </c>
      <c r="N308" s="75">
        <v>4.0</v>
      </c>
      <c r="O308" s="75"/>
      <c r="P308" s="123" t="s">
        <v>60</v>
      </c>
      <c r="Q308" s="126">
        <v>4280.0</v>
      </c>
      <c r="R308" s="123" t="s">
        <v>234</v>
      </c>
      <c r="S308" s="75">
        <v>2015.0</v>
      </c>
      <c r="T308" s="136">
        <v>0.258</v>
      </c>
      <c r="U308" s="128">
        <f t="shared" si="70"/>
        <v>1104.24</v>
      </c>
      <c r="V308" s="24">
        <f t="shared" si="3"/>
        <v>197.1857143</v>
      </c>
      <c r="W308" s="3">
        <f t="shared" si="29"/>
        <v>0</v>
      </c>
      <c r="X308" s="3">
        <f t="shared" si="30"/>
        <v>0</v>
      </c>
      <c r="Y308" s="3">
        <f t="shared" si="31"/>
        <v>0</v>
      </c>
      <c r="Z308" s="25">
        <f t="shared" si="32"/>
        <v>0</v>
      </c>
      <c r="AA308" s="26">
        <f>VLOOKUP(S308,CPI!$A$2:$E$67,5,0)</f>
        <v>1.285570233</v>
      </c>
      <c r="AB308" s="27">
        <f t="shared" si="8"/>
        <v>1419.578074</v>
      </c>
      <c r="AC308" s="27">
        <f t="shared" si="9"/>
        <v>253.4960847</v>
      </c>
    </row>
    <row r="309">
      <c r="A309" s="170">
        <v>7947.0</v>
      </c>
      <c r="B309" s="123" t="s">
        <v>230</v>
      </c>
      <c r="C309" s="123" t="s">
        <v>609</v>
      </c>
      <c r="D309" s="115" t="s">
        <v>611</v>
      </c>
      <c r="E309" s="123" t="s">
        <v>620</v>
      </c>
      <c r="F309" s="75">
        <v>2017.0</v>
      </c>
      <c r="G309" s="75">
        <v>2020.0</v>
      </c>
      <c r="H309" s="75">
        <v>0.0</v>
      </c>
      <c r="I309" s="75">
        <v>2.5</v>
      </c>
      <c r="J309" s="124">
        <v>1.0</v>
      </c>
      <c r="K309" s="75">
        <v>2.5</v>
      </c>
      <c r="L309" s="125">
        <v>0.0</v>
      </c>
      <c r="M309" s="125">
        <v>0.0</v>
      </c>
      <c r="N309" s="75">
        <v>2.0</v>
      </c>
      <c r="O309" s="75"/>
      <c r="P309" s="123" t="s">
        <v>60</v>
      </c>
      <c r="Q309" s="126">
        <v>1711.0</v>
      </c>
      <c r="R309" s="123" t="s">
        <v>234</v>
      </c>
      <c r="S309" s="75">
        <v>2016.0</v>
      </c>
      <c r="T309" s="136">
        <v>0.251</v>
      </c>
      <c r="U309" s="128">
        <f t="shared" si="70"/>
        <v>429.461</v>
      </c>
      <c r="V309" s="24">
        <f t="shared" si="3"/>
        <v>171.7844</v>
      </c>
      <c r="W309" s="3">
        <f t="shared" si="29"/>
        <v>0</v>
      </c>
      <c r="X309" s="3">
        <f t="shared" si="30"/>
        <v>0</v>
      </c>
      <c r="Y309" s="3">
        <f t="shared" si="31"/>
        <v>0</v>
      </c>
      <c r="Z309" s="25">
        <f t="shared" si="32"/>
        <v>0</v>
      </c>
      <c r="AA309" s="26">
        <f>VLOOKUP(S309,CPI!$A$2:$E$67,5,0)</f>
        <v>1.269554638</v>
      </c>
      <c r="AB309" s="27">
        <f t="shared" si="8"/>
        <v>545.2242044</v>
      </c>
      <c r="AC309" s="27">
        <f t="shared" si="9"/>
        <v>218.0896818</v>
      </c>
    </row>
    <row r="310">
      <c r="A310" s="170">
        <v>7969.0</v>
      </c>
      <c r="B310" s="72" t="s">
        <v>230</v>
      </c>
      <c r="C310" s="72" t="s">
        <v>609</v>
      </c>
      <c r="D310" s="16" t="s">
        <v>292</v>
      </c>
      <c r="E310" s="115" t="s">
        <v>622</v>
      </c>
      <c r="F310" s="69">
        <v>2018.0</v>
      </c>
      <c r="G310" s="69">
        <v>2021.0</v>
      </c>
      <c r="H310" s="69">
        <v>0.0</v>
      </c>
      <c r="I310" s="69">
        <v>27.0</v>
      </c>
      <c r="J310" s="117">
        <v>0.95</v>
      </c>
      <c r="K310" s="69">
        <v>25.6</v>
      </c>
      <c r="L310" s="72"/>
      <c r="M310" s="72"/>
      <c r="N310" s="69">
        <v>20.0</v>
      </c>
      <c r="O310" s="69">
        <v>117.0</v>
      </c>
      <c r="P310" s="72"/>
      <c r="Q310" s="140">
        <v>21039.19</v>
      </c>
      <c r="R310" s="72" t="s">
        <v>234</v>
      </c>
      <c r="S310" s="115">
        <v>2020.0</v>
      </c>
      <c r="T310" s="136">
        <v>0.239</v>
      </c>
      <c r="U310" s="118">
        <f t="shared" si="70"/>
        <v>5028.36641</v>
      </c>
      <c r="V310" s="24">
        <f t="shared" si="3"/>
        <v>186.235793</v>
      </c>
      <c r="W310" s="3">
        <f t="shared" si="29"/>
        <v>0</v>
      </c>
      <c r="X310" s="3">
        <f t="shared" si="30"/>
        <v>0</v>
      </c>
      <c r="Y310" s="3">
        <f t="shared" si="31"/>
        <v>0</v>
      </c>
      <c r="Z310" s="25">
        <f t="shared" si="32"/>
        <v>0</v>
      </c>
      <c r="AA310" s="26">
        <f>VLOOKUP(S310,CPI!$A$2:$E$67,5,0)</f>
        <v>1.17731472</v>
      </c>
      <c r="AB310" s="27">
        <f t="shared" si="8"/>
        <v>5919.969792</v>
      </c>
      <c r="AC310" s="27">
        <f t="shared" si="9"/>
        <v>219.2581404</v>
      </c>
    </row>
    <row r="311">
      <c r="A311" s="163"/>
      <c r="B311" s="114" t="s">
        <v>230</v>
      </c>
      <c r="C311" s="72" t="s">
        <v>609</v>
      </c>
      <c r="D311" s="171" t="s">
        <v>624</v>
      </c>
      <c r="E311" s="115" t="s">
        <v>625</v>
      </c>
      <c r="F311" s="116">
        <v>2018.0</v>
      </c>
      <c r="G311" s="116">
        <v>2022.0</v>
      </c>
      <c r="H311" s="116">
        <v>0.0</v>
      </c>
      <c r="I311" s="116">
        <v>32.95</v>
      </c>
      <c r="J311" s="117">
        <v>0.0</v>
      </c>
      <c r="K311" s="116">
        <v>0.0</v>
      </c>
      <c r="L311" s="114"/>
      <c r="M311" s="114"/>
      <c r="N311" s="116">
        <v>6.0</v>
      </c>
      <c r="O311" s="116">
        <v>92.0</v>
      </c>
      <c r="P311" s="114"/>
      <c r="Q311" s="140">
        <v>9399.67</v>
      </c>
      <c r="R311" s="114" t="s">
        <v>234</v>
      </c>
      <c r="S311" s="115">
        <v>2013.0</v>
      </c>
      <c r="T311" s="85">
        <v>0.273</v>
      </c>
      <c r="U311" s="118">
        <f t="shared" si="70"/>
        <v>2566.10991</v>
      </c>
      <c r="V311" s="24">
        <f t="shared" si="3"/>
        <v>77.8789047</v>
      </c>
      <c r="W311" s="3">
        <f t="shared" si="29"/>
        <v>0</v>
      </c>
      <c r="X311" s="3">
        <f t="shared" si="30"/>
        <v>0</v>
      </c>
      <c r="Y311" s="3">
        <f t="shared" si="31"/>
        <v>0</v>
      </c>
      <c r="Z311" s="25">
        <f t="shared" si="32"/>
        <v>0</v>
      </c>
      <c r="AA311" s="26">
        <f>VLOOKUP(S311,CPI!$A$2:$E$67,5,0)</f>
        <v>1.307975292</v>
      </c>
      <c r="AB311" s="27">
        <f t="shared" si="8"/>
        <v>3356.408358</v>
      </c>
      <c r="AC311" s="27">
        <f t="shared" si="9"/>
        <v>101.8636831</v>
      </c>
    </row>
    <row r="312">
      <c r="A312" s="170">
        <v>7945.0</v>
      </c>
      <c r="B312" s="72" t="s">
        <v>230</v>
      </c>
      <c r="C312" s="72" t="s">
        <v>609</v>
      </c>
      <c r="D312" s="72" t="s">
        <v>80</v>
      </c>
      <c r="E312" s="72" t="s">
        <v>80</v>
      </c>
      <c r="F312" s="69">
        <v>2019.0</v>
      </c>
      <c r="G312" s="69">
        <v>2023.0</v>
      </c>
      <c r="H312" s="69">
        <v>0.0</v>
      </c>
      <c r="I312" s="69">
        <v>32.365</v>
      </c>
      <c r="J312" s="117">
        <v>1.0</v>
      </c>
      <c r="K312" s="69">
        <v>32.365</v>
      </c>
      <c r="L312" s="72"/>
      <c r="M312" s="72"/>
      <c r="N312" s="69">
        <v>19.0</v>
      </c>
      <c r="O312" s="69">
        <v>117.0</v>
      </c>
      <c r="P312" s="72"/>
      <c r="Q312" s="140">
        <v>32870.0</v>
      </c>
      <c r="R312" s="72" t="s">
        <v>234</v>
      </c>
      <c r="S312" s="115">
        <v>2021.0</v>
      </c>
      <c r="T312" s="136">
        <v>0.239</v>
      </c>
      <c r="U312" s="118">
        <f t="shared" si="70"/>
        <v>7855.93</v>
      </c>
      <c r="V312" s="24">
        <f t="shared" si="3"/>
        <v>242.7291828</v>
      </c>
      <c r="W312" s="3">
        <f t="shared" si="29"/>
        <v>0</v>
      </c>
      <c r="X312" s="3">
        <f t="shared" si="30"/>
        <v>0</v>
      </c>
      <c r="Y312" s="3">
        <f t="shared" si="31"/>
        <v>0</v>
      </c>
      <c r="Z312" s="25">
        <f t="shared" si="32"/>
        <v>0</v>
      </c>
      <c r="AA312" s="26">
        <f>VLOOKUP(S312,CPI!$A$2:$E$67,5,0)</f>
        <v>1.124486105</v>
      </c>
      <c r="AB312" s="27">
        <f t="shared" si="8"/>
        <v>8833.884131</v>
      </c>
      <c r="AC312" s="27">
        <f t="shared" si="9"/>
        <v>272.9455934</v>
      </c>
    </row>
    <row r="313">
      <c r="A313" s="170">
        <v>7850.0</v>
      </c>
      <c r="B313" s="72" t="s">
        <v>230</v>
      </c>
      <c r="C313" s="72" t="s">
        <v>609</v>
      </c>
      <c r="D313" s="16" t="s">
        <v>239</v>
      </c>
      <c r="E313" s="115" t="s">
        <v>360</v>
      </c>
      <c r="F313" s="69">
        <v>2020.0</v>
      </c>
      <c r="G313" s="69">
        <v>2023.0</v>
      </c>
      <c r="H313" s="69">
        <v>0.0</v>
      </c>
      <c r="I313" s="69">
        <v>13.33</v>
      </c>
      <c r="J313" s="117">
        <v>1.0</v>
      </c>
      <c r="K313" s="69">
        <v>13.33</v>
      </c>
      <c r="L313" s="72"/>
      <c r="M313" s="72"/>
      <c r="N313" s="69">
        <v>10.0</v>
      </c>
      <c r="O313" s="69">
        <v>138.0</v>
      </c>
      <c r="P313" s="72"/>
      <c r="Q313" s="140">
        <v>10508.0</v>
      </c>
      <c r="R313" s="72" t="s">
        <v>234</v>
      </c>
      <c r="S313" s="115">
        <v>2021.0</v>
      </c>
      <c r="T313" s="136">
        <v>0.239</v>
      </c>
      <c r="U313" s="118">
        <f t="shared" si="70"/>
        <v>2511.412</v>
      </c>
      <c r="V313" s="24">
        <f t="shared" si="3"/>
        <v>188.4030008</v>
      </c>
      <c r="W313" s="3">
        <f t="shared" si="29"/>
        <v>0</v>
      </c>
      <c r="X313" s="3">
        <f t="shared" si="30"/>
        <v>0</v>
      </c>
      <c r="Y313" s="3">
        <f t="shared" si="31"/>
        <v>0</v>
      </c>
      <c r="Z313" s="25">
        <f t="shared" si="32"/>
        <v>0</v>
      </c>
      <c r="AA313" s="26">
        <f>VLOOKUP(S313,CPI!$A$2:$E$67,5,0)</f>
        <v>1.124486105</v>
      </c>
      <c r="AB313" s="27">
        <f t="shared" si="8"/>
        <v>2824.047899</v>
      </c>
      <c r="AC313" s="27">
        <f t="shared" si="9"/>
        <v>211.8565566</v>
      </c>
    </row>
    <row r="314">
      <c r="A314" s="170">
        <v>7848.0</v>
      </c>
      <c r="B314" s="72" t="s">
        <v>230</v>
      </c>
      <c r="C314" s="72" t="s">
        <v>609</v>
      </c>
      <c r="D314" s="115" t="s">
        <v>110</v>
      </c>
      <c r="E314" s="115" t="s">
        <v>358</v>
      </c>
      <c r="F314" s="69">
        <v>2021.0</v>
      </c>
      <c r="G314" s="69">
        <v>2025.0</v>
      </c>
      <c r="H314" s="69">
        <v>0.0</v>
      </c>
      <c r="I314" s="69">
        <v>10.0</v>
      </c>
      <c r="J314" s="117">
        <v>1.0</v>
      </c>
      <c r="K314" s="69">
        <v>10.0</v>
      </c>
      <c r="L314" s="72"/>
      <c r="M314" s="72"/>
      <c r="N314" s="69">
        <v>6.0</v>
      </c>
      <c r="O314" s="69">
        <v>117.0</v>
      </c>
      <c r="P314" s="72"/>
      <c r="Q314" s="140">
        <v>8810.0</v>
      </c>
      <c r="R314" s="72" t="s">
        <v>234</v>
      </c>
      <c r="S314" s="115">
        <v>2021.0</v>
      </c>
      <c r="T314" s="136">
        <v>0.239</v>
      </c>
      <c r="U314" s="118">
        <f t="shared" si="70"/>
        <v>2105.59</v>
      </c>
      <c r="V314" s="24">
        <f t="shared" si="3"/>
        <v>210.559</v>
      </c>
      <c r="W314" s="3">
        <f t="shared" si="29"/>
        <v>0</v>
      </c>
      <c r="X314" s="3">
        <f t="shared" si="30"/>
        <v>0</v>
      </c>
      <c r="Y314" s="3">
        <f t="shared" si="31"/>
        <v>0</v>
      </c>
      <c r="Z314" s="25">
        <f t="shared" si="32"/>
        <v>0</v>
      </c>
      <c r="AA314" s="26">
        <f>VLOOKUP(S314,CPI!$A$2:$E$67,5,0)</f>
        <v>1.124486105</v>
      </c>
      <c r="AB314" s="27">
        <f t="shared" si="8"/>
        <v>2367.706699</v>
      </c>
      <c r="AC314" s="27">
        <f t="shared" si="9"/>
        <v>236.7706699</v>
      </c>
    </row>
    <row r="315">
      <c r="A315" s="7"/>
      <c r="B315" s="114" t="s">
        <v>230</v>
      </c>
      <c r="C315" s="114" t="s">
        <v>609</v>
      </c>
      <c r="D315" s="115" t="s">
        <v>54</v>
      </c>
      <c r="E315" s="115" t="s">
        <v>348</v>
      </c>
      <c r="F315" s="116">
        <v>2005.0</v>
      </c>
      <c r="G315" s="114"/>
      <c r="H315" s="116">
        <v>0.0</v>
      </c>
      <c r="I315" s="116">
        <v>21.63</v>
      </c>
      <c r="J315" s="117">
        <v>0.88</v>
      </c>
      <c r="K315" s="116">
        <v>19.11</v>
      </c>
      <c r="L315" s="114"/>
      <c r="M315" s="114"/>
      <c r="N315" s="116">
        <v>18.0</v>
      </c>
      <c r="O315" s="116">
        <v>138.0</v>
      </c>
      <c r="P315" s="114"/>
      <c r="Q315" s="140">
        <v>10450.0</v>
      </c>
      <c r="R315" s="114" t="s">
        <v>234</v>
      </c>
      <c r="S315" s="115">
        <v>2005.0</v>
      </c>
      <c r="T315" s="85">
        <v>0.352</v>
      </c>
      <c r="U315" s="118">
        <f t="shared" si="70"/>
        <v>3678.4</v>
      </c>
      <c r="V315" s="24">
        <f t="shared" si="3"/>
        <v>170.0601017</v>
      </c>
      <c r="W315" s="3">
        <f t="shared" si="29"/>
        <v>0</v>
      </c>
      <c r="X315" s="3">
        <f t="shared" si="30"/>
        <v>0</v>
      </c>
      <c r="Y315" s="3">
        <f t="shared" si="31"/>
        <v>0</v>
      </c>
      <c r="Z315" s="25">
        <f t="shared" si="32"/>
        <v>0</v>
      </c>
      <c r="AA315" s="26">
        <f>VLOOKUP(S315,CPI!$A$2:$E$67,5,0)</f>
        <v>1.560174091</v>
      </c>
      <c r="AB315" s="27">
        <f t="shared" si="8"/>
        <v>5738.944377</v>
      </c>
      <c r="AC315" s="27">
        <f t="shared" si="9"/>
        <v>265.3233646</v>
      </c>
    </row>
    <row r="316">
      <c r="A316" s="170">
        <v>7897.0</v>
      </c>
      <c r="B316" s="72" t="s">
        <v>230</v>
      </c>
      <c r="C316" s="72" t="s">
        <v>609</v>
      </c>
      <c r="D316" s="72" t="s">
        <v>228</v>
      </c>
      <c r="E316" s="72" t="s">
        <v>228</v>
      </c>
      <c r="F316" s="69">
        <v>2019.0</v>
      </c>
      <c r="G316" s="72"/>
      <c r="H316" s="69">
        <v>0.0</v>
      </c>
      <c r="I316" s="69">
        <v>35.49</v>
      </c>
      <c r="J316" s="117">
        <v>1.0</v>
      </c>
      <c r="K316" s="69">
        <v>35.49</v>
      </c>
      <c r="L316" s="72"/>
      <c r="M316" s="72"/>
      <c r="N316" s="69">
        <v>27.0</v>
      </c>
      <c r="O316" s="69">
        <v>117.0</v>
      </c>
      <c r="P316" s="72"/>
      <c r="Q316" s="140">
        <v>30186.0</v>
      </c>
      <c r="R316" s="72" t="s">
        <v>234</v>
      </c>
      <c r="S316" s="69">
        <v>2019.0</v>
      </c>
      <c r="T316" s="136">
        <v>0.238</v>
      </c>
      <c r="U316" s="118">
        <f t="shared" si="70"/>
        <v>7184.268</v>
      </c>
      <c r="V316" s="24">
        <f t="shared" si="3"/>
        <v>202.4307692</v>
      </c>
      <c r="W316" s="3">
        <f t="shared" si="29"/>
        <v>0</v>
      </c>
      <c r="X316" s="3">
        <f t="shared" si="30"/>
        <v>0</v>
      </c>
      <c r="Y316" s="3">
        <f t="shared" si="31"/>
        <v>0</v>
      </c>
      <c r="Z316" s="25">
        <f t="shared" si="32"/>
        <v>0</v>
      </c>
      <c r="AA316" s="26">
        <f>VLOOKUP(S316,CPI!$A$2:$E$67,5,0)</f>
        <v>1.191839066</v>
      </c>
      <c r="AB316" s="27">
        <f t="shared" si="8"/>
        <v>8562.49126</v>
      </c>
      <c r="AC316" s="27">
        <f t="shared" si="9"/>
        <v>241.2648989</v>
      </c>
    </row>
    <row r="317">
      <c r="A317" s="170">
        <v>7834.0</v>
      </c>
      <c r="B317" s="72" t="s">
        <v>230</v>
      </c>
      <c r="C317" s="72" t="s">
        <v>609</v>
      </c>
      <c r="D317" s="36" t="s">
        <v>57</v>
      </c>
      <c r="E317" s="72" t="s">
        <v>633</v>
      </c>
      <c r="F317" s="69">
        <v>2021.0</v>
      </c>
      <c r="G317" s="72"/>
      <c r="H317" s="69">
        <v>0.0</v>
      </c>
      <c r="I317" s="69">
        <v>6.54</v>
      </c>
      <c r="J317" s="117">
        <v>0.92</v>
      </c>
      <c r="K317" s="69">
        <v>6.04</v>
      </c>
      <c r="L317" s="72"/>
      <c r="M317" s="72"/>
      <c r="N317" s="69">
        <v>5.0</v>
      </c>
      <c r="O317" s="69">
        <v>138.0</v>
      </c>
      <c r="P317" s="72"/>
      <c r="Q317" s="140">
        <v>8180.0</v>
      </c>
      <c r="R317" s="72" t="s">
        <v>234</v>
      </c>
      <c r="S317" s="115">
        <v>2021.0</v>
      </c>
      <c r="T317" s="136">
        <v>0.239</v>
      </c>
      <c r="U317" s="118">
        <f t="shared" si="70"/>
        <v>1955.02</v>
      </c>
      <c r="V317" s="24">
        <f t="shared" si="3"/>
        <v>298.9327217</v>
      </c>
      <c r="W317" s="3">
        <f t="shared" si="29"/>
        <v>0</v>
      </c>
      <c r="X317" s="3">
        <f t="shared" si="30"/>
        <v>0</v>
      </c>
      <c r="Y317" s="3">
        <f t="shared" si="31"/>
        <v>0</v>
      </c>
      <c r="Z317" s="25">
        <f t="shared" si="32"/>
        <v>0</v>
      </c>
      <c r="AA317" s="26">
        <f>VLOOKUP(S317,CPI!$A$2:$E$67,5,0)</f>
        <v>1.124486105</v>
      </c>
      <c r="AB317" s="27">
        <f t="shared" si="8"/>
        <v>2198.392826</v>
      </c>
      <c r="AC317" s="27">
        <f t="shared" si="9"/>
        <v>336.145692</v>
      </c>
    </row>
    <row r="318">
      <c r="A318" s="170">
        <v>7825.0</v>
      </c>
      <c r="B318" s="72" t="s">
        <v>230</v>
      </c>
      <c r="C318" s="72" t="s">
        <v>609</v>
      </c>
      <c r="D318" s="72" t="s">
        <v>84</v>
      </c>
      <c r="E318" s="72" t="s">
        <v>84</v>
      </c>
      <c r="F318" s="69">
        <v>2021.0</v>
      </c>
      <c r="G318" s="72"/>
      <c r="H318" s="69">
        <v>0.0</v>
      </c>
      <c r="I318" s="69">
        <v>37.4</v>
      </c>
      <c r="J318" s="117">
        <v>1.0</v>
      </c>
      <c r="K318" s="69">
        <v>37.4</v>
      </c>
      <c r="L318" s="72"/>
      <c r="M318" s="72"/>
      <c r="N318" s="69">
        <v>30.0</v>
      </c>
      <c r="O318" s="69">
        <v>138.0</v>
      </c>
      <c r="P318" s="72"/>
      <c r="Q318" s="140">
        <v>33458.0</v>
      </c>
      <c r="R318" s="72" t="s">
        <v>234</v>
      </c>
      <c r="S318" s="115">
        <v>2021.0</v>
      </c>
      <c r="T318" s="136">
        <v>0.239</v>
      </c>
      <c r="U318" s="118">
        <f t="shared" si="70"/>
        <v>7996.462</v>
      </c>
      <c r="V318" s="24">
        <f t="shared" si="3"/>
        <v>213.8091444</v>
      </c>
      <c r="W318" s="3">
        <f t="shared" si="29"/>
        <v>0</v>
      </c>
      <c r="X318" s="3">
        <f t="shared" si="30"/>
        <v>0</v>
      </c>
      <c r="Y318" s="3">
        <f t="shared" si="31"/>
        <v>0</v>
      </c>
      <c r="Z318" s="25">
        <f t="shared" si="32"/>
        <v>0</v>
      </c>
      <c r="AA318" s="26">
        <f>VLOOKUP(S318,CPI!$A$2:$E$67,5,0)</f>
        <v>1.124486105</v>
      </c>
      <c r="AB318" s="27">
        <f t="shared" si="8"/>
        <v>8991.910412</v>
      </c>
      <c r="AC318" s="27">
        <f t="shared" si="9"/>
        <v>240.4254121</v>
      </c>
    </row>
    <row r="319">
      <c r="A319" s="163"/>
      <c r="B319" s="114" t="s">
        <v>230</v>
      </c>
      <c r="C319" s="72" t="s">
        <v>609</v>
      </c>
      <c r="D319" s="171" t="s">
        <v>636</v>
      </c>
      <c r="E319" s="72" t="s">
        <v>637</v>
      </c>
      <c r="F319" s="116">
        <v>2021.0</v>
      </c>
      <c r="G319" s="114"/>
      <c r="H319" s="82">
        <v>1.0</v>
      </c>
      <c r="I319" s="116">
        <v>27.49</v>
      </c>
      <c r="J319" s="117">
        <v>0.0</v>
      </c>
      <c r="K319" s="116">
        <v>0.0</v>
      </c>
      <c r="L319" s="114"/>
      <c r="M319" s="114"/>
      <c r="N319" s="116">
        <v>8.0</v>
      </c>
      <c r="O319" s="116">
        <v>117.0</v>
      </c>
      <c r="P319" s="114"/>
      <c r="Q319" s="140">
        <v>6337.0</v>
      </c>
      <c r="R319" s="114" t="s">
        <v>234</v>
      </c>
      <c r="S319" s="115">
        <v>2021.0</v>
      </c>
      <c r="T319" s="136">
        <v>0.239000000000001</v>
      </c>
      <c r="U319" s="118">
        <f t="shared" si="70"/>
        <v>1514.543</v>
      </c>
      <c r="V319" s="24">
        <f t="shared" si="3"/>
        <v>55.09432521</v>
      </c>
      <c r="W319" s="3">
        <f t="shared" si="29"/>
        <v>0</v>
      </c>
      <c r="X319" s="3">
        <f t="shared" si="30"/>
        <v>0</v>
      </c>
      <c r="Y319" s="3">
        <f t="shared" si="31"/>
        <v>0</v>
      </c>
      <c r="Z319" s="25">
        <f t="shared" si="32"/>
        <v>0</v>
      </c>
      <c r="AA319" s="26">
        <f>VLOOKUP(S319,CPI!$A$2:$E$67,5,0)</f>
        <v>1.124486105</v>
      </c>
      <c r="AB319" s="27">
        <f t="shared" si="8"/>
        <v>1703.08256</v>
      </c>
      <c r="AC319" s="27">
        <f t="shared" si="9"/>
        <v>61.95280319</v>
      </c>
    </row>
    <row r="320">
      <c r="A320" s="163"/>
      <c r="B320" s="114" t="s">
        <v>230</v>
      </c>
      <c r="C320" s="72" t="s">
        <v>609</v>
      </c>
      <c r="D320" s="171" t="s">
        <v>636</v>
      </c>
      <c r="E320" s="72" t="s">
        <v>639</v>
      </c>
      <c r="F320" s="116">
        <v>2021.0</v>
      </c>
      <c r="G320" s="114"/>
      <c r="H320" s="82">
        <v>1.0</v>
      </c>
      <c r="I320" s="116">
        <v>26.5</v>
      </c>
      <c r="J320" s="117">
        <v>0.52</v>
      </c>
      <c r="K320" s="116">
        <v>13.71</v>
      </c>
      <c r="L320" s="114"/>
      <c r="M320" s="114"/>
      <c r="N320" s="116">
        <v>8.0</v>
      </c>
      <c r="O320" s="116">
        <v>117.0</v>
      </c>
      <c r="P320" s="114"/>
      <c r="Q320" s="140">
        <v>14698.0</v>
      </c>
      <c r="R320" s="114" t="s">
        <v>234</v>
      </c>
      <c r="S320" s="115">
        <v>2021.0</v>
      </c>
      <c r="T320" s="136">
        <v>0.239000000000002</v>
      </c>
      <c r="U320" s="118">
        <f t="shared" si="70"/>
        <v>3512.822</v>
      </c>
      <c r="V320" s="24">
        <f t="shared" si="3"/>
        <v>132.5593208</v>
      </c>
      <c r="W320" s="3">
        <f t="shared" si="29"/>
        <v>0</v>
      </c>
      <c r="X320" s="3">
        <f t="shared" si="30"/>
        <v>0</v>
      </c>
      <c r="Y320" s="3">
        <f t="shared" si="31"/>
        <v>0</v>
      </c>
      <c r="Z320" s="25">
        <f t="shared" si="32"/>
        <v>0</v>
      </c>
      <c r="AA320" s="26">
        <f>VLOOKUP(S320,CPI!$A$2:$E$67,5,0)</f>
        <v>1.124486105</v>
      </c>
      <c r="AB320" s="27">
        <f t="shared" si="8"/>
        <v>3950.11953</v>
      </c>
      <c r="AC320" s="27">
        <f t="shared" si="9"/>
        <v>149.0611143</v>
      </c>
    </row>
    <row r="321">
      <c r="A321" s="163"/>
      <c r="B321" s="114" t="s">
        <v>230</v>
      </c>
      <c r="C321" s="72" t="s">
        <v>609</v>
      </c>
      <c r="D321" s="72" t="s">
        <v>642</v>
      </c>
      <c r="E321" s="72" t="s">
        <v>642</v>
      </c>
      <c r="F321" s="116">
        <v>2021.0</v>
      </c>
      <c r="G321" s="114"/>
      <c r="H321" s="116">
        <v>0.0</v>
      </c>
      <c r="I321" s="116">
        <v>42.4</v>
      </c>
      <c r="J321" s="114"/>
      <c r="K321" s="114"/>
      <c r="L321" s="114"/>
      <c r="M321" s="114"/>
      <c r="N321" s="116">
        <v>11.0</v>
      </c>
      <c r="O321" s="116">
        <v>117.0</v>
      </c>
      <c r="P321" s="114"/>
      <c r="Q321" s="140">
        <v>14980.0</v>
      </c>
      <c r="R321" s="114" t="s">
        <v>234</v>
      </c>
      <c r="S321" s="115">
        <v>2021.0</v>
      </c>
      <c r="T321" s="136">
        <v>0.239000000000002</v>
      </c>
      <c r="U321" s="118">
        <f t="shared" si="70"/>
        <v>3580.22</v>
      </c>
      <c r="V321" s="24">
        <f t="shared" si="3"/>
        <v>84.43915094</v>
      </c>
      <c r="W321" s="3">
        <f t="shared" si="29"/>
        <v>0</v>
      </c>
      <c r="X321" s="3">
        <f t="shared" si="30"/>
        <v>0</v>
      </c>
      <c r="Y321" s="3">
        <f t="shared" si="31"/>
        <v>0</v>
      </c>
      <c r="Z321" s="25">
        <f t="shared" si="32"/>
        <v>0</v>
      </c>
      <c r="AA321" s="26">
        <f>VLOOKUP(S321,CPI!$A$2:$E$67,5,0)</f>
        <v>1.124486105</v>
      </c>
      <c r="AB321" s="27">
        <f t="shared" si="8"/>
        <v>4025.907645</v>
      </c>
      <c r="AC321" s="27">
        <f t="shared" si="9"/>
        <v>94.95065199</v>
      </c>
    </row>
    <row r="322">
      <c r="A322" s="163"/>
      <c r="B322" s="114" t="s">
        <v>230</v>
      </c>
      <c r="C322" s="72" t="s">
        <v>609</v>
      </c>
      <c r="D322" s="171" t="s">
        <v>624</v>
      </c>
      <c r="E322" s="115" t="s">
        <v>644</v>
      </c>
      <c r="F322" s="116">
        <v>2021.0</v>
      </c>
      <c r="G322" s="114"/>
      <c r="H322" s="116">
        <v>0.0</v>
      </c>
      <c r="I322" s="116">
        <v>5.671</v>
      </c>
      <c r="J322" s="117">
        <v>0.46</v>
      </c>
      <c r="K322" s="116">
        <v>2.63</v>
      </c>
      <c r="L322" s="114"/>
      <c r="M322" s="114"/>
      <c r="N322" s="116">
        <v>2.0</v>
      </c>
      <c r="O322" s="116">
        <v>92.0</v>
      </c>
      <c r="P322" s="114"/>
      <c r="Q322" s="140">
        <v>3435.0</v>
      </c>
      <c r="R322" s="114" t="s">
        <v>234</v>
      </c>
      <c r="S322" s="115">
        <v>2021.0</v>
      </c>
      <c r="T322" s="136">
        <v>0.239000000000002</v>
      </c>
      <c r="U322" s="118">
        <f t="shared" si="70"/>
        <v>820.965</v>
      </c>
      <c r="V322" s="24">
        <f t="shared" si="3"/>
        <v>144.7654735</v>
      </c>
      <c r="W322" s="3">
        <f t="shared" si="29"/>
        <v>0</v>
      </c>
      <c r="X322" s="3">
        <f t="shared" si="30"/>
        <v>0</v>
      </c>
      <c r="Y322" s="3">
        <f t="shared" si="31"/>
        <v>0</v>
      </c>
      <c r="Z322" s="25">
        <f t="shared" si="32"/>
        <v>0</v>
      </c>
      <c r="AA322" s="26">
        <f>VLOOKUP(S322,CPI!$A$2:$E$67,5,0)</f>
        <v>1.124486105</v>
      </c>
      <c r="AB322" s="27">
        <f t="shared" si="8"/>
        <v>923.1637356</v>
      </c>
      <c r="AC322" s="27">
        <f t="shared" si="9"/>
        <v>162.7867635</v>
      </c>
    </row>
    <row r="323">
      <c r="A323" s="163"/>
      <c r="B323" s="114" t="s">
        <v>230</v>
      </c>
      <c r="C323" s="72" t="s">
        <v>609</v>
      </c>
      <c r="D323" s="72" t="s">
        <v>646</v>
      </c>
      <c r="E323" s="72" t="s">
        <v>646</v>
      </c>
      <c r="F323" s="116">
        <v>2021.0</v>
      </c>
      <c r="G323" s="114"/>
      <c r="H323" s="116">
        <v>0.0</v>
      </c>
      <c r="I323" s="116">
        <v>53.75</v>
      </c>
      <c r="J323" s="117">
        <v>0.57</v>
      </c>
      <c r="K323" s="116">
        <v>30.66</v>
      </c>
      <c r="L323" s="114"/>
      <c r="M323" s="114"/>
      <c r="N323" s="116">
        <v>16.0</v>
      </c>
      <c r="O323" s="116">
        <v>138.0</v>
      </c>
      <c r="P323" s="114"/>
      <c r="Q323" s="140">
        <v>26852.0</v>
      </c>
      <c r="R323" s="114" t="s">
        <v>234</v>
      </c>
      <c r="S323" s="115">
        <v>2021.0</v>
      </c>
      <c r="T323" s="136">
        <v>0.239000000000002</v>
      </c>
      <c r="U323" s="118">
        <f t="shared" si="70"/>
        <v>6417.628</v>
      </c>
      <c r="V323" s="24">
        <f t="shared" si="3"/>
        <v>119.3977302</v>
      </c>
      <c r="W323" s="3">
        <f t="shared" si="29"/>
        <v>0</v>
      </c>
      <c r="X323" s="3">
        <f t="shared" si="30"/>
        <v>0</v>
      </c>
      <c r="Y323" s="3">
        <f t="shared" si="31"/>
        <v>0</v>
      </c>
      <c r="Z323" s="25">
        <f t="shared" si="32"/>
        <v>0</v>
      </c>
      <c r="AA323" s="26">
        <f>VLOOKUP(S323,CPI!$A$2:$E$67,5,0)</f>
        <v>1.124486105</v>
      </c>
      <c r="AB323" s="27">
        <f t="shared" si="8"/>
        <v>7216.533516</v>
      </c>
      <c r="AC323" s="27">
        <f t="shared" si="9"/>
        <v>134.2610887</v>
      </c>
    </row>
    <row r="324">
      <c r="A324" s="7"/>
      <c r="B324" s="114" t="s">
        <v>230</v>
      </c>
      <c r="C324" s="114" t="s">
        <v>609</v>
      </c>
      <c r="D324" s="114" t="s">
        <v>649</v>
      </c>
      <c r="E324" s="114" t="s">
        <v>649</v>
      </c>
      <c r="F324" s="116">
        <v>2021.0</v>
      </c>
      <c r="G324" s="114"/>
      <c r="H324" s="116">
        <v>0.0</v>
      </c>
      <c r="I324" s="116">
        <v>26.313</v>
      </c>
      <c r="J324" s="117">
        <v>0.62</v>
      </c>
      <c r="K324" s="116">
        <v>16.26</v>
      </c>
      <c r="L324" s="114"/>
      <c r="M324" s="114"/>
      <c r="N324" s="116">
        <v>13.0</v>
      </c>
      <c r="O324" s="116">
        <v>117.0</v>
      </c>
      <c r="P324" s="114"/>
      <c r="Q324" s="140">
        <v>20799.0</v>
      </c>
      <c r="R324" s="114" t="s">
        <v>234</v>
      </c>
      <c r="S324" s="115">
        <v>2021.0</v>
      </c>
      <c r="T324" s="136">
        <v>0.239000000000002</v>
      </c>
      <c r="U324" s="118">
        <f t="shared" si="70"/>
        <v>4970.961</v>
      </c>
      <c r="V324" s="24">
        <f t="shared" si="3"/>
        <v>188.9165432</v>
      </c>
      <c r="W324" s="3">
        <f t="shared" si="29"/>
        <v>0</v>
      </c>
      <c r="X324" s="3">
        <f t="shared" si="30"/>
        <v>0</v>
      </c>
      <c r="Y324" s="3">
        <f t="shared" si="31"/>
        <v>0</v>
      </c>
      <c r="Z324" s="25">
        <f t="shared" si="32"/>
        <v>0</v>
      </c>
      <c r="AA324" s="26">
        <f>VLOOKUP(S324,CPI!$A$2:$E$67,5,0)</f>
        <v>1.124486105</v>
      </c>
      <c r="AB324" s="27">
        <f t="shared" si="8"/>
        <v>5589.776575</v>
      </c>
      <c r="AC324" s="27">
        <f t="shared" si="9"/>
        <v>212.4340279</v>
      </c>
    </row>
    <row r="325">
      <c r="A325" s="163"/>
      <c r="B325" s="114" t="s">
        <v>230</v>
      </c>
      <c r="C325" s="72" t="s">
        <v>609</v>
      </c>
      <c r="D325" s="171" t="s">
        <v>624</v>
      </c>
      <c r="E325" s="115" t="s">
        <v>652</v>
      </c>
      <c r="F325" s="116">
        <v>2022.0</v>
      </c>
      <c r="G325" s="114"/>
      <c r="H325" s="116">
        <v>0.0</v>
      </c>
      <c r="I325" s="116">
        <v>13.28</v>
      </c>
      <c r="J325" s="114"/>
      <c r="K325" s="114"/>
      <c r="L325" s="114"/>
      <c r="M325" s="114"/>
      <c r="N325" s="116">
        <v>6.0</v>
      </c>
      <c r="O325" s="116">
        <v>92.0</v>
      </c>
      <c r="P325" s="114"/>
      <c r="Q325" s="140">
        <v>4420.0</v>
      </c>
      <c r="R325" s="114" t="s">
        <v>234</v>
      </c>
      <c r="S325" s="115">
        <v>2021.0</v>
      </c>
      <c r="T325" s="136">
        <v>0.239000000000001</v>
      </c>
      <c r="U325" s="118">
        <f t="shared" si="70"/>
        <v>1056.38</v>
      </c>
      <c r="V325" s="24">
        <f t="shared" si="3"/>
        <v>79.54668675</v>
      </c>
      <c r="W325" s="3">
        <f t="shared" si="29"/>
        <v>0</v>
      </c>
      <c r="X325" s="3">
        <f t="shared" si="30"/>
        <v>0</v>
      </c>
      <c r="Y325" s="3">
        <f t="shared" si="31"/>
        <v>0</v>
      </c>
      <c r="Z325" s="25">
        <f t="shared" si="32"/>
        <v>0</v>
      </c>
      <c r="AA325" s="26">
        <f>VLOOKUP(S325,CPI!$A$2:$E$67,5,0)</f>
        <v>1.124486105</v>
      </c>
      <c r="AB325" s="27">
        <f t="shared" si="8"/>
        <v>1187.884632</v>
      </c>
      <c r="AC325" s="27">
        <f t="shared" si="9"/>
        <v>89.44914398</v>
      </c>
    </row>
    <row r="326">
      <c r="A326" s="163"/>
      <c r="B326" s="114" t="s">
        <v>230</v>
      </c>
      <c r="C326" s="72" t="s">
        <v>609</v>
      </c>
      <c r="D326" s="115" t="s">
        <v>611</v>
      </c>
      <c r="E326" s="115" t="s">
        <v>612</v>
      </c>
      <c r="F326" s="116">
        <v>2022.0</v>
      </c>
      <c r="G326" s="114"/>
      <c r="H326" s="116">
        <v>0.0</v>
      </c>
      <c r="I326" s="116">
        <v>24.0</v>
      </c>
      <c r="J326" s="114"/>
      <c r="K326" s="114"/>
      <c r="L326" s="114"/>
      <c r="M326" s="114"/>
      <c r="N326" s="116">
        <v>8.0</v>
      </c>
      <c r="O326" s="116">
        <v>78.0</v>
      </c>
      <c r="P326" s="114"/>
      <c r="Q326" s="140">
        <v>6830.0</v>
      </c>
      <c r="R326" s="114" t="s">
        <v>234</v>
      </c>
      <c r="S326" s="115">
        <v>2021.0</v>
      </c>
      <c r="T326" s="136">
        <v>0.239000000000001</v>
      </c>
      <c r="U326" s="118">
        <f t="shared" si="70"/>
        <v>1632.37</v>
      </c>
      <c r="V326" s="24">
        <f t="shared" si="3"/>
        <v>68.01541667</v>
      </c>
      <c r="W326" s="3">
        <f t="shared" si="29"/>
        <v>0</v>
      </c>
      <c r="X326" s="3">
        <f t="shared" si="30"/>
        <v>0</v>
      </c>
      <c r="Y326" s="3">
        <f t="shared" si="31"/>
        <v>0</v>
      </c>
      <c r="Z326" s="25">
        <f t="shared" si="32"/>
        <v>0</v>
      </c>
      <c r="AA326" s="26">
        <f>VLOOKUP(S326,CPI!$A$2:$E$67,5,0)</f>
        <v>1.124486105</v>
      </c>
      <c r="AB326" s="27">
        <f t="shared" si="8"/>
        <v>1835.577384</v>
      </c>
      <c r="AC326" s="27">
        <f t="shared" si="9"/>
        <v>76.482391</v>
      </c>
    </row>
    <row r="327">
      <c r="A327" s="7"/>
      <c r="B327" s="114" t="s">
        <v>230</v>
      </c>
      <c r="C327" s="114" t="s">
        <v>655</v>
      </c>
      <c r="D327" s="16" t="s">
        <v>57</v>
      </c>
      <c r="E327" s="115" t="s">
        <v>232</v>
      </c>
      <c r="F327" s="116">
        <v>2011.0</v>
      </c>
      <c r="G327" s="116">
        <v>2016.0</v>
      </c>
      <c r="H327" s="116">
        <v>0.0</v>
      </c>
      <c r="I327" s="116">
        <v>32.1</v>
      </c>
      <c r="J327" s="117">
        <v>1.0</v>
      </c>
      <c r="K327" s="116">
        <v>32.1</v>
      </c>
      <c r="L327" s="114"/>
      <c r="M327" s="114"/>
      <c r="N327" s="116">
        <v>25.0</v>
      </c>
      <c r="O327" s="116">
        <v>117.0</v>
      </c>
      <c r="P327" s="114"/>
      <c r="Q327" s="140">
        <v>19800.0</v>
      </c>
      <c r="R327" s="114" t="s">
        <v>234</v>
      </c>
      <c r="S327" s="115">
        <v>2014.0</v>
      </c>
      <c r="T327" s="85">
        <v>0.266</v>
      </c>
      <c r="U327" s="118">
        <f t="shared" si="70"/>
        <v>5266.8</v>
      </c>
      <c r="V327" s="24">
        <f t="shared" si="3"/>
        <v>164.0747664</v>
      </c>
      <c r="W327" s="3">
        <f t="shared" si="29"/>
        <v>0</v>
      </c>
      <c r="X327" s="3">
        <f t="shared" si="30"/>
        <v>0</v>
      </c>
      <c r="Y327" s="3">
        <f t="shared" si="31"/>
        <v>0</v>
      </c>
      <c r="Z327" s="25">
        <f t="shared" si="32"/>
        <v>0</v>
      </c>
      <c r="AA327" s="26">
        <f>VLOOKUP(S327,CPI!$A$2:$E$67,5,0)</f>
        <v>1.287096175</v>
      </c>
      <c r="AB327" s="27">
        <f t="shared" si="8"/>
        <v>6778.878133</v>
      </c>
      <c r="AC327" s="27">
        <f t="shared" si="9"/>
        <v>211.1800041</v>
      </c>
    </row>
    <row r="328">
      <c r="A328" s="7"/>
      <c r="B328" s="114" t="s">
        <v>230</v>
      </c>
      <c r="C328" s="114" t="s">
        <v>655</v>
      </c>
      <c r="D328" s="115" t="s">
        <v>54</v>
      </c>
      <c r="E328" s="115" t="s">
        <v>348</v>
      </c>
      <c r="F328" s="116">
        <v>2014.0</v>
      </c>
      <c r="G328" s="116">
        <v>2017.0</v>
      </c>
      <c r="H328" s="116">
        <v>0.0</v>
      </c>
      <c r="I328" s="116">
        <v>21.2</v>
      </c>
      <c r="J328" s="117">
        <v>1.0</v>
      </c>
      <c r="K328" s="116">
        <v>21.2</v>
      </c>
      <c r="L328" s="114"/>
      <c r="M328" s="114"/>
      <c r="N328" s="116">
        <v>18.0</v>
      </c>
      <c r="O328" s="116">
        <v>117.0</v>
      </c>
      <c r="P328" s="114"/>
      <c r="Q328" s="140">
        <v>15540.0</v>
      </c>
      <c r="R328" s="114" t="s">
        <v>234</v>
      </c>
      <c r="S328" s="115">
        <v>2016.0</v>
      </c>
      <c r="T328" s="85">
        <v>0.251</v>
      </c>
      <c r="U328" s="118">
        <f t="shared" si="70"/>
        <v>3900.54</v>
      </c>
      <c r="V328" s="24">
        <f t="shared" si="3"/>
        <v>183.9877358</v>
      </c>
      <c r="W328" s="3">
        <f t="shared" si="29"/>
        <v>0</v>
      </c>
      <c r="X328" s="3">
        <f t="shared" si="30"/>
        <v>0</v>
      </c>
      <c r="Y328" s="3">
        <f t="shared" si="31"/>
        <v>0</v>
      </c>
      <c r="Z328" s="25">
        <f t="shared" si="32"/>
        <v>0</v>
      </c>
      <c r="AA328" s="26">
        <f>VLOOKUP(S328,CPI!$A$2:$E$67,5,0)</f>
        <v>1.269554638</v>
      </c>
      <c r="AB328" s="27">
        <f t="shared" si="8"/>
        <v>4951.948648</v>
      </c>
      <c r="AC328" s="27">
        <f t="shared" si="9"/>
        <v>233.5824834</v>
      </c>
    </row>
    <row r="329">
      <c r="A329" s="170">
        <v>7930.0</v>
      </c>
      <c r="B329" s="123" t="s">
        <v>230</v>
      </c>
      <c r="C329" s="123" t="s">
        <v>655</v>
      </c>
      <c r="D329" s="16" t="s">
        <v>87</v>
      </c>
      <c r="E329" s="123" t="s">
        <v>658</v>
      </c>
      <c r="F329" s="75">
        <v>2015.0</v>
      </c>
      <c r="G329" s="75">
        <v>2019.0</v>
      </c>
      <c r="H329" s="75">
        <v>0.0</v>
      </c>
      <c r="I329" s="75">
        <v>27.7</v>
      </c>
      <c r="J329" s="124">
        <v>1.0</v>
      </c>
      <c r="K329" s="75">
        <v>27.7</v>
      </c>
      <c r="L329" s="125">
        <v>0.0</v>
      </c>
      <c r="M329" s="125">
        <v>0.0</v>
      </c>
      <c r="N329" s="75">
        <v>23.0</v>
      </c>
      <c r="O329" s="152">
        <v>117.0</v>
      </c>
      <c r="P329" s="123" t="s">
        <v>60</v>
      </c>
      <c r="Q329" s="126">
        <v>19343.0</v>
      </c>
      <c r="R329" s="123" t="s">
        <v>234</v>
      </c>
      <c r="S329" s="75">
        <v>2015.0</v>
      </c>
      <c r="T329" s="136">
        <v>0.258</v>
      </c>
      <c r="U329" s="128">
        <f t="shared" si="70"/>
        <v>4990.494</v>
      </c>
      <c r="V329" s="24">
        <f t="shared" si="3"/>
        <v>180.1622383</v>
      </c>
      <c r="W329" s="3">
        <f t="shared" si="29"/>
        <v>0</v>
      </c>
      <c r="X329" s="3">
        <f t="shared" si="30"/>
        <v>0</v>
      </c>
      <c r="Y329" s="3">
        <f t="shared" si="31"/>
        <v>0</v>
      </c>
      <c r="Z329" s="25">
        <f t="shared" si="32"/>
        <v>0</v>
      </c>
      <c r="AA329" s="26">
        <f>VLOOKUP(S329,CPI!$A$2:$E$67,5,0)</f>
        <v>1.285570233</v>
      </c>
      <c r="AB329" s="27">
        <f t="shared" si="8"/>
        <v>6415.630536</v>
      </c>
      <c r="AC329" s="27">
        <f t="shared" si="9"/>
        <v>231.6112107</v>
      </c>
    </row>
    <row r="330">
      <c r="A330" s="170">
        <v>7929.0</v>
      </c>
      <c r="B330" s="72" t="s">
        <v>230</v>
      </c>
      <c r="C330" s="72" t="s">
        <v>655</v>
      </c>
      <c r="D330" s="16" t="s">
        <v>110</v>
      </c>
      <c r="E330" s="115" t="s">
        <v>332</v>
      </c>
      <c r="F330" s="72"/>
      <c r="G330" s="69">
        <v>2020.0</v>
      </c>
      <c r="H330" s="69">
        <v>0.0</v>
      </c>
      <c r="I330" s="69">
        <v>24.98</v>
      </c>
      <c r="J330" s="117">
        <v>1.0</v>
      </c>
      <c r="K330" s="69">
        <v>24.98</v>
      </c>
      <c r="L330" s="72"/>
      <c r="M330" s="72"/>
      <c r="N330" s="69">
        <v>19.0</v>
      </c>
      <c r="O330" s="69">
        <v>117.0</v>
      </c>
      <c r="P330" s="72"/>
      <c r="Q330" s="140">
        <v>17330.0</v>
      </c>
      <c r="R330" s="72" t="s">
        <v>234</v>
      </c>
      <c r="S330" s="115">
        <v>2020.0</v>
      </c>
      <c r="T330" s="136">
        <v>0.239</v>
      </c>
      <c r="U330" s="118">
        <f t="shared" si="70"/>
        <v>4141.87</v>
      </c>
      <c r="V330" s="24">
        <f t="shared" si="3"/>
        <v>165.807446</v>
      </c>
      <c r="W330" s="3">
        <f t="shared" si="29"/>
        <v>0</v>
      </c>
      <c r="X330" s="3">
        <f t="shared" si="30"/>
        <v>0</v>
      </c>
      <c r="Y330" s="3">
        <f t="shared" si="31"/>
        <v>0</v>
      </c>
      <c r="Z330" s="25">
        <f t="shared" si="32"/>
        <v>0</v>
      </c>
      <c r="AA330" s="26">
        <f>VLOOKUP(S330,CPI!$A$2:$E$67,5,0)</f>
        <v>1.17731472</v>
      </c>
      <c r="AB330" s="27">
        <f t="shared" si="8"/>
        <v>4876.284519</v>
      </c>
      <c r="AC330" s="27">
        <f t="shared" si="9"/>
        <v>195.2075468</v>
      </c>
    </row>
    <row r="331">
      <c r="A331" s="170">
        <v>7896.0</v>
      </c>
      <c r="B331" s="123" t="s">
        <v>230</v>
      </c>
      <c r="C331" s="123" t="s">
        <v>655</v>
      </c>
      <c r="D331" s="36" t="s">
        <v>54</v>
      </c>
      <c r="E331" s="123" t="s">
        <v>315</v>
      </c>
      <c r="F331" s="75">
        <v>2017.0</v>
      </c>
      <c r="G331" s="75">
        <v>2021.0</v>
      </c>
      <c r="H331" s="75">
        <v>0.0</v>
      </c>
      <c r="I331" s="75">
        <v>6.5</v>
      </c>
      <c r="J331" s="124">
        <v>1.0</v>
      </c>
      <c r="K331" s="75">
        <v>6.5</v>
      </c>
      <c r="L331" s="125">
        <v>0.0</v>
      </c>
      <c r="M331" s="125">
        <v>0.0</v>
      </c>
      <c r="N331" s="75">
        <v>4.0</v>
      </c>
      <c r="O331" s="152">
        <v>117.0</v>
      </c>
      <c r="P331" s="123" t="s">
        <v>42</v>
      </c>
      <c r="Q331" s="126">
        <v>4898.0</v>
      </c>
      <c r="R331" s="123" t="s">
        <v>234</v>
      </c>
      <c r="S331" s="75">
        <v>2017.0</v>
      </c>
      <c r="T331" s="136">
        <v>0.239</v>
      </c>
      <c r="U331" s="128">
        <f t="shared" si="70"/>
        <v>1170.622</v>
      </c>
      <c r="V331" s="24">
        <f t="shared" si="3"/>
        <v>180.0956923</v>
      </c>
      <c r="W331" s="3">
        <f t="shared" si="29"/>
        <v>0</v>
      </c>
      <c r="X331" s="3">
        <f t="shared" si="30"/>
        <v>0</v>
      </c>
      <c r="Y331" s="3">
        <f t="shared" si="31"/>
        <v>0</v>
      </c>
      <c r="Z331" s="25">
        <f t="shared" si="32"/>
        <v>0</v>
      </c>
      <c r="AA331" s="26">
        <f>VLOOKUP(S331,CPI!$A$2:$E$67,5,0)</f>
        <v>1.243072781</v>
      </c>
      <c r="AB331" s="27">
        <f t="shared" si="8"/>
        <v>1455.168345</v>
      </c>
      <c r="AC331" s="27">
        <f t="shared" si="9"/>
        <v>223.872053</v>
      </c>
    </row>
    <row r="332">
      <c r="A332" s="170">
        <v>7857.0</v>
      </c>
      <c r="B332" s="72" t="s">
        <v>230</v>
      </c>
      <c r="C332" s="72" t="s">
        <v>655</v>
      </c>
      <c r="D332" s="115" t="s">
        <v>84</v>
      </c>
      <c r="E332" s="115" t="s">
        <v>319</v>
      </c>
      <c r="F332" s="72"/>
      <c r="G332" s="69">
        <v>2021.0</v>
      </c>
      <c r="H332" s="69">
        <v>0.0</v>
      </c>
      <c r="I332" s="69">
        <v>20.22</v>
      </c>
      <c r="J332" s="117">
        <v>1.0</v>
      </c>
      <c r="K332" s="69">
        <v>20.22</v>
      </c>
      <c r="L332" s="72"/>
      <c r="M332" s="72"/>
      <c r="N332" s="69">
        <v>17.0</v>
      </c>
      <c r="O332" s="69">
        <v>117.0</v>
      </c>
      <c r="P332" s="72"/>
      <c r="Q332" s="140">
        <v>16400.0</v>
      </c>
      <c r="R332" s="72" t="s">
        <v>234</v>
      </c>
      <c r="S332" s="115">
        <v>2021.0</v>
      </c>
      <c r="T332" s="136">
        <v>0.239</v>
      </c>
      <c r="U332" s="118">
        <f t="shared" si="70"/>
        <v>3919.6</v>
      </c>
      <c r="V332" s="24">
        <f t="shared" si="3"/>
        <v>193.8476756</v>
      </c>
      <c r="W332" s="3">
        <f t="shared" si="29"/>
        <v>0</v>
      </c>
      <c r="X332" s="3">
        <f t="shared" si="30"/>
        <v>0</v>
      </c>
      <c r="Y332" s="3">
        <f t="shared" si="31"/>
        <v>0</v>
      </c>
      <c r="Z332" s="25">
        <f t="shared" si="32"/>
        <v>0</v>
      </c>
      <c r="AA332" s="26">
        <f>VLOOKUP(S332,CPI!$A$2:$E$67,5,0)</f>
        <v>1.124486105</v>
      </c>
      <c r="AB332" s="27">
        <f t="shared" si="8"/>
        <v>4407.535739</v>
      </c>
      <c r="AC332" s="27">
        <f t="shared" si="9"/>
        <v>217.9790178</v>
      </c>
    </row>
    <row r="333">
      <c r="A333" s="163"/>
      <c r="B333" s="66" t="s">
        <v>230</v>
      </c>
      <c r="C333" s="114" t="s">
        <v>655</v>
      </c>
      <c r="D333" s="114" t="s">
        <v>663</v>
      </c>
      <c r="E333" s="114" t="s">
        <v>663</v>
      </c>
      <c r="F333" s="116">
        <v>2021.0</v>
      </c>
      <c r="G333" s="114"/>
      <c r="H333" s="116">
        <v>0.0</v>
      </c>
      <c r="I333" s="116">
        <v>22.8</v>
      </c>
      <c r="J333" s="114"/>
      <c r="K333" s="114"/>
      <c r="L333" s="114"/>
      <c r="M333" s="114"/>
      <c r="N333" s="116">
        <v>5.0</v>
      </c>
      <c r="O333" s="116"/>
      <c r="P333" s="114"/>
      <c r="Q333" s="140">
        <v>8450.0</v>
      </c>
      <c r="R333" s="114" t="s">
        <v>234</v>
      </c>
      <c r="S333" s="115">
        <v>2021.0</v>
      </c>
      <c r="T333" s="136">
        <v>0.239000000000001</v>
      </c>
      <c r="U333" s="118">
        <f t="shared" si="70"/>
        <v>2019.55</v>
      </c>
      <c r="V333" s="24">
        <f t="shared" si="3"/>
        <v>88.57675439</v>
      </c>
      <c r="W333" s="3">
        <f t="shared" si="29"/>
        <v>0</v>
      </c>
      <c r="X333" s="3">
        <f t="shared" si="30"/>
        <v>0</v>
      </c>
      <c r="Y333" s="3">
        <f t="shared" si="31"/>
        <v>0</v>
      </c>
      <c r="Z333" s="25">
        <f t="shared" si="32"/>
        <v>0</v>
      </c>
      <c r="AA333" s="26">
        <f>VLOOKUP(S333,CPI!$A$2:$E$67,5,0)</f>
        <v>1.124486105</v>
      </c>
      <c r="AB333" s="27">
        <f t="shared" si="8"/>
        <v>2270.955914</v>
      </c>
      <c r="AC333" s="27">
        <f t="shared" si="9"/>
        <v>99.60332957</v>
      </c>
    </row>
    <row r="334">
      <c r="A334" s="163"/>
      <c r="B334" s="66" t="s">
        <v>230</v>
      </c>
      <c r="C334" s="114" t="s">
        <v>655</v>
      </c>
      <c r="D334" s="114" t="s">
        <v>665</v>
      </c>
      <c r="E334" s="114" t="s">
        <v>665</v>
      </c>
      <c r="F334" s="116">
        <v>2021.0</v>
      </c>
      <c r="G334" s="114"/>
      <c r="H334" s="116">
        <v>0.0</v>
      </c>
      <c r="I334" s="116">
        <v>53.2</v>
      </c>
      <c r="J334" s="117">
        <v>0.2</v>
      </c>
      <c r="K334" s="116">
        <v>10.6</v>
      </c>
      <c r="L334" s="114"/>
      <c r="M334" s="114"/>
      <c r="N334" s="116">
        <v>13.0</v>
      </c>
      <c r="O334" s="116">
        <v>117.0</v>
      </c>
      <c r="P334" s="114"/>
      <c r="Q334" s="140">
        <v>16500.0</v>
      </c>
      <c r="R334" s="114" t="s">
        <v>234</v>
      </c>
      <c r="S334" s="115">
        <v>2021.0</v>
      </c>
      <c r="T334" s="136">
        <v>0.239000000000001</v>
      </c>
      <c r="U334" s="118">
        <f t="shared" si="70"/>
        <v>3943.5</v>
      </c>
      <c r="V334" s="24">
        <f t="shared" si="3"/>
        <v>74.12593985</v>
      </c>
      <c r="W334" s="3">
        <f t="shared" si="29"/>
        <v>0</v>
      </c>
      <c r="X334" s="3">
        <f t="shared" si="30"/>
        <v>0</v>
      </c>
      <c r="Y334" s="3">
        <f t="shared" si="31"/>
        <v>0</v>
      </c>
      <c r="Z334" s="25">
        <f t="shared" si="32"/>
        <v>0</v>
      </c>
      <c r="AA334" s="26">
        <f>VLOOKUP(S334,CPI!$A$2:$E$67,5,0)</f>
        <v>1.124486105</v>
      </c>
      <c r="AB334" s="27">
        <f t="shared" si="8"/>
        <v>4434.410957</v>
      </c>
      <c r="AC334" s="27">
        <f t="shared" si="9"/>
        <v>83.35358942</v>
      </c>
    </row>
    <row r="335">
      <c r="A335" s="163"/>
      <c r="B335" s="66" t="s">
        <v>230</v>
      </c>
      <c r="C335" s="114" t="s">
        <v>667</v>
      </c>
      <c r="D335" s="114" t="s">
        <v>57</v>
      </c>
      <c r="E335" s="114" t="s">
        <v>57</v>
      </c>
      <c r="F335" s="116">
        <v>2019.0</v>
      </c>
      <c r="G335" s="114"/>
      <c r="H335" s="116">
        <v>0.0</v>
      </c>
      <c r="I335" s="116">
        <v>39.4</v>
      </c>
      <c r="J335" s="117">
        <v>1.0</v>
      </c>
      <c r="K335" s="116">
        <v>39.4</v>
      </c>
      <c r="L335" s="114"/>
      <c r="M335" s="114"/>
      <c r="N335" s="116">
        <v>28.0</v>
      </c>
      <c r="O335" s="116">
        <v>117.0</v>
      </c>
      <c r="P335" s="114"/>
      <c r="Q335" s="140">
        <v>26902.0</v>
      </c>
      <c r="R335" s="114" t="s">
        <v>234</v>
      </c>
      <c r="S335" s="115">
        <v>2019.0</v>
      </c>
      <c r="T335" s="136">
        <v>0.238</v>
      </c>
      <c r="U335" s="118">
        <f t="shared" si="70"/>
        <v>6402.676</v>
      </c>
      <c r="V335" s="24">
        <f t="shared" si="3"/>
        <v>162.504467</v>
      </c>
      <c r="W335" s="3">
        <f t="shared" si="29"/>
        <v>0</v>
      </c>
      <c r="X335" s="3">
        <f t="shared" si="30"/>
        <v>0</v>
      </c>
      <c r="Y335" s="3">
        <f t="shared" si="31"/>
        <v>0</v>
      </c>
      <c r="Z335" s="25">
        <f t="shared" si="32"/>
        <v>0</v>
      </c>
      <c r="AA335" s="26">
        <f>VLOOKUP(S335,CPI!$A$2:$E$67,5,0)</f>
        <v>1.191839066</v>
      </c>
      <c r="AB335" s="27">
        <f t="shared" si="8"/>
        <v>7630.959381</v>
      </c>
      <c r="AC335" s="27">
        <f t="shared" si="9"/>
        <v>193.6791721</v>
      </c>
    </row>
    <row r="336">
      <c r="A336" s="7"/>
      <c r="B336" s="114" t="s">
        <v>230</v>
      </c>
      <c r="C336" s="114" t="s">
        <v>667</v>
      </c>
      <c r="D336" s="114" t="s">
        <v>54</v>
      </c>
      <c r="E336" s="114" t="s">
        <v>54</v>
      </c>
      <c r="F336" s="116">
        <v>2020.0</v>
      </c>
      <c r="G336" s="114"/>
      <c r="H336" s="116">
        <v>0.0</v>
      </c>
      <c r="I336" s="116">
        <v>20.85</v>
      </c>
      <c r="J336" s="117">
        <v>1.0</v>
      </c>
      <c r="K336" s="116">
        <v>20.85</v>
      </c>
      <c r="L336" s="114"/>
      <c r="M336" s="114"/>
      <c r="N336" s="116">
        <v>17.0</v>
      </c>
      <c r="O336" s="116">
        <v>117.0</v>
      </c>
      <c r="P336" s="114"/>
      <c r="Q336" s="140">
        <v>15119.64</v>
      </c>
      <c r="R336" s="114" t="s">
        <v>234</v>
      </c>
      <c r="S336" s="115">
        <v>2020.0</v>
      </c>
      <c r="T336" s="136">
        <v>0.239</v>
      </c>
      <c r="U336" s="118">
        <f t="shared" si="70"/>
        <v>3613.59396</v>
      </c>
      <c r="V336" s="24">
        <f t="shared" si="3"/>
        <v>173.313859</v>
      </c>
      <c r="W336" s="3">
        <f t="shared" si="29"/>
        <v>0</v>
      </c>
      <c r="X336" s="3">
        <f t="shared" si="30"/>
        <v>0</v>
      </c>
      <c r="Y336" s="3">
        <f t="shared" si="31"/>
        <v>0</v>
      </c>
      <c r="Z336" s="25">
        <f t="shared" si="32"/>
        <v>0</v>
      </c>
      <c r="AA336" s="26">
        <f>VLOOKUP(S336,CPI!$A$2:$E$67,5,0)</f>
        <v>1.17731472</v>
      </c>
      <c r="AB336" s="27">
        <f t="shared" si="8"/>
        <v>4254.337361</v>
      </c>
      <c r="AC336" s="27">
        <f t="shared" si="9"/>
        <v>204.0449574</v>
      </c>
    </row>
    <row r="337">
      <c r="A337" s="163"/>
      <c r="B337" s="114" t="s">
        <v>230</v>
      </c>
      <c r="C337" s="114" t="s">
        <v>670</v>
      </c>
      <c r="D337" s="115" t="s">
        <v>87</v>
      </c>
      <c r="E337" s="115" t="s">
        <v>331</v>
      </c>
      <c r="F337" s="114"/>
      <c r="G337" s="116">
        <v>2019.0</v>
      </c>
      <c r="H337" s="116">
        <v>0.0</v>
      </c>
      <c r="I337" s="116">
        <v>16.73</v>
      </c>
      <c r="J337" s="117">
        <v>1.0</v>
      </c>
      <c r="K337" s="116">
        <v>16.73</v>
      </c>
      <c r="L337" s="114"/>
      <c r="M337" s="114"/>
      <c r="N337" s="116">
        <v>15.0</v>
      </c>
      <c r="O337" s="116">
        <v>117.0</v>
      </c>
      <c r="P337" s="114"/>
      <c r="Q337" s="140">
        <v>14870.0</v>
      </c>
      <c r="R337" s="114" t="s">
        <v>234</v>
      </c>
      <c r="S337" s="115">
        <v>2019.0</v>
      </c>
      <c r="T337" s="136">
        <v>0.238</v>
      </c>
      <c r="U337" s="118">
        <f t="shared" si="70"/>
        <v>3539.06</v>
      </c>
      <c r="V337" s="24">
        <f t="shared" si="3"/>
        <v>211.539749</v>
      </c>
      <c r="W337" s="3">
        <f t="shared" si="29"/>
        <v>0</v>
      </c>
      <c r="X337" s="3">
        <f t="shared" si="30"/>
        <v>0</v>
      </c>
      <c r="Y337" s="3">
        <f t="shared" si="31"/>
        <v>0</v>
      </c>
      <c r="Z337" s="25">
        <f t="shared" si="32"/>
        <v>0</v>
      </c>
      <c r="AA337" s="26">
        <f>VLOOKUP(S337,CPI!$A$2:$E$67,5,0)</f>
        <v>1.191839066</v>
      </c>
      <c r="AB337" s="27">
        <f t="shared" si="8"/>
        <v>4217.989964</v>
      </c>
      <c r="AC337" s="27">
        <f t="shared" si="9"/>
        <v>252.1213367</v>
      </c>
    </row>
    <row r="338">
      <c r="A338" s="163"/>
      <c r="B338" s="114" t="s">
        <v>230</v>
      </c>
      <c r="C338" s="114" t="s">
        <v>670</v>
      </c>
      <c r="D338" s="209" t="s">
        <v>673</v>
      </c>
      <c r="E338" s="209" t="s">
        <v>673</v>
      </c>
      <c r="F338" s="114"/>
      <c r="G338" s="116">
        <v>2019.0</v>
      </c>
      <c r="H338" s="116">
        <v>0.0</v>
      </c>
      <c r="I338" s="116">
        <v>21.59</v>
      </c>
      <c r="J338" s="117">
        <v>0.04</v>
      </c>
      <c r="K338" s="116">
        <v>0.84</v>
      </c>
      <c r="L338" s="114"/>
      <c r="M338" s="114"/>
      <c r="N338" s="116">
        <v>9.0</v>
      </c>
      <c r="O338" s="116">
        <v>117.0</v>
      </c>
      <c r="P338" s="114"/>
      <c r="Q338" s="140">
        <v>7386.0</v>
      </c>
      <c r="R338" s="114" t="s">
        <v>234</v>
      </c>
      <c r="S338" s="115">
        <v>2019.0</v>
      </c>
      <c r="T338" s="136">
        <v>0.238</v>
      </c>
      <c r="U338" s="118">
        <f t="shared" si="70"/>
        <v>1757.868</v>
      </c>
      <c r="V338" s="24">
        <f t="shared" si="3"/>
        <v>81.42047244</v>
      </c>
      <c r="W338" s="3">
        <f t="shared" si="29"/>
        <v>0</v>
      </c>
      <c r="X338" s="3">
        <f t="shared" si="30"/>
        <v>0</v>
      </c>
      <c r="Y338" s="3">
        <f t="shared" si="31"/>
        <v>0</v>
      </c>
      <c r="Z338" s="25">
        <f t="shared" si="32"/>
        <v>0</v>
      </c>
      <c r="AA338" s="26">
        <f>VLOOKUP(S338,CPI!$A$2:$E$67,5,0)</f>
        <v>1.191839066</v>
      </c>
      <c r="AB338" s="27">
        <f t="shared" si="8"/>
        <v>2095.095755</v>
      </c>
      <c r="AC338" s="27">
        <f t="shared" si="9"/>
        <v>97.0400998</v>
      </c>
    </row>
    <row r="339">
      <c r="A339" s="163"/>
      <c r="B339" s="114" t="s">
        <v>230</v>
      </c>
      <c r="C339" s="114" t="s">
        <v>670</v>
      </c>
      <c r="D339" s="114" t="s">
        <v>675</v>
      </c>
      <c r="E339" s="114" t="s">
        <v>675</v>
      </c>
      <c r="F339" s="116">
        <v>2013.0</v>
      </c>
      <c r="G339" s="116">
        <v>2020.0</v>
      </c>
      <c r="H339" s="116">
        <v>0.0</v>
      </c>
      <c r="I339" s="116">
        <v>100.1</v>
      </c>
      <c r="J339" s="114"/>
      <c r="K339" s="114"/>
      <c r="L339" s="114"/>
      <c r="M339" s="114"/>
      <c r="N339" s="114"/>
      <c r="O339" s="116">
        <v>117.0</v>
      </c>
      <c r="P339" s="114"/>
      <c r="Q339" s="140">
        <v>64040.0</v>
      </c>
      <c r="R339" s="114" t="s">
        <v>234</v>
      </c>
      <c r="S339" s="115">
        <v>2017.0</v>
      </c>
      <c r="T339" s="85">
        <v>0.239</v>
      </c>
      <c r="U339" s="118">
        <f t="shared" si="70"/>
        <v>15305.56</v>
      </c>
      <c r="V339" s="24">
        <f t="shared" si="3"/>
        <v>152.9026973</v>
      </c>
      <c r="W339" s="3">
        <f t="shared" si="29"/>
        <v>0</v>
      </c>
      <c r="X339" s="3">
        <f t="shared" si="30"/>
        <v>0</v>
      </c>
      <c r="Y339" s="3">
        <f t="shared" si="31"/>
        <v>0</v>
      </c>
      <c r="Z339" s="25">
        <f t="shared" si="32"/>
        <v>0</v>
      </c>
      <c r="AA339" s="26">
        <f>VLOOKUP(S339,CPI!$A$2:$E$67,5,0)</f>
        <v>1.243072781</v>
      </c>
      <c r="AB339" s="27">
        <f t="shared" si="8"/>
        <v>19025.92503</v>
      </c>
      <c r="AC339" s="27">
        <f t="shared" si="9"/>
        <v>190.0691811</v>
      </c>
    </row>
    <row r="340">
      <c r="A340" s="163"/>
      <c r="B340" s="114" t="s">
        <v>230</v>
      </c>
      <c r="C340" s="114" t="s">
        <v>670</v>
      </c>
      <c r="D340" s="114" t="s">
        <v>110</v>
      </c>
      <c r="E340" s="114" t="s">
        <v>110</v>
      </c>
      <c r="F340" s="114"/>
      <c r="G340" s="116">
        <v>2021.0</v>
      </c>
      <c r="H340" s="116">
        <v>0.0</v>
      </c>
      <c r="I340" s="116">
        <v>35.95</v>
      </c>
      <c r="J340" s="117">
        <v>0.68</v>
      </c>
      <c r="K340" s="116">
        <v>24.45</v>
      </c>
      <c r="L340" s="114"/>
      <c r="M340" s="114"/>
      <c r="N340" s="116">
        <v>25.0</v>
      </c>
      <c r="O340" s="116">
        <v>117.0</v>
      </c>
      <c r="P340" s="114"/>
      <c r="Q340" s="140">
        <v>20560.0</v>
      </c>
      <c r="R340" s="114" t="s">
        <v>234</v>
      </c>
      <c r="S340" s="115">
        <v>2021.0</v>
      </c>
      <c r="T340" s="136">
        <v>0.239</v>
      </c>
      <c r="U340" s="118">
        <f t="shared" si="70"/>
        <v>4913.84</v>
      </c>
      <c r="V340" s="24">
        <f t="shared" si="3"/>
        <v>136.6853964</v>
      </c>
      <c r="W340" s="3">
        <f t="shared" si="29"/>
        <v>0</v>
      </c>
      <c r="X340" s="3">
        <f t="shared" si="30"/>
        <v>0</v>
      </c>
      <c r="Y340" s="3">
        <f t="shared" si="31"/>
        <v>0</v>
      </c>
      <c r="Z340" s="25">
        <f t="shared" si="32"/>
        <v>0</v>
      </c>
      <c r="AA340" s="26">
        <f>VLOOKUP(S340,CPI!$A$2:$E$67,5,0)</f>
        <v>1.124486105</v>
      </c>
      <c r="AB340" s="27">
        <f t="shared" si="8"/>
        <v>5525.544805</v>
      </c>
      <c r="AC340" s="27">
        <f t="shared" si="9"/>
        <v>153.7008291</v>
      </c>
    </row>
    <row r="341">
      <c r="A341" s="163"/>
      <c r="B341" s="114" t="s">
        <v>230</v>
      </c>
      <c r="C341" s="114" t="s">
        <v>670</v>
      </c>
      <c r="D341" s="115" t="s">
        <v>87</v>
      </c>
      <c r="E341" s="114" t="s">
        <v>321</v>
      </c>
      <c r="F341" s="116">
        <v>2020.0</v>
      </c>
      <c r="G341" s="114"/>
      <c r="H341" s="116">
        <v>0.0</v>
      </c>
      <c r="I341" s="116">
        <v>12.7</v>
      </c>
      <c r="J341" s="117">
        <v>0.17</v>
      </c>
      <c r="K341" s="116">
        <v>2.2</v>
      </c>
      <c r="L341" s="114"/>
      <c r="M341" s="114"/>
      <c r="N341" s="116">
        <v>6.0</v>
      </c>
      <c r="O341" s="116">
        <v>117.0</v>
      </c>
      <c r="P341" s="114"/>
      <c r="Q341" s="140">
        <v>5200.0</v>
      </c>
      <c r="R341" s="114" t="s">
        <v>234</v>
      </c>
      <c r="S341" s="115">
        <v>2020.0</v>
      </c>
      <c r="T341" s="136">
        <v>0.239</v>
      </c>
      <c r="U341" s="118">
        <f t="shared" si="70"/>
        <v>1242.8</v>
      </c>
      <c r="V341" s="24">
        <f t="shared" si="3"/>
        <v>97.85826772</v>
      </c>
      <c r="W341" s="3">
        <f t="shared" si="29"/>
        <v>0</v>
      </c>
      <c r="X341" s="3">
        <f t="shared" si="30"/>
        <v>0</v>
      </c>
      <c r="Y341" s="3">
        <f t="shared" si="31"/>
        <v>0</v>
      </c>
      <c r="Z341" s="25">
        <f t="shared" si="32"/>
        <v>0</v>
      </c>
      <c r="AA341" s="26">
        <f>VLOOKUP(S341,CPI!$A$2:$E$67,5,0)</f>
        <v>1.17731472</v>
      </c>
      <c r="AB341" s="27">
        <f t="shared" si="8"/>
        <v>1463.166734</v>
      </c>
      <c r="AC341" s="27">
        <f t="shared" si="9"/>
        <v>115.2099791</v>
      </c>
    </row>
    <row r="342">
      <c r="A342" s="163"/>
      <c r="B342" s="114" t="s">
        <v>230</v>
      </c>
      <c r="C342" s="114" t="s">
        <v>670</v>
      </c>
      <c r="D342" s="115" t="s">
        <v>87</v>
      </c>
      <c r="E342" s="115" t="s">
        <v>357</v>
      </c>
      <c r="F342" s="116">
        <v>2021.0</v>
      </c>
      <c r="G342" s="114"/>
      <c r="H342" s="116">
        <v>0.0</v>
      </c>
      <c r="I342" s="116">
        <v>9.05</v>
      </c>
      <c r="J342" s="117">
        <v>1.0</v>
      </c>
      <c r="K342" s="116">
        <v>9.05</v>
      </c>
      <c r="L342" s="114"/>
      <c r="M342" s="114"/>
      <c r="N342" s="116">
        <v>5.0</v>
      </c>
      <c r="O342" s="116">
        <v>117.0</v>
      </c>
      <c r="P342" s="114"/>
      <c r="Q342" s="140">
        <v>7485.0</v>
      </c>
      <c r="R342" s="114" t="s">
        <v>234</v>
      </c>
      <c r="S342" s="115">
        <v>2021.0</v>
      </c>
      <c r="T342" s="136">
        <v>0.239000000000001</v>
      </c>
      <c r="U342" s="118">
        <f t="shared" si="70"/>
        <v>1788.915</v>
      </c>
      <c r="V342" s="24">
        <f t="shared" si="3"/>
        <v>197.6701657</v>
      </c>
      <c r="W342" s="3">
        <f t="shared" si="29"/>
        <v>0</v>
      </c>
      <c r="X342" s="3">
        <f t="shared" si="30"/>
        <v>0</v>
      </c>
      <c r="Y342" s="3">
        <f t="shared" si="31"/>
        <v>0</v>
      </c>
      <c r="Z342" s="25">
        <f t="shared" si="32"/>
        <v>0</v>
      </c>
      <c r="AA342" s="26">
        <f>VLOOKUP(S342,CPI!$A$2:$E$67,5,0)</f>
        <v>1.124486105</v>
      </c>
      <c r="AB342" s="27">
        <f t="shared" si="8"/>
        <v>2011.610061</v>
      </c>
      <c r="AC342" s="27">
        <f t="shared" si="9"/>
        <v>222.2773548</v>
      </c>
    </row>
    <row r="343">
      <c r="A343" s="163"/>
      <c r="B343" s="114" t="s">
        <v>230</v>
      </c>
      <c r="C343" s="114" t="s">
        <v>670</v>
      </c>
      <c r="D343" s="115" t="s">
        <v>84</v>
      </c>
      <c r="E343" s="115" t="s">
        <v>319</v>
      </c>
      <c r="F343" s="116">
        <v>2021.0</v>
      </c>
      <c r="G343" s="114"/>
      <c r="H343" s="116">
        <v>0.0</v>
      </c>
      <c r="I343" s="116">
        <v>27.91</v>
      </c>
      <c r="J343" s="117">
        <v>1.0</v>
      </c>
      <c r="K343" s="116">
        <v>27.91</v>
      </c>
      <c r="L343" s="114"/>
      <c r="M343" s="114"/>
      <c r="N343" s="116">
        <v>22.0</v>
      </c>
      <c r="O343" s="116">
        <v>117.0</v>
      </c>
      <c r="P343" s="114"/>
      <c r="Q343" s="140">
        <v>19900.0</v>
      </c>
      <c r="R343" s="114" t="s">
        <v>234</v>
      </c>
      <c r="S343" s="115">
        <v>2021.0</v>
      </c>
      <c r="T343" s="136">
        <v>0.239000000000001</v>
      </c>
      <c r="U343" s="118">
        <f t="shared" si="70"/>
        <v>4756.1</v>
      </c>
      <c r="V343" s="24">
        <f t="shared" si="3"/>
        <v>170.4084558</v>
      </c>
      <c r="W343" s="3">
        <f t="shared" si="29"/>
        <v>0</v>
      </c>
      <c r="X343" s="3">
        <f t="shared" si="30"/>
        <v>0</v>
      </c>
      <c r="Y343" s="3">
        <f t="shared" si="31"/>
        <v>0</v>
      </c>
      <c r="Z343" s="25">
        <f t="shared" si="32"/>
        <v>0</v>
      </c>
      <c r="AA343" s="26">
        <f>VLOOKUP(S343,CPI!$A$2:$E$67,5,0)</f>
        <v>1.124486105</v>
      </c>
      <c r="AB343" s="27">
        <f t="shared" si="8"/>
        <v>5348.168366</v>
      </c>
      <c r="AC343" s="27">
        <f t="shared" si="9"/>
        <v>191.6219407</v>
      </c>
    </row>
    <row r="344">
      <c r="A344" s="163"/>
      <c r="B344" s="66" t="s">
        <v>230</v>
      </c>
      <c r="C344" s="210" t="s">
        <v>681</v>
      </c>
      <c r="D344" s="210" t="s">
        <v>682</v>
      </c>
      <c r="E344" s="210" t="s">
        <v>682</v>
      </c>
      <c r="F344" s="116">
        <v>2020.0</v>
      </c>
      <c r="G344" s="114"/>
      <c r="H344" s="116">
        <v>1.0</v>
      </c>
      <c r="I344" s="116">
        <v>23.8</v>
      </c>
      <c r="J344" s="117">
        <v>0.63</v>
      </c>
      <c r="K344" s="116">
        <v>14.9</v>
      </c>
      <c r="L344" s="114"/>
      <c r="M344" s="114"/>
      <c r="N344" s="114"/>
      <c r="O344" s="116"/>
      <c r="P344" s="114"/>
      <c r="Q344" s="140">
        <v>13530.0</v>
      </c>
      <c r="R344" s="114" t="s">
        <v>234</v>
      </c>
      <c r="S344" s="115">
        <v>2020.0</v>
      </c>
      <c r="T344" s="136">
        <v>0.239</v>
      </c>
      <c r="U344" s="118">
        <f t="shared" si="70"/>
        <v>3233.67</v>
      </c>
      <c r="V344" s="24">
        <f t="shared" si="3"/>
        <v>135.8684874</v>
      </c>
      <c r="W344" s="3">
        <f t="shared" si="29"/>
        <v>0</v>
      </c>
      <c r="X344" s="3">
        <f t="shared" si="30"/>
        <v>0</v>
      </c>
      <c r="Y344" s="3">
        <f t="shared" si="31"/>
        <v>0</v>
      </c>
      <c r="Z344" s="25">
        <f t="shared" si="32"/>
        <v>0</v>
      </c>
      <c r="AA344" s="26">
        <f>VLOOKUP(S344,CPI!$A$2:$E$67,5,0)</f>
        <v>1.17731472</v>
      </c>
      <c r="AB344" s="27">
        <f t="shared" si="8"/>
        <v>3807.047291</v>
      </c>
      <c r="AC344" s="27">
        <f t="shared" si="9"/>
        <v>159.9599702</v>
      </c>
    </row>
    <row r="345">
      <c r="A345" s="163"/>
      <c r="B345" s="114" t="s">
        <v>230</v>
      </c>
      <c r="C345" s="114" t="s">
        <v>684</v>
      </c>
      <c r="D345" s="114" t="s">
        <v>292</v>
      </c>
      <c r="E345" s="114" t="s">
        <v>292</v>
      </c>
      <c r="F345" s="114"/>
      <c r="G345" s="116">
        <v>2018.0</v>
      </c>
      <c r="H345" s="116">
        <v>0.0</v>
      </c>
      <c r="I345" s="116">
        <v>58.35</v>
      </c>
      <c r="J345" s="117">
        <v>0.1</v>
      </c>
      <c r="K345" s="116">
        <v>5.81</v>
      </c>
      <c r="L345" s="114"/>
      <c r="M345" s="114"/>
      <c r="N345" s="116">
        <v>22.0</v>
      </c>
      <c r="O345" s="116">
        <v>117.0</v>
      </c>
      <c r="P345" s="114"/>
      <c r="Q345" s="140">
        <v>19500.0</v>
      </c>
      <c r="R345" s="114" t="s">
        <v>234</v>
      </c>
      <c r="S345" s="115">
        <v>2018.0</v>
      </c>
      <c r="T345" s="85">
        <v>0.237</v>
      </c>
      <c r="U345" s="118">
        <f t="shared" si="70"/>
        <v>4621.5</v>
      </c>
      <c r="V345" s="24">
        <f t="shared" si="3"/>
        <v>79.20308483</v>
      </c>
      <c r="W345" s="3">
        <f t="shared" si="29"/>
        <v>0</v>
      </c>
      <c r="X345" s="3">
        <f t="shared" si="30"/>
        <v>0</v>
      </c>
      <c r="Y345" s="3">
        <f t="shared" si="31"/>
        <v>0</v>
      </c>
      <c r="Z345" s="25">
        <f t="shared" si="32"/>
        <v>0</v>
      </c>
      <c r="AA345" s="26">
        <f>VLOOKUP(S345,CPI!$A$2:$E$67,5,0)</f>
        <v>1.21343491</v>
      </c>
      <c r="AB345" s="27">
        <f t="shared" si="8"/>
        <v>5607.889438</v>
      </c>
      <c r="AC345" s="27">
        <f t="shared" si="9"/>
        <v>96.10778813</v>
      </c>
    </row>
    <row r="346">
      <c r="A346" s="163"/>
      <c r="B346" s="114" t="s">
        <v>230</v>
      </c>
      <c r="C346" s="114" t="s">
        <v>684</v>
      </c>
      <c r="D346" s="209" t="s">
        <v>687</v>
      </c>
      <c r="E346" s="209" t="s">
        <v>687</v>
      </c>
      <c r="F346" s="114"/>
      <c r="G346" s="116">
        <v>2020.0</v>
      </c>
      <c r="H346" s="116">
        <v>0.0</v>
      </c>
      <c r="I346" s="116">
        <v>60.0</v>
      </c>
      <c r="J346" s="117">
        <v>0.2</v>
      </c>
      <c r="K346" s="116">
        <v>12.0</v>
      </c>
      <c r="L346" s="114"/>
      <c r="M346" s="114"/>
      <c r="N346" s="116">
        <v>10.0</v>
      </c>
      <c r="O346" s="116">
        <v>117.0</v>
      </c>
      <c r="P346" s="114"/>
      <c r="Q346" s="140">
        <v>20763.0</v>
      </c>
      <c r="R346" s="114" t="s">
        <v>234</v>
      </c>
      <c r="S346" s="115">
        <v>2020.0</v>
      </c>
      <c r="T346" s="85">
        <v>0.239</v>
      </c>
      <c r="U346" s="118">
        <f t="shared" si="70"/>
        <v>4962.357</v>
      </c>
      <c r="V346" s="24">
        <f t="shared" si="3"/>
        <v>82.70595</v>
      </c>
      <c r="W346" s="3">
        <f t="shared" si="29"/>
        <v>0</v>
      </c>
      <c r="X346" s="3">
        <f t="shared" si="30"/>
        <v>0</v>
      </c>
      <c r="Y346" s="3">
        <f t="shared" si="31"/>
        <v>0</v>
      </c>
      <c r="Z346" s="25">
        <f t="shared" si="32"/>
        <v>0</v>
      </c>
      <c r="AA346" s="26">
        <f>VLOOKUP(S346,CPI!$A$2:$E$67,5,0)</f>
        <v>1.17731472</v>
      </c>
      <c r="AB346" s="27">
        <f t="shared" si="8"/>
        <v>5842.255942</v>
      </c>
      <c r="AC346" s="27">
        <f t="shared" si="9"/>
        <v>97.37093237</v>
      </c>
    </row>
    <row r="347">
      <c r="A347" s="163"/>
      <c r="B347" s="66" t="s">
        <v>230</v>
      </c>
      <c r="C347" s="114" t="s">
        <v>684</v>
      </c>
      <c r="D347" s="115" t="s">
        <v>689</v>
      </c>
      <c r="E347" s="115" t="s">
        <v>690</v>
      </c>
      <c r="F347" s="114"/>
      <c r="G347" s="116">
        <v>2021.0</v>
      </c>
      <c r="H347" s="116">
        <v>0.0</v>
      </c>
      <c r="I347" s="116">
        <v>59.97</v>
      </c>
      <c r="J347" s="117">
        <v>1.0</v>
      </c>
      <c r="K347" s="116">
        <v>59.97</v>
      </c>
      <c r="L347" s="114"/>
      <c r="M347" s="114"/>
      <c r="N347" s="116">
        <v>40.0</v>
      </c>
      <c r="O347" s="116">
        <v>117.0</v>
      </c>
      <c r="P347" s="114"/>
      <c r="Q347" s="140">
        <v>39990.0</v>
      </c>
      <c r="R347" s="114" t="s">
        <v>234</v>
      </c>
      <c r="S347" s="115">
        <v>2021.0</v>
      </c>
      <c r="T347" s="136">
        <v>0.239000000000001</v>
      </c>
      <c r="U347" s="118">
        <f t="shared" si="70"/>
        <v>9557.61</v>
      </c>
      <c r="V347" s="24">
        <f t="shared" si="3"/>
        <v>159.3731866</v>
      </c>
      <c r="W347" s="3">
        <f t="shared" si="29"/>
        <v>0</v>
      </c>
      <c r="X347" s="3">
        <f t="shared" si="30"/>
        <v>0</v>
      </c>
      <c r="Y347" s="3">
        <f t="shared" si="31"/>
        <v>0</v>
      </c>
      <c r="Z347" s="25">
        <f t="shared" si="32"/>
        <v>0</v>
      </c>
      <c r="AA347" s="26">
        <f>VLOOKUP(S347,CPI!$A$2:$E$67,5,0)</f>
        <v>1.124486105</v>
      </c>
      <c r="AB347" s="27">
        <f t="shared" si="8"/>
        <v>10747.39965</v>
      </c>
      <c r="AC347" s="27">
        <f t="shared" si="9"/>
        <v>179.2129339</v>
      </c>
    </row>
    <row r="348">
      <c r="A348" s="163"/>
      <c r="B348" s="66" t="s">
        <v>230</v>
      </c>
      <c r="C348" s="114" t="s">
        <v>684</v>
      </c>
      <c r="D348" s="114" t="s">
        <v>243</v>
      </c>
      <c r="E348" s="114" t="s">
        <v>243</v>
      </c>
      <c r="F348" s="114"/>
      <c r="G348" s="116">
        <v>2021.0</v>
      </c>
      <c r="H348" s="116">
        <v>0.0</v>
      </c>
      <c r="I348" s="116">
        <v>61.4</v>
      </c>
      <c r="J348" s="192"/>
      <c r="K348" s="114"/>
      <c r="L348" s="114"/>
      <c r="M348" s="114"/>
      <c r="N348" s="116">
        <v>16.0</v>
      </c>
      <c r="O348" s="116">
        <v>117.0</v>
      </c>
      <c r="P348" s="114"/>
      <c r="Q348" s="140">
        <v>32100.0</v>
      </c>
      <c r="R348" s="114" t="s">
        <v>234</v>
      </c>
      <c r="S348" s="115">
        <v>2021.0</v>
      </c>
      <c r="T348" s="136">
        <v>0.239000000000001</v>
      </c>
      <c r="U348" s="118">
        <f t="shared" si="70"/>
        <v>7671.9</v>
      </c>
      <c r="V348" s="24">
        <f t="shared" si="3"/>
        <v>124.9495114</v>
      </c>
      <c r="W348" s="3">
        <f t="shared" si="29"/>
        <v>0</v>
      </c>
      <c r="X348" s="3">
        <f t="shared" si="30"/>
        <v>0</v>
      </c>
      <c r="Y348" s="3">
        <f t="shared" si="31"/>
        <v>0</v>
      </c>
      <c r="Z348" s="25">
        <f t="shared" si="32"/>
        <v>0</v>
      </c>
      <c r="AA348" s="26">
        <f>VLOOKUP(S348,CPI!$A$2:$E$67,5,0)</f>
        <v>1.124486105</v>
      </c>
      <c r="AB348" s="27">
        <f t="shared" si="8"/>
        <v>8626.944953</v>
      </c>
      <c r="AC348" s="27">
        <f t="shared" si="9"/>
        <v>140.5039895</v>
      </c>
    </row>
    <row r="349">
      <c r="A349" s="163"/>
      <c r="B349" s="66" t="s">
        <v>230</v>
      </c>
      <c r="C349" s="114" t="s">
        <v>684</v>
      </c>
      <c r="D349" s="114" t="s">
        <v>260</v>
      </c>
      <c r="E349" s="114" t="s">
        <v>260</v>
      </c>
      <c r="F349" s="116">
        <v>2021.0</v>
      </c>
      <c r="G349" s="116">
        <v>2026.0</v>
      </c>
      <c r="H349" s="116">
        <v>0.0</v>
      </c>
      <c r="I349" s="116">
        <v>30.8</v>
      </c>
      <c r="J349" s="117">
        <v>1.0</v>
      </c>
      <c r="K349" s="116">
        <v>30.8</v>
      </c>
      <c r="L349" s="114"/>
      <c r="M349" s="114"/>
      <c r="N349" s="116">
        <v>17.0</v>
      </c>
      <c r="O349" s="116">
        <v>117.0</v>
      </c>
      <c r="P349" s="114"/>
      <c r="Q349" s="140">
        <v>19478.0</v>
      </c>
      <c r="R349" s="114" t="s">
        <v>234</v>
      </c>
      <c r="S349" s="115">
        <v>2021.0</v>
      </c>
      <c r="T349" s="136">
        <v>0.239000000000001</v>
      </c>
      <c r="U349" s="118">
        <f t="shared" si="70"/>
        <v>4655.242</v>
      </c>
      <c r="V349" s="24">
        <f t="shared" si="3"/>
        <v>151.1442208</v>
      </c>
      <c r="W349" s="3">
        <f t="shared" si="29"/>
        <v>0</v>
      </c>
      <c r="X349" s="3">
        <f t="shared" si="30"/>
        <v>0</v>
      </c>
      <c r="Y349" s="3">
        <f t="shared" si="31"/>
        <v>0</v>
      </c>
      <c r="Z349" s="25">
        <f t="shared" si="32"/>
        <v>0</v>
      </c>
      <c r="AA349" s="26">
        <f>VLOOKUP(S349,CPI!$A$2:$E$67,5,0)</f>
        <v>1.124486105</v>
      </c>
      <c r="AB349" s="27">
        <f t="shared" si="8"/>
        <v>5234.754947</v>
      </c>
      <c r="AC349" s="27">
        <f t="shared" si="9"/>
        <v>169.9595762</v>
      </c>
    </row>
    <row r="350">
      <c r="A350" s="163"/>
      <c r="B350" s="66" t="s">
        <v>230</v>
      </c>
      <c r="C350" s="114" t="s">
        <v>684</v>
      </c>
      <c r="D350" s="114" t="s">
        <v>84</v>
      </c>
      <c r="E350" s="114" t="s">
        <v>84</v>
      </c>
      <c r="F350" s="116">
        <v>2021.0</v>
      </c>
      <c r="G350" s="116">
        <v>2026.0</v>
      </c>
      <c r="H350" s="116">
        <v>0.0</v>
      </c>
      <c r="I350" s="116">
        <v>32.7</v>
      </c>
      <c r="J350" s="117">
        <v>1.0</v>
      </c>
      <c r="K350" s="116">
        <v>32.7</v>
      </c>
      <c r="L350" s="114"/>
      <c r="M350" s="114"/>
      <c r="N350" s="116">
        <v>29.0</v>
      </c>
      <c r="O350" s="116">
        <v>117.0</v>
      </c>
      <c r="P350" s="114"/>
      <c r="Q350" s="140">
        <v>26030.0</v>
      </c>
      <c r="R350" s="114" t="s">
        <v>234</v>
      </c>
      <c r="S350" s="115">
        <v>2021.0</v>
      </c>
      <c r="T350" s="136">
        <v>0.239000000000001</v>
      </c>
      <c r="U350" s="118">
        <f t="shared" si="70"/>
        <v>6221.17</v>
      </c>
      <c r="V350" s="24">
        <f t="shared" si="3"/>
        <v>190.2498471</v>
      </c>
      <c r="W350" s="3">
        <f t="shared" si="29"/>
        <v>0</v>
      </c>
      <c r="X350" s="3">
        <f t="shared" si="30"/>
        <v>0</v>
      </c>
      <c r="Y350" s="3">
        <f t="shared" si="31"/>
        <v>0</v>
      </c>
      <c r="Z350" s="25">
        <f t="shared" si="32"/>
        <v>0</v>
      </c>
      <c r="AA350" s="26">
        <f>VLOOKUP(S350,CPI!$A$2:$E$67,5,0)</f>
        <v>1.124486105</v>
      </c>
      <c r="AB350" s="27">
        <f t="shared" si="8"/>
        <v>6995.619225</v>
      </c>
      <c r="AC350" s="27">
        <f t="shared" si="9"/>
        <v>213.9333096</v>
      </c>
    </row>
    <row r="351">
      <c r="A351" s="163"/>
      <c r="B351" s="66" t="s">
        <v>230</v>
      </c>
      <c r="C351" s="114" t="s">
        <v>684</v>
      </c>
      <c r="D351" s="115" t="s">
        <v>80</v>
      </c>
      <c r="E351" s="115" t="s">
        <v>696</v>
      </c>
      <c r="F351" s="116">
        <v>2021.0</v>
      </c>
      <c r="G351" s="116">
        <v>2026.0</v>
      </c>
      <c r="H351" s="116">
        <v>0.0</v>
      </c>
      <c r="I351" s="116">
        <v>13.85</v>
      </c>
      <c r="J351" s="117">
        <v>1.0</v>
      </c>
      <c r="K351" s="116">
        <v>13.85</v>
      </c>
      <c r="L351" s="114"/>
      <c r="M351" s="114"/>
      <c r="N351" s="116">
        <v>10.0</v>
      </c>
      <c r="O351" s="116">
        <v>117.0</v>
      </c>
      <c r="P351" s="114"/>
      <c r="Q351" s="140">
        <v>8302.0</v>
      </c>
      <c r="R351" s="114" t="s">
        <v>234</v>
      </c>
      <c r="S351" s="115">
        <v>2021.0</v>
      </c>
      <c r="T351" s="136">
        <v>0.239000000000001</v>
      </c>
      <c r="U351" s="118">
        <f t="shared" si="70"/>
        <v>1984.178</v>
      </c>
      <c r="V351" s="24">
        <f t="shared" si="3"/>
        <v>143.2619495</v>
      </c>
      <c r="W351" s="3">
        <f t="shared" si="29"/>
        <v>0</v>
      </c>
      <c r="X351" s="3">
        <f t="shared" si="30"/>
        <v>0</v>
      </c>
      <c r="Y351" s="3">
        <f t="shared" si="31"/>
        <v>0</v>
      </c>
      <c r="Z351" s="25">
        <f t="shared" si="32"/>
        <v>0</v>
      </c>
      <c r="AA351" s="26">
        <f>VLOOKUP(S351,CPI!$A$2:$E$67,5,0)</f>
        <v>1.124486105</v>
      </c>
      <c r="AB351" s="27">
        <f t="shared" si="8"/>
        <v>2231.180592</v>
      </c>
      <c r="AC351" s="27">
        <f t="shared" si="9"/>
        <v>161.0960716</v>
      </c>
    </row>
    <row r="352">
      <c r="A352" s="163"/>
      <c r="B352" s="114" t="s">
        <v>230</v>
      </c>
      <c r="C352" s="114" t="s">
        <v>684</v>
      </c>
      <c r="D352" s="114" t="s">
        <v>243</v>
      </c>
      <c r="E352" s="114" t="s">
        <v>698</v>
      </c>
      <c r="F352" s="116">
        <v>2021.0</v>
      </c>
      <c r="G352" s="116">
        <v>2026.0</v>
      </c>
      <c r="H352" s="116">
        <v>0.0</v>
      </c>
      <c r="I352" s="116">
        <v>18.8</v>
      </c>
      <c r="J352" s="117">
        <v>1.0</v>
      </c>
      <c r="K352" s="116">
        <v>18.8</v>
      </c>
      <c r="L352" s="114"/>
      <c r="M352" s="114"/>
      <c r="N352" s="116">
        <v>9.0</v>
      </c>
      <c r="O352" s="116">
        <v>117.0</v>
      </c>
      <c r="P352" s="114"/>
      <c r="Q352" s="140">
        <v>11492.0</v>
      </c>
      <c r="R352" s="114" t="s">
        <v>234</v>
      </c>
      <c r="S352" s="115">
        <v>2021.0</v>
      </c>
      <c r="T352" s="136">
        <v>0.239000000000001</v>
      </c>
      <c r="U352" s="118">
        <f t="shared" si="70"/>
        <v>2746.588</v>
      </c>
      <c r="V352" s="24">
        <f t="shared" si="3"/>
        <v>146.0951064</v>
      </c>
      <c r="W352" s="3">
        <f t="shared" si="29"/>
        <v>0</v>
      </c>
      <c r="X352" s="3">
        <f t="shared" si="30"/>
        <v>0</v>
      </c>
      <c r="Y352" s="3">
        <f t="shared" si="31"/>
        <v>0</v>
      </c>
      <c r="Z352" s="25">
        <f t="shared" si="32"/>
        <v>0</v>
      </c>
      <c r="AA352" s="26">
        <f>VLOOKUP(S352,CPI!$A$2:$E$67,5,0)</f>
        <v>1.124486105</v>
      </c>
      <c r="AB352" s="27">
        <f t="shared" si="8"/>
        <v>3088.500043</v>
      </c>
      <c r="AC352" s="27">
        <f t="shared" si="9"/>
        <v>164.2819172</v>
      </c>
    </row>
    <row r="353">
      <c r="A353" s="163"/>
      <c r="B353" s="66" t="s">
        <v>230</v>
      </c>
      <c r="C353" s="114" t="s">
        <v>684</v>
      </c>
      <c r="D353" s="114" t="s">
        <v>253</v>
      </c>
      <c r="E353" s="114" t="s">
        <v>253</v>
      </c>
      <c r="F353" s="116">
        <v>2021.0</v>
      </c>
      <c r="G353" s="116">
        <v>2026.0</v>
      </c>
      <c r="H353" s="116">
        <v>0.0</v>
      </c>
      <c r="I353" s="116">
        <v>16.63</v>
      </c>
      <c r="J353" s="117">
        <v>1.0</v>
      </c>
      <c r="K353" s="116">
        <v>16.63</v>
      </c>
      <c r="L353" s="114"/>
      <c r="M353" s="114"/>
      <c r="N353" s="116">
        <v>13.0</v>
      </c>
      <c r="O353" s="116">
        <v>117.0</v>
      </c>
      <c r="P353" s="114"/>
      <c r="Q353" s="140">
        <v>12590.0</v>
      </c>
      <c r="R353" s="114" t="s">
        <v>234</v>
      </c>
      <c r="S353" s="115">
        <v>2021.0</v>
      </c>
      <c r="T353" s="136">
        <v>0.239000000000001</v>
      </c>
      <c r="U353" s="118">
        <f t="shared" si="70"/>
        <v>3009.01</v>
      </c>
      <c r="V353" s="24">
        <f t="shared" si="3"/>
        <v>180.9386651</v>
      </c>
      <c r="W353" s="3">
        <f t="shared" si="29"/>
        <v>0</v>
      </c>
      <c r="X353" s="3">
        <f t="shared" si="30"/>
        <v>0</v>
      </c>
      <c r="Y353" s="3">
        <f t="shared" si="31"/>
        <v>0</v>
      </c>
      <c r="Z353" s="25">
        <f t="shared" si="32"/>
        <v>0</v>
      </c>
      <c r="AA353" s="26">
        <f>VLOOKUP(S353,CPI!$A$2:$E$67,5,0)</f>
        <v>1.124486105</v>
      </c>
      <c r="AB353" s="27">
        <f t="shared" si="8"/>
        <v>3383.589936</v>
      </c>
      <c r="AC353" s="27">
        <f t="shared" si="9"/>
        <v>203.4630148</v>
      </c>
    </row>
    <row r="354">
      <c r="A354" s="163"/>
      <c r="B354" s="66" t="s">
        <v>230</v>
      </c>
      <c r="C354" s="114" t="s">
        <v>684</v>
      </c>
      <c r="D354" s="114" t="s">
        <v>87</v>
      </c>
      <c r="E354" s="114" t="s">
        <v>87</v>
      </c>
      <c r="F354" s="116">
        <v>2010.0</v>
      </c>
      <c r="G354" s="114"/>
      <c r="H354" s="116">
        <v>0.0</v>
      </c>
      <c r="I354" s="116">
        <v>25.0</v>
      </c>
      <c r="J354" s="117">
        <v>1.0</v>
      </c>
      <c r="K354" s="116">
        <v>25.0</v>
      </c>
      <c r="L354" s="114"/>
      <c r="M354" s="114"/>
      <c r="N354" s="116">
        <v>22.0</v>
      </c>
      <c r="O354" s="116">
        <v>117.0</v>
      </c>
      <c r="P354" s="114"/>
      <c r="Q354" s="140">
        <v>17500.0</v>
      </c>
      <c r="R354" s="114" t="s">
        <v>234</v>
      </c>
      <c r="S354" s="115">
        <v>2010.0</v>
      </c>
      <c r="T354" s="85">
        <v>0.3</v>
      </c>
      <c r="U354" s="118">
        <f t="shared" si="70"/>
        <v>5250</v>
      </c>
      <c r="V354" s="24">
        <f t="shared" si="3"/>
        <v>210</v>
      </c>
      <c r="W354" s="3">
        <f t="shared" si="29"/>
        <v>0</v>
      </c>
      <c r="X354" s="3">
        <f t="shared" si="30"/>
        <v>0</v>
      </c>
      <c r="Y354" s="3">
        <f t="shared" si="31"/>
        <v>0</v>
      </c>
      <c r="Z354" s="25">
        <f t="shared" si="32"/>
        <v>0</v>
      </c>
      <c r="AA354" s="26">
        <f>VLOOKUP(S354,CPI!$A$2:$E$67,5,0)</f>
        <v>1.397356642</v>
      </c>
      <c r="AB354" s="27">
        <f t="shared" si="8"/>
        <v>7336.122372</v>
      </c>
      <c r="AC354" s="27">
        <f t="shared" si="9"/>
        <v>293.4448949</v>
      </c>
    </row>
    <row r="355">
      <c r="A355" s="7"/>
      <c r="B355" s="114" t="s">
        <v>230</v>
      </c>
      <c r="C355" s="114" t="s">
        <v>684</v>
      </c>
      <c r="D355" s="115" t="s">
        <v>54</v>
      </c>
      <c r="E355" s="114" t="s">
        <v>54</v>
      </c>
      <c r="F355" s="116">
        <v>2019.0</v>
      </c>
      <c r="G355" s="114"/>
      <c r="H355" s="116">
        <v>0.0</v>
      </c>
      <c r="I355" s="116">
        <v>25.0</v>
      </c>
      <c r="J355" s="117">
        <v>1.0</v>
      </c>
      <c r="K355" s="116">
        <v>25.0</v>
      </c>
      <c r="L355" s="114"/>
      <c r="M355" s="114"/>
      <c r="N355" s="116">
        <v>22.0</v>
      </c>
      <c r="O355" s="116">
        <v>117.0</v>
      </c>
      <c r="P355" s="114"/>
      <c r="Q355" s="140">
        <v>29376.8</v>
      </c>
      <c r="R355" s="114" t="s">
        <v>234</v>
      </c>
      <c r="S355" s="115">
        <v>2019.0</v>
      </c>
      <c r="T355" s="136">
        <v>0.238</v>
      </c>
      <c r="U355" s="118">
        <f t="shared" si="70"/>
        <v>6991.6784</v>
      </c>
      <c r="V355" s="24">
        <f t="shared" si="3"/>
        <v>279.667136</v>
      </c>
      <c r="W355" s="3">
        <f t="shared" si="29"/>
        <v>0</v>
      </c>
      <c r="X355" s="3">
        <f t="shared" si="30"/>
        <v>0</v>
      </c>
      <c r="Y355" s="3">
        <f t="shared" si="31"/>
        <v>0</v>
      </c>
      <c r="Z355" s="25">
        <f t="shared" si="32"/>
        <v>0</v>
      </c>
      <c r="AA355" s="26">
        <f>VLOOKUP(S355,CPI!$A$2:$E$67,5,0)</f>
        <v>1.191839066</v>
      </c>
      <c r="AB355" s="27">
        <f t="shared" si="8"/>
        <v>8332.955451</v>
      </c>
      <c r="AC355" s="27">
        <f t="shared" si="9"/>
        <v>333.3182181</v>
      </c>
    </row>
    <row r="356">
      <c r="A356" s="163"/>
      <c r="B356" s="66" t="s">
        <v>230</v>
      </c>
      <c r="C356" s="114" t="s">
        <v>684</v>
      </c>
      <c r="D356" s="115" t="s">
        <v>54</v>
      </c>
      <c r="E356" s="115" t="s">
        <v>702</v>
      </c>
      <c r="F356" s="116">
        <v>2021.0</v>
      </c>
      <c r="G356" s="114"/>
      <c r="H356" s="116">
        <v>0.0</v>
      </c>
      <c r="I356" s="116">
        <v>8.89</v>
      </c>
      <c r="J356" s="117">
        <v>1.0</v>
      </c>
      <c r="K356" s="116">
        <v>8.89</v>
      </c>
      <c r="L356" s="114"/>
      <c r="M356" s="114"/>
      <c r="N356" s="116">
        <v>8.0</v>
      </c>
      <c r="O356" s="116">
        <v>117.0</v>
      </c>
      <c r="P356" s="114"/>
      <c r="Q356" s="140">
        <v>6770.0</v>
      </c>
      <c r="R356" s="114" t="s">
        <v>234</v>
      </c>
      <c r="S356" s="115">
        <v>2021.0</v>
      </c>
      <c r="T356" s="136">
        <v>0.239000000000001</v>
      </c>
      <c r="U356" s="118">
        <f t="shared" si="70"/>
        <v>1618.03</v>
      </c>
      <c r="V356" s="24">
        <f t="shared" si="3"/>
        <v>182.0056243</v>
      </c>
      <c r="W356" s="3">
        <f t="shared" si="29"/>
        <v>0</v>
      </c>
      <c r="X356" s="3">
        <f t="shared" si="30"/>
        <v>0</v>
      </c>
      <c r="Y356" s="3">
        <f t="shared" si="31"/>
        <v>0</v>
      </c>
      <c r="Z356" s="25">
        <f t="shared" si="32"/>
        <v>0</v>
      </c>
      <c r="AA356" s="26">
        <f>VLOOKUP(S356,CPI!$A$2:$E$67,5,0)</f>
        <v>1.124486105</v>
      </c>
      <c r="AB356" s="27">
        <f t="shared" si="8"/>
        <v>1819.452253</v>
      </c>
      <c r="AC356" s="27">
        <f t="shared" si="9"/>
        <v>204.6627956</v>
      </c>
    </row>
    <row r="357">
      <c r="A357" s="38">
        <v>7656.0</v>
      </c>
      <c r="B357" s="123" t="s">
        <v>230</v>
      </c>
      <c r="C357" s="123" t="s">
        <v>704</v>
      </c>
      <c r="D357" s="36" t="s">
        <v>57</v>
      </c>
      <c r="E357" s="123" t="s">
        <v>705</v>
      </c>
      <c r="F357" s="75">
        <v>1990.0</v>
      </c>
      <c r="G357" s="75">
        <v>1995.0</v>
      </c>
      <c r="H357" s="75">
        <v>0.0</v>
      </c>
      <c r="I357" s="75">
        <v>16.1</v>
      </c>
      <c r="J357" s="155"/>
      <c r="K357" s="123"/>
      <c r="L357" s="125" t="e">
        <v>#N/A</v>
      </c>
      <c r="M357" s="125" t="e">
        <v>#N/A</v>
      </c>
      <c r="N357" s="75">
        <v>13.0</v>
      </c>
      <c r="O357" s="75"/>
      <c r="P357" s="123" t="s">
        <v>74</v>
      </c>
      <c r="Q357" s="126">
        <f>5.39*10^3</f>
        <v>5390</v>
      </c>
      <c r="R357" s="123" t="s">
        <v>234</v>
      </c>
      <c r="S357" s="75">
        <v>1995.0</v>
      </c>
      <c r="T357" s="136">
        <v>0.365</v>
      </c>
      <c r="U357" s="118">
        <f t="shared" si="70"/>
        <v>1967.35</v>
      </c>
      <c r="V357" s="24">
        <f t="shared" si="3"/>
        <v>122.1956522</v>
      </c>
      <c r="W357" s="3">
        <f t="shared" si="29"/>
        <v>0</v>
      </c>
      <c r="X357" s="3">
        <f t="shared" si="30"/>
        <v>0</v>
      </c>
      <c r="Y357" s="3">
        <f t="shared" si="31"/>
        <v>0</v>
      </c>
      <c r="Z357" s="25">
        <f t="shared" si="32"/>
        <v>0</v>
      </c>
      <c r="AA357" s="26">
        <f>VLOOKUP(S357,CPI!$A$2:$E$67,5,0)</f>
        <v>1.999356955</v>
      </c>
      <c r="AB357" s="27">
        <f t="shared" si="8"/>
        <v>3933.434906</v>
      </c>
      <c r="AC357" s="27">
        <f t="shared" si="9"/>
        <v>244.3127271</v>
      </c>
    </row>
    <row r="358">
      <c r="A358" s="38">
        <v>7657.0</v>
      </c>
      <c r="B358" s="123" t="s">
        <v>230</v>
      </c>
      <c r="C358" s="123" t="s">
        <v>704</v>
      </c>
      <c r="D358" s="36" t="s">
        <v>54</v>
      </c>
      <c r="E358" s="123" t="s">
        <v>348</v>
      </c>
      <c r="F358" s="75">
        <v>1995.0</v>
      </c>
      <c r="G358" s="75">
        <v>1999.0</v>
      </c>
      <c r="H358" s="75">
        <v>0.0</v>
      </c>
      <c r="I358" s="75">
        <v>16.3</v>
      </c>
      <c r="J358" s="124">
        <v>1.0</v>
      </c>
      <c r="K358" s="75">
        <v>16.3</v>
      </c>
      <c r="L358" s="125">
        <v>0.0</v>
      </c>
      <c r="M358" s="125">
        <v>0.0</v>
      </c>
      <c r="N358" s="75">
        <v>12.0</v>
      </c>
      <c r="O358" s="75"/>
      <c r="P358" s="123" t="s">
        <v>74</v>
      </c>
      <c r="Q358" s="126">
        <f>12.4*10^3</f>
        <v>12400</v>
      </c>
      <c r="R358" s="123" t="s">
        <v>234</v>
      </c>
      <c r="S358" s="75">
        <v>1995.0</v>
      </c>
      <c r="T358" s="136">
        <v>0.365</v>
      </c>
      <c r="U358" s="118">
        <f t="shared" si="70"/>
        <v>4526</v>
      </c>
      <c r="V358" s="24">
        <f t="shared" si="3"/>
        <v>277.6687117</v>
      </c>
      <c r="W358" s="3">
        <f t="shared" si="29"/>
        <v>0</v>
      </c>
      <c r="X358" s="3">
        <f t="shared" si="30"/>
        <v>0</v>
      </c>
      <c r="Y358" s="3">
        <f t="shared" si="31"/>
        <v>0</v>
      </c>
      <c r="Z358" s="25">
        <f t="shared" si="32"/>
        <v>0</v>
      </c>
      <c r="AA358" s="26">
        <f>VLOOKUP(S358,CPI!$A$2:$E$67,5,0)</f>
        <v>1.999356955</v>
      </c>
      <c r="AB358" s="27">
        <f t="shared" si="8"/>
        <v>9049.08958</v>
      </c>
      <c r="AC358" s="27">
        <f t="shared" si="9"/>
        <v>555.1588699</v>
      </c>
    </row>
    <row r="359">
      <c r="A359" s="38">
        <v>7666.0</v>
      </c>
      <c r="B359" s="130" t="s">
        <v>230</v>
      </c>
      <c r="C359" s="130" t="s">
        <v>704</v>
      </c>
      <c r="D359" s="36" t="s">
        <v>87</v>
      </c>
      <c r="E359" s="130" t="s">
        <v>87</v>
      </c>
      <c r="F359" s="130">
        <v>1997.0</v>
      </c>
      <c r="G359" s="130">
        <v>2000.0</v>
      </c>
      <c r="H359" s="130">
        <v>0.0</v>
      </c>
      <c r="I359" s="130">
        <v>24.975</v>
      </c>
      <c r="J359" s="131">
        <v>0.0</v>
      </c>
      <c r="K359" s="130">
        <v>0.0</v>
      </c>
      <c r="L359" s="132">
        <v>21.605</v>
      </c>
      <c r="M359" s="132">
        <v>3.375</v>
      </c>
      <c r="N359" s="130"/>
      <c r="O359" s="138"/>
      <c r="P359" s="130" t="s">
        <v>74</v>
      </c>
      <c r="Q359" s="135">
        <f>9.378*10^3</f>
        <v>9378</v>
      </c>
      <c r="R359" s="130" t="s">
        <v>234</v>
      </c>
      <c r="S359" s="130">
        <v>1998.0</v>
      </c>
      <c r="T359" s="136">
        <v>0.357</v>
      </c>
      <c r="U359" s="128">
        <f t="shared" si="70"/>
        <v>3347.946</v>
      </c>
      <c r="V359" s="24">
        <f t="shared" si="3"/>
        <v>134.0518919</v>
      </c>
      <c r="W359" s="3">
        <f t="shared" si="29"/>
        <v>0</v>
      </c>
      <c r="X359" s="3">
        <f t="shared" si="30"/>
        <v>0</v>
      </c>
      <c r="Y359" s="3">
        <f t="shared" si="31"/>
        <v>0</v>
      </c>
      <c r="Z359" s="25">
        <f t="shared" si="32"/>
        <v>0</v>
      </c>
      <c r="AA359" s="26">
        <f>VLOOKUP(S359,CPI!$A$2:$E$67,5,0)</f>
        <v>1.869337423</v>
      </c>
      <c r="AB359" s="27">
        <f t="shared" si="8"/>
        <v>6258.440749</v>
      </c>
      <c r="AC359" s="27">
        <f t="shared" si="9"/>
        <v>250.5882182</v>
      </c>
    </row>
    <row r="360">
      <c r="A360" s="38">
        <v>7658.0</v>
      </c>
      <c r="B360" s="130" t="s">
        <v>230</v>
      </c>
      <c r="C360" s="130" t="s">
        <v>704</v>
      </c>
      <c r="D360" s="36" t="s">
        <v>54</v>
      </c>
      <c r="E360" s="130" t="s">
        <v>709</v>
      </c>
      <c r="F360" s="130">
        <v>1999.0</v>
      </c>
      <c r="G360" s="130">
        <v>2000.0</v>
      </c>
      <c r="H360" s="130">
        <v>0.0</v>
      </c>
      <c r="I360" s="130">
        <v>2.72</v>
      </c>
      <c r="J360" s="131">
        <v>0.3198529412</v>
      </c>
      <c r="K360" s="130">
        <v>0.87</v>
      </c>
      <c r="L360" s="132">
        <v>0.305</v>
      </c>
      <c r="M360" s="132">
        <v>1.5718</v>
      </c>
      <c r="N360" s="130">
        <v>1.0</v>
      </c>
      <c r="O360" s="138"/>
      <c r="P360" s="130" t="s">
        <v>74</v>
      </c>
      <c r="Q360" s="135">
        <f>0.31477*10^3</f>
        <v>314.77</v>
      </c>
      <c r="R360" s="130" t="s">
        <v>234</v>
      </c>
      <c r="S360" s="130">
        <v>1999.0</v>
      </c>
      <c r="T360" s="136">
        <v>0.367</v>
      </c>
      <c r="U360" s="128">
        <f t="shared" si="70"/>
        <v>115.52059</v>
      </c>
      <c r="V360" s="24">
        <f t="shared" si="3"/>
        <v>42.47080515</v>
      </c>
      <c r="W360" s="3">
        <f t="shared" si="29"/>
        <v>0</v>
      </c>
      <c r="X360" s="3">
        <f t="shared" si="30"/>
        <v>0</v>
      </c>
      <c r="Y360" s="3">
        <f t="shared" si="31"/>
        <v>0</v>
      </c>
      <c r="Z360" s="25">
        <f t="shared" si="32"/>
        <v>0</v>
      </c>
      <c r="AA360" s="26">
        <f>VLOOKUP(S360,CPI!$A$2:$E$67,5,0)</f>
        <v>1.828943577</v>
      </c>
      <c r="AB360" s="27">
        <f t="shared" si="8"/>
        <v>211.2806411</v>
      </c>
      <c r="AC360" s="27">
        <f t="shared" si="9"/>
        <v>77.6767063</v>
      </c>
    </row>
    <row r="361">
      <c r="A361" s="38">
        <v>7673.0</v>
      </c>
      <c r="B361" s="130" t="s">
        <v>230</v>
      </c>
      <c r="C361" s="130" t="s">
        <v>704</v>
      </c>
      <c r="D361" s="36" t="s">
        <v>84</v>
      </c>
      <c r="E361" s="130" t="s">
        <v>319</v>
      </c>
      <c r="F361" s="130">
        <v>2000.0</v>
      </c>
      <c r="G361" s="130">
        <v>2002.0</v>
      </c>
      <c r="H361" s="130">
        <v>0.0</v>
      </c>
      <c r="I361" s="130">
        <v>17.206</v>
      </c>
      <c r="J361" s="131">
        <v>0.0</v>
      </c>
      <c r="K361" s="130">
        <v>0.0</v>
      </c>
      <c r="L361" s="132">
        <v>16.7</v>
      </c>
      <c r="M361" s="132">
        <v>0.51</v>
      </c>
      <c r="N361" s="130">
        <v>11.0</v>
      </c>
      <c r="O361" s="138"/>
      <c r="P361" s="130" t="s">
        <v>74</v>
      </c>
      <c r="Q361" s="135">
        <f>3.437*10^3</f>
        <v>3437</v>
      </c>
      <c r="R361" s="130" t="s">
        <v>234</v>
      </c>
      <c r="S361" s="130">
        <v>2001.0</v>
      </c>
      <c r="T361" s="136">
        <v>0.368</v>
      </c>
      <c r="U361" s="128">
        <f t="shared" si="70"/>
        <v>1264.816</v>
      </c>
      <c r="V361" s="24">
        <f t="shared" si="3"/>
        <v>73.51017087</v>
      </c>
      <c r="W361" s="3">
        <f t="shared" si="29"/>
        <v>0</v>
      </c>
      <c r="X361" s="3">
        <f t="shared" si="30"/>
        <v>0</v>
      </c>
      <c r="Y361" s="3">
        <f t="shared" si="31"/>
        <v>0</v>
      </c>
      <c r="Z361" s="25">
        <f t="shared" si="32"/>
        <v>0</v>
      </c>
      <c r="AA361" s="26">
        <f>VLOOKUP(S361,CPI!$A$2:$E$67,5,0)</f>
        <v>1.720508187</v>
      </c>
      <c r="AB361" s="27">
        <f t="shared" si="8"/>
        <v>2176.126284</v>
      </c>
      <c r="AC361" s="27">
        <f t="shared" si="9"/>
        <v>126.4748508</v>
      </c>
    </row>
    <row r="362">
      <c r="A362" s="170">
        <v>7672.0</v>
      </c>
      <c r="B362" s="123" t="s">
        <v>230</v>
      </c>
      <c r="C362" s="123" t="s">
        <v>704</v>
      </c>
      <c r="D362" s="36" t="s">
        <v>110</v>
      </c>
      <c r="E362" s="123" t="s">
        <v>332</v>
      </c>
      <c r="F362" s="123"/>
      <c r="G362" s="75">
        <v>2005.0</v>
      </c>
      <c r="H362" s="75">
        <v>0.0</v>
      </c>
      <c r="I362" s="75">
        <v>22.032</v>
      </c>
      <c r="J362" s="124">
        <v>0.9432643428</v>
      </c>
      <c r="K362" s="75">
        <v>20.782</v>
      </c>
      <c r="L362" s="125">
        <v>1.285</v>
      </c>
      <c r="M362" s="125">
        <v>0.0368</v>
      </c>
      <c r="N362" s="75">
        <v>9.0</v>
      </c>
      <c r="O362" s="75"/>
      <c r="P362" s="123" t="s">
        <v>74</v>
      </c>
      <c r="Q362" s="126">
        <f>12.6*10^3</f>
        <v>12600</v>
      </c>
      <c r="R362" s="123" t="s">
        <v>234</v>
      </c>
      <c r="S362" s="142">
        <v>2005.0</v>
      </c>
      <c r="T362" s="136">
        <v>0.3519</v>
      </c>
      <c r="U362" s="128">
        <f t="shared" si="70"/>
        <v>4433.94</v>
      </c>
      <c r="V362" s="24">
        <f t="shared" si="3"/>
        <v>201.25</v>
      </c>
      <c r="W362" s="3">
        <f t="shared" si="29"/>
        <v>0</v>
      </c>
      <c r="X362" s="3">
        <f t="shared" si="30"/>
        <v>0</v>
      </c>
      <c r="Y362" s="3">
        <f t="shared" si="31"/>
        <v>0</v>
      </c>
      <c r="Z362" s="25">
        <f t="shared" si="32"/>
        <v>0</v>
      </c>
      <c r="AA362" s="26">
        <f>VLOOKUP(S362,CPI!$A$2:$E$67,5,0)</f>
        <v>1.560174091</v>
      </c>
      <c r="AB362" s="27">
        <f t="shared" si="8"/>
        <v>6917.71831</v>
      </c>
      <c r="AC362" s="27">
        <f t="shared" si="9"/>
        <v>313.9850358</v>
      </c>
    </row>
    <row r="363">
      <c r="A363" s="38">
        <v>7659.0</v>
      </c>
      <c r="B363" s="130" t="s">
        <v>230</v>
      </c>
      <c r="C363" s="130" t="s">
        <v>704</v>
      </c>
      <c r="D363" s="36" t="s">
        <v>54</v>
      </c>
      <c r="E363" s="130" t="s">
        <v>712</v>
      </c>
      <c r="F363" s="130">
        <v>2001.0</v>
      </c>
      <c r="G363" s="130">
        <v>2006.0</v>
      </c>
      <c r="H363" s="130">
        <v>0.0</v>
      </c>
      <c r="I363" s="130">
        <v>6.155</v>
      </c>
      <c r="J363" s="131">
        <v>1.0</v>
      </c>
      <c r="K363" s="130">
        <v>6.155</v>
      </c>
      <c r="L363" s="132">
        <v>0.0</v>
      </c>
      <c r="M363" s="132">
        <v>0.0</v>
      </c>
      <c r="N363" s="130">
        <v>4.0</v>
      </c>
      <c r="O363" s="138"/>
      <c r="P363" s="130" t="s">
        <v>74</v>
      </c>
      <c r="Q363" s="135">
        <f>3.48842*10^3</f>
        <v>3488.42</v>
      </c>
      <c r="R363" s="130" t="s">
        <v>234</v>
      </c>
      <c r="S363" s="130">
        <v>2004.0</v>
      </c>
      <c r="T363" s="136">
        <v>0.355</v>
      </c>
      <c r="U363" s="128">
        <f t="shared" si="70"/>
        <v>1238.3891</v>
      </c>
      <c r="V363" s="24">
        <f t="shared" si="3"/>
        <v>201.2005037</v>
      </c>
      <c r="W363" s="3">
        <f t="shared" si="29"/>
        <v>0</v>
      </c>
      <c r="X363" s="3">
        <f t="shared" si="30"/>
        <v>0</v>
      </c>
      <c r="Y363" s="3">
        <f t="shared" si="31"/>
        <v>0</v>
      </c>
      <c r="Z363" s="25">
        <f t="shared" si="32"/>
        <v>0</v>
      </c>
      <c r="AA363" s="26">
        <f>VLOOKUP(S363,CPI!$A$2:$E$67,5,0)</f>
        <v>1.613033351</v>
      </c>
      <c r="AB363" s="27">
        <f t="shared" si="8"/>
        <v>1997.56292</v>
      </c>
      <c r="AC363" s="27">
        <f t="shared" si="9"/>
        <v>324.5431226</v>
      </c>
    </row>
    <row r="364">
      <c r="A364" s="38">
        <v>7667.0</v>
      </c>
      <c r="B364" s="123" t="s">
        <v>230</v>
      </c>
      <c r="C364" s="123" t="s">
        <v>704</v>
      </c>
      <c r="D364" s="36" t="s">
        <v>87</v>
      </c>
      <c r="E364" s="123" t="s">
        <v>713</v>
      </c>
      <c r="F364" s="123"/>
      <c r="G364" s="75">
        <v>2006.0</v>
      </c>
      <c r="H364" s="75">
        <v>0.0</v>
      </c>
      <c r="I364" s="75">
        <v>15.365</v>
      </c>
      <c r="J364" s="124">
        <v>0.128799219</v>
      </c>
      <c r="K364" s="75">
        <v>1.979</v>
      </c>
      <c r="L364" s="125">
        <v>13.395</v>
      </c>
      <c r="M364" s="125">
        <v>0.1306</v>
      </c>
      <c r="N364" s="75">
        <v>10.0</v>
      </c>
      <c r="O364" s="75"/>
      <c r="P364" s="123" t="s">
        <v>74</v>
      </c>
      <c r="Q364" s="126">
        <f>3.5*10^3</f>
        <v>3500</v>
      </c>
      <c r="R364" s="123" t="s">
        <v>234</v>
      </c>
      <c r="S364" s="142">
        <v>2006.0</v>
      </c>
      <c r="T364" s="136">
        <v>0.349</v>
      </c>
      <c r="U364" s="118">
        <f t="shared" si="70"/>
        <v>1221.5</v>
      </c>
      <c r="V364" s="24">
        <f t="shared" si="3"/>
        <v>79.49886105</v>
      </c>
      <c r="W364" s="3">
        <f t="shared" si="29"/>
        <v>0</v>
      </c>
      <c r="X364" s="3">
        <f t="shared" si="30"/>
        <v>0</v>
      </c>
      <c r="Y364" s="3">
        <f t="shared" si="31"/>
        <v>0</v>
      </c>
      <c r="Z364" s="25">
        <f t="shared" si="32"/>
        <v>0</v>
      </c>
      <c r="AA364" s="26">
        <f>VLOOKUP(S364,CPI!$A$2:$E$67,5,0)</f>
        <v>1.511418651</v>
      </c>
      <c r="AB364" s="27">
        <f t="shared" si="8"/>
        <v>1846.197882</v>
      </c>
      <c r="AC364" s="27">
        <f t="shared" si="9"/>
        <v>120.1560613</v>
      </c>
    </row>
    <row r="365">
      <c r="A365" s="170">
        <v>7682.0</v>
      </c>
      <c r="B365" s="123" t="s">
        <v>230</v>
      </c>
      <c r="C365" s="123" t="s">
        <v>704</v>
      </c>
      <c r="D365" s="36" t="s">
        <v>253</v>
      </c>
      <c r="E365" s="123" t="s">
        <v>362</v>
      </c>
      <c r="F365" s="123"/>
      <c r="G365" s="75">
        <v>2008.0</v>
      </c>
      <c r="H365" s="75">
        <v>0.0</v>
      </c>
      <c r="I365" s="75">
        <v>30.687</v>
      </c>
      <c r="J365" s="124">
        <v>0.4817023495</v>
      </c>
      <c r="K365" s="75">
        <v>14.782</v>
      </c>
      <c r="L365" s="125">
        <v>15.9588</v>
      </c>
      <c r="M365" s="125">
        <v>0.0</v>
      </c>
      <c r="N365" s="75">
        <v>13.0</v>
      </c>
      <c r="O365" s="75"/>
      <c r="P365" s="123" t="s">
        <v>74</v>
      </c>
      <c r="Q365" s="126">
        <f>19*10^3</f>
        <v>19000</v>
      </c>
      <c r="R365" s="123" t="s">
        <v>234</v>
      </c>
      <c r="S365" s="130">
        <v>2008.0</v>
      </c>
      <c r="T365" s="136">
        <v>0.315</v>
      </c>
      <c r="U365" s="128">
        <f t="shared" si="70"/>
        <v>5985</v>
      </c>
      <c r="V365" s="24">
        <f t="shared" si="3"/>
        <v>195.0337276</v>
      </c>
      <c r="W365" s="3">
        <f t="shared" si="29"/>
        <v>0</v>
      </c>
      <c r="X365" s="3">
        <f t="shared" si="30"/>
        <v>0</v>
      </c>
      <c r="Y365" s="3">
        <f t="shared" si="31"/>
        <v>0</v>
      </c>
      <c r="Z365" s="25">
        <f t="shared" si="32"/>
        <v>0</v>
      </c>
      <c r="AA365" s="26">
        <f>VLOOKUP(S365,CPI!$A$2:$E$67,5,0)</f>
        <v>1.415224126</v>
      </c>
      <c r="AB365" s="27">
        <f t="shared" si="8"/>
        <v>8470.116394</v>
      </c>
      <c r="AC365" s="27">
        <f t="shared" si="9"/>
        <v>276.0164367</v>
      </c>
    </row>
    <row r="366">
      <c r="A366" s="38">
        <v>7675.0</v>
      </c>
      <c r="B366" s="130" t="s">
        <v>230</v>
      </c>
      <c r="C366" s="130" t="s">
        <v>704</v>
      </c>
      <c r="D366" s="36" t="s">
        <v>228</v>
      </c>
      <c r="E366" s="130" t="s">
        <v>263</v>
      </c>
      <c r="F366" s="130">
        <v>2005.0</v>
      </c>
      <c r="G366" s="130">
        <v>2009.0</v>
      </c>
      <c r="H366" s="130">
        <v>0.0</v>
      </c>
      <c r="I366" s="130">
        <v>34.388</v>
      </c>
      <c r="J366" s="131">
        <v>1.0</v>
      </c>
      <c r="K366" s="130">
        <v>34.388</v>
      </c>
      <c r="L366" s="132">
        <v>0.0</v>
      </c>
      <c r="M366" s="132">
        <v>0.0</v>
      </c>
      <c r="N366" s="130">
        <v>28.0</v>
      </c>
      <c r="O366" s="138"/>
      <c r="P366" s="130" t="s">
        <v>74</v>
      </c>
      <c r="Q366" s="135">
        <f>18.7*10^3</f>
        <v>18700</v>
      </c>
      <c r="R366" s="130" t="s">
        <v>234</v>
      </c>
      <c r="S366" s="130">
        <v>2007.0</v>
      </c>
      <c r="T366" s="136">
        <v>0.333</v>
      </c>
      <c r="U366" s="128">
        <f t="shared" si="70"/>
        <v>6227.1</v>
      </c>
      <c r="V366" s="24">
        <f t="shared" si="3"/>
        <v>181.0835175</v>
      </c>
      <c r="W366" s="3">
        <f t="shared" si="29"/>
        <v>0</v>
      </c>
      <c r="X366" s="3">
        <f t="shared" si="30"/>
        <v>0</v>
      </c>
      <c r="Y366" s="3">
        <f t="shared" si="31"/>
        <v>0</v>
      </c>
      <c r="Z366" s="25">
        <f t="shared" si="32"/>
        <v>0</v>
      </c>
      <c r="AA366" s="26">
        <f>VLOOKUP(S366,CPI!$A$2:$E$67,5,0)</f>
        <v>1.469562366</v>
      </c>
      <c r="AB366" s="27">
        <f t="shared" si="8"/>
        <v>9151.111807</v>
      </c>
      <c r="AC366" s="27">
        <f t="shared" si="9"/>
        <v>266.1135224</v>
      </c>
    </row>
    <row r="367">
      <c r="A367" s="38">
        <v>7683.0</v>
      </c>
      <c r="B367" s="130" t="s">
        <v>230</v>
      </c>
      <c r="C367" s="130" t="s">
        <v>704</v>
      </c>
      <c r="D367" s="36" t="s">
        <v>253</v>
      </c>
      <c r="E367" s="130" t="s">
        <v>393</v>
      </c>
      <c r="F367" s="130">
        <v>2005.0</v>
      </c>
      <c r="G367" s="130">
        <v>2009.0</v>
      </c>
      <c r="H367" s="130">
        <v>0.0</v>
      </c>
      <c r="I367" s="130">
        <v>14.5</v>
      </c>
      <c r="J367" s="131">
        <v>1.0</v>
      </c>
      <c r="K367" s="130">
        <v>14.5</v>
      </c>
      <c r="L367" s="132">
        <v>0.0</v>
      </c>
      <c r="M367" s="132">
        <v>0.0</v>
      </c>
      <c r="N367" s="130">
        <v>10.0</v>
      </c>
      <c r="O367" s="138"/>
      <c r="P367" s="130" t="s">
        <v>74</v>
      </c>
      <c r="Q367" s="135">
        <f>8.94*10^3</f>
        <v>8940</v>
      </c>
      <c r="R367" s="130" t="s">
        <v>234</v>
      </c>
      <c r="S367" s="130">
        <v>2007.0</v>
      </c>
      <c r="T367" s="136">
        <v>0.333</v>
      </c>
      <c r="U367" s="128">
        <f t="shared" si="70"/>
        <v>2977.02</v>
      </c>
      <c r="V367" s="24">
        <f t="shared" si="3"/>
        <v>205.3117241</v>
      </c>
      <c r="W367" s="3">
        <f t="shared" si="29"/>
        <v>0</v>
      </c>
      <c r="X367" s="3">
        <f t="shared" si="30"/>
        <v>0</v>
      </c>
      <c r="Y367" s="3">
        <f t="shared" si="31"/>
        <v>0</v>
      </c>
      <c r="Z367" s="25">
        <f t="shared" si="32"/>
        <v>0</v>
      </c>
      <c r="AA367" s="26">
        <f>VLOOKUP(S367,CPI!$A$2:$E$67,5,0)</f>
        <v>1.469562366</v>
      </c>
      <c r="AB367" s="27">
        <f t="shared" si="8"/>
        <v>4374.916554</v>
      </c>
      <c r="AC367" s="27">
        <f t="shared" si="9"/>
        <v>301.718383</v>
      </c>
    </row>
    <row r="368">
      <c r="A368" s="38">
        <v>7691.0</v>
      </c>
      <c r="B368" s="130" t="s">
        <v>230</v>
      </c>
      <c r="C368" s="130" t="s">
        <v>704</v>
      </c>
      <c r="D368" s="36" t="s">
        <v>292</v>
      </c>
      <c r="E368" s="130" t="s">
        <v>622</v>
      </c>
      <c r="F368" s="130">
        <v>2007.0</v>
      </c>
      <c r="G368" s="130">
        <v>2009.0</v>
      </c>
      <c r="H368" s="130">
        <v>0.0</v>
      </c>
      <c r="I368" s="130">
        <v>46.008</v>
      </c>
      <c r="J368" s="131">
        <v>0.4711354547</v>
      </c>
      <c r="K368" s="130">
        <v>21.676</v>
      </c>
      <c r="L368" s="132">
        <v>24.3853</v>
      </c>
      <c r="M368" s="132">
        <v>0.0</v>
      </c>
      <c r="N368" s="130">
        <v>21.0</v>
      </c>
      <c r="O368" s="138"/>
      <c r="P368" s="130" t="s">
        <v>74</v>
      </c>
      <c r="Q368" s="135">
        <f>18.95*10^3</f>
        <v>18950</v>
      </c>
      <c r="R368" s="130" t="s">
        <v>234</v>
      </c>
      <c r="S368" s="130">
        <v>2008.0</v>
      </c>
      <c r="T368" s="136">
        <v>0.315</v>
      </c>
      <c r="U368" s="128">
        <f t="shared" si="70"/>
        <v>5969.25</v>
      </c>
      <c r="V368" s="24">
        <f t="shared" si="3"/>
        <v>129.7437402</v>
      </c>
      <c r="W368" s="3">
        <f t="shared" si="29"/>
        <v>0</v>
      </c>
      <c r="X368" s="3">
        <f t="shared" si="30"/>
        <v>0</v>
      </c>
      <c r="Y368" s="3">
        <f t="shared" si="31"/>
        <v>0</v>
      </c>
      <c r="Z368" s="25">
        <f t="shared" si="32"/>
        <v>0</v>
      </c>
      <c r="AA368" s="26">
        <f>VLOOKUP(S368,CPI!$A$2:$E$67,5,0)</f>
        <v>1.415224126</v>
      </c>
      <c r="AB368" s="27">
        <f t="shared" si="8"/>
        <v>8447.826614</v>
      </c>
      <c r="AC368" s="27">
        <f t="shared" si="9"/>
        <v>183.6164714</v>
      </c>
    </row>
    <row r="369">
      <c r="A369" s="170">
        <v>7681.0</v>
      </c>
      <c r="B369" s="123" t="s">
        <v>230</v>
      </c>
      <c r="C369" s="123" t="s">
        <v>704</v>
      </c>
      <c r="D369" s="36" t="s">
        <v>243</v>
      </c>
      <c r="E369" s="123" t="s">
        <v>373</v>
      </c>
      <c r="F369" s="123"/>
      <c r="G369" s="75">
        <v>2009.0</v>
      </c>
      <c r="H369" s="75">
        <v>0.0</v>
      </c>
      <c r="I369" s="75">
        <v>14.44</v>
      </c>
      <c r="J369" s="124">
        <f t="shared" ref="J369:J370" si="71">K369/I369</f>
        <v>0.5706371191</v>
      </c>
      <c r="K369" s="75">
        <v>8.24</v>
      </c>
      <c r="L369" s="125">
        <v>6.2092</v>
      </c>
      <c r="M369" s="125">
        <v>0.0</v>
      </c>
      <c r="N369" s="75">
        <v>8.0</v>
      </c>
      <c r="O369" s="75"/>
      <c r="P369" s="123" t="s">
        <v>74</v>
      </c>
      <c r="Q369" s="126">
        <f>5.332*10^3</f>
        <v>5332</v>
      </c>
      <c r="R369" s="123" t="s">
        <v>234</v>
      </c>
      <c r="S369" s="130">
        <v>2009.0</v>
      </c>
      <c r="T369" s="136">
        <v>0.317</v>
      </c>
      <c r="U369" s="118">
        <f t="shared" si="70"/>
        <v>1690.244</v>
      </c>
      <c r="V369" s="24">
        <f t="shared" si="3"/>
        <v>117.0529086</v>
      </c>
      <c r="W369" s="3">
        <f t="shared" si="29"/>
        <v>0</v>
      </c>
      <c r="X369" s="3">
        <f t="shared" si="30"/>
        <v>0</v>
      </c>
      <c r="Y369" s="3">
        <f t="shared" si="31"/>
        <v>0</v>
      </c>
      <c r="Z369" s="25">
        <f t="shared" si="32"/>
        <v>0</v>
      </c>
      <c r="AA369" s="26">
        <f>VLOOKUP(S369,CPI!$A$2:$E$67,5,0)</f>
        <v>1.420277155</v>
      </c>
      <c r="AB369" s="27">
        <f t="shared" si="8"/>
        <v>2400.61494</v>
      </c>
      <c r="AC369" s="27">
        <f t="shared" si="9"/>
        <v>166.247572</v>
      </c>
    </row>
    <row r="370">
      <c r="A370" s="170">
        <v>7858.0</v>
      </c>
      <c r="B370" s="123" t="s">
        <v>230</v>
      </c>
      <c r="C370" s="123" t="s">
        <v>704</v>
      </c>
      <c r="D370" s="36" t="s">
        <v>243</v>
      </c>
      <c r="E370" s="123" t="s">
        <v>379</v>
      </c>
      <c r="F370" s="123"/>
      <c r="G370" s="75">
        <v>2009.0</v>
      </c>
      <c r="H370" s="75">
        <v>0.0</v>
      </c>
      <c r="I370" s="75">
        <v>23.22</v>
      </c>
      <c r="J370" s="124">
        <f t="shared" si="71"/>
        <v>1</v>
      </c>
      <c r="K370" s="75">
        <v>23.22</v>
      </c>
      <c r="L370" s="125">
        <v>0.0</v>
      </c>
      <c r="M370" s="125">
        <v>0.0</v>
      </c>
      <c r="N370" s="75">
        <v>22.0</v>
      </c>
      <c r="O370" s="75"/>
      <c r="P370" s="123" t="s">
        <v>42</v>
      </c>
      <c r="Q370" s="126">
        <v>14493.0</v>
      </c>
      <c r="R370" s="123" t="s">
        <v>234</v>
      </c>
      <c r="S370" s="75">
        <v>2001.0</v>
      </c>
      <c r="T370" s="136">
        <v>0.368</v>
      </c>
      <c r="U370" s="128">
        <f t="shared" si="70"/>
        <v>5333.424</v>
      </c>
      <c r="V370" s="24">
        <f t="shared" si="3"/>
        <v>229.6909561</v>
      </c>
      <c r="W370" s="3">
        <f t="shared" si="29"/>
        <v>0</v>
      </c>
      <c r="X370" s="3">
        <f t="shared" si="30"/>
        <v>0</v>
      </c>
      <c r="Y370" s="3">
        <f t="shared" si="31"/>
        <v>0</v>
      </c>
      <c r="Z370" s="25">
        <f t="shared" si="32"/>
        <v>0</v>
      </c>
      <c r="AA370" s="26">
        <f>VLOOKUP(S370,CPI!$A$2:$E$67,5,0)</f>
        <v>1.720508187</v>
      </c>
      <c r="AB370" s="27">
        <f t="shared" si="8"/>
        <v>9176.199659</v>
      </c>
      <c r="AC370" s="27">
        <f t="shared" si="9"/>
        <v>395.1851705</v>
      </c>
    </row>
    <row r="371">
      <c r="A371" s="38">
        <v>7690.0</v>
      </c>
      <c r="B371" s="130" t="s">
        <v>230</v>
      </c>
      <c r="C371" s="130" t="s">
        <v>704</v>
      </c>
      <c r="D371" s="36" t="s">
        <v>239</v>
      </c>
      <c r="E371" s="130" t="s">
        <v>356</v>
      </c>
      <c r="F371" s="130">
        <v>2005.0</v>
      </c>
      <c r="G371" s="130">
        <v>2010.0</v>
      </c>
      <c r="H371" s="130">
        <v>0.0</v>
      </c>
      <c r="I371" s="130">
        <v>36.221</v>
      </c>
      <c r="J371" s="131">
        <v>1.0</v>
      </c>
      <c r="K371" s="130">
        <v>36.221</v>
      </c>
      <c r="L371" s="132">
        <v>0.0</v>
      </c>
      <c r="M371" s="132">
        <v>0.0</v>
      </c>
      <c r="N371" s="130">
        <v>31.0</v>
      </c>
      <c r="O371" s="133">
        <v>138.0</v>
      </c>
      <c r="P371" s="130" t="s">
        <v>74</v>
      </c>
      <c r="Q371" s="135">
        <f>23.784*10^3</f>
        <v>23784</v>
      </c>
      <c r="R371" s="130" t="s">
        <v>234</v>
      </c>
      <c r="S371" s="130">
        <v>2007.0</v>
      </c>
      <c r="T371" s="136">
        <v>0.333</v>
      </c>
      <c r="U371" s="128">
        <f t="shared" si="70"/>
        <v>7920.072</v>
      </c>
      <c r="V371" s="24">
        <f t="shared" si="3"/>
        <v>218.6596726</v>
      </c>
      <c r="W371" s="3">
        <f t="shared" si="29"/>
        <v>0</v>
      </c>
      <c r="X371" s="3">
        <f t="shared" si="30"/>
        <v>0</v>
      </c>
      <c r="Y371" s="3">
        <f t="shared" si="31"/>
        <v>0</v>
      </c>
      <c r="Z371" s="25">
        <f t="shared" si="32"/>
        <v>0</v>
      </c>
      <c r="AA371" s="26">
        <f>VLOOKUP(S371,CPI!$A$2:$E$67,5,0)</f>
        <v>1.469562366</v>
      </c>
      <c r="AB371" s="27">
        <f t="shared" si="8"/>
        <v>11639.03974</v>
      </c>
      <c r="AC371" s="27">
        <f t="shared" si="9"/>
        <v>321.3340257</v>
      </c>
    </row>
    <row r="372">
      <c r="A372" s="38">
        <v>7664.0</v>
      </c>
      <c r="B372" s="130" t="s">
        <v>230</v>
      </c>
      <c r="C372" s="130" t="s">
        <v>704</v>
      </c>
      <c r="D372" s="36" t="s">
        <v>54</v>
      </c>
      <c r="E372" s="130" t="s">
        <v>719</v>
      </c>
      <c r="F372" s="130">
        <v>2006.0</v>
      </c>
      <c r="G372" s="130">
        <v>2010.0</v>
      </c>
      <c r="H372" s="130">
        <v>0.0</v>
      </c>
      <c r="I372" s="130">
        <v>30.8</v>
      </c>
      <c r="J372" s="131">
        <f>215/308</f>
        <v>0.6980519481</v>
      </c>
      <c r="K372" s="130">
        <v>21.5</v>
      </c>
      <c r="L372" s="132">
        <v>8.565</v>
      </c>
      <c r="M372" s="132">
        <v>0.983</v>
      </c>
      <c r="N372" s="130">
        <v>10.0</v>
      </c>
      <c r="O372" s="138"/>
      <c r="P372" s="130" t="s">
        <v>59</v>
      </c>
      <c r="Q372" s="135">
        <f>11.032*10^3</f>
        <v>11032</v>
      </c>
      <c r="R372" s="130" t="s">
        <v>234</v>
      </c>
      <c r="S372" s="130">
        <v>2008.0</v>
      </c>
      <c r="T372" s="136">
        <v>0.315</v>
      </c>
      <c r="U372" s="128">
        <f t="shared" si="70"/>
        <v>3475.08</v>
      </c>
      <c r="V372" s="24">
        <f t="shared" si="3"/>
        <v>112.8272727</v>
      </c>
      <c r="W372" s="3">
        <f t="shared" si="29"/>
        <v>0</v>
      </c>
      <c r="X372" s="3">
        <f t="shared" si="30"/>
        <v>0</v>
      </c>
      <c r="Y372" s="3">
        <f t="shared" si="31"/>
        <v>0</v>
      </c>
      <c r="Z372" s="25">
        <f t="shared" si="32"/>
        <v>0</v>
      </c>
      <c r="AA372" s="26">
        <f>VLOOKUP(S372,CPI!$A$2:$E$67,5,0)</f>
        <v>1.415224126</v>
      </c>
      <c r="AB372" s="27">
        <f t="shared" si="8"/>
        <v>4918.017056</v>
      </c>
      <c r="AC372" s="27">
        <f t="shared" si="9"/>
        <v>159.6758784</v>
      </c>
    </row>
    <row r="373">
      <c r="A373" s="38">
        <v>7665.0</v>
      </c>
      <c r="B373" s="123" t="s">
        <v>230</v>
      </c>
      <c r="C373" s="123" t="s">
        <v>704</v>
      </c>
      <c r="D373" s="36" t="s">
        <v>54</v>
      </c>
      <c r="E373" s="123" t="s">
        <v>720</v>
      </c>
      <c r="F373" s="123"/>
      <c r="G373" s="75">
        <v>2010.0</v>
      </c>
      <c r="H373" s="75">
        <v>0.0</v>
      </c>
      <c r="I373" s="75">
        <v>8.53</v>
      </c>
      <c r="J373" s="155"/>
      <c r="K373" s="123"/>
      <c r="L373" s="125" t="e">
        <v>#N/A</v>
      </c>
      <c r="M373" s="125" t="e">
        <v>#N/A</v>
      </c>
      <c r="N373" s="75">
        <v>3.0</v>
      </c>
      <c r="O373" s="75"/>
      <c r="P373" s="123" t="s">
        <v>74</v>
      </c>
      <c r="Q373" s="126">
        <f>2.5*10^3</f>
        <v>2500</v>
      </c>
      <c r="R373" s="123" t="s">
        <v>234</v>
      </c>
      <c r="S373" s="142">
        <v>2010.0</v>
      </c>
      <c r="T373" s="136">
        <v>0.3</v>
      </c>
      <c r="U373" s="128">
        <f t="shared" si="70"/>
        <v>750</v>
      </c>
      <c r="V373" s="24">
        <f t="shared" si="3"/>
        <v>87.92497069</v>
      </c>
      <c r="W373" s="3">
        <f t="shared" si="29"/>
        <v>0</v>
      </c>
      <c r="X373" s="3">
        <f t="shared" si="30"/>
        <v>0</v>
      </c>
      <c r="Y373" s="3">
        <f t="shared" si="31"/>
        <v>0</v>
      </c>
      <c r="Z373" s="25">
        <f t="shared" si="32"/>
        <v>0</v>
      </c>
      <c r="AA373" s="26">
        <f>VLOOKUP(S373,CPI!$A$2:$E$67,5,0)</f>
        <v>1.397356642</v>
      </c>
      <c r="AB373" s="27">
        <f t="shared" si="8"/>
        <v>1048.017482</v>
      </c>
      <c r="AC373" s="27">
        <f t="shared" si="9"/>
        <v>122.8625418</v>
      </c>
    </row>
    <row r="374">
      <c r="A374" s="38">
        <v>8113.0</v>
      </c>
      <c r="B374" s="130" t="s">
        <v>230</v>
      </c>
      <c r="C374" s="130" t="s">
        <v>704</v>
      </c>
      <c r="D374" s="130" t="s">
        <v>80</v>
      </c>
      <c r="E374" s="130" t="s">
        <v>80</v>
      </c>
      <c r="F374" s="130">
        <v>2002.0</v>
      </c>
      <c r="G374" s="130">
        <v>2011.0</v>
      </c>
      <c r="H374" s="130">
        <v>0.0</v>
      </c>
      <c r="I374" s="130">
        <v>33.09</v>
      </c>
      <c r="J374" s="131">
        <v>0.6361438501</v>
      </c>
      <c r="K374" s="130">
        <v>21.05</v>
      </c>
      <c r="L374" s="132">
        <v>11.845</v>
      </c>
      <c r="M374" s="132">
        <v>0.3983</v>
      </c>
      <c r="N374" s="130">
        <v>28.0</v>
      </c>
      <c r="O374" s="138"/>
      <c r="P374" s="130" t="s">
        <v>60</v>
      </c>
      <c r="Q374" s="135">
        <v>12000.0</v>
      </c>
      <c r="R374" s="130" t="s">
        <v>234</v>
      </c>
      <c r="S374" s="130">
        <v>2002.0</v>
      </c>
      <c r="T374" s="136">
        <v>0.372</v>
      </c>
      <c r="U374" s="128">
        <f>T374*Q374</f>
        <v>4464</v>
      </c>
      <c r="V374" s="24">
        <f t="shared" si="3"/>
        <v>134.9048051</v>
      </c>
      <c r="W374" s="3">
        <f t="shared" si="29"/>
        <v>0</v>
      </c>
      <c r="X374" s="3">
        <f t="shared" si="30"/>
        <v>0</v>
      </c>
      <c r="Y374" s="3">
        <f t="shared" si="31"/>
        <v>0</v>
      </c>
      <c r="Z374" s="25">
        <f t="shared" si="32"/>
        <v>0</v>
      </c>
      <c r="AA374" s="26">
        <f>VLOOKUP(S374,CPI!$A$2:$E$67,5,0)</f>
        <v>1.69372985</v>
      </c>
      <c r="AB374" s="27">
        <f t="shared" si="8"/>
        <v>7560.81005</v>
      </c>
      <c r="AC374" s="27">
        <f t="shared" si="9"/>
        <v>228.4922953</v>
      </c>
    </row>
    <row r="375">
      <c r="A375" s="38">
        <v>7680.0</v>
      </c>
      <c r="B375" s="130" t="s">
        <v>230</v>
      </c>
      <c r="C375" s="130" t="s">
        <v>704</v>
      </c>
      <c r="D375" s="36" t="s">
        <v>228</v>
      </c>
      <c r="E375" s="130" t="s">
        <v>722</v>
      </c>
      <c r="F375" s="130">
        <v>2009.0</v>
      </c>
      <c r="G375" s="130">
        <v>2011.0</v>
      </c>
      <c r="H375" s="130">
        <v>0.0</v>
      </c>
      <c r="I375" s="130">
        <v>9.978</v>
      </c>
      <c r="J375" s="131">
        <v>0.7025456003</v>
      </c>
      <c r="K375" s="130">
        <v>7.01</v>
      </c>
      <c r="L375" s="132">
        <v>2.515</v>
      </c>
      <c r="M375" s="132">
        <v>0.479</v>
      </c>
      <c r="N375" s="130">
        <v>5.0</v>
      </c>
      <c r="O375" s="138"/>
      <c r="P375" s="130" t="s">
        <v>74</v>
      </c>
      <c r="Q375" s="135">
        <f>3.157*10^3</f>
        <v>3157</v>
      </c>
      <c r="R375" s="130" t="s">
        <v>234</v>
      </c>
      <c r="S375" s="130">
        <v>2010.0</v>
      </c>
      <c r="T375" s="136">
        <v>0.3</v>
      </c>
      <c r="U375" s="128">
        <f t="shared" ref="U375:U378" si="72">Q375*T375</f>
        <v>947.1</v>
      </c>
      <c r="V375" s="24">
        <f t="shared" si="3"/>
        <v>94.91882141</v>
      </c>
      <c r="W375" s="3">
        <f t="shared" si="29"/>
        <v>0</v>
      </c>
      <c r="X375" s="3">
        <f t="shared" si="30"/>
        <v>0</v>
      </c>
      <c r="Y375" s="3">
        <f t="shared" si="31"/>
        <v>0</v>
      </c>
      <c r="Z375" s="25">
        <f t="shared" si="32"/>
        <v>0</v>
      </c>
      <c r="AA375" s="26">
        <f>VLOOKUP(S375,CPI!$A$2:$E$67,5,0)</f>
        <v>1.397356642</v>
      </c>
      <c r="AB375" s="27">
        <f t="shared" si="8"/>
        <v>1323.436476</v>
      </c>
      <c r="AC375" s="27">
        <f t="shared" si="9"/>
        <v>132.6354456</v>
      </c>
    </row>
    <row r="376">
      <c r="A376" s="38">
        <v>7688.0</v>
      </c>
      <c r="B376" s="130" t="s">
        <v>230</v>
      </c>
      <c r="C376" s="130" t="s">
        <v>704</v>
      </c>
      <c r="D376" s="36" t="s">
        <v>253</v>
      </c>
      <c r="E376" s="130" t="s">
        <v>723</v>
      </c>
      <c r="F376" s="130">
        <v>2009.0</v>
      </c>
      <c r="G376" s="130">
        <v>2012.0</v>
      </c>
      <c r="H376" s="130">
        <v>0.0</v>
      </c>
      <c r="I376" s="130">
        <v>5.372</v>
      </c>
      <c r="J376" s="131">
        <v>1.0</v>
      </c>
      <c r="K376" s="130">
        <v>5.372</v>
      </c>
      <c r="L376" s="132">
        <v>0.0</v>
      </c>
      <c r="M376" s="132">
        <v>0.0</v>
      </c>
      <c r="N376" s="130"/>
      <c r="O376" s="138"/>
      <c r="P376" s="130" t="s">
        <v>74</v>
      </c>
      <c r="Q376" s="135">
        <f>2.8*10^3</f>
        <v>2800</v>
      </c>
      <c r="R376" s="130" t="s">
        <v>234</v>
      </c>
      <c r="S376" s="130">
        <v>2010.0</v>
      </c>
      <c r="T376" s="136">
        <v>0.3</v>
      </c>
      <c r="U376" s="128">
        <f t="shared" si="72"/>
        <v>840</v>
      </c>
      <c r="V376" s="24">
        <f t="shared" si="3"/>
        <v>156.366344</v>
      </c>
      <c r="W376" s="3">
        <f t="shared" si="29"/>
        <v>0</v>
      </c>
      <c r="X376" s="3">
        <f t="shared" si="30"/>
        <v>0</v>
      </c>
      <c r="Y376" s="3">
        <f t="shared" si="31"/>
        <v>0</v>
      </c>
      <c r="Z376" s="25">
        <f t="shared" si="32"/>
        <v>0</v>
      </c>
      <c r="AA376" s="26">
        <f>VLOOKUP(S376,CPI!$A$2:$E$67,5,0)</f>
        <v>1.397356642</v>
      </c>
      <c r="AB376" s="27">
        <f t="shared" si="8"/>
        <v>1173.77958</v>
      </c>
      <c r="AC376" s="27">
        <f t="shared" si="9"/>
        <v>218.4995494</v>
      </c>
    </row>
    <row r="377">
      <c r="A377" s="38">
        <v>7696.0</v>
      </c>
      <c r="B377" s="123" t="s">
        <v>230</v>
      </c>
      <c r="C377" s="123" t="s">
        <v>704</v>
      </c>
      <c r="D377" s="36" t="s">
        <v>292</v>
      </c>
      <c r="E377" s="123" t="s">
        <v>724</v>
      </c>
      <c r="F377" s="123"/>
      <c r="G377" s="75">
        <v>2013.0</v>
      </c>
      <c r="H377" s="75">
        <v>0.0</v>
      </c>
      <c r="I377" s="75">
        <v>22.886</v>
      </c>
      <c r="J377" s="155"/>
      <c r="K377" s="123"/>
      <c r="L377" s="125" t="e">
        <v>#N/A</v>
      </c>
      <c r="M377" s="125" t="e">
        <v>#N/A</v>
      </c>
      <c r="N377" s="75">
        <v>13.0</v>
      </c>
      <c r="O377" s="75"/>
      <c r="P377" s="123" t="s">
        <v>74</v>
      </c>
      <c r="Q377" s="126">
        <f>12.965*10^3</f>
        <v>12965</v>
      </c>
      <c r="R377" s="123" t="s">
        <v>234</v>
      </c>
      <c r="S377" s="130">
        <v>2013.0</v>
      </c>
      <c r="T377" s="136">
        <v>0.273</v>
      </c>
      <c r="U377" s="128">
        <f t="shared" si="72"/>
        <v>3539.445</v>
      </c>
      <c r="V377" s="24">
        <f t="shared" si="3"/>
        <v>154.6554662</v>
      </c>
      <c r="W377" s="3">
        <f t="shared" si="29"/>
        <v>0</v>
      </c>
      <c r="X377" s="3">
        <f t="shared" si="30"/>
        <v>0</v>
      </c>
      <c r="Y377" s="3">
        <f t="shared" si="31"/>
        <v>0</v>
      </c>
      <c r="Z377" s="25">
        <f t="shared" si="32"/>
        <v>0</v>
      </c>
      <c r="AA377" s="26">
        <f>VLOOKUP(S377,CPI!$A$2:$E$67,5,0)</f>
        <v>1.307975292</v>
      </c>
      <c r="AB377" s="27">
        <f t="shared" si="8"/>
        <v>4629.506606</v>
      </c>
      <c r="AC377" s="27">
        <f t="shared" si="9"/>
        <v>202.2855285</v>
      </c>
    </row>
    <row r="378">
      <c r="A378" s="38">
        <v>7697.0</v>
      </c>
      <c r="B378" s="123" t="s">
        <v>230</v>
      </c>
      <c r="C378" s="123" t="s">
        <v>704</v>
      </c>
      <c r="D378" s="36" t="s">
        <v>292</v>
      </c>
      <c r="E378" s="123" t="s">
        <v>725</v>
      </c>
      <c r="F378" s="123"/>
      <c r="G378" s="75">
        <v>2013.0</v>
      </c>
      <c r="H378" s="75">
        <v>0.0</v>
      </c>
      <c r="I378" s="75">
        <v>6.0</v>
      </c>
      <c r="J378" s="124">
        <v>0.0</v>
      </c>
      <c r="K378" s="75">
        <v>0.0</v>
      </c>
      <c r="L378" s="125">
        <v>6.0</v>
      </c>
      <c r="M378" s="125">
        <v>0.0</v>
      </c>
      <c r="N378" s="75">
        <v>3.0</v>
      </c>
      <c r="O378" s="75"/>
      <c r="P378" s="123" t="s">
        <v>74</v>
      </c>
      <c r="Q378" s="126">
        <f>1.849*10^3</f>
        <v>1849</v>
      </c>
      <c r="R378" s="123" t="s">
        <v>234</v>
      </c>
      <c r="S378" s="130">
        <v>2013.0</v>
      </c>
      <c r="T378" s="136">
        <v>0.273</v>
      </c>
      <c r="U378" s="128">
        <f t="shared" si="72"/>
        <v>504.777</v>
      </c>
      <c r="V378" s="24">
        <f t="shared" si="3"/>
        <v>84.1295</v>
      </c>
      <c r="W378" s="3">
        <f t="shared" si="29"/>
        <v>0</v>
      </c>
      <c r="X378" s="3">
        <f t="shared" si="30"/>
        <v>0</v>
      </c>
      <c r="Y378" s="3">
        <f t="shared" si="31"/>
        <v>0</v>
      </c>
      <c r="Z378" s="25">
        <f t="shared" si="32"/>
        <v>0</v>
      </c>
      <c r="AA378" s="26">
        <f>VLOOKUP(S378,CPI!$A$2:$E$67,5,0)</f>
        <v>1.307975292</v>
      </c>
      <c r="AB378" s="27">
        <f t="shared" si="8"/>
        <v>660.2358438</v>
      </c>
      <c r="AC378" s="27">
        <f t="shared" si="9"/>
        <v>110.0393073</v>
      </c>
    </row>
    <row r="379">
      <c r="A379" s="14">
        <v>9467.0</v>
      </c>
      <c r="B379" s="22" t="s">
        <v>230</v>
      </c>
      <c r="C379" s="22" t="s">
        <v>704</v>
      </c>
      <c r="D379" s="22" t="s">
        <v>283</v>
      </c>
      <c r="E379" s="22" t="s">
        <v>283</v>
      </c>
      <c r="F379" s="17">
        <v>2010.0</v>
      </c>
      <c r="G379" s="17">
        <v>2014.0</v>
      </c>
      <c r="H379" s="17">
        <v>0.0</v>
      </c>
      <c r="I379" s="17">
        <v>58.96</v>
      </c>
      <c r="J379" s="19">
        <f>K379/I379</f>
        <v>0.2321913161</v>
      </c>
      <c r="K379" s="17">
        <v>13.69</v>
      </c>
      <c r="L379" s="213">
        <v>45.3992</v>
      </c>
      <c r="M379" s="213">
        <v>0.0</v>
      </c>
      <c r="N379" s="22"/>
      <c r="O379" s="17"/>
      <c r="P379" s="22" t="s">
        <v>42</v>
      </c>
      <c r="Q379" s="23">
        <v>18160.0</v>
      </c>
      <c r="R379" s="22" t="s">
        <v>234</v>
      </c>
      <c r="S379" s="17">
        <v>2010.0</v>
      </c>
      <c r="T379" s="136">
        <v>0.3</v>
      </c>
      <c r="U379" s="3">
        <f t="shared" ref="U379:U380" si="73">T379*Q379</f>
        <v>5448</v>
      </c>
      <c r="V379" s="24">
        <f t="shared" si="3"/>
        <v>92.40162822</v>
      </c>
      <c r="W379" s="3">
        <f t="shared" si="29"/>
        <v>0</v>
      </c>
      <c r="X379" s="3">
        <f t="shared" si="30"/>
        <v>0</v>
      </c>
      <c r="Y379" s="3">
        <f t="shared" si="31"/>
        <v>0</v>
      </c>
      <c r="Z379" s="25">
        <f t="shared" si="32"/>
        <v>0</v>
      </c>
      <c r="AA379" s="26">
        <f>VLOOKUP(S379,CPI!$A$2:$E$67,5,0)</f>
        <v>1.397356642</v>
      </c>
      <c r="AB379" s="27">
        <f t="shared" si="8"/>
        <v>7612.798987</v>
      </c>
      <c r="AC379" s="27">
        <f t="shared" si="9"/>
        <v>129.118029</v>
      </c>
    </row>
    <row r="380">
      <c r="A380" s="38">
        <v>8105.0</v>
      </c>
      <c r="B380" s="130" t="s">
        <v>230</v>
      </c>
      <c r="C380" s="130" t="s">
        <v>704</v>
      </c>
      <c r="D380" s="36" t="s">
        <v>292</v>
      </c>
      <c r="E380" s="130" t="s">
        <v>727</v>
      </c>
      <c r="F380" s="130"/>
      <c r="G380" s="130">
        <v>2016.0</v>
      </c>
      <c r="H380" s="130">
        <v>0.0</v>
      </c>
      <c r="I380" s="130">
        <v>9.15</v>
      </c>
      <c r="J380" s="131">
        <v>0.1595628415</v>
      </c>
      <c r="K380" s="130">
        <v>1.46</v>
      </c>
      <c r="L380" s="132">
        <v>7.73</v>
      </c>
      <c r="M380" s="132">
        <v>0.0475</v>
      </c>
      <c r="N380" s="130">
        <v>3.0</v>
      </c>
      <c r="O380" s="138"/>
      <c r="P380" s="130" t="s">
        <v>42</v>
      </c>
      <c r="Q380" s="135">
        <v>4371.0</v>
      </c>
      <c r="R380" s="130" t="s">
        <v>234</v>
      </c>
      <c r="S380" s="130">
        <v>2012.0</v>
      </c>
      <c r="T380" s="136">
        <v>0.2808</v>
      </c>
      <c r="U380" s="128">
        <f t="shared" si="73"/>
        <v>1227.3768</v>
      </c>
      <c r="V380" s="24">
        <f t="shared" si="3"/>
        <v>134.139541</v>
      </c>
      <c r="W380" s="3">
        <f t="shared" si="29"/>
        <v>0</v>
      </c>
      <c r="X380" s="3">
        <f t="shared" si="30"/>
        <v>0</v>
      </c>
      <c r="Y380" s="3">
        <f t="shared" si="31"/>
        <v>0</v>
      </c>
      <c r="Z380" s="25">
        <f t="shared" si="32"/>
        <v>0</v>
      </c>
      <c r="AA380" s="26">
        <f>VLOOKUP(S380,CPI!$A$2:$E$67,5,0)</f>
        <v>1.327133984</v>
      </c>
      <c r="AB380" s="27">
        <f t="shared" si="8"/>
        <v>1628.893463</v>
      </c>
      <c r="AC380" s="27">
        <f t="shared" si="9"/>
        <v>178.0211435</v>
      </c>
    </row>
    <row r="381">
      <c r="A381" s="38">
        <v>7689.0</v>
      </c>
      <c r="B381" s="72" t="s">
        <v>230</v>
      </c>
      <c r="C381" s="72" t="s">
        <v>704</v>
      </c>
      <c r="D381" s="115" t="s">
        <v>253</v>
      </c>
      <c r="E381" s="115" t="s">
        <v>728</v>
      </c>
      <c r="F381" s="69">
        <v>2013.0</v>
      </c>
      <c r="G381" s="69">
        <v>2017.0</v>
      </c>
      <c r="H381" s="69">
        <v>0.0</v>
      </c>
      <c r="I381" s="69">
        <v>13.828</v>
      </c>
      <c r="J381" s="117">
        <v>1.0</v>
      </c>
      <c r="K381" s="69">
        <v>13.828</v>
      </c>
      <c r="L381" s="72"/>
      <c r="M381" s="72"/>
      <c r="N381" s="69">
        <v>9.0</v>
      </c>
      <c r="O381" s="70">
        <v>138.0</v>
      </c>
      <c r="P381" s="72"/>
      <c r="Q381" s="140">
        <v>12713.0</v>
      </c>
      <c r="R381" s="72" t="s">
        <v>234</v>
      </c>
      <c r="S381" s="115">
        <v>2015.0</v>
      </c>
      <c r="T381" s="136">
        <v>0.258</v>
      </c>
      <c r="U381" s="118">
        <f t="shared" ref="U381:U382" si="74">Q381*T381</f>
        <v>3279.954</v>
      </c>
      <c r="V381" s="24">
        <f t="shared" si="3"/>
        <v>237.1965577</v>
      </c>
      <c r="W381" s="3">
        <f t="shared" si="29"/>
        <v>0</v>
      </c>
      <c r="X381" s="3">
        <f t="shared" si="30"/>
        <v>0</v>
      </c>
      <c r="Y381" s="3">
        <f t="shared" si="31"/>
        <v>0</v>
      </c>
      <c r="Z381" s="25">
        <f t="shared" si="32"/>
        <v>0</v>
      </c>
      <c r="AA381" s="26">
        <f>VLOOKUP(S381,CPI!$A$2:$E$67,5,0)</f>
        <v>1.285570233</v>
      </c>
      <c r="AB381" s="27">
        <f t="shared" si="8"/>
        <v>4216.611229</v>
      </c>
      <c r="AC381" s="27">
        <f t="shared" si="9"/>
        <v>304.932834</v>
      </c>
    </row>
    <row r="382">
      <c r="A382" s="38">
        <v>7674.0</v>
      </c>
      <c r="B382" s="130" t="s">
        <v>230</v>
      </c>
      <c r="C382" s="130" t="s">
        <v>704</v>
      </c>
      <c r="D382" s="36" t="s">
        <v>84</v>
      </c>
      <c r="E382" s="130" t="s">
        <v>731</v>
      </c>
      <c r="F382" s="130">
        <v>2014.0</v>
      </c>
      <c r="G382" s="130">
        <v>2018.0</v>
      </c>
      <c r="H382" s="130">
        <v>0.0</v>
      </c>
      <c r="I382" s="130">
        <v>19.628</v>
      </c>
      <c r="J382" s="131">
        <v>0.3946912574</v>
      </c>
      <c r="K382" s="130">
        <v>7.747</v>
      </c>
      <c r="L382" s="132">
        <v>11.9743</v>
      </c>
      <c r="M382" s="132">
        <v>0.0</v>
      </c>
      <c r="N382" s="130">
        <v>9.0</v>
      </c>
      <c r="O382" s="138"/>
      <c r="P382" s="130" t="s">
        <v>74</v>
      </c>
      <c r="Q382" s="135">
        <f>10.619*10^3</f>
        <v>10619</v>
      </c>
      <c r="R382" s="130" t="s">
        <v>234</v>
      </c>
      <c r="S382" s="130">
        <v>2016.0</v>
      </c>
      <c r="T382" s="136">
        <v>0.251</v>
      </c>
      <c r="U382" s="128">
        <f t="shared" si="74"/>
        <v>2665.369</v>
      </c>
      <c r="V382" s="24">
        <f t="shared" si="3"/>
        <v>135.7942225</v>
      </c>
      <c r="W382" s="3">
        <f t="shared" si="29"/>
        <v>0</v>
      </c>
      <c r="X382" s="3">
        <f t="shared" si="30"/>
        <v>0</v>
      </c>
      <c r="Y382" s="3">
        <f t="shared" si="31"/>
        <v>0</v>
      </c>
      <c r="Z382" s="25">
        <f t="shared" si="32"/>
        <v>0</v>
      </c>
      <c r="AA382" s="26">
        <f>VLOOKUP(S382,CPI!$A$2:$E$67,5,0)</f>
        <v>1.269554638</v>
      </c>
      <c r="AB382" s="27">
        <f t="shared" si="8"/>
        <v>3383.831576</v>
      </c>
      <c r="AC382" s="27">
        <f t="shared" si="9"/>
        <v>172.398185</v>
      </c>
    </row>
    <row r="383">
      <c r="A383" s="38">
        <v>8136.0</v>
      </c>
      <c r="B383" s="130" t="s">
        <v>230</v>
      </c>
      <c r="C383" s="130" t="s">
        <v>704</v>
      </c>
      <c r="D383" s="36" t="s">
        <v>243</v>
      </c>
      <c r="E383" s="130" t="s">
        <v>732</v>
      </c>
      <c r="F383" s="130">
        <v>2016.0</v>
      </c>
      <c r="G383" s="130">
        <v>2018.0</v>
      </c>
      <c r="H383" s="130">
        <v>0.0</v>
      </c>
      <c r="I383" s="130">
        <v>6.689</v>
      </c>
      <c r="J383" s="131">
        <v>0.0</v>
      </c>
      <c r="K383" s="130">
        <v>0.0</v>
      </c>
      <c r="L383" s="132">
        <v>6.65</v>
      </c>
      <c r="M383" s="132">
        <v>0.04</v>
      </c>
      <c r="N383" s="130">
        <v>6.0</v>
      </c>
      <c r="O383" s="138"/>
      <c r="P383" s="130" t="s">
        <v>42</v>
      </c>
      <c r="Q383" s="135">
        <v>3177.0</v>
      </c>
      <c r="R383" s="130" t="s">
        <v>234</v>
      </c>
      <c r="S383" s="130">
        <v>2015.0</v>
      </c>
      <c r="T383" s="136">
        <v>0.258</v>
      </c>
      <c r="U383" s="128">
        <f>T383*Q383</f>
        <v>819.666</v>
      </c>
      <c r="V383" s="24">
        <f t="shared" si="3"/>
        <v>122.539393</v>
      </c>
      <c r="W383" s="3">
        <f t="shared" si="29"/>
        <v>0</v>
      </c>
      <c r="X383" s="3">
        <f t="shared" si="30"/>
        <v>0</v>
      </c>
      <c r="Y383" s="3">
        <f t="shared" si="31"/>
        <v>0</v>
      </c>
      <c r="Z383" s="25">
        <f t="shared" si="32"/>
        <v>0</v>
      </c>
      <c r="AA383" s="26">
        <f>VLOOKUP(S383,CPI!$A$2:$E$67,5,0)</f>
        <v>1.285570233</v>
      </c>
      <c r="AB383" s="27">
        <f t="shared" si="8"/>
        <v>1053.738211</v>
      </c>
      <c r="AC383" s="27">
        <f t="shared" si="9"/>
        <v>157.5329961</v>
      </c>
    </row>
    <row r="384">
      <c r="A384" s="14">
        <v>9462.0</v>
      </c>
      <c r="B384" s="72" t="s">
        <v>230</v>
      </c>
      <c r="C384" s="72" t="s">
        <v>704</v>
      </c>
      <c r="D384" s="72" t="s">
        <v>267</v>
      </c>
      <c r="E384" s="72" t="s">
        <v>267</v>
      </c>
      <c r="F384" s="69">
        <v>2014.0</v>
      </c>
      <c r="G384" s="69">
        <v>2021.0</v>
      </c>
      <c r="H384" s="69">
        <v>0.0</v>
      </c>
      <c r="I384" s="69">
        <v>38.15</v>
      </c>
      <c r="J384" s="117">
        <v>1.0</v>
      </c>
      <c r="K384" s="69">
        <v>38.15</v>
      </c>
      <c r="L384" s="72"/>
      <c r="M384" s="72"/>
      <c r="N384" s="69">
        <v>31.0</v>
      </c>
      <c r="O384" s="69">
        <v>184.0</v>
      </c>
      <c r="P384" s="72"/>
      <c r="Q384" s="140">
        <v>58073.0</v>
      </c>
      <c r="R384" s="72" t="s">
        <v>234</v>
      </c>
      <c r="S384" s="115">
        <v>2021.0</v>
      </c>
      <c r="T384" s="136">
        <v>0.239</v>
      </c>
      <c r="U384" s="118">
        <f t="shared" ref="U384:U389" si="75">Q384*T384</f>
        <v>13879.447</v>
      </c>
      <c r="V384" s="24">
        <f t="shared" si="3"/>
        <v>363.8125033</v>
      </c>
      <c r="W384" s="3">
        <f t="shared" si="29"/>
        <v>0</v>
      </c>
      <c r="X384" s="3">
        <f t="shared" si="30"/>
        <v>0</v>
      </c>
      <c r="Y384" s="3">
        <f t="shared" si="31"/>
        <v>0</v>
      </c>
      <c r="Z384" s="25">
        <f t="shared" si="32"/>
        <v>0</v>
      </c>
      <c r="AA384" s="26">
        <f>VLOOKUP(S384,CPI!$A$2:$E$67,5,0)</f>
        <v>1.124486105</v>
      </c>
      <c r="AB384" s="27">
        <f t="shared" si="8"/>
        <v>15607.2453</v>
      </c>
      <c r="AC384" s="27">
        <f t="shared" si="9"/>
        <v>409.1021049</v>
      </c>
    </row>
    <row r="385">
      <c r="A385" s="14">
        <v>9461.0</v>
      </c>
      <c r="B385" s="74" t="s">
        <v>230</v>
      </c>
      <c r="C385" s="72" t="s">
        <v>704</v>
      </c>
      <c r="D385" s="72" t="s">
        <v>260</v>
      </c>
      <c r="E385" s="72" t="s">
        <v>260</v>
      </c>
      <c r="F385" s="69">
        <v>2016.0</v>
      </c>
      <c r="G385" s="69">
        <v>2021.0</v>
      </c>
      <c r="H385" s="69">
        <v>0.0</v>
      </c>
      <c r="I385" s="69">
        <v>42.3</v>
      </c>
      <c r="J385" s="117">
        <v>1.0</v>
      </c>
      <c r="K385" s="69">
        <v>42.3</v>
      </c>
      <c r="L385" s="72"/>
      <c r="M385" s="72"/>
      <c r="N385" s="69">
        <v>30.0</v>
      </c>
      <c r="O385" s="69">
        <v>138.0</v>
      </c>
      <c r="P385" s="72"/>
      <c r="Q385" s="140">
        <v>47683.0</v>
      </c>
      <c r="R385" s="72" t="s">
        <v>234</v>
      </c>
      <c r="S385" s="115">
        <v>2019.0</v>
      </c>
      <c r="T385" s="136">
        <v>0.238</v>
      </c>
      <c r="U385" s="118">
        <f t="shared" si="75"/>
        <v>11348.554</v>
      </c>
      <c r="V385" s="24">
        <f t="shared" si="3"/>
        <v>268.2873286</v>
      </c>
      <c r="W385" s="3">
        <f t="shared" si="29"/>
        <v>0</v>
      </c>
      <c r="X385" s="3">
        <f t="shared" si="30"/>
        <v>0</v>
      </c>
      <c r="Y385" s="3">
        <f t="shared" si="31"/>
        <v>0</v>
      </c>
      <c r="Z385" s="25">
        <f t="shared" si="32"/>
        <v>0</v>
      </c>
      <c r="AA385" s="26">
        <f>VLOOKUP(S385,CPI!$A$2:$E$67,5,0)</f>
        <v>1.191839066</v>
      </c>
      <c r="AB385" s="27">
        <f t="shared" si="8"/>
        <v>13525.65</v>
      </c>
      <c r="AC385" s="27">
        <f t="shared" si="9"/>
        <v>319.755319</v>
      </c>
    </row>
    <row r="386">
      <c r="A386" s="7"/>
      <c r="B386" s="114" t="s">
        <v>230</v>
      </c>
      <c r="C386" s="114" t="s">
        <v>704</v>
      </c>
      <c r="D386" s="114" t="s">
        <v>351</v>
      </c>
      <c r="E386" s="114" t="s">
        <v>351</v>
      </c>
      <c r="F386" s="116">
        <v>2016.0</v>
      </c>
      <c r="G386" s="116">
        <v>2021.0</v>
      </c>
      <c r="H386" s="116">
        <v>0.0</v>
      </c>
      <c r="I386" s="116">
        <v>36.85</v>
      </c>
      <c r="J386" s="117">
        <v>1.0</v>
      </c>
      <c r="K386" s="116">
        <v>36.85</v>
      </c>
      <c r="L386" s="114"/>
      <c r="M386" s="114"/>
      <c r="N386" s="116">
        <v>26.0</v>
      </c>
      <c r="O386" s="116">
        <v>138.0</v>
      </c>
      <c r="P386" s="114"/>
      <c r="Q386" s="140">
        <v>45937.0</v>
      </c>
      <c r="R386" s="114" t="s">
        <v>234</v>
      </c>
      <c r="S386" s="115">
        <v>2019.0</v>
      </c>
      <c r="T386" s="136">
        <v>0.238</v>
      </c>
      <c r="U386" s="118">
        <f t="shared" si="75"/>
        <v>10933.006</v>
      </c>
      <c r="V386" s="24">
        <f t="shared" si="3"/>
        <v>296.6894437</v>
      </c>
      <c r="W386" s="3">
        <f t="shared" si="29"/>
        <v>0</v>
      </c>
      <c r="X386" s="3">
        <f t="shared" si="30"/>
        <v>0</v>
      </c>
      <c r="Y386" s="3">
        <f t="shared" si="31"/>
        <v>0</v>
      </c>
      <c r="Z386" s="25">
        <f t="shared" si="32"/>
        <v>0</v>
      </c>
      <c r="AA386" s="26">
        <f>VLOOKUP(S386,CPI!$A$2:$E$67,5,0)</f>
        <v>1.191839066</v>
      </c>
      <c r="AB386" s="27">
        <f t="shared" si="8"/>
        <v>13030.38366</v>
      </c>
      <c r="AC386" s="27">
        <f t="shared" si="9"/>
        <v>353.6060693</v>
      </c>
    </row>
    <row r="387">
      <c r="A387" s="170">
        <v>7954.0</v>
      </c>
      <c r="B387" s="123" t="s">
        <v>230</v>
      </c>
      <c r="C387" s="123" t="s">
        <v>704</v>
      </c>
      <c r="D387" s="123" t="s">
        <v>738</v>
      </c>
      <c r="E387" s="123" t="s">
        <v>738</v>
      </c>
      <c r="F387" s="75">
        <v>2019.0</v>
      </c>
      <c r="G387" s="75">
        <v>2025.0</v>
      </c>
      <c r="H387" s="75">
        <v>0.0</v>
      </c>
      <c r="I387" s="75">
        <v>68.6</v>
      </c>
      <c r="J387" s="124">
        <v>0.83</v>
      </c>
      <c r="K387" s="75">
        <v>56.7</v>
      </c>
      <c r="L387" s="125">
        <v>0.0</v>
      </c>
      <c r="M387" s="125">
        <v>0.0</v>
      </c>
      <c r="N387" s="75">
        <v>9.0</v>
      </c>
      <c r="O387" s="75"/>
      <c r="P387" s="123" t="s">
        <v>60</v>
      </c>
      <c r="Q387" s="126">
        <v>48054.0</v>
      </c>
      <c r="R387" s="123" t="s">
        <v>234</v>
      </c>
      <c r="S387" s="75">
        <v>2018.0</v>
      </c>
      <c r="T387" s="136">
        <v>0.237</v>
      </c>
      <c r="U387" s="128">
        <f t="shared" si="75"/>
        <v>11388.798</v>
      </c>
      <c r="V387" s="24">
        <f t="shared" si="3"/>
        <v>166.0174636</v>
      </c>
      <c r="W387" s="3">
        <f t="shared" si="29"/>
        <v>0</v>
      </c>
      <c r="X387" s="3">
        <f t="shared" si="30"/>
        <v>0</v>
      </c>
      <c r="Y387" s="3">
        <f t="shared" si="31"/>
        <v>0</v>
      </c>
      <c r="Z387" s="25">
        <f t="shared" si="32"/>
        <v>0</v>
      </c>
      <c r="AA387" s="26">
        <f>VLOOKUP(S387,CPI!$A$2:$E$67,5,0)</f>
        <v>1.21343491</v>
      </c>
      <c r="AB387" s="27">
        <f t="shared" si="8"/>
        <v>13819.56508</v>
      </c>
      <c r="AC387" s="27">
        <f t="shared" si="9"/>
        <v>201.451386</v>
      </c>
    </row>
    <row r="388">
      <c r="A388" s="170">
        <v>7819.0</v>
      </c>
      <c r="B388" s="72" t="s">
        <v>230</v>
      </c>
      <c r="C388" s="72" t="s">
        <v>704</v>
      </c>
      <c r="D388" s="72" t="s">
        <v>740</v>
      </c>
      <c r="E388" s="72" t="s">
        <v>740</v>
      </c>
      <c r="F388" s="69">
        <v>2021.0</v>
      </c>
      <c r="G388" s="69">
        <v>2027.0</v>
      </c>
      <c r="H388" s="69">
        <v>1.0</v>
      </c>
      <c r="I388" s="69">
        <v>41.36</v>
      </c>
      <c r="J388" s="117">
        <v>0.94</v>
      </c>
      <c r="K388" s="69">
        <v>38.68</v>
      </c>
      <c r="L388" s="72"/>
      <c r="M388" s="72"/>
      <c r="N388" s="69">
        <v>17.0</v>
      </c>
      <c r="O388" s="69">
        <v>184.0</v>
      </c>
      <c r="P388" s="72"/>
      <c r="Q388" s="140">
        <v>39900.0</v>
      </c>
      <c r="R388" s="72" t="s">
        <v>234</v>
      </c>
      <c r="S388" s="115">
        <v>2021.0</v>
      </c>
      <c r="T388" s="136">
        <v>0.239</v>
      </c>
      <c r="U388" s="118">
        <f t="shared" si="75"/>
        <v>9536.1</v>
      </c>
      <c r="V388" s="24">
        <f t="shared" si="3"/>
        <v>230.5633462</v>
      </c>
      <c r="W388" s="3">
        <f t="shared" si="29"/>
        <v>0</v>
      </c>
      <c r="X388" s="3">
        <f t="shared" si="30"/>
        <v>0</v>
      </c>
      <c r="Y388" s="3">
        <f t="shared" si="31"/>
        <v>0</v>
      </c>
      <c r="Z388" s="25">
        <f t="shared" si="32"/>
        <v>0</v>
      </c>
      <c r="AA388" s="26">
        <f>VLOOKUP(S388,CPI!$A$2:$E$67,5,0)</f>
        <v>1.124486105</v>
      </c>
      <c r="AB388" s="27">
        <f t="shared" si="8"/>
        <v>10723.21195</v>
      </c>
      <c r="AC388" s="27">
        <f t="shared" si="9"/>
        <v>259.2652793</v>
      </c>
    </row>
    <row r="389">
      <c r="A389" s="7"/>
      <c r="B389" s="114" t="s">
        <v>230</v>
      </c>
      <c r="C389" s="114" t="s">
        <v>704</v>
      </c>
      <c r="D389" s="16" t="s">
        <v>287</v>
      </c>
      <c r="E389" s="114" t="s">
        <v>743</v>
      </c>
      <c r="F389" s="116">
        <v>2022.0</v>
      </c>
      <c r="G389" s="116"/>
      <c r="H389" s="116">
        <v>0.0</v>
      </c>
      <c r="I389" s="116">
        <v>17.3</v>
      </c>
      <c r="J389" s="117">
        <v>1.0</v>
      </c>
      <c r="K389" s="116">
        <v>17.3</v>
      </c>
      <c r="L389" s="114"/>
      <c r="M389" s="114"/>
      <c r="N389" s="116">
        <v>6.0</v>
      </c>
      <c r="O389" s="116">
        <v>184.0</v>
      </c>
      <c r="P389" s="114"/>
      <c r="Q389" s="140">
        <v>17630.0</v>
      </c>
      <c r="R389" s="114" t="s">
        <v>234</v>
      </c>
      <c r="S389" s="115">
        <v>2021.0</v>
      </c>
      <c r="T389" s="136">
        <v>0.239000000000002</v>
      </c>
      <c r="U389" s="118">
        <f t="shared" si="75"/>
        <v>4213.57</v>
      </c>
      <c r="V389" s="24">
        <f t="shared" si="3"/>
        <v>243.5589595</v>
      </c>
      <c r="W389" s="3">
        <f t="shared" si="29"/>
        <v>0</v>
      </c>
      <c r="X389" s="3">
        <f t="shared" si="30"/>
        <v>0</v>
      </c>
      <c r="Y389" s="3">
        <f t="shared" si="31"/>
        <v>0</v>
      </c>
      <c r="Z389" s="25">
        <f t="shared" si="32"/>
        <v>0</v>
      </c>
      <c r="AA389" s="26">
        <f>VLOOKUP(S389,CPI!$A$2:$E$67,5,0)</f>
        <v>1.124486105</v>
      </c>
      <c r="AB389" s="27">
        <f t="shared" si="8"/>
        <v>4738.100919</v>
      </c>
      <c r="AC389" s="27">
        <f t="shared" si="9"/>
        <v>273.8786659</v>
      </c>
    </row>
    <row r="390">
      <c r="A390" s="38">
        <v>8043.0</v>
      </c>
      <c r="B390" s="130" t="s">
        <v>230</v>
      </c>
      <c r="C390" s="130" t="s">
        <v>704</v>
      </c>
      <c r="D390" s="130" t="s">
        <v>745</v>
      </c>
      <c r="E390" s="130" t="s">
        <v>745</v>
      </c>
      <c r="F390" s="130"/>
      <c r="G390" s="130"/>
      <c r="H390" s="130">
        <v>0.0</v>
      </c>
      <c r="I390" s="130">
        <v>44.6</v>
      </c>
      <c r="J390" s="131">
        <v>0.59</v>
      </c>
      <c r="K390" s="130">
        <v>26.1</v>
      </c>
      <c r="L390" s="132">
        <v>0.0</v>
      </c>
      <c r="M390" s="132">
        <v>0.0</v>
      </c>
      <c r="N390" s="130">
        <v>8.0</v>
      </c>
      <c r="O390" s="138"/>
      <c r="P390" s="130" t="s">
        <v>60</v>
      </c>
      <c r="Q390" s="135">
        <v>26426.0</v>
      </c>
      <c r="R390" s="130" t="s">
        <v>234</v>
      </c>
      <c r="S390" s="130">
        <v>2018.0</v>
      </c>
      <c r="T390" s="136">
        <v>0.237</v>
      </c>
      <c r="U390" s="128">
        <f>T390*Q390</f>
        <v>6262.962</v>
      </c>
      <c r="V390" s="24">
        <f t="shared" si="3"/>
        <v>140.425157</v>
      </c>
      <c r="W390" s="3">
        <f t="shared" si="29"/>
        <v>0</v>
      </c>
      <c r="X390" s="3">
        <f t="shared" si="30"/>
        <v>0</v>
      </c>
      <c r="Y390" s="3">
        <f t="shared" si="31"/>
        <v>0</v>
      </c>
      <c r="Z390" s="25">
        <f t="shared" si="32"/>
        <v>0</v>
      </c>
      <c r="AA390" s="26">
        <f>VLOOKUP(S390,CPI!$A$2:$E$67,5,0)</f>
        <v>1.21343491</v>
      </c>
      <c r="AB390" s="27">
        <f t="shared" si="8"/>
        <v>7599.696732</v>
      </c>
      <c r="AC390" s="27">
        <f t="shared" si="9"/>
        <v>170.3967877</v>
      </c>
    </row>
    <row r="391">
      <c r="A391" s="170">
        <v>7754.0</v>
      </c>
      <c r="B391" s="123" t="s">
        <v>230</v>
      </c>
      <c r="C391" s="123" t="s">
        <v>704</v>
      </c>
      <c r="D391" s="36" t="s">
        <v>57</v>
      </c>
      <c r="E391" s="123" t="s">
        <v>746</v>
      </c>
      <c r="F391" s="123"/>
      <c r="G391" s="123"/>
      <c r="H391" s="75">
        <v>0.0</v>
      </c>
      <c r="I391" s="75">
        <v>1.2</v>
      </c>
      <c r="J391" s="124">
        <v>0.0</v>
      </c>
      <c r="K391" s="75">
        <v>0.0</v>
      </c>
      <c r="L391" s="125">
        <v>0.0</v>
      </c>
      <c r="M391" s="125">
        <v>0.0</v>
      </c>
      <c r="N391" s="75">
        <v>1.0</v>
      </c>
      <c r="O391" s="75"/>
      <c r="P391" s="123" t="s">
        <v>60</v>
      </c>
      <c r="Q391" s="126">
        <f>3.575*10^3</f>
        <v>3575</v>
      </c>
      <c r="R391" s="123" t="s">
        <v>234</v>
      </c>
      <c r="S391" s="75">
        <v>2018.0</v>
      </c>
      <c r="T391" s="136">
        <v>0.237</v>
      </c>
      <c r="U391" s="128">
        <f t="shared" ref="U391:U402" si="76">Q391*T391</f>
        <v>847.275</v>
      </c>
      <c r="V391" s="24">
        <f t="shared" si="3"/>
        <v>706.0625</v>
      </c>
      <c r="W391" s="3">
        <f t="shared" si="29"/>
        <v>0</v>
      </c>
      <c r="X391" s="3">
        <f t="shared" si="30"/>
        <v>0</v>
      </c>
      <c r="Y391" s="3">
        <f t="shared" si="31"/>
        <v>0</v>
      </c>
      <c r="Z391" s="25">
        <f t="shared" si="32"/>
        <v>0</v>
      </c>
      <c r="AA391" s="26">
        <f>VLOOKUP(S391,CPI!$A$2:$E$67,5,0)</f>
        <v>1.21343491</v>
      </c>
      <c r="AB391" s="27">
        <f t="shared" si="8"/>
        <v>1028.113064</v>
      </c>
      <c r="AC391" s="27">
        <f t="shared" si="9"/>
        <v>856.7608863</v>
      </c>
    </row>
    <row r="392">
      <c r="A392" s="170">
        <v>7768.0</v>
      </c>
      <c r="B392" s="123" t="s">
        <v>230</v>
      </c>
      <c r="C392" s="123" t="s">
        <v>704</v>
      </c>
      <c r="D392" s="36" t="s">
        <v>236</v>
      </c>
      <c r="E392" s="123" t="s">
        <v>747</v>
      </c>
      <c r="F392" s="123"/>
      <c r="G392" s="123"/>
      <c r="H392" s="75">
        <v>0.0</v>
      </c>
      <c r="I392" s="75">
        <v>9.8</v>
      </c>
      <c r="J392" s="124">
        <v>1.0</v>
      </c>
      <c r="K392" s="75">
        <v>9.8</v>
      </c>
      <c r="L392" s="125">
        <v>0.0</v>
      </c>
      <c r="M392" s="125">
        <v>0.0</v>
      </c>
      <c r="N392" s="75">
        <v>5.0</v>
      </c>
      <c r="O392" s="75"/>
      <c r="P392" s="123" t="s">
        <v>60</v>
      </c>
      <c r="Q392" s="126">
        <f>12.629*1000</f>
        <v>12629</v>
      </c>
      <c r="R392" s="123" t="s">
        <v>234</v>
      </c>
      <c r="S392" s="75">
        <v>2018.0</v>
      </c>
      <c r="T392" s="136">
        <v>0.237</v>
      </c>
      <c r="U392" s="128">
        <f t="shared" si="76"/>
        <v>2993.073</v>
      </c>
      <c r="V392" s="24">
        <f t="shared" si="3"/>
        <v>305.4156122</v>
      </c>
      <c r="W392" s="3">
        <f t="shared" si="29"/>
        <v>0</v>
      </c>
      <c r="X392" s="3">
        <f t="shared" si="30"/>
        <v>0</v>
      </c>
      <c r="Y392" s="3">
        <f t="shared" si="31"/>
        <v>0</v>
      </c>
      <c r="Z392" s="25">
        <f t="shared" si="32"/>
        <v>0</v>
      </c>
      <c r="AA392" s="26">
        <f>VLOOKUP(S392,CPI!$A$2:$E$67,5,0)</f>
        <v>1.21343491</v>
      </c>
      <c r="AB392" s="27">
        <f t="shared" si="8"/>
        <v>3631.899267</v>
      </c>
      <c r="AC392" s="27">
        <f t="shared" si="9"/>
        <v>370.601966</v>
      </c>
    </row>
    <row r="393">
      <c r="A393" s="170">
        <v>7762.0</v>
      </c>
      <c r="B393" s="123" t="s">
        <v>230</v>
      </c>
      <c r="C393" s="123" t="s">
        <v>704</v>
      </c>
      <c r="D393" s="123" t="s">
        <v>288</v>
      </c>
      <c r="E393" s="123" t="s">
        <v>288</v>
      </c>
      <c r="F393" s="123"/>
      <c r="G393" s="123"/>
      <c r="H393" s="75">
        <v>0.0</v>
      </c>
      <c r="I393" s="75">
        <v>44.5</v>
      </c>
      <c r="J393" s="124">
        <v>1.0</v>
      </c>
      <c r="K393" s="75">
        <v>44.5</v>
      </c>
      <c r="L393" s="125">
        <v>0.0</v>
      </c>
      <c r="M393" s="125">
        <v>0.0</v>
      </c>
      <c r="N393" s="75">
        <v>32.0</v>
      </c>
      <c r="O393" s="75"/>
      <c r="P393" s="123" t="s">
        <v>60</v>
      </c>
      <c r="Q393" s="126">
        <f>60.524*1000</f>
        <v>60524</v>
      </c>
      <c r="R393" s="123" t="s">
        <v>234</v>
      </c>
      <c r="S393" s="75">
        <v>2018.0</v>
      </c>
      <c r="T393" s="136">
        <v>0.237</v>
      </c>
      <c r="U393" s="128">
        <f t="shared" si="76"/>
        <v>14344.188</v>
      </c>
      <c r="V393" s="24">
        <f t="shared" si="3"/>
        <v>322.3413034</v>
      </c>
      <c r="W393" s="3">
        <f t="shared" si="29"/>
        <v>0</v>
      </c>
      <c r="X393" s="3">
        <f t="shared" si="30"/>
        <v>0</v>
      </c>
      <c r="Y393" s="3">
        <f t="shared" si="31"/>
        <v>0</v>
      </c>
      <c r="Z393" s="25">
        <f t="shared" si="32"/>
        <v>0</v>
      </c>
      <c r="AA393" s="26">
        <f>VLOOKUP(S393,CPI!$A$2:$E$67,5,0)</f>
        <v>1.21343491</v>
      </c>
      <c r="AB393" s="27">
        <f t="shared" si="8"/>
        <v>17405.73848</v>
      </c>
      <c r="AC393" s="27">
        <f t="shared" si="9"/>
        <v>391.1401905</v>
      </c>
    </row>
    <row r="394">
      <c r="A394" s="170">
        <v>7755.0</v>
      </c>
      <c r="B394" s="123" t="s">
        <v>230</v>
      </c>
      <c r="C394" s="123" t="s">
        <v>704</v>
      </c>
      <c r="D394" s="36" t="s">
        <v>749</v>
      </c>
      <c r="E394" s="123" t="s">
        <v>750</v>
      </c>
      <c r="F394" s="123"/>
      <c r="G394" s="123"/>
      <c r="H394" s="75">
        <v>0.0</v>
      </c>
      <c r="I394" s="75">
        <v>19.8</v>
      </c>
      <c r="J394" s="124">
        <v>1.0</v>
      </c>
      <c r="K394" s="75">
        <v>19.8</v>
      </c>
      <c r="L394" s="125">
        <v>0.0</v>
      </c>
      <c r="M394" s="125">
        <v>0.0</v>
      </c>
      <c r="N394" s="75">
        <v>16.0</v>
      </c>
      <c r="O394" s="75"/>
      <c r="P394" s="123" t="s">
        <v>60</v>
      </c>
      <c r="Q394" s="126">
        <f>39.354*10^3</f>
        <v>39354</v>
      </c>
      <c r="R394" s="123" t="s">
        <v>234</v>
      </c>
      <c r="S394" s="75">
        <v>2018.0</v>
      </c>
      <c r="T394" s="136">
        <v>0.237</v>
      </c>
      <c r="U394" s="128">
        <f t="shared" si="76"/>
        <v>9326.898</v>
      </c>
      <c r="V394" s="24">
        <f t="shared" si="3"/>
        <v>471.0554545</v>
      </c>
      <c r="W394" s="3">
        <f t="shared" si="29"/>
        <v>0</v>
      </c>
      <c r="X394" s="3">
        <f t="shared" si="30"/>
        <v>0</v>
      </c>
      <c r="Y394" s="3">
        <f t="shared" si="31"/>
        <v>0</v>
      </c>
      <c r="Z394" s="25">
        <f t="shared" si="32"/>
        <v>0</v>
      </c>
      <c r="AA394" s="26">
        <f>VLOOKUP(S394,CPI!$A$2:$E$67,5,0)</f>
        <v>1.21343491</v>
      </c>
      <c r="AB394" s="27">
        <f t="shared" si="8"/>
        <v>11317.58364</v>
      </c>
      <c r="AC394" s="27">
        <f t="shared" si="9"/>
        <v>571.5951332</v>
      </c>
    </row>
    <row r="395">
      <c r="A395" s="170">
        <v>7763.0</v>
      </c>
      <c r="B395" s="123" t="s">
        <v>230</v>
      </c>
      <c r="C395" s="123" t="s">
        <v>704</v>
      </c>
      <c r="D395" s="36" t="s">
        <v>468</v>
      </c>
      <c r="E395" s="123" t="s">
        <v>751</v>
      </c>
      <c r="F395" s="123"/>
      <c r="G395" s="123"/>
      <c r="H395" s="75">
        <v>0.0</v>
      </c>
      <c r="I395" s="75">
        <v>28.0</v>
      </c>
      <c r="J395" s="124">
        <v>1.0</v>
      </c>
      <c r="K395" s="75">
        <v>28.0</v>
      </c>
      <c r="L395" s="125">
        <v>0.0</v>
      </c>
      <c r="M395" s="125">
        <v>0.0</v>
      </c>
      <c r="N395" s="75">
        <v>16.0</v>
      </c>
      <c r="O395" s="75"/>
      <c r="P395" s="123" t="s">
        <v>60</v>
      </c>
      <c r="Q395" s="157">
        <f>36.956*1000</f>
        <v>36956</v>
      </c>
      <c r="R395" s="123" t="s">
        <v>234</v>
      </c>
      <c r="S395" s="75">
        <v>2018.0</v>
      </c>
      <c r="T395" s="136">
        <v>0.237</v>
      </c>
      <c r="U395" s="128">
        <f t="shared" si="76"/>
        <v>8758.572</v>
      </c>
      <c r="V395" s="24">
        <f t="shared" si="3"/>
        <v>312.8061429</v>
      </c>
      <c r="W395" s="3">
        <f t="shared" si="29"/>
        <v>0</v>
      </c>
      <c r="X395" s="3">
        <f t="shared" si="30"/>
        <v>0</v>
      </c>
      <c r="Y395" s="3">
        <f t="shared" si="31"/>
        <v>0</v>
      </c>
      <c r="Z395" s="25">
        <f t="shared" si="32"/>
        <v>0</v>
      </c>
      <c r="AA395" s="26">
        <f>VLOOKUP(S395,CPI!$A$2:$E$67,5,0)</f>
        <v>1.21343491</v>
      </c>
      <c r="AB395" s="27">
        <f t="shared" si="8"/>
        <v>10627.95703</v>
      </c>
      <c r="AC395" s="27">
        <f t="shared" si="9"/>
        <v>379.5698939</v>
      </c>
    </row>
    <row r="396">
      <c r="A396" s="170">
        <v>7770.0</v>
      </c>
      <c r="B396" s="123" t="s">
        <v>230</v>
      </c>
      <c r="C396" s="123" t="s">
        <v>704</v>
      </c>
      <c r="D396" s="36" t="s">
        <v>753</v>
      </c>
      <c r="E396" s="123" t="s">
        <v>754</v>
      </c>
      <c r="F396" s="123"/>
      <c r="G396" s="123"/>
      <c r="H396" s="75">
        <v>0.0</v>
      </c>
      <c r="I396" s="75">
        <v>28.0</v>
      </c>
      <c r="J396" s="124">
        <v>1.0</v>
      </c>
      <c r="K396" s="75">
        <v>28.0</v>
      </c>
      <c r="L396" s="125">
        <v>0.0</v>
      </c>
      <c r="M396" s="125">
        <v>0.0</v>
      </c>
      <c r="N396" s="75">
        <v>22.0</v>
      </c>
      <c r="O396" s="75"/>
      <c r="P396" s="123" t="s">
        <v>60</v>
      </c>
      <c r="Q396" s="126">
        <f>33.729*1000</f>
        <v>33729</v>
      </c>
      <c r="R396" s="123" t="s">
        <v>234</v>
      </c>
      <c r="S396" s="75">
        <v>2018.0</v>
      </c>
      <c r="T396" s="136">
        <v>0.237</v>
      </c>
      <c r="U396" s="128">
        <f t="shared" si="76"/>
        <v>7993.773</v>
      </c>
      <c r="V396" s="24">
        <f t="shared" si="3"/>
        <v>285.4918929</v>
      </c>
      <c r="W396" s="3">
        <f t="shared" si="29"/>
        <v>0</v>
      </c>
      <c r="X396" s="3">
        <f t="shared" si="30"/>
        <v>0</v>
      </c>
      <c r="Y396" s="3">
        <f t="shared" si="31"/>
        <v>0</v>
      </c>
      <c r="Z396" s="25">
        <f t="shared" si="32"/>
        <v>0</v>
      </c>
      <c r="AA396" s="26">
        <f>VLOOKUP(S396,CPI!$A$2:$E$67,5,0)</f>
        <v>1.21343491</v>
      </c>
      <c r="AB396" s="27">
        <f t="shared" si="8"/>
        <v>9699.923223</v>
      </c>
      <c r="AC396" s="27">
        <f t="shared" si="9"/>
        <v>346.4258294</v>
      </c>
    </row>
    <row r="397">
      <c r="A397" s="163"/>
      <c r="B397" s="66" t="s">
        <v>230</v>
      </c>
      <c r="C397" s="114" t="s">
        <v>755</v>
      </c>
      <c r="D397" s="114" t="s">
        <v>756</v>
      </c>
      <c r="E397" s="114" t="s">
        <v>756</v>
      </c>
      <c r="F397" s="116">
        <v>2016.0</v>
      </c>
      <c r="G397" s="116">
        <v>2021.0</v>
      </c>
      <c r="H397" s="116">
        <v>0.0</v>
      </c>
      <c r="I397" s="116">
        <v>20.3</v>
      </c>
      <c r="J397" s="117">
        <v>0.49</v>
      </c>
      <c r="K397" s="116">
        <v>9.87</v>
      </c>
      <c r="L397" s="114"/>
      <c r="M397" s="114"/>
      <c r="N397" s="116">
        <v>10.0</v>
      </c>
      <c r="O397" s="116">
        <v>117.0</v>
      </c>
      <c r="P397" s="114"/>
      <c r="Q397" s="140">
        <v>12790.0</v>
      </c>
      <c r="R397" s="114" t="s">
        <v>234</v>
      </c>
      <c r="S397" s="115">
        <v>2019.0</v>
      </c>
      <c r="T397" s="136">
        <v>0.238</v>
      </c>
      <c r="U397" s="118">
        <f t="shared" si="76"/>
        <v>3044.02</v>
      </c>
      <c r="V397" s="24">
        <f t="shared" si="3"/>
        <v>149.9517241</v>
      </c>
      <c r="W397" s="3">
        <f t="shared" si="29"/>
        <v>0</v>
      </c>
      <c r="X397" s="3">
        <f t="shared" si="30"/>
        <v>0</v>
      </c>
      <c r="Y397" s="3">
        <f t="shared" si="31"/>
        <v>0</v>
      </c>
      <c r="Z397" s="25">
        <f t="shared" si="32"/>
        <v>0</v>
      </c>
      <c r="AA397" s="26">
        <f>VLOOKUP(S397,CPI!$A$2:$E$67,5,0)</f>
        <v>1.191839066</v>
      </c>
      <c r="AB397" s="27">
        <f t="shared" si="8"/>
        <v>3627.981953</v>
      </c>
      <c r="AC397" s="27">
        <f t="shared" si="9"/>
        <v>178.7183228</v>
      </c>
    </row>
    <row r="398">
      <c r="A398" s="163"/>
      <c r="B398" s="114" t="s">
        <v>230</v>
      </c>
      <c r="C398" s="114" t="s">
        <v>755</v>
      </c>
      <c r="D398" s="114" t="s">
        <v>57</v>
      </c>
      <c r="E398" s="114" t="s">
        <v>57</v>
      </c>
      <c r="F398" s="116">
        <v>2016.0</v>
      </c>
      <c r="G398" s="116">
        <v>2021.0</v>
      </c>
      <c r="H398" s="116">
        <v>0.0</v>
      </c>
      <c r="I398" s="116">
        <v>31.3</v>
      </c>
      <c r="J398" s="117">
        <v>1.0</v>
      </c>
      <c r="K398" s="116">
        <v>31.3</v>
      </c>
      <c r="L398" s="114"/>
      <c r="M398" s="114"/>
      <c r="N398" s="116">
        <v>23.0</v>
      </c>
      <c r="O398" s="116">
        <v>117.0</v>
      </c>
      <c r="P398" s="114"/>
      <c r="Q398" s="140">
        <v>23873.0</v>
      </c>
      <c r="R398" s="114" t="s">
        <v>234</v>
      </c>
      <c r="S398" s="115">
        <v>2019.0</v>
      </c>
      <c r="T398" s="136">
        <v>0.238</v>
      </c>
      <c r="U398" s="118">
        <f t="shared" si="76"/>
        <v>5681.774</v>
      </c>
      <c r="V398" s="24">
        <f t="shared" si="3"/>
        <v>181.5263259</v>
      </c>
      <c r="W398" s="3">
        <f t="shared" si="29"/>
        <v>0</v>
      </c>
      <c r="X398" s="3">
        <f t="shared" si="30"/>
        <v>0</v>
      </c>
      <c r="Y398" s="3">
        <f t="shared" si="31"/>
        <v>0</v>
      </c>
      <c r="Z398" s="25">
        <f t="shared" si="32"/>
        <v>0</v>
      </c>
      <c r="AA398" s="26">
        <f>VLOOKUP(S398,CPI!$A$2:$E$67,5,0)</f>
        <v>1.191839066</v>
      </c>
      <c r="AB398" s="27">
        <f t="shared" si="8"/>
        <v>6771.760215</v>
      </c>
      <c r="AC398" s="27">
        <f t="shared" si="9"/>
        <v>216.3501666</v>
      </c>
    </row>
    <row r="399">
      <c r="A399" s="163"/>
      <c r="B399" s="114" t="s">
        <v>230</v>
      </c>
      <c r="C399" s="114" t="s">
        <v>755</v>
      </c>
      <c r="D399" s="114" t="s">
        <v>54</v>
      </c>
      <c r="E399" s="114" t="s">
        <v>54</v>
      </c>
      <c r="F399" s="116">
        <v>2022.0</v>
      </c>
      <c r="G399" s="114"/>
      <c r="H399" s="116">
        <v>0.0</v>
      </c>
      <c r="I399" s="116">
        <v>10.8</v>
      </c>
      <c r="J399" s="117">
        <v>1.0</v>
      </c>
      <c r="K399" s="116">
        <v>10.8</v>
      </c>
      <c r="L399" s="114"/>
      <c r="M399" s="114"/>
      <c r="N399" s="116">
        <v>9.0</v>
      </c>
      <c r="O399" s="116">
        <v>117.0</v>
      </c>
      <c r="P399" s="114"/>
      <c r="Q399" s="140">
        <v>10130.0</v>
      </c>
      <c r="R399" s="114" t="s">
        <v>234</v>
      </c>
      <c r="S399" s="115">
        <v>2021.0</v>
      </c>
      <c r="T399" s="136">
        <v>0.239000000000001</v>
      </c>
      <c r="U399" s="118">
        <f t="shared" si="76"/>
        <v>2421.07</v>
      </c>
      <c r="V399" s="24">
        <f t="shared" si="3"/>
        <v>224.1731481</v>
      </c>
      <c r="W399" s="3">
        <f t="shared" si="29"/>
        <v>0</v>
      </c>
      <c r="X399" s="3">
        <f t="shared" si="30"/>
        <v>0</v>
      </c>
      <c r="Y399" s="3">
        <f t="shared" si="31"/>
        <v>0</v>
      </c>
      <c r="Z399" s="25">
        <f t="shared" si="32"/>
        <v>0</v>
      </c>
      <c r="AA399" s="26">
        <f>VLOOKUP(S399,CPI!$A$2:$E$67,5,0)</f>
        <v>1.124486105</v>
      </c>
      <c r="AB399" s="27">
        <f t="shared" si="8"/>
        <v>2722.459575</v>
      </c>
      <c r="AC399" s="27">
        <f t="shared" si="9"/>
        <v>252.0795903</v>
      </c>
    </row>
    <row r="400">
      <c r="A400" s="7"/>
      <c r="B400" s="114" t="s">
        <v>230</v>
      </c>
      <c r="C400" s="114" t="s">
        <v>761</v>
      </c>
      <c r="D400" s="16" t="s">
        <v>239</v>
      </c>
      <c r="E400" s="115" t="s">
        <v>356</v>
      </c>
      <c r="F400" s="116">
        <v>2012.0</v>
      </c>
      <c r="G400" s="116">
        <v>2020.0</v>
      </c>
      <c r="H400" s="116">
        <v>0.0</v>
      </c>
      <c r="I400" s="116">
        <v>49.9</v>
      </c>
      <c r="J400" s="117">
        <v>1.0</v>
      </c>
      <c r="K400" s="116">
        <v>49.9</v>
      </c>
      <c r="L400" s="114"/>
      <c r="M400" s="114"/>
      <c r="N400" s="116">
        <v>37.0</v>
      </c>
      <c r="O400" s="116">
        <v>117.0</v>
      </c>
      <c r="P400" s="114"/>
      <c r="Q400" s="140">
        <v>29710.0</v>
      </c>
      <c r="R400" s="114" t="s">
        <v>234</v>
      </c>
      <c r="S400" s="115">
        <v>2016.0</v>
      </c>
      <c r="T400" s="85">
        <v>0.251</v>
      </c>
      <c r="U400" s="118">
        <f t="shared" si="76"/>
        <v>7457.21</v>
      </c>
      <c r="V400" s="24">
        <f t="shared" si="3"/>
        <v>149.4430862</v>
      </c>
      <c r="W400" s="3">
        <f t="shared" si="29"/>
        <v>0</v>
      </c>
      <c r="X400" s="3">
        <f t="shared" si="30"/>
        <v>0</v>
      </c>
      <c r="Y400" s="3">
        <f t="shared" si="31"/>
        <v>0</v>
      </c>
      <c r="Z400" s="25">
        <f t="shared" si="32"/>
        <v>0</v>
      </c>
      <c r="AA400" s="26">
        <f>VLOOKUP(S400,CPI!$A$2:$E$67,5,0)</f>
        <v>1.269554638</v>
      </c>
      <c r="AB400" s="27">
        <f t="shared" si="8"/>
        <v>9467.335542</v>
      </c>
      <c r="AC400" s="27">
        <f t="shared" si="9"/>
        <v>189.7261632</v>
      </c>
    </row>
    <row r="401">
      <c r="A401" s="7"/>
      <c r="B401" s="114" t="s">
        <v>230</v>
      </c>
      <c r="C401" s="114" t="s">
        <v>761</v>
      </c>
      <c r="D401" s="16" t="s">
        <v>253</v>
      </c>
      <c r="E401" s="115" t="s">
        <v>362</v>
      </c>
      <c r="F401" s="116">
        <v>2012.0</v>
      </c>
      <c r="G401" s="116">
        <v>2020.0</v>
      </c>
      <c r="H401" s="116">
        <v>0.0</v>
      </c>
      <c r="I401" s="116">
        <v>29.2</v>
      </c>
      <c r="J401" s="117">
        <v>1.0</v>
      </c>
      <c r="K401" s="116">
        <v>29.2</v>
      </c>
      <c r="L401" s="114"/>
      <c r="M401" s="114"/>
      <c r="N401" s="116">
        <v>23.0</v>
      </c>
      <c r="O401" s="116">
        <v>117.0</v>
      </c>
      <c r="P401" s="114"/>
      <c r="Q401" s="140">
        <v>17971.0</v>
      </c>
      <c r="R401" s="114" t="s">
        <v>234</v>
      </c>
      <c r="S401" s="115">
        <v>2016.0</v>
      </c>
      <c r="T401" s="85">
        <v>0.251</v>
      </c>
      <c r="U401" s="118">
        <f t="shared" si="76"/>
        <v>4510.721</v>
      </c>
      <c r="V401" s="24">
        <f t="shared" si="3"/>
        <v>154.4767466</v>
      </c>
      <c r="W401" s="3">
        <f t="shared" si="29"/>
        <v>0</v>
      </c>
      <c r="X401" s="3">
        <f t="shared" si="30"/>
        <v>0</v>
      </c>
      <c r="Y401" s="3">
        <f t="shared" si="31"/>
        <v>0</v>
      </c>
      <c r="Z401" s="25">
        <f t="shared" si="32"/>
        <v>0</v>
      </c>
      <c r="AA401" s="26">
        <f>VLOOKUP(S401,CPI!$A$2:$E$67,5,0)</f>
        <v>1.269554638</v>
      </c>
      <c r="AB401" s="27">
        <f t="shared" si="8"/>
        <v>5726.606766</v>
      </c>
      <c r="AC401" s="27">
        <f t="shared" si="9"/>
        <v>196.1166701</v>
      </c>
    </row>
    <row r="402">
      <c r="A402" s="163"/>
      <c r="B402" s="114" t="s">
        <v>230</v>
      </c>
      <c r="C402" s="114" t="s">
        <v>761</v>
      </c>
      <c r="D402" s="115" t="s">
        <v>110</v>
      </c>
      <c r="E402" s="115" t="s">
        <v>332</v>
      </c>
      <c r="F402" s="114"/>
      <c r="G402" s="116">
        <v>2022.0</v>
      </c>
      <c r="H402" s="116">
        <v>0.0</v>
      </c>
      <c r="I402" s="116">
        <v>34.2</v>
      </c>
      <c r="J402" s="117">
        <v>1.0</v>
      </c>
      <c r="K402" s="116">
        <v>34.2</v>
      </c>
      <c r="L402" s="114"/>
      <c r="M402" s="114"/>
      <c r="N402" s="116">
        <v>23.0</v>
      </c>
      <c r="O402" s="116">
        <v>117.0</v>
      </c>
      <c r="P402" s="114"/>
      <c r="Q402" s="140">
        <v>16632.0</v>
      </c>
      <c r="R402" s="114" t="s">
        <v>234</v>
      </c>
      <c r="S402" s="115">
        <v>2021.0</v>
      </c>
      <c r="T402" s="136">
        <v>0.239000000000001</v>
      </c>
      <c r="U402" s="118">
        <f t="shared" si="76"/>
        <v>3975.048</v>
      </c>
      <c r="V402" s="24">
        <f t="shared" si="3"/>
        <v>116.2294737</v>
      </c>
      <c r="W402" s="3">
        <f t="shared" si="29"/>
        <v>0</v>
      </c>
      <c r="X402" s="3">
        <f t="shared" si="30"/>
        <v>0</v>
      </c>
      <c r="Y402" s="3">
        <f t="shared" si="31"/>
        <v>0</v>
      </c>
      <c r="Z402" s="25">
        <f t="shared" si="32"/>
        <v>0</v>
      </c>
      <c r="AA402" s="26">
        <f>VLOOKUP(S402,CPI!$A$2:$E$67,5,0)</f>
        <v>1.124486105</v>
      </c>
      <c r="AB402" s="27">
        <f t="shared" si="8"/>
        <v>4469.886245</v>
      </c>
      <c r="AC402" s="27">
        <f t="shared" si="9"/>
        <v>130.6984282</v>
      </c>
    </row>
    <row r="403">
      <c r="A403" s="16" t="s">
        <v>87</v>
      </c>
      <c r="B403" s="130" t="s">
        <v>230</v>
      </c>
      <c r="C403" s="130" t="s">
        <v>761</v>
      </c>
      <c r="D403" s="16" t="s">
        <v>87</v>
      </c>
      <c r="E403" s="130" t="s">
        <v>331</v>
      </c>
      <c r="F403" s="130">
        <v>2019.0</v>
      </c>
      <c r="G403" s="130">
        <v>2025.0</v>
      </c>
      <c r="H403" s="130">
        <v>0.0</v>
      </c>
      <c r="I403" s="130">
        <v>38.4</v>
      </c>
      <c r="J403" s="131"/>
      <c r="K403" s="130"/>
      <c r="L403" s="132" t="e">
        <v>#N/A</v>
      </c>
      <c r="M403" s="132" t="e">
        <v>#N/A</v>
      </c>
      <c r="N403" s="130">
        <v>28.0</v>
      </c>
      <c r="O403" s="138"/>
      <c r="P403" s="130" t="s">
        <v>60</v>
      </c>
      <c r="Q403" s="135">
        <v>23130.0</v>
      </c>
      <c r="R403" s="130" t="s">
        <v>234</v>
      </c>
      <c r="S403" s="130">
        <v>2019.0</v>
      </c>
      <c r="T403" s="136">
        <v>0.238</v>
      </c>
      <c r="U403" s="128">
        <f>T403*Q403</f>
        <v>5504.94</v>
      </c>
      <c r="V403" s="24">
        <f t="shared" si="3"/>
        <v>143.3578125</v>
      </c>
      <c r="W403" s="3">
        <f t="shared" si="29"/>
        <v>0</v>
      </c>
      <c r="X403" s="3">
        <f t="shared" si="30"/>
        <v>0</v>
      </c>
      <c r="Y403" s="3">
        <f t="shared" si="31"/>
        <v>0</v>
      </c>
      <c r="Z403" s="25">
        <f t="shared" si="32"/>
        <v>0</v>
      </c>
      <c r="AA403" s="26">
        <f>VLOOKUP(S403,CPI!$A$2:$E$67,5,0)</f>
        <v>1.191839066</v>
      </c>
      <c r="AB403" s="27">
        <f t="shared" si="8"/>
        <v>6561.002546</v>
      </c>
      <c r="AC403" s="27">
        <f t="shared" si="9"/>
        <v>170.8594413</v>
      </c>
    </row>
    <row r="404">
      <c r="A404" s="170">
        <v>7968.0</v>
      </c>
      <c r="B404" s="123" t="s">
        <v>230</v>
      </c>
      <c r="C404" s="123" t="s">
        <v>761</v>
      </c>
      <c r="D404" s="16" t="s">
        <v>57</v>
      </c>
      <c r="E404" s="123" t="s">
        <v>605</v>
      </c>
      <c r="F404" s="75">
        <v>2020.0</v>
      </c>
      <c r="G404" s="75">
        <v>2025.0</v>
      </c>
      <c r="H404" s="75">
        <v>0.0</v>
      </c>
      <c r="I404" s="75">
        <v>15.0</v>
      </c>
      <c r="J404" s="124">
        <f>K404/I404</f>
        <v>1</v>
      </c>
      <c r="K404" s="75">
        <v>15.0</v>
      </c>
      <c r="L404" s="125">
        <v>0.0</v>
      </c>
      <c r="M404" s="125">
        <v>0.0</v>
      </c>
      <c r="N404" s="75">
        <v>9.0</v>
      </c>
      <c r="O404" s="152">
        <v>117.0</v>
      </c>
      <c r="P404" s="123" t="s">
        <v>60</v>
      </c>
      <c r="Q404" s="126">
        <v>10350.0</v>
      </c>
      <c r="R404" s="123" t="s">
        <v>234</v>
      </c>
      <c r="S404" s="75">
        <v>2019.0</v>
      </c>
      <c r="T404" s="136">
        <v>0.238</v>
      </c>
      <c r="U404" s="128">
        <f t="shared" ref="U404:U447" si="77">Q404*T404</f>
        <v>2463.3</v>
      </c>
      <c r="V404" s="24">
        <f t="shared" si="3"/>
        <v>164.22</v>
      </c>
      <c r="W404" s="3">
        <f t="shared" si="29"/>
        <v>0</v>
      </c>
      <c r="X404" s="3">
        <f t="shared" si="30"/>
        <v>0</v>
      </c>
      <c r="Y404" s="3">
        <f t="shared" si="31"/>
        <v>0</v>
      </c>
      <c r="Z404" s="25">
        <f t="shared" si="32"/>
        <v>0</v>
      </c>
      <c r="AA404" s="26">
        <f>VLOOKUP(S404,CPI!$A$2:$E$67,5,0)</f>
        <v>1.191839066</v>
      </c>
      <c r="AB404" s="27">
        <f t="shared" si="8"/>
        <v>2935.85717</v>
      </c>
      <c r="AC404" s="27">
        <f t="shared" si="9"/>
        <v>195.7238114</v>
      </c>
    </row>
    <row r="405">
      <c r="A405" s="170">
        <v>7923.0</v>
      </c>
      <c r="B405" s="123" t="s">
        <v>230</v>
      </c>
      <c r="C405" s="123" t="s">
        <v>761</v>
      </c>
      <c r="D405" s="16" t="s">
        <v>80</v>
      </c>
      <c r="E405" s="123" t="s">
        <v>255</v>
      </c>
      <c r="F405" s="75">
        <v>2020.0</v>
      </c>
      <c r="G405" s="75">
        <v>2026.0</v>
      </c>
      <c r="H405" s="75">
        <v>0.0</v>
      </c>
      <c r="I405" s="75">
        <v>36.0</v>
      </c>
      <c r="J405" s="155"/>
      <c r="K405" s="123"/>
      <c r="L405" s="125" t="e">
        <v>#N/A</v>
      </c>
      <c r="M405" s="125" t="e">
        <v>#N/A</v>
      </c>
      <c r="N405" s="75">
        <v>32.0</v>
      </c>
      <c r="O405" s="75"/>
      <c r="P405" s="123" t="s">
        <v>60</v>
      </c>
      <c r="Q405" s="126">
        <v>26350.0</v>
      </c>
      <c r="R405" s="123" t="s">
        <v>234</v>
      </c>
      <c r="S405" s="75">
        <v>2019.0</v>
      </c>
      <c r="T405" s="136">
        <v>0.238</v>
      </c>
      <c r="U405" s="128">
        <f t="shared" si="77"/>
        <v>6271.3</v>
      </c>
      <c r="V405" s="24">
        <f t="shared" si="3"/>
        <v>174.2027778</v>
      </c>
      <c r="W405" s="3">
        <f t="shared" si="29"/>
        <v>0</v>
      </c>
      <c r="X405" s="3">
        <f t="shared" si="30"/>
        <v>0</v>
      </c>
      <c r="Y405" s="3">
        <f t="shared" si="31"/>
        <v>0</v>
      </c>
      <c r="Z405" s="25">
        <f t="shared" si="32"/>
        <v>0</v>
      </c>
      <c r="AA405" s="26">
        <f>VLOOKUP(S405,CPI!$A$2:$E$67,5,0)</f>
        <v>1.191839066</v>
      </c>
      <c r="AB405" s="27">
        <f t="shared" si="8"/>
        <v>7474.380332</v>
      </c>
      <c r="AC405" s="27">
        <f t="shared" si="9"/>
        <v>207.6216759</v>
      </c>
    </row>
    <row r="406">
      <c r="A406" s="7"/>
      <c r="B406" s="114" t="s">
        <v>230</v>
      </c>
      <c r="C406" s="114" t="s">
        <v>761</v>
      </c>
      <c r="D406" s="16" t="s">
        <v>768</v>
      </c>
      <c r="E406" s="115" t="s">
        <v>769</v>
      </c>
      <c r="F406" s="116">
        <v>2005.0</v>
      </c>
      <c r="G406" s="114"/>
      <c r="H406" s="116">
        <v>0.0</v>
      </c>
      <c r="I406" s="116">
        <v>55.07</v>
      </c>
      <c r="J406" s="117">
        <v>1.0</v>
      </c>
      <c r="K406" s="116">
        <v>55.07</v>
      </c>
      <c r="L406" s="114"/>
      <c r="M406" s="114"/>
      <c r="N406" s="116">
        <v>43.0</v>
      </c>
      <c r="O406" s="116">
        <v>117.0</v>
      </c>
      <c r="P406" s="114"/>
      <c r="Q406" s="140">
        <v>24685.0</v>
      </c>
      <c r="R406" s="114" t="s">
        <v>234</v>
      </c>
      <c r="S406" s="115">
        <v>2005.0</v>
      </c>
      <c r="T406" s="85">
        <v>0.352</v>
      </c>
      <c r="U406" s="118">
        <f t="shared" si="77"/>
        <v>8689.12</v>
      </c>
      <c r="V406" s="24">
        <f t="shared" si="3"/>
        <v>157.783185</v>
      </c>
      <c r="W406" s="3">
        <f t="shared" si="29"/>
        <v>0</v>
      </c>
      <c r="X406" s="3">
        <f t="shared" si="30"/>
        <v>0</v>
      </c>
      <c r="Y406" s="3">
        <f t="shared" si="31"/>
        <v>0</v>
      </c>
      <c r="Z406" s="25">
        <f t="shared" si="32"/>
        <v>0</v>
      </c>
      <c r="AA406" s="26">
        <f>VLOOKUP(S406,CPI!$A$2:$E$67,5,0)</f>
        <v>1.560174091</v>
      </c>
      <c r="AB406" s="27">
        <f t="shared" si="8"/>
        <v>13556.5399</v>
      </c>
      <c r="AC406" s="27">
        <f t="shared" si="9"/>
        <v>246.1692373</v>
      </c>
    </row>
    <row r="407">
      <c r="A407" s="170">
        <v>7938.0</v>
      </c>
      <c r="B407" s="123" t="s">
        <v>230</v>
      </c>
      <c r="C407" s="123" t="s">
        <v>761</v>
      </c>
      <c r="D407" s="16" t="s">
        <v>54</v>
      </c>
      <c r="E407" s="123" t="s">
        <v>770</v>
      </c>
      <c r="F407" s="123"/>
      <c r="G407" s="123"/>
      <c r="H407" s="75">
        <v>0.0</v>
      </c>
      <c r="I407" s="75">
        <v>14.3</v>
      </c>
      <c r="J407" s="155"/>
      <c r="K407" s="123"/>
      <c r="L407" s="125" t="e">
        <v>#N/A</v>
      </c>
      <c r="M407" s="125" t="e">
        <v>#N/A</v>
      </c>
      <c r="N407" s="75">
        <v>8.0</v>
      </c>
      <c r="O407" s="75"/>
      <c r="P407" s="123" t="s">
        <v>60</v>
      </c>
      <c r="Q407" s="126">
        <v>10170.0</v>
      </c>
      <c r="R407" s="123" t="s">
        <v>234</v>
      </c>
      <c r="S407" s="75">
        <v>2019.0</v>
      </c>
      <c r="T407" s="136">
        <v>0.238</v>
      </c>
      <c r="U407" s="128">
        <f t="shared" si="77"/>
        <v>2420.46</v>
      </c>
      <c r="V407" s="24">
        <f t="shared" si="3"/>
        <v>169.2629371</v>
      </c>
      <c r="W407" s="3">
        <f t="shared" si="29"/>
        <v>0</v>
      </c>
      <c r="X407" s="3">
        <f t="shared" si="30"/>
        <v>0</v>
      </c>
      <c r="Y407" s="3">
        <f t="shared" si="31"/>
        <v>0</v>
      </c>
      <c r="Z407" s="25">
        <f t="shared" si="32"/>
        <v>0</v>
      </c>
      <c r="AA407" s="26">
        <f>VLOOKUP(S407,CPI!$A$2:$E$67,5,0)</f>
        <v>1.191839066</v>
      </c>
      <c r="AB407" s="27">
        <f t="shared" si="8"/>
        <v>2884.798785</v>
      </c>
      <c r="AC407" s="27">
        <f t="shared" si="9"/>
        <v>201.7341808</v>
      </c>
    </row>
    <row r="408">
      <c r="A408" s="7"/>
      <c r="B408" s="114" t="s">
        <v>230</v>
      </c>
      <c r="C408" s="114" t="s">
        <v>771</v>
      </c>
      <c r="D408" s="16" t="s">
        <v>34</v>
      </c>
      <c r="E408" s="114" t="s">
        <v>772</v>
      </c>
      <c r="F408" s="116">
        <v>1998.0</v>
      </c>
      <c r="G408" s="116">
        <v>2004.0</v>
      </c>
      <c r="H408" s="116">
        <v>0.0</v>
      </c>
      <c r="I408" s="116">
        <v>21.446</v>
      </c>
      <c r="J408" s="117">
        <v>1.0</v>
      </c>
      <c r="K408" s="116">
        <v>21.446</v>
      </c>
      <c r="L408" s="114"/>
      <c r="M408" s="114"/>
      <c r="N408" s="116">
        <v>19.0</v>
      </c>
      <c r="O408" s="116">
        <v>138.0</v>
      </c>
      <c r="P408" s="114"/>
      <c r="Q408" s="140">
        <v>11500.0</v>
      </c>
      <c r="R408" s="114" t="s">
        <v>234</v>
      </c>
      <c r="S408" s="115">
        <v>2001.0</v>
      </c>
      <c r="T408" s="85">
        <v>0.368</v>
      </c>
      <c r="U408" s="118">
        <f t="shared" si="77"/>
        <v>4232</v>
      </c>
      <c r="V408" s="24">
        <f t="shared" si="3"/>
        <v>197.332836</v>
      </c>
      <c r="W408" s="3">
        <f t="shared" si="29"/>
        <v>0</v>
      </c>
      <c r="X408" s="3">
        <f t="shared" si="30"/>
        <v>0</v>
      </c>
      <c r="Y408" s="3">
        <f t="shared" si="31"/>
        <v>0</v>
      </c>
      <c r="Z408" s="25">
        <f t="shared" si="32"/>
        <v>0</v>
      </c>
      <c r="AA408" s="26">
        <f>VLOOKUP(S408,CPI!$A$2:$E$67,5,0)</f>
        <v>1.720508187</v>
      </c>
      <c r="AB408" s="27">
        <f t="shared" si="8"/>
        <v>7281.190649</v>
      </c>
      <c r="AC408" s="27">
        <f t="shared" si="9"/>
        <v>339.5127599</v>
      </c>
    </row>
    <row r="409">
      <c r="A409" s="14">
        <v>9477.0</v>
      </c>
      <c r="B409" s="22" t="s">
        <v>230</v>
      </c>
      <c r="C409" s="22" t="s">
        <v>771</v>
      </c>
      <c r="D409" s="36" t="s">
        <v>228</v>
      </c>
      <c r="E409" s="22" t="s">
        <v>228</v>
      </c>
      <c r="F409" s="22"/>
      <c r="G409" s="17">
        <v>2016.0</v>
      </c>
      <c r="H409" s="17">
        <v>0.0</v>
      </c>
      <c r="I409" s="17">
        <v>30.2</v>
      </c>
      <c r="J409" s="19">
        <f>K409/I409</f>
        <v>1</v>
      </c>
      <c r="K409" s="17">
        <v>30.2</v>
      </c>
      <c r="L409" s="177">
        <v>0.0</v>
      </c>
      <c r="M409" s="177">
        <v>0.0</v>
      </c>
      <c r="N409" s="17">
        <v>28.0</v>
      </c>
      <c r="O409" s="176"/>
      <c r="P409" s="68" t="s">
        <v>60</v>
      </c>
      <c r="Q409" s="23">
        <v>26876.0</v>
      </c>
      <c r="R409" s="22" t="s">
        <v>234</v>
      </c>
      <c r="S409" s="17">
        <v>2013.0</v>
      </c>
      <c r="T409" s="136">
        <v>0.273</v>
      </c>
      <c r="U409" s="118">
        <f t="shared" si="77"/>
        <v>7337.148</v>
      </c>
      <c r="V409" s="24">
        <f t="shared" si="3"/>
        <v>242.9519205</v>
      </c>
      <c r="W409" s="3">
        <f t="shared" si="29"/>
        <v>0</v>
      </c>
      <c r="X409" s="3">
        <f t="shared" si="30"/>
        <v>0</v>
      </c>
      <c r="Y409" s="3">
        <f t="shared" si="31"/>
        <v>0</v>
      </c>
      <c r="Z409" s="25">
        <f t="shared" si="32"/>
        <v>0</v>
      </c>
      <c r="AA409" s="26">
        <f>VLOOKUP(S409,CPI!$A$2:$E$67,5,0)</f>
        <v>1.307975292</v>
      </c>
      <c r="AB409" s="27">
        <f t="shared" si="8"/>
        <v>9596.808295</v>
      </c>
      <c r="AC409" s="27">
        <f t="shared" si="9"/>
        <v>317.7751091</v>
      </c>
    </row>
    <row r="410">
      <c r="A410" s="7"/>
      <c r="B410" s="114" t="s">
        <v>230</v>
      </c>
      <c r="C410" s="114" t="s">
        <v>771</v>
      </c>
      <c r="D410" s="115" t="s">
        <v>87</v>
      </c>
      <c r="E410" s="115" t="s">
        <v>775</v>
      </c>
      <c r="F410" s="116">
        <v>2011.0</v>
      </c>
      <c r="G410" s="116">
        <v>2020.0</v>
      </c>
      <c r="H410" s="116">
        <v>0.0</v>
      </c>
      <c r="I410" s="116">
        <v>9.4</v>
      </c>
      <c r="J410" s="117">
        <v>0.0</v>
      </c>
      <c r="K410" s="116">
        <v>0.0</v>
      </c>
      <c r="L410" s="114"/>
      <c r="M410" s="114"/>
      <c r="N410" s="116">
        <v>7.0</v>
      </c>
      <c r="O410" s="116">
        <v>117.0</v>
      </c>
      <c r="P410" s="114"/>
      <c r="Q410" s="140">
        <v>6800.0</v>
      </c>
      <c r="R410" s="114" t="s">
        <v>234</v>
      </c>
      <c r="S410" s="115">
        <v>2016.0</v>
      </c>
      <c r="T410" s="85">
        <v>0.251</v>
      </c>
      <c r="U410" s="118">
        <f t="shared" si="77"/>
        <v>1706.8</v>
      </c>
      <c r="V410" s="24">
        <f t="shared" si="3"/>
        <v>181.5744681</v>
      </c>
      <c r="W410" s="3">
        <f t="shared" si="29"/>
        <v>0</v>
      </c>
      <c r="X410" s="3">
        <f t="shared" si="30"/>
        <v>0</v>
      </c>
      <c r="Y410" s="3">
        <f t="shared" si="31"/>
        <v>0</v>
      </c>
      <c r="Z410" s="25">
        <f t="shared" si="32"/>
        <v>0</v>
      </c>
      <c r="AA410" s="26">
        <f>VLOOKUP(S410,CPI!$A$2:$E$67,5,0)</f>
        <v>1.269554638</v>
      </c>
      <c r="AB410" s="27">
        <f t="shared" si="8"/>
        <v>2166.875856</v>
      </c>
      <c r="AC410" s="27">
        <f t="shared" si="9"/>
        <v>230.5187081</v>
      </c>
    </row>
    <row r="411">
      <c r="A411" s="7"/>
      <c r="B411" s="114" t="s">
        <v>230</v>
      </c>
      <c r="C411" s="114" t="s">
        <v>771</v>
      </c>
      <c r="D411" s="114" t="s">
        <v>239</v>
      </c>
      <c r="E411" s="114" t="s">
        <v>239</v>
      </c>
      <c r="F411" s="116">
        <v>2015.0</v>
      </c>
      <c r="G411" s="116">
        <v>2020.0</v>
      </c>
      <c r="H411" s="116">
        <v>0.0</v>
      </c>
      <c r="I411" s="116">
        <v>29.54</v>
      </c>
      <c r="J411" s="117">
        <v>1.0</v>
      </c>
      <c r="K411" s="116">
        <v>29.54</v>
      </c>
      <c r="L411" s="114"/>
      <c r="M411" s="114"/>
      <c r="N411" s="116">
        <v>24.0</v>
      </c>
      <c r="O411" s="116">
        <v>184.0</v>
      </c>
      <c r="P411" s="114"/>
      <c r="Q411" s="140">
        <v>28799.0</v>
      </c>
      <c r="R411" s="114" t="s">
        <v>234</v>
      </c>
      <c r="S411" s="115">
        <v>2018.0</v>
      </c>
      <c r="T411" s="85">
        <v>0.237</v>
      </c>
      <c r="U411" s="118">
        <f t="shared" si="77"/>
        <v>6825.363</v>
      </c>
      <c r="V411" s="24">
        <f t="shared" si="3"/>
        <v>231.0549425</v>
      </c>
      <c r="W411" s="3">
        <f t="shared" si="29"/>
        <v>0</v>
      </c>
      <c r="X411" s="3">
        <f t="shared" si="30"/>
        <v>0</v>
      </c>
      <c r="Y411" s="3">
        <f t="shared" si="31"/>
        <v>0</v>
      </c>
      <c r="Z411" s="25">
        <f t="shared" si="32"/>
        <v>0</v>
      </c>
      <c r="AA411" s="26">
        <f>VLOOKUP(S411,CPI!$A$2:$E$67,5,0)</f>
        <v>1.21343491</v>
      </c>
      <c r="AB411" s="27">
        <f t="shared" si="8"/>
        <v>8282.133739</v>
      </c>
      <c r="AC411" s="27">
        <f t="shared" si="9"/>
        <v>280.3701333</v>
      </c>
    </row>
    <row r="412">
      <c r="A412" s="38">
        <v>7706.0</v>
      </c>
      <c r="B412" s="130" t="s">
        <v>230</v>
      </c>
      <c r="C412" s="130" t="s">
        <v>771</v>
      </c>
      <c r="D412" s="36" t="s">
        <v>80</v>
      </c>
      <c r="E412" s="130" t="s">
        <v>255</v>
      </c>
      <c r="F412" s="130">
        <v>2015.0</v>
      </c>
      <c r="G412" s="130">
        <v>2020.0</v>
      </c>
      <c r="H412" s="130">
        <v>0.0</v>
      </c>
      <c r="I412" s="130">
        <v>37.626</v>
      </c>
      <c r="J412" s="131">
        <v>0.345771541</v>
      </c>
      <c r="K412" s="130">
        <v>13.01</v>
      </c>
      <c r="L412" s="132">
        <v>24.8358</v>
      </c>
      <c r="M412" s="132">
        <v>0.0</v>
      </c>
      <c r="N412" s="130">
        <v>20.0</v>
      </c>
      <c r="O412" s="133">
        <v>138.0</v>
      </c>
      <c r="P412" s="130" t="s">
        <v>60</v>
      </c>
      <c r="Q412" s="135">
        <f>16.8*10^3</f>
        <v>16800</v>
      </c>
      <c r="R412" s="130" t="s">
        <v>234</v>
      </c>
      <c r="S412" s="130">
        <v>2017.0</v>
      </c>
      <c r="T412" s="136">
        <v>0.239</v>
      </c>
      <c r="U412" s="128">
        <f t="shared" si="77"/>
        <v>4015.2</v>
      </c>
      <c r="V412" s="24">
        <f t="shared" si="3"/>
        <v>106.7134428</v>
      </c>
      <c r="W412" s="3">
        <f t="shared" si="29"/>
        <v>0</v>
      </c>
      <c r="X412" s="3">
        <f t="shared" si="30"/>
        <v>0</v>
      </c>
      <c r="Y412" s="3">
        <f t="shared" si="31"/>
        <v>0</v>
      </c>
      <c r="Z412" s="25">
        <f t="shared" si="32"/>
        <v>0</v>
      </c>
      <c r="AA412" s="26">
        <f>VLOOKUP(S412,CPI!$A$2:$E$67,5,0)</f>
        <v>1.243072781</v>
      </c>
      <c r="AB412" s="27">
        <f t="shared" si="8"/>
        <v>4991.185829</v>
      </c>
      <c r="AC412" s="27">
        <f t="shared" si="9"/>
        <v>132.6525761</v>
      </c>
    </row>
    <row r="413">
      <c r="A413" s="170">
        <v>7784.0</v>
      </c>
      <c r="B413" s="123" t="s">
        <v>230</v>
      </c>
      <c r="C413" s="123" t="s">
        <v>771</v>
      </c>
      <c r="D413" s="36" t="s">
        <v>287</v>
      </c>
      <c r="E413" s="123" t="s">
        <v>287</v>
      </c>
      <c r="F413" s="75">
        <v>2017.0</v>
      </c>
      <c r="G413" s="75">
        <v>2022.0</v>
      </c>
      <c r="H413" s="75">
        <v>0.0</v>
      </c>
      <c r="I413" s="75">
        <v>40.0</v>
      </c>
      <c r="J413" s="124">
        <v>1.0</v>
      </c>
      <c r="K413" s="75">
        <v>40.0</v>
      </c>
      <c r="L413" s="125">
        <v>0.0</v>
      </c>
      <c r="M413" s="125">
        <v>0.0</v>
      </c>
      <c r="N413" s="75">
        <v>33.0</v>
      </c>
      <c r="O413" s="75"/>
      <c r="P413" s="123" t="s">
        <v>60</v>
      </c>
      <c r="Q413" s="126">
        <v>38140.0</v>
      </c>
      <c r="R413" s="123" t="s">
        <v>234</v>
      </c>
      <c r="S413" s="75">
        <v>2017.0</v>
      </c>
      <c r="T413" s="136">
        <v>0.239</v>
      </c>
      <c r="U413" s="128">
        <f t="shared" si="77"/>
        <v>9115.46</v>
      </c>
      <c r="V413" s="24">
        <f t="shared" si="3"/>
        <v>227.8865</v>
      </c>
      <c r="W413" s="3">
        <f t="shared" si="29"/>
        <v>0</v>
      </c>
      <c r="X413" s="3">
        <f t="shared" si="30"/>
        <v>0</v>
      </c>
      <c r="Y413" s="3">
        <f t="shared" si="31"/>
        <v>0</v>
      </c>
      <c r="Z413" s="25">
        <f t="shared" si="32"/>
        <v>0</v>
      </c>
      <c r="AA413" s="26">
        <f>VLOOKUP(S413,CPI!$A$2:$E$67,5,0)</f>
        <v>1.243072781</v>
      </c>
      <c r="AB413" s="27">
        <f t="shared" si="8"/>
        <v>11331.18021</v>
      </c>
      <c r="AC413" s="27">
        <f t="shared" si="9"/>
        <v>283.2795052</v>
      </c>
    </row>
    <row r="414">
      <c r="A414" s="38">
        <v>7707.0</v>
      </c>
      <c r="B414" s="123" t="s">
        <v>230</v>
      </c>
      <c r="C414" s="123" t="s">
        <v>771</v>
      </c>
      <c r="D414" s="36" t="s">
        <v>80</v>
      </c>
      <c r="E414" s="123" t="s">
        <v>779</v>
      </c>
      <c r="F414" s="75">
        <v>2018.0</v>
      </c>
      <c r="G414" s="75">
        <v>2022.0</v>
      </c>
      <c r="H414" s="75">
        <v>0.0</v>
      </c>
      <c r="I414" s="75">
        <v>6.13</v>
      </c>
      <c r="J414" s="124">
        <f>K414/I414</f>
        <v>0.8654159869</v>
      </c>
      <c r="K414" s="75">
        <v>5.305</v>
      </c>
      <c r="L414" s="125">
        <v>0.0</v>
      </c>
      <c r="M414" s="125">
        <v>0.0</v>
      </c>
      <c r="N414" s="75">
        <v>4.0</v>
      </c>
      <c r="O414" s="75"/>
      <c r="P414" s="123" t="s">
        <v>42</v>
      </c>
      <c r="Q414" s="126">
        <v>3795.0</v>
      </c>
      <c r="R414" s="123" t="s">
        <v>234</v>
      </c>
      <c r="S414" s="75">
        <v>2018.0</v>
      </c>
      <c r="T414" s="136">
        <v>0.237</v>
      </c>
      <c r="U414" s="215">
        <f t="shared" si="77"/>
        <v>899.415</v>
      </c>
      <c r="V414" s="24">
        <f t="shared" si="3"/>
        <v>146.723491</v>
      </c>
      <c r="W414" s="3">
        <f t="shared" si="29"/>
        <v>0</v>
      </c>
      <c r="X414" s="3">
        <f t="shared" si="30"/>
        <v>0</v>
      </c>
      <c r="Y414" s="3">
        <f t="shared" si="31"/>
        <v>0</v>
      </c>
      <c r="Z414" s="25">
        <f t="shared" si="32"/>
        <v>0</v>
      </c>
      <c r="AA414" s="26">
        <f>VLOOKUP(S414,CPI!$A$2:$E$67,5,0)</f>
        <v>1.21343491</v>
      </c>
      <c r="AB414" s="27">
        <f t="shared" si="8"/>
        <v>1091.38156</v>
      </c>
      <c r="AC414" s="27">
        <f t="shared" si="9"/>
        <v>178.0394062</v>
      </c>
    </row>
    <row r="415">
      <c r="A415" s="38">
        <v>7713.0</v>
      </c>
      <c r="B415" s="72" t="s">
        <v>230</v>
      </c>
      <c r="C415" s="72" t="s">
        <v>771</v>
      </c>
      <c r="D415" s="115" t="s">
        <v>287</v>
      </c>
      <c r="E415" s="115" t="s">
        <v>781</v>
      </c>
      <c r="F415" s="70">
        <v>2020.0</v>
      </c>
      <c r="G415" s="69">
        <v>2022.0</v>
      </c>
      <c r="H415" s="69">
        <v>0.0</v>
      </c>
      <c r="I415" s="69">
        <v>8.05</v>
      </c>
      <c r="J415" s="117">
        <v>1.0</v>
      </c>
      <c r="K415" s="69">
        <v>8.05</v>
      </c>
      <c r="L415" s="72"/>
      <c r="M415" s="72"/>
      <c r="N415" s="69">
        <v>6.0</v>
      </c>
      <c r="O415" s="69">
        <v>138.0</v>
      </c>
      <c r="P415" s="72"/>
      <c r="Q415" s="140">
        <v>9094.0</v>
      </c>
      <c r="R415" s="72" t="s">
        <v>234</v>
      </c>
      <c r="S415" s="115">
        <v>2021.0</v>
      </c>
      <c r="T415" s="136">
        <v>0.239</v>
      </c>
      <c r="U415" s="118">
        <f t="shared" si="77"/>
        <v>2173.466</v>
      </c>
      <c r="V415" s="24">
        <f t="shared" si="3"/>
        <v>269.9957764</v>
      </c>
      <c r="W415" s="3">
        <f t="shared" si="29"/>
        <v>0</v>
      </c>
      <c r="X415" s="3">
        <f t="shared" si="30"/>
        <v>0</v>
      </c>
      <c r="Y415" s="3">
        <f t="shared" si="31"/>
        <v>0</v>
      </c>
      <c r="Z415" s="25">
        <f t="shared" si="32"/>
        <v>0</v>
      </c>
      <c r="AA415" s="26">
        <f>VLOOKUP(S415,CPI!$A$2:$E$67,5,0)</f>
        <v>1.124486105</v>
      </c>
      <c r="AB415" s="27">
        <f t="shared" si="8"/>
        <v>2444.032318</v>
      </c>
      <c r="AC415" s="27">
        <f t="shared" si="9"/>
        <v>303.6064991</v>
      </c>
    </row>
    <row r="416">
      <c r="A416" s="7"/>
      <c r="B416" s="114" t="s">
        <v>230</v>
      </c>
      <c r="C416" s="114" t="s">
        <v>771</v>
      </c>
      <c r="D416" s="115" t="s">
        <v>87</v>
      </c>
      <c r="E416" s="115" t="s">
        <v>783</v>
      </c>
      <c r="F416" s="116">
        <v>2020.0</v>
      </c>
      <c r="G416" s="116">
        <v>2022.0</v>
      </c>
      <c r="H416" s="116">
        <v>0.0</v>
      </c>
      <c r="I416" s="116">
        <v>9.35</v>
      </c>
      <c r="J416" s="117">
        <v>0.79</v>
      </c>
      <c r="K416" s="116">
        <v>7.42</v>
      </c>
      <c r="L416" s="114"/>
      <c r="M416" s="114"/>
      <c r="N416" s="116">
        <v>7.0</v>
      </c>
      <c r="O416" s="116">
        <v>117.0</v>
      </c>
      <c r="P416" s="114"/>
      <c r="Q416" s="140">
        <v>10785.0</v>
      </c>
      <c r="R416" s="114" t="s">
        <v>234</v>
      </c>
      <c r="S416" s="115">
        <v>2020.0</v>
      </c>
      <c r="T416" s="136">
        <v>0.239</v>
      </c>
      <c r="U416" s="118">
        <f t="shared" si="77"/>
        <v>2577.615</v>
      </c>
      <c r="V416" s="24">
        <f t="shared" si="3"/>
        <v>275.6807487</v>
      </c>
      <c r="W416" s="3">
        <f t="shared" si="29"/>
        <v>0</v>
      </c>
      <c r="X416" s="3">
        <f t="shared" si="30"/>
        <v>0</v>
      </c>
      <c r="Y416" s="3">
        <f t="shared" si="31"/>
        <v>0</v>
      </c>
      <c r="Z416" s="25">
        <f t="shared" si="32"/>
        <v>0</v>
      </c>
      <c r="AA416" s="26">
        <f>VLOOKUP(S416,CPI!$A$2:$E$67,5,0)</f>
        <v>1.17731472</v>
      </c>
      <c r="AB416" s="27">
        <f t="shared" si="8"/>
        <v>3034.664082</v>
      </c>
      <c r="AC416" s="27">
        <f t="shared" si="9"/>
        <v>324.5630034</v>
      </c>
    </row>
    <row r="417">
      <c r="A417" s="38">
        <v>7712.0</v>
      </c>
      <c r="B417" s="123" t="s">
        <v>230</v>
      </c>
      <c r="C417" s="123" t="s">
        <v>771</v>
      </c>
      <c r="D417" s="36" t="s">
        <v>87</v>
      </c>
      <c r="E417" s="123" t="s">
        <v>785</v>
      </c>
      <c r="F417" s="218"/>
      <c r="G417" s="75">
        <v>2022.0</v>
      </c>
      <c r="H417" s="75">
        <v>0.0</v>
      </c>
      <c r="I417" s="75">
        <v>9.35</v>
      </c>
      <c r="J417" s="124">
        <v>0.7935828877</v>
      </c>
      <c r="K417" s="75">
        <v>7.42</v>
      </c>
      <c r="L417" s="125">
        <v>0.0</v>
      </c>
      <c r="M417" s="125">
        <v>0.0</v>
      </c>
      <c r="N417" s="75">
        <v>7.0</v>
      </c>
      <c r="O417" s="75"/>
      <c r="P417" s="123" t="s">
        <v>60</v>
      </c>
      <c r="Q417" s="126">
        <f>10.785*10^3</f>
        <v>10785</v>
      </c>
      <c r="R417" s="123" t="s">
        <v>234</v>
      </c>
      <c r="S417" s="75">
        <v>2020.0</v>
      </c>
      <c r="T417" s="136">
        <v>0.239</v>
      </c>
      <c r="U417" s="215">
        <f t="shared" si="77"/>
        <v>2577.615</v>
      </c>
      <c r="V417" s="24">
        <f t="shared" si="3"/>
        <v>275.6807487</v>
      </c>
      <c r="W417" s="3">
        <f t="shared" si="29"/>
        <v>0</v>
      </c>
      <c r="X417" s="3">
        <f t="shared" si="30"/>
        <v>0</v>
      </c>
      <c r="Y417" s="3">
        <f t="shared" si="31"/>
        <v>0</v>
      </c>
      <c r="Z417" s="25">
        <f t="shared" si="32"/>
        <v>0</v>
      </c>
      <c r="AA417" s="26">
        <f>VLOOKUP(S417,CPI!$A$2:$E$67,5,0)</f>
        <v>1.17731472</v>
      </c>
      <c r="AB417" s="27">
        <f t="shared" si="8"/>
        <v>3034.664082</v>
      </c>
      <c r="AC417" s="27">
        <f t="shared" si="9"/>
        <v>324.5630034</v>
      </c>
    </row>
    <row r="418">
      <c r="A418" s="203">
        <v>7810.0</v>
      </c>
      <c r="B418" s="123" t="s">
        <v>230</v>
      </c>
      <c r="C418" s="123" t="s">
        <v>771</v>
      </c>
      <c r="D418" s="36" t="s">
        <v>283</v>
      </c>
      <c r="E418" s="123" t="s">
        <v>283</v>
      </c>
      <c r="F418" s="75">
        <v>2018.0</v>
      </c>
      <c r="G418" s="75">
        <v>2023.0</v>
      </c>
      <c r="H418" s="75">
        <v>0.0</v>
      </c>
      <c r="I418" s="75">
        <v>27.6</v>
      </c>
      <c r="J418" s="124">
        <v>1.0</v>
      </c>
      <c r="K418" s="75">
        <v>27.6</v>
      </c>
      <c r="L418" s="125">
        <v>0.0</v>
      </c>
      <c r="M418" s="125">
        <v>0.0</v>
      </c>
      <c r="N418" s="75">
        <v>24.0</v>
      </c>
      <c r="O418" s="75"/>
      <c r="P418" s="123" t="s">
        <v>42</v>
      </c>
      <c r="Q418" s="126">
        <v>27530.0</v>
      </c>
      <c r="R418" s="123" t="s">
        <v>234</v>
      </c>
      <c r="S418" s="75">
        <v>2017.0</v>
      </c>
      <c r="T418" s="136">
        <v>0.239</v>
      </c>
      <c r="U418" s="128">
        <f t="shared" si="77"/>
        <v>6579.67</v>
      </c>
      <c r="V418" s="24">
        <f t="shared" si="3"/>
        <v>238.3938406</v>
      </c>
      <c r="W418" s="3">
        <f t="shared" si="29"/>
        <v>0</v>
      </c>
      <c r="X418" s="3">
        <f t="shared" si="30"/>
        <v>0</v>
      </c>
      <c r="Y418" s="3">
        <f t="shared" si="31"/>
        <v>0</v>
      </c>
      <c r="Z418" s="25">
        <f t="shared" si="32"/>
        <v>0</v>
      </c>
      <c r="AA418" s="26">
        <f>VLOOKUP(S418,CPI!$A$2:$E$67,5,0)</f>
        <v>1.243072781</v>
      </c>
      <c r="AB418" s="27">
        <f t="shared" si="8"/>
        <v>8179.008683</v>
      </c>
      <c r="AC418" s="27">
        <f t="shared" si="9"/>
        <v>296.3408943</v>
      </c>
    </row>
    <row r="419">
      <c r="A419" s="14">
        <v>9485.0</v>
      </c>
      <c r="B419" s="72" t="s">
        <v>230</v>
      </c>
      <c r="C419" s="72" t="s">
        <v>771</v>
      </c>
      <c r="D419" s="115" t="s">
        <v>243</v>
      </c>
      <c r="E419" s="115" t="s">
        <v>373</v>
      </c>
      <c r="F419" s="69">
        <v>2019.0</v>
      </c>
      <c r="G419" s="69">
        <v>2024.0</v>
      </c>
      <c r="H419" s="69">
        <v>0.0</v>
      </c>
      <c r="I419" s="69">
        <v>8.023</v>
      </c>
      <c r="J419" s="117">
        <v>1.0</v>
      </c>
      <c r="K419" s="69">
        <v>8.023</v>
      </c>
      <c r="L419" s="72"/>
      <c r="M419" s="72"/>
      <c r="N419" s="69">
        <v>4.0</v>
      </c>
      <c r="O419" s="70">
        <v>138.0</v>
      </c>
      <c r="P419" s="74"/>
      <c r="Q419" s="140">
        <v>6316.0</v>
      </c>
      <c r="R419" s="72" t="s">
        <v>234</v>
      </c>
      <c r="S419" s="115">
        <v>2021.0</v>
      </c>
      <c r="T419" s="136">
        <v>0.239</v>
      </c>
      <c r="U419" s="118">
        <f t="shared" si="77"/>
        <v>1509.524</v>
      </c>
      <c r="V419" s="24">
        <f t="shared" si="3"/>
        <v>188.14957</v>
      </c>
      <c r="W419" s="3">
        <f t="shared" si="29"/>
        <v>0</v>
      </c>
      <c r="X419" s="3">
        <f t="shared" si="30"/>
        <v>0</v>
      </c>
      <c r="Y419" s="3">
        <f t="shared" si="31"/>
        <v>0</v>
      </c>
      <c r="Z419" s="25">
        <f t="shared" si="32"/>
        <v>0</v>
      </c>
      <c r="AA419" s="26">
        <f>VLOOKUP(S419,CPI!$A$2:$E$67,5,0)</f>
        <v>1.124486105</v>
      </c>
      <c r="AB419" s="27">
        <f t="shared" si="8"/>
        <v>1697.438764</v>
      </c>
      <c r="AC419" s="27">
        <f t="shared" si="9"/>
        <v>211.5715772</v>
      </c>
    </row>
    <row r="420">
      <c r="A420" s="38">
        <v>7715.0</v>
      </c>
      <c r="B420" s="123" t="s">
        <v>230</v>
      </c>
      <c r="C420" s="123" t="s">
        <v>771</v>
      </c>
      <c r="D420" s="36" t="s">
        <v>236</v>
      </c>
      <c r="E420" s="123" t="s">
        <v>787</v>
      </c>
      <c r="F420" s="219">
        <v>2020.0</v>
      </c>
      <c r="G420" s="75">
        <v>2025.0</v>
      </c>
      <c r="H420" s="75">
        <v>0.0</v>
      </c>
      <c r="I420" s="75">
        <v>4.47</v>
      </c>
      <c r="J420" s="124">
        <v>1.0</v>
      </c>
      <c r="K420" s="75">
        <v>4.47</v>
      </c>
      <c r="L420" s="125">
        <v>0.0</v>
      </c>
      <c r="M420" s="125">
        <v>0.0</v>
      </c>
      <c r="N420" s="75">
        <v>3.0</v>
      </c>
      <c r="O420" s="75"/>
      <c r="P420" s="123" t="s">
        <v>60</v>
      </c>
      <c r="Q420" s="126">
        <f>4.962*10^3</f>
        <v>4962</v>
      </c>
      <c r="R420" s="123" t="s">
        <v>234</v>
      </c>
      <c r="S420" s="75">
        <v>2020.0</v>
      </c>
      <c r="T420" s="136">
        <v>0.239</v>
      </c>
      <c r="U420" s="128">
        <f t="shared" si="77"/>
        <v>1185.918</v>
      </c>
      <c r="V420" s="24">
        <f t="shared" si="3"/>
        <v>265.3060403</v>
      </c>
      <c r="W420" s="3">
        <f t="shared" si="29"/>
        <v>0</v>
      </c>
      <c r="X420" s="3">
        <f t="shared" si="30"/>
        <v>0</v>
      </c>
      <c r="Y420" s="3">
        <f t="shared" si="31"/>
        <v>0</v>
      </c>
      <c r="Z420" s="25">
        <f t="shared" si="32"/>
        <v>0</v>
      </c>
      <c r="AA420" s="26">
        <f>VLOOKUP(S420,CPI!$A$2:$E$67,5,0)</f>
        <v>1.17731472</v>
      </c>
      <c r="AB420" s="27">
        <f t="shared" si="8"/>
        <v>1396.198718</v>
      </c>
      <c r="AC420" s="27">
        <f t="shared" si="9"/>
        <v>312.3487065</v>
      </c>
    </row>
    <row r="421">
      <c r="A421" s="170">
        <v>7722.0</v>
      </c>
      <c r="B421" s="123" t="s">
        <v>230</v>
      </c>
      <c r="C421" s="123" t="s">
        <v>771</v>
      </c>
      <c r="D421" s="36" t="s">
        <v>243</v>
      </c>
      <c r="E421" s="123" t="s">
        <v>788</v>
      </c>
      <c r="F421" s="218"/>
      <c r="G421" s="75">
        <v>2025.0</v>
      </c>
      <c r="H421" s="75">
        <v>0.0</v>
      </c>
      <c r="I421" s="75">
        <v>4.26</v>
      </c>
      <c r="J421" s="124">
        <v>1.0</v>
      </c>
      <c r="K421" s="75">
        <v>4.26</v>
      </c>
      <c r="L421" s="220">
        <v>0.0</v>
      </c>
      <c r="M421" s="220">
        <v>0.0</v>
      </c>
      <c r="N421" s="123"/>
      <c r="O421" s="75"/>
      <c r="P421" s="123" t="s">
        <v>60</v>
      </c>
      <c r="Q421" s="126">
        <f>8.318*10^3</f>
        <v>8318</v>
      </c>
      <c r="R421" s="123" t="s">
        <v>234</v>
      </c>
      <c r="S421" s="75">
        <v>2020.0</v>
      </c>
      <c r="T421" s="136">
        <v>0.239</v>
      </c>
      <c r="U421" s="128">
        <f t="shared" si="77"/>
        <v>1988.002</v>
      </c>
      <c r="V421" s="24">
        <f t="shared" si="3"/>
        <v>466.6671362</v>
      </c>
      <c r="W421" s="3">
        <f t="shared" si="29"/>
        <v>0</v>
      </c>
      <c r="X421" s="3">
        <f t="shared" si="30"/>
        <v>0</v>
      </c>
      <c r="Y421" s="3">
        <f t="shared" si="31"/>
        <v>0</v>
      </c>
      <c r="Z421" s="25">
        <f t="shared" si="32"/>
        <v>0</v>
      </c>
      <c r="AA421" s="26">
        <f>VLOOKUP(S421,CPI!$A$2:$E$67,5,0)</f>
        <v>1.17731472</v>
      </c>
      <c r="AB421" s="27">
        <f t="shared" si="8"/>
        <v>2340.504018</v>
      </c>
      <c r="AC421" s="27">
        <f t="shared" si="9"/>
        <v>549.4140887</v>
      </c>
    </row>
    <row r="422">
      <c r="A422" s="7"/>
      <c r="B422" s="114" t="s">
        <v>230</v>
      </c>
      <c r="C422" s="114" t="s">
        <v>771</v>
      </c>
      <c r="D422" s="115" t="s">
        <v>84</v>
      </c>
      <c r="E422" s="114" t="s">
        <v>789</v>
      </c>
      <c r="F422" s="116">
        <v>2019.0</v>
      </c>
      <c r="G422" s="114"/>
      <c r="H422" s="116">
        <v>0.0</v>
      </c>
      <c r="I422" s="116">
        <v>2.88</v>
      </c>
      <c r="J422" s="117">
        <v>1.0</v>
      </c>
      <c r="K422" s="116">
        <v>2.88</v>
      </c>
      <c r="L422" s="114"/>
      <c r="M422" s="114"/>
      <c r="N422" s="116">
        <v>3.0</v>
      </c>
      <c r="O422" s="116">
        <v>138.0</v>
      </c>
      <c r="P422" s="114"/>
      <c r="Q422" s="140">
        <v>4050.0</v>
      </c>
      <c r="R422" s="114" t="s">
        <v>234</v>
      </c>
      <c r="S422" s="115">
        <v>2019.0</v>
      </c>
      <c r="T422" s="136">
        <v>0.238</v>
      </c>
      <c r="U422" s="118">
        <f t="shared" si="77"/>
        <v>963.9</v>
      </c>
      <c r="V422" s="24">
        <f t="shared" si="3"/>
        <v>334.6875</v>
      </c>
      <c r="W422" s="3">
        <f t="shared" si="29"/>
        <v>0</v>
      </c>
      <c r="X422" s="3">
        <f t="shared" si="30"/>
        <v>0</v>
      </c>
      <c r="Y422" s="3">
        <f t="shared" si="31"/>
        <v>0</v>
      </c>
      <c r="Z422" s="25">
        <f t="shared" si="32"/>
        <v>0</v>
      </c>
      <c r="AA422" s="26">
        <f>VLOOKUP(S422,CPI!$A$2:$E$67,5,0)</f>
        <v>1.191839066</v>
      </c>
      <c r="AB422" s="27">
        <f t="shared" si="8"/>
        <v>1148.813675</v>
      </c>
      <c r="AC422" s="27">
        <f t="shared" si="9"/>
        <v>398.8936373</v>
      </c>
    </row>
    <row r="423">
      <c r="A423" s="170">
        <v>7827.0</v>
      </c>
      <c r="B423" s="72" t="s">
        <v>230</v>
      </c>
      <c r="C423" s="72" t="s">
        <v>771</v>
      </c>
      <c r="D423" s="115" t="s">
        <v>267</v>
      </c>
      <c r="E423" s="72" t="s">
        <v>267</v>
      </c>
      <c r="F423" s="69">
        <v>2020.0</v>
      </c>
      <c r="G423" s="72"/>
      <c r="H423" s="69">
        <v>0.0</v>
      </c>
      <c r="I423" s="69">
        <v>50.34</v>
      </c>
      <c r="J423" s="117">
        <v>1.0</v>
      </c>
      <c r="K423" s="69">
        <v>50.34</v>
      </c>
      <c r="L423" s="72"/>
      <c r="M423" s="72"/>
      <c r="N423" s="69">
        <v>17.0</v>
      </c>
      <c r="O423" s="69">
        <v>184.0</v>
      </c>
      <c r="P423" s="72"/>
      <c r="Q423" s="140">
        <v>41005.0</v>
      </c>
      <c r="R423" s="72" t="s">
        <v>234</v>
      </c>
      <c r="S423" s="115">
        <v>2020.0</v>
      </c>
      <c r="T423" s="136">
        <v>0.239</v>
      </c>
      <c r="U423" s="118">
        <f t="shared" si="77"/>
        <v>9800.195</v>
      </c>
      <c r="V423" s="24">
        <f t="shared" si="3"/>
        <v>194.6800755</v>
      </c>
      <c r="W423" s="3">
        <f t="shared" si="29"/>
        <v>0</v>
      </c>
      <c r="X423" s="3">
        <f t="shared" si="30"/>
        <v>0</v>
      </c>
      <c r="Y423" s="3">
        <f t="shared" si="31"/>
        <v>0</v>
      </c>
      <c r="Z423" s="25">
        <f t="shared" si="32"/>
        <v>0</v>
      </c>
      <c r="AA423" s="26">
        <f>VLOOKUP(S423,CPI!$A$2:$E$67,5,0)</f>
        <v>1.17731472</v>
      </c>
      <c r="AB423" s="27">
        <f t="shared" si="8"/>
        <v>11537.91383</v>
      </c>
      <c r="AC423" s="27">
        <f t="shared" si="9"/>
        <v>229.1997186</v>
      </c>
    </row>
    <row r="424">
      <c r="A424" s="7"/>
      <c r="B424" s="114" t="s">
        <v>230</v>
      </c>
      <c r="C424" s="114" t="s">
        <v>771</v>
      </c>
      <c r="D424" s="115" t="s">
        <v>792</v>
      </c>
      <c r="E424" s="114" t="s">
        <v>793</v>
      </c>
      <c r="F424" s="116">
        <v>2021.0</v>
      </c>
      <c r="G424" s="114"/>
      <c r="H424" s="116">
        <v>1.0</v>
      </c>
      <c r="I424" s="116">
        <v>15.15</v>
      </c>
      <c r="J424" s="117">
        <v>1.0</v>
      </c>
      <c r="K424" s="116">
        <v>15.15</v>
      </c>
      <c r="L424" s="114"/>
      <c r="M424" s="114"/>
      <c r="N424" s="116">
        <v>3.0</v>
      </c>
      <c r="O424" s="116">
        <v>184.0</v>
      </c>
      <c r="P424" s="114"/>
      <c r="Q424" s="140">
        <v>11900.0</v>
      </c>
      <c r="R424" s="114" t="s">
        <v>234</v>
      </c>
      <c r="S424" s="115">
        <v>2021.0</v>
      </c>
      <c r="T424" s="136">
        <v>0.239000000000002</v>
      </c>
      <c r="U424" s="118">
        <f t="shared" si="77"/>
        <v>2844.1</v>
      </c>
      <c r="V424" s="24">
        <f t="shared" si="3"/>
        <v>187.7293729</v>
      </c>
      <c r="W424" s="3">
        <f t="shared" si="29"/>
        <v>0</v>
      </c>
      <c r="X424" s="3">
        <f t="shared" si="30"/>
        <v>0</v>
      </c>
      <c r="Y424" s="3">
        <f t="shared" si="31"/>
        <v>0</v>
      </c>
      <c r="Z424" s="25">
        <f t="shared" si="32"/>
        <v>0</v>
      </c>
      <c r="AA424" s="26">
        <f>VLOOKUP(S424,CPI!$A$2:$E$67,5,0)</f>
        <v>1.124486105</v>
      </c>
      <c r="AB424" s="27">
        <f t="shared" si="8"/>
        <v>3198.150933</v>
      </c>
      <c r="AC424" s="27">
        <f t="shared" si="9"/>
        <v>211.0990715</v>
      </c>
    </row>
    <row r="425">
      <c r="A425" s="38">
        <v>7714.0</v>
      </c>
      <c r="B425" s="72" t="s">
        <v>230</v>
      </c>
      <c r="C425" s="72" t="s">
        <v>771</v>
      </c>
      <c r="D425" s="36" t="s">
        <v>236</v>
      </c>
      <c r="E425" s="72" t="s">
        <v>795</v>
      </c>
      <c r="F425" s="70">
        <v>2021.0</v>
      </c>
      <c r="G425" s="74"/>
      <c r="H425" s="69">
        <v>0.0</v>
      </c>
      <c r="I425" s="69">
        <v>19.296</v>
      </c>
      <c r="J425" s="117">
        <v>1.0</v>
      </c>
      <c r="K425" s="69">
        <v>19.296</v>
      </c>
      <c r="L425" s="72"/>
      <c r="M425" s="72"/>
      <c r="N425" s="69">
        <v>11.0</v>
      </c>
      <c r="O425" s="70">
        <v>184.0</v>
      </c>
      <c r="P425" s="72"/>
      <c r="Q425" s="140">
        <v>27880.0</v>
      </c>
      <c r="R425" s="72" t="s">
        <v>234</v>
      </c>
      <c r="S425" s="115">
        <v>2021.0</v>
      </c>
      <c r="T425" s="136">
        <v>0.239</v>
      </c>
      <c r="U425" s="118">
        <f t="shared" si="77"/>
        <v>6663.32</v>
      </c>
      <c r="V425" s="24">
        <f t="shared" si="3"/>
        <v>345.3213101</v>
      </c>
      <c r="W425" s="3">
        <f t="shared" si="29"/>
        <v>0</v>
      </c>
      <c r="X425" s="3">
        <f t="shared" si="30"/>
        <v>0</v>
      </c>
      <c r="Y425" s="3">
        <f t="shared" si="31"/>
        <v>0</v>
      </c>
      <c r="Z425" s="25">
        <f t="shared" si="32"/>
        <v>0</v>
      </c>
      <c r="AA425" s="26">
        <f>VLOOKUP(S425,CPI!$A$2:$E$67,5,0)</f>
        <v>1.124486105</v>
      </c>
      <c r="AB425" s="27">
        <f t="shared" si="8"/>
        <v>7492.810756</v>
      </c>
      <c r="AC425" s="27">
        <f t="shared" si="9"/>
        <v>388.3090151</v>
      </c>
    </row>
    <row r="426">
      <c r="A426" s="170">
        <v>7771.0</v>
      </c>
      <c r="B426" s="72" t="s">
        <v>230</v>
      </c>
      <c r="C426" s="72" t="s">
        <v>771</v>
      </c>
      <c r="D426" s="72" t="s">
        <v>236</v>
      </c>
      <c r="E426" s="72" t="s">
        <v>236</v>
      </c>
      <c r="F426" s="69">
        <v>2021.0</v>
      </c>
      <c r="G426" s="72"/>
      <c r="H426" s="69">
        <v>0.0</v>
      </c>
      <c r="I426" s="69">
        <v>22.436</v>
      </c>
      <c r="J426" s="117">
        <v>1.0</v>
      </c>
      <c r="K426" s="69">
        <v>22.436</v>
      </c>
      <c r="L426" s="72"/>
      <c r="M426" s="72"/>
      <c r="N426" s="69">
        <v>16.0</v>
      </c>
      <c r="O426" s="70">
        <v>184.0</v>
      </c>
      <c r="P426" s="72"/>
      <c r="Q426" s="140">
        <v>23371.0</v>
      </c>
      <c r="R426" s="72" t="s">
        <v>234</v>
      </c>
      <c r="S426" s="115">
        <v>2021.0</v>
      </c>
      <c r="T426" s="136">
        <v>0.239</v>
      </c>
      <c r="U426" s="118">
        <f t="shared" si="77"/>
        <v>5585.669</v>
      </c>
      <c r="V426" s="24">
        <f t="shared" si="3"/>
        <v>248.9601088</v>
      </c>
      <c r="W426" s="3">
        <f t="shared" si="29"/>
        <v>0</v>
      </c>
      <c r="X426" s="3">
        <f t="shared" si="30"/>
        <v>0</v>
      </c>
      <c r="Y426" s="3">
        <f t="shared" si="31"/>
        <v>0</v>
      </c>
      <c r="Z426" s="25">
        <f t="shared" si="32"/>
        <v>0</v>
      </c>
      <c r="AA426" s="26">
        <f>VLOOKUP(S426,CPI!$A$2:$E$67,5,0)</f>
        <v>1.124486105</v>
      </c>
      <c r="AB426" s="27">
        <f t="shared" si="8"/>
        <v>6281.00718</v>
      </c>
      <c r="AC426" s="27">
        <f t="shared" si="9"/>
        <v>279.9521831</v>
      </c>
    </row>
    <row r="427">
      <c r="A427" s="7"/>
      <c r="B427" s="114" t="s">
        <v>230</v>
      </c>
      <c r="C427" s="114" t="s">
        <v>771</v>
      </c>
      <c r="D427" s="115" t="s">
        <v>798</v>
      </c>
      <c r="E427" s="114" t="s">
        <v>799</v>
      </c>
      <c r="F427" s="116">
        <v>2021.0</v>
      </c>
      <c r="G427" s="114"/>
      <c r="H427" s="116">
        <v>1.0</v>
      </c>
      <c r="I427" s="116">
        <v>39.4</v>
      </c>
      <c r="J427" s="117">
        <v>1.0</v>
      </c>
      <c r="K427" s="116">
        <v>39.4</v>
      </c>
      <c r="L427" s="114"/>
      <c r="M427" s="114"/>
      <c r="N427" s="116">
        <v>6.0</v>
      </c>
      <c r="O427" s="116">
        <v>184.0</v>
      </c>
      <c r="P427" s="114"/>
      <c r="Q427" s="140">
        <v>23620.0</v>
      </c>
      <c r="R427" s="114" t="s">
        <v>234</v>
      </c>
      <c r="S427" s="115">
        <v>2021.0</v>
      </c>
      <c r="T427" s="136">
        <v>0.239000000000002</v>
      </c>
      <c r="U427" s="118">
        <f t="shared" si="77"/>
        <v>5645.18</v>
      </c>
      <c r="V427" s="24">
        <f t="shared" si="3"/>
        <v>143.2786802</v>
      </c>
      <c r="W427" s="3">
        <f t="shared" si="29"/>
        <v>0</v>
      </c>
      <c r="X427" s="3">
        <f t="shared" si="30"/>
        <v>0</v>
      </c>
      <c r="Y427" s="3">
        <f t="shared" si="31"/>
        <v>0</v>
      </c>
      <c r="Z427" s="25">
        <f t="shared" si="32"/>
        <v>0</v>
      </c>
      <c r="AA427" s="26">
        <f>VLOOKUP(S427,CPI!$A$2:$E$67,5,0)</f>
        <v>1.124486105</v>
      </c>
      <c r="AB427" s="27">
        <f t="shared" si="8"/>
        <v>6347.926473</v>
      </c>
      <c r="AC427" s="27">
        <f t="shared" si="9"/>
        <v>161.1148851</v>
      </c>
    </row>
    <row r="428">
      <c r="A428" s="7"/>
      <c r="B428" s="114" t="s">
        <v>230</v>
      </c>
      <c r="C428" s="114" t="s">
        <v>771</v>
      </c>
      <c r="D428" s="115" t="s">
        <v>798</v>
      </c>
      <c r="E428" s="114" t="s">
        <v>801</v>
      </c>
      <c r="F428" s="116">
        <v>2021.0</v>
      </c>
      <c r="G428" s="114"/>
      <c r="H428" s="116">
        <v>1.0</v>
      </c>
      <c r="I428" s="116">
        <v>58.738</v>
      </c>
      <c r="J428" s="117">
        <v>1.0</v>
      </c>
      <c r="K428" s="116">
        <v>58.738</v>
      </c>
      <c r="L428" s="114"/>
      <c r="M428" s="114"/>
      <c r="N428" s="116">
        <v>11.0</v>
      </c>
      <c r="O428" s="116">
        <v>184.0</v>
      </c>
      <c r="P428" s="114"/>
      <c r="Q428" s="140">
        <v>51750.0</v>
      </c>
      <c r="R428" s="114" t="s">
        <v>234</v>
      </c>
      <c r="S428" s="115">
        <v>2021.0</v>
      </c>
      <c r="T428" s="136">
        <v>0.239000000000002</v>
      </c>
      <c r="U428" s="118">
        <f t="shared" si="77"/>
        <v>12368.25</v>
      </c>
      <c r="V428" s="24">
        <f t="shared" si="3"/>
        <v>210.5664136</v>
      </c>
      <c r="W428" s="3">
        <f t="shared" si="29"/>
        <v>0</v>
      </c>
      <c r="X428" s="3">
        <f t="shared" si="30"/>
        <v>0</v>
      </c>
      <c r="Y428" s="3">
        <f t="shared" si="31"/>
        <v>0</v>
      </c>
      <c r="Z428" s="25">
        <f t="shared" si="32"/>
        <v>0</v>
      </c>
      <c r="AA428" s="26">
        <f>VLOOKUP(S428,CPI!$A$2:$E$67,5,0)</f>
        <v>1.124486105</v>
      </c>
      <c r="AB428" s="27">
        <f t="shared" si="8"/>
        <v>13907.92527</v>
      </c>
      <c r="AC428" s="27">
        <f t="shared" si="9"/>
        <v>236.7790063</v>
      </c>
    </row>
    <row r="429">
      <c r="A429" s="170">
        <v>7728.0</v>
      </c>
      <c r="B429" s="72" t="s">
        <v>230</v>
      </c>
      <c r="C429" s="72" t="s">
        <v>771</v>
      </c>
      <c r="D429" s="115" t="s">
        <v>749</v>
      </c>
      <c r="E429" s="115" t="s">
        <v>750</v>
      </c>
      <c r="F429" s="70">
        <v>2022.0</v>
      </c>
      <c r="G429" s="72"/>
      <c r="H429" s="69">
        <v>0.0</v>
      </c>
      <c r="I429" s="69">
        <v>8.43</v>
      </c>
      <c r="J429" s="117">
        <v>1.0</v>
      </c>
      <c r="K429" s="69">
        <v>8.43</v>
      </c>
      <c r="L429" s="72"/>
      <c r="M429" s="72"/>
      <c r="N429" s="69">
        <v>5.0</v>
      </c>
      <c r="O429" s="69">
        <v>184.0</v>
      </c>
      <c r="P429" s="72"/>
      <c r="Q429" s="140">
        <v>11206.0</v>
      </c>
      <c r="R429" s="72" t="s">
        <v>234</v>
      </c>
      <c r="S429" s="115">
        <v>2021.0</v>
      </c>
      <c r="T429" s="136">
        <v>0.239</v>
      </c>
      <c r="U429" s="118">
        <f t="shared" si="77"/>
        <v>2678.234</v>
      </c>
      <c r="V429" s="24">
        <f t="shared" si="3"/>
        <v>317.7027284</v>
      </c>
      <c r="W429" s="3">
        <f t="shared" si="29"/>
        <v>0</v>
      </c>
      <c r="X429" s="3">
        <f t="shared" si="30"/>
        <v>0</v>
      </c>
      <c r="Y429" s="3">
        <f t="shared" si="31"/>
        <v>0</v>
      </c>
      <c r="Z429" s="25">
        <f t="shared" si="32"/>
        <v>0</v>
      </c>
      <c r="AA429" s="26">
        <f>VLOOKUP(S429,CPI!$A$2:$E$67,5,0)</f>
        <v>1.124486105</v>
      </c>
      <c r="AB429" s="27">
        <f t="shared" si="8"/>
        <v>3011.63692</v>
      </c>
      <c r="AC429" s="27">
        <f t="shared" si="9"/>
        <v>357.2523037</v>
      </c>
    </row>
    <row r="430">
      <c r="A430" s="170">
        <v>7723.0</v>
      </c>
      <c r="B430" s="123" t="s">
        <v>230</v>
      </c>
      <c r="C430" s="123" t="s">
        <v>771</v>
      </c>
      <c r="D430" s="36" t="s">
        <v>292</v>
      </c>
      <c r="E430" s="123" t="s">
        <v>724</v>
      </c>
      <c r="F430" s="142" t="s">
        <v>571</v>
      </c>
      <c r="G430" s="123"/>
      <c r="H430" s="75">
        <v>0.0</v>
      </c>
      <c r="I430" s="75">
        <v>5.58</v>
      </c>
      <c r="J430" s="124">
        <v>1.0</v>
      </c>
      <c r="K430" s="75">
        <v>5.58</v>
      </c>
      <c r="L430" s="125">
        <v>0.0</v>
      </c>
      <c r="M430" s="125">
        <v>0.0</v>
      </c>
      <c r="N430" s="75">
        <v>3.0</v>
      </c>
      <c r="O430" s="75"/>
      <c r="P430" s="123" t="s">
        <v>60</v>
      </c>
      <c r="Q430" s="126">
        <f>6.634*10^3</f>
        <v>6634</v>
      </c>
      <c r="R430" s="123" t="s">
        <v>234</v>
      </c>
      <c r="S430" s="75">
        <v>2020.0</v>
      </c>
      <c r="T430" s="136">
        <v>0.239</v>
      </c>
      <c r="U430" s="128">
        <f t="shared" si="77"/>
        <v>1585.526</v>
      </c>
      <c r="V430" s="24">
        <f t="shared" si="3"/>
        <v>284.1444444</v>
      </c>
      <c r="W430" s="3">
        <f t="shared" si="29"/>
        <v>0</v>
      </c>
      <c r="X430" s="3">
        <f t="shared" si="30"/>
        <v>0</v>
      </c>
      <c r="Y430" s="3">
        <f t="shared" si="31"/>
        <v>0</v>
      </c>
      <c r="Z430" s="25">
        <f t="shared" si="32"/>
        <v>0</v>
      </c>
      <c r="AA430" s="26">
        <f>VLOOKUP(S430,CPI!$A$2:$E$67,5,0)</f>
        <v>1.17731472</v>
      </c>
      <c r="AB430" s="27">
        <f t="shared" si="8"/>
        <v>1866.663099</v>
      </c>
      <c r="AC430" s="27">
        <f t="shared" si="9"/>
        <v>334.5274371</v>
      </c>
    </row>
    <row r="431">
      <c r="A431" s="203">
        <v>7720.0</v>
      </c>
      <c r="B431" s="123" t="s">
        <v>230</v>
      </c>
      <c r="C431" s="123" t="s">
        <v>771</v>
      </c>
      <c r="D431" s="36" t="s">
        <v>283</v>
      </c>
      <c r="E431" s="123" t="s">
        <v>805</v>
      </c>
      <c r="F431" s="142" t="s">
        <v>571</v>
      </c>
      <c r="G431" s="123"/>
      <c r="H431" s="75">
        <v>0.0</v>
      </c>
      <c r="I431" s="75">
        <v>9.53</v>
      </c>
      <c r="J431" s="124">
        <v>1.0</v>
      </c>
      <c r="K431" s="75">
        <v>9.53</v>
      </c>
      <c r="L431" s="125">
        <v>0.0</v>
      </c>
      <c r="M431" s="125">
        <v>0.0</v>
      </c>
      <c r="N431" s="75">
        <v>7.0</v>
      </c>
      <c r="O431" s="152">
        <v>138.0</v>
      </c>
      <c r="P431" s="123" t="s">
        <v>60</v>
      </c>
      <c r="Q431" s="126">
        <f>10.995*10^3</f>
        <v>10995</v>
      </c>
      <c r="R431" s="123" t="s">
        <v>234</v>
      </c>
      <c r="S431" s="75">
        <v>2020.0</v>
      </c>
      <c r="T431" s="136">
        <v>0.239</v>
      </c>
      <c r="U431" s="128">
        <f t="shared" si="77"/>
        <v>2627.805</v>
      </c>
      <c r="V431" s="24">
        <f t="shared" si="3"/>
        <v>275.7402938</v>
      </c>
      <c r="W431" s="3">
        <f t="shared" si="29"/>
        <v>0</v>
      </c>
      <c r="X431" s="3">
        <f t="shared" si="30"/>
        <v>0</v>
      </c>
      <c r="Y431" s="3">
        <f t="shared" si="31"/>
        <v>0</v>
      </c>
      <c r="Z431" s="25">
        <f t="shared" si="32"/>
        <v>0</v>
      </c>
      <c r="AA431" s="26">
        <f>VLOOKUP(S431,CPI!$A$2:$E$67,5,0)</f>
        <v>1.17731472</v>
      </c>
      <c r="AB431" s="27">
        <f t="shared" si="8"/>
        <v>3093.753508</v>
      </c>
      <c r="AC431" s="27">
        <f t="shared" si="9"/>
        <v>324.6331068</v>
      </c>
    </row>
    <row r="432">
      <c r="A432" s="170">
        <v>7721.0</v>
      </c>
      <c r="B432" s="123" t="s">
        <v>230</v>
      </c>
      <c r="C432" s="123" t="s">
        <v>771</v>
      </c>
      <c r="D432" s="36" t="s">
        <v>228</v>
      </c>
      <c r="E432" s="123" t="s">
        <v>477</v>
      </c>
      <c r="F432" s="142" t="s">
        <v>571</v>
      </c>
      <c r="G432" s="123"/>
      <c r="H432" s="75">
        <v>0.0</v>
      </c>
      <c r="I432" s="75">
        <v>2.45</v>
      </c>
      <c r="J432" s="124">
        <v>1.0</v>
      </c>
      <c r="K432" s="75">
        <v>2.45</v>
      </c>
      <c r="L432" s="125">
        <v>0.0</v>
      </c>
      <c r="M432" s="125">
        <v>0.0</v>
      </c>
      <c r="N432" s="75">
        <v>2.0</v>
      </c>
      <c r="O432" s="75"/>
      <c r="P432" s="123" t="s">
        <v>60</v>
      </c>
      <c r="Q432" s="126">
        <f>2.806*10^3</f>
        <v>2806</v>
      </c>
      <c r="R432" s="123" t="s">
        <v>234</v>
      </c>
      <c r="S432" s="75">
        <v>2020.0</v>
      </c>
      <c r="T432" s="136">
        <v>0.239</v>
      </c>
      <c r="U432" s="128">
        <f t="shared" si="77"/>
        <v>670.634</v>
      </c>
      <c r="V432" s="24">
        <f t="shared" si="3"/>
        <v>273.7281633</v>
      </c>
      <c r="W432" s="3">
        <f t="shared" si="29"/>
        <v>0</v>
      </c>
      <c r="X432" s="3">
        <f t="shared" si="30"/>
        <v>0</v>
      </c>
      <c r="Y432" s="3">
        <f t="shared" si="31"/>
        <v>0</v>
      </c>
      <c r="Z432" s="25">
        <f t="shared" si="32"/>
        <v>0</v>
      </c>
      <c r="AA432" s="26">
        <f>VLOOKUP(S432,CPI!$A$2:$E$67,5,0)</f>
        <v>1.17731472</v>
      </c>
      <c r="AB432" s="27">
        <f t="shared" si="8"/>
        <v>789.5472799</v>
      </c>
      <c r="AC432" s="27">
        <f t="shared" si="9"/>
        <v>322.2641959</v>
      </c>
    </row>
    <row r="433">
      <c r="A433" s="14">
        <v>9468.0</v>
      </c>
      <c r="B433" s="22" t="s">
        <v>230</v>
      </c>
      <c r="C433" s="22" t="s">
        <v>771</v>
      </c>
      <c r="D433" s="16" t="s">
        <v>57</v>
      </c>
      <c r="E433" s="22" t="s">
        <v>410</v>
      </c>
      <c r="F433" s="22"/>
      <c r="G433" s="22"/>
      <c r="H433" s="17">
        <v>0.0</v>
      </c>
      <c r="I433" s="17">
        <v>23.5</v>
      </c>
      <c r="J433" s="19">
        <f t="shared" ref="J433:J438" si="78">K433/I433</f>
        <v>0.7787234043</v>
      </c>
      <c r="K433" s="17">
        <v>18.3</v>
      </c>
      <c r="L433" s="177">
        <v>3.43</v>
      </c>
      <c r="M433" s="177">
        <v>1.975</v>
      </c>
      <c r="N433" s="17">
        <v>15.0</v>
      </c>
      <c r="O433" s="176"/>
      <c r="P433" s="68" t="s">
        <v>60</v>
      </c>
      <c r="Q433" s="23">
        <v>12126.0</v>
      </c>
      <c r="R433" s="22" t="s">
        <v>234</v>
      </c>
      <c r="S433" s="130">
        <v>2019.0</v>
      </c>
      <c r="T433" s="136">
        <v>0.238</v>
      </c>
      <c r="U433" s="118">
        <f t="shared" si="77"/>
        <v>2885.988</v>
      </c>
      <c r="V433" s="24">
        <f t="shared" si="3"/>
        <v>122.808</v>
      </c>
      <c r="W433" s="3">
        <f t="shared" si="29"/>
        <v>0</v>
      </c>
      <c r="X433" s="3">
        <f t="shared" si="30"/>
        <v>0</v>
      </c>
      <c r="Y433" s="3">
        <f t="shared" si="31"/>
        <v>0</v>
      </c>
      <c r="Z433" s="25">
        <f t="shared" si="32"/>
        <v>0</v>
      </c>
      <c r="AA433" s="26">
        <f>VLOOKUP(S433,CPI!$A$2:$E$67,5,0)</f>
        <v>1.191839066</v>
      </c>
      <c r="AB433" s="27">
        <f t="shared" si="8"/>
        <v>3439.633241</v>
      </c>
      <c r="AC433" s="27">
        <f t="shared" si="9"/>
        <v>146.367372</v>
      </c>
    </row>
    <row r="434">
      <c r="A434" s="14">
        <v>9469.0</v>
      </c>
      <c r="B434" s="22" t="s">
        <v>230</v>
      </c>
      <c r="C434" s="22" t="s">
        <v>771</v>
      </c>
      <c r="D434" s="22" t="s">
        <v>54</v>
      </c>
      <c r="E434" s="22" t="s">
        <v>54</v>
      </c>
      <c r="F434" s="22"/>
      <c r="G434" s="22"/>
      <c r="H434" s="17">
        <v>0.0</v>
      </c>
      <c r="I434" s="17">
        <v>35.8</v>
      </c>
      <c r="J434" s="19">
        <f t="shared" si="78"/>
        <v>1</v>
      </c>
      <c r="K434" s="17">
        <f>I434</f>
        <v>35.8</v>
      </c>
      <c r="L434" s="177">
        <v>0.0</v>
      </c>
      <c r="M434" s="177">
        <v>0.0</v>
      </c>
      <c r="N434" s="17">
        <v>29.0</v>
      </c>
      <c r="O434" s="176"/>
      <c r="P434" s="68" t="s">
        <v>60</v>
      </c>
      <c r="Q434" s="23">
        <v>17787.0</v>
      </c>
      <c r="R434" s="22" t="s">
        <v>234</v>
      </c>
      <c r="S434" s="130">
        <v>2019.0</v>
      </c>
      <c r="T434" s="136">
        <v>0.238</v>
      </c>
      <c r="U434" s="118">
        <f t="shared" si="77"/>
        <v>4233.306</v>
      </c>
      <c r="V434" s="24">
        <f t="shared" si="3"/>
        <v>118.2487709</v>
      </c>
      <c r="W434" s="3">
        <f t="shared" si="29"/>
        <v>0</v>
      </c>
      <c r="X434" s="3">
        <f t="shared" si="30"/>
        <v>0</v>
      </c>
      <c r="Y434" s="3">
        <f t="shared" si="31"/>
        <v>0</v>
      </c>
      <c r="Z434" s="25">
        <f t="shared" si="32"/>
        <v>0</v>
      </c>
      <c r="AA434" s="26">
        <f>VLOOKUP(S434,CPI!$A$2:$E$67,5,0)</f>
        <v>1.191839066</v>
      </c>
      <c r="AB434" s="27">
        <f t="shared" si="8"/>
        <v>5045.419468</v>
      </c>
      <c r="AC434" s="27">
        <f t="shared" si="9"/>
        <v>140.9335047</v>
      </c>
    </row>
    <row r="435">
      <c r="A435" s="14">
        <v>9470.0</v>
      </c>
      <c r="B435" s="22" t="s">
        <v>230</v>
      </c>
      <c r="C435" s="22" t="s">
        <v>771</v>
      </c>
      <c r="D435" s="36" t="s">
        <v>87</v>
      </c>
      <c r="E435" s="22" t="s">
        <v>87</v>
      </c>
      <c r="F435" s="22"/>
      <c r="G435" s="22"/>
      <c r="H435" s="17">
        <v>0.0</v>
      </c>
      <c r="I435" s="17">
        <v>41.5</v>
      </c>
      <c r="J435" s="19">
        <f t="shared" si="78"/>
        <v>0.4462650602</v>
      </c>
      <c r="K435" s="17">
        <v>18.52</v>
      </c>
      <c r="L435" s="177">
        <v>23.24</v>
      </c>
      <c r="M435" s="177">
        <v>0.0</v>
      </c>
      <c r="N435" s="17">
        <v>30.0</v>
      </c>
      <c r="O435" s="176"/>
      <c r="P435" s="68" t="s">
        <v>60</v>
      </c>
      <c r="Q435" s="23">
        <v>16858.0</v>
      </c>
      <c r="R435" s="22" t="s">
        <v>234</v>
      </c>
      <c r="S435" s="130">
        <v>2019.0</v>
      </c>
      <c r="T435" s="136">
        <v>0.238</v>
      </c>
      <c r="U435" s="118">
        <f t="shared" si="77"/>
        <v>4012.204</v>
      </c>
      <c r="V435" s="24">
        <f t="shared" si="3"/>
        <v>96.67961446</v>
      </c>
      <c r="W435" s="3">
        <f t="shared" si="29"/>
        <v>0</v>
      </c>
      <c r="X435" s="3">
        <f t="shared" si="30"/>
        <v>0</v>
      </c>
      <c r="Y435" s="3">
        <f t="shared" si="31"/>
        <v>0</v>
      </c>
      <c r="Z435" s="25">
        <f t="shared" si="32"/>
        <v>0</v>
      </c>
      <c r="AA435" s="26">
        <f>VLOOKUP(S435,CPI!$A$2:$E$67,5,0)</f>
        <v>1.191839066</v>
      </c>
      <c r="AB435" s="27">
        <f t="shared" si="8"/>
        <v>4781.901466</v>
      </c>
      <c r="AC435" s="27">
        <f t="shared" si="9"/>
        <v>115.2265414</v>
      </c>
    </row>
    <row r="436">
      <c r="A436" s="14">
        <v>9475.0</v>
      </c>
      <c r="B436" s="22" t="s">
        <v>230</v>
      </c>
      <c r="C436" s="22" t="s">
        <v>771</v>
      </c>
      <c r="D436" s="16" t="s">
        <v>110</v>
      </c>
      <c r="E436" s="22" t="s">
        <v>358</v>
      </c>
      <c r="F436" s="22"/>
      <c r="G436" s="22"/>
      <c r="H436" s="17">
        <v>0.0</v>
      </c>
      <c r="I436" s="17">
        <v>15.94</v>
      </c>
      <c r="J436" s="19">
        <f t="shared" si="78"/>
        <v>0.3193224592</v>
      </c>
      <c r="K436" s="17">
        <v>5.09</v>
      </c>
      <c r="L436" s="177">
        <v>10.9986</v>
      </c>
      <c r="M436" s="177">
        <v>0.0</v>
      </c>
      <c r="N436" s="17">
        <v>10.0</v>
      </c>
      <c r="O436" s="176"/>
      <c r="P436" s="68" t="s">
        <v>60</v>
      </c>
      <c r="Q436" s="23">
        <v>5799.0</v>
      </c>
      <c r="R436" s="22" t="s">
        <v>234</v>
      </c>
      <c r="S436" s="130">
        <v>2019.0</v>
      </c>
      <c r="T436" s="136">
        <v>0.238</v>
      </c>
      <c r="U436" s="118">
        <f t="shared" si="77"/>
        <v>1380.162</v>
      </c>
      <c r="V436" s="24">
        <f t="shared" si="3"/>
        <v>86.58481807</v>
      </c>
      <c r="W436" s="3">
        <f t="shared" si="29"/>
        <v>0</v>
      </c>
      <c r="X436" s="3">
        <f t="shared" si="30"/>
        <v>0</v>
      </c>
      <c r="Y436" s="3">
        <f t="shared" si="31"/>
        <v>0</v>
      </c>
      <c r="Z436" s="25">
        <f t="shared" si="32"/>
        <v>0</v>
      </c>
      <c r="AA436" s="26">
        <f>VLOOKUP(S436,CPI!$A$2:$E$67,5,0)</f>
        <v>1.191839066</v>
      </c>
      <c r="AB436" s="27">
        <f t="shared" si="8"/>
        <v>1644.930988</v>
      </c>
      <c r="AC436" s="27">
        <f t="shared" si="9"/>
        <v>103.1951687</v>
      </c>
    </row>
    <row r="437">
      <c r="A437" s="14">
        <v>9476.0</v>
      </c>
      <c r="B437" s="22" t="s">
        <v>230</v>
      </c>
      <c r="C437" s="22" t="s">
        <v>771</v>
      </c>
      <c r="D437" s="36" t="s">
        <v>84</v>
      </c>
      <c r="E437" s="22" t="s">
        <v>84</v>
      </c>
      <c r="F437" s="22"/>
      <c r="G437" s="22"/>
      <c r="H437" s="17">
        <v>0.0</v>
      </c>
      <c r="I437" s="17">
        <v>40.1</v>
      </c>
      <c r="J437" s="19">
        <f t="shared" si="78"/>
        <v>0.8927680798</v>
      </c>
      <c r="K437" s="17">
        <v>35.8</v>
      </c>
      <c r="L437" s="177">
        <v>4.411</v>
      </c>
      <c r="M437" s="177">
        <v>0.0</v>
      </c>
      <c r="N437" s="17">
        <v>27.0</v>
      </c>
      <c r="O437" s="176"/>
      <c r="P437" s="68" t="s">
        <v>60</v>
      </c>
      <c r="Q437" s="23">
        <v>20558.0</v>
      </c>
      <c r="R437" s="22" t="s">
        <v>234</v>
      </c>
      <c r="S437" s="130">
        <v>2019.0</v>
      </c>
      <c r="T437" s="136">
        <v>0.238</v>
      </c>
      <c r="U437" s="118">
        <f t="shared" si="77"/>
        <v>4892.804</v>
      </c>
      <c r="V437" s="24">
        <f t="shared" si="3"/>
        <v>122.0150623</v>
      </c>
      <c r="W437" s="3">
        <f t="shared" si="29"/>
        <v>0</v>
      </c>
      <c r="X437" s="3">
        <f t="shared" si="30"/>
        <v>0</v>
      </c>
      <c r="Y437" s="3">
        <f t="shared" si="31"/>
        <v>0</v>
      </c>
      <c r="Z437" s="25">
        <f t="shared" si="32"/>
        <v>0</v>
      </c>
      <c r="AA437" s="26">
        <f>VLOOKUP(S437,CPI!$A$2:$E$67,5,0)</f>
        <v>1.191839066</v>
      </c>
      <c r="AB437" s="27">
        <f t="shared" si="8"/>
        <v>5831.434948</v>
      </c>
      <c r="AC437" s="27">
        <f t="shared" si="9"/>
        <v>145.4223179</v>
      </c>
    </row>
    <row r="438">
      <c r="A438" s="14">
        <v>9478.0</v>
      </c>
      <c r="B438" s="22" t="s">
        <v>230</v>
      </c>
      <c r="C438" s="22" t="s">
        <v>771</v>
      </c>
      <c r="D438" s="22" t="s">
        <v>253</v>
      </c>
      <c r="E438" s="22" t="s">
        <v>253</v>
      </c>
      <c r="F438" s="22"/>
      <c r="G438" s="22"/>
      <c r="H438" s="17">
        <v>0.0</v>
      </c>
      <c r="I438" s="17">
        <v>25.33</v>
      </c>
      <c r="J438" s="19">
        <f t="shared" si="78"/>
        <v>1</v>
      </c>
      <c r="K438" s="17">
        <f>I438</f>
        <v>25.33</v>
      </c>
      <c r="L438" s="177">
        <v>0.0</v>
      </c>
      <c r="M438" s="177">
        <v>0.0</v>
      </c>
      <c r="N438" s="17">
        <v>22.0</v>
      </c>
      <c r="O438" s="176"/>
      <c r="P438" s="68" t="s">
        <v>60</v>
      </c>
      <c r="Q438" s="23">
        <v>22371.0</v>
      </c>
      <c r="R438" s="22" t="s">
        <v>234</v>
      </c>
      <c r="S438" s="130">
        <v>2019.0</v>
      </c>
      <c r="T438" s="136">
        <v>0.238</v>
      </c>
      <c r="U438" s="118">
        <f t="shared" si="77"/>
        <v>5324.298</v>
      </c>
      <c r="V438" s="24">
        <f t="shared" si="3"/>
        <v>210.1973154</v>
      </c>
      <c r="W438" s="3">
        <f t="shared" si="29"/>
        <v>0</v>
      </c>
      <c r="X438" s="3">
        <f t="shared" si="30"/>
        <v>0</v>
      </c>
      <c r="Y438" s="3">
        <f t="shared" si="31"/>
        <v>0</v>
      </c>
      <c r="Z438" s="25">
        <f t="shared" si="32"/>
        <v>0</v>
      </c>
      <c r="AA438" s="26">
        <f>VLOOKUP(S438,CPI!$A$2:$E$67,5,0)</f>
        <v>1.191839066</v>
      </c>
      <c r="AB438" s="27">
        <f t="shared" si="8"/>
        <v>6345.706353</v>
      </c>
      <c r="AC438" s="27">
        <f t="shared" si="9"/>
        <v>250.521372</v>
      </c>
    </row>
    <row r="439">
      <c r="A439" s="163"/>
      <c r="B439" s="114" t="s">
        <v>230</v>
      </c>
      <c r="C439" s="114" t="s">
        <v>806</v>
      </c>
      <c r="D439" s="114" t="s">
        <v>324</v>
      </c>
      <c r="E439" s="114" t="s">
        <v>324</v>
      </c>
      <c r="F439" s="116">
        <v>2012.0</v>
      </c>
      <c r="G439" s="116">
        <v>2020.0</v>
      </c>
      <c r="H439" s="116">
        <v>0.0</v>
      </c>
      <c r="I439" s="116">
        <v>59.6</v>
      </c>
      <c r="J439" s="117">
        <v>1.0</v>
      </c>
      <c r="K439" s="116">
        <v>59.6</v>
      </c>
      <c r="L439" s="114"/>
      <c r="M439" s="114"/>
      <c r="N439" s="116">
        <v>52.0</v>
      </c>
      <c r="O439" s="116">
        <v>138.0</v>
      </c>
      <c r="P439" s="114"/>
      <c r="Q439" s="140">
        <v>42190.0</v>
      </c>
      <c r="R439" s="114" t="s">
        <v>234</v>
      </c>
      <c r="S439" s="115">
        <v>2016.0</v>
      </c>
      <c r="T439" s="85">
        <v>0.251</v>
      </c>
      <c r="U439" s="118">
        <f t="shared" si="77"/>
        <v>10589.69</v>
      </c>
      <c r="V439" s="24">
        <f t="shared" si="3"/>
        <v>177.6793624</v>
      </c>
      <c r="W439" s="3">
        <f t="shared" si="29"/>
        <v>0</v>
      </c>
      <c r="X439" s="3">
        <f t="shared" si="30"/>
        <v>0</v>
      </c>
      <c r="Y439" s="3">
        <f t="shared" si="31"/>
        <v>0</v>
      </c>
      <c r="Z439" s="25">
        <f t="shared" si="32"/>
        <v>0</v>
      </c>
      <c r="AA439" s="26">
        <f>VLOOKUP(S439,CPI!$A$2:$E$67,5,0)</f>
        <v>1.269554638</v>
      </c>
      <c r="AB439" s="27">
        <f t="shared" si="8"/>
        <v>13444.19005</v>
      </c>
      <c r="AC439" s="27">
        <f t="shared" si="9"/>
        <v>225.5736586</v>
      </c>
    </row>
    <row r="440">
      <c r="A440" s="163"/>
      <c r="B440" s="114" t="s">
        <v>230</v>
      </c>
      <c r="C440" s="114" t="s">
        <v>806</v>
      </c>
      <c r="D440" s="115" t="s">
        <v>57</v>
      </c>
      <c r="E440" s="115" t="s">
        <v>410</v>
      </c>
      <c r="F440" s="116">
        <v>2012.0</v>
      </c>
      <c r="G440" s="116">
        <v>2021.0</v>
      </c>
      <c r="H440" s="116">
        <v>0.0</v>
      </c>
      <c r="I440" s="116">
        <v>12.7</v>
      </c>
      <c r="J440" s="117">
        <v>1.0</v>
      </c>
      <c r="K440" s="116">
        <v>12.7</v>
      </c>
      <c r="L440" s="114"/>
      <c r="M440" s="114"/>
      <c r="N440" s="116">
        <v>7.0</v>
      </c>
      <c r="O440" s="116">
        <v>138.0</v>
      </c>
      <c r="P440" s="114"/>
      <c r="Q440" s="140">
        <v>7731.0</v>
      </c>
      <c r="R440" s="114" t="s">
        <v>234</v>
      </c>
      <c r="S440" s="115">
        <v>2016.0</v>
      </c>
      <c r="T440" s="85">
        <v>0.251</v>
      </c>
      <c r="U440" s="118">
        <f t="shared" si="77"/>
        <v>1940.481</v>
      </c>
      <c r="V440" s="24">
        <f t="shared" si="3"/>
        <v>152.7937795</v>
      </c>
      <c r="W440" s="3">
        <f t="shared" si="29"/>
        <v>0</v>
      </c>
      <c r="X440" s="3">
        <f t="shared" si="30"/>
        <v>0</v>
      </c>
      <c r="Y440" s="3">
        <f t="shared" si="31"/>
        <v>0</v>
      </c>
      <c r="Z440" s="25">
        <f t="shared" si="32"/>
        <v>0</v>
      </c>
      <c r="AA440" s="26">
        <f>VLOOKUP(S440,CPI!$A$2:$E$67,5,0)</f>
        <v>1.269554638</v>
      </c>
      <c r="AB440" s="27">
        <f t="shared" si="8"/>
        <v>2463.546653</v>
      </c>
      <c r="AC440" s="27">
        <f t="shared" si="9"/>
        <v>193.9800515</v>
      </c>
    </row>
    <row r="441">
      <c r="A441" s="163"/>
      <c r="B441" s="114" t="s">
        <v>230</v>
      </c>
      <c r="C441" s="114" t="s">
        <v>806</v>
      </c>
      <c r="D441" s="115" t="s">
        <v>87</v>
      </c>
      <c r="E441" s="115" t="s">
        <v>357</v>
      </c>
      <c r="F441" s="116">
        <v>2012.0</v>
      </c>
      <c r="G441" s="116">
        <v>2021.0</v>
      </c>
      <c r="H441" s="116">
        <v>0.0</v>
      </c>
      <c r="I441" s="116">
        <v>8.1</v>
      </c>
      <c r="J441" s="117">
        <v>1.0</v>
      </c>
      <c r="K441" s="116">
        <v>8.1</v>
      </c>
      <c r="L441" s="114"/>
      <c r="M441" s="114"/>
      <c r="N441" s="116">
        <v>5.0</v>
      </c>
      <c r="O441" s="116">
        <v>138.0</v>
      </c>
      <c r="P441" s="114"/>
      <c r="Q441" s="140">
        <v>5465.0</v>
      </c>
      <c r="R441" s="114" t="s">
        <v>234</v>
      </c>
      <c r="S441" s="115">
        <v>2016.0</v>
      </c>
      <c r="T441" s="85">
        <v>0.251</v>
      </c>
      <c r="U441" s="118">
        <f t="shared" si="77"/>
        <v>1371.715</v>
      </c>
      <c r="V441" s="24">
        <f t="shared" si="3"/>
        <v>169.3475309</v>
      </c>
      <c r="W441" s="3">
        <f t="shared" si="29"/>
        <v>0</v>
      </c>
      <c r="X441" s="3">
        <f t="shared" si="30"/>
        <v>0</v>
      </c>
      <c r="Y441" s="3">
        <f t="shared" si="31"/>
        <v>0</v>
      </c>
      <c r="Z441" s="25">
        <f t="shared" si="32"/>
        <v>0</v>
      </c>
      <c r="AA441" s="26">
        <f>VLOOKUP(S441,CPI!$A$2:$E$67,5,0)</f>
        <v>1.269554638</v>
      </c>
      <c r="AB441" s="27">
        <f t="shared" si="8"/>
        <v>1741.46714</v>
      </c>
      <c r="AC441" s="27">
        <f t="shared" si="9"/>
        <v>214.9959432</v>
      </c>
    </row>
    <row r="442">
      <c r="A442" s="163"/>
      <c r="B442" s="114" t="s">
        <v>230</v>
      </c>
      <c r="C442" s="114" t="s">
        <v>806</v>
      </c>
      <c r="D442" s="114" t="s">
        <v>110</v>
      </c>
      <c r="E442" s="114" t="s">
        <v>110</v>
      </c>
      <c r="F442" s="116">
        <v>2020.0</v>
      </c>
      <c r="G442" s="114"/>
      <c r="H442" s="116">
        <v>0.0</v>
      </c>
      <c r="I442" s="116">
        <v>24.4</v>
      </c>
      <c r="J442" s="117">
        <v>1.0</v>
      </c>
      <c r="K442" s="116">
        <v>24.4</v>
      </c>
      <c r="L442" s="114"/>
      <c r="M442" s="114"/>
      <c r="N442" s="116">
        <v>21.0</v>
      </c>
      <c r="O442" s="116"/>
      <c r="P442" s="114"/>
      <c r="Q442" s="140">
        <v>17201.0</v>
      </c>
      <c r="R442" s="114" t="s">
        <v>234</v>
      </c>
      <c r="S442" s="115">
        <v>2020.0</v>
      </c>
      <c r="T442" s="136">
        <v>0.239</v>
      </c>
      <c r="U442" s="118">
        <f t="shared" si="77"/>
        <v>4111.039</v>
      </c>
      <c r="V442" s="24">
        <f t="shared" si="3"/>
        <v>168.4852049</v>
      </c>
      <c r="W442" s="3">
        <f t="shared" si="29"/>
        <v>0</v>
      </c>
      <c r="X442" s="3">
        <f t="shared" si="30"/>
        <v>0</v>
      </c>
      <c r="Y442" s="3">
        <f t="shared" si="31"/>
        <v>0</v>
      </c>
      <c r="Z442" s="25">
        <f t="shared" si="32"/>
        <v>0</v>
      </c>
      <c r="AA442" s="26">
        <f>VLOOKUP(S442,CPI!$A$2:$E$67,5,0)</f>
        <v>1.17731472</v>
      </c>
      <c r="AB442" s="27">
        <f t="shared" si="8"/>
        <v>4839.986729</v>
      </c>
      <c r="AC442" s="27">
        <f t="shared" si="9"/>
        <v>198.3601119</v>
      </c>
    </row>
    <row r="443">
      <c r="A443" s="163"/>
      <c r="B443" s="114" t="s">
        <v>230</v>
      </c>
      <c r="C443" s="114" t="s">
        <v>806</v>
      </c>
      <c r="D443" s="16" t="s">
        <v>80</v>
      </c>
      <c r="E443" s="115" t="s">
        <v>255</v>
      </c>
      <c r="F443" s="116">
        <v>2020.0</v>
      </c>
      <c r="G443" s="114"/>
      <c r="H443" s="116">
        <v>0.0</v>
      </c>
      <c r="I443" s="116">
        <v>15.76</v>
      </c>
      <c r="J443" s="117">
        <v>1.0</v>
      </c>
      <c r="K443" s="116">
        <v>15.76</v>
      </c>
      <c r="L443" s="114"/>
      <c r="M443" s="114"/>
      <c r="N443" s="116">
        <v>11.0</v>
      </c>
      <c r="O443" s="116"/>
      <c r="P443" s="114"/>
      <c r="Q443" s="140">
        <v>10063.0</v>
      </c>
      <c r="R443" s="114" t="s">
        <v>234</v>
      </c>
      <c r="S443" s="115">
        <v>2020.0</v>
      </c>
      <c r="T443" s="136">
        <v>0.239</v>
      </c>
      <c r="U443" s="118">
        <f t="shared" si="77"/>
        <v>2405.057</v>
      </c>
      <c r="V443" s="24">
        <f t="shared" si="3"/>
        <v>152.6051396</v>
      </c>
      <c r="W443" s="3">
        <f t="shared" si="29"/>
        <v>0</v>
      </c>
      <c r="X443" s="3">
        <f t="shared" si="30"/>
        <v>0</v>
      </c>
      <c r="Y443" s="3">
        <f t="shared" si="31"/>
        <v>0</v>
      </c>
      <c r="Z443" s="25">
        <f t="shared" si="32"/>
        <v>0</v>
      </c>
      <c r="AA443" s="26">
        <f>VLOOKUP(S443,CPI!$A$2:$E$67,5,0)</f>
        <v>1.17731472</v>
      </c>
      <c r="AB443" s="27">
        <f t="shared" si="8"/>
        <v>2831.509009</v>
      </c>
      <c r="AC443" s="27">
        <f t="shared" si="9"/>
        <v>179.6642772</v>
      </c>
    </row>
    <row r="444">
      <c r="A444" s="7"/>
      <c r="B444" s="114" t="s">
        <v>230</v>
      </c>
      <c r="C444" s="114" t="s">
        <v>813</v>
      </c>
      <c r="D444" s="114" t="s">
        <v>54</v>
      </c>
      <c r="E444" s="114" t="s">
        <v>54</v>
      </c>
      <c r="F444" s="116">
        <v>2009.0</v>
      </c>
      <c r="G444" s="116">
        <v>2014.0</v>
      </c>
      <c r="H444" s="116">
        <v>0.0</v>
      </c>
      <c r="I444" s="116">
        <v>26.557</v>
      </c>
      <c r="J444" s="117">
        <v>0.7</v>
      </c>
      <c r="K444" s="116">
        <v>18.709</v>
      </c>
      <c r="L444" s="114"/>
      <c r="M444" s="114"/>
      <c r="N444" s="116">
        <v>22.0</v>
      </c>
      <c r="O444" s="116">
        <v>117.0</v>
      </c>
      <c r="P444" s="114"/>
      <c r="Q444" s="140">
        <v>15600.0</v>
      </c>
      <c r="R444" s="114" t="s">
        <v>234</v>
      </c>
      <c r="S444" s="115">
        <v>2012.0</v>
      </c>
      <c r="T444" s="85">
        <v>0.281</v>
      </c>
      <c r="U444" s="118">
        <f t="shared" si="77"/>
        <v>4383.6</v>
      </c>
      <c r="V444" s="24">
        <f t="shared" si="3"/>
        <v>165.063825</v>
      </c>
      <c r="W444" s="3">
        <f t="shared" si="29"/>
        <v>0</v>
      </c>
      <c r="X444" s="3">
        <f t="shared" si="30"/>
        <v>0</v>
      </c>
      <c r="Y444" s="3">
        <f t="shared" si="31"/>
        <v>0</v>
      </c>
      <c r="Z444" s="25">
        <f t="shared" si="32"/>
        <v>0</v>
      </c>
      <c r="AA444" s="26">
        <f>VLOOKUP(S444,CPI!$A$2:$E$67,5,0)</f>
        <v>1.327133984</v>
      </c>
      <c r="AB444" s="27">
        <f t="shared" si="8"/>
        <v>5817.624534</v>
      </c>
      <c r="AC444" s="27">
        <f t="shared" si="9"/>
        <v>219.0618117</v>
      </c>
    </row>
    <row r="445">
      <c r="A445" s="7"/>
      <c r="B445" s="114" t="s">
        <v>230</v>
      </c>
      <c r="C445" s="114" t="s">
        <v>813</v>
      </c>
      <c r="D445" s="114" t="s">
        <v>84</v>
      </c>
      <c r="E445" s="114" t="s">
        <v>84</v>
      </c>
      <c r="F445" s="116">
        <v>2020.0</v>
      </c>
      <c r="G445" s="114"/>
      <c r="H445" s="116">
        <v>0.0</v>
      </c>
      <c r="I445" s="116">
        <v>44.1</v>
      </c>
      <c r="J445" s="117">
        <v>0.99</v>
      </c>
      <c r="K445" s="116">
        <v>43.6</v>
      </c>
      <c r="L445" s="114"/>
      <c r="M445" s="114"/>
      <c r="N445" s="116">
        <v>34.0</v>
      </c>
      <c r="O445" s="116">
        <v>117.0</v>
      </c>
      <c r="P445" s="114"/>
      <c r="Q445" s="140">
        <v>28308.0</v>
      </c>
      <c r="R445" s="114" t="s">
        <v>234</v>
      </c>
      <c r="S445" s="115">
        <v>2020.0</v>
      </c>
      <c r="T445" s="136">
        <v>0.239</v>
      </c>
      <c r="U445" s="118">
        <f t="shared" si="77"/>
        <v>6765.612</v>
      </c>
      <c r="V445" s="24">
        <f t="shared" si="3"/>
        <v>153.4152381</v>
      </c>
      <c r="W445" s="3">
        <f t="shared" si="29"/>
        <v>0</v>
      </c>
      <c r="X445" s="3">
        <f t="shared" si="30"/>
        <v>0</v>
      </c>
      <c r="Y445" s="3">
        <f t="shared" si="31"/>
        <v>0</v>
      </c>
      <c r="Z445" s="25">
        <f t="shared" si="32"/>
        <v>0</v>
      </c>
      <c r="AA445" s="26">
        <f>VLOOKUP(S445,CPI!$A$2:$E$67,5,0)</f>
        <v>1.17731472</v>
      </c>
      <c r="AB445" s="27">
        <f t="shared" si="8"/>
        <v>7965.254597</v>
      </c>
      <c r="AC445" s="27">
        <f t="shared" si="9"/>
        <v>180.6180181</v>
      </c>
    </row>
    <row r="446">
      <c r="A446" s="38">
        <v>8009.0</v>
      </c>
      <c r="B446" s="72" t="s">
        <v>230</v>
      </c>
      <c r="C446" s="72" t="s">
        <v>813</v>
      </c>
      <c r="D446" s="72" t="s">
        <v>80</v>
      </c>
      <c r="E446" s="72" t="s">
        <v>80</v>
      </c>
      <c r="F446" s="69">
        <v>2020.0</v>
      </c>
      <c r="G446" s="72"/>
      <c r="H446" s="69">
        <v>0.0</v>
      </c>
      <c r="I446" s="69">
        <v>36.2</v>
      </c>
      <c r="J446" s="117">
        <v>1.0</v>
      </c>
      <c r="K446" s="69">
        <v>36.2</v>
      </c>
      <c r="L446" s="72"/>
      <c r="M446" s="72"/>
      <c r="N446" s="69">
        <v>31.0</v>
      </c>
      <c r="O446" s="69">
        <v>117.0</v>
      </c>
      <c r="P446" s="72"/>
      <c r="Q446" s="140">
        <v>23960.0</v>
      </c>
      <c r="R446" s="72" t="s">
        <v>234</v>
      </c>
      <c r="S446" s="115">
        <v>2020.0</v>
      </c>
      <c r="T446" s="136">
        <v>0.239</v>
      </c>
      <c r="U446" s="118">
        <f t="shared" si="77"/>
        <v>5726.44</v>
      </c>
      <c r="V446" s="24">
        <f t="shared" si="3"/>
        <v>158.1889503</v>
      </c>
      <c r="W446" s="3">
        <f t="shared" si="29"/>
        <v>0</v>
      </c>
      <c r="X446" s="3">
        <f t="shared" si="30"/>
        <v>0</v>
      </c>
      <c r="Y446" s="3">
        <f t="shared" si="31"/>
        <v>0</v>
      </c>
      <c r="Z446" s="25">
        <f t="shared" si="32"/>
        <v>0</v>
      </c>
      <c r="AA446" s="26">
        <f>VLOOKUP(S446,CPI!$A$2:$E$67,5,0)</f>
        <v>1.17731472</v>
      </c>
      <c r="AB446" s="27">
        <f t="shared" si="8"/>
        <v>6741.822105</v>
      </c>
      <c r="AC446" s="27">
        <f t="shared" si="9"/>
        <v>186.2381797</v>
      </c>
    </row>
    <row r="447">
      <c r="A447" s="170">
        <v>7920.0</v>
      </c>
      <c r="B447" s="72" t="s">
        <v>230</v>
      </c>
      <c r="C447" s="72" t="s">
        <v>813</v>
      </c>
      <c r="D447" s="72" t="s">
        <v>228</v>
      </c>
      <c r="E447" s="72" t="s">
        <v>228</v>
      </c>
      <c r="F447" s="69">
        <v>2021.0</v>
      </c>
      <c r="G447" s="72"/>
      <c r="H447" s="69">
        <v>0.0</v>
      </c>
      <c r="I447" s="69">
        <v>29.6</v>
      </c>
      <c r="J447" s="117">
        <v>1.0</v>
      </c>
      <c r="K447" s="69">
        <v>29.6</v>
      </c>
      <c r="L447" s="72"/>
      <c r="M447" s="72"/>
      <c r="N447" s="69">
        <v>25.0</v>
      </c>
      <c r="O447" s="69">
        <v>117.0</v>
      </c>
      <c r="P447" s="72"/>
      <c r="Q447" s="140">
        <v>21993.0</v>
      </c>
      <c r="R447" s="72" t="s">
        <v>234</v>
      </c>
      <c r="S447" s="115">
        <v>2021.0</v>
      </c>
      <c r="T447" s="136">
        <v>0.239</v>
      </c>
      <c r="U447" s="118">
        <f t="shared" si="77"/>
        <v>5256.327</v>
      </c>
      <c r="V447" s="24">
        <f t="shared" si="3"/>
        <v>177.5786149</v>
      </c>
      <c r="W447" s="3">
        <f t="shared" si="29"/>
        <v>0</v>
      </c>
      <c r="X447" s="3">
        <f t="shared" si="30"/>
        <v>0</v>
      </c>
      <c r="Y447" s="3">
        <f t="shared" si="31"/>
        <v>0</v>
      </c>
      <c r="Z447" s="25">
        <f t="shared" si="32"/>
        <v>0</v>
      </c>
      <c r="AA447" s="26">
        <f>VLOOKUP(S447,CPI!$A$2:$E$67,5,0)</f>
        <v>1.124486105</v>
      </c>
      <c r="AB447" s="27">
        <f t="shared" si="8"/>
        <v>5910.666677</v>
      </c>
      <c r="AC447" s="27">
        <f t="shared" si="9"/>
        <v>199.684685</v>
      </c>
    </row>
    <row r="448">
      <c r="A448" s="38">
        <v>7995.0</v>
      </c>
      <c r="B448" s="130" t="s">
        <v>230</v>
      </c>
      <c r="C448" s="130" t="s">
        <v>813</v>
      </c>
      <c r="D448" s="130" t="s">
        <v>243</v>
      </c>
      <c r="E448" s="130" t="s">
        <v>243</v>
      </c>
      <c r="F448" s="130"/>
      <c r="G448" s="130"/>
      <c r="H448" s="130">
        <v>0.0</v>
      </c>
      <c r="I448" s="130">
        <v>35.2</v>
      </c>
      <c r="J448" s="131">
        <v>1.0</v>
      </c>
      <c r="K448" s="130">
        <v>35.2</v>
      </c>
      <c r="L448" s="132">
        <v>0.0</v>
      </c>
      <c r="M448" s="132">
        <v>0.0</v>
      </c>
      <c r="N448" s="130">
        <v>26.0</v>
      </c>
      <c r="O448" s="138"/>
      <c r="P448" s="130" t="s">
        <v>60</v>
      </c>
      <c r="Q448" s="135">
        <v>23660.0</v>
      </c>
      <c r="R448" s="130" t="s">
        <v>234</v>
      </c>
      <c r="S448" s="130">
        <v>2018.0</v>
      </c>
      <c r="T448" s="136">
        <v>0.237</v>
      </c>
      <c r="U448" s="128">
        <f t="shared" ref="U448:U450" si="79">T448*Q448</f>
        <v>5607.42</v>
      </c>
      <c r="V448" s="24">
        <f t="shared" si="3"/>
        <v>159.3017045</v>
      </c>
      <c r="W448" s="3">
        <f t="shared" si="29"/>
        <v>0</v>
      </c>
      <c r="X448" s="3">
        <f t="shared" si="30"/>
        <v>0</v>
      </c>
      <c r="Y448" s="3">
        <f t="shared" si="31"/>
        <v>0</v>
      </c>
      <c r="Z448" s="25">
        <f t="shared" si="32"/>
        <v>0</v>
      </c>
      <c r="AA448" s="26">
        <f>VLOOKUP(S448,CPI!$A$2:$E$67,5,0)</f>
        <v>1.21343491</v>
      </c>
      <c r="AB448" s="27">
        <f t="shared" si="8"/>
        <v>6804.239184</v>
      </c>
      <c r="AC448" s="27">
        <f t="shared" si="9"/>
        <v>193.3022496</v>
      </c>
    </row>
    <row r="449">
      <c r="A449" s="38">
        <v>8000.0</v>
      </c>
      <c r="B449" s="130" t="s">
        <v>230</v>
      </c>
      <c r="C449" s="130" t="s">
        <v>813</v>
      </c>
      <c r="D449" s="130" t="s">
        <v>819</v>
      </c>
      <c r="E449" s="130" t="s">
        <v>819</v>
      </c>
      <c r="F449" s="130"/>
      <c r="G449" s="130"/>
      <c r="H449" s="130">
        <v>0.0</v>
      </c>
      <c r="I449" s="130">
        <v>41.0</v>
      </c>
      <c r="J449" s="131"/>
      <c r="K449" s="130"/>
      <c r="L449" s="132" t="e">
        <v>#N/A</v>
      </c>
      <c r="M449" s="132" t="e">
        <v>#N/A</v>
      </c>
      <c r="N449" s="130">
        <v>27.0</v>
      </c>
      <c r="O449" s="138"/>
      <c r="P449" s="130" t="s">
        <v>60</v>
      </c>
      <c r="Q449" s="135">
        <v>27370.0</v>
      </c>
      <c r="R449" s="130" t="s">
        <v>234</v>
      </c>
      <c r="S449" s="130">
        <v>2018.0</v>
      </c>
      <c r="T449" s="136">
        <v>0.237</v>
      </c>
      <c r="U449" s="128">
        <f t="shared" si="79"/>
        <v>6486.69</v>
      </c>
      <c r="V449" s="24">
        <f t="shared" si="3"/>
        <v>158.2119512</v>
      </c>
      <c r="W449" s="3">
        <f t="shared" si="29"/>
        <v>0</v>
      </c>
      <c r="X449" s="3">
        <f t="shared" si="30"/>
        <v>0</v>
      </c>
      <c r="Y449" s="3">
        <f t="shared" si="31"/>
        <v>0</v>
      </c>
      <c r="Z449" s="25">
        <f t="shared" si="32"/>
        <v>0</v>
      </c>
      <c r="AA449" s="26">
        <f>VLOOKUP(S449,CPI!$A$2:$E$67,5,0)</f>
        <v>1.21343491</v>
      </c>
      <c r="AB449" s="27">
        <f t="shared" si="8"/>
        <v>7871.176098</v>
      </c>
      <c r="AC449" s="27">
        <f t="shared" si="9"/>
        <v>191.9799048</v>
      </c>
    </row>
    <row r="450">
      <c r="A450" s="38">
        <v>8033.0</v>
      </c>
      <c r="B450" s="130" t="s">
        <v>230</v>
      </c>
      <c r="C450" s="130" t="s">
        <v>820</v>
      </c>
      <c r="D450" s="16" t="s">
        <v>54</v>
      </c>
      <c r="E450" s="130" t="s">
        <v>348</v>
      </c>
      <c r="F450" s="130">
        <v>2012.0</v>
      </c>
      <c r="G450" s="130">
        <v>2016.0</v>
      </c>
      <c r="H450" s="130">
        <v>0.0</v>
      </c>
      <c r="I450" s="130">
        <v>25.1</v>
      </c>
      <c r="J450" s="131"/>
      <c r="K450" s="130"/>
      <c r="L450" s="132" t="e">
        <v>#N/A</v>
      </c>
      <c r="M450" s="132" t="e">
        <v>#N/A</v>
      </c>
      <c r="N450" s="130">
        <v>22.0</v>
      </c>
      <c r="O450" s="138"/>
      <c r="P450" s="130" t="s">
        <v>60</v>
      </c>
      <c r="Q450" s="135">
        <v>15139.0</v>
      </c>
      <c r="R450" s="130" t="s">
        <v>234</v>
      </c>
      <c r="S450" s="130">
        <v>2012.0</v>
      </c>
      <c r="T450" s="136">
        <v>0.2808</v>
      </c>
      <c r="U450" s="128">
        <f t="shared" si="79"/>
        <v>4251.0312</v>
      </c>
      <c r="V450" s="24">
        <f t="shared" si="3"/>
        <v>169.3637928</v>
      </c>
      <c r="W450" s="3">
        <f t="shared" si="29"/>
        <v>0</v>
      </c>
      <c r="X450" s="3">
        <f t="shared" si="30"/>
        <v>0</v>
      </c>
      <c r="Y450" s="3">
        <f t="shared" si="31"/>
        <v>0</v>
      </c>
      <c r="Z450" s="25">
        <f t="shared" si="32"/>
        <v>0</v>
      </c>
      <c r="AA450" s="26">
        <f>VLOOKUP(S450,CPI!$A$2:$E$67,5,0)</f>
        <v>1.327133984</v>
      </c>
      <c r="AB450" s="27">
        <f t="shared" si="8"/>
        <v>5641.687974</v>
      </c>
      <c r="AC450" s="27">
        <f t="shared" si="9"/>
        <v>224.7684452</v>
      </c>
    </row>
    <row r="451">
      <c r="A451" s="7"/>
      <c r="B451" s="114" t="s">
        <v>230</v>
      </c>
      <c r="C451" s="114" t="s">
        <v>820</v>
      </c>
      <c r="D451" s="114" t="s">
        <v>87</v>
      </c>
      <c r="E451" s="114" t="s">
        <v>87</v>
      </c>
      <c r="F451" s="116">
        <v>2018.0</v>
      </c>
      <c r="G451" s="114"/>
      <c r="H451" s="116">
        <v>0.0</v>
      </c>
      <c r="I451" s="116">
        <v>30.523</v>
      </c>
      <c r="J451" s="117">
        <v>1.0</v>
      </c>
      <c r="K451" s="116">
        <v>30.523</v>
      </c>
      <c r="L451" s="114"/>
      <c r="M451" s="114"/>
      <c r="N451" s="116">
        <v>25.0</v>
      </c>
      <c r="O451" s="116">
        <v>138.0</v>
      </c>
      <c r="P451" s="114"/>
      <c r="Q451" s="140">
        <v>24300.0</v>
      </c>
      <c r="R451" s="114" t="s">
        <v>234</v>
      </c>
      <c r="S451" s="115">
        <v>2018.0</v>
      </c>
      <c r="T451" s="85">
        <v>0.237</v>
      </c>
      <c r="U451" s="118">
        <f t="shared" ref="U451:U457" si="80">Q451*T451</f>
        <v>5759.1</v>
      </c>
      <c r="V451" s="24">
        <f t="shared" si="3"/>
        <v>188.680667</v>
      </c>
      <c r="W451" s="3">
        <f t="shared" si="29"/>
        <v>0</v>
      </c>
      <c r="X451" s="3">
        <f t="shared" si="30"/>
        <v>0</v>
      </c>
      <c r="Y451" s="3">
        <f t="shared" si="31"/>
        <v>0</v>
      </c>
      <c r="Z451" s="25">
        <f t="shared" si="32"/>
        <v>0</v>
      </c>
      <c r="AA451" s="26">
        <f>VLOOKUP(S451,CPI!$A$2:$E$67,5,0)</f>
        <v>1.21343491</v>
      </c>
      <c r="AB451" s="27">
        <f t="shared" si="8"/>
        <v>6988.292991</v>
      </c>
      <c r="AC451" s="27">
        <f t="shared" si="9"/>
        <v>228.9517083</v>
      </c>
    </row>
    <row r="452">
      <c r="A452" s="7"/>
      <c r="B452" s="114" t="s">
        <v>230</v>
      </c>
      <c r="C452" s="114" t="s">
        <v>820</v>
      </c>
      <c r="D452" s="114" t="s">
        <v>823</v>
      </c>
      <c r="E452" s="114" t="s">
        <v>823</v>
      </c>
      <c r="F452" s="116">
        <v>2019.0</v>
      </c>
      <c r="G452" s="114"/>
      <c r="H452" s="116">
        <v>0.0</v>
      </c>
      <c r="I452" s="116">
        <v>19.86</v>
      </c>
      <c r="J452" s="117">
        <v>0.05</v>
      </c>
      <c r="K452" s="116">
        <v>0.991</v>
      </c>
      <c r="L452" s="114"/>
      <c r="M452" s="114"/>
      <c r="N452" s="116">
        <v>12.0</v>
      </c>
      <c r="O452" s="116">
        <v>78.0</v>
      </c>
      <c r="P452" s="114"/>
      <c r="Q452" s="140">
        <v>8703.0</v>
      </c>
      <c r="R452" s="114" t="s">
        <v>234</v>
      </c>
      <c r="S452" s="115">
        <v>2019.0</v>
      </c>
      <c r="T452" s="136">
        <v>0.238</v>
      </c>
      <c r="U452" s="118">
        <f t="shared" si="80"/>
        <v>2071.314</v>
      </c>
      <c r="V452" s="24">
        <f t="shared" si="3"/>
        <v>104.2957704</v>
      </c>
      <c r="W452" s="3">
        <f t="shared" si="29"/>
        <v>0</v>
      </c>
      <c r="X452" s="3">
        <f t="shared" si="30"/>
        <v>0</v>
      </c>
      <c r="Y452" s="3">
        <f t="shared" si="31"/>
        <v>0</v>
      </c>
      <c r="Z452" s="25">
        <f t="shared" si="32"/>
        <v>0</v>
      </c>
      <c r="AA452" s="26">
        <f>VLOOKUP(S452,CPI!$A$2:$E$67,5,0)</f>
        <v>1.191839066</v>
      </c>
      <c r="AB452" s="27">
        <f t="shared" si="8"/>
        <v>2468.672942</v>
      </c>
      <c r="AC452" s="27">
        <f t="shared" si="9"/>
        <v>124.3037735</v>
      </c>
    </row>
    <row r="453">
      <c r="A453" s="38">
        <v>8002.0</v>
      </c>
      <c r="B453" s="72" t="s">
        <v>230</v>
      </c>
      <c r="C453" s="72" t="s">
        <v>820</v>
      </c>
      <c r="D453" s="115" t="s">
        <v>57</v>
      </c>
      <c r="E453" s="115" t="s">
        <v>232</v>
      </c>
      <c r="F453" s="69">
        <v>2021.0</v>
      </c>
      <c r="G453" s="72"/>
      <c r="H453" s="69">
        <v>0.0</v>
      </c>
      <c r="I453" s="69">
        <v>28.737</v>
      </c>
      <c r="J453" s="117">
        <v>1.0</v>
      </c>
      <c r="K453" s="69">
        <v>28.737</v>
      </c>
      <c r="L453" s="72"/>
      <c r="M453" s="72"/>
      <c r="N453" s="69">
        <v>24.0</v>
      </c>
      <c r="O453" s="69">
        <v>138.0</v>
      </c>
      <c r="P453" s="72"/>
      <c r="Q453" s="140">
        <v>22458.7</v>
      </c>
      <c r="R453" s="72" t="s">
        <v>234</v>
      </c>
      <c r="S453" s="115">
        <v>2021.0</v>
      </c>
      <c r="T453" s="136">
        <v>0.239</v>
      </c>
      <c r="U453" s="118">
        <f t="shared" si="80"/>
        <v>5367.6293</v>
      </c>
      <c r="V453" s="24">
        <f t="shared" si="3"/>
        <v>186.7846087</v>
      </c>
      <c r="W453" s="3">
        <f t="shared" si="29"/>
        <v>0</v>
      </c>
      <c r="X453" s="3">
        <f t="shared" si="30"/>
        <v>0</v>
      </c>
      <c r="Y453" s="3">
        <f t="shared" si="31"/>
        <v>0</v>
      </c>
      <c r="Z453" s="25">
        <f t="shared" si="32"/>
        <v>0</v>
      </c>
      <c r="AA453" s="26">
        <f>VLOOKUP(S453,CPI!$A$2:$E$67,5,0)</f>
        <v>1.124486105</v>
      </c>
      <c r="AB453" s="27">
        <f t="shared" si="8"/>
        <v>6035.824567</v>
      </c>
      <c r="AC453" s="27">
        <f t="shared" si="9"/>
        <v>210.0366972</v>
      </c>
    </row>
    <row r="454">
      <c r="A454" s="7"/>
      <c r="B454" s="114" t="s">
        <v>230</v>
      </c>
      <c r="C454" s="114" t="s">
        <v>826</v>
      </c>
      <c r="D454" s="36" t="s">
        <v>827</v>
      </c>
      <c r="E454" s="114" t="s">
        <v>828</v>
      </c>
      <c r="F454" s="116">
        <v>2021.0</v>
      </c>
      <c r="G454" s="114"/>
      <c r="H454" s="116">
        <v>0.0</v>
      </c>
      <c r="I454" s="116">
        <v>6.0</v>
      </c>
      <c r="J454" s="117">
        <v>0.0</v>
      </c>
      <c r="K454" s="116">
        <v>0.0</v>
      </c>
      <c r="L454" s="114"/>
      <c r="M454" s="114"/>
      <c r="N454" s="116">
        <v>1.0</v>
      </c>
      <c r="O454" s="116">
        <v>92.0</v>
      </c>
      <c r="P454" s="114"/>
      <c r="Q454" s="140">
        <v>1879.0</v>
      </c>
      <c r="R454" s="114" t="s">
        <v>234</v>
      </c>
      <c r="S454" s="115">
        <v>2021.0</v>
      </c>
      <c r="T454" s="136">
        <v>0.239000000000001</v>
      </c>
      <c r="U454" s="118">
        <f t="shared" si="80"/>
        <v>449.081</v>
      </c>
      <c r="V454" s="24">
        <f t="shared" si="3"/>
        <v>74.84683333</v>
      </c>
      <c r="W454" s="3">
        <f t="shared" si="29"/>
        <v>0</v>
      </c>
      <c r="X454" s="3">
        <f t="shared" si="30"/>
        <v>0</v>
      </c>
      <c r="Y454" s="3">
        <f t="shared" si="31"/>
        <v>0</v>
      </c>
      <c r="Z454" s="25">
        <f t="shared" si="32"/>
        <v>0</v>
      </c>
      <c r="AA454" s="26">
        <f>VLOOKUP(S454,CPI!$A$2:$E$67,5,0)</f>
        <v>1.124486105</v>
      </c>
      <c r="AB454" s="27">
        <f t="shared" si="8"/>
        <v>504.9853447</v>
      </c>
      <c r="AC454" s="27">
        <f t="shared" si="9"/>
        <v>84.16422412</v>
      </c>
    </row>
    <row r="455">
      <c r="A455" s="7"/>
      <c r="B455" s="114" t="s">
        <v>230</v>
      </c>
      <c r="C455" s="114" t="s">
        <v>826</v>
      </c>
      <c r="D455" s="36" t="s">
        <v>827</v>
      </c>
      <c r="E455" s="114" t="s">
        <v>830</v>
      </c>
      <c r="F455" s="116">
        <v>2021.0</v>
      </c>
      <c r="G455" s="114"/>
      <c r="H455" s="116">
        <v>0.0</v>
      </c>
      <c r="I455" s="116">
        <v>11.75</v>
      </c>
      <c r="J455" s="117">
        <v>0.0</v>
      </c>
      <c r="K455" s="116">
        <v>0.0</v>
      </c>
      <c r="L455" s="114"/>
      <c r="M455" s="114"/>
      <c r="N455" s="116">
        <v>3.0</v>
      </c>
      <c r="O455" s="116">
        <v>92.0</v>
      </c>
      <c r="P455" s="114"/>
      <c r="Q455" s="140">
        <v>3996.0</v>
      </c>
      <c r="R455" s="114" t="s">
        <v>234</v>
      </c>
      <c r="S455" s="115">
        <v>2021.0</v>
      </c>
      <c r="T455" s="136">
        <v>0.239000000000001</v>
      </c>
      <c r="U455" s="118">
        <f t="shared" si="80"/>
        <v>955.044</v>
      </c>
      <c r="V455" s="24">
        <f t="shared" si="3"/>
        <v>81.28034043</v>
      </c>
      <c r="W455" s="3">
        <f t="shared" si="29"/>
        <v>0</v>
      </c>
      <c r="X455" s="3">
        <f t="shared" si="30"/>
        <v>0</v>
      </c>
      <c r="Y455" s="3">
        <f t="shared" si="31"/>
        <v>0</v>
      </c>
      <c r="Z455" s="25">
        <f t="shared" si="32"/>
        <v>0</v>
      </c>
      <c r="AA455" s="26">
        <f>VLOOKUP(S455,CPI!$A$2:$E$67,5,0)</f>
        <v>1.124486105</v>
      </c>
      <c r="AB455" s="27">
        <f t="shared" si="8"/>
        <v>1073.933708</v>
      </c>
      <c r="AC455" s="27">
        <f t="shared" si="9"/>
        <v>91.39861346</v>
      </c>
    </row>
    <row r="456">
      <c r="A456" s="7"/>
      <c r="B456" s="114" t="s">
        <v>230</v>
      </c>
      <c r="C456" s="114" t="s">
        <v>826</v>
      </c>
      <c r="D456" s="36" t="s">
        <v>827</v>
      </c>
      <c r="E456" s="114" t="s">
        <v>827</v>
      </c>
      <c r="F456" s="116">
        <v>2021.0</v>
      </c>
      <c r="G456" s="114"/>
      <c r="H456" s="116">
        <v>0.0</v>
      </c>
      <c r="I456" s="116">
        <v>66.3</v>
      </c>
      <c r="J456" s="117">
        <v>0.28</v>
      </c>
      <c r="K456" s="116">
        <v>18.65</v>
      </c>
      <c r="L456" s="114"/>
      <c r="M456" s="114"/>
      <c r="N456" s="116">
        <v>22.0</v>
      </c>
      <c r="O456" s="116">
        <v>92.0</v>
      </c>
      <c r="P456" s="114"/>
      <c r="Q456" s="140">
        <v>30800.0</v>
      </c>
      <c r="R456" s="114" t="s">
        <v>234</v>
      </c>
      <c r="S456" s="115">
        <v>2021.0</v>
      </c>
      <c r="T456" s="136">
        <v>0.239000000000001</v>
      </c>
      <c r="U456" s="118">
        <f t="shared" si="80"/>
        <v>7361.2</v>
      </c>
      <c r="V456" s="24">
        <f t="shared" si="3"/>
        <v>111.0286576</v>
      </c>
      <c r="W456" s="3">
        <f t="shared" si="29"/>
        <v>0</v>
      </c>
      <c r="X456" s="3">
        <f t="shared" si="30"/>
        <v>0</v>
      </c>
      <c r="Y456" s="3">
        <f t="shared" si="31"/>
        <v>0</v>
      </c>
      <c r="Z456" s="25">
        <f t="shared" si="32"/>
        <v>0</v>
      </c>
      <c r="AA456" s="26">
        <f>VLOOKUP(S456,CPI!$A$2:$E$67,5,0)</f>
        <v>1.124486105</v>
      </c>
      <c r="AB456" s="27">
        <f t="shared" si="8"/>
        <v>8277.56712</v>
      </c>
      <c r="AC456" s="27">
        <f t="shared" si="9"/>
        <v>124.8501828</v>
      </c>
    </row>
    <row r="457">
      <c r="A457" s="7"/>
      <c r="B457" s="114" t="s">
        <v>230</v>
      </c>
      <c r="C457" s="114" t="s">
        <v>826</v>
      </c>
      <c r="D457" s="114" t="s">
        <v>819</v>
      </c>
      <c r="E457" s="114" t="s">
        <v>819</v>
      </c>
      <c r="F457" s="116">
        <v>2022.0</v>
      </c>
      <c r="G457" s="114"/>
      <c r="H457" s="116">
        <v>1.0</v>
      </c>
      <c r="I457" s="116">
        <v>52.4</v>
      </c>
      <c r="J457" s="117">
        <v>0.34</v>
      </c>
      <c r="K457" s="116">
        <v>17.8</v>
      </c>
      <c r="L457" s="114"/>
      <c r="M457" s="114"/>
      <c r="N457" s="116">
        <v>15.0</v>
      </c>
      <c r="O457" s="116">
        <v>92.0</v>
      </c>
      <c r="P457" s="114"/>
      <c r="Q457" s="140">
        <v>21237.0</v>
      </c>
      <c r="R457" s="114" t="s">
        <v>234</v>
      </c>
      <c r="S457" s="115">
        <v>2021.0</v>
      </c>
      <c r="T457" s="136">
        <v>0.239000000000001</v>
      </c>
      <c r="U457" s="118">
        <f t="shared" si="80"/>
        <v>5075.643</v>
      </c>
      <c r="V457" s="24">
        <f t="shared" si="3"/>
        <v>96.86341603</v>
      </c>
      <c r="W457" s="3">
        <f t="shared" si="29"/>
        <v>0</v>
      </c>
      <c r="X457" s="3">
        <f t="shared" si="30"/>
        <v>0</v>
      </c>
      <c r="Y457" s="3">
        <f t="shared" si="31"/>
        <v>0</v>
      </c>
      <c r="Z457" s="25">
        <f t="shared" si="32"/>
        <v>0</v>
      </c>
      <c r="AA457" s="26">
        <f>VLOOKUP(S457,CPI!$A$2:$E$67,5,0)</f>
        <v>1.124486105</v>
      </c>
      <c r="AB457" s="27">
        <f t="shared" si="8"/>
        <v>5707.49003</v>
      </c>
      <c r="AC457" s="27">
        <f t="shared" si="9"/>
        <v>108.9215655</v>
      </c>
    </row>
    <row r="458">
      <c r="A458" s="38">
        <v>7984.0</v>
      </c>
      <c r="B458" s="130" t="s">
        <v>230</v>
      </c>
      <c r="C458" s="130" t="s">
        <v>834</v>
      </c>
      <c r="D458" s="16" t="s">
        <v>835</v>
      </c>
      <c r="E458" s="130" t="s">
        <v>836</v>
      </c>
      <c r="F458" s="130">
        <v>2015.0</v>
      </c>
      <c r="G458" s="130">
        <v>2020.0</v>
      </c>
      <c r="H458" s="130">
        <v>0.0</v>
      </c>
      <c r="I458" s="130">
        <v>43.7</v>
      </c>
      <c r="J458" s="131">
        <v>0.3455377574</v>
      </c>
      <c r="K458" s="130">
        <v>15.1</v>
      </c>
      <c r="L458" s="132">
        <v>0.0</v>
      </c>
      <c r="M458" s="132">
        <v>0.0</v>
      </c>
      <c r="N458" s="130">
        <v>20.0</v>
      </c>
      <c r="O458" s="138"/>
      <c r="P458" s="130" t="s">
        <v>60</v>
      </c>
      <c r="Q458" s="135">
        <v>28699.0</v>
      </c>
      <c r="R458" s="130" t="s">
        <v>234</v>
      </c>
      <c r="S458" s="130">
        <v>2015.0</v>
      </c>
      <c r="T458" s="136">
        <v>0.258</v>
      </c>
      <c r="U458" s="128">
        <f>T458*Q458</f>
        <v>7404.342</v>
      </c>
      <c r="V458" s="24">
        <f t="shared" si="3"/>
        <v>169.4357437</v>
      </c>
      <c r="W458" s="3">
        <f t="shared" si="29"/>
        <v>0</v>
      </c>
      <c r="X458" s="3">
        <f t="shared" si="30"/>
        <v>0</v>
      </c>
      <c r="Y458" s="3">
        <f t="shared" si="31"/>
        <v>0</v>
      </c>
      <c r="Z458" s="25">
        <f t="shared" si="32"/>
        <v>0</v>
      </c>
      <c r="AA458" s="26">
        <f>VLOOKUP(S458,CPI!$A$2:$E$67,5,0)</f>
        <v>1.285570233</v>
      </c>
      <c r="AB458" s="27">
        <f t="shared" si="8"/>
        <v>9518.801673</v>
      </c>
      <c r="AC458" s="27">
        <f t="shared" si="9"/>
        <v>217.8215486</v>
      </c>
    </row>
    <row r="459">
      <c r="A459" s="170">
        <v>7787.0</v>
      </c>
      <c r="B459" s="123" t="s">
        <v>230</v>
      </c>
      <c r="C459" s="123" t="s">
        <v>834</v>
      </c>
      <c r="D459" s="36" t="s">
        <v>838</v>
      </c>
      <c r="E459" s="123" t="s">
        <v>839</v>
      </c>
      <c r="F459" s="75">
        <v>2017.0</v>
      </c>
      <c r="G459" s="75">
        <v>2020.0</v>
      </c>
      <c r="H459" s="75">
        <v>0.0</v>
      </c>
      <c r="I459" s="75">
        <v>20.0</v>
      </c>
      <c r="J459" s="124">
        <v>1.0</v>
      </c>
      <c r="K459" s="75">
        <v>20.0</v>
      </c>
      <c r="L459" s="125">
        <v>0.0</v>
      </c>
      <c r="M459" s="125">
        <v>0.0</v>
      </c>
      <c r="N459" s="75">
        <v>18.0</v>
      </c>
      <c r="O459" s="75"/>
      <c r="P459" s="123" t="s">
        <v>60</v>
      </c>
      <c r="Q459" s="126">
        <v>20053.0</v>
      </c>
      <c r="R459" s="123" t="s">
        <v>234</v>
      </c>
      <c r="S459" s="75">
        <v>2015.0</v>
      </c>
      <c r="T459" s="136">
        <v>0.258</v>
      </c>
      <c r="U459" s="128">
        <f>Q459*T459</f>
        <v>5173.674</v>
      </c>
      <c r="V459" s="24">
        <f t="shared" si="3"/>
        <v>258.6837</v>
      </c>
      <c r="W459" s="3">
        <f t="shared" si="29"/>
        <v>0</v>
      </c>
      <c r="X459" s="3">
        <f t="shared" si="30"/>
        <v>0</v>
      </c>
      <c r="Y459" s="3">
        <f t="shared" si="31"/>
        <v>0</v>
      </c>
      <c r="Z459" s="25">
        <f t="shared" si="32"/>
        <v>0</v>
      </c>
      <c r="AA459" s="26">
        <f>VLOOKUP(S459,CPI!$A$2:$E$67,5,0)</f>
        <v>1.285570233</v>
      </c>
      <c r="AB459" s="27">
        <f t="shared" si="8"/>
        <v>6651.121292</v>
      </c>
      <c r="AC459" s="27">
        <f t="shared" si="9"/>
        <v>332.5560646</v>
      </c>
    </row>
    <row r="460">
      <c r="A460" s="38">
        <v>8050.0</v>
      </c>
      <c r="B460" s="130" t="s">
        <v>230</v>
      </c>
      <c r="C460" s="130" t="s">
        <v>834</v>
      </c>
      <c r="D460" s="16" t="s">
        <v>841</v>
      </c>
      <c r="E460" s="130" t="s">
        <v>842</v>
      </c>
      <c r="F460" s="130">
        <v>2017.0</v>
      </c>
      <c r="G460" s="130">
        <v>2020.0</v>
      </c>
      <c r="H460" s="130">
        <v>0.0</v>
      </c>
      <c r="I460" s="130">
        <v>52.8</v>
      </c>
      <c r="J460" s="131">
        <v>0.3390151515</v>
      </c>
      <c r="K460" s="130">
        <v>17.9</v>
      </c>
      <c r="L460" s="132">
        <v>0.0</v>
      </c>
      <c r="M460" s="132">
        <v>0.0</v>
      </c>
      <c r="N460" s="130">
        <v>5.0</v>
      </c>
      <c r="O460" s="138"/>
      <c r="P460" s="130" t="s">
        <v>60</v>
      </c>
      <c r="Q460" s="135">
        <v>29975.0</v>
      </c>
      <c r="R460" s="130" t="s">
        <v>234</v>
      </c>
      <c r="S460" s="130">
        <v>2015.0</v>
      </c>
      <c r="T460" s="136">
        <v>0.258</v>
      </c>
      <c r="U460" s="128">
        <f>T460*Q460</f>
        <v>7733.55</v>
      </c>
      <c r="V460" s="24">
        <f t="shared" si="3"/>
        <v>146.46875</v>
      </c>
      <c r="W460" s="3">
        <f t="shared" si="29"/>
        <v>0</v>
      </c>
      <c r="X460" s="3">
        <f t="shared" si="30"/>
        <v>0</v>
      </c>
      <c r="Y460" s="3">
        <f t="shared" si="31"/>
        <v>0</v>
      </c>
      <c r="Z460" s="25">
        <f t="shared" si="32"/>
        <v>0</v>
      </c>
      <c r="AA460" s="26">
        <f>VLOOKUP(S460,CPI!$A$2:$E$67,5,0)</f>
        <v>1.285570233</v>
      </c>
      <c r="AB460" s="27">
        <f t="shared" si="8"/>
        <v>9942.021678</v>
      </c>
      <c r="AC460" s="27">
        <f t="shared" si="9"/>
        <v>188.2958651</v>
      </c>
    </row>
    <row r="461">
      <c r="A461" s="170">
        <v>7800.0</v>
      </c>
      <c r="B461" s="72" t="s">
        <v>230</v>
      </c>
      <c r="C461" s="72" t="s">
        <v>834</v>
      </c>
      <c r="D461" s="115" t="s">
        <v>843</v>
      </c>
      <c r="E461" s="115" t="s">
        <v>844</v>
      </c>
      <c r="F461" s="69">
        <v>2018.0</v>
      </c>
      <c r="G461" s="69">
        <v>2022.0</v>
      </c>
      <c r="H461" s="69">
        <v>0.0</v>
      </c>
      <c r="I461" s="69">
        <v>21.22</v>
      </c>
      <c r="J461" s="117">
        <v>1.0</v>
      </c>
      <c r="K461" s="69">
        <v>21.22</v>
      </c>
      <c r="L461" s="72"/>
      <c r="M461" s="72"/>
      <c r="N461" s="69">
        <v>21.0</v>
      </c>
      <c r="O461" s="69">
        <v>117.0</v>
      </c>
      <c r="P461" s="72"/>
      <c r="Q461" s="140">
        <v>22069.0</v>
      </c>
      <c r="R461" s="72" t="s">
        <v>234</v>
      </c>
      <c r="S461" s="115">
        <v>2020.0</v>
      </c>
      <c r="T461" s="136">
        <v>0.239</v>
      </c>
      <c r="U461" s="118">
        <f t="shared" ref="U461:U465" si="81">Q461*T461</f>
        <v>5274.491</v>
      </c>
      <c r="V461" s="24">
        <f t="shared" si="3"/>
        <v>248.5622526</v>
      </c>
      <c r="W461" s="3">
        <f t="shared" si="29"/>
        <v>0</v>
      </c>
      <c r="X461" s="3">
        <f t="shared" si="30"/>
        <v>0</v>
      </c>
      <c r="Y461" s="3">
        <f t="shared" si="31"/>
        <v>0</v>
      </c>
      <c r="Z461" s="25">
        <f t="shared" si="32"/>
        <v>0</v>
      </c>
      <c r="AA461" s="26">
        <f>VLOOKUP(S461,CPI!$A$2:$E$67,5,0)</f>
        <v>1.17731472</v>
      </c>
      <c r="AB461" s="27">
        <f t="shared" si="8"/>
        <v>6209.735895</v>
      </c>
      <c r="AC461" s="27">
        <f t="shared" si="9"/>
        <v>292.6359988</v>
      </c>
    </row>
    <row r="462">
      <c r="A462" s="170">
        <v>7809.0</v>
      </c>
      <c r="B462" s="72" t="s">
        <v>230</v>
      </c>
      <c r="C462" s="72" t="s">
        <v>834</v>
      </c>
      <c r="D462" s="115" t="s">
        <v>846</v>
      </c>
      <c r="E462" s="115" t="s">
        <v>847</v>
      </c>
      <c r="F462" s="69">
        <v>2019.0</v>
      </c>
      <c r="G462" s="72"/>
      <c r="H462" s="69">
        <v>0.0</v>
      </c>
      <c r="I462" s="69">
        <v>22.6</v>
      </c>
      <c r="J462" s="117">
        <v>1.0</v>
      </c>
      <c r="K462" s="69">
        <v>22.6</v>
      </c>
      <c r="L462" s="72"/>
      <c r="M462" s="72"/>
      <c r="N462" s="69">
        <v>21.0</v>
      </c>
      <c r="O462" s="69">
        <v>117.0</v>
      </c>
      <c r="P462" s="72"/>
      <c r="Q462" s="140">
        <v>23789.0</v>
      </c>
      <c r="R462" s="72" t="s">
        <v>234</v>
      </c>
      <c r="S462" s="75">
        <v>2019.0</v>
      </c>
      <c r="T462" s="136">
        <v>0.238</v>
      </c>
      <c r="U462" s="118">
        <f t="shared" si="81"/>
        <v>5661.782</v>
      </c>
      <c r="V462" s="24">
        <f t="shared" si="3"/>
        <v>250.5213274</v>
      </c>
      <c r="W462" s="3">
        <f t="shared" si="29"/>
        <v>0</v>
      </c>
      <c r="X462" s="3">
        <f t="shared" si="30"/>
        <v>0</v>
      </c>
      <c r="Y462" s="3">
        <f t="shared" si="31"/>
        <v>0</v>
      </c>
      <c r="Z462" s="25">
        <f t="shared" si="32"/>
        <v>0</v>
      </c>
      <c r="AA462" s="26">
        <f>VLOOKUP(S462,CPI!$A$2:$E$67,5,0)</f>
        <v>1.191839066</v>
      </c>
      <c r="AB462" s="27">
        <f t="shared" si="8"/>
        <v>6747.932969</v>
      </c>
      <c r="AC462" s="27">
        <f t="shared" si="9"/>
        <v>298.5811048</v>
      </c>
    </row>
    <row r="463">
      <c r="A463" s="170">
        <v>7801.0</v>
      </c>
      <c r="B463" s="72" t="s">
        <v>230</v>
      </c>
      <c r="C463" s="72" t="s">
        <v>834</v>
      </c>
      <c r="D463" s="115" t="s">
        <v>849</v>
      </c>
      <c r="E463" s="115" t="s">
        <v>850</v>
      </c>
      <c r="F463" s="69">
        <v>2019.0</v>
      </c>
      <c r="G463" s="72"/>
      <c r="H463" s="69">
        <v>0.0</v>
      </c>
      <c r="I463" s="69">
        <v>26.53</v>
      </c>
      <c r="J463" s="117">
        <v>1.0</v>
      </c>
      <c r="K463" s="69">
        <v>26.53</v>
      </c>
      <c r="L463" s="72"/>
      <c r="M463" s="72"/>
      <c r="N463" s="69">
        <v>21.0</v>
      </c>
      <c r="O463" s="69">
        <v>138.0</v>
      </c>
      <c r="P463" s="72"/>
      <c r="Q463" s="140">
        <v>26890.0</v>
      </c>
      <c r="R463" s="72" t="s">
        <v>234</v>
      </c>
      <c r="S463" s="75">
        <v>2019.0</v>
      </c>
      <c r="T463" s="136">
        <v>0.238</v>
      </c>
      <c r="U463" s="118">
        <f t="shared" si="81"/>
        <v>6399.82</v>
      </c>
      <c r="V463" s="24">
        <f t="shared" si="3"/>
        <v>241.2295515</v>
      </c>
      <c r="W463" s="3">
        <f t="shared" si="29"/>
        <v>0</v>
      </c>
      <c r="X463" s="3">
        <f t="shared" si="30"/>
        <v>0</v>
      </c>
      <c r="Y463" s="3">
        <f t="shared" si="31"/>
        <v>0</v>
      </c>
      <c r="Z463" s="25">
        <f t="shared" si="32"/>
        <v>0</v>
      </c>
      <c r="AA463" s="26">
        <f>VLOOKUP(S463,CPI!$A$2:$E$67,5,0)</f>
        <v>1.191839066</v>
      </c>
      <c r="AB463" s="27">
        <f t="shared" si="8"/>
        <v>7627.555489</v>
      </c>
      <c r="AC463" s="27">
        <f t="shared" si="9"/>
        <v>287.5068032</v>
      </c>
    </row>
    <row r="464">
      <c r="A464" s="7"/>
      <c r="B464" s="114" t="s">
        <v>230</v>
      </c>
      <c r="C464" s="114" t="s">
        <v>834</v>
      </c>
      <c r="D464" s="115" t="s">
        <v>236</v>
      </c>
      <c r="E464" s="115" t="s">
        <v>364</v>
      </c>
      <c r="F464" s="116">
        <v>2020.0</v>
      </c>
      <c r="G464" s="114"/>
      <c r="H464" s="116">
        <v>0.0</v>
      </c>
      <c r="I464" s="116">
        <v>21.2</v>
      </c>
      <c r="J464" s="117">
        <v>1.0</v>
      </c>
      <c r="K464" s="116">
        <v>21.2</v>
      </c>
      <c r="L464" s="114"/>
      <c r="M464" s="114"/>
      <c r="N464" s="116">
        <v>17.0</v>
      </c>
      <c r="O464" s="116"/>
      <c r="P464" s="114"/>
      <c r="Q464" s="140">
        <v>23800.11</v>
      </c>
      <c r="R464" s="114" t="s">
        <v>234</v>
      </c>
      <c r="S464" s="115">
        <v>2020.0</v>
      </c>
      <c r="T464" s="136">
        <v>0.239</v>
      </c>
      <c r="U464" s="118">
        <f t="shared" si="81"/>
        <v>5688.22629</v>
      </c>
      <c r="V464" s="24">
        <f t="shared" si="3"/>
        <v>268.3125608</v>
      </c>
      <c r="W464" s="3">
        <f t="shared" si="29"/>
        <v>0</v>
      </c>
      <c r="X464" s="3">
        <f t="shared" si="30"/>
        <v>0</v>
      </c>
      <c r="Y464" s="3">
        <f t="shared" si="31"/>
        <v>0</v>
      </c>
      <c r="Z464" s="25">
        <f t="shared" si="32"/>
        <v>0</v>
      </c>
      <c r="AA464" s="26">
        <f>VLOOKUP(S464,CPI!$A$2:$E$67,5,0)</f>
        <v>1.17731472</v>
      </c>
      <c r="AB464" s="27">
        <f t="shared" si="8"/>
        <v>6696.832542</v>
      </c>
      <c r="AC464" s="27">
        <f t="shared" si="9"/>
        <v>315.8883275</v>
      </c>
    </row>
    <row r="465">
      <c r="A465" s="170">
        <v>7826.0</v>
      </c>
      <c r="B465" s="72" t="s">
        <v>230</v>
      </c>
      <c r="C465" s="72" t="s">
        <v>834</v>
      </c>
      <c r="D465" s="115" t="s">
        <v>853</v>
      </c>
      <c r="E465" s="115" t="s">
        <v>854</v>
      </c>
      <c r="F465" s="69">
        <v>2021.0</v>
      </c>
      <c r="G465" s="72"/>
      <c r="H465" s="69">
        <v>0.0</v>
      </c>
      <c r="I465" s="69">
        <v>31.6</v>
      </c>
      <c r="J465" s="192"/>
      <c r="K465" s="72"/>
      <c r="L465" s="72"/>
      <c r="M465" s="72"/>
      <c r="N465" s="69">
        <v>22.0</v>
      </c>
      <c r="O465" s="69">
        <v>117.0</v>
      </c>
      <c r="P465" s="72"/>
      <c r="Q465" s="140">
        <v>29560.0</v>
      </c>
      <c r="R465" s="72" t="s">
        <v>234</v>
      </c>
      <c r="S465" s="115">
        <v>2021.0</v>
      </c>
      <c r="T465" s="136">
        <v>0.239</v>
      </c>
      <c r="U465" s="118">
        <f t="shared" si="81"/>
        <v>7064.84</v>
      </c>
      <c r="V465" s="24">
        <f t="shared" si="3"/>
        <v>223.5708861</v>
      </c>
      <c r="W465" s="3">
        <f t="shared" si="29"/>
        <v>0</v>
      </c>
      <c r="X465" s="3">
        <f t="shared" si="30"/>
        <v>0</v>
      </c>
      <c r="Y465" s="3">
        <f t="shared" si="31"/>
        <v>0</v>
      </c>
      <c r="Z465" s="25">
        <f t="shared" si="32"/>
        <v>0</v>
      </c>
      <c r="AA465" s="26">
        <f>VLOOKUP(S465,CPI!$A$2:$E$67,5,0)</f>
        <v>1.124486105</v>
      </c>
      <c r="AB465" s="27">
        <f t="shared" si="8"/>
        <v>7944.314417</v>
      </c>
      <c r="AC465" s="27">
        <f t="shared" si="9"/>
        <v>251.402355</v>
      </c>
    </row>
    <row r="466">
      <c r="A466" s="38">
        <v>8120.0</v>
      </c>
      <c r="B466" s="130" t="s">
        <v>230</v>
      </c>
      <c r="C466" s="130" t="s">
        <v>834</v>
      </c>
      <c r="D466" s="36" t="s">
        <v>856</v>
      </c>
      <c r="E466" s="130" t="s">
        <v>857</v>
      </c>
      <c r="F466" s="130"/>
      <c r="G466" s="130"/>
      <c r="H466" s="130">
        <v>0.0</v>
      </c>
      <c r="I466" s="130">
        <v>3.9</v>
      </c>
      <c r="J466" s="131">
        <v>0.0</v>
      </c>
      <c r="K466" s="130">
        <v>0.0</v>
      </c>
      <c r="L466" s="132">
        <v>3.75</v>
      </c>
      <c r="M466" s="132">
        <v>0.15</v>
      </c>
      <c r="N466" s="130">
        <v>3.0</v>
      </c>
      <c r="O466" s="138"/>
      <c r="P466" s="130" t="s">
        <v>60</v>
      </c>
      <c r="Q466" s="135">
        <v>1704.0</v>
      </c>
      <c r="R466" s="130" t="s">
        <v>234</v>
      </c>
      <c r="S466" s="130">
        <v>2015.0</v>
      </c>
      <c r="T466" s="136">
        <v>0.258</v>
      </c>
      <c r="U466" s="128">
        <f>T466*Q466</f>
        <v>439.632</v>
      </c>
      <c r="V466" s="24">
        <f t="shared" si="3"/>
        <v>112.7261538</v>
      </c>
      <c r="W466" s="3">
        <f t="shared" si="29"/>
        <v>0</v>
      </c>
      <c r="X466" s="3">
        <f t="shared" si="30"/>
        <v>0</v>
      </c>
      <c r="Y466" s="3">
        <f t="shared" si="31"/>
        <v>0</v>
      </c>
      <c r="Z466" s="25">
        <f t="shared" si="32"/>
        <v>0</v>
      </c>
      <c r="AA466" s="26">
        <f>VLOOKUP(S466,CPI!$A$2:$E$67,5,0)</f>
        <v>1.285570233</v>
      </c>
      <c r="AB466" s="27">
        <f t="shared" si="8"/>
        <v>565.1778128</v>
      </c>
      <c r="AC466" s="27">
        <f t="shared" si="9"/>
        <v>144.9173879</v>
      </c>
    </row>
    <row r="467">
      <c r="A467" s="163"/>
      <c r="B467" s="66" t="s">
        <v>230</v>
      </c>
      <c r="C467" s="114" t="s">
        <v>858</v>
      </c>
      <c r="D467" s="114" t="s">
        <v>57</v>
      </c>
      <c r="E467" s="114" t="s">
        <v>57</v>
      </c>
      <c r="F467" s="116">
        <v>2014.0</v>
      </c>
      <c r="G467" s="116">
        <v>2019.0</v>
      </c>
      <c r="H467" s="116">
        <v>0.0</v>
      </c>
      <c r="I467" s="116">
        <v>27.615</v>
      </c>
      <c r="J467" s="117">
        <v>1.0</v>
      </c>
      <c r="K467" s="116">
        <v>27.615</v>
      </c>
      <c r="L467" s="114"/>
      <c r="M467" s="114"/>
      <c r="N467" s="116">
        <v>21.0</v>
      </c>
      <c r="O467" s="116">
        <v>138.0</v>
      </c>
      <c r="P467" s="114"/>
      <c r="Q467" s="140">
        <v>21694.0</v>
      </c>
      <c r="R467" s="114" t="s">
        <v>234</v>
      </c>
      <c r="S467" s="115">
        <v>2017.0</v>
      </c>
      <c r="T467" s="85">
        <v>0.239</v>
      </c>
      <c r="U467" s="118">
        <f t="shared" ref="U467:U471" si="82">Q467*T467</f>
        <v>5184.866</v>
      </c>
      <c r="V467" s="24">
        <f t="shared" si="3"/>
        <v>187.7554228</v>
      </c>
      <c r="W467" s="3">
        <f t="shared" si="29"/>
        <v>0</v>
      </c>
      <c r="X467" s="3">
        <f t="shared" si="30"/>
        <v>0</v>
      </c>
      <c r="Y467" s="3">
        <f t="shared" si="31"/>
        <v>0</v>
      </c>
      <c r="Z467" s="25">
        <f t="shared" si="32"/>
        <v>0</v>
      </c>
      <c r="AA467" s="26">
        <f>VLOOKUP(S467,CPI!$A$2:$E$67,5,0)</f>
        <v>1.243072781</v>
      </c>
      <c r="AB467" s="27">
        <f t="shared" si="8"/>
        <v>6445.165796</v>
      </c>
      <c r="AC467" s="27">
        <f t="shared" si="9"/>
        <v>233.3936555</v>
      </c>
    </row>
    <row r="468">
      <c r="A468" s="163"/>
      <c r="B468" s="66" t="s">
        <v>230</v>
      </c>
      <c r="C468" s="114" t="s">
        <v>858</v>
      </c>
      <c r="D468" s="114" t="s">
        <v>54</v>
      </c>
      <c r="E468" s="114" t="s">
        <v>54</v>
      </c>
      <c r="F468" s="114"/>
      <c r="G468" s="116">
        <v>2021.0</v>
      </c>
      <c r="H468" s="116">
        <v>0.0</v>
      </c>
      <c r="I468" s="116">
        <v>19.35</v>
      </c>
      <c r="J468" s="192"/>
      <c r="K468" s="114"/>
      <c r="L468" s="114"/>
      <c r="M468" s="114"/>
      <c r="N468" s="116">
        <v>16.0</v>
      </c>
      <c r="O468" s="116">
        <v>138.0</v>
      </c>
      <c r="P468" s="114"/>
      <c r="Q468" s="73">
        <v>16260.0</v>
      </c>
      <c r="R468" s="114" t="s">
        <v>234</v>
      </c>
      <c r="S468" s="115">
        <v>2021.0</v>
      </c>
      <c r="T468" s="136">
        <v>0.239000000000001</v>
      </c>
      <c r="U468" s="118">
        <f t="shared" si="82"/>
        <v>3886.14</v>
      </c>
      <c r="V468" s="24">
        <f t="shared" si="3"/>
        <v>200.8341085</v>
      </c>
      <c r="W468" s="3">
        <f t="shared" si="29"/>
        <v>0</v>
      </c>
      <c r="X468" s="3">
        <f t="shared" si="30"/>
        <v>0</v>
      </c>
      <c r="Y468" s="3">
        <f t="shared" si="31"/>
        <v>0</v>
      </c>
      <c r="Z468" s="25">
        <f t="shared" si="32"/>
        <v>0</v>
      </c>
      <c r="AA468" s="26">
        <f>VLOOKUP(S468,CPI!$A$2:$E$67,5,0)</f>
        <v>1.124486105</v>
      </c>
      <c r="AB468" s="27">
        <f t="shared" si="8"/>
        <v>4369.910434</v>
      </c>
      <c r="AC468" s="27">
        <f t="shared" si="9"/>
        <v>225.8351645</v>
      </c>
    </row>
    <row r="469">
      <c r="A469" s="163"/>
      <c r="B469" s="66" t="s">
        <v>230</v>
      </c>
      <c r="C469" s="114" t="s">
        <v>858</v>
      </c>
      <c r="D469" s="16" t="s">
        <v>110</v>
      </c>
      <c r="E469" s="115" t="s">
        <v>332</v>
      </c>
      <c r="F469" s="116">
        <v>2018.0</v>
      </c>
      <c r="G469" s="114"/>
      <c r="H469" s="116">
        <v>0.0</v>
      </c>
      <c r="I469" s="116">
        <v>20.556</v>
      </c>
      <c r="J469" s="116">
        <v>1.0</v>
      </c>
      <c r="K469" s="116">
        <v>20.556</v>
      </c>
      <c r="L469" s="114"/>
      <c r="M469" s="114"/>
      <c r="N469" s="116">
        <v>16.0</v>
      </c>
      <c r="O469" s="116">
        <v>138.0</v>
      </c>
      <c r="P469" s="114"/>
      <c r="Q469" s="73">
        <v>16787.0</v>
      </c>
      <c r="R469" s="114" t="s">
        <v>234</v>
      </c>
      <c r="S469" s="115">
        <v>2018.0</v>
      </c>
      <c r="T469" s="85">
        <v>0.237</v>
      </c>
      <c r="U469" s="118">
        <f t="shared" si="82"/>
        <v>3978.519</v>
      </c>
      <c r="V469" s="24">
        <f t="shared" si="3"/>
        <v>193.5453882</v>
      </c>
      <c r="W469" s="3">
        <f t="shared" si="29"/>
        <v>0</v>
      </c>
      <c r="X469" s="3">
        <f t="shared" si="30"/>
        <v>0</v>
      </c>
      <c r="Y469" s="3">
        <f t="shared" si="31"/>
        <v>0</v>
      </c>
      <c r="Z469" s="25">
        <f t="shared" si="32"/>
        <v>0</v>
      </c>
      <c r="AA469" s="26">
        <f>VLOOKUP(S469,CPI!$A$2:$E$67,5,0)</f>
        <v>1.21343491</v>
      </c>
      <c r="AB469" s="27">
        <f t="shared" si="8"/>
        <v>4827.673846</v>
      </c>
      <c r="AC469" s="27">
        <f t="shared" si="9"/>
        <v>234.8547308</v>
      </c>
    </row>
    <row r="470">
      <c r="A470" s="38">
        <v>8152.0</v>
      </c>
      <c r="B470" s="72" t="s">
        <v>230</v>
      </c>
      <c r="C470" s="72" t="s">
        <v>863</v>
      </c>
      <c r="D470" s="115" t="s">
        <v>866</v>
      </c>
      <c r="E470" s="115" t="s">
        <v>866</v>
      </c>
      <c r="F470" s="69">
        <v>2022.0</v>
      </c>
      <c r="G470" s="72"/>
      <c r="H470" s="69">
        <v>0.0</v>
      </c>
      <c r="I470" s="69">
        <v>32.5</v>
      </c>
      <c r="J470" s="117">
        <v>1.0</v>
      </c>
      <c r="K470" s="193">
        <v>32.5</v>
      </c>
      <c r="L470" s="72"/>
      <c r="M470" s="72"/>
      <c r="N470" s="69">
        <v>23.0</v>
      </c>
      <c r="O470" s="69">
        <v>117.0</v>
      </c>
      <c r="P470" s="72"/>
      <c r="Q470" s="140">
        <v>26000.0</v>
      </c>
      <c r="R470" s="72" t="s">
        <v>234</v>
      </c>
      <c r="S470" s="115">
        <v>2021.0</v>
      </c>
      <c r="T470" s="136">
        <v>0.239</v>
      </c>
      <c r="U470" s="118">
        <f t="shared" si="82"/>
        <v>6214</v>
      </c>
      <c r="V470" s="24">
        <f t="shared" si="3"/>
        <v>191.2</v>
      </c>
      <c r="W470" s="3">
        <f t="shared" si="29"/>
        <v>0</v>
      </c>
      <c r="X470" s="3">
        <f t="shared" si="30"/>
        <v>0</v>
      </c>
      <c r="Y470" s="3">
        <f t="shared" si="31"/>
        <v>0</v>
      </c>
      <c r="Z470" s="25">
        <f t="shared" si="32"/>
        <v>0</v>
      </c>
      <c r="AA470" s="26">
        <f>VLOOKUP(S470,CPI!$A$2:$E$67,5,0)</f>
        <v>1.124486105</v>
      </c>
      <c r="AB470" s="27">
        <f t="shared" si="8"/>
        <v>6987.556659</v>
      </c>
      <c r="AC470" s="27">
        <f t="shared" si="9"/>
        <v>215.0017434</v>
      </c>
    </row>
    <row r="471">
      <c r="A471" s="163"/>
      <c r="B471" s="114" t="s">
        <v>230</v>
      </c>
      <c r="C471" s="114" t="s">
        <v>863</v>
      </c>
      <c r="D471" s="115" t="s">
        <v>868</v>
      </c>
      <c r="E471" s="115" t="s">
        <v>869</v>
      </c>
      <c r="F471" s="116">
        <v>2022.0</v>
      </c>
      <c r="G471" s="114"/>
      <c r="H471" s="116">
        <v>0.0</v>
      </c>
      <c r="I471" s="116">
        <v>31.17</v>
      </c>
      <c r="J471" s="117">
        <v>0.09</v>
      </c>
      <c r="K471" s="116">
        <v>2.8</v>
      </c>
      <c r="L471" s="114"/>
      <c r="M471" s="114"/>
      <c r="N471" s="116">
        <v>12.0</v>
      </c>
      <c r="O471" s="116">
        <v>138.0</v>
      </c>
      <c r="P471" s="114"/>
      <c r="Q471" s="140">
        <v>12240.0</v>
      </c>
      <c r="R471" s="114" t="s">
        <v>234</v>
      </c>
      <c r="S471" s="115">
        <v>2021.0</v>
      </c>
      <c r="T471" s="136">
        <v>0.239</v>
      </c>
      <c r="U471" s="118">
        <f t="shared" si="82"/>
        <v>2925.36</v>
      </c>
      <c r="V471" s="24">
        <f t="shared" si="3"/>
        <v>93.85178056</v>
      </c>
      <c r="W471" s="3">
        <f t="shared" si="29"/>
        <v>0</v>
      </c>
      <c r="X471" s="3">
        <f t="shared" si="30"/>
        <v>0</v>
      </c>
      <c r="Y471" s="3">
        <f t="shared" si="31"/>
        <v>0</v>
      </c>
      <c r="Z471" s="25">
        <f t="shared" si="32"/>
        <v>0</v>
      </c>
      <c r="AA471" s="26">
        <f>VLOOKUP(S471,CPI!$A$2:$E$67,5,0)</f>
        <v>1.124486105</v>
      </c>
      <c r="AB471" s="27">
        <f t="shared" si="8"/>
        <v>3289.526674</v>
      </c>
      <c r="AC471" s="27">
        <f t="shared" si="9"/>
        <v>105.5350232</v>
      </c>
    </row>
    <row r="472">
      <c r="A472" s="38">
        <v>8146.0</v>
      </c>
      <c r="B472" s="130" t="s">
        <v>230</v>
      </c>
      <c r="C472" s="130" t="s">
        <v>863</v>
      </c>
      <c r="D472" s="36" t="s">
        <v>506</v>
      </c>
      <c r="E472" s="130" t="s">
        <v>507</v>
      </c>
      <c r="F472" s="138"/>
      <c r="G472" s="138"/>
      <c r="H472" s="138">
        <v>0.0</v>
      </c>
      <c r="I472" s="138">
        <v>53.5</v>
      </c>
      <c r="J472" s="197"/>
      <c r="K472" s="198"/>
      <c r="L472" s="199" t="e">
        <v>#N/A</v>
      </c>
      <c r="M472" s="199" t="e">
        <v>#N/A</v>
      </c>
      <c r="N472" s="138"/>
      <c r="O472" s="138"/>
      <c r="P472" s="130" t="s">
        <v>42</v>
      </c>
      <c r="Q472" s="226">
        <v>18606.83</v>
      </c>
      <c r="R472" s="130" t="s">
        <v>234</v>
      </c>
      <c r="S472" s="138">
        <v>2014.0</v>
      </c>
      <c r="T472" s="136">
        <v>0.266</v>
      </c>
      <c r="U472" s="194">
        <f t="shared" ref="U472:U473" si="83">T472*Q472</f>
        <v>4949.41678</v>
      </c>
      <c r="V472" s="24">
        <f t="shared" si="3"/>
        <v>92.51246318</v>
      </c>
      <c r="W472" s="3">
        <f t="shared" si="29"/>
        <v>0</v>
      </c>
      <c r="X472" s="3">
        <f t="shared" si="30"/>
        <v>0</v>
      </c>
      <c r="Y472" s="3">
        <f t="shared" si="31"/>
        <v>0</v>
      </c>
      <c r="Z472" s="25">
        <f t="shared" si="32"/>
        <v>0</v>
      </c>
      <c r="AA472" s="26">
        <f>VLOOKUP(S472,CPI!$A$2:$E$67,5,0)</f>
        <v>1.287096175</v>
      </c>
      <c r="AB472" s="27">
        <f t="shared" si="8"/>
        <v>6370.375404</v>
      </c>
      <c r="AC472" s="27">
        <f t="shared" si="9"/>
        <v>119.0724375</v>
      </c>
    </row>
    <row r="473">
      <c r="A473" s="38">
        <v>8147.0</v>
      </c>
      <c r="B473" s="130" t="s">
        <v>230</v>
      </c>
      <c r="C473" s="130" t="s">
        <v>863</v>
      </c>
      <c r="D473" s="36" t="s">
        <v>511</v>
      </c>
      <c r="E473" s="130" t="s">
        <v>871</v>
      </c>
      <c r="F473" s="138"/>
      <c r="G473" s="138"/>
      <c r="H473" s="138">
        <v>0.0</v>
      </c>
      <c r="I473" s="138">
        <v>70.299</v>
      </c>
      <c r="J473" s="197"/>
      <c r="K473" s="198"/>
      <c r="L473" s="199" t="e">
        <v>#N/A</v>
      </c>
      <c r="M473" s="199" t="e">
        <v>#N/A</v>
      </c>
      <c r="N473" s="138"/>
      <c r="O473" s="138"/>
      <c r="P473" s="130" t="s">
        <v>42</v>
      </c>
      <c r="Q473" s="226">
        <v>26200.0</v>
      </c>
      <c r="R473" s="130" t="s">
        <v>234</v>
      </c>
      <c r="S473" s="138">
        <v>2014.0</v>
      </c>
      <c r="T473" s="136">
        <v>0.266</v>
      </c>
      <c r="U473" s="194">
        <f t="shared" si="83"/>
        <v>6969.2</v>
      </c>
      <c r="V473" s="24">
        <f t="shared" si="3"/>
        <v>99.13654533</v>
      </c>
      <c r="W473" s="3">
        <f t="shared" si="29"/>
        <v>0</v>
      </c>
      <c r="X473" s="3">
        <f t="shared" si="30"/>
        <v>0</v>
      </c>
      <c r="Y473" s="3">
        <f t="shared" si="31"/>
        <v>0</v>
      </c>
      <c r="Z473" s="25">
        <f t="shared" si="32"/>
        <v>0</v>
      </c>
      <c r="AA473" s="26">
        <f>VLOOKUP(S473,CPI!$A$2:$E$67,5,0)</f>
        <v>1.287096175</v>
      </c>
      <c r="AB473" s="27">
        <f t="shared" si="8"/>
        <v>8970.03066</v>
      </c>
      <c r="AC473" s="27">
        <f t="shared" si="9"/>
        <v>127.5982683</v>
      </c>
    </row>
    <row r="474">
      <c r="A474" s="170">
        <v>7731.0</v>
      </c>
      <c r="B474" s="123" t="s">
        <v>230</v>
      </c>
      <c r="C474" s="123" t="s">
        <v>872</v>
      </c>
      <c r="D474" s="36" t="s">
        <v>57</v>
      </c>
      <c r="E474" s="123" t="s">
        <v>232</v>
      </c>
      <c r="F474" s="75">
        <v>2000.0</v>
      </c>
      <c r="G474" s="75">
        <v>2003.0</v>
      </c>
      <c r="H474" s="75">
        <v>0.0</v>
      </c>
      <c r="I474" s="75">
        <v>10.234</v>
      </c>
      <c r="J474" s="124">
        <v>0.0</v>
      </c>
      <c r="K474" s="75">
        <v>0.0</v>
      </c>
      <c r="L474" s="125">
        <v>10.23</v>
      </c>
      <c r="M474" s="125">
        <v>0.0</v>
      </c>
      <c r="N474" s="75">
        <v>10.0</v>
      </c>
      <c r="O474" s="152">
        <v>78.0</v>
      </c>
      <c r="P474" s="123" t="s">
        <v>74</v>
      </c>
      <c r="Q474" s="126">
        <f>2.199*10^3</f>
        <v>2199</v>
      </c>
      <c r="R474" s="123" t="s">
        <v>234</v>
      </c>
      <c r="S474" s="75">
        <v>2000.0</v>
      </c>
      <c r="T474" s="136">
        <v>0.367</v>
      </c>
      <c r="U474" s="128">
        <f t="shared" ref="U474:U477" si="84">Q474*T474</f>
        <v>807.033</v>
      </c>
      <c r="V474" s="24">
        <f t="shared" si="3"/>
        <v>78.85802228</v>
      </c>
      <c r="W474" s="3">
        <f t="shared" si="29"/>
        <v>0</v>
      </c>
      <c r="X474" s="3">
        <f t="shared" si="30"/>
        <v>0</v>
      </c>
      <c r="Y474" s="3">
        <f t="shared" si="31"/>
        <v>0</v>
      </c>
      <c r="Z474" s="25">
        <f t="shared" si="32"/>
        <v>0</v>
      </c>
      <c r="AA474" s="26">
        <f>VLOOKUP(S474,CPI!$A$2:$E$67,5,0)</f>
        <v>1.769465738</v>
      </c>
      <c r="AB474" s="27">
        <f t="shared" si="8"/>
        <v>1428.017243</v>
      </c>
      <c r="AC474" s="27">
        <f t="shared" si="9"/>
        <v>139.5365686</v>
      </c>
    </row>
    <row r="475">
      <c r="A475" s="170">
        <v>7736.0</v>
      </c>
      <c r="B475" s="123" t="s">
        <v>230</v>
      </c>
      <c r="C475" s="123" t="s">
        <v>872</v>
      </c>
      <c r="D475" s="36" t="s">
        <v>57</v>
      </c>
      <c r="E475" s="123" t="s">
        <v>410</v>
      </c>
      <c r="F475" s="75">
        <v>2005.0</v>
      </c>
      <c r="G475" s="75">
        <v>2010.0</v>
      </c>
      <c r="H475" s="75">
        <v>0.0</v>
      </c>
      <c r="I475" s="75">
        <v>18.25</v>
      </c>
      <c r="J475" s="124">
        <v>0.0</v>
      </c>
      <c r="K475" s="75">
        <v>0.0</v>
      </c>
      <c r="L475" s="125">
        <v>18.25</v>
      </c>
      <c r="M475" s="125">
        <v>0.0</v>
      </c>
      <c r="N475" s="75">
        <v>16.0</v>
      </c>
      <c r="O475" s="75"/>
      <c r="P475" s="123" t="s">
        <v>42</v>
      </c>
      <c r="Q475" s="126">
        <f>4.6498*10^3</f>
        <v>4649.8</v>
      </c>
      <c r="R475" s="123" t="s">
        <v>234</v>
      </c>
      <c r="S475" s="75">
        <v>2005.0</v>
      </c>
      <c r="T475" s="136">
        <v>0.3519</v>
      </c>
      <c r="U475" s="128">
        <f t="shared" si="84"/>
        <v>1636.26462</v>
      </c>
      <c r="V475" s="24">
        <f t="shared" si="3"/>
        <v>89.65833534</v>
      </c>
      <c r="W475" s="3">
        <f t="shared" si="29"/>
        <v>0</v>
      </c>
      <c r="X475" s="3">
        <f t="shared" si="30"/>
        <v>0</v>
      </c>
      <c r="Y475" s="3">
        <f t="shared" si="31"/>
        <v>0</v>
      </c>
      <c r="Z475" s="25">
        <f t="shared" si="32"/>
        <v>0</v>
      </c>
      <c r="AA475" s="26">
        <f>VLOOKUP(S475,CPI!$A$2:$E$67,5,0)</f>
        <v>1.560174091</v>
      </c>
      <c r="AB475" s="27">
        <f t="shared" si="8"/>
        <v>2552.857666</v>
      </c>
      <c r="AC475" s="27">
        <f t="shared" si="9"/>
        <v>139.8826119</v>
      </c>
    </row>
    <row r="476">
      <c r="A476" s="170">
        <v>7737.0</v>
      </c>
      <c r="B476" s="123" t="s">
        <v>230</v>
      </c>
      <c r="C476" s="123" t="s">
        <v>872</v>
      </c>
      <c r="D476" s="36" t="s">
        <v>57</v>
      </c>
      <c r="E476" s="123" t="s">
        <v>875</v>
      </c>
      <c r="F476" s="75">
        <v>2011.0</v>
      </c>
      <c r="G476" s="75">
        <v>2013.0</v>
      </c>
      <c r="H476" s="75">
        <v>0.0</v>
      </c>
      <c r="I476" s="75">
        <v>5.7</v>
      </c>
      <c r="J476" s="124">
        <v>0.0</v>
      </c>
      <c r="K476" s="75">
        <v>0.0</v>
      </c>
      <c r="L476" s="125">
        <v>5.7</v>
      </c>
      <c r="M476" s="125">
        <v>0.0</v>
      </c>
      <c r="N476" s="75">
        <v>3.0</v>
      </c>
      <c r="O476" s="75"/>
      <c r="P476" s="123" t="s">
        <v>42</v>
      </c>
      <c r="Q476" s="126">
        <f>2.361*10^3</f>
        <v>2361</v>
      </c>
      <c r="R476" s="123" t="s">
        <v>234</v>
      </c>
      <c r="S476" s="75">
        <v>2011.0</v>
      </c>
      <c r="T476" s="136">
        <v>0.284</v>
      </c>
      <c r="U476" s="128">
        <f t="shared" si="84"/>
        <v>670.524</v>
      </c>
      <c r="V476" s="24">
        <f t="shared" si="3"/>
        <v>117.6357895</v>
      </c>
      <c r="W476" s="3">
        <f t="shared" si="29"/>
        <v>0</v>
      </c>
      <c r="X476" s="3">
        <f t="shared" si="30"/>
        <v>0</v>
      </c>
      <c r="Y476" s="3">
        <f t="shared" si="31"/>
        <v>0</v>
      </c>
      <c r="Z476" s="25">
        <f t="shared" si="32"/>
        <v>0</v>
      </c>
      <c r="AA476" s="26">
        <f>VLOOKUP(S476,CPI!$A$2:$E$67,5,0)</f>
        <v>1.354598358</v>
      </c>
      <c r="AB476" s="27">
        <f t="shared" si="8"/>
        <v>908.2907093</v>
      </c>
      <c r="AC476" s="27">
        <f t="shared" si="9"/>
        <v>159.3492472</v>
      </c>
    </row>
    <row r="477">
      <c r="A477" s="7"/>
      <c r="B477" s="114" t="s">
        <v>230</v>
      </c>
      <c r="C477" s="114" t="s">
        <v>872</v>
      </c>
      <c r="D477" s="16" t="s">
        <v>87</v>
      </c>
      <c r="E477" s="115" t="s">
        <v>331</v>
      </c>
      <c r="F477" s="116">
        <v>2012.0</v>
      </c>
      <c r="G477" s="116">
        <v>2015.0</v>
      </c>
      <c r="H477" s="116">
        <v>0.0</v>
      </c>
      <c r="I477" s="116">
        <v>27.9</v>
      </c>
      <c r="J477" s="117">
        <v>1.0</v>
      </c>
      <c r="K477" s="116">
        <v>27.9</v>
      </c>
      <c r="L477" s="114"/>
      <c r="M477" s="114"/>
      <c r="N477" s="116">
        <v>23.0</v>
      </c>
      <c r="O477" s="116">
        <v>117.0</v>
      </c>
      <c r="P477" s="114"/>
      <c r="Q477" s="140">
        <v>21423.0</v>
      </c>
      <c r="R477" s="114" t="s">
        <v>234</v>
      </c>
      <c r="S477" s="115">
        <v>2014.0</v>
      </c>
      <c r="T477" s="115">
        <v>0.266</v>
      </c>
      <c r="U477" s="118">
        <f t="shared" si="84"/>
        <v>5698.518</v>
      </c>
      <c r="V477" s="24">
        <f t="shared" si="3"/>
        <v>204.247957</v>
      </c>
      <c r="W477" s="3">
        <f t="shared" si="29"/>
        <v>0</v>
      </c>
      <c r="X477" s="3">
        <f t="shared" si="30"/>
        <v>0</v>
      </c>
      <c r="Y477" s="3">
        <f t="shared" si="31"/>
        <v>0</v>
      </c>
      <c r="Z477" s="25">
        <f t="shared" si="32"/>
        <v>0</v>
      </c>
      <c r="AA477" s="26">
        <f>VLOOKUP(S477,CPI!$A$2:$E$67,5,0)</f>
        <v>1.287096175</v>
      </c>
      <c r="AB477" s="27">
        <f t="shared" si="8"/>
        <v>7334.540719</v>
      </c>
      <c r="AC477" s="27">
        <f t="shared" si="9"/>
        <v>262.8867641</v>
      </c>
    </row>
    <row r="478">
      <c r="A478" s="38">
        <v>8114.0</v>
      </c>
      <c r="B478" s="130" t="s">
        <v>230</v>
      </c>
      <c r="C478" s="130" t="s">
        <v>872</v>
      </c>
      <c r="D478" s="36" t="s">
        <v>57</v>
      </c>
      <c r="E478" s="130" t="s">
        <v>878</v>
      </c>
      <c r="F478" s="130">
        <v>2015.0</v>
      </c>
      <c r="G478" s="130">
        <v>2017.0</v>
      </c>
      <c r="H478" s="130">
        <v>0.0</v>
      </c>
      <c r="I478" s="130">
        <v>3.97</v>
      </c>
      <c r="J478" s="131">
        <v>0.0</v>
      </c>
      <c r="K478" s="130">
        <v>0.0</v>
      </c>
      <c r="L478" s="132">
        <v>3.97</v>
      </c>
      <c r="M478" s="132">
        <v>0.0</v>
      </c>
      <c r="N478" s="130">
        <v>2.0</v>
      </c>
      <c r="O478" s="138"/>
      <c r="P478" s="130" t="s">
        <v>59</v>
      </c>
      <c r="Q478" s="135">
        <v>1740.0</v>
      </c>
      <c r="R478" s="130" t="s">
        <v>234</v>
      </c>
      <c r="S478" s="130">
        <v>2015.0</v>
      </c>
      <c r="T478" s="136">
        <v>0.258</v>
      </c>
      <c r="U478" s="128">
        <f>T478*Q478</f>
        <v>448.92</v>
      </c>
      <c r="V478" s="24">
        <f t="shared" si="3"/>
        <v>113.0780856</v>
      </c>
      <c r="W478" s="3">
        <f t="shared" si="29"/>
        <v>0</v>
      </c>
      <c r="X478" s="3">
        <f t="shared" si="30"/>
        <v>0</v>
      </c>
      <c r="Y478" s="3">
        <f t="shared" si="31"/>
        <v>0</v>
      </c>
      <c r="Z478" s="25">
        <f t="shared" si="32"/>
        <v>0</v>
      </c>
      <c r="AA478" s="26">
        <f>VLOOKUP(S478,CPI!$A$2:$E$67,5,0)</f>
        <v>1.285570233</v>
      </c>
      <c r="AB478" s="27">
        <f t="shared" si="8"/>
        <v>577.1181892</v>
      </c>
      <c r="AC478" s="27">
        <f t="shared" si="9"/>
        <v>145.3698209</v>
      </c>
    </row>
    <row r="479">
      <c r="A479" s="170">
        <v>7979.0</v>
      </c>
      <c r="B479" s="221" t="s">
        <v>230</v>
      </c>
      <c r="C479" s="221" t="s">
        <v>872</v>
      </c>
      <c r="D479" s="36" t="s">
        <v>110</v>
      </c>
      <c r="E479" s="221" t="s">
        <v>880</v>
      </c>
      <c r="F479" s="227">
        <v>2016.0</v>
      </c>
      <c r="G479" s="227">
        <v>2018.0</v>
      </c>
      <c r="H479" s="227">
        <v>0.0</v>
      </c>
      <c r="I479" s="227">
        <v>4.0</v>
      </c>
      <c r="J479" s="228">
        <v>0.85</v>
      </c>
      <c r="K479" s="227">
        <v>3.4</v>
      </c>
      <c r="L479" s="229">
        <v>0.0</v>
      </c>
      <c r="M479" s="229">
        <v>0.0</v>
      </c>
      <c r="N479" s="227">
        <v>2.0</v>
      </c>
      <c r="O479" s="227"/>
      <c r="P479" s="221" t="s">
        <v>60</v>
      </c>
      <c r="Q479" s="230">
        <v>2634.0</v>
      </c>
      <c r="R479" s="221" t="s">
        <v>234</v>
      </c>
      <c r="S479" s="227">
        <v>2015.0</v>
      </c>
      <c r="T479" s="136">
        <v>0.258</v>
      </c>
      <c r="U479" s="128">
        <f t="shared" ref="U479:U492" si="85">Q479*T479</f>
        <v>679.572</v>
      </c>
      <c r="V479" s="24">
        <f t="shared" si="3"/>
        <v>169.893</v>
      </c>
      <c r="W479" s="3">
        <f t="shared" si="29"/>
        <v>0</v>
      </c>
      <c r="X479" s="3">
        <f t="shared" si="30"/>
        <v>0</v>
      </c>
      <c r="Y479" s="3">
        <f t="shared" si="31"/>
        <v>0</v>
      </c>
      <c r="Z479" s="25">
        <f t="shared" si="32"/>
        <v>0</v>
      </c>
      <c r="AA479" s="26">
        <f>VLOOKUP(S479,CPI!$A$2:$E$67,5,0)</f>
        <v>1.285570233</v>
      </c>
      <c r="AB479" s="27">
        <f t="shared" si="8"/>
        <v>873.6375346</v>
      </c>
      <c r="AC479" s="27">
        <f t="shared" si="9"/>
        <v>218.4093837</v>
      </c>
    </row>
    <row r="480">
      <c r="A480" s="170">
        <v>7962.0</v>
      </c>
      <c r="B480" s="123" t="s">
        <v>230</v>
      </c>
      <c r="C480" s="123" t="s">
        <v>872</v>
      </c>
      <c r="D480" s="36" t="s">
        <v>228</v>
      </c>
      <c r="E480" s="123" t="s">
        <v>882</v>
      </c>
      <c r="F480" s="75">
        <v>2016.0</v>
      </c>
      <c r="G480" s="75">
        <v>2020.0</v>
      </c>
      <c r="H480" s="75">
        <v>0.0</v>
      </c>
      <c r="I480" s="75">
        <v>14.2</v>
      </c>
      <c r="J480" s="124">
        <v>1.0</v>
      </c>
      <c r="K480" s="75">
        <v>14.2</v>
      </c>
      <c r="L480" s="125">
        <v>0.0</v>
      </c>
      <c r="M480" s="125">
        <v>0.0</v>
      </c>
      <c r="N480" s="75">
        <v>7.0</v>
      </c>
      <c r="O480" s="75"/>
      <c r="P480" s="123" t="s">
        <v>60</v>
      </c>
      <c r="Q480" s="126">
        <v>9600.0</v>
      </c>
      <c r="R480" s="123" t="s">
        <v>234</v>
      </c>
      <c r="S480" s="75">
        <v>2015.0</v>
      </c>
      <c r="T480" s="136">
        <v>0.258</v>
      </c>
      <c r="U480" s="128">
        <f t="shared" si="85"/>
        <v>2476.8</v>
      </c>
      <c r="V480" s="24">
        <f t="shared" si="3"/>
        <v>174.4225352</v>
      </c>
      <c r="W480" s="3">
        <f t="shared" si="29"/>
        <v>0</v>
      </c>
      <c r="X480" s="3">
        <f t="shared" si="30"/>
        <v>0</v>
      </c>
      <c r="Y480" s="3">
        <f t="shared" si="31"/>
        <v>0</v>
      </c>
      <c r="Z480" s="25">
        <f t="shared" si="32"/>
        <v>0</v>
      </c>
      <c r="AA480" s="26">
        <f>VLOOKUP(S480,CPI!$A$2:$E$67,5,0)</f>
        <v>1.285570233</v>
      </c>
      <c r="AB480" s="27">
        <f t="shared" si="8"/>
        <v>3184.100354</v>
      </c>
      <c r="AC480" s="27">
        <f t="shared" si="9"/>
        <v>224.2324193</v>
      </c>
    </row>
    <row r="481">
      <c r="A481" s="170">
        <v>7840.0</v>
      </c>
      <c r="B481" s="72" t="s">
        <v>230</v>
      </c>
      <c r="C481" s="72" t="s">
        <v>872</v>
      </c>
      <c r="D481" s="115" t="s">
        <v>243</v>
      </c>
      <c r="E481" s="115" t="s">
        <v>373</v>
      </c>
      <c r="F481" s="69">
        <v>2016.0</v>
      </c>
      <c r="G481" s="69">
        <v>2021.0</v>
      </c>
      <c r="H481" s="69">
        <v>0.0</v>
      </c>
      <c r="I481" s="69">
        <v>17.6</v>
      </c>
      <c r="J481" s="117">
        <v>1.0</v>
      </c>
      <c r="K481" s="69">
        <v>17.6</v>
      </c>
      <c r="L481" s="72"/>
      <c r="M481" s="72"/>
      <c r="N481" s="69">
        <v>12.0</v>
      </c>
      <c r="O481" s="70">
        <v>184.0</v>
      </c>
      <c r="P481" s="72"/>
      <c r="Q481" s="140">
        <v>14670.0</v>
      </c>
      <c r="R481" s="72" t="s">
        <v>234</v>
      </c>
      <c r="S481" s="75">
        <v>2018.0</v>
      </c>
      <c r="T481" s="136">
        <v>0.237</v>
      </c>
      <c r="U481" s="118">
        <f t="shared" si="85"/>
        <v>3476.79</v>
      </c>
      <c r="V481" s="24">
        <f t="shared" si="3"/>
        <v>197.5448864</v>
      </c>
      <c r="W481" s="3">
        <f t="shared" si="29"/>
        <v>0</v>
      </c>
      <c r="X481" s="3">
        <f t="shared" si="30"/>
        <v>0</v>
      </c>
      <c r="Y481" s="3">
        <f t="shared" si="31"/>
        <v>0</v>
      </c>
      <c r="Z481" s="25">
        <f t="shared" si="32"/>
        <v>0</v>
      </c>
      <c r="AA481" s="26">
        <f>VLOOKUP(S481,CPI!$A$2:$E$67,5,0)</f>
        <v>1.21343491</v>
      </c>
      <c r="AB481" s="27">
        <f t="shared" si="8"/>
        <v>4218.858361</v>
      </c>
      <c r="AC481" s="27">
        <f t="shared" si="9"/>
        <v>239.7078614</v>
      </c>
    </row>
    <row r="482">
      <c r="A482" s="170">
        <v>7890.0</v>
      </c>
      <c r="B482" s="123" t="s">
        <v>230</v>
      </c>
      <c r="C482" s="123" t="s">
        <v>872</v>
      </c>
      <c r="D482" s="36" t="s">
        <v>292</v>
      </c>
      <c r="E482" s="123" t="s">
        <v>884</v>
      </c>
      <c r="F482" s="75">
        <v>2017.0</v>
      </c>
      <c r="G482" s="75">
        <v>2021.0</v>
      </c>
      <c r="H482" s="75">
        <v>0.0</v>
      </c>
      <c r="I482" s="75">
        <v>32.1</v>
      </c>
      <c r="J482" s="124">
        <v>1.0</v>
      </c>
      <c r="K482" s="75">
        <v>32.1</v>
      </c>
      <c r="L482" s="125">
        <v>0.0</v>
      </c>
      <c r="M482" s="125">
        <v>0.0</v>
      </c>
      <c r="N482" s="75">
        <v>20.0</v>
      </c>
      <c r="O482" s="75"/>
      <c r="P482" s="123" t="s">
        <v>60</v>
      </c>
      <c r="Q482" s="126">
        <v>24620.0</v>
      </c>
      <c r="R482" s="123" t="s">
        <v>234</v>
      </c>
      <c r="S482" s="75">
        <v>2015.0</v>
      </c>
      <c r="T482" s="136">
        <v>0.258</v>
      </c>
      <c r="U482" s="128">
        <f t="shared" si="85"/>
        <v>6351.96</v>
      </c>
      <c r="V482" s="24">
        <f t="shared" si="3"/>
        <v>197.8803738</v>
      </c>
      <c r="W482" s="3">
        <f t="shared" si="29"/>
        <v>0</v>
      </c>
      <c r="X482" s="3">
        <f t="shared" si="30"/>
        <v>0</v>
      </c>
      <c r="Y482" s="3">
        <f t="shared" si="31"/>
        <v>0</v>
      </c>
      <c r="Z482" s="25">
        <f t="shared" si="32"/>
        <v>0</v>
      </c>
      <c r="AA482" s="26">
        <f>VLOOKUP(S482,CPI!$A$2:$E$67,5,0)</f>
        <v>1.285570233</v>
      </c>
      <c r="AB482" s="27">
        <f t="shared" si="8"/>
        <v>8165.890699</v>
      </c>
      <c r="AC482" s="27">
        <f t="shared" si="9"/>
        <v>254.3891184</v>
      </c>
    </row>
    <row r="483">
      <c r="A483" s="170">
        <v>7881.0</v>
      </c>
      <c r="B483" s="72" t="s">
        <v>230</v>
      </c>
      <c r="C483" s="72" t="s">
        <v>872</v>
      </c>
      <c r="D483" s="72" t="s">
        <v>84</v>
      </c>
      <c r="E483" s="72" t="s">
        <v>84</v>
      </c>
      <c r="F483" s="69">
        <v>2017.0</v>
      </c>
      <c r="G483" s="69">
        <v>2021.0</v>
      </c>
      <c r="H483" s="69">
        <v>0.0</v>
      </c>
      <c r="I483" s="69">
        <v>33.59</v>
      </c>
      <c r="J483" s="117">
        <v>0.75</v>
      </c>
      <c r="K483" s="69">
        <v>25.33</v>
      </c>
      <c r="L483" s="72"/>
      <c r="M483" s="72"/>
      <c r="N483" s="69">
        <v>26.0</v>
      </c>
      <c r="O483" s="69">
        <v>138.0</v>
      </c>
      <c r="P483" s="72"/>
      <c r="Q483" s="140">
        <v>23266.0</v>
      </c>
      <c r="R483" s="72" t="s">
        <v>234</v>
      </c>
      <c r="S483" s="75">
        <v>2019.0</v>
      </c>
      <c r="T483" s="136">
        <v>0.238</v>
      </c>
      <c r="U483" s="118">
        <f t="shared" si="85"/>
        <v>5537.308</v>
      </c>
      <c r="V483" s="24">
        <f t="shared" si="3"/>
        <v>164.8498958</v>
      </c>
      <c r="W483" s="3">
        <f t="shared" si="29"/>
        <v>0</v>
      </c>
      <c r="X483" s="3">
        <f t="shared" si="30"/>
        <v>0</v>
      </c>
      <c r="Y483" s="3">
        <f t="shared" si="31"/>
        <v>0</v>
      </c>
      <c r="Z483" s="25">
        <f t="shared" si="32"/>
        <v>0</v>
      </c>
      <c r="AA483" s="26">
        <f>VLOOKUP(S483,CPI!$A$2:$E$67,5,0)</f>
        <v>1.191839066</v>
      </c>
      <c r="AB483" s="27">
        <f t="shared" si="8"/>
        <v>6599.579993</v>
      </c>
      <c r="AC483" s="27">
        <f t="shared" si="9"/>
        <v>196.4745458</v>
      </c>
    </row>
    <row r="484">
      <c r="A484" s="7"/>
      <c r="B484" s="114" t="s">
        <v>230</v>
      </c>
      <c r="C484" s="114" t="s">
        <v>872</v>
      </c>
      <c r="D484" s="115" t="s">
        <v>292</v>
      </c>
      <c r="E484" s="115" t="s">
        <v>886</v>
      </c>
      <c r="F484" s="116">
        <v>2019.0</v>
      </c>
      <c r="G484" s="116">
        <v>2024.0</v>
      </c>
      <c r="H484" s="116">
        <v>0.0</v>
      </c>
      <c r="I484" s="116">
        <v>4.0</v>
      </c>
      <c r="J484" s="117">
        <v>1.0</v>
      </c>
      <c r="K484" s="116">
        <v>4.0</v>
      </c>
      <c r="L484" s="114"/>
      <c r="M484" s="114"/>
      <c r="N484" s="116">
        <v>2.0</v>
      </c>
      <c r="O484" s="116">
        <v>184.0</v>
      </c>
      <c r="P484" s="114"/>
      <c r="Q484" s="140">
        <v>7989.0</v>
      </c>
      <c r="R484" s="114" t="s">
        <v>234</v>
      </c>
      <c r="S484" s="115">
        <v>2021.0</v>
      </c>
      <c r="T484" s="136">
        <v>0.239000000000002</v>
      </c>
      <c r="U484" s="118">
        <f t="shared" si="85"/>
        <v>1909.371</v>
      </c>
      <c r="V484" s="24">
        <f t="shared" si="3"/>
        <v>477.34275</v>
      </c>
      <c r="W484" s="3">
        <f t="shared" si="29"/>
        <v>0</v>
      </c>
      <c r="X484" s="3">
        <f t="shared" si="30"/>
        <v>0</v>
      </c>
      <c r="Y484" s="3">
        <f t="shared" si="31"/>
        <v>0</v>
      </c>
      <c r="Z484" s="25">
        <f t="shared" si="32"/>
        <v>0</v>
      </c>
      <c r="AA484" s="26">
        <f>VLOOKUP(S484,CPI!$A$2:$E$67,5,0)</f>
        <v>1.124486105</v>
      </c>
      <c r="AB484" s="27">
        <f t="shared" si="8"/>
        <v>2147.06116</v>
      </c>
      <c r="AC484" s="27">
        <f t="shared" si="9"/>
        <v>536.7652899</v>
      </c>
    </row>
    <row r="485">
      <c r="A485" s="170">
        <v>7802.0</v>
      </c>
      <c r="B485" s="123" t="s">
        <v>230</v>
      </c>
      <c r="C485" s="123" t="s">
        <v>872</v>
      </c>
      <c r="D485" s="36" t="s">
        <v>287</v>
      </c>
      <c r="E485" s="123" t="s">
        <v>888</v>
      </c>
      <c r="F485" s="75">
        <v>2020.0</v>
      </c>
      <c r="G485" s="75">
        <v>2024.0</v>
      </c>
      <c r="H485" s="75">
        <v>0.0</v>
      </c>
      <c r="I485" s="75">
        <v>59.9</v>
      </c>
      <c r="J485" s="124">
        <v>1.0</v>
      </c>
      <c r="K485" s="75">
        <v>59.9</v>
      </c>
      <c r="L485" s="125">
        <v>0.0</v>
      </c>
      <c r="M485" s="125">
        <v>0.0</v>
      </c>
      <c r="N485" s="75">
        <v>37.0</v>
      </c>
      <c r="O485" s="75"/>
      <c r="P485" s="123" t="s">
        <v>60</v>
      </c>
      <c r="Q485" s="126">
        <v>58387.0</v>
      </c>
      <c r="R485" s="123" t="s">
        <v>234</v>
      </c>
      <c r="S485" s="75">
        <v>2018.0</v>
      </c>
      <c r="T485" s="136">
        <v>0.237</v>
      </c>
      <c r="U485" s="128">
        <f t="shared" si="85"/>
        <v>13837.719</v>
      </c>
      <c r="V485" s="24">
        <f t="shared" si="3"/>
        <v>231.0136728</v>
      </c>
      <c r="W485" s="3">
        <f t="shared" si="29"/>
        <v>0</v>
      </c>
      <c r="X485" s="3">
        <f t="shared" si="30"/>
        <v>0</v>
      </c>
      <c r="Y485" s="3">
        <f t="shared" si="31"/>
        <v>0</v>
      </c>
      <c r="Z485" s="25">
        <f t="shared" si="32"/>
        <v>0</v>
      </c>
      <c r="AA485" s="26">
        <f>VLOOKUP(S485,CPI!$A$2:$E$67,5,0)</f>
        <v>1.21343491</v>
      </c>
      <c r="AB485" s="27">
        <f t="shared" si="8"/>
        <v>16791.17131</v>
      </c>
      <c r="AC485" s="27">
        <f t="shared" si="9"/>
        <v>280.3200553</v>
      </c>
    </row>
    <row r="486">
      <c r="A486" s="7"/>
      <c r="B486" s="114" t="s">
        <v>230</v>
      </c>
      <c r="C486" s="114" t="s">
        <v>872</v>
      </c>
      <c r="D486" s="115" t="s">
        <v>292</v>
      </c>
      <c r="E486" s="115" t="s">
        <v>889</v>
      </c>
      <c r="F486" s="116">
        <v>2019.0</v>
      </c>
      <c r="G486" s="116">
        <v>2025.0</v>
      </c>
      <c r="H486" s="116">
        <v>0.0</v>
      </c>
      <c r="I486" s="116">
        <v>2.2</v>
      </c>
      <c r="J486" s="117">
        <v>1.0</v>
      </c>
      <c r="K486" s="116">
        <v>2.2</v>
      </c>
      <c r="L486" s="114"/>
      <c r="M486" s="114"/>
      <c r="N486" s="116">
        <v>2.0</v>
      </c>
      <c r="O486" s="116">
        <v>184.0</v>
      </c>
      <c r="P486" s="114"/>
      <c r="Q486" s="140">
        <v>3901.0</v>
      </c>
      <c r="R486" s="114" t="s">
        <v>234</v>
      </c>
      <c r="S486" s="115">
        <v>2021.0</v>
      </c>
      <c r="T486" s="136">
        <v>0.239000000000002</v>
      </c>
      <c r="U486" s="118">
        <f t="shared" si="85"/>
        <v>932.339</v>
      </c>
      <c r="V486" s="24">
        <f t="shared" si="3"/>
        <v>423.7904545</v>
      </c>
      <c r="W486" s="3">
        <f t="shared" si="29"/>
        <v>0</v>
      </c>
      <c r="X486" s="3">
        <f t="shared" si="30"/>
        <v>0</v>
      </c>
      <c r="Y486" s="3">
        <f t="shared" si="31"/>
        <v>0</v>
      </c>
      <c r="Z486" s="25">
        <f t="shared" si="32"/>
        <v>0</v>
      </c>
      <c r="AA486" s="26">
        <f>VLOOKUP(S486,CPI!$A$2:$E$67,5,0)</f>
        <v>1.124486105</v>
      </c>
      <c r="AB486" s="27">
        <f t="shared" si="8"/>
        <v>1048.402251</v>
      </c>
      <c r="AC486" s="27">
        <f t="shared" si="9"/>
        <v>476.5464778</v>
      </c>
    </row>
    <row r="487">
      <c r="A487" s="14">
        <v>9492.0</v>
      </c>
      <c r="B487" s="22" t="s">
        <v>230</v>
      </c>
      <c r="C487" s="22" t="s">
        <v>872</v>
      </c>
      <c r="D487" s="36" t="s">
        <v>110</v>
      </c>
      <c r="E487" s="22" t="s">
        <v>332</v>
      </c>
      <c r="F487" s="17">
        <v>2009.0</v>
      </c>
      <c r="G487" s="17"/>
      <c r="H487" s="17">
        <v>0.0</v>
      </c>
      <c r="I487" s="17">
        <v>15.4</v>
      </c>
      <c r="J487" s="19">
        <f>K487/I487</f>
        <v>1</v>
      </c>
      <c r="K487" s="17">
        <v>15.4</v>
      </c>
      <c r="L487" s="177">
        <v>0.0</v>
      </c>
      <c r="M487" s="177">
        <v>0.0</v>
      </c>
      <c r="N487" s="17">
        <v>15.0</v>
      </c>
      <c r="O487" s="17"/>
      <c r="P487" s="22" t="s">
        <v>42</v>
      </c>
      <c r="Q487" s="23">
        <v>9400.0</v>
      </c>
      <c r="R487" s="22" t="s">
        <v>234</v>
      </c>
      <c r="S487" s="17">
        <v>2009.0</v>
      </c>
      <c r="T487" s="136">
        <v>0.317</v>
      </c>
      <c r="U487" s="3">
        <f t="shared" si="85"/>
        <v>2979.8</v>
      </c>
      <c r="V487" s="24">
        <f t="shared" si="3"/>
        <v>193.4935065</v>
      </c>
      <c r="W487" s="3">
        <f t="shared" si="29"/>
        <v>0</v>
      </c>
      <c r="X487" s="3">
        <f t="shared" si="30"/>
        <v>0</v>
      </c>
      <c r="Y487" s="3">
        <f t="shared" si="31"/>
        <v>0</v>
      </c>
      <c r="Z487" s="25">
        <f t="shared" si="32"/>
        <v>0</v>
      </c>
      <c r="AA487" s="26">
        <f>VLOOKUP(S487,CPI!$A$2:$E$67,5,0)</f>
        <v>1.420277155</v>
      </c>
      <c r="AB487" s="27">
        <f t="shared" si="8"/>
        <v>4232.141866</v>
      </c>
      <c r="AC487" s="27">
        <f t="shared" si="9"/>
        <v>274.8144069</v>
      </c>
    </row>
    <row r="488">
      <c r="A488" s="38">
        <v>8088.0</v>
      </c>
      <c r="B488" s="72" t="s">
        <v>230</v>
      </c>
      <c r="C488" s="72" t="s">
        <v>872</v>
      </c>
      <c r="D488" s="115" t="s">
        <v>54</v>
      </c>
      <c r="E488" s="72" t="s">
        <v>891</v>
      </c>
      <c r="F488" s="69">
        <v>2016.0</v>
      </c>
      <c r="G488" s="7"/>
      <c r="H488" s="69">
        <v>0.0</v>
      </c>
      <c r="I488" s="69">
        <v>19.8</v>
      </c>
      <c r="J488" s="117">
        <v>0.69</v>
      </c>
      <c r="K488" s="69">
        <v>13.7</v>
      </c>
      <c r="L488" s="72"/>
      <c r="M488" s="72"/>
      <c r="N488" s="69">
        <v>7.0</v>
      </c>
      <c r="O488" s="69">
        <v>156.0</v>
      </c>
      <c r="P488" s="72"/>
      <c r="Q488" s="140">
        <v>9437.0</v>
      </c>
      <c r="R488" s="72" t="s">
        <v>234</v>
      </c>
      <c r="S488" s="115">
        <v>2016.0</v>
      </c>
      <c r="T488" s="136">
        <v>0.251</v>
      </c>
      <c r="U488" s="118">
        <f t="shared" si="85"/>
        <v>2368.687</v>
      </c>
      <c r="V488" s="24">
        <f t="shared" si="3"/>
        <v>119.6306566</v>
      </c>
      <c r="W488" s="3">
        <f t="shared" si="29"/>
        <v>0</v>
      </c>
      <c r="X488" s="3">
        <f t="shared" si="30"/>
        <v>0</v>
      </c>
      <c r="Y488" s="3">
        <f t="shared" si="31"/>
        <v>0</v>
      </c>
      <c r="Z488" s="25">
        <f t="shared" si="32"/>
        <v>0</v>
      </c>
      <c r="AA488" s="26">
        <f>VLOOKUP(S488,CPI!$A$2:$E$67,5,0)</f>
        <v>1.269554638</v>
      </c>
      <c r="AB488" s="27">
        <f t="shared" si="8"/>
        <v>3007.177567</v>
      </c>
      <c r="AC488" s="27">
        <f t="shared" si="9"/>
        <v>151.8776549</v>
      </c>
    </row>
    <row r="489">
      <c r="A489" s="38">
        <v>8106.0</v>
      </c>
      <c r="B489" s="72" t="s">
        <v>230</v>
      </c>
      <c r="C489" s="72" t="s">
        <v>872</v>
      </c>
      <c r="D489" s="72" t="s">
        <v>283</v>
      </c>
      <c r="E489" s="72" t="s">
        <v>283</v>
      </c>
      <c r="F489" s="69">
        <v>2020.0</v>
      </c>
      <c r="G489" s="72"/>
      <c r="H489" s="69">
        <v>0.0</v>
      </c>
      <c r="I489" s="69">
        <v>33.0</v>
      </c>
      <c r="J489" s="117">
        <v>0.38</v>
      </c>
      <c r="K489" s="69">
        <v>12.7</v>
      </c>
      <c r="L489" s="72"/>
      <c r="M489" s="72"/>
      <c r="N489" s="69">
        <v>12.0</v>
      </c>
      <c r="O489" s="69">
        <v>138.0</v>
      </c>
      <c r="P489" s="72"/>
      <c r="Q489" s="140">
        <v>16974.0</v>
      </c>
      <c r="R489" s="72" t="s">
        <v>234</v>
      </c>
      <c r="S489" s="115">
        <v>2020.0</v>
      </c>
      <c r="T489" s="136">
        <v>0.239</v>
      </c>
      <c r="U489" s="118">
        <f t="shared" si="85"/>
        <v>4056.786</v>
      </c>
      <c r="V489" s="24">
        <f t="shared" si="3"/>
        <v>122.9329091</v>
      </c>
      <c r="W489" s="3">
        <f t="shared" si="29"/>
        <v>0</v>
      </c>
      <c r="X489" s="3">
        <f t="shared" si="30"/>
        <v>0</v>
      </c>
      <c r="Y489" s="3">
        <f t="shared" si="31"/>
        <v>0</v>
      </c>
      <c r="Z489" s="25">
        <f t="shared" si="32"/>
        <v>0</v>
      </c>
      <c r="AA489" s="26">
        <f>VLOOKUP(S489,CPI!$A$2:$E$67,5,0)</f>
        <v>1.17731472</v>
      </c>
      <c r="AB489" s="27">
        <f t="shared" si="8"/>
        <v>4776.113874</v>
      </c>
      <c r="AC489" s="27">
        <f t="shared" si="9"/>
        <v>144.7307234</v>
      </c>
    </row>
    <row r="490">
      <c r="A490" s="170">
        <v>7761.0</v>
      </c>
      <c r="B490" s="123" t="s">
        <v>230</v>
      </c>
      <c r="C490" s="123" t="s">
        <v>872</v>
      </c>
      <c r="D490" s="36" t="s">
        <v>292</v>
      </c>
      <c r="E490" s="123" t="s">
        <v>894</v>
      </c>
      <c r="F490" s="123"/>
      <c r="G490" s="123"/>
      <c r="H490" s="75">
        <v>0.0</v>
      </c>
      <c r="I490" s="75">
        <v>9.9</v>
      </c>
      <c r="J490" s="124">
        <v>1.0</v>
      </c>
      <c r="K490" s="75">
        <v>9.9</v>
      </c>
      <c r="L490" s="125">
        <v>0.0</v>
      </c>
      <c r="M490" s="125">
        <v>0.0</v>
      </c>
      <c r="N490" s="75">
        <v>6.0</v>
      </c>
      <c r="O490" s="75"/>
      <c r="P490" s="123" t="s">
        <v>60</v>
      </c>
      <c r="Q490" s="126">
        <f>(79.89+39.01+16.25)*100</f>
        <v>13515</v>
      </c>
      <c r="R490" s="123" t="s">
        <v>234</v>
      </c>
      <c r="S490" s="75">
        <v>2019.0</v>
      </c>
      <c r="T490" s="136">
        <v>0.238</v>
      </c>
      <c r="U490" s="128">
        <f t="shared" si="85"/>
        <v>3216.57</v>
      </c>
      <c r="V490" s="24">
        <f t="shared" si="3"/>
        <v>324.9060606</v>
      </c>
      <c r="W490" s="3">
        <f t="shared" si="29"/>
        <v>0</v>
      </c>
      <c r="X490" s="3">
        <f t="shared" si="30"/>
        <v>0</v>
      </c>
      <c r="Y490" s="3">
        <f t="shared" si="31"/>
        <v>0</v>
      </c>
      <c r="Z490" s="25">
        <f t="shared" si="32"/>
        <v>0</v>
      </c>
      <c r="AA490" s="26">
        <f>VLOOKUP(S490,CPI!$A$2:$E$67,5,0)</f>
        <v>1.191839066</v>
      </c>
      <c r="AB490" s="27">
        <f t="shared" si="8"/>
        <v>3833.633783</v>
      </c>
      <c r="AC490" s="27">
        <f t="shared" si="9"/>
        <v>387.2357357</v>
      </c>
    </row>
    <row r="491">
      <c r="A491" s="170">
        <v>7849.0</v>
      </c>
      <c r="B491" s="123" t="s">
        <v>230</v>
      </c>
      <c r="C491" s="123" t="s">
        <v>872</v>
      </c>
      <c r="D491" s="123" t="s">
        <v>288</v>
      </c>
      <c r="E491" s="123" t="s">
        <v>288</v>
      </c>
      <c r="F491" s="123"/>
      <c r="G491" s="123"/>
      <c r="H491" s="75">
        <v>0.0</v>
      </c>
      <c r="I491" s="75">
        <v>20.6</v>
      </c>
      <c r="J491" s="124">
        <v>1.0</v>
      </c>
      <c r="K491" s="75">
        <v>20.6</v>
      </c>
      <c r="L491" s="125">
        <v>0.0</v>
      </c>
      <c r="M491" s="125">
        <v>0.0</v>
      </c>
      <c r="N491" s="75">
        <v>6.0</v>
      </c>
      <c r="O491" s="75"/>
      <c r="P491" s="123" t="s">
        <v>60</v>
      </c>
      <c r="Q491" s="126">
        <v>17190.0</v>
      </c>
      <c r="R491" s="123" t="s">
        <v>234</v>
      </c>
      <c r="S491" s="75">
        <v>2018.0</v>
      </c>
      <c r="T491" s="136">
        <v>0.237</v>
      </c>
      <c r="U491" s="128">
        <f t="shared" si="85"/>
        <v>4074.03</v>
      </c>
      <c r="V491" s="24">
        <f t="shared" si="3"/>
        <v>197.7684466</v>
      </c>
      <c r="W491" s="3">
        <f t="shared" si="29"/>
        <v>0</v>
      </c>
      <c r="X491" s="3">
        <f t="shared" si="30"/>
        <v>0</v>
      </c>
      <c r="Y491" s="3">
        <f t="shared" si="31"/>
        <v>0</v>
      </c>
      <c r="Z491" s="25">
        <f t="shared" si="32"/>
        <v>0</v>
      </c>
      <c r="AA491" s="26">
        <f>VLOOKUP(S491,CPI!$A$2:$E$67,5,0)</f>
        <v>1.21343491</v>
      </c>
      <c r="AB491" s="27">
        <f t="shared" si="8"/>
        <v>4943.570227</v>
      </c>
      <c r="AC491" s="27">
        <f t="shared" si="9"/>
        <v>239.9791372</v>
      </c>
    </row>
    <row r="492">
      <c r="A492" s="170">
        <v>7817.0</v>
      </c>
      <c r="B492" s="123" t="s">
        <v>230</v>
      </c>
      <c r="C492" s="123" t="s">
        <v>872</v>
      </c>
      <c r="D492" s="36" t="s">
        <v>54</v>
      </c>
      <c r="E492" s="123" t="s">
        <v>770</v>
      </c>
      <c r="F492" s="123"/>
      <c r="G492" s="123"/>
      <c r="H492" s="75">
        <v>0.0</v>
      </c>
      <c r="I492" s="75">
        <v>13.35</v>
      </c>
      <c r="J492" s="124">
        <v>1.0</v>
      </c>
      <c r="K492" s="75">
        <v>13.35</v>
      </c>
      <c r="L492" s="125">
        <v>0.0</v>
      </c>
      <c r="M492" s="125">
        <v>0.0</v>
      </c>
      <c r="N492" s="75">
        <v>10.0</v>
      </c>
      <c r="O492" s="75"/>
      <c r="P492" s="123" t="s">
        <v>42</v>
      </c>
      <c r="Q492" s="126">
        <v>16017.0</v>
      </c>
      <c r="R492" s="123" t="s">
        <v>234</v>
      </c>
      <c r="S492" s="75">
        <v>2014.0</v>
      </c>
      <c r="T492" s="136">
        <v>0.266</v>
      </c>
      <c r="U492" s="128">
        <f t="shared" si="85"/>
        <v>4260.522</v>
      </c>
      <c r="V492" s="24">
        <f t="shared" si="3"/>
        <v>319.1402247</v>
      </c>
      <c r="W492" s="3">
        <f t="shared" si="29"/>
        <v>0</v>
      </c>
      <c r="X492" s="3">
        <f t="shared" si="30"/>
        <v>0</v>
      </c>
      <c r="Y492" s="3">
        <f t="shared" si="31"/>
        <v>0</v>
      </c>
      <c r="Z492" s="25">
        <f t="shared" si="32"/>
        <v>0</v>
      </c>
      <c r="AA492" s="26">
        <f>VLOOKUP(S492,CPI!$A$2:$E$67,5,0)</f>
        <v>1.287096175</v>
      </c>
      <c r="AB492" s="27">
        <f t="shared" si="8"/>
        <v>5483.701568</v>
      </c>
      <c r="AC492" s="27">
        <f t="shared" si="9"/>
        <v>410.7641624</v>
      </c>
    </row>
    <row r="493">
      <c r="A493" s="38">
        <v>8099.0</v>
      </c>
      <c r="B493" s="130" t="s">
        <v>230</v>
      </c>
      <c r="C493" s="130" t="s">
        <v>872</v>
      </c>
      <c r="D493" s="130" t="s">
        <v>468</v>
      </c>
      <c r="E493" s="130" t="s">
        <v>468</v>
      </c>
      <c r="F493" s="130"/>
      <c r="G493" s="130"/>
      <c r="H493" s="130">
        <v>0.0</v>
      </c>
      <c r="I493" s="130">
        <v>33.7</v>
      </c>
      <c r="J493" s="131">
        <v>0.7181008902</v>
      </c>
      <c r="K493" s="130">
        <v>24.2</v>
      </c>
      <c r="L493" s="132">
        <v>9.773</v>
      </c>
      <c r="M493" s="132">
        <v>0.0</v>
      </c>
      <c r="N493" s="130">
        <v>15.0</v>
      </c>
      <c r="O493" s="138"/>
      <c r="P493" s="130" t="s">
        <v>60</v>
      </c>
      <c r="Q493" s="135">
        <v>16107.0</v>
      </c>
      <c r="R493" s="130" t="s">
        <v>234</v>
      </c>
      <c r="S493" s="130">
        <v>2015.0</v>
      </c>
      <c r="T493" s="136">
        <v>0.258</v>
      </c>
      <c r="U493" s="128">
        <f t="shared" ref="U493:U497" si="86">T493*Q493</f>
        <v>4155.606</v>
      </c>
      <c r="V493" s="24">
        <f t="shared" si="3"/>
        <v>123.3117507</v>
      </c>
      <c r="W493" s="3">
        <f t="shared" si="29"/>
        <v>0</v>
      </c>
      <c r="X493" s="3">
        <f t="shared" si="30"/>
        <v>0</v>
      </c>
      <c r="Y493" s="3">
        <f t="shared" si="31"/>
        <v>0</v>
      </c>
      <c r="Z493" s="25">
        <f t="shared" si="32"/>
        <v>0</v>
      </c>
      <c r="AA493" s="26">
        <f>VLOOKUP(S493,CPI!$A$2:$E$67,5,0)</f>
        <v>1.285570233</v>
      </c>
      <c r="AB493" s="27">
        <f t="shared" si="8"/>
        <v>5342.323375</v>
      </c>
      <c r="AC493" s="27">
        <f t="shared" si="9"/>
        <v>158.5259162</v>
      </c>
    </row>
    <row r="494">
      <c r="A494" s="38">
        <v>8016.0</v>
      </c>
      <c r="B494" s="130" t="s">
        <v>230</v>
      </c>
      <c r="C494" s="130" t="s">
        <v>872</v>
      </c>
      <c r="D494" s="16" t="s">
        <v>80</v>
      </c>
      <c r="E494" s="130" t="s">
        <v>265</v>
      </c>
      <c r="F494" s="130"/>
      <c r="G494" s="130"/>
      <c r="H494" s="130">
        <v>0.0</v>
      </c>
      <c r="I494" s="130">
        <v>7.0</v>
      </c>
      <c r="J494" s="131">
        <v>1.0</v>
      </c>
      <c r="K494" s="130">
        <v>7.0</v>
      </c>
      <c r="L494" s="132">
        <v>0.0</v>
      </c>
      <c r="M494" s="132">
        <v>0.0</v>
      </c>
      <c r="N494" s="130">
        <v>5.0</v>
      </c>
      <c r="O494" s="138"/>
      <c r="P494" s="130" t="s">
        <v>60</v>
      </c>
      <c r="Q494" s="135">
        <v>4558.0</v>
      </c>
      <c r="R494" s="130" t="s">
        <v>234</v>
      </c>
      <c r="S494" s="130">
        <v>2018.0</v>
      </c>
      <c r="T494" s="136">
        <v>0.237</v>
      </c>
      <c r="U494" s="128">
        <f t="shared" si="86"/>
        <v>1080.246</v>
      </c>
      <c r="V494" s="24">
        <f t="shared" si="3"/>
        <v>154.3208571</v>
      </c>
      <c r="W494" s="3">
        <f t="shared" si="29"/>
        <v>0</v>
      </c>
      <c r="X494" s="3">
        <f t="shared" si="30"/>
        <v>0</v>
      </c>
      <c r="Y494" s="3">
        <f t="shared" si="31"/>
        <v>0</v>
      </c>
      <c r="Z494" s="25">
        <f t="shared" si="32"/>
        <v>0</v>
      </c>
      <c r="AA494" s="26">
        <f>VLOOKUP(S494,CPI!$A$2:$E$67,5,0)</f>
        <v>1.21343491</v>
      </c>
      <c r="AB494" s="27">
        <f t="shared" si="8"/>
        <v>1310.808208</v>
      </c>
      <c r="AC494" s="27">
        <f t="shared" si="9"/>
        <v>187.2583154</v>
      </c>
    </row>
    <row r="495">
      <c r="A495" s="38">
        <v>8083.0</v>
      </c>
      <c r="B495" s="130" t="s">
        <v>230</v>
      </c>
      <c r="C495" s="130" t="s">
        <v>872</v>
      </c>
      <c r="D495" s="36" t="s">
        <v>228</v>
      </c>
      <c r="E495" s="130" t="s">
        <v>722</v>
      </c>
      <c r="F495" s="130"/>
      <c r="G495" s="130"/>
      <c r="H495" s="130">
        <v>0.0</v>
      </c>
      <c r="I495" s="130">
        <v>33.6</v>
      </c>
      <c r="J495" s="131">
        <v>0.4047619048</v>
      </c>
      <c r="K495" s="130">
        <v>13.6</v>
      </c>
      <c r="L495" s="132">
        <v>0.0</v>
      </c>
      <c r="M495" s="132">
        <v>0.0</v>
      </c>
      <c r="N495" s="130">
        <v>9.0</v>
      </c>
      <c r="O495" s="138"/>
      <c r="P495" s="130" t="s">
        <v>60</v>
      </c>
      <c r="Q495" s="135">
        <v>17559.0</v>
      </c>
      <c r="R495" s="130" t="s">
        <v>234</v>
      </c>
      <c r="S495" s="130">
        <v>2018.0</v>
      </c>
      <c r="T495" s="136">
        <v>0.237</v>
      </c>
      <c r="U495" s="128">
        <f t="shared" si="86"/>
        <v>4161.483</v>
      </c>
      <c r="V495" s="24">
        <f t="shared" si="3"/>
        <v>123.8536607</v>
      </c>
      <c r="W495" s="3">
        <f t="shared" si="29"/>
        <v>0</v>
      </c>
      <c r="X495" s="3">
        <f t="shared" si="30"/>
        <v>0</v>
      </c>
      <c r="Y495" s="3">
        <f t="shared" si="31"/>
        <v>0</v>
      </c>
      <c r="Z495" s="25">
        <f t="shared" si="32"/>
        <v>0</v>
      </c>
      <c r="AA495" s="26">
        <f>VLOOKUP(S495,CPI!$A$2:$E$67,5,0)</f>
        <v>1.21343491</v>
      </c>
      <c r="AB495" s="27">
        <f t="shared" si="8"/>
        <v>5049.68875</v>
      </c>
      <c r="AC495" s="27">
        <f t="shared" si="9"/>
        <v>150.2883557</v>
      </c>
    </row>
    <row r="496">
      <c r="A496" s="38">
        <v>8075.0</v>
      </c>
      <c r="B496" s="130" t="s">
        <v>230</v>
      </c>
      <c r="C496" s="130" t="s">
        <v>872</v>
      </c>
      <c r="D496" s="36" t="s">
        <v>243</v>
      </c>
      <c r="E496" s="130" t="s">
        <v>788</v>
      </c>
      <c r="F496" s="130"/>
      <c r="G496" s="130"/>
      <c r="H496" s="130">
        <v>0.0</v>
      </c>
      <c r="I496" s="130">
        <v>4.9</v>
      </c>
      <c r="J496" s="131">
        <v>1.0</v>
      </c>
      <c r="K496" s="130">
        <v>4.9</v>
      </c>
      <c r="L496" s="132">
        <v>0.0</v>
      </c>
      <c r="M496" s="132">
        <v>0.0</v>
      </c>
      <c r="N496" s="130">
        <v>2.0</v>
      </c>
      <c r="O496" s="138"/>
      <c r="P496" s="130" t="s">
        <v>60</v>
      </c>
      <c r="Q496" s="232">
        <v>2597.0</v>
      </c>
      <c r="R496" s="130" t="s">
        <v>234</v>
      </c>
      <c r="S496" s="130">
        <v>2018.0</v>
      </c>
      <c r="T496" s="136">
        <v>0.237</v>
      </c>
      <c r="U496" s="128">
        <f t="shared" si="86"/>
        <v>615.489</v>
      </c>
      <c r="V496" s="24">
        <f t="shared" si="3"/>
        <v>125.61</v>
      </c>
      <c r="W496" s="3">
        <f t="shared" si="29"/>
        <v>0</v>
      </c>
      <c r="X496" s="3">
        <f t="shared" si="30"/>
        <v>0</v>
      </c>
      <c r="Y496" s="3">
        <f t="shared" si="31"/>
        <v>0</v>
      </c>
      <c r="Z496" s="25">
        <f t="shared" si="32"/>
        <v>0</v>
      </c>
      <c r="AA496" s="26">
        <f>VLOOKUP(S496,CPI!$A$2:$E$67,5,0)</f>
        <v>1.21343491</v>
      </c>
      <c r="AB496" s="27">
        <f t="shared" si="8"/>
        <v>746.8558395</v>
      </c>
      <c r="AC496" s="27">
        <f t="shared" si="9"/>
        <v>152.4195591</v>
      </c>
    </row>
    <row r="497">
      <c r="A497" s="38">
        <v>8049.0</v>
      </c>
      <c r="B497" s="130" t="s">
        <v>230</v>
      </c>
      <c r="C497" s="130" t="s">
        <v>872</v>
      </c>
      <c r="D497" s="130" t="s">
        <v>896</v>
      </c>
      <c r="E497" s="130" t="s">
        <v>896</v>
      </c>
      <c r="F497" s="130"/>
      <c r="G497" s="130"/>
      <c r="H497" s="130">
        <v>0.0</v>
      </c>
      <c r="I497" s="130">
        <v>30.2</v>
      </c>
      <c r="J497" s="131">
        <v>0.8410596026</v>
      </c>
      <c r="K497" s="130">
        <v>25.4</v>
      </c>
      <c r="L497" s="132">
        <v>0.0</v>
      </c>
      <c r="M497" s="132">
        <v>0.0</v>
      </c>
      <c r="N497" s="130">
        <v>11.0</v>
      </c>
      <c r="O497" s="138"/>
      <c r="P497" s="130" t="s">
        <v>60</v>
      </c>
      <c r="Q497" s="135">
        <v>17681.0</v>
      </c>
      <c r="R497" s="130" t="s">
        <v>234</v>
      </c>
      <c r="S497" s="130">
        <v>2018.0</v>
      </c>
      <c r="T497" s="136">
        <v>0.237</v>
      </c>
      <c r="U497" s="128">
        <f t="shared" si="86"/>
        <v>4190.397</v>
      </c>
      <c r="V497" s="24">
        <f t="shared" si="3"/>
        <v>138.7548675</v>
      </c>
      <c r="W497" s="3">
        <f t="shared" si="29"/>
        <v>0</v>
      </c>
      <c r="X497" s="3">
        <f t="shared" si="30"/>
        <v>0</v>
      </c>
      <c r="Y497" s="3">
        <f t="shared" si="31"/>
        <v>0</v>
      </c>
      <c r="Z497" s="25">
        <f t="shared" si="32"/>
        <v>0</v>
      </c>
      <c r="AA497" s="26">
        <f>VLOOKUP(S497,CPI!$A$2:$E$67,5,0)</f>
        <v>1.21343491</v>
      </c>
      <c r="AB497" s="27">
        <f t="shared" si="8"/>
        <v>5084.774007</v>
      </c>
      <c r="AC497" s="27">
        <f t="shared" si="9"/>
        <v>168.3700002</v>
      </c>
    </row>
    <row r="498">
      <c r="A498" s="7"/>
      <c r="B498" s="114" t="s">
        <v>230</v>
      </c>
      <c r="C498" s="114" t="s">
        <v>897</v>
      </c>
      <c r="D498" s="114" t="s">
        <v>57</v>
      </c>
      <c r="E498" s="114" t="s">
        <v>57</v>
      </c>
      <c r="F498" s="114"/>
      <c r="G498" s="116">
        <v>2021.0</v>
      </c>
      <c r="H498" s="116">
        <v>0.0</v>
      </c>
      <c r="I498" s="116">
        <v>30.517</v>
      </c>
      <c r="J498" s="117">
        <v>0.0</v>
      </c>
      <c r="K498" s="116">
        <v>0.1</v>
      </c>
      <c r="L498" s="114"/>
      <c r="M498" s="114"/>
      <c r="N498" s="116">
        <v>25.0</v>
      </c>
      <c r="O498" s="116">
        <v>90.0</v>
      </c>
      <c r="P498" s="114"/>
      <c r="Q498" s="140">
        <v>9100.0</v>
      </c>
      <c r="R498" s="114" t="s">
        <v>234</v>
      </c>
      <c r="S498" s="115">
        <v>2021.0</v>
      </c>
      <c r="T498" s="136">
        <v>0.239000000000002</v>
      </c>
      <c r="U498" s="118">
        <f t="shared" ref="U498:U517" si="87">Q498*T498</f>
        <v>2174.9</v>
      </c>
      <c r="V498" s="24">
        <f t="shared" si="3"/>
        <v>71.26847331</v>
      </c>
      <c r="W498" s="3">
        <f t="shared" si="29"/>
        <v>0</v>
      </c>
      <c r="X498" s="3">
        <f t="shared" si="30"/>
        <v>0</v>
      </c>
      <c r="Y498" s="3">
        <f t="shared" si="31"/>
        <v>0</v>
      </c>
      <c r="Z498" s="25">
        <f t="shared" si="32"/>
        <v>0</v>
      </c>
      <c r="AA498" s="26">
        <f>VLOOKUP(S498,CPI!$A$2:$E$67,5,0)</f>
        <v>1.124486105</v>
      </c>
      <c r="AB498" s="27">
        <f t="shared" si="8"/>
        <v>2445.644831</v>
      </c>
      <c r="AC498" s="27">
        <f t="shared" si="9"/>
        <v>80.140408</v>
      </c>
    </row>
    <row r="499">
      <c r="A499" s="7"/>
      <c r="B499" s="114" t="s">
        <v>230</v>
      </c>
      <c r="C499" s="114" t="s">
        <v>897</v>
      </c>
      <c r="D499" s="114" t="s">
        <v>54</v>
      </c>
      <c r="E499" s="114" t="s">
        <v>54</v>
      </c>
      <c r="F499" s="114"/>
      <c r="G499" s="116">
        <v>2021.0</v>
      </c>
      <c r="H499" s="116">
        <v>0.0</v>
      </c>
      <c r="I499" s="116">
        <v>14.94</v>
      </c>
      <c r="J499" s="117">
        <v>0.09</v>
      </c>
      <c r="K499" s="116">
        <v>1.3</v>
      </c>
      <c r="L499" s="114"/>
      <c r="M499" s="114"/>
      <c r="N499" s="116">
        <v>11.0</v>
      </c>
      <c r="O499" s="116">
        <v>90.0</v>
      </c>
      <c r="P499" s="114"/>
      <c r="Q499" s="140">
        <v>5533.0</v>
      </c>
      <c r="R499" s="114" t="s">
        <v>234</v>
      </c>
      <c r="S499" s="115">
        <v>2021.0</v>
      </c>
      <c r="T499" s="136">
        <v>0.239000000000002</v>
      </c>
      <c r="U499" s="118">
        <f t="shared" si="87"/>
        <v>1322.387</v>
      </c>
      <c r="V499" s="24">
        <f t="shared" si="3"/>
        <v>88.51318608</v>
      </c>
      <c r="W499" s="3">
        <f t="shared" si="29"/>
        <v>0</v>
      </c>
      <c r="X499" s="3">
        <f t="shared" si="30"/>
        <v>0</v>
      </c>
      <c r="Y499" s="3">
        <f t="shared" si="31"/>
        <v>0</v>
      </c>
      <c r="Z499" s="25">
        <f t="shared" si="32"/>
        <v>0</v>
      </c>
      <c r="AA499" s="26">
        <f>VLOOKUP(S499,CPI!$A$2:$E$67,5,0)</f>
        <v>1.124486105</v>
      </c>
      <c r="AB499" s="27">
        <f t="shared" si="8"/>
        <v>1487.005808</v>
      </c>
      <c r="AC499" s="27">
        <f t="shared" si="9"/>
        <v>99.5318479</v>
      </c>
    </row>
    <row r="500">
      <c r="A500" s="163"/>
      <c r="B500" s="114" t="s">
        <v>230</v>
      </c>
      <c r="C500" s="114" t="s">
        <v>900</v>
      </c>
      <c r="D500" s="16" t="s">
        <v>54</v>
      </c>
      <c r="E500" s="115" t="s">
        <v>348</v>
      </c>
      <c r="F500" s="116">
        <v>2010.0</v>
      </c>
      <c r="G500" s="116">
        <v>2014.0</v>
      </c>
      <c r="H500" s="116">
        <v>0.0</v>
      </c>
      <c r="I500" s="116">
        <v>26.3</v>
      </c>
      <c r="J500" s="117">
        <v>0.75</v>
      </c>
      <c r="K500" s="116">
        <v>19.6</v>
      </c>
      <c r="L500" s="114"/>
      <c r="M500" s="114"/>
      <c r="N500" s="116">
        <v>20.0</v>
      </c>
      <c r="O500" s="116">
        <v>117.0</v>
      </c>
      <c r="P500" s="114"/>
      <c r="Q500" s="140">
        <v>17487.0</v>
      </c>
      <c r="R500" s="114" t="s">
        <v>234</v>
      </c>
      <c r="S500" s="115">
        <v>2012.0</v>
      </c>
      <c r="T500" s="136">
        <v>0.281</v>
      </c>
      <c r="U500" s="118">
        <f t="shared" si="87"/>
        <v>4913.847</v>
      </c>
      <c r="V500" s="24">
        <f t="shared" si="3"/>
        <v>186.838289</v>
      </c>
      <c r="W500" s="3">
        <f t="shared" si="29"/>
        <v>0</v>
      </c>
      <c r="X500" s="3">
        <f t="shared" si="30"/>
        <v>0</v>
      </c>
      <c r="Y500" s="3">
        <f t="shared" si="31"/>
        <v>0</v>
      </c>
      <c r="Z500" s="25">
        <f t="shared" si="32"/>
        <v>0</v>
      </c>
      <c r="AA500" s="26">
        <f>VLOOKUP(S500,CPI!$A$2:$E$67,5,0)</f>
        <v>1.327133984</v>
      </c>
      <c r="AB500" s="27">
        <f t="shared" si="8"/>
        <v>6521.333348</v>
      </c>
      <c r="AC500" s="27">
        <f t="shared" si="9"/>
        <v>247.9594429</v>
      </c>
    </row>
    <row r="501">
      <c r="A501" s="163"/>
      <c r="B501" s="114" t="s">
        <v>230</v>
      </c>
      <c r="C501" s="114" t="s">
        <v>900</v>
      </c>
      <c r="D501" s="115" t="s">
        <v>57</v>
      </c>
      <c r="E501" s="114" t="s">
        <v>564</v>
      </c>
      <c r="F501" s="114"/>
      <c r="G501" s="116">
        <v>2019.0</v>
      </c>
      <c r="H501" s="116">
        <v>0.0</v>
      </c>
      <c r="I501" s="116">
        <v>5.187</v>
      </c>
      <c r="J501" s="117">
        <v>1.0</v>
      </c>
      <c r="K501" s="116">
        <v>5.187</v>
      </c>
      <c r="L501" s="114"/>
      <c r="M501" s="114"/>
      <c r="N501" s="116">
        <v>3.0</v>
      </c>
      <c r="O501" s="116">
        <v>117.0</v>
      </c>
      <c r="P501" s="114"/>
      <c r="Q501" s="140">
        <v>2598.0</v>
      </c>
      <c r="R501" s="114" t="s">
        <v>234</v>
      </c>
      <c r="S501" s="115">
        <v>2019.0</v>
      </c>
      <c r="T501" s="136">
        <v>0.238</v>
      </c>
      <c r="U501" s="118">
        <f t="shared" si="87"/>
        <v>618.324</v>
      </c>
      <c r="V501" s="24">
        <f t="shared" si="3"/>
        <v>119.2064777</v>
      </c>
      <c r="W501" s="3">
        <f t="shared" si="29"/>
        <v>0</v>
      </c>
      <c r="X501" s="3">
        <f t="shared" si="30"/>
        <v>0</v>
      </c>
      <c r="Y501" s="3">
        <f t="shared" si="31"/>
        <v>0</v>
      </c>
      <c r="Z501" s="25">
        <f t="shared" si="32"/>
        <v>0</v>
      </c>
      <c r="AA501" s="26">
        <f>VLOOKUP(S501,CPI!$A$2:$E$67,5,0)</f>
        <v>1.191839066</v>
      </c>
      <c r="AB501" s="27">
        <f t="shared" si="8"/>
        <v>736.9426984</v>
      </c>
      <c r="AC501" s="27">
        <f t="shared" si="9"/>
        <v>142.074937</v>
      </c>
    </row>
    <row r="502">
      <c r="A502" s="163"/>
      <c r="B502" s="114" t="s">
        <v>230</v>
      </c>
      <c r="C502" s="114" t="s">
        <v>900</v>
      </c>
      <c r="D502" s="114" t="s">
        <v>819</v>
      </c>
      <c r="E502" s="114" t="s">
        <v>819</v>
      </c>
      <c r="F502" s="116">
        <v>2019.0</v>
      </c>
      <c r="G502" s="116">
        <v>2023.0</v>
      </c>
      <c r="H502" s="116">
        <v>0.0</v>
      </c>
      <c r="I502" s="116">
        <v>30.4</v>
      </c>
      <c r="J502" s="117">
        <v>0.35</v>
      </c>
      <c r="K502" s="116">
        <v>10.5</v>
      </c>
      <c r="L502" s="114"/>
      <c r="M502" s="114"/>
      <c r="N502" s="116">
        <v>9.0</v>
      </c>
      <c r="O502" s="116">
        <v>117.0</v>
      </c>
      <c r="P502" s="114"/>
      <c r="Q502" s="140">
        <v>14403.0</v>
      </c>
      <c r="R502" s="114" t="s">
        <v>234</v>
      </c>
      <c r="S502" s="115">
        <v>2021.0</v>
      </c>
      <c r="T502" s="136">
        <v>0.239</v>
      </c>
      <c r="U502" s="118">
        <f t="shared" si="87"/>
        <v>3442.317</v>
      </c>
      <c r="V502" s="24">
        <f t="shared" si="3"/>
        <v>113.2341118</v>
      </c>
      <c r="W502" s="3">
        <f t="shared" si="29"/>
        <v>0</v>
      </c>
      <c r="X502" s="3">
        <f t="shared" si="30"/>
        <v>0</v>
      </c>
      <c r="Y502" s="3">
        <f t="shared" si="31"/>
        <v>0</v>
      </c>
      <c r="Z502" s="25">
        <f t="shared" si="32"/>
        <v>0</v>
      </c>
      <c r="AA502" s="26">
        <f>VLOOKUP(S502,CPI!$A$2:$E$67,5,0)</f>
        <v>1.124486105</v>
      </c>
      <c r="AB502" s="27">
        <f t="shared" si="8"/>
        <v>3870.837637</v>
      </c>
      <c r="AC502" s="27">
        <f t="shared" si="9"/>
        <v>127.3301854</v>
      </c>
    </row>
    <row r="503">
      <c r="A503" s="163"/>
      <c r="B503" s="114" t="s">
        <v>230</v>
      </c>
      <c r="C503" s="114" t="s">
        <v>900</v>
      </c>
      <c r="D503" s="115" t="s">
        <v>57</v>
      </c>
      <c r="E503" s="115" t="s">
        <v>232</v>
      </c>
      <c r="F503" s="116">
        <v>2014.0</v>
      </c>
      <c r="G503" s="114"/>
      <c r="H503" s="116">
        <v>0.0</v>
      </c>
      <c r="I503" s="116">
        <v>29.4</v>
      </c>
      <c r="J503" s="117">
        <v>0.83</v>
      </c>
      <c r="K503" s="116">
        <v>24.4</v>
      </c>
      <c r="L503" s="114"/>
      <c r="M503" s="114"/>
      <c r="N503" s="116">
        <v>24.0</v>
      </c>
      <c r="O503" s="116">
        <v>117.0</v>
      </c>
      <c r="P503" s="114"/>
      <c r="Q503" s="140">
        <v>18500.0</v>
      </c>
      <c r="R503" s="114" t="s">
        <v>234</v>
      </c>
      <c r="S503" s="115">
        <v>2014.0</v>
      </c>
      <c r="T503" s="85">
        <v>0.266</v>
      </c>
      <c r="U503" s="118">
        <f t="shared" si="87"/>
        <v>4921</v>
      </c>
      <c r="V503" s="24">
        <f t="shared" si="3"/>
        <v>167.3809524</v>
      </c>
      <c r="W503" s="3">
        <f t="shared" si="29"/>
        <v>0</v>
      </c>
      <c r="X503" s="3">
        <f t="shared" si="30"/>
        <v>0</v>
      </c>
      <c r="Y503" s="3">
        <f t="shared" si="31"/>
        <v>0</v>
      </c>
      <c r="Z503" s="25">
        <f t="shared" si="32"/>
        <v>0</v>
      </c>
      <c r="AA503" s="26">
        <f>VLOOKUP(S503,CPI!$A$2:$E$67,5,0)</f>
        <v>1.287096175</v>
      </c>
      <c r="AB503" s="27">
        <f t="shared" si="8"/>
        <v>6333.800275</v>
      </c>
      <c r="AC503" s="27">
        <f t="shared" si="9"/>
        <v>215.4353835</v>
      </c>
    </row>
    <row r="504">
      <c r="A504" s="163"/>
      <c r="B504" s="114" t="s">
        <v>230</v>
      </c>
      <c r="C504" s="114" t="s">
        <v>900</v>
      </c>
      <c r="D504" s="16" t="s">
        <v>87</v>
      </c>
      <c r="E504" s="115" t="s">
        <v>331</v>
      </c>
      <c r="F504" s="116">
        <v>2020.0</v>
      </c>
      <c r="G504" s="114"/>
      <c r="H504" s="116">
        <v>0.0</v>
      </c>
      <c r="I504" s="116">
        <v>28.5</v>
      </c>
      <c r="J504" s="117">
        <v>1.0</v>
      </c>
      <c r="K504" s="116">
        <v>28.5</v>
      </c>
      <c r="L504" s="114"/>
      <c r="M504" s="114"/>
      <c r="N504" s="116">
        <v>21.0</v>
      </c>
      <c r="O504" s="116">
        <v>117.0</v>
      </c>
      <c r="P504" s="114"/>
      <c r="Q504" s="140">
        <v>20538.0</v>
      </c>
      <c r="R504" s="114" t="s">
        <v>234</v>
      </c>
      <c r="S504" s="115">
        <v>2020.0</v>
      </c>
      <c r="T504" s="136">
        <v>0.239</v>
      </c>
      <c r="U504" s="118">
        <f t="shared" si="87"/>
        <v>4908.582</v>
      </c>
      <c r="V504" s="24">
        <f t="shared" si="3"/>
        <v>172.2309474</v>
      </c>
      <c r="W504" s="3">
        <f t="shared" si="29"/>
        <v>0</v>
      </c>
      <c r="X504" s="3">
        <f t="shared" si="30"/>
        <v>0</v>
      </c>
      <c r="Y504" s="3">
        <f t="shared" si="31"/>
        <v>0</v>
      </c>
      <c r="Z504" s="25">
        <f t="shared" si="32"/>
        <v>0</v>
      </c>
      <c r="AA504" s="26">
        <f>VLOOKUP(S504,CPI!$A$2:$E$67,5,0)</f>
        <v>1.17731472</v>
      </c>
      <c r="AB504" s="27">
        <f t="shared" si="8"/>
        <v>5778.945843</v>
      </c>
      <c r="AC504" s="27">
        <f t="shared" si="9"/>
        <v>202.7700296</v>
      </c>
    </row>
    <row r="505">
      <c r="A505" s="163"/>
      <c r="B505" s="114" t="s">
        <v>230</v>
      </c>
      <c r="C505" s="114" t="s">
        <v>900</v>
      </c>
      <c r="D505" s="16" t="s">
        <v>110</v>
      </c>
      <c r="E505" s="115" t="s">
        <v>332</v>
      </c>
      <c r="F505" s="116">
        <v>2021.0</v>
      </c>
      <c r="G505" s="114"/>
      <c r="H505" s="116">
        <v>0.0</v>
      </c>
      <c r="I505" s="116">
        <v>24.4</v>
      </c>
      <c r="J505" s="117">
        <v>1.0</v>
      </c>
      <c r="K505" s="116">
        <v>24.4</v>
      </c>
      <c r="L505" s="114"/>
      <c r="M505" s="114"/>
      <c r="N505" s="116">
        <v>18.0</v>
      </c>
      <c r="O505" s="116">
        <v>117.0</v>
      </c>
      <c r="P505" s="114"/>
      <c r="Q505" s="140">
        <v>18318.0</v>
      </c>
      <c r="R505" s="114" t="s">
        <v>234</v>
      </c>
      <c r="S505" s="115">
        <v>2021.0</v>
      </c>
      <c r="T505" s="136">
        <v>0.239</v>
      </c>
      <c r="U505" s="118">
        <f t="shared" si="87"/>
        <v>4378.002</v>
      </c>
      <c r="V505" s="24">
        <f t="shared" si="3"/>
        <v>179.4263115</v>
      </c>
      <c r="W505" s="3">
        <f t="shared" si="29"/>
        <v>0</v>
      </c>
      <c r="X505" s="3">
        <f t="shared" si="30"/>
        <v>0</v>
      </c>
      <c r="Y505" s="3">
        <f t="shared" si="31"/>
        <v>0</v>
      </c>
      <c r="Z505" s="25">
        <f t="shared" si="32"/>
        <v>0</v>
      </c>
      <c r="AA505" s="26">
        <f>VLOOKUP(S505,CPI!$A$2:$E$67,5,0)</f>
        <v>1.124486105</v>
      </c>
      <c r="AB505" s="27">
        <f t="shared" si="8"/>
        <v>4923.002419</v>
      </c>
      <c r="AC505" s="27">
        <f t="shared" si="9"/>
        <v>201.7623942</v>
      </c>
    </row>
    <row r="506">
      <c r="A506" s="7"/>
      <c r="B506" s="114" t="s">
        <v>230</v>
      </c>
      <c r="C506" s="114" t="s">
        <v>900</v>
      </c>
      <c r="D506" s="115" t="s">
        <v>84</v>
      </c>
      <c r="E506" s="115" t="s">
        <v>319</v>
      </c>
      <c r="F506" s="116">
        <v>2022.0</v>
      </c>
      <c r="G506" s="114"/>
      <c r="H506" s="116">
        <v>0.0</v>
      </c>
      <c r="I506" s="116">
        <v>25.4</v>
      </c>
      <c r="J506" s="117">
        <v>1.0</v>
      </c>
      <c r="K506" s="116">
        <v>25.4</v>
      </c>
      <c r="L506" s="114"/>
      <c r="M506" s="114"/>
      <c r="N506" s="116">
        <v>22.0</v>
      </c>
      <c r="O506" s="116">
        <v>117.0</v>
      </c>
      <c r="P506" s="114"/>
      <c r="Q506" s="140">
        <v>24369.0</v>
      </c>
      <c r="R506" s="114" t="s">
        <v>234</v>
      </c>
      <c r="S506" s="115">
        <v>2021.0</v>
      </c>
      <c r="T506" s="136">
        <v>0.239000000000002</v>
      </c>
      <c r="U506" s="118">
        <f t="shared" si="87"/>
        <v>5824.191</v>
      </c>
      <c r="V506" s="24">
        <f t="shared" si="3"/>
        <v>229.2988583</v>
      </c>
      <c r="W506" s="3">
        <f t="shared" si="29"/>
        <v>0</v>
      </c>
      <c r="X506" s="3">
        <f t="shared" si="30"/>
        <v>0</v>
      </c>
      <c r="Y506" s="3">
        <f t="shared" si="31"/>
        <v>0</v>
      </c>
      <c r="Z506" s="25">
        <f t="shared" si="32"/>
        <v>0</v>
      </c>
      <c r="AA506" s="26">
        <f>VLOOKUP(S506,CPI!$A$2:$E$67,5,0)</f>
        <v>1.124486105</v>
      </c>
      <c r="AB506" s="27">
        <f t="shared" si="8"/>
        <v>6549.221855</v>
      </c>
      <c r="AC506" s="27">
        <f t="shared" si="9"/>
        <v>257.8433801</v>
      </c>
    </row>
    <row r="507">
      <c r="A507" s="163"/>
      <c r="B507" s="114" t="s">
        <v>230</v>
      </c>
      <c r="C507" s="114" t="s">
        <v>900</v>
      </c>
      <c r="D507" s="114" t="s">
        <v>909</v>
      </c>
      <c r="E507" s="114" t="s">
        <v>909</v>
      </c>
      <c r="F507" s="116">
        <v>2022.0</v>
      </c>
      <c r="G507" s="114"/>
      <c r="H507" s="116">
        <v>0.0</v>
      </c>
      <c r="I507" s="116">
        <v>30.0</v>
      </c>
      <c r="J507" s="114"/>
      <c r="K507" s="114"/>
      <c r="L507" s="114"/>
      <c r="M507" s="114"/>
      <c r="N507" s="116">
        <v>6.0</v>
      </c>
      <c r="O507" s="116">
        <v>92.0</v>
      </c>
      <c r="P507" s="114"/>
      <c r="Q507" s="140">
        <v>15716.0</v>
      </c>
      <c r="R507" s="114" t="s">
        <v>234</v>
      </c>
      <c r="S507" s="115">
        <v>2021.0</v>
      </c>
      <c r="T507" s="136">
        <v>0.239</v>
      </c>
      <c r="U507" s="118">
        <f t="shared" si="87"/>
        <v>3756.124</v>
      </c>
      <c r="V507" s="24">
        <f t="shared" si="3"/>
        <v>125.2041333</v>
      </c>
      <c r="W507" s="3">
        <f t="shared" si="29"/>
        <v>0</v>
      </c>
      <c r="X507" s="3">
        <f t="shared" si="30"/>
        <v>0</v>
      </c>
      <c r="Y507" s="3">
        <f t="shared" si="31"/>
        <v>0</v>
      </c>
      <c r="Z507" s="25">
        <f t="shared" si="32"/>
        <v>0</v>
      </c>
      <c r="AA507" s="26">
        <f>VLOOKUP(S507,CPI!$A$2:$E$67,5,0)</f>
        <v>1.124486105</v>
      </c>
      <c r="AB507" s="27">
        <f t="shared" si="8"/>
        <v>4223.709248</v>
      </c>
      <c r="AC507" s="27">
        <f t="shared" si="9"/>
        <v>140.7903083</v>
      </c>
    </row>
    <row r="508">
      <c r="A508" s="7"/>
      <c r="B508" s="114" t="s">
        <v>230</v>
      </c>
      <c r="C508" s="114" t="s">
        <v>911</v>
      </c>
      <c r="D508" s="115" t="s">
        <v>54</v>
      </c>
      <c r="E508" s="115" t="s">
        <v>348</v>
      </c>
      <c r="F508" s="116">
        <v>2006.0</v>
      </c>
      <c r="G508" s="116">
        <v>2011.0</v>
      </c>
      <c r="H508" s="116">
        <v>0.0</v>
      </c>
      <c r="I508" s="116">
        <v>26.76</v>
      </c>
      <c r="J508" s="117">
        <v>1.0</v>
      </c>
      <c r="K508" s="116">
        <v>26.76</v>
      </c>
      <c r="L508" s="114"/>
      <c r="M508" s="114"/>
      <c r="N508" s="116">
        <v>21.0</v>
      </c>
      <c r="O508" s="116">
        <v>117.0</v>
      </c>
      <c r="P508" s="114"/>
      <c r="Q508" s="140">
        <v>12963.0</v>
      </c>
      <c r="R508" s="114" t="s">
        <v>234</v>
      </c>
      <c r="S508" s="115">
        <v>2009.0</v>
      </c>
      <c r="T508" s="85">
        <v>0.317</v>
      </c>
      <c r="U508" s="118">
        <f t="shared" si="87"/>
        <v>4109.271</v>
      </c>
      <c r="V508" s="24">
        <f t="shared" si="3"/>
        <v>153.5602018</v>
      </c>
      <c r="W508" s="3">
        <f t="shared" si="29"/>
        <v>0</v>
      </c>
      <c r="X508" s="3">
        <f t="shared" si="30"/>
        <v>0</v>
      </c>
      <c r="Y508" s="3">
        <f t="shared" si="31"/>
        <v>0</v>
      </c>
      <c r="Z508" s="25">
        <f t="shared" si="32"/>
        <v>0</v>
      </c>
      <c r="AA508" s="26">
        <f>VLOOKUP(S508,CPI!$A$2:$E$67,5,0)</f>
        <v>1.420277155</v>
      </c>
      <c r="AB508" s="27">
        <f t="shared" si="8"/>
        <v>5836.303725</v>
      </c>
      <c r="AC508" s="27">
        <f t="shared" si="9"/>
        <v>218.0980465</v>
      </c>
    </row>
    <row r="509">
      <c r="A509" s="7"/>
      <c r="B509" s="114" t="s">
        <v>230</v>
      </c>
      <c r="C509" s="114" t="s">
        <v>911</v>
      </c>
      <c r="D509" s="115" t="s">
        <v>57</v>
      </c>
      <c r="E509" s="115" t="s">
        <v>232</v>
      </c>
      <c r="F509" s="114"/>
      <c r="G509" s="116">
        <v>2013.0</v>
      </c>
      <c r="H509" s="116">
        <v>0.0</v>
      </c>
      <c r="I509" s="116">
        <v>25.36</v>
      </c>
      <c r="J509" s="117">
        <v>1.0</v>
      </c>
      <c r="K509" s="116">
        <v>25.36</v>
      </c>
      <c r="L509" s="114"/>
      <c r="M509" s="114"/>
      <c r="N509" s="116">
        <v>19.0</v>
      </c>
      <c r="O509" s="116">
        <v>117.0</v>
      </c>
      <c r="P509" s="114"/>
      <c r="Q509" s="140">
        <v>13490.0</v>
      </c>
      <c r="R509" s="114" t="s">
        <v>234</v>
      </c>
      <c r="S509" s="115">
        <v>2013.0</v>
      </c>
      <c r="T509" s="85">
        <v>0.273</v>
      </c>
      <c r="U509" s="118">
        <f t="shared" si="87"/>
        <v>3682.77</v>
      </c>
      <c r="V509" s="24">
        <f t="shared" si="3"/>
        <v>145.2196372</v>
      </c>
      <c r="W509" s="3">
        <f t="shared" si="29"/>
        <v>0</v>
      </c>
      <c r="X509" s="3">
        <f t="shared" si="30"/>
        <v>0</v>
      </c>
      <c r="Y509" s="3">
        <f t="shared" si="31"/>
        <v>0</v>
      </c>
      <c r="Z509" s="25">
        <f t="shared" si="32"/>
        <v>0</v>
      </c>
      <c r="AA509" s="26">
        <f>VLOOKUP(S509,CPI!$A$2:$E$67,5,0)</f>
        <v>1.307975292</v>
      </c>
      <c r="AB509" s="27">
        <f t="shared" si="8"/>
        <v>4816.972165</v>
      </c>
      <c r="AC509" s="27">
        <f t="shared" si="9"/>
        <v>189.9436973</v>
      </c>
    </row>
    <row r="510">
      <c r="A510" s="7"/>
      <c r="B510" s="114" t="s">
        <v>230</v>
      </c>
      <c r="C510" s="114" t="s">
        <v>911</v>
      </c>
      <c r="D510" s="114" t="s">
        <v>87</v>
      </c>
      <c r="E510" s="114" t="s">
        <v>87</v>
      </c>
      <c r="F510" s="116">
        <v>2012.0</v>
      </c>
      <c r="G510" s="116">
        <v>2016.0</v>
      </c>
      <c r="H510" s="116">
        <v>0.0</v>
      </c>
      <c r="I510" s="116">
        <v>38.4</v>
      </c>
      <c r="J510" s="117">
        <v>0.71</v>
      </c>
      <c r="K510" s="116">
        <v>27.13</v>
      </c>
      <c r="L510" s="114"/>
      <c r="M510" s="114"/>
      <c r="N510" s="116">
        <v>24.0</v>
      </c>
      <c r="O510" s="116">
        <v>117.0</v>
      </c>
      <c r="P510" s="114" t="s">
        <v>42</v>
      </c>
      <c r="Q510" s="140">
        <v>18030.0</v>
      </c>
      <c r="R510" s="114" t="s">
        <v>234</v>
      </c>
      <c r="S510" s="115">
        <v>2014.0</v>
      </c>
      <c r="T510" s="115">
        <v>0.266</v>
      </c>
      <c r="U510" s="118">
        <f t="shared" si="87"/>
        <v>4795.98</v>
      </c>
      <c r="V510" s="24">
        <f t="shared" si="3"/>
        <v>124.8953125</v>
      </c>
      <c r="W510" s="3">
        <f t="shared" si="29"/>
        <v>0</v>
      </c>
      <c r="X510" s="3">
        <f t="shared" si="30"/>
        <v>0</v>
      </c>
      <c r="Y510" s="3">
        <f t="shared" si="31"/>
        <v>0</v>
      </c>
      <c r="Z510" s="25">
        <f t="shared" si="32"/>
        <v>0</v>
      </c>
      <c r="AA510" s="26">
        <f>VLOOKUP(S510,CPI!$A$2:$E$67,5,0)</f>
        <v>1.287096175</v>
      </c>
      <c r="AB510" s="27">
        <f t="shared" si="8"/>
        <v>6172.887512</v>
      </c>
      <c r="AC510" s="27">
        <f t="shared" si="9"/>
        <v>160.7522789</v>
      </c>
    </row>
    <row r="511">
      <c r="A511" s="7"/>
      <c r="B511" s="114" t="s">
        <v>230</v>
      </c>
      <c r="C511" s="114" t="s">
        <v>911</v>
      </c>
      <c r="D511" s="114" t="s">
        <v>110</v>
      </c>
      <c r="E511" s="114" t="s">
        <v>110</v>
      </c>
      <c r="F511" s="116">
        <v>2013.0</v>
      </c>
      <c r="G511" s="116">
        <v>2018.0</v>
      </c>
      <c r="H511" s="116">
        <v>0.0</v>
      </c>
      <c r="I511" s="116">
        <v>33.3</v>
      </c>
      <c r="J511" s="117">
        <v>1.0</v>
      </c>
      <c r="K511" s="116">
        <v>33.3</v>
      </c>
      <c r="L511" s="114"/>
      <c r="M511" s="114"/>
      <c r="N511" s="116">
        <v>28.0</v>
      </c>
      <c r="O511" s="116">
        <v>117.0</v>
      </c>
      <c r="P511" s="114"/>
      <c r="Q511" s="140">
        <v>20327.0</v>
      </c>
      <c r="R511" s="114" t="s">
        <v>234</v>
      </c>
      <c r="S511" s="115">
        <v>2016.0</v>
      </c>
      <c r="T511" s="85">
        <v>0.251</v>
      </c>
      <c r="U511" s="118">
        <f t="shared" si="87"/>
        <v>5102.077</v>
      </c>
      <c r="V511" s="24">
        <f t="shared" si="3"/>
        <v>153.2155255</v>
      </c>
      <c r="W511" s="3">
        <f t="shared" si="29"/>
        <v>0</v>
      </c>
      <c r="X511" s="3">
        <f t="shared" si="30"/>
        <v>0</v>
      </c>
      <c r="Y511" s="3">
        <f t="shared" si="31"/>
        <v>0</v>
      </c>
      <c r="Z511" s="25">
        <f t="shared" si="32"/>
        <v>0</v>
      </c>
      <c r="AA511" s="26">
        <f>VLOOKUP(S511,CPI!$A$2:$E$67,5,0)</f>
        <v>1.269554638</v>
      </c>
      <c r="AB511" s="27">
        <f t="shared" si="8"/>
        <v>6477.365519</v>
      </c>
      <c r="AC511" s="27">
        <f t="shared" si="9"/>
        <v>194.515481</v>
      </c>
    </row>
    <row r="512">
      <c r="A512" s="7"/>
      <c r="B512" s="114" t="s">
        <v>230</v>
      </c>
      <c r="C512" s="114" t="s">
        <v>911</v>
      </c>
      <c r="D512" s="115" t="s">
        <v>84</v>
      </c>
      <c r="E512" s="115" t="s">
        <v>319</v>
      </c>
      <c r="F512" s="116">
        <v>2014.0</v>
      </c>
      <c r="G512" s="116">
        <v>2020.0</v>
      </c>
      <c r="H512" s="116">
        <v>0.0</v>
      </c>
      <c r="I512" s="116">
        <v>25.7</v>
      </c>
      <c r="J512" s="117">
        <v>0.95</v>
      </c>
      <c r="K512" s="116">
        <v>24.3</v>
      </c>
      <c r="L512" s="114"/>
      <c r="M512" s="114"/>
      <c r="N512" s="116">
        <v>20.0</v>
      </c>
      <c r="O512" s="116">
        <v>117.0</v>
      </c>
      <c r="P512" s="114"/>
      <c r="Q512" s="140">
        <v>17801.0</v>
      </c>
      <c r="R512" s="114" t="s">
        <v>234</v>
      </c>
      <c r="S512" s="115">
        <v>2017.0</v>
      </c>
      <c r="T512" s="85">
        <v>0.239</v>
      </c>
      <c r="U512" s="118">
        <f t="shared" si="87"/>
        <v>4254.439</v>
      </c>
      <c r="V512" s="24">
        <f t="shared" si="3"/>
        <v>165.5423735</v>
      </c>
      <c r="W512" s="3">
        <f t="shared" si="29"/>
        <v>0</v>
      </c>
      <c r="X512" s="3">
        <f t="shared" si="30"/>
        <v>0</v>
      </c>
      <c r="Y512" s="3">
        <f t="shared" si="31"/>
        <v>0</v>
      </c>
      <c r="Z512" s="25">
        <f t="shared" si="32"/>
        <v>0</v>
      </c>
      <c r="AA512" s="26">
        <f>VLOOKUP(S512,CPI!$A$2:$E$67,5,0)</f>
        <v>1.243072781</v>
      </c>
      <c r="AB512" s="27">
        <f t="shared" si="8"/>
        <v>5288.577318</v>
      </c>
      <c r="AC512" s="27">
        <f t="shared" si="9"/>
        <v>205.7812186</v>
      </c>
    </row>
    <row r="513">
      <c r="A513" s="7"/>
      <c r="B513" s="114" t="s">
        <v>230</v>
      </c>
      <c r="C513" s="114" t="s">
        <v>911</v>
      </c>
      <c r="D513" s="114" t="s">
        <v>253</v>
      </c>
      <c r="E513" s="114" t="s">
        <v>253</v>
      </c>
      <c r="F513" s="116">
        <v>2016.0</v>
      </c>
      <c r="G513" s="116">
        <v>2020.0</v>
      </c>
      <c r="H513" s="116">
        <v>0.0</v>
      </c>
      <c r="I513" s="116">
        <v>25.296</v>
      </c>
      <c r="J513" s="117">
        <v>1.0</v>
      </c>
      <c r="K513" s="116">
        <v>25.296</v>
      </c>
      <c r="L513" s="114"/>
      <c r="M513" s="114"/>
      <c r="N513" s="116">
        <v>15.0</v>
      </c>
      <c r="O513" s="116">
        <v>117.0</v>
      </c>
      <c r="P513" s="114" t="s">
        <v>36</v>
      </c>
      <c r="Q513" s="140">
        <v>13888.0</v>
      </c>
      <c r="R513" s="114" t="s">
        <v>234</v>
      </c>
      <c r="S513" s="115">
        <v>2018.0</v>
      </c>
      <c r="T513" s="85">
        <v>0.237</v>
      </c>
      <c r="U513" s="118">
        <f t="shared" si="87"/>
        <v>3291.456</v>
      </c>
      <c r="V513" s="24">
        <f t="shared" si="3"/>
        <v>130.1176471</v>
      </c>
      <c r="W513" s="3">
        <f t="shared" si="29"/>
        <v>0</v>
      </c>
      <c r="X513" s="3">
        <f t="shared" si="30"/>
        <v>0</v>
      </c>
      <c r="Y513" s="3">
        <f t="shared" si="31"/>
        <v>0</v>
      </c>
      <c r="Z513" s="25">
        <f t="shared" si="32"/>
        <v>0</v>
      </c>
      <c r="AA513" s="26">
        <f>VLOOKUP(S513,CPI!$A$2:$E$67,5,0)</f>
        <v>1.21343491</v>
      </c>
      <c r="AB513" s="27">
        <f t="shared" si="8"/>
        <v>3993.967616</v>
      </c>
      <c r="AC513" s="27">
        <f t="shared" si="9"/>
        <v>157.8892954</v>
      </c>
    </row>
    <row r="514">
      <c r="A514" s="7"/>
      <c r="B514" s="114" t="s">
        <v>230</v>
      </c>
      <c r="C514" s="114" t="s">
        <v>911</v>
      </c>
      <c r="D514" s="115" t="s">
        <v>84</v>
      </c>
      <c r="E514" s="115" t="s">
        <v>522</v>
      </c>
      <c r="F514" s="116">
        <v>2016.0</v>
      </c>
      <c r="G514" s="116">
        <v>2021.0</v>
      </c>
      <c r="H514" s="116">
        <v>0.0</v>
      </c>
      <c r="I514" s="116">
        <v>19.87</v>
      </c>
      <c r="J514" s="117">
        <v>0.16</v>
      </c>
      <c r="K514" s="116">
        <v>3.2</v>
      </c>
      <c r="L514" s="114"/>
      <c r="M514" s="114"/>
      <c r="N514" s="116">
        <v>13.0</v>
      </c>
      <c r="O514" s="116">
        <v>117.0</v>
      </c>
      <c r="P514" s="114" t="s">
        <v>60</v>
      </c>
      <c r="Q514" s="140">
        <v>9511.0</v>
      </c>
      <c r="R514" s="114" t="s">
        <v>234</v>
      </c>
      <c r="S514" s="115">
        <v>2019.0</v>
      </c>
      <c r="T514" s="136">
        <v>0.238</v>
      </c>
      <c r="U514" s="118">
        <f t="shared" si="87"/>
        <v>2263.618</v>
      </c>
      <c r="V514" s="24">
        <f t="shared" si="3"/>
        <v>113.921389</v>
      </c>
      <c r="W514" s="3">
        <f t="shared" si="29"/>
        <v>0</v>
      </c>
      <c r="X514" s="3">
        <f t="shared" si="30"/>
        <v>0</v>
      </c>
      <c r="Y514" s="3">
        <f t="shared" si="31"/>
        <v>0</v>
      </c>
      <c r="Z514" s="25">
        <f t="shared" si="32"/>
        <v>0</v>
      </c>
      <c r="AA514" s="26">
        <f>VLOOKUP(S514,CPI!$A$2:$E$67,5,0)</f>
        <v>1.191839066</v>
      </c>
      <c r="AB514" s="27">
        <f t="shared" si="8"/>
        <v>2697.868362</v>
      </c>
      <c r="AC514" s="27">
        <f t="shared" si="9"/>
        <v>135.7759619</v>
      </c>
    </row>
    <row r="515">
      <c r="A515" s="7"/>
      <c r="B515" s="114" t="s">
        <v>230</v>
      </c>
      <c r="C515" s="114" t="s">
        <v>911</v>
      </c>
      <c r="D515" s="115" t="s">
        <v>80</v>
      </c>
      <c r="E515" s="115" t="s">
        <v>921</v>
      </c>
      <c r="F515" s="116">
        <v>2016.0</v>
      </c>
      <c r="G515" s="116">
        <v>2022.0</v>
      </c>
      <c r="H515" s="116">
        <v>0.0</v>
      </c>
      <c r="I515" s="116">
        <v>39.8</v>
      </c>
      <c r="J515" s="117">
        <v>1.0</v>
      </c>
      <c r="K515" s="116">
        <v>39.8</v>
      </c>
      <c r="L515" s="114"/>
      <c r="M515" s="114"/>
      <c r="N515" s="116">
        <v>32.0</v>
      </c>
      <c r="O515" s="116">
        <v>117.0</v>
      </c>
      <c r="P515" s="114"/>
      <c r="Q515" s="140">
        <v>28900.0</v>
      </c>
      <c r="R515" s="114" t="s">
        <v>234</v>
      </c>
      <c r="S515" s="115">
        <v>2019.0</v>
      </c>
      <c r="T515" s="136">
        <v>0.238</v>
      </c>
      <c r="U515" s="118">
        <f t="shared" si="87"/>
        <v>6878.2</v>
      </c>
      <c r="V515" s="24">
        <f t="shared" si="3"/>
        <v>172.8190955</v>
      </c>
      <c r="W515" s="3">
        <f t="shared" si="29"/>
        <v>0</v>
      </c>
      <c r="X515" s="3">
        <f t="shared" si="30"/>
        <v>0</v>
      </c>
      <c r="Y515" s="3">
        <f t="shared" si="31"/>
        <v>0</v>
      </c>
      <c r="Z515" s="25">
        <f t="shared" si="32"/>
        <v>0</v>
      </c>
      <c r="AA515" s="26">
        <f>VLOOKUP(S515,CPI!$A$2:$E$67,5,0)</f>
        <v>1.191839066</v>
      </c>
      <c r="AB515" s="27">
        <f t="shared" si="8"/>
        <v>8197.707461</v>
      </c>
      <c r="AC515" s="27">
        <f t="shared" si="9"/>
        <v>205.9725493</v>
      </c>
    </row>
    <row r="516">
      <c r="A516" s="38">
        <v>7992.0</v>
      </c>
      <c r="B516" s="72" t="s">
        <v>230</v>
      </c>
      <c r="C516" s="72" t="s">
        <v>911</v>
      </c>
      <c r="D516" s="115" t="s">
        <v>57</v>
      </c>
      <c r="E516" s="115" t="s">
        <v>354</v>
      </c>
      <c r="F516" s="69">
        <v>2019.0</v>
      </c>
      <c r="G516" s="69">
        <v>2023.0</v>
      </c>
      <c r="H516" s="69">
        <v>0.0</v>
      </c>
      <c r="I516" s="69">
        <v>10.6</v>
      </c>
      <c r="J516" s="117">
        <v>1.0</v>
      </c>
      <c r="K516" s="69">
        <v>10.6</v>
      </c>
      <c r="L516" s="72"/>
      <c r="M516" s="72"/>
      <c r="N516" s="69">
        <v>7.0</v>
      </c>
      <c r="O516" s="69">
        <v>117.0</v>
      </c>
      <c r="P516" s="72"/>
      <c r="Q516" s="140">
        <v>8903.0</v>
      </c>
      <c r="R516" s="72" t="s">
        <v>234</v>
      </c>
      <c r="S516" s="115">
        <v>2021.0</v>
      </c>
      <c r="T516" s="136">
        <v>0.239</v>
      </c>
      <c r="U516" s="118">
        <f t="shared" si="87"/>
        <v>2127.817</v>
      </c>
      <c r="V516" s="24">
        <f t="shared" si="3"/>
        <v>200.7374528</v>
      </c>
      <c r="W516" s="3">
        <f t="shared" si="29"/>
        <v>0</v>
      </c>
      <c r="X516" s="3">
        <f t="shared" si="30"/>
        <v>0</v>
      </c>
      <c r="Y516" s="3">
        <f t="shared" si="31"/>
        <v>0</v>
      </c>
      <c r="Z516" s="25">
        <f t="shared" si="32"/>
        <v>0</v>
      </c>
      <c r="AA516" s="26">
        <f>VLOOKUP(S516,CPI!$A$2:$E$67,5,0)</f>
        <v>1.124486105</v>
      </c>
      <c r="AB516" s="27">
        <f t="shared" si="8"/>
        <v>2392.700651</v>
      </c>
      <c r="AC516" s="27">
        <f t="shared" si="9"/>
        <v>225.7264766</v>
      </c>
    </row>
    <row r="517">
      <c r="A517" s="38">
        <v>8048.0</v>
      </c>
      <c r="B517" s="72" t="s">
        <v>230</v>
      </c>
      <c r="C517" s="72" t="s">
        <v>911</v>
      </c>
      <c r="D517" s="16" t="s">
        <v>283</v>
      </c>
      <c r="E517" s="115" t="s">
        <v>924</v>
      </c>
      <c r="F517" s="69">
        <v>2019.0</v>
      </c>
      <c r="G517" s="69">
        <v>2024.0</v>
      </c>
      <c r="H517" s="69">
        <v>0.0</v>
      </c>
      <c r="I517" s="69">
        <v>15.03</v>
      </c>
      <c r="J517" s="117">
        <v>1.0</v>
      </c>
      <c r="K517" s="69">
        <v>15.03</v>
      </c>
      <c r="L517" s="72"/>
      <c r="M517" s="72"/>
      <c r="N517" s="69">
        <v>9.0</v>
      </c>
      <c r="O517" s="69">
        <v>117.0</v>
      </c>
      <c r="P517" s="72"/>
      <c r="Q517" s="140">
        <v>10631.0</v>
      </c>
      <c r="R517" s="72" t="s">
        <v>234</v>
      </c>
      <c r="S517" s="115">
        <v>2021.0</v>
      </c>
      <c r="T517" s="136">
        <v>0.239</v>
      </c>
      <c r="U517" s="118">
        <f t="shared" si="87"/>
        <v>2540.809</v>
      </c>
      <c r="V517" s="24">
        <f t="shared" si="3"/>
        <v>169.0491683</v>
      </c>
      <c r="W517" s="3">
        <f t="shared" si="29"/>
        <v>0</v>
      </c>
      <c r="X517" s="3">
        <f t="shared" si="30"/>
        <v>0</v>
      </c>
      <c r="Y517" s="3">
        <f t="shared" si="31"/>
        <v>0</v>
      </c>
      <c r="Z517" s="25">
        <f t="shared" si="32"/>
        <v>0</v>
      </c>
      <c r="AA517" s="26">
        <f>VLOOKUP(S517,CPI!$A$2:$E$67,5,0)</f>
        <v>1.124486105</v>
      </c>
      <c r="AB517" s="27">
        <f t="shared" si="8"/>
        <v>2857.104417</v>
      </c>
      <c r="AC517" s="27">
        <f t="shared" si="9"/>
        <v>190.0934409</v>
      </c>
    </row>
    <row r="518">
      <c r="A518" s="38">
        <v>8010.0</v>
      </c>
      <c r="B518" s="130" t="s">
        <v>230</v>
      </c>
      <c r="C518" s="130" t="s">
        <v>911</v>
      </c>
      <c r="D518" s="134" t="s">
        <v>260</v>
      </c>
      <c r="E518" s="130" t="s">
        <v>261</v>
      </c>
      <c r="F518" s="130">
        <v>2020.0</v>
      </c>
      <c r="G518" s="130">
        <v>2025.0</v>
      </c>
      <c r="H518" s="130">
        <v>0.0</v>
      </c>
      <c r="I518" s="130">
        <v>19.0</v>
      </c>
      <c r="J518" s="131">
        <v>1.0</v>
      </c>
      <c r="K518" s="130">
        <v>19.0</v>
      </c>
      <c r="L518" s="132">
        <v>0.0</v>
      </c>
      <c r="M518" s="132">
        <v>0.0</v>
      </c>
      <c r="N518" s="130">
        <v>11.0</v>
      </c>
      <c r="O518" s="138"/>
      <c r="P518" s="130" t="s">
        <v>60</v>
      </c>
      <c r="Q518" s="135">
        <v>12436.0</v>
      </c>
      <c r="R518" s="130" t="s">
        <v>234</v>
      </c>
      <c r="S518" s="130">
        <v>2019.0</v>
      </c>
      <c r="T518" s="136">
        <v>0.238</v>
      </c>
      <c r="U518" s="128">
        <f>T518*Q518</f>
        <v>2959.768</v>
      </c>
      <c r="V518" s="24">
        <f t="shared" si="3"/>
        <v>155.7772632</v>
      </c>
      <c r="W518" s="3">
        <f t="shared" si="29"/>
        <v>0</v>
      </c>
      <c r="X518" s="3">
        <f t="shared" si="30"/>
        <v>0</v>
      </c>
      <c r="Y518" s="3">
        <f t="shared" si="31"/>
        <v>0</v>
      </c>
      <c r="Z518" s="25">
        <f t="shared" si="32"/>
        <v>0</v>
      </c>
      <c r="AA518" s="26">
        <f>VLOOKUP(S518,CPI!$A$2:$E$67,5,0)</f>
        <v>1.191839066</v>
      </c>
      <c r="AB518" s="27">
        <f t="shared" si="8"/>
        <v>3527.567128</v>
      </c>
      <c r="AC518" s="27">
        <f t="shared" si="9"/>
        <v>185.6614278</v>
      </c>
    </row>
    <row r="519">
      <c r="A519" s="38">
        <v>8089.0</v>
      </c>
      <c r="B519" s="72" t="s">
        <v>230</v>
      </c>
      <c r="C519" s="72" t="s">
        <v>911</v>
      </c>
      <c r="D519" s="16" t="s">
        <v>239</v>
      </c>
      <c r="E519" s="115" t="s">
        <v>356</v>
      </c>
      <c r="F519" s="69">
        <v>2020.0</v>
      </c>
      <c r="G519" s="69">
        <v>2026.0</v>
      </c>
      <c r="H519" s="69">
        <v>0.0</v>
      </c>
      <c r="I519" s="69">
        <v>34.11</v>
      </c>
      <c r="J519" s="233"/>
      <c r="K519" s="69"/>
      <c r="L519" s="72"/>
      <c r="M519" s="72"/>
      <c r="N519" s="69">
        <v>16.0</v>
      </c>
      <c r="O519" s="69">
        <v>117.0</v>
      </c>
      <c r="P519" s="72" t="s">
        <v>36</v>
      </c>
      <c r="Q519" s="140">
        <v>21903.0</v>
      </c>
      <c r="R519" s="72" t="s">
        <v>234</v>
      </c>
      <c r="S519" s="115">
        <v>2021.0</v>
      </c>
      <c r="T519" s="136">
        <v>0.239</v>
      </c>
      <c r="U519" s="118">
        <f t="shared" ref="U519:U521" si="88">Q519*T519</f>
        <v>5234.817</v>
      </c>
      <c r="V519" s="24">
        <f t="shared" si="3"/>
        <v>153.4686895</v>
      </c>
      <c r="W519" s="3">
        <f t="shared" si="29"/>
        <v>0</v>
      </c>
      <c r="X519" s="3">
        <f t="shared" si="30"/>
        <v>0</v>
      </c>
      <c r="Y519" s="3">
        <f t="shared" si="31"/>
        <v>0</v>
      </c>
      <c r="Z519" s="25">
        <f t="shared" si="32"/>
        <v>0</v>
      </c>
      <c r="AA519" s="26">
        <f>VLOOKUP(S519,CPI!$A$2:$E$67,5,0)</f>
        <v>1.124486105</v>
      </c>
      <c r="AB519" s="27">
        <f t="shared" si="8"/>
        <v>5886.478981</v>
      </c>
      <c r="AC519" s="27">
        <f t="shared" si="9"/>
        <v>172.573409</v>
      </c>
    </row>
    <row r="520">
      <c r="A520" s="7"/>
      <c r="B520" s="114" t="s">
        <v>230</v>
      </c>
      <c r="C520" s="114" t="s">
        <v>911</v>
      </c>
      <c r="D520" s="115" t="s">
        <v>57</v>
      </c>
      <c r="E520" s="115" t="s">
        <v>410</v>
      </c>
      <c r="F520" s="116">
        <v>2016.0</v>
      </c>
      <c r="G520" s="114"/>
      <c r="H520" s="116">
        <v>0.0</v>
      </c>
      <c r="I520" s="116">
        <v>6.1</v>
      </c>
      <c r="J520" s="117">
        <v>1.0</v>
      </c>
      <c r="K520" s="116">
        <v>6.1</v>
      </c>
      <c r="L520" s="114"/>
      <c r="M520" s="114"/>
      <c r="N520" s="116">
        <v>4.0</v>
      </c>
      <c r="O520" s="116">
        <v>117.0</v>
      </c>
      <c r="P520" s="114"/>
      <c r="Q520" s="140">
        <v>3700.0</v>
      </c>
      <c r="R520" s="114" t="s">
        <v>234</v>
      </c>
      <c r="S520" s="115">
        <v>2016.0</v>
      </c>
      <c r="T520" s="85">
        <v>0.251</v>
      </c>
      <c r="U520" s="118">
        <f t="shared" si="88"/>
        <v>928.7</v>
      </c>
      <c r="V520" s="24">
        <f t="shared" si="3"/>
        <v>152.2459016</v>
      </c>
      <c r="W520" s="3">
        <f t="shared" si="29"/>
        <v>0</v>
      </c>
      <c r="X520" s="3">
        <f t="shared" si="30"/>
        <v>0</v>
      </c>
      <c r="Y520" s="3">
        <f t="shared" si="31"/>
        <v>0</v>
      </c>
      <c r="Z520" s="25">
        <f t="shared" si="32"/>
        <v>0</v>
      </c>
      <c r="AA520" s="26">
        <f>VLOOKUP(S520,CPI!$A$2:$E$67,5,0)</f>
        <v>1.269554638</v>
      </c>
      <c r="AB520" s="27">
        <f t="shared" si="8"/>
        <v>1179.035392</v>
      </c>
      <c r="AC520" s="27">
        <f t="shared" si="9"/>
        <v>193.2844905</v>
      </c>
    </row>
    <row r="521">
      <c r="A521" s="7"/>
      <c r="B521" s="114" t="s">
        <v>230</v>
      </c>
      <c r="C521" s="114" t="s">
        <v>911</v>
      </c>
      <c r="D521" s="114" t="s">
        <v>663</v>
      </c>
      <c r="E521" s="114" t="s">
        <v>663</v>
      </c>
      <c r="F521" s="116">
        <v>2019.0</v>
      </c>
      <c r="G521" s="114"/>
      <c r="H521" s="116">
        <v>0.0</v>
      </c>
      <c r="I521" s="116">
        <v>29.28</v>
      </c>
      <c r="J521" s="117">
        <v>0.28</v>
      </c>
      <c r="K521" s="116">
        <v>8.14</v>
      </c>
      <c r="L521" s="114"/>
      <c r="M521" s="114"/>
      <c r="N521" s="116">
        <v>10.0</v>
      </c>
      <c r="O521" s="116">
        <v>117.0</v>
      </c>
      <c r="P521" s="114" t="s">
        <v>36</v>
      </c>
      <c r="Q521" s="140">
        <v>12694.0</v>
      </c>
      <c r="R521" s="114" t="s">
        <v>234</v>
      </c>
      <c r="S521" s="115">
        <v>2019.0</v>
      </c>
      <c r="T521" s="136">
        <v>0.238</v>
      </c>
      <c r="U521" s="118">
        <f t="shared" si="88"/>
        <v>3021.172</v>
      </c>
      <c r="V521" s="24">
        <f t="shared" si="3"/>
        <v>103.1821038</v>
      </c>
      <c r="W521" s="3">
        <f t="shared" si="29"/>
        <v>0</v>
      </c>
      <c r="X521" s="3">
        <f t="shared" si="30"/>
        <v>0</v>
      </c>
      <c r="Y521" s="3">
        <f t="shared" si="31"/>
        <v>0</v>
      </c>
      <c r="Z521" s="25">
        <f t="shared" si="32"/>
        <v>0</v>
      </c>
      <c r="AA521" s="26">
        <f>VLOOKUP(S521,CPI!$A$2:$E$67,5,0)</f>
        <v>1.191839066</v>
      </c>
      <c r="AB521" s="27">
        <f t="shared" si="8"/>
        <v>3600.750814</v>
      </c>
      <c r="AC521" s="27">
        <f t="shared" si="9"/>
        <v>122.9764622</v>
      </c>
    </row>
    <row r="522">
      <c r="A522" s="38">
        <v>8034.0</v>
      </c>
      <c r="B522" s="130" t="s">
        <v>230</v>
      </c>
      <c r="C522" s="130" t="s">
        <v>911</v>
      </c>
      <c r="D522" s="130" t="s">
        <v>267</v>
      </c>
      <c r="E522" s="130" t="s">
        <v>267</v>
      </c>
      <c r="F522" s="130"/>
      <c r="G522" s="130"/>
      <c r="H522" s="130">
        <v>0.0</v>
      </c>
      <c r="I522" s="130">
        <v>13.8</v>
      </c>
      <c r="J522" s="131">
        <v>1.0</v>
      </c>
      <c r="K522" s="130">
        <v>13.8</v>
      </c>
      <c r="L522" s="132">
        <v>0.0</v>
      </c>
      <c r="M522" s="132">
        <v>0.0</v>
      </c>
      <c r="N522" s="130">
        <v>8.0</v>
      </c>
      <c r="O522" s="138"/>
      <c r="P522" s="130" t="s">
        <v>60</v>
      </c>
      <c r="Q522" s="135">
        <v>8315.0</v>
      </c>
      <c r="R522" s="130" t="s">
        <v>234</v>
      </c>
      <c r="S522" s="130">
        <v>2019.0</v>
      </c>
      <c r="T522" s="136">
        <v>0.238</v>
      </c>
      <c r="U522" s="128">
        <f t="shared" ref="U522:U523" si="89">T522*Q522</f>
        <v>1978.97</v>
      </c>
      <c r="V522" s="24">
        <f t="shared" si="3"/>
        <v>143.4036232</v>
      </c>
      <c r="W522" s="3">
        <f t="shared" si="29"/>
        <v>0</v>
      </c>
      <c r="X522" s="3">
        <f t="shared" si="30"/>
        <v>0</v>
      </c>
      <c r="Y522" s="3">
        <f t="shared" si="31"/>
        <v>0</v>
      </c>
      <c r="Z522" s="25">
        <f t="shared" si="32"/>
        <v>0</v>
      </c>
      <c r="AA522" s="26">
        <f>VLOOKUP(S522,CPI!$A$2:$E$67,5,0)</f>
        <v>1.191839066</v>
      </c>
      <c r="AB522" s="27">
        <f t="shared" si="8"/>
        <v>2358.613756</v>
      </c>
      <c r="AC522" s="27">
        <f t="shared" si="9"/>
        <v>170.9140403</v>
      </c>
    </row>
    <row r="523">
      <c r="A523" s="38">
        <v>8032.0</v>
      </c>
      <c r="B523" s="130" t="s">
        <v>230</v>
      </c>
      <c r="C523" s="130" t="s">
        <v>911</v>
      </c>
      <c r="D523" s="36" t="s">
        <v>54</v>
      </c>
      <c r="E523" s="130" t="s">
        <v>326</v>
      </c>
      <c r="F523" s="130"/>
      <c r="G523" s="130"/>
      <c r="H523" s="130">
        <v>0.0</v>
      </c>
      <c r="I523" s="130">
        <v>7.0</v>
      </c>
      <c r="J523" s="131">
        <v>1.0</v>
      </c>
      <c r="K523" s="130">
        <v>7.0</v>
      </c>
      <c r="L523" s="132">
        <v>0.0</v>
      </c>
      <c r="M523" s="132">
        <v>0.0</v>
      </c>
      <c r="N523" s="130">
        <v>4.0</v>
      </c>
      <c r="O523" s="138"/>
      <c r="P523" s="130" t="s">
        <v>60</v>
      </c>
      <c r="Q523" s="135">
        <v>4289.0</v>
      </c>
      <c r="R523" s="130" t="s">
        <v>234</v>
      </c>
      <c r="S523" s="130">
        <v>2019.0</v>
      </c>
      <c r="T523" s="136">
        <v>0.238</v>
      </c>
      <c r="U523" s="128">
        <f t="shared" si="89"/>
        <v>1020.782</v>
      </c>
      <c r="V523" s="24">
        <f t="shared" si="3"/>
        <v>145.826</v>
      </c>
      <c r="W523" s="3">
        <f t="shared" si="29"/>
        <v>0</v>
      </c>
      <c r="X523" s="3">
        <f t="shared" si="30"/>
        <v>0</v>
      </c>
      <c r="Y523" s="3">
        <f t="shared" si="31"/>
        <v>0</v>
      </c>
      <c r="Z523" s="25">
        <f t="shared" si="32"/>
        <v>0</v>
      </c>
      <c r="AA523" s="26">
        <f>VLOOKUP(S523,CPI!$A$2:$E$67,5,0)</f>
        <v>1.191839066</v>
      </c>
      <c r="AB523" s="27">
        <f t="shared" si="8"/>
        <v>1216.607865</v>
      </c>
      <c r="AC523" s="27">
        <f t="shared" si="9"/>
        <v>173.8011236</v>
      </c>
    </row>
    <row r="524">
      <c r="A524" s="170">
        <v>7906.0</v>
      </c>
      <c r="B524" s="123" t="s">
        <v>230</v>
      </c>
      <c r="C524" s="123" t="s">
        <v>911</v>
      </c>
      <c r="D524" s="16" t="s">
        <v>243</v>
      </c>
      <c r="E524" s="123" t="s">
        <v>243</v>
      </c>
      <c r="F524" s="123"/>
      <c r="G524" s="123"/>
      <c r="H524" s="75">
        <v>0.0</v>
      </c>
      <c r="I524" s="75">
        <v>50.0</v>
      </c>
      <c r="J524" s="124">
        <v>1.0</v>
      </c>
      <c r="K524" s="75">
        <v>50.0</v>
      </c>
      <c r="L524" s="125">
        <v>0.0</v>
      </c>
      <c r="M524" s="125">
        <v>0.0</v>
      </c>
      <c r="N524" s="75">
        <v>35.0</v>
      </c>
      <c r="O524" s="75"/>
      <c r="P524" s="123" t="s">
        <v>60</v>
      </c>
      <c r="Q524" s="126">
        <v>38286.0</v>
      </c>
      <c r="R524" s="123" t="s">
        <v>234</v>
      </c>
      <c r="S524" s="75">
        <v>2019.0</v>
      </c>
      <c r="T524" s="136">
        <v>0.238</v>
      </c>
      <c r="U524" s="128">
        <f t="shared" ref="U524:U529" si="90">Q524*T524</f>
        <v>9112.068</v>
      </c>
      <c r="V524" s="24">
        <f t="shared" si="3"/>
        <v>182.24136</v>
      </c>
      <c r="W524" s="3">
        <f t="shared" si="29"/>
        <v>0</v>
      </c>
      <c r="X524" s="3">
        <f t="shared" si="30"/>
        <v>0</v>
      </c>
      <c r="Y524" s="3">
        <f t="shared" si="31"/>
        <v>0</v>
      </c>
      <c r="Z524" s="25">
        <f t="shared" si="32"/>
        <v>0</v>
      </c>
      <c r="AA524" s="26">
        <f>VLOOKUP(S524,CPI!$A$2:$E$67,5,0)</f>
        <v>1.191839066</v>
      </c>
      <c r="AB524" s="27">
        <f t="shared" si="8"/>
        <v>10860.11861</v>
      </c>
      <c r="AC524" s="27">
        <f t="shared" si="9"/>
        <v>217.2023722</v>
      </c>
    </row>
    <row r="525">
      <c r="A525" s="7"/>
      <c r="B525" s="114" t="s">
        <v>230</v>
      </c>
      <c r="C525" s="114" t="s">
        <v>930</v>
      </c>
      <c r="D525" s="115" t="s">
        <v>54</v>
      </c>
      <c r="E525" s="115" t="s">
        <v>348</v>
      </c>
      <c r="F525" s="116">
        <v>2015.0</v>
      </c>
      <c r="G525" s="116">
        <v>2019.0</v>
      </c>
      <c r="H525" s="116">
        <v>0.0</v>
      </c>
      <c r="I525" s="116">
        <v>25.2</v>
      </c>
      <c r="J525" s="117">
        <v>1.0</v>
      </c>
      <c r="K525" s="116">
        <v>25.2</v>
      </c>
      <c r="L525" s="114"/>
      <c r="M525" s="114"/>
      <c r="N525" s="116">
        <v>19.0</v>
      </c>
      <c r="O525" s="116">
        <v>117.0</v>
      </c>
      <c r="P525" s="114"/>
      <c r="Q525" s="140">
        <v>17620.0</v>
      </c>
      <c r="R525" s="114" t="s">
        <v>234</v>
      </c>
      <c r="S525" s="115">
        <v>2017.0</v>
      </c>
      <c r="T525" s="85">
        <v>0.239</v>
      </c>
      <c r="U525" s="118">
        <f t="shared" si="90"/>
        <v>4211.18</v>
      </c>
      <c r="V525" s="24">
        <f t="shared" si="3"/>
        <v>167.1103175</v>
      </c>
      <c r="W525" s="3">
        <f t="shared" si="29"/>
        <v>0</v>
      </c>
      <c r="X525" s="3">
        <f t="shared" si="30"/>
        <v>0</v>
      </c>
      <c r="Y525" s="3">
        <f t="shared" si="31"/>
        <v>0</v>
      </c>
      <c r="Z525" s="25">
        <f t="shared" si="32"/>
        <v>0</v>
      </c>
      <c r="AA525" s="26">
        <f>VLOOKUP(S525,CPI!$A$2:$E$67,5,0)</f>
        <v>1.243072781</v>
      </c>
      <c r="AB525" s="27">
        <f t="shared" si="8"/>
        <v>5234.803233</v>
      </c>
      <c r="AC525" s="27">
        <f t="shared" si="9"/>
        <v>207.730287</v>
      </c>
    </row>
    <row r="526">
      <c r="A526" s="7"/>
      <c r="B526" s="114" t="s">
        <v>230</v>
      </c>
      <c r="C526" s="114" t="s">
        <v>930</v>
      </c>
      <c r="D526" s="16" t="s">
        <v>57</v>
      </c>
      <c r="E526" s="115" t="s">
        <v>232</v>
      </c>
      <c r="F526" s="116">
        <v>2011.0</v>
      </c>
      <c r="G526" s="116">
        <v>2020.0</v>
      </c>
      <c r="H526" s="116">
        <v>0.0</v>
      </c>
      <c r="I526" s="116">
        <v>31.5</v>
      </c>
      <c r="J526" s="117">
        <v>0.84</v>
      </c>
      <c r="K526" s="116">
        <v>26.36</v>
      </c>
      <c r="L526" s="114"/>
      <c r="M526" s="114"/>
      <c r="N526" s="116">
        <v>23.0</v>
      </c>
      <c r="O526" s="116">
        <v>117.0</v>
      </c>
      <c r="P526" s="114"/>
      <c r="Q526" s="140">
        <v>20390.0</v>
      </c>
      <c r="R526" s="114" t="s">
        <v>234</v>
      </c>
      <c r="S526" s="115">
        <v>2016.0</v>
      </c>
      <c r="T526" s="85">
        <v>0.251</v>
      </c>
      <c r="U526" s="118">
        <f t="shared" si="90"/>
        <v>5117.89</v>
      </c>
      <c r="V526" s="24">
        <f t="shared" si="3"/>
        <v>162.4726984</v>
      </c>
      <c r="W526" s="3">
        <f t="shared" si="29"/>
        <v>0</v>
      </c>
      <c r="X526" s="3">
        <f t="shared" si="30"/>
        <v>0</v>
      </c>
      <c r="Y526" s="3">
        <f t="shared" si="31"/>
        <v>0</v>
      </c>
      <c r="Z526" s="25">
        <f t="shared" si="32"/>
        <v>0</v>
      </c>
      <c r="AA526" s="26">
        <f>VLOOKUP(S526,CPI!$A$2:$E$67,5,0)</f>
        <v>1.269554638</v>
      </c>
      <c r="AB526" s="27">
        <f t="shared" si="8"/>
        <v>6497.440986</v>
      </c>
      <c r="AC526" s="27">
        <f t="shared" si="9"/>
        <v>206.2679678</v>
      </c>
    </row>
    <row r="527">
      <c r="A527" s="7"/>
      <c r="B527" s="114" t="s">
        <v>230</v>
      </c>
      <c r="C527" s="114" t="s">
        <v>930</v>
      </c>
      <c r="D527" s="115" t="s">
        <v>87</v>
      </c>
      <c r="E527" s="115" t="s">
        <v>331</v>
      </c>
      <c r="F527" s="116">
        <v>2011.0</v>
      </c>
      <c r="G527" s="116">
        <v>2020.0</v>
      </c>
      <c r="H527" s="116">
        <v>0.0</v>
      </c>
      <c r="I527" s="116">
        <v>18.6</v>
      </c>
      <c r="J527" s="114"/>
      <c r="K527" s="114"/>
      <c r="L527" s="114"/>
      <c r="M527" s="114"/>
      <c r="N527" s="116">
        <v>16.0</v>
      </c>
      <c r="O527" s="116">
        <v>117.0</v>
      </c>
      <c r="P527" s="114"/>
      <c r="Q527" s="140">
        <v>12360.0</v>
      </c>
      <c r="R527" s="114" t="s">
        <v>234</v>
      </c>
      <c r="S527" s="115">
        <v>2016.0</v>
      </c>
      <c r="T527" s="85">
        <v>0.251</v>
      </c>
      <c r="U527" s="118">
        <f t="shared" si="90"/>
        <v>3102.36</v>
      </c>
      <c r="V527" s="24">
        <f t="shared" si="3"/>
        <v>166.7935484</v>
      </c>
      <c r="W527" s="3">
        <f t="shared" si="29"/>
        <v>0</v>
      </c>
      <c r="X527" s="3">
        <f t="shared" si="30"/>
        <v>0</v>
      </c>
      <c r="Y527" s="3">
        <f t="shared" si="31"/>
        <v>0</v>
      </c>
      <c r="Z527" s="25">
        <f t="shared" si="32"/>
        <v>0</v>
      </c>
      <c r="AA527" s="26">
        <f>VLOOKUP(S527,CPI!$A$2:$E$67,5,0)</f>
        <v>1.269554638</v>
      </c>
      <c r="AB527" s="27">
        <f t="shared" si="8"/>
        <v>3938.615527</v>
      </c>
      <c r="AC527" s="27">
        <f t="shared" si="9"/>
        <v>211.7535229</v>
      </c>
    </row>
    <row r="528">
      <c r="A528" s="170">
        <v>7867.0</v>
      </c>
      <c r="B528" s="123" t="s">
        <v>230</v>
      </c>
      <c r="C528" s="123" t="s">
        <v>930</v>
      </c>
      <c r="D528" s="36" t="s">
        <v>54</v>
      </c>
      <c r="E528" s="123" t="s">
        <v>326</v>
      </c>
      <c r="F528" s="75">
        <v>2016.0</v>
      </c>
      <c r="G528" s="75">
        <v>2020.0</v>
      </c>
      <c r="H528" s="75">
        <v>0.0</v>
      </c>
      <c r="I528" s="75">
        <v>15.5</v>
      </c>
      <c r="J528" s="124">
        <v>1.0</v>
      </c>
      <c r="K528" s="75">
        <v>15.5</v>
      </c>
      <c r="L528" s="125">
        <v>0.0</v>
      </c>
      <c r="M528" s="125">
        <v>0.0</v>
      </c>
      <c r="N528" s="75">
        <v>9.0</v>
      </c>
      <c r="O528" s="75"/>
      <c r="P528" s="123" t="s">
        <v>60</v>
      </c>
      <c r="Q528" s="126">
        <v>12218.0</v>
      </c>
      <c r="R528" s="123" t="s">
        <v>234</v>
      </c>
      <c r="S528" s="75">
        <v>2016.0</v>
      </c>
      <c r="T528" s="136">
        <v>0.251</v>
      </c>
      <c r="U528" s="128">
        <f t="shared" si="90"/>
        <v>3066.718</v>
      </c>
      <c r="V528" s="24">
        <f t="shared" si="3"/>
        <v>197.8527742</v>
      </c>
      <c r="W528" s="3">
        <f t="shared" si="29"/>
        <v>0</v>
      </c>
      <c r="X528" s="3">
        <f t="shared" si="30"/>
        <v>0</v>
      </c>
      <c r="Y528" s="3">
        <f t="shared" si="31"/>
        <v>0</v>
      </c>
      <c r="Z528" s="25">
        <f t="shared" si="32"/>
        <v>0</v>
      </c>
      <c r="AA528" s="26">
        <f>VLOOKUP(S528,CPI!$A$2:$E$67,5,0)</f>
        <v>1.269554638</v>
      </c>
      <c r="AB528" s="27">
        <f t="shared" si="8"/>
        <v>3893.36606</v>
      </c>
      <c r="AC528" s="27">
        <f t="shared" si="9"/>
        <v>251.1849071</v>
      </c>
    </row>
    <row r="529">
      <c r="A529" s="170">
        <v>7970.0</v>
      </c>
      <c r="B529" s="123" t="s">
        <v>230</v>
      </c>
      <c r="C529" s="123" t="s">
        <v>930</v>
      </c>
      <c r="D529" s="36" t="s">
        <v>87</v>
      </c>
      <c r="E529" s="123" t="s">
        <v>357</v>
      </c>
      <c r="F529" s="75">
        <v>2016.0</v>
      </c>
      <c r="G529" s="75">
        <v>2020.0</v>
      </c>
      <c r="H529" s="75">
        <v>0.0</v>
      </c>
      <c r="I529" s="75">
        <v>22.6</v>
      </c>
      <c r="J529" s="124">
        <v>0.7433628319</v>
      </c>
      <c r="K529" s="75">
        <v>16.8</v>
      </c>
      <c r="L529" s="125">
        <v>0.0</v>
      </c>
      <c r="M529" s="125">
        <v>0.0</v>
      </c>
      <c r="N529" s="75">
        <v>13.0</v>
      </c>
      <c r="O529" s="75"/>
      <c r="P529" s="123" t="s">
        <v>60</v>
      </c>
      <c r="Q529" s="126">
        <v>15154.0</v>
      </c>
      <c r="R529" s="123" t="s">
        <v>234</v>
      </c>
      <c r="S529" s="75">
        <v>2016.0</v>
      </c>
      <c r="T529" s="136">
        <v>0.251</v>
      </c>
      <c r="U529" s="128">
        <f t="shared" si="90"/>
        <v>3803.654</v>
      </c>
      <c r="V529" s="24">
        <f t="shared" si="3"/>
        <v>168.3032743</v>
      </c>
      <c r="W529" s="3">
        <f t="shared" si="29"/>
        <v>0</v>
      </c>
      <c r="X529" s="3">
        <f t="shared" si="30"/>
        <v>0</v>
      </c>
      <c r="Y529" s="3">
        <f t="shared" si="31"/>
        <v>0</v>
      </c>
      <c r="Z529" s="25">
        <f t="shared" si="32"/>
        <v>0</v>
      </c>
      <c r="AA529" s="26">
        <f>VLOOKUP(S529,CPI!$A$2:$E$67,5,0)</f>
        <v>1.269554638</v>
      </c>
      <c r="AB529" s="27">
        <f t="shared" si="8"/>
        <v>4828.946577</v>
      </c>
      <c r="AC529" s="27">
        <f t="shared" si="9"/>
        <v>213.6702025</v>
      </c>
    </row>
    <row r="530">
      <c r="A530" s="38">
        <v>8073.0</v>
      </c>
      <c r="B530" s="130" t="s">
        <v>230</v>
      </c>
      <c r="C530" s="130" t="s">
        <v>930</v>
      </c>
      <c r="D530" s="36" t="s">
        <v>110</v>
      </c>
      <c r="E530" s="130" t="s">
        <v>110</v>
      </c>
      <c r="F530" s="130">
        <v>2017.0</v>
      </c>
      <c r="G530" s="130">
        <v>2022.0</v>
      </c>
      <c r="H530" s="130">
        <v>0.0</v>
      </c>
      <c r="I530" s="130">
        <v>69.6</v>
      </c>
      <c r="J530" s="131">
        <v>0.4482758621</v>
      </c>
      <c r="K530" s="130">
        <v>31.2</v>
      </c>
      <c r="L530" s="132">
        <v>0.0</v>
      </c>
      <c r="M530" s="132">
        <v>0.0</v>
      </c>
      <c r="N530" s="130">
        <v>18.0</v>
      </c>
      <c r="O530" s="138"/>
      <c r="P530" s="130" t="s">
        <v>60</v>
      </c>
      <c r="Q530" s="135">
        <v>36256.0</v>
      </c>
      <c r="R530" s="130" t="s">
        <v>234</v>
      </c>
      <c r="S530" s="130">
        <v>2016.0</v>
      </c>
      <c r="T530" s="136">
        <v>0.251</v>
      </c>
      <c r="U530" s="128">
        <f>T530*Q530</f>
        <v>9100.256</v>
      </c>
      <c r="V530" s="24">
        <f t="shared" si="3"/>
        <v>130.7508046</v>
      </c>
      <c r="W530" s="3">
        <f t="shared" si="29"/>
        <v>0</v>
      </c>
      <c r="X530" s="3">
        <f t="shared" si="30"/>
        <v>0</v>
      </c>
      <c r="Y530" s="3">
        <f t="shared" si="31"/>
        <v>0</v>
      </c>
      <c r="Z530" s="25">
        <f t="shared" si="32"/>
        <v>0</v>
      </c>
      <c r="AA530" s="26">
        <f>VLOOKUP(S530,CPI!$A$2:$E$67,5,0)</f>
        <v>1.269554638</v>
      </c>
      <c r="AB530" s="27">
        <f t="shared" si="8"/>
        <v>11553.27221</v>
      </c>
      <c r="AC530" s="27">
        <f t="shared" si="9"/>
        <v>165.9952904</v>
      </c>
    </row>
    <row r="531">
      <c r="A531" s="170">
        <v>7843.0</v>
      </c>
      <c r="B531" s="123" t="s">
        <v>230</v>
      </c>
      <c r="C531" s="123" t="s">
        <v>930</v>
      </c>
      <c r="D531" s="123" t="s">
        <v>80</v>
      </c>
      <c r="E531" s="123" t="s">
        <v>80</v>
      </c>
      <c r="F531" s="75">
        <v>2017.0</v>
      </c>
      <c r="G531" s="75">
        <v>2022.0</v>
      </c>
      <c r="H531" s="75">
        <v>0.0</v>
      </c>
      <c r="I531" s="75">
        <v>44.5</v>
      </c>
      <c r="J531" s="124">
        <v>1.0</v>
      </c>
      <c r="K531" s="75">
        <v>44.5</v>
      </c>
      <c r="L531" s="125">
        <v>0.0</v>
      </c>
      <c r="M531" s="125">
        <v>0.0</v>
      </c>
      <c r="N531" s="75">
        <v>27.0</v>
      </c>
      <c r="O531" s="75"/>
      <c r="P531" s="123" t="s">
        <v>60</v>
      </c>
      <c r="Q531" s="126">
        <v>36464.0</v>
      </c>
      <c r="R531" s="123" t="s">
        <v>234</v>
      </c>
      <c r="S531" s="75">
        <v>2016.0</v>
      </c>
      <c r="T531" s="136">
        <v>0.251</v>
      </c>
      <c r="U531" s="128">
        <f t="shared" ref="U531:U930" si="91">Q531*T531</f>
        <v>9152.464</v>
      </c>
      <c r="V531" s="24">
        <f t="shared" si="3"/>
        <v>205.6733483</v>
      </c>
      <c r="W531" s="3">
        <f t="shared" si="29"/>
        <v>0</v>
      </c>
      <c r="X531" s="3">
        <f t="shared" si="30"/>
        <v>0</v>
      </c>
      <c r="Y531" s="3">
        <f t="shared" si="31"/>
        <v>0</v>
      </c>
      <c r="Z531" s="25">
        <f t="shared" si="32"/>
        <v>0</v>
      </c>
      <c r="AA531" s="26">
        <f>VLOOKUP(S531,CPI!$A$2:$E$67,5,0)</f>
        <v>1.269554638</v>
      </c>
      <c r="AB531" s="27">
        <f t="shared" si="8"/>
        <v>11619.55312</v>
      </c>
      <c r="AC531" s="27">
        <f t="shared" si="9"/>
        <v>261.1135533</v>
      </c>
    </row>
    <row r="532">
      <c r="A532" s="7"/>
      <c r="B532" s="114" t="s">
        <v>230</v>
      </c>
      <c r="C532" s="114" t="s">
        <v>930</v>
      </c>
      <c r="D532" s="36" t="s">
        <v>934</v>
      </c>
      <c r="E532" s="114" t="s">
        <v>935</v>
      </c>
      <c r="F532" s="116">
        <v>2020.0</v>
      </c>
      <c r="G532" s="114"/>
      <c r="H532" s="116">
        <v>0.0</v>
      </c>
      <c r="I532" s="116">
        <v>45.8</v>
      </c>
      <c r="J532" s="114"/>
      <c r="K532" s="114"/>
      <c r="L532" s="114"/>
      <c r="M532" s="114"/>
      <c r="N532" s="116">
        <v>9.0</v>
      </c>
      <c r="O532" s="116"/>
      <c r="P532" s="114" t="s">
        <v>36</v>
      </c>
      <c r="Q532" s="140">
        <v>21890.0</v>
      </c>
      <c r="R532" s="114" t="s">
        <v>234</v>
      </c>
      <c r="S532" s="115">
        <v>2020.0</v>
      </c>
      <c r="T532" s="136">
        <v>0.239</v>
      </c>
      <c r="U532" s="118">
        <f t="shared" si="91"/>
        <v>5231.71</v>
      </c>
      <c r="V532" s="24">
        <f t="shared" si="3"/>
        <v>114.229476</v>
      </c>
      <c r="W532" s="3">
        <f t="shared" si="29"/>
        <v>0</v>
      </c>
      <c r="X532" s="3">
        <f t="shared" si="30"/>
        <v>0</v>
      </c>
      <c r="Y532" s="3">
        <f t="shared" si="31"/>
        <v>0</v>
      </c>
      <c r="Z532" s="25">
        <f t="shared" si="32"/>
        <v>0</v>
      </c>
      <c r="AA532" s="26">
        <f>VLOOKUP(S532,CPI!$A$2:$E$67,5,0)</f>
        <v>1.17731472</v>
      </c>
      <c r="AB532" s="27">
        <f t="shared" si="8"/>
        <v>6159.369194</v>
      </c>
      <c r="AC532" s="27">
        <f t="shared" si="9"/>
        <v>134.4840435</v>
      </c>
    </row>
    <row r="533">
      <c r="A533" s="7"/>
      <c r="B533" s="114" t="s">
        <v>230</v>
      </c>
      <c r="C533" s="114" t="s">
        <v>930</v>
      </c>
      <c r="D533" s="114" t="s">
        <v>253</v>
      </c>
      <c r="E533" s="114" t="s">
        <v>253</v>
      </c>
      <c r="F533" s="116">
        <v>2021.0</v>
      </c>
      <c r="G533" s="114"/>
      <c r="H533" s="116">
        <v>0.0</v>
      </c>
      <c r="I533" s="116">
        <v>44.2</v>
      </c>
      <c r="J533" s="117">
        <v>1.0</v>
      </c>
      <c r="K533" s="116">
        <v>44.2</v>
      </c>
      <c r="L533" s="114"/>
      <c r="M533" s="114"/>
      <c r="N533" s="116">
        <v>24.0</v>
      </c>
      <c r="O533" s="116">
        <v>117.0</v>
      </c>
      <c r="P533" s="114"/>
      <c r="Q533" s="140">
        <v>40537.22</v>
      </c>
      <c r="R533" s="114" t="s">
        <v>234</v>
      </c>
      <c r="S533" s="115">
        <v>2021.0</v>
      </c>
      <c r="T533" s="136">
        <v>0.239000000000002</v>
      </c>
      <c r="U533" s="118">
        <f t="shared" si="91"/>
        <v>9688.39558</v>
      </c>
      <c r="V533" s="24">
        <f t="shared" si="3"/>
        <v>219.1944701</v>
      </c>
      <c r="W533" s="3">
        <f t="shared" si="29"/>
        <v>0</v>
      </c>
      <c r="X533" s="3">
        <f t="shared" si="30"/>
        <v>0</v>
      </c>
      <c r="Y533" s="3">
        <f t="shared" si="31"/>
        <v>0</v>
      </c>
      <c r="Z533" s="25">
        <f t="shared" si="32"/>
        <v>0</v>
      </c>
      <c r="AA533" s="26">
        <f>VLOOKUP(S533,CPI!$A$2:$E$67,5,0)</f>
        <v>1.124486105</v>
      </c>
      <c r="AB533" s="27">
        <f t="shared" si="8"/>
        <v>10894.46621</v>
      </c>
      <c r="AC533" s="27">
        <f t="shared" si="9"/>
        <v>246.4811361</v>
      </c>
    </row>
    <row r="534">
      <c r="A534" s="7"/>
      <c r="B534" s="114" t="s">
        <v>230</v>
      </c>
      <c r="C534" s="114" t="s">
        <v>930</v>
      </c>
      <c r="D534" s="36" t="s">
        <v>934</v>
      </c>
      <c r="E534" s="114" t="s">
        <v>938</v>
      </c>
      <c r="F534" s="116">
        <v>2021.0</v>
      </c>
      <c r="G534" s="114"/>
      <c r="H534" s="116">
        <v>1.0</v>
      </c>
      <c r="I534" s="116">
        <v>51.2</v>
      </c>
      <c r="J534" s="114"/>
      <c r="K534" s="114"/>
      <c r="L534" s="114"/>
      <c r="M534" s="114"/>
      <c r="N534" s="116">
        <v>4.0</v>
      </c>
      <c r="O534" s="116"/>
      <c r="P534" s="114"/>
      <c r="Q534" s="140">
        <v>30320.0</v>
      </c>
      <c r="R534" s="114" t="s">
        <v>234</v>
      </c>
      <c r="S534" s="115">
        <v>2021.0</v>
      </c>
      <c r="T534" s="136">
        <v>0.239000000000002</v>
      </c>
      <c r="U534" s="118">
        <f t="shared" si="91"/>
        <v>7246.48</v>
      </c>
      <c r="V534" s="24">
        <f t="shared" si="3"/>
        <v>141.5328125</v>
      </c>
      <c r="W534" s="3">
        <f t="shared" si="29"/>
        <v>0</v>
      </c>
      <c r="X534" s="3">
        <f t="shared" si="30"/>
        <v>0</v>
      </c>
      <c r="Y534" s="3">
        <f t="shared" si="31"/>
        <v>0</v>
      </c>
      <c r="Z534" s="25">
        <f t="shared" si="32"/>
        <v>0</v>
      </c>
      <c r="AA534" s="26">
        <f>VLOOKUP(S534,CPI!$A$2:$E$67,5,0)</f>
        <v>1.124486105</v>
      </c>
      <c r="AB534" s="27">
        <f t="shared" si="8"/>
        <v>8148.566074</v>
      </c>
      <c r="AC534" s="27">
        <f t="shared" si="9"/>
        <v>159.1516811</v>
      </c>
    </row>
    <row r="535">
      <c r="A535" s="7"/>
      <c r="B535" s="114" t="s">
        <v>230</v>
      </c>
      <c r="C535" s="114" t="s">
        <v>930</v>
      </c>
      <c r="D535" s="36" t="s">
        <v>934</v>
      </c>
      <c r="E535" s="114" t="s">
        <v>939</v>
      </c>
      <c r="F535" s="116">
        <v>2021.0</v>
      </c>
      <c r="G535" s="114"/>
      <c r="H535" s="116">
        <v>1.0</v>
      </c>
      <c r="I535" s="116">
        <v>70.2</v>
      </c>
      <c r="J535" s="114"/>
      <c r="K535" s="114"/>
      <c r="L535" s="114"/>
      <c r="M535" s="114"/>
      <c r="N535" s="116">
        <v>11.0</v>
      </c>
      <c r="O535" s="116"/>
      <c r="P535" s="114"/>
      <c r="Q535" s="140">
        <v>28600.0</v>
      </c>
      <c r="R535" s="114" t="s">
        <v>234</v>
      </c>
      <c r="S535" s="115">
        <v>2021.0</v>
      </c>
      <c r="T535" s="136">
        <v>0.239000000000002</v>
      </c>
      <c r="U535" s="118">
        <f t="shared" si="91"/>
        <v>6835.4</v>
      </c>
      <c r="V535" s="24">
        <f t="shared" si="3"/>
        <v>97.37037037</v>
      </c>
      <c r="W535" s="3">
        <f t="shared" si="29"/>
        <v>0</v>
      </c>
      <c r="X535" s="3">
        <f t="shared" si="30"/>
        <v>0</v>
      </c>
      <c r="Y535" s="3">
        <f t="shared" si="31"/>
        <v>0</v>
      </c>
      <c r="Z535" s="25">
        <f t="shared" si="32"/>
        <v>0</v>
      </c>
      <c r="AA535" s="26">
        <f>VLOOKUP(S535,CPI!$A$2:$E$67,5,0)</f>
        <v>1.124486105</v>
      </c>
      <c r="AB535" s="27">
        <f t="shared" si="8"/>
        <v>7686.312325</v>
      </c>
      <c r="AC535" s="27">
        <f t="shared" si="9"/>
        <v>109.4916286</v>
      </c>
    </row>
    <row r="536">
      <c r="A536" s="7"/>
      <c r="B536" s="114" t="s">
        <v>230</v>
      </c>
      <c r="C536" s="114" t="s">
        <v>930</v>
      </c>
      <c r="D536" s="115" t="s">
        <v>110</v>
      </c>
      <c r="E536" s="114" t="s">
        <v>940</v>
      </c>
      <c r="F536" s="116">
        <v>2022.0</v>
      </c>
      <c r="G536" s="114"/>
      <c r="H536" s="116">
        <v>0.0</v>
      </c>
      <c r="I536" s="116">
        <v>44.78</v>
      </c>
      <c r="J536" s="117">
        <v>0.5</v>
      </c>
      <c r="K536" s="116">
        <v>22.48</v>
      </c>
      <c r="L536" s="114"/>
      <c r="M536" s="114"/>
      <c r="N536" s="116">
        <v>10.0</v>
      </c>
      <c r="O536" s="116">
        <v>117.0</v>
      </c>
      <c r="P536" s="114"/>
      <c r="Q536" s="140">
        <v>22978.0</v>
      </c>
      <c r="R536" s="114" t="s">
        <v>234</v>
      </c>
      <c r="S536" s="115">
        <v>2021.0</v>
      </c>
      <c r="T536" s="136">
        <v>0.239000000000002</v>
      </c>
      <c r="U536" s="118">
        <f t="shared" si="91"/>
        <v>5491.742</v>
      </c>
      <c r="V536" s="24">
        <f t="shared" si="3"/>
        <v>122.638276</v>
      </c>
      <c r="W536" s="3">
        <f t="shared" si="29"/>
        <v>0</v>
      </c>
      <c r="X536" s="3">
        <f t="shared" si="30"/>
        <v>0</v>
      </c>
      <c r="Y536" s="3">
        <f t="shared" si="31"/>
        <v>0</v>
      </c>
      <c r="Z536" s="25">
        <f t="shared" si="32"/>
        <v>0</v>
      </c>
      <c r="AA536" s="26">
        <f>VLOOKUP(S536,CPI!$A$2:$E$67,5,0)</f>
        <v>1.124486105</v>
      </c>
      <c r="AB536" s="27">
        <f t="shared" si="8"/>
        <v>6175.387574</v>
      </c>
      <c r="AC536" s="27">
        <f t="shared" si="9"/>
        <v>137.9050374</v>
      </c>
    </row>
    <row r="537">
      <c r="A537" s="7"/>
      <c r="B537" s="114" t="s">
        <v>230</v>
      </c>
      <c r="C537" s="114" t="s">
        <v>942</v>
      </c>
      <c r="D537" s="114" t="s">
        <v>57</v>
      </c>
      <c r="E537" s="114" t="s">
        <v>57</v>
      </c>
      <c r="F537" s="116">
        <v>2014.0</v>
      </c>
      <c r="G537" s="116">
        <v>2019.0</v>
      </c>
      <c r="H537" s="116">
        <v>0.0</v>
      </c>
      <c r="I537" s="116">
        <v>21.967</v>
      </c>
      <c r="J537" s="117">
        <v>0.96</v>
      </c>
      <c r="K537" s="116">
        <v>20.996</v>
      </c>
      <c r="L537" s="114"/>
      <c r="M537" s="114"/>
      <c r="N537" s="116">
        <v>18.0</v>
      </c>
      <c r="O537" s="116">
        <v>117.0</v>
      </c>
      <c r="P537" s="114" t="s">
        <v>42</v>
      </c>
      <c r="Q537" s="140">
        <v>16278.0</v>
      </c>
      <c r="R537" s="114" t="s">
        <v>234</v>
      </c>
      <c r="S537" s="115">
        <v>2017.0</v>
      </c>
      <c r="T537" s="85">
        <v>0.239</v>
      </c>
      <c r="U537" s="118">
        <f t="shared" si="91"/>
        <v>3890.442</v>
      </c>
      <c r="V537" s="24">
        <f t="shared" si="3"/>
        <v>177.1039286</v>
      </c>
      <c r="W537" s="3">
        <f t="shared" si="29"/>
        <v>0</v>
      </c>
      <c r="X537" s="3">
        <f t="shared" si="30"/>
        <v>0</v>
      </c>
      <c r="Y537" s="3">
        <f t="shared" si="31"/>
        <v>0</v>
      </c>
      <c r="Z537" s="25">
        <f t="shared" si="32"/>
        <v>0</v>
      </c>
      <c r="AA537" s="26">
        <f>VLOOKUP(S537,CPI!$A$2:$E$67,5,0)</f>
        <v>1.243072781</v>
      </c>
      <c r="AB537" s="27">
        <f t="shared" si="8"/>
        <v>4836.102555</v>
      </c>
      <c r="AC537" s="27">
        <f t="shared" si="9"/>
        <v>220.153073</v>
      </c>
    </row>
    <row r="538">
      <c r="A538" s="7"/>
      <c r="B538" s="114" t="s">
        <v>230</v>
      </c>
      <c r="C538" s="114" t="s">
        <v>942</v>
      </c>
      <c r="D538" s="114" t="s">
        <v>945</v>
      </c>
      <c r="E538" s="114" t="s">
        <v>945</v>
      </c>
      <c r="F538" s="116">
        <v>2013.0</v>
      </c>
      <c r="G538" s="116">
        <v>2020.0</v>
      </c>
      <c r="H538" s="116">
        <v>0.0</v>
      </c>
      <c r="I538" s="116">
        <v>67.0</v>
      </c>
      <c r="J538" s="117">
        <v>0.9</v>
      </c>
      <c r="K538" s="116">
        <v>60.6</v>
      </c>
      <c r="L538" s="114"/>
      <c r="M538" s="114"/>
      <c r="N538" s="114"/>
      <c r="O538" s="116">
        <v>117.0</v>
      </c>
      <c r="P538" s="114" t="s">
        <v>42</v>
      </c>
      <c r="Q538" s="140">
        <v>44328.0</v>
      </c>
      <c r="R538" s="114" t="s">
        <v>234</v>
      </c>
      <c r="S538" s="115">
        <v>2017.0</v>
      </c>
      <c r="T538" s="85">
        <v>0.239</v>
      </c>
      <c r="U538" s="118">
        <f t="shared" si="91"/>
        <v>10594.392</v>
      </c>
      <c r="V538" s="24">
        <f t="shared" si="3"/>
        <v>158.1252537</v>
      </c>
      <c r="W538" s="3">
        <f t="shared" si="29"/>
        <v>0</v>
      </c>
      <c r="X538" s="3">
        <f t="shared" si="30"/>
        <v>0</v>
      </c>
      <c r="Y538" s="3">
        <f t="shared" si="31"/>
        <v>0</v>
      </c>
      <c r="Z538" s="25">
        <f t="shared" si="32"/>
        <v>0</v>
      </c>
      <c r="AA538" s="26">
        <f>VLOOKUP(S538,CPI!$A$2:$E$67,5,0)</f>
        <v>1.243072781</v>
      </c>
      <c r="AB538" s="27">
        <f t="shared" si="8"/>
        <v>13169.60032</v>
      </c>
      <c r="AC538" s="27">
        <f t="shared" si="9"/>
        <v>196.5611989</v>
      </c>
    </row>
    <row r="539">
      <c r="A539" s="7"/>
      <c r="B539" s="114" t="s">
        <v>230</v>
      </c>
      <c r="C539" s="114" t="s">
        <v>942</v>
      </c>
      <c r="D539" s="114" t="s">
        <v>54</v>
      </c>
      <c r="E539" s="114" t="s">
        <v>54</v>
      </c>
      <c r="F539" s="116">
        <v>2020.0</v>
      </c>
      <c r="G539" s="114"/>
      <c r="H539" s="116">
        <v>0.0</v>
      </c>
      <c r="I539" s="116">
        <v>24.15</v>
      </c>
      <c r="J539" s="117">
        <v>1.0</v>
      </c>
      <c r="K539" s="116">
        <v>24.15</v>
      </c>
      <c r="L539" s="114"/>
      <c r="M539" s="114"/>
      <c r="N539" s="116">
        <v>20.0</v>
      </c>
      <c r="O539" s="116">
        <v>117.0</v>
      </c>
      <c r="P539" s="114" t="s">
        <v>36</v>
      </c>
      <c r="Q539" s="140">
        <v>16957.0</v>
      </c>
      <c r="R539" s="114" t="s">
        <v>234</v>
      </c>
      <c r="S539" s="115">
        <v>2020.0</v>
      </c>
      <c r="T539" s="136">
        <v>0.239</v>
      </c>
      <c r="U539" s="118">
        <f t="shared" si="91"/>
        <v>4052.723</v>
      </c>
      <c r="V539" s="24">
        <f t="shared" si="3"/>
        <v>167.814617</v>
      </c>
      <c r="W539" s="3">
        <f t="shared" si="29"/>
        <v>0</v>
      </c>
      <c r="X539" s="3">
        <f t="shared" si="30"/>
        <v>0</v>
      </c>
      <c r="Y539" s="3">
        <f t="shared" si="31"/>
        <v>0</v>
      </c>
      <c r="Z539" s="25">
        <f t="shared" si="32"/>
        <v>0</v>
      </c>
      <c r="AA539" s="26">
        <f>VLOOKUP(S539,CPI!$A$2:$E$67,5,0)</f>
        <v>1.17731472</v>
      </c>
      <c r="AB539" s="27">
        <f t="shared" si="8"/>
        <v>4771.330444</v>
      </c>
      <c r="AC539" s="27">
        <f t="shared" si="9"/>
        <v>197.5706188</v>
      </c>
    </row>
    <row r="540">
      <c r="A540" s="7"/>
      <c r="B540" s="114" t="s">
        <v>230</v>
      </c>
      <c r="C540" s="114" t="s">
        <v>942</v>
      </c>
      <c r="D540" s="114" t="s">
        <v>87</v>
      </c>
      <c r="E540" s="114" t="s">
        <v>87</v>
      </c>
      <c r="F540" s="116">
        <v>2021.0</v>
      </c>
      <c r="G540" s="114"/>
      <c r="H540" s="116">
        <v>0.0</v>
      </c>
      <c r="I540" s="116">
        <v>18.3</v>
      </c>
      <c r="J540" s="117">
        <v>1.0</v>
      </c>
      <c r="K540" s="116">
        <v>18.3</v>
      </c>
      <c r="L540" s="114"/>
      <c r="M540" s="114"/>
      <c r="N540" s="116">
        <v>16.0</v>
      </c>
      <c r="O540" s="116">
        <v>117.0</v>
      </c>
      <c r="P540" s="114" t="s">
        <v>36</v>
      </c>
      <c r="Q540" s="140">
        <v>13526.0</v>
      </c>
      <c r="R540" s="114" t="s">
        <v>234</v>
      </c>
      <c r="S540" s="115">
        <v>2021.0</v>
      </c>
      <c r="T540" s="136">
        <v>0.239000000000001</v>
      </c>
      <c r="U540" s="118">
        <f t="shared" si="91"/>
        <v>3232.714</v>
      </c>
      <c r="V540" s="24">
        <f t="shared" si="3"/>
        <v>176.6510383</v>
      </c>
      <c r="W540" s="3">
        <f t="shared" si="29"/>
        <v>0</v>
      </c>
      <c r="X540" s="3">
        <f t="shared" si="30"/>
        <v>0</v>
      </c>
      <c r="Y540" s="3">
        <f t="shared" si="31"/>
        <v>0</v>
      </c>
      <c r="Z540" s="25">
        <f t="shared" si="32"/>
        <v>0</v>
      </c>
      <c r="AA540" s="26">
        <f>VLOOKUP(S540,CPI!$A$2:$E$67,5,0)</f>
        <v>1.124486105</v>
      </c>
      <c r="AB540" s="27">
        <f t="shared" si="8"/>
        <v>3635.141976</v>
      </c>
      <c r="AC540" s="27">
        <f t="shared" si="9"/>
        <v>198.641638</v>
      </c>
    </row>
    <row r="541">
      <c r="A541" s="38">
        <v>7699.0</v>
      </c>
      <c r="B541" s="72" t="s">
        <v>230</v>
      </c>
      <c r="C541" s="72" t="s">
        <v>942</v>
      </c>
      <c r="D541" s="115" t="s">
        <v>110</v>
      </c>
      <c r="E541" s="115" t="s">
        <v>332</v>
      </c>
      <c r="F541" s="69">
        <v>2021.0</v>
      </c>
      <c r="G541" s="72"/>
      <c r="H541" s="69">
        <v>0.0</v>
      </c>
      <c r="I541" s="69">
        <v>26.2</v>
      </c>
      <c r="J541" s="117">
        <v>1.0</v>
      </c>
      <c r="K541" s="69">
        <v>26.2</v>
      </c>
      <c r="L541" s="72"/>
      <c r="M541" s="72"/>
      <c r="N541" s="69">
        <v>19.0</v>
      </c>
      <c r="O541" s="69">
        <v>117.0</v>
      </c>
      <c r="P541" s="72"/>
      <c r="Q541" s="140">
        <v>18470.0</v>
      </c>
      <c r="R541" s="72" t="s">
        <v>234</v>
      </c>
      <c r="S541" s="115">
        <v>2021.0</v>
      </c>
      <c r="T541" s="136">
        <v>0.239</v>
      </c>
      <c r="U541" s="118">
        <f t="shared" si="91"/>
        <v>4414.33</v>
      </c>
      <c r="V541" s="24">
        <f t="shared" si="3"/>
        <v>168.4858779</v>
      </c>
      <c r="W541" s="3">
        <f t="shared" si="29"/>
        <v>0</v>
      </c>
      <c r="X541" s="3">
        <f t="shared" si="30"/>
        <v>0</v>
      </c>
      <c r="Y541" s="3">
        <f t="shared" si="31"/>
        <v>0</v>
      </c>
      <c r="Z541" s="25">
        <f t="shared" si="32"/>
        <v>0</v>
      </c>
      <c r="AA541" s="26">
        <f>VLOOKUP(S541,CPI!$A$2:$E$67,5,0)</f>
        <v>1.124486105</v>
      </c>
      <c r="AB541" s="27">
        <f t="shared" si="8"/>
        <v>4963.85275</v>
      </c>
      <c r="AC541" s="27">
        <f t="shared" si="9"/>
        <v>189.4600286</v>
      </c>
    </row>
    <row r="542">
      <c r="A542" s="38">
        <v>7705.0</v>
      </c>
      <c r="B542" s="72" t="s">
        <v>230</v>
      </c>
      <c r="C542" s="72" t="s">
        <v>942</v>
      </c>
      <c r="D542" s="115" t="s">
        <v>80</v>
      </c>
      <c r="E542" s="115" t="s">
        <v>255</v>
      </c>
      <c r="F542" s="69">
        <v>2021.0</v>
      </c>
      <c r="G542" s="72"/>
      <c r="H542" s="69">
        <v>0.0</v>
      </c>
      <c r="I542" s="69">
        <v>22.912</v>
      </c>
      <c r="J542" s="117">
        <v>1.0</v>
      </c>
      <c r="K542" s="69">
        <v>22.912</v>
      </c>
      <c r="L542" s="72"/>
      <c r="M542" s="72"/>
      <c r="N542" s="69">
        <v>16.0</v>
      </c>
      <c r="O542" s="69">
        <v>117.0</v>
      </c>
      <c r="P542" s="72" t="s">
        <v>36</v>
      </c>
      <c r="Q542" s="140">
        <v>19157.0</v>
      </c>
      <c r="R542" s="72" t="s">
        <v>234</v>
      </c>
      <c r="S542" s="115">
        <v>2021.0</v>
      </c>
      <c r="T542" s="136">
        <v>0.239</v>
      </c>
      <c r="U542" s="118">
        <f t="shared" si="91"/>
        <v>4578.523</v>
      </c>
      <c r="V542" s="24">
        <f t="shared" si="3"/>
        <v>199.8307874</v>
      </c>
      <c r="W542" s="3">
        <f t="shared" si="29"/>
        <v>0</v>
      </c>
      <c r="X542" s="3">
        <f t="shared" si="30"/>
        <v>0</v>
      </c>
      <c r="Y542" s="3">
        <f t="shared" si="31"/>
        <v>0</v>
      </c>
      <c r="Z542" s="25">
        <f t="shared" si="32"/>
        <v>0</v>
      </c>
      <c r="AA542" s="26">
        <f>VLOOKUP(S542,CPI!$A$2:$E$67,5,0)</f>
        <v>1.124486105</v>
      </c>
      <c r="AB542" s="27">
        <f t="shared" si="8"/>
        <v>5148.485497</v>
      </c>
      <c r="AC542" s="27">
        <f t="shared" si="9"/>
        <v>224.7069438</v>
      </c>
    </row>
    <row r="543">
      <c r="A543" s="38">
        <v>7698.0</v>
      </c>
      <c r="B543" s="130" t="s">
        <v>230</v>
      </c>
      <c r="C543" s="130" t="s">
        <v>942</v>
      </c>
      <c r="D543" s="114" t="s">
        <v>87</v>
      </c>
      <c r="E543" s="130" t="s">
        <v>357</v>
      </c>
      <c r="F543" s="130" t="s">
        <v>952</v>
      </c>
      <c r="G543" s="130"/>
      <c r="H543" s="130">
        <v>0.0</v>
      </c>
      <c r="I543" s="130">
        <v>6.5</v>
      </c>
      <c r="J543" s="131">
        <v>1.0</v>
      </c>
      <c r="K543" s="130">
        <v>6.5</v>
      </c>
      <c r="L543" s="132">
        <v>0.0</v>
      </c>
      <c r="M543" s="132">
        <v>0.0</v>
      </c>
      <c r="N543" s="130">
        <v>5.0</v>
      </c>
      <c r="O543" s="138"/>
      <c r="P543" s="130" t="s">
        <v>60</v>
      </c>
      <c r="Q543" s="135">
        <f>5.0154*10^3</f>
        <v>5015.4</v>
      </c>
      <c r="R543" s="130" t="s">
        <v>234</v>
      </c>
      <c r="S543" s="130">
        <v>2020.0</v>
      </c>
      <c r="T543" s="136">
        <v>0.239</v>
      </c>
      <c r="U543" s="128">
        <f t="shared" si="91"/>
        <v>1198.6806</v>
      </c>
      <c r="V543" s="24">
        <f t="shared" si="3"/>
        <v>184.4124</v>
      </c>
      <c r="W543" s="3">
        <f t="shared" si="29"/>
        <v>0</v>
      </c>
      <c r="X543" s="3">
        <f t="shared" si="30"/>
        <v>0</v>
      </c>
      <c r="Y543" s="3">
        <f t="shared" si="31"/>
        <v>0</v>
      </c>
      <c r="Z543" s="25">
        <f t="shared" si="32"/>
        <v>0</v>
      </c>
      <c r="AA543" s="26">
        <f>VLOOKUP(S543,CPI!$A$2:$E$67,5,0)</f>
        <v>1.17731472</v>
      </c>
      <c r="AB543" s="27">
        <f t="shared" si="8"/>
        <v>1411.224315</v>
      </c>
      <c r="AC543" s="27">
        <f t="shared" si="9"/>
        <v>217.1114331</v>
      </c>
    </row>
    <row r="544">
      <c r="A544" s="38">
        <v>7704.0</v>
      </c>
      <c r="B544" s="130" t="s">
        <v>230</v>
      </c>
      <c r="C544" s="130" t="s">
        <v>942</v>
      </c>
      <c r="D544" s="36" t="s">
        <v>84</v>
      </c>
      <c r="E544" s="130" t="s">
        <v>319</v>
      </c>
      <c r="F544" s="130" t="s">
        <v>954</v>
      </c>
      <c r="G544" s="130"/>
      <c r="H544" s="130">
        <v>0.0</v>
      </c>
      <c r="I544" s="130">
        <v>24.6</v>
      </c>
      <c r="J544" s="131">
        <v>1.0</v>
      </c>
      <c r="K544" s="130">
        <v>24.6</v>
      </c>
      <c r="L544" s="132">
        <v>0.0</v>
      </c>
      <c r="M544" s="132">
        <v>0.0</v>
      </c>
      <c r="N544" s="130">
        <v>20.0</v>
      </c>
      <c r="O544" s="138"/>
      <c r="P544" s="130" t="s">
        <v>60</v>
      </c>
      <c r="Q544" s="135">
        <f>16.83*10^3</f>
        <v>16830</v>
      </c>
      <c r="R544" s="130" t="s">
        <v>234</v>
      </c>
      <c r="S544" s="130">
        <v>2020.0</v>
      </c>
      <c r="T544" s="136">
        <v>0.239</v>
      </c>
      <c r="U544" s="128">
        <f t="shared" si="91"/>
        <v>4022.37</v>
      </c>
      <c r="V544" s="24">
        <f t="shared" si="3"/>
        <v>163.5109756</v>
      </c>
      <c r="W544" s="3">
        <f t="shared" si="29"/>
        <v>0</v>
      </c>
      <c r="X544" s="3">
        <f t="shared" si="30"/>
        <v>0</v>
      </c>
      <c r="Y544" s="3">
        <f t="shared" si="31"/>
        <v>0</v>
      </c>
      <c r="Z544" s="25">
        <f t="shared" si="32"/>
        <v>0</v>
      </c>
      <c r="AA544" s="26">
        <f>VLOOKUP(S544,CPI!$A$2:$E$67,5,0)</f>
        <v>1.17731472</v>
      </c>
      <c r="AB544" s="27">
        <f t="shared" si="8"/>
        <v>4735.59541</v>
      </c>
      <c r="AC544" s="27">
        <f t="shared" si="9"/>
        <v>192.5038785</v>
      </c>
    </row>
    <row r="545">
      <c r="A545" s="114"/>
      <c r="B545" s="114" t="s">
        <v>230</v>
      </c>
      <c r="C545" s="114" t="s">
        <v>955</v>
      </c>
      <c r="D545" s="16" t="s">
        <v>34</v>
      </c>
      <c r="E545" s="114" t="s">
        <v>956</v>
      </c>
      <c r="F545" s="116">
        <v>2020.0</v>
      </c>
      <c r="G545" s="114"/>
      <c r="H545" s="116">
        <v>0.0</v>
      </c>
      <c r="I545" s="116">
        <v>107.17</v>
      </c>
      <c r="J545" s="114"/>
      <c r="K545" s="114"/>
      <c r="L545" s="114"/>
      <c r="M545" s="114"/>
      <c r="N545" s="116">
        <v>31.0</v>
      </c>
      <c r="O545" s="116">
        <v>117.0</v>
      </c>
      <c r="P545" s="114" t="s">
        <v>36</v>
      </c>
      <c r="Q545" s="140">
        <v>34683.0</v>
      </c>
      <c r="R545" s="114" t="s">
        <v>234</v>
      </c>
      <c r="S545" s="115">
        <v>2020.0</v>
      </c>
      <c r="T545" s="136">
        <v>0.239</v>
      </c>
      <c r="U545" s="118">
        <f t="shared" si="91"/>
        <v>8289.237</v>
      </c>
      <c r="V545" s="24">
        <f t="shared" si="3"/>
        <v>77.34661752</v>
      </c>
      <c r="W545" s="3">
        <f t="shared" si="29"/>
        <v>0</v>
      </c>
      <c r="X545" s="3">
        <f t="shared" si="30"/>
        <v>0</v>
      </c>
      <c r="Y545" s="3">
        <f t="shared" si="31"/>
        <v>0</v>
      </c>
      <c r="Z545" s="25">
        <f t="shared" si="32"/>
        <v>0</v>
      </c>
      <c r="AA545" s="26">
        <f>VLOOKUP(S545,CPI!$A$2:$E$67,5,0)</f>
        <v>1.17731472</v>
      </c>
      <c r="AB545" s="27">
        <f t="shared" si="8"/>
        <v>9759.040738</v>
      </c>
      <c r="AC545" s="27">
        <f t="shared" si="9"/>
        <v>91.06131135</v>
      </c>
    </row>
    <row r="546">
      <c r="A546" s="7"/>
      <c r="B546" s="114" t="s">
        <v>230</v>
      </c>
      <c r="C546" s="114" t="s">
        <v>958</v>
      </c>
      <c r="D546" s="114" t="s">
        <v>57</v>
      </c>
      <c r="E546" s="115" t="s">
        <v>232</v>
      </c>
      <c r="F546" s="116">
        <v>2009.0</v>
      </c>
      <c r="G546" s="116">
        <v>2013.0</v>
      </c>
      <c r="H546" s="116">
        <v>0.0</v>
      </c>
      <c r="I546" s="116">
        <v>25.2</v>
      </c>
      <c r="J546" s="117">
        <v>1.0</v>
      </c>
      <c r="K546" s="116">
        <v>25.2</v>
      </c>
      <c r="L546" s="114"/>
      <c r="M546" s="114"/>
      <c r="N546" s="116">
        <v>20.0</v>
      </c>
      <c r="O546" s="116">
        <v>117.0</v>
      </c>
      <c r="P546" s="114" t="s">
        <v>42</v>
      </c>
      <c r="Q546" s="140">
        <v>14335.5</v>
      </c>
      <c r="R546" s="114" t="s">
        <v>234</v>
      </c>
      <c r="S546" s="115">
        <v>2011.0</v>
      </c>
      <c r="T546" s="85">
        <v>0.284</v>
      </c>
      <c r="U546" s="118">
        <f t="shared" si="91"/>
        <v>4071.282</v>
      </c>
      <c r="V546" s="24">
        <f t="shared" si="3"/>
        <v>161.5588095</v>
      </c>
      <c r="W546" s="3">
        <f t="shared" si="29"/>
        <v>0</v>
      </c>
      <c r="X546" s="3">
        <f t="shared" si="30"/>
        <v>0</v>
      </c>
      <c r="Y546" s="3">
        <f t="shared" si="31"/>
        <v>0</v>
      </c>
      <c r="Z546" s="25">
        <f t="shared" si="32"/>
        <v>0</v>
      </c>
      <c r="AA546" s="26">
        <f>VLOOKUP(S546,CPI!$A$2:$E$67,5,0)</f>
        <v>1.354598358</v>
      </c>
      <c r="AB546" s="27">
        <f t="shared" si="8"/>
        <v>5514.951911</v>
      </c>
      <c r="AC546" s="27">
        <f t="shared" si="9"/>
        <v>218.8472981</v>
      </c>
    </row>
    <row r="547">
      <c r="A547" s="7"/>
      <c r="B547" s="114" t="s">
        <v>230</v>
      </c>
      <c r="C547" s="114" t="s">
        <v>958</v>
      </c>
      <c r="D547" s="114" t="s">
        <v>54</v>
      </c>
      <c r="E547" s="115" t="s">
        <v>348</v>
      </c>
      <c r="F547" s="116">
        <v>2010.0</v>
      </c>
      <c r="G547" s="116">
        <v>2016.0</v>
      </c>
      <c r="H547" s="116">
        <v>0.0</v>
      </c>
      <c r="I547" s="116">
        <v>18.27</v>
      </c>
      <c r="J547" s="117">
        <v>1.0</v>
      </c>
      <c r="K547" s="116">
        <v>18.27</v>
      </c>
      <c r="L547" s="114"/>
      <c r="M547" s="114"/>
      <c r="N547" s="116">
        <v>16.0</v>
      </c>
      <c r="O547" s="116">
        <v>117.0</v>
      </c>
      <c r="P547" s="114" t="s">
        <v>42</v>
      </c>
      <c r="Q547" s="140">
        <v>10408.0</v>
      </c>
      <c r="R547" s="114" t="s">
        <v>234</v>
      </c>
      <c r="S547" s="115">
        <v>2013.0</v>
      </c>
      <c r="T547" s="85">
        <v>0.273</v>
      </c>
      <c r="U547" s="118">
        <f t="shared" si="91"/>
        <v>2841.384</v>
      </c>
      <c r="V547" s="24">
        <f t="shared" si="3"/>
        <v>155.5218391</v>
      </c>
      <c r="W547" s="3">
        <f t="shared" si="29"/>
        <v>0</v>
      </c>
      <c r="X547" s="3">
        <f t="shared" si="30"/>
        <v>0</v>
      </c>
      <c r="Y547" s="3">
        <f t="shared" si="31"/>
        <v>0</v>
      </c>
      <c r="Z547" s="25">
        <f t="shared" si="32"/>
        <v>0</v>
      </c>
      <c r="AA547" s="26">
        <f>VLOOKUP(S547,CPI!$A$2:$E$67,5,0)</f>
        <v>1.307975292</v>
      </c>
      <c r="AB547" s="27">
        <f t="shared" si="8"/>
        <v>3716.460066</v>
      </c>
      <c r="AC547" s="27">
        <f t="shared" si="9"/>
        <v>203.4187228</v>
      </c>
    </row>
    <row r="548">
      <c r="A548" s="7"/>
      <c r="B548" s="114" t="s">
        <v>230</v>
      </c>
      <c r="C548" s="114" t="s">
        <v>958</v>
      </c>
      <c r="D548" s="114" t="s">
        <v>110</v>
      </c>
      <c r="E548" s="114" t="s">
        <v>110</v>
      </c>
      <c r="F548" s="116">
        <v>2014.0</v>
      </c>
      <c r="G548" s="116">
        <v>2020.0</v>
      </c>
      <c r="H548" s="116">
        <v>0.0</v>
      </c>
      <c r="I548" s="116">
        <v>30.1</v>
      </c>
      <c r="J548" s="117">
        <v>1.0</v>
      </c>
      <c r="K548" s="116">
        <v>30.1</v>
      </c>
      <c r="L548" s="114"/>
      <c r="M548" s="114"/>
      <c r="N548" s="116">
        <v>24.0</v>
      </c>
      <c r="O548" s="116">
        <v>117.0</v>
      </c>
      <c r="P548" s="114" t="s">
        <v>60</v>
      </c>
      <c r="Q548" s="140">
        <v>19034.0</v>
      </c>
      <c r="R548" s="114" t="s">
        <v>234</v>
      </c>
      <c r="S548" s="115">
        <v>2017.0</v>
      </c>
      <c r="T548" s="85">
        <v>0.239</v>
      </c>
      <c r="U548" s="118">
        <f t="shared" si="91"/>
        <v>4549.126</v>
      </c>
      <c r="V548" s="24">
        <f t="shared" si="3"/>
        <v>151.1337542</v>
      </c>
      <c r="W548" s="3">
        <f t="shared" si="29"/>
        <v>0</v>
      </c>
      <c r="X548" s="3">
        <f t="shared" si="30"/>
        <v>0</v>
      </c>
      <c r="Y548" s="3">
        <f t="shared" si="31"/>
        <v>0</v>
      </c>
      <c r="Z548" s="25">
        <f t="shared" si="32"/>
        <v>0</v>
      </c>
      <c r="AA548" s="26">
        <f>VLOOKUP(S548,CPI!$A$2:$E$67,5,0)</f>
        <v>1.243072781</v>
      </c>
      <c r="AB548" s="27">
        <f t="shared" si="8"/>
        <v>5654.894706</v>
      </c>
      <c r="AC548" s="27">
        <f t="shared" si="9"/>
        <v>187.870256</v>
      </c>
    </row>
    <row r="549">
      <c r="A549" s="163"/>
      <c r="B549" s="66" t="s">
        <v>230</v>
      </c>
      <c r="C549" s="114" t="s">
        <v>958</v>
      </c>
      <c r="D549" s="115" t="s">
        <v>87</v>
      </c>
      <c r="E549" s="115" t="s">
        <v>331</v>
      </c>
      <c r="F549" s="116">
        <v>2017.0</v>
      </c>
      <c r="G549" s="116">
        <v>2020.0</v>
      </c>
      <c r="H549" s="116">
        <v>0.0</v>
      </c>
      <c r="I549" s="116">
        <v>25.487</v>
      </c>
      <c r="J549" s="117">
        <v>1.0</v>
      </c>
      <c r="K549" s="116">
        <v>25.487</v>
      </c>
      <c r="L549" s="114"/>
      <c r="M549" s="114"/>
      <c r="N549" s="116">
        <v>21.0</v>
      </c>
      <c r="O549" s="116">
        <v>138.0</v>
      </c>
      <c r="P549" s="114" t="s">
        <v>36</v>
      </c>
      <c r="Q549" s="140">
        <v>20608.0</v>
      </c>
      <c r="R549" s="114" t="s">
        <v>234</v>
      </c>
      <c r="S549" s="115">
        <v>2019.0</v>
      </c>
      <c r="T549" s="136">
        <v>0.238</v>
      </c>
      <c r="U549" s="118">
        <f t="shared" si="91"/>
        <v>4904.704</v>
      </c>
      <c r="V549" s="24">
        <f t="shared" si="3"/>
        <v>192.4394397</v>
      </c>
      <c r="W549" s="3">
        <f t="shared" si="29"/>
        <v>0</v>
      </c>
      <c r="X549" s="3">
        <f t="shared" si="30"/>
        <v>0</v>
      </c>
      <c r="Y549" s="3">
        <f t="shared" si="31"/>
        <v>0</v>
      </c>
      <c r="Z549" s="25">
        <f t="shared" si="32"/>
        <v>0</v>
      </c>
      <c r="AA549" s="26">
        <f>VLOOKUP(S549,CPI!$A$2:$E$67,5,0)</f>
        <v>1.191839066</v>
      </c>
      <c r="AB549" s="27">
        <f t="shared" si="8"/>
        <v>5845.617833</v>
      </c>
      <c r="AC549" s="27">
        <f t="shared" si="9"/>
        <v>229.356842</v>
      </c>
    </row>
    <row r="550">
      <c r="A550" s="7"/>
      <c r="B550" s="114" t="s">
        <v>230</v>
      </c>
      <c r="C550" s="114" t="s">
        <v>958</v>
      </c>
      <c r="D550" s="171" t="s">
        <v>963</v>
      </c>
      <c r="E550" s="209" t="s">
        <v>964</v>
      </c>
      <c r="F550" s="114"/>
      <c r="G550" s="116">
        <v>2022.0</v>
      </c>
      <c r="H550" s="82">
        <v>1.0</v>
      </c>
      <c r="I550" s="116">
        <v>33.78</v>
      </c>
      <c r="J550" s="117">
        <v>0.12</v>
      </c>
      <c r="K550" s="116">
        <v>4.016</v>
      </c>
      <c r="L550" s="114"/>
      <c r="M550" s="114"/>
      <c r="N550" s="116">
        <v>11.0</v>
      </c>
      <c r="O550" s="116">
        <v>117.0</v>
      </c>
      <c r="P550" s="114" t="s">
        <v>36</v>
      </c>
      <c r="Q550" s="140">
        <v>9879.0</v>
      </c>
      <c r="R550" s="114" t="s">
        <v>234</v>
      </c>
      <c r="S550" s="115">
        <v>2021.0</v>
      </c>
      <c r="T550" s="136">
        <v>0.239000000000001</v>
      </c>
      <c r="U550" s="118">
        <f t="shared" si="91"/>
        <v>2361.081</v>
      </c>
      <c r="V550" s="24">
        <f t="shared" si="3"/>
        <v>69.89582593</v>
      </c>
      <c r="W550" s="3">
        <f t="shared" si="29"/>
        <v>0</v>
      </c>
      <c r="X550" s="3">
        <f t="shared" si="30"/>
        <v>0</v>
      </c>
      <c r="Y550" s="3">
        <f t="shared" si="31"/>
        <v>0</v>
      </c>
      <c r="Z550" s="25">
        <f t="shared" si="32"/>
        <v>0</v>
      </c>
      <c r="AA550" s="26">
        <f>VLOOKUP(S550,CPI!$A$2:$E$67,5,0)</f>
        <v>1.124486105</v>
      </c>
      <c r="AB550" s="27">
        <f t="shared" si="8"/>
        <v>2655.002778</v>
      </c>
      <c r="AC550" s="27">
        <f t="shared" si="9"/>
        <v>78.59688509</v>
      </c>
    </row>
    <row r="551">
      <c r="A551" s="38">
        <v>8017.0</v>
      </c>
      <c r="B551" s="72" t="s">
        <v>230</v>
      </c>
      <c r="C551" s="72" t="s">
        <v>958</v>
      </c>
      <c r="D551" s="16" t="s">
        <v>239</v>
      </c>
      <c r="E551" s="115" t="s">
        <v>356</v>
      </c>
      <c r="F551" s="69">
        <v>2019.0</v>
      </c>
      <c r="G551" s="69">
        <v>2024.0</v>
      </c>
      <c r="H551" s="69">
        <v>0.0</v>
      </c>
      <c r="I551" s="69">
        <v>21.3</v>
      </c>
      <c r="J551" s="117">
        <v>1.0</v>
      </c>
      <c r="K551" s="69">
        <v>21.3</v>
      </c>
      <c r="L551" s="72"/>
      <c r="M551" s="72"/>
      <c r="N551" s="69">
        <v>12.0</v>
      </c>
      <c r="O551" s="69">
        <v>138.0</v>
      </c>
      <c r="P551" s="72"/>
      <c r="Q551" s="140">
        <v>13823.0</v>
      </c>
      <c r="R551" s="72" t="s">
        <v>234</v>
      </c>
      <c r="S551" s="115">
        <v>2021.0</v>
      </c>
      <c r="T551" s="136">
        <v>0.239</v>
      </c>
      <c r="U551" s="118">
        <f t="shared" si="91"/>
        <v>3303.697</v>
      </c>
      <c r="V551" s="24">
        <f t="shared" si="3"/>
        <v>155.1031455</v>
      </c>
      <c r="W551" s="3">
        <f t="shared" si="29"/>
        <v>0</v>
      </c>
      <c r="X551" s="3">
        <f t="shared" si="30"/>
        <v>0</v>
      </c>
      <c r="Y551" s="3">
        <f t="shared" si="31"/>
        <v>0</v>
      </c>
      <c r="Z551" s="25">
        <f t="shared" si="32"/>
        <v>0</v>
      </c>
      <c r="AA551" s="26">
        <f>VLOOKUP(S551,CPI!$A$2:$E$67,5,0)</f>
        <v>1.124486105</v>
      </c>
      <c r="AB551" s="27">
        <f t="shared" si="8"/>
        <v>3714.961373</v>
      </c>
      <c r="AC551" s="27">
        <f t="shared" si="9"/>
        <v>174.4113321</v>
      </c>
    </row>
    <row r="552">
      <c r="A552" s="170">
        <v>7955.0</v>
      </c>
      <c r="B552" s="72" t="s">
        <v>230</v>
      </c>
      <c r="C552" s="72" t="s">
        <v>958</v>
      </c>
      <c r="D552" s="16" t="s">
        <v>287</v>
      </c>
      <c r="E552" s="115" t="s">
        <v>967</v>
      </c>
      <c r="F552" s="69">
        <v>2019.0</v>
      </c>
      <c r="G552" s="69">
        <v>2024.0</v>
      </c>
      <c r="H552" s="69">
        <v>0.0</v>
      </c>
      <c r="I552" s="69">
        <v>17.034</v>
      </c>
      <c r="J552" s="117">
        <v>1.0</v>
      </c>
      <c r="K552" s="69">
        <v>17.034</v>
      </c>
      <c r="L552" s="72"/>
      <c r="M552" s="72"/>
      <c r="N552" s="69">
        <v>12.0</v>
      </c>
      <c r="O552" s="69">
        <v>117.0</v>
      </c>
      <c r="P552" s="72"/>
      <c r="Q552" s="140">
        <v>11985.0</v>
      </c>
      <c r="R552" s="72" t="s">
        <v>234</v>
      </c>
      <c r="S552" s="115">
        <v>2021.0</v>
      </c>
      <c r="T552" s="136">
        <v>0.239</v>
      </c>
      <c r="U552" s="118">
        <f t="shared" si="91"/>
        <v>2864.415</v>
      </c>
      <c r="V552" s="24">
        <f t="shared" si="3"/>
        <v>168.1586826</v>
      </c>
      <c r="W552" s="3">
        <f t="shared" si="29"/>
        <v>0</v>
      </c>
      <c r="X552" s="3">
        <f t="shared" si="30"/>
        <v>0</v>
      </c>
      <c r="Y552" s="3">
        <f t="shared" si="31"/>
        <v>0</v>
      </c>
      <c r="Z552" s="25">
        <f t="shared" si="32"/>
        <v>0</v>
      </c>
      <c r="AA552" s="26">
        <f>VLOOKUP(S552,CPI!$A$2:$E$67,5,0)</f>
        <v>1.124486105</v>
      </c>
      <c r="AB552" s="27">
        <f t="shared" si="8"/>
        <v>3220.994868</v>
      </c>
      <c r="AC552" s="27">
        <f t="shared" si="9"/>
        <v>189.0921021</v>
      </c>
    </row>
    <row r="553">
      <c r="A553" s="38">
        <v>8025.0</v>
      </c>
      <c r="B553" s="72" t="s">
        <v>230</v>
      </c>
      <c r="C553" s="72" t="s">
        <v>958</v>
      </c>
      <c r="D553" s="16" t="s">
        <v>243</v>
      </c>
      <c r="E553" s="115" t="s">
        <v>379</v>
      </c>
      <c r="F553" s="69">
        <v>2019.0</v>
      </c>
      <c r="G553" s="69">
        <v>2024.0</v>
      </c>
      <c r="H553" s="69">
        <v>0.0</v>
      </c>
      <c r="I553" s="69">
        <v>50.63</v>
      </c>
      <c r="J553" s="117">
        <v>1.0</v>
      </c>
      <c r="K553" s="69">
        <v>50.63</v>
      </c>
      <c r="L553" s="72"/>
      <c r="M553" s="72"/>
      <c r="N553" s="69">
        <v>27.0</v>
      </c>
      <c r="O553" s="69">
        <v>138.0</v>
      </c>
      <c r="P553" s="72"/>
      <c r="Q553" s="140">
        <v>31019.49</v>
      </c>
      <c r="R553" s="72" t="s">
        <v>234</v>
      </c>
      <c r="S553" s="115">
        <v>2021.0</v>
      </c>
      <c r="T553" s="136">
        <v>0.239</v>
      </c>
      <c r="U553" s="118">
        <f t="shared" si="91"/>
        <v>7413.65811</v>
      </c>
      <c r="V553" s="24">
        <f t="shared" si="3"/>
        <v>146.4281673</v>
      </c>
      <c r="W553" s="3">
        <f t="shared" si="29"/>
        <v>0</v>
      </c>
      <c r="X553" s="3">
        <f t="shared" si="30"/>
        <v>0</v>
      </c>
      <c r="Y553" s="3">
        <f t="shared" si="31"/>
        <v>0</v>
      </c>
      <c r="Z553" s="25">
        <f t="shared" si="32"/>
        <v>0</v>
      </c>
      <c r="AA553" s="26">
        <f>VLOOKUP(S553,CPI!$A$2:$E$67,5,0)</f>
        <v>1.124486105</v>
      </c>
      <c r="AB553" s="27">
        <f t="shared" si="8"/>
        <v>8336.555535</v>
      </c>
      <c r="AC553" s="27">
        <f t="shared" si="9"/>
        <v>164.6564396</v>
      </c>
    </row>
    <row r="554">
      <c r="A554" s="163"/>
      <c r="B554" s="114" t="s">
        <v>230</v>
      </c>
      <c r="C554" s="114" t="s">
        <v>958</v>
      </c>
      <c r="D554" s="171" t="s">
        <v>963</v>
      </c>
      <c r="E554" s="114" t="s">
        <v>970</v>
      </c>
      <c r="F554" s="116">
        <v>2020.0</v>
      </c>
      <c r="G554" s="114"/>
      <c r="H554" s="82">
        <v>1.0</v>
      </c>
      <c r="I554" s="116">
        <v>31.27</v>
      </c>
      <c r="J554" s="117">
        <v>0.9</v>
      </c>
      <c r="K554" s="116">
        <v>28.18</v>
      </c>
      <c r="L554" s="114"/>
      <c r="M554" s="114"/>
      <c r="N554" s="116">
        <v>15.0</v>
      </c>
      <c r="O554" s="116">
        <v>117.0</v>
      </c>
      <c r="P554" s="114" t="s">
        <v>42</v>
      </c>
      <c r="Q554" s="140">
        <v>17867.0</v>
      </c>
      <c r="R554" s="114" t="s">
        <v>234</v>
      </c>
      <c r="S554" s="115">
        <v>2020.0</v>
      </c>
      <c r="T554" s="136">
        <v>0.239</v>
      </c>
      <c r="U554" s="118">
        <f t="shared" si="91"/>
        <v>4270.213</v>
      </c>
      <c r="V554" s="24">
        <f t="shared" si="3"/>
        <v>136.559418</v>
      </c>
      <c r="W554" s="3">
        <f t="shared" si="29"/>
        <v>0</v>
      </c>
      <c r="X554" s="3">
        <f t="shared" si="30"/>
        <v>0</v>
      </c>
      <c r="Y554" s="3">
        <f t="shared" si="31"/>
        <v>0</v>
      </c>
      <c r="Z554" s="25">
        <f t="shared" si="32"/>
        <v>0</v>
      </c>
      <c r="AA554" s="26">
        <f>VLOOKUP(S554,CPI!$A$2:$E$67,5,0)</f>
        <v>1.17731472</v>
      </c>
      <c r="AB554" s="27">
        <f t="shared" si="8"/>
        <v>5027.384622</v>
      </c>
      <c r="AC554" s="27">
        <f t="shared" si="9"/>
        <v>160.7734129</v>
      </c>
    </row>
    <row r="555">
      <c r="A555" s="38">
        <v>8027.0</v>
      </c>
      <c r="B555" s="72" t="s">
        <v>230</v>
      </c>
      <c r="C555" s="72" t="s">
        <v>958</v>
      </c>
      <c r="D555" s="115" t="s">
        <v>87</v>
      </c>
      <c r="E555" s="115" t="s">
        <v>357</v>
      </c>
      <c r="F555" s="69">
        <v>2021.0</v>
      </c>
      <c r="G555" s="72"/>
      <c r="H555" s="69">
        <v>0.0</v>
      </c>
      <c r="I555" s="69">
        <v>6.305</v>
      </c>
      <c r="J555" s="117">
        <v>1.0</v>
      </c>
      <c r="K555" s="69">
        <v>6.305</v>
      </c>
      <c r="L555" s="72"/>
      <c r="M555" s="72"/>
      <c r="N555" s="69">
        <v>4.0</v>
      </c>
      <c r="O555" s="69">
        <v>138.0</v>
      </c>
      <c r="P555" s="72" t="s">
        <v>36</v>
      </c>
      <c r="Q555" s="140">
        <v>3573.0</v>
      </c>
      <c r="R555" s="72" t="s">
        <v>234</v>
      </c>
      <c r="S555" s="115">
        <v>2021.0</v>
      </c>
      <c r="T555" s="136">
        <v>0.239</v>
      </c>
      <c r="U555" s="118">
        <f t="shared" si="91"/>
        <v>853.947</v>
      </c>
      <c r="V555" s="24">
        <f t="shared" si="3"/>
        <v>135.4396511</v>
      </c>
      <c r="W555" s="3">
        <f t="shared" si="29"/>
        <v>0</v>
      </c>
      <c r="X555" s="3">
        <f t="shared" si="30"/>
        <v>0</v>
      </c>
      <c r="Y555" s="3">
        <f t="shared" si="31"/>
        <v>0</v>
      </c>
      <c r="Z555" s="25">
        <f t="shared" si="32"/>
        <v>0</v>
      </c>
      <c r="AA555" s="26">
        <f>VLOOKUP(S555,CPI!$A$2:$E$67,5,0)</f>
        <v>1.124486105</v>
      </c>
      <c r="AB555" s="27">
        <f t="shared" si="8"/>
        <v>960.2515363</v>
      </c>
      <c r="AC555" s="27">
        <f t="shared" si="9"/>
        <v>152.3000058</v>
      </c>
    </row>
    <row r="556">
      <c r="A556" s="170">
        <v>7872.0</v>
      </c>
      <c r="B556" s="123" t="s">
        <v>230</v>
      </c>
      <c r="C556" s="123" t="s">
        <v>958</v>
      </c>
      <c r="D556" s="16" t="s">
        <v>267</v>
      </c>
      <c r="E556" s="123" t="s">
        <v>463</v>
      </c>
      <c r="F556" s="123"/>
      <c r="G556" s="123"/>
      <c r="H556" s="75">
        <v>0.0</v>
      </c>
      <c r="I556" s="75">
        <v>8.3</v>
      </c>
      <c r="J556" s="124">
        <v>1.0</v>
      </c>
      <c r="K556" s="75">
        <v>8.3</v>
      </c>
      <c r="L556" s="125">
        <v>0.0</v>
      </c>
      <c r="M556" s="125">
        <v>0.0</v>
      </c>
      <c r="N556" s="75">
        <v>6.0</v>
      </c>
      <c r="O556" s="75"/>
      <c r="P556" s="123" t="s">
        <v>60</v>
      </c>
      <c r="Q556" s="126">
        <v>6684.0</v>
      </c>
      <c r="R556" s="123" t="s">
        <v>234</v>
      </c>
      <c r="S556" s="75">
        <v>2019.0</v>
      </c>
      <c r="T556" s="136">
        <v>0.238</v>
      </c>
      <c r="U556" s="128">
        <f t="shared" si="91"/>
        <v>1590.792</v>
      </c>
      <c r="V556" s="24">
        <f t="shared" si="3"/>
        <v>191.6616867</v>
      </c>
      <c r="W556" s="3">
        <f t="shared" si="29"/>
        <v>0</v>
      </c>
      <c r="X556" s="3">
        <f t="shared" si="30"/>
        <v>0</v>
      </c>
      <c r="Y556" s="3">
        <f t="shared" si="31"/>
        <v>0</v>
      </c>
      <c r="Z556" s="25">
        <f t="shared" si="32"/>
        <v>0</v>
      </c>
      <c r="AA556" s="26">
        <f>VLOOKUP(S556,CPI!$A$2:$E$67,5,0)</f>
        <v>1.191839066</v>
      </c>
      <c r="AB556" s="27">
        <f t="shared" si="8"/>
        <v>1895.968051</v>
      </c>
      <c r="AC556" s="27">
        <f t="shared" si="9"/>
        <v>228.4298856</v>
      </c>
    </row>
    <row r="557">
      <c r="A557" s="170">
        <v>7873.0</v>
      </c>
      <c r="B557" s="123" t="s">
        <v>230</v>
      </c>
      <c r="C557" s="123" t="s">
        <v>958</v>
      </c>
      <c r="D557" s="16" t="s">
        <v>80</v>
      </c>
      <c r="E557" s="123" t="s">
        <v>255</v>
      </c>
      <c r="F557" s="123"/>
      <c r="G557" s="123"/>
      <c r="H557" s="75">
        <v>0.0</v>
      </c>
      <c r="I557" s="75">
        <v>36.5</v>
      </c>
      <c r="J557" s="124">
        <v>0.9232876712</v>
      </c>
      <c r="K557" s="75">
        <v>33.7</v>
      </c>
      <c r="L557" s="125">
        <v>2.51</v>
      </c>
      <c r="M557" s="125">
        <v>0.41</v>
      </c>
      <c r="N557" s="75">
        <v>24.0</v>
      </c>
      <c r="O557" s="75"/>
      <c r="P557" s="123" t="s">
        <v>60</v>
      </c>
      <c r="Q557" s="126">
        <v>29304.0</v>
      </c>
      <c r="R557" s="123" t="s">
        <v>234</v>
      </c>
      <c r="S557" s="75">
        <v>2019.0</v>
      </c>
      <c r="T557" s="136">
        <v>0.238</v>
      </c>
      <c r="U557" s="128">
        <f t="shared" si="91"/>
        <v>6974.352</v>
      </c>
      <c r="V557" s="24">
        <f t="shared" si="3"/>
        <v>191.078137</v>
      </c>
      <c r="W557" s="3">
        <f t="shared" si="29"/>
        <v>0</v>
      </c>
      <c r="X557" s="3">
        <f t="shared" si="30"/>
        <v>0</v>
      </c>
      <c r="Y557" s="3">
        <f t="shared" si="31"/>
        <v>0</v>
      </c>
      <c r="Z557" s="25">
        <f t="shared" si="32"/>
        <v>0</v>
      </c>
      <c r="AA557" s="26">
        <f>VLOOKUP(S557,CPI!$A$2:$E$67,5,0)</f>
        <v>1.191839066</v>
      </c>
      <c r="AB557" s="27">
        <f t="shared" si="8"/>
        <v>8312.305171</v>
      </c>
      <c r="AC557" s="27">
        <f t="shared" si="9"/>
        <v>227.7343882</v>
      </c>
    </row>
    <row r="558">
      <c r="A558" s="170">
        <v>7888.0</v>
      </c>
      <c r="B558" s="123" t="s">
        <v>230</v>
      </c>
      <c r="C558" s="123" t="s">
        <v>958</v>
      </c>
      <c r="D558" s="16" t="s">
        <v>228</v>
      </c>
      <c r="E558" s="123" t="s">
        <v>263</v>
      </c>
      <c r="F558" s="123"/>
      <c r="G558" s="123"/>
      <c r="H558" s="75">
        <v>0.0</v>
      </c>
      <c r="I558" s="75">
        <v>26.9</v>
      </c>
      <c r="J558" s="124">
        <v>1.0</v>
      </c>
      <c r="K558" s="75">
        <v>26.9</v>
      </c>
      <c r="L558" s="125">
        <v>0.0</v>
      </c>
      <c r="M558" s="125">
        <v>0.0</v>
      </c>
      <c r="N558" s="75">
        <v>20.0</v>
      </c>
      <c r="O558" s="75"/>
      <c r="P558" s="123" t="s">
        <v>60</v>
      </c>
      <c r="Q558" s="126">
        <v>21158.0</v>
      </c>
      <c r="R558" s="123" t="s">
        <v>234</v>
      </c>
      <c r="S558" s="75">
        <v>2019.0</v>
      </c>
      <c r="T558" s="136">
        <v>0.238</v>
      </c>
      <c r="U558" s="128">
        <f t="shared" si="91"/>
        <v>5035.604</v>
      </c>
      <c r="V558" s="24">
        <f t="shared" si="3"/>
        <v>187.1971747</v>
      </c>
      <c r="W558" s="3">
        <f t="shared" si="29"/>
        <v>0</v>
      </c>
      <c r="X558" s="3">
        <f t="shared" si="30"/>
        <v>0</v>
      </c>
      <c r="Y558" s="3">
        <f t="shared" si="31"/>
        <v>0</v>
      </c>
      <c r="Z558" s="25">
        <f t="shared" si="32"/>
        <v>0</v>
      </c>
      <c r="AA558" s="26">
        <f>VLOOKUP(S558,CPI!$A$2:$E$67,5,0)</f>
        <v>1.191839066</v>
      </c>
      <c r="AB558" s="27">
        <f t="shared" si="8"/>
        <v>6001.629566</v>
      </c>
      <c r="AC558" s="27">
        <f t="shared" si="9"/>
        <v>223.1089058</v>
      </c>
    </row>
    <row r="559">
      <c r="A559" s="163"/>
      <c r="B559" s="114" t="s">
        <v>230</v>
      </c>
      <c r="C559" s="114" t="s">
        <v>975</v>
      </c>
      <c r="D559" s="16" t="s">
        <v>57</v>
      </c>
      <c r="E559" s="114" t="s">
        <v>57</v>
      </c>
      <c r="F559" s="116">
        <v>2020.0</v>
      </c>
      <c r="G559" s="114"/>
      <c r="H559" s="116">
        <v>0.0</v>
      </c>
      <c r="I559" s="116">
        <v>20.82</v>
      </c>
      <c r="J559" s="117">
        <v>0.62</v>
      </c>
      <c r="K559" s="116">
        <v>12.86</v>
      </c>
      <c r="L559" s="114"/>
      <c r="M559" s="114"/>
      <c r="N559" s="116">
        <v>15.0</v>
      </c>
      <c r="O559" s="116"/>
      <c r="P559" s="114" t="s">
        <v>36</v>
      </c>
      <c r="Q559" s="140">
        <v>13451.89</v>
      </c>
      <c r="R559" s="114" t="s">
        <v>234</v>
      </c>
      <c r="S559" s="115">
        <v>2020.0</v>
      </c>
      <c r="T559" s="136">
        <v>0.239</v>
      </c>
      <c r="U559" s="118">
        <f t="shared" si="91"/>
        <v>3215.00171</v>
      </c>
      <c r="V559" s="24">
        <f t="shared" si="3"/>
        <v>154.4189102</v>
      </c>
      <c r="W559" s="3">
        <f t="shared" si="29"/>
        <v>0</v>
      </c>
      <c r="X559" s="3">
        <f t="shared" si="30"/>
        <v>0</v>
      </c>
      <c r="Y559" s="3">
        <f t="shared" si="31"/>
        <v>0</v>
      </c>
      <c r="Z559" s="25">
        <f t="shared" si="32"/>
        <v>0</v>
      </c>
      <c r="AA559" s="26">
        <f>VLOOKUP(S559,CPI!$A$2:$E$67,5,0)</f>
        <v>1.17731472</v>
      </c>
      <c r="AB559" s="27">
        <f t="shared" si="8"/>
        <v>3785.068838</v>
      </c>
      <c r="AC559" s="27">
        <f t="shared" si="9"/>
        <v>181.799656</v>
      </c>
    </row>
    <row r="560">
      <c r="A560" s="7"/>
      <c r="B560" s="237" t="s">
        <v>977</v>
      </c>
      <c r="C560" s="237" t="s">
        <v>978</v>
      </c>
      <c r="D560" s="237" t="s">
        <v>57</v>
      </c>
      <c r="E560" s="237" t="s">
        <v>57</v>
      </c>
      <c r="F560" s="237">
        <v>2020.0</v>
      </c>
      <c r="G560" s="237">
        <v>2028.0</v>
      </c>
      <c r="H560" s="237">
        <v>0.0</v>
      </c>
      <c r="I560" s="237">
        <v>24.0</v>
      </c>
      <c r="J560" s="238">
        <v>0.0</v>
      </c>
      <c r="K560" s="237">
        <v>0.0</v>
      </c>
      <c r="L560" s="237">
        <v>24.0</v>
      </c>
      <c r="M560" s="237">
        <v>0.0</v>
      </c>
      <c r="N560" s="237">
        <v>27.0</v>
      </c>
      <c r="O560" s="239">
        <v>134.0</v>
      </c>
      <c r="P560" s="237" t="s">
        <v>74</v>
      </c>
      <c r="Q560" s="237">
        <v>1.294527E7</v>
      </c>
      <c r="R560" s="237" t="s">
        <v>979</v>
      </c>
      <c r="S560" s="237">
        <v>2017.0</v>
      </c>
      <c r="T560" s="237">
        <v>6.25E-4</v>
      </c>
      <c r="U560" s="118">
        <f t="shared" si="91"/>
        <v>8090.79375</v>
      </c>
      <c r="V560" s="24">
        <f t="shared" si="3"/>
        <v>337.1164063</v>
      </c>
      <c r="W560" s="3">
        <f t="shared" si="29"/>
        <v>0</v>
      </c>
      <c r="X560" s="3">
        <f t="shared" si="30"/>
        <v>0</v>
      </c>
      <c r="Y560" s="3">
        <f t="shared" si="31"/>
        <v>0</v>
      </c>
      <c r="Z560" s="25">
        <f t="shared" si="32"/>
        <v>0</v>
      </c>
      <c r="AA560" s="26">
        <f>VLOOKUP(S560,CPI!$A$2:$E$67,5,0)</f>
        <v>1.243072781</v>
      </c>
      <c r="AB560" s="27">
        <f t="shared" si="8"/>
        <v>10057.44548</v>
      </c>
      <c r="AC560" s="27">
        <f t="shared" si="9"/>
        <v>419.0602285</v>
      </c>
    </row>
    <row r="561">
      <c r="A561" s="243">
        <v>11263.0</v>
      </c>
      <c r="B561" s="142" t="s">
        <v>981</v>
      </c>
      <c r="C561" s="142" t="s">
        <v>982</v>
      </c>
      <c r="D561" s="16" t="s">
        <v>983</v>
      </c>
      <c r="E561" s="142" t="s">
        <v>984</v>
      </c>
      <c r="F561" s="152">
        <v>2004.0</v>
      </c>
      <c r="G561" s="152">
        <v>2008.0</v>
      </c>
      <c r="H561" s="152">
        <v>0.0</v>
      </c>
      <c r="I561" s="152">
        <v>4.6</v>
      </c>
      <c r="J561" s="244">
        <v>1.0</v>
      </c>
      <c r="K561" s="152">
        <v>4.6</v>
      </c>
      <c r="L561" s="152">
        <v>0.0</v>
      </c>
      <c r="M561" s="152">
        <v>0.0</v>
      </c>
      <c r="N561" s="152">
        <v>3.0</v>
      </c>
      <c r="O561" s="152">
        <v>97.0</v>
      </c>
      <c r="P561" s="142" t="s">
        <v>74</v>
      </c>
      <c r="Q561" s="245">
        <v>15000.0</v>
      </c>
      <c r="R561" s="142" t="s">
        <v>985</v>
      </c>
      <c r="S561" s="152">
        <v>2006.0</v>
      </c>
      <c r="T561" s="152">
        <v>0.069</v>
      </c>
      <c r="U561" s="75">
        <f t="shared" si="91"/>
        <v>1035</v>
      </c>
      <c r="V561" s="24">
        <f t="shared" si="3"/>
        <v>225</v>
      </c>
      <c r="W561" s="3">
        <f t="shared" si="29"/>
        <v>0</v>
      </c>
      <c r="X561" s="3">
        <f t="shared" si="30"/>
        <v>0</v>
      </c>
      <c r="Y561" s="3">
        <f t="shared" si="31"/>
        <v>0</v>
      </c>
      <c r="Z561" s="25">
        <f t="shared" si="32"/>
        <v>0</v>
      </c>
      <c r="AA561" s="26">
        <f>VLOOKUP(S561,CPI!$A$2:$E$67,5,0)</f>
        <v>1.511418651</v>
      </c>
      <c r="AB561" s="27">
        <f t="shared" si="8"/>
        <v>1564.318304</v>
      </c>
      <c r="AC561" s="27">
        <f t="shared" si="9"/>
        <v>340.0691964</v>
      </c>
    </row>
    <row r="562">
      <c r="A562" s="38">
        <v>7201.0</v>
      </c>
      <c r="B562" s="26" t="s">
        <v>981</v>
      </c>
      <c r="C562" s="26" t="s">
        <v>982</v>
      </c>
      <c r="D562" s="16" t="s">
        <v>987</v>
      </c>
      <c r="E562" s="26" t="s">
        <v>988</v>
      </c>
      <c r="F562" s="25">
        <v>2010.0</v>
      </c>
      <c r="G562" s="25">
        <v>2015.0</v>
      </c>
      <c r="H562" s="25">
        <v>0.0</v>
      </c>
      <c r="I562" s="25">
        <v>6.1</v>
      </c>
      <c r="J562" s="59">
        <v>0.97</v>
      </c>
      <c r="K562" s="58">
        <v>5.9</v>
      </c>
      <c r="L562" s="51">
        <v>0.0</v>
      </c>
      <c r="M562" s="58">
        <v>0.2</v>
      </c>
      <c r="N562" s="25">
        <v>4.0</v>
      </c>
      <c r="O562" s="25"/>
      <c r="P562" s="26" t="s">
        <v>74</v>
      </c>
      <c r="Q562" s="52">
        <v>20200.0</v>
      </c>
      <c r="R562" s="26" t="s">
        <v>985</v>
      </c>
      <c r="S562" s="25">
        <v>2012.0</v>
      </c>
      <c r="T562" s="25">
        <v>0.0752</v>
      </c>
      <c r="U562" s="25">
        <f t="shared" si="91"/>
        <v>1519.04</v>
      </c>
      <c r="V562" s="24">
        <f t="shared" si="3"/>
        <v>249.0229508</v>
      </c>
      <c r="W562" s="3">
        <f t="shared" si="29"/>
        <v>0</v>
      </c>
      <c r="X562" s="3">
        <f t="shared" si="30"/>
        <v>0</v>
      </c>
      <c r="Y562" s="3">
        <f t="shared" si="31"/>
        <v>0</v>
      </c>
      <c r="Z562" s="25">
        <f t="shared" si="32"/>
        <v>0</v>
      </c>
      <c r="AA562" s="26">
        <f>VLOOKUP(S562,CPI!$A$2:$E$67,5,0)</f>
        <v>1.327133984</v>
      </c>
      <c r="AB562" s="27">
        <f t="shared" si="8"/>
        <v>2015.969608</v>
      </c>
      <c r="AC562" s="27">
        <f t="shared" si="9"/>
        <v>330.4868209</v>
      </c>
    </row>
    <row r="563">
      <c r="A563" s="243">
        <v>11264.0</v>
      </c>
      <c r="B563" s="142" t="s">
        <v>981</v>
      </c>
      <c r="C563" s="142" t="s">
        <v>982</v>
      </c>
      <c r="D563" s="142" t="s">
        <v>990</v>
      </c>
      <c r="E563" s="142" t="s">
        <v>990</v>
      </c>
      <c r="F563" s="152">
        <v>2021.0</v>
      </c>
      <c r="G563" s="152">
        <v>2029.0</v>
      </c>
      <c r="H563" s="152">
        <v>0.0</v>
      </c>
      <c r="I563" s="152">
        <v>10.5</v>
      </c>
      <c r="J563" s="244">
        <v>0.9</v>
      </c>
      <c r="K563" s="152">
        <v>9.5</v>
      </c>
      <c r="L563" s="152">
        <v>1.0</v>
      </c>
      <c r="M563" s="152">
        <v>0.0</v>
      </c>
      <c r="N563" s="152">
        <v>10.0</v>
      </c>
      <c r="O563" s="152">
        <v>97.0</v>
      </c>
      <c r="P563" s="142" t="s">
        <v>74</v>
      </c>
      <c r="Q563" s="245">
        <v>73000.0</v>
      </c>
      <c r="R563" s="142" t="s">
        <v>985</v>
      </c>
      <c r="S563" s="152">
        <v>2025.0</v>
      </c>
      <c r="T563" s="152">
        <v>0.0776</v>
      </c>
      <c r="U563" s="75">
        <f t="shared" si="91"/>
        <v>5664.8</v>
      </c>
      <c r="V563" s="24">
        <f t="shared" si="3"/>
        <v>539.5047619</v>
      </c>
      <c r="W563" s="3">
        <f t="shared" si="29"/>
        <v>0</v>
      </c>
      <c r="X563" s="3">
        <f t="shared" si="30"/>
        <v>0</v>
      </c>
      <c r="Y563" s="3">
        <f t="shared" si="31"/>
        <v>0</v>
      </c>
      <c r="Z563" s="25">
        <f t="shared" si="32"/>
        <v>0</v>
      </c>
      <c r="AA563" s="26">
        <f>VLOOKUP(S563,CPI!$A$2:$E$67,5,0)</f>
        <v>1</v>
      </c>
      <c r="AB563" s="27">
        <f t="shared" si="8"/>
        <v>5664.8</v>
      </c>
      <c r="AC563" s="27">
        <f t="shared" si="9"/>
        <v>539.5047619</v>
      </c>
    </row>
    <row r="564">
      <c r="A564" s="7"/>
      <c r="B564" s="115" t="s">
        <v>992</v>
      </c>
      <c r="C564" s="115" t="s">
        <v>993</v>
      </c>
      <c r="D564" s="115" t="s">
        <v>994</v>
      </c>
      <c r="E564" s="115" t="s">
        <v>995</v>
      </c>
      <c r="F564" s="82">
        <v>1968.0</v>
      </c>
      <c r="G564" s="115">
        <v>1974.0</v>
      </c>
      <c r="H564" s="82">
        <v>0.0</v>
      </c>
      <c r="I564" s="82">
        <v>1.5</v>
      </c>
      <c r="J564" s="247">
        <v>1.0</v>
      </c>
      <c r="K564" s="82">
        <v>1.5</v>
      </c>
      <c r="L564" s="114"/>
      <c r="M564" s="114"/>
      <c r="N564" s="82">
        <v>2.0</v>
      </c>
      <c r="O564" s="82">
        <v>100.0</v>
      </c>
      <c r="P564" s="115" t="s">
        <v>42</v>
      </c>
      <c r="Q564" s="248">
        <v>120.0</v>
      </c>
      <c r="R564" s="115" t="s">
        <v>996</v>
      </c>
      <c r="S564" s="115">
        <v>1971.0</v>
      </c>
      <c r="T564" s="115">
        <v>0.3836</v>
      </c>
      <c r="U564" s="118">
        <f t="shared" si="91"/>
        <v>46.032</v>
      </c>
      <c r="V564" s="24">
        <f t="shared" si="3"/>
        <v>30.688</v>
      </c>
      <c r="W564" s="3">
        <f t="shared" si="29"/>
        <v>0</v>
      </c>
      <c r="X564" s="3">
        <f t="shared" si="30"/>
        <v>0</v>
      </c>
      <c r="Y564" s="3">
        <f t="shared" si="31"/>
        <v>0</v>
      </c>
      <c r="Z564" s="25">
        <f t="shared" si="32"/>
        <v>0</v>
      </c>
      <c r="AA564" s="26">
        <f>VLOOKUP(S564,CPI!$A$2:$E$67,5,0)</f>
        <v>7.523506173</v>
      </c>
      <c r="AB564" s="27">
        <f t="shared" si="8"/>
        <v>346.3220361</v>
      </c>
      <c r="AC564" s="27">
        <f t="shared" si="9"/>
        <v>230.8813574</v>
      </c>
    </row>
    <row r="565">
      <c r="A565" s="7"/>
      <c r="B565" s="115" t="s">
        <v>992</v>
      </c>
      <c r="C565" s="115" t="s">
        <v>993</v>
      </c>
      <c r="D565" s="115" t="s">
        <v>998</v>
      </c>
      <c r="E565" s="115" t="s">
        <v>999</v>
      </c>
      <c r="F565" s="82">
        <v>1978.0</v>
      </c>
      <c r="G565" s="115">
        <v>1984.0</v>
      </c>
      <c r="H565" s="82">
        <v>0.0</v>
      </c>
      <c r="I565" s="82">
        <v>4.9</v>
      </c>
      <c r="J565" s="247">
        <v>1.0</v>
      </c>
      <c r="K565" s="82">
        <v>4.9</v>
      </c>
      <c r="L565" s="114"/>
      <c r="M565" s="114"/>
      <c r="N565" s="82">
        <v>5.0</v>
      </c>
      <c r="O565" s="82">
        <v>100.0</v>
      </c>
      <c r="P565" s="115" t="s">
        <v>42</v>
      </c>
      <c r="Q565" s="248">
        <v>680.0</v>
      </c>
      <c r="R565" s="115" t="s">
        <v>996</v>
      </c>
      <c r="S565" s="115">
        <v>1981.0</v>
      </c>
      <c r="T565" s="115">
        <v>0.5251</v>
      </c>
      <c r="U565" s="118">
        <f t="shared" si="91"/>
        <v>357.068</v>
      </c>
      <c r="V565" s="24">
        <f t="shared" si="3"/>
        <v>72.87102041</v>
      </c>
      <c r="W565" s="3">
        <f t="shared" si="29"/>
        <v>0</v>
      </c>
      <c r="X565" s="3">
        <f t="shared" si="30"/>
        <v>0</v>
      </c>
      <c r="Y565" s="3">
        <f t="shared" si="31"/>
        <v>0</v>
      </c>
      <c r="Z565" s="25">
        <f t="shared" si="32"/>
        <v>0</v>
      </c>
      <c r="AA565" s="26">
        <f>VLOOKUP(S565,CPI!$A$2:$E$67,5,0)</f>
        <v>3.352057206</v>
      </c>
      <c r="AB565" s="27">
        <f t="shared" si="8"/>
        <v>1196.912362</v>
      </c>
      <c r="AC565" s="27">
        <f t="shared" si="9"/>
        <v>244.267829</v>
      </c>
    </row>
    <row r="566">
      <c r="A566" s="38">
        <v>7600.0</v>
      </c>
      <c r="B566" s="26" t="s">
        <v>992</v>
      </c>
      <c r="C566" s="26" t="s">
        <v>993</v>
      </c>
      <c r="D566" s="1" t="s">
        <v>1001</v>
      </c>
      <c r="E566" s="26" t="s">
        <v>1002</v>
      </c>
      <c r="F566" s="25">
        <v>1985.0</v>
      </c>
      <c r="G566" s="25">
        <v>1994.0</v>
      </c>
      <c r="H566" s="25">
        <v>0.0</v>
      </c>
      <c r="I566" s="25">
        <v>3.6</v>
      </c>
      <c r="J566" s="50">
        <v>1.0</v>
      </c>
      <c r="K566" s="25">
        <v>3.6</v>
      </c>
      <c r="L566" s="51">
        <v>0.0</v>
      </c>
      <c r="M566" s="51">
        <v>0.0</v>
      </c>
      <c r="N566" s="25">
        <v>4.0</v>
      </c>
      <c r="O566" s="58">
        <v>100.0</v>
      </c>
      <c r="P566" s="26" t="s">
        <v>74</v>
      </c>
      <c r="Q566" s="52">
        <v>520.0</v>
      </c>
      <c r="R566" s="26" t="s">
        <v>52</v>
      </c>
      <c r="S566" s="25">
        <v>2020.0</v>
      </c>
      <c r="T566" s="25">
        <v>1.3</v>
      </c>
      <c r="U566" s="25">
        <f t="shared" si="91"/>
        <v>676</v>
      </c>
      <c r="V566" s="24">
        <f t="shared" si="3"/>
        <v>187.7777778</v>
      </c>
      <c r="W566" s="3">
        <f t="shared" si="29"/>
        <v>0</v>
      </c>
      <c r="X566" s="3">
        <f t="shared" si="30"/>
        <v>0</v>
      </c>
      <c r="Y566" s="3">
        <f t="shared" si="31"/>
        <v>0</v>
      </c>
      <c r="Z566" s="25">
        <f t="shared" si="32"/>
        <v>0</v>
      </c>
      <c r="AA566" s="26">
        <f>VLOOKUP(S566,CPI!$A$2:$E$67,5,0)</f>
        <v>1.17731472</v>
      </c>
      <c r="AB566" s="27">
        <f t="shared" si="8"/>
        <v>795.8647507</v>
      </c>
      <c r="AC566" s="27">
        <f t="shared" si="9"/>
        <v>221.0735419</v>
      </c>
    </row>
    <row r="567">
      <c r="A567" s="38">
        <v>7601.0</v>
      </c>
      <c r="B567" s="26" t="s">
        <v>992</v>
      </c>
      <c r="C567" s="26" t="s">
        <v>993</v>
      </c>
      <c r="D567" s="1" t="s">
        <v>1004</v>
      </c>
      <c r="E567" s="26" t="s">
        <v>1005</v>
      </c>
      <c r="F567" s="25">
        <v>1997.0</v>
      </c>
      <c r="G567" s="25">
        <v>2000.0</v>
      </c>
      <c r="H567" s="25">
        <v>0.0</v>
      </c>
      <c r="I567" s="25">
        <v>0.8</v>
      </c>
      <c r="J567" s="50">
        <v>1.0</v>
      </c>
      <c r="K567" s="25">
        <v>0.8</v>
      </c>
      <c r="L567" s="51">
        <v>0.0</v>
      </c>
      <c r="M567" s="51">
        <v>0.0</v>
      </c>
      <c r="N567" s="25">
        <v>1.0</v>
      </c>
      <c r="O567" s="58">
        <v>100.0</v>
      </c>
      <c r="P567" s="26" t="s">
        <v>42</v>
      </c>
      <c r="Q567" s="52">
        <v>54.0</v>
      </c>
      <c r="R567" s="26" t="s">
        <v>52</v>
      </c>
      <c r="S567" s="25">
        <v>1998.0</v>
      </c>
      <c r="T567" s="25">
        <v>1.3</v>
      </c>
      <c r="U567" s="25">
        <f t="shared" si="91"/>
        <v>70.2</v>
      </c>
      <c r="V567" s="24">
        <f t="shared" si="3"/>
        <v>87.75</v>
      </c>
      <c r="W567" s="3">
        <f t="shared" si="29"/>
        <v>0</v>
      </c>
      <c r="X567" s="3">
        <f t="shared" si="30"/>
        <v>0</v>
      </c>
      <c r="Y567" s="3">
        <f t="shared" si="31"/>
        <v>0</v>
      </c>
      <c r="Z567" s="25">
        <f t="shared" si="32"/>
        <v>0</v>
      </c>
      <c r="AA567" s="26">
        <f>VLOOKUP(S567,CPI!$A$2:$E$67,5,0)</f>
        <v>1.869337423</v>
      </c>
      <c r="AB567" s="27">
        <f t="shared" si="8"/>
        <v>131.2274871</v>
      </c>
      <c r="AC567" s="27">
        <f t="shared" si="9"/>
        <v>164.0343589</v>
      </c>
    </row>
    <row r="568">
      <c r="A568" s="38">
        <v>7264.0</v>
      </c>
      <c r="B568" s="26" t="s">
        <v>992</v>
      </c>
      <c r="C568" s="26" t="s">
        <v>993</v>
      </c>
      <c r="D568" s="26" t="s">
        <v>1007</v>
      </c>
      <c r="E568" s="26" t="s">
        <v>1007</v>
      </c>
      <c r="F568" s="25">
        <v>2004.0</v>
      </c>
      <c r="G568" s="25">
        <v>2009.0</v>
      </c>
      <c r="H568" s="25">
        <v>0.0</v>
      </c>
      <c r="I568" s="25">
        <v>1.8</v>
      </c>
      <c r="J568" s="50">
        <v>1.0</v>
      </c>
      <c r="K568" s="25">
        <v>1.8</v>
      </c>
      <c r="L568" s="51">
        <v>0.0</v>
      </c>
      <c r="M568" s="51">
        <v>0.0</v>
      </c>
      <c r="N568" s="25">
        <v>3.0</v>
      </c>
      <c r="O568" s="58">
        <v>100.0</v>
      </c>
      <c r="P568" s="26" t="s">
        <v>60</v>
      </c>
      <c r="Q568" s="52">
        <v>320.0</v>
      </c>
      <c r="R568" s="26" t="s">
        <v>52</v>
      </c>
      <c r="S568" s="25">
        <v>2006.0</v>
      </c>
      <c r="T568" s="25">
        <v>1.3</v>
      </c>
      <c r="U568" s="25">
        <f t="shared" si="91"/>
        <v>416</v>
      </c>
      <c r="V568" s="24">
        <f t="shared" si="3"/>
        <v>231.1111111</v>
      </c>
      <c r="W568" s="3">
        <f t="shared" si="29"/>
        <v>0</v>
      </c>
      <c r="X568" s="3">
        <f t="shared" si="30"/>
        <v>0</v>
      </c>
      <c r="Y568" s="3">
        <f t="shared" si="31"/>
        <v>0</v>
      </c>
      <c r="Z568" s="25">
        <f t="shared" si="32"/>
        <v>0</v>
      </c>
      <c r="AA568" s="26">
        <f>VLOOKUP(S568,CPI!$A$2:$E$67,5,0)</f>
        <v>1.511418651</v>
      </c>
      <c r="AB568" s="27">
        <f t="shared" si="8"/>
        <v>628.7501587</v>
      </c>
      <c r="AC568" s="27">
        <f t="shared" si="9"/>
        <v>349.3056437</v>
      </c>
    </row>
    <row r="569">
      <c r="A569" s="38">
        <v>7265.0</v>
      </c>
      <c r="B569" s="26" t="s">
        <v>992</v>
      </c>
      <c r="C569" s="26" t="s">
        <v>993</v>
      </c>
      <c r="D569" s="26" t="s">
        <v>1009</v>
      </c>
      <c r="E569" s="26" t="s">
        <v>1009</v>
      </c>
      <c r="F569" s="25">
        <v>2010.0</v>
      </c>
      <c r="G569" s="25">
        <v>2020.0</v>
      </c>
      <c r="H569" s="25">
        <v>0.0</v>
      </c>
      <c r="I569" s="25">
        <v>2.2</v>
      </c>
      <c r="J569" s="50">
        <v>1.0</v>
      </c>
      <c r="K569" s="25">
        <v>2.2</v>
      </c>
      <c r="L569" s="51">
        <v>0.0</v>
      </c>
      <c r="M569" s="51">
        <v>0.0</v>
      </c>
      <c r="N569" s="25">
        <v>3.0</v>
      </c>
      <c r="O569" s="58">
        <v>100.0</v>
      </c>
      <c r="P569" s="26" t="s">
        <v>60</v>
      </c>
      <c r="Q569" s="52">
        <v>525.0</v>
      </c>
      <c r="R569" s="26" t="s">
        <v>52</v>
      </c>
      <c r="S569" s="25">
        <v>2015.0</v>
      </c>
      <c r="T569" s="25">
        <v>1.3</v>
      </c>
      <c r="U569" s="25">
        <f t="shared" si="91"/>
        <v>682.5</v>
      </c>
      <c r="V569" s="24">
        <f t="shared" si="3"/>
        <v>310.2272727</v>
      </c>
      <c r="W569" s="3">
        <f t="shared" si="29"/>
        <v>0</v>
      </c>
      <c r="X569" s="3">
        <f t="shared" si="30"/>
        <v>0</v>
      </c>
      <c r="Y569" s="3">
        <f t="shared" si="31"/>
        <v>0</v>
      </c>
      <c r="Z569" s="25">
        <f t="shared" si="32"/>
        <v>0</v>
      </c>
      <c r="AA569" s="26">
        <f>VLOOKUP(S569,CPI!$A$2:$E$67,5,0)</f>
        <v>1.285570233</v>
      </c>
      <c r="AB569" s="27">
        <f t="shared" si="8"/>
        <v>877.4016843</v>
      </c>
      <c r="AC569" s="27">
        <f t="shared" si="9"/>
        <v>398.8189474</v>
      </c>
    </row>
    <row r="570">
      <c r="A570" s="38">
        <v>7595.0</v>
      </c>
      <c r="B570" s="26" t="s">
        <v>992</v>
      </c>
      <c r="C570" s="26" t="s">
        <v>1011</v>
      </c>
      <c r="D570" s="26" t="s">
        <v>1012</v>
      </c>
      <c r="E570" s="26" t="s">
        <v>1012</v>
      </c>
      <c r="F570" s="25">
        <v>2003.0</v>
      </c>
      <c r="G570" s="25">
        <v>2015.0</v>
      </c>
      <c r="H570" s="25">
        <v>0.0</v>
      </c>
      <c r="I570" s="25">
        <v>4.0</v>
      </c>
      <c r="J570" s="50">
        <v>1.0</v>
      </c>
      <c r="K570" s="25">
        <v>4.0</v>
      </c>
      <c r="L570" s="51">
        <v>0.0</v>
      </c>
      <c r="M570" s="51">
        <v>0.0</v>
      </c>
      <c r="N570" s="25">
        <v>6.0</v>
      </c>
      <c r="O570" s="25"/>
      <c r="P570" s="26" t="s">
        <v>74</v>
      </c>
      <c r="Q570" s="52">
        <v>1040.0</v>
      </c>
      <c r="R570" s="26" t="s">
        <v>52</v>
      </c>
      <c r="S570" s="25">
        <v>2009.0</v>
      </c>
      <c r="T570" s="25">
        <v>1.3</v>
      </c>
      <c r="U570" s="25">
        <f t="shared" si="91"/>
        <v>1352</v>
      </c>
      <c r="V570" s="24">
        <f t="shared" si="3"/>
        <v>338</v>
      </c>
      <c r="W570" s="3">
        <f t="shared" si="29"/>
        <v>0</v>
      </c>
      <c r="X570" s="3">
        <f t="shared" si="30"/>
        <v>0</v>
      </c>
      <c r="Y570" s="3">
        <f t="shared" si="31"/>
        <v>0</v>
      </c>
      <c r="Z570" s="25">
        <f t="shared" si="32"/>
        <v>0</v>
      </c>
      <c r="AA570" s="26">
        <f>VLOOKUP(S570,CPI!$A$2:$E$67,5,0)</f>
        <v>1.420277155</v>
      </c>
      <c r="AB570" s="27">
        <f t="shared" si="8"/>
        <v>1920.214714</v>
      </c>
      <c r="AC570" s="27">
        <f t="shared" si="9"/>
        <v>480.0536784</v>
      </c>
    </row>
    <row r="571">
      <c r="A571" s="38">
        <v>7403.0</v>
      </c>
      <c r="B571" s="26" t="s">
        <v>992</v>
      </c>
      <c r="C571" s="26" t="s">
        <v>1014</v>
      </c>
      <c r="D571" s="26" t="s">
        <v>1015</v>
      </c>
      <c r="E571" s="26" t="s">
        <v>1015</v>
      </c>
      <c r="F571" s="25">
        <v>2007.0</v>
      </c>
      <c r="G571" s="25">
        <v>2016.0</v>
      </c>
      <c r="H571" s="25">
        <v>0.0</v>
      </c>
      <c r="I571" s="25">
        <v>3.4</v>
      </c>
      <c r="J571" s="50">
        <v>1.0</v>
      </c>
      <c r="K571" s="25">
        <v>3.4</v>
      </c>
      <c r="L571" s="51">
        <v>0.0</v>
      </c>
      <c r="M571" s="51">
        <v>0.0</v>
      </c>
      <c r="N571" s="25">
        <v>6.0</v>
      </c>
      <c r="O571" s="25"/>
      <c r="P571" s="26" t="s">
        <v>74</v>
      </c>
      <c r="Q571" s="52">
        <v>929.0</v>
      </c>
      <c r="R571" s="26" t="s">
        <v>52</v>
      </c>
      <c r="S571" s="25">
        <v>2012.0</v>
      </c>
      <c r="T571" s="25">
        <v>1.3</v>
      </c>
      <c r="U571" s="25">
        <f t="shared" si="91"/>
        <v>1207.7</v>
      </c>
      <c r="V571" s="24">
        <f t="shared" si="3"/>
        <v>355.2058824</v>
      </c>
      <c r="W571" s="3">
        <f t="shared" si="29"/>
        <v>0</v>
      </c>
      <c r="X571" s="3">
        <f t="shared" si="30"/>
        <v>0</v>
      </c>
      <c r="Y571" s="3">
        <f t="shared" si="31"/>
        <v>0</v>
      </c>
      <c r="Z571" s="25">
        <f t="shared" si="32"/>
        <v>0</v>
      </c>
      <c r="AA571" s="26">
        <f>VLOOKUP(S571,CPI!$A$2:$E$67,5,0)</f>
        <v>1.327133984</v>
      </c>
      <c r="AB571" s="27">
        <f t="shared" si="8"/>
        <v>1602.779713</v>
      </c>
      <c r="AC571" s="27">
        <f t="shared" si="9"/>
        <v>471.4057979</v>
      </c>
    </row>
    <row r="572">
      <c r="A572" s="7"/>
      <c r="B572" s="115" t="s">
        <v>992</v>
      </c>
      <c r="C572" s="115" t="s">
        <v>1017</v>
      </c>
      <c r="D572" s="115" t="s">
        <v>1018</v>
      </c>
      <c r="E572" s="115" t="s">
        <v>1019</v>
      </c>
      <c r="F572" s="82">
        <v>1963.0</v>
      </c>
      <c r="G572" s="115">
        <v>1968.0</v>
      </c>
      <c r="H572" s="82">
        <v>0.0</v>
      </c>
      <c r="I572" s="82">
        <v>9.0</v>
      </c>
      <c r="J572" s="247">
        <v>0.5</v>
      </c>
      <c r="K572" s="82">
        <v>4.5</v>
      </c>
      <c r="L572" s="115">
        <v>0.0</v>
      </c>
      <c r="M572" s="115">
        <v>4.5</v>
      </c>
      <c r="N572" s="82">
        <v>14.0</v>
      </c>
      <c r="O572" s="82"/>
      <c r="P572" s="115" t="s">
        <v>59</v>
      </c>
      <c r="Q572" s="248">
        <v>830.73</v>
      </c>
      <c r="R572" s="115" t="s">
        <v>52</v>
      </c>
      <c r="S572" s="115">
        <v>2023.0</v>
      </c>
      <c r="T572" s="115">
        <v>1.45</v>
      </c>
      <c r="U572" s="118">
        <f t="shared" si="91"/>
        <v>1204.5585</v>
      </c>
      <c r="V572" s="24">
        <f t="shared" si="3"/>
        <v>133.8398333</v>
      </c>
      <c r="W572" s="3">
        <f t="shared" si="29"/>
        <v>0</v>
      </c>
      <c r="X572" s="3">
        <f t="shared" si="30"/>
        <v>0</v>
      </c>
      <c r="Y572" s="3">
        <f t="shared" si="31"/>
        <v>0</v>
      </c>
      <c r="Z572" s="25">
        <f t="shared" si="32"/>
        <v>0</v>
      </c>
      <c r="AA572" s="26">
        <f>VLOOKUP(S572,CPI!$A$2:$E$67,5,0)</f>
        <v>1</v>
      </c>
      <c r="AB572" s="27">
        <f t="shared" si="8"/>
        <v>1204.5585</v>
      </c>
      <c r="AC572" s="27">
        <f t="shared" si="9"/>
        <v>133.8398333</v>
      </c>
    </row>
    <row r="573">
      <c r="A573" s="38">
        <v>7602.0</v>
      </c>
      <c r="B573" s="26" t="s">
        <v>992</v>
      </c>
      <c r="C573" s="26" t="s">
        <v>1017</v>
      </c>
      <c r="D573" s="26" t="s">
        <v>1021</v>
      </c>
      <c r="E573" s="26" t="s">
        <v>1021</v>
      </c>
      <c r="F573" s="25">
        <v>2019.0</v>
      </c>
      <c r="G573" s="25">
        <v>2025.0</v>
      </c>
      <c r="H573" s="25">
        <v>0.0</v>
      </c>
      <c r="I573" s="25">
        <v>2.7</v>
      </c>
      <c r="J573" s="50">
        <v>0.52</v>
      </c>
      <c r="K573" s="25">
        <v>1.4</v>
      </c>
      <c r="L573" s="51">
        <v>0.0</v>
      </c>
      <c r="M573" s="51">
        <v>0.0</v>
      </c>
      <c r="N573" s="25">
        <v>4.0</v>
      </c>
      <c r="O573" s="25"/>
      <c r="P573" s="26" t="s">
        <v>59</v>
      </c>
      <c r="Q573" s="52">
        <v>373.5</v>
      </c>
      <c r="R573" s="26" t="s">
        <v>52</v>
      </c>
      <c r="S573" s="25">
        <v>2022.0</v>
      </c>
      <c r="T573" s="25">
        <v>1.3</v>
      </c>
      <c r="U573" s="25">
        <f t="shared" si="91"/>
        <v>485.55</v>
      </c>
      <c r="V573" s="24">
        <f t="shared" si="3"/>
        <v>179.8333333</v>
      </c>
      <c r="W573" s="3">
        <f t="shared" si="29"/>
        <v>0</v>
      </c>
      <c r="X573" s="3">
        <f t="shared" si="30"/>
        <v>0</v>
      </c>
      <c r="Y573" s="3">
        <f t="shared" si="31"/>
        <v>0</v>
      </c>
      <c r="Z573" s="25">
        <f t="shared" si="32"/>
        <v>0</v>
      </c>
      <c r="AA573" s="26">
        <f>VLOOKUP(S573,CPI!$A$2:$E$67,5,0)</f>
        <v>1.041164511</v>
      </c>
      <c r="AB573" s="27">
        <f t="shared" si="8"/>
        <v>505.5374284</v>
      </c>
      <c r="AC573" s="27">
        <f t="shared" si="9"/>
        <v>187.2360846</v>
      </c>
    </row>
    <row r="574">
      <c r="A574" s="38"/>
      <c r="B574" s="26" t="s">
        <v>992</v>
      </c>
      <c r="C574" s="26" t="s">
        <v>1017</v>
      </c>
      <c r="D574" s="1" t="s">
        <v>1004</v>
      </c>
      <c r="E574" s="63" t="s">
        <v>1023</v>
      </c>
      <c r="F574" s="58">
        <v>2026.0</v>
      </c>
      <c r="G574" s="58">
        <v>2029.0</v>
      </c>
      <c r="H574" s="58">
        <v>0.0</v>
      </c>
      <c r="I574" s="58">
        <v>1.6</v>
      </c>
      <c r="J574" s="59">
        <v>0.22</v>
      </c>
      <c r="K574" s="58">
        <v>0.4</v>
      </c>
      <c r="L574" s="58">
        <v>0.0</v>
      </c>
      <c r="M574" s="58">
        <v>1.2</v>
      </c>
      <c r="N574" s="58">
        <v>1.0</v>
      </c>
      <c r="O574" s="25"/>
      <c r="P574" s="63" t="s">
        <v>42</v>
      </c>
      <c r="Q574" s="55">
        <v>200.0</v>
      </c>
      <c r="R574" s="63" t="s">
        <v>52</v>
      </c>
      <c r="S574" s="58">
        <v>2027.0</v>
      </c>
      <c r="T574" s="58">
        <v>1.45</v>
      </c>
      <c r="U574" s="25">
        <f t="shared" si="91"/>
        <v>290</v>
      </c>
      <c r="V574" s="24">
        <f t="shared" si="3"/>
        <v>181.25</v>
      </c>
      <c r="W574" s="3">
        <f t="shared" si="29"/>
        <v>0</v>
      </c>
      <c r="X574" s="3">
        <f t="shared" si="30"/>
        <v>0</v>
      </c>
      <c r="Y574" s="3">
        <f t="shared" si="31"/>
        <v>0</v>
      </c>
      <c r="Z574" s="25">
        <f t="shared" si="32"/>
        <v>0</v>
      </c>
      <c r="AA574" s="26">
        <f>VLOOKUP(S574,CPI!$A$2:$E$67,5,0)</f>
        <v>1</v>
      </c>
      <c r="AB574" s="27">
        <f t="shared" si="8"/>
        <v>290</v>
      </c>
      <c r="AC574" s="27">
        <f t="shared" si="9"/>
        <v>181.25</v>
      </c>
    </row>
    <row r="575">
      <c r="A575" s="38">
        <v>7440.0</v>
      </c>
      <c r="B575" s="26" t="s">
        <v>992</v>
      </c>
      <c r="C575" s="26" t="s">
        <v>1025</v>
      </c>
      <c r="D575" s="1" t="s">
        <v>1026</v>
      </c>
      <c r="E575" s="26" t="s">
        <v>1027</v>
      </c>
      <c r="F575" s="25">
        <v>2007.0</v>
      </c>
      <c r="G575" s="25">
        <v>2012.0</v>
      </c>
      <c r="H575" s="25">
        <v>0.0</v>
      </c>
      <c r="I575" s="25">
        <v>3.9</v>
      </c>
      <c r="J575" s="50">
        <v>1.0</v>
      </c>
      <c r="K575" s="25">
        <v>3.9</v>
      </c>
      <c r="L575" s="51">
        <v>0.0</v>
      </c>
      <c r="M575" s="51">
        <v>0.0</v>
      </c>
      <c r="N575" s="25">
        <v>2.0</v>
      </c>
      <c r="O575" s="25"/>
      <c r="P575" s="26" t="s">
        <v>42</v>
      </c>
      <c r="Q575" s="52">
        <v>326.3</v>
      </c>
      <c r="R575" s="26" t="s">
        <v>52</v>
      </c>
      <c r="S575" s="25">
        <v>2009.0</v>
      </c>
      <c r="T575" s="25">
        <v>1.3</v>
      </c>
      <c r="U575" s="25">
        <f t="shared" si="91"/>
        <v>424.19</v>
      </c>
      <c r="V575" s="24">
        <f t="shared" si="3"/>
        <v>108.7666667</v>
      </c>
      <c r="W575" s="3">
        <f t="shared" si="29"/>
        <v>0</v>
      </c>
      <c r="X575" s="3">
        <f t="shared" si="30"/>
        <v>0</v>
      </c>
      <c r="Y575" s="3">
        <f t="shared" si="31"/>
        <v>0</v>
      </c>
      <c r="Z575" s="25">
        <f t="shared" si="32"/>
        <v>0</v>
      </c>
      <c r="AA575" s="26">
        <f>VLOOKUP(S575,CPI!$A$2:$E$67,5,0)</f>
        <v>1.420277155</v>
      </c>
      <c r="AB575" s="27">
        <f t="shared" si="8"/>
        <v>602.4673664</v>
      </c>
      <c r="AC575" s="27">
        <f t="shared" si="9"/>
        <v>154.4788119</v>
      </c>
    </row>
    <row r="576">
      <c r="A576" s="38">
        <v>7441.0</v>
      </c>
      <c r="B576" s="26" t="s">
        <v>992</v>
      </c>
      <c r="C576" s="26" t="s">
        <v>1025</v>
      </c>
      <c r="D576" s="1" t="s">
        <v>1026</v>
      </c>
      <c r="E576" s="26" t="s">
        <v>1029</v>
      </c>
      <c r="F576" s="25">
        <v>2014.0</v>
      </c>
      <c r="G576" s="25">
        <v>2018.0</v>
      </c>
      <c r="H576" s="25">
        <v>0.0</v>
      </c>
      <c r="I576" s="25">
        <v>1.3</v>
      </c>
      <c r="J576" s="50">
        <v>1.0</v>
      </c>
      <c r="K576" s="25">
        <v>1.3</v>
      </c>
      <c r="L576" s="51">
        <v>0.0</v>
      </c>
      <c r="M576" s="51">
        <v>0.0</v>
      </c>
      <c r="N576" s="25">
        <v>1.0</v>
      </c>
      <c r="O576" s="25"/>
      <c r="P576" s="26" t="s">
        <v>42</v>
      </c>
      <c r="Q576" s="52">
        <v>178.0</v>
      </c>
      <c r="R576" s="26" t="s">
        <v>52</v>
      </c>
      <c r="S576" s="25">
        <v>2016.0</v>
      </c>
      <c r="T576" s="25">
        <v>1.3</v>
      </c>
      <c r="U576" s="25">
        <f t="shared" si="91"/>
        <v>231.4</v>
      </c>
      <c r="V576" s="24">
        <f t="shared" si="3"/>
        <v>178</v>
      </c>
      <c r="W576" s="3">
        <f t="shared" si="29"/>
        <v>0</v>
      </c>
      <c r="X576" s="3">
        <f t="shared" si="30"/>
        <v>0</v>
      </c>
      <c r="Y576" s="3">
        <f t="shared" si="31"/>
        <v>0</v>
      </c>
      <c r="Z576" s="25">
        <f t="shared" si="32"/>
        <v>0</v>
      </c>
      <c r="AA576" s="26">
        <f>VLOOKUP(S576,CPI!$A$2:$E$67,5,0)</f>
        <v>1.269554638</v>
      </c>
      <c r="AB576" s="27">
        <f t="shared" si="8"/>
        <v>293.7749432</v>
      </c>
      <c r="AC576" s="27">
        <f t="shared" si="9"/>
        <v>225.9807256</v>
      </c>
    </row>
    <row r="577">
      <c r="A577" s="38">
        <v>7442.0</v>
      </c>
      <c r="B577" s="26" t="s">
        <v>992</v>
      </c>
      <c r="C577" s="26" t="s">
        <v>1025</v>
      </c>
      <c r="D577" s="1" t="s">
        <v>1026</v>
      </c>
      <c r="E577" s="63" t="s">
        <v>1030</v>
      </c>
      <c r="F577" s="58">
        <v>2021.0</v>
      </c>
      <c r="G577" s="58">
        <v>2027.0</v>
      </c>
      <c r="H577" s="25">
        <v>0.0</v>
      </c>
      <c r="I577" s="58">
        <v>2.6</v>
      </c>
      <c r="J577" s="50">
        <v>1.0</v>
      </c>
      <c r="K577" s="58">
        <v>2.6</v>
      </c>
      <c r="L577" s="51">
        <v>0.0</v>
      </c>
      <c r="M577" s="51">
        <v>0.0</v>
      </c>
      <c r="N577" s="58">
        <v>2.0</v>
      </c>
      <c r="O577" s="25"/>
      <c r="P577" s="63" t="s">
        <v>74</v>
      </c>
      <c r="Q577" s="55">
        <v>561.0</v>
      </c>
      <c r="R577" s="26" t="s">
        <v>52</v>
      </c>
      <c r="S577" s="58">
        <v>2024.0</v>
      </c>
      <c r="T577" s="58">
        <v>1.4</v>
      </c>
      <c r="U577" s="25">
        <f t="shared" si="91"/>
        <v>785.4</v>
      </c>
      <c r="V577" s="24">
        <f t="shared" si="3"/>
        <v>302.0769231</v>
      </c>
      <c r="W577" s="3">
        <f t="shared" si="29"/>
        <v>0</v>
      </c>
      <c r="X577" s="3">
        <f t="shared" si="30"/>
        <v>0</v>
      </c>
      <c r="Y577" s="3">
        <f t="shared" si="31"/>
        <v>0</v>
      </c>
      <c r="Z577" s="25">
        <f t="shared" si="32"/>
        <v>0</v>
      </c>
      <c r="AA577" s="26">
        <f>VLOOKUP(S577,CPI!$A$2:$E$67,5,0)</f>
        <v>1</v>
      </c>
      <c r="AB577" s="27">
        <f t="shared" si="8"/>
        <v>785.4</v>
      </c>
      <c r="AC577" s="27">
        <f t="shared" si="9"/>
        <v>302.0769231</v>
      </c>
    </row>
    <row r="578">
      <c r="A578" s="61">
        <v>9769.0</v>
      </c>
      <c r="B578" s="26" t="s">
        <v>992</v>
      </c>
      <c r="C578" s="26" t="s">
        <v>1025</v>
      </c>
      <c r="D578" s="1" t="s">
        <v>1032</v>
      </c>
      <c r="E578" s="26" t="s">
        <v>1033</v>
      </c>
      <c r="F578" s="25">
        <v>2021.0</v>
      </c>
      <c r="G578" s="25">
        <v>2030.0</v>
      </c>
      <c r="H578" s="25">
        <v>0.0</v>
      </c>
      <c r="I578" s="25">
        <v>5.8</v>
      </c>
      <c r="J578" s="50">
        <v>0.93</v>
      </c>
      <c r="K578" s="25">
        <v>5.4</v>
      </c>
      <c r="L578" s="51">
        <v>0.0</v>
      </c>
      <c r="M578" s="51">
        <v>0.0</v>
      </c>
      <c r="N578" s="25">
        <v>5.0</v>
      </c>
      <c r="O578" s="25"/>
      <c r="P578" s="26" t="s">
        <v>42</v>
      </c>
      <c r="Q578" s="55">
        <v>2860.0</v>
      </c>
      <c r="R578" s="26" t="s">
        <v>52</v>
      </c>
      <c r="S578" s="25">
        <v>2025.0</v>
      </c>
      <c r="T578" s="25">
        <v>1.3</v>
      </c>
      <c r="U578" s="25">
        <f t="shared" si="91"/>
        <v>3718</v>
      </c>
      <c r="V578" s="24">
        <f t="shared" si="3"/>
        <v>641.0344828</v>
      </c>
      <c r="W578" s="3">
        <f t="shared" si="29"/>
        <v>0</v>
      </c>
      <c r="X578" s="3">
        <f t="shared" si="30"/>
        <v>0</v>
      </c>
      <c r="Y578" s="3">
        <f t="shared" si="31"/>
        <v>0</v>
      </c>
      <c r="Z578" s="25">
        <f t="shared" si="32"/>
        <v>0</v>
      </c>
      <c r="AA578" s="26">
        <f>VLOOKUP(S578,CPI!$A$2:$E$67,5,0)</f>
        <v>1</v>
      </c>
      <c r="AB578" s="27">
        <f t="shared" si="8"/>
        <v>3718</v>
      </c>
      <c r="AC578" s="27">
        <f t="shared" si="9"/>
        <v>641.0344828</v>
      </c>
    </row>
    <row r="579">
      <c r="A579" s="38">
        <v>7402.0</v>
      </c>
      <c r="B579" s="26" t="s">
        <v>992</v>
      </c>
      <c r="C579" s="26" t="s">
        <v>1035</v>
      </c>
      <c r="D579" s="26" t="s">
        <v>1036</v>
      </c>
      <c r="E579" s="26" t="s">
        <v>1036</v>
      </c>
      <c r="F579" s="25">
        <v>2010.0</v>
      </c>
      <c r="G579" s="25">
        <v>2021.0</v>
      </c>
      <c r="H579" s="25">
        <v>1.0</v>
      </c>
      <c r="I579" s="25">
        <v>4.8</v>
      </c>
      <c r="J579" s="50">
        <v>1.0</v>
      </c>
      <c r="K579" s="25">
        <v>4.8</v>
      </c>
      <c r="L579" s="51">
        <v>0.0</v>
      </c>
      <c r="M579" s="51">
        <v>0.0</v>
      </c>
      <c r="N579" s="25">
        <v>6.0</v>
      </c>
      <c r="O579" s="25"/>
      <c r="P579" s="26" t="s">
        <v>60</v>
      </c>
      <c r="Q579" s="52">
        <v>1457.3</v>
      </c>
      <c r="R579" s="26" t="s">
        <v>52</v>
      </c>
      <c r="S579" s="25">
        <v>2016.0</v>
      </c>
      <c r="T579" s="25">
        <v>1.3</v>
      </c>
      <c r="U579" s="25">
        <f t="shared" si="91"/>
        <v>1894.49</v>
      </c>
      <c r="V579" s="24">
        <f t="shared" si="3"/>
        <v>394.6854167</v>
      </c>
      <c r="W579" s="3">
        <f t="shared" si="29"/>
        <v>0</v>
      </c>
      <c r="X579" s="3">
        <f t="shared" si="30"/>
        <v>0</v>
      </c>
      <c r="Y579" s="3">
        <f t="shared" si="31"/>
        <v>0</v>
      </c>
      <c r="Z579" s="25">
        <f t="shared" si="32"/>
        <v>0</v>
      </c>
      <c r="AA579" s="26">
        <f>VLOOKUP(S579,CPI!$A$2:$E$67,5,0)</f>
        <v>1.269554638</v>
      </c>
      <c r="AB579" s="27">
        <f t="shared" si="8"/>
        <v>2405.158566</v>
      </c>
      <c r="AC579" s="27">
        <f t="shared" si="9"/>
        <v>501.0747013</v>
      </c>
    </row>
    <row r="580">
      <c r="A580" s="38">
        <v>7251.0</v>
      </c>
      <c r="B580" s="26" t="s">
        <v>992</v>
      </c>
      <c r="C580" s="26" t="s">
        <v>1038</v>
      </c>
      <c r="D580" s="26" t="s">
        <v>1039</v>
      </c>
      <c r="E580" s="26" t="s">
        <v>1039</v>
      </c>
      <c r="F580" s="25">
        <v>2003.0</v>
      </c>
      <c r="G580" s="25">
        <v>2013.0</v>
      </c>
      <c r="H580" s="25">
        <v>1.0</v>
      </c>
      <c r="I580" s="25">
        <v>3.6</v>
      </c>
      <c r="J580" s="50">
        <v>1.0</v>
      </c>
      <c r="K580" s="25">
        <v>3.6</v>
      </c>
      <c r="L580" s="51">
        <v>0.0</v>
      </c>
      <c r="M580" s="51">
        <v>0.0</v>
      </c>
      <c r="N580" s="25">
        <v>4.0</v>
      </c>
      <c r="O580" s="25"/>
      <c r="P580" s="26" t="s">
        <v>74</v>
      </c>
      <c r="Q580" s="52">
        <v>960.0</v>
      </c>
      <c r="R580" s="26" t="s">
        <v>52</v>
      </c>
      <c r="S580" s="25">
        <v>2008.0</v>
      </c>
      <c r="T580" s="25">
        <v>1.3</v>
      </c>
      <c r="U580" s="25">
        <f t="shared" si="91"/>
        <v>1248</v>
      </c>
      <c r="V580" s="24">
        <f t="shared" si="3"/>
        <v>346.6666667</v>
      </c>
      <c r="W580" s="3">
        <f t="shared" si="29"/>
        <v>0</v>
      </c>
      <c r="X580" s="3">
        <f t="shared" si="30"/>
        <v>0</v>
      </c>
      <c r="Y580" s="3">
        <f t="shared" si="31"/>
        <v>0</v>
      </c>
      <c r="Z580" s="25">
        <f t="shared" si="32"/>
        <v>0</v>
      </c>
      <c r="AA580" s="26">
        <f>VLOOKUP(S580,CPI!$A$2:$E$67,5,0)</f>
        <v>1.415224126</v>
      </c>
      <c r="AB580" s="27">
        <f t="shared" si="8"/>
        <v>1766.199709</v>
      </c>
      <c r="AC580" s="27">
        <f t="shared" si="9"/>
        <v>490.6110303</v>
      </c>
    </row>
    <row r="581">
      <c r="A581" s="7"/>
      <c r="B581" s="115" t="s">
        <v>992</v>
      </c>
      <c r="C581" s="115" t="s">
        <v>1041</v>
      </c>
      <c r="D581" s="115" t="s">
        <v>1042</v>
      </c>
      <c r="E581" s="115" t="s">
        <v>1042</v>
      </c>
      <c r="F581" s="82">
        <v>1965.0</v>
      </c>
      <c r="G581" s="115">
        <v>1971.0</v>
      </c>
      <c r="H581" s="82">
        <v>1.0</v>
      </c>
      <c r="I581" s="82">
        <v>11.4</v>
      </c>
      <c r="J581" s="247">
        <v>0.36</v>
      </c>
      <c r="K581" s="82">
        <v>4.1</v>
      </c>
      <c r="L581" s="114"/>
      <c r="M581" s="114"/>
      <c r="N581" s="82">
        <v>5.0</v>
      </c>
      <c r="O581" s="82">
        <v>200.0</v>
      </c>
      <c r="P581" s="115" t="s">
        <v>59</v>
      </c>
      <c r="Q581" s="248">
        <v>900.0</v>
      </c>
      <c r="R581" s="115" t="s">
        <v>996</v>
      </c>
      <c r="S581" s="115">
        <v>1968.0</v>
      </c>
      <c r="T581" s="115">
        <v>0.3532</v>
      </c>
      <c r="U581" s="118">
        <f t="shared" si="91"/>
        <v>317.88</v>
      </c>
      <c r="V581" s="24">
        <f t="shared" si="3"/>
        <v>27.88421053</v>
      </c>
      <c r="W581" s="3">
        <f t="shared" si="29"/>
        <v>0</v>
      </c>
      <c r="X581" s="3">
        <f t="shared" si="30"/>
        <v>0</v>
      </c>
      <c r="Y581" s="3">
        <f t="shared" si="31"/>
        <v>0</v>
      </c>
      <c r="Z581" s="25">
        <f t="shared" si="32"/>
        <v>0</v>
      </c>
      <c r="AA581" s="26">
        <f>VLOOKUP(S581,CPI!$A$2:$E$67,5,0)</f>
        <v>8.755804598</v>
      </c>
      <c r="AB581" s="27">
        <f t="shared" si="8"/>
        <v>2783.295166</v>
      </c>
      <c r="AC581" s="27">
        <f t="shared" si="9"/>
        <v>244.1486987</v>
      </c>
    </row>
    <row r="582">
      <c r="A582" s="243">
        <v>11265.0</v>
      </c>
      <c r="B582" s="142" t="s">
        <v>992</v>
      </c>
      <c r="C582" s="142" t="s">
        <v>1041</v>
      </c>
      <c r="D582" s="16" t="s">
        <v>1044</v>
      </c>
      <c r="E582" s="142" t="s">
        <v>1045</v>
      </c>
      <c r="F582" s="152">
        <v>2004.0</v>
      </c>
      <c r="G582" s="152">
        <v>2010.0</v>
      </c>
      <c r="H582" s="152">
        <v>0.0</v>
      </c>
      <c r="I582" s="152">
        <v>1.7</v>
      </c>
      <c r="J582" s="244">
        <v>1.0</v>
      </c>
      <c r="K582" s="152">
        <v>1.7</v>
      </c>
      <c r="L582" s="152">
        <v>0.0</v>
      </c>
      <c r="M582" s="152">
        <v>0.0</v>
      </c>
      <c r="N582" s="152">
        <v>2.0</v>
      </c>
      <c r="O582" s="152">
        <v>120.0</v>
      </c>
      <c r="P582" s="142" t="s">
        <v>36</v>
      </c>
      <c r="Q582" s="245">
        <v>180.0</v>
      </c>
      <c r="R582" s="142" t="s">
        <v>52</v>
      </c>
      <c r="S582" s="152">
        <v>2007.0</v>
      </c>
      <c r="T582" s="152">
        <v>1.25</v>
      </c>
      <c r="U582" s="75">
        <f t="shared" si="91"/>
        <v>225</v>
      </c>
      <c r="V582" s="24">
        <f t="shared" si="3"/>
        <v>132.3529412</v>
      </c>
      <c r="W582" s="3">
        <f t="shared" si="29"/>
        <v>0</v>
      </c>
      <c r="X582" s="3">
        <f t="shared" si="30"/>
        <v>0</v>
      </c>
      <c r="Y582" s="3">
        <f t="shared" si="31"/>
        <v>0</v>
      </c>
      <c r="Z582" s="25">
        <f t="shared" si="32"/>
        <v>0</v>
      </c>
      <c r="AA582" s="26">
        <f>VLOOKUP(S582,CPI!$A$2:$E$67,5,0)</f>
        <v>1.469562366</v>
      </c>
      <c r="AB582" s="27">
        <f t="shared" si="8"/>
        <v>330.6515323</v>
      </c>
      <c r="AC582" s="27">
        <f t="shared" si="9"/>
        <v>194.5009013</v>
      </c>
    </row>
    <row r="583">
      <c r="A583" s="243">
        <v>11249.0</v>
      </c>
      <c r="B583" s="142" t="s">
        <v>992</v>
      </c>
      <c r="C583" s="142" t="s">
        <v>1041</v>
      </c>
      <c r="D583" s="123" t="s">
        <v>1047</v>
      </c>
      <c r="E583" s="123" t="s">
        <v>1047</v>
      </c>
      <c r="F583" s="152">
        <v>2016.0</v>
      </c>
      <c r="G583" s="152">
        <v>2028.0</v>
      </c>
      <c r="H583" s="152">
        <v>1.0</v>
      </c>
      <c r="I583" s="75">
        <v>7.2</v>
      </c>
      <c r="J583" s="124">
        <f>K583/I583</f>
        <v>1</v>
      </c>
      <c r="K583" s="152">
        <v>7.2</v>
      </c>
      <c r="L583" s="152">
        <v>0.0</v>
      </c>
      <c r="M583" s="152">
        <v>0.0</v>
      </c>
      <c r="N583" s="152">
        <v>3.0</v>
      </c>
      <c r="O583" s="152">
        <v>210.0</v>
      </c>
      <c r="P583" s="142" t="s">
        <v>60</v>
      </c>
      <c r="Q583" s="157">
        <v>3849.0</v>
      </c>
      <c r="R583" s="123" t="s">
        <v>52</v>
      </c>
      <c r="S583" s="152">
        <v>2020.0</v>
      </c>
      <c r="T583" s="152">
        <v>1.35</v>
      </c>
      <c r="U583" s="75">
        <f t="shared" si="91"/>
        <v>5196.15</v>
      </c>
      <c r="V583" s="24">
        <f t="shared" si="3"/>
        <v>721.6875</v>
      </c>
      <c r="W583" s="3">
        <f t="shared" si="29"/>
        <v>0</v>
      </c>
      <c r="X583" s="3">
        <f t="shared" si="30"/>
        <v>0</v>
      </c>
      <c r="Y583" s="3">
        <f t="shared" si="31"/>
        <v>0</v>
      </c>
      <c r="Z583" s="25">
        <f t="shared" si="32"/>
        <v>0</v>
      </c>
      <c r="AA583" s="26">
        <f>VLOOKUP(S583,CPI!$A$2:$E$67,5,0)</f>
        <v>1.17731472</v>
      </c>
      <c r="AB583" s="27">
        <f t="shared" si="8"/>
        <v>6117.503882</v>
      </c>
      <c r="AC583" s="27">
        <f t="shared" si="9"/>
        <v>849.653317</v>
      </c>
    </row>
    <row r="584">
      <c r="A584" s="243">
        <v>11270.0</v>
      </c>
      <c r="B584" s="142" t="s">
        <v>992</v>
      </c>
      <c r="C584" s="142" t="s">
        <v>1041</v>
      </c>
      <c r="D584" s="16" t="s">
        <v>1032</v>
      </c>
      <c r="E584" s="142" t="s">
        <v>1049</v>
      </c>
      <c r="F584" s="152">
        <v>2022.0</v>
      </c>
      <c r="G584" s="152">
        <v>2029.0</v>
      </c>
      <c r="H584" s="152">
        <v>0.0</v>
      </c>
      <c r="I584" s="152">
        <v>3.8</v>
      </c>
      <c r="J584" s="244">
        <v>1.0</v>
      </c>
      <c r="K584" s="152">
        <v>3.8</v>
      </c>
      <c r="L584" s="152">
        <v>0.0</v>
      </c>
      <c r="M584" s="152">
        <v>0.0</v>
      </c>
      <c r="N584" s="152">
        <v>3.0</v>
      </c>
      <c r="O584" s="152">
        <v>120.0</v>
      </c>
      <c r="P584" s="142" t="s">
        <v>60</v>
      </c>
      <c r="Q584" s="245">
        <v>988.0</v>
      </c>
      <c r="R584" s="142" t="s">
        <v>52</v>
      </c>
      <c r="S584" s="152">
        <v>2025.0</v>
      </c>
      <c r="T584" s="152">
        <v>1.35</v>
      </c>
      <c r="U584" s="75">
        <f t="shared" si="91"/>
        <v>1333.8</v>
      </c>
      <c r="V584" s="24">
        <f t="shared" si="3"/>
        <v>351</v>
      </c>
      <c r="W584" s="3">
        <f t="shared" si="29"/>
        <v>0</v>
      </c>
      <c r="X584" s="3">
        <f t="shared" si="30"/>
        <v>0</v>
      </c>
      <c r="Y584" s="3">
        <f t="shared" si="31"/>
        <v>0</v>
      </c>
      <c r="Z584" s="25">
        <f t="shared" si="32"/>
        <v>0</v>
      </c>
      <c r="AA584" s="26">
        <f>VLOOKUP(S584,CPI!$A$2:$E$67,5,0)</f>
        <v>1</v>
      </c>
      <c r="AB584" s="27">
        <f t="shared" si="8"/>
        <v>1333.8</v>
      </c>
      <c r="AC584" s="27">
        <f t="shared" si="9"/>
        <v>351</v>
      </c>
    </row>
    <row r="585">
      <c r="A585" s="38">
        <v>7594.0</v>
      </c>
      <c r="B585" s="26" t="s">
        <v>992</v>
      </c>
      <c r="C585" s="26" t="s">
        <v>1051</v>
      </c>
      <c r="D585" s="1" t="s">
        <v>1044</v>
      </c>
      <c r="E585" s="63" t="s">
        <v>1052</v>
      </c>
      <c r="F585" s="58">
        <v>2014.0</v>
      </c>
      <c r="G585" s="58">
        <v>2020.0</v>
      </c>
      <c r="H585" s="25">
        <v>0.0</v>
      </c>
      <c r="I585" s="58">
        <v>1.1</v>
      </c>
      <c r="J585" s="50">
        <v>1.0</v>
      </c>
      <c r="K585" s="58">
        <v>1.1</v>
      </c>
      <c r="L585" s="51">
        <v>0.0</v>
      </c>
      <c r="M585" s="51">
        <v>0.0</v>
      </c>
      <c r="N585" s="25">
        <v>1.0</v>
      </c>
      <c r="O585" s="58">
        <v>90.0</v>
      </c>
      <c r="P585" s="63" t="s">
        <v>60</v>
      </c>
      <c r="Q585" s="55">
        <v>69.0</v>
      </c>
      <c r="R585" s="26" t="s">
        <v>52</v>
      </c>
      <c r="S585" s="58">
        <v>2017.0</v>
      </c>
      <c r="T585" s="25">
        <v>1.3</v>
      </c>
      <c r="U585" s="25">
        <f t="shared" si="91"/>
        <v>89.7</v>
      </c>
      <c r="V585" s="24">
        <f t="shared" si="3"/>
        <v>81.54545455</v>
      </c>
      <c r="W585" s="3">
        <f t="shared" si="29"/>
        <v>0</v>
      </c>
      <c r="X585" s="3">
        <f t="shared" si="30"/>
        <v>0</v>
      </c>
      <c r="Y585" s="3">
        <f t="shared" si="31"/>
        <v>0</v>
      </c>
      <c r="Z585" s="25">
        <f t="shared" si="32"/>
        <v>0</v>
      </c>
      <c r="AA585" s="26">
        <f>VLOOKUP(S585,CPI!$A$2:$E$67,5,0)</f>
        <v>1.243072781</v>
      </c>
      <c r="AB585" s="27">
        <f t="shared" si="8"/>
        <v>111.5036284</v>
      </c>
      <c r="AC585" s="27">
        <f t="shared" si="9"/>
        <v>101.3669349</v>
      </c>
    </row>
    <row r="586">
      <c r="A586" s="7"/>
      <c r="B586" s="115" t="s">
        <v>992</v>
      </c>
      <c r="C586" s="115" t="s">
        <v>1051</v>
      </c>
      <c r="D586" s="115" t="s">
        <v>1044</v>
      </c>
      <c r="E586" s="115" t="s">
        <v>1054</v>
      </c>
      <c r="F586" s="82">
        <v>2020.0</v>
      </c>
      <c r="G586" s="115">
        <v>2026.0</v>
      </c>
      <c r="H586" s="82">
        <v>0.0</v>
      </c>
      <c r="I586" s="82">
        <v>2.1</v>
      </c>
      <c r="J586" s="247">
        <v>1.0</v>
      </c>
      <c r="K586" s="82">
        <v>2.1</v>
      </c>
      <c r="L586" s="114"/>
      <c r="M586" s="114"/>
      <c r="N586" s="82">
        <v>2.0</v>
      </c>
      <c r="O586" s="82">
        <v>90.0</v>
      </c>
      <c r="P586" s="115" t="s">
        <v>59</v>
      </c>
      <c r="Q586" s="248">
        <v>148.0</v>
      </c>
      <c r="R586" s="115" t="s">
        <v>52</v>
      </c>
      <c r="S586" s="115">
        <v>2021.0</v>
      </c>
      <c r="T586" s="115">
        <v>1.3</v>
      </c>
      <c r="U586" s="118">
        <f t="shared" si="91"/>
        <v>192.4</v>
      </c>
      <c r="V586" s="24">
        <f t="shared" si="3"/>
        <v>91.61904762</v>
      </c>
      <c r="W586" s="3">
        <f t="shared" si="29"/>
        <v>0</v>
      </c>
      <c r="X586" s="3">
        <f t="shared" si="30"/>
        <v>0</v>
      </c>
      <c r="Y586" s="3">
        <f t="shared" si="31"/>
        <v>0</v>
      </c>
      <c r="Z586" s="25">
        <f t="shared" si="32"/>
        <v>0</v>
      </c>
      <c r="AA586" s="26">
        <f>VLOOKUP(S586,CPI!$A$2:$E$67,5,0)</f>
        <v>1.124486105</v>
      </c>
      <c r="AB586" s="27">
        <f t="shared" si="8"/>
        <v>216.3511267</v>
      </c>
      <c r="AC586" s="27">
        <f t="shared" si="9"/>
        <v>103.024346</v>
      </c>
    </row>
    <row r="587">
      <c r="A587" s="38">
        <v>7267.0</v>
      </c>
      <c r="B587" s="26" t="s">
        <v>1056</v>
      </c>
      <c r="C587" s="26" t="s">
        <v>1057</v>
      </c>
      <c r="D587" s="26" t="s">
        <v>1058</v>
      </c>
      <c r="E587" s="26" t="s">
        <v>1058</v>
      </c>
      <c r="F587" s="25">
        <v>2009.0</v>
      </c>
      <c r="G587" s="25">
        <v>2019.0</v>
      </c>
      <c r="H587" s="25">
        <v>0.0</v>
      </c>
      <c r="I587" s="25">
        <v>15.5</v>
      </c>
      <c r="J587" s="50">
        <v>1.0</v>
      </c>
      <c r="K587" s="25">
        <v>15.5</v>
      </c>
      <c r="L587" s="51">
        <v>0.0</v>
      </c>
      <c r="M587" s="51">
        <v>0.0</v>
      </c>
      <c r="N587" s="25">
        <v>17.0</v>
      </c>
      <c r="O587" s="25"/>
      <c r="P587" s="26" t="s">
        <v>42</v>
      </c>
      <c r="Q587" s="52">
        <v>25300.0</v>
      </c>
      <c r="R587" s="26" t="s">
        <v>1059</v>
      </c>
      <c r="S587" s="25">
        <v>2014.0</v>
      </c>
      <c r="T587" s="25">
        <v>0.138</v>
      </c>
      <c r="U587" s="25">
        <f t="shared" si="91"/>
        <v>3491.4</v>
      </c>
      <c r="V587" s="24">
        <f t="shared" si="3"/>
        <v>225.2516129</v>
      </c>
      <c r="W587" s="3">
        <f t="shared" si="29"/>
        <v>1</v>
      </c>
      <c r="X587" s="3">
        <f t="shared" si="30"/>
        <v>15.5</v>
      </c>
      <c r="Y587" s="3">
        <f t="shared" si="31"/>
        <v>15.5</v>
      </c>
      <c r="Z587" s="25">
        <f t="shared" si="32"/>
        <v>0</v>
      </c>
      <c r="AA587" s="26">
        <f>VLOOKUP(S587,CPI!$A$2:$E$67,5,0)</f>
        <v>1.287096175</v>
      </c>
      <c r="AB587" s="27">
        <f t="shared" si="8"/>
        <v>4493.767584</v>
      </c>
      <c r="AC587" s="27">
        <f t="shared" si="9"/>
        <v>289.9204893</v>
      </c>
    </row>
    <row r="588">
      <c r="A588" s="7"/>
      <c r="B588" s="115" t="s">
        <v>1061</v>
      </c>
      <c r="C588" s="115" t="s">
        <v>1062</v>
      </c>
      <c r="D588" s="115" t="s">
        <v>57</v>
      </c>
      <c r="E588" s="115" t="s">
        <v>57</v>
      </c>
      <c r="F588" s="82">
        <v>2005.0</v>
      </c>
      <c r="G588" s="115">
        <v>2008.0</v>
      </c>
      <c r="H588" s="82">
        <v>0.0</v>
      </c>
      <c r="I588" s="82">
        <v>14.5</v>
      </c>
      <c r="J588" s="247">
        <v>0.66</v>
      </c>
      <c r="K588" s="82">
        <v>9.5</v>
      </c>
      <c r="L588" s="114"/>
      <c r="M588" s="114"/>
      <c r="N588" s="82">
        <v>16.0</v>
      </c>
      <c r="O588" s="82">
        <v>120.0</v>
      </c>
      <c r="P588" s="115" t="s">
        <v>59</v>
      </c>
      <c r="Q588" s="248">
        <v>25164.728</v>
      </c>
      <c r="R588" s="115" t="s">
        <v>1063</v>
      </c>
      <c r="S588" s="115">
        <v>2006.0</v>
      </c>
      <c r="T588" s="115">
        <v>0.0615</v>
      </c>
      <c r="U588" s="118">
        <f t="shared" si="91"/>
        <v>1547.630772</v>
      </c>
      <c r="V588" s="24">
        <f t="shared" si="3"/>
        <v>106.7331567</v>
      </c>
      <c r="W588" s="3">
        <f t="shared" si="29"/>
        <v>0</v>
      </c>
      <c r="X588" s="3">
        <f t="shared" si="30"/>
        <v>0</v>
      </c>
      <c r="Y588" s="3">
        <f t="shared" si="31"/>
        <v>0</v>
      </c>
      <c r="Z588" s="25">
        <f t="shared" si="32"/>
        <v>0</v>
      </c>
      <c r="AA588" s="26">
        <f>VLOOKUP(S588,CPI!$A$2:$E$67,5,0)</f>
        <v>1.511418651</v>
      </c>
      <c r="AB588" s="27">
        <f t="shared" si="8"/>
        <v>2339.118013</v>
      </c>
      <c r="AC588" s="27">
        <f t="shared" si="9"/>
        <v>161.3184837</v>
      </c>
    </row>
    <row r="589">
      <c r="A589" s="7"/>
      <c r="B589" s="115" t="s">
        <v>1061</v>
      </c>
      <c r="C589" s="115" t="s">
        <v>1062</v>
      </c>
      <c r="D589" s="115" t="s">
        <v>1065</v>
      </c>
      <c r="E589" s="115" t="s">
        <v>1065</v>
      </c>
      <c r="F589" s="82">
        <v>2009.0</v>
      </c>
      <c r="G589" s="115">
        <v>2018.0</v>
      </c>
      <c r="H589" s="82">
        <v>0.0</v>
      </c>
      <c r="I589" s="82">
        <v>16.5</v>
      </c>
      <c r="J589" s="247">
        <v>1.0</v>
      </c>
      <c r="K589" s="82">
        <v>16.5</v>
      </c>
      <c r="L589" s="114"/>
      <c r="M589" s="114"/>
      <c r="N589" s="82">
        <v>18.0</v>
      </c>
      <c r="O589" s="82">
        <v>120.0</v>
      </c>
      <c r="P589" s="115" t="s">
        <v>59</v>
      </c>
      <c r="Q589" s="248">
        <v>1096.235</v>
      </c>
      <c r="R589" s="115" t="s">
        <v>37</v>
      </c>
      <c r="S589" s="115">
        <v>2012.0</v>
      </c>
      <c r="T589" s="115">
        <v>2.2</v>
      </c>
      <c r="U589" s="118">
        <f t="shared" si="91"/>
        <v>2411.717</v>
      </c>
      <c r="V589" s="24">
        <f t="shared" si="3"/>
        <v>146.1646667</v>
      </c>
      <c r="W589" s="3">
        <f t="shared" si="29"/>
        <v>0</v>
      </c>
      <c r="X589" s="3">
        <f t="shared" si="30"/>
        <v>0</v>
      </c>
      <c r="Y589" s="3">
        <f t="shared" si="31"/>
        <v>0</v>
      </c>
      <c r="Z589" s="25">
        <f t="shared" si="32"/>
        <v>0</v>
      </c>
      <c r="AA589" s="26">
        <f>VLOOKUP(S589,CPI!$A$2:$E$67,5,0)</f>
        <v>1.327133984</v>
      </c>
      <c r="AB589" s="27">
        <f t="shared" si="8"/>
        <v>3200.671591</v>
      </c>
      <c r="AC589" s="27">
        <f t="shared" si="9"/>
        <v>193.9800964</v>
      </c>
    </row>
    <row r="590">
      <c r="A590" s="38">
        <v>7393.0</v>
      </c>
      <c r="B590" s="26" t="s">
        <v>1067</v>
      </c>
      <c r="C590" s="26" t="s">
        <v>1068</v>
      </c>
      <c r="D590" s="1" t="s">
        <v>1069</v>
      </c>
      <c r="E590" s="26" t="s">
        <v>1069</v>
      </c>
      <c r="F590" s="25">
        <v>2012.0</v>
      </c>
      <c r="G590" s="25">
        <v>2019.0</v>
      </c>
      <c r="H590" s="25">
        <v>0.0</v>
      </c>
      <c r="I590" s="25">
        <v>22.9</v>
      </c>
      <c r="J590" s="50">
        <v>1.0</v>
      </c>
      <c r="K590" s="25">
        <v>22.9</v>
      </c>
      <c r="L590" s="51">
        <v>0.0</v>
      </c>
      <c r="M590" s="51">
        <v>0.0</v>
      </c>
      <c r="N590" s="25">
        <v>15.0</v>
      </c>
      <c r="O590" s="25"/>
      <c r="P590" s="26" t="s">
        <v>74</v>
      </c>
      <c r="Q590" s="52">
        <v>2010.0</v>
      </c>
      <c r="R590" s="26" t="s">
        <v>37</v>
      </c>
      <c r="S590" s="25">
        <v>2016.0</v>
      </c>
      <c r="T590" s="25">
        <v>1.9</v>
      </c>
      <c r="U590" s="25">
        <f t="shared" si="91"/>
        <v>3819</v>
      </c>
      <c r="V590" s="24">
        <f t="shared" si="3"/>
        <v>166.768559</v>
      </c>
      <c r="W590" s="3">
        <f t="shared" si="29"/>
        <v>0</v>
      </c>
      <c r="X590" s="3">
        <f t="shared" si="30"/>
        <v>0</v>
      </c>
      <c r="Y590" s="3">
        <f t="shared" si="31"/>
        <v>0</v>
      </c>
      <c r="Z590" s="25">
        <f t="shared" si="32"/>
        <v>0</v>
      </c>
      <c r="AA590" s="26">
        <f>VLOOKUP(S590,CPI!$A$2:$E$67,5,0)</f>
        <v>1.269554638</v>
      </c>
      <c r="AB590" s="27">
        <f t="shared" si="8"/>
        <v>4848.429162</v>
      </c>
      <c r="AC590" s="27">
        <f t="shared" si="9"/>
        <v>211.7217975</v>
      </c>
    </row>
    <row r="591">
      <c r="A591" s="14">
        <v>8203.0</v>
      </c>
      <c r="B591" s="15" t="s">
        <v>1071</v>
      </c>
      <c r="C591" s="15" t="s">
        <v>1078</v>
      </c>
      <c r="D591" s="15" t="s">
        <v>57</v>
      </c>
      <c r="E591" s="15" t="s">
        <v>57</v>
      </c>
      <c r="F591" s="17">
        <v>1982.0</v>
      </c>
      <c r="G591" s="17">
        <v>1987.0</v>
      </c>
      <c r="H591" s="17">
        <v>1.0</v>
      </c>
      <c r="I591" s="18">
        <v>44.0</v>
      </c>
      <c r="J591" s="19">
        <f t="shared" ref="J591:J594" si="92">K591/I591</f>
        <v>0.1431818182</v>
      </c>
      <c r="K591" s="20">
        <f>4.8+1.5</f>
        <v>6.3</v>
      </c>
      <c r="L591" s="21">
        <v>0.0</v>
      </c>
      <c r="M591" s="21">
        <v>0.0</v>
      </c>
      <c r="N591" s="18">
        <v>35.0</v>
      </c>
      <c r="O591" s="17"/>
      <c r="P591" s="22" t="s">
        <v>36</v>
      </c>
      <c r="Q591" s="23">
        <v>973.0</v>
      </c>
      <c r="R591" s="15" t="s">
        <v>1079</v>
      </c>
      <c r="S591" s="18">
        <v>1987.0</v>
      </c>
      <c r="T591" s="18">
        <f>1/0.4</f>
        <v>2.5</v>
      </c>
      <c r="U591" s="18">
        <f t="shared" si="91"/>
        <v>2432.5</v>
      </c>
      <c r="V591" s="24">
        <f t="shared" si="3"/>
        <v>55.28409091</v>
      </c>
      <c r="W591" s="3">
        <f t="shared" si="29"/>
        <v>0</v>
      </c>
      <c r="X591" s="3">
        <f t="shared" si="30"/>
        <v>0</v>
      </c>
      <c r="Y591" s="3">
        <f t="shared" si="31"/>
        <v>0</v>
      </c>
      <c r="Z591" s="25">
        <f t="shared" si="32"/>
        <v>0</v>
      </c>
      <c r="AA591" s="26">
        <f>VLOOKUP(S591,CPI!$A$2:$E$67,5,0)</f>
        <v>2.682235915</v>
      </c>
      <c r="AB591" s="27">
        <f t="shared" si="8"/>
        <v>6524.538864</v>
      </c>
      <c r="AC591" s="27">
        <f t="shared" si="9"/>
        <v>148.2849742</v>
      </c>
    </row>
    <row r="592">
      <c r="A592" s="14">
        <v>8208.0</v>
      </c>
      <c r="B592" s="15" t="s">
        <v>1071</v>
      </c>
      <c r="C592" s="15" t="s">
        <v>1078</v>
      </c>
      <c r="D592" s="36" t="s">
        <v>54</v>
      </c>
      <c r="E592" s="15" t="s">
        <v>54</v>
      </c>
      <c r="F592" s="17">
        <v>1993.0</v>
      </c>
      <c r="G592" s="17">
        <v>2005.0</v>
      </c>
      <c r="H592" s="17">
        <v>0.0</v>
      </c>
      <c r="I592" s="18">
        <v>22.0</v>
      </c>
      <c r="J592" s="19">
        <f t="shared" si="92"/>
        <v>0.4318181818</v>
      </c>
      <c r="K592" s="20">
        <v>9.5</v>
      </c>
      <c r="L592" s="21">
        <v>0.0</v>
      </c>
      <c r="M592" s="21">
        <v>0.0</v>
      </c>
      <c r="N592" s="18">
        <v>20.0</v>
      </c>
      <c r="O592" s="17"/>
      <c r="P592" s="22" t="s">
        <v>36</v>
      </c>
      <c r="Q592" s="23">
        <v>9700.0</v>
      </c>
      <c r="R592" s="15" t="s">
        <v>1079</v>
      </c>
      <c r="S592" s="18">
        <v>2005.0</v>
      </c>
      <c r="T592" s="18">
        <f>1/1</f>
        <v>1</v>
      </c>
      <c r="U592" s="18">
        <f t="shared" si="91"/>
        <v>9700</v>
      </c>
      <c r="V592" s="24">
        <f t="shared" si="3"/>
        <v>440.9090909</v>
      </c>
      <c r="W592" s="3">
        <f t="shared" si="29"/>
        <v>0</v>
      </c>
      <c r="X592" s="3">
        <f t="shared" si="30"/>
        <v>0</v>
      </c>
      <c r="Y592" s="3">
        <f t="shared" si="31"/>
        <v>0</v>
      </c>
      <c r="Z592" s="25">
        <f t="shared" si="32"/>
        <v>0</v>
      </c>
      <c r="AA592" s="26">
        <f>VLOOKUP(S592,CPI!$A$2:$E$67,5,0)</f>
        <v>1.560174091</v>
      </c>
      <c r="AB592" s="27">
        <f t="shared" si="8"/>
        <v>15133.68868</v>
      </c>
      <c r="AC592" s="27">
        <f t="shared" si="9"/>
        <v>687.8949402</v>
      </c>
    </row>
    <row r="593">
      <c r="A593" s="14">
        <v>8210.0</v>
      </c>
      <c r="B593" s="15" t="s">
        <v>1071</v>
      </c>
      <c r="C593" s="15" t="s">
        <v>1078</v>
      </c>
      <c r="D593" s="36" t="s">
        <v>87</v>
      </c>
      <c r="E593" s="15" t="s">
        <v>331</v>
      </c>
      <c r="F593" s="17">
        <v>2006.0</v>
      </c>
      <c r="G593" s="17">
        <v>2012.0</v>
      </c>
      <c r="H593" s="17">
        <v>0.0</v>
      </c>
      <c r="I593" s="18">
        <v>4.3</v>
      </c>
      <c r="J593" s="19">
        <f t="shared" si="92"/>
        <v>1</v>
      </c>
      <c r="K593" s="20">
        <v>4.3</v>
      </c>
      <c r="L593" s="21">
        <v>0.0</v>
      </c>
      <c r="M593" s="21">
        <v>0.0</v>
      </c>
      <c r="N593" s="18">
        <v>5.0</v>
      </c>
      <c r="O593" s="17"/>
      <c r="P593" s="22" t="s">
        <v>36</v>
      </c>
      <c r="Q593" s="23">
        <v>4200.0</v>
      </c>
      <c r="R593" s="15" t="s">
        <v>1079</v>
      </c>
      <c r="S593" s="18">
        <v>2009.0</v>
      </c>
      <c r="T593" s="18">
        <f>1/1.4</f>
        <v>0.7142857143</v>
      </c>
      <c r="U593" s="18">
        <f t="shared" si="91"/>
        <v>3000</v>
      </c>
      <c r="V593" s="24">
        <f t="shared" si="3"/>
        <v>697.6744186</v>
      </c>
      <c r="W593" s="3">
        <f t="shared" si="29"/>
        <v>0</v>
      </c>
      <c r="X593" s="3">
        <f t="shared" si="30"/>
        <v>0</v>
      </c>
      <c r="Y593" s="3">
        <f t="shared" si="31"/>
        <v>0</v>
      </c>
      <c r="Z593" s="25">
        <f t="shared" si="32"/>
        <v>0</v>
      </c>
      <c r="AA593" s="26">
        <f>VLOOKUP(S593,CPI!$A$2:$E$67,5,0)</f>
        <v>1.420277155</v>
      </c>
      <c r="AB593" s="27">
        <f t="shared" si="8"/>
        <v>4260.831465</v>
      </c>
      <c r="AC593" s="27">
        <f t="shared" si="9"/>
        <v>990.8910384</v>
      </c>
    </row>
    <row r="594">
      <c r="A594" s="14">
        <v>8224.0</v>
      </c>
      <c r="B594" s="6" t="s">
        <v>1071</v>
      </c>
      <c r="C594" s="6" t="s">
        <v>1078</v>
      </c>
      <c r="D594" s="6" t="s">
        <v>80</v>
      </c>
      <c r="E594" s="6" t="s">
        <v>80</v>
      </c>
      <c r="F594" s="17">
        <v>2017.0</v>
      </c>
      <c r="G594" s="17" t="s">
        <v>106</v>
      </c>
      <c r="H594" s="17">
        <v>0.0</v>
      </c>
      <c r="I594" s="18">
        <v>21.0</v>
      </c>
      <c r="J594" s="19">
        <f t="shared" si="92"/>
        <v>0.6523809524</v>
      </c>
      <c r="K594" s="20">
        <v>13.7</v>
      </c>
      <c r="L594" s="21">
        <v>0.0</v>
      </c>
      <c r="M594" s="21">
        <v>0.0</v>
      </c>
      <c r="N594" s="18">
        <v>24.0</v>
      </c>
      <c r="O594" s="17"/>
      <c r="P594" s="22" t="s">
        <v>36</v>
      </c>
      <c r="Q594" s="23">
        <v>4000.0</v>
      </c>
      <c r="R594" s="6" t="s">
        <v>37</v>
      </c>
      <c r="S594" s="3">
        <v>2017.0</v>
      </c>
      <c r="T594" s="3">
        <v>3.1</v>
      </c>
      <c r="U594" s="3">
        <f t="shared" si="91"/>
        <v>12400</v>
      </c>
      <c r="V594" s="24">
        <f t="shared" si="3"/>
        <v>590.4761905</v>
      </c>
      <c r="W594" s="3">
        <f t="shared" si="29"/>
        <v>0</v>
      </c>
      <c r="X594" s="3">
        <f t="shared" si="30"/>
        <v>0</v>
      </c>
      <c r="Y594" s="3">
        <f t="shared" si="31"/>
        <v>0</v>
      </c>
      <c r="Z594" s="25">
        <f t="shared" si="32"/>
        <v>0</v>
      </c>
      <c r="AA594" s="26">
        <f>VLOOKUP(S594,CPI!$A$2:$E$67,5,0)</f>
        <v>1.243072781</v>
      </c>
      <c r="AB594" s="27">
        <f t="shared" si="8"/>
        <v>15414.10248</v>
      </c>
      <c r="AC594" s="27">
        <f t="shared" si="9"/>
        <v>734.00488</v>
      </c>
    </row>
    <row r="595">
      <c r="A595" s="14">
        <v>8218.0</v>
      </c>
      <c r="B595" s="15" t="s">
        <v>1071</v>
      </c>
      <c r="C595" s="15" t="s">
        <v>1078</v>
      </c>
      <c r="D595" s="16" t="s">
        <v>110</v>
      </c>
      <c r="E595" s="15" t="s">
        <v>1111</v>
      </c>
      <c r="F595" s="17">
        <v>2019.0</v>
      </c>
      <c r="G595" s="17" t="s">
        <v>106</v>
      </c>
      <c r="H595" s="17">
        <v>0.0</v>
      </c>
      <c r="I595" s="18">
        <v>19.0</v>
      </c>
      <c r="J595" s="19"/>
      <c r="K595" s="20"/>
      <c r="L595" s="21" t="e">
        <v>#N/A</v>
      </c>
      <c r="M595" s="21" t="e">
        <v>#N/A</v>
      </c>
      <c r="N595" s="18">
        <v>17.0</v>
      </c>
      <c r="O595" s="17"/>
      <c r="P595" s="22"/>
      <c r="Q595" s="23">
        <v>3600.0</v>
      </c>
      <c r="R595" s="15" t="s">
        <v>37</v>
      </c>
      <c r="S595" s="18">
        <v>2019.0</v>
      </c>
      <c r="T595" s="18">
        <v>3.6</v>
      </c>
      <c r="U595" s="18">
        <f t="shared" si="91"/>
        <v>12960</v>
      </c>
      <c r="V595" s="24">
        <f t="shared" si="3"/>
        <v>682.1052632</v>
      </c>
      <c r="W595" s="3">
        <f t="shared" si="29"/>
        <v>0</v>
      </c>
      <c r="X595" s="3">
        <f t="shared" si="30"/>
        <v>0</v>
      </c>
      <c r="Y595" s="3">
        <f t="shared" si="31"/>
        <v>0</v>
      </c>
      <c r="Z595" s="25">
        <f t="shared" si="32"/>
        <v>0</v>
      </c>
      <c r="AA595" s="26">
        <f>VLOOKUP(S595,CPI!$A$2:$E$67,5,0)</f>
        <v>1.191839066</v>
      </c>
      <c r="AB595" s="27">
        <f t="shared" si="8"/>
        <v>15446.23429</v>
      </c>
      <c r="AC595" s="27">
        <f t="shared" si="9"/>
        <v>812.9596995</v>
      </c>
    </row>
    <row r="596">
      <c r="A596" s="38">
        <v>7443.0</v>
      </c>
      <c r="B596" s="26" t="s">
        <v>1122</v>
      </c>
      <c r="C596" s="26" t="s">
        <v>1123</v>
      </c>
      <c r="D596" s="1" t="s">
        <v>1124</v>
      </c>
      <c r="E596" s="26" t="s">
        <v>1125</v>
      </c>
      <c r="F596" s="25">
        <v>2001.0</v>
      </c>
      <c r="G596" s="25">
        <v>2008.0</v>
      </c>
      <c r="H596" s="25">
        <v>0.0</v>
      </c>
      <c r="I596" s="25">
        <v>1.9</v>
      </c>
      <c r="J596" s="50">
        <v>1.0</v>
      </c>
      <c r="K596" s="25">
        <v>1.9</v>
      </c>
      <c r="L596" s="51">
        <v>0.0</v>
      </c>
      <c r="M596" s="51">
        <v>0.0</v>
      </c>
      <c r="N596" s="25">
        <v>2.0</v>
      </c>
      <c r="O596" s="25"/>
      <c r="P596" s="26" t="s">
        <v>60</v>
      </c>
      <c r="Q596" s="52">
        <v>151.0</v>
      </c>
      <c r="R596" s="26" t="s">
        <v>52</v>
      </c>
      <c r="S596" s="25">
        <v>2004.0</v>
      </c>
      <c r="T596" s="25">
        <v>1.25</v>
      </c>
      <c r="U596" s="25">
        <f t="shared" si="91"/>
        <v>188.75</v>
      </c>
      <c r="V596" s="24">
        <f t="shared" si="3"/>
        <v>99.34210526</v>
      </c>
      <c r="W596" s="3">
        <f t="shared" si="29"/>
        <v>1</v>
      </c>
      <c r="X596" s="3">
        <f t="shared" si="30"/>
        <v>1.9</v>
      </c>
      <c r="Y596" s="3">
        <f t="shared" si="31"/>
        <v>1.9</v>
      </c>
      <c r="Z596" s="25">
        <f t="shared" si="32"/>
        <v>0</v>
      </c>
      <c r="AA596" s="26">
        <f>VLOOKUP(S596,CPI!$A$2:$E$67,5,0)</f>
        <v>1.613033351</v>
      </c>
      <c r="AB596" s="27">
        <f t="shared" si="8"/>
        <v>304.460045</v>
      </c>
      <c r="AC596" s="27">
        <f t="shared" si="9"/>
        <v>160.2421289</v>
      </c>
    </row>
    <row r="597">
      <c r="A597" s="38">
        <v>7450.0</v>
      </c>
      <c r="B597" s="26" t="s">
        <v>1122</v>
      </c>
      <c r="C597" s="26" t="s">
        <v>1123</v>
      </c>
      <c r="D597" s="1" t="s">
        <v>1127</v>
      </c>
      <c r="E597" s="26" t="s">
        <v>1128</v>
      </c>
      <c r="F597" s="25">
        <v>2006.0</v>
      </c>
      <c r="G597" s="25">
        <v>2010.0</v>
      </c>
      <c r="H597" s="25">
        <v>0.0</v>
      </c>
      <c r="I597" s="25">
        <v>0.7</v>
      </c>
      <c r="J597" s="50">
        <v>1.0</v>
      </c>
      <c r="K597" s="25">
        <v>0.7</v>
      </c>
      <c r="L597" s="51">
        <v>0.0</v>
      </c>
      <c r="M597" s="51">
        <v>0.0</v>
      </c>
      <c r="N597" s="25">
        <v>1.0</v>
      </c>
      <c r="O597" s="25"/>
      <c r="P597" s="26" t="s">
        <v>60</v>
      </c>
      <c r="Q597" s="52">
        <v>70.0</v>
      </c>
      <c r="R597" s="26" t="s">
        <v>52</v>
      </c>
      <c r="S597" s="25">
        <v>2008.0</v>
      </c>
      <c r="T597" s="25">
        <v>1.25</v>
      </c>
      <c r="U597" s="25">
        <f t="shared" si="91"/>
        <v>87.5</v>
      </c>
      <c r="V597" s="24">
        <f t="shared" si="3"/>
        <v>125</v>
      </c>
      <c r="W597" s="3">
        <f t="shared" si="29"/>
        <v>1</v>
      </c>
      <c r="X597" s="3">
        <f t="shared" si="30"/>
        <v>0.7</v>
      </c>
      <c r="Y597" s="3">
        <f t="shared" si="31"/>
        <v>0.7</v>
      </c>
      <c r="Z597" s="25">
        <f t="shared" si="32"/>
        <v>0</v>
      </c>
      <c r="AA597" s="26">
        <f>VLOOKUP(S597,CPI!$A$2:$E$67,5,0)</f>
        <v>1.415224126</v>
      </c>
      <c r="AB597" s="27">
        <f t="shared" si="8"/>
        <v>123.832111</v>
      </c>
      <c r="AC597" s="27">
        <f t="shared" si="9"/>
        <v>176.9030157</v>
      </c>
    </row>
    <row r="598">
      <c r="A598" s="38">
        <v>7451.0</v>
      </c>
      <c r="B598" s="26" t="s">
        <v>1122</v>
      </c>
      <c r="C598" s="26" t="s">
        <v>1123</v>
      </c>
      <c r="D598" s="1" t="s">
        <v>1130</v>
      </c>
      <c r="E598" s="26" t="s">
        <v>1131</v>
      </c>
      <c r="F598" s="25">
        <v>2007.0</v>
      </c>
      <c r="G598" s="25">
        <v>2010.0</v>
      </c>
      <c r="H598" s="25">
        <v>0.0</v>
      </c>
      <c r="I598" s="25">
        <v>2.5</v>
      </c>
      <c r="J598" s="50">
        <v>1.0</v>
      </c>
      <c r="K598" s="25">
        <v>2.5</v>
      </c>
      <c r="L598" s="51">
        <v>0.0</v>
      </c>
      <c r="M598" s="51">
        <v>0.0</v>
      </c>
      <c r="N598" s="25">
        <v>3.0</v>
      </c>
      <c r="O598" s="25"/>
      <c r="P598" s="26" t="s">
        <v>42</v>
      </c>
      <c r="Q598" s="52">
        <v>320.0</v>
      </c>
      <c r="R598" s="26" t="s">
        <v>52</v>
      </c>
      <c r="S598" s="25">
        <v>2008.0</v>
      </c>
      <c r="T598" s="25">
        <v>1.25</v>
      </c>
      <c r="U598" s="25">
        <f t="shared" si="91"/>
        <v>400</v>
      </c>
      <c r="V598" s="24">
        <f t="shared" si="3"/>
        <v>160</v>
      </c>
      <c r="W598" s="3">
        <f t="shared" si="29"/>
        <v>1</v>
      </c>
      <c r="X598" s="3">
        <f t="shared" si="30"/>
        <v>2.5</v>
      </c>
      <c r="Y598" s="3">
        <f t="shared" si="31"/>
        <v>2.5</v>
      </c>
      <c r="Z598" s="25">
        <f t="shared" si="32"/>
        <v>0</v>
      </c>
      <c r="AA598" s="26">
        <f>VLOOKUP(S598,CPI!$A$2:$E$67,5,0)</f>
        <v>1.415224126</v>
      </c>
      <c r="AB598" s="27">
        <f t="shared" si="8"/>
        <v>566.0896504</v>
      </c>
      <c r="AC598" s="27">
        <f t="shared" si="9"/>
        <v>226.4358602</v>
      </c>
    </row>
    <row r="599">
      <c r="A599" s="38">
        <v>7448.0</v>
      </c>
      <c r="B599" s="26" t="s">
        <v>1122</v>
      </c>
      <c r="C599" s="26" t="s">
        <v>1123</v>
      </c>
      <c r="D599" s="26" t="s">
        <v>1133</v>
      </c>
      <c r="E599" s="26" t="s">
        <v>1133</v>
      </c>
      <c r="F599" s="25">
        <v>2008.0</v>
      </c>
      <c r="G599" s="25">
        <v>2015.0</v>
      </c>
      <c r="H599" s="25">
        <v>0.0</v>
      </c>
      <c r="I599" s="25">
        <v>4.5</v>
      </c>
      <c r="J599" s="50">
        <v>1.0</v>
      </c>
      <c r="K599" s="25">
        <v>4.5</v>
      </c>
      <c r="L599" s="51">
        <v>0.0</v>
      </c>
      <c r="M599" s="51">
        <v>0.0</v>
      </c>
      <c r="N599" s="25">
        <v>3.0</v>
      </c>
      <c r="O599" s="25"/>
      <c r="P599" s="26" t="s">
        <v>60</v>
      </c>
      <c r="Q599" s="52">
        <v>401.0</v>
      </c>
      <c r="R599" s="26" t="s">
        <v>52</v>
      </c>
      <c r="S599" s="25">
        <v>2011.0</v>
      </c>
      <c r="T599" s="25">
        <v>1.3</v>
      </c>
      <c r="U599" s="25">
        <f t="shared" si="91"/>
        <v>521.3</v>
      </c>
      <c r="V599" s="24">
        <f t="shared" si="3"/>
        <v>115.8444444</v>
      </c>
      <c r="W599" s="3">
        <f t="shared" si="29"/>
        <v>1</v>
      </c>
      <c r="X599" s="3">
        <f t="shared" si="30"/>
        <v>4.5</v>
      </c>
      <c r="Y599" s="3">
        <f t="shared" si="31"/>
        <v>4.5</v>
      </c>
      <c r="Z599" s="25">
        <f t="shared" si="32"/>
        <v>0</v>
      </c>
      <c r="AA599" s="26">
        <f>VLOOKUP(S599,CPI!$A$2:$E$67,5,0)</f>
        <v>1.354598358</v>
      </c>
      <c r="AB599" s="27">
        <f t="shared" si="8"/>
        <v>706.1521239</v>
      </c>
      <c r="AC599" s="27">
        <f t="shared" si="9"/>
        <v>156.9226942</v>
      </c>
    </row>
    <row r="600">
      <c r="A600" s="38">
        <v>7449.0</v>
      </c>
      <c r="B600" s="26" t="s">
        <v>1122</v>
      </c>
      <c r="C600" s="26" t="s">
        <v>1123</v>
      </c>
      <c r="D600" s="26" t="s">
        <v>1135</v>
      </c>
      <c r="E600" s="26" t="s">
        <v>1135</v>
      </c>
      <c r="F600" s="25">
        <v>2006.0</v>
      </c>
      <c r="G600" s="25">
        <v>2017.0</v>
      </c>
      <c r="H600" s="25">
        <v>0.0</v>
      </c>
      <c r="I600" s="25">
        <v>4.4</v>
      </c>
      <c r="J600" s="50">
        <v>1.0</v>
      </c>
      <c r="K600" s="25">
        <v>4.4</v>
      </c>
      <c r="L600" s="51">
        <v>0.0</v>
      </c>
      <c r="M600" s="51">
        <v>0.0</v>
      </c>
      <c r="N600" s="25">
        <v>4.0</v>
      </c>
      <c r="O600" s="25"/>
      <c r="P600" s="26" t="s">
        <v>60</v>
      </c>
      <c r="Q600" s="52">
        <v>430.0</v>
      </c>
      <c r="R600" s="26" t="s">
        <v>52</v>
      </c>
      <c r="S600" s="25">
        <v>2011.0</v>
      </c>
      <c r="T600" s="25">
        <v>1.3</v>
      </c>
      <c r="U600" s="25">
        <f t="shared" si="91"/>
        <v>559</v>
      </c>
      <c r="V600" s="24">
        <f t="shared" si="3"/>
        <v>127.0454545</v>
      </c>
      <c r="W600" s="3">
        <f t="shared" si="29"/>
        <v>1</v>
      </c>
      <c r="X600" s="3">
        <f t="shared" si="30"/>
        <v>4.4</v>
      </c>
      <c r="Y600" s="3">
        <f t="shared" si="31"/>
        <v>4.4</v>
      </c>
      <c r="Z600" s="25">
        <f t="shared" si="32"/>
        <v>0</v>
      </c>
      <c r="AA600" s="26">
        <f>VLOOKUP(S600,CPI!$A$2:$E$67,5,0)</f>
        <v>1.354598358</v>
      </c>
      <c r="AB600" s="27">
        <f t="shared" si="8"/>
        <v>757.220482</v>
      </c>
      <c r="AC600" s="27">
        <f t="shared" si="9"/>
        <v>172.0955641</v>
      </c>
    </row>
    <row r="601">
      <c r="A601" s="38">
        <v>7456.0</v>
      </c>
      <c r="B601" s="26" t="s">
        <v>1122</v>
      </c>
      <c r="C601" s="26" t="s">
        <v>1123</v>
      </c>
      <c r="D601" s="1" t="s">
        <v>1136</v>
      </c>
      <c r="E601" s="26" t="s">
        <v>1136</v>
      </c>
      <c r="F601" s="25">
        <v>2003.0</v>
      </c>
      <c r="G601" s="25">
        <v>2026.0</v>
      </c>
      <c r="H601" s="25">
        <v>0.0</v>
      </c>
      <c r="I601" s="25">
        <v>47.8</v>
      </c>
      <c r="J601" s="50">
        <v>0.91</v>
      </c>
      <c r="K601" s="25">
        <v>43.7</v>
      </c>
      <c r="L601" s="51">
        <v>0.0</v>
      </c>
      <c r="M601" s="51">
        <v>0.0</v>
      </c>
      <c r="N601" s="25">
        <v>52.0</v>
      </c>
      <c r="O601" s="25"/>
      <c r="P601" s="26" t="s">
        <v>60</v>
      </c>
      <c r="Q601" s="52">
        <v>5954.0</v>
      </c>
      <c r="R601" s="26" t="s">
        <v>52</v>
      </c>
      <c r="S601" s="25">
        <v>2014.0</v>
      </c>
      <c r="T601" s="25">
        <v>1.3</v>
      </c>
      <c r="U601" s="25">
        <f t="shared" si="91"/>
        <v>7740.2</v>
      </c>
      <c r="V601" s="24">
        <f t="shared" si="3"/>
        <v>161.9288703</v>
      </c>
      <c r="W601" s="3">
        <f t="shared" si="29"/>
        <v>1</v>
      </c>
      <c r="X601" s="3">
        <f t="shared" si="30"/>
        <v>47.8</v>
      </c>
      <c r="Y601" s="3">
        <f t="shared" si="31"/>
        <v>43.7</v>
      </c>
      <c r="Z601" s="25">
        <f t="shared" si="32"/>
        <v>0</v>
      </c>
      <c r="AA601" s="26">
        <f>VLOOKUP(S601,CPI!$A$2:$E$67,5,0)</f>
        <v>1.287096175</v>
      </c>
      <c r="AB601" s="27">
        <f t="shared" si="8"/>
        <v>9962.381811</v>
      </c>
      <c r="AC601" s="27">
        <f t="shared" si="9"/>
        <v>208.4180295</v>
      </c>
    </row>
    <row r="602">
      <c r="A602" s="38">
        <v>7457.0</v>
      </c>
      <c r="B602" s="26" t="s">
        <v>1122</v>
      </c>
      <c r="C602" s="26" t="s">
        <v>1138</v>
      </c>
      <c r="D602" s="26" t="s">
        <v>87</v>
      </c>
      <c r="E602" s="26" t="s">
        <v>87</v>
      </c>
      <c r="F602" s="25">
        <v>2007.0</v>
      </c>
      <c r="G602" s="25">
        <v>2016.0</v>
      </c>
      <c r="H602" s="25">
        <v>0.0</v>
      </c>
      <c r="I602" s="25">
        <v>5.9</v>
      </c>
      <c r="J602" s="50">
        <v>0.95</v>
      </c>
      <c r="K602" s="25">
        <v>5.6</v>
      </c>
      <c r="L602" s="51">
        <v>0.0</v>
      </c>
      <c r="M602" s="51">
        <v>0.0</v>
      </c>
      <c r="N602" s="25">
        <v>7.0</v>
      </c>
      <c r="O602" s="25"/>
      <c r="P602" s="26" t="s">
        <v>59</v>
      </c>
      <c r="Q602" s="52">
        <v>279.0</v>
      </c>
      <c r="R602" s="26" t="s">
        <v>52</v>
      </c>
      <c r="S602" s="25">
        <v>2011.0</v>
      </c>
      <c r="T602" s="25">
        <v>1.3</v>
      </c>
      <c r="U602" s="25">
        <f t="shared" si="91"/>
        <v>362.7</v>
      </c>
      <c r="V602" s="24">
        <f t="shared" si="3"/>
        <v>61.47457627</v>
      </c>
      <c r="W602" s="3">
        <f t="shared" si="29"/>
        <v>1</v>
      </c>
      <c r="X602" s="3">
        <f t="shared" si="30"/>
        <v>5.9</v>
      </c>
      <c r="Y602" s="3">
        <f t="shared" si="31"/>
        <v>5.6</v>
      </c>
      <c r="Z602" s="25">
        <f t="shared" si="32"/>
        <v>0</v>
      </c>
      <c r="AA602" s="26">
        <f>VLOOKUP(S602,CPI!$A$2:$E$67,5,0)</f>
        <v>1.354598358</v>
      </c>
      <c r="AB602" s="27">
        <f t="shared" si="8"/>
        <v>491.3128244</v>
      </c>
      <c r="AC602" s="27">
        <f t="shared" si="9"/>
        <v>83.27336006</v>
      </c>
    </row>
    <row r="603">
      <c r="A603" s="38">
        <v>7378.0</v>
      </c>
      <c r="B603" s="26" t="s">
        <v>1122</v>
      </c>
      <c r="C603" s="26" t="s">
        <v>1140</v>
      </c>
      <c r="D603" s="26" t="s">
        <v>1141</v>
      </c>
      <c r="E603" s="26" t="s">
        <v>1141</v>
      </c>
      <c r="F603" s="25">
        <v>1995.0</v>
      </c>
      <c r="G603" s="25">
        <v>1998.0</v>
      </c>
      <c r="H603" s="25">
        <v>0.0</v>
      </c>
      <c r="I603" s="25">
        <v>56.0</v>
      </c>
      <c r="J603" s="50">
        <v>0.68</v>
      </c>
      <c r="K603" s="25">
        <v>38.0</v>
      </c>
      <c r="L603" s="51">
        <v>0.0</v>
      </c>
      <c r="M603" s="51">
        <v>0.0</v>
      </c>
      <c r="N603" s="25">
        <v>37.0</v>
      </c>
      <c r="O603" s="25"/>
      <c r="P603" s="26" t="s">
        <v>36</v>
      </c>
      <c r="Q603" s="52">
        <v>1579.0</v>
      </c>
      <c r="R603" s="26" t="s">
        <v>52</v>
      </c>
      <c r="S603" s="25">
        <v>1997.0</v>
      </c>
      <c r="T603" s="25">
        <v>1.25</v>
      </c>
      <c r="U603" s="25">
        <f t="shared" si="91"/>
        <v>1973.75</v>
      </c>
      <c r="V603" s="24">
        <f t="shared" si="3"/>
        <v>35.24553571</v>
      </c>
      <c r="W603" s="3">
        <f t="shared" si="29"/>
        <v>1</v>
      </c>
      <c r="X603" s="3">
        <f t="shared" si="30"/>
        <v>56</v>
      </c>
      <c r="Y603" s="3">
        <f t="shared" si="31"/>
        <v>38</v>
      </c>
      <c r="Z603" s="25">
        <f t="shared" si="32"/>
        <v>0</v>
      </c>
      <c r="AA603" s="26">
        <f>VLOOKUP(S603,CPI!$A$2:$E$67,5,0)</f>
        <v>1.898454829</v>
      </c>
      <c r="AB603" s="27">
        <f t="shared" si="8"/>
        <v>3747.075218</v>
      </c>
      <c r="AC603" s="27">
        <f t="shared" si="9"/>
        <v>66.91205747</v>
      </c>
    </row>
    <row r="604">
      <c r="A604" s="38">
        <v>7379.0</v>
      </c>
      <c r="B604" s="26" t="s">
        <v>1122</v>
      </c>
      <c r="C604" s="26" t="s">
        <v>1140</v>
      </c>
      <c r="D604" s="26" t="s">
        <v>1143</v>
      </c>
      <c r="E604" s="26" t="s">
        <v>1143</v>
      </c>
      <c r="F604" s="25">
        <v>1999.0</v>
      </c>
      <c r="G604" s="25">
        <v>2003.0</v>
      </c>
      <c r="H604" s="25">
        <v>0.0</v>
      </c>
      <c r="I604" s="25">
        <v>75.0</v>
      </c>
      <c r="J604" s="50">
        <v>0.77</v>
      </c>
      <c r="K604" s="25">
        <v>58.0</v>
      </c>
      <c r="L604" s="51">
        <v>0.0</v>
      </c>
      <c r="M604" s="51">
        <v>0.0</v>
      </c>
      <c r="N604" s="25">
        <v>39.0</v>
      </c>
      <c r="O604" s="25"/>
      <c r="P604" s="26" t="s">
        <v>36</v>
      </c>
      <c r="Q604" s="52">
        <v>3157.0</v>
      </c>
      <c r="R604" s="26" t="s">
        <v>52</v>
      </c>
      <c r="S604" s="25">
        <v>2001.0</v>
      </c>
      <c r="T604" s="25">
        <v>1.25</v>
      </c>
      <c r="U604" s="25">
        <f t="shared" si="91"/>
        <v>3946.25</v>
      </c>
      <c r="V604" s="24">
        <f t="shared" si="3"/>
        <v>52.61666667</v>
      </c>
      <c r="W604" s="3">
        <f t="shared" si="29"/>
        <v>1</v>
      </c>
      <c r="X604" s="3">
        <f t="shared" si="30"/>
        <v>75</v>
      </c>
      <c r="Y604" s="3">
        <f t="shared" si="31"/>
        <v>58</v>
      </c>
      <c r="Z604" s="25">
        <f t="shared" si="32"/>
        <v>0</v>
      </c>
      <c r="AA604" s="26">
        <f>VLOOKUP(S604,CPI!$A$2:$E$67,5,0)</f>
        <v>1.720508187</v>
      </c>
      <c r="AB604" s="27">
        <f t="shared" si="8"/>
        <v>6789.555435</v>
      </c>
      <c r="AC604" s="27">
        <f t="shared" si="9"/>
        <v>90.5274058</v>
      </c>
    </row>
    <row r="605">
      <c r="A605" s="38">
        <v>7394.0</v>
      </c>
      <c r="B605" s="26" t="s">
        <v>1122</v>
      </c>
      <c r="C605" s="26" t="s">
        <v>1140</v>
      </c>
      <c r="D605" s="26" t="s">
        <v>1144</v>
      </c>
      <c r="E605" s="26" t="s">
        <v>1144</v>
      </c>
      <c r="F605" s="25">
        <v>2003.0</v>
      </c>
      <c r="G605" s="25">
        <v>2008.0</v>
      </c>
      <c r="H605" s="25">
        <v>1.0</v>
      </c>
      <c r="I605" s="25">
        <v>7.5</v>
      </c>
      <c r="J605" s="50">
        <v>1.0</v>
      </c>
      <c r="K605" s="25">
        <v>7.5</v>
      </c>
      <c r="L605" s="51">
        <v>0.0</v>
      </c>
      <c r="M605" s="51">
        <v>0.0</v>
      </c>
      <c r="N605" s="25">
        <v>3.0</v>
      </c>
      <c r="O605" s="25"/>
      <c r="P605" s="26" t="s">
        <v>74</v>
      </c>
      <c r="Q605" s="52">
        <v>550.0</v>
      </c>
      <c r="R605" s="26" t="s">
        <v>52</v>
      </c>
      <c r="S605" s="25">
        <v>2006.0</v>
      </c>
      <c r="T605" s="25">
        <v>1.25</v>
      </c>
      <c r="U605" s="25">
        <f t="shared" si="91"/>
        <v>687.5</v>
      </c>
      <c r="V605" s="24">
        <f t="shared" si="3"/>
        <v>91.66666667</v>
      </c>
      <c r="W605" s="3">
        <f t="shared" si="29"/>
        <v>1</v>
      </c>
      <c r="X605" s="3">
        <f t="shared" si="30"/>
        <v>7.5</v>
      </c>
      <c r="Y605" s="3">
        <f t="shared" si="31"/>
        <v>7.5</v>
      </c>
      <c r="Z605" s="25">
        <f t="shared" si="32"/>
        <v>0</v>
      </c>
      <c r="AA605" s="26">
        <f>VLOOKUP(S605,CPI!$A$2:$E$67,5,0)</f>
        <v>1.511418651</v>
      </c>
      <c r="AB605" s="27">
        <f t="shared" si="8"/>
        <v>1039.100322</v>
      </c>
      <c r="AC605" s="27">
        <f t="shared" si="9"/>
        <v>138.5467097</v>
      </c>
    </row>
    <row r="606">
      <c r="A606" s="38">
        <v>7387.0</v>
      </c>
      <c r="B606" s="26" t="s">
        <v>1122</v>
      </c>
      <c r="C606" s="26" t="s">
        <v>1140</v>
      </c>
      <c r="D606" s="1" t="s">
        <v>54</v>
      </c>
      <c r="E606" s="26" t="s">
        <v>55</v>
      </c>
      <c r="F606" s="25">
        <v>2008.0</v>
      </c>
      <c r="G606" s="25">
        <v>2011.0</v>
      </c>
      <c r="H606" s="25">
        <v>0.0</v>
      </c>
      <c r="I606" s="25">
        <v>4.6</v>
      </c>
      <c r="J606" s="50">
        <v>1.0</v>
      </c>
      <c r="K606" s="25">
        <v>4.6</v>
      </c>
      <c r="L606" s="51">
        <v>0.0</v>
      </c>
      <c r="M606" s="51">
        <v>0.0</v>
      </c>
      <c r="N606" s="25">
        <v>4.0</v>
      </c>
      <c r="O606" s="25"/>
      <c r="P606" s="26" t="s">
        <v>36</v>
      </c>
      <c r="Q606" s="52">
        <v>315.0</v>
      </c>
      <c r="R606" s="26" t="s">
        <v>52</v>
      </c>
      <c r="S606" s="25">
        <v>2010.0</v>
      </c>
      <c r="T606" s="25">
        <v>1.3</v>
      </c>
      <c r="U606" s="25">
        <f t="shared" si="91"/>
        <v>409.5</v>
      </c>
      <c r="V606" s="24">
        <f t="shared" si="3"/>
        <v>89.02173913</v>
      </c>
      <c r="W606" s="3">
        <f t="shared" si="29"/>
        <v>1</v>
      </c>
      <c r="X606" s="3">
        <f t="shared" si="30"/>
        <v>4.6</v>
      </c>
      <c r="Y606" s="3">
        <f t="shared" si="31"/>
        <v>4.6</v>
      </c>
      <c r="Z606" s="25">
        <f t="shared" si="32"/>
        <v>0</v>
      </c>
      <c r="AA606" s="26">
        <f>VLOOKUP(S606,CPI!$A$2:$E$67,5,0)</f>
        <v>1.397356642</v>
      </c>
      <c r="AB606" s="27">
        <f t="shared" si="8"/>
        <v>572.217545</v>
      </c>
      <c r="AC606" s="27">
        <f t="shared" si="9"/>
        <v>124.3951185</v>
      </c>
    </row>
    <row r="607">
      <c r="A607" s="38">
        <v>7392.0</v>
      </c>
      <c r="B607" s="26" t="s">
        <v>1122</v>
      </c>
      <c r="C607" s="26" t="s">
        <v>1140</v>
      </c>
      <c r="D607" s="1" t="s">
        <v>253</v>
      </c>
      <c r="E607" s="26" t="s">
        <v>1147</v>
      </c>
      <c r="F607" s="25">
        <v>2009.0</v>
      </c>
      <c r="G607" s="25">
        <v>2015.0</v>
      </c>
      <c r="H607" s="25">
        <v>0.0</v>
      </c>
      <c r="I607" s="25">
        <v>3.0</v>
      </c>
      <c r="J607" s="50">
        <v>1.0</v>
      </c>
      <c r="K607" s="25">
        <v>3.0</v>
      </c>
      <c r="L607" s="51">
        <v>0.0</v>
      </c>
      <c r="M607" s="51">
        <v>0.0</v>
      </c>
      <c r="N607" s="25">
        <v>2.0</v>
      </c>
      <c r="O607" s="25"/>
      <c r="P607" s="26" t="s">
        <v>60</v>
      </c>
      <c r="Q607" s="52">
        <v>191.0</v>
      </c>
      <c r="R607" s="26" t="s">
        <v>52</v>
      </c>
      <c r="S607" s="25">
        <v>2012.0</v>
      </c>
      <c r="T607" s="25">
        <v>1.3</v>
      </c>
      <c r="U607" s="25">
        <f t="shared" si="91"/>
        <v>248.3</v>
      </c>
      <c r="V607" s="24">
        <f t="shared" si="3"/>
        <v>82.76666667</v>
      </c>
      <c r="W607" s="3">
        <f t="shared" si="29"/>
        <v>1</v>
      </c>
      <c r="X607" s="3">
        <f t="shared" si="30"/>
        <v>3</v>
      </c>
      <c r="Y607" s="3">
        <f t="shared" si="31"/>
        <v>3</v>
      </c>
      <c r="Z607" s="25">
        <f t="shared" si="32"/>
        <v>0</v>
      </c>
      <c r="AA607" s="26">
        <f>VLOOKUP(S607,CPI!$A$2:$E$67,5,0)</f>
        <v>1.327133984</v>
      </c>
      <c r="AB607" s="27">
        <f t="shared" si="8"/>
        <v>329.5273683</v>
      </c>
      <c r="AC607" s="27">
        <f t="shared" si="9"/>
        <v>109.8424561</v>
      </c>
    </row>
    <row r="608">
      <c r="A608" s="7"/>
      <c r="B608" s="115" t="s">
        <v>1122</v>
      </c>
      <c r="C608" s="115" t="s">
        <v>1140</v>
      </c>
      <c r="D608" s="115" t="s">
        <v>292</v>
      </c>
      <c r="E608" s="115" t="s">
        <v>1149</v>
      </c>
      <c r="F608" s="82">
        <v>2022.0</v>
      </c>
      <c r="G608" s="115">
        <v>2026.0</v>
      </c>
      <c r="H608" s="82">
        <v>0.0</v>
      </c>
      <c r="I608" s="82">
        <v>7.0</v>
      </c>
      <c r="J608" s="247">
        <v>1.0</v>
      </c>
      <c r="K608" s="82">
        <v>7.0</v>
      </c>
      <c r="L608" s="115">
        <v>0.0</v>
      </c>
      <c r="M608" s="115">
        <v>0.0</v>
      </c>
      <c r="N608" s="82">
        <v>5.0</v>
      </c>
      <c r="O608" s="82"/>
      <c r="P608" s="115" t="s">
        <v>60</v>
      </c>
      <c r="Q608" s="248">
        <v>500.0</v>
      </c>
      <c r="R608" s="115" t="s">
        <v>52</v>
      </c>
      <c r="S608" s="115">
        <v>2023.0</v>
      </c>
      <c r="T608" s="115">
        <v>1.45</v>
      </c>
      <c r="U608" s="118">
        <f t="shared" si="91"/>
        <v>725</v>
      </c>
      <c r="V608" s="24">
        <f t="shared" si="3"/>
        <v>103.5714286</v>
      </c>
      <c r="W608" s="3">
        <f t="shared" si="29"/>
        <v>1</v>
      </c>
      <c r="X608" s="3">
        <f t="shared" si="30"/>
        <v>7</v>
      </c>
      <c r="Y608" s="3">
        <f t="shared" si="31"/>
        <v>7</v>
      </c>
      <c r="Z608" s="25">
        <f t="shared" si="32"/>
        <v>0</v>
      </c>
      <c r="AA608" s="26">
        <f>VLOOKUP(S608,CPI!$A$2:$E$67,5,0)</f>
        <v>1</v>
      </c>
      <c r="AB608" s="27">
        <f t="shared" si="8"/>
        <v>725</v>
      </c>
      <c r="AC608" s="27">
        <f t="shared" si="9"/>
        <v>103.5714286</v>
      </c>
    </row>
    <row r="609">
      <c r="A609" s="38">
        <v>7386.0</v>
      </c>
      <c r="B609" s="2" t="s">
        <v>1122</v>
      </c>
      <c r="C609" s="2" t="s">
        <v>1140</v>
      </c>
      <c r="D609" s="2" t="s">
        <v>1151</v>
      </c>
      <c r="E609" s="2" t="s">
        <v>1151</v>
      </c>
      <c r="F609" s="3">
        <v>2020.0</v>
      </c>
      <c r="G609" s="3">
        <v>2028.0</v>
      </c>
      <c r="H609" s="3">
        <v>1.0</v>
      </c>
      <c r="I609" s="3">
        <v>10.5</v>
      </c>
      <c r="J609" s="39">
        <v>1.0</v>
      </c>
      <c r="K609" s="3">
        <v>10.5</v>
      </c>
      <c r="L609" s="40">
        <v>0.0</v>
      </c>
      <c r="M609" s="40">
        <v>0.0</v>
      </c>
      <c r="N609" s="3">
        <v>4.0</v>
      </c>
      <c r="O609" s="3"/>
      <c r="P609" s="2" t="s">
        <v>59</v>
      </c>
      <c r="Q609" s="41">
        <v>760.0</v>
      </c>
      <c r="R609" s="2" t="s">
        <v>52</v>
      </c>
      <c r="S609" s="3">
        <v>2024.0</v>
      </c>
      <c r="T609" s="85">
        <v>1.4</v>
      </c>
      <c r="U609" s="3">
        <f t="shared" si="91"/>
        <v>1064</v>
      </c>
      <c r="V609" s="24">
        <f t="shared" si="3"/>
        <v>101.3333333</v>
      </c>
      <c r="W609" s="3">
        <f t="shared" si="29"/>
        <v>1</v>
      </c>
      <c r="X609" s="3">
        <f t="shared" si="30"/>
        <v>10.5</v>
      </c>
      <c r="Y609" s="3">
        <f t="shared" si="31"/>
        <v>10.5</v>
      </c>
      <c r="Z609" s="25">
        <f t="shared" si="32"/>
        <v>0</v>
      </c>
      <c r="AA609" s="26">
        <f>VLOOKUP(S609,CPI!$A$2:$E$67,5,0)</f>
        <v>1</v>
      </c>
      <c r="AB609" s="27">
        <f t="shared" si="8"/>
        <v>1064</v>
      </c>
      <c r="AC609" s="27">
        <f t="shared" si="9"/>
        <v>101.3333333</v>
      </c>
    </row>
    <row r="610">
      <c r="A610" s="38">
        <v>7459.0</v>
      </c>
      <c r="B610" s="26" t="s">
        <v>1122</v>
      </c>
      <c r="C610" s="26" t="s">
        <v>1153</v>
      </c>
      <c r="D610" s="26" t="s">
        <v>114</v>
      </c>
      <c r="E610" s="26" t="s">
        <v>114</v>
      </c>
      <c r="F610" s="25">
        <v>2006.0</v>
      </c>
      <c r="G610" s="25">
        <v>2014.0</v>
      </c>
      <c r="H610" s="25">
        <v>0.0</v>
      </c>
      <c r="I610" s="25">
        <v>11.3</v>
      </c>
      <c r="J610" s="50">
        <v>0.81</v>
      </c>
      <c r="K610" s="25">
        <v>9.2</v>
      </c>
      <c r="L610" s="51">
        <v>0.0</v>
      </c>
      <c r="M610" s="51">
        <v>0.0</v>
      </c>
      <c r="N610" s="25">
        <v>17.0</v>
      </c>
      <c r="O610" s="25"/>
      <c r="P610" s="26" t="s">
        <v>74</v>
      </c>
      <c r="Q610" s="52">
        <v>870.0</v>
      </c>
      <c r="R610" s="26" t="s">
        <v>52</v>
      </c>
      <c r="S610" s="25">
        <v>2010.0</v>
      </c>
      <c r="T610" s="25">
        <v>1.3</v>
      </c>
      <c r="U610" s="25">
        <f t="shared" si="91"/>
        <v>1131</v>
      </c>
      <c r="V610" s="24">
        <f t="shared" si="3"/>
        <v>100.0884956</v>
      </c>
      <c r="W610" s="3">
        <f t="shared" si="29"/>
        <v>1</v>
      </c>
      <c r="X610" s="3">
        <f t="shared" si="30"/>
        <v>11.3</v>
      </c>
      <c r="Y610" s="3">
        <f t="shared" si="31"/>
        <v>9.2</v>
      </c>
      <c r="Z610" s="25">
        <f t="shared" si="32"/>
        <v>0</v>
      </c>
      <c r="AA610" s="26">
        <f>VLOOKUP(S610,CPI!$A$2:$E$67,5,0)</f>
        <v>1.397356642</v>
      </c>
      <c r="AB610" s="27">
        <f t="shared" si="8"/>
        <v>1580.410362</v>
      </c>
      <c r="AC610" s="27">
        <f t="shared" si="9"/>
        <v>139.8593241</v>
      </c>
    </row>
    <row r="611">
      <c r="A611" s="38">
        <v>7458.0</v>
      </c>
      <c r="B611" s="26" t="s">
        <v>1122</v>
      </c>
      <c r="C611" s="26" t="s">
        <v>1155</v>
      </c>
      <c r="D611" s="26" t="s">
        <v>57</v>
      </c>
      <c r="E611" s="26" t="s">
        <v>57</v>
      </c>
      <c r="F611" s="25">
        <v>2003.0</v>
      </c>
      <c r="G611" s="25">
        <v>2009.0</v>
      </c>
      <c r="H611" s="25">
        <v>0.0</v>
      </c>
      <c r="I611" s="25">
        <v>18.2</v>
      </c>
      <c r="J611" s="50">
        <v>0.64</v>
      </c>
      <c r="K611" s="25">
        <v>11.6</v>
      </c>
      <c r="L611" s="51">
        <v>6.552</v>
      </c>
      <c r="M611" s="51">
        <v>0.0</v>
      </c>
      <c r="N611" s="25">
        <v>22.0</v>
      </c>
      <c r="O611" s="25"/>
      <c r="P611" s="26" t="s">
        <v>59</v>
      </c>
      <c r="Q611" s="52">
        <v>892.0</v>
      </c>
      <c r="R611" s="26" t="s">
        <v>52</v>
      </c>
      <c r="S611" s="25">
        <v>2006.0</v>
      </c>
      <c r="T611" s="25">
        <v>1.25</v>
      </c>
      <c r="U611" s="25">
        <f t="shared" si="91"/>
        <v>1115</v>
      </c>
      <c r="V611" s="24">
        <f t="shared" si="3"/>
        <v>61.26373626</v>
      </c>
      <c r="W611" s="3">
        <f t="shared" si="29"/>
        <v>1</v>
      </c>
      <c r="X611" s="3">
        <f t="shared" si="30"/>
        <v>18.2</v>
      </c>
      <c r="Y611" s="3">
        <f t="shared" si="31"/>
        <v>11.6</v>
      </c>
      <c r="Z611" s="25">
        <f t="shared" si="32"/>
        <v>0</v>
      </c>
      <c r="AA611" s="26">
        <f>VLOOKUP(S611,CPI!$A$2:$E$67,5,0)</f>
        <v>1.511418651</v>
      </c>
      <c r="AB611" s="27">
        <f t="shared" si="8"/>
        <v>1685.231796</v>
      </c>
      <c r="AC611" s="27">
        <f t="shared" si="9"/>
        <v>92.59515361</v>
      </c>
    </row>
    <row r="612">
      <c r="A612" s="38">
        <v>7216.0</v>
      </c>
      <c r="B612" s="26" t="s">
        <v>1157</v>
      </c>
      <c r="C612" s="26" t="s">
        <v>1158</v>
      </c>
      <c r="D612" s="26" t="s">
        <v>1159</v>
      </c>
      <c r="E612" s="26" t="s">
        <v>1159</v>
      </c>
      <c r="F612" s="25">
        <v>2009.0</v>
      </c>
      <c r="G612" s="25">
        <v>2015.0</v>
      </c>
      <c r="H612" s="25">
        <v>1.0</v>
      </c>
      <c r="I612" s="25">
        <v>18.0</v>
      </c>
      <c r="J612" s="50">
        <v>0.44</v>
      </c>
      <c r="K612" s="25">
        <v>8.0</v>
      </c>
      <c r="L612" s="51">
        <v>0.0</v>
      </c>
      <c r="M612" s="51">
        <v>0.0</v>
      </c>
      <c r="N612" s="25">
        <v>5.0</v>
      </c>
      <c r="O612" s="25"/>
      <c r="P612" s="26" t="s">
        <v>60</v>
      </c>
      <c r="Q612" s="52">
        <v>773.8</v>
      </c>
      <c r="R612" s="26" t="s">
        <v>52</v>
      </c>
      <c r="S612" s="25">
        <v>2012.0</v>
      </c>
      <c r="T612" s="25">
        <v>1.3</v>
      </c>
      <c r="U612" s="25">
        <f t="shared" si="91"/>
        <v>1005.94</v>
      </c>
      <c r="V612" s="24">
        <f t="shared" si="3"/>
        <v>55.88555556</v>
      </c>
      <c r="W612" s="3">
        <f t="shared" si="29"/>
        <v>1</v>
      </c>
      <c r="X612" s="3">
        <f t="shared" si="30"/>
        <v>18</v>
      </c>
      <c r="Y612" s="3">
        <f t="shared" si="31"/>
        <v>8</v>
      </c>
      <c r="Z612" s="25">
        <f t="shared" si="32"/>
        <v>0</v>
      </c>
      <c r="AA612" s="26">
        <f>VLOOKUP(S612,CPI!$A$2:$E$67,5,0)</f>
        <v>1.327133984</v>
      </c>
      <c r="AB612" s="27">
        <f t="shared" si="8"/>
        <v>1335.01716</v>
      </c>
      <c r="AC612" s="27">
        <f t="shared" si="9"/>
        <v>74.16762001</v>
      </c>
    </row>
    <row r="613">
      <c r="A613" s="38">
        <v>7211.0</v>
      </c>
      <c r="B613" s="26" t="s">
        <v>1157</v>
      </c>
      <c r="C613" s="26" t="s">
        <v>1158</v>
      </c>
      <c r="D613" s="1" t="s">
        <v>1161</v>
      </c>
      <c r="E613" s="63" t="s">
        <v>1162</v>
      </c>
      <c r="F613" s="25">
        <v>2009.0</v>
      </c>
      <c r="G613" s="25">
        <v>2017.0</v>
      </c>
      <c r="H613" s="25">
        <v>0.0</v>
      </c>
      <c r="I613" s="25">
        <v>13.5</v>
      </c>
      <c r="J613" s="50">
        <v>1.0</v>
      </c>
      <c r="K613" s="25">
        <v>13.5</v>
      </c>
      <c r="L613" s="51">
        <v>0.0</v>
      </c>
      <c r="M613" s="51">
        <v>0.0</v>
      </c>
      <c r="N613" s="25">
        <v>8.0</v>
      </c>
      <c r="O613" s="58">
        <v>135.0</v>
      </c>
      <c r="P613" s="26" t="s">
        <v>59</v>
      </c>
      <c r="Q613" s="55">
        <v>1171.0</v>
      </c>
      <c r="R613" s="26" t="s">
        <v>52</v>
      </c>
      <c r="S613" s="25">
        <v>2013.0</v>
      </c>
      <c r="T613" s="25">
        <v>1.3</v>
      </c>
      <c r="U613" s="25">
        <f t="shared" si="91"/>
        <v>1522.3</v>
      </c>
      <c r="V613" s="24">
        <f t="shared" si="3"/>
        <v>112.762963</v>
      </c>
      <c r="W613" s="3">
        <f t="shared" si="29"/>
        <v>1</v>
      </c>
      <c r="X613" s="3">
        <f t="shared" si="30"/>
        <v>13.5</v>
      </c>
      <c r="Y613" s="3">
        <f t="shared" si="31"/>
        <v>13.5</v>
      </c>
      <c r="Z613" s="25">
        <f t="shared" si="32"/>
        <v>0</v>
      </c>
      <c r="AA613" s="26">
        <f>VLOOKUP(S613,CPI!$A$2:$E$67,5,0)</f>
        <v>1.307975292</v>
      </c>
      <c r="AB613" s="27">
        <f t="shared" si="8"/>
        <v>1991.130786</v>
      </c>
      <c r="AC613" s="27">
        <f t="shared" si="9"/>
        <v>147.4911694</v>
      </c>
    </row>
    <row r="614">
      <c r="A614" s="61">
        <v>7212.0</v>
      </c>
      <c r="B614" s="63" t="s">
        <v>1157</v>
      </c>
      <c r="C614" s="63" t="s">
        <v>1158</v>
      </c>
      <c r="D614" s="1" t="s">
        <v>1161</v>
      </c>
      <c r="E614" s="63" t="s">
        <v>1164</v>
      </c>
      <c r="F614" s="58">
        <v>2014.0</v>
      </c>
      <c r="G614" s="58">
        <v>2023.0</v>
      </c>
      <c r="H614" s="58">
        <v>0.0</v>
      </c>
      <c r="I614" s="58">
        <v>7.0</v>
      </c>
      <c r="J614" s="59">
        <v>1.0</v>
      </c>
      <c r="K614" s="58">
        <v>7.0</v>
      </c>
      <c r="L614" s="58">
        <v>0.0</v>
      </c>
      <c r="M614" s="58">
        <v>0.0</v>
      </c>
      <c r="N614" s="58">
        <v>5.0</v>
      </c>
      <c r="O614" s="58">
        <v>90.0</v>
      </c>
      <c r="P614" s="63" t="s">
        <v>60</v>
      </c>
      <c r="Q614" s="55">
        <v>1159.0</v>
      </c>
      <c r="R614" s="63" t="s">
        <v>52</v>
      </c>
      <c r="S614" s="58">
        <v>2018.0</v>
      </c>
      <c r="T614" s="58">
        <v>1.35</v>
      </c>
      <c r="U614" s="25">
        <f t="shared" si="91"/>
        <v>1564.65</v>
      </c>
      <c r="V614" s="24">
        <f t="shared" si="3"/>
        <v>223.5214286</v>
      </c>
      <c r="W614" s="3">
        <f t="shared" si="29"/>
        <v>1</v>
      </c>
      <c r="X614" s="3">
        <f t="shared" si="30"/>
        <v>7</v>
      </c>
      <c r="Y614" s="3">
        <f t="shared" si="31"/>
        <v>7</v>
      </c>
      <c r="Z614" s="25">
        <f t="shared" si="32"/>
        <v>0</v>
      </c>
      <c r="AA614" s="26">
        <f>VLOOKUP(S614,CPI!$A$2:$E$67,5,0)</f>
        <v>1.21343491</v>
      </c>
      <c r="AB614" s="27">
        <f t="shared" si="8"/>
        <v>1898.600932</v>
      </c>
      <c r="AC614" s="27">
        <f t="shared" si="9"/>
        <v>271.2287046</v>
      </c>
    </row>
    <row r="615">
      <c r="A615" s="38">
        <v>7472.0</v>
      </c>
      <c r="B615" s="26" t="s">
        <v>1165</v>
      </c>
      <c r="C615" s="26" t="s">
        <v>1166</v>
      </c>
      <c r="D615" s="1" t="s">
        <v>987</v>
      </c>
      <c r="E615" s="26" t="s">
        <v>1167</v>
      </c>
      <c r="F615" s="25">
        <v>2005.0</v>
      </c>
      <c r="G615" s="25">
        <v>2007.0</v>
      </c>
      <c r="H615" s="25">
        <v>0.0</v>
      </c>
      <c r="I615" s="25">
        <v>1.0</v>
      </c>
      <c r="J615" s="50">
        <v>1.0</v>
      </c>
      <c r="K615" s="25">
        <v>1.0</v>
      </c>
      <c r="L615" s="51">
        <v>0.0</v>
      </c>
      <c r="M615" s="51">
        <v>0.0</v>
      </c>
      <c r="N615" s="25">
        <v>1.0</v>
      </c>
      <c r="O615" s="25"/>
      <c r="P615" s="26" t="s">
        <v>60</v>
      </c>
      <c r="Q615" s="52">
        <v>53.0</v>
      </c>
      <c r="R615" s="26" t="s">
        <v>52</v>
      </c>
      <c r="S615" s="25">
        <v>2006.0</v>
      </c>
      <c r="T615" s="25">
        <v>1.25</v>
      </c>
      <c r="U615" s="25">
        <f t="shared" si="91"/>
        <v>66.25</v>
      </c>
      <c r="V615" s="24">
        <f t="shared" si="3"/>
        <v>66.25</v>
      </c>
      <c r="W615" s="3">
        <f t="shared" si="29"/>
        <v>0</v>
      </c>
      <c r="X615" s="3">
        <f t="shared" si="30"/>
        <v>0</v>
      </c>
      <c r="Y615" s="3">
        <f t="shared" si="31"/>
        <v>0</v>
      </c>
      <c r="Z615" s="25">
        <f t="shared" si="32"/>
        <v>0</v>
      </c>
      <c r="AA615" s="26">
        <f>VLOOKUP(S615,CPI!$A$2:$E$67,5,0)</f>
        <v>1.511418651</v>
      </c>
      <c r="AB615" s="27">
        <f t="shared" si="8"/>
        <v>100.1314856</v>
      </c>
      <c r="AC615" s="27">
        <f t="shared" si="9"/>
        <v>100.1314856</v>
      </c>
    </row>
    <row r="616">
      <c r="A616" s="38">
        <v>7473.0</v>
      </c>
      <c r="B616" s="26" t="s">
        <v>1165</v>
      </c>
      <c r="C616" s="26" t="s">
        <v>1166</v>
      </c>
      <c r="D616" s="1" t="s">
        <v>1169</v>
      </c>
      <c r="E616" s="26" t="s">
        <v>1170</v>
      </c>
      <c r="F616" s="25">
        <v>2009.0</v>
      </c>
      <c r="G616" s="25">
        <v>2013.0</v>
      </c>
      <c r="H616" s="25">
        <v>0.0</v>
      </c>
      <c r="I616" s="25">
        <v>1.8</v>
      </c>
      <c r="J616" s="50">
        <v>1.0</v>
      </c>
      <c r="K616" s="25">
        <v>1.8</v>
      </c>
      <c r="L616" s="51">
        <v>0.0</v>
      </c>
      <c r="M616" s="51">
        <v>0.0</v>
      </c>
      <c r="N616" s="25">
        <v>1.0</v>
      </c>
      <c r="O616" s="25"/>
      <c r="P616" s="26" t="s">
        <v>42</v>
      </c>
      <c r="Q616" s="52">
        <v>222.0</v>
      </c>
      <c r="R616" s="26" t="s">
        <v>52</v>
      </c>
      <c r="S616" s="25">
        <v>2011.0</v>
      </c>
      <c r="T616" s="25">
        <v>1.3</v>
      </c>
      <c r="U616" s="25">
        <f t="shared" si="91"/>
        <v>288.6</v>
      </c>
      <c r="V616" s="24">
        <f t="shared" si="3"/>
        <v>160.3333333</v>
      </c>
      <c r="W616" s="3">
        <f t="shared" si="29"/>
        <v>0</v>
      </c>
      <c r="X616" s="3">
        <f t="shared" si="30"/>
        <v>0</v>
      </c>
      <c r="Y616" s="3">
        <f t="shared" si="31"/>
        <v>0</v>
      </c>
      <c r="Z616" s="25">
        <f t="shared" si="32"/>
        <v>0</v>
      </c>
      <c r="AA616" s="26">
        <f>VLOOKUP(S616,CPI!$A$2:$E$67,5,0)</f>
        <v>1.354598358</v>
      </c>
      <c r="AB616" s="27">
        <f t="shared" si="8"/>
        <v>390.9370861</v>
      </c>
      <c r="AC616" s="27">
        <f t="shared" si="9"/>
        <v>217.18727</v>
      </c>
    </row>
    <row r="617">
      <c r="A617" s="38">
        <v>7474.0</v>
      </c>
      <c r="B617" s="26" t="s">
        <v>1165</v>
      </c>
      <c r="C617" s="26" t="s">
        <v>1166</v>
      </c>
      <c r="D617" s="1" t="s">
        <v>1169</v>
      </c>
      <c r="E617" s="26" t="s">
        <v>1172</v>
      </c>
      <c r="F617" s="25">
        <v>2017.0</v>
      </c>
      <c r="G617" s="25">
        <v>2023.0</v>
      </c>
      <c r="H617" s="25">
        <v>0.0</v>
      </c>
      <c r="I617" s="25">
        <v>2.5</v>
      </c>
      <c r="J617" s="50">
        <v>1.0</v>
      </c>
      <c r="K617" s="25">
        <v>2.5</v>
      </c>
      <c r="L617" s="51">
        <v>0.0</v>
      </c>
      <c r="M617" s="51">
        <v>0.0</v>
      </c>
      <c r="N617" s="25">
        <v>2.0</v>
      </c>
      <c r="O617" s="25"/>
      <c r="P617" s="26" t="s">
        <v>60</v>
      </c>
      <c r="Q617" s="52">
        <v>394.0</v>
      </c>
      <c r="R617" s="26" t="s">
        <v>52</v>
      </c>
      <c r="S617" s="25">
        <v>2020.0</v>
      </c>
      <c r="T617" s="25">
        <v>1.3</v>
      </c>
      <c r="U617" s="25">
        <f t="shared" si="91"/>
        <v>512.2</v>
      </c>
      <c r="V617" s="24">
        <f t="shared" si="3"/>
        <v>204.88</v>
      </c>
      <c r="W617" s="3">
        <f t="shared" si="29"/>
        <v>0</v>
      </c>
      <c r="X617" s="3">
        <f t="shared" si="30"/>
        <v>0</v>
      </c>
      <c r="Y617" s="3">
        <f t="shared" si="31"/>
        <v>0</v>
      </c>
      <c r="Z617" s="25">
        <f t="shared" si="32"/>
        <v>0</v>
      </c>
      <c r="AA617" s="26">
        <f>VLOOKUP(S617,CPI!$A$2:$E$67,5,0)</f>
        <v>1.17731472</v>
      </c>
      <c r="AB617" s="27">
        <f t="shared" si="8"/>
        <v>603.0205996</v>
      </c>
      <c r="AC617" s="27">
        <f t="shared" si="9"/>
        <v>241.2082398</v>
      </c>
    </row>
    <row r="618">
      <c r="A618" s="243">
        <v>11257.0</v>
      </c>
      <c r="B618" s="142" t="s">
        <v>1165</v>
      </c>
      <c r="C618" s="142" t="s">
        <v>1174</v>
      </c>
      <c r="D618" s="142" t="s">
        <v>1175</v>
      </c>
      <c r="E618" s="142" t="s">
        <v>1176</v>
      </c>
      <c r="F618" s="152">
        <v>1991.0</v>
      </c>
      <c r="G618" s="152">
        <v>1995.0</v>
      </c>
      <c r="H618" s="152">
        <v>1.0</v>
      </c>
      <c r="I618" s="152">
        <v>2.5</v>
      </c>
      <c r="J618" s="244">
        <v>1.0</v>
      </c>
      <c r="K618" s="152">
        <v>2.5</v>
      </c>
      <c r="L618" s="152">
        <v>0.0</v>
      </c>
      <c r="M618" s="152">
        <v>0.0</v>
      </c>
      <c r="N618" s="152">
        <v>0.0</v>
      </c>
      <c r="O618" s="152"/>
      <c r="P618" s="142" t="s">
        <v>60</v>
      </c>
      <c r="Q618" s="245">
        <v>321.0</v>
      </c>
      <c r="R618" s="142" t="s">
        <v>52</v>
      </c>
      <c r="S618" s="152">
        <v>2003.0</v>
      </c>
      <c r="T618" s="152">
        <v>1.25</v>
      </c>
      <c r="U618" s="75">
        <f t="shared" si="91"/>
        <v>401.25</v>
      </c>
      <c r="V618" s="24">
        <f t="shared" si="3"/>
        <v>160.5</v>
      </c>
      <c r="W618" s="3">
        <f t="shared" si="29"/>
        <v>0</v>
      </c>
      <c r="X618" s="3">
        <f t="shared" si="30"/>
        <v>0</v>
      </c>
      <c r="Y618" s="3">
        <f t="shared" si="31"/>
        <v>0</v>
      </c>
      <c r="Z618" s="25">
        <f t="shared" si="32"/>
        <v>0</v>
      </c>
      <c r="AA618" s="26">
        <f>VLOOKUP(S618,CPI!$A$2:$E$67,5,0)</f>
        <v>1.65598913</v>
      </c>
      <c r="AB618" s="27">
        <f t="shared" si="8"/>
        <v>664.4656386</v>
      </c>
      <c r="AC618" s="27">
        <f t="shared" si="9"/>
        <v>265.7862554</v>
      </c>
    </row>
    <row r="619">
      <c r="A619" s="38">
        <v>7395.0</v>
      </c>
      <c r="B619" s="26" t="s">
        <v>1165</v>
      </c>
      <c r="C619" s="26" t="s">
        <v>1174</v>
      </c>
      <c r="D619" s="26" t="s">
        <v>267</v>
      </c>
      <c r="E619" s="26" t="s">
        <v>267</v>
      </c>
      <c r="F619" s="25">
        <v>1993.0</v>
      </c>
      <c r="G619" s="25">
        <v>2007.0</v>
      </c>
      <c r="H619" s="25">
        <v>0.0</v>
      </c>
      <c r="I619" s="25">
        <v>9.2</v>
      </c>
      <c r="J619" s="50">
        <v>1.0</v>
      </c>
      <c r="K619" s="25">
        <v>9.2</v>
      </c>
      <c r="L619" s="51">
        <v>0.0</v>
      </c>
      <c r="M619" s="51">
        <v>0.0</v>
      </c>
      <c r="N619" s="25">
        <v>9.0</v>
      </c>
      <c r="O619" s="25"/>
      <c r="P619" s="26" t="s">
        <v>74</v>
      </c>
      <c r="Q619" s="52">
        <v>1211.2</v>
      </c>
      <c r="R619" s="26" t="s">
        <v>52</v>
      </c>
      <c r="S619" s="25">
        <v>2004.0</v>
      </c>
      <c r="T619" s="25">
        <v>1.25</v>
      </c>
      <c r="U619" s="25">
        <f t="shared" si="91"/>
        <v>1514</v>
      </c>
      <c r="V619" s="24">
        <f t="shared" si="3"/>
        <v>164.5652174</v>
      </c>
      <c r="W619" s="3">
        <f t="shared" si="29"/>
        <v>0</v>
      </c>
      <c r="X619" s="3">
        <f t="shared" si="30"/>
        <v>0</v>
      </c>
      <c r="Y619" s="3">
        <f t="shared" si="31"/>
        <v>0</v>
      </c>
      <c r="Z619" s="25">
        <f t="shared" si="32"/>
        <v>0</v>
      </c>
      <c r="AA619" s="26">
        <f>VLOOKUP(S619,CPI!$A$2:$E$67,5,0)</f>
        <v>1.613033351</v>
      </c>
      <c r="AB619" s="27">
        <f t="shared" si="8"/>
        <v>2442.132493</v>
      </c>
      <c r="AC619" s="27">
        <f t="shared" si="9"/>
        <v>265.4491841</v>
      </c>
    </row>
    <row r="620">
      <c r="A620" s="38">
        <v>7426.0</v>
      </c>
      <c r="B620" s="26" t="s">
        <v>1165</v>
      </c>
      <c r="C620" s="26" t="s">
        <v>1174</v>
      </c>
      <c r="D620" s="1" t="s">
        <v>236</v>
      </c>
      <c r="E620" s="26" t="s">
        <v>1179</v>
      </c>
      <c r="F620" s="25">
        <v>2005.0</v>
      </c>
      <c r="G620" s="25">
        <v>2008.0</v>
      </c>
      <c r="H620" s="25">
        <v>0.0</v>
      </c>
      <c r="I620" s="25">
        <v>1.9</v>
      </c>
      <c r="J620" s="50">
        <v>1.0</v>
      </c>
      <c r="K620" s="25">
        <v>1.9</v>
      </c>
      <c r="L620" s="51">
        <v>0.0</v>
      </c>
      <c r="M620" s="51">
        <v>0.0</v>
      </c>
      <c r="N620" s="25">
        <v>2.0</v>
      </c>
      <c r="O620" s="25"/>
      <c r="P620" s="26" t="s">
        <v>60</v>
      </c>
      <c r="Q620" s="52">
        <v>158.0</v>
      </c>
      <c r="R620" s="26" t="s">
        <v>52</v>
      </c>
      <c r="S620" s="25">
        <v>2006.0</v>
      </c>
      <c r="T620" s="25">
        <v>1.25</v>
      </c>
      <c r="U620" s="25">
        <f t="shared" si="91"/>
        <v>197.5</v>
      </c>
      <c r="V620" s="24">
        <f t="shared" si="3"/>
        <v>103.9473684</v>
      </c>
      <c r="W620" s="3">
        <f t="shared" si="29"/>
        <v>0</v>
      </c>
      <c r="X620" s="3">
        <f t="shared" si="30"/>
        <v>0</v>
      </c>
      <c r="Y620" s="3">
        <f t="shared" si="31"/>
        <v>0</v>
      </c>
      <c r="Z620" s="25">
        <f t="shared" si="32"/>
        <v>0</v>
      </c>
      <c r="AA620" s="26">
        <f>VLOOKUP(S620,CPI!$A$2:$E$67,5,0)</f>
        <v>1.511418651</v>
      </c>
      <c r="AB620" s="27">
        <f t="shared" si="8"/>
        <v>298.5051835</v>
      </c>
      <c r="AC620" s="27">
        <f t="shared" si="9"/>
        <v>157.1079913</v>
      </c>
    </row>
    <row r="621">
      <c r="A621" s="38">
        <v>7425.0</v>
      </c>
      <c r="B621" s="26" t="s">
        <v>1165</v>
      </c>
      <c r="C621" s="26" t="s">
        <v>1174</v>
      </c>
      <c r="D621" s="1" t="s">
        <v>243</v>
      </c>
      <c r="E621" s="26" t="s">
        <v>1181</v>
      </c>
      <c r="F621" s="25">
        <v>2007.0</v>
      </c>
      <c r="G621" s="25">
        <v>2011.0</v>
      </c>
      <c r="H621" s="25">
        <v>0.0</v>
      </c>
      <c r="I621" s="25">
        <v>1.3</v>
      </c>
      <c r="J621" s="50">
        <v>0.0</v>
      </c>
      <c r="K621" s="25">
        <v>0.0</v>
      </c>
      <c r="L621" s="51">
        <v>0.0</v>
      </c>
      <c r="M621" s="51">
        <v>0.0</v>
      </c>
      <c r="N621" s="25">
        <v>1.0</v>
      </c>
      <c r="O621" s="25"/>
      <c r="P621" s="26" t="s">
        <v>74</v>
      </c>
      <c r="Q621" s="52">
        <v>83.0</v>
      </c>
      <c r="R621" s="26" t="s">
        <v>52</v>
      </c>
      <c r="S621" s="25">
        <v>2005.0</v>
      </c>
      <c r="T621" s="25">
        <v>1.25</v>
      </c>
      <c r="U621" s="25">
        <f t="shared" si="91"/>
        <v>103.75</v>
      </c>
      <c r="V621" s="24">
        <f t="shared" si="3"/>
        <v>79.80769231</v>
      </c>
      <c r="W621" s="3">
        <f t="shared" si="29"/>
        <v>0</v>
      </c>
      <c r="X621" s="3">
        <f t="shared" si="30"/>
        <v>0</v>
      </c>
      <c r="Y621" s="3">
        <f t="shared" si="31"/>
        <v>0</v>
      </c>
      <c r="Z621" s="25">
        <f t="shared" si="32"/>
        <v>0</v>
      </c>
      <c r="AA621" s="26">
        <f>VLOOKUP(S621,CPI!$A$2:$E$67,5,0)</f>
        <v>1.560174091</v>
      </c>
      <c r="AB621" s="27">
        <f t="shared" si="8"/>
        <v>161.868062</v>
      </c>
      <c r="AC621" s="27">
        <f t="shared" si="9"/>
        <v>124.5138938</v>
      </c>
    </row>
    <row r="622">
      <c r="A622" s="38">
        <v>7427.0</v>
      </c>
      <c r="B622" s="26" t="s">
        <v>1165</v>
      </c>
      <c r="C622" s="26" t="s">
        <v>1174</v>
      </c>
      <c r="D622" s="1" t="s">
        <v>287</v>
      </c>
      <c r="E622" s="26" t="s">
        <v>1183</v>
      </c>
      <c r="F622" s="25">
        <v>2007.0</v>
      </c>
      <c r="G622" s="25">
        <v>2012.0</v>
      </c>
      <c r="H622" s="25">
        <v>0.0</v>
      </c>
      <c r="I622" s="25">
        <v>1.5</v>
      </c>
      <c r="J622" s="50">
        <v>1.0</v>
      </c>
      <c r="K622" s="25">
        <v>1.5</v>
      </c>
      <c r="L622" s="51">
        <v>0.0</v>
      </c>
      <c r="M622" s="51">
        <v>0.0</v>
      </c>
      <c r="N622" s="25">
        <v>1.0</v>
      </c>
      <c r="O622" s="25"/>
      <c r="P622" s="26" t="s">
        <v>59</v>
      </c>
      <c r="Q622" s="52">
        <v>295.0</v>
      </c>
      <c r="R622" s="26" t="s">
        <v>52</v>
      </c>
      <c r="S622" s="25">
        <v>2009.0</v>
      </c>
      <c r="T622" s="25">
        <v>1.3</v>
      </c>
      <c r="U622" s="25">
        <f t="shared" si="91"/>
        <v>383.5</v>
      </c>
      <c r="V622" s="24">
        <f t="shared" si="3"/>
        <v>255.6666667</v>
      </c>
      <c r="W622" s="3">
        <f t="shared" si="29"/>
        <v>0</v>
      </c>
      <c r="X622" s="3">
        <f t="shared" si="30"/>
        <v>0</v>
      </c>
      <c r="Y622" s="3">
        <f t="shared" si="31"/>
        <v>0</v>
      </c>
      <c r="Z622" s="25">
        <f t="shared" si="32"/>
        <v>0</v>
      </c>
      <c r="AA622" s="26">
        <f>VLOOKUP(S622,CPI!$A$2:$E$67,5,0)</f>
        <v>1.420277155</v>
      </c>
      <c r="AB622" s="27">
        <f t="shared" si="8"/>
        <v>544.6762889</v>
      </c>
      <c r="AC622" s="27">
        <f t="shared" si="9"/>
        <v>363.117526</v>
      </c>
    </row>
    <row r="623">
      <c r="A623" s="38">
        <v>7424.0</v>
      </c>
      <c r="B623" s="26" t="s">
        <v>1165</v>
      </c>
      <c r="C623" s="26" t="s">
        <v>1174</v>
      </c>
      <c r="D623" s="1" t="s">
        <v>110</v>
      </c>
      <c r="E623" s="26" t="s">
        <v>1185</v>
      </c>
      <c r="F623" s="25">
        <v>2008.0</v>
      </c>
      <c r="G623" s="25">
        <v>2013.0</v>
      </c>
      <c r="H623" s="25">
        <v>0.0</v>
      </c>
      <c r="I623" s="25">
        <v>1.5</v>
      </c>
      <c r="J623" s="50">
        <v>1.0</v>
      </c>
      <c r="K623" s="25">
        <v>1.5</v>
      </c>
      <c r="L623" s="51">
        <v>0.0</v>
      </c>
      <c r="M623" s="51">
        <v>0.0</v>
      </c>
      <c r="N623" s="25">
        <v>1.0</v>
      </c>
      <c r="O623" s="25"/>
      <c r="P623" s="26" t="s">
        <v>42</v>
      </c>
      <c r="Q623" s="52">
        <v>185.3</v>
      </c>
      <c r="R623" s="26" t="s">
        <v>52</v>
      </c>
      <c r="S623" s="25">
        <v>2010.0</v>
      </c>
      <c r="T623" s="25">
        <v>1.3</v>
      </c>
      <c r="U623" s="25">
        <f t="shared" si="91"/>
        <v>240.89</v>
      </c>
      <c r="V623" s="24">
        <f t="shared" si="3"/>
        <v>160.5933333</v>
      </c>
      <c r="W623" s="3">
        <f t="shared" si="29"/>
        <v>0</v>
      </c>
      <c r="X623" s="3">
        <f t="shared" si="30"/>
        <v>0</v>
      </c>
      <c r="Y623" s="3">
        <f t="shared" si="31"/>
        <v>0</v>
      </c>
      <c r="Z623" s="25">
        <f t="shared" si="32"/>
        <v>0</v>
      </c>
      <c r="AA623" s="26">
        <f>VLOOKUP(S623,CPI!$A$2:$E$67,5,0)</f>
        <v>1.397356642</v>
      </c>
      <c r="AB623" s="27">
        <f t="shared" si="8"/>
        <v>336.6092416</v>
      </c>
      <c r="AC623" s="27">
        <f t="shared" si="9"/>
        <v>224.406161</v>
      </c>
    </row>
    <row r="624">
      <c r="A624" s="38">
        <v>7330.0</v>
      </c>
      <c r="B624" s="26" t="s">
        <v>1165</v>
      </c>
      <c r="C624" s="26" t="s">
        <v>1174</v>
      </c>
      <c r="D624" s="1" t="s">
        <v>287</v>
      </c>
      <c r="E624" s="26" t="s">
        <v>1187</v>
      </c>
      <c r="F624" s="25">
        <v>2012.0</v>
      </c>
      <c r="G624" s="25">
        <v>2021.0</v>
      </c>
      <c r="H624" s="25">
        <v>0.0</v>
      </c>
      <c r="I624" s="25">
        <v>1.7</v>
      </c>
      <c r="J624" s="50">
        <v>1.0</v>
      </c>
      <c r="K624" s="25">
        <v>1.7</v>
      </c>
      <c r="L624" s="51">
        <v>0.0</v>
      </c>
      <c r="M624" s="51">
        <v>0.0</v>
      </c>
      <c r="N624" s="25">
        <v>2.0</v>
      </c>
      <c r="O624" s="25"/>
      <c r="P624" s="26" t="s">
        <v>60</v>
      </c>
      <c r="Q624" s="52">
        <v>175.1</v>
      </c>
      <c r="R624" s="26" t="s">
        <v>52</v>
      </c>
      <c r="S624" s="25">
        <v>2006.0</v>
      </c>
      <c r="T624" s="25">
        <v>1.25</v>
      </c>
      <c r="U624" s="25">
        <f t="shared" si="91"/>
        <v>218.875</v>
      </c>
      <c r="V624" s="24">
        <f t="shared" si="3"/>
        <v>128.75</v>
      </c>
      <c r="W624" s="3">
        <f t="shared" si="29"/>
        <v>0</v>
      </c>
      <c r="X624" s="3">
        <f t="shared" si="30"/>
        <v>0</v>
      </c>
      <c r="Y624" s="3">
        <f t="shared" si="31"/>
        <v>0</v>
      </c>
      <c r="Z624" s="25">
        <f t="shared" si="32"/>
        <v>0</v>
      </c>
      <c r="AA624" s="26">
        <f>VLOOKUP(S624,CPI!$A$2:$E$67,5,0)</f>
        <v>1.511418651</v>
      </c>
      <c r="AB624" s="27">
        <f t="shared" si="8"/>
        <v>330.8117572</v>
      </c>
      <c r="AC624" s="27">
        <f t="shared" si="9"/>
        <v>194.5951513</v>
      </c>
    </row>
    <row r="625">
      <c r="A625" s="38">
        <v>7418.0</v>
      </c>
      <c r="B625" s="26" t="s">
        <v>1165</v>
      </c>
      <c r="C625" s="26" t="s">
        <v>1174</v>
      </c>
      <c r="D625" s="1" t="s">
        <v>110</v>
      </c>
      <c r="E625" s="26" t="s">
        <v>1189</v>
      </c>
      <c r="F625" s="25">
        <v>2014.0</v>
      </c>
      <c r="G625" s="25">
        <v>2021.0</v>
      </c>
      <c r="H625" s="25">
        <v>0.0</v>
      </c>
      <c r="I625" s="25">
        <v>1.8</v>
      </c>
      <c r="J625" s="50">
        <v>1.0</v>
      </c>
      <c r="K625" s="25">
        <v>1.8</v>
      </c>
      <c r="L625" s="51">
        <v>0.0</v>
      </c>
      <c r="M625" s="51">
        <v>0.0</v>
      </c>
      <c r="N625" s="25">
        <v>2.0</v>
      </c>
      <c r="O625" s="25"/>
      <c r="P625" s="26" t="s">
        <v>60</v>
      </c>
      <c r="Q625" s="52">
        <v>380.0</v>
      </c>
      <c r="R625" s="26" t="s">
        <v>52</v>
      </c>
      <c r="S625" s="25">
        <v>2011.0</v>
      </c>
      <c r="T625" s="25">
        <v>1.3</v>
      </c>
      <c r="U625" s="25">
        <f t="shared" si="91"/>
        <v>494</v>
      </c>
      <c r="V625" s="24">
        <f t="shared" si="3"/>
        <v>274.4444444</v>
      </c>
      <c r="W625" s="3">
        <f t="shared" si="29"/>
        <v>0</v>
      </c>
      <c r="X625" s="3">
        <f t="shared" si="30"/>
        <v>0</v>
      </c>
      <c r="Y625" s="3">
        <f t="shared" si="31"/>
        <v>0</v>
      </c>
      <c r="Z625" s="25">
        <f t="shared" si="32"/>
        <v>0</v>
      </c>
      <c r="AA625" s="26">
        <f>VLOOKUP(S625,CPI!$A$2:$E$67,5,0)</f>
        <v>1.354598358</v>
      </c>
      <c r="AB625" s="27">
        <f t="shared" si="8"/>
        <v>669.1715887</v>
      </c>
      <c r="AC625" s="27">
        <f t="shared" si="9"/>
        <v>371.7619937</v>
      </c>
    </row>
    <row r="626">
      <c r="A626" s="38">
        <v>7419.0</v>
      </c>
      <c r="B626" s="26" t="s">
        <v>1165</v>
      </c>
      <c r="C626" s="26" t="s">
        <v>1174</v>
      </c>
      <c r="D626" s="1" t="s">
        <v>1191</v>
      </c>
      <c r="E626" s="26" t="s">
        <v>1192</v>
      </c>
      <c r="F626" s="25">
        <v>2018.0</v>
      </c>
      <c r="G626" s="25">
        <v>2022.0</v>
      </c>
      <c r="H626" s="25">
        <v>1.0</v>
      </c>
      <c r="I626" s="25">
        <v>8.0</v>
      </c>
      <c r="J626" s="50">
        <v>1.0</v>
      </c>
      <c r="K626" s="25">
        <v>8.0</v>
      </c>
      <c r="L626" s="51">
        <v>0.0</v>
      </c>
      <c r="M626" s="51">
        <v>0.0</v>
      </c>
      <c r="N626" s="25">
        <v>2.0</v>
      </c>
      <c r="O626" s="25"/>
      <c r="P626" s="26" t="s">
        <v>74</v>
      </c>
      <c r="Q626" s="52">
        <v>1800.0</v>
      </c>
      <c r="R626" s="26" t="s">
        <v>52</v>
      </c>
      <c r="S626" s="25">
        <v>2012.0</v>
      </c>
      <c r="T626" s="25">
        <v>1.3</v>
      </c>
      <c r="U626" s="25">
        <f t="shared" si="91"/>
        <v>2340</v>
      </c>
      <c r="V626" s="24">
        <f t="shared" si="3"/>
        <v>292.5</v>
      </c>
      <c r="W626" s="3">
        <f t="shared" si="29"/>
        <v>0</v>
      </c>
      <c r="X626" s="3">
        <f t="shared" si="30"/>
        <v>0</v>
      </c>
      <c r="Y626" s="3">
        <f t="shared" si="31"/>
        <v>0</v>
      </c>
      <c r="Z626" s="25">
        <f t="shared" si="32"/>
        <v>0</v>
      </c>
      <c r="AA626" s="26">
        <f>VLOOKUP(S626,CPI!$A$2:$E$67,5,0)</f>
        <v>1.327133984</v>
      </c>
      <c r="AB626" s="27">
        <f t="shared" si="8"/>
        <v>3105.493523</v>
      </c>
      <c r="AC626" s="27">
        <f t="shared" si="9"/>
        <v>388.1866904</v>
      </c>
    </row>
    <row r="627">
      <c r="A627" s="38">
        <v>7432.0</v>
      </c>
      <c r="B627" s="26" t="s">
        <v>1165</v>
      </c>
      <c r="C627" s="26" t="s">
        <v>1174</v>
      </c>
      <c r="D627" s="1" t="s">
        <v>292</v>
      </c>
      <c r="E627" s="26" t="s">
        <v>292</v>
      </c>
      <c r="F627" s="25">
        <v>2016.0</v>
      </c>
      <c r="G627" s="58">
        <v>2024.0</v>
      </c>
      <c r="H627" s="25">
        <v>0.0</v>
      </c>
      <c r="I627" s="58">
        <v>6.3</v>
      </c>
      <c r="J627" s="50">
        <v>0.9</v>
      </c>
      <c r="K627" s="58">
        <v>5.7</v>
      </c>
      <c r="L627" s="58">
        <v>0.6</v>
      </c>
      <c r="M627" s="51">
        <v>0.0</v>
      </c>
      <c r="N627" s="25">
        <v>6.0</v>
      </c>
      <c r="O627" s="25"/>
      <c r="P627" s="26" t="s">
        <v>59</v>
      </c>
      <c r="Q627" s="52">
        <v>1084.0</v>
      </c>
      <c r="R627" s="26" t="s">
        <v>52</v>
      </c>
      <c r="S627" s="25">
        <v>2014.0</v>
      </c>
      <c r="T627" s="25">
        <v>1.3</v>
      </c>
      <c r="U627" s="25">
        <f t="shared" si="91"/>
        <v>1409.2</v>
      </c>
      <c r="V627" s="24">
        <f t="shared" si="3"/>
        <v>223.6825397</v>
      </c>
      <c r="W627" s="3">
        <f t="shared" si="29"/>
        <v>0</v>
      </c>
      <c r="X627" s="3">
        <f t="shared" si="30"/>
        <v>0</v>
      </c>
      <c r="Y627" s="3">
        <f t="shared" si="31"/>
        <v>0</v>
      </c>
      <c r="Z627" s="25">
        <f t="shared" si="32"/>
        <v>0</v>
      </c>
      <c r="AA627" s="26">
        <f>VLOOKUP(S627,CPI!$A$2:$E$67,5,0)</f>
        <v>1.287096175</v>
      </c>
      <c r="AB627" s="27">
        <f t="shared" si="8"/>
        <v>1813.775929</v>
      </c>
      <c r="AC627" s="27">
        <f t="shared" si="9"/>
        <v>287.9009412</v>
      </c>
    </row>
    <row r="628">
      <c r="A628" s="38">
        <v>7240.0</v>
      </c>
      <c r="B628" s="26" t="s">
        <v>1165</v>
      </c>
      <c r="C628" s="26" t="s">
        <v>1174</v>
      </c>
      <c r="D628" s="26" t="s">
        <v>1195</v>
      </c>
      <c r="E628" s="26" t="s">
        <v>1195</v>
      </c>
      <c r="F628" s="25">
        <v>2017.0</v>
      </c>
      <c r="G628" s="25">
        <v>2030.0</v>
      </c>
      <c r="H628" s="25">
        <v>0.0</v>
      </c>
      <c r="I628" s="25">
        <v>200.0</v>
      </c>
      <c r="J628" s="50">
        <v>0.8</v>
      </c>
      <c r="K628" s="25">
        <v>160.0</v>
      </c>
      <c r="L628" s="51">
        <v>0.0</v>
      </c>
      <c r="M628" s="51">
        <v>0.0</v>
      </c>
      <c r="N628" s="25">
        <v>68.0</v>
      </c>
      <c r="O628" s="25"/>
      <c r="P628" s="26" t="s">
        <v>74</v>
      </c>
      <c r="Q628" s="55">
        <v>36100.0</v>
      </c>
      <c r="R628" s="26" t="s">
        <v>52</v>
      </c>
      <c r="S628" s="25">
        <v>2012.0</v>
      </c>
      <c r="T628" s="25">
        <v>1.3</v>
      </c>
      <c r="U628" s="25">
        <f t="shared" si="91"/>
        <v>46930</v>
      </c>
      <c r="V628" s="24">
        <f t="shared" si="3"/>
        <v>234.65</v>
      </c>
      <c r="W628" s="3">
        <f t="shared" si="29"/>
        <v>0</v>
      </c>
      <c r="X628" s="3">
        <f t="shared" si="30"/>
        <v>0</v>
      </c>
      <c r="Y628" s="3">
        <f t="shared" si="31"/>
        <v>0</v>
      </c>
      <c r="Z628" s="25">
        <f t="shared" si="32"/>
        <v>0</v>
      </c>
      <c r="AA628" s="26">
        <f>VLOOKUP(S628,CPI!$A$2:$E$67,5,0)</f>
        <v>1.327133984</v>
      </c>
      <c r="AB628" s="27">
        <f t="shared" si="8"/>
        <v>62282.39788</v>
      </c>
      <c r="AC628" s="27">
        <f t="shared" si="9"/>
        <v>311.4119894</v>
      </c>
    </row>
    <row r="629">
      <c r="A629" s="38">
        <v>7331.0</v>
      </c>
      <c r="B629" s="26" t="s">
        <v>1165</v>
      </c>
      <c r="C629" s="26" t="s">
        <v>1174</v>
      </c>
      <c r="D629" s="1" t="s">
        <v>57</v>
      </c>
      <c r="E629" s="26" t="s">
        <v>58</v>
      </c>
      <c r="F629" s="25">
        <v>2021.0</v>
      </c>
      <c r="G629" s="25">
        <v>2030.0</v>
      </c>
      <c r="H629" s="25">
        <v>0.0</v>
      </c>
      <c r="I629" s="25">
        <v>4.9</v>
      </c>
      <c r="J629" s="50">
        <v>1.0</v>
      </c>
      <c r="K629" s="25">
        <v>4.9</v>
      </c>
      <c r="L629" s="51">
        <v>0.0</v>
      </c>
      <c r="M629" s="51">
        <v>0.0</v>
      </c>
      <c r="N629" s="25">
        <v>3.0</v>
      </c>
      <c r="O629" s="25"/>
      <c r="P629" s="26" t="s">
        <v>60</v>
      </c>
      <c r="Q629" s="52">
        <v>1385.0</v>
      </c>
      <c r="R629" s="26" t="s">
        <v>52</v>
      </c>
      <c r="S629" s="25">
        <v>2017.0</v>
      </c>
      <c r="T629" s="25">
        <v>1.3</v>
      </c>
      <c r="U629" s="25">
        <f t="shared" si="91"/>
        <v>1800.5</v>
      </c>
      <c r="V629" s="24">
        <f t="shared" si="3"/>
        <v>367.4489796</v>
      </c>
      <c r="W629" s="3">
        <f t="shared" si="29"/>
        <v>0</v>
      </c>
      <c r="X629" s="3">
        <f t="shared" si="30"/>
        <v>0</v>
      </c>
      <c r="Y629" s="3">
        <f t="shared" si="31"/>
        <v>0</v>
      </c>
      <c r="Z629" s="25">
        <f t="shared" si="32"/>
        <v>0</v>
      </c>
      <c r="AA629" s="26">
        <f>VLOOKUP(S629,CPI!$A$2:$E$67,5,0)</f>
        <v>1.243072781</v>
      </c>
      <c r="AB629" s="27">
        <f t="shared" si="8"/>
        <v>2238.152542</v>
      </c>
      <c r="AC629" s="27">
        <f t="shared" si="9"/>
        <v>456.7658248</v>
      </c>
    </row>
    <row r="630">
      <c r="A630" s="61">
        <v>9770.0</v>
      </c>
      <c r="B630" s="26" t="s">
        <v>1165</v>
      </c>
      <c r="C630" s="26" t="s">
        <v>1198</v>
      </c>
      <c r="D630" s="26" t="s">
        <v>1169</v>
      </c>
      <c r="E630" s="26" t="s">
        <v>1169</v>
      </c>
      <c r="F630" s="25">
        <v>2014.0</v>
      </c>
      <c r="G630" s="25">
        <v>2021.0</v>
      </c>
      <c r="H630" s="25">
        <v>0.0</v>
      </c>
      <c r="I630" s="25">
        <v>14.0</v>
      </c>
      <c r="J630" s="50">
        <v>0.79</v>
      </c>
      <c r="K630" s="25">
        <v>11.0</v>
      </c>
      <c r="L630" s="51">
        <v>0.0</v>
      </c>
      <c r="M630" s="51">
        <v>0.0</v>
      </c>
      <c r="N630" s="25">
        <v>15.0</v>
      </c>
      <c r="O630" s="25"/>
      <c r="P630" s="26" t="s">
        <v>36</v>
      </c>
      <c r="Q630" s="52">
        <v>1342.0</v>
      </c>
      <c r="R630" s="26" t="s">
        <v>52</v>
      </c>
      <c r="S630" s="25">
        <v>2020.0</v>
      </c>
      <c r="T630" s="25">
        <v>1.3</v>
      </c>
      <c r="U630" s="25">
        <f t="shared" si="91"/>
        <v>1744.6</v>
      </c>
      <c r="V630" s="24">
        <f t="shared" si="3"/>
        <v>124.6142857</v>
      </c>
      <c r="W630" s="3">
        <f t="shared" si="29"/>
        <v>0</v>
      </c>
      <c r="X630" s="3">
        <f t="shared" si="30"/>
        <v>0</v>
      </c>
      <c r="Y630" s="3">
        <f t="shared" si="31"/>
        <v>0</v>
      </c>
      <c r="Z630" s="25">
        <f t="shared" si="32"/>
        <v>0</v>
      </c>
      <c r="AA630" s="26">
        <f>VLOOKUP(S630,CPI!$A$2:$E$67,5,0)</f>
        <v>1.17731472</v>
      </c>
      <c r="AB630" s="27">
        <f t="shared" si="8"/>
        <v>2053.943261</v>
      </c>
      <c r="AC630" s="27">
        <f t="shared" si="9"/>
        <v>146.7102329</v>
      </c>
    </row>
    <row r="631">
      <c r="A631" s="38">
        <v>7203.0</v>
      </c>
      <c r="B631" s="26" t="s">
        <v>1165</v>
      </c>
      <c r="C631" s="26" t="s">
        <v>1200</v>
      </c>
      <c r="D631" s="16" t="s">
        <v>87</v>
      </c>
      <c r="E631" s="26" t="s">
        <v>87</v>
      </c>
      <c r="F631" s="25">
        <v>2021.0</v>
      </c>
      <c r="G631" s="25">
        <v>2025.0</v>
      </c>
      <c r="H631" s="25">
        <v>0.0</v>
      </c>
      <c r="I631" s="25">
        <v>27.0</v>
      </c>
      <c r="J631" s="50">
        <v>0.6</v>
      </c>
      <c r="K631" s="25">
        <v>16.2</v>
      </c>
      <c r="L631" s="51">
        <v>0.0</v>
      </c>
      <c r="M631" s="51">
        <v>0.0</v>
      </c>
      <c r="N631" s="25">
        <v>21.0</v>
      </c>
      <c r="O631" s="25"/>
      <c r="P631" s="26" t="s">
        <v>60</v>
      </c>
      <c r="Q631" s="52">
        <v>2670.0</v>
      </c>
      <c r="R631" s="26" t="s">
        <v>52</v>
      </c>
      <c r="S631" s="25">
        <v>2016.0</v>
      </c>
      <c r="T631" s="25">
        <v>1.3</v>
      </c>
      <c r="U631" s="25">
        <f t="shared" si="91"/>
        <v>3471</v>
      </c>
      <c r="V631" s="24">
        <f t="shared" si="3"/>
        <v>128.5555556</v>
      </c>
      <c r="W631" s="3">
        <f t="shared" si="29"/>
        <v>0</v>
      </c>
      <c r="X631" s="3">
        <f t="shared" si="30"/>
        <v>0</v>
      </c>
      <c r="Y631" s="3">
        <f t="shared" si="31"/>
        <v>0</v>
      </c>
      <c r="Z631" s="25">
        <f t="shared" si="32"/>
        <v>0</v>
      </c>
      <c r="AA631" s="26">
        <f>VLOOKUP(S631,CPI!$A$2:$E$67,5,0)</f>
        <v>1.269554638</v>
      </c>
      <c r="AB631" s="27">
        <f t="shared" si="8"/>
        <v>4406.624148</v>
      </c>
      <c r="AC631" s="27">
        <f t="shared" si="9"/>
        <v>163.2083018</v>
      </c>
    </row>
    <row r="632">
      <c r="A632" s="38">
        <v>7314.0</v>
      </c>
      <c r="B632" s="26" t="s">
        <v>1202</v>
      </c>
      <c r="C632" s="26" t="s">
        <v>1203</v>
      </c>
      <c r="D632" s="1" t="s">
        <v>87</v>
      </c>
      <c r="E632" s="26" t="s">
        <v>1204</v>
      </c>
      <c r="F632" s="25">
        <v>2012.0</v>
      </c>
      <c r="G632" s="25">
        <v>2021.0</v>
      </c>
      <c r="H632" s="25">
        <v>0.0</v>
      </c>
      <c r="I632" s="25">
        <v>7.6</v>
      </c>
      <c r="J632" s="50">
        <v>1.0</v>
      </c>
      <c r="K632" s="25">
        <v>7.6</v>
      </c>
      <c r="L632" s="51">
        <v>0.0</v>
      </c>
      <c r="M632" s="51">
        <v>0.0</v>
      </c>
      <c r="N632" s="25">
        <v>6.0</v>
      </c>
      <c r="O632" s="25"/>
      <c r="P632" s="26" t="s">
        <v>60</v>
      </c>
      <c r="Q632" s="52">
        <v>742.0</v>
      </c>
      <c r="R632" s="26" t="s">
        <v>52</v>
      </c>
      <c r="S632" s="25">
        <v>2016.0</v>
      </c>
      <c r="T632" s="25">
        <v>1.3</v>
      </c>
      <c r="U632" s="25">
        <f t="shared" si="91"/>
        <v>964.6</v>
      </c>
      <c r="V632" s="24">
        <f t="shared" si="3"/>
        <v>126.9210526</v>
      </c>
      <c r="W632" s="3">
        <f t="shared" si="29"/>
        <v>1</v>
      </c>
      <c r="X632" s="3">
        <f t="shared" si="30"/>
        <v>7.6</v>
      </c>
      <c r="Y632" s="3">
        <f t="shared" si="31"/>
        <v>7.6</v>
      </c>
      <c r="Z632" s="25">
        <f t="shared" si="32"/>
        <v>0</v>
      </c>
      <c r="AA632" s="26">
        <f>VLOOKUP(S632,CPI!$A$2:$E$67,5,0)</f>
        <v>1.269554638</v>
      </c>
      <c r="AB632" s="27">
        <f t="shared" si="8"/>
        <v>1224.612404</v>
      </c>
      <c r="AC632" s="27">
        <f t="shared" si="9"/>
        <v>161.133211</v>
      </c>
    </row>
    <row r="633">
      <c r="A633" s="38">
        <v>7313.0</v>
      </c>
      <c r="B633" s="26" t="s">
        <v>1202</v>
      </c>
      <c r="C633" s="26" t="s">
        <v>1203</v>
      </c>
      <c r="D633" s="26" t="s">
        <v>110</v>
      </c>
      <c r="E633" s="26" t="s">
        <v>110</v>
      </c>
      <c r="F633" s="25">
        <v>2019.0</v>
      </c>
      <c r="G633" s="25">
        <v>2027.0</v>
      </c>
      <c r="H633" s="25">
        <v>0.0</v>
      </c>
      <c r="I633" s="25">
        <v>12.8</v>
      </c>
      <c r="J633" s="50">
        <v>1.0</v>
      </c>
      <c r="K633" s="25">
        <v>12.8</v>
      </c>
      <c r="L633" s="51">
        <v>0.0</v>
      </c>
      <c r="M633" s="51">
        <v>0.0</v>
      </c>
      <c r="N633" s="25">
        <v>15.0</v>
      </c>
      <c r="O633" s="25"/>
      <c r="P633" s="26" t="s">
        <v>60</v>
      </c>
      <c r="Q633" s="52">
        <v>1328.0</v>
      </c>
      <c r="R633" s="26" t="s">
        <v>52</v>
      </c>
      <c r="S633" s="25">
        <v>2023.0</v>
      </c>
      <c r="T633" s="25">
        <v>1.3</v>
      </c>
      <c r="U633" s="25">
        <f t="shared" si="91"/>
        <v>1726.4</v>
      </c>
      <c r="V633" s="24">
        <f t="shared" si="3"/>
        <v>134.875</v>
      </c>
      <c r="W633" s="3">
        <f t="shared" si="29"/>
        <v>1</v>
      </c>
      <c r="X633" s="3">
        <f t="shared" si="30"/>
        <v>12.8</v>
      </c>
      <c r="Y633" s="3">
        <f t="shared" si="31"/>
        <v>12.8</v>
      </c>
      <c r="Z633" s="25">
        <f t="shared" si="32"/>
        <v>0</v>
      </c>
      <c r="AA633" s="26">
        <f>VLOOKUP(S633,CPI!$A$2:$E$67,5,0)</f>
        <v>1</v>
      </c>
      <c r="AB633" s="27">
        <f t="shared" si="8"/>
        <v>1726.4</v>
      </c>
      <c r="AC633" s="27">
        <f t="shared" si="9"/>
        <v>134.875</v>
      </c>
    </row>
    <row r="634">
      <c r="A634" s="38">
        <v>7315.0</v>
      </c>
      <c r="B634" s="2" t="s">
        <v>1202</v>
      </c>
      <c r="C634" s="2" t="s">
        <v>1207</v>
      </c>
      <c r="D634" s="2" t="s">
        <v>1208</v>
      </c>
      <c r="E634" s="2" t="s">
        <v>1208</v>
      </c>
      <c r="F634" s="3">
        <v>2006.0</v>
      </c>
      <c r="G634" s="3">
        <v>2020.0</v>
      </c>
      <c r="H634" s="3">
        <v>0.0</v>
      </c>
      <c r="I634" s="3">
        <v>9.5</v>
      </c>
      <c r="J634" s="39">
        <v>1.0</v>
      </c>
      <c r="K634" s="3">
        <v>9.5</v>
      </c>
      <c r="L634" s="40">
        <v>0.0</v>
      </c>
      <c r="M634" s="40">
        <v>0.0</v>
      </c>
      <c r="N634" s="3">
        <v>13.0</v>
      </c>
      <c r="O634" s="3"/>
      <c r="P634" s="2" t="s">
        <v>60</v>
      </c>
      <c r="Q634" s="41">
        <v>1112.0</v>
      </c>
      <c r="R634" s="2" t="s">
        <v>52</v>
      </c>
      <c r="S634" s="3">
        <v>2014.0</v>
      </c>
      <c r="T634" s="3">
        <v>1.3</v>
      </c>
      <c r="U634" s="3">
        <f t="shared" si="91"/>
        <v>1445.6</v>
      </c>
      <c r="V634" s="24">
        <f t="shared" si="3"/>
        <v>152.1684211</v>
      </c>
      <c r="W634" s="3">
        <f t="shared" si="29"/>
        <v>1</v>
      </c>
      <c r="X634" s="3">
        <f t="shared" si="30"/>
        <v>9.5</v>
      </c>
      <c r="Y634" s="3">
        <f t="shared" si="31"/>
        <v>9.5</v>
      </c>
      <c r="Z634" s="25">
        <f t="shared" si="32"/>
        <v>0</v>
      </c>
      <c r="AA634" s="26">
        <f>VLOOKUP(S634,CPI!$A$2:$E$67,5,0)</f>
        <v>1.287096175</v>
      </c>
      <c r="AB634" s="27">
        <f t="shared" si="8"/>
        <v>1860.62623</v>
      </c>
      <c r="AC634" s="27">
        <f t="shared" si="9"/>
        <v>195.8553926</v>
      </c>
    </row>
    <row r="635">
      <c r="A635" s="38">
        <v>7320.0</v>
      </c>
      <c r="B635" s="2" t="s">
        <v>1202</v>
      </c>
      <c r="C635" s="2" t="s">
        <v>1207</v>
      </c>
      <c r="D635" s="2" t="s">
        <v>1210</v>
      </c>
      <c r="E635" s="2" t="s">
        <v>1210</v>
      </c>
      <c r="F635" s="3">
        <v>2013.0</v>
      </c>
      <c r="G635" s="3">
        <v>2021.0</v>
      </c>
      <c r="H635" s="3">
        <v>0.0</v>
      </c>
      <c r="I635" s="3">
        <v>4.8</v>
      </c>
      <c r="J635" s="39">
        <v>1.0</v>
      </c>
      <c r="K635" s="3">
        <v>4.8</v>
      </c>
      <c r="L635" s="40">
        <v>0.0</v>
      </c>
      <c r="M635" s="40">
        <v>0.0</v>
      </c>
      <c r="N635" s="3">
        <v>5.0</v>
      </c>
      <c r="O635" s="3"/>
      <c r="P635" s="2" t="s">
        <v>60</v>
      </c>
      <c r="Q635" s="41">
        <v>567.0</v>
      </c>
      <c r="R635" s="2" t="s">
        <v>52</v>
      </c>
      <c r="S635" s="3">
        <v>2017.0</v>
      </c>
      <c r="T635" s="3">
        <v>1.3</v>
      </c>
      <c r="U635" s="3">
        <f t="shared" si="91"/>
        <v>737.1</v>
      </c>
      <c r="V635" s="24">
        <f t="shared" si="3"/>
        <v>153.5625</v>
      </c>
      <c r="W635" s="3">
        <f t="shared" si="29"/>
        <v>1</v>
      </c>
      <c r="X635" s="3">
        <f t="shared" si="30"/>
        <v>4.8</v>
      </c>
      <c r="Y635" s="3">
        <f t="shared" si="31"/>
        <v>4.8</v>
      </c>
      <c r="Z635" s="25">
        <f t="shared" si="32"/>
        <v>0</v>
      </c>
      <c r="AA635" s="26">
        <f>VLOOKUP(S635,CPI!$A$2:$E$67,5,0)</f>
        <v>1.243072781</v>
      </c>
      <c r="AB635" s="27">
        <f t="shared" si="8"/>
        <v>916.2689466</v>
      </c>
      <c r="AC635" s="27">
        <f t="shared" si="9"/>
        <v>190.8893639</v>
      </c>
    </row>
    <row r="636">
      <c r="A636" s="61">
        <v>9781.0</v>
      </c>
      <c r="B636" s="44" t="s">
        <v>1211</v>
      </c>
      <c r="C636" s="44" t="s">
        <v>1212</v>
      </c>
      <c r="D636" s="44" t="s">
        <v>1213</v>
      </c>
      <c r="E636" s="44" t="s">
        <v>1213</v>
      </c>
      <c r="F636" s="271">
        <v>1975.0</v>
      </c>
      <c r="G636" s="271">
        <v>1980.0</v>
      </c>
      <c r="H636" s="271">
        <v>0.0</v>
      </c>
      <c r="I636" s="271">
        <v>15.6</v>
      </c>
      <c r="J636" s="272">
        <v>0.821</v>
      </c>
      <c r="K636" s="271">
        <v>12.8</v>
      </c>
      <c r="L636" s="271">
        <v>2.8</v>
      </c>
      <c r="M636" s="271">
        <v>0.0</v>
      </c>
      <c r="N636" s="271">
        <v>15.0</v>
      </c>
      <c r="O636" s="271">
        <v>200.0</v>
      </c>
      <c r="P636" s="44" t="s">
        <v>60</v>
      </c>
      <c r="Q636" s="273">
        <v>5637.0</v>
      </c>
      <c r="R636" s="44" t="s">
        <v>1214</v>
      </c>
      <c r="S636" s="271">
        <v>1977.0</v>
      </c>
      <c r="T636" s="271">
        <v>0.9157</v>
      </c>
      <c r="U636" s="45">
        <f t="shared" si="91"/>
        <v>5161.8009</v>
      </c>
      <c r="V636" s="24">
        <f t="shared" si="3"/>
        <v>330.8846731</v>
      </c>
      <c r="W636" s="3">
        <f t="shared" si="29"/>
        <v>0</v>
      </c>
      <c r="X636" s="3">
        <f t="shared" si="30"/>
        <v>0</v>
      </c>
      <c r="Y636" s="3">
        <f t="shared" si="31"/>
        <v>0</v>
      </c>
      <c r="Z636" s="25">
        <f t="shared" si="32"/>
        <v>0</v>
      </c>
      <c r="AA636" s="26">
        <f>VLOOKUP(S636,CPI!$A$2:$E$67,5,0)</f>
        <v>5.028085809</v>
      </c>
      <c r="AB636" s="27">
        <f t="shared" si="8"/>
        <v>25953.97785</v>
      </c>
      <c r="AC636" s="27">
        <f t="shared" si="9"/>
        <v>1663.716529</v>
      </c>
    </row>
    <row r="637">
      <c r="A637" s="61">
        <v>9782.0</v>
      </c>
      <c r="B637" s="44" t="s">
        <v>1211</v>
      </c>
      <c r="C637" s="44" t="s">
        <v>1212</v>
      </c>
      <c r="D637" s="44" t="s">
        <v>1216</v>
      </c>
      <c r="E637" s="44" t="s">
        <v>1217</v>
      </c>
      <c r="F637" s="271">
        <v>1978.0</v>
      </c>
      <c r="G637" s="271">
        <v>1982.0</v>
      </c>
      <c r="H637" s="271">
        <v>0.0</v>
      </c>
      <c r="I637" s="271">
        <v>10.5</v>
      </c>
      <c r="J637" s="272">
        <v>0.8</v>
      </c>
      <c r="K637" s="271">
        <v>8.4</v>
      </c>
      <c r="L637" s="271">
        <v>2.0</v>
      </c>
      <c r="M637" s="271">
        <v>0.1</v>
      </c>
      <c r="N637" s="271">
        <v>10.0</v>
      </c>
      <c r="O637" s="271">
        <v>200.0</v>
      </c>
      <c r="P637" s="44" t="s">
        <v>60</v>
      </c>
      <c r="Q637" s="273">
        <v>3900.0</v>
      </c>
      <c r="R637" s="44" t="s">
        <v>1214</v>
      </c>
      <c r="S637" s="271">
        <v>1980.0</v>
      </c>
      <c r="T637" s="271">
        <v>0.6209</v>
      </c>
      <c r="U637" s="45">
        <f t="shared" si="91"/>
        <v>2421.51</v>
      </c>
      <c r="V637" s="24">
        <f t="shared" si="3"/>
        <v>230.62</v>
      </c>
      <c r="W637" s="3">
        <f t="shared" si="29"/>
        <v>0</v>
      </c>
      <c r="X637" s="3">
        <f t="shared" si="30"/>
        <v>0</v>
      </c>
      <c r="Y637" s="3">
        <f t="shared" si="31"/>
        <v>0</v>
      </c>
      <c r="Z637" s="25">
        <f t="shared" si="32"/>
        <v>0</v>
      </c>
      <c r="AA637" s="26">
        <f>VLOOKUP(S637,CPI!$A$2:$E$67,5,0)</f>
        <v>3.697839806</v>
      </c>
      <c r="AB637" s="27">
        <f t="shared" si="8"/>
        <v>8954.356068</v>
      </c>
      <c r="AC637" s="27">
        <f t="shared" si="9"/>
        <v>852.795816</v>
      </c>
    </row>
    <row r="638">
      <c r="A638" s="61">
        <v>9783.0</v>
      </c>
      <c r="B638" s="44" t="s">
        <v>1211</v>
      </c>
      <c r="C638" s="44" t="s">
        <v>1212</v>
      </c>
      <c r="D638" s="44" t="s">
        <v>1219</v>
      </c>
      <c r="E638" s="44" t="s">
        <v>1219</v>
      </c>
      <c r="F638" s="271">
        <v>1981.0</v>
      </c>
      <c r="G638" s="271">
        <v>1986.0</v>
      </c>
      <c r="H638" s="271">
        <v>0.0</v>
      </c>
      <c r="I638" s="271">
        <v>12.5</v>
      </c>
      <c r="J638" s="272">
        <v>0.84</v>
      </c>
      <c r="K638" s="271">
        <v>10.5</v>
      </c>
      <c r="L638" s="271">
        <v>2.0</v>
      </c>
      <c r="M638" s="271">
        <v>0.0</v>
      </c>
      <c r="N638" s="271">
        <v>14.0</v>
      </c>
      <c r="O638" s="271">
        <v>200.0</v>
      </c>
      <c r="P638" s="44" t="s">
        <v>60</v>
      </c>
      <c r="Q638" s="273">
        <v>8748.0</v>
      </c>
      <c r="R638" s="44" t="s">
        <v>1214</v>
      </c>
      <c r="S638" s="271">
        <v>1983.0</v>
      </c>
      <c r="T638" s="271">
        <v>0.4907</v>
      </c>
      <c r="U638" s="45">
        <f t="shared" si="91"/>
        <v>4292.6436</v>
      </c>
      <c r="V638" s="24">
        <f t="shared" si="3"/>
        <v>343.411488</v>
      </c>
      <c r="W638" s="3">
        <f t="shared" si="29"/>
        <v>0</v>
      </c>
      <c r="X638" s="3">
        <f t="shared" si="30"/>
        <v>0</v>
      </c>
      <c r="Y638" s="3">
        <f t="shared" si="31"/>
        <v>0</v>
      </c>
      <c r="Z638" s="25">
        <f t="shared" si="32"/>
        <v>0</v>
      </c>
      <c r="AA638" s="26">
        <f>VLOOKUP(S638,CPI!$A$2:$E$67,5,0)</f>
        <v>3.059257028</v>
      </c>
      <c r="AB638" s="27">
        <f t="shared" si="8"/>
        <v>13132.3001</v>
      </c>
      <c r="AC638" s="27">
        <f t="shared" si="9"/>
        <v>1050.584008</v>
      </c>
    </row>
    <row r="639">
      <c r="A639" s="61">
        <v>9784.0</v>
      </c>
      <c r="B639" s="44" t="s">
        <v>1211</v>
      </c>
      <c r="C639" s="44" t="s">
        <v>1212</v>
      </c>
      <c r="D639" s="44" t="s">
        <v>1221</v>
      </c>
      <c r="E639" s="44" t="s">
        <v>1221</v>
      </c>
      <c r="F639" s="271">
        <v>1986.0</v>
      </c>
      <c r="G639" s="271">
        <v>1989.0</v>
      </c>
      <c r="H639" s="271">
        <v>0.0</v>
      </c>
      <c r="I639" s="271">
        <v>4.6</v>
      </c>
      <c r="J639" s="272">
        <v>1.0</v>
      </c>
      <c r="K639" s="271">
        <v>4.6</v>
      </c>
      <c r="L639" s="271">
        <v>0.0</v>
      </c>
      <c r="M639" s="271">
        <v>0.0</v>
      </c>
      <c r="N639" s="271">
        <v>1.0</v>
      </c>
      <c r="O639" s="271">
        <v>200.0</v>
      </c>
      <c r="P639" s="44" t="s">
        <v>60</v>
      </c>
      <c r="Q639" s="273">
        <v>1254.0</v>
      </c>
      <c r="R639" s="44" t="s">
        <v>1214</v>
      </c>
      <c r="S639" s="271">
        <v>1987.0</v>
      </c>
      <c r="T639" s="271">
        <v>0.3768</v>
      </c>
      <c r="U639" s="45">
        <f t="shared" si="91"/>
        <v>472.5072</v>
      </c>
      <c r="V639" s="24">
        <f t="shared" si="3"/>
        <v>102.7189565</v>
      </c>
      <c r="W639" s="3">
        <f t="shared" si="29"/>
        <v>0</v>
      </c>
      <c r="X639" s="3">
        <f t="shared" si="30"/>
        <v>0</v>
      </c>
      <c r="Y639" s="3">
        <f t="shared" si="31"/>
        <v>0</v>
      </c>
      <c r="Z639" s="25">
        <f t="shared" si="32"/>
        <v>0</v>
      </c>
      <c r="AA639" s="26">
        <f>VLOOKUP(S639,CPI!$A$2:$E$67,5,0)</f>
        <v>2.682235915</v>
      </c>
      <c r="AB639" s="27">
        <f t="shared" si="8"/>
        <v>1267.375782</v>
      </c>
      <c r="AC639" s="27">
        <f t="shared" si="9"/>
        <v>275.5164744</v>
      </c>
    </row>
    <row r="640">
      <c r="A640" s="277">
        <v>9773.0</v>
      </c>
      <c r="B640" s="278" t="s">
        <v>1211</v>
      </c>
      <c r="C640" s="278" t="s">
        <v>1212</v>
      </c>
      <c r="D640" s="278" t="s">
        <v>1223</v>
      </c>
      <c r="E640" s="278" t="s">
        <v>1223</v>
      </c>
      <c r="F640" s="279">
        <v>1994.0</v>
      </c>
      <c r="G640" s="279">
        <v>1998.0</v>
      </c>
      <c r="H640" s="279">
        <v>0.0</v>
      </c>
      <c r="I640" s="279">
        <v>34.0</v>
      </c>
      <c r="J640" s="280">
        <v>0.2353</v>
      </c>
      <c r="K640" s="279">
        <v>8.0</v>
      </c>
      <c r="L640" s="279">
        <v>6.0</v>
      </c>
      <c r="M640" s="279">
        <v>20.0</v>
      </c>
      <c r="N640" s="279">
        <v>9.0</v>
      </c>
      <c r="O640" s="279">
        <v>200.0</v>
      </c>
      <c r="P640" s="278" t="s">
        <v>60</v>
      </c>
      <c r="Q640" s="281">
        <v>34000.0</v>
      </c>
      <c r="R640" s="278" t="s">
        <v>1214</v>
      </c>
      <c r="S640" s="279">
        <v>1996.0</v>
      </c>
      <c r="T640" s="279">
        <v>0.1871</v>
      </c>
      <c r="U640" s="282">
        <f t="shared" si="91"/>
        <v>6361.4</v>
      </c>
      <c r="V640" s="24">
        <f t="shared" si="3"/>
        <v>187.1</v>
      </c>
      <c r="W640" s="3">
        <f t="shared" si="29"/>
        <v>0</v>
      </c>
      <c r="X640" s="3">
        <f t="shared" si="30"/>
        <v>0</v>
      </c>
      <c r="Y640" s="3">
        <f t="shared" si="31"/>
        <v>0</v>
      </c>
      <c r="Z640" s="25">
        <f t="shared" si="32"/>
        <v>0</v>
      </c>
      <c r="AA640" s="26">
        <f>VLOOKUP(S640,CPI!$A$2:$E$67,5,0)</f>
        <v>1.942014022</v>
      </c>
      <c r="AB640" s="27">
        <f t="shared" si="8"/>
        <v>12353.928</v>
      </c>
      <c r="AC640" s="27">
        <f t="shared" si="9"/>
        <v>363.3508235</v>
      </c>
    </row>
    <row r="641">
      <c r="A641" s="277">
        <v>9774.0</v>
      </c>
      <c r="B641" s="278" t="s">
        <v>1211</v>
      </c>
      <c r="C641" s="278" t="s">
        <v>1212</v>
      </c>
      <c r="D641" s="16" t="s">
        <v>1225</v>
      </c>
      <c r="E641" s="278" t="s">
        <v>1226</v>
      </c>
      <c r="F641" s="279">
        <v>1997.0</v>
      </c>
      <c r="G641" s="279">
        <v>2001.0</v>
      </c>
      <c r="H641" s="279">
        <v>0.0</v>
      </c>
      <c r="I641" s="279">
        <v>2.1</v>
      </c>
      <c r="J641" s="280">
        <v>1.0</v>
      </c>
      <c r="K641" s="279">
        <v>2.1</v>
      </c>
      <c r="L641" s="279">
        <v>0.0</v>
      </c>
      <c r="M641" s="279">
        <v>0.0</v>
      </c>
      <c r="N641" s="279">
        <v>0.0</v>
      </c>
      <c r="O641" s="279" t="s">
        <v>1227</v>
      </c>
      <c r="P641" s="278" t="s">
        <v>60</v>
      </c>
      <c r="Q641" s="281">
        <v>3100.0</v>
      </c>
      <c r="R641" s="278" t="s">
        <v>1214</v>
      </c>
      <c r="S641" s="279">
        <v>1999.0</v>
      </c>
      <c r="T641" s="279">
        <v>0.1823</v>
      </c>
      <c r="U641" s="282">
        <f t="shared" si="91"/>
        <v>565.13</v>
      </c>
      <c r="V641" s="24">
        <f t="shared" si="3"/>
        <v>269.1095238</v>
      </c>
      <c r="W641" s="3">
        <f t="shared" si="29"/>
        <v>0</v>
      </c>
      <c r="X641" s="3">
        <f t="shared" si="30"/>
        <v>0</v>
      </c>
      <c r="Y641" s="3">
        <f t="shared" si="31"/>
        <v>0</v>
      </c>
      <c r="Z641" s="25">
        <f t="shared" si="32"/>
        <v>0</v>
      </c>
      <c r="AA641" s="26">
        <f>VLOOKUP(S641,CPI!$A$2:$E$67,5,0)</f>
        <v>1.828943577</v>
      </c>
      <c r="AB641" s="27">
        <f t="shared" si="8"/>
        <v>1033.590884</v>
      </c>
      <c r="AC641" s="27">
        <f t="shared" si="9"/>
        <v>492.1861352</v>
      </c>
    </row>
    <row r="642">
      <c r="A642" s="277">
        <v>9775.0</v>
      </c>
      <c r="B642" s="278" t="s">
        <v>1211</v>
      </c>
      <c r="C642" s="278" t="s">
        <v>1212</v>
      </c>
      <c r="D642" s="16" t="s">
        <v>1228</v>
      </c>
      <c r="E642" s="278" t="s">
        <v>1229</v>
      </c>
      <c r="F642" s="279">
        <v>1999.0</v>
      </c>
      <c r="G642" s="279">
        <v>2002.0</v>
      </c>
      <c r="H642" s="279">
        <v>0.0</v>
      </c>
      <c r="I642" s="279">
        <v>4.0</v>
      </c>
      <c r="J642" s="280">
        <v>1.0</v>
      </c>
      <c r="K642" s="279">
        <v>4.0</v>
      </c>
      <c r="L642" s="279">
        <v>0.0</v>
      </c>
      <c r="M642" s="279">
        <v>0.0</v>
      </c>
      <c r="N642" s="279">
        <v>5.0</v>
      </c>
      <c r="O642" s="279">
        <v>200.0</v>
      </c>
      <c r="P642" s="278" t="s">
        <v>60</v>
      </c>
      <c r="Q642" s="281">
        <v>16000.0</v>
      </c>
      <c r="R642" s="278" t="s">
        <v>1214</v>
      </c>
      <c r="S642" s="279">
        <v>2000.0</v>
      </c>
      <c r="T642" s="279">
        <v>0.1886</v>
      </c>
      <c r="U642" s="282">
        <f t="shared" si="91"/>
        <v>3017.6</v>
      </c>
      <c r="V642" s="24">
        <f t="shared" si="3"/>
        <v>754.4</v>
      </c>
      <c r="W642" s="3">
        <f t="shared" si="29"/>
        <v>0</v>
      </c>
      <c r="X642" s="3">
        <f t="shared" si="30"/>
        <v>0</v>
      </c>
      <c r="Y642" s="3">
        <f t="shared" si="31"/>
        <v>0</v>
      </c>
      <c r="Z642" s="25">
        <f t="shared" si="32"/>
        <v>0</v>
      </c>
      <c r="AA642" s="26">
        <f>VLOOKUP(S642,CPI!$A$2:$E$67,5,0)</f>
        <v>1.769465738</v>
      </c>
      <c r="AB642" s="27">
        <f t="shared" si="8"/>
        <v>5339.53981</v>
      </c>
      <c r="AC642" s="27">
        <f t="shared" si="9"/>
        <v>1334.884952</v>
      </c>
    </row>
    <row r="643">
      <c r="A643" s="277">
        <v>9776.0</v>
      </c>
      <c r="B643" s="278" t="s">
        <v>1211</v>
      </c>
      <c r="C643" s="278" t="s">
        <v>1212</v>
      </c>
      <c r="D643" s="16" t="s">
        <v>1230</v>
      </c>
      <c r="E643" s="278" t="s">
        <v>1231</v>
      </c>
      <c r="F643" s="279">
        <v>2001.0</v>
      </c>
      <c r="G643" s="279">
        <v>2005.0</v>
      </c>
      <c r="H643" s="279">
        <v>0.0</v>
      </c>
      <c r="I643" s="279">
        <v>3.5</v>
      </c>
      <c r="J643" s="280">
        <v>0.25</v>
      </c>
      <c r="K643" s="279">
        <v>0.875</v>
      </c>
      <c r="L643" s="279">
        <v>0.0</v>
      </c>
      <c r="M643" s="279">
        <v>2.625</v>
      </c>
      <c r="N643" s="279">
        <v>2.0</v>
      </c>
      <c r="O643" s="282"/>
      <c r="P643" s="278" t="s">
        <v>59</v>
      </c>
      <c r="Q643" s="281">
        <v>2000.0</v>
      </c>
      <c r="R643" s="278" t="s">
        <v>1214</v>
      </c>
      <c r="S643" s="279">
        <v>2003.0</v>
      </c>
      <c r="T643" s="279">
        <v>0.2115</v>
      </c>
      <c r="U643" s="282">
        <f t="shared" si="91"/>
        <v>423</v>
      </c>
      <c r="V643" s="24">
        <f t="shared" si="3"/>
        <v>120.8571429</v>
      </c>
      <c r="W643" s="3">
        <f t="shared" si="29"/>
        <v>0</v>
      </c>
      <c r="X643" s="3">
        <f t="shared" si="30"/>
        <v>0</v>
      </c>
      <c r="Y643" s="3">
        <f t="shared" si="31"/>
        <v>0</v>
      </c>
      <c r="Z643" s="25">
        <f t="shared" si="32"/>
        <v>0</v>
      </c>
      <c r="AA643" s="26">
        <f>VLOOKUP(S643,CPI!$A$2:$E$67,5,0)</f>
        <v>1.65598913</v>
      </c>
      <c r="AB643" s="27">
        <f t="shared" si="8"/>
        <v>700.4834022</v>
      </c>
      <c r="AC643" s="27">
        <f t="shared" si="9"/>
        <v>200.1381149</v>
      </c>
    </row>
    <row r="644">
      <c r="A644" s="61">
        <v>9772.0</v>
      </c>
      <c r="B644" s="43" t="s">
        <v>1211</v>
      </c>
      <c r="C644" s="43" t="s">
        <v>1212</v>
      </c>
      <c r="D644" s="43" t="s">
        <v>1235</v>
      </c>
      <c r="E644" s="43" t="s">
        <v>1235</v>
      </c>
      <c r="F644" s="45">
        <v>2009.0</v>
      </c>
      <c r="G644" s="45">
        <v>2016.0</v>
      </c>
      <c r="H644" s="45">
        <v>0.0</v>
      </c>
      <c r="I644" s="45">
        <v>3.0</v>
      </c>
      <c r="J644" s="46">
        <v>1.0</v>
      </c>
      <c r="K644" s="45">
        <v>3.0</v>
      </c>
      <c r="L644" s="47">
        <v>0.0</v>
      </c>
      <c r="M644" s="47">
        <v>0.0</v>
      </c>
      <c r="N644" s="45">
        <v>3.0</v>
      </c>
      <c r="O644" s="45"/>
      <c r="P644" s="43" t="s">
        <v>60</v>
      </c>
      <c r="Q644" s="48">
        <v>18500.0</v>
      </c>
      <c r="R644" s="43" t="s">
        <v>1214</v>
      </c>
      <c r="S644" s="45">
        <v>2012.0</v>
      </c>
      <c r="T644" s="45">
        <v>0.1834</v>
      </c>
      <c r="U644" s="45">
        <f t="shared" si="91"/>
        <v>3392.9</v>
      </c>
      <c r="V644" s="24">
        <f t="shared" si="3"/>
        <v>1130.966667</v>
      </c>
      <c r="W644" s="3">
        <f t="shared" si="29"/>
        <v>0</v>
      </c>
      <c r="X644" s="3">
        <f t="shared" si="30"/>
        <v>0</v>
      </c>
      <c r="Y644" s="3">
        <f t="shared" si="31"/>
        <v>0</v>
      </c>
      <c r="Z644" s="25">
        <f t="shared" si="32"/>
        <v>0</v>
      </c>
      <c r="AA644" s="26">
        <f>VLOOKUP(S644,CPI!$A$2:$E$67,5,0)</f>
        <v>1.327133984</v>
      </c>
      <c r="AB644" s="27">
        <f t="shared" si="8"/>
        <v>4502.832895</v>
      </c>
      <c r="AC644" s="27">
        <f t="shared" si="9"/>
        <v>1500.944298</v>
      </c>
    </row>
    <row r="645">
      <c r="A645" s="61">
        <v>9778.0</v>
      </c>
      <c r="B645" s="43" t="s">
        <v>1211</v>
      </c>
      <c r="C645" s="43" t="s">
        <v>1212</v>
      </c>
      <c r="D645" s="16" t="s">
        <v>1225</v>
      </c>
      <c r="E645" s="43" t="s">
        <v>1237</v>
      </c>
      <c r="F645" s="45">
        <v>2011.0</v>
      </c>
      <c r="G645" s="45">
        <v>2016.0</v>
      </c>
      <c r="H645" s="45">
        <v>0.0</v>
      </c>
      <c r="I645" s="45">
        <v>2.6</v>
      </c>
      <c r="J645" s="46">
        <v>1.0</v>
      </c>
      <c r="K645" s="45">
        <v>2.6</v>
      </c>
      <c r="L645" s="47">
        <v>0.0</v>
      </c>
      <c r="M645" s="47">
        <v>0.0</v>
      </c>
      <c r="N645" s="45">
        <v>2.0</v>
      </c>
      <c r="O645" s="45"/>
      <c r="P645" s="43" t="s">
        <v>60</v>
      </c>
      <c r="Q645" s="48">
        <v>7200.0</v>
      </c>
      <c r="R645" s="43" t="s">
        <v>1214</v>
      </c>
      <c r="S645" s="45">
        <v>2013.0</v>
      </c>
      <c r="T645" s="45">
        <v>0.1803</v>
      </c>
      <c r="U645" s="45">
        <f t="shared" si="91"/>
        <v>1298.16</v>
      </c>
      <c r="V645" s="24">
        <f t="shared" si="3"/>
        <v>499.2923077</v>
      </c>
      <c r="W645" s="3">
        <f t="shared" si="29"/>
        <v>0</v>
      </c>
      <c r="X645" s="3">
        <f t="shared" si="30"/>
        <v>0</v>
      </c>
      <c r="Y645" s="3">
        <f t="shared" si="31"/>
        <v>0</v>
      </c>
      <c r="Z645" s="25">
        <f t="shared" si="32"/>
        <v>0</v>
      </c>
      <c r="AA645" s="26">
        <f>VLOOKUP(S645,CPI!$A$2:$E$67,5,0)</f>
        <v>1.307975292</v>
      </c>
      <c r="AB645" s="27">
        <f t="shared" si="8"/>
        <v>1697.961205</v>
      </c>
      <c r="AC645" s="27">
        <f t="shared" si="9"/>
        <v>653.0620017</v>
      </c>
    </row>
    <row r="646">
      <c r="A646" s="61">
        <v>9777.0</v>
      </c>
      <c r="B646" s="43" t="s">
        <v>1211</v>
      </c>
      <c r="C646" s="43" t="s">
        <v>1212</v>
      </c>
      <c r="D646" s="16" t="s">
        <v>1238</v>
      </c>
      <c r="E646" s="43" t="s">
        <v>1239</v>
      </c>
      <c r="F646" s="45">
        <v>2011.0</v>
      </c>
      <c r="G646" s="45">
        <v>2016.0</v>
      </c>
      <c r="H646" s="45">
        <v>0.0</v>
      </c>
      <c r="I646" s="45">
        <v>7.0</v>
      </c>
      <c r="J646" s="46">
        <v>0.71</v>
      </c>
      <c r="K646" s="45">
        <v>5.0</v>
      </c>
      <c r="L646" s="271">
        <v>2.0</v>
      </c>
      <c r="M646" s="47">
        <v>0.0</v>
      </c>
      <c r="N646" s="45">
        <v>5.0</v>
      </c>
      <c r="O646" s="45"/>
      <c r="P646" s="43" t="s">
        <v>60</v>
      </c>
      <c r="Q646" s="48">
        <v>16900.0</v>
      </c>
      <c r="R646" s="43" t="s">
        <v>1214</v>
      </c>
      <c r="S646" s="45">
        <v>2013.0</v>
      </c>
      <c r="T646" s="45">
        <v>0.1803</v>
      </c>
      <c r="U646" s="45">
        <f t="shared" si="91"/>
        <v>3047.07</v>
      </c>
      <c r="V646" s="24">
        <f t="shared" si="3"/>
        <v>435.2957143</v>
      </c>
      <c r="W646" s="3">
        <f t="shared" si="29"/>
        <v>0</v>
      </c>
      <c r="X646" s="3">
        <f t="shared" si="30"/>
        <v>0</v>
      </c>
      <c r="Y646" s="3">
        <f t="shared" si="31"/>
        <v>0</v>
      </c>
      <c r="Z646" s="25">
        <f t="shared" si="32"/>
        <v>0</v>
      </c>
      <c r="AA646" s="26">
        <f>VLOOKUP(S646,CPI!$A$2:$E$67,5,0)</f>
        <v>1.307975292</v>
      </c>
      <c r="AB646" s="27">
        <f t="shared" si="8"/>
        <v>3985.492272</v>
      </c>
      <c r="AC646" s="27">
        <f t="shared" si="9"/>
        <v>569.3560388</v>
      </c>
    </row>
    <row r="647">
      <c r="A647" s="61">
        <v>9780.0</v>
      </c>
      <c r="B647" s="43" t="s">
        <v>1211</v>
      </c>
      <c r="C647" s="43" t="s">
        <v>1212</v>
      </c>
      <c r="D647" s="43" t="s">
        <v>1240</v>
      </c>
      <c r="E647" s="43" t="s">
        <v>1240</v>
      </c>
      <c r="F647" s="45">
        <v>2012.0</v>
      </c>
      <c r="G647" s="45">
        <v>2022.0</v>
      </c>
      <c r="H647" s="45">
        <v>1.0</v>
      </c>
      <c r="I647" s="45">
        <v>17.0</v>
      </c>
      <c r="J647" s="46">
        <v>0.88</v>
      </c>
      <c r="K647" s="45">
        <v>15.0</v>
      </c>
      <c r="L647" s="47">
        <v>0.0</v>
      </c>
      <c r="M647" s="47">
        <v>0.0</v>
      </c>
      <c r="N647" s="45">
        <v>9.0</v>
      </c>
      <c r="O647" s="45"/>
      <c r="P647" s="43" t="s">
        <v>59</v>
      </c>
      <c r="Q647" s="48">
        <v>87300.0</v>
      </c>
      <c r="R647" s="43" t="s">
        <v>1214</v>
      </c>
      <c r="S647" s="45">
        <v>2017.0</v>
      </c>
      <c r="T647" s="45">
        <v>0.1664</v>
      </c>
      <c r="U647" s="45">
        <f t="shared" si="91"/>
        <v>14526.72</v>
      </c>
      <c r="V647" s="24">
        <f t="shared" si="3"/>
        <v>854.5129412</v>
      </c>
      <c r="W647" s="3">
        <f t="shared" si="29"/>
        <v>0</v>
      </c>
      <c r="X647" s="3">
        <f t="shared" si="30"/>
        <v>0</v>
      </c>
      <c r="Y647" s="3">
        <f t="shared" si="31"/>
        <v>0</v>
      </c>
      <c r="Z647" s="25">
        <f t="shared" si="32"/>
        <v>0</v>
      </c>
      <c r="AA647" s="26">
        <f>VLOOKUP(S647,CPI!$A$2:$E$67,5,0)</f>
        <v>1.243072781</v>
      </c>
      <c r="AB647" s="27">
        <f t="shared" si="8"/>
        <v>18057.77022</v>
      </c>
      <c r="AC647" s="27">
        <f t="shared" si="9"/>
        <v>1062.221778</v>
      </c>
    </row>
    <row r="648">
      <c r="A648" s="61">
        <v>9771.0</v>
      </c>
      <c r="B648" s="43" t="s">
        <v>1211</v>
      </c>
      <c r="C648" s="43" t="s">
        <v>1212</v>
      </c>
      <c r="D648" s="16" t="s">
        <v>1242</v>
      </c>
      <c r="E648" s="43" t="s">
        <v>1243</v>
      </c>
      <c r="F648" s="45">
        <v>2023.0</v>
      </c>
      <c r="G648" s="45">
        <v>2029.0</v>
      </c>
      <c r="H648" s="45">
        <v>0.0</v>
      </c>
      <c r="I648" s="45">
        <v>1.8</v>
      </c>
      <c r="J648" s="46">
        <v>1.0</v>
      </c>
      <c r="K648" s="45">
        <v>1.8</v>
      </c>
      <c r="L648" s="47">
        <v>0.0</v>
      </c>
      <c r="M648" s="47">
        <v>0.0</v>
      </c>
      <c r="N648" s="45">
        <v>1.0</v>
      </c>
      <c r="O648" s="45"/>
      <c r="P648" s="43" t="s">
        <v>42</v>
      </c>
      <c r="Q648" s="48">
        <v>18700.0</v>
      </c>
      <c r="R648" s="43" t="s">
        <v>1214</v>
      </c>
      <c r="S648" s="45">
        <v>2016.0</v>
      </c>
      <c r="T648" s="45">
        <v>0.1686</v>
      </c>
      <c r="U648" s="45">
        <f t="shared" si="91"/>
        <v>3152.82</v>
      </c>
      <c r="V648" s="24">
        <f t="shared" si="3"/>
        <v>1751.566667</v>
      </c>
      <c r="W648" s="3">
        <f t="shared" si="29"/>
        <v>0</v>
      </c>
      <c r="X648" s="3">
        <f t="shared" si="30"/>
        <v>0</v>
      </c>
      <c r="Y648" s="3">
        <f t="shared" si="31"/>
        <v>0</v>
      </c>
      <c r="Z648" s="25">
        <f t="shared" si="32"/>
        <v>0</v>
      </c>
      <c r="AA648" s="26">
        <f>VLOOKUP(S648,CPI!$A$2:$E$67,5,0)</f>
        <v>1.269554638</v>
      </c>
      <c r="AB648" s="27">
        <f t="shared" si="8"/>
        <v>4002.677254</v>
      </c>
      <c r="AC648" s="27">
        <f t="shared" si="9"/>
        <v>2223.709585</v>
      </c>
    </row>
    <row r="649">
      <c r="A649" s="61">
        <v>9779.0</v>
      </c>
      <c r="B649" s="43" t="s">
        <v>1211</v>
      </c>
      <c r="C649" s="43" t="s">
        <v>1212</v>
      </c>
      <c r="D649" s="44" t="s">
        <v>1245</v>
      </c>
      <c r="E649" s="43" t="s">
        <v>1246</v>
      </c>
      <c r="F649" s="45">
        <v>2023.0</v>
      </c>
      <c r="G649" s="45">
        <v>2030.0</v>
      </c>
      <c r="H649" s="45">
        <v>0.0</v>
      </c>
      <c r="I649" s="45">
        <v>2.4</v>
      </c>
      <c r="J649" s="46">
        <v>0.0</v>
      </c>
      <c r="K649" s="45">
        <v>0.0</v>
      </c>
      <c r="L649" s="47">
        <v>0.0</v>
      </c>
      <c r="M649" s="47">
        <v>0.0</v>
      </c>
      <c r="N649" s="45">
        <v>2.0</v>
      </c>
      <c r="O649" s="45"/>
      <c r="P649" s="43" t="s">
        <v>60</v>
      </c>
      <c r="Q649" s="48">
        <v>11400.0</v>
      </c>
      <c r="R649" s="43" t="s">
        <v>1214</v>
      </c>
      <c r="S649" s="45">
        <v>2015.0</v>
      </c>
      <c r="T649" s="45">
        <v>0.1715</v>
      </c>
      <c r="U649" s="45">
        <f t="shared" si="91"/>
        <v>1955.1</v>
      </c>
      <c r="V649" s="24">
        <f t="shared" si="3"/>
        <v>814.625</v>
      </c>
      <c r="W649" s="3">
        <f t="shared" si="29"/>
        <v>0</v>
      </c>
      <c r="X649" s="3">
        <f t="shared" si="30"/>
        <v>0</v>
      </c>
      <c r="Y649" s="3">
        <f t="shared" si="31"/>
        <v>0</v>
      </c>
      <c r="Z649" s="25">
        <f t="shared" si="32"/>
        <v>0</v>
      </c>
      <c r="AA649" s="26">
        <f>VLOOKUP(S649,CPI!$A$2:$E$67,5,0)</f>
        <v>1.285570233</v>
      </c>
      <c r="AB649" s="27">
        <f t="shared" si="8"/>
        <v>2513.418363</v>
      </c>
      <c r="AC649" s="27">
        <f t="shared" si="9"/>
        <v>1047.257651</v>
      </c>
    </row>
    <row r="650">
      <c r="A650" s="38">
        <v>7202.0</v>
      </c>
      <c r="B650" s="26" t="s">
        <v>1248</v>
      </c>
      <c r="C650" s="26" t="s">
        <v>1249</v>
      </c>
      <c r="D650" s="16" t="s">
        <v>110</v>
      </c>
      <c r="E650" s="26" t="s">
        <v>110</v>
      </c>
      <c r="F650" s="25">
        <v>2006.0</v>
      </c>
      <c r="G650" s="25">
        <v>2014.0</v>
      </c>
      <c r="H650" s="25">
        <v>0.0</v>
      </c>
      <c r="I650" s="25">
        <v>7.4</v>
      </c>
      <c r="J650" s="50">
        <v>1.0</v>
      </c>
      <c r="K650" s="25">
        <v>7.4</v>
      </c>
      <c r="L650" s="51">
        <v>0.0</v>
      </c>
      <c r="M650" s="51">
        <v>0.0</v>
      </c>
      <c r="N650" s="25">
        <v>10.0</v>
      </c>
      <c r="O650" s="25"/>
      <c r="P650" s="26" t="s">
        <v>36</v>
      </c>
      <c r="Q650" s="52">
        <v>452000.0</v>
      </c>
      <c r="R650" s="26" t="s">
        <v>1250</v>
      </c>
      <c r="S650" s="25">
        <v>2010.0</v>
      </c>
      <c r="T650" s="25">
        <v>0.00792</v>
      </c>
      <c r="U650" s="25">
        <f t="shared" si="91"/>
        <v>3579.84</v>
      </c>
      <c r="V650" s="24">
        <f t="shared" si="3"/>
        <v>483.7621622</v>
      </c>
      <c r="W650" s="3">
        <f t="shared" si="29"/>
        <v>0</v>
      </c>
      <c r="X650" s="3">
        <f t="shared" si="30"/>
        <v>0</v>
      </c>
      <c r="Y650" s="3">
        <f t="shared" si="31"/>
        <v>0</v>
      </c>
      <c r="Z650" s="25">
        <f t="shared" si="32"/>
        <v>0</v>
      </c>
      <c r="AA650" s="26">
        <f>VLOOKUP(S650,CPI!$A$2:$E$67,5,0)</f>
        <v>1.397356642</v>
      </c>
      <c r="AB650" s="27">
        <f t="shared" si="8"/>
        <v>5002.313202</v>
      </c>
      <c r="AC650" s="27">
        <f t="shared" si="9"/>
        <v>675.9882706</v>
      </c>
    </row>
    <row r="651">
      <c r="A651" s="38">
        <v>7467.0</v>
      </c>
      <c r="B651" s="26" t="s">
        <v>1252</v>
      </c>
      <c r="C651" s="26" t="s">
        <v>1253</v>
      </c>
      <c r="D651" s="26" t="s">
        <v>1254</v>
      </c>
      <c r="E651" s="26" t="s">
        <v>1254</v>
      </c>
      <c r="F651" s="25">
        <v>2013.0</v>
      </c>
      <c r="G651" s="25">
        <v>2019.0</v>
      </c>
      <c r="H651" s="25">
        <v>0.0</v>
      </c>
      <c r="I651" s="25">
        <v>15.7</v>
      </c>
      <c r="J651" s="50">
        <v>0.38</v>
      </c>
      <c r="K651" s="25">
        <v>5.9</v>
      </c>
      <c r="L651" s="51">
        <v>0.0</v>
      </c>
      <c r="M651" s="51">
        <v>0.0</v>
      </c>
      <c r="N651" s="25">
        <v>13.0</v>
      </c>
      <c r="O651" s="25"/>
      <c r="P651" s="26" t="s">
        <v>42</v>
      </c>
      <c r="Q651" s="52">
        <v>1.377607E7</v>
      </c>
      <c r="R651" s="26" t="s">
        <v>1255</v>
      </c>
      <c r="S651" s="25">
        <v>2016.0</v>
      </c>
      <c r="T651" s="25">
        <v>2.13E-4</v>
      </c>
      <c r="U651" s="25">
        <f t="shared" si="91"/>
        <v>2934.30291</v>
      </c>
      <c r="V651" s="24">
        <f t="shared" si="3"/>
        <v>186.8982745</v>
      </c>
      <c r="W651" s="3">
        <f t="shared" si="29"/>
        <v>0</v>
      </c>
      <c r="X651" s="3">
        <f t="shared" si="30"/>
        <v>0</v>
      </c>
      <c r="Y651" s="3">
        <f t="shared" si="31"/>
        <v>0</v>
      </c>
      <c r="Z651" s="25">
        <f t="shared" si="32"/>
        <v>0</v>
      </c>
      <c r="AA651" s="26">
        <f>VLOOKUP(S651,CPI!$A$2:$E$67,5,0)</f>
        <v>1.269554638</v>
      </c>
      <c r="AB651" s="27">
        <f t="shared" si="8"/>
        <v>3725.257869</v>
      </c>
      <c r="AC651" s="27">
        <f t="shared" si="9"/>
        <v>237.2775713</v>
      </c>
    </row>
    <row r="652">
      <c r="A652" s="38">
        <v>7433.0</v>
      </c>
      <c r="B652" s="26" t="s">
        <v>1257</v>
      </c>
      <c r="C652" s="26" t="s">
        <v>1258</v>
      </c>
      <c r="D652" s="26" t="s">
        <v>40</v>
      </c>
      <c r="E652" s="26" t="s">
        <v>40</v>
      </c>
      <c r="F652" s="25">
        <v>2015.0</v>
      </c>
      <c r="G652" s="25">
        <v>2022.0</v>
      </c>
      <c r="H652" s="25">
        <v>0.0</v>
      </c>
      <c r="I652" s="25">
        <v>24.0</v>
      </c>
      <c r="J652" s="50">
        <v>0.5</v>
      </c>
      <c r="K652" s="25">
        <v>12.0</v>
      </c>
      <c r="L652" s="51">
        <v>0.0</v>
      </c>
      <c r="M652" s="51">
        <v>0.0</v>
      </c>
      <c r="N652" s="25">
        <v>34.0</v>
      </c>
      <c r="O652" s="25"/>
      <c r="P652" s="26" t="s">
        <v>74</v>
      </c>
      <c r="Q652" s="52">
        <v>17600.0</v>
      </c>
      <c r="R652" s="26" t="s">
        <v>1259</v>
      </c>
      <c r="S652" s="25">
        <v>2018.0</v>
      </c>
      <c r="T652" s="25">
        <v>0.268</v>
      </c>
      <c r="U652" s="25">
        <f t="shared" si="91"/>
        <v>4716.8</v>
      </c>
      <c r="V652" s="24">
        <f t="shared" si="3"/>
        <v>196.5333333</v>
      </c>
      <c r="W652" s="3">
        <f t="shared" si="29"/>
        <v>0</v>
      </c>
      <c r="X652" s="3">
        <f t="shared" si="30"/>
        <v>0</v>
      </c>
      <c r="Y652" s="3">
        <f t="shared" si="31"/>
        <v>0</v>
      </c>
      <c r="Z652" s="25">
        <f t="shared" si="32"/>
        <v>0</v>
      </c>
      <c r="AA652" s="26">
        <f>VLOOKUP(S652,CPI!$A$2:$E$67,5,0)</f>
        <v>1.21343491</v>
      </c>
      <c r="AB652" s="27">
        <f t="shared" si="8"/>
        <v>5723.529785</v>
      </c>
      <c r="AC652" s="27">
        <f t="shared" si="9"/>
        <v>238.4804077</v>
      </c>
    </row>
    <row r="653">
      <c r="A653" s="38">
        <v>7434.0</v>
      </c>
      <c r="B653" s="26" t="s">
        <v>1257</v>
      </c>
      <c r="C653" s="26" t="s">
        <v>1258</v>
      </c>
      <c r="D653" s="26" t="s">
        <v>127</v>
      </c>
      <c r="E653" s="26" t="s">
        <v>127</v>
      </c>
      <c r="F653" s="25">
        <v>2018.0</v>
      </c>
      <c r="G653" s="25">
        <v>2024.0</v>
      </c>
      <c r="H653" s="25">
        <v>0.0</v>
      </c>
      <c r="I653" s="25">
        <v>38.6</v>
      </c>
      <c r="J653" s="50">
        <v>0.12</v>
      </c>
      <c r="K653" s="25">
        <v>4.6</v>
      </c>
      <c r="L653" s="51">
        <v>0.0</v>
      </c>
      <c r="M653" s="51">
        <v>0.0</v>
      </c>
      <c r="N653" s="25">
        <v>62.0</v>
      </c>
      <c r="O653" s="25"/>
      <c r="P653" s="26" t="s">
        <v>74</v>
      </c>
      <c r="Q653" s="52">
        <v>20000.0</v>
      </c>
      <c r="R653" s="26" t="s">
        <v>1259</v>
      </c>
      <c r="S653" s="25">
        <v>2020.0</v>
      </c>
      <c r="T653" s="25">
        <v>0.268</v>
      </c>
      <c r="U653" s="25">
        <f t="shared" si="91"/>
        <v>5360</v>
      </c>
      <c r="V653" s="24">
        <f t="shared" si="3"/>
        <v>138.8601036</v>
      </c>
      <c r="W653" s="3">
        <f t="shared" si="29"/>
        <v>0</v>
      </c>
      <c r="X653" s="3">
        <f t="shared" si="30"/>
        <v>0</v>
      </c>
      <c r="Y653" s="3">
        <f t="shared" si="31"/>
        <v>0</v>
      </c>
      <c r="Z653" s="25">
        <f t="shared" si="32"/>
        <v>0</v>
      </c>
      <c r="AA653" s="26">
        <f>VLOOKUP(S653,CPI!$A$2:$E$67,5,0)</f>
        <v>1.17731472</v>
      </c>
      <c r="AB653" s="27">
        <f t="shared" si="8"/>
        <v>6310.406899</v>
      </c>
      <c r="AC653" s="27">
        <f t="shared" si="9"/>
        <v>163.482044</v>
      </c>
    </row>
    <row r="654">
      <c r="A654" s="290"/>
      <c r="B654" s="66" t="s">
        <v>1262</v>
      </c>
      <c r="C654" s="74" t="s">
        <v>1263</v>
      </c>
      <c r="D654" s="115" t="s">
        <v>1264</v>
      </c>
      <c r="E654" s="74" t="s">
        <v>1264</v>
      </c>
      <c r="F654" s="115">
        <v>2019.0</v>
      </c>
      <c r="G654" s="115">
        <v>2026.0</v>
      </c>
      <c r="H654" s="116">
        <v>0.0</v>
      </c>
      <c r="I654" s="69">
        <v>29.65</v>
      </c>
      <c r="J654" s="71">
        <v>0.2591</v>
      </c>
      <c r="K654" s="69">
        <v>7.681</v>
      </c>
      <c r="L654" s="116">
        <v>21.969</v>
      </c>
      <c r="M654" s="114"/>
      <c r="N654" s="116">
        <v>27.0</v>
      </c>
      <c r="O654" s="116"/>
      <c r="P654" s="237" t="s">
        <v>74</v>
      </c>
      <c r="Q654" s="73">
        <v>83796.0</v>
      </c>
      <c r="R654" s="114" t="s">
        <v>1265</v>
      </c>
      <c r="S654" s="115">
        <v>2022.0</v>
      </c>
      <c r="T654" s="115">
        <v>0.0483</v>
      </c>
      <c r="U654" s="75">
        <f t="shared" si="91"/>
        <v>4047.3468</v>
      </c>
      <c r="V654" s="24">
        <f t="shared" si="3"/>
        <v>136.5041079</v>
      </c>
      <c r="W654" s="3">
        <f t="shared" si="29"/>
        <v>0</v>
      </c>
      <c r="X654" s="3">
        <f t="shared" si="30"/>
        <v>0</v>
      </c>
      <c r="Y654" s="3">
        <f t="shared" si="31"/>
        <v>0</v>
      </c>
      <c r="Z654" s="25">
        <f t="shared" si="32"/>
        <v>0</v>
      </c>
      <c r="AA654" s="26">
        <f>VLOOKUP(S654,CPI!$A$2:$E$67,5,0)</f>
        <v>1.041164511</v>
      </c>
      <c r="AB654" s="27">
        <f t="shared" si="8"/>
        <v>4213.953852</v>
      </c>
      <c r="AC654" s="27">
        <f t="shared" si="9"/>
        <v>142.1232328</v>
      </c>
    </row>
    <row r="655">
      <c r="A655" s="38">
        <v>7546.0</v>
      </c>
      <c r="B655" s="26" t="s">
        <v>1262</v>
      </c>
      <c r="C655" s="63" t="s">
        <v>1267</v>
      </c>
      <c r="D655" s="1" t="s">
        <v>4</v>
      </c>
      <c r="E655" s="26" t="s">
        <v>34</v>
      </c>
      <c r="F655" s="25">
        <v>2015.0</v>
      </c>
      <c r="G655" s="25">
        <v>2023.0</v>
      </c>
      <c r="H655" s="25">
        <v>0.0</v>
      </c>
      <c r="I655" s="25">
        <v>40.0</v>
      </c>
      <c r="J655" s="50">
        <v>0.16</v>
      </c>
      <c r="K655" s="25">
        <v>6.4</v>
      </c>
      <c r="L655" s="51">
        <v>0.0</v>
      </c>
      <c r="M655" s="51">
        <v>0.0</v>
      </c>
      <c r="N655" s="25">
        <v>33.0</v>
      </c>
      <c r="O655" s="25"/>
      <c r="P655" s="26" t="s">
        <v>74</v>
      </c>
      <c r="Q655" s="52">
        <v>127000.0</v>
      </c>
      <c r="R655" s="26" t="s">
        <v>1265</v>
      </c>
      <c r="S655" s="25">
        <v>2019.0</v>
      </c>
      <c r="T655" s="25">
        <v>0.047</v>
      </c>
      <c r="U655" s="25">
        <f t="shared" si="91"/>
        <v>5969</v>
      </c>
      <c r="V655" s="24">
        <f t="shared" si="3"/>
        <v>149.225</v>
      </c>
      <c r="W655" s="3">
        <f t="shared" si="29"/>
        <v>0</v>
      </c>
      <c r="X655" s="3">
        <f t="shared" si="30"/>
        <v>0</v>
      </c>
      <c r="Y655" s="3">
        <f t="shared" si="31"/>
        <v>0</v>
      </c>
      <c r="Z655" s="25">
        <f t="shared" si="32"/>
        <v>0</v>
      </c>
      <c r="AA655" s="26">
        <f>VLOOKUP(S655,CPI!$A$2:$E$67,5,0)</f>
        <v>1.191839066</v>
      </c>
      <c r="AB655" s="27">
        <f t="shared" si="8"/>
        <v>7114.087383</v>
      </c>
      <c r="AC655" s="27">
        <f t="shared" si="9"/>
        <v>177.8521846</v>
      </c>
    </row>
    <row r="656">
      <c r="A656" s="38">
        <v>7537.0</v>
      </c>
      <c r="B656" s="26" t="s">
        <v>1262</v>
      </c>
      <c r="C656" s="26" t="s">
        <v>1269</v>
      </c>
      <c r="D656" s="1" t="s">
        <v>1270</v>
      </c>
      <c r="E656" s="26" t="s">
        <v>34</v>
      </c>
      <c r="F656" s="25">
        <v>2006.0</v>
      </c>
      <c r="G656" s="25">
        <v>2017.0</v>
      </c>
      <c r="H656" s="25">
        <v>0.0</v>
      </c>
      <c r="I656" s="25">
        <v>42.3</v>
      </c>
      <c r="J656" s="50">
        <v>0.2</v>
      </c>
      <c r="K656" s="25">
        <v>8.5</v>
      </c>
      <c r="L656" s="51">
        <v>0.0</v>
      </c>
      <c r="M656" s="51">
        <v>0.0</v>
      </c>
      <c r="N656" s="25">
        <v>41.0</v>
      </c>
      <c r="O656" s="25"/>
      <c r="P656" s="26" t="s">
        <v>74</v>
      </c>
      <c r="Q656" s="52">
        <v>144050.0</v>
      </c>
      <c r="R656" s="26" t="s">
        <v>1265</v>
      </c>
      <c r="S656" s="25">
        <v>2011.0</v>
      </c>
      <c r="T656" s="58">
        <v>0.064</v>
      </c>
      <c r="U656" s="25">
        <f t="shared" si="91"/>
        <v>9219.2</v>
      </c>
      <c r="V656" s="24">
        <f t="shared" si="3"/>
        <v>217.9479905</v>
      </c>
      <c r="W656" s="3">
        <f t="shared" si="29"/>
        <v>0</v>
      </c>
      <c r="X656" s="3">
        <f t="shared" si="30"/>
        <v>0</v>
      </c>
      <c r="Y656" s="3">
        <f t="shared" si="31"/>
        <v>0</v>
      </c>
      <c r="Z656" s="25">
        <f t="shared" si="32"/>
        <v>0</v>
      </c>
      <c r="AA656" s="26">
        <f>VLOOKUP(S656,CPI!$A$2:$E$67,5,0)</f>
        <v>1.354598358</v>
      </c>
      <c r="AB656" s="27">
        <f t="shared" si="8"/>
        <v>12488.31318</v>
      </c>
      <c r="AC656" s="27">
        <f t="shared" si="9"/>
        <v>295.2319901</v>
      </c>
    </row>
    <row r="657">
      <c r="A657" s="38">
        <v>7536.0</v>
      </c>
      <c r="B657" s="26" t="s">
        <v>1262</v>
      </c>
      <c r="C657" s="26" t="s">
        <v>1269</v>
      </c>
      <c r="D657" s="1" t="s">
        <v>1270</v>
      </c>
      <c r="E657" s="26" t="s">
        <v>38</v>
      </c>
      <c r="F657" s="25">
        <v>2017.0</v>
      </c>
      <c r="G657" s="25">
        <v>2024.0</v>
      </c>
      <c r="H657" s="25">
        <v>0.0</v>
      </c>
      <c r="I657" s="25">
        <v>73.9</v>
      </c>
      <c r="J657" s="59">
        <v>0.1867</v>
      </c>
      <c r="K657" s="58">
        <v>13.8</v>
      </c>
      <c r="L657" s="51">
        <v>0.0</v>
      </c>
      <c r="M657" s="51">
        <v>0.0</v>
      </c>
      <c r="N657" s="25">
        <v>62.0</v>
      </c>
      <c r="O657" s="25"/>
      <c r="P657" s="26" t="s">
        <v>36</v>
      </c>
      <c r="Q657" s="52">
        <v>306950.0</v>
      </c>
      <c r="R657" s="26" t="s">
        <v>1265</v>
      </c>
      <c r="S657" s="25">
        <v>2020.0</v>
      </c>
      <c r="T657" s="25">
        <v>0.047</v>
      </c>
      <c r="U657" s="25">
        <f t="shared" si="91"/>
        <v>14426.65</v>
      </c>
      <c r="V657" s="24">
        <f t="shared" si="3"/>
        <v>195.2185386</v>
      </c>
      <c r="W657" s="3">
        <f t="shared" si="29"/>
        <v>0</v>
      </c>
      <c r="X657" s="3">
        <f t="shared" si="30"/>
        <v>0</v>
      </c>
      <c r="Y657" s="3">
        <f t="shared" si="31"/>
        <v>0</v>
      </c>
      <c r="Z657" s="25">
        <f t="shared" si="32"/>
        <v>0</v>
      </c>
      <c r="AA657" s="26">
        <f>VLOOKUP(S657,CPI!$A$2:$E$67,5,0)</f>
        <v>1.17731472</v>
      </c>
      <c r="AB657" s="27">
        <f t="shared" si="8"/>
        <v>16984.70741</v>
      </c>
      <c r="AC657" s="27">
        <f t="shared" si="9"/>
        <v>229.8336591</v>
      </c>
    </row>
    <row r="658">
      <c r="A658" s="38">
        <v>7553.0</v>
      </c>
      <c r="B658" s="26" t="s">
        <v>1262</v>
      </c>
      <c r="C658" s="26" t="s">
        <v>1273</v>
      </c>
      <c r="D658" s="1" t="s">
        <v>34</v>
      </c>
      <c r="E658" s="26" t="s">
        <v>34</v>
      </c>
      <c r="F658" s="25">
        <v>2009.0</v>
      </c>
      <c r="G658" s="25">
        <v>2019.0</v>
      </c>
      <c r="H658" s="25">
        <v>0.0</v>
      </c>
      <c r="I658" s="25">
        <v>45.1</v>
      </c>
      <c r="J658" s="50">
        <v>0.53</v>
      </c>
      <c r="K658" s="25">
        <v>24.0</v>
      </c>
      <c r="L658" s="51">
        <v>0.0</v>
      </c>
      <c r="M658" s="51">
        <v>0.0</v>
      </c>
      <c r="N658" s="25">
        <v>34.0</v>
      </c>
      <c r="O658" s="25"/>
      <c r="P658" s="26" t="s">
        <v>36</v>
      </c>
      <c r="Q658" s="52">
        <v>200000.0</v>
      </c>
      <c r="R658" s="26" t="s">
        <v>1265</v>
      </c>
      <c r="S658" s="25">
        <v>2014.0</v>
      </c>
      <c r="T658" s="25">
        <v>0.054</v>
      </c>
      <c r="U658" s="25">
        <f t="shared" si="91"/>
        <v>10800</v>
      </c>
      <c r="V658" s="24">
        <f t="shared" si="3"/>
        <v>239.4678492</v>
      </c>
      <c r="W658" s="3">
        <f t="shared" si="29"/>
        <v>0</v>
      </c>
      <c r="X658" s="3">
        <f t="shared" si="30"/>
        <v>0</v>
      </c>
      <c r="Y658" s="3">
        <f t="shared" si="31"/>
        <v>0</v>
      </c>
      <c r="Z658" s="25">
        <f t="shared" si="32"/>
        <v>0</v>
      </c>
      <c r="AA658" s="26">
        <f>VLOOKUP(S658,CPI!$A$2:$E$67,5,0)</f>
        <v>1.287096175</v>
      </c>
      <c r="AB658" s="27">
        <f t="shared" si="8"/>
        <v>13900.63869</v>
      </c>
      <c r="AC658" s="27">
        <f t="shared" si="9"/>
        <v>308.2181527</v>
      </c>
    </row>
    <row r="659">
      <c r="A659" s="38">
        <v>7554.0</v>
      </c>
      <c r="B659" s="26" t="s">
        <v>1262</v>
      </c>
      <c r="C659" s="26" t="s">
        <v>1273</v>
      </c>
      <c r="D659" s="1" t="s">
        <v>34</v>
      </c>
      <c r="E659" s="26" t="s">
        <v>1275</v>
      </c>
      <c r="F659" s="25">
        <v>2016.0</v>
      </c>
      <c r="G659" s="25">
        <v>2020.0</v>
      </c>
      <c r="H659" s="25">
        <v>0.0</v>
      </c>
      <c r="I659" s="25">
        <v>9.1</v>
      </c>
      <c r="J659" s="50">
        <v>0.26</v>
      </c>
      <c r="K659" s="25">
        <v>2.4</v>
      </c>
      <c r="L659" s="51">
        <v>0.0</v>
      </c>
      <c r="M659" s="51">
        <v>0.0</v>
      </c>
      <c r="N659" s="25">
        <v>9.0</v>
      </c>
      <c r="O659" s="25"/>
      <c r="P659" s="26" t="s">
        <v>36</v>
      </c>
      <c r="Q659" s="52">
        <v>37700.0</v>
      </c>
      <c r="R659" s="26" t="s">
        <v>1265</v>
      </c>
      <c r="S659" s="25">
        <v>2018.0</v>
      </c>
      <c r="T659" s="25">
        <v>0.048</v>
      </c>
      <c r="U659" s="25">
        <f t="shared" si="91"/>
        <v>1809.6</v>
      </c>
      <c r="V659" s="24">
        <f t="shared" si="3"/>
        <v>198.8571429</v>
      </c>
      <c r="W659" s="3">
        <f t="shared" si="29"/>
        <v>0</v>
      </c>
      <c r="X659" s="3">
        <f t="shared" si="30"/>
        <v>0</v>
      </c>
      <c r="Y659" s="3">
        <f t="shared" si="31"/>
        <v>0</v>
      </c>
      <c r="Z659" s="25">
        <f t="shared" si="32"/>
        <v>0</v>
      </c>
      <c r="AA659" s="26">
        <f>VLOOKUP(S659,CPI!$A$2:$E$67,5,0)</f>
        <v>1.21343491</v>
      </c>
      <c r="AB659" s="27">
        <f t="shared" si="8"/>
        <v>2195.831814</v>
      </c>
      <c r="AC659" s="27">
        <f t="shared" si="9"/>
        <v>241.3001993</v>
      </c>
    </row>
    <row r="660">
      <c r="A660" s="38">
        <v>7555.0</v>
      </c>
      <c r="B660" s="26" t="s">
        <v>1262</v>
      </c>
      <c r="C660" s="26" t="s">
        <v>1273</v>
      </c>
      <c r="D660" s="1" t="s">
        <v>38</v>
      </c>
      <c r="E660" s="26" t="s">
        <v>38</v>
      </c>
      <c r="F660" s="25">
        <v>2020.0</v>
      </c>
      <c r="G660" s="25">
        <v>2026.0</v>
      </c>
      <c r="H660" s="25">
        <v>0.0</v>
      </c>
      <c r="I660" s="25">
        <v>118.9</v>
      </c>
      <c r="J660" s="50">
        <v>0.36</v>
      </c>
      <c r="K660" s="25">
        <v>42.8</v>
      </c>
      <c r="L660" s="51">
        <v>0.0</v>
      </c>
      <c r="M660" s="51">
        <v>0.0</v>
      </c>
      <c r="N660" s="25">
        <v>128.0</v>
      </c>
      <c r="O660" s="25"/>
      <c r="P660" s="26" t="s">
        <v>42</v>
      </c>
      <c r="Q660" s="52">
        <v>691800.0</v>
      </c>
      <c r="R660" s="26" t="s">
        <v>1265</v>
      </c>
      <c r="S660" s="25">
        <v>2023.0</v>
      </c>
      <c r="T660" s="25">
        <v>0.047</v>
      </c>
      <c r="U660" s="25">
        <f t="shared" si="91"/>
        <v>32514.6</v>
      </c>
      <c r="V660" s="24">
        <f t="shared" si="3"/>
        <v>273.4617325</v>
      </c>
      <c r="W660" s="3">
        <f t="shared" si="29"/>
        <v>0</v>
      </c>
      <c r="X660" s="3">
        <f t="shared" si="30"/>
        <v>0</v>
      </c>
      <c r="Y660" s="3">
        <f t="shared" si="31"/>
        <v>0</v>
      </c>
      <c r="Z660" s="25">
        <f t="shared" si="32"/>
        <v>0</v>
      </c>
      <c r="AA660" s="26">
        <f>VLOOKUP(S660,CPI!$A$2:$E$67,5,0)</f>
        <v>1</v>
      </c>
      <c r="AB660" s="27">
        <f t="shared" si="8"/>
        <v>32514.6</v>
      </c>
      <c r="AC660" s="27">
        <f t="shared" si="9"/>
        <v>273.4617325</v>
      </c>
    </row>
    <row r="661">
      <c r="A661" s="61">
        <v>9785.0</v>
      </c>
      <c r="B661" s="26" t="s">
        <v>1262</v>
      </c>
      <c r="C661" s="26" t="s">
        <v>1278</v>
      </c>
      <c r="D661" s="26" t="s">
        <v>1279</v>
      </c>
      <c r="E661" s="26" t="s">
        <v>1279</v>
      </c>
      <c r="F661" s="25">
        <v>2015.0</v>
      </c>
      <c r="G661" s="25">
        <v>2019.0</v>
      </c>
      <c r="H661" s="25">
        <v>0.0</v>
      </c>
      <c r="I661" s="25">
        <v>29.7</v>
      </c>
      <c r="J661" s="50">
        <v>0.0</v>
      </c>
      <c r="K661" s="25">
        <v>0.0</v>
      </c>
      <c r="L661" s="51">
        <v>0.0</v>
      </c>
      <c r="M661" s="51">
        <v>0.0</v>
      </c>
      <c r="N661" s="25">
        <v>21.0</v>
      </c>
      <c r="O661" s="25"/>
      <c r="P661" s="26" t="s">
        <v>36</v>
      </c>
      <c r="Q661" s="52">
        <v>42610.0</v>
      </c>
      <c r="R661" s="26" t="s">
        <v>1265</v>
      </c>
      <c r="S661" s="25">
        <v>2017.0</v>
      </c>
      <c r="T661" s="25">
        <v>0.048</v>
      </c>
      <c r="U661" s="25">
        <f t="shared" si="91"/>
        <v>2045.28</v>
      </c>
      <c r="V661" s="24">
        <f t="shared" si="3"/>
        <v>68.86464646</v>
      </c>
      <c r="W661" s="3">
        <f t="shared" si="29"/>
        <v>0</v>
      </c>
      <c r="X661" s="3">
        <f t="shared" si="30"/>
        <v>0</v>
      </c>
      <c r="Y661" s="3">
        <f t="shared" si="31"/>
        <v>0</v>
      </c>
      <c r="Z661" s="25">
        <f t="shared" si="32"/>
        <v>0</v>
      </c>
      <c r="AA661" s="26">
        <f>VLOOKUP(S661,CPI!$A$2:$E$67,5,0)</f>
        <v>1.243072781</v>
      </c>
      <c r="AB661" s="27">
        <f t="shared" si="8"/>
        <v>2542.431897</v>
      </c>
      <c r="AC661" s="27">
        <f t="shared" si="9"/>
        <v>85.60376757</v>
      </c>
    </row>
    <row r="662">
      <c r="A662" s="38">
        <v>7368.0</v>
      </c>
      <c r="B662" s="26" t="s">
        <v>1262</v>
      </c>
      <c r="C662" s="26" t="s">
        <v>1278</v>
      </c>
      <c r="D662" s="26" t="s">
        <v>1281</v>
      </c>
      <c r="E662" s="26" t="s">
        <v>1281</v>
      </c>
      <c r="F662" s="25">
        <v>2012.0</v>
      </c>
      <c r="G662" s="25">
        <v>2020.0</v>
      </c>
      <c r="H662" s="25">
        <v>0.0</v>
      </c>
      <c r="I662" s="25">
        <v>160.6</v>
      </c>
      <c r="J662" s="50">
        <v>0.33</v>
      </c>
      <c r="K662" s="25">
        <v>53.0</v>
      </c>
      <c r="L662" s="51">
        <v>0.0</v>
      </c>
      <c r="M662" s="51">
        <v>0.0</v>
      </c>
      <c r="N662" s="25">
        <v>109.0</v>
      </c>
      <c r="O662" s="25"/>
      <c r="P662" s="26" t="s">
        <v>74</v>
      </c>
      <c r="Q662" s="52">
        <v>410790.0</v>
      </c>
      <c r="R662" s="26" t="s">
        <v>1265</v>
      </c>
      <c r="S662" s="25">
        <v>2016.0</v>
      </c>
      <c r="T662" s="25">
        <v>0.05</v>
      </c>
      <c r="U662" s="25">
        <f t="shared" si="91"/>
        <v>20539.5</v>
      </c>
      <c r="V662" s="24">
        <f t="shared" si="3"/>
        <v>127.892279</v>
      </c>
      <c r="W662" s="3">
        <f t="shared" si="29"/>
        <v>0</v>
      </c>
      <c r="X662" s="3">
        <f t="shared" si="30"/>
        <v>0</v>
      </c>
      <c r="Y662" s="3">
        <f t="shared" si="31"/>
        <v>0</v>
      </c>
      <c r="Z662" s="25">
        <f t="shared" si="32"/>
        <v>0</v>
      </c>
      <c r="AA662" s="26">
        <f>VLOOKUP(S662,CPI!$A$2:$E$67,5,0)</f>
        <v>1.269554638</v>
      </c>
      <c r="AB662" s="27">
        <f t="shared" si="8"/>
        <v>26076.01749</v>
      </c>
      <c r="AC662" s="27">
        <f t="shared" si="9"/>
        <v>162.3662359</v>
      </c>
    </row>
    <row r="663">
      <c r="A663" s="38">
        <v>7369.0</v>
      </c>
      <c r="B663" s="26" t="s">
        <v>1262</v>
      </c>
      <c r="C663" s="26" t="s">
        <v>1278</v>
      </c>
      <c r="D663" s="1" t="s">
        <v>1283</v>
      </c>
      <c r="E663" s="26" t="s">
        <v>1284</v>
      </c>
      <c r="F663" s="25">
        <v>2019.0</v>
      </c>
      <c r="G663" s="25">
        <v>2025.0</v>
      </c>
      <c r="H663" s="25">
        <v>0.0</v>
      </c>
      <c r="I663" s="25">
        <v>61.7</v>
      </c>
      <c r="J663" s="50">
        <v>0.36</v>
      </c>
      <c r="K663" s="25">
        <v>22.3</v>
      </c>
      <c r="L663" s="51">
        <v>0.0</v>
      </c>
      <c r="M663" s="51">
        <v>0.0</v>
      </c>
      <c r="N663" s="25">
        <v>46.0</v>
      </c>
      <c r="O663" s="25"/>
      <c r="P663" s="26" t="s">
        <v>42</v>
      </c>
      <c r="Q663" s="52">
        <v>249486.5</v>
      </c>
      <c r="R663" s="26" t="s">
        <v>1265</v>
      </c>
      <c r="S663" s="25">
        <v>2022.0</v>
      </c>
      <c r="T663" s="25">
        <v>0.047</v>
      </c>
      <c r="U663" s="25">
        <f t="shared" si="91"/>
        <v>11725.8655</v>
      </c>
      <c r="V663" s="24">
        <f t="shared" si="3"/>
        <v>190.0464425</v>
      </c>
      <c r="W663" s="3">
        <f t="shared" si="29"/>
        <v>0</v>
      </c>
      <c r="X663" s="3">
        <f t="shared" si="30"/>
        <v>0</v>
      </c>
      <c r="Y663" s="3">
        <f t="shared" si="31"/>
        <v>0</v>
      </c>
      <c r="Z663" s="25">
        <f t="shared" si="32"/>
        <v>0</v>
      </c>
      <c r="AA663" s="26">
        <f>VLOOKUP(S663,CPI!$A$2:$E$67,5,0)</f>
        <v>1.041164511</v>
      </c>
      <c r="AB663" s="27">
        <f t="shared" si="8"/>
        <v>12208.55502</v>
      </c>
      <c r="AC663" s="27">
        <f t="shared" si="9"/>
        <v>197.8696114</v>
      </c>
    </row>
    <row r="664">
      <c r="A664" s="38">
        <v>7370.0</v>
      </c>
      <c r="B664" s="26" t="s">
        <v>1262</v>
      </c>
      <c r="C664" s="26" t="s">
        <v>1278</v>
      </c>
      <c r="D664" s="1" t="s">
        <v>1283</v>
      </c>
      <c r="E664" s="26" t="s">
        <v>1286</v>
      </c>
      <c r="F664" s="25">
        <v>2019.0</v>
      </c>
      <c r="G664" s="25">
        <v>2025.0</v>
      </c>
      <c r="H664" s="25">
        <v>0.0</v>
      </c>
      <c r="I664" s="25">
        <v>42.3</v>
      </c>
      <c r="J664" s="50">
        <v>0.35</v>
      </c>
      <c r="K664" s="25">
        <v>14.7</v>
      </c>
      <c r="L664" s="51">
        <v>0.0</v>
      </c>
      <c r="M664" s="51">
        <v>0.0</v>
      </c>
      <c r="N664" s="25">
        <v>43.0</v>
      </c>
      <c r="O664" s="25"/>
      <c r="P664" s="26" t="s">
        <v>42</v>
      </c>
      <c r="Q664" s="52">
        <v>215363.5</v>
      </c>
      <c r="R664" s="26" t="s">
        <v>1265</v>
      </c>
      <c r="S664" s="25">
        <v>2022.0</v>
      </c>
      <c r="T664" s="25">
        <v>0.047</v>
      </c>
      <c r="U664" s="25">
        <f t="shared" si="91"/>
        <v>10122.0845</v>
      </c>
      <c r="V664" s="24">
        <f t="shared" si="3"/>
        <v>239.2927778</v>
      </c>
      <c r="W664" s="3">
        <f t="shared" si="29"/>
        <v>0</v>
      </c>
      <c r="X664" s="3">
        <f t="shared" si="30"/>
        <v>0</v>
      </c>
      <c r="Y664" s="3">
        <f t="shared" si="31"/>
        <v>0</v>
      </c>
      <c r="Z664" s="25">
        <f t="shared" si="32"/>
        <v>0</v>
      </c>
      <c r="AA664" s="26">
        <f>VLOOKUP(S664,CPI!$A$2:$E$67,5,0)</f>
        <v>1.041164511</v>
      </c>
      <c r="AB664" s="27">
        <f t="shared" si="8"/>
        <v>10538.75516</v>
      </c>
      <c r="AC664" s="27">
        <f t="shared" si="9"/>
        <v>249.143148</v>
      </c>
    </row>
    <row r="665">
      <c r="A665" s="38">
        <v>7538.0</v>
      </c>
      <c r="B665" s="26" t="s">
        <v>1262</v>
      </c>
      <c r="C665" s="26" t="s">
        <v>1288</v>
      </c>
      <c r="D665" s="1" t="s">
        <v>1288</v>
      </c>
      <c r="E665" s="26" t="s">
        <v>34</v>
      </c>
      <c r="F665" s="25">
        <v>2009.0</v>
      </c>
      <c r="G665" s="25">
        <v>2013.0</v>
      </c>
      <c r="H665" s="25">
        <v>0.0</v>
      </c>
      <c r="I665" s="25">
        <v>5.5</v>
      </c>
      <c r="J665" s="50">
        <v>0.0</v>
      </c>
      <c r="K665" s="25">
        <v>0.0</v>
      </c>
      <c r="L665" s="51">
        <v>0.0</v>
      </c>
      <c r="M665" s="51">
        <v>0.0</v>
      </c>
      <c r="N665" s="25">
        <v>6.0</v>
      </c>
      <c r="O665" s="25"/>
      <c r="P665" s="26" t="s">
        <v>74</v>
      </c>
      <c r="Q665" s="52">
        <v>10880.0</v>
      </c>
      <c r="R665" s="26" t="s">
        <v>1265</v>
      </c>
      <c r="S665" s="25">
        <v>2011.0</v>
      </c>
      <c r="T665" s="25">
        <v>0.064</v>
      </c>
      <c r="U665" s="25">
        <f t="shared" si="91"/>
        <v>696.32</v>
      </c>
      <c r="V665" s="24">
        <f t="shared" si="3"/>
        <v>126.6036364</v>
      </c>
      <c r="W665" s="3">
        <f t="shared" si="29"/>
        <v>0</v>
      </c>
      <c r="X665" s="3">
        <f t="shared" si="30"/>
        <v>0</v>
      </c>
      <c r="Y665" s="3">
        <f t="shared" si="31"/>
        <v>0</v>
      </c>
      <c r="Z665" s="25">
        <f t="shared" si="32"/>
        <v>0</v>
      </c>
      <c r="AA665" s="26">
        <f>VLOOKUP(S665,CPI!$A$2:$E$67,5,0)</f>
        <v>1.354598358</v>
      </c>
      <c r="AB665" s="27">
        <f t="shared" si="8"/>
        <v>943.2339285</v>
      </c>
      <c r="AC665" s="27">
        <f t="shared" si="9"/>
        <v>171.4970779</v>
      </c>
    </row>
    <row r="666">
      <c r="A666" s="38">
        <v>7539.0</v>
      </c>
      <c r="B666" s="26" t="s">
        <v>1262</v>
      </c>
      <c r="C666" s="26" t="s">
        <v>1288</v>
      </c>
      <c r="D666" s="1" t="s">
        <v>1288</v>
      </c>
      <c r="E666" s="26" t="s">
        <v>38</v>
      </c>
      <c r="F666" s="25">
        <v>2013.0</v>
      </c>
      <c r="G666" s="25">
        <v>2017.0</v>
      </c>
      <c r="H666" s="25">
        <v>0.0</v>
      </c>
      <c r="I666" s="25">
        <v>6.3</v>
      </c>
      <c r="J666" s="50">
        <v>0.0</v>
      </c>
      <c r="K666" s="25">
        <v>0.0</v>
      </c>
      <c r="L666" s="51">
        <v>0.0</v>
      </c>
      <c r="M666" s="51">
        <v>0.0</v>
      </c>
      <c r="N666" s="25">
        <v>5.0</v>
      </c>
      <c r="O666" s="25"/>
      <c r="P666" s="26" t="s">
        <v>74</v>
      </c>
      <c r="Q666" s="52">
        <v>24230.0</v>
      </c>
      <c r="R666" s="26" t="s">
        <v>1265</v>
      </c>
      <c r="S666" s="25">
        <v>2015.0</v>
      </c>
      <c r="T666" s="25">
        <v>0.052</v>
      </c>
      <c r="U666" s="25">
        <f t="shared" si="91"/>
        <v>1259.96</v>
      </c>
      <c r="V666" s="24">
        <f t="shared" si="3"/>
        <v>199.9936508</v>
      </c>
      <c r="W666" s="3">
        <f t="shared" si="29"/>
        <v>0</v>
      </c>
      <c r="X666" s="3">
        <f t="shared" si="30"/>
        <v>0</v>
      </c>
      <c r="Y666" s="3">
        <f t="shared" si="31"/>
        <v>0</v>
      </c>
      <c r="Z666" s="25">
        <f t="shared" si="32"/>
        <v>0</v>
      </c>
      <c r="AA666" s="26">
        <f>VLOOKUP(S666,CPI!$A$2:$E$67,5,0)</f>
        <v>1.285570233</v>
      </c>
      <c r="AB666" s="27">
        <f t="shared" si="8"/>
        <v>1619.767071</v>
      </c>
      <c r="AC666" s="27">
        <f t="shared" si="9"/>
        <v>257.1058843</v>
      </c>
    </row>
    <row r="667">
      <c r="A667" s="38">
        <v>7547.0</v>
      </c>
      <c r="B667" s="26" t="s">
        <v>1262</v>
      </c>
      <c r="C667" s="26" t="s">
        <v>1291</v>
      </c>
      <c r="D667" s="1" t="s">
        <v>1069</v>
      </c>
      <c r="E667" s="26" t="s">
        <v>34</v>
      </c>
      <c r="F667" s="25">
        <v>2012.0</v>
      </c>
      <c r="G667" s="25">
        <v>2020.0</v>
      </c>
      <c r="H667" s="25">
        <v>0.0</v>
      </c>
      <c r="I667" s="25">
        <v>72.0</v>
      </c>
      <c r="J667" s="50">
        <v>0.0</v>
      </c>
      <c r="K667" s="25">
        <v>0.0</v>
      </c>
      <c r="L667" s="51">
        <v>0.0</v>
      </c>
      <c r="M667" s="51">
        <v>0.0</v>
      </c>
      <c r="N667" s="25">
        <v>66.0</v>
      </c>
      <c r="O667" s="25"/>
      <c r="P667" s="26" t="s">
        <v>42</v>
      </c>
      <c r="Q667" s="52">
        <v>188000.0</v>
      </c>
      <c r="R667" s="26" t="s">
        <v>1265</v>
      </c>
      <c r="S667" s="25">
        <v>2016.0</v>
      </c>
      <c r="T667" s="25">
        <v>0.05</v>
      </c>
      <c r="U667" s="25">
        <f t="shared" si="91"/>
        <v>9400</v>
      </c>
      <c r="V667" s="24">
        <f t="shared" si="3"/>
        <v>130.5555556</v>
      </c>
      <c r="W667" s="3">
        <f t="shared" si="29"/>
        <v>0</v>
      </c>
      <c r="X667" s="3">
        <f t="shared" si="30"/>
        <v>0</v>
      </c>
      <c r="Y667" s="3">
        <f t="shared" si="31"/>
        <v>0</v>
      </c>
      <c r="Z667" s="25">
        <f t="shared" si="32"/>
        <v>0</v>
      </c>
      <c r="AA667" s="26">
        <f>VLOOKUP(S667,CPI!$A$2:$E$67,5,0)</f>
        <v>1.269554638</v>
      </c>
      <c r="AB667" s="27">
        <f t="shared" si="8"/>
        <v>11933.8136</v>
      </c>
      <c r="AC667" s="27">
        <f t="shared" si="9"/>
        <v>165.7474111</v>
      </c>
    </row>
    <row r="668">
      <c r="A668" s="38">
        <v>7552.0</v>
      </c>
      <c r="B668" s="26" t="s">
        <v>1262</v>
      </c>
      <c r="C668" s="26" t="s">
        <v>1291</v>
      </c>
      <c r="D668" s="26" t="s">
        <v>1293</v>
      </c>
      <c r="E668" s="26" t="s">
        <v>1293</v>
      </c>
      <c r="F668" s="25">
        <v>2020.0</v>
      </c>
      <c r="G668" s="26"/>
      <c r="H668" s="25">
        <v>0.0</v>
      </c>
      <c r="I668" s="25">
        <v>31.0</v>
      </c>
      <c r="J668" s="50">
        <v>0.08</v>
      </c>
      <c r="K668" s="25">
        <v>2.5</v>
      </c>
      <c r="L668" s="51">
        <v>0.0</v>
      </c>
      <c r="M668" s="51">
        <v>0.0</v>
      </c>
      <c r="N668" s="25">
        <v>10.0</v>
      </c>
      <c r="O668" s="25"/>
      <c r="P668" s="26" t="s">
        <v>42</v>
      </c>
      <c r="Q668" s="52">
        <v>46500.0</v>
      </c>
      <c r="R668" s="26" t="s">
        <v>1265</v>
      </c>
      <c r="S668" s="25">
        <v>2020.0</v>
      </c>
      <c r="T668" s="25">
        <v>0.047</v>
      </c>
      <c r="U668" s="25">
        <f t="shared" si="91"/>
        <v>2185.5</v>
      </c>
      <c r="V668" s="24">
        <f t="shared" si="3"/>
        <v>70.5</v>
      </c>
      <c r="W668" s="3">
        <f t="shared" si="29"/>
        <v>0</v>
      </c>
      <c r="X668" s="3">
        <f t="shared" si="30"/>
        <v>0</v>
      </c>
      <c r="Y668" s="3">
        <f t="shared" si="31"/>
        <v>0</v>
      </c>
      <c r="Z668" s="25">
        <f t="shared" si="32"/>
        <v>0</v>
      </c>
      <c r="AA668" s="26">
        <f>VLOOKUP(S668,CPI!$A$2:$E$67,5,0)</f>
        <v>1.17731472</v>
      </c>
      <c r="AB668" s="27">
        <f t="shared" si="8"/>
        <v>2573.021321</v>
      </c>
      <c r="AC668" s="27">
        <f t="shared" si="9"/>
        <v>83.00068776</v>
      </c>
    </row>
    <row r="669">
      <c r="A669" s="61">
        <v>9786.0</v>
      </c>
      <c r="B669" s="26" t="s">
        <v>1262</v>
      </c>
      <c r="C669" s="26" t="s">
        <v>1295</v>
      </c>
      <c r="D669" s="1" t="s">
        <v>1069</v>
      </c>
      <c r="E669" s="26" t="s">
        <v>34</v>
      </c>
      <c r="F669" s="25">
        <v>2011.0</v>
      </c>
      <c r="G669" s="25">
        <v>2020.0</v>
      </c>
      <c r="H669" s="25">
        <v>0.0</v>
      </c>
      <c r="I669" s="25">
        <v>12.1</v>
      </c>
      <c r="J669" s="50">
        <v>0.23</v>
      </c>
      <c r="K669" s="25">
        <v>2.8</v>
      </c>
      <c r="L669" s="51">
        <v>0.0</v>
      </c>
      <c r="M669" s="51">
        <v>0.0</v>
      </c>
      <c r="N669" s="25">
        <v>11.0</v>
      </c>
      <c r="O669" s="25"/>
      <c r="P669" s="26" t="s">
        <v>60</v>
      </c>
      <c r="Q669" s="52">
        <v>31490.0</v>
      </c>
      <c r="R669" s="26" t="s">
        <v>1265</v>
      </c>
      <c r="S669" s="25">
        <v>2011.0</v>
      </c>
      <c r="T669" s="25">
        <v>0.064</v>
      </c>
      <c r="U669" s="25">
        <f t="shared" si="91"/>
        <v>2015.36</v>
      </c>
      <c r="V669" s="24">
        <f t="shared" si="3"/>
        <v>166.5586777</v>
      </c>
      <c r="W669" s="3">
        <f t="shared" si="29"/>
        <v>0</v>
      </c>
      <c r="X669" s="3">
        <f t="shared" si="30"/>
        <v>0</v>
      </c>
      <c r="Y669" s="3">
        <f t="shared" si="31"/>
        <v>0</v>
      </c>
      <c r="Z669" s="25">
        <f t="shared" si="32"/>
        <v>0</v>
      </c>
      <c r="AA669" s="26">
        <f>VLOOKUP(S669,CPI!$A$2:$E$67,5,0)</f>
        <v>1.354598358</v>
      </c>
      <c r="AB669" s="27">
        <f t="shared" si="8"/>
        <v>2730.003346</v>
      </c>
      <c r="AC669" s="27">
        <f t="shared" si="9"/>
        <v>225.6201113</v>
      </c>
    </row>
    <row r="670">
      <c r="A670" s="7"/>
      <c r="B670" s="114" t="s">
        <v>1262</v>
      </c>
      <c r="C670" s="114" t="s">
        <v>1297</v>
      </c>
      <c r="D670" s="114" t="s">
        <v>57</v>
      </c>
      <c r="E670" s="114" t="s">
        <v>768</v>
      </c>
      <c r="F670" s="116">
        <v>2019.0</v>
      </c>
      <c r="G670" s="116">
        <v>2022.0</v>
      </c>
      <c r="H670" s="116">
        <v>0.0</v>
      </c>
      <c r="I670" s="116">
        <v>32.385</v>
      </c>
      <c r="J670" s="71">
        <v>0.399</v>
      </c>
      <c r="K670" s="116">
        <v>12.921</v>
      </c>
      <c r="L670" s="116">
        <v>19.464</v>
      </c>
      <c r="M670" s="114"/>
      <c r="N670" s="116">
        <v>31.0</v>
      </c>
      <c r="O670" s="116"/>
      <c r="P670" s="114"/>
      <c r="Q670" s="73">
        <v>110765.0</v>
      </c>
      <c r="R670" s="114" t="s">
        <v>1265</v>
      </c>
      <c r="S670" s="115">
        <v>2021.0</v>
      </c>
      <c r="T670" s="85">
        <v>0.0432</v>
      </c>
      <c r="U670" s="118">
        <f t="shared" si="91"/>
        <v>4785.048</v>
      </c>
      <c r="V670" s="24">
        <f t="shared" si="3"/>
        <v>147.7550718</v>
      </c>
      <c r="W670" s="3">
        <f t="shared" si="29"/>
        <v>0</v>
      </c>
      <c r="X670" s="3">
        <f t="shared" si="30"/>
        <v>0</v>
      </c>
      <c r="Y670" s="3">
        <f t="shared" si="31"/>
        <v>0</v>
      </c>
      <c r="Z670" s="25">
        <f t="shared" si="32"/>
        <v>0</v>
      </c>
      <c r="AA670" s="26">
        <f>VLOOKUP(S670,CPI!$A$2:$E$67,5,0)</f>
        <v>1.124486105</v>
      </c>
      <c r="AB670" s="27">
        <f t="shared" si="8"/>
        <v>5380.71999</v>
      </c>
      <c r="AC670" s="27">
        <f t="shared" si="9"/>
        <v>166.1485252</v>
      </c>
    </row>
    <row r="671">
      <c r="A671" s="38">
        <v>7363.0</v>
      </c>
      <c r="B671" s="26" t="s">
        <v>1262</v>
      </c>
      <c r="C671" s="26" t="s">
        <v>1299</v>
      </c>
      <c r="D671" s="26" t="s">
        <v>1069</v>
      </c>
      <c r="E671" s="26" t="s">
        <v>1069</v>
      </c>
      <c r="F671" s="25">
        <v>2013.0</v>
      </c>
      <c r="G671" s="25">
        <v>2017.0</v>
      </c>
      <c r="H671" s="25">
        <v>0.0</v>
      </c>
      <c r="I671" s="25">
        <v>13.0</v>
      </c>
      <c r="J671" s="50">
        <v>0.0</v>
      </c>
      <c r="K671" s="25">
        <v>0.0</v>
      </c>
      <c r="L671" s="51">
        <v>0.0</v>
      </c>
      <c r="M671" s="51">
        <v>0.0</v>
      </c>
      <c r="N671" s="25">
        <v>11.0</v>
      </c>
      <c r="O671" s="25"/>
      <c r="P671" s="26" t="s">
        <v>60</v>
      </c>
      <c r="Q671" s="52">
        <v>51810.0</v>
      </c>
      <c r="R671" s="26" t="s">
        <v>1265</v>
      </c>
      <c r="S671" s="25">
        <v>2015.0</v>
      </c>
      <c r="T671" s="25">
        <v>0.052</v>
      </c>
      <c r="U671" s="25">
        <f t="shared" si="91"/>
        <v>2694.12</v>
      </c>
      <c r="V671" s="24">
        <f t="shared" si="3"/>
        <v>207.24</v>
      </c>
      <c r="W671" s="3">
        <f t="shared" si="29"/>
        <v>0</v>
      </c>
      <c r="X671" s="3">
        <f t="shared" si="30"/>
        <v>0</v>
      </c>
      <c r="Y671" s="3">
        <f t="shared" si="31"/>
        <v>0</v>
      </c>
      <c r="Z671" s="25">
        <f t="shared" si="32"/>
        <v>0</v>
      </c>
      <c r="AA671" s="26">
        <f>VLOOKUP(S671,CPI!$A$2:$E$67,5,0)</f>
        <v>1.285570233</v>
      </c>
      <c r="AB671" s="27">
        <f t="shared" si="8"/>
        <v>3463.480477</v>
      </c>
      <c r="AC671" s="27">
        <f t="shared" si="9"/>
        <v>266.4215752</v>
      </c>
    </row>
    <row r="672">
      <c r="A672" s="61">
        <v>9787.0</v>
      </c>
      <c r="B672" s="26" t="s">
        <v>1262</v>
      </c>
      <c r="C672" s="26" t="s">
        <v>1301</v>
      </c>
      <c r="D672" s="26" t="s">
        <v>57</v>
      </c>
      <c r="E672" s="26" t="s">
        <v>57</v>
      </c>
      <c r="F672" s="25">
        <v>2014.0</v>
      </c>
      <c r="G672" s="25">
        <v>2019.0</v>
      </c>
      <c r="H672" s="25">
        <v>0.0</v>
      </c>
      <c r="I672" s="25">
        <v>22.9</v>
      </c>
      <c r="J672" s="50">
        <v>0.15</v>
      </c>
      <c r="K672" s="25">
        <v>3.4</v>
      </c>
      <c r="L672" s="51">
        <v>0.0</v>
      </c>
      <c r="M672" s="51">
        <v>0.0</v>
      </c>
      <c r="N672" s="25">
        <v>22.0</v>
      </c>
      <c r="O672" s="25"/>
      <c r="P672" s="26" t="s">
        <v>60</v>
      </c>
      <c r="Q672" s="52">
        <v>69280.0</v>
      </c>
      <c r="R672" s="26" t="s">
        <v>1265</v>
      </c>
      <c r="S672" s="25">
        <v>2016.0</v>
      </c>
      <c r="T672" s="25">
        <v>0.05</v>
      </c>
      <c r="U672" s="25">
        <f t="shared" si="91"/>
        <v>3464</v>
      </c>
      <c r="V672" s="24">
        <f t="shared" si="3"/>
        <v>151.2663755</v>
      </c>
      <c r="W672" s="3">
        <f t="shared" si="29"/>
        <v>0</v>
      </c>
      <c r="X672" s="3">
        <f t="shared" si="30"/>
        <v>0</v>
      </c>
      <c r="Y672" s="3">
        <f t="shared" si="31"/>
        <v>0</v>
      </c>
      <c r="Z672" s="25">
        <f t="shared" si="32"/>
        <v>0</v>
      </c>
      <c r="AA672" s="26">
        <f>VLOOKUP(S672,CPI!$A$2:$E$67,5,0)</f>
        <v>1.269554638</v>
      </c>
      <c r="AB672" s="27">
        <f t="shared" si="8"/>
        <v>4397.737266</v>
      </c>
      <c r="AC672" s="27">
        <f t="shared" si="9"/>
        <v>192.0409286</v>
      </c>
    </row>
    <row r="673">
      <c r="A673" s="38">
        <v>7288.0</v>
      </c>
      <c r="B673" s="26" t="s">
        <v>1262</v>
      </c>
      <c r="C673" s="26" t="s">
        <v>1303</v>
      </c>
      <c r="D673" s="26" t="s">
        <v>1097</v>
      </c>
      <c r="E673" s="26" t="s">
        <v>1097</v>
      </c>
      <c r="F673" s="25">
        <v>2009.0</v>
      </c>
      <c r="G673" s="25">
        <v>2019.0</v>
      </c>
      <c r="H673" s="25">
        <v>0.0</v>
      </c>
      <c r="I673" s="25">
        <v>20.2</v>
      </c>
      <c r="J673" s="50">
        <v>0.0</v>
      </c>
      <c r="K673" s="25">
        <v>0.0</v>
      </c>
      <c r="L673" s="51">
        <v>0.0</v>
      </c>
      <c r="M673" s="51">
        <v>0.0</v>
      </c>
      <c r="N673" s="25">
        <v>17.0</v>
      </c>
      <c r="O673" s="25"/>
      <c r="P673" s="26" t="s">
        <v>60</v>
      </c>
      <c r="Q673" s="52">
        <v>30000.0</v>
      </c>
      <c r="R673" s="26" t="s">
        <v>1265</v>
      </c>
      <c r="S673" s="25">
        <v>2014.0</v>
      </c>
      <c r="T673" s="25">
        <v>0.054</v>
      </c>
      <c r="U673" s="25">
        <f t="shared" si="91"/>
        <v>1620</v>
      </c>
      <c r="V673" s="24">
        <f t="shared" si="3"/>
        <v>80.1980198</v>
      </c>
      <c r="W673" s="3">
        <f t="shared" si="29"/>
        <v>0</v>
      </c>
      <c r="X673" s="3">
        <f t="shared" si="30"/>
        <v>0</v>
      </c>
      <c r="Y673" s="3">
        <f t="shared" si="31"/>
        <v>0</v>
      </c>
      <c r="Z673" s="25">
        <f t="shared" si="32"/>
        <v>0</v>
      </c>
      <c r="AA673" s="26">
        <f>VLOOKUP(S673,CPI!$A$2:$E$67,5,0)</f>
        <v>1.287096175</v>
      </c>
      <c r="AB673" s="27">
        <f t="shared" si="8"/>
        <v>2085.095803</v>
      </c>
      <c r="AC673" s="27">
        <f t="shared" si="9"/>
        <v>103.2225645</v>
      </c>
    </row>
    <row r="674">
      <c r="A674" s="38">
        <v>7290.0</v>
      </c>
      <c r="B674" s="26" t="s">
        <v>1262</v>
      </c>
      <c r="C674" s="26" t="s">
        <v>1303</v>
      </c>
      <c r="D674" s="1" t="s">
        <v>54</v>
      </c>
      <c r="E674" s="26" t="s">
        <v>1305</v>
      </c>
      <c r="F674" s="25">
        <v>2016.0</v>
      </c>
      <c r="G674" s="25">
        <v>2021.0</v>
      </c>
      <c r="H674" s="25">
        <v>0.0</v>
      </c>
      <c r="I674" s="25">
        <v>18.6</v>
      </c>
      <c r="J674" s="50">
        <v>0.0</v>
      </c>
      <c r="K674" s="25">
        <v>0.0</v>
      </c>
      <c r="L674" s="51">
        <v>17.48</v>
      </c>
      <c r="M674" s="51">
        <v>1.12</v>
      </c>
      <c r="N674" s="25">
        <v>17.0</v>
      </c>
      <c r="O674" s="25"/>
      <c r="P674" s="26" t="s">
        <v>42</v>
      </c>
      <c r="Q674" s="52">
        <v>64100.0</v>
      </c>
      <c r="R674" s="26" t="s">
        <v>1265</v>
      </c>
      <c r="S674" s="25">
        <v>2018.0</v>
      </c>
      <c r="T674" s="25">
        <v>0.048</v>
      </c>
      <c r="U674" s="25">
        <f t="shared" si="91"/>
        <v>3076.8</v>
      </c>
      <c r="V674" s="24">
        <f t="shared" si="3"/>
        <v>165.4193548</v>
      </c>
      <c r="W674" s="3">
        <f t="shared" si="29"/>
        <v>0</v>
      </c>
      <c r="X674" s="3">
        <f t="shared" si="30"/>
        <v>0</v>
      </c>
      <c r="Y674" s="3">
        <f t="shared" si="31"/>
        <v>0</v>
      </c>
      <c r="Z674" s="25">
        <f t="shared" si="32"/>
        <v>0</v>
      </c>
      <c r="AA674" s="26">
        <f>VLOOKUP(S674,CPI!$A$2:$E$67,5,0)</f>
        <v>1.21343491</v>
      </c>
      <c r="AB674" s="27">
        <f t="shared" si="8"/>
        <v>3733.496532</v>
      </c>
      <c r="AC674" s="27">
        <f t="shared" si="9"/>
        <v>200.72562</v>
      </c>
    </row>
    <row r="675">
      <c r="A675" s="38">
        <v>7304.0</v>
      </c>
      <c r="B675" s="26" t="s">
        <v>1262</v>
      </c>
      <c r="C675" s="26" t="s">
        <v>1303</v>
      </c>
      <c r="D675" s="26" t="s">
        <v>228</v>
      </c>
      <c r="E675" s="26" t="s">
        <v>228</v>
      </c>
      <c r="F675" s="25">
        <v>2016.0</v>
      </c>
      <c r="G675" s="25">
        <v>2021.0</v>
      </c>
      <c r="H675" s="25">
        <v>0.0</v>
      </c>
      <c r="I675" s="25">
        <v>16.5</v>
      </c>
      <c r="J675" s="50">
        <v>0.0</v>
      </c>
      <c r="K675" s="25">
        <v>0.0</v>
      </c>
      <c r="L675" s="51">
        <v>15.505</v>
      </c>
      <c r="M675" s="51">
        <v>0.995</v>
      </c>
      <c r="N675" s="25">
        <v>14.0</v>
      </c>
      <c r="O675" s="25"/>
      <c r="P675" s="26" t="s">
        <v>74</v>
      </c>
      <c r="Q675" s="52">
        <v>62080.0</v>
      </c>
      <c r="R675" s="26" t="s">
        <v>1265</v>
      </c>
      <c r="S675" s="25">
        <v>2018.0</v>
      </c>
      <c r="T675" s="25">
        <v>0.048</v>
      </c>
      <c r="U675" s="25">
        <f t="shared" si="91"/>
        <v>2979.84</v>
      </c>
      <c r="V675" s="24">
        <f t="shared" si="3"/>
        <v>180.5963636</v>
      </c>
      <c r="W675" s="3">
        <f t="shared" si="29"/>
        <v>0</v>
      </c>
      <c r="X675" s="3">
        <f t="shared" si="30"/>
        <v>0</v>
      </c>
      <c r="Y675" s="3">
        <f t="shared" si="31"/>
        <v>0</v>
      </c>
      <c r="Z675" s="25">
        <f t="shared" si="32"/>
        <v>0</v>
      </c>
      <c r="AA675" s="26">
        <f>VLOOKUP(S675,CPI!$A$2:$E$67,5,0)</f>
        <v>1.21343491</v>
      </c>
      <c r="AB675" s="27">
        <f t="shared" si="8"/>
        <v>3615.841883</v>
      </c>
      <c r="AC675" s="27">
        <f t="shared" si="9"/>
        <v>219.1419323</v>
      </c>
    </row>
    <row r="676">
      <c r="A676" s="38">
        <v>7289.0</v>
      </c>
      <c r="B676" s="26" t="s">
        <v>1262</v>
      </c>
      <c r="C676" s="26" t="s">
        <v>1303</v>
      </c>
      <c r="D676" s="26" t="s">
        <v>87</v>
      </c>
      <c r="E676" s="26" t="s">
        <v>87</v>
      </c>
      <c r="F676" s="25">
        <v>2016.0</v>
      </c>
      <c r="G676" s="25">
        <v>2022.0</v>
      </c>
      <c r="H676" s="25">
        <v>0.0</v>
      </c>
      <c r="I676" s="25">
        <v>33.5</v>
      </c>
      <c r="J676" s="50">
        <v>1.0</v>
      </c>
      <c r="K676" s="25">
        <v>33.5</v>
      </c>
      <c r="L676" s="51">
        <v>0.0</v>
      </c>
      <c r="M676" s="51">
        <v>0.0</v>
      </c>
      <c r="N676" s="25">
        <v>27.0</v>
      </c>
      <c r="O676" s="25"/>
      <c r="P676" s="26" t="s">
        <v>42</v>
      </c>
      <c r="Q676" s="52">
        <v>320000.0</v>
      </c>
      <c r="R676" s="26" t="s">
        <v>1265</v>
      </c>
      <c r="S676" s="25">
        <v>2019.0</v>
      </c>
      <c r="T676" s="25">
        <v>0.047</v>
      </c>
      <c r="U676" s="25">
        <f t="shared" si="91"/>
        <v>15040</v>
      </c>
      <c r="V676" s="24">
        <f t="shared" si="3"/>
        <v>448.9552239</v>
      </c>
      <c r="W676" s="3">
        <f t="shared" si="29"/>
        <v>0</v>
      </c>
      <c r="X676" s="3">
        <f t="shared" si="30"/>
        <v>0</v>
      </c>
      <c r="Y676" s="3">
        <f t="shared" si="31"/>
        <v>0</v>
      </c>
      <c r="Z676" s="25">
        <f t="shared" si="32"/>
        <v>0</v>
      </c>
      <c r="AA676" s="26">
        <f>VLOOKUP(S676,CPI!$A$2:$E$67,5,0)</f>
        <v>1.191839066</v>
      </c>
      <c r="AB676" s="27">
        <f t="shared" si="8"/>
        <v>17925.25955</v>
      </c>
      <c r="AC676" s="27">
        <f t="shared" si="9"/>
        <v>535.0823745</v>
      </c>
    </row>
    <row r="677">
      <c r="A677" s="38">
        <v>7299.0</v>
      </c>
      <c r="B677" s="26" t="s">
        <v>1262</v>
      </c>
      <c r="C677" s="26" t="s">
        <v>1303</v>
      </c>
      <c r="D677" s="26" t="s">
        <v>80</v>
      </c>
      <c r="E677" s="26" t="s">
        <v>80</v>
      </c>
      <c r="F677" s="25">
        <v>2017.0</v>
      </c>
      <c r="G677" s="25">
        <v>2022.0</v>
      </c>
      <c r="H677" s="25">
        <v>0.0</v>
      </c>
      <c r="I677" s="25">
        <v>14.5</v>
      </c>
      <c r="J677" s="50">
        <v>0.0</v>
      </c>
      <c r="K677" s="25">
        <v>0.0</v>
      </c>
      <c r="L677" s="51">
        <v>14.5</v>
      </c>
      <c r="M677" s="51">
        <v>0.0</v>
      </c>
      <c r="N677" s="25">
        <v>13.0</v>
      </c>
      <c r="O677" s="25"/>
      <c r="P677" s="26" t="s">
        <v>74</v>
      </c>
      <c r="Q677" s="52">
        <v>55670.0</v>
      </c>
      <c r="R677" s="26" t="s">
        <v>1265</v>
      </c>
      <c r="S677" s="25">
        <v>2016.0</v>
      </c>
      <c r="T677" s="25">
        <v>0.05</v>
      </c>
      <c r="U677" s="25">
        <f t="shared" si="91"/>
        <v>2783.5</v>
      </c>
      <c r="V677" s="24">
        <f t="shared" si="3"/>
        <v>191.9655172</v>
      </c>
      <c r="W677" s="3">
        <f t="shared" si="29"/>
        <v>0</v>
      </c>
      <c r="X677" s="3">
        <f t="shared" si="30"/>
        <v>0</v>
      </c>
      <c r="Y677" s="3">
        <f t="shared" si="31"/>
        <v>0</v>
      </c>
      <c r="Z677" s="25">
        <f t="shared" si="32"/>
        <v>0</v>
      </c>
      <c r="AA677" s="26">
        <f>VLOOKUP(S677,CPI!$A$2:$E$67,5,0)</f>
        <v>1.269554638</v>
      </c>
      <c r="AB677" s="27">
        <f t="shared" si="8"/>
        <v>3533.805335</v>
      </c>
      <c r="AC677" s="27">
        <f t="shared" si="9"/>
        <v>243.7107127</v>
      </c>
    </row>
    <row r="678">
      <c r="A678" s="38">
        <v>7296.0</v>
      </c>
      <c r="B678" s="26" t="s">
        <v>1262</v>
      </c>
      <c r="C678" s="26" t="s">
        <v>1303</v>
      </c>
      <c r="D678" s="1" t="s">
        <v>110</v>
      </c>
      <c r="E678" s="26" t="s">
        <v>110</v>
      </c>
      <c r="F678" s="25">
        <v>2018.0</v>
      </c>
      <c r="G678" s="25">
        <v>2022.0</v>
      </c>
      <c r="H678" s="25">
        <v>0.0</v>
      </c>
      <c r="I678" s="25">
        <v>32.3</v>
      </c>
      <c r="J678" s="50">
        <v>0.0</v>
      </c>
      <c r="K678" s="25">
        <v>0.0</v>
      </c>
      <c r="L678" s="51">
        <v>31.71</v>
      </c>
      <c r="M678" s="51">
        <v>0.59</v>
      </c>
      <c r="N678" s="25">
        <v>32.0</v>
      </c>
      <c r="O678" s="25"/>
      <c r="P678" s="26" t="s">
        <v>60</v>
      </c>
      <c r="Q678" s="52">
        <v>145490.0</v>
      </c>
      <c r="R678" s="26" t="s">
        <v>1265</v>
      </c>
      <c r="S678" s="25">
        <v>2020.0</v>
      </c>
      <c r="T678" s="25">
        <v>0.047</v>
      </c>
      <c r="U678" s="25">
        <f t="shared" si="91"/>
        <v>6838.03</v>
      </c>
      <c r="V678" s="24">
        <f t="shared" si="3"/>
        <v>211.7037152</v>
      </c>
      <c r="W678" s="3">
        <f t="shared" si="29"/>
        <v>0</v>
      </c>
      <c r="X678" s="3">
        <f t="shared" si="30"/>
        <v>0</v>
      </c>
      <c r="Y678" s="3">
        <f t="shared" si="31"/>
        <v>0</v>
      </c>
      <c r="Z678" s="25">
        <f t="shared" si="32"/>
        <v>0</v>
      </c>
      <c r="AA678" s="26">
        <f>VLOOKUP(S678,CPI!$A$2:$E$67,5,0)</f>
        <v>1.17731472</v>
      </c>
      <c r="AB678" s="27">
        <f t="shared" si="8"/>
        <v>8050.513375</v>
      </c>
      <c r="AC678" s="27">
        <f t="shared" si="9"/>
        <v>249.2419002</v>
      </c>
    </row>
    <row r="679">
      <c r="A679" s="38">
        <v>7297.0</v>
      </c>
      <c r="B679" s="26" t="s">
        <v>1262</v>
      </c>
      <c r="C679" s="26" t="s">
        <v>1303</v>
      </c>
      <c r="D679" s="1" t="s">
        <v>110</v>
      </c>
      <c r="E679" s="26" t="s">
        <v>1311</v>
      </c>
      <c r="F679" s="25">
        <v>2019.0</v>
      </c>
      <c r="G679" s="25">
        <v>2022.0</v>
      </c>
      <c r="H679" s="25">
        <v>0.0</v>
      </c>
      <c r="I679" s="25">
        <v>2.7</v>
      </c>
      <c r="J679" s="50">
        <v>0.0</v>
      </c>
      <c r="K679" s="25">
        <v>0.0</v>
      </c>
      <c r="L679" s="51">
        <v>0.0</v>
      </c>
      <c r="M679" s="51">
        <v>0.0</v>
      </c>
      <c r="N679" s="25">
        <v>2.0</v>
      </c>
      <c r="O679" s="25"/>
      <c r="P679" s="26" t="s">
        <v>60</v>
      </c>
      <c r="Q679" s="52">
        <v>7860.0</v>
      </c>
      <c r="R679" s="26" t="s">
        <v>1265</v>
      </c>
      <c r="S679" s="25">
        <v>2017.0</v>
      </c>
      <c r="T679" s="25">
        <v>0.048</v>
      </c>
      <c r="U679" s="25">
        <f t="shared" si="91"/>
        <v>377.28</v>
      </c>
      <c r="V679" s="24">
        <f t="shared" si="3"/>
        <v>139.7333333</v>
      </c>
      <c r="W679" s="3">
        <f t="shared" si="29"/>
        <v>0</v>
      </c>
      <c r="X679" s="3">
        <f t="shared" si="30"/>
        <v>0</v>
      </c>
      <c r="Y679" s="3">
        <f t="shared" si="31"/>
        <v>0</v>
      </c>
      <c r="Z679" s="25">
        <f t="shared" si="32"/>
        <v>0</v>
      </c>
      <c r="AA679" s="26">
        <f>VLOOKUP(S679,CPI!$A$2:$E$67,5,0)</f>
        <v>1.243072781</v>
      </c>
      <c r="AB679" s="27">
        <f t="shared" si="8"/>
        <v>468.9864987</v>
      </c>
      <c r="AC679" s="27">
        <f t="shared" si="9"/>
        <v>173.6987032</v>
      </c>
    </row>
    <row r="680">
      <c r="A680" s="38">
        <v>7305.0</v>
      </c>
      <c r="B680" s="26" t="s">
        <v>1262</v>
      </c>
      <c r="C680" s="26" t="s">
        <v>1303</v>
      </c>
      <c r="D680" s="26" t="s">
        <v>1313</v>
      </c>
      <c r="E680" s="26" t="s">
        <v>1313</v>
      </c>
      <c r="F680" s="25">
        <v>2019.0</v>
      </c>
      <c r="G680" s="25">
        <v>2022.0</v>
      </c>
      <c r="H680" s="25">
        <v>0.0</v>
      </c>
      <c r="I680" s="25">
        <v>13.5</v>
      </c>
      <c r="J680" s="50">
        <v>0.16</v>
      </c>
      <c r="K680" s="25">
        <v>2.2</v>
      </c>
      <c r="L680" s="51">
        <v>0.0</v>
      </c>
      <c r="M680" s="51">
        <v>0.0</v>
      </c>
      <c r="N680" s="25">
        <v>11.0</v>
      </c>
      <c r="O680" s="25"/>
      <c r="P680" s="26" t="s">
        <v>60</v>
      </c>
      <c r="Q680" s="52">
        <v>65180.0</v>
      </c>
      <c r="R680" s="26" t="s">
        <v>1265</v>
      </c>
      <c r="S680" s="25">
        <v>2020.0</v>
      </c>
      <c r="T680" s="25">
        <v>0.047</v>
      </c>
      <c r="U680" s="25">
        <f t="shared" si="91"/>
        <v>3063.46</v>
      </c>
      <c r="V680" s="24">
        <f t="shared" si="3"/>
        <v>226.922963</v>
      </c>
      <c r="W680" s="3">
        <f t="shared" si="29"/>
        <v>0</v>
      </c>
      <c r="X680" s="3">
        <f t="shared" si="30"/>
        <v>0</v>
      </c>
      <c r="Y680" s="3">
        <f t="shared" si="31"/>
        <v>0</v>
      </c>
      <c r="Z680" s="25">
        <f t="shared" si="32"/>
        <v>0</v>
      </c>
      <c r="AA680" s="26">
        <f>VLOOKUP(S680,CPI!$A$2:$E$67,5,0)</f>
        <v>1.17731472</v>
      </c>
      <c r="AB680" s="27">
        <f t="shared" si="8"/>
        <v>3606.656552</v>
      </c>
      <c r="AC680" s="27">
        <f t="shared" si="9"/>
        <v>267.1597446</v>
      </c>
    </row>
    <row r="681">
      <c r="A681" s="38">
        <v>7291.0</v>
      </c>
      <c r="B681" s="26" t="s">
        <v>1262</v>
      </c>
      <c r="C681" s="26" t="s">
        <v>1303</v>
      </c>
      <c r="D681" s="1" t="s">
        <v>54</v>
      </c>
      <c r="E681" s="26" t="s">
        <v>1315</v>
      </c>
      <c r="F681" s="25">
        <v>2018.0</v>
      </c>
      <c r="G681" s="25">
        <v>2023.0</v>
      </c>
      <c r="H681" s="25">
        <v>0.0</v>
      </c>
      <c r="I681" s="25">
        <v>23.5</v>
      </c>
      <c r="J681" s="50">
        <v>0.0</v>
      </c>
      <c r="K681" s="25">
        <v>0.0</v>
      </c>
      <c r="L681" s="51">
        <v>23.5</v>
      </c>
      <c r="M681" s="51">
        <v>0.0</v>
      </c>
      <c r="N681" s="25">
        <v>22.0</v>
      </c>
      <c r="O681" s="25"/>
      <c r="P681" s="26" t="s">
        <v>60</v>
      </c>
      <c r="Q681" s="52">
        <v>109860.0</v>
      </c>
      <c r="R681" s="26" t="s">
        <v>1265</v>
      </c>
      <c r="S681" s="25">
        <v>2020.0</v>
      </c>
      <c r="T681" s="25">
        <v>0.047</v>
      </c>
      <c r="U681" s="25">
        <f t="shared" si="91"/>
        <v>5163.42</v>
      </c>
      <c r="V681" s="24">
        <f t="shared" si="3"/>
        <v>219.72</v>
      </c>
      <c r="W681" s="3">
        <f t="shared" si="29"/>
        <v>0</v>
      </c>
      <c r="X681" s="3">
        <f t="shared" si="30"/>
        <v>0</v>
      </c>
      <c r="Y681" s="3">
        <f t="shared" si="31"/>
        <v>0</v>
      </c>
      <c r="Z681" s="25">
        <f t="shared" si="32"/>
        <v>0</v>
      </c>
      <c r="AA681" s="26">
        <f>VLOOKUP(S681,CPI!$A$2:$E$67,5,0)</f>
        <v>1.17731472</v>
      </c>
      <c r="AB681" s="27">
        <f t="shared" si="8"/>
        <v>6078.970372</v>
      </c>
      <c r="AC681" s="27">
        <f t="shared" si="9"/>
        <v>258.6795903</v>
      </c>
    </row>
    <row r="682">
      <c r="A682" s="38">
        <v>7298.0</v>
      </c>
      <c r="B682" s="26" t="s">
        <v>1262</v>
      </c>
      <c r="C682" s="26" t="s">
        <v>1303</v>
      </c>
      <c r="D682" s="26" t="s">
        <v>84</v>
      </c>
      <c r="E682" s="26" t="s">
        <v>84</v>
      </c>
      <c r="F682" s="25">
        <v>2017.0</v>
      </c>
      <c r="G682" s="25">
        <v>2024.0</v>
      </c>
      <c r="H682" s="25">
        <v>0.0</v>
      </c>
      <c r="I682" s="25">
        <v>24.9</v>
      </c>
      <c r="J682" s="50">
        <v>0.0</v>
      </c>
      <c r="K682" s="25">
        <v>0.0</v>
      </c>
      <c r="L682" s="51">
        <v>0.0</v>
      </c>
      <c r="M682" s="51">
        <v>0.0</v>
      </c>
      <c r="N682" s="25">
        <v>16.0</v>
      </c>
      <c r="O682" s="25"/>
      <c r="P682" s="26" t="s">
        <v>60</v>
      </c>
      <c r="Q682" s="52">
        <v>84165.0</v>
      </c>
      <c r="R682" s="26" t="s">
        <v>1265</v>
      </c>
      <c r="S682" s="25">
        <v>2020.0</v>
      </c>
      <c r="T682" s="25">
        <v>0.047</v>
      </c>
      <c r="U682" s="25">
        <f t="shared" si="91"/>
        <v>3955.755</v>
      </c>
      <c r="V682" s="24">
        <f t="shared" si="3"/>
        <v>158.8656627</v>
      </c>
      <c r="W682" s="3">
        <f t="shared" si="29"/>
        <v>0</v>
      </c>
      <c r="X682" s="3">
        <f t="shared" si="30"/>
        <v>0</v>
      </c>
      <c r="Y682" s="3">
        <f t="shared" si="31"/>
        <v>0</v>
      </c>
      <c r="Z682" s="25">
        <f t="shared" si="32"/>
        <v>0</v>
      </c>
      <c r="AA682" s="26">
        <f>VLOOKUP(S682,CPI!$A$2:$E$67,5,0)</f>
        <v>1.17731472</v>
      </c>
      <c r="AB682" s="27">
        <f t="shared" si="8"/>
        <v>4657.16859</v>
      </c>
      <c r="AC682" s="27">
        <f t="shared" si="9"/>
        <v>187.0348831</v>
      </c>
    </row>
    <row r="683">
      <c r="A683" s="38">
        <v>7306.0</v>
      </c>
      <c r="B683" s="26" t="s">
        <v>1262</v>
      </c>
      <c r="C683" s="26" t="s">
        <v>1303</v>
      </c>
      <c r="D683" s="26" t="s">
        <v>239</v>
      </c>
      <c r="E683" s="26" t="s">
        <v>239</v>
      </c>
      <c r="F683" s="25">
        <v>2020.0</v>
      </c>
      <c r="G683" s="25">
        <v>2024.0</v>
      </c>
      <c r="H683" s="25">
        <v>0.0</v>
      </c>
      <c r="I683" s="25">
        <v>9.2</v>
      </c>
      <c r="J683" s="50">
        <v>0.08</v>
      </c>
      <c r="K683" s="25">
        <v>0.7</v>
      </c>
      <c r="L683" s="51">
        <v>0.0</v>
      </c>
      <c r="M683" s="51">
        <v>0.0</v>
      </c>
      <c r="N683" s="25">
        <v>4.0</v>
      </c>
      <c r="O683" s="25"/>
      <c r="P683" s="26" t="s">
        <v>60</v>
      </c>
      <c r="Q683" s="52">
        <v>38210.0</v>
      </c>
      <c r="R683" s="26" t="s">
        <v>1265</v>
      </c>
      <c r="S683" s="25">
        <v>2018.0</v>
      </c>
      <c r="T683" s="25">
        <v>0.048</v>
      </c>
      <c r="U683" s="25">
        <f t="shared" si="91"/>
        <v>1834.08</v>
      </c>
      <c r="V683" s="24">
        <f t="shared" si="3"/>
        <v>199.3565217</v>
      </c>
      <c r="W683" s="3">
        <f t="shared" si="29"/>
        <v>0</v>
      </c>
      <c r="X683" s="3">
        <f t="shared" si="30"/>
        <v>0</v>
      </c>
      <c r="Y683" s="3">
        <f t="shared" si="31"/>
        <v>0</v>
      </c>
      <c r="Z683" s="25">
        <f t="shared" si="32"/>
        <v>0</v>
      </c>
      <c r="AA683" s="26">
        <f>VLOOKUP(S683,CPI!$A$2:$E$67,5,0)</f>
        <v>1.21343491</v>
      </c>
      <c r="AB683" s="27">
        <f t="shared" si="8"/>
        <v>2225.5367</v>
      </c>
      <c r="AC683" s="27">
        <f t="shared" si="9"/>
        <v>241.9061631</v>
      </c>
    </row>
    <row r="684">
      <c r="A684" s="291">
        <v>7307.0</v>
      </c>
      <c r="B684" s="292" t="s">
        <v>1262</v>
      </c>
      <c r="C684" s="292" t="s">
        <v>1303</v>
      </c>
      <c r="D684" s="292" t="s">
        <v>292</v>
      </c>
      <c r="E684" s="292" t="s">
        <v>292</v>
      </c>
      <c r="F684" s="293">
        <v>2020.0</v>
      </c>
      <c r="G684" s="293">
        <v>2026.0</v>
      </c>
      <c r="H684" s="293">
        <v>0.0</v>
      </c>
      <c r="I684" s="293">
        <v>12.8</v>
      </c>
      <c r="J684" s="294">
        <v>0.69</v>
      </c>
      <c r="K684" s="293">
        <v>8.8</v>
      </c>
      <c r="L684" s="295">
        <v>0.0</v>
      </c>
      <c r="M684" s="295">
        <v>0.0</v>
      </c>
      <c r="N684" s="293">
        <v>10.0</v>
      </c>
      <c r="O684" s="293"/>
      <c r="P684" s="26" t="s">
        <v>60</v>
      </c>
      <c r="Q684" s="296">
        <v>70850.0</v>
      </c>
      <c r="R684" s="292" t="s">
        <v>1265</v>
      </c>
      <c r="S684" s="293">
        <v>2018.0</v>
      </c>
      <c r="T684" s="25">
        <v>0.048</v>
      </c>
      <c r="U684" s="25">
        <f t="shared" si="91"/>
        <v>3400.8</v>
      </c>
      <c r="V684" s="24">
        <f t="shared" si="3"/>
        <v>265.6875</v>
      </c>
      <c r="W684" s="3">
        <f t="shared" si="29"/>
        <v>0</v>
      </c>
      <c r="X684" s="3">
        <f t="shared" si="30"/>
        <v>0</v>
      </c>
      <c r="Y684" s="3">
        <f t="shared" si="31"/>
        <v>0</v>
      </c>
      <c r="Z684" s="25">
        <f t="shared" si="32"/>
        <v>0</v>
      </c>
      <c r="AA684" s="26">
        <f>VLOOKUP(S684,CPI!$A$2:$E$67,5,0)</f>
        <v>1.21343491</v>
      </c>
      <c r="AB684" s="27">
        <f t="shared" si="8"/>
        <v>4126.649443</v>
      </c>
      <c r="AC684" s="27">
        <f t="shared" si="9"/>
        <v>322.3944877</v>
      </c>
    </row>
    <row r="685">
      <c r="A685" s="38">
        <v>7312.0</v>
      </c>
      <c r="B685" s="26" t="s">
        <v>1262</v>
      </c>
      <c r="C685" s="26" t="s">
        <v>1303</v>
      </c>
      <c r="D685" s="26" t="s">
        <v>287</v>
      </c>
      <c r="E685" s="26" t="s">
        <v>287</v>
      </c>
      <c r="F685" s="25">
        <v>2020.0</v>
      </c>
      <c r="G685" s="25">
        <v>2026.0</v>
      </c>
      <c r="H685" s="25">
        <v>0.0</v>
      </c>
      <c r="I685" s="25">
        <v>20.8</v>
      </c>
      <c r="J685" s="50">
        <v>0.0</v>
      </c>
      <c r="K685" s="25">
        <v>0.0</v>
      </c>
      <c r="L685" s="51">
        <v>0.0</v>
      </c>
      <c r="M685" s="51">
        <v>0.0</v>
      </c>
      <c r="N685" s="25">
        <v>17.0</v>
      </c>
      <c r="O685" s="25"/>
      <c r="P685" s="26" t="s">
        <v>60</v>
      </c>
      <c r="Q685" s="52">
        <v>47380.0</v>
      </c>
      <c r="R685" s="26" t="s">
        <v>1265</v>
      </c>
      <c r="S685" s="25">
        <v>2018.0</v>
      </c>
      <c r="T685" s="25">
        <v>0.048</v>
      </c>
      <c r="U685" s="25">
        <f t="shared" si="91"/>
        <v>2274.24</v>
      </c>
      <c r="V685" s="24">
        <f t="shared" si="3"/>
        <v>109.3384615</v>
      </c>
      <c r="W685" s="3">
        <f t="shared" si="29"/>
        <v>0</v>
      </c>
      <c r="X685" s="3">
        <f t="shared" si="30"/>
        <v>0</v>
      </c>
      <c r="Y685" s="3">
        <f t="shared" si="31"/>
        <v>0</v>
      </c>
      <c r="Z685" s="25">
        <f t="shared" si="32"/>
        <v>0</v>
      </c>
      <c r="AA685" s="26">
        <f>VLOOKUP(S685,CPI!$A$2:$E$67,5,0)</f>
        <v>1.21343491</v>
      </c>
      <c r="AB685" s="27">
        <f t="shared" si="8"/>
        <v>2759.64221</v>
      </c>
      <c r="AC685" s="27">
        <f t="shared" si="9"/>
        <v>132.6751063</v>
      </c>
    </row>
    <row r="686">
      <c r="A686" s="38">
        <v>7544.0</v>
      </c>
      <c r="B686" s="26" t="s">
        <v>1262</v>
      </c>
      <c r="C686" s="26" t="s">
        <v>1321</v>
      </c>
      <c r="D686" s="1" t="s">
        <v>1321</v>
      </c>
      <c r="E686" s="26" t="s">
        <v>34</v>
      </c>
      <c r="F686" s="25">
        <v>2014.0</v>
      </c>
      <c r="G686" s="25">
        <v>2020.0</v>
      </c>
      <c r="H686" s="25">
        <v>0.0</v>
      </c>
      <c r="I686" s="25">
        <v>38.2</v>
      </c>
      <c r="J686" s="50">
        <v>0.0</v>
      </c>
      <c r="K686" s="25">
        <v>0.0</v>
      </c>
      <c r="L686" s="51">
        <v>0.0</v>
      </c>
      <c r="M686" s="51">
        <v>0.0</v>
      </c>
      <c r="N686" s="25">
        <v>40.0</v>
      </c>
      <c r="O686" s="25"/>
      <c r="P686" s="26" t="s">
        <v>42</v>
      </c>
      <c r="Q686" s="52">
        <v>86800.0</v>
      </c>
      <c r="R686" s="26" t="s">
        <v>1265</v>
      </c>
      <c r="S686" s="25">
        <v>2014.0</v>
      </c>
      <c r="T686" s="25">
        <v>0.054</v>
      </c>
      <c r="U686" s="25">
        <f t="shared" si="91"/>
        <v>4687.2</v>
      </c>
      <c r="V686" s="24">
        <f t="shared" si="3"/>
        <v>122.7015707</v>
      </c>
      <c r="W686" s="3">
        <f t="shared" si="29"/>
        <v>0</v>
      </c>
      <c r="X686" s="3">
        <f t="shared" si="30"/>
        <v>0</v>
      </c>
      <c r="Y686" s="3">
        <f t="shared" si="31"/>
        <v>0</v>
      </c>
      <c r="Z686" s="25">
        <f t="shared" si="32"/>
        <v>0</v>
      </c>
      <c r="AA686" s="26">
        <f>VLOOKUP(S686,CPI!$A$2:$E$67,5,0)</f>
        <v>1.287096175</v>
      </c>
      <c r="AB686" s="27">
        <f t="shared" si="8"/>
        <v>6032.87719</v>
      </c>
      <c r="AC686" s="27">
        <f t="shared" si="9"/>
        <v>157.9287222</v>
      </c>
    </row>
    <row r="687">
      <c r="A687" s="38">
        <v>7545.0</v>
      </c>
      <c r="B687" s="26" t="s">
        <v>1262</v>
      </c>
      <c r="C687" s="26" t="s">
        <v>1321</v>
      </c>
      <c r="D687" s="1" t="s">
        <v>1321</v>
      </c>
      <c r="E687" s="26" t="s">
        <v>38</v>
      </c>
      <c r="F687" s="25"/>
      <c r="G687" s="25"/>
      <c r="H687" s="25">
        <v>0.0</v>
      </c>
      <c r="I687" s="25">
        <v>43.8</v>
      </c>
      <c r="J687" s="50">
        <v>0.0</v>
      </c>
      <c r="K687" s="25">
        <v>0.0</v>
      </c>
      <c r="L687" s="51">
        <v>0.0</v>
      </c>
      <c r="M687" s="51">
        <v>0.0</v>
      </c>
      <c r="N687" s="25">
        <v>32.0</v>
      </c>
      <c r="O687" s="25"/>
      <c r="P687" s="26" t="s">
        <v>60</v>
      </c>
      <c r="Q687" s="52">
        <v>112160.0</v>
      </c>
      <c r="R687" s="26" t="s">
        <v>1265</v>
      </c>
      <c r="S687" s="25">
        <v>2018.0</v>
      </c>
      <c r="T687" s="25">
        <v>0.048</v>
      </c>
      <c r="U687" s="25">
        <f t="shared" si="91"/>
        <v>5383.68</v>
      </c>
      <c r="V687" s="24">
        <f t="shared" si="3"/>
        <v>122.9150685</v>
      </c>
      <c r="W687" s="3">
        <f t="shared" si="29"/>
        <v>0</v>
      </c>
      <c r="X687" s="3">
        <f t="shared" si="30"/>
        <v>0</v>
      </c>
      <c r="Y687" s="3">
        <f t="shared" si="31"/>
        <v>0</v>
      </c>
      <c r="Z687" s="25">
        <f t="shared" si="32"/>
        <v>0</v>
      </c>
      <c r="AA687" s="26">
        <f>VLOOKUP(S687,CPI!$A$2:$E$67,5,0)</f>
        <v>1.21343491</v>
      </c>
      <c r="AB687" s="27">
        <f t="shared" si="8"/>
        <v>6532.745257</v>
      </c>
      <c r="AC687" s="27">
        <f t="shared" si="9"/>
        <v>149.1494351</v>
      </c>
    </row>
    <row r="688">
      <c r="A688" s="7"/>
      <c r="B688" s="114" t="s">
        <v>1262</v>
      </c>
      <c r="C688" s="114" t="s">
        <v>1324</v>
      </c>
      <c r="D688" s="114"/>
      <c r="E688" s="114" t="s">
        <v>1264</v>
      </c>
      <c r="F688" s="115">
        <v>2019.0</v>
      </c>
      <c r="G688" s="115">
        <v>2025.0</v>
      </c>
      <c r="H688" s="116">
        <v>0.0</v>
      </c>
      <c r="I688" s="116">
        <v>39.6</v>
      </c>
      <c r="J688" s="71">
        <v>0.4116</v>
      </c>
      <c r="K688" s="116">
        <v>16.3</v>
      </c>
      <c r="L688" s="116">
        <v>23.3</v>
      </c>
      <c r="M688" s="114"/>
      <c r="N688" s="116">
        <v>25.0</v>
      </c>
      <c r="O688" s="116"/>
      <c r="P688" s="114"/>
      <c r="Q688" s="73">
        <v>133658.0</v>
      </c>
      <c r="R688" s="114" t="s">
        <v>1265</v>
      </c>
      <c r="S688" s="115">
        <v>2022.0</v>
      </c>
      <c r="T688" s="115">
        <v>0.0483</v>
      </c>
      <c r="U688" s="118">
        <f t="shared" si="91"/>
        <v>6455.6814</v>
      </c>
      <c r="V688" s="24">
        <f t="shared" si="3"/>
        <v>163.0222576</v>
      </c>
      <c r="W688" s="3">
        <f t="shared" si="29"/>
        <v>0</v>
      </c>
      <c r="X688" s="3">
        <f t="shared" si="30"/>
        <v>0</v>
      </c>
      <c r="Y688" s="3">
        <f t="shared" si="31"/>
        <v>0</v>
      </c>
      <c r="Z688" s="25">
        <f t="shared" si="32"/>
        <v>0</v>
      </c>
      <c r="AA688" s="26">
        <f>VLOOKUP(S688,CPI!$A$2:$E$67,5,0)</f>
        <v>1.041164511</v>
      </c>
      <c r="AB688" s="27">
        <f t="shared" si="8"/>
        <v>6721.426369</v>
      </c>
      <c r="AC688" s="27">
        <f t="shared" si="9"/>
        <v>169.7329891</v>
      </c>
    </row>
    <row r="689">
      <c r="A689" s="163"/>
      <c r="B689" s="66" t="s">
        <v>1262</v>
      </c>
      <c r="C689" s="210" t="s">
        <v>1326</v>
      </c>
      <c r="D689" s="210"/>
      <c r="E689" s="210" t="s">
        <v>1264</v>
      </c>
      <c r="F689" s="115">
        <v>2017.0</v>
      </c>
      <c r="G689" s="115">
        <v>2024.0</v>
      </c>
      <c r="H689" s="116">
        <v>0.0</v>
      </c>
      <c r="I689" s="116">
        <v>33.1</v>
      </c>
      <c r="J689" s="71">
        <v>0.1538</v>
      </c>
      <c r="K689" s="116">
        <v>5.09</v>
      </c>
      <c r="L689" s="116">
        <v>28.01</v>
      </c>
      <c r="M689" s="114"/>
      <c r="N689" s="116">
        <v>29.0</v>
      </c>
      <c r="O689" s="116"/>
      <c r="P689" s="114"/>
      <c r="Q689" s="73">
        <v>114200.0</v>
      </c>
      <c r="R689" s="114" t="s">
        <v>1265</v>
      </c>
      <c r="S689" s="115">
        <v>2020.0</v>
      </c>
      <c r="T689" s="115">
        <v>0.0492</v>
      </c>
      <c r="U689" s="118">
        <f t="shared" si="91"/>
        <v>5618.64</v>
      </c>
      <c r="V689" s="24">
        <f t="shared" si="3"/>
        <v>169.747432</v>
      </c>
      <c r="W689" s="3">
        <f t="shared" si="29"/>
        <v>0</v>
      </c>
      <c r="X689" s="3">
        <f t="shared" si="30"/>
        <v>0</v>
      </c>
      <c r="Y689" s="3">
        <f t="shared" si="31"/>
        <v>0</v>
      </c>
      <c r="Z689" s="25">
        <f t="shared" si="32"/>
        <v>0</v>
      </c>
      <c r="AA689" s="26">
        <f>VLOOKUP(S689,CPI!$A$2:$E$67,5,0)</f>
        <v>1.17731472</v>
      </c>
      <c r="AB689" s="27">
        <f t="shared" si="8"/>
        <v>6614.907578</v>
      </c>
      <c r="AC689" s="27">
        <f t="shared" si="9"/>
        <v>199.8461504</v>
      </c>
    </row>
    <row r="690">
      <c r="A690" s="7"/>
      <c r="B690" s="114" t="s">
        <v>1262</v>
      </c>
      <c r="C690" s="114" t="s">
        <v>1326</v>
      </c>
      <c r="D690" s="114"/>
      <c r="E690" s="114" t="s">
        <v>87</v>
      </c>
      <c r="F690" s="115">
        <v>2020.0</v>
      </c>
      <c r="G690" s="82">
        <v>2026.0</v>
      </c>
      <c r="H690" s="115">
        <v>0.0</v>
      </c>
      <c r="I690" s="116">
        <v>23.3</v>
      </c>
      <c r="J690" s="71">
        <v>0.0</v>
      </c>
      <c r="K690" s="116">
        <v>0.0</v>
      </c>
      <c r="L690" s="116">
        <v>23.3</v>
      </c>
      <c r="M690" s="114"/>
      <c r="N690" s="116">
        <v>23.0</v>
      </c>
      <c r="O690" s="116"/>
      <c r="P690" s="114"/>
      <c r="Q690" s="73">
        <v>83140.0</v>
      </c>
      <c r="R690" s="114" t="s">
        <v>1265</v>
      </c>
      <c r="S690" s="115">
        <v>2023.0</v>
      </c>
      <c r="T690" s="115">
        <v>0.0495</v>
      </c>
      <c r="U690" s="118">
        <f t="shared" si="91"/>
        <v>4115.43</v>
      </c>
      <c r="V690" s="24">
        <f t="shared" si="3"/>
        <v>176.627897</v>
      </c>
      <c r="W690" s="3">
        <f t="shared" si="29"/>
        <v>0</v>
      </c>
      <c r="X690" s="3">
        <f t="shared" si="30"/>
        <v>0</v>
      </c>
      <c r="Y690" s="3">
        <f t="shared" si="31"/>
        <v>0</v>
      </c>
      <c r="Z690" s="25">
        <f t="shared" si="32"/>
        <v>0</v>
      </c>
      <c r="AA690" s="26">
        <f>VLOOKUP(S690,CPI!$A$2:$E$67,5,0)</f>
        <v>1</v>
      </c>
      <c r="AB690" s="27">
        <f t="shared" si="8"/>
        <v>4115.43</v>
      </c>
      <c r="AC690" s="27">
        <f t="shared" si="9"/>
        <v>176.627897</v>
      </c>
    </row>
    <row r="691">
      <c r="A691" s="163"/>
      <c r="B691" s="114" t="s">
        <v>1262</v>
      </c>
      <c r="C691" s="114" t="s">
        <v>1329</v>
      </c>
      <c r="D691" s="114" t="s">
        <v>768</v>
      </c>
      <c r="E691" s="114" t="s">
        <v>768</v>
      </c>
      <c r="F691" s="116">
        <v>2021.0</v>
      </c>
      <c r="G691" s="116">
        <v>2023.0</v>
      </c>
      <c r="H691" s="116">
        <v>0.0</v>
      </c>
      <c r="I691" s="116">
        <v>40.35</v>
      </c>
      <c r="J691" s="71">
        <v>0.1603</v>
      </c>
      <c r="K691" s="116">
        <v>6.47</v>
      </c>
      <c r="L691" s="116">
        <v>33.88</v>
      </c>
      <c r="M691" s="114"/>
      <c r="N691" s="116">
        <v>38.0</v>
      </c>
      <c r="O691" s="116"/>
      <c r="P691" s="114"/>
      <c r="Q691" s="73">
        <v>120203.0</v>
      </c>
      <c r="R691" s="114" t="s">
        <v>1265</v>
      </c>
      <c r="S691" s="115">
        <v>2021.0</v>
      </c>
      <c r="T691" s="85">
        <v>0.0432</v>
      </c>
      <c r="U691" s="118">
        <f t="shared" si="91"/>
        <v>5192.7696</v>
      </c>
      <c r="V691" s="24">
        <f t="shared" si="3"/>
        <v>128.6931747</v>
      </c>
      <c r="W691" s="3">
        <f t="shared" si="29"/>
        <v>0</v>
      </c>
      <c r="X691" s="3">
        <f t="shared" si="30"/>
        <v>0</v>
      </c>
      <c r="Y691" s="3">
        <f t="shared" si="31"/>
        <v>0</v>
      </c>
      <c r="Z691" s="25">
        <f t="shared" si="32"/>
        <v>0</v>
      </c>
      <c r="AA691" s="26">
        <f>VLOOKUP(S691,CPI!$A$2:$E$67,5,0)</f>
        <v>1.124486105</v>
      </c>
      <c r="AB691" s="27">
        <f t="shared" si="8"/>
        <v>5839.197264</v>
      </c>
      <c r="AC691" s="27">
        <f t="shared" si="9"/>
        <v>144.7136868</v>
      </c>
    </row>
    <row r="692">
      <c r="A692" s="38">
        <v>7371.0</v>
      </c>
      <c r="B692" s="26" t="s">
        <v>1331</v>
      </c>
      <c r="C692" s="26" t="s">
        <v>1332</v>
      </c>
      <c r="D692" s="1" t="s">
        <v>87</v>
      </c>
      <c r="E692" s="26" t="s">
        <v>1333</v>
      </c>
      <c r="F692" s="25">
        <v>2012.0</v>
      </c>
      <c r="G692" s="25">
        <v>2014.0</v>
      </c>
      <c r="H692" s="25">
        <v>0.0</v>
      </c>
      <c r="I692" s="25">
        <v>12.0</v>
      </c>
      <c r="J692" s="50">
        <v>1.0</v>
      </c>
      <c r="K692" s="25">
        <v>12.0</v>
      </c>
      <c r="L692" s="51">
        <v>0.0</v>
      </c>
      <c r="M692" s="51">
        <v>0.0</v>
      </c>
      <c r="N692" s="25">
        <v>11.0</v>
      </c>
      <c r="O692" s="25"/>
      <c r="P692" s="26" t="s">
        <v>36</v>
      </c>
      <c r="Q692" s="52">
        <v>2.0E7</v>
      </c>
      <c r="R692" s="26" t="s">
        <v>1334</v>
      </c>
      <c r="S692" s="25">
        <v>2013.0</v>
      </c>
      <c r="T692" s="25">
        <v>1.2E-4</v>
      </c>
      <c r="U692" s="25">
        <f t="shared" si="91"/>
        <v>2400</v>
      </c>
      <c r="V692" s="24">
        <f t="shared" si="3"/>
        <v>200</v>
      </c>
      <c r="W692" s="3">
        <f t="shared" si="29"/>
        <v>0</v>
      </c>
      <c r="X692" s="3">
        <f t="shared" si="30"/>
        <v>0</v>
      </c>
      <c r="Y692" s="3">
        <f t="shared" si="31"/>
        <v>0</v>
      </c>
      <c r="Z692" s="25">
        <f t="shared" si="32"/>
        <v>0</v>
      </c>
      <c r="AA692" s="26">
        <f>VLOOKUP(S692,CPI!$A$2:$E$67,5,0)</f>
        <v>1.307975292</v>
      </c>
      <c r="AB692" s="27">
        <f t="shared" si="8"/>
        <v>3139.1407</v>
      </c>
      <c r="AC692" s="27">
        <f t="shared" si="9"/>
        <v>261.5950583</v>
      </c>
    </row>
    <row r="693">
      <c r="A693" s="38">
        <v>7377.0</v>
      </c>
      <c r="B693" s="26" t="s">
        <v>1331</v>
      </c>
      <c r="C693" s="26" t="s">
        <v>1332</v>
      </c>
      <c r="D693" s="26" t="s">
        <v>228</v>
      </c>
      <c r="E693" s="26" t="s">
        <v>228</v>
      </c>
      <c r="F693" s="26"/>
      <c r="G693" s="25">
        <v>2019.0</v>
      </c>
      <c r="H693" s="25">
        <v>0.0</v>
      </c>
      <c r="I693" s="25">
        <v>27.0</v>
      </c>
      <c r="J693" s="50">
        <v>1.0</v>
      </c>
      <c r="K693" s="25">
        <v>27.0</v>
      </c>
      <c r="L693" s="51">
        <v>0.0</v>
      </c>
      <c r="M693" s="51">
        <v>0.0</v>
      </c>
      <c r="N693" s="25">
        <v>25.0</v>
      </c>
      <c r="O693" s="25"/>
      <c r="P693" s="26" t="s">
        <v>42</v>
      </c>
      <c r="Q693" s="52">
        <v>9.0E7</v>
      </c>
      <c r="R693" s="26" t="s">
        <v>1334</v>
      </c>
      <c r="S693" s="25">
        <v>2017.0</v>
      </c>
      <c r="T693" s="25">
        <v>6.4E-5</v>
      </c>
      <c r="U693" s="25">
        <f t="shared" si="91"/>
        <v>5760</v>
      </c>
      <c r="V693" s="24">
        <f t="shared" si="3"/>
        <v>213.3333333</v>
      </c>
      <c r="W693" s="3">
        <f t="shared" si="29"/>
        <v>0</v>
      </c>
      <c r="X693" s="3">
        <f t="shared" si="30"/>
        <v>0</v>
      </c>
      <c r="Y693" s="3">
        <f t="shared" si="31"/>
        <v>0</v>
      </c>
      <c r="Z693" s="25">
        <f t="shared" si="32"/>
        <v>0</v>
      </c>
      <c r="AA693" s="26">
        <f>VLOOKUP(S693,CPI!$A$2:$E$67,5,0)</f>
        <v>1.243072781</v>
      </c>
      <c r="AB693" s="27">
        <f t="shared" si="8"/>
        <v>7160.099217</v>
      </c>
      <c r="AC693" s="27">
        <f t="shared" si="9"/>
        <v>265.1888599</v>
      </c>
    </row>
    <row r="694">
      <c r="A694" s="38">
        <v>7376.0</v>
      </c>
      <c r="B694" s="26" t="s">
        <v>1331</v>
      </c>
      <c r="C694" s="26" t="s">
        <v>1332</v>
      </c>
      <c r="D694" s="26" t="s">
        <v>80</v>
      </c>
      <c r="E694" s="26" t="s">
        <v>80</v>
      </c>
      <c r="F694" s="26"/>
      <c r="G694" s="25">
        <v>2020.0</v>
      </c>
      <c r="H694" s="25">
        <v>0.0</v>
      </c>
      <c r="I694" s="25">
        <v>31.0</v>
      </c>
      <c r="J694" s="50">
        <v>1.0</v>
      </c>
      <c r="K694" s="25">
        <v>31.0</v>
      </c>
      <c r="L694" s="51">
        <v>0.0</v>
      </c>
      <c r="M694" s="51">
        <v>0.0</v>
      </c>
      <c r="N694" s="25">
        <v>29.0</v>
      </c>
      <c r="O694" s="25"/>
      <c r="P694" s="26" t="s">
        <v>42</v>
      </c>
      <c r="Q694" s="52">
        <v>9.0E7</v>
      </c>
      <c r="R694" s="26" t="s">
        <v>1334</v>
      </c>
      <c r="S694" s="25">
        <v>2017.0</v>
      </c>
      <c r="T694" s="25">
        <v>6.4E-5</v>
      </c>
      <c r="U694" s="25">
        <f t="shared" si="91"/>
        <v>5760</v>
      </c>
      <c r="V694" s="24">
        <f t="shared" si="3"/>
        <v>185.8064516</v>
      </c>
      <c r="W694" s="3">
        <f t="shared" si="29"/>
        <v>0</v>
      </c>
      <c r="X694" s="3">
        <f t="shared" si="30"/>
        <v>0</v>
      </c>
      <c r="Y694" s="3">
        <f t="shared" si="31"/>
        <v>0</v>
      </c>
      <c r="Z694" s="25">
        <f t="shared" si="32"/>
        <v>0</v>
      </c>
      <c r="AA694" s="26">
        <f>VLOOKUP(S694,CPI!$A$2:$E$67,5,0)</f>
        <v>1.243072781</v>
      </c>
      <c r="AB694" s="27">
        <f t="shared" si="8"/>
        <v>7160.099217</v>
      </c>
      <c r="AC694" s="27">
        <f t="shared" si="9"/>
        <v>230.9709425</v>
      </c>
    </row>
    <row r="695">
      <c r="A695" s="61">
        <v>9788.0</v>
      </c>
      <c r="B695" s="26" t="s">
        <v>1337</v>
      </c>
      <c r="C695" s="26" t="s">
        <v>1338</v>
      </c>
      <c r="D695" s="26" t="s">
        <v>1069</v>
      </c>
      <c r="E695" s="26" t="s">
        <v>1069</v>
      </c>
      <c r="F695" s="25">
        <v>2003.0</v>
      </c>
      <c r="G695" s="25">
        <v>2013.0</v>
      </c>
      <c r="H695" s="25">
        <v>0.0</v>
      </c>
      <c r="I695" s="25">
        <v>13.7</v>
      </c>
      <c r="J695" s="50">
        <v>0.71</v>
      </c>
      <c r="K695" s="25">
        <v>9.7</v>
      </c>
      <c r="L695" s="51">
        <v>0.0</v>
      </c>
      <c r="M695" s="51">
        <v>0.0</v>
      </c>
      <c r="N695" s="25">
        <v>17.0</v>
      </c>
      <c r="O695" s="302">
        <v>40.0</v>
      </c>
      <c r="P695" s="26" t="s">
        <v>74</v>
      </c>
      <c r="Q695" s="55">
        <v>716.0</v>
      </c>
      <c r="R695" s="26" t="s">
        <v>52</v>
      </c>
      <c r="S695" s="25">
        <v>2008.0</v>
      </c>
      <c r="T695" s="25">
        <v>1.3</v>
      </c>
      <c r="U695" s="25">
        <f t="shared" si="91"/>
        <v>930.8</v>
      </c>
      <c r="V695" s="24">
        <f t="shared" si="3"/>
        <v>67.94160584</v>
      </c>
      <c r="W695" s="3">
        <f t="shared" si="29"/>
        <v>1</v>
      </c>
      <c r="X695" s="3">
        <f t="shared" si="30"/>
        <v>13.7</v>
      </c>
      <c r="Y695" s="3">
        <f t="shared" si="31"/>
        <v>9.7</v>
      </c>
      <c r="Z695" s="25">
        <f t="shared" si="32"/>
        <v>0</v>
      </c>
      <c r="AA695" s="26">
        <f>VLOOKUP(S695,CPI!$A$2:$E$67,5,0)</f>
        <v>1.415224126</v>
      </c>
      <c r="AB695" s="27">
        <f t="shared" si="8"/>
        <v>1317.290616</v>
      </c>
      <c r="AC695" s="27">
        <f t="shared" si="9"/>
        <v>96.15259974</v>
      </c>
    </row>
    <row r="696">
      <c r="A696" s="290"/>
      <c r="B696" s="290" t="s">
        <v>1337</v>
      </c>
      <c r="C696" s="68" t="s">
        <v>1340</v>
      </c>
      <c r="D696" s="68" t="s">
        <v>1341</v>
      </c>
      <c r="E696" s="68" t="s">
        <v>1341</v>
      </c>
      <c r="F696" s="237">
        <v>2001.0</v>
      </c>
      <c r="G696" s="237">
        <v>2016.0</v>
      </c>
      <c r="H696" s="237">
        <v>0.0</v>
      </c>
      <c r="I696" s="36">
        <v>1.9</v>
      </c>
      <c r="J696" s="303">
        <v>1.0</v>
      </c>
      <c r="K696" s="36">
        <v>1.9</v>
      </c>
      <c r="L696" s="237">
        <v>0.0</v>
      </c>
      <c r="M696" s="237">
        <v>0.0</v>
      </c>
      <c r="N696" s="237">
        <v>2.0</v>
      </c>
      <c r="O696" s="239">
        <v>80.0</v>
      </c>
      <c r="P696" s="237" t="s">
        <v>60</v>
      </c>
      <c r="Q696" s="304">
        <v>85.0</v>
      </c>
      <c r="R696" s="237" t="s">
        <v>52</v>
      </c>
      <c r="S696" s="237">
        <v>2012.0</v>
      </c>
      <c r="T696" s="237">
        <v>1.3</v>
      </c>
      <c r="U696" s="75">
        <f t="shared" si="91"/>
        <v>110.5</v>
      </c>
      <c r="V696" s="24">
        <f t="shared" si="3"/>
        <v>58.15789474</v>
      </c>
      <c r="W696" s="3">
        <f t="shared" si="29"/>
        <v>1</v>
      </c>
      <c r="X696" s="3">
        <f t="shared" si="30"/>
        <v>1.9</v>
      </c>
      <c r="Y696" s="3">
        <f t="shared" si="31"/>
        <v>1.9</v>
      </c>
      <c r="Z696" s="25">
        <f t="shared" si="32"/>
        <v>0</v>
      </c>
      <c r="AA696" s="26">
        <f>VLOOKUP(S696,CPI!$A$2:$E$67,5,0)</f>
        <v>1.327133984</v>
      </c>
      <c r="AB696" s="27">
        <f t="shared" si="8"/>
        <v>146.6483053</v>
      </c>
      <c r="AC696" s="27">
        <f t="shared" si="9"/>
        <v>77.18331856</v>
      </c>
    </row>
    <row r="697">
      <c r="A697" s="290"/>
      <c r="B697" s="290" t="s">
        <v>1337</v>
      </c>
      <c r="C697" s="68" t="s">
        <v>1340</v>
      </c>
      <c r="D697" s="68" t="s">
        <v>1343</v>
      </c>
      <c r="E697" s="68" t="s">
        <v>1343</v>
      </c>
      <c r="F697" s="237">
        <v>2007.0</v>
      </c>
      <c r="G697" s="237">
        <v>2017.0</v>
      </c>
      <c r="H697" s="237">
        <v>0.0</v>
      </c>
      <c r="I697" s="36">
        <v>3.1</v>
      </c>
      <c r="J697" s="303">
        <v>1.0</v>
      </c>
      <c r="K697" s="36">
        <v>3.1</v>
      </c>
      <c r="L697" s="237">
        <v>0.0</v>
      </c>
      <c r="M697" s="237">
        <v>0.0</v>
      </c>
      <c r="N697" s="237">
        <v>4.0</v>
      </c>
      <c r="O697" s="239">
        <v>80.0</v>
      </c>
      <c r="P697" s="237" t="s">
        <v>60</v>
      </c>
      <c r="Q697" s="304">
        <v>104.0</v>
      </c>
      <c r="R697" s="237" t="s">
        <v>52</v>
      </c>
      <c r="S697" s="237">
        <v>2012.0</v>
      </c>
      <c r="T697" s="237">
        <v>1.3</v>
      </c>
      <c r="U697" s="75">
        <f t="shared" si="91"/>
        <v>135.2</v>
      </c>
      <c r="V697" s="24">
        <f t="shared" si="3"/>
        <v>43.61290323</v>
      </c>
      <c r="W697" s="3">
        <f t="shared" si="29"/>
        <v>1</v>
      </c>
      <c r="X697" s="3">
        <f t="shared" si="30"/>
        <v>3.1</v>
      </c>
      <c r="Y697" s="3">
        <f t="shared" si="31"/>
        <v>3.1</v>
      </c>
      <c r="Z697" s="25">
        <f t="shared" si="32"/>
        <v>0</v>
      </c>
      <c r="AA697" s="26">
        <f>VLOOKUP(S697,CPI!$A$2:$E$67,5,0)</f>
        <v>1.327133984</v>
      </c>
      <c r="AB697" s="27">
        <f t="shared" si="8"/>
        <v>179.4285147</v>
      </c>
      <c r="AC697" s="27">
        <f t="shared" si="9"/>
        <v>57.88016603</v>
      </c>
    </row>
    <row r="698">
      <c r="A698" s="290"/>
      <c r="B698" s="290" t="s">
        <v>1337</v>
      </c>
      <c r="C698" s="68" t="s">
        <v>1340</v>
      </c>
      <c r="D698" s="68" t="s">
        <v>1344</v>
      </c>
      <c r="E698" s="68" t="s">
        <v>1344</v>
      </c>
      <c r="F698" s="237">
        <v>2015.0</v>
      </c>
      <c r="G698" s="237">
        <v>2022.0</v>
      </c>
      <c r="H698" s="237">
        <v>0.0</v>
      </c>
      <c r="I698" s="36">
        <v>1.7</v>
      </c>
      <c r="J698" s="303">
        <v>1.0</v>
      </c>
      <c r="K698" s="36">
        <v>1.7</v>
      </c>
      <c r="L698" s="237">
        <v>0.0</v>
      </c>
      <c r="M698" s="237">
        <v>0.0</v>
      </c>
      <c r="N698" s="237">
        <v>2.0</v>
      </c>
      <c r="O698" s="239">
        <v>80.0</v>
      </c>
      <c r="P698" s="237" t="s">
        <v>60</v>
      </c>
      <c r="Q698" s="304">
        <v>93.0</v>
      </c>
      <c r="R698" s="237" t="s">
        <v>52</v>
      </c>
      <c r="S698" s="237">
        <v>2018.0</v>
      </c>
      <c r="T698" s="237">
        <v>1.3</v>
      </c>
      <c r="U698" s="75">
        <f t="shared" si="91"/>
        <v>120.9</v>
      </c>
      <c r="V698" s="24">
        <f t="shared" si="3"/>
        <v>71.11764706</v>
      </c>
      <c r="W698" s="3">
        <f t="shared" si="29"/>
        <v>1</v>
      </c>
      <c r="X698" s="3">
        <f t="shared" si="30"/>
        <v>1.7</v>
      </c>
      <c r="Y698" s="3">
        <f t="shared" si="31"/>
        <v>1.7</v>
      </c>
      <c r="Z698" s="25">
        <f t="shared" si="32"/>
        <v>0</v>
      </c>
      <c r="AA698" s="26">
        <f>VLOOKUP(S698,CPI!$A$2:$E$67,5,0)</f>
        <v>1.21343491</v>
      </c>
      <c r="AB698" s="27">
        <f t="shared" si="8"/>
        <v>146.7042806</v>
      </c>
      <c r="AC698" s="27">
        <f t="shared" si="9"/>
        <v>86.29663567</v>
      </c>
    </row>
    <row r="699">
      <c r="A699" s="290"/>
      <c r="B699" s="290" t="s">
        <v>1337</v>
      </c>
      <c r="C699" s="68" t="s">
        <v>1340</v>
      </c>
      <c r="D699" s="68" t="s">
        <v>1345</v>
      </c>
      <c r="E699" s="68" t="s">
        <v>1345</v>
      </c>
      <c r="F699" s="237">
        <v>2019.0</v>
      </c>
      <c r="G699" s="237">
        <v>2024.0</v>
      </c>
      <c r="H699" s="237">
        <v>0.0</v>
      </c>
      <c r="I699" s="36">
        <v>2.1</v>
      </c>
      <c r="J699" s="303">
        <v>1.0</v>
      </c>
      <c r="K699" s="36">
        <v>2.1</v>
      </c>
      <c r="L699" s="237">
        <v>0.0</v>
      </c>
      <c r="M699" s="237">
        <v>0.0</v>
      </c>
      <c r="N699" s="237">
        <v>2.0</v>
      </c>
      <c r="O699" s="239">
        <v>80.0</v>
      </c>
      <c r="P699" s="237" t="s">
        <v>60</v>
      </c>
      <c r="Q699" s="304">
        <v>124.0</v>
      </c>
      <c r="R699" s="237" t="s">
        <v>52</v>
      </c>
      <c r="S699" s="237">
        <v>2021.0</v>
      </c>
      <c r="T699" s="237">
        <v>1.3</v>
      </c>
      <c r="U699" s="75">
        <f t="shared" si="91"/>
        <v>161.2</v>
      </c>
      <c r="V699" s="24">
        <f t="shared" si="3"/>
        <v>76.76190476</v>
      </c>
      <c r="W699" s="3">
        <f t="shared" si="29"/>
        <v>1</v>
      </c>
      <c r="X699" s="3">
        <f t="shared" si="30"/>
        <v>2.1</v>
      </c>
      <c r="Y699" s="3">
        <f t="shared" si="31"/>
        <v>2.1</v>
      </c>
      <c r="Z699" s="25">
        <f t="shared" si="32"/>
        <v>0</v>
      </c>
      <c r="AA699" s="26">
        <f>VLOOKUP(S699,CPI!$A$2:$E$67,5,0)</f>
        <v>1.124486105</v>
      </c>
      <c r="AB699" s="27">
        <f t="shared" si="8"/>
        <v>181.2671602</v>
      </c>
      <c r="AC699" s="27">
        <f t="shared" si="9"/>
        <v>86.31769533</v>
      </c>
    </row>
    <row r="700">
      <c r="A700" s="290"/>
      <c r="B700" s="290" t="s">
        <v>1337</v>
      </c>
      <c r="C700" s="68" t="s">
        <v>1340</v>
      </c>
      <c r="D700" s="68" t="s">
        <v>1346</v>
      </c>
      <c r="E700" s="68" t="s">
        <v>1346</v>
      </c>
      <c r="F700" s="237">
        <v>2017.0</v>
      </c>
      <c r="G700" s="237">
        <v>2025.0</v>
      </c>
      <c r="H700" s="237">
        <v>0.0</v>
      </c>
      <c r="I700" s="36">
        <v>6.4</v>
      </c>
      <c r="J700" s="303">
        <v>1.0</v>
      </c>
      <c r="K700" s="36">
        <v>6.4</v>
      </c>
      <c r="L700" s="237">
        <v>0.0</v>
      </c>
      <c r="M700" s="237">
        <v>0.0</v>
      </c>
      <c r="N700" s="237">
        <v>8.0</v>
      </c>
      <c r="O700" s="239">
        <v>80.0</v>
      </c>
      <c r="P700" s="237" t="s">
        <v>60</v>
      </c>
      <c r="Q700" s="304">
        <v>419.0</v>
      </c>
      <c r="R700" s="237" t="s">
        <v>52</v>
      </c>
      <c r="S700" s="237">
        <v>2020.0</v>
      </c>
      <c r="T700" s="237">
        <v>1.3</v>
      </c>
      <c r="U700" s="75">
        <f t="shared" si="91"/>
        <v>544.7</v>
      </c>
      <c r="V700" s="24">
        <f t="shared" si="3"/>
        <v>85.109375</v>
      </c>
      <c r="W700" s="3">
        <f t="shared" si="29"/>
        <v>1</v>
      </c>
      <c r="X700" s="3">
        <f t="shared" si="30"/>
        <v>6.4</v>
      </c>
      <c r="Y700" s="3">
        <f t="shared" si="31"/>
        <v>6.4</v>
      </c>
      <c r="Z700" s="25">
        <f t="shared" si="32"/>
        <v>0</v>
      </c>
      <c r="AA700" s="26">
        <f>VLOOKUP(S700,CPI!$A$2:$E$67,5,0)</f>
        <v>1.17731472</v>
      </c>
      <c r="AB700" s="27">
        <f t="shared" si="8"/>
        <v>641.283328</v>
      </c>
      <c r="AC700" s="27">
        <f t="shared" si="9"/>
        <v>100.20052</v>
      </c>
    </row>
    <row r="701">
      <c r="A701" s="290"/>
      <c r="B701" s="290" t="s">
        <v>1337</v>
      </c>
      <c r="C701" s="68" t="s">
        <v>1340</v>
      </c>
      <c r="D701" s="68" t="s">
        <v>1347</v>
      </c>
      <c r="E701" s="68" t="s">
        <v>1347</v>
      </c>
      <c r="F701" s="237">
        <v>2022.0</v>
      </c>
      <c r="G701" s="237">
        <v>2026.0</v>
      </c>
      <c r="H701" s="237">
        <v>0.0</v>
      </c>
      <c r="I701" s="36">
        <v>11.5</v>
      </c>
      <c r="J701" s="303">
        <v>0.52</v>
      </c>
      <c r="K701" s="36">
        <v>6.0</v>
      </c>
      <c r="L701" s="237">
        <v>0.0</v>
      </c>
      <c r="M701" s="237">
        <v>5.5</v>
      </c>
      <c r="N701" s="237">
        <v>5.0</v>
      </c>
      <c r="O701" s="239">
        <v>80.0</v>
      </c>
      <c r="P701" s="237" t="s">
        <v>60</v>
      </c>
      <c r="Q701" s="304">
        <v>432.0</v>
      </c>
      <c r="R701" s="237" t="s">
        <v>52</v>
      </c>
      <c r="S701" s="237">
        <v>2024.0</v>
      </c>
      <c r="T701" s="237">
        <v>1.3</v>
      </c>
      <c r="U701" s="75">
        <f t="shared" si="91"/>
        <v>561.6</v>
      </c>
      <c r="V701" s="24">
        <f t="shared" si="3"/>
        <v>48.83478261</v>
      </c>
      <c r="W701" s="3">
        <f t="shared" si="29"/>
        <v>1</v>
      </c>
      <c r="X701" s="3">
        <f t="shared" si="30"/>
        <v>11.5</v>
      </c>
      <c r="Y701" s="3">
        <f t="shared" si="31"/>
        <v>6</v>
      </c>
      <c r="Z701" s="25">
        <f t="shared" si="32"/>
        <v>0</v>
      </c>
      <c r="AA701" s="26">
        <f>VLOOKUP(S701,CPI!$A$2:$E$67,5,0)</f>
        <v>1</v>
      </c>
      <c r="AB701" s="27">
        <f t="shared" si="8"/>
        <v>561.6</v>
      </c>
      <c r="AC701" s="27">
        <f t="shared" si="9"/>
        <v>48.83478261</v>
      </c>
    </row>
    <row r="702">
      <c r="A702" s="290"/>
      <c r="B702" s="290" t="s">
        <v>1337</v>
      </c>
      <c r="C702" s="68" t="s">
        <v>1348</v>
      </c>
      <c r="D702" s="68" t="s">
        <v>1349</v>
      </c>
      <c r="E702" s="68" t="s">
        <v>1349</v>
      </c>
      <c r="F702" s="237">
        <v>1998.0</v>
      </c>
      <c r="G702" s="237">
        <v>2006.0</v>
      </c>
      <c r="H702" s="237">
        <v>0.0</v>
      </c>
      <c r="I702" s="36">
        <v>2.5</v>
      </c>
      <c r="J702" s="303">
        <v>1.0</v>
      </c>
      <c r="K702" s="36">
        <v>2.5</v>
      </c>
      <c r="L702" s="237">
        <v>0.0</v>
      </c>
      <c r="M702" s="237">
        <v>0.0</v>
      </c>
      <c r="N702" s="237">
        <v>4.0</v>
      </c>
      <c r="O702" s="239">
        <v>80.0</v>
      </c>
      <c r="P702" s="237" t="s">
        <v>74</v>
      </c>
      <c r="Q702" s="304">
        <v>212.0</v>
      </c>
      <c r="R702" s="237" t="s">
        <v>52</v>
      </c>
      <c r="S702" s="237">
        <v>2002.0</v>
      </c>
      <c r="T702" s="237">
        <v>1.3</v>
      </c>
      <c r="U702" s="75">
        <f t="shared" si="91"/>
        <v>275.6</v>
      </c>
      <c r="V702" s="24">
        <f t="shared" si="3"/>
        <v>110.24</v>
      </c>
      <c r="W702" s="3">
        <f t="shared" si="29"/>
        <v>1</v>
      </c>
      <c r="X702" s="3">
        <f t="shared" si="30"/>
        <v>2.5</v>
      </c>
      <c r="Y702" s="3">
        <f t="shared" si="31"/>
        <v>2.5</v>
      </c>
      <c r="Z702" s="25">
        <f t="shared" si="32"/>
        <v>0</v>
      </c>
      <c r="AA702" s="26">
        <f>VLOOKUP(S702,CPI!$A$2:$E$67,5,0)</f>
        <v>1.69372985</v>
      </c>
      <c r="AB702" s="27">
        <f t="shared" si="8"/>
        <v>466.7919466</v>
      </c>
      <c r="AC702" s="27">
        <f t="shared" si="9"/>
        <v>186.7167787</v>
      </c>
    </row>
    <row r="703">
      <c r="A703" s="290"/>
      <c r="B703" s="290" t="s">
        <v>1337</v>
      </c>
      <c r="C703" s="68" t="s">
        <v>1348</v>
      </c>
      <c r="D703" s="68" t="s">
        <v>1351</v>
      </c>
      <c r="E703" s="68" t="s">
        <v>1351</v>
      </c>
      <c r="F703" s="237">
        <v>2006.0</v>
      </c>
      <c r="G703" s="237">
        <v>2012.0</v>
      </c>
      <c r="H703" s="237">
        <v>0.0</v>
      </c>
      <c r="I703" s="36">
        <v>1.5</v>
      </c>
      <c r="J703" s="303">
        <v>0.87</v>
      </c>
      <c r="K703" s="36">
        <v>1.3</v>
      </c>
      <c r="L703" s="237">
        <v>0.0</v>
      </c>
      <c r="M703" s="237">
        <v>0.2</v>
      </c>
      <c r="N703" s="237">
        <v>1.0</v>
      </c>
      <c r="O703" s="239">
        <v>80.0</v>
      </c>
      <c r="P703" s="237" t="s">
        <v>74</v>
      </c>
      <c r="Q703" s="304">
        <v>200.0</v>
      </c>
      <c r="R703" s="237" t="s">
        <v>52</v>
      </c>
      <c r="S703" s="237">
        <v>2009.0</v>
      </c>
      <c r="T703" s="237">
        <v>1.3</v>
      </c>
      <c r="U703" s="75">
        <f t="shared" si="91"/>
        <v>260</v>
      </c>
      <c r="V703" s="24">
        <f t="shared" si="3"/>
        <v>173.3333333</v>
      </c>
      <c r="W703" s="3">
        <f t="shared" si="29"/>
        <v>1</v>
      </c>
      <c r="X703" s="3">
        <f t="shared" si="30"/>
        <v>1.5</v>
      </c>
      <c r="Y703" s="3">
        <f t="shared" si="31"/>
        <v>1.3</v>
      </c>
      <c r="Z703" s="25">
        <f t="shared" si="32"/>
        <v>0</v>
      </c>
      <c r="AA703" s="26">
        <f>VLOOKUP(S703,CPI!$A$2:$E$67,5,0)</f>
        <v>1.420277155</v>
      </c>
      <c r="AB703" s="27">
        <f t="shared" si="8"/>
        <v>369.2720603</v>
      </c>
      <c r="AC703" s="27">
        <f t="shared" si="9"/>
        <v>246.1813735</v>
      </c>
    </row>
    <row r="704">
      <c r="A704" s="290"/>
      <c r="B704" s="290" t="s">
        <v>1337</v>
      </c>
      <c r="C704" s="68" t="s">
        <v>1348</v>
      </c>
      <c r="D704" s="68" t="s">
        <v>1353</v>
      </c>
      <c r="E704" s="68" t="s">
        <v>1353</v>
      </c>
      <c r="F704" s="237">
        <v>2020.0</v>
      </c>
      <c r="G704" s="237">
        <v>2023.0</v>
      </c>
      <c r="H704" s="237">
        <v>0.0</v>
      </c>
      <c r="I704" s="36">
        <v>1.5</v>
      </c>
      <c r="J704" s="303">
        <v>0.0</v>
      </c>
      <c r="K704" s="36">
        <v>0.0</v>
      </c>
      <c r="L704" s="237">
        <v>0.3</v>
      </c>
      <c r="M704" s="237">
        <v>1.2</v>
      </c>
      <c r="N704" s="237">
        <v>2.0</v>
      </c>
      <c r="O704" s="239">
        <v>80.0</v>
      </c>
      <c r="P704" s="237" t="s">
        <v>74</v>
      </c>
      <c r="Q704" s="304">
        <v>63.0</v>
      </c>
      <c r="R704" s="237" t="s">
        <v>52</v>
      </c>
      <c r="S704" s="237">
        <v>2022.0</v>
      </c>
      <c r="T704" s="237">
        <v>1.3</v>
      </c>
      <c r="U704" s="75">
        <f t="shared" si="91"/>
        <v>81.9</v>
      </c>
      <c r="V704" s="24">
        <f t="shared" si="3"/>
        <v>54.6</v>
      </c>
      <c r="W704" s="3">
        <f t="shared" si="29"/>
        <v>1</v>
      </c>
      <c r="X704" s="3">
        <f t="shared" si="30"/>
        <v>1.5</v>
      </c>
      <c r="Y704" s="3">
        <f t="shared" si="31"/>
        <v>0</v>
      </c>
      <c r="Z704" s="25">
        <f t="shared" si="32"/>
        <v>0</v>
      </c>
      <c r="AA704" s="26">
        <f>VLOOKUP(S704,CPI!$A$2:$E$67,5,0)</f>
        <v>1.041164511</v>
      </c>
      <c r="AB704" s="27">
        <f t="shared" si="8"/>
        <v>85.27137346</v>
      </c>
      <c r="AC704" s="27">
        <f t="shared" si="9"/>
        <v>56.84758231</v>
      </c>
    </row>
    <row r="705">
      <c r="A705" s="38">
        <v>7241.0</v>
      </c>
      <c r="B705" s="26" t="s">
        <v>1337</v>
      </c>
      <c r="C705" s="26" t="s">
        <v>1355</v>
      </c>
      <c r="D705" s="16" t="s">
        <v>1356</v>
      </c>
      <c r="E705" s="306" t="s">
        <v>1357</v>
      </c>
      <c r="F705" s="25">
        <v>1984.0</v>
      </c>
      <c r="G705" s="302">
        <v>2004.0</v>
      </c>
      <c r="H705" s="25">
        <v>1.0</v>
      </c>
      <c r="I705" s="302">
        <v>7.8</v>
      </c>
      <c r="J705" s="307">
        <v>0.9</v>
      </c>
      <c r="K705" s="25">
        <v>7.8</v>
      </c>
      <c r="L705" s="51">
        <v>0.02</v>
      </c>
      <c r="M705" s="51">
        <v>5.18</v>
      </c>
      <c r="N705" s="25">
        <v>10.0</v>
      </c>
      <c r="O705" s="58">
        <v>250.0</v>
      </c>
      <c r="P705" s="26" t="s">
        <v>74</v>
      </c>
      <c r="Q705" s="52">
        <v>915.0</v>
      </c>
      <c r="R705" s="26" t="s">
        <v>52</v>
      </c>
      <c r="S705" s="25">
        <v>1996.0</v>
      </c>
      <c r="T705" s="25">
        <v>1.3</v>
      </c>
      <c r="U705" s="25">
        <f t="shared" si="91"/>
        <v>1189.5</v>
      </c>
      <c r="V705" s="24">
        <f t="shared" si="3"/>
        <v>152.5</v>
      </c>
      <c r="W705" s="3">
        <f t="shared" si="29"/>
        <v>1</v>
      </c>
      <c r="X705" s="3">
        <f t="shared" si="30"/>
        <v>7.8</v>
      </c>
      <c r="Y705" s="3">
        <f t="shared" si="31"/>
        <v>7.8</v>
      </c>
      <c r="Z705" s="25">
        <f t="shared" si="32"/>
        <v>0</v>
      </c>
      <c r="AA705" s="26">
        <f>VLOOKUP(S705,CPI!$A$2:$E$67,5,0)</f>
        <v>1.942014022</v>
      </c>
      <c r="AB705" s="27">
        <f t="shared" si="8"/>
        <v>2310.025679</v>
      </c>
      <c r="AC705" s="27">
        <f t="shared" si="9"/>
        <v>296.1571383</v>
      </c>
    </row>
    <row r="706">
      <c r="A706" s="290"/>
      <c r="B706" s="290" t="s">
        <v>1337</v>
      </c>
      <c r="C706" s="68" t="s">
        <v>1355</v>
      </c>
      <c r="D706" s="36" t="s">
        <v>866</v>
      </c>
      <c r="E706" s="68" t="s">
        <v>1359</v>
      </c>
      <c r="F706" s="237">
        <v>2003.0</v>
      </c>
      <c r="G706" s="237">
        <v>2005.0</v>
      </c>
      <c r="H706" s="237">
        <v>0.0</v>
      </c>
      <c r="I706" s="36">
        <v>2.1</v>
      </c>
      <c r="J706" s="303">
        <v>1.0</v>
      </c>
      <c r="K706" s="36">
        <v>2.1</v>
      </c>
      <c r="L706" s="237">
        <v>0.0</v>
      </c>
      <c r="M706" s="237">
        <v>0.0</v>
      </c>
      <c r="N706" s="237">
        <v>2.0</v>
      </c>
      <c r="O706" s="239">
        <v>110.0</v>
      </c>
      <c r="P706" s="237" t="s">
        <v>74</v>
      </c>
      <c r="Q706" s="304">
        <v>95.0</v>
      </c>
      <c r="R706" s="237" t="s">
        <v>52</v>
      </c>
      <c r="S706" s="237">
        <v>2004.0</v>
      </c>
      <c r="T706" s="237">
        <v>1.3</v>
      </c>
      <c r="U706" s="75">
        <f t="shared" si="91"/>
        <v>123.5</v>
      </c>
      <c r="V706" s="24">
        <f t="shared" si="3"/>
        <v>58.80952381</v>
      </c>
      <c r="W706" s="3">
        <f t="shared" si="29"/>
        <v>1</v>
      </c>
      <c r="X706" s="3">
        <f t="shared" si="30"/>
        <v>2.1</v>
      </c>
      <c r="Y706" s="3">
        <f t="shared" si="31"/>
        <v>2.1</v>
      </c>
      <c r="Z706" s="25">
        <f t="shared" si="32"/>
        <v>0</v>
      </c>
      <c r="AA706" s="26">
        <f>VLOOKUP(S706,CPI!$A$2:$E$67,5,0)</f>
        <v>1.613033351</v>
      </c>
      <c r="AB706" s="27">
        <f t="shared" si="8"/>
        <v>199.2096188</v>
      </c>
      <c r="AC706" s="27">
        <f t="shared" si="9"/>
        <v>94.86172326</v>
      </c>
    </row>
    <row r="707">
      <c r="A707" s="290"/>
      <c r="B707" s="290" t="s">
        <v>1337</v>
      </c>
      <c r="C707" s="68" t="s">
        <v>1355</v>
      </c>
      <c r="D707" s="36" t="s">
        <v>866</v>
      </c>
      <c r="E707" s="68" t="s">
        <v>1361</v>
      </c>
      <c r="F707" s="237" t="s">
        <v>1362</v>
      </c>
      <c r="G707" s="237">
        <v>2011.0</v>
      </c>
      <c r="H707" s="237">
        <v>0.0</v>
      </c>
      <c r="I707" s="36">
        <v>4.8</v>
      </c>
      <c r="J707" s="303">
        <v>0.0</v>
      </c>
      <c r="K707" s="36">
        <v>0.0</v>
      </c>
      <c r="L707" s="237">
        <v>0.0</v>
      </c>
      <c r="M707" s="237">
        <v>4.8</v>
      </c>
      <c r="N707" s="237">
        <v>2.0</v>
      </c>
      <c r="O707" s="239">
        <v>110.0</v>
      </c>
      <c r="P707" s="237" t="s">
        <v>74</v>
      </c>
      <c r="Q707" s="304">
        <v>70.0</v>
      </c>
      <c r="R707" s="237" t="s">
        <v>52</v>
      </c>
      <c r="S707" s="237">
        <v>2005.0</v>
      </c>
      <c r="T707" s="237">
        <v>1.3</v>
      </c>
      <c r="U707" s="75">
        <f t="shared" si="91"/>
        <v>91</v>
      </c>
      <c r="V707" s="24">
        <f t="shared" si="3"/>
        <v>18.95833333</v>
      </c>
      <c r="W707" s="3">
        <f t="shared" si="29"/>
        <v>1</v>
      </c>
      <c r="X707" s="3">
        <f t="shared" si="30"/>
        <v>4.8</v>
      </c>
      <c r="Y707" s="3">
        <f t="shared" si="31"/>
        <v>0</v>
      </c>
      <c r="Z707" s="25">
        <f t="shared" si="32"/>
        <v>0</v>
      </c>
      <c r="AA707" s="26">
        <f>VLOOKUP(S707,CPI!$A$2:$E$67,5,0)</f>
        <v>1.560174091</v>
      </c>
      <c r="AB707" s="27">
        <f t="shared" si="8"/>
        <v>141.9758423</v>
      </c>
      <c r="AC707" s="27">
        <f t="shared" si="9"/>
        <v>29.57830048</v>
      </c>
    </row>
    <row r="708">
      <c r="A708" s="290"/>
      <c r="B708" s="290" t="s">
        <v>1337</v>
      </c>
      <c r="C708" s="68" t="s">
        <v>1355</v>
      </c>
      <c r="D708" s="36" t="s">
        <v>856</v>
      </c>
      <c r="E708" s="68" t="s">
        <v>1363</v>
      </c>
      <c r="F708" s="237" t="s">
        <v>1362</v>
      </c>
      <c r="G708" s="237">
        <v>2011.0</v>
      </c>
      <c r="H708" s="237">
        <v>0.0</v>
      </c>
      <c r="I708" s="36">
        <v>3.9</v>
      </c>
      <c r="J708" s="303">
        <v>1.0</v>
      </c>
      <c r="K708" s="36">
        <v>3.9</v>
      </c>
      <c r="L708" s="237">
        <v>0.0</v>
      </c>
      <c r="M708" s="237">
        <v>0.0</v>
      </c>
      <c r="N708" s="237">
        <v>4.0</v>
      </c>
      <c r="O708" s="239">
        <v>110.0</v>
      </c>
      <c r="P708" s="237" t="s">
        <v>74</v>
      </c>
      <c r="Q708" s="304">
        <v>267.0</v>
      </c>
      <c r="R708" s="237" t="s">
        <v>52</v>
      </c>
      <c r="S708" s="237">
        <v>2005.0</v>
      </c>
      <c r="T708" s="237">
        <v>1.3</v>
      </c>
      <c r="U708" s="75">
        <f t="shared" si="91"/>
        <v>347.1</v>
      </c>
      <c r="V708" s="24">
        <f t="shared" si="3"/>
        <v>89</v>
      </c>
      <c r="W708" s="3">
        <f t="shared" si="29"/>
        <v>1</v>
      </c>
      <c r="X708" s="3">
        <f t="shared" si="30"/>
        <v>3.9</v>
      </c>
      <c r="Y708" s="3">
        <f t="shared" si="31"/>
        <v>3.9</v>
      </c>
      <c r="Z708" s="25">
        <f t="shared" si="32"/>
        <v>0</v>
      </c>
      <c r="AA708" s="26">
        <f>VLOOKUP(S708,CPI!$A$2:$E$67,5,0)</f>
        <v>1.560174091</v>
      </c>
      <c r="AB708" s="27">
        <f t="shared" si="8"/>
        <v>541.536427</v>
      </c>
      <c r="AC708" s="27">
        <f t="shared" si="9"/>
        <v>138.8554941</v>
      </c>
    </row>
    <row r="709">
      <c r="A709" s="38">
        <v>7233.0</v>
      </c>
      <c r="B709" s="26" t="s">
        <v>1337</v>
      </c>
      <c r="C709" s="26" t="s">
        <v>1355</v>
      </c>
      <c r="D709" s="1" t="s">
        <v>1364</v>
      </c>
      <c r="E709" s="63" t="s">
        <v>1365</v>
      </c>
      <c r="F709" s="25">
        <v>2007.0</v>
      </c>
      <c r="G709" s="25">
        <v>2013.0</v>
      </c>
      <c r="H709" s="25">
        <v>0.0</v>
      </c>
      <c r="I709" s="25">
        <v>6.1</v>
      </c>
      <c r="J709" s="50">
        <v>1.0</v>
      </c>
      <c r="K709" s="25">
        <v>6.1</v>
      </c>
      <c r="L709" s="51">
        <v>0.0</v>
      </c>
      <c r="M709" s="51">
        <v>0.0</v>
      </c>
      <c r="N709" s="25">
        <v>9.0</v>
      </c>
      <c r="O709" s="302">
        <v>50.0</v>
      </c>
      <c r="P709" s="306" t="s">
        <v>60</v>
      </c>
      <c r="Q709" s="308">
        <v>508.0</v>
      </c>
      <c r="R709" s="26" t="s">
        <v>52</v>
      </c>
      <c r="S709" s="25">
        <v>2010.0</v>
      </c>
      <c r="T709" s="25">
        <v>1.3</v>
      </c>
      <c r="U709" s="25">
        <f t="shared" si="91"/>
        <v>660.4</v>
      </c>
      <c r="V709" s="24">
        <f t="shared" si="3"/>
        <v>108.2622951</v>
      </c>
      <c r="W709" s="3">
        <f t="shared" si="29"/>
        <v>1</v>
      </c>
      <c r="X709" s="3">
        <f t="shared" si="30"/>
        <v>6.1</v>
      </c>
      <c r="Y709" s="3">
        <f t="shared" si="31"/>
        <v>6.1</v>
      </c>
      <c r="Z709" s="25">
        <f t="shared" si="32"/>
        <v>0</v>
      </c>
      <c r="AA709" s="26">
        <f>VLOOKUP(S709,CPI!$A$2:$E$67,5,0)</f>
        <v>1.397356642</v>
      </c>
      <c r="AB709" s="27">
        <f t="shared" si="8"/>
        <v>922.8143266</v>
      </c>
      <c r="AC709" s="27">
        <f t="shared" si="9"/>
        <v>151.2810371</v>
      </c>
    </row>
    <row r="710">
      <c r="A710" s="38">
        <v>7234.0</v>
      </c>
      <c r="B710" s="26" t="s">
        <v>1337</v>
      </c>
      <c r="C710" s="26" t="s">
        <v>1355</v>
      </c>
      <c r="D710" s="1" t="s">
        <v>1364</v>
      </c>
      <c r="E710" s="63" t="s">
        <v>1367</v>
      </c>
      <c r="F710" s="25">
        <v>2010.0</v>
      </c>
      <c r="G710" s="25">
        <v>2015.0</v>
      </c>
      <c r="H710" s="25">
        <v>0.0</v>
      </c>
      <c r="I710" s="25">
        <v>6.5</v>
      </c>
      <c r="J710" s="50">
        <v>1.0</v>
      </c>
      <c r="K710" s="25">
        <v>6.5</v>
      </c>
      <c r="L710" s="51">
        <v>0.0</v>
      </c>
      <c r="M710" s="51">
        <v>0.0</v>
      </c>
      <c r="N710" s="25">
        <v>10.0</v>
      </c>
      <c r="O710" s="302">
        <v>50.0</v>
      </c>
      <c r="P710" s="306" t="s">
        <v>60</v>
      </c>
      <c r="Q710" s="308">
        <v>751.0</v>
      </c>
      <c r="R710" s="26" t="s">
        <v>52</v>
      </c>
      <c r="S710" s="25">
        <v>2012.0</v>
      </c>
      <c r="T710" s="25">
        <v>1.3</v>
      </c>
      <c r="U710" s="25">
        <f t="shared" si="91"/>
        <v>976.3</v>
      </c>
      <c r="V710" s="24">
        <f t="shared" si="3"/>
        <v>150.2</v>
      </c>
      <c r="W710" s="3">
        <f t="shared" si="29"/>
        <v>1</v>
      </c>
      <c r="X710" s="3">
        <f t="shared" si="30"/>
        <v>6.5</v>
      </c>
      <c r="Y710" s="3">
        <f t="shared" si="31"/>
        <v>6.5</v>
      </c>
      <c r="Z710" s="25">
        <f t="shared" si="32"/>
        <v>0</v>
      </c>
      <c r="AA710" s="26">
        <f>VLOOKUP(S710,CPI!$A$2:$E$67,5,0)</f>
        <v>1.327133984</v>
      </c>
      <c r="AB710" s="27">
        <f t="shared" si="8"/>
        <v>1295.680909</v>
      </c>
      <c r="AC710" s="27">
        <f t="shared" si="9"/>
        <v>199.3355244</v>
      </c>
    </row>
    <row r="711">
      <c r="A711" s="290"/>
      <c r="B711" s="290" t="s">
        <v>1337</v>
      </c>
      <c r="C711" s="68" t="s">
        <v>1355</v>
      </c>
      <c r="D711" s="36" t="s">
        <v>866</v>
      </c>
      <c r="E711" s="68" t="s">
        <v>1369</v>
      </c>
      <c r="F711" s="237">
        <v>2010.0</v>
      </c>
      <c r="G711" s="237">
        <v>2022.0</v>
      </c>
      <c r="H711" s="237">
        <v>0.0</v>
      </c>
      <c r="I711" s="36">
        <v>1.9</v>
      </c>
      <c r="J711" s="303">
        <v>1.0</v>
      </c>
      <c r="K711" s="36">
        <v>1.9</v>
      </c>
      <c r="L711" s="237">
        <v>0.0</v>
      </c>
      <c r="M711" s="237">
        <v>0.0</v>
      </c>
      <c r="N711" s="237">
        <v>2.0</v>
      </c>
      <c r="O711" s="239">
        <v>110.0</v>
      </c>
      <c r="P711" s="237" t="s">
        <v>74</v>
      </c>
      <c r="Q711" s="304">
        <v>143.0</v>
      </c>
      <c r="R711" s="237" t="s">
        <v>52</v>
      </c>
      <c r="S711" s="237">
        <v>2015.0</v>
      </c>
      <c r="T711" s="237">
        <v>1.3</v>
      </c>
      <c r="U711" s="75">
        <f t="shared" si="91"/>
        <v>185.9</v>
      </c>
      <c r="V711" s="24">
        <f t="shared" si="3"/>
        <v>97.84210526</v>
      </c>
      <c r="W711" s="3">
        <f t="shared" si="29"/>
        <v>1</v>
      </c>
      <c r="X711" s="3">
        <f t="shared" si="30"/>
        <v>1.9</v>
      </c>
      <c r="Y711" s="3">
        <f t="shared" si="31"/>
        <v>1.9</v>
      </c>
      <c r="Z711" s="25">
        <f t="shared" si="32"/>
        <v>0</v>
      </c>
      <c r="AA711" s="26">
        <f>VLOOKUP(S711,CPI!$A$2:$E$67,5,0)</f>
        <v>1.285570233</v>
      </c>
      <c r="AB711" s="27">
        <f t="shared" si="8"/>
        <v>238.9875064</v>
      </c>
      <c r="AC711" s="27">
        <f t="shared" si="9"/>
        <v>125.7828981</v>
      </c>
    </row>
    <row r="712">
      <c r="A712" s="38">
        <v>7235.0</v>
      </c>
      <c r="B712" s="26" t="s">
        <v>1337</v>
      </c>
      <c r="C712" s="26" t="s">
        <v>1355</v>
      </c>
      <c r="D712" s="26" t="s">
        <v>110</v>
      </c>
      <c r="E712" s="26" t="s">
        <v>110</v>
      </c>
      <c r="F712" s="25">
        <v>2015.0</v>
      </c>
      <c r="G712" s="58">
        <v>2024.0</v>
      </c>
      <c r="H712" s="25">
        <v>0.0</v>
      </c>
      <c r="I712" s="25">
        <v>15.2</v>
      </c>
      <c r="J712" s="50">
        <v>1.0</v>
      </c>
      <c r="K712" s="25">
        <v>15.2</v>
      </c>
      <c r="L712" s="51">
        <v>0.0</v>
      </c>
      <c r="M712" s="51">
        <v>0.0</v>
      </c>
      <c r="N712" s="25">
        <v>21.0</v>
      </c>
      <c r="O712" s="302">
        <v>50.0</v>
      </c>
      <c r="P712" s="26" t="s">
        <v>74</v>
      </c>
      <c r="Q712" s="52">
        <v>1696.7</v>
      </c>
      <c r="R712" s="26" t="s">
        <v>52</v>
      </c>
      <c r="S712" s="25">
        <v>2019.0</v>
      </c>
      <c r="T712" s="25">
        <v>1.3</v>
      </c>
      <c r="U712" s="25">
        <f t="shared" si="91"/>
        <v>2205.71</v>
      </c>
      <c r="V712" s="24">
        <f t="shared" si="3"/>
        <v>145.1125</v>
      </c>
      <c r="W712" s="3">
        <f t="shared" si="29"/>
        <v>1</v>
      </c>
      <c r="X712" s="3">
        <f t="shared" si="30"/>
        <v>15.2</v>
      </c>
      <c r="Y712" s="3">
        <f t="shared" si="31"/>
        <v>15.2</v>
      </c>
      <c r="Z712" s="25">
        <f t="shared" si="32"/>
        <v>0</v>
      </c>
      <c r="AA712" s="26">
        <f>VLOOKUP(S712,CPI!$A$2:$E$67,5,0)</f>
        <v>1.191839066</v>
      </c>
      <c r="AB712" s="27">
        <f t="shared" si="8"/>
        <v>2628.851345</v>
      </c>
      <c r="AC712" s="27">
        <f t="shared" si="9"/>
        <v>172.9507464</v>
      </c>
    </row>
    <row r="713">
      <c r="A713" s="290"/>
      <c r="B713" s="290" t="s">
        <v>1337</v>
      </c>
      <c r="C713" s="68" t="s">
        <v>1355</v>
      </c>
      <c r="D713" s="36" t="s">
        <v>866</v>
      </c>
      <c r="E713" s="68" t="s">
        <v>1372</v>
      </c>
      <c r="F713" s="237">
        <v>2022.0</v>
      </c>
      <c r="G713" s="237">
        <v>2027.0</v>
      </c>
      <c r="H713" s="237">
        <v>0.0</v>
      </c>
      <c r="I713" s="36">
        <v>3.3</v>
      </c>
      <c r="J713" s="303">
        <v>1.0</v>
      </c>
      <c r="K713" s="36">
        <v>3.3</v>
      </c>
      <c r="L713" s="237">
        <v>0.0</v>
      </c>
      <c r="M713" s="237">
        <v>0.0</v>
      </c>
      <c r="N713" s="237">
        <v>3.0</v>
      </c>
      <c r="O713" s="239">
        <v>110.0</v>
      </c>
      <c r="P713" s="237" t="s">
        <v>60</v>
      </c>
      <c r="Q713" s="304">
        <v>396.0</v>
      </c>
      <c r="R713" s="237" t="s">
        <v>52</v>
      </c>
      <c r="S713" s="237">
        <v>2025.0</v>
      </c>
      <c r="T713" s="237">
        <v>1.3</v>
      </c>
      <c r="U713" s="75">
        <f t="shared" si="91"/>
        <v>514.8</v>
      </c>
      <c r="V713" s="24">
        <f t="shared" si="3"/>
        <v>156</v>
      </c>
      <c r="W713" s="3">
        <f t="shared" si="29"/>
        <v>1</v>
      </c>
      <c r="X713" s="3">
        <f t="shared" si="30"/>
        <v>3.3</v>
      </c>
      <c r="Y713" s="3">
        <f t="shared" si="31"/>
        <v>3.3</v>
      </c>
      <c r="Z713" s="25">
        <f t="shared" si="32"/>
        <v>0</v>
      </c>
      <c r="AA713" s="26">
        <f>VLOOKUP(S713,CPI!$A$2:$E$67,5,0)</f>
        <v>1</v>
      </c>
      <c r="AB713" s="27">
        <f t="shared" si="8"/>
        <v>514.8</v>
      </c>
      <c r="AC713" s="27">
        <f t="shared" si="9"/>
        <v>156</v>
      </c>
    </row>
    <row r="714">
      <c r="A714" s="290"/>
      <c r="B714" s="290" t="s">
        <v>1337</v>
      </c>
      <c r="C714" s="68" t="s">
        <v>1355</v>
      </c>
      <c r="D714" s="36" t="s">
        <v>1364</v>
      </c>
      <c r="E714" s="68" t="s">
        <v>1374</v>
      </c>
      <c r="F714" s="237">
        <v>2022.0</v>
      </c>
      <c r="G714" s="237">
        <v>2029.0</v>
      </c>
      <c r="H714" s="237">
        <v>0.0</v>
      </c>
      <c r="I714" s="36">
        <v>12.6</v>
      </c>
      <c r="J714" s="303">
        <v>1.0</v>
      </c>
      <c r="K714" s="36">
        <v>12.6</v>
      </c>
      <c r="L714" s="237">
        <v>0.0</v>
      </c>
      <c r="M714" s="237">
        <v>0.0</v>
      </c>
      <c r="N714" s="237">
        <v>12.0</v>
      </c>
      <c r="O714" s="239">
        <v>50.0</v>
      </c>
      <c r="P714" s="237" t="s">
        <v>60</v>
      </c>
      <c r="Q714" s="304">
        <v>1250.0</v>
      </c>
      <c r="R714" s="237" t="s">
        <v>52</v>
      </c>
      <c r="S714" s="237">
        <v>2025.0</v>
      </c>
      <c r="T714" s="237">
        <v>1.3</v>
      </c>
      <c r="U714" s="75">
        <f t="shared" si="91"/>
        <v>1625</v>
      </c>
      <c r="V714" s="24">
        <f t="shared" si="3"/>
        <v>128.968254</v>
      </c>
      <c r="W714" s="3">
        <f t="shared" si="29"/>
        <v>1</v>
      </c>
      <c r="X714" s="3">
        <f t="shared" si="30"/>
        <v>12.6</v>
      </c>
      <c r="Y714" s="3">
        <f t="shared" si="31"/>
        <v>12.6</v>
      </c>
      <c r="Z714" s="25">
        <f t="shared" si="32"/>
        <v>0</v>
      </c>
      <c r="AA714" s="26">
        <f>VLOOKUP(S714,CPI!$A$2:$E$67,5,0)</f>
        <v>1</v>
      </c>
      <c r="AB714" s="27">
        <f t="shared" si="8"/>
        <v>1625</v>
      </c>
      <c r="AC714" s="27">
        <f t="shared" si="9"/>
        <v>128.968254</v>
      </c>
    </row>
    <row r="715">
      <c r="A715" s="290"/>
      <c r="B715" s="290" t="s">
        <v>1337</v>
      </c>
      <c r="C715" s="68" t="s">
        <v>1376</v>
      </c>
      <c r="D715" s="36" t="s">
        <v>57</v>
      </c>
      <c r="E715" s="68" t="s">
        <v>1377</v>
      </c>
      <c r="F715" s="237">
        <v>1986.0</v>
      </c>
      <c r="G715" s="237">
        <v>2003.0</v>
      </c>
      <c r="H715" s="237">
        <v>0.0</v>
      </c>
      <c r="I715" s="36">
        <v>13.7</v>
      </c>
      <c r="J715" s="303">
        <v>0.7</v>
      </c>
      <c r="K715" s="36">
        <v>9.6</v>
      </c>
      <c r="L715" s="237">
        <v>4.1</v>
      </c>
      <c r="M715" s="237">
        <v>0.0</v>
      </c>
      <c r="N715" s="237">
        <v>14.0</v>
      </c>
      <c r="O715" s="239">
        <v>110.0</v>
      </c>
      <c r="P715" s="237" t="s">
        <v>60</v>
      </c>
      <c r="Q715" s="304">
        <v>1474.0</v>
      </c>
      <c r="R715" s="237" t="s">
        <v>52</v>
      </c>
      <c r="S715" s="237">
        <v>1990.0</v>
      </c>
      <c r="T715" s="237">
        <v>1.3</v>
      </c>
      <c r="U715" s="75">
        <f t="shared" si="91"/>
        <v>1916.2</v>
      </c>
      <c r="V715" s="24">
        <f t="shared" si="3"/>
        <v>139.8686131</v>
      </c>
      <c r="W715" s="3">
        <f t="shared" si="29"/>
        <v>1</v>
      </c>
      <c r="X715" s="3">
        <f t="shared" si="30"/>
        <v>13.7</v>
      </c>
      <c r="Y715" s="3">
        <f t="shared" si="31"/>
        <v>9.6</v>
      </c>
      <c r="Z715" s="25">
        <f t="shared" si="32"/>
        <v>0</v>
      </c>
      <c r="AA715" s="26">
        <f>VLOOKUP(S715,CPI!$A$2:$E$67,5,0)</f>
        <v>2.33130834</v>
      </c>
      <c r="AB715" s="27">
        <f t="shared" si="8"/>
        <v>4467.253041</v>
      </c>
      <c r="AC715" s="27">
        <f t="shared" si="9"/>
        <v>326.0768643</v>
      </c>
    </row>
    <row r="716">
      <c r="A716" s="290"/>
      <c r="B716" s="290" t="s">
        <v>1337</v>
      </c>
      <c r="C716" s="68" t="s">
        <v>1376</v>
      </c>
      <c r="D716" s="16" t="s">
        <v>1379</v>
      </c>
      <c r="E716" s="68" t="s">
        <v>1380</v>
      </c>
      <c r="F716" s="237">
        <v>2001.0</v>
      </c>
      <c r="G716" s="237">
        <v>2009.0</v>
      </c>
      <c r="H716" s="237">
        <v>0.0</v>
      </c>
      <c r="I716" s="36">
        <v>10.6</v>
      </c>
      <c r="J716" s="303">
        <v>1.0</v>
      </c>
      <c r="K716" s="36">
        <v>10.6</v>
      </c>
      <c r="L716" s="237">
        <v>0.0</v>
      </c>
      <c r="M716" s="237">
        <v>0.0</v>
      </c>
      <c r="N716" s="237">
        <v>5.0</v>
      </c>
      <c r="O716" s="239">
        <v>110.0</v>
      </c>
      <c r="P716" s="237" t="s">
        <v>74</v>
      </c>
      <c r="Q716" s="304">
        <v>611.0</v>
      </c>
      <c r="R716" s="237" t="s">
        <v>52</v>
      </c>
      <c r="S716" s="237">
        <v>2005.0</v>
      </c>
      <c r="T716" s="237">
        <v>1.3</v>
      </c>
      <c r="U716" s="75">
        <f t="shared" si="91"/>
        <v>794.3</v>
      </c>
      <c r="V716" s="24">
        <f t="shared" si="3"/>
        <v>74.93396226</v>
      </c>
      <c r="W716" s="3">
        <f t="shared" si="29"/>
        <v>1</v>
      </c>
      <c r="X716" s="3">
        <f t="shared" si="30"/>
        <v>10.6</v>
      </c>
      <c r="Y716" s="3">
        <f t="shared" si="31"/>
        <v>10.6</v>
      </c>
      <c r="Z716" s="25">
        <f t="shared" si="32"/>
        <v>0</v>
      </c>
      <c r="AA716" s="26">
        <f>VLOOKUP(S716,CPI!$A$2:$E$67,5,0)</f>
        <v>1.560174091</v>
      </c>
      <c r="AB716" s="27">
        <f t="shared" si="8"/>
        <v>1239.246281</v>
      </c>
      <c r="AC716" s="27">
        <f t="shared" si="9"/>
        <v>116.9100265</v>
      </c>
    </row>
    <row r="717">
      <c r="A717" s="309">
        <v>9793.0</v>
      </c>
      <c r="B717" s="310" t="s">
        <v>1337</v>
      </c>
      <c r="C717" s="310" t="s">
        <v>1376</v>
      </c>
      <c r="D717" s="306" t="s">
        <v>57</v>
      </c>
      <c r="E717" s="306" t="s">
        <v>1382</v>
      </c>
      <c r="F717" s="302">
        <v>1999.0</v>
      </c>
      <c r="G717" s="302">
        <v>2021.0</v>
      </c>
      <c r="H717" s="311">
        <v>0.0</v>
      </c>
      <c r="I717" s="302">
        <v>4.3</v>
      </c>
      <c r="J717" s="307">
        <v>1.0</v>
      </c>
      <c r="K717" s="302">
        <v>4.3</v>
      </c>
      <c r="L717" s="312">
        <v>0.0</v>
      </c>
      <c r="M717" s="312">
        <v>0.0</v>
      </c>
      <c r="N717" s="302">
        <v>5.0</v>
      </c>
      <c r="O717" s="302">
        <v>110.0</v>
      </c>
      <c r="P717" s="306" t="s">
        <v>60</v>
      </c>
      <c r="Q717" s="308">
        <v>1748.0</v>
      </c>
      <c r="R717" s="310" t="s">
        <v>52</v>
      </c>
      <c r="S717" s="311">
        <v>2017.0</v>
      </c>
      <c r="T717" s="311">
        <v>1.3</v>
      </c>
      <c r="U717" s="311">
        <f t="shared" si="91"/>
        <v>2272.4</v>
      </c>
      <c r="V717" s="24">
        <f t="shared" si="3"/>
        <v>528.4651163</v>
      </c>
      <c r="W717" s="3">
        <f t="shared" si="29"/>
        <v>1</v>
      </c>
      <c r="X717" s="3">
        <f t="shared" si="30"/>
        <v>4.3</v>
      </c>
      <c r="Y717" s="3">
        <f t="shared" si="31"/>
        <v>4.3</v>
      </c>
      <c r="Z717" s="25">
        <f t="shared" si="32"/>
        <v>0</v>
      </c>
      <c r="AA717" s="26">
        <f>VLOOKUP(S717,CPI!$A$2:$E$67,5,0)</f>
        <v>1.243072781</v>
      </c>
      <c r="AB717" s="27">
        <f t="shared" si="8"/>
        <v>2824.758587</v>
      </c>
      <c r="AC717" s="27">
        <f t="shared" si="9"/>
        <v>656.9206016</v>
      </c>
    </row>
    <row r="718">
      <c r="A718" s="61">
        <v>9795.0</v>
      </c>
      <c r="B718" s="26" t="s">
        <v>1337</v>
      </c>
      <c r="C718" s="26" t="s">
        <v>1376</v>
      </c>
      <c r="D718" s="1" t="s">
        <v>57</v>
      </c>
      <c r="E718" s="63" t="s">
        <v>1383</v>
      </c>
      <c r="F718" s="25">
        <v>2002.0</v>
      </c>
      <c r="G718" s="25">
        <v>2021.0</v>
      </c>
      <c r="H718" s="25">
        <v>0.0</v>
      </c>
      <c r="I718" s="302">
        <v>3.3</v>
      </c>
      <c r="J718" s="50">
        <v>1.0</v>
      </c>
      <c r="K718" s="302">
        <v>3.3</v>
      </c>
      <c r="L718" s="51">
        <v>0.0</v>
      </c>
      <c r="M718" s="51">
        <v>0.0</v>
      </c>
      <c r="N718" s="302">
        <v>4.0</v>
      </c>
      <c r="O718" s="302">
        <v>80.0</v>
      </c>
      <c r="P718" s="310" t="s">
        <v>60</v>
      </c>
      <c r="Q718" s="308">
        <v>790.0</v>
      </c>
      <c r="R718" s="26" t="s">
        <v>52</v>
      </c>
      <c r="S718" s="25">
        <v>2011.0</v>
      </c>
      <c r="T718" s="25">
        <v>1.3</v>
      </c>
      <c r="U718" s="25">
        <f t="shared" si="91"/>
        <v>1027</v>
      </c>
      <c r="V718" s="24">
        <f t="shared" si="3"/>
        <v>311.2121212</v>
      </c>
      <c r="W718" s="3">
        <f t="shared" si="29"/>
        <v>1</v>
      </c>
      <c r="X718" s="3">
        <f t="shared" si="30"/>
        <v>3.3</v>
      </c>
      <c r="Y718" s="3">
        <f t="shared" si="31"/>
        <v>3.3</v>
      </c>
      <c r="Z718" s="25">
        <f t="shared" si="32"/>
        <v>0</v>
      </c>
      <c r="AA718" s="26">
        <f>VLOOKUP(S718,CPI!$A$2:$E$67,5,0)</f>
        <v>1.354598358</v>
      </c>
      <c r="AB718" s="27">
        <f t="shared" si="8"/>
        <v>1391.172513</v>
      </c>
      <c r="AC718" s="27">
        <f t="shared" si="9"/>
        <v>421.5674283</v>
      </c>
    </row>
    <row r="719">
      <c r="A719" s="290"/>
      <c r="B719" s="290" t="s">
        <v>1337</v>
      </c>
      <c r="C719" s="68" t="s">
        <v>1376</v>
      </c>
      <c r="D719" s="68" t="s">
        <v>1385</v>
      </c>
      <c r="E719" s="68" t="s">
        <v>1385</v>
      </c>
      <c r="F719" s="237">
        <v>1999.0</v>
      </c>
      <c r="G719" s="237">
        <v>2023.0</v>
      </c>
      <c r="H719" s="237">
        <v>0.0</v>
      </c>
      <c r="I719" s="36">
        <v>3.3</v>
      </c>
      <c r="J719" s="303">
        <v>1.0</v>
      </c>
      <c r="K719" s="36">
        <v>3.3</v>
      </c>
      <c r="L719" s="237">
        <v>0.0</v>
      </c>
      <c r="M719" s="237">
        <v>0.0</v>
      </c>
      <c r="N719" s="237">
        <v>4.0</v>
      </c>
      <c r="O719" s="239">
        <v>110.0</v>
      </c>
      <c r="P719" s="237" t="s">
        <v>74</v>
      </c>
      <c r="Q719" s="304">
        <v>391.0</v>
      </c>
      <c r="R719" s="237" t="s">
        <v>52</v>
      </c>
      <c r="S719" s="237">
        <v>2010.0</v>
      </c>
      <c r="T719" s="237">
        <v>1.3</v>
      </c>
      <c r="U719" s="75">
        <f t="shared" si="91"/>
        <v>508.3</v>
      </c>
      <c r="V719" s="24">
        <f t="shared" si="3"/>
        <v>154.030303</v>
      </c>
      <c r="W719" s="3">
        <f t="shared" si="29"/>
        <v>1</v>
      </c>
      <c r="X719" s="3">
        <f t="shared" si="30"/>
        <v>3.3</v>
      </c>
      <c r="Y719" s="3">
        <f t="shared" si="31"/>
        <v>3.3</v>
      </c>
      <c r="Z719" s="25">
        <f t="shared" si="32"/>
        <v>0</v>
      </c>
      <c r="AA719" s="26">
        <f>VLOOKUP(S719,CPI!$A$2:$E$67,5,0)</f>
        <v>1.397356642</v>
      </c>
      <c r="AB719" s="27">
        <f t="shared" si="8"/>
        <v>710.2763813</v>
      </c>
      <c r="AC719" s="27">
        <f t="shared" si="9"/>
        <v>215.2352671</v>
      </c>
    </row>
    <row r="720">
      <c r="A720" s="61">
        <v>9794.0</v>
      </c>
      <c r="B720" s="26" t="s">
        <v>1337</v>
      </c>
      <c r="C720" s="26" t="s">
        <v>1376</v>
      </c>
      <c r="D720" s="1" t="s">
        <v>57</v>
      </c>
      <c r="E720" s="26" t="s">
        <v>1386</v>
      </c>
      <c r="F720" s="25">
        <v>2014.0</v>
      </c>
      <c r="G720" s="25">
        <v>2024.0</v>
      </c>
      <c r="H720" s="25">
        <v>0.0</v>
      </c>
      <c r="I720" s="25">
        <v>3.5</v>
      </c>
      <c r="J720" s="50">
        <v>1.0</v>
      </c>
      <c r="K720" s="25">
        <v>3.5</v>
      </c>
      <c r="L720" s="51">
        <v>0.0</v>
      </c>
      <c r="M720" s="51">
        <v>0.0</v>
      </c>
      <c r="N720" s="25">
        <v>4.0</v>
      </c>
      <c r="O720" s="302">
        <v>110.0</v>
      </c>
      <c r="P720" s="306" t="s">
        <v>60</v>
      </c>
      <c r="Q720" s="308">
        <v>652.0</v>
      </c>
      <c r="R720" s="26" t="s">
        <v>52</v>
      </c>
      <c r="S720" s="25">
        <v>2019.0</v>
      </c>
      <c r="T720" s="25">
        <v>1.3</v>
      </c>
      <c r="U720" s="25">
        <f t="shared" si="91"/>
        <v>847.6</v>
      </c>
      <c r="V720" s="24">
        <f t="shared" si="3"/>
        <v>242.1714286</v>
      </c>
      <c r="W720" s="3">
        <f t="shared" si="29"/>
        <v>1</v>
      </c>
      <c r="X720" s="3">
        <f t="shared" si="30"/>
        <v>3.5</v>
      </c>
      <c r="Y720" s="3">
        <f t="shared" si="31"/>
        <v>3.5</v>
      </c>
      <c r="Z720" s="25">
        <f t="shared" si="32"/>
        <v>0</v>
      </c>
      <c r="AA720" s="26">
        <f>VLOOKUP(S720,CPI!$A$2:$E$67,5,0)</f>
        <v>1.191839066</v>
      </c>
      <c r="AB720" s="27">
        <f t="shared" si="8"/>
        <v>1010.202792</v>
      </c>
      <c r="AC720" s="27">
        <f t="shared" si="9"/>
        <v>288.6293691</v>
      </c>
    </row>
    <row r="721">
      <c r="A721" s="38">
        <v>7257.0</v>
      </c>
      <c r="B721" s="26" t="s">
        <v>1337</v>
      </c>
      <c r="C721" s="26" t="s">
        <v>1388</v>
      </c>
      <c r="D721" s="1" t="s">
        <v>983</v>
      </c>
      <c r="E721" s="26" t="s">
        <v>1389</v>
      </c>
      <c r="F721" s="25">
        <v>2007.0</v>
      </c>
      <c r="G721" s="25">
        <v>2013.0</v>
      </c>
      <c r="H721" s="25">
        <v>0.0</v>
      </c>
      <c r="I721" s="25">
        <v>2.8</v>
      </c>
      <c r="J721" s="50">
        <v>1.0</v>
      </c>
      <c r="K721" s="25">
        <v>2.8</v>
      </c>
      <c r="L721" s="51">
        <v>0.0</v>
      </c>
      <c r="M721" s="51">
        <v>0.0</v>
      </c>
      <c r="N721" s="25">
        <v>4.0</v>
      </c>
      <c r="O721" s="25"/>
      <c r="P721" s="26" t="s">
        <v>60</v>
      </c>
      <c r="Q721" s="52">
        <v>399.0</v>
      </c>
      <c r="R721" s="26" t="s">
        <v>52</v>
      </c>
      <c r="S721" s="25">
        <v>2010.0</v>
      </c>
      <c r="T721" s="25">
        <v>1.3</v>
      </c>
      <c r="U721" s="25">
        <f t="shared" si="91"/>
        <v>518.7</v>
      </c>
      <c r="V721" s="24">
        <f t="shared" si="3"/>
        <v>185.25</v>
      </c>
      <c r="W721" s="3">
        <f t="shared" si="29"/>
        <v>1</v>
      </c>
      <c r="X721" s="3">
        <f t="shared" si="30"/>
        <v>2.8</v>
      </c>
      <c r="Y721" s="3">
        <f t="shared" si="31"/>
        <v>2.8</v>
      </c>
      <c r="Z721" s="25">
        <f t="shared" si="32"/>
        <v>0</v>
      </c>
      <c r="AA721" s="26">
        <f>VLOOKUP(S721,CPI!$A$2:$E$67,5,0)</f>
        <v>1.397356642</v>
      </c>
      <c r="AB721" s="27">
        <f t="shared" si="8"/>
        <v>724.8088904</v>
      </c>
      <c r="AC721" s="27">
        <f t="shared" si="9"/>
        <v>258.860318</v>
      </c>
    </row>
    <row r="722">
      <c r="A722" s="38">
        <v>7258.0</v>
      </c>
      <c r="B722" s="26" t="s">
        <v>1337</v>
      </c>
      <c r="C722" s="26" t="s">
        <v>1388</v>
      </c>
      <c r="D722" s="1" t="s">
        <v>983</v>
      </c>
      <c r="E722" s="26" t="s">
        <v>1391</v>
      </c>
      <c r="F722" s="25">
        <v>2007.0</v>
      </c>
      <c r="G722" s="25">
        <v>2013.0</v>
      </c>
      <c r="H722" s="25">
        <v>0.0</v>
      </c>
      <c r="I722" s="302">
        <v>7.6</v>
      </c>
      <c r="J722" s="50">
        <v>1.0</v>
      </c>
      <c r="K722" s="302">
        <v>7.6</v>
      </c>
      <c r="L722" s="51">
        <v>0.0</v>
      </c>
      <c r="M722" s="51">
        <v>0.0</v>
      </c>
      <c r="N722" s="25">
        <v>9.0</v>
      </c>
      <c r="O722" s="302">
        <v>110.0</v>
      </c>
      <c r="P722" s="306" t="s">
        <v>60</v>
      </c>
      <c r="Q722" s="308">
        <v>1206.0</v>
      </c>
      <c r="R722" s="26" t="s">
        <v>52</v>
      </c>
      <c r="S722" s="25">
        <v>2010.0</v>
      </c>
      <c r="T722" s="25">
        <v>1.3</v>
      </c>
      <c r="U722" s="25">
        <f t="shared" si="91"/>
        <v>1567.8</v>
      </c>
      <c r="V722" s="24">
        <f t="shared" si="3"/>
        <v>206.2894737</v>
      </c>
      <c r="W722" s="3">
        <f t="shared" si="29"/>
        <v>1</v>
      </c>
      <c r="X722" s="3">
        <f t="shared" si="30"/>
        <v>7.6</v>
      </c>
      <c r="Y722" s="3">
        <f t="shared" si="31"/>
        <v>7.6</v>
      </c>
      <c r="Z722" s="25">
        <f t="shared" si="32"/>
        <v>0</v>
      </c>
      <c r="AA722" s="26">
        <f>VLOOKUP(S722,CPI!$A$2:$E$67,5,0)</f>
        <v>1.397356642</v>
      </c>
      <c r="AB722" s="27">
        <f t="shared" si="8"/>
        <v>2190.775744</v>
      </c>
      <c r="AC722" s="27">
        <f t="shared" si="9"/>
        <v>288.2599663</v>
      </c>
    </row>
    <row r="723">
      <c r="A723" s="38">
        <v>7256.0</v>
      </c>
      <c r="B723" s="26" t="s">
        <v>1337</v>
      </c>
      <c r="C723" s="26" t="s">
        <v>1388</v>
      </c>
      <c r="D723" s="16" t="s">
        <v>1392</v>
      </c>
      <c r="E723" s="26" t="s">
        <v>1393</v>
      </c>
      <c r="F723" s="302">
        <v>2005.0</v>
      </c>
      <c r="G723" s="311">
        <v>2015.0</v>
      </c>
      <c r="H723" s="25">
        <v>0.0</v>
      </c>
      <c r="I723" s="302">
        <v>4.7</v>
      </c>
      <c r="J723" s="50">
        <v>1.0</v>
      </c>
      <c r="K723" s="302">
        <v>4.7</v>
      </c>
      <c r="L723" s="51">
        <v>0.0</v>
      </c>
      <c r="M723" s="51">
        <v>0.0</v>
      </c>
      <c r="N723" s="25">
        <v>3.0</v>
      </c>
      <c r="O723" s="302">
        <v>150.0</v>
      </c>
      <c r="P723" s="306" t="s">
        <v>60</v>
      </c>
      <c r="Q723" s="308">
        <v>761.0</v>
      </c>
      <c r="R723" s="26" t="s">
        <v>52</v>
      </c>
      <c r="S723" s="25">
        <v>2012.0</v>
      </c>
      <c r="T723" s="25">
        <v>1.3</v>
      </c>
      <c r="U723" s="25">
        <f t="shared" si="91"/>
        <v>989.3</v>
      </c>
      <c r="V723" s="24">
        <f t="shared" si="3"/>
        <v>210.4893617</v>
      </c>
      <c r="W723" s="3">
        <f t="shared" si="29"/>
        <v>1</v>
      </c>
      <c r="X723" s="3">
        <f t="shared" si="30"/>
        <v>4.7</v>
      </c>
      <c r="Y723" s="3">
        <f t="shared" si="31"/>
        <v>4.7</v>
      </c>
      <c r="Z723" s="25">
        <f t="shared" si="32"/>
        <v>0</v>
      </c>
      <c r="AA723" s="26">
        <f>VLOOKUP(S723,CPI!$A$2:$E$67,5,0)</f>
        <v>1.327133984</v>
      </c>
      <c r="AB723" s="27">
        <f t="shared" si="8"/>
        <v>1312.933651</v>
      </c>
      <c r="AC723" s="27">
        <f t="shared" si="9"/>
        <v>279.3475853</v>
      </c>
    </row>
    <row r="724">
      <c r="A724" s="38">
        <v>7259.0</v>
      </c>
      <c r="B724" s="26" t="s">
        <v>1337</v>
      </c>
      <c r="C724" s="26" t="s">
        <v>1388</v>
      </c>
      <c r="D724" s="1" t="s">
        <v>983</v>
      </c>
      <c r="E724" s="26" t="s">
        <v>1395</v>
      </c>
      <c r="F724" s="25">
        <v>2013.0</v>
      </c>
      <c r="G724" s="25">
        <v>2023.0</v>
      </c>
      <c r="H724" s="25">
        <v>0.0</v>
      </c>
      <c r="I724" s="302">
        <v>2.7</v>
      </c>
      <c r="J724" s="50">
        <v>1.0</v>
      </c>
      <c r="K724" s="302">
        <v>2.7</v>
      </c>
      <c r="L724" s="51">
        <v>0.0</v>
      </c>
      <c r="M724" s="51">
        <v>0.0</v>
      </c>
      <c r="N724" s="25">
        <v>2.0</v>
      </c>
      <c r="O724" s="302">
        <v>110.0</v>
      </c>
      <c r="P724" s="310" t="s">
        <v>60</v>
      </c>
      <c r="Q724" s="308">
        <v>861.0</v>
      </c>
      <c r="R724" s="26" t="s">
        <v>52</v>
      </c>
      <c r="S724" s="25">
        <v>2018.0</v>
      </c>
      <c r="T724" s="25">
        <v>1.3</v>
      </c>
      <c r="U724" s="25">
        <f t="shared" si="91"/>
        <v>1119.3</v>
      </c>
      <c r="V724" s="24">
        <f t="shared" si="3"/>
        <v>414.5555556</v>
      </c>
      <c r="W724" s="3">
        <f t="shared" si="29"/>
        <v>1</v>
      </c>
      <c r="X724" s="3">
        <f t="shared" si="30"/>
        <v>2.7</v>
      </c>
      <c r="Y724" s="3">
        <f t="shared" si="31"/>
        <v>2.7</v>
      </c>
      <c r="Z724" s="25">
        <f t="shared" si="32"/>
        <v>0</v>
      </c>
      <c r="AA724" s="26">
        <f>VLOOKUP(S724,CPI!$A$2:$E$67,5,0)</f>
        <v>1.21343491</v>
      </c>
      <c r="AB724" s="27">
        <f t="shared" si="8"/>
        <v>1358.197695</v>
      </c>
      <c r="AC724" s="27">
        <f t="shared" si="9"/>
        <v>503.0361833</v>
      </c>
    </row>
    <row r="725">
      <c r="A725" s="38">
        <v>7208.0</v>
      </c>
      <c r="B725" s="26" t="s">
        <v>1337</v>
      </c>
      <c r="C725" s="26" t="s">
        <v>1396</v>
      </c>
      <c r="D725" s="63" t="s">
        <v>57</v>
      </c>
      <c r="E725" s="26" t="s">
        <v>1397</v>
      </c>
      <c r="F725" s="25">
        <v>2000.0</v>
      </c>
      <c r="G725" s="25">
        <v>2011.0</v>
      </c>
      <c r="H725" s="25">
        <v>0.0</v>
      </c>
      <c r="I725" s="25">
        <v>13.2</v>
      </c>
      <c r="J725" s="50">
        <v>1.0</v>
      </c>
      <c r="K725" s="25">
        <v>13.2</v>
      </c>
      <c r="L725" s="51">
        <v>0.0</v>
      </c>
      <c r="M725" s="51">
        <v>0.0</v>
      </c>
      <c r="N725" s="25">
        <v>21.0</v>
      </c>
      <c r="O725" s="302">
        <v>55.0</v>
      </c>
      <c r="P725" s="306" t="s">
        <v>60</v>
      </c>
      <c r="Q725" s="308">
        <v>1138.0</v>
      </c>
      <c r="R725" s="26" t="s">
        <v>52</v>
      </c>
      <c r="S725" s="25">
        <v>2005.0</v>
      </c>
      <c r="T725" s="25">
        <v>1.25</v>
      </c>
      <c r="U725" s="25">
        <f t="shared" si="91"/>
        <v>1422.5</v>
      </c>
      <c r="V725" s="24">
        <f t="shared" si="3"/>
        <v>107.7651515</v>
      </c>
      <c r="W725" s="3">
        <f t="shared" si="29"/>
        <v>1</v>
      </c>
      <c r="X725" s="3">
        <f t="shared" si="30"/>
        <v>13.2</v>
      </c>
      <c r="Y725" s="3">
        <f t="shared" si="31"/>
        <v>13.2</v>
      </c>
      <c r="Z725" s="25">
        <f t="shared" si="32"/>
        <v>0</v>
      </c>
      <c r="AA725" s="26">
        <f>VLOOKUP(S725,CPI!$A$2:$E$67,5,0)</f>
        <v>1.560174091</v>
      </c>
      <c r="AB725" s="27">
        <f t="shared" si="8"/>
        <v>2219.347645</v>
      </c>
      <c r="AC725" s="27">
        <f t="shared" si="9"/>
        <v>168.1323973</v>
      </c>
    </row>
    <row r="726">
      <c r="A726" s="38">
        <v>7209.0</v>
      </c>
      <c r="B726" s="26" t="s">
        <v>1337</v>
      </c>
      <c r="C726" s="26" t="s">
        <v>1396</v>
      </c>
      <c r="D726" s="63" t="s">
        <v>57</v>
      </c>
      <c r="E726" s="26" t="s">
        <v>1399</v>
      </c>
      <c r="F726" s="25">
        <v>2012.0</v>
      </c>
      <c r="G726" s="25">
        <v>2021.0</v>
      </c>
      <c r="H726" s="25">
        <v>0.0</v>
      </c>
      <c r="I726" s="25">
        <v>1.9</v>
      </c>
      <c r="J726" s="50">
        <v>1.0</v>
      </c>
      <c r="K726" s="25">
        <v>1.9</v>
      </c>
      <c r="L726" s="51">
        <v>0.0</v>
      </c>
      <c r="M726" s="51">
        <v>0.0</v>
      </c>
      <c r="N726" s="25">
        <v>2.0</v>
      </c>
      <c r="O726" s="302">
        <v>55.0</v>
      </c>
      <c r="P726" s="306" t="s">
        <v>60</v>
      </c>
      <c r="Q726" s="308">
        <v>189.0</v>
      </c>
      <c r="R726" s="26" t="s">
        <v>52</v>
      </c>
      <c r="S726" s="25">
        <v>2016.0</v>
      </c>
      <c r="T726" s="25">
        <v>1.3</v>
      </c>
      <c r="U726" s="25">
        <f t="shared" si="91"/>
        <v>245.7</v>
      </c>
      <c r="V726" s="24">
        <f t="shared" si="3"/>
        <v>129.3157895</v>
      </c>
      <c r="W726" s="3">
        <f t="shared" si="29"/>
        <v>1</v>
      </c>
      <c r="X726" s="3">
        <f t="shared" si="30"/>
        <v>1.9</v>
      </c>
      <c r="Y726" s="3">
        <f t="shared" si="31"/>
        <v>1.9</v>
      </c>
      <c r="Z726" s="25">
        <f t="shared" si="32"/>
        <v>0</v>
      </c>
      <c r="AA726" s="26">
        <f>VLOOKUP(S726,CPI!$A$2:$E$67,5,0)</f>
        <v>1.269554638</v>
      </c>
      <c r="AB726" s="27">
        <f t="shared" si="8"/>
        <v>311.9295746</v>
      </c>
      <c r="AC726" s="27">
        <f t="shared" si="9"/>
        <v>164.1734603</v>
      </c>
    </row>
    <row r="727">
      <c r="A727" s="38">
        <v>7210.0</v>
      </c>
      <c r="B727" s="26" t="s">
        <v>1337</v>
      </c>
      <c r="C727" s="26" t="s">
        <v>1396</v>
      </c>
      <c r="D727" s="63" t="s">
        <v>57</v>
      </c>
      <c r="E727" s="26" t="s">
        <v>1400</v>
      </c>
      <c r="F727" s="25">
        <v>2018.0</v>
      </c>
      <c r="G727" s="25">
        <v>2024.0</v>
      </c>
      <c r="H727" s="25">
        <v>0.0</v>
      </c>
      <c r="I727" s="25">
        <v>3.4</v>
      </c>
      <c r="J727" s="50">
        <v>1.0</v>
      </c>
      <c r="K727" s="25">
        <v>3.4</v>
      </c>
      <c r="L727" s="51">
        <v>0.0</v>
      </c>
      <c r="M727" s="51">
        <v>0.0</v>
      </c>
      <c r="N727" s="25">
        <v>4.0</v>
      </c>
      <c r="O727" s="302">
        <v>55.0</v>
      </c>
      <c r="P727" s="306" t="s">
        <v>60</v>
      </c>
      <c r="Q727" s="308">
        <v>340.0</v>
      </c>
      <c r="R727" s="26" t="s">
        <v>52</v>
      </c>
      <c r="S727" s="25">
        <v>2020.0</v>
      </c>
      <c r="T727" s="25">
        <v>1.3</v>
      </c>
      <c r="U727" s="25">
        <f t="shared" si="91"/>
        <v>442</v>
      </c>
      <c r="V727" s="24">
        <f t="shared" si="3"/>
        <v>130</v>
      </c>
      <c r="W727" s="3">
        <f t="shared" si="29"/>
        <v>1</v>
      </c>
      <c r="X727" s="3">
        <f t="shared" si="30"/>
        <v>3.4</v>
      </c>
      <c r="Y727" s="3">
        <f t="shared" si="31"/>
        <v>3.4</v>
      </c>
      <c r="Z727" s="25">
        <f t="shared" si="32"/>
        <v>0</v>
      </c>
      <c r="AA727" s="26">
        <f>VLOOKUP(S727,CPI!$A$2:$E$67,5,0)</f>
        <v>1.17731472</v>
      </c>
      <c r="AB727" s="27">
        <f t="shared" si="8"/>
        <v>520.3731062</v>
      </c>
      <c r="AC727" s="27">
        <f t="shared" si="9"/>
        <v>153.0509136</v>
      </c>
    </row>
    <row r="728">
      <c r="A728" s="61">
        <v>9796.0</v>
      </c>
      <c r="B728" s="26" t="s">
        <v>1337</v>
      </c>
      <c r="C728" s="26" t="s">
        <v>1396</v>
      </c>
      <c r="D728" s="16" t="s">
        <v>54</v>
      </c>
      <c r="E728" s="63" t="s">
        <v>1401</v>
      </c>
      <c r="F728" s="25">
        <v>2024.0</v>
      </c>
      <c r="G728" s="58">
        <v>2030.0</v>
      </c>
      <c r="H728" s="25">
        <v>0.0</v>
      </c>
      <c r="I728" s="302">
        <v>9.4</v>
      </c>
      <c r="J728" s="50">
        <v>1.0</v>
      </c>
      <c r="K728" s="302">
        <v>9.4</v>
      </c>
      <c r="L728" s="51">
        <v>0.0</v>
      </c>
      <c r="M728" s="51">
        <v>0.0</v>
      </c>
      <c r="N728" s="25">
        <v>13.0</v>
      </c>
      <c r="O728" s="302">
        <v>60.0</v>
      </c>
      <c r="P728" s="306" t="s">
        <v>60</v>
      </c>
      <c r="Q728" s="308">
        <v>1828.0</v>
      </c>
      <c r="R728" s="26" t="s">
        <v>52</v>
      </c>
      <c r="S728" s="25">
        <v>2020.0</v>
      </c>
      <c r="T728" s="25">
        <v>1.3</v>
      </c>
      <c r="U728" s="25">
        <f t="shared" si="91"/>
        <v>2376.4</v>
      </c>
      <c r="V728" s="24">
        <f t="shared" si="3"/>
        <v>252.8085106</v>
      </c>
      <c r="W728" s="3">
        <f t="shared" si="29"/>
        <v>1</v>
      </c>
      <c r="X728" s="3">
        <f t="shared" si="30"/>
        <v>9.4</v>
      </c>
      <c r="Y728" s="3">
        <f t="shared" si="31"/>
        <v>9.4</v>
      </c>
      <c r="Z728" s="25">
        <f t="shared" si="32"/>
        <v>0</v>
      </c>
      <c r="AA728" s="26">
        <f>VLOOKUP(S728,CPI!$A$2:$E$67,5,0)</f>
        <v>1.17731472</v>
      </c>
      <c r="AB728" s="27">
        <f t="shared" si="8"/>
        <v>2797.770701</v>
      </c>
      <c r="AC728" s="27">
        <f t="shared" si="9"/>
        <v>297.6351809</v>
      </c>
    </row>
    <row r="729">
      <c r="A729" s="38">
        <v>7523.0</v>
      </c>
      <c r="B729" s="26" t="s">
        <v>1403</v>
      </c>
      <c r="C729" s="26" t="s">
        <v>1404</v>
      </c>
      <c r="D729" s="1" t="s">
        <v>1405</v>
      </c>
      <c r="E729" s="26" t="s">
        <v>1406</v>
      </c>
      <c r="F729" s="25">
        <v>2014.0</v>
      </c>
      <c r="G729" s="25">
        <v>2022.0</v>
      </c>
      <c r="H729" s="25">
        <v>0.0</v>
      </c>
      <c r="I729" s="25">
        <v>1.6</v>
      </c>
      <c r="J729" s="50">
        <v>1.0</v>
      </c>
      <c r="K729" s="25">
        <v>1.6</v>
      </c>
      <c r="L729" s="51">
        <v>0.0</v>
      </c>
      <c r="M729" s="51">
        <v>0.0</v>
      </c>
      <c r="N729" s="25">
        <v>2.0</v>
      </c>
      <c r="O729" s="25"/>
      <c r="P729" s="26" t="s">
        <v>74</v>
      </c>
      <c r="Q729" s="52">
        <v>58700.0</v>
      </c>
      <c r="R729" s="26" t="s">
        <v>1407</v>
      </c>
      <c r="S729" s="25">
        <v>2018.0</v>
      </c>
      <c r="T729" s="25">
        <v>0.01</v>
      </c>
      <c r="U729" s="25">
        <f t="shared" si="91"/>
        <v>587</v>
      </c>
      <c r="V729" s="24">
        <f t="shared" si="3"/>
        <v>366.875</v>
      </c>
      <c r="W729" s="3">
        <f t="shared" si="29"/>
        <v>0</v>
      </c>
      <c r="X729" s="3">
        <f t="shared" si="30"/>
        <v>0</v>
      </c>
      <c r="Y729" s="3">
        <f t="shared" si="31"/>
        <v>0</v>
      </c>
      <c r="Z729" s="25">
        <f t="shared" si="32"/>
        <v>0</v>
      </c>
      <c r="AA729" s="26">
        <f>VLOOKUP(S729,CPI!$A$2:$E$67,5,0)</f>
        <v>1.21343491</v>
      </c>
      <c r="AB729" s="27">
        <f t="shared" si="8"/>
        <v>712.2862923</v>
      </c>
      <c r="AC729" s="27">
        <f t="shared" si="9"/>
        <v>445.1789327</v>
      </c>
    </row>
    <row r="730">
      <c r="A730" s="61">
        <v>9801.0</v>
      </c>
      <c r="B730" s="26" t="s">
        <v>1403</v>
      </c>
      <c r="C730" s="26" t="s">
        <v>1409</v>
      </c>
      <c r="D730" s="26" t="s">
        <v>1410</v>
      </c>
      <c r="E730" s="26" t="s">
        <v>1410</v>
      </c>
      <c r="F730" s="25">
        <v>2003.0</v>
      </c>
      <c r="G730" s="25">
        <v>2009.0</v>
      </c>
      <c r="H730" s="25">
        <v>1.0</v>
      </c>
      <c r="I730" s="25">
        <v>3.8</v>
      </c>
      <c r="J730" s="50">
        <v>1.0</v>
      </c>
      <c r="K730" s="25">
        <v>3.8</v>
      </c>
      <c r="L730" s="51">
        <v>0.0</v>
      </c>
      <c r="M730" s="51">
        <v>0.0</v>
      </c>
      <c r="N730" s="25">
        <v>3.0</v>
      </c>
      <c r="O730" s="25"/>
      <c r="P730" s="26" t="s">
        <v>74</v>
      </c>
      <c r="Q730" s="52">
        <v>127500.0</v>
      </c>
      <c r="R730" s="26" t="s">
        <v>1407</v>
      </c>
      <c r="S730" s="25">
        <v>2006.0</v>
      </c>
      <c r="T730" s="25">
        <v>0.008</v>
      </c>
      <c r="U730" s="25">
        <f t="shared" si="91"/>
        <v>1020</v>
      </c>
      <c r="V730" s="24">
        <f t="shared" si="3"/>
        <v>268.4210526</v>
      </c>
      <c r="W730" s="3">
        <f t="shared" si="29"/>
        <v>0</v>
      </c>
      <c r="X730" s="3">
        <f t="shared" si="30"/>
        <v>0</v>
      </c>
      <c r="Y730" s="3">
        <f t="shared" si="31"/>
        <v>0</v>
      </c>
      <c r="Z730" s="25">
        <f t="shared" si="32"/>
        <v>0</v>
      </c>
      <c r="AA730" s="26">
        <f>VLOOKUP(S730,CPI!$A$2:$E$67,5,0)</f>
        <v>1.511418651</v>
      </c>
      <c r="AB730" s="27">
        <f t="shared" si="8"/>
        <v>1541.647024</v>
      </c>
      <c r="AC730" s="27">
        <f t="shared" si="9"/>
        <v>405.6965852</v>
      </c>
    </row>
    <row r="731">
      <c r="A731" s="38">
        <v>7504.0</v>
      </c>
      <c r="B731" s="26" t="s">
        <v>1403</v>
      </c>
      <c r="C731" s="26" t="s">
        <v>1409</v>
      </c>
      <c r="D731" s="26" t="s">
        <v>1412</v>
      </c>
      <c r="E731" s="26" t="s">
        <v>1412</v>
      </c>
      <c r="F731" s="25">
        <v>1999.0</v>
      </c>
      <c r="G731" s="25">
        <v>2019.0</v>
      </c>
      <c r="H731" s="25">
        <v>1.0</v>
      </c>
      <c r="I731" s="25">
        <v>20.3</v>
      </c>
      <c r="J731" s="50">
        <v>0.0</v>
      </c>
      <c r="K731" s="25">
        <v>0.0</v>
      </c>
      <c r="L731" s="51">
        <v>0.0</v>
      </c>
      <c r="M731" s="51">
        <v>0.0</v>
      </c>
      <c r="N731" s="25">
        <v>0.0</v>
      </c>
      <c r="O731" s="25"/>
      <c r="P731" s="26" t="s">
        <v>60</v>
      </c>
      <c r="Q731" s="52">
        <v>120000.0</v>
      </c>
      <c r="R731" s="26" t="s">
        <v>1407</v>
      </c>
      <c r="S731" s="25">
        <v>2009.0</v>
      </c>
      <c r="T731" s="25">
        <v>0.0087</v>
      </c>
      <c r="U731" s="25">
        <f t="shared" si="91"/>
        <v>1044</v>
      </c>
      <c r="V731" s="24">
        <f t="shared" si="3"/>
        <v>51.42857143</v>
      </c>
      <c r="W731" s="3">
        <f t="shared" si="29"/>
        <v>0</v>
      </c>
      <c r="X731" s="3">
        <f t="shared" si="30"/>
        <v>0</v>
      </c>
      <c r="Y731" s="3">
        <f t="shared" si="31"/>
        <v>0</v>
      </c>
      <c r="Z731" s="25">
        <f t="shared" si="32"/>
        <v>0</v>
      </c>
      <c r="AA731" s="26">
        <f>VLOOKUP(S731,CPI!$A$2:$E$67,5,0)</f>
        <v>1.420277155</v>
      </c>
      <c r="AB731" s="27">
        <f t="shared" si="8"/>
        <v>1482.76935</v>
      </c>
      <c r="AC731" s="27">
        <f t="shared" si="9"/>
        <v>73.04282511</v>
      </c>
    </row>
    <row r="732">
      <c r="A732" s="38">
        <v>7499.0</v>
      </c>
      <c r="B732" s="26" t="s">
        <v>1403</v>
      </c>
      <c r="C732" s="26" t="s">
        <v>1409</v>
      </c>
      <c r="D732" s="1" t="s">
        <v>1414</v>
      </c>
      <c r="E732" s="26" t="s">
        <v>1415</v>
      </c>
      <c r="F732" s="25">
        <v>2015.0</v>
      </c>
      <c r="G732" s="25">
        <v>2023.0</v>
      </c>
      <c r="H732" s="25">
        <v>1.0</v>
      </c>
      <c r="I732" s="25">
        <v>2.4</v>
      </c>
      <c r="J732" s="50">
        <v>1.0</v>
      </c>
      <c r="K732" s="25">
        <v>2.4</v>
      </c>
      <c r="L732" s="51">
        <v>0.0</v>
      </c>
      <c r="M732" s="51">
        <v>0.0</v>
      </c>
      <c r="N732" s="25">
        <v>1.0</v>
      </c>
      <c r="O732" s="25"/>
      <c r="P732" s="26" t="s">
        <v>60</v>
      </c>
      <c r="Q732" s="52">
        <v>69000.0</v>
      </c>
      <c r="R732" s="26" t="s">
        <v>1407</v>
      </c>
      <c r="S732" s="25">
        <v>2019.0</v>
      </c>
      <c r="T732" s="25">
        <v>0.01</v>
      </c>
      <c r="U732" s="25">
        <f t="shared" si="91"/>
        <v>690</v>
      </c>
      <c r="V732" s="24">
        <f t="shared" si="3"/>
        <v>287.5</v>
      </c>
      <c r="W732" s="3">
        <f t="shared" si="29"/>
        <v>0</v>
      </c>
      <c r="X732" s="3">
        <f t="shared" si="30"/>
        <v>0</v>
      </c>
      <c r="Y732" s="3">
        <f t="shared" si="31"/>
        <v>0</v>
      </c>
      <c r="Z732" s="25">
        <f t="shared" si="32"/>
        <v>0</v>
      </c>
      <c r="AA732" s="26">
        <f>VLOOKUP(S732,CPI!$A$2:$E$67,5,0)</f>
        <v>1.191839066</v>
      </c>
      <c r="AB732" s="27">
        <f t="shared" si="8"/>
        <v>822.3689553</v>
      </c>
      <c r="AC732" s="27">
        <f t="shared" si="9"/>
        <v>342.6537314</v>
      </c>
    </row>
    <row r="733">
      <c r="A733" s="38">
        <v>7505.0</v>
      </c>
      <c r="B733" s="26" t="s">
        <v>1403</v>
      </c>
      <c r="C733" s="26" t="s">
        <v>1409</v>
      </c>
      <c r="D733" s="1" t="s">
        <v>1097</v>
      </c>
      <c r="E733" s="26" t="s">
        <v>1416</v>
      </c>
      <c r="F733" s="25">
        <v>2018.0</v>
      </c>
      <c r="G733" s="25">
        <v>2029.0</v>
      </c>
      <c r="H733" s="25">
        <v>0.0</v>
      </c>
      <c r="I733" s="25">
        <v>8.9</v>
      </c>
      <c r="J733" s="50">
        <v>0.0</v>
      </c>
      <c r="K733" s="25">
        <v>0.0</v>
      </c>
      <c r="L733" s="51">
        <v>0.0</v>
      </c>
      <c r="M733" s="51">
        <v>0.0</v>
      </c>
      <c r="N733" s="25">
        <v>4.0</v>
      </c>
      <c r="O733" s="25"/>
      <c r="P733" s="26" t="s">
        <v>60</v>
      </c>
      <c r="Q733" s="52">
        <v>105000.0</v>
      </c>
      <c r="R733" s="26" t="s">
        <v>1407</v>
      </c>
      <c r="S733" s="25">
        <v>2019.0</v>
      </c>
      <c r="T733" s="25">
        <v>0.01</v>
      </c>
      <c r="U733" s="25">
        <f t="shared" si="91"/>
        <v>1050</v>
      </c>
      <c r="V733" s="24">
        <f t="shared" si="3"/>
        <v>117.9775281</v>
      </c>
      <c r="W733" s="3">
        <f t="shared" si="29"/>
        <v>0</v>
      </c>
      <c r="X733" s="3">
        <f t="shared" si="30"/>
        <v>0</v>
      </c>
      <c r="Y733" s="3">
        <f t="shared" si="31"/>
        <v>0</v>
      </c>
      <c r="Z733" s="25">
        <f t="shared" si="32"/>
        <v>0</v>
      </c>
      <c r="AA733" s="26">
        <f>VLOOKUP(S733,CPI!$A$2:$E$67,5,0)</f>
        <v>1.191839066</v>
      </c>
      <c r="AB733" s="27">
        <f t="shared" si="8"/>
        <v>1251.431019</v>
      </c>
      <c r="AC733" s="27">
        <f t="shared" si="9"/>
        <v>140.6102268</v>
      </c>
    </row>
    <row r="734">
      <c r="A734" s="38">
        <v>7592.0</v>
      </c>
      <c r="B734" s="26" t="s">
        <v>1403</v>
      </c>
      <c r="C734" s="26" t="s">
        <v>1418</v>
      </c>
      <c r="D734" s="26" t="s">
        <v>1419</v>
      </c>
      <c r="E734" s="26" t="s">
        <v>1419</v>
      </c>
      <c r="F734" s="25">
        <v>1988.0</v>
      </c>
      <c r="G734" s="25">
        <v>1995.0</v>
      </c>
      <c r="H734" s="25">
        <v>0.0</v>
      </c>
      <c r="I734" s="25">
        <v>12.0</v>
      </c>
      <c r="J734" s="50">
        <v>0.0</v>
      </c>
      <c r="K734" s="25">
        <v>0.0</v>
      </c>
      <c r="L734" s="51">
        <v>0.0</v>
      </c>
      <c r="M734" s="51">
        <v>0.0</v>
      </c>
      <c r="N734" s="25">
        <v>12.0</v>
      </c>
      <c r="O734" s="25"/>
      <c r="P734" s="26" t="s">
        <v>36</v>
      </c>
      <c r="Q734" s="52">
        <v>170200.0</v>
      </c>
      <c r="R734" s="26" t="s">
        <v>1407</v>
      </c>
      <c r="S734" s="25">
        <v>1991.0</v>
      </c>
      <c r="T734" s="25">
        <v>0.0054</v>
      </c>
      <c r="U734" s="25">
        <f t="shared" si="91"/>
        <v>919.08</v>
      </c>
      <c r="V734" s="24">
        <f t="shared" si="3"/>
        <v>76.59</v>
      </c>
      <c r="W734" s="3">
        <f t="shared" si="29"/>
        <v>0</v>
      </c>
      <c r="X734" s="3">
        <f t="shared" si="30"/>
        <v>0</v>
      </c>
      <c r="Y734" s="3">
        <f t="shared" si="31"/>
        <v>0</v>
      </c>
      <c r="Z734" s="25">
        <f t="shared" si="32"/>
        <v>0</v>
      </c>
      <c r="AA734" s="26">
        <f>VLOOKUP(S734,CPI!$A$2:$E$67,5,0)</f>
        <v>2.237165932</v>
      </c>
      <c r="AB734" s="27">
        <f t="shared" si="8"/>
        <v>2056.134465</v>
      </c>
      <c r="AC734" s="27">
        <f t="shared" si="9"/>
        <v>171.3445388</v>
      </c>
    </row>
    <row r="735">
      <c r="A735" s="38">
        <v>7514.0</v>
      </c>
      <c r="B735" s="26" t="s">
        <v>1403</v>
      </c>
      <c r="C735" s="26" t="s">
        <v>1418</v>
      </c>
      <c r="D735" s="317" t="s">
        <v>1421</v>
      </c>
      <c r="E735" s="318" t="s">
        <v>1422</v>
      </c>
      <c r="F735" s="25">
        <v>1991.0</v>
      </c>
      <c r="G735" s="25">
        <v>2000.0</v>
      </c>
      <c r="H735" s="25">
        <v>0.0</v>
      </c>
      <c r="I735" s="25">
        <v>16.0</v>
      </c>
      <c r="J735" s="50">
        <v>0.0</v>
      </c>
      <c r="K735" s="25">
        <v>0.0</v>
      </c>
      <c r="L735" s="51">
        <v>0.0</v>
      </c>
      <c r="M735" s="51">
        <v>0.0</v>
      </c>
      <c r="N735" s="25">
        <v>19.0</v>
      </c>
      <c r="O735" s="25"/>
      <c r="P735" s="26" t="s">
        <v>36</v>
      </c>
      <c r="Q735" s="52">
        <v>242200.0</v>
      </c>
      <c r="R735" s="26" t="s">
        <v>1407</v>
      </c>
      <c r="S735" s="25">
        <v>1995.0</v>
      </c>
      <c r="T735" s="25">
        <v>0.006</v>
      </c>
      <c r="U735" s="25">
        <f t="shared" si="91"/>
        <v>1453.2</v>
      </c>
      <c r="V735" s="24">
        <f t="shared" si="3"/>
        <v>90.825</v>
      </c>
      <c r="W735" s="3">
        <f t="shared" si="29"/>
        <v>0</v>
      </c>
      <c r="X735" s="3">
        <f t="shared" si="30"/>
        <v>0</v>
      </c>
      <c r="Y735" s="3">
        <f t="shared" si="31"/>
        <v>0</v>
      </c>
      <c r="Z735" s="25">
        <f t="shared" si="32"/>
        <v>0</v>
      </c>
      <c r="AA735" s="26">
        <f>VLOOKUP(S735,CPI!$A$2:$E$67,5,0)</f>
        <v>1.999356955</v>
      </c>
      <c r="AB735" s="27">
        <f t="shared" si="8"/>
        <v>2905.465528</v>
      </c>
      <c r="AC735" s="27">
        <f t="shared" si="9"/>
        <v>181.5915955</v>
      </c>
    </row>
    <row r="736">
      <c r="A736" s="38">
        <v>7512.0</v>
      </c>
      <c r="B736" s="26" t="s">
        <v>1403</v>
      </c>
      <c r="C736" s="26" t="s">
        <v>1418</v>
      </c>
      <c r="D736" s="26" t="s">
        <v>1424</v>
      </c>
      <c r="E736" s="26" t="s">
        <v>1424</v>
      </c>
      <c r="F736" s="25">
        <v>1992.0</v>
      </c>
      <c r="G736" s="25">
        <v>2000.0</v>
      </c>
      <c r="H736" s="25">
        <v>0.0</v>
      </c>
      <c r="I736" s="25">
        <v>27.8</v>
      </c>
      <c r="J736" s="50">
        <v>1.0</v>
      </c>
      <c r="K736" s="25">
        <v>27.8</v>
      </c>
      <c r="L736" s="51">
        <v>0.0</v>
      </c>
      <c r="M736" s="51">
        <v>0.0</v>
      </c>
      <c r="N736" s="25">
        <v>27.0</v>
      </c>
      <c r="O736" s="25"/>
      <c r="P736" s="26" t="s">
        <v>60</v>
      </c>
      <c r="Q736" s="52">
        <v>988600.0</v>
      </c>
      <c r="R736" s="26" t="s">
        <v>1407</v>
      </c>
      <c r="S736" s="25">
        <v>1999.0</v>
      </c>
      <c r="T736" s="25">
        <v>0.0064</v>
      </c>
      <c r="U736" s="25">
        <f t="shared" si="91"/>
        <v>6327.04</v>
      </c>
      <c r="V736" s="24">
        <f t="shared" si="3"/>
        <v>227.5913669</v>
      </c>
      <c r="W736" s="3">
        <f t="shared" si="29"/>
        <v>0</v>
      </c>
      <c r="X736" s="3">
        <f t="shared" si="30"/>
        <v>0</v>
      </c>
      <c r="Y736" s="3">
        <f t="shared" si="31"/>
        <v>0</v>
      </c>
      <c r="Z736" s="25">
        <f t="shared" si="32"/>
        <v>0</v>
      </c>
      <c r="AA736" s="26">
        <f>VLOOKUP(S736,CPI!$A$2:$E$67,5,0)</f>
        <v>1.828943577</v>
      </c>
      <c r="AB736" s="27">
        <f t="shared" si="8"/>
        <v>11571.79917</v>
      </c>
      <c r="AC736" s="27">
        <f t="shared" si="9"/>
        <v>416.2517688</v>
      </c>
    </row>
    <row r="737">
      <c r="A737" s="38">
        <v>7507.0</v>
      </c>
      <c r="B737" s="26" t="s">
        <v>1403</v>
      </c>
      <c r="C737" s="26" t="s">
        <v>1418</v>
      </c>
      <c r="D737" s="26" t="s">
        <v>1426</v>
      </c>
      <c r="E737" s="26" t="s">
        <v>1426</v>
      </c>
      <c r="F737" s="25">
        <v>1993.0</v>
      </c>
      <c r="G737" s="25">
        <v>2004.0</v>
      </c>
      <c r="H737" s="25">
        <v>1.0</v>
      </c>
      <c r="I737" s="25">
        <v>4.1</v>
      </c>
      <c r="J737" s="50">
        <v>1.0</v>
      </c>
      <c r="K737" s="25">
        <v>4.1</v>
      </c>
      <c r="L737" s="51">
        <v>0.0</v>
      </c>
      <c r="M737" s="51">
        <v>0.0</v>
      </c>
      <c r="N737" s="25">
        <v>6.0</v>
      </c>
      <c r="O737" s="25"/>
      <c r="P737" s="26" t="s">
        <v>36</v>
      </c>
      <c r="Q737" s="52">
        <v>257000.0</v>
      </c>
      <c r="R737" s="26" t="s">
        <v>1407</v>
      </c>
      <c r="S737" s="25">
        <v>1998.0</v>
      </c>
      <c r="T737" s="25">
        <v>0.0063</v>
      </c>
      <c r="U737" s="25">
        <f t="shared" si="91"/>
        <v>1619.1</v>
      </c>
      <c r="V737" s="24">
        <f t="shared" si="3"/>
        <v>394.902439</v>
      </c>
      <c r="W737" s="3">
        <f t="shared" si="29"/>
        <v>0</v>
      </c>
      <c r="X737" s="3">
        <f t="shared" si="30"/>
        <v>0</v>
      </c>
      <c r="Y737" s="3">
        <f t="shared" si="31"/>
        <v>0</v>
      </c>
      <c r="Z737" s="25">
        <f t="shared" si="32"/>
        <v>0</v>
      </c>
      <c r="AA737" s="26">
        <f>VLOOKUP(S737,CPI!$A$2:$E$67,5,0)</f>
        <v>1.869337423</v>
      </c>
      <c r="AB737" s="27">
        <f t="shared" si="8"/>
        <v>3026.644222</v>
      </c>
      <c r="AC737" s="27">
        <f t="shared" si="9"/>
        <v>738.2059078</v>
      </c>
    </row>
    <row r="738">
      <c r="A738" s="38">
        <v>7531.0</v>
      </c>
      <c r="B738" s="26" t="s">
        <v>1403</v>
      </c>
      <c r="C738" s="26" t="s">
        <v>1418</v>
      </c>
      <c r="D738" s="26" t="s">
        <v>1428</v>
      </c>
      <c r="E738" s="26" t="s">
        <v>1428</v>
      </c>
      <c r="F738" s="25">
        <v>1997.0</v>
      </c>
      <c r="G738" s="25">
        <v>2005.0</v>
      </c>
      <c r="H738" s="25">
        <v>0.0</v>
      </c>
      <c r="I738" s="25">
        <v>58.3</v>
      </c>
      <c r="J738" s="50">
        <v>0.28</v>
      </c>
      <c r="K738" s="25">
        <v>16.3</v>
      </c>
      <c r="L738" s="51">
        <v>0.0</v>
      </c>
      <c r="M738" s="51">
        <v>0.0</v>
      </c>
      <c r="N738" s="25">
        <v>20.0</v>
      </c>
      <c r="O738" s="25"/>
      <c r="P738" s="26" t="s">
        <v>60</v>
      </c>
      <c r="Q738" s="52">
        <v>949400.0</v>
      </c>
      <c r="R738" s="26" t="s">
        <v>1407</v>
      </c>
      <c r="S738" s="25">
        <v>2001.0</v>
      </c>
      <c r="T738" s="25">
        <v>0.0077</v>
      </c>
      <c r="U738" s="25">
        <f t="shared" si="91"/>
        <v>7310.38</v>
      </c>
      <c r="V738" s="24">
        <f t="shared" si="3"/>
        <v>125.3924528</v>
      </c>
      <c r="W738" s="3">
        <f t="shared" si="29"/>
        <v>0</v>
      </c>
      <c r="X738" s="3">
        <f t="shared" si="30"/>
        <v>0</v>
      </c>
      <c r="Y738" s="3">
        <f t="shared" si="31"/>
        <v>0</v>
      </c>
      <c r="Z738" s="25">
        <f t="shared" si="32"/>
        <v>0</v>
      </c>
      <c r="AA738" s="26">
        <f>VLOOKUP(S738,CPI!$A$2:$E$67,5,0)</f>
        <v>1.720508187</v>
      </c>
      <c r="AB738" s="27">
        <f t="shared" si="8"/>
        <v>12577.56864</v>
      </c>
      <c r="AC738" s="27">
        <f t="shared" si="9"/>
        <v>215.7387417</v>
      </c>
    </row>
    <row r="739">
      <c r="A739" s="38">
        <v>7506.0</v>
      </c>
      <c r="B739" s="26" t="s">
        <v>1403</v>
      </c>
      <c r="C739" s="26" t="s">
        <v>1418</v>
      </c>
      <c r="D739" s="26" t="s">
        <v>1430</v>
      </c>
      <c r="E739" s="26" t="s">
        <v>1430</v>
      </c>
      <c r="F739" s="25">
        <v>2001.0</v>
      </c>
      <c r="G739" s="25">
        <v>2008.0</v>
      </c>
      <c r="H739" s="25">
        <v>0.0</v>
      </c>
      <c r="I739" s="25">
        <v>8.9</v>
      </c>
      <c r="J739" s="50">
        <v>1.0</v>
      </c>
      <c r="K739" s="25">
        <v>8.9</v>
      </c>
      <c r="L739" s="51">
        <v>0.0</v>
      </c>
      <c r="M739" s="51">
        <v>0.0</v>
      </c>
      <c r="N739" s="25">
        <v>8.0</v>
      </c>
      <c r="O739" s="25"/>
      <c r="P739" s="26" t="s">
        <v>42</v>
      </c>
      <c r="Q739" s="52">
        <v>250000.0</v>
      </c>
      <c r="R739" s="26" t="s">
        <v>1407</v>
      </c>
      <c r="S739" s="25">
        <v>2004.0</v>
      </c>
      <c r="T739" s="25">
        <v>0.0074</v>
      </c>
      <c r="U739" s="25">
        <f t="shared" si="91"/>
        <v>1850</v>
      </c>
      <c r="V739" s="24">
        <f t="shared" si="3"/>
        <v>207.8651685</v>
      </c>
      <c r="W739" s="3">
        <f t="shared" si="29"/>
        <v>0</v>
      </c>
      <c r="X739" s="3">
        <f t="shared" si="30"/>
        <v>0</v>
      </c>
      <c r="Y739" s="3">
        <f t="shared" si="31"/>
        <v>0</v>
      </c>
      <c r="Z739" s="25">
        <f t="shared" si="32"/>
        <v>0</v>
      </c>
      <c r="AA739" s="26">
        <f>VLOOKUP(S739,CPI!$A$2:$E$67,5,0)</f>
        <v>1.613033351</v>
      </c>
      <c r="AB739" s="27">
        <f t="shared" si="8"/>
        <v>2984.111699</v>
      </c>
      <c r="AC739" s="27">
        <f t="shared" si="9"/>
        <v>335.2934494</v>
      </c>
    </row>
    <row r="740">
      <c r="A740" s="38">
        <v>7520.0</v>
      </c>
      <c r="B740" s="26" t="s">
        <v>1403</v>
      </c>
      <c r="C740" s="26" t="s">
        <v>1418</v>
      </c>
      <c r="D740" s="26" t="s">
        <v>1432</v>
      </c>
      <c r="E740" s="26" t="s">
        <v>1432</v>
      </c>
      <c r="F740" s="25">
        <v>2008.0</v>
      </c>
      <c r="G740" s="25">
        <v>2015.0</v>
      </c>
      <c r="H740" s="25">
        <v>1.0</v>
      </c>
      <c r="I740" s="25">
        <v>3.8</v>
      </c>
      <c r="J740" s="50">
        <v>0.0</v>
      </c>
      <c r="K740" s="25">
        <v>0.0</v>
      </c>
      <c r="L740" s="51">
        <v>0.0</v>
      </c>
      <c r="M740" s="51">
        <v>0.0</v>
      </c>
      <c r="N740" s="25">
        <v>0.0</v>
      </c>
      <c r="O740" s="25"/>
      <c r="P740" s="26" t="s">
        <v>36</v>
      </c>
      <c r="Q740" s="52">
        <v>40000.0</v>
      </c>
      <c r="R740" s="26" t="s">
        <v>1407</v>
      </c>
      <c r="S740" s="25">
        <v>2011.0</v>
      </c>
      <c r="T740" s="25">
        <v>0.009</v>
      </c>
      <c r="U740" s="25">
        <f t="shared" si="91"/>
        <v>360</v>
      </c>
      <c r="V740" s="24">
        <f t="shared" si="3"/>
        <v>94.73684211</v>
      </c>
      <c r="W740" s="3">
        <f t="shared" si="29"/>
        <v>0</v>
      </c>
      <c r="X740" s="3">
        <f t="shared" si="30"/>
        <v>0</v>
      </c>
      <c r="Y740" s="3">
        <f t="shared" si="31"/>
        <v>0</v>
      </c>
      <c r="Z740" s="25">
        <f t="shared" si="32"/>
        <v>0</v>
      </c>
      <c r="AA740" s="26">
        <f>VLOOKUP(S740,CPI!$A$2:$E$67,5,0)</f>
        <v>1.354598358</v>
      </c>
      <c r="AB740" s="27">
        <f t="shared" si="8"/>
        <v>487.6554088</v>
      </c>
      <c r="AC740" s="27">
        <f t="shared" si="9"/>
        <v>128.3303707</v>
      </c>
    </row>
    <row r="741">
      <c r="A741" s="38">
        <v>7521.0</v>
      </c>
      <c r="B741" s="26" t="s">
        <v>1403</v>
      </c>
      <c r="C741" s="26" t="s">
        <v>1418</v>
      </c>
      <c r="D741" s="1" t="s">
        <v>1434</v>
      </c>
      <c r="E741" s="26" t="s">
        <v>1435</v>
      </c>
      <c r="F741" s="25">
        <v>2010.0</v>
      </c>
      <c r="G741" s="25">
        <v>2019.0</v>
      </c>
      <c r="H741" s="25">
        <v>1.0</v>
      </c>
      <c r="I741" s="25">
        <v>2.7</v>
      </c>
      <c r="J741" s="50">
        <v>0.78</v>
      </c>
      <c r="K741" s="25">
        <v>2.1</v>
      </c>
      <c r="L741" s="51">
        <v>0.0</v>
      </c>
      <c r="M741" s="51">
        <v>0.0</v>
      </c>
      <c r="N741" s="25">
        <v>1.0</v>
      </c>
      <c r="O741" s="25"/>
      <c r="P741" s="26" t="s">
        <v>59</v>
      </c>
      <c r="Q741" s="52">
        <v>111400.0</v>
      </c>
      <c r="R741" s="26" t="s">
        <v>1407</v>
      </c>
      <c r="S741" s="25">
        <v>2014.0</v>
      </c>
      <c r="T741" s="25">
        <v>0.0097</v>
      </c>
      <c r="U741" s="25">
        <f t="shared" si="91"/>
        <v>1080.58</v>
      </c>
      <c r="V741" s="24">
        <f t="shared" si="3"/>
        <v>400.2148148</v>
      </c>
      <c r="W741" s="3">
        <f t="shared" si="29"/>
        <v>0</v>
      </c>
      <c r="X741" s="3">
        <f t="shared" si="30"/>
        <v>0</v>
      </c>
      <c r="Y741" s="3">
        <f t="shared" si="31"/>
        <v>0</v>
      </c>
      <c r="Z741" s="25">
        <f t="shared" si="32"/>
        <v>0</v>
      </c>
      <c r="AA741" s="26">
        <f>VLOOKUP(S741,CPI!$A$2:$E$67,5,0)</f>
        <v>1.287096175</v>
      </c>
      <c r="AB741" s="27">
        <f t="shared" si="8"/>
        <v>1390.810384</v>
      </c>
      <c r="AC741" s="27">
        <f t="shared" si="9"/>
        <v>515.1149572</v>
      </c>
    </row>
    <row r="742">
      <c r="A742" s="38">
        <v>7522.0</v>
      </c>
      <c r="B742" s="26" t="s">
        <v>1403</v>
      </c>
      <c r="C742" s="26" t="s">
        <v>1418</v>
      </c>
      <c r="D742" s="1" t="s">
        <v>1434</v>
      </c>
      <c r="E742" s="26" t="s">
        <v>1437</v>
      </c>
      <c r="F742" s="25">
        <v>2010.0</v>
      </c>
      <c r="G742" s="25">
        <v>2022.0</v>
      </c>
      <c r="H742" s="25">
        <v>1.0</v>
      </c>
      <c r="I742" s="25">
        <v>10.0</v>
      </c>
      <c r="J742" s="50">
        <v>0.8</v>
      </c>
      <c r="K742" s="25">
        <v>8.0</v>
      </c>
      <c r="L742" s="51">
        <v>0.0</v>
      </c>
      <c r="M742" s="51">
        <v>0.0</v>
      </c>
      <c r="N742" s="25">
        <v>2.0</v>
      </c>
      <c r="O742" s="25"/>
      <c r="P742" s="26" t="s">
        <v>59</v>
      </c>
      <c r="Q742" s="52">
        <v>290800.0</v>
      </c>
      <c r="R742" s="26" t="s">
        <v>1407</v>
      </c>
      <c r="S742" s="25">
        <v>2016.0</v>
      </c>
      <c r="T742" s="25">
        <v>0.0095</v>
      </c>
      <c r="U742" s="25">
        <f t="shared" si="91"/>
        <v>2762.6</v>
      </c>
      <c r="V742" s="24">
        <f t="shared" si="3"/>
        <v>276.26</v>
      </c>
      <c r="W742" s="3">
        <f t="shared" si="29"/>
        <v>0</v>
      </c>
      <c r="X742" s="3">
        <f t="shared" si="30"/>
        <v>0</v>
      </c>
      <c r="Y742" s="3">
        <f t="shared" si="31"/>
        <v>0</v>
      </c>
      <c r="Z742" s="25">
        <f t="shared" si="32"/>
        <v>0</v>
      </c>
      <c r="AA742" s="26">
        <f>VLOOKUP(S742,CPI!$A$2:$E$67,5,0)</f>
        <v>1.269554638</v>
      </c>
      <c r="AB742" s="27">
        <f t="shared" si="8"/>
        <v>3507.271643</v>
      </c>
      <c r="AC742" s="27">
        <f t="shared" si="9"/>
        <v>350.7271643</v>
      </c>
    </row>
    <row r="743">
      <c r="A743" s="38">
        <v>7515.0</v>
      </c>
      <c r="B743" s="26" t="s">
        <v>1403</v>
      </c>
      <c r="C743" s="26" t="s">
        <v>1418</v>
      </c>
      <c r="D743" s="319" t="s">
        <v>1097</v>
      </c>
      <c r="E743" s="318" t="s">
        <v>1439</v>
      </c>
      <c r="F743" s="25">
        <v>2015.0</v>
      </c>
      <c r="G743" s="25">
        <v>2025.0</v>
      </c>
      <c r="H743" s="25">
        <v>1.0</v>
      </c>
      <c r="I743" s="25">
        <v>3.0</v>
      </c>
      <c r="J743" s="50">
        <v>0.0</v>
      </c>
      <c r="K743" s="25">
        <v>0.0</v>
      </c>
      <c r="L743" s="51">
        <v>0.0</v>
      </c>
      <c r="M743" s="51">
        <v>0.0</v>
      </c>
      <c r="N743" s="25"/>
      <c r="O743" s="25"/>
      <c r="P743" s="26" t="s">
        <v>36</v>
      </c>
      <c r="Q743" s="52">
        <v>109500.0</v>
      </c>
      <c r="R743" s="26" t="s">
        <v>1407</v>
      </c>
      <c r="S743" s="25">
        <v>2020.0</v>
      </c>
      <c r="T743" s="25">
        <v>0.01</v>
      </c>
      <c r="U743" s="25">
        <f t="shared" si="91"/>
        <v>1095</v>
      </c>
      <c r="V743" s="24">
        <f t="shared" si="3"/>
        <v>365</v>
      </c>
      <c r="W743" s="3">
        <f t="shared" si="29"/>
        <v>0</v>
      </c>
      <c r="X743" s="3">
        <f t="shared" si="30"/>
        <v>0</v>
      </c>
      <c r="Y743" s="3">
        <f t="shared" si="31"/>
        <v>0</v>
      </c>
      <c r="Z743" s="25">
        <f t="shared" si="32"/>
        <v>0</v>
      </c>
      <c r="AA743" s="26">
        <f>VLOOKUP(S743,CPI!$A$2:$E$67,5,0)</f>
        <v>1.17731472</v>
      </c>
      <c r="AB743" s="27">
        <f t="shared" si="8"/>
        <v>1289.159618</v>
      </c>
      <c r="AC743" s="27">
        <f t="shared" si="9"/>
        <v>429.7198728</v>
      </c>
    </row>
    <row r="744">
      <c r="A744" s="38">
        <v>7513.0</v>
      </c>
      <c r="B744" s="26" t="s">
        <v>1403</v>
      </c>
      <c r="C744" s="26" t="s">
        <v>1418</v>
      </c>
      <c r="D744" s="26" t="s">
        <v>1441</v>
      </c>
      <c r="E744" s="26" t="s">
        <v>1441</v>
      </c>
      <c r="F744" s="25">
        <v>2022.0</v>
      </c>
      <c r="G744" s="25">
        <v>2029.0</v>
      </c>
      <c r="H744" s="25">
        <v>1.0</v>
      </c>
      <c r="I744" s="25">
        <v>5.6</v>
      </c>
      <c r="J744" s="50">
        <v>1.0</v>
      </c>
      <c r="K744" s="25">
        <v>5.6</v>
      </c>
      <c r="L744" s="51">
        <v>0.0</v>
      </c>
      <c r="M744" s="51">
        <v>0.0</v>
      </c>
      <c r="N744" s="25">
        <v>2.0</v>
      </c>
      <c r="O744" s="25"/>
      <c r="P744" s="26" t="s">
        <v>59</v>
      </c>
      <c r="Q744" s="52">
        <v>300000.0</v>
      </c>
      <c r="R744" s="26" t="s">
        <v>1407</v>
      </c>
      <c r="S744" s="25">
        <v>2025.0</v>
      </c>
      <c r="T744" s="25">
        <v>0.01</v>
      </c>
      <c r="U744" s="25">
        <f t="shared" si="91"/>
        <v>3000</v>
      </c>
      <c r="V744" s="24">
        <f t="shared" si="3"/>
        <v>535.7142857</v>
      </c>
      <c r="W744" s="3">
        <f t="shared" si="29"/>
        <v>0</v>
      </c>
      <c r="X744" s="3">
        <f t="shared" si="30"/>
        <v>0</v>
      </c>
      <c r="Y744" s="3">
        <f t="shared" si="31"/>
        <v>0</v>
      </c>
      <c r="Z744" s="25">
        <f t="shared" si="32"/>
        <v>0</v>
      </c>
      <c r="AA744" s="26">
        <f>VLOOKUP(S744,CPI!$A$2:$E$67,5,0)</f>
        <v>1</v>
      </c>
      <c r="AB744" s="27">
        <f t="shared" si="8"/>
        <v>3000</v>
      </c>
      <c r="AC744" s="27">
        <f t="shared" si="9"/>
        <v>535.7142857</v>
      </c>
    </row>
    <row r="745">
      <c r="A745" s="38">
        <v>7321.0</v>
      </c>
      <c r="B745" s="26" t="s">
        <v>1443</v>
      </c>
      <c r="C745" s="26" t="s">
        <v>1444</v>
      </c>
      <c r="D745" s="1" t="s">
        <v>57</v>
      </c>
      <c r="E745" s="26" t="s">
        <v>58</v>
      </c>
      <c r="F745" s="25">
        <v>2009.0</v>
      </c>
      <c r="G745" s="25">
        <v>2017.0</v>
      </c>
      <c r="H745" s="25">
        <v>0.0</v>
      </c>
      <c r="I745" s="25">
        <v>8.0</v>
      </c>
      <c r="J745" s="50">
        <v>1.0</v>
      </c>
      <c r="K745" s="25">
        <v>8.0</v>
      </c>
      <c r="L745" s="51">
        <v>0.0</v>
      </c>
      <c r="M745" s="51">
        <v>0.0</v>
      </c>
      <c r="N745" s="25">
        <v>6.0</v>
      </c>
      <c r="O745" s="25"/>
      <c r="P745" s="26" t="s">
        <v>36</v>
      </c>
      <c r="Q745" s="52">
        <v>959000.0</v>
      </c>
      <c r="R745" s="26" t="s">
        <v>1445</v>
      </c>
      <c r="S745" s="25">
        <v>2013.0</v>
      </c>
      <c r="T745" s="25">
        <v>0.00115</v>
      </c>
      <c r="U745" s="25">
        <f t="shared" si="91"/>
        <v>1102.85</v>
      </c>
      <c r="V745" s="24">
        <f t="shared" si="3"/>
        <v>137.85625</v>
      </c>
      <c r="W745" s="3">
        <f t="shared" si="29"/>
        <v>1</v>
      </c>
      <c r="X745" s="3">
        <f t="shared" si="30"/>
        <v>8</v>
      </c>
      <c r="Y745" s="3">
        <f t="shared" si="31"/>
        <v>8</v>
      </c>
      <c r="Z745" s="25">
        <f t="shared" si="32"/>
        <v>0</v>
      </c>
      <c r="AA745" s="26">
        <f>VLOOKUP(S745,CPI!$A$2:$E$67,5,0)</f>
        <v>1.307975292</v>
      </c>
      <c r="AB745" s="27">
        <f t="shared" si="8"/>
        <v>1442.50055</v>
      </c>
      <c r="AC745" s="27">
        <f t="shared" si="9"/>
        <v>180.3125688</v>
      </c>
    </row>
    <row r="746">
      <c r="A746" s="7"/>
      <c r="B746" s="114" t="s">
        <v>1443</v>
      </c>
      <c r="C746" s="114" t="s">
        <v>1447</v>
      </c>
      <c r="D746" s="171" t="s">
        <v>54</v>
      </c>
      <c r="E746" s="114" t="s">
        <v>54</v>
      </c>
      <c r="F746" s="116">
        <v>2009.0</v>
      </c>
      <c r="G746" s="116">
        <v>2016.0</v>
      </c>
      <c r="H746" s="116">
        <v>0.0</v>
      </c>
      <c r="I746" s="116">
        <v>29.1</v>
      </c>
      <c r="J746" s="71">
        <v>0.7835</v>
      </c>
      <c r="K746" s="116">
        <v>22.8</v>
      </c>
      <c r="L746" s="114"/>
      <c r="M746" s="114"/>
      <c r="N746" s="116">
        <v>27.0</v>
      </c>
      <c r="O746" s="116"/>
      <c r="P746" s="114"/>
      <c r="Q746" s="73">
        <v>2459000.0</v>
      </c>
      <c r="R746" s="114" t="s">
        <v>1445</v>
      </c>
      <c r="S746" s="115">
        <v>2012.0</v>
      </c>
      <c r="T746" s="115">
        <v>0.00117</v>
      </c>
      <c r="U746" s="118">
        <f t="shared" si="91"/>
        <v>2877.03</v>
      </c>
      <c r="V746" s="24">
        <f t="shared" si="3"/>
        <v>98.86701031</v>
      </c>
      <c r="W746" s="3">
        <f t="shared" si="29"/>
        <v>1</v>
      </c>
      <c r="X746" s="3">
        <f t="shared" si="30"/>
        <v>29.1</v>
      </c>
      <c r="Y746" s="3">
        <f t="shared" si="31"/>
        <v>22.8</v>
      </c>
      <c r="Z746" s="25">
        <f t="shared" si="32"/>
        <v>0</v>
      </c>
      <c r="AA746" s="26">
        <f>VLOOKUP(S746,CPI!$A$2:$E$67,5,0)</f>
        <v>1.327133984</v>
      </c>
      <c r="AB746" s="27">
        <f t="shared" si="8"/>
        <v>3818.204287</v>
      </c>
      <c r="AC746" s="27">
        <f t="shared" si="9"/>
        <v>131.2097693</v>
      </c>
    </row>
    <row r="747">
      <c r="A747" s="7"/>
      <c r="B747" s="114" t="s">
        <v>1443</v>
      </c>
      <c r="C747" s="114" t="s">
        <v>1447</v>
      </c>
      <c r="D747" s="171" t="s">
        <v>54</v>
      </c>
      <c r="E747" s="114" t="s">
        <v>1449</v>
      </c>
      <c r="F747" s="116">
        <v>2020.0</v>
      </c>
      <c r="G747" s="114"/>
      <c r="H747" s="116">
        <v>0.0</v>
      </c>
      <c r="I747" s="116">
        <v>18.5</v>
      </c>
      <c r="J747" s="114"/>
      <c r="K747" s="114"/>
      <c r="L747" s="114"/>
      <c r="M747" s="114"/>
      <c r="N747" s="114"/>
      <c r="O747" s="116"/>
      <c r="P747" s="114"/>
      <c r="Q747" s="73">
        <v>1750200.0</v>
      </c>
      <c r="R747" s="114" t="s">
        <v>1445</v>
      </c>
      <c r="S747" s="115">
        <v>2020.0</v>
      </c>
      <c r="T747" s="115">
        <v>0.00121</v>
      </c>
      <c r="U747" s="118">
        <f t="shared" si="91"/>
        <v>2117.742</v>
      </c>
      <c r="V747" s="24">
        <f t="shared" si="3"/>
        <v>114.4725405</v>
      </c>
      <c r="W747" s="3">
        <f t="shared" si="29"/>
        <v>1</v>
      </c>
      <c r="X747" s="3">
        <f t="shared" si="30"/>
        <v>18.5</v>
      </c>
      <c r="Y747" s="3">
        <f t="shared" si="31"/>
        <v>0</v>
      </c>
      <c r="Z747" s="25">
        <f t="shared" si="32"/>
        <v>0</v>
      </c>
      <c r="AA747" s="26">
        <f>VLOOKUP(S747,CPI!$A$2:$E$67,5,0)</f>
        <v>1.17731472</v>
      </c>
      <c r="AB747" s="27">
        <f t="shared" si="8"/>
        <v>2493.24883</v>
      </c>
      <c r="AC747" s="27">
        <f t="shared" si="9"/>
        <v>134.770207</v>
      </c>
    </row>
    <row r="748">
      <c r="A748" s="38">
        <v>7248.0</v>
      </c>
      <c r="B748" s="26" t="s">
        <v>1443</v>
      </c>
      <c r="C748" s="26" t="s">
        <v>1451</v>
      </c>
      <c r="D748" s="1" t="s">
        <v>1453</v>
      </c>
      <c r="E748" s="63" t="s">
        <v>1454</v>
      </c>
      <c r="F748" s="25">
        <v>2005.0</v>
      </c>
      <c r="G748" s="25">
        <v>2011.0</v>
      </c>
      <c r="H748" s="25">
        <v>0.0</v>
      </c>
      <c r="I748" s="25">
        <v>17.3</v>
      </c>
      <c r="J748" s="50">
        <v>1.0</v>
      </c>
      <c r="K748" s="25">
        <v>17.3</v>
      </c>
      <c r="L748" s="51">
        <v>0.0</v>
      </c>
      <c r="M748" s="51">
        <v>0.0</v>
      </c>
      <c r="N748" s="25">
        <v>6.0</v>
      </c>
      <c r="O748" s="58">
        <v>200.0</v>
      </c>
      <c r="P748" s="26" t="s">
        <v>74</v>
      </c>
      <c r="Q748" s="52">
        <v>1169000.0</v>
      </c>
      <c r="R748" s="26" t="s">
        <v>1445</v>
      </c>
      <c r="S748" s="25">
        <v>2002.0</v>
      </c>
      <c r="T748" s="25">
        <v>0.0013</v>
      </c>
      <c r="U748" s="25">
        <f t="shared" si="91"/>
        <v>1519.7</v>
      </c>
      <c r="V748" s="24">
        <f t="shared" si="3"/>
        <v>87.84393064</v>
      </c>
      <c r="W748" s="3">
        <f t="shared" si="29"/>
        <v>1</v>
      </c>
      <c r="X748" s="3">
        <f t="shared" si="30"/>
        <v>17.3</v>
      </c>
      <c r="Y748" s="3">
        <f t="shared" si="31"/>
        <v>17.3</v>
      </c>
      <c r="Z748" s="25">
        <f t="shared" si="32"/>
        <v>0</v>
      </c>
      <c r="AA748" s="26">
        <f>VLOOKUP(S748,CPI!$A$2:$E$67,5,0)</f>
        <v>1.69372985</v>
      </c>
      <c r="AB748" s="27">
        <f t="shared" si="8"/>
        <v>2573.961253</v>
      </c>
      <c r="AC748" s="27">
        <f t="shared" si="9"/>
        <v>148.7838875</v>
      </c>
    </row>
    <row r="749">
      <c r="A749" s="7"/>
      <c r="B749" s="114" t="s">
        <v>1443</v>
      </c>
      <c r="C749" s="114" t="s">
        <v>1451</v>
      </c>
      <c r="D749" s="114" t="s">
        <v>1456</v>
      </c>
      <c r="E749" s="114" t="s">
        <v>1456</v>
      </c>
      <c r="F749" s="116">
        <v>2009.0</v>
      </c>
      <c r="G749" s="116">
        <v>2017.0</v>
      </c>
      <c r="H749" s="116">
        <v>0.0</v>
      </c>
      <c r="I749" s="116">
        <v>11.4</v>
      </c>
      <c r="J749" s="71">
        <v>1.0</v>
      </c>
      <c r="K749" s="116">
        <v>11.4</v>
      </c>
      <c r="L749" s="114"/>
      <c r="M749" s="114"/>
      <c r="N749" s="116">
        <v>13.0</v>
      </c>
      <c r="O749" s="116"/>
      <c r="P749" s="114"/>
      <c r="Q749" s="73">
        <v>911500.0</v>
      </c>
      <c r="R749" s="114" t="s">
        <v>1445</v>
      </c>
      <c r="S749" s="115">
        <v>2013.0</v>
      </c>
      <c r="T749" s="85">
        <v>0.001</v>
      </c>
      <c r="U749" s="118">
        <f t="shared" si="91"/>
        <v>911.5</v>
      </c>
      <c r="V749" s="24">
        <f t="shared" si="3"/>
        <v>79.95614035</v>
      </c>
      <c r="W749" s="3">
        <f t="shared" si="29"/>
        <v>1</v>
      </c>
      <c r="X749" s="3">
        <f t="shared" si="30"/>
        <v>11.4</v>
      </c>
      <c r="Y749" s="3">
        <f t="shared" si="31"/>
        <v>11.4</v>
      </c>
      <c r="Z749" s="25">
        <f t="shared" si="32"/>
        <v>0</v>
      </c>
      <c r="AA749" s="26">
        <f>VLOOKUP(S749,CPI!$A$2:$E$67,5,0)</f>
        <v>1.307975292</v>
      </c>
      <c r="AB749" s="27">
        <f t="shared" si="8"/>
        <v>1192.219478</v>
      </c>
      <c r="AC749" s="27">
        <f t="shared" si="9"/>
        <v>104.580656</v>
      </c>
    </row>
    <row r="750">
      <c r="A750" s="38">
        <v>7249.0</v>
      </c>
      <c r="B750" s="26" t="s">
        <v>1443</v>
      </c>
      <c r="C750" s="26" t="s">
        <v>1451</v>
      </c>
      <c r="D750" s="1" t="s">
        <v>1453</v>
      </c>
      <c r="E750" s="63" t="s">
        <v>1458</v>
      </c>
      <c r="F750" s="25">
        <v>2011.0</v>
      </c>
      <c r="G750" s="25">
        <v>2018.0</v>
      </c>
      <c r="H750" s="25">
        <v>0.0</v>
      </c>
      <c r="I750" s="25">
        <v>12.8</v>
      </c>
      <c r="J750" s="50">
        <v>1.0</v>
      </c>
      <c r="K750" s="25">
        <v>12.8</v>
      </c>
      <c r="L750" s="51">
        <v>0.0</v>
      </c>
      <c r="M750" s="51">
        <v>0.0</v>
      </c>
      <c r="N750" s="25">
        <v>7.0</v>
      </c>
      <c r="O750" s="58">
        <v>200.0</v>
      </c>
      <c r="P750" s="26" t="s">
        <v>42</v>
      </c>
      <c r="Q750" s="52">
        <v>1025500.0</v>
      </c>
      <c r="R750" s="26" t="s">
        <v>1445</v>
      </c>
      <c r="S750" s="25">
        <v>2006.0</v>
      </c>
      <c r="T750" s="25">
        <v>0.0013</v>
      </c>
      <c r="U750" s="25">
        <f t="shared" si="91"/>
        <v>1333.15</v>
      </c>
      <c r="V750" s="24">
        <f t="shared" si="3"/>
        <v>104.1523438</v>
      </c>
      <c r="W750" s="3">
        <f t="shared" si="29"/>
        <v>1</v>
      </c>
      <c r="X750" s="3">
        <f t="shared" si="30"/>
        <v>12.8</v>
      </c>
      <c r="Y750" s="3">
        <f t="shared" si="31"/>
        <v>12.8</v>
      </c>
      <c r="Z750" s="25">
        <f t="shared" si="32"/>
        <v>0</v>
      </c>
      <c r="AA750" s="26">
        <f>VLOOKUP(S750,CPI!$A$2:$E$67,5,0)</f>
        <v>1.511418651</v>
      </c>
      <c r="AB750" s="27">
        <f t="shared" si="8"/>
        <v>2014.947774</v>
      </c>
      <c r="AC750" s="27">
        <f t="shared" si="9"/>
        <v>157.4177949</v>
      </c>
    </row>
    <row r="751">
      <c r="A751" s="38">
        <v>7322.0</v>
      </c>
      <c r="B751" s="26" t="s">
        <v>1443</v>
      </c>
      <c r="C751" s="26" t="s">
        <v>1451</v>
      </c>
      <c r="D751" s="26" t="s">
        <v>1460</v>
      </c>
      <c r="E751" s="26" t="s">
        <v>1460</v>
      </c>
      <c r="F751" s="25">
        <v>2014.0</v>
      </c>
      <c r="G751" s="25">
        <v>2019.0</v>
      </c>
      <c r="H751" s="25">
        <v>0.0</v>
      </c>
      <c r="I751" s="25">
        <v>23.7</v>
      </c>
      <c r="J751" s="50">
        <v>1.0</v>
      </c>
      <c r="K751" s="25">
        <v>23.7</v>
      </c>
      <c r="L751" s="51">
        <v>0.0</v>
      </c>
      <c r="M751" s="51">
        <v>0.0</v>
      </c>
      <c r="N751" s="25">
        <v>10.0</v>
      </c>
      <c r="O751" s="25"/>
      <c r="P751" s="26" t="s">
        <v>36</v>
      </c>
      <c r="Q751" s="52">
        <v>1655300.0</v>
      </c>
      <c r="R751" s="26" t="s">
        <v>1445</v>
      </c>
      <c r="S751" s="25">
        <v>2016.0</v>
      </c>
      <c r="T751" s="25">
        <v>0.00116</v>
      </c>
      <c r="U751" s="25">
        <f t="shared" si="91"/>
        <v>1920.148</v>
      </c>
      <c r="V751" s="24">
        <f t="shared" si="3"/>
        <v>81.01890295</v>
      </c>
      <c r="W751" s="3">
        <f t="shared" si="29"/>
        <v>1</v>
      </c>
      <c r="X751" s="3">
        <f t="shared" si="30"/>
        <v>23.7</v>
      </c>
      <c r="Y751" s="3">
        <f t="shared" si="31"/>
        <v>23.7</v>
      </c>
      <c r="Z751" s="25">
        <f t="shared" si="32"/>
        <v>0</v>
      </c>
      <c r="AA751" s="26">
        <f>VLOOKUP(S751,CPI!$A$2:$E$67,5,0)</f>
        <v>1.269554638</v>
      </c>
      <c r="AB751" s="27">
        <f t="shared" si="8"/>
        <v>2437.732799</v>
      </c>
      <c r="AC751" s="27">
        <f t="shared" si="9"/>
        <v>102.857924</v>
      </c>
    </row>
    <row r="752">
      <c r="A752" s="7"/>
      <c r="B752" s="114" t="s">
        <v>1443</v>
      </c>
      <c r="C752" s="114" t="s">
        <v>1451</v>
      </c>
      <c r="D752" s="114" t="s">
        <v>1462</v>
      </c>
      <c r="E752" s="114" t="s">
        <v>1462</v>
      </c>
      <c r="F752" s="116">
        <v>2014.0</v>
      </c>
      <c r="G752" s="116">
        <v>2020.0</v>
      </c>
      <c r="H752" s="116">
        <v>0.0</v>
      </c>
      <c r="I752" s="116">
        <v>7.7</v>
      </c>
      <c r="J752" s="71">
        <v>1.0</v>
      </c>
      <c r="K752" s="116">
        <v>7.7</v>
      </c>
      <c r="L752" s="114"/>
      <c r="M752" s="114"/>
      <c r="N752" s="116">
        <v>5.0</v>
      </c>
      <c r="O752" s="116">
        <v>160.0</v>
      </c>
      <c r="P752" s="114"/>
      <c r="Q752" s="73">
        <v>981000.0</v>
      </c>
      <c r="R752" s="114" t="s">
        <v>1445</v>
      </c>
      <c r="S752" s="115">
        <v>2017.0</v>
      </c>
      <c r="T752" s="85">
        <v>0.001</v>
      </c>
      <c r="U752" s="118">
        <f t="shared" si="91"/>
        <v>981</v>
      </c>
      <c r="V752" s="24">
        <f t="shared" si="3"/>
        <v>127.4025974</v>
      </c>
      <c r="W752" s="3">
        <f t="shared" si="29"/>
        <v>1</v>
      </c>
      <c r="X752" s="3">
        <f t="shared" si="30"/>
        <v>7.7</v>
      </c>
      <c r="Y752" s="3">
        <f t="shared" si="31"/>
        <v>7.7</v>
      </c>
      <c r="Z752" s="25">
        <f t="shared" si="32"/>
        <v>0</v>
      </c>
      <c r="AA752" s="26">
        <f>VLOOKUP(S752,CPI!$A$2:$E$67,5,0)</f>
        <v>1.243072781</v>
      </c>
      <c r="AB752" s="27">
        <f t="shared" si="8"/>
        <v>1219.454398</v>
      </c>
      <c r="AC752" s="27">
        <f t="shared" si="9"/>
        <v>158.370701</v>
      </c>
    </row>
    <row r="753">
      <c r="A753" s="38">
        <v>7323.0</v>
      </c>
      <c r="B753" s="26" t="s">
        <v>1443</v>
      </c>
      <c r="C753" s="26" t="s">
        <v>1451</v>
      </c>
      <c r="D753" s="1" t="s">
        <v>228</v>
      </c>
      <c r="E753" s="26" t="s">
        <v>1464</v>
      </c>
      <c r="F753" s="25">
        <v>2014.0</v>
      </c>
      <c r="G753" s="25">
        <v>2021.0</v>
      </c>
      <c r="H753" s="25">
        <v>0.0</v>
      </c>
      <c r="I753" s="25">
        <v>3.9</v>
      </c>
      <c r="J753" s="50">
        <v>1.0</v>
      </c>
      <c r="K753" s="25">
        <v>3.9</v>
      </c>
      <c r="L753" s="51">
        <v>0.0</v>
      </c>
      <c r="M753" s="51">
        <v>0.0</v>
      </c>
      <c r="N753" s="25">
        <v>2.0</v>
      </c>
      <c r="O753" s="25"/>
      <c r="P753" s="26" t="s">
        <v>74</v>
      </c>
      <c r="Q753" s="52">
        <v>432100.0</v>
      </c>
      <c r="R753" s="26" t="s">
        <v>1445</v>
      </c>
      <c r="S753" s="25">
        <v>2017.0</v>
      </c>
      <c r="T753" s="25">
        <v>0.0011</v>
      </c>
      <c r="U753" s="25">
        <f t="shared" si="91"/>
        <v>475.31</v>
      </c>
      <c r="V753" s="24">
        <f t="shared" si="3"/>
        <v>121.874359</v>
      </c>
      <c r="W753" s="3">
        <f t="shared" si="29"/>
        <v>1</v>
      </c>
      <c r="X753" s="3">
        <f t="shared" si="30"/>
        <v>3.9</v>
      </c>
      <c r="Y753" s="3">
        <f t="shared" si="31"/>
        <v>3.9</v>
      </c>
      <c r="Z753" s="25">
        <f t="shared" si="32"/>
        <v>0</v>
      </c>
      <c r="AA753" s="26">
        <f>VLOOKUP(S753,CPI!$A$2:$E$67,5,0)</f>
        <v>1.243072781</v>
      </c>
      <c r="AB753" s="27">
        <f t="shared" si="8"/>
        <v>590.8449234</v>
      </c>
      <c r="AC753" s="27">
        <f t="shared" si="9"/>
        <v>151.4986983</v>
      </c>
    </row>
    <row r="754">
      <c r="A754" s="7"/>
      <c r="B754" s="114" t="s">
        <v>1443</v>
      </c>
      <c r="C754" s="114" t="s">
        <v>1451</v>
      </c>
      <c r="D754" s="114" t="s">
        <v>1466</v>
      </c>
      <c r="E754" s="114" t="s">
        <v>1466</v>
      </c>
      <c r="F754" s="116">
        <v>2014.0</v>
      </c>
      <c r="G754" s="116">
        <v>2022.0</v>
      </c>
      <c r="H754" s="116">
        <v>0.0</v>
      </c>
      <c r="I754" s="116">
        <v>14.9</v>
      </c>
      <c r="J754" s="71">
        <v>1.0</v>
      </c>
      <c r="K754" s="116">
        <v>14.9</v>
      </c>
      <c r="L754" s="114"/>
      <c r="M754" s="114"/>
      <c r="N754" s="116">
        <v>4.0</v>
      </c>
      <c r="O754" s="116">
        <v>200.0</v>
      </c>
      <c r="P754" s="114"/>
      <c r="Q754" s="73">
        <v>1400000.0</v>
      </c>
      <c r="R754" s="114" t="s">
        <v>1445</v>
      </c>
      <c r="S754" s="115">
        <v>2018.0</v>
      </c>
      <c r="T754" s="85">
        <v>0.001</v>
      </c>
      <c r="U754" s="118">
        <f t="shared" si="91"/>
        <v>1400</v>
      </c>
      <c r="V754" s="24">
        <f t="shared" si="3"/>
        <v>93.95973154</v>
      </c>
      <c r="W754" s="3">
        <f t="shared" si="29"/>
        <v>1</v>
      </c>
      <c r="X754" s="3">
        <f t="shared" si="30"/>
        <v>14.9</v>
      </c>
      <c r="Y754" s="3">
        <f t="shared" si="31"/>
        <v>14.9</v>
      </c>
      <c r="Z754" s="25">
        <f t="shared" si="32"/>
        <v>0</v>
      </c>
      <c r="AA754" s="26">
        <f>VLOOKUP(S754,CPI!$A$2:$E$67,5,0)</f>
        <v>1.21343491</v>
      </c>
      <c r="AB754" s="27">
        <f t="shared" si="8"/>
        <v>1698.808874</v>
      </c>
      <c r="AC754" s="27">
        <f t="shared" si="9"/>
        <v>114.0140184</v>
      </c>
    </row>
    <row r="755">
      <c r="A755" s="7"/>
      <c r="B755" s="114" t="s">
        <v>1443</v>
      </c>
      <c r="C755" s="114" t="s">
        <v>1451</v>
      </c>
      <c r="D755" s="114" t="s">
        <v>1468</v>
      </c>
      <c r="E755" s="114" t="s">
        <v>1468</v>
      </c>
      <c r="F755" s="116">
        <v>2017.0</v>
      </c>
      <c r="G755" s="116">
        <v>2022.0</v>
      </c>
      <c r="H755" s="116">
        <v>0.0</v>
      </c>
      <c r="I755" s="116">
        <v>7.8</v>
      </c>
      <c r="J755" s="71">
        <v>1.0</v>
      </c>
      <c r="K755" s="116">
        <v>7.8</v>
      </c>
      <c r="L755" s="114"/>
      <c r="M755" s="114"/>
      <c r="N755" s="116">
        <v>11.0</v>
      </c>
      <c r="O755" s="116"/>
      <c r="P755" s="114"/>
      <c r="Q755" s="73">
        <v>826400.0</v>
      </c>
      <c r="R755" s="114" t="s">
        <v>1445</v>
      </c>
      <c r="S755" s="115">
        <v>2020.0</v>
      </c>
      <c r="T755" s="85">
        <v>0.001</v>
      </c>
      <c r="U755" s="118">
        <f t="shared" si="91"/>
        <v>826.4</v>
      </c>
      <c r="V755" s="24">
        <f t="shared" si="3"/>
        <v>105.9487179</v>
      </c>
      <c r="W755" s="3">
        <f t="shared" si="29"/>
        <v>1</v>
      </c>
      <c r="X755" s="3">
        <f t="shared" si="30"/>
        <v>7.8</v>
      </c>
      <c r="Y755" s="3">
        <f t="shared" si="31"/>
        <v>7.8</v>
      </c>
      <c r="Z755" s="25">
        <f t="shared" si="32"/>
        <v>0</v>
      </c>
      <c r="AA755" s="26">
        <f>VLOOKUP(S755,CPI!$A$2:$E$67,5,0)</f>
        <v>1.17731472</v>
      </c>
      <c r="AB755" s="27">
        <f t="shared" si="8"/>
        <v>972.9328846</v>
      </c>
      <c r="AC755" s="27">
        <f t="shared" si="9"/>
        <v>124.7349852</v>
      </c>
    </row>
    <row r="756">
      <c r="A756" s="7"/>
      <c r="B756" s="114" t="s">
        <v>1443</v>
      </c>
      <c r="C756" s="114" t="s">
        <v>1451</v>
      </c>
      <c r="D756" s="114" t="s">
        <v>1470</v>
      </c>
      <c r="E756" s="114" t="s">
        <v>1470</v>
      </c>
      <c r="F756" s="115">
        <v>2018.0</v>
      </c>
      <c r="G756" s="115">
        <v>2025.0</v>
      </c>
      <c r="H756" s="116">
        <v>1.0</v>
      </c>
      <c r="I756" s="115">
        <v>83.1</v>
      </c>
      <c r="J756" s="114"/>
      <c r="K756" s="114"/>
      <c r="L756" s="114"/>
      <c r="M756" s="114"/>
      <c r="N756" s="114"/>
      <c r="O756" s="116"/>
      <c r="P756" s="114"/>
      <c r="Q756" s="73">
        <v>1940000.0</v>
      </c>
      <c r="R756" s="114" t="s">
        <v>1445</v>
      </c>
      <c r="S756" s="115">
        <v>2021.0</v>
      </c>
      <c r="T756" s="85">
        <v>0.0012</v>
      </c>
      <c r="U756" s="118">
        <f t="shared" si="91"/>
        <v>2328</v>
      </c>
      <c r="V756" s="24">
        <f t="shared" si="3"/>
        <v>28.01444043</v>
      </c>
      <c r="W756" s="3">
        <f t="shared" si="29"/>
        <v>1</v>
      </c>
      <c r="X756" s="3">
        <f t="shared" si="30"/>
        <v>83.1</v>
      </c>
      <c r="Y756" s="3">
        <f t="shared" si="31"/>
        <v>0</v>
      </c>
      <c r="Z756" s="25">
        <f t="shared" si="32"/>
        <v>0</v>
      </c>
      <c r="AA756" s="26">
        <f>VLOOKUP(S756,CPI!$A$2:$E$67,5,0)</f>
        <v>1.124486105</v>
      </c>
      <c r="AB756" s="27">
        <f t="shared" si="8"/>
        <v>2617.803654</v>
      </c>
      <c r="AC756" s="27">
        <f t="shared" si="9"/>
        <v>31.50184902</v>
      </c>
    </row>
    <row r="757">
      <c r="A757" s="7"/>
      <c r="B757" s="114" t="s">
        <v>1443</v>
      </c>
      <c r="C757" s="114" t="s">
        <v>1451</v>
      </c>
      <c r="D757" s="114" t="s">
        <v>1472</v>
      </c>
      <c r="E757" s="114" t="s">
        <v>1472</v>
      </c>
      <c r="F757" s="116">
        <v>2019.0</v>
      </c>
      <c r="G757" s="116">
        <v>2025.0</v>
      </c>
      <c r="H757" s="116">
        <v>0.0</v>
      </c>
      <c r="I757" s="116">
        <v>44.7</v>
      </c>
      <c r="J757" s="71">
        <v>1.0</v>
      </c>
      <c r="K757" s="116">
        <v>44.7</v>
      </c>
      <c r="L757" s="114"/>
      <c r="M757" s="114"/>
      <c r="N757" s="116">
        <v>15.0</v>
      </c>
      <c r="O757" s="116"/>
      <c r="P757" s="114"/>
      <c r="Q757" s="73">
        <v>3300000.0</v>
      </c>
      <c r="R757" s="114" t="s">
        <v>1445</v>
      </c>
      <c r="S757" s="115">
        <v>2021.0</v>
      </c>
      <c r="T757" s="85">
        <v>0.0012</v>
      </c>
      <c r="U757" s="118">
        <f t="shared" si="91"/>
        <v>3960</v>
      </c>
      <c r="V757" s="24">
        <f t="shared" si="3"/>
        <v>88.59060403</v>
      </c>
      <c r="W757" s="3">
        <f t="shared" si="29"/>
        <v>1</v>
      </c>
      <c r="X757" s="3">
        <f t="shared" si="30"/>
        <v>44.7</v>
      </c>
      <c r="Y757" s="3">
        <f t="shared" si="31"/>
        <v>44.7</v>
      </c>
      <c r="Z757" s="25">
        <f t="shared" si="32"/>
        <v>0</v>
      </c>
      <c r="AA757" s="26">
        <f>VLOOKUP(S757,CPI!$A$2:$E$67,5,0)</f>
        <v>1.124486105</v>
      </c>
      <c r="AB757" s="27">
        <f t="shared" si="8"/>
        <v>4452.964978</v>
      </c>
      <c r="AC757" s="27">
        <f t="shared" si="9"/>
        <v>99.6189033</v>
      </c>
    </row>
    <row r="758">
      <c r="A758" s="38">
        <v>7328.0</v>
      </c>
      <c r="B758" s="26" t="s">
        <v>1443</v>
      </c>
      <c r="C758" s="26" t="s">
        <v>1451</v>
      </c>
      <c r="D758" s="26" t="s">
        <v>1474</v>
      </c>
      <c r="E758" s="26" t="s">
        <v>1474</v>
      </c>
      <c r="F758" s="25">
        <v>2020.0</v>
      </c>
      <c r="G758" s="25">
        <v>2028.0</v>
      </c>
      <c r="H758" s="25">
        <v>0.0</v>
      </c>
      <c r="I758" s="25">
        <v>71.0</v>
      </c>
      <c r="J758" s="50">
        <v>1.0</v>
      </c>
      <c r="K758" s="25">
        <v>71.0</v>
      </c>
      <c r="L758" s="51">
        <v>0.0</v>
      </c>
      <c r="M758" s="51">
        <v>0.0</v>
      </c>
      <c r="N758" s="25">
        <v>53.0</v>
      </c>
      <c r="O758" s="25"/>
      <c r="P758" s="26" t="s">
        <v>42</v>
      </c>
      <c r="Q758" s="52">
        <v>7230200.0</v>
      </c>
      <c r="R758" s="26" t="s">
        <v>1445</v>
      </c>
      <c r="S758" s="25">
        <v>2024.0</v>
      </c>
      <c r="T758" s="25">
        <v>0.0011</v>
      </c>
      <c r="U758" s="25">
        <f t="shared" si="91"/>
        <v>7953.22</v>
      </c>
      <c r="V758" s="24">
        <f t="shared" si="3"/>
        <v>112.0171831</v>
      </c>
      <c r="W758" s="3">
        <f t="shared" si="29"/>
        <v>1</v>
      </c>
      <c r="X758" s="3">
        <f t="shared" si="30"/>
        <v>71</v>
      </c>
      <c r="Y758" s="3">
        <f t="shared" si="31"/>
        <v>71</v>
      </c>
      <c r="Z758" s="25">
        <f t="shared" si="32"/>
        <v>0</v>
      </c>
      <c r="AA758" s="26">
        <f>VLOOKUP(S758,CPI!$A$2:$E$67,5,0)</f>
        <v>1</v>
      </c>
      <c r="AB758" s="27">
        <f t="shared" si="8"/>
        <v>7953.22</v>
      </c>
      <c r="AC758" s="27">
        <f t="shared" si="9"/>
        <v>112.0171831</v>
      </c>
    </row>
    <row r="759">
      <c r="A759" s="7"/>
      <c r="B759" s="114" t="s">
        <v>1443</v>
      </c>
      <c r="C759" s="114" t="s">
        <v>1451</v>
      </c>
      <c r="D759" s="171" t="s">
        <v>253</v>
      </c>
      <c r="E759" s="114" t="s">
        <v>1476</v>
      </c>
      <c r="F759" s="116">
        <v>2021.0</v>
      </c>
      <c r="G759" s="116">
        <v>2028.0</v>
      </c>
      <c r="H759" s="116">
        <v>0.0</v>
      </c>
      <c r="I759" s="116">
        <v>4.1</v>
      </c>
      <c r="J759" s="71">
        <v>1.0</v>
      </c>
      <c r="K759" s="116">
        <v>4.1</v>
      </c>
      <c r="L759" s="114"/>
      <c r="M759" s="114"/>
      <c r="N759" s="116">
        <v>4.0</v>
      </c>
      <c r="O759" s="116">
        <v>160.0</v>
      </c>
      <c r="P759" s="114"/>
      <c r="Q759" s="73">
        <v>640800.0</v>
      </c>
      <c r="R759" s="114" t="s">
        <v>1445</v>
      </c>
      <c r="S759" s="115">
        <v>2021.0</v>
      </c>
      <c r="T759" s="85">
        <v>0.0012</v>
      </c>
      <c r="U759" s="118">
        <f t="shared" si="91"/>
        <v>768.96</v>
      </c>
      <c r="V759" s="24">
        <f t="shared" si="3"/>
        <v>187.5512195</v>
      </c>
      <c r="W759" s="3">
        <f t="shared" si="29"/>
        <v>1</v>
      </c>
      <c r="X759" s="3">
        <f t="shared" si="30"/>
        <v>4.1</v>
      </c>
      <c r="Y759" s="3">
        <f t="shared" si="31"/>
        <v>4.1</v>
      </c>
      <c r="Z759" s="25">
        <f t="shared" si="32"/>
        <v>0</v>
      </c>
      <c r="AA759" s="26">
        <f>VLOOKUP(S759,CPI!$A$2:$E$67,5,0)</f>
        <v>1.124486105</v>
      </c>
      <c r="AB759" s="27">
        <f t="shared" si="8"/>
        <v>864.6848357</v>
      </c>
      <c r="AC759" s="27">
        <f t="shared" si="9"/>
        <v>210.8987404</v>
      </c>
    </row>
    <row r="760">
      <c r="A760" s="7"/>
      <c r="B760" s="114" t="s">
        <v>1443</v>
      </c>
      <c r="C760" s="114" t="s">
        <v>1451</v>
      </c>
      <c r="D760" s="171" t="s">
        <v>228</v>
      </c>
      <c r="E760" s="114" t="s">
        <v>1478</v>
      </c>
      <c r="F760" s="116">
        <v>2022.0</v>
      </c>
      <c r="G760" s="114"/>
      <c r="H760" s="116">
        <v>0.0</v>
      </c>
      <c r="I760" s="116">
        <v>10.7</v>
      </c>
      <c r="J760" s="114"/>
      <c r="K760" s="114"/>
      <c r="L760" s="114"/>
      <c r="M760" s="114"/>
      <c r="N760" s="116">
        <v>7.0</v>
      </c>
      <c r="O760" s="116">
        <v>160.0</v>
      </c>
      <c r="P760" s="114"/>
      <c r="Q760" s="73">
        <v>1573900.0</v>
      </c>
      <c r="R760" s="114" t="s">
        <v>1445</v>
      </c>
      <c r="S760" s="115">
        <v>2021.0</v>
      </c>
      <c r="T760" s="85">
        <v>0.0012</v>
      </c>
      <c r="U760" s="118">
        <f t="shared" si="91"/>
        <v>1888.68</v>
      </c>
      <c r="V760" s="24">
        <f t="shared" si="3"/>
        <v>176.5121495</v>
      </c>
      <c r="W760" s="3">
        <f t="shared" si="29"/>
        <v>1</v>
      </c>
      <c r="X760" s="3">
        <f t="shared" si="30"/>
        <v>10.7</v>
      </c>
      <c r="Y760" s="3">
        <f t="shared" si="31"/>
        <v>0</v>
      </c>
      <c r="Z760" s="25">
        <f t="shared" si="32"/>
        <v>0</v>
      </c>
      <c r="AA760" s="26">
        <f>VLOOKUP(S760,CPI!$A$2:$E$67,5,0)</f>
        <v>1.124486105</v>
      </c>
      <c r="AB760" s="27">
        <f t="shared" si="8"/>
        <v>2123.794418</v>
      </c>
      <c r="AC760" s="27">
        <f t="shared" si="9"/>
        <v>198.4854596</v>
      </c>
    </row>
    <row r="761">
      <c r="A761" s="7"/>
      <c r="B761" s="114" t="s">
        <v>1443</v>
      </c>
      <c r="C761" s="114" t="s">
        <v>1451</v>
      </c>
      <c r="D761" s="171" t="s">
        <v>1453</v>
      </c>
      <c r="E761" s="115" t="s">
        <v>1480</v>
      </c>
      <c r="F761" s="116">
        <v>2022.0</v>
      </c>
      <c r="G761" s="114"/>
      <c r="H761" s="116">
        <v>0.0</v>
      </c>
      <c r="I761" s="116">
        <v>4.19</v>
      </c>
      <c r="J761" s="71">
        <v>1.0</v>
      </c>
      <c r="K761" s="116">
        <v>4.19</v>
      </c>
      <c r="L761" s="114"/>
      <c r="M761" s="114"/>
      <c r="N761" s="116">
        <v>1.0</v>
      </c>
      <c r="O761" s="116">
        <v>200.0</v>
      </c>
      <c r="P761" s="114"/>
      <c r="Q761" s="73">
        <v>427100.0</v>
      </c>
      <c r="R761" s="114" t="s">
        <v>1445</v>
      </c>
      <c r="S761" s="115">
        <v>2021.0</v>
      </c>
      <c r="T761" s="85">
        <v>0.0012</v>
      </c>
      <c r="U761" s="118">
        <f t="shared" si="91"/>
        <v>512.52</v>
      </c>
      <c r="V761" s="24">
        <f t="shared" si="3"/>
        <v>122.3198091</v>
      </c>
      <c r="W761" s="3">
        <f t="shared" si="29"/>
        <v>1</v>
      </c>
      <c r="X761" s="3">
        <f t="shared" si="30"/>
        <v>4.19</v>
      </c>
      <c r="Y761" s="3">
        <f t="shared" si="31"/>
        <v>4.19</v>
      </c>
      <c r="Z761" s="25">
        <f t="shared" si="32"/>
        <v>0</v>
      </c>
      <c r="AA761" s="26">
        <f>VLOOKUP(S761,CPI!$A$2:$E$67,5,0)</f>
        <v>1.124486105</v>
      </c>
      <c r="AB761" s="27">
        <f t="shared" si="8"/>
        <v>576.3216188</v>
      </c>
      <c r="AC761" s="27">
        <f t="shared" si="9"/>
        <v>137.5469257</v>
      </c>
    </row>
    <row r="762">
      <c r="A762" s="7"/>
      <c r="B762" s="114" t="s">
        <v>1443</v>
      </c>
      <c r="C762" s="114" t="s">
        <v>1451</v>
      </c>
      <c r="D762" s="171" t="s">
        <v>1453</v>
      </c>
      <c r="E762" s="115" t="s">
        <v>1482</v>
      </c>
      <c r="F762" s="116">
        <v>2022.0</v>
      </c>
      <c r="G762" s="114"/>
      <c r="H762" s="116">
        <v>0.0</v>
      </c>
      <c r="I762" s="116">
        <v>3.59</v>
      </c>
      <c r="J762" s="71">
        <v>1.0</v>
      </c>
      <c r="K762" s="116">
        <v>3.59</v>
      </c>
      <c r="L762" s="114"/>
      <c r="M762" s="114"/>
      <c r="N762" s="116">
        <v>2.0</v>
      </c>
      <c r="O762" s="116">
        <v>200.0</v>
      </c>
      <c r="P762" s="114"/>
      <c r="Q762" s="73">
        <v>356100.0</v>
      </c>
      <c r="R762" s="114" t="s">
        <v>1445</v>
      </c>
      <c r="S762" s="115">
        <v>2021.0</v>
      </c>
      <c r="T762" s="85">
        <v>0.0012</v>
      </c>
      <c r="U762" s="118">
        <f t="shared" si="91"/>
        <v>427.32</v>
      </c>
      <c r="V762" s="24">
        <f t="shared" si="3"/>
        <v>119.0306407</v>
      </c>
      <c r="W762" s="3">
        <f t="shared" si="29"/>
        <v>1</v>
      </c>
      <c r="X762" s="3">
        <f t="shared" si="30"/>
        <v>3.59</v>
      </c>
      <c r="Y762" s="3">
        <f t="shared" si="31"/>
        <v>3.59</v>
      </c>
      <c r="Z762" s="25">
        <f t="shared" si="32"/>
        <v>0</v>
      </c>
      <c r="AA762" s="26">
        <f>VLOOKUP(S762,CPI!$A$2:$E$67,5,0)</f>
        <v>1.124486105</v>
      </c>
      <c r="AB762" s="27">
        <f t="shared" si="8"/>
        <v>480.5154026</v>
      </c>
      <c r="AC762" s="27">
        <f t="shared" si="9"/>
        <v>133.8483016</v>
      </c>
    </row>
    <row r="763">
      <c r="A763" s="7"/>
      <c r="B763" s="114" t="s">
        <v>1443</v>
      </c>
      <c r="C763" s="114" t="s">
        <v>1451</v>
      </c>
      <c r="D763" s="171" t="s">
        <v>1453</v>
      </c>
      <c r="E763" s="115" t="s">
        <v>1483</v>
      </c>
      <c r="F763" s="116">
        <v>2022.0</v>
      </c>
      <c r="G763" s="114"/>
      <c r="H763" s="116">
        <v>0.0</v>
      </c>
      <c r="I763" s="116">
        <v>2.571</v>
      </c>
      <c r="J763" s="71">
        <v>1.0</v>
      </c>
      <c r="K763" s="116">
        <v>2.571</v>
      </c>
      <c r="L763" s="114"/>
      <c r="M763" s="114"/>
      <c r="N763" s="116">
        <v>1.0</v>
      </c>
      <c r="O763" s="116">
        <v>200.0</v>
      </c>
      <c r="P763" s="114"/>
      <c r="Q763" s="73">
        <v>247400.0</v>
      </c>
      <c r="R763" s="114" t="s">
        <v>1445</v>
      </c>
      <c r="S763" s="115">
        <v>2021.0</v>
      </c>
      <c r="T763" s="85">
        <v>0.0012</v>
      </c>
      <c r="U763" s="118">
        <f t="shared" si="91"/>
        <v>296.88</v>
      </c>
      <c r="V763" s="24">
        <f t="shared" si="3"/>
        <v>115.4725788</v>
      </c>
      <c r="W763" s="3">
        <f t="shared" si="29"/>
        <v>1</v>
      </c>
      <c r="X763" s="3">
        <f t="shared" si="30"/>
        <v>2.571</v>
      </c>
      <c r="Y763" s="3">
        <f t="shared" si="31"/>
        <v>2.571</v>
      </c>
      <c r="Z763" s="25">
        <f t="shared" si="32"/>
        <v>0</v>
      </c>
      <c r="AA763" s="26">
        <f>VLOOKUP(S763,CPI!$A$2:$E$67,5,0)</f>
        <v>1.124486105</v>
      </c>
      <c r="AB763" s="27">
        <f t="shared" si="8"/>
        <v>333.837435</v>
      </c>
      <c r="AC763" s="27">
        <f t="shared" si="9"/>
        <v>129.8473104</v>
      </c>
    </row>
    <row r="764">
      <c r="A764" s="38">
        <v>8225.0</v>
      </c>
      <c r="B764" s="34" t="s">
        <v>1485</v>
      </c>
      <c r="C764" s="34" t="s">
        <v>1486</v>
      </c>
      <c r="D764" s="34" t="s">
        <v>1487</v>
      </c>
      <c r="E764" s="34" t="s">
        <v>1487</v>
      </c>
      <c r="F764" s="25">
        <v>2020.0</v>
      </c>
      <c r="G764" s="25">
        <v>2025.0</v>
      </c>
      <c r="H764" s="25">
        <v>0.0</v>
      </c>
      <c r="I764" s="25">
        <v>160.0</v>
      </c>
      <c r="J764" s="50">
        <v>0.35</v>
      </c>
      <c r="K764" s="324">
        <f>I764*J764</f>
        <v>56</v>
      </c>
      <c r="L764" s="51">
        <v>0.0</v>
      </c>
      <c r="M764" s="51">
        <v>0.0</v>
      </c>
      <c r="N764" s="25">
        <v>68.0</v>
      </c>
      <c r="O764" s="25"/>
      <c r="P764" s="26" t="s">
        <v>36</v>
      </c>
      <c r="Q764" s="52">
        <v>20000.0</v>
      </c>
      <c r="R764" s="34" t="s">
        <v>37</v>
      </c>
      <c r="S764" s="25">
        <v>2020.0</v>
      </c>
      <c r="T764" s="25">
        <v>1.52</v>
      </c>
      <c r="U764" s="25">
        <f t="shared" si="91"/>
        <v>30400</v>
      </c>
      <c r="V764" s="24">
        <f t="shared" si="3"/>
        <v>190</v>
      </c>
      <c r="W764" s="3">
        <f t="shared" si="29"/>
        <v>0</v>
      </c>
      <c r="X764" s="3">
        <f t="shared" si="30"/>
        <v>0</v>
      </c>
      <c r="Y764" s="3">
        <f t="shared" si="31"/>
        <v>0</v>
      </c>
      <c r="Z764" s="25">
        <f t="shared" si="32"/>
        <v>0</v>
      </c>
      <c r="AA764" s="26">
        <f>VLOOKUP(S764,CPI!$A$2:$E$67,5,0)</f>
        <v>1.17731472</v>
      </c>
      <c r="AB764" s="27">
        <f t="shared" si="8"/>
        <v>35790.36749</v>
      </c>
      <c r="AC764" s="27">
        <f t="shared" si="9"/>
        <v>223.6897968</v>
      </c>
    </row>
    <row r="765">
      <c r="A765" s="38">
        <v>7250.0</v>
      </c>
      <c r="B765" s="26" t="s">
        <v>1489</v>
      </c>
      <c r="C765" s="26" t="s">
        <v>1490</v>
      </c>
      <c r="D765" s="26" t="s">
        <v>87</v>
      </c>
      <c r="E765" s="26" t="s">
        <v>87</v>
      </c>
      <c r="F765" s="25">
        <v>2014.0</v>
      </c>
      <c r="G765" s="25">
        <v>2020.0</v>
      </c>
      <c r="H765" s="25">
        <v>0.0</v>
      </c>
      <c r="I765" s="25">
        <v>21.5</v>
      </c>
      <c r="J765" s="50">
        <v>0.25</v>
      </c>
      <c r="K765" s="25">
        <v>5.4</v>
      </c>
      <c r="L765" s="51">
        <v>14.595</v>
      </c>
      <c r="M765" s="51">
        <v>1.53</v>
      </c>
      <c r="N765" s="25">
        <v>18.0</v>
      </c>
      <c r="O765" s="25"/>
      <c r="P765" s="26" t="s">
        <v>36</v>
      </c>
      <c r="Q765" s="52">
        <v>31500.0</v>
      </c>
      <c r="R765" s="26" t="s">
        <v>1491</v>
      </c>
      <c r="S765" s="25">
        <v>2017.0</v>
      </c>
      <c r="T765" s="25">
        <v>0.106</v>
      </c>
      <c r="U765" s="25">
        <f t="shared" si="91"/>
        <v>3339</v>
      </c>
      <c r="V765" s="24">
        <f t="shared" si="3"/>
        <v>155.3023256</v>
      </c>
      <c r="W765" s="3">
        <f t="shared" si="29"/>
        <v>0</v>
      </c>
      <c r="X765" s="3">
        <f t="shared" si="30"/>
        <v>0</v>
      </c>
      <c r="Y765" s="3">
        <f t="shared" si="31"/>
        <v>0</v>
      </c>
      <c r="Z765" s="25">
        <f t="shared" si="32"/>
        <v>0</v>
      </c>
      <c r="AA765" s="26">
        <f>VLOOKUP(S765,CPI!$A$2:$E$67,5,0)</f>
        <v>1.243072781</v>
      </c>
      <c r="AB765" s="27">
        <f t="shared" si="8"/>
        <v>4150.620015</v>
      </c>
      <c r="AC765" s="27">
        <f t="shared" si="9"/>
        <v>193.0520937</v>
      </c>
    </row>
    <row r="766">
      <c r="A766" s="38">
        <v>7227.0</v>
      </c>
      <c r="B766" s="26" t="s">
        <v>1489</v>
      </c>
      <c r="C766" s="26" t="s">
        <v>1493</v>
      </c>
      <c r="D766" s="26" t="s">
        <v>287</v>
      </c>
      <c r="E766" s="26" t="s">
        <v>287</v>
      </c>
      <c r="F766" s="25">
        <v>2008.0</v>
      </c>
      <c r="G766" s="25">
        <v>2012.0</v>
      </c>
      <c r="H766" s="25">
        <v>0.0</v>
      </c>
      <c r="I766" s="25">
        <v>24.5</v>
      </c>
      <c r="J766" s="50">
        <v>0.43</v>
      </c>
      <c r="K766" s="25">
        <v>10.5</v>
      </c>
      <c r="L766" s="51">
        <v>12.57</v>
      </c>
      <c r="M766" s="51">
        <v>1.395</v>
      </c>
      <c r="N766" s="25">
        <v>20.0</v>
      </c>
      <c r="O766" s="25"/>
      <c r="P766" s="26" t="s">
        <v>74</v>
      </c>
      <c r="Q766" s="52">
        <v>47906.0</v>
      </c>
      <c r="R766" s="26" t="s">
        <v>1491</v>
      </c>
      <c r="S766" s="25">
        <v>2010.0</v>
      </c>
      <c r="T766" s="25">
        <v>0.13</v>
      </c>
      <c r="U766" s="25">
        <f t="shared" si="91"/>
        <v>6227.78</v>
      </c>
      <c r="V766" s="24">
        <f t="shared" si="3"/>
        <v>254.195102</v>
      </c>
      <c r="W766" s="3">
        <f t="shared" si="29"/>
        <v>0</v>
      </c>
      <c r="X766" s="3">
        <f t="shared" si="30"/>
        <v>0</v>
      </c>
      <c r="Y766" s="3">
        <f t="shared" si="31"/>
        <v>0</v>
      </c>
      <c r="Z766" s="25">
        <f t="shared" si="32"/>
        <v>0</v>
      </c>
      <c r="AA766" s="26">
        <f>VLOOKUP(S766,CPI!$A$2:$E$67,5,0)</f>
        <v>1.397356642</v>
      </c>
      <c r="AB766" s="27">
        <f t="shared" si="8"/>
        <v>8702.42975</v>
      </c>
      <c r="AC766" s="27">
        <f t="shared" si="9"/>
        <v>355.2012143</v>
      </c>
    </row>
    <row r="767">
      <c r="A767" s="38">
        <v>7608.0</v>
      </c>
      <c r="B767" s="26" t="s">
        <v>1495</v>
      </c>
      <c r="C767" s="26" t="s">
        <v>1496</v>
      </c>
      <c r="D767" s="26" t="s">
        <v>1497</v>
      </c>
      <c r="E767" s="26" t="s">
        <v>1497</v>
      </c>
      <c r="F767" s="25">
        <v>2012.0</v>
      </c>
      <c r="G767" s="25">
        <v>2017.0</v>
      </c>
      <c r="H767" s="25">
        <v>0.0</v>
      </c>
      <c r="I767" s="25">
        <v>51.0</v>
      </c>
      <c r="J767" s="50">
        <v>0.19</v>
      </c>
      <c r="K767" s="25">
        <v>9.5</v>
      </c>
      <c r="L767" s="51">
        <v>0.0</v>
      </c>
      <c r="M767" s="51">
        <v>0.0</v>
      </c>
      <c r="N767" s="25">
        <v>31.0</v>
      </c>
      <c r="O767" s="25"/>
      <c r="P767" s="26" t="s">
        <v>74</v>
      </c>
      <c r="Q767" s="52">
        <v>21000.0</v>
      </c>
      <c r="R767" s="26" t="s">
        <v>1498</v>
      </c>
      <c r="S767" s="25">
        <v>2014.0</v>
      </c>
      <c r="T767" s="25">
        <v>0.7</v>
      </c>
      <c r="U767" s="25">
        <f t="shared" si="91"/>
        <v>14700</v>
      </c>
      <c r="V767" s="24">
        <f t="shared" si="3"/>
        <v>288.2352941</v>
      </c>
      <c r="W767" s="3">
        <f t="shared" si="29"/>
        <v>0</v>
      </c>
      <c r="X767" s="3">
        <f t="shared" si="30"/>
        <v>0</v>
      </c>
      <c r="Y767" s="3">
        <f t="shared" si="31"/>
        <v>0</v>
      </c>
      <c r="Z767" s="25">
        <f t="shared" si="32"/>
        <v>0</v>
      </c>
      <c r="AA767" s="26">
        <f>VLOOKUP(S767,CPI!$A$2:$E$67,5,0)</f>
        <v>1.287096175</v>
      </c>
      <c r="AB767" s="27">
        <f t="shared" si="8"/>
        <v>18920.31377</v>
      </c>
      <c r="AC767" s="27">
        <f t="shared" si="9"/>
        <v>370.9865445</v>
      </c>
    </row>
    <row r="768">
      <c r="A768" s="38">
        <v>7609.0</v>
      </c>
      <c r="B768" s="26" t="s">
        <v>1495</v>
      </c>
      <c r="C768" s="26" t="s">
        <v>1496</v>
      </c>
      <c r="D768" s="26" t="s">
        <v>1500</v>
      </c>
      <c r="E768" s="26" t="s">
        <v>1500</v>
      </c>
      <c r="F768" s="25">
        <v>2016.0</v>
      </c>
      <c r="G768" s="25">
        <v>2023.0</v>
      </c>
      <c r="H768" s="25">
        <v>0.0</v>
      </c>
      <c r="I768" s="25">
        <v>52.2</v>
      </c>
      <c r="J768" s="50">
        <v>0.26</v>
      </c>
      <c r="K768" s="25">
        <v>13.5</v>
      </c>
      <c r="L768" s="51">
        <v>0.0</v>
      </c>
      <c r="M768" s="51">
        <v>0.0</v>
      </c>
      <c r="N768" s="25">
        <v>41.0</v>
      </c>
      <c r="O768" s="25"/>
      <c r="P768" s="26" t="s">
        <v>74</v>
      </c>
      <c r="Q768" s="52">
        <v>30530.0</v>
      </c>
      <c r="R768" s="26" t="s">
        <v>1498</v>
      </c>
      <c r="S768" s="25">
        <v>2019.0</v>
      </c>
      <c r="T768" s="25">
        <v>0.7</v>
      </c>
      <c r="U768" s="25">
        <f t="shared" si="91"/>
        <v>21371</v>
      </c>
      <c r="V768" s="24">
        <f t="shared" si="3"/>
        <v>409.4061303</v>
      </c>
      <c r="W768" s="3">
        <f t="shared" si="29"/>
        <v>0</v>
      </c>
      <c r="X768" s="3">
        <f t="shared" si="30"/>
        <v>0</v>
      </c>
      <c r="Y768" s="3">
        <f t="shared" si="31"/>
        <v>0</v>
      </c>
      <c r="Z768" s="25">
        <f t="shared" si="32"/>
        <v>0</v>
      </c>
      <c r="AA768" s="26">
        <f>VLOOKUP(S768,CPI!$A$2:$E$67,5,0)</f>
        <v>1.191839066</v>
      </c>
      <c r="AB768" s="27">
        <f t="shared" si="8"/>
        <v>25470.79267</v>
      </c>
      <c r="AC768" s="27">
        <f t="shared" si="9"/>
        <v>487.9462198</v>
      </c>
    </row>
    <row r="769">
      <c r="A769" s="38">
        <v>7145.0</v>
      </c>
      <c r="B769" s="26" t="s">
        <v>1502</v>
      </c>
      <c r="C769" s="26" t="s">
        <v>1503</v>
      </c>
      <c r="D769" s="63" t="s">
        <v>1504</v>
      </c>
      <c r="E769" s="63" t="s">
        <v>1504</v>
      </c>
      <c r="F769" s="25">
        <v>2003.0</v>
      </c>
      <c r="G769" s="25">
        <v>2018.0</v>
      </c>
      <c r="H769" s="25">
        <v>0.0</v>
      </c>
      <c r="I769" s="25">
        <v>9.7</v>
      </c>
      <c r="J769" s="50">
        <v>0.73</v>
      </c>
      <c r="K769" s="25">
        <v>7.1</v>
      </c>
      <c r="L769" s="51">
        <v>0.0</v>
      </c>
      <c r="M769" s="51">
        <v>0.0</v>
      </c>
      <c r="N769" s="25">
        <v>8.0</v>
      </c>
      <c r="O769" s="25"/>
      <c r="P769" s="26" t="s">
        <v>74</v>
      </c>
      <c r="Q769" s="52">
        <v>3100.0</v>
      </c>
      <c r="R769" s="26" t="s">
        <v>52</v>
      </c>
      <c r="S769" s="25">
        <v>2009.0</v>
      </c>
      <c r="T769" s="25">
        <v>1.3</v>
      </c>
      <c r="U769" s="25">
        <f t="shared" si="91"/>
        <v>4030</v>
      </c>
      <c r="V769" s="24">
        <f t="shared" si="3"/>
        <v>415.4639175</v>
      </c>
      <c r="W769" s="3">
        <f t="shared" si="29"/>
        <v>0</v>
      </c>
      <c r="X769" s="3">
        <f t="shared" si="30"/>
        <v>0</v>
      </c>
      <c r="Y769" s="3">
        <f t="shared" si="31"/>
        <v>0</v>
      </c>
      <c r="Z769" s="25">
        <f t="shared" si="32"/>
        <v>0</v>
      </c>
      <c r="AA769" s="26">
        <f>VLOOKUP(S769,CPI!$A$2:$E$67,5,0)</f>
        <v>1.420277155</v>
      </c>
      <c r="AB769" s="27">
        <f t="shared" si="8"/>
        <v>5723.716935</v>
      </c>
      <c r="AC769" s="27">
        <f t="shared" si="9"/>
        <v>590.0739108</v>
      </c>
    </row>
    <row r="770">
      <c r="A770" s="38">
        <v>7272.0</v>
      </c>
      <c r="B770" s="26" t="s">
        <v>1506</v>
      </c>
      <c r="C770" s="26" t="s">
        <v>1507</v>
      </c>
      <c r="D770" s="26" t="s">
        <v>1508</v>
      </c>
      <c r="E770" s="26" t="s">
        <v>1508</v>
      </c>
      <c r="F770" s="25">
        <v>2013.0</v>
      </c>
      <c r="G770" s="25">
        <v>2016.0</v>
      </c>
      <c r="H770" s="25">
        <v>0.0</v>
      </c>
      <c r="I770" s="25">
        <v>1.6</v>
      </c>
      <c r="J770" s="50">
        <v>1.0</v>
      </c>
      <c r="K770" s="25">
        <v>1.6</v>
      </c>
      <c r="L770" s="51">
        <v>0.0</v>
      </c>
      <c r="M770" s="51">
        <v>0.0</v>
      </c>
      <c r="N770" s="25">
        <v>1.0</v>
      </c>
      <c r="O770" s="25"/>
      <c r="P770" s="26" t="s">
        <v>36</v>
      </c>
      <c r="Q770" s="52">
        <v>1330.0</v>
      </c>
      <c r="R770" s="26" t="s">
        <v>1509</v>
      </c>
      <c r="S770" s="25">
        <v>2014.0</v>
      </c>
      <c r="T770" s="25">
        <v>0.107</v>
      </c>
      <c r="U770" s="25">
        <f t="shared" si="91"/>
        <v>142.31</v>
      </c>
      <c r="V770" s="24">
        <f t="shared" si="3"/>
        <v>88.94375</v>
      </c>
      <c r="W770" s="3">
        <f t="shared" si="29"/>
        <v>1</v>
      </c>
      <c r="X770" s="3">
        <f t="shared" si="30"/>
        <v>1.6</v>
      </c>
      <c r="Y770" s="3">
        <f t="shared" si="31"/>
        <v>1.6</v>
      </c>
      <c r="Z770" s="25">
        <f t="shared" si="32"/>
        <v>0</v>
      </c>
      <c r="AA770" s="26">
        <f>VLOOKUP(S770,CPI!$A$2:$E$67,5,0)</f>
        <v>1.287096175</v>
      </c>
      <c r="AB770" s="27">
        <f t="shared" si="8"/>
        <v>183.1666566</v>
      </c>
      <c r="AC770" s="27">
        <f t="shared" si="9"/>
        <v>114.4791604</v>
      </c>
    </row>
    <row r="771">
      <c r="A771" s="38">
        <v>7273.0</v>
      </c>
      <c r="B771" s="26" t="s">
        <v>1506</v>
      </c>
      <c r="C771" s="26" t="s">
        <v>1507</v>
      </c>
      <c r="D771" s="26" t="s">
        <v>1511</v>
      </c>
      <c r="E771" s="26" t="s">
        <v>1511</v>
      </c>
      <c r="F771" s="25">
        <v>2020.0</v>
      </c>
      <c r="G771" s="58">
        <v>2029.0</v>
      </c>
      <c r="H771" s="25">
        <v>0.0</v>
      </c>
      <c r="I771" s="25">
        <v>8.2</v>
      </c>
      <c r="J771" s="50">
        <v>1.0</v>
      </c>
      <c r="K771" s="25">
        <v>8.2</v>
      </c>
      <c r="L771" s="51">
        <v>0.0</v>
      </c>
      <c r="M771" s="51">
        <v>0.0</v>
      </c>
      <c r="N771" s="25">
        <v>6.0</v>
      </c>
      <c r="O771" s="25"/>
      <c r="P771" s="26" t="s">
        <v>60</v>
      </c>
      <c r="Q771" s="55">
        <v>26400.0</v>
      </c>
      <c r="R771" s="26" t="s">
        <v>1509</v>
      </c>
      <c r="S771" s="58">
        <v>2021.0</v>
      </c>
      <c r="T771" s="58">
        <v>0.103</v>
      </c>
      <c r="U771" s="25">
        <f t="shared" si="91"/>
        <v>2719.2</v>
      </c>
      <c r="V771" s="24">
        <f t="shared" si="3"/>
        <v>331.6097561</v>
      </c>
      <c r="W771" s="3">
        <f t="shared" si="29"/>
        <v>1</v>
      </c>
      <c r="X771" s="3">
        <f t="shared" si="30"/>
        <v>8.2</v>
      </c>
      <c r="Y771" s="3">
        <f t="shared" si="31"/>
        <v>8.2</v>
      </c>
      <c r="Z771" s="25">
        <f t="shared" si="32"/>
        <v>0</v>
      </c>
      <c r="AA771" s="26">
        <f>VLOOKUP(S771,CPI!$A$2:$E$67,5,0)</f>
        <v>1.124486105</v>
      </c>
      <c r="AB771" s="27">
        <f t="shared" si="8"/>
        <v>3057.702618</v>
      </c>
      <c r="AC771" s="27">
        <f t="shared" si="9"/>
        <v>372.8905632</v>
      </c>
    </row>
    <row r="772">
      <c r="A772" s="38">
        <v>7435.0</v>
      </c>
      <c r="B772" s="26" t="s">
        <v>1513</v>
      </c>
      <c r="C772" s="26" t="s">
        <v>1514</v>
      </c>
      <c r="D772" s="26" t="s">
        <v>1515</v>
      </c>
      <c r="E772" s="26" t="s">
        <v>1515</v>
      </c>
      <c r="F772" s="25">
        <v>2013.0</v>
      </c>
      <c r="G772" s="25">
        <v>2024.0</v>
      </c>
      <c r="H772" s="25">
        <v>1.0</v>
      </c>
      <c r="I772" s="25">
        <v>3.5</v>
      </c>
      <c r="J772" s="50">
        <v>1.0</v>
      </c>
      <c r="K772" s="25">
        <v>3.5</v>
      </c>
      <c r="L772" s="51">
        <v>0.0</v>
      </c>
      <c r="M772" s="51">
        <v>0.0</v>
      </c>
      <c r="N772" s="25">
        <v>4.0</v>
      </c>
      <c r="O772" s="25"/>
      <c r="P772" s="26" t="s">
        <v>74</v>
      </c>
      <c r="Q772" s="52">
        <v>4419.0</v>
      </c>
      <c r="R772" s="26" t="s">
        <v>1516</v>
      </c>
      <c r="S772" s="25">
        <v>2018.0</v>
      </c>
      <c r="T772" s="25">
        <v>0.677</v>
      </c>
      <c r="U772" s="25">
        <f t="shared" si="91"/>
        <v>2991.663</v>
      </c>
      <c r="V772" s="24">
        <f t="shared" si="3"/>
        <v>854.7608571</v>
      </c>
      <c r="W772" s="3">
        <f t="shared" si="29"/>
        <v>0</v>
      </c>
      <c r="X772" s="3">
        <f t="shared" si="30"/>
        <v>0</v>
      </c>
      <c r="Y772" s="3">
        <f t="shared" si="31"/>
        <v>0</v>
      </c>
      <c r="Z772" s="25">
        <f t="shared" si="32"/>
        <v>1</v>
      </c>
      <c r="AA772" s="26">
        <f>VLOOKUP(S772,CPI!$A$2:$E$67,5,0)</f>
        <v>1.21343491</v>
      </c>
      <c r="AB772" s="27">
        <f t="shared" si="8"/>
        <v>3630.188324</v>
      </c>
      <c r="AC772" s="27">
        <f t="shared" si="9"/>
        <v>1037.196664</v>
      </c>
    </row>
    <row r="773">
      <c r="A773" s="38">
        <v>7345.0</v>
      </c>
      <c r="B773" s="26" t="s">
        <v>1518</v>
      </c>
      <c r="C773" s="26" t="s">
        <v>1519</v>
      </c>
      <c r="D773" s="326" t="s">
        <v>57</v>
      </c>
      <c r="E773" s="26" t="s">
        <v>57</v>
      </c>
      <c r="F773" s="25">
        <v>2010.0</v>
      </c>
      <c r="G773" s="25">
        <v>2014.0</v>
      </c>
      <c r="H773" s="25">
        <v>0.0</v>
      </c>
      <c r="I773" s="25">
        <v>13.7</v>
      </c>
      <c r="J773" s="50">
        <v>0.53</v>
      </c>
      <c r="K773" s="25">
        <v>7.3</v>
      </c>
      <c r="L773" s="51">
        <v>4.69</v>
      </c>
      <c r="M773" s="51">
        <v>1.749</v>
      </c>
      <c r="N773" s="25">
        <v>12.0</v>
      </c>
      <c r="O773" s="25"/>
      <c r="P773" s="26" t="s">
        <v>74</v>
      </c>
      <c r="Q773" s="52">
        <v>2009.0</v>
      </c>
      <c r="R773" s="26" t="s">
        <v>37</v>
      </c>
      <c r="S773" s="25">
        <v>2012.0</v>
      </c>
      <c r="T773" s="25">
        <v>1.74</v>
      </c>
      <c r="U773" s="25">
        <f t="shared" si="91"/>
        <v>3495.66</v>
      </c>
      <c r="V773" s="24">
        <f t="shared" si="3"/>
        <v>255.1576642</v>
      </c>
      <c r="W773" s="3">
        <f t="shared" si="29"/>
        <v>0</v>
      </c>
      <c r="X773" s="3">
        <f t="shared" si="30"/>
        <v>0</v>
      </c>
      <c r="Y773" s="3">
        <f t="shared" si="31"/>
        <v>0</v>
      </c>
      <c r="Z773" s="25">
        <f t="shared" si="32"/>
        <v>0</v>
      </c>
      <c r="AA773" s="26">
        <f>VLOOKUP(S773,CPI!$A$2:$E$67,5,0)</f>
        <v>1.327133984</v>
      </c>
      <c r="AB773" s="27">
        <f t="shared" si="8"/>
        <v>4639.209184</v>
      </c>
      <c r="AC773" s="27">
        <f t="shared" si="9"/>
        <v>338.6284076</v>
      </c>
    </row>
    <row r="774">
      <c r="A774" s="38">
        <v>7346.0</v>
      </c>
      <c r="B774" s="26" t="s">
        <v>1518</v>
      </c>
      <c r="C774" s="26" t="s">
        <v>1519</v>
      </c>
      <c r="D774" s="26" t="s">
        <v>54</v>
      </c>
      <c r="E774" s="26" t="s">
        <v>54</v>
      </c>
      <c r="F774" s="25">
        <v>2015.0</v>
      </c>
      <c r="G774" s="25">
        <v>2019.0</v>
      </c>
      <c r="H774" s="25">
        <v>0.0</v>
      </c>
      <c r="I774" s="25">
        <v>21.0</v>
      </c>
      <c r="J774" s="50">
        <v>0.0</v>
      </c>
      <c r="K774" s="25">
        <v>0.0</v>
      </c>
      <c r="L774" s="51">
        <v>21.0</v>
      </c>
      <c r="M774" s="51">
        <v>0.0</v>
      </c>
      <c r="N774" s="25">
        <v>16.0</v>
      </c>
      <c r="O774" s="25"/>
      <c r="P774" s="26" t="s">
        <v>36</v>
      </c>
      <c r="Q774" s="52">
        <v>2130.0</v>
      </c>
      <c r="R774" s="26" t="s">
        <v>37</v>
      </c>
      <c r="S774" s="25">
        <v>2017.0</v>
      </c>
      <c r="T774" s="25">
        <v>2.01</v>
      </c>
      <c r="U774" s="25">
        <f t="shared" si="91"/>
        <v>4281.3</v>
      </c>
      <c r="V774" s="24">
        <f t="shared" si="3"/>
        <v>203.8714286</v>
      </c>
      <c r="W774" s="3">
        <f t="shared" si="29"/>
        <v>0</v>
      </c>
      <c r="X774" s="3">
        <f t="shared" si="30"/>
        <v>0</v>
      </c>
      <c r="Y774" s="3">
        <f t="shared" si="31"/>
        <v>0</v>
      </c>
      <c r="Z774" s="25">
        <f t="shared" si="32"/>
        <v>0</v>
      </c>
      <c r="AA774" s="26">
        <f>VLOOKUP(S774,CPI!$A$2:$E$67,5,0)</f>
        <v>1.243072781</v>
      </c>
      <c r="AB774" s="27">
        <f t="shared" si="8"/>
        <v>5321.967496</v>
      </c>
      <c r="AC774" s="27">
        <f t="shared" si="9"/>
        <v>253.4270236</v>
      </c>
    </row>
    <row r="775">
      <c r="A775" s="38">
        <v>7347.0</v>
      </c>
      <c r="B775" s="26" t="s">
        <v>1518</v>
      </c>
      <c r="C775" s="26" t="s">
        <v>1519</v>
      </c>
      <c r="D775" s="26" t="s">
        <v>87</v>
      </c>
      <c r="E775" s="26" t="s">
        <v>87</v>
      </c>
      <c r="F775" s="25">
        <v>2020.0</v>
      </c>
      <c r="G775" s="58">
        <v>2028.0</v>
      </c>
      <c r="H775" s="25">
        <v>0.0</v>
      </c>
      <c r="I775" s="58">
        <v>24.5</v>
      </c>
      <c r="J775" s="59">
        <v>0.27</v>
      </c>
      <c r="K775" s="58">
        <v>6.5</v>
      </c>
      <c r="L775" s="58">
        <v>18.0</v>
      </c>
      <c r="M775" s="51">
        <v>0.0</v>
      </c>
      <c r="N775" s="25">
        <v>14.0</v>
      </c>
      <c r="O775" s="25"/>
      <c r="P775" s="63" t="s">
        <v>74</v>
      </c>
      <c r="Q775" s="55">
        <v>4000.0</v>
      </c>
      <c r="R775" s="63" t="s">
        <v>1522</v>
      </c>
      <c r="S775" s="58">
        <v>2024.0</v>
      </c>
      <c r="T775" s="25">
        <v>2.08</v>
      </c>
      <c r="U775" s="25">
        <f t="shared" si="91"/>
        <v>8320</v>
      </c>
      <c r="V775" s="24">
        <f t="shared" si="3"/>
        <v>339.5918367</v>
      </c>
      <c r="W775" s="3">
        <f t="shared" si="29"/>
        <v>0</v>
      </c>
      <c r="X775" s="3">
        <f t="shared" si="30"/>
        <v>0</v>
      </c>
      <c r="Y775" s="3">
        <f t="shared" si="31"/>
        <v>0</v>
      </c>
      <c r="Z775" s="25">
        <f t="shared" si="32"/>
        <v>0</v>
      </c>
      <c r="AA775" s="26">
        <f>VLOOKUP(S775,CPI!$A$2:$E$67,5,0)</f>
        <v>1</v>
      </c>
      <c r="AB775" s="27">
        <f t="shared" si="8"/>
        <v>8320</v>
      </c>
      <c r="AC775" s="27">
        <f t="shared" si="9"/>
        <v>339.5918367</v>
      </c>
    </row>
    <row r="776">
      <c r="A776" s="38">
        <v>7603.0</v>
      </c>
      <c r="B776" s="26" t="s">
        <v>1524</v>
      </c>
      <c r="C776" s="26" t="s">
        <v>1525</v>
      </c>
      <c r="D776" s="26" t="s">
        <v>54</v>
      </c>
      <c r="E776" s="26" t="s">
        <v>54</v>
      </c>
      <c r="F776" s="25">
        <v>2014.0</v>
      </c>
      <c r="G776" s="25">
        <v>2025.0</v>
      </c>
      <c r="H776" s="25">
        <v>0.0</v>
      </c>
      <c r="I776" s="25">
        <v>35.0</v>
      </c>
      <c r="J776" s="50">
        <v>1.0</v>
      </c>
      <c r="K776" s="25">
        <v>35.0</v>
      </c>
      <c r="L776" s="51">
        <v>0.0</v>
      </c>
      <c r="M776" s="51">
        <v>0.0</v>
      </c>
      <c r="N776" s="25">
        <v>35.0</v>
      </c>
      <c r="O776" s="25"/>
      <c r="P776" s="26" t="s">
        <v>36</v>
      </c>
      <c r="Q776" s="52">
        <v>5836.0</v>
      </c>
      <c r="R776" s="26" t="s">
        <v>37</v>
      </c>
      <c r="S776" s="25">
        <v>2019.0</v>
      </c>
      <c r="T776" s="25">
        <v>1.9</v>
      </c>
      <c r="U776" s="25">
        <f t="shared" si="91"/>
        <v>11088.4</v>
      </c>
      <c r="V776" s="24">
        <f t="shared" si="3"/>
        <v>316.8114286</v>
      </c>
      <c r="W776" s="3">
        <f t="shared" si="29"/>
        <v>0</v>
      </c>
      <c r="X776" s="3">
        <f t="shared" si="30"/>
        <v>0</v>
      </c>
      <c r="Y776" s="3">
        <f t="shared" si="31"/>
        <v>0</v>
      </c>
      <c r="Z776" s="25">
        <f t="shared" si="32"/>
        <v>0</v>
      </c>
      <c r="AA776" s="26">
        <f>VLOOKUP(S776,CPI!$A$2:$E$67,5,0)</f>
        <v>1.191839066</v>
      </c>
      <c r="AB776" s="27">
        <f t="shared" si="8"/>
        <v>13215.5883</v>
      </c>
      <c r="AC776" s="27">
        <f t="shared" si="9"/>
        <v>377.588237</v>
      </c>
    </row>
    <row r="777">
      <c r="A777" s="38">
        <v>7353.0</v>
      </c>
      <c r="B777" s="26" t="s">
        <v>1527</v>
      </c>
      <c r="C777" s="26" t="s">
        <v>1528</v>
      </c>
      <c r="D777" s="26" t="s">
        <v>228</v>
      </c>
      <c r="E777" s="26" t="s">
        <v>228</v>
      </c>
      <c r="F777" s="25">
        <v>2015.0</v>
      </c>
      <c r="G777" s="25">
        <v>2021.0</v>
      </c>
      <c r="H777" s="25">
        <v>0.0</v>
      </c>
      <c r="I777" s="25">
        <v>22.8</v>
      </c>
      <c r="J777" s="50">
        <v>0.15</v>
      </c>
      <c r="K777" s="25">
        <v>3.4</v>
      </c>
      <c r="L777" s="51">
        <v>0.0</v>
      </c>
      <c r="M777" s="51">
        <v>0.0</v>
      </c>
      <c r="N777" s="25">
        <v>14.0</v>
      </c>
      <c r="O777" s="25"/>
      <c r="P777" s="26" t="s">
        <v>59</v>
      </c>
      <c r="Q777" s="52">
        <v>69300.0</v>
      </c>
      <c r="R777" s="26" t="s">
        <v>1529</v>
      </c>
      <c r="S777" s="25">
        <v>2018.0</v>
      </c>
      <c r="T777" s="25">
        <v>0.055</v>
      </c>
      <c r="U777" s="25">
        <f t="shared" si="91"/>
        <v>3811.5</v>
      </c>
      <c r="V777" s="24">
        <f t="shared" si="3"/>
        <v>167.1710526</v>
      </c>
      <c r="W777" s="3">
        <f t="shared" si="29"/>
        <v>0</v>
      </c>
      <c r="X777" s="3">
        <f t="shared" si="30"/>
        <v>0</v>
      </c>
      <c r="Y777" s="3">
        <f t="shared" si="31"/>
        <v>0</v>
      </c>
      <c r="Z777" s="25">
        <f t="shared" si="32"/>
        <v>0</v>
      </c>
      <c r="AA777" s="26">
        <f>VLOOKUP(S777,CPI!$A$2:$E$67,5,0)</f>
        <v>1.21343491</v>
      </c>
      <c r="AB777" s="27">
        <f t="shared" si="8"/>
        <v>4625.00716</v>
      </c>
      <c r="AC777" s="27">
        <f t="shared" si="9"/>
        <v>202.8511912</v>
      </c>
    </row>
    <row r="778">
      <c r="A778" s="38">
        <v>7354.0</v>
      </c>
      <c r="B778" s="26" t="s">
        <v>1527</v>
      </c>
      <c r="C778" s="26" t="s">
        <v>1528</v>
      </c>
      <c r="D778" s="26" t="s">
        <v>84</v>
      </c>
      <c r="E778" s="26" t="s">
        <v>84</v>
      </c>
      <c r="F778" s="25">
        <v>2019.0</v>
      </c>
      <c r="G778" s="25">
        <v>2025.0</v>
      </c>
      <c r="H778" s="25">
        <v>0.0</v>
      </c>
      <c r="I778" s="25">
        <v>11.0</v>
      </c>
      <c r="J778" s="50">
        <v>1.0</v>
      </c>
      <c r="K778" s="25">
        <v>11.0</v>
      </c>
      <c r="L778" s="51">
        <v>0.0</v>
      </c>
      <c r="M778" s="51">
        <v>0.0</v>
      </c>
      <c r="N778" s="25">
        <v>10.0</v>
      </c>
      <c r="O778" s="25"/>
      <c r="P778" s="26" t="s">
        <v>42</v>
      </c>
      <c r="Q778" s="52">
        <v>2500.0</v>
      </c>
      <c r="R778" s="26" t="s">
        <v>37</v>
      </c>
      <c r="S778" s="25">
        <v>2022.0</v>
      </c>
      <c r="T778" s="25">
        <v>2.66</v>
      </c>
      <c r="U778" s="25">
        <f t="shared" si="91"/>
        <v>6650</v>
      </c>
      <c r="V778" s="24">
        <f t="shared" si="3"/>
        <v>604.5454545</v>
      </c>
      <c r="W778" s="3">
        <f t="shared" si="29"/>
        <v>0</v>
      </c>
      <c r="X778" s="3">
        <f t="shared" si="30"/>
        <v>0</v>
      </c>
      <c r="Y778" s="3">
        <f t="shared" si="31"/>
        <v>0</v>
      </c>
      <c r="Z778" s="25">
        <f t="shared" si="32"/>
        <v>0</v>
      </c>
      <c r="AA778" s="26">
        <f>VLOOKUP(S778,CPI!$A$2:$E$67,5,0)</f>
        <v>1.041164511</v>
      </c>
      <c r="AB778" s="27">
        <f t="shared" si="8"/>
        <v>6923.743999</v>
      </c>
      <c r="AC778" s="27">
        <f t="shared" si="9"/>
        <v>629.4312726</v>
      </c>
    </row>
    <row r="779">
      <c r="A779" s="38">
        <v>7352.0</v>
      </c>
      <c r="B779" s="26" t="s">
        <v>1527</v>
      </c>
      <c r="C779" s="26" t="s">
        <v>1528</v>
      </c>
      <c r="D779" s="26" t="s">
        <v>253</v>
      </c>
      <c r="E779" s="26" t="s">
        <v>253</v>
      </c>
      <c r="F779" s="25">
        <v>2019.0</v>
      </c>
      <c r="G779" s="25">
        <v>2025.0</v>
      </c>
      <c r="H779" s="25">
        <v>0.0</v>
      </c>
      <c r="I779" s="25">
        <v>28.3</v>
      </c>
      <c r="J779" s="50">
        <v>1.0</v>
      </c>
      <c r="K779" s="25">
        <v>28.3</v>
      </c>
      <c r="L779" s="51">
        <v>0.0</v>
      </c>
      <c r="M779" s="51">
        <v>0.0</v>
      </c>
      <c r="N779" s="25">
        <v>13.0</v>
      </c>
      <c r="O779" s="25"/>
      <c r="P779" s="26" t="s">
        <v>42</v>
      </c>
      <c r="Q779" s="52">
        <v>356960.0</v>
      </c>
      <c r="R779" s="26" t="s">
        <v>1529</v>
      </c>
      <c r="S779" s="25">
        <v>2022.0</v>
      </c>
      <c r="T779" s="25">
        <v>0.055</v>
      </c>
      <c r="U779" s="25">
        <f t="shared" si="91"/>
        <v>19632.8</v>
      </c>
      <c r="V779" s="24">
        <f t="shared" si="3"/>
        <v>693.7385159</v>
      </c>
      <c r="W779" s="3">
        <f t="shared" si="29"/>
        <v>0</v>
      </c>
      <c r="X779" s="3">
        <f t="shared" si="30"/>
        <v>0</v>
      </c>
      <c r="Y779" s="3">
        <f t="shared" si="31"/>
        <v>0</v>
      </c>
      <c r="Z779" s="25">
        <f t="shared" si="32"/>
        <v>0</v>
      </c>
      <c r="AA779" s="26">
        <f>VLOOKUP(S779,CPI!$A$2:$E$67,5,0)</f>
        <v>1.041164511</v>
      </c>
      <c r="AB779" s="27">
        <f t="shared" si="8"/>
        <v>20440.97461</v>
      </c>
      <c r="AC779" s="27">
        <f t="shared" si="9"/>
        <v>722.2959227</v>
      </c>
    </row>
    <row r="780">
      <c r="A780" s="38">
        <v>7355.0</v>
      </c>
      <c r="B780" s="26" t="s">
        <v>1527</v>
      </c>
      <c r="C780" s="26" t="s">
        <v>1528</v>
      </c>
      <c r="D780" s="26" t="s">
        <v>110</v>
      </c>
      <c r="E780" s="26" t="s">
        <v>110</v>
      </c>
      <c r="F780" s="25">
        <v>2021.0</v>
      </c>
      <c r="G780" s="25">
        <v>2025.0</v>
      </c>
      <c r="H780" s="25">
        <v>0.0</v>
      </c>
      <c r="I780" s="25">
        <v>15.6</v>
      </c>
      <c r="J780" s="50">
        <v>0.0</v>
      </c>
      <c r="K780" s="25">
        <v>0.0</v>
      </c>
      <c r="L780" s="51">
        <v>0.0</v>
      </c>
      <c r="M780" s="51">
        <v>0.0</v>
      </c>
      <c r="N780" s="25">
        <v>11.0</v>
      </c>
      <c r="O780" s="25"/>
      <c r="P780" s="26" t="s">
        <v>74</v>
      </c>
      <c r="Q780" s="52">
        <v>59300.0</v>
      </c>
      <c r="R780" s="26" t="s">
        <v>1529</v>
      </c>
      <c r="S780" s="25">
        <v>2023.0</v>
      </c>
      <c r="T780" s="25">
        <v>0.055</v>
      </c>
      <c r="U780" s="25">
        <f t="shared" si="91"/>
        <v>3261.5</v>
      </c>
      <c r="V780" s="24">
        <f t="shared" si="3"/>
        <v>209.0705128</v>
      </c>
      <c r="W780" s="3">
        <f t="shared" si="29"/>
        <v>0</v>
      </c>
      <c r="X780" s="3">
        <f t="shared" si="30"/>
        <v>0</v>
      </c>
      <c r="Y780" s="3">
        <f t="shared" si="31"/>
        <v>0</v>
      </c>
      <c r="Z780" s="25">
        <f t="shared" si="32"/>
        <v>0</v>
      </c>
      <c r="AA780" s="26">
        <f>VLOOKUP(S780,CPI!$A$2:$E$67,5,0)</f>
        <v>1</v>
      </c>
      <c r="AB780" s="27">
        <f t="shared" si="8"/>
        <v>3261.5</v>
      </c>
      <c r="AC780" s="27">
        <f t="shared" si="9"/>
        <v>209.0705128</v>
      </c>
    </row>
    <row r="781">
      <c r="A781" s="38">
        <v>7475.0</v>
      </c>
      <c r="B781" s="26" t="s">
        <v>1534</v>
      </c>
      <c r="C781" s="26" t="s">
        <v>1535</v>
      </c>
      <c r="D781" s="26" t="s">
        <v>1536</v>
      </c>
      <c r="E781" s="26" t="s">
        <v>1536</v>
      </c>
      <c r="F781" s="25">
        <v>2015.0</v>
      </c>
      <c r="G781" s="25">
        <v>2020.0</v>
      </c>
      <c r="H781" s="25">
        <v>0.0</v>
      </c>
      <c r="I781" s="25">
        <v>27.1</v>
      </c>
      <c r="J781" s="50">
        <v>0.06</v>
      </c>
      <c r="K781" s="25">
        <v>1.6</v>
      </c>
      <c r="L781" s="51">
        <v>0.0</v>
      </c>
      <c r="M781" s="51">
        <v>0.0</v>
      </c>
      <c r="N781" s="25">
        <v>26.0</v>
      </c>
      <c r="O781" s="25"/>
      <c r="P781" s="26" t="s">
        <v>74</v>
      </c>
      <c r="Q781" s="52">
        <v>183000.0</v>
      </c>
      <c r="R781" s="26" t="s">
        <v>1537</v>
      </c>
      <c r="S781" s="25">
        <v>2017.0</v>
      </c>
      <c r="T781" s="25">
        <v>0.033</v>
      </c>
      <c r="U781" s="25">
        <f t="shared" si="91"/>
        <v>6039</v>
      </c>
      <c r="V781" s="24">
        <f t="shared" si="3"/>
        <v>222.8413284</v>
      </c>
      <c r="W781" s="3">
        <f t="shared" si="29"/>
        <v>0</v>
      </c>
      <c r="X781" s="3">
        <f t="shared" si="30"/>
        <v>0</v>
      </c>
      <c r="Y781" s="3">
        <f t="shared" si="31"/>
        <v>0</v>
      </c>
      <c r="Z781" s="25">
        <f t="shared" si="32"/>
        <v>0</v>
      </c>
      <c r="AA781" s="26">
        <f>VLOOKUP(S781,CPI!$A$2:$E$67,5,0)</f>
        <v>1.243072781</v>
      </c>
      <c r="AB781" s="27">
        <f t="shared" si="8"/>
        <v>7506.916523</v>
      </c>
      <c r="AC781" s="27">
        <f t="shared" si="9"/>
        <v>277.0079898</v>
      </c>
    </row>
    <row r="782">
      <c r="A782" s="243">
        <v>11256.0</v>
      </c>
      <c r="B782" s="142" t="s">
        <v>1539</v>
      </c>
      <c r="C782" s="142" t="s">
        <v>1540</v>
      </c>
      <c r="D782" s="142" t="s">
        <v>1541</v>
      </c>
      <c r="E782" s="142" t="s">
        <v>1541</v>
      </c>
      <c r="F782" s="152">
        <v>2018.0</v>
      </c>
      <c r="G782" s="152">
        <v>2023.0</v>
      </c>
      <c r="H782" s="152">
        <v>1.0</v>
      </c>
      <c r="I782" s="152">
        <v>5.25</v>
      </c>
      <c r="J782" s="244">
        <v>1.0</v>
      </c>
      <c r="K782" s="152">
        <v>5.25</v>
      </c>
      <c r="L782" s="75">
        <v>0.0</v>
      </c>
      <c r="M782" s="75">
        <v>0.0</v>
      </c>
      <c r="N782" s="152">
        <v>2.0</v>
      </c>
      <c r="O782" s="152"/>
      <c r="P782" s="142" t="s">
        <v>74</v>
      </c>
      <c r="Q782" s="245">
        <v>1760.0</v>
      </c>
      <c r="R782" s="142" t="s">
        <v>1542</v>
      </c>
      <c r="S782" s="152">
        <v>2020.0</v>
      </c>
      <c r="T782" s="152">
        <v>0.561</v>
      </c>
      <c r="U782" s="75">
        <f t="shared" si="91"/>
        <v>987.36</v>
      </c>
      <c r="V782" s="24">
        <f t="shared" si="3"/>
        <v>188.0685714</v>
      </c>
      <c r="W782" s="3">
        <f t="shared" si="29"/>
        <v>0</v>
      </c>
      <c r="X782" s="3">
        <f t="shared" si="30"/>
        <v>0</v>
      </c>
      <c r="Y782" s="3">
        <f t="shared" si="31"/>
        <v>0</v>
      </c>
      <c r="Z782" s="25">
        <f t="shared" si="32"/>
        <v>0</v>
      </c>
      <c r="AA782" s="26">
        <f>VLOOKUP(S782,CPI!$A$2:$E$67,5,0)</f>
        <v>1.17731472</v>
      </c>
      <c r="AB782" s="27">
        <f t="shared" si="8"/>
        <v>1162.433462</v>
      </c>
      <c r="AC782" s="27">
        <f t="shared" si="9"/>
        <v>221.4158975</v>
      </c>
    </row>
    <row r="783">
      <c r="A783" s="2">
        <v>7178.0</v>
      </c>
      <c r="B783" s="2" t="s">
        <v>1539</v>
      </c>
      <c r="C783" s="2" t="s">
        <v>1544</v>
      </c>
      <c r="D783" s="1" t="s">
        <v>54</v>
      </c>
      <c r="E783" s="2" t="s">
        <v>54</v>
      </c>
      <c r="F783" s="3">
        <v>2010.0</v>
      </c>
      <c r="G783" s="3">
        <v>2015.0</v>
      </c>
      <c r="H783" s="3">
        <v>0.0</v>
      </c>
      <c r="I783" s="3">
        <v>6.5</v>
      </c>
      <c r="J783" s="50">
        <v>1.0</v>
      </c>
      <c r="K783" s="3">
        <v>6.5</v>
      </c>
      <c r="L783" s="40">
        <v>0.0</v>
      </c>
      <c r="M783" s="40">
        <v>0.0</v>
      </c>
      <c r="N783" s="3">
        <v>7.0</v>
      </c>
      <c r="O783" s="3"/>
      <c r="P783" s="2" t="s">
        <v>36</v>
      </c>
      <c r="Q783" s="3">
        <v>5900.0</v>
      </c>
      <c r="R783" s="2" t="s">
        <v>1542</v>
      </c>
      <c r="S783" s="3">
        <v>2012.0</v>
      </c>
      <c r="T783" s="3">
        <v>0.557</v>
      </c>
      <c r="U783" s="3">
        <f t="shared" si="91"/>
        <v>3286.3</v>
      </c>
      <c r="V783" s="24">
        <f t="shared" si="3"/>
        <v>505.5846154</v>
      </c>
      <c r="W783" s="3">
        <f t="shared" si="29"/>
        <v>0</v>
      </c>
      <c r="X783" s="3">
        <f t="shared" si="30"/>
        <v>0</v>
      </c>
      <c r="Y783" s="3">
        <f t="shared" si="31"/>
        <v>0</v>
      </c>
      <c r="Z783" s="25">
        <f t="shared" si="32"/>
        <v>0</v>
      </c>
      <c r="AA783" s="26">
        <f>VLOOKUP(S783,CPI!$A$2:$E$67,5,0)</f>
        <v>1.327133984</v>
      </c>
      <c r="AB783" s="27">
        <f t="shared" si="8"/>
        <v>4361.360413</v>
      </c>
      <c r="AC783" s="27">
        <f t="shared" si="9"/>
        <v>670.978525</v>
      </c>
    </row>
    <row r="784">
      <c r="A784" s="38">
        <v>7179.0</v>
      </c>
      <c r="B784" s="26" t="s">
        <v>1539</v>
      </c>
      <c r="C784" s="26" t="s">
        <v>1544</v>
      </c>
      <c r="D784" s="1" t="s">
        <v>54</v>
      </c>
      <c r="E784" s="26" t="s">
        <v>1546</v>
      </c>
      <c r="F784" s="25">
        <v>2015.0</v>
      </c>
      <c r="G784" s="25">
        <v>2019.0</v>
      </c>
      <c r="H784" s="25">
        <v>0.0</v>
      </c>
      <c r="I784" s="25">
        <v>3.1</v>
      </c>
      <c r="J784" s="50">
        <v>1.0</v>
      </c>
      <c r="K784" s="25">
        <v>3.1</v>
      </c>
      <c r="L784" s="51">
        <v>0.0</v>
      </c>
      <c r="M784" s="51">
        <v>0.0</v>
      </c>
      <c r="N784" s="25">
        <v>3.0</v>
      </c>
      <c r="O784" s="25"/>
      <c r="P784" s="26" t="s">
        <v>36</v>
      </c>
      <c r="Q784" s="52">
        <v>1070.0</v>
      </c>
      <c r="R784" s="26" t="s">
        <v>1542</v>
      </c>
      <c r="S784" s="25">
        <v>2017.0</v>
      </c>
      <c r="T784" s="25">
        <v>0.576</v>
      </c>
      <c r="U784" s="25">
        <f t="shared" si="91"/>
        <v>616.32</v>
      </c>
      <c r="V784" s="24">
        <f t="shared" si="3"/>
        <v>198.8129032</v>
      </c>
      <c r="W784" s="3">
        <f t="shared" si="29"/>
        <v>0</v>
      </c>
      <c r="X784" s="3">
        <f t="shared" si="30"/>
        <v>0</v>
      </c>
      <c r="Y784" s="3">
        <f t="shared" si="31"/>
        <v>0</v>
      </c>
      <c r="Z784" s="25">
        <f t="shared" si="32"/>
        <v>0</v>
      </c>
      <c r="AA784" s="26">
        <f>VLOOKUP(S784,CPI!$A$2:$E$67,5,0)</f>
        <v>1.243072781</v>
      </c>
      <c r="AB784" s="27">
        <f t="shared" si="8"/>
        <v>766.1306162</v>
      </c>
      <c r="AC784" s="27">
        <f t="shared" si="9"/>
        <v>247.1389084</v>
      </c>
    </row>
    <row r="785">
      <c r="A785" s="38">
        <v>7184.0</v>
      </c>
      <c r="B785" s="26" t="s">
        <v>1539</v>
      </c>
      <c r="C785" s="26" t="s">
        <v>1544</v>
      </c>
      <c r="D785" s="1" t="s">
        <v>54</v>
      </c>
      <c r="E785" s="63" t="s">
        <v>1548</v>
      </c>
      <c r="F785" s="25">
        <v>2015.0</v>
      </c>
      <c r="G785" s="25">
        <v>2020.0</v>
      </c>
      <c r="H785" s="25">
        <v>0.0</v>
      </c>
      <c r="I785" s="25">
        <v>3.4</v>
      </c>
      <c r="J785" s="50">
        <v>1.0</v>
      </c>
      <c r="K785" s="25">
        <v>3.4</v>
      </c>
      <c r="L785" s="51">
        <v>0.0</v>
      </c>
      <c r="M785" s="51">
        <v>0.0</v>
      </c>
      <c r="N785" s="25">
        <v>3.0</v>
      </c>
      <c r="O785" s="25"/>
      <c r="P785" s="26" t="s">
        <v>36</v>
      </c>
      <c r="Q785" s="52">
        <v>1148.0</v>
      </c>
      <c r="R785" s="26" t="s">
        <v>1542</v>
      </c>
      <c r="S785" s="25">
        <v>2017.0</v>
      </c>
      <c r="T785" s="25">
        <v>0.576</v>
      </c>
      <c r="U785" s="25">
        <f t="shared" si="91"/>
        <v>661.248</v>
      </c>
      <c r="V785" s="24">
        <f t="shared" si="3"/>
        <v>194.4847059</v>
      </c>
      <c r="W785" s="3">
        <f t="shared" si="29"/>
        <v>0</v>
      </c>
      <c r="X785" s="3">
        <f t="shared" si="30"/>
        <v>0</v>
      </c>
      <c r="Y785" s="3">
        <f t="shared" si="31"/>
        <v>0</v>
      </c>
      <c r="Z785" s="25">
        <f t="shared" si="32"/>
        <v>0</v>
      </c>
      <c r="AA785" s="26">
        <f>VLOOKUP(S785,CPI!$A$2:$E$67,5,0)</f>
        <v>1.243072781</v>
      </c>
      <c r="AB785" s="27">
        <f t="shared" si="8"/>
        <v>821.9793901</v>
      </c>
      <c r="AC785" s="27">
        <f t="shared" si="9"/>
        <v>241.7586441</v>
      </c>
    </row>
    <row r="786">
      <c r="A786" s="38">
        <v>7185.0</v>
      </c>
      <c r="B786" s="26" t="s">
        <v>1539</v>
      </c>
      <c r="C786" s="26" t="s">
        <v>1544</v>
      </c>
      <c r="D786" s="1" t="s">
        <v>54</v>
      </c>
      <c r="E786" s="26" t="s">
        <v>1550</v>
      </c>
      <c r="F786" s="25">
        <v>2018.0</v>
      </c>
      <c r="G786" s="25">
        <v>2022.0</v>
      </c>
      <c r="H786" s="25">
        <v>0.0</v>
      </c>
      <c r="I786" s="25">
        <v>4.0</v>
      </c>
      <c r="J786" s="50">
        <v>1.0</v>
      </c>
      <c r="K786" s="25">
        <v>4.0</v>
      </c>
      <c r="L786" s="51">
        <v>0.0</v>
      </c>
      <c r="M786" s="51">
        <v>0.0</v>
      </c>
      <c r="N786" s="25">
        <v>3.0</v>
      </c>
      <c r="O786" s="25"/>
      <c r="P786" s="26" t="s">
        <v>36</v>
      </c>
      <c r="Q786" s="52">
        <v>1400.0</v>
      </c>
      <c r="R786" s="26" t="s">
        <v>1542</v>
      </c>
      <c r="S786" s="25">
        <v>2020.0</v>
      </c>
      <c r="T786" s="25">
        <v>0.571</v>
      </c>
      <c r="U786" s="25">
        <f t="shared" si="91"/>
        <v>799.4</v>
      </c>
      <c r="V786" s="24">
        <f t="shared" si="3"/>
        <v>199.85</v>
      </c>
      <c r="W786" s="3">
        <f t="shared" si="29"/>
        <v>0</v>
      </c>
      <c r="X786" s="3">
        <f t="shared" si="30"/>
        <v>0</v>
      </c>
      <c r="Y786" s="3">
        <f t="shared" si="31"/>
        <v>0</v>
      </c>
      <c r="Z786" s="25">
        <f t="shared" si="32"/>
        <v>0</v>
      </c>
      <c r="AA786" s="26">
        <f>VLOOKUP(S786,CPI!$A$2:$E$67,5,0)</f>
        <v>1.17731472</v>
      </c>
      <c r="AB786" s="27">
        <f t="shared" si="8"/>
        <v>941.1453872</v>
      </c>
      <c r="AC786" s="27">
        <f t="shared" si="9"/>
        <v>235.2863468</v>
      </c>
    </row>
    <row r="787">
      <c r="A787" s="38">
        <v>7384.0</v>
      </c>
      <c r="B787" s="26" t="s">
        <v>1552</v>
      </c>
      <c r="C787" s="26" t="s">
        <v>1553</v>
      </c>
      <c r="D787" s="26" t="s">
        <v>1554</v>
      </c>
      <c r="E787" s="26" t="s">
        <v>1554</v>
      </c>
      <c r="F787" s="25">
        <v>2021.0</v>
      </c>
      <c r="G787" s="25">
        <v>2023.0</v>
      </c>
      <c r="H787" s="25">
        <v>0.0</v>
      </c>
      <c r="I787" s="25">
        <v>2.0</v>
      </c>
      <c r="J787" s="50">
        <v>1.0</v>
      </c>
      <c r="K787" s="25">
        <v>2.0</v>
      </c>
      <c r="L787" s="51">
        <v>0.0</v>
      </c>
      <c r="M787" s="51">
        <v>0.0</v>
      </c>
      <c r="N787" s="25">
        <v>2.0</v>
      </c>
      <c r="O787" s="25"/>
      <c r="P787" s="26" t="s">
        <v>42</v>
      </c>
      <c r="Q787" s="52">
        <v>216.0</v>
      </c>
      <c r="R787" s="26" t="s">
        <v>52</v>
      </c>
      <c r="S787" s="25">
        <v>2021.0</v>
      </c>
      <c r="T787" s="25">
        <v>1.3</v>
      </c>
      <c r="U787" s="25">
        <f t="shared" si="91"/>
        <v>280.8</v>
      </c>
      <c r="V787" s="24">
        <f t="shared" si="3"/>
        <v>140.4</v>
      </c>
      <c r="W787" s="3">
        <f t="shared" si="29"/>
        <v>1</v>
      </c>
      <c r="X787" s="3">
        <f t="shared" si="30"/>
        <v>2</v>
      </c>
      <c r="Y787" s="3">
        <f t="shared" si="31"/>
        <v>2</v>
      </c>
      <c r="Z787" s="25">
        <f t="shared" si="32"/>
        <v>0</v>
      </c>
      <c r="AA787" s="26">
        <f>VLOOKUP(S787,CPI!$A$2:$E$67,5,0)</f>
        <v>1.124486105</v>
      </c>
      <c r="AB787" s="27">
        <f t="shared" si="8"/>
        <v>315.7556984</v>
      </c>
      <c r="AC787" s="27">
        <f t="shared" si="9"/>
        <v>157.8778492</v>
      </c>
    </row>
    <row r="788">
      <c r="A788" s="38">
        <v>7385.0</v>
      </c>
      <c r="B788" s="26" t="s">
        <v>1552</v>
      </c>
      <c r="C788" s="26" t="s">
        <v>1556</v>
      </c>
      <c r="D788" s="26" t="s">
        <v>1557</v>
      </c>
      <c r="E788" s="26" t="s">
        <v>1557</v>
      </c>
      <c r="F788" s="25">
        <v>2019.0</v>
      </c>
      <c r="G788" s="58">
        <v>2025.0</v>
      </c>
      <c r="H788" s="25">
        <v>0.0</v>
      </c>
      <c r="I788" s="25">
        <v>6.0</v>
      </c>
      <c r="J788" s="50">
        <v>0.47</v>
      </c>
      <c r="K788" s="25">
        <v>2.8</v>
      </c>
      <c r="L788" s="51">
        <v>0.0</v>
      </c>
      <c r="M788" s="51">
        <v>0.0</v>
      </c>
      <c r="N788" s="25">
        <v>7.0</v>
      </c>
      <c r="O788" s="58">
        <v>70.0</v>
      </c>
      <c r="P788" s="26" t="s">
        <v>42</v>
      </c>
      <c r="Q788" s="55">
        <v>511.0</v>
      </c>
      <c r="R788" s="26" t="s">
        <v>52</v>
      </c>
      <c r="S788" s="58">
        <v>2022.0</v>
      </c>
      <c r="T788" s="58">
        <v>1.4</v>
      </c>
      <c r="U788" s="25">
        <f t="shared" si="91"/>
        <v>715.4</v>
      </c>
      <c r="V788" s="24">
        <f t="shared" si="3"/>
        <v>119.2333333</v>
      </c>
      <c r="W788" s="3">
        <f t="shared" si="29"/>
        <v>1</v>
      </c>
      <c r="X788" s="3">
        <f t="shared" si="30"/>
        <v>6</v>
      </c>
      <c r="Y788" s="3">
        <f t="shared" si="31"/>
        <v>2.8</v>
      </c>
      <c r="Z788" s="25">
        <f t="shared" si="32"/>
        <v>0</v>
      </c>
      <c r="AA788" s="26">
        <f>VLOOKUP(S788,CPI!$A$2:$E$67,5,0)</f>
        <v>1.041164511</v>
      </c>
      <c r="AB788" s="27">
        <f t="shared" si="8"/>
        <v>744.8490913</v>
      </c>
      <c r="AC788" s="27">
        <f t="shared" si="9"/>
        <v>124.1415152</v>
      </c>
    </row>
    <row r="789">
      <c r="A789" s="61">
        <v>7388.0</v>
      </c>
      <c r="B789" s="63" t="s">
        <v>1552</v>
      </c>
      <c r="C789" s="63" t="s">
        <v>1556</v>
      </c>
      <c r="D789" s="63" t="s">
        <v>1559</v>
      </c>
      <c r="E789" s="63" t="s">
        <v>1559</v>
      </c>
      <c r="F789" s="58">
        <v>2020.0</v>
      </c>
      <c r="G789" s="58">
        <v>2026.0</v>
      </c>
      <c r="H789" s="58">
        <v>0.0</v>
      </c>
      <c r="I789" s="58">
        <v>6.3</v>
      </c>
      <c r="J789" s="59">
        <v>1.0</v>
      </c>
      <c r="K789" s="58">
        <v>6.3</v>
      </c>
      <c r="L789" s="58">
        <v>0.0</v>
      </c>
      <c r="M789" s="58">
        <v>0.0</v>
      </c>
      <c r="N789" s="58">
        <v>8.0</v>
      </c>
      <c r="O789" s="58">
        <v>70.0</v>
      </c>
      <c r="P789" s="63" t="s">
        <v>74</v>
      </c>
      <c r="Q789" s="55">
        <v>488.0</v>
      </c>
      <c r="R789" s="63" t="s">
        <v>52</v>
      </c>
      <c r="S789" s="58">
        <v>2023.0</v>
      </c>
      <c r="T789" s="58">
        <v>1.4</v>
      </c>
      <c r="U789" s="25">
        <f t="shared" si="91"/>
        <v>683.2</v>
      </c>
      <c r="V789" s="24">
        <f t="shared" si="3"/>
        <v>108.4444444</v>
      </c>
      <c r="W789" s="3">
        <f t="shared" si="29"/>
        <v>1</v>
      </c>
      <c r="X789" s="3">
        <f t="shared" si="30"/>
        <v>6.3</v>
      </c>
      <c r="Y789" s="3">
        <f t="shared" si="31"/>
        <v>6.3</v>
      </c>
      <c r="Z789" s="25">
        <f t="shared" si="32"/>
        <v>0</v>
      </c>
      <c r="AA789" s="26">
        <f>VLOOKUP(S789,CPI!$A$2:$E$67,5,0)</f>
        <v>1</v>
      </c>
      <c r="AB789" s="27">
        <f t="shared" si="8"/>
        <v>683.2</v>
      </c>
      <c r="AC789" s="27">
        <f t="shared" si="9"/>
        <v>108.4444444</v>
      </c>
    </row>
    <row r="790">
      <c r="A790" s="14">
        <v>8193.0</v>
      </c>
      <c r="B790" s="15" t="s">
        <v>1561</v>
      </c>
      <c r="C790" s="15" t="s">
        <v>1562</v>
      </c>
      <c r="D790" s="15" t="s">
        <v>1563</v>
      </c>
      <c r="E790" s="15" t="s">
        <v>1563</v>
      </c>
      <c r="F790" s="17">
        <v>2013.0</v>
      </c>
      <c r="G790" s="17">
        <v>2026.0</v>
      </c>
      <c r="H790" s="17">
        <v>0.0</v>
      </c>
      <c r="I790" s="18">
        <v>124.0</v>
      </c>
      <c r="J790" s="19">
        <f>K790/I790</f>
        <v>0.8991935484</v>
      </c>
      <c r="K790" s="20">
        <v>111.5</v>
      </c>
      <c r="L790" s="21">
        <v>0.0</v>
      </c>
      <c r="M790" s="21">
        <v>0.0</v>
      </c>
      <c r="N790" s="18"/>
      <c r="O790" s="17"/>
      <c r="P790" s="22" t="s">
        <v>36</v>
      </c>
      <c r="Q790" s="23">
        <v>36000.0</v>
      </c>
      <c r="R790" s="15" t="s">
        <v>37</v>
      </c>
      <c r="S790" s="18">
        <v>2013.0</v>
      </c>
      <c r="T790" s="18">
        <v>2.5</v>
      </c>
      <c r="U790" s="18">
        <f t="shared" si="91"/>
        <v>90000</v>
      </c>
      <c r="V790" s="24">
        <f t="shared" si="3"/>
        <v>725.8064516</v>
      </c>
      <c r="W790" s="3">
        <f t="shared" si="29"/>
        <v>0</v>
      </c>
      <c r="X790" s="3">
        <f t="shared" si="30"/>
        <v>0</v>
      </c>
      <c r="Y790" s="3">
        <f t="shared" si="31"/>
        <v>0</v>
      </c>
      <c r="Z790" s="25">
        <f t="shared" si="32"/>
        <v>0</v>
      </c>
      <c r="AA790" s="26">
        <f>VLOOKUP(S790,CPI!$A$2:$E$67,5,0)</f>
        <v>1.307975292</v>
      </c>
      <c r="AB790" s="27">
        <f t="shared" si="8"/>
        <v>117717.7762</v>
      </c>
      <c r="AC790" s="27">
        <f t="shared" si="9"/>
        <v>949.3369052</v>
      </c>
    </row>
    <row r="791">
      <c r="A791" s="38">
        <v>7186.0</v>
      </c>
      <c r="B791" s="26" t="s">
        <v>1565</v>
      </c>
      <c r="C791" s="26" t="s">
        <v>1566</v>
      </c>
      <c r="D791" s="26" t="s">
        <v>84</v>
      </c>
      <c r="E791" s="26" t="s">
        <v>84</v>
      </c>
      <c r="F791" s="25">
        <v>2014.0</v>
      </c>
      <c r="G791" s="25">
        <v>2019.0</v>
      </c>
      <c r="H791" s="25">
        <v>0.0</v>
      </c>
      <c r="I791" s="25">
        <v>6.9</v>
      </c>
      <c r="J791" s="50">
        <v>1.0</v>
      </c>
      <c r="K791" s="25">
        <v>6.9</v>
      </c>
      <c r="L791" s="51">
        <v>0.0</v>
      </c>
      <c r="M791" s="51">
        <v>0.0</v>
      </c>
      <c r="N791" s="25">
        <v>10.0</v>
      </c>
      <c r="O791" s="25"/>
      <c r="P791" s="26" t="s">
        <v>60</v>
      </c>
      <c r="Q791" s="52">
        <v>3122.0</v>
      </c>
      <c r="R791" s="26" t="s">
        <v>1567</v>
      </c>
      <c r="S791" s="25">
        <v>2016.0</v>
      </c>
      <c r="T791" s="25">
        <v>0.596</v>
      </c>
      <c r="U791" s="25">
        <f t="shared" si="91"/>
        <v>1860.712</v>
      </c>
      <c r="V791" s="24">
        <f t="shared" si="3"/>
        <v>269.6684058</v>
      </c>
      <c r="W791" s="3">
        <f t="shared" si="29"/>
        <v>0</v>
      </c>
      <c r="X791" s="3">
        <f t="shared" si="30"/>
        <v>0</v>
      </c>
      <c r="Y791" s="3">
        <f t="shared" si="31"/>
        <v>0</v>
      </c>
      <c r="Z791" s="25">
        <f t="shared" si="32"/>
        <v>0</v>
      </c>
      <c r="AA791" s="26">
        <f>VLOOKUP(S791,CPI!$A$2:$E$67,5,0)</f>
        <v>1.269554638</v>
      </c>
      <c r="AB791" s="27">
        <f t="shared" si="8"/>
        <v>2362.27555</v>
      </c>
      <c r="AC791" s="27">
        <f t="shared" si="9"/>
        <v>342.3587753</v>
      </c>
    </row>
    <row r="792">
      <c r="A792" s="7"/>
      <c r="B792" s="115" t="s">
        <v>1565</v>
      </c>
      <c r="C792" s="115" t="s">
        <v>1569</v>
      </c>
      <c r="D792" s="115" t="s">
        <v>57</v>
      </c>
      <c r="E792" s="115" t="s">
        <v>57</v>
      </c>
      <c r="F792" s="82">
        <v>2024.0</v>
      </c>
      <c r="G792" s="115">
        <v>2031.0</v>
      </c>
      <c r="H792" s="82">
        <v>0.0</v>
      </c>
      <c r="I792" s="82">
        <v>21.0</v>
      </c>
      <c r="J792" s="247">
        <v>1.0</v>
      </c>
      <c r="K792" s="82">
        <v>21.0</v>
      </c>
      <c r="L792" s="115"/>
      <c r="M792" s="115"/>
      <c r="N792" s="82">
        <v>19.0</v>
      </c>
      <c r="O792" s="82"/>
      <c r="P792" s="115" t="s">
        <v>42</v>
      </c>
      <c r="Q792" s="248">
        <v>13700.0</v>
      </c>
      <c r="R792" s="115" t="s">
        <v>1567</v>
      </c>
      <c r="S792" s="115">
        <v>2023.0</v>
      </c>
      <c r="T792" s="115">
        <v>0.584</v>
      </c>
      <c r="U792" s="118">
        <f t="shared" si="91"/>
        <v>8000.8</v>
      </c>
      <c r="V792" s="24">
        <f t="shared" si="3"/>
        <v>380.9904762</v>
      </c>
      <c r="W792" s="3">
        <f t="shared" si="29"/>
        <v>0</v>
      </c>
      <c r="X792" s="3">
        <f t="shared" si="30"/>
        <v>0</v>
      </c>
      <c r="Y792" s="3">
        <f t="shared" si="31"/>
        <v>0</v>
      </c>
      <c r="Z792" s="25">
        <f t="shared" si="32"/>
        <v>0</v>
      </c>
      <c r="AA792" s="26">
        <f>VLOOKUP(S792,CPI!$A$2:$E$67,5,0)</f>
        <v>1</v>
      </c>
      <c r="AB792" s="27">
        <f t="shared" si="8"/>
        <v>8000.8</v>
      </c>
      <c r="AC792" s="27">
        <f t="shared" si="9"/>
        <v>380.9904762</v>
      </c>
    </row>
    <row r="793">
      <c r="A793" s="61">
        <v>9802.0</v>
      </c>
      <c r="B793" s="26" t="s">
        <v>1571</v>
      </c>
      <c r="C793" s="26" t="s">
        <v>1572</v>
      </c>
      <c r="D793" s="26" t="s">
        <v>1573</v>
      </c>
      <c r="E793" s="26" t="s">
        <v>1573</v>
      </c>
      <c r="F793" s="25">
        <v>2021.0</v>
      </c>
      <c r="G793" s="25">
        <v>2026.0</v>
      </c>
      <c r="H793" s="25">
        <v>0.0</v>
      </c>
      <c r="I793" s="25">
        <v>22.0</v>
      </c>
      <c r="J793" s="50">
        <v>1.0</v>
      </c>
      <c r="K793" s="25">
        <v>22.0</v>
      </c>
      <c r="L793" s="51">
        <v>0.0</v>
      </c>
      <c r="M793" s="51">
        <v>0.0</v>
      </c>
      <c r="N793" s="25">
        <v>24.0</v>
      </c>
      <c r="O793" s="25"/>
      <c r="P793" s="26" t="s">
        <v>36</v>
      </c>
      <c r="Q793" s="52">
        <v>1800.0</v>
      </c>
      <c r="R793" s="26" t="s">
        <v>52</v>
      </c>
      <c r="S793" s="25">
        <v>2023.0</v>
      </c>
      <c r="T793" s="25">
        <v>3.05</v>
      </c>
      <c r="U793" s="25">
        <f t="shared" si="91"/>
        <v>5490</v>
      </c>
      <c r="V793" s="24">
        <f t="shared" si="3"/>
        <v>249.5454545</v>
      </c>
      <c r="W793" s="3">
        <f t="shared" si="29"/>
        <v>0</v>
      </c>
      <c r="X793" s="3">
        <f t="shared" si="30"/>
        <v>0</v>
      </c>
      <c r="Y793" s="3">
        <f t="shared" si="31"/>
        <v>0</v>
      </c>
      <c r="Z793" s="25">
        <f t="shared" si="32"/>
        <v>0</v>
      </c>
      <c r="AA793" s="26">
        <f>VLOOKUP(S793,CPI!$A$2:$E$67,5,0)</f>
        <v>1</v>
      </c>
      <c r="AB793" s="27">
        <f t="shared" si="8"/>
        <v>5490</v>
      </c>
      <c r="AC793" s="27">
        <f t="shared" si="9"/>
        <v>249.5454545</v>
      </c>
    </row>
    <row r="794">
      <c r="A794" s="61">
        <v>9803.0</v>
      </c>
      <c r="B794" s="26" t="s">
        <v>1571</v>
      </c>
      <c r="C794" s="26" t="s">
        <v>1572</v>
      </c>
      <c r="D794" s="26" t="s">
        <v>1575</v>
      </c>
      <c r="E794" s="26" t="s">
        <v>1575</v>
      </c>
      <c r="F794" s="25">
        <v>2021.0</v>
      </c>
      <c r="G794" s="25">
        <v>2026.0</v>
      </c>
      <c r="H794" s="25">
        <v>0.0</v>
      </c>
      <c r="I794" s="25">
        <v>20.0</v>
      </c>
      <c r="J794" s="50">
        <v>1.0</v>
      </c>
      <c r="K794" s="25">
        <v>20.0</v>
      </c>
      <c r="L794" s="51">
        <v>0.0</v>
      </c>
      <c r="M794" s="51">
        <v>0.0</v>
      </c>
      <c r="N794" s="25">
        <v>21.0</v>
      </c>
      <c r="O794" s="25"/>
      <c r="P794" s="26" t="s">
        <v>36</v>
      </c>
      <c r="Q794" s="52">
        <v>2200.0</v>
      </c>
      <c r="R794" s="26" t="s">
        <v>52</v>
      </c>
      <c r="S794" s="25">
        <v>2023.0</v>
      </c>
      <c r="T794" s="25">
        <v>3.05</v>
      </c>
      <c r="U794" s="25">
        <f t="shared" si="91"/>
        <v>6710</v>
      </c>
      <c r="V794" s="24">
        <f t="shared" si="3"/>
        <v>335.5</v>
      </c>
      <c r="W794" s="3">
        <f t="shared" si="29"/>
        <v>0</v>
      </c>
      <c r="X794" s="3">
        <f t="shared" si="30"/>
        <v>0</v>
      </c>
      <c r="Y794" s="3">
        <f t="shared" si="31"/>
        <v>0</v>
      </c>
      <c r="Z794" s="25">
        <f t="shared" si="32"/>
        <v>0</v>
      </c>
      <c r="AA794" s="26">
        <f>VLOOKUP(S794,CPI!$A$2:$E$67,5,0)</f>
        <v>1</v>
      </c>
      <c r="AB794" s="27">
        <f t="shared" si="8"/>
        <v>6710</v>
      </c>
      <c r="AC794" s="27">
        <f t="shared" si="9"/>
        <v>335.5</v>
      </c>
    </row>
    <row r="795">
      <c r="A795" s="61">
        <v>20041.0</v>
      </c>
      <c r="B795" s="63" t="s">
        <v>1576</v>
      </c>
      <c r="C795" s="329" t="s">
        <v>1577</v>
      </c>
      <c r="D795" s="16" t="s">
        <v>57</v>
      </c>
      <c r="E795" s="26" t="s">
        <v>1578</v>
      </c>
      <c r="F795" s="58">
        <v>2000.0</v>
      </c>
      <c r="G795" s="58">
        <v>2005.0</v>
      </c>
      <c r="H795" s="58">
        <v>0.0</v>
      </c>
      <c r="I795" s="58">
        <v>6.8</v>
      </c>
      <c r="J795" s="50">
        <f t="shared" ref="J795:J812" si="93">K795/I795</f>
        <v>0.9705882353</v>
      </c>
      <c r="K795" s="58">
        <v>6.6</v>
      </c>
      <c r="L795" s="58">
        <v>0.2</v>
      </c>
      <c r="M795" s="58">
        <v>0.0</v>
      </c>
      <c r="N795" s="58">
        <v>4.0</v>
      </c>
      <c r="O795" s="58" t="s">
        <v>1579</v>
      </c>
      <c r="P795" s="63" t="s">
        <v>74</v>
      </c>
      <c r="Q795" s="55">
        <v>14000.0</v>
      </c>
      <c r="R795" s="63" t="s">
        <v>1580</v>
      </c>
      <c r="S795" s="58">
        <v>2005.0</v>
      </c>
      <c r="T795" s="25">
        <v>0.07851678</v>
      </c>
      <c r="U795" s="330">
        <f t="shared" si="91"/>
        <v>1099.23492</v>
      </c>
      <c r="V795" s="24">
        <f t="shared" si="3"/>
        <v>161.6521941</v>
      </c>
      <c r="W795" s="3">
        <f t="shared" si="29"/>
        <v>0</v>
      </c>
      <c r="X795" s="3">
        <f t="shared" si="30"/>
        <v>0</v>
      </c>
      <c r="Y795" s="3">
        <f t="shared" si="31"/>
        <v>0</v>
      </c>
      <c r="Z795" s="58">
        <v>0.0</v>
      </c>
      <c r="AA795" s="26">
        <f>VLOOKUP(S795,CPI!$A$2:$E$67,5,0)</f>
        <v>1.560174091</v>
      </c>
      <c r="AB795" s="27">
        <f t="shared" si="8"/>
        <v>1714.997842</v>
      </c>
      <c r="AC795" s="27">
        <f t="shared" si="9"/>
        <v>252.205565</v>
      </c>
    </row>
    <row r="796">
      <c r="A796" s="61">
        <v>20043.0</v>
      </c>
      <c r="B796" s="63" t="s">
        <v>1576</v>
      </c>
      <c r="C796" s="329" t="s">
        <v>1577</v>
      </c>
      <c r="D796" s="16" t="s">
        <v>57</v>
      </c>
      <c r="E796" s="26" t="s">
        <v>1583</v>
      </c>
      <c r="F796" s="58">
        <v>2006.0</v>
      </c>
      <c r="G796" s="58">
        <v>2010.0</v>
      </c>
      <c r="H796" s="58">
        <v>0.0</v>
      </c>
      <c r="I796" s="58">
        <v>2.6</v>
      </c>
      <c r="J796" s="50">
        <f t="shared" si="93"/>
        <v>1</v>
      </c>
      <c r="K796" s="58">
        <v>2.6</v>
      </c>
      <c r="L796" s="58">
        <v>0.0</v>
      </c>
      <c r="M796" s="58">
        <v>0.0</v>
      </c>
      <c r="N796" s="58">
        <v>1.0</v>
      </c>
      <c r="O796" s="58" t="s">
        <v>1579</v>
      </c>
      <c r="P796" s="63" t="s">
        <v>74</v>
      </c>
      <c r="Q796" s="55">
        <v>3000.0</v>
      </c>
      <c r="R796" s="63" t="s">
        <v>1580</v>
      </c>
      <c r="S796" s="58">
        <v>2008.0</v>
      </c>
      <c r="T796" s="58">
        <v>0.069729191</v>
      </c>
      <c r="U796" s="330">
        <f t="shared" si="91"/>
        <v>209.187573</v>
      </c>
      <c r="V796" s="24">
        <f t="shared" si="3"/>
        <v>80.45675885</v>
      </c>
      <c r="W796" s="3">
        <f t="shared" si="29"/>
        <v>0</v>
      </c>
      <c r="X796" s="3">
        <f t="shared" si="30"/>
        <v>0</v>
      </c>
      <c r="Y796" s="3">
        <f t="shared" si="31"/>
        <v>0</v>
      </c>
      <c r="Z796" s="58">
        <v>0.0</v>
      </c>
      <c r="AA796" s="26">
        <f>VLOOKUP(S796,CPI!$A$2:$E$67,5,0)</f>
        <v>1.415224126</v>
      </c>
      <c r="AB796" s="27">
        <f t="shared" si="8"/>
        <v>296.0473002</v>
      </c>
      <c r="AC796" s="27">
        <f t="shared" si="9"/>
        <v>113.8643462</v>
      </c>
    </row>
    <row r="797">
      <c r="A797" s="61">
        <v>20044.0</v>
      </c>
      <c r="B797" s="63" t="s">
        <v>1576</v>
      </c>
      <c r="C797" s="329" t="s">
        <v>1577</v>
      </c>
      <c r="D797" s="16" t="s">
        <v>57</v>
      </c>
      <c r="E797" s="26" t="s">
        <v>1585</v>
      </c>
      <c r="F797" s="58">
        <v>2009.0</v>
      </c>
      <c r="G797" s="58">
        <v>2013.0</v>
      </c>
      <c r="H797" s="58">
        <v>0.0</v>
      </c>
      <c r="I797" s="58">
        <v>4.8</v>
      </c>
      <c r="J797" s="50">
        <f t="shared" si="93"/>
        <v>1</v>
      </c>
      <c r="K797" s="58">
        <v>4.8</v>
      </c>
      <c r="L797" s="58">
        <v>0.0</v>
      </c>
      <c r="M797" s="58">
        <v>0.0</v>
      </c>
      <c r="N797" s="58">
        <v>3.0</v>
      </c>
      <c r="O797" s="58" t="s">
        <v>1579</v>
      </c>
      <c r="P797" s="63" t="s">
        <v>74</v>
      </c>
      <c r="Q797" s="55">
        <v>12000.0</v>
      </c>
      <c r="R797" s="63" t="s">
        <v>1580</v>
      </c>
      <c r="S797" s="58">
        <v>2011.0</v>
      </c>
      <c r="T797" s="58">
        <v>0.054218971</v>
      </c>
      <c r="U797" s="330">
        <f t="shared" si="91"/>
        <v>650.627652</v>
      </c>
      <c r="V797" s="24">
        <f t="shared" si="3"/>
        <v>135.5474275</v>
      </c>
      <c r="W797" s="3">
        <f t="shared" si="29"/>
        <v>0</v>
      </c>
      <c r="X797" s="3">
        <f t="shared" si="30"/>
        <v>0</v>
      </c>
      <c r="Y797" s="3">
        <f t="shared" si="31"/>
        <v>0</v>
      </c>
      <c r="Z797" s="58">
        <v>0.0</v>
      </c>
      <c r="AA797" s="26">
        <f>VLOOKUP(S797,CPI!$A$2:$E$67,5,0)</f>
        <v>1.354598358</v>
      </c>
      <c r="AB797" s="27">
        <f t="shared" si="8"/>
        <v>881.3391489</v>
      </c>
      <c r="AC797" s="27">
        <f t="shared" si="9"/>
        <v>183.6123227</v>
      </c>
    </row>
    <row r="798">
      <c r="A798" s="61">
        <v>20045.0</v>
      </c>
      <c r="B798" s="63" t="s">
        <v>1576</v>
      </c>
      <c r="C798" s="329" t="s">
        <v>1577</v>
      </c>
      <c r="D798" s="16" t="s">
        <v>57</v>
      </c>
      <c r="E798" s="26" t="s">
        <v>1586</v>
      </c>
      <c r="F798" s="58">
        <v>2015.0</v>
      </c>
      <c r="G798" s="58">
        <v>2018.0</v>
      </c>
      <c r="H798" s="58">
        <v>0.0</v>
      </c>
      <c r="I798" s="58">
        <v>1.1</v>
      </c>
      <c r="J798" s="50">
        <f t="shared" si="93"/>
        <v>1</v>
      </c>
      <c r="K798" s="58">
        <v>1.1</v>
      </c>
      <c r="L798" s="58">
        <v>0.0</v>
      </c>
      <c r="M798" s="58">
        <v>0.0</v>
      </c>
      <c r="N798" s="58">
        <v>1.0</v>
      </c>
      <c r="O798" s="58" t="s">
        <v>1579</v>
      </c>
      <c r="P798" s="63" t="s">
        <v>74</v>
      </c>
      <c r="Q798" s="55">
        <v>5200.0</v>
      </c>
      <c r="R798" s="63" t="s">
        <v>1580</v>
      </c>
      <c r="S798" s="58">
        <v>2017.0</v>
      </c>
      <c r="T798" s="25">
        <v>0.04145218</v>
      </c>
      <c r="U798" s="330">
        <f t="shared" si="91"/>
        <v>215.551336</v>
      </c>
      <c r="V798" s="24">
        <f t="shared" si="3"/>
        <v>195.95576</v>
      </c>
      <c r="W798" s="3">
        <f t="shared" si="29"/>
        <v>0</v>
      </c>
      <c r="X798" s="3">
        <f t="shared" si="30"/>
        <v>0</v>
      </c>
      <c r="Y798" s="3">
        <f t="shared" si="31"/>
        <v>0</v>
      </c>
      <c r="Z798" s="58">
        <v>0.0</v>
      </c>
      <c r="AA798" s="26">
        <f>VLOOKUP(S798,CPI!$A$2:$E$67,5,0)</f>
        <v>1.243072781</v>
      </c>
      <c r="AB798" s="27">
        <f t="shared" si="8"/>
        <v>267.9459986</v>
      </c>
      <c r="AC798" s="27">
        <f t="shared" si="9"/>
        <v>243.5872715</v>
      </c>
    </row>
    <row r="799">
      <c r="A799" s="61">
        <v>20046.0</v>
      </c>
      <c r="B799" s="63" t="s">
        <v>1576</v>
      </c>
      <c r="C799" s="329" t="s">
        <v>1577</v>
      </c>
      <c r="D799" s="16" t="s">
        <v>54</v>
      </c>
      <c r="E799" s="26" t="s">
        <v>1588</v>
      </c>
      <c r="F799" s="58">
        <v>2019.0</v>
      </c>
      <c r="G799" s="58">
        <v>2027.0</v>
      </c>
      <c r="H799" s="58">
        <v>0.0</v>
      </c>
      <c r="I799" s="58">
        <v>5.37</v>
      </c>
      <c r="J799" s="50">
        <f t="shared" si="93"/>
        <v>1</v>
      </c>
      <c r="K799" s="58">
        <v>5.37</v>
      </c>
      <c r="L799" s="58">
        <v>0.0</v>
      </c>
      <c r="M799" s="58">
        <v>0.0</v>
      </c>
      <c r="N799" s="58">
        <v>4.0</v>
      </c>
      <c r="O799" s="58" t="s">
        <v>1579</v>
      </c>
      <c r="P799" s="63" t="s">
        <v>60</v>
      </c>
      <c r="Q799" s="55">
        <v>41107.62235</v>
      </c>
      <c r="R799" s="63" t="s">
        <v>1580</v>
      </c>
      <c r="S799" s="58">
        <v>2025.0</v>
      </c>
      <c r="T799" s="25">
        <v>0.028179223</v>
      </c>
      <c r="U799" s="330">
        <f t="shared" si="91"/>
        <v>1158.380857</v>
      </c>
      <c r="V799" s="24">
        <f t="shared" si="3"/>
        <v>215.7133812</v>
      </c>
      <c r="W799" s="3">
        <f t="shared" si="29"/>
        <v>0</v>
      </c>
      <c r="X799" s="3">
        <f t="shared" si="30"/>
        <v>0</v>
      </c>
      <c r="Y799" s="3">
        <f t="shared" si="31"/>
        <v>0</v>
      </c>
      <c r="Z799" s="58">
        <v>0.0</v>
      </c>
      <c r="AA799" s="26">
        <f>VLOOKUP(S799,CPI!$A$2:$E$67,5,0)</f>
        <v>1</v>
      </c>
      <c r="AB799" s="27">
        <f t="shared" si="8"/>
        <v>1158.380857</v>
      </c>
      <c r="AC799" s="27">
        <f t="shared" si="9"/>
        <v>215.7133812</v>
      </c>
    </row>
    <row r="800">
      <c r="A800" s="61">
        <v>20057.0</v>
      </c>
      <c r="B800" s="63" t="s">
        <v>1576</v>
      </c>
      <c r="C800" s="329" t="s">
        <v>1590</v>
      </c>
      <c r="D800" s="16" t="s">
        <v>287</v>
      </c>
      <c r="E800" s="26" t="s">
        <v>1594</v>
      </c>
      <c r="F800" s="58">
        <v>1999.0</v>
      </c>
      <c r="G800" s="58">
        <v>2003.0</v>
      </c>
      <c r="H800" s="58">
        <v>0.0</v>
      </c>
      <c r="I800" s="58">
        <v>5.9</v>
      </c>
      <c r="J800" s="50">
        <f t="shared" si="93"/>
        <v>0.3389830508</v>
      </c>
      <c r="K800" s="58">
        <v>2.0</v>
      </c>
      <c r="L800" s="58">
        <v>3.9</v>
      </c>
      <c r="M800" s="58">
        <v>0.0</v>
      </c>
      <c r="N800" s="58">
        <v>5.0</v>
      </c>
      <c r="O800" s="58" t="s">
        <v>1595</v>
      </c>
      <c r="P800" s="63" t="s">
        <v>74</v>
      </c>
      <c r="Q800" s="55">
        <v>6560.0</v>
      </c>
      <c r="R800" s="63" t="s">
        <v>1580</v>
      </c>
      <c r="S800" s="58">
        <v>2003.0</v>
      </c>
      <c r="T800" s="58">
        <v>0.101350115</v>
      </c>
      <c r="U800" s="330">
        <f t="shared" si="91"/>
        <v>664.8567544</v>
      </c>
      <c r="V800" s="24">
        <f t="shared" si="3"/>
        <v>112.6875855</v>
      </c>
      <c r="W800" s="3">
        <f t="shared" si="29"/>
        <v>0</v>
      </c>
      <c r="X800" s="3">
        <f t="shared" si="30"/>
        <v>0</v>
      </c>
      <c r="Y800" s="3">
        <f t="shared" si="31"/>
        <v>0</v>
      </c>
      <c r="Z800" s="58">
        <v>0.0</v>
      </c>
      <c r="AA800" s="26">
        <f>VLOOKUP(S800,CPI!$A$2:$E$67,5,0)</f>
        <v>1.65598913</v>
      </c>
      <c r="AB800" s="27">
        <f t="shared" si="8"/>
        <v>1100.995559</v>
      </c>
      <c r="AC800" s="27">
        <f t="shared" si="9"/>
        <v>186.6094167</v>
      </c>
    </row>
    <row r="801">
      <c r="A801" s="61">
        <v>20058.0</v>
      </c>
      <c r="B801" s="63" t="s">
        <v>1576</v>
      </c>
      <c r="C801" s="329" t="s">
        <v>1590</v>
      </c>
      <c r="D801" s="16" t="s">
        <v>1598</v>
      </c>
      <c r="E801" s="26" t="s">
        <v>1599</v>
      </c>
      <c r="F801" s="58">
        <v>2001.0</v>
      </c>
      <c r="G801" s="58">
        <v>2004.0</v>
      </c>
      <c r="H801" s="58">
        <v>0.0</v>
      </c>
      <c r="I801" s="58">
        <v>5.13</v>
      </c>
      <c r="J801" s="50">
        <f t="shared" si="93"/>
        <v>0</v>
      </c>
      <c r="K801" s="58">
        <v>0.0</v>
      </c>
      <c r="L801" s="58">
        <v>5.13</v>
      </c>
      <c r="M801" s="58">
        <v>0.0</v>
      </c>
      <c r="N801" s="58">
        <v>6.0</v>
      </c>
      <c r="O801" s="58" t="s">
        <v>1600</v>
      </c>
      <c r="P801" s="63" t="s">
        <v>74</v>
      </c>
      <c r="Q801" s="55">
        <v>6335.0</v>
      </c>
      <c r="R801" s="63" t="s">
        <v>1580</v>
      </c>
      <c r="S801" s="58">
        <v>2015.0</v>
      </c>
      <c r="T801" s="58">
        <v>0.042440081</v>
      </c>
      <c r="U801" s="330">
        <f t="shared" si="91"/>
        <v>268.8579131</v>
      </c>
      <c r="V801" s="24">
        <f t="shared" si="3"/>
        <v>52.40894993</v>
      </c>
      <c r="W801" s="3">
        <f t="shared" si="29"/>
        <v>0</v>
      </c>
      <c r="X801" s="3">
        <f t="shared" si="30"/>
        <v>0</v>
      </c>
      <c r="Y801" s="3">
        <f t="shared" si="31"/>
        <v>0</v>
      </c>
      <c r="Z801" s="58">
        <v>0.0</v>
      </c>
      <c r="AA801" s="26">
        <f>VLOOKUP(S801,CPI!$A$2:$E$67,5,0)</f>
        <v>1.285570233</v>
      </c>
      <c r="AB801" s="27">
        <f t="shared" si="8"/>
        <v>345.6357301</v>
      </c>
      <c r="AC801" s="27">
        <f t="shared" si="9"/>
        <v>67.37538599</v>
      </c>
    </row>
    <row r="802">
      <c r="A802" s="61">
        <v>20059.0</v>
      </c>
      <c r="B802" s="63" t="s">
        <v>1576</v>
      </c>
      <c r="C802" s="329" t="s">
        <v>1590</v>
      </c>
      <c r="D802" s="16" t="s">
        <v>110</v>
      </c>
      <c r="E802" s="26" t="s">
        <v>1602</v>
      </c>
      <c r="F802" s="58">
        <v>2000.0</v>
      </c>
      <c r="G802" s="58">
        <v>2006.0</v>
      </c>
      <c r="H802" s="58">
        <v>0.0</v>
      </c>
      <c r="I802" s="58">
        <v>2.72</v>
      </c>
      <c r="J802" s="50">
        <f t="shared" si="93"/>
        <v>1</v>
      </c>
      <c r="K802" s="58">
        <v>2.72</v>
      </c>
      <c r="L802" s="58">
        <v>0.0</v>
      </c>
      <c r="M802" s="58">
        <v>0.0</v>
      </c>
      <c r="N802" s="58">
        <v>1.0</v>
      </c>
      <c r="O802" s="58" t="s">
        <v>1603</v>
      </c>
      <c r="P802" s="63" t="s">
        <v>74</v>
      </c>
      <c r="Q802" s="55">
        <v>5276.6</v>
      </c>
      <c r="R802" s="63" t="s">
        <v>1580</v>
      </c>
      <c r="S802" s="58">
        <v>2001.0</v>
      </c>
      <c r="T802" s="58">
        <v>0.120151627</v>
      </c>
      <c r="U802" s="330">
        <f t="shared" si="91"/>
        <v>633.992075</v>
      </c>
      <c r="V802" s="24">
        <f t="shared" si="3"/>
        <v>233.0853217</v>
      </c>
      <c r="W802" s="3">
        <f t="shared" si="29"/>
        <v>0</v>
      </c>
      <c r="X802" s="3">
        <f t="shared" si="30"/>
        <v>0</v>
      </c>
      <c r="Y802" s="3">
        <f t="shared" si="31"/>
        <v>0</v>
      </c>
      <c r="Z802" s="58">
        <v>0.0</v>
      </c>
      <c r="AA802" s="26">
        <f>VLOOKUP(S802,CPI!$A$2:$E$67,5,0)</f>
        <v>1.720508187</v>
      </c>
      <c r="AB802" s="27">
        <f t="shared" si="8"/>
        <v>1090.788556</v>
      </c>
      <c r="AC802" s="27">
        <f t="shared" si="9"/>
        <v>401.0252044</v>
      </c>
    </row>
    <row r="803">
      <c r="A803" s="61">
        <v>20060.0</v>
      </c>
      <c r="B803" s="63" t="s">
        <v>1576</v>
      </c>
      <c r="C803" s="329" t="s">
        <v>1590</v>
      </c>
      <c r="D803" s="16" t="s">
        <v>239</v>
      </c>
      <c r="E803" s="26" t="s">
        <v>1605</v>
      </c>
      <c r="F803" s="58">
        <v>2005.0</v>
      </c>
      <c r="G803" s="58">
        <v>2007.0</v>
      </c>
      <c r="H803" s="58">
        <v>0.0</v>
      </c>
      <c r="I803" s="58">
        <v>3.2</v>
      </c>
      <c r="J803" s="50">
        <f t="shared" si="93"/>
        <v>1</v>
      </c>
      <c r="K803" s="58">
        <v>3.2</v>
      </c>
      <c r="L803" s="58">
        <v>0.0</v>
      </c>
      <c r="M803" s="58">
        <v>0.0</v>
      </c>
      <c r="N803" s="58">
        <v>2.0</v>
      </c>
      <c r="O803" s="58" t="s">
        <v>1592</v>
      </c>
      <c r="P803" s="63" t="s">
        <v>60</v>
      </c>
      <c r="Q803" s="55">
        <v>13940.0</v>
      </c>
      <c r="R803" s="63" t="s">
        <v>1580</v>
      </c>
      <c r="S803" s="58">
        <v>2011.0</v>
      </c>
      <c r="T803" s="339">
        <v>0.05421897</v>
      </c>
      <c r="U803" s="330">
        <f t="shared" si="91"/>
        <v>755.8124418</v>
      </c>
      <c r="V803" s="24">
        <f t="shared" si="3"/>
        <v>236.1913881</v>
      </c>
      <c r="W803" s="3">
        <f t="shared" si="29"/>
        <v>0</v>
      </c>
      <c r="X803" s="3">
        <f t="shared" si="30"/>
        <v>0</v>
      </c>
      <c r="Y803" s="3">
        <f t="shared" si="31"/>
        <v>0</v>
      </c>
      <c r="Z803" s="58">
        <v>0.0</v>
      </c>
      <c r="AA803" s="26">
        <f>VLOOKUP(S803,CPI!$A$2:$E$67,5,0)</f>
        <v>1.354598358</v>
      </c>
      <c r="AB803" s="27">
        <f t="shared" si="8"/>
        <v>1023.822292</v>
      </c>
      <c r="AC803" s="27">
        <f t="shared" si="9"/>
        <v>319.9444664</v>
      </c>
    </row>
    <row r="804">
      <c r="A804" s="61">
        <v>20061.0</v>
      </c>
      <c r="B804" s="63" t="s">
        <v>1576</v>
      </c>
      <c r="C804" s="329" t="s">
        <v>1590</v>
      </c>
      <c r="D804" s="16" t="s">
        <v>87</v>
      </c>
      <c r="E804" s="26" t="s">
        <v>1607</v>
      </c>
      <c r="F804" s="58">
        <v>2005.0</v>
      </c>
      <c r="G804" s="58">
        <v>2008.0</v>
      </c>
      <c r="H804" s="58">
        <v>0.0</v>
      </c>
      <c r="I804" s="58">
        <v>11.49</v>
      </c>
      <c r="J804" s="50">
        <f t="shared" si="93"/>
        <v>0.9434290688</v>
      </c>
      <c r="K804" s="58">
        <v>10.84</v>
      </c>
      <c r="L804" s="58">
        <v>0.0</v>
      </c>
      <c r="M804" s="58">
        <v>0.65</v>
      </c>
      <c r="N804" s="58">
        <v>3.0</v>
      </c>
      <c r="O804" s="58" t="s">
        <v>1592</v>
      </c>
      <c r="P804" s="63" t="s">
        <v>60</v>
      </c>
      <c r="Q804" s="55">
        <v>27426.7</v>
      </c>
      <c r="R804" s="63" t="s">
        <v>1580</v>
      </c>
      <c r="S804" s="58">
        <v>2011.0</v>
      </c>
      <c r="T804" s="339">
        <v>0.05421897</v>
      </c>
      <c r="U804" s="330">
        <f t="shared" si="91"/>
        <v>1487.047424</v>
      </c>
      <c r="V804" s="24">
        <f t="shared" si="3"/>
        <v>129.4210117</v>
      </c>
      <c r="W804" s="3">
        <f t="shared" si="29"/>
        <v>0</v>
      </c>
      <c r="X804" s="3">
        <f t="shared" si="30"/>
        <v>0</v>
      </c>
      <c r="Y804" s="3">
        <f t="shared" si="31"/>
        <v>0</v>
      </c>
      <c r="Z804" s="58">
        <v>0.0</v>
      </c>
      <c r="AA804" s="26">
        <f>VLOOKUP(S804,CPI!$A$2:$E$67,5,0)</f>
        <v>1.354598358</v>
      </c>
      <c r="AB804" s="27">
        <f t="shared" si="8"/>
        <v>2014.351999</v>
      </c>
      <c r="AC804" s="27">
        <f t="shared" si="9"/>
        <v>175.3134899</v>
      </c>
    </row>
    <row r="805">
      <c r="A805" s="61">
        <v>20062.0</v>
      </c>
      <c r="B805" s="63" t="s">
        <v>1576</v>
      </c>
      <c r="C805" s="329" t="s">
        <v>1590</v>
      </c>
      <c r="D805" s="16" t="s">
        <v>87</v>
      </c>
      <c r="E805" s="26" t="s">
        <v>1609</v>
      </c>
      <c r="F805" s="58">
        <v>2007.0</v>
      </c>
      <c r="G805" s="58">
        <v>2009.0</v>
      </c>
      <c r="H805" s="58">
        <v>0.0</v>
      </c>
      <c r="I805" s="58">
        <v>8.51</v>
      </c>
      <c r="J805" s="50">
        <f t="shared" si="93"/>
        <v>1</v>
      </c>
      <c r="K805" s="58">
        <v>8.51</v>
      </c>
      <c r="L805" s="58">
        <v>0.0</v>
      </c>
      <c r="M805" s="58">
        <v>0.0</v>
      </c>
      <c r="N805" s="58">
        <v>3.0</v>
      </c>
      <c r="O805" s="58" t="s">
        <v>1592</v>
      </c>
      <c r="P805" s="63" t="s">
        <v>60</v>
      </c>
      <c r="Q805" s="55">
        <v>35485.0</v>
      </c>
      <c r="R805" s="63" t="s">
        <v>1580</v>
      </c>
      <c r="S805" s="58">
        <v>2011.0</v>
      </c>
      <c r="T805" s="339">
        <v>0.05421897</v>
      </c>
      <c r="U805" s="330">
        <f t="shared" si="91"/>
        <v>1923.96015</v>
      </c>
      <c r="V805" s="24">
        <f t="shared" si="3"/>
        <v>226.0822738</v>
      </c>
      <c r="W805" s="3">
        <f t="shared" si="29"/>
        <v>0</v>
      </c>
      <c r="X805" s="3">
        <f t="shared" si="30"/>
        <v>0</v>
      </c>
      <c r="Y805" s="3">
        <f t="shared" si="31"/>
        <v>0</v>
      </c>
      <c r="Z805" s="58">
        <v>0.0</v>
      </c>
      <c r="AA805" s="26">
        <f>VLOOKUP(S805,CPI!$A$2:$E$67,5,0)</f>
        <v>1.354598358</v>
      </c>
      <c r="AB805" s="27">
        <f t="shared" si="8"/>
        <v>2606.19326</v>
      </c>
      <c r="AC805" s="27">
        <f t="shared" si="9"/>
        <v>306.2506769</v>
      </c>
    </row>
    <row r="806">
      <c r="A806" s="61">
        <v>20063.0</v>
      </c>
      <c r="B806" s="63" t="s">
        <v>1576</v>
      </c>
      <c r="C806" s="329" t="s">
        <v>1590</v>
      </c>
      <c r="D806" s="16" t="s">
        <v>239</v>
      </c>
      <c r="E806" s="26" t="s">
        <v>1610</v>
      </c>
      <c r="F806" s="58">
        <v>2007.0</v>
      </c>
      <c r="G806" s="58">
        <v>2010.0</v>
      </c>
      <c r="H806" s="58">
        <v>0.0</v>
      </c>
      <c r="I806" s="58">
        <v>3.5</v>
      </c>
      <c r="J806" s="50">
        <f t="shared" si="93"/>
        <v>1</v>
      </c>
      <c r="K806" s="58">
        <v>3.5</v>
      </c>
      <c r="L806" s="58">
        <v>0.0</v>
      </c>
      <c r="M806" s="58">
        <v>0.0</v>
      </c>
      <c r="N806" s="58">
        <v>2.0</v>
      </c>
      <c r="O806" s="58" t="s">
        <v>1592</v>
      </c>
      <c r="P806" s="63" t="s">
        <v>60</v>
      </c>
      <c r="Q806" s="55">
        <v>27447.7</v>
      </c>
      <c r="R806" s="63" t="s">
        <v>1580</v>
      </c>
      <c r="S806" s="58">
        <v>2011.0</v>
      </c>
      <c r="T806" s="339">
        <v>0.05421897</v>
      </c>
      <c r="U806" s="330">
        <f t="shared" si="91"/>
        <v>1488.186023</v>
      </c>
      <c r="V806" s="24">
        <f t="shared" si="3"/>
        <v>425.1960065</v>
      </c>
      <c r="W806" s="3">
        <f t="shared" si="29"/>
        <v>0</v>
      </c>
      <c r="X806" s="3">
        <f t="shared" si="30"/>
        <v>0</v>
      </c>
      <c r="Y806" s="3">
        <f t="shared" si="31"/>
        <v>0</v>
      </c>
      <c r="Z806" s="58">
        <v>0.0</v>
      </c>
      <c r="AA806" s="26">
        <f>VLOOKUP(S806,CPI!$A$2:$E$67,5,0)</f>
        <v>1.354598358</v>
      </c>
      <c r="AB806" s="27">
        <f t="shared" si="8"/>
        <v>2015.894343</v>
      </c>
      <c r="AC806" s="27">
        <f t="shared" si="9"/>
        <v>575.9698122</v>
      </c>
    </row>
    <row r="807">
      <c r="A807" s="61">
        <v>20064.0</v>
      </c>
      <c r="B807" s="63" t="s">
        <v>1576</v>
      </c>
      <c r="C807" s="329" t="s">
        <v>1590</v>
      </c>
      <c r="D807" s="16" t="s">
        <v>239</v>
      </c>
      <c r="E807" s="26" t="s">
        <v>1611</v>
      </c>
      <c r="F807" s="58">
        <v>2008.0</v>
      </c>
      <c r="G807" s="58">
        <v>2011.0</v>
      </c>
      <c r="H807" s="58">
        <v>0.0</v>
      </c>
      <c r="I807" s="58">
        <v>4.2</v>
      </c>
      <c r="J807" s="50">
        <f t="shared" si="93"/>
        <v>1</v>
      </c>
      <c r="K807" s="58">
        <v>4.2</v>
      </c>
      <c r="L807" s="58">
        <v>0.0</v>
      </c>
      <c r="M807" s="58">
        <v>0.0</v>
      </c>
      <c r="N807" s="58">
        <v>3.0</v>
      </c>
      <c r="O807" s="58" t="s">
        <v>1592</v>
      </c>
      <c r="P807" s="63" t="s">
        <v>60</v>
      </c>
      <c r="Q807" s="55">
        <v>25278.6</v>
      </c>
      <c r="R807" s="63" t="s">
        <v>1580</v>
      </c>
      <c r="S807" s="58">
        <v>2011.0</v>
      </c>
      <c r="T807" s="339">
        <v>0.05421897</v>
      </c>
      <c r="U807" s="330">
        <f t="shared" si="91"/>
        <v>1370.579655</v>
      </c>
      <c r="V807" s="24">
        <f t="shared" si="3"/>
        <v>326.3284893</v>
      </c>
      <c r="W807" s="3">
        <f t="shared" si="29"/>
        <v>0</v>
      </c>
      <c r="X807" s="3">
        <f t="shared" si="30"/>
        <v>0</v>
      </c>
      <c r="Y807" s="3">
        <f t="shared" si="31"/>
        <v>0</v>
      </c>
      <c r="Z807" s="58">
        <v>0.0</v>
      </c>
      <c r="AA807" s="26">
        <f>VLOOKUP(S807,CPI!$A$2:$E$67,5,0)</f>
        <v>1.354598358</v>
      </c>
      <c r="AB807" s="27">
        <f t="shared" si="8"/>
        <v>1856.58495</v>
      </c>
      <c r="AC807" s="27">
        <f t="shared" si="9"/>
        <v>442.0440357</v>
      </c>
    </row>
    <row r="808">
      <c r="A808" s="61">
        <v>20065.0</v>
      </c>
      <c r="B808" s="63" t="s">
        <v>1576</v>
      </c>
      <c r="C808" s="329" t="s">
        <v>1590</v>
      </c>
      <c r="D808" s="16" t="s">
        <v>243</v>
      </c>
      <c r="E808" s="26" t="s">
        <v>1612</v>
      </c>
      <c r="F808" s="58">
        <v>2009.0</v>
      </c>
      <c r="G808" s="58">
        <v>2012.0</v>
      </c>
      <c r="H808" s="58">
        <v>0.0</v>
      </c>
      <c r="I808" s="58">
        <v>3.39</v>
      </c>
      <c r="J808" s="50">
        <f t="shared" si="93"/>
        <v>1</v>
      </c>
      <c r="K808" s="58">
        <v>3.39</v>
      </c>
      <c r="L808" s="58">
        <v>0.0</v>
      </c>
      <c r="M808" s="58">
        <v>0.0</v>
      </c>
      <c r="N808" s="58">
        <v>1.0</v>
      </c>
      <c r="O808" s="58" t="s">
        <v>1592</v>
      </c>
      <c r="P808" s="63" t="s">
        <v>60</v>
      </c>
      <c r="Q808" s="55">
        <v>17720.0</v>
      </c>
      <c r="R808" s="63" t="s">
        <v>1580</v>
      </c>
      <c r="S808" s="58">
        <v>2011.0</v>
      </c>
      <c r="T808" s="339">
        <v>0.05421897</v>
      </c>
      <c r="U808" s="330">
        <f t="shared" si="91"/>
        <v>960.7601484</v>
      </c>
      <c r="V808" s="24">
        <f t="shared" si="3"/>
        <v>283.4100733</v>
      </c>
      <c r="W808" s="3">
        <f t="shared" si="29"/>
        <v>0</v>
      </c>
      <c r="X808" s="3">
        <f t="shared" si="30"/>
        <v>0</v>
      </c>
      <c r="Y808" s="3">
        <f t="shared" si="31"/>
        <v>0</v>
      </c>
      <c r="Z808" s="58">
        <v>0.0</v>
      </c>
      <c r="AA808" s="26">
        <f>VLOOKUP(S808,CPI!$A$2:$E$67,5,0)</f>
        <v>1.354598358</v>
      </c>
      <c r="AB808" s="27">
        <f t="shared" si="8"/>
        <v>1301.444119</v>
      </c>
      <c r="AC808" s="27">
        <f t="shared" si="9"/>
        <v>383.9068198</v>
      </c>
    </row>
    <row r="809">
      <c r="A809" s="61">
        <v>20068.0</v>
      </c>
      <c r="B809" s="63" t="s">
        <v>1576</v>
      </c>
      <c r="C809" s="329" t="s">
        <v>1590</v>
      </c>
      <c r="D809" s="16" t="s">
        <v>54</v>
      </c>
      <c r="E809" s="63" t="s">
        <v>1613</v>
      </c>
      <c r="F809" s="58">
        <v>2011.0</v>
      </c>
      <c r="G809" s="58">
        <v>2012.0</v>
      </c>
      <c r="H809" s="58">
        <v>0.0</v>
      </c>
      <c r="I809" s="58">
        <v>4.2</v>
      </c>
      <c r="J809" s="50">
        <f t="shared" si="93"/>
        <v>1</v>
      </c>
      <c r="K809" s="58">
        <v>4.2</v>
      </c>
      <c r="L809" s="58">
        <v>0.0</v>
      </c>
      <c r="M809" s="58">
        <v>0.0</v>
      </c>
      <c r="N809" s="58">
        <v>1.0</v>
      </c>
      <c r="O809" s="58" t="s">
        <v>1592</v>
      </c>
      <c r="P809" s="63" t="s">
        <v>60</v>
      </c>
      <c r="Q809" s="55">
        <v>15800.0</v>
      </c>
      <c r="R809" s="63" t="s">
        <v>1580</v>
      </c>
      <c r="S809" s="58">
        <v>2011.0</v>
      </c>
      <c r="T809" s="25">
        <v>0.05421897</v>
      </c>
      <c r="U809" s="330">
        <f t="shared" si="91"/>
        <v>856.659726</v>
      </c>
      <c r="V809" s="24">
        <f t="shared" si="3"/>
        <v>203.9666014</v>
      </c>
      <c r="W809" s="3">
        <f t="shared" si="29"/>
        <v>0</v>
      </c>
      <c r="X809" s="3">
        <f t="shared" si="30"/>
        <v>0</v>
      </c>
      <c r="Y809" s="3">
        <f t="shared" si="31"/>
        <v>0</v>
      </c>
      <c r="Z809" s="58">
        <v>0.0</v>
      </c>
      <c r="AA809" s="26">
        <f>VLOOKUP(S809,CPI!$A$2:$E$67,5,0)</f>
        <v>1.354598358</v>
      </c>
      <c r="AB809" s="27">
        <f t="shared" si="8"/>
        <v>1160.429858</v>
      </c>
      <c r="AC809" s="27">
        <f t="shared" si="9"/>
        <v>276.2928233</v>
      </c>
    </row>
    <row r="810">
      <c r="A810" s="61">
        <v>20066.0</v>
      </c>
      <c r="B810" s="63" t="s">
        <v>1576</v>
      </c>
      <c r="C810" s="329" t="s">
        <v>1590</v>
      </c>
      <c r="D810" s="16" t="s">
        <v>87</v>
      </c>
      <c r="E810" s="26" t="s">
        <v>1615</v>
      </c>
      <c r="F810" s="58">
        <v>2011.0</v>
      </c>
      <c r="G810" s="58">
        <v>2012.0</v>
      </c>
      <c r="H810" s="58">
        <v>0.0</v>
      </c>
      <c r="I810" s="58">
        <v>1.0</v>
      </c>
      <c r="J810" s="50">
        <f t="shared" si="93"/>
        <v>1</v>
      </c>
      <c r="K810" s="58">
        <v>1.0</v>
      </c>
      <c r="L810" s="58">
        <v>0.0</v>
      </c>
      <c r="M810" s="58">
        <v>0.0</v>
      </c>
      <c r="N810" s="58">
        <v>1.0</v>
      </c>
      <c r="O810" s="58" t="s">
        <v>1592</v>
      </c>
      <c r="P810" s="63" t="s">
        <v>60</v>
      </c>
      <c r="Q810" s="339">
        <v>7296.4703</v>
      </c>
      <c r="R810" s="63" t="s">
        <v>1580</v>
      </c>
      <c r="S810" s="58">
        <v>2016.0</v>
      </c>
      <c r="T810" s="25">
        <v>0.04244008054788</v>
      </c>
      <c r="U810" s="330">
        <f t="shared" si="91"/>
        <v>309.6627872</v>
      </c>
      <c r="V810" s="24">
        <f t="shared" si="3"/>
        <v>309.6627872</v>
      </c>
      <c r="W810" s="3">
        <f t="shared" si="29"/>
        <v>0</v>
      </c>
      <c r="X810" s="3">
        <f t="shared" si="30"/>
        <v>0</v>
      </c>
      <c r="Y810" s="3">
        <f t="shared" si="31"/>
        <v>0</v>
      </c>
      <c r="Z810" s="58">
        <v>0.0</v>
      </c>
      <c r="AA810" s="26">
        <f>VLOOKUP(S810,CPI!$A$2:$E$67,5,0)</f>
        <v>1.269554638</v>
      </c>
      <c r="AB810" s="27">
        <f t="shared" si="8"/>
        <v>393.1338278</v>
      </c>
      <c r="AC810" s="27">
        <f t="shared" si="9"/>
        <v>393.1338278</v>
      </c>
    </row>
    <row r="811">
      <c r="A811" s="61">
        <v>20021.0</v>
      </c>
      <c r="B811" s="63" t="s">
        <v>1576</v>
      </c>
      <c r="C811" s="329" t="s">
        <v>1590</v>
      </c>
      <c r="D811" s="16" t="s">
        <v>228</v>
      </c>
      <c r="E811" s="63" t="s">
        <v>1616</v>
      </c>
      <c r="F811" s="58">
        <v>2011.0</v>
      </c>
      <c r="G811" s="58">
        <v>2013.0</v>
      </c>
      <c r="H811" s="58">
        <v>0.0</v>
      </c>
      <c r="I811" s="58">
        <v>5.18</v>
      </c>
      <c r="J811" s="50">
        <f t="shared" si="93"/>
        <v>0.9324324324</v>
      </c>
      <c r="K811" s="58">
        <v>4.83</v>
      </c>
      <c r="L811" s="58">
        <v>0.0</v>
      </c>
      <c r="M811" s="58">
        <v>0.35</v>
      </c>
      <c r="N811" s="58">
        <v>2.0</v>
      </c>
      <c r="O811" s="58" t="s">
        <v>1617</v>
      </c>
      <c r="P811" s="63" t="s">
        <v>60</v>
      </c>
      <c r="Q811" s="339">
        <v>28457.0164</v>
      </c>
      <c r="R811" s="63" t="s">
        <v>1580</v>
      </c>
      <c r="S811" s="58">
        <v>2015.0</v>
      </c>
      <c r="T811" s="25">
        <v>0.04828079208377</v>
      </c>
      <c r="U811" s="330">
        <f t="shared" si="91"/>
        <v>1373.927292</v>
      </c>
      <c r="V811" s="24">
        <f t="shared" si="3"/>
        <v>265.236929</v>
      </c>
      <c r="W811" s="3">
        <f t="shared" si="29"/>
        <v>0</v>
      </c>
      <c r="X811" s="3">
        <f t="shared" si="30"/>
        <v>0</v>
      </c>
      <c r="Y811" s="3">
        <f t="shared" si="31"/>
        <v>0</v>
      </c>
      <c r="Z811" s="58">
        <v>0.0</v>
      </c>
      <c r="AA811" s="26">
        <f>VLOOKUP(S811,CPI!$A$2:$E$67,5,0)</f>
        <v>1.285570233</v>
      </c>
      <c r="AB811" s="27">
        <f t="shared" si="8"/>
        <v>1766.28003</v>
      </c>
      <c r="AC811" s="27">
        <f t="shared" si="9"/>
        <v>340.9807007</v>
      </c>
    </row>
    <row r="812">
      <c r="A812" s="61">
        <v>20067.0</v>
      </c>
      <c r="B812" s="63" t="s">
        <v>1576</v>
      </c>
      <c r="C812" s="329" t="s">
        <v>1590</v>
      </c>
      <c r="D812" s="16" t="s">
        <v>287</v>
      </c>
      <c r="E812" s="26" t="s">
        <v>1619</v>
      </c>
      <c r="F812" s="58">
        <v>2010.0</v>
      </c>
      <c r="G812" s="58">
        <v>2014.0</v>
      </c>
      <c r="H812" s="58">
        <v>0.0</v>
      </c>
      <c r="I812" s="58">
        <v>4.52</v>
      </c>
      <c r="J812" s="50">
        <f t="shared" si="93"/>
        <v>1</v>
      </c>
      <c r="K812" s="58">
        <v>4.52</v>
      </c>
      <c r="L812" s="58">
        <v>0.0</v>
      </c>
      <c r="M812" s="58">
        <v>0.0</v>
      </c>
      <c r="N812" s="58">
        <v>2.0</v>
      </c>
      <c r="O812" s="58" t="s">
        <v>1595</v>
      </c>
      <c r="P812" s="63" t="s">
        <v>60</v>
      </c>
      <c r="Q812" s="339">
        <v>20528.4965</v>
      </c>
      <c r="R812" s="63" t="s">
        <v>1580</v>
      </c>
      <c r="S812" s="58">
        <v>2017.0</v>
      </c>
      <c r="T812" s="25">
        <v>0.04929274758182</v>
      </c>
      <c r="U812" s="330">
        <f t="shared" si="91"/>
        <v>1011.905996</v>
      </c>
      <c r="V812" s="24">
        <f t="shared" si="3"/>
        <v>223.873008</v>
      </c>
      <c r="W812" s="3">
        <f t="shared" si="29"/>
        <v>0</v>
      </c>
      <c r="X812" s="3">
        <f t="shared" si="30"/>
        <v>0</v>
      </c>
      <c r="Y812" s="3">
        <f t="shared" si="31"/>
        <v>0</v>
      </c>
      <c r="Z812" s="58">
        <v>0.0</v>
      </c>
      <c r="AA812" s="26">
        <f>VLOOKUP(S812,CPI!$A$2:$E$67,5,0)</f>
        <v>1.243072781</v>
      </c>
      <c r="AB812" s="27">
        <f t="shared" si="8"/>
        <v>1257.8728</v>
      </c>
      <c r="AC812" s="27">
        <f t="shared" si="9"/>
        <v>278.2904426</v>
      </c>
    </row>
    <row r="813">
      <c r="A813" s="61">
        <v>20004.0</v>
      </c>
      <c r="B813" s="63" t="s">
        <v>1576</v>
      </c>
      <c r="C813" s="329" t="s">
        <v>1590</v>
      </c>
      <c r="D813" s="16" t="s">
        <v>1620</v>
      </c>
      <c r="E813" s="63" t="s">
        <v>1621</v>
      </c>
      <c r="F813" s="58">
        <v>2012.0</v>
      </c>
      <c r="G813" s="58">
        <v>2014.0</v>
      </c>
      <c r="H813" s="58">
        <v>0.0</v>
      </c>
      <c r="I813" s="58">
        <v>3.35</v>
      </c>
      <c r="J813" s="50">
        <v>1.0</v>
      </c>
      <c r="K813" s="58">
        <v>3.35</v>
      </c>
      <c r="L813" s="58">
        <v>0.0</v>
      </c>
      <c r="M813" s="58">
        <v>0.0</v>
      </c>
      <c r="N813" s="58">
        <v>0.0</v>
      </c>
      <c r="O813" s="58" t="s">
        <v>1622</v>
      </c>
      <c r="P813" s="63" t="s">
        <v>60</v>
      </c>
      <c r="Q813" s="339">
        <v>35534.0</v>
      </c>
      <c r="R813" s="63" t="s">
        <v>1580</v>
      </c>
      <c r="S813" s="58">
        <v>2024.0</v>
      </c>
      <c r="T813" s="25">
        <v>0.04434558355556</v>
      </c>
      <c r="U813" s="330">
        <f t="shared" si="91"/>
        <v>1575.775966</v>
      </c>
      <c r="V813" s="24">
        <f t="shared" si="3"/>
        <v>470.3808854</v>
      </c>
      <c r="W813" s="3">
        <f t="shared" si="29"/>
        <v>0</v>
      </c>
      <c r="X813" s="3">
        <f t="shared" si="30"/>
        <v>0</v>
      </c>
      <c r="Y813" s="3">
        <f t="shared" si="31"/>
        <v>0</v>
      </c>
      <c r="Z813" s="58">
        <v>0.0</v>
      </c>
      <c r="AA813" s="26">
        <f>VLOOKUP(S813,CPI!$A$2:$E$67,5,0)</f>
        <v>1</v>
      </c>
      <c r="AB813" s="27">
        <f t="shared" si="8"/>
        <v>1575.775966</v>
      </c>
      <c r="AC813" s="27">
        <f t="shared" si="9"/>
        <v>470.3808854</v>
      </c>
    </row>
    <row r="814">
      <c r="A814" s="61">
        <v>20022.0</v>
      </c>
      <c r="B814" s="63" t="s">
        <v>1576</v>
      </c>
      <c r="C814" s="329" t="s">
        <v>1590</v>
      </c>
      <c r="D814" s="16" t="s">
        <v>228</v>
      </c>
      <c r="E814" s="63" t="s">
        <v>1625</v>
      </c>
      <c r="F814" s="58">
        <v>2012.0</v>
      </c>
      <c r="G814" s="58">
        <v>2015.0</v>
      </c>
      <c r="H814" s="58">
        <v>0.0</v>
      </c>
      <c r="I814" s="58">
        <v>1.54</v>
      </c>
      <c r="J814" s="50">
        <f t="shared" ref="J814:J815" si="94">K814/I814</f>
        <v>1</v>
      </c>
      <c r="K814" s="58">
        <v>1.54</v>
      </c>
      <c r="L814" s="58">
        <v>0.0</v>
      </c>
      <c r="M814" s="58">
        <v>0.0</v>
      </c>
      <c r="N814" s="58">
        <v>1.0</v>
      </c>
      <c r="O814" s="58" t="s">
        <v>1617</v>
      </c>
      <c r="P814" s="63" t="s">
        <v>60</v>
      </c>
      <c r="Q814" s="339">
        <v>10343.43</v>
      </c>
      <c r="R814" s="63" t="s">
        <v>1580</v>
      </c>
      <c r="S814" s="58">
        <v>2015.0</v>
      </c>
      <c r="T814" s="25">
        <v>0.04453936975297</v>
      </c>
      <c r="U814" s="330">
        <f t="shared" si="91"/>
        <v>460.6898533</v>
      </c>
      <c r="V814" s="24">
        <f t="shared" si="3"/>
        <v>299.1492554</v>
      </c>
      <c r="W814" s="3">
        <f t="shared" si="29"/>
        <v>0</v>
      </c>
      <c r="X814" s="3">
        <f t="shared" si="30"/>
        <v>0</v>
      </c>
      <c r="Y814" s="3">
        <f t="shared" si="31"/>
        <v>0</v>
      </c>
      <c r="Z814" s="58">
        <v>0.0</v>
      </c>
      <c r="AA814" s="26">
        <f>VLOOKUP(S814,CPI!$A$2:$E$67,5,0)</f>
        <v>1.285570233</v>
      </c>
      <c r="AB814" s="27">
        <f t="shared" si="8"/>
        <v>592.2491622</v>
      </c>
      <c r="AC814" s="27">
        <f t="shared" si="9"/>
        <v>384.577378</v>
      </c>
    </row>
    <row r="815">
      <c r="A815" s="61">
        <v>20009.0</v>
      </c>
      <c r="B815" s="63" t="s">
        <v>1576</v>
      </c>
      <c r="C815" s="329" t="s">
        <v>1590</v>
      </c>
      <c r="D815" s="16" t="s">
        <v>57</v>
      </c>
      <c r="E815" s="63" t="s">
        <v>1627</v>
      </c>
      <c r="F815" s="58">
        <v>2011.0</v>
      </c>
      <c r="G815" s="58">
        <v>2016.0</v>
      </c>
      <c r="H815" s="58">
        <v>0.0</v>
      </c>
      <c r="I815" s="58">
        <v>6.83</v>
      </c>
      <c r="J815" s="50">
        <f t="shared" si="94"/>
        <v>1</v>
      </c>
      <c r="K815" s="58">
        <v>6.83</v>
      </c>
      <c r="L815" s="58">
        <v>0.0</v>
      </c>
      <c r="M815" s="58">
        <v>0.0</v>
      </c>
      <c r="N815" s="58">
        <v>3.0</v>
      </c>
      <c r="O815" s="58" t="s">
        <v>1628</v>
      </c>
      <c r="P815" s="63" t="s">
        <v>60</v>
      </c>
      <c r="Q815" s="339">
        <v>42194.3627</v>
      </c>
      <c r="R815" s="63" t="s">
        <v>1580</v>
      </c>
      <c r="S815" s="58">
        <v>2024.0</v>
      </c>
      <c r="T815" s="25">
        <v>0.04440198056778</v>
      </c>
      <c r="U815" s="330">
        <f t="shared" si="91"/>
        <v>1873.513273</v>
      </c>
      <c r="V815" s="24">
        <f t="shared" si="3"/>
        <v>274.3064821</v>
      </c>
      <c r="W815" s="3">
        <f t="shared" si="29"/>
        <v>0</v>
      </c>
      <c r="X815" s="3">
        <f t="shared" si="30"/>
        <v>0</v>
      </c>
      <c r="Y815" s="3">
        <f t="shared" si="31"/>
        <v>0</v>
      </c>
      <c r="Z815" s="58">
        <v>0.0</v>
      </c>
      <c r="AA815" s="26">
        <f>VLOOKUP(S815,CPI!$A$2:$E$67,5,0)</f>
        <v>1</v>
      </c>
      <c r="AB815" s="27">
        <f t="shared" si="8"/>
        <v>1873.513273</v>
      </c>
      <c r="AC815" s="27">
        <f t="shared" si="9"/>
        <v>274.3064821</v>
      </c>
    </row>
    <row r="816">
      <c r="A816" s="61">
        <v>20005.0</v>
      </c>
      <c r="B816" s="63" t="s">
        <v>1576</v>
      </c>
      <c r="C816" s="329" t="s">
        <v>1590</v>
      </c>
      <c r="D816" s="16" t="s">
        <v>1620</v>
      </c>
      <c r="E816" s="63" t="s">
        <v>1629</v>
      </c>
      <c r="F816" s="58">
        <v>2012.0</v>
      </c>
      <c r="G816" s="58">
        <v>2017.0</v>
      </c>
      <c r="H816" s="58">
        <v>0.0</v>
      </c>
      <c r="I816" s="58">
        <v>7.25</v>
      </c>
      <c r="J816" s="50">
        <v>1.0</v>
      </c>
      <c r="K816" s="58">
        <v>7.25</v>
      </c>
      <c r="L816" s="58">
        <v>0.0</v>
      </c>
      <c r="M816" s="58">
        <v>0.0</v>
      </c>
      <c r="N816" s="58">
        <v>3.0</v>
      </c>
      <c r="O816" s="58" t="s">
        <v>1617</v>
      </c>
      <c r="P816" s="63" t="s">
        <v>60</v>
      </c>
      <c r="Q816" s="339">
        <v>63274.0</v>
      </c>
      <c r="R816" s="63" t="s">
        <v>1580</v>
      </c>
      <c r="S816" s="58">
        <v>2024.0</v>
      </c>
      <c r="T816" s="25">
        <v>0.04518431182954</v>
      </c>
      <c r="U816" s="330">
        <f t="shared" si="91"/>
        <v>2858.992147</v>
      </c>
      <c r="V816" s="24">
        <f t="shared" si="3"/>
        <v>394.3437444</v>
      </c>
      <c r="W816" s="3">
        <f t="shared" si="29"/>
        <v>0</v>
      </c>
      <c r="X816" s="3">
        <f t="shared" si="30"/>
        <v>0</v>
      </c>
      <c r="Y816" s="3">
        <f t="shared" si="31"/>
        <v>0</v>
      </c>
      <c r="Z816" s="58">
        <v>0.0</v>
      </c>
      <c r="AA816" s="26">
        <f>VLOOKUP(S816,CPI!$A$2:$E$67,5,0)</f>
        <v>1</v>
      </c>
      <c r="AB816" s="27">
        <f t="shared" si="8"/>
        <v>2858.992147</v>
      </c>
      <c r="AC816" s="27">
        <f t="shared" si="9"/>
        <v>394.3437444</v>
      </c>
    </row>
    <row r="817">
      <c r="A817" s="61">
        <v>20001.0</v>
      </c>
      <c r="B817" s="63" t="s">
        <v>1576</v>
      </c>
      <c r="C817" s="329" t="s">
        <v>1590</v>
      </c>
      <c r="D817" s="16" t="s">
        <v>239</v>
      </c>
      <c r="E817" s="63" t="s">
        <v>1630</v>
      </c>
      <c r="F817" s="58">
        <v>2011.0</v>
      </c>
      <c r="G817" s="58">
        <v>2018.0</v>
      </c>
      <c r="H817" s="58">
        <v>0.0</v>
      </c>
      <c r="I817" s="58">
        <v>11.75</v>
      </c>
      <c r="J817" s="50">
        <v>1.0</v>
      </c>
      <c r="K817" s="58">
        <v>11.75</v>
      </c>
      <c r="L817" s="58">
        <v>0.0</v>
      </c>
      <c r="M817" s="58">
        <v>0.0</v>
      </c>
      <c r="N817" s="58">
        <v>6.0</v>
      </c>
      <c r="O817" s="58" t="s">
        <v>1628</v>
      </c>
      <c r="P817" s="63" t="s">
        <v>60</v>
      </c>
      <c r="Q817" s="339">
        <v>136900.0</v>
      </c>
      <c r="R817" s="63" t="s">
        <v>1580</v>
      </c>
      <c r="S817" s="58">
        <v>2024.0</v>
      </c>
      <c r="T817" s="25">
        <v>0.04326052881366</v>
      </c>
      <c r="U817" s="330">
        <f t="shared" si="91"/>
        <v>5922.366395</v>
      </c>
      <c r="V817" s="24">
        <f t="shared" si="3"/>
        <v>504.0311825</v>
      </c>
      <c r="W817" s="3">
        <f t="shared" si="29"/>
        <v>0</v>
      </c>
      <c r="X817" s="3">
        <f t="shared" si="30"/>
        <v>0</v>
      </c>
      <c r="Y817" s="3">
        <f t="shared" si="31"/>
        <v>0</v>
      </c>
      <c r="Z817" s="58">
        <v>0.0</v>
      </c>
      <c r="AA817" s="26">
        <f>VLOOKUP(S817,CPI!$A$2:$E$67,5,0)</f>
        <v>1</v>
      </c>
      <c r="AB817" s="27">
        <f t="shared" si="8"/>
        <v>5922.366395</v>
      </c>
      <c r="AC817" s="27">
        <f t="shared" si="9"/>
        <v>504.0311825</v>
      </c>
    </row>
    <row r="818">
      <c r="A818" s="61">
        <v>20019.0</v>
      </c>
      <c r="B818" s="63" t="s">
        <v>1576</v>
      </c>
      <c r="C818" s="329" t="s">
        <v>1590</v>
      </c>
      <c r="D818" s="16" t="s">
        <v>54</v>
      </c>
      <c r="E818" s="63" t="s">
        <v>1631</v>
      </c>
      <c r="F818" s="58">
        <v>2013.0</v>
      </c>
      <c r="G818" s="58">
        <v>2018.0</v>
      </c>
      <c r="H818" s="58">
        <v>0.0</v>
      </c>
      <c r="I818" s="58">
        <v>2.92</v>
      </c>
      <c r="J818" s="50">
        <f>K818/I818</f>
        <v>1</v>
      </c>
      <c r="K818" s="58">
        <v>2.92</v>
      </c>
      <c r="L818" s="58">
        <v>0.0</v>
      </c>
      <c r="M818" s="58">
        <v>0.0</v>
      </c>
      <c r="N818" s="58">
        <v>2.0</v>
      </c>
      <c r="O818" s="58" t="s">
        <v>1592</v>
      </c>
      <c r="P818" s="63" t="s">
        <v>60</v>
      </c>
      <c r="Q818" s="339">
        <v>26052.0</v>
      </c>
      <c r="R818" s="63" t="s">
        <v>1580</v>
      </c>
      <c r="S818" s="58">
        <v>2024.0</v>
      </c>
      <c r="T818" s="25">
        <v>0.04241467569204</v>
      </c>
      <c r="U818" s="330">
        <f t="shared" si="91"/>
        <v>1104.987131</v>
      </c>
      <c r="V818" s="24">
        <f t="shared" si="3"/>
        <v>378.4202504</v>
      </c>
      <c r="W818" s="3">
        <f t="shared" si="29"/>
        <v>0</v>
      </c>
      <c r="X818" s="3">
        <f t="shared" si="30"/>
        <v>0</v>
      </c>
      <c r="Y818" s="3">
        <f t="shared" si="31"/>
        <v>0</v>
      </c>
      <c r="Z818" s="58">
        <v>0.0</v>
      </c>
      <c r="AA818" s="26">
        <f>VLOOKUP(S818,CPI!$A$2:$E$67,5,0)</f>
        <v>1</v>
      </c>
      <c r="AB818" s="27">
        <f t="shared" si="8"/>
        <v>1104.987131</v>
      </c>
      <c r="AC818" s="27">
        <f t="shared" si="9"/>
        <v>378.4202504</v>
      </c>
    </row>
    <row r="819">
      <c r="A819" s="61">
        <v>20006.0</v>
      </c>
      <c r="B819" s="63" t="s">
        <v>1576</v>
      </c>
      <c r="C819" s="329" t="s">
        <v>1590</v>
      </c>
      <c r="D819" s="16" t="s">
        <v>1620</v>
      </c>
      <c r="E819" s="63" t="s">
        <v>1632</v>
      </c>
      <c r="F819" s="58">
        <v>2014.0</v>
      </c>
      <c r="G819" s="58">
        <v>2018.0</v>
      </c>
      <c r="H819" s="58">
        <v>0.0</v>
      </c>
      <c r="I819" s="58">
        <v>15.3</v>
      </c>
      <c r="J819" s="50">
        <v>1.0</v>
      </c>
      <c r="K819" s="58">
        <v>15.3</v>
      </c>
      <c r="L819" s="58">
        <v>0.0</v>
      </c>
      <c r="M819" s="58">
        <v>0.0</v>
      </c>
      <c r="N819" s="58">
        <v>7.0</v>
      </c>
      <c r="O819" s="58" t="s">
        <v>1617</v>
      </c>
      <c r="P819" s="63" t="s">
        <v>60</v>
      </c>
      <c r="Q819" s="339">
        <v>116000.0</v>
      </c>
      <c r="R819" s="63" t="s">
        <v>1580</v>
      </c>
      <c r="S819" s="58">
        <v>2024.0</v>
      </c>
      <c r="T819" s="25">
        <v>0.04115489876644</v>
      </c>
      <c r="U819" s="330">
        <f t="shared" si="91"/>
        <v>4773.968257</v>
      </c>
      <c r="V819" s="24">
        <f t="shared" si="3"/>
        <v>312.0240691</v>
      </c>
      <c r="W819" s="3">
        <f t="shared" si="29"/>
        <v>0</v>
      </c>
      <c r="X819" s="3">
        <f t="shared" si="30"/>
        <v>0</v>
      </c>
      <c r="Y819" s="3">
        <f t="shared" si="31"/>
        <v>0</v>
      </c>
      <c r="Z819" s="58">
        <v>0.0</v>
      </c>
      <c r="AA819" s="26">
        <f>VLOOKUP(S819,CPI!$A$2:$E$67,5,0)</f>
        <v>1</v>
      </c>
      <c r="AB819" s="27">
        <f t="shared" si="8"/>
        <v>4773.968257</v>
      </c>
      <c r="AC819" s="27">
        <f t="shared" si="9"/>
        <v>312.0240691</v>
      </c>
    </row>
    <row r="820">
      <c r="A820" s="61">
        <v>20012.0</v>
      </c>
      <c r="B820" s="63" t="s">
        <v>1576</v>
      </c>
      <c r="C820" s="329" t="s">
        <v>1590</v>
      </c>
      <c r="D820" s="16" t="s">
        <v>1633</v>
      </c>
      <c r="E820" s="63" t="s">
        <v>1634</v>
      </c>
      <c r="F820" s="58">
        <v>2014.0</v>
      </c>
      <c r="G820" s="58">
        <v>2018.0</v>
      </c>
      <c r="H820" s="58">
        <v>0.0</v>
      </c>
      <c r="I820" s="58">
        <v>11.45</v>
      </c>
      <c r="J820" s="50">
        <f t="shared" ref="J820:J828" si="95">K820/I820</f>
        <v>1</v>
      </c>
      <c r="K820" s="58">
        <v>11.45</v>
      </c>
      <c r="L820" s="58">
        <v>0.0</v>
      </c>
      <c r="M820" s="58">
        <v>0.0</v>
      </c>
      <c r="N820" s="58">
        <v>5.0</v>
      </c>
      <c r="O820" s="58" t="s">
        <v>1617</v>
      </c>
      <c r="P820" s="63" t="s">
        <v>60</v>
      </c>
      <c r="Q820" s="339">
        <v>144582.0</v>
      </c>
      <c r="R820" s="63" t="s">
        <v>1580</v>
      </c>
      <c r="S820" s="58">
        <v>2024.0</v>
      </c>
      <c r="T820" s="25">
        <v>0.04190132605345</v>
      </c>
      <c r="U820" s="330">
        <f t="shared" si="91"/>
        <v>6058.177523</v>
      </c>
      <c r="V820" s="24">
        <f t="shared" si="3"/>
        <v>529.0984737</v>
      </c>
      <c r="W820" s="3">
        <f t="shared" si="29"/>
        <v>0</v>
      </c>
      <c r="X820" s="3">
        <f t="shared" si="30"/>
        <v>0</v>
      </c>
      <c r="Y820" s="3">
        <f t="shared" si="31"/>
        <v>0</v>
      </c>
      <c r="Z820" s="58">
        <v>0.0</v>
      </c>
      <c r="AA820" s="26">
        <f>VLOOKUP(S820,CPI!$A$2:$E$67,5,0)</f>
        <v>1</v>
      </c>
      <c r="AB820" s="27">
        <f t="shared" si="8"/>
        <v>6058.177523</v>
      </c>
      <c r="AC820" s="27">
        <f t="shared" si="9"/>
        <v>529.0984737</v>
      </c>
    </row>
    <row r="821">
      <c r="A821" s="61">
        <v>20010.0</v>
      </c>
      <c r="B821" s="63" t="s">
        <v>1576</v>
      </c>
      <c r="C821" s="329" t="s">
        <v>1590</v>
      </c>
      <c r="D821" s="16" t="s">
        <v>57</v>
      </c>
      <c r="E821" s="63" t="s">
        <v>1635</v>
      </c>
      <c r="F821" s="58">
        <v>2016.0</v>
      </c>
      <c r="G821" s="58">
        <v>2019.0</v>
      </c>
      <c r="H821" s="58">
        <v>0.0</v>
      </c>
      <c r="I821" s="58">
        <v>11.51</v>
      </c>
      <c r="J821" s="50">
        <f t="shared" si="95"/>
        <v>0.5655951347</v>
      </c>
      <c r="K821" s="58">
        <v>6.51</v>
      </c>
      <c r="L821" s="58">
        <v>1.0</v>
      </c>
      <c r="M821" s="58">
        <v>4.0</v>
      </c>
      <c r="N821" s="58">
        <v>2.0</v>
      </c>
      <c r="O821" s="58" t="s">
        <v>1592</v>
      </c>
      <c r="P821" s="63" t="s">
        <v>60</v>
      </c>
      <c r="Q821" s="339">
        <v>48024.4739</v>
      </c>
      <c r="R821" s="63" t="s">
        <v>1580</v>
      </c>
      <c r="S821" s="58">
        <v>2024.0</v>
      </c>
      <c r="T821" s="25">
        <v>0.04036805100883</v>
      </c>
      <c r="U821" s="330">
        <f t="shared" si="91"/>
        <v>1938.654412</v>
      </c>
      <c r="V821" s="24">
        <f t="shared" si="3"/>
        <v>168.4321818</v>
      </c>
      <c r="W821" s="3">
        <f t="shared" si="29"/>
        <v>0</v>
      </c>
      <c r="X821" s="3">
        <f t="shared" si="30"/>
        <v>0</v>
      </c>
      <c r="Y821" s="3">
        <f t="shared" si="31"/>
        <v>0</v>
      </c>
      <c r="Z821" s="58">
        <v>0.0</v>
      </c>
      <c r="AA821" s="26">
        <f>VLOOKUP(S821,CPI!$A$2:$E$67,5,0)</f>
        <v>1</v>
      </c>
      <c r="AB821" s="27">
        <f t="shared" si="8"/>
        <v>1938.654412</v>
      </c>
      <c r="AC821" s="27">
        <f t="shared" si="9"/>
        <v>168.4321818</v>
      </c>
    </row>
    <row r="822">
      <c r="A822" s="61">
        <v>20018.0</v>
      </c>
      <c r="B822" s="63" t="s">
        <v>1576</v>
      </c>
      <c r="C822" s="329" t="s">
        <v>1590</v>
      </c>
      <c r="D822" s="16" t="s">
        <v>1636</v>
      </c>
      <c r="E822" s="63" t="s">
        <v>1637</v>
      </c>
      <c r="F822" s="58">
        <v>2015.0</v>
      </c>
      <c r="G822" s="58">
        <v>2020.0</v>
      </c>
      <c r="H822" s="58">
        <v>0.0</v>
      </c>
      <c r="I822" s="58">
        <v>21.43</v>
      </c>
      <c r="J822" s="50">
        <f t="shared" si="95"/>
        <v>1</v>
      </c>
      <c r="K822" s="58">
        <v>21.43</v>
      </c>
      <c r="L822" s="58">
        <v>0.0</v>
      </c>
      <c r="M822" s="58">
        <v>0.0</v>
      </c>
      <c r="N822" s="58">
        <v>8.0</v>
      </c>
      <c r="O822" s="58" t="s">
        <v>1592</v>
      </c>
      <c r="P822" s="63" t="s">
        <v>60</v>
      </c>
      <c r="Q822" s="339">
        <v>213479.356</v>
      </c>
      <c r="R822" s="63" t="s">
        <v>1580</v>
      </c>
      <c r="S822" s="58">
        <v>2024.0</v>
      </c>
      <c r="T822" s="25">
        <v>0.03997771372224</v>
      </c>
      <c r="U822" s="330">
        <f t="shared" si="91"/>
        <v>8534.41658</v>
      </c>
      <c r="V822" s="24">
        <f t="shared" si="3"/>
        <v>398.246224</v>
      </c>
      <c r="W822" s="3">
        <f t="shared" si="29"/>
        <v>0</v>
      </c>
      <c r="X822" s="3">
        <f t="shared" si="30"/>
        <v>0</v>
      </c>
      <c r="Y822" s="3">
        <f t="shared" si="31"/>
        <v>0</v>
      </c>
      <c r="Z822" s="58">
        <v>0.0</v>
      </c>
      <c r="AA822" s="26">
        <f>VLOOKUP(S822,CPI!$A$2:$E$67,5,0)</f>
        <v>1</v>
      </c>
      <c r="AB822" s="27">
        <f t="shared" si="8"/>
        <v>8534.41658</v>
      </c>
      <c r="AC822" s="27">
        <f t="shared" si="9"/>
        <v>398.246224</v>
      </c>
    </row>
    <row r="823">
      <c r="A823" s="61">
        <v>20008.0</v>
      </c>
      <c r="B823" s="63" t="s">
        <v>1576</v>
      </c>
      <c r="C823" s="329" t="s">
        <v>1590</v>
      </c>
      <c r="D823" s="16" t="s">
        <v>1638</v>
      </c>
      <c r="E823" s="63" t="s">
        <v>1639</v>
      </c>
      <c r="F823" s="58">
        <v>2018.0</v>
      </c>
      <c r="G823" s="58">
        <v>2020.0</v>
      </c>
      <c r="H823" s="58">
        <v>0.0</v>
      </c>
      <c r="I823" s="58">
        <v>1.4</v>
      </c>
      <c r="J823" s="50">
        <f t="shared" si="95"/>
        <v>1</v>
      </c>
      <c r="K823" s="58">
        <v>1.4</v>
      </c>
      <c r="L823" s="58">
        <v>0.0</v>
      </c>
      <c r="M823" s="58">
        <v>0.0</v>
      </c>
      <c r="N823" s="58">
        <v>0.0</v>
      </c>
      <c r="O823" s="58" t="s">
        <v>1622</v>
      </c>
      <c r="P823" s="63" t="s">
        <v>60</v>
      </c>
      <c r="Q823" s="339">
        <v>20289.0</v>
      </c>
      <c r="R823" s="63" t="s">
        <v>1580</v>
      </c>
      <c r="S823" s="58">
        <v>2024.0</v>
      </c>
      <c r="T823" s="25">
        <v>0.03855478193996</v>
      </c>
      <c r="U823" s="330">
        <f t="shared" si="91"/>
        <v>782.2379708</v>
      </c>
      <c r="V823" s="24">
        <f t="shared" si="3"/>
        <v>558.7414077</v>
      </c>
      <c r="W823" s="3">
        <f t="shared" si="29"/>
        <v>0</v>
      </c>
      <c r="X823" s="3">
        <f t="shared" si="30"/>
        <v>0</v>
      </c>
      <c r="Y823" s="3">
        <f t="shared" si="31"/>
        <v>0</v>
      </c>
      <c r="Z823" s="58">
        <v>0.0</v>
      </c>
      <c r="AA823" s="26">
        <f>VLOOKUP(S823,CPI!$A$2:$E$67,5,0)</f>
        <v>1</v>
      </c>
      <c r="AB823" s="27">
        <f t="shared" si="8"/>
        <v>782.2379708</v>
      </c>
      <c r="AC823" s="27">
        <f t="shared" si="9"/>
        <v>558.7414077</v>
      </c>
    </row>
    <row r="824">
      <c r="A824" s="61">
        <v>20014.0</v>
      </c>
      <c r="B824" s="63" t="s">
        <v>1576</v>
      </c>
      <c r="C824" s="329" t="s">
        <v>1590</v>
      </c>
      <c r="D824" s="16" t="s">
        <v>1640</v>
      </c>
      <c r="E824" s="63" t="s">
        <v>1641</v>
      </c>
      <c r="F824" s="58">
        <v>2017.0</v>
      </c>
      <c r="G824" s="58">
        <v>2021.0</v>
      </c>
      <c r="H824" s="58">
        <v>0.0</v>
      </c>
      <c r="I824" s="58">
        <v>8.11</v>
      </c>
      <c r="J824" s="50">
        <f t="shared" si="95"/>
        <v>1</v>
      </c>
      <c r="K824" s="58">
        <v>8.11</v>
      </c>
      <c r="L824" s="58">
        <v>0.0</v>
      </c>
      <c r="M824" s="58">
        <v>0.0</v>
      </c>
      <c r="N824" s="58">
        <v>3.0</v>
      </c>
      <c r="O824" s="58" t="s">
        <v>1592</v>
      </c>
      <c r="P824" s="63" t="s">
        <v>60</v>
      </c>
      <c r="Q824" s="339">
        <v>125522.78</v>
      </c>
      <c r="R824" s="63" t="s">
        <v>1580</v>
      </c>
      <c r="S824" s="58">
        <v>2024.0</v>
      </c>
      <c r="T824" s="25">
        <v>0.03725472052102</v>
      </c>
      <c r="U824" s="330">
        <f t="shared" si="91"/>
        <v>4676.316088</v>
      </c>
      <c r="V824" s="24">
        <f t="shared" si="3"/>
        <v>576.6111083</v>
      </c>
      <c r="W824" s="3">
        <f t="shared" si="29"/>
        <v>0</v>
      </c>
      <c r="X824" s="3">
        <f t="shared" si="30"/>
        <v>0</v>
      </c>
      <c r="Y824" s="3">
        <f t="shared" si="31"/>
        <v>0</v>
      </c>
      <c r="Z824" s="58">
        <v>0.0</v>
      </c>
      <c r="AA824" s="26">
        <f>VLOOKUP(S824,CPI!$A$2:$E$67,5,0)</f>
        <v>1</v>
      </c>
      <c r="AB824" s="27">
        <f t="shared" si="8"/>
        <v>4676.316088</v>
      </c>
      <c r="AC824" s="27">
        <f t="shared" si="9"/>
        <v>576.6111083</v>
      </c>
    </row>
    <row r="825">
      <c r="A825" s="61">
        <v>20016.0</v>
      </c>
      <c r="B825" s="63" t="s">
        <v>1576</v>
      </c>
      <c r="C825" s="329" t="s">
        <v>1590</v>
      </c>
      <c r="D825" s="16" t="s">
        <v>1640</v>
      </c>
      <c r="E825" s="63" t="s">
        <v>1642</v>
      </c>
      <c r="F825" s="58">
        <v>2017.0</v>
      </c>
      <c r="G825" s="58">
        <v>2021.0</v>
      </c>
      <c r="H825" s="58">
        <v>0.0</v>
      </c>
      <c r="I825" s="58">
        <v>8.41</v>
      </c>
      <c r="J825" s="50">
        <f t="shared" si="95"/>
        <v>1</v>
      </c>
      <c r="K825" s="58">
        <v>8.41</v>
      </c>
      <c r="L825" s="58">
        <v>0.0</v>
      </c>
      <c r="M825" s="58">
        <v>0.0</v>
      </c>
      <c r="N825" s="58">
        <v>4.0</v>
      </c>
      <c r="O825" s="58" t="s">
        <v>1592</v>
      </c>
      <c r="P825" s="63" t="s">
        <v>60</v>
      </c>
      <c r="Q825" s="339">
        <v>125410.4</v>
      </c>
      <c r="R825" s="63" t="s">
        <v>1580</v>
      </c>
      <c r="S825" s="58">
        <v>2024.0</v>
      </c>
      <c r="T825" s="25">
        <v>0.0364892875344</v>
      </c>
      <c r="U825" s="330">
        <f t="shared" si="91"/>
        <v>4576.136145</v>
      </c>
      <c r="V825" s="24">
        <f t="shared" si="3"/>
        <v>544.1303383</v>
      </c>
      <c r="W825" s="3">
        <f t="shared" si="29"/>
        <v>0</v>
      </c>
      <c r="X825" s="3">
        <f t="shared" si="30"/>
        <v>0</v>
      </c>
      <c r="Y825" s="3">
        <f t="shared" si="31"/>
        <v>0</v>
      </c>
      <c r="Z825" s="58">
        <v>0.0</v>
      </c>
      <c r="AA825" s="26">
        <f>VLOOKUP(S825,CPI!$A$2:$E$67,5,0)</f>
        <v>1</v>
      </c>
      <c r="AB825" s="27">
        <f t="shared" si="8"/>
        <v>4576.136145</v>
      </c>
      <c r="AC825" s="27">
        <f t="shared" si="9"/>
        <v>544.1303383</v>
      </c>
    </row>
    <row r="826">
      <c r="A826" s="61">
        <v>20017.0</v>
      </c>
      <c r="B826" s="63" t="s">
        <v>1576</v>
      </c>
      <c r="C826" s="329" t="s">
        <v>1590</v>
      </c>
      <c r="D826" s="16" t="s">
        <v>1640</v>
      </c>
      <c r="E826" s="63" t="s">
        <v>1643</v>
      </c>
      <c r="F826" s="58">
        <v>2017.0</v>
      </c>
      <c r="G826" s="58">
        <v>2021.0</v>
      </c>
      <c r="H826" s="58">
        <v>0.0</v>
      </c>
      <c r="I826" s="58">
        <v>8.27</v>
      </c>
      <c r="J826" s="50">
        <f t="shared" si="95"/>
        <v>1</v>
      </c>
      <c r="K826" s="58">
        <v>8.27</v>
      </c>
      <c r="L826" s="58">
        <v>0.0</v>
      </c>
      <c r="M826" s="58">
        <v>0.0</v>
      </c>
      <c r="N826" s="58">
        <v>3.0</v>
      </c>
      <c r="O826" s="58" t="s">
        <v>1592</v>
      </c>
      <c r="P826" s="63" t="s">
        <v>60</v>
      </c>
      <c r="Q826" s="339">
        <v>130300.0</v>
      </c>
      <c r="R826" s="63" t="s">
        <v>1580</v>
      </c>
      <c r="S826" s="58">
        <v>2024.0</v>
      </c>
      <c r="T826" s="25">
        <v>0.03572061031635</v>
      </c>
      <c r="U826" s="330">
        <f t="shared" si="91"/>
        <v>4654.395524</v>
      </c>
      <c r="V826" s="24">
        <f t="shared" si="3"/>
        <v>562.8047792</v>
      </c>
      <c r="W826" s="3">
        <f t="shared" si="29"/>
        <v>0</v>
      </c>
      <c r="X826" s="3">
        <f t="shared" si="30"/>
        <v>0</v>
      </c>
      <c r="Y826" s="3">
        <f t="shared" si="31"/>
        <v>0</v>
      </c>
      <c r="Z826" s="58">
        <v>0.0</v>
      </c>
      <c r="AA826" s="26">
        <f>VLOOKUP(S826,CPI!$A$2:$E$67,5,0)</f>
        <v>1</v>
      </c>
      <c r="AB826" s="27">
        <f t="shared" si="8"/>
        <v>4654.395524</v>
      </c>
      <c r="AC826" s="27">
        <f t="shared" si="9"/>
        <v>562.8047792</v>
      </c>
    </row>
    <row r="827">
      <c r="A827" s="61">
        <v>20015.0</v>
      </c>
      <c r="B827" s="63" t="s">
        <v>1576</v>
      </c>
      <c r="C827" s="329" t="s">
        <v>1590</v>
      </c>
      <c r="D827" s="16" t="s">
        <v>1640</v>
      </c>
      <c r="E827" s="63" t="s">
        <v>1644</v>
      </c>
      <c r="F827" s="58">
        <v>2018.0</v>
      </c>
      <c r="G827" s="58">
        <v>2022.0</v>
      </c>
      <c r="H827" s="58">
        <v>0.0</v>
      </c>
      <c r="I827" s="58">
        <v>10.7</v>
      </c>
      <c r="J827" s="50">
        <f t="shared" si="95"/>
        <v>1</v>
      </c>
      <c r="K827" s="58">
        <v>10.7</v>
      </c>
      <c r="L827" s="58">
        <v>0.0</v>
      </c>
      <c r="M827" s="58">
        <v>0.0</v>
      </c>
      <c r="N827" s="58">
        <v>4.0</v>
      </c>
      <c r="O827" s="58" t="s">
        <v>1592</v>
      </c>
      <c r="P827" s="63" t="s">
        <v>60</v>
      </c>
      <c r="Q827" s="339">
        <v>130300.0</v>
      </c>
      <c r="R827" s="63" t="s">
        <v>1580</v>
      </c>
      <c r="S827" s="58">
        <v>2024.0</v>
      </c>
      <c r="T827" s="25">
        <v>0.03974333999137</v>
      </c>
      <c r="U827" s="330">
        <f t="shared" si="91"/>
        <v>5178.557201</v>
      </c>
      <c r="V827" s="24">
        <f t="shared" si="3"/>
        <v>483.9773085</v>
      </c>
      <c r="W827" s="3">
        <f t="shared" si="29"/>
        <v>0</v>
      </c>
      <c r="X827" s="3">
        <f t="shared" si="30"/>
        <v>0</v>
      </c>
      <c r="Y827" s="3">
        <f t="shared" si="31"/>
        <v>0</v>
      </c>
      <c r="Z827" s="58">
        <v>0.0</v>
      </c>
      <c r="AA827" s="26">
        <f>VLOOKUP(S827,CPI!$A$2:$E$67,5,0)</f>
        <v>1</v>
      </c>
      <c r="AB827" s="27">
        <f t="shared" si="8"/>
        <v>5178.557201</v>
      </c>
      <c r="AC827" s="27">
        <f t="shared" si="9"/>
        <v>483.9773085</v>
      </c>
    </row>
    <row r="828">
      <c r="A828" s="61">
        <v>20013.0</v>
      </c>
      <c r="B828" s="63" t="s">
        <v>1576</v>
      </c>
      <c r="C828" s="329" t="s">
        <v>1590</v>
      </c>
      <c r="D828" s="16" t="s">
        <v>1640</v>
      </c>
      <c r="E828" s="63" t="s">
        <v>1645</v>
      </c>
      <c r="F828" s="58">
        <v>2017.0</v>
      </c>
      <c r="G828" s="58">
        <v>2023.0</v>
      </c>
      <c r="H828" s="58">
        <v>0.0</v>
      </c>
      <c r="I828" s="58">
        <v>10.86</v>
      </c>
      <c r="J828" s="50">
        <f t="shared" si="95"/>
        <v>1</v>
      </c>
      <c r="K828" s="58">
        <v>10.86</v>
      </c>
      <c r="L828" s="58">
        <v>0.0</v>
      </c>
      <c r="M828" s="58">
        <v>0.0</v>
      </c>
      <c r="N828" s="58">
        <v>5.0</v>
      </c>
      <c r="O828" s="58" t="s">
        <v>1617</v>
      </c>
      <c r="P828" s="63" t="s">
        <v>60</v>
      </c>
      <c r="Q828" s="339">
        <v>192900.0</v>
      </c>
      <c r="R828" s="63" t="s">
        <v>1580</v>
      </c>
      <c r="S828" s="58">
        <v>2024.0</v>
      </c>
      <c r="T828" s="25">
        <v>0.03685099509499</v>
      </c>
      <c r="U828" s="330">
        <f t="shared" si="91"/>
        <v>7108.556954</v>
      </c>
      <c r="V828" s="24">
        <f t="shared" si="3"/>
        <v>654.5632554</v>
      </c>
      <c r="W828" s="3">
        <f t="shared" si="29"/>
        <v>0</v>
      </c>
      <c r="X828" s="3">
        <f t="shared" si="30"/>
        <v>0</v>
      </c>
      <c r="Y828" s="3">
        <f t="shared" si="31"/>
        <v>0</v>
      </c>
      <c r="Z828" s="58">
        <v>0.0</v>
      </c>
      <c r="AA828" s="26">
        <f>VLOOKUP(S828,CPI!$A$2:$E$67,5,0)</f>
        <v>1</v>
      </c>
      <c r="AB828" s="27">
        <f t="shared" si="8"/>
        <v>7108.556954</v>
      </c>
      <c r="AC828" s="27">
        <f t="shared" si="9"/>
        <v>654.5632554</v>
      </c>
    </row>
    <row r="829">
      <c r="A829" s="61">
        <v>20002.0</v>
      </c>
      <c r="B829" s="63" t="s">
        <v>1576</v>
      </c>
      <c r="C829" s="329" t="s">
        <v>1590</v>
      </c>
      <c r="D829" s="16" t="s">
        <v>239</v>
      </c>
      <c r="E829" s="63" t="s">
        <v>1646</v>
      </c>
      <c r="F829" s="58">
        <v>2018.0</v>
      </c>
      <c r="G829" s="58">
        <v>2023.0</v>
      </c>
      <c r="H829" s="58">
        <v>0.0</v>
      </c>
      <c r="I829" s="58">
        <v>3.9</v>
      </c>
      <c r="J829" s="50">
        <v>1.0</v>
      </c>
      <c r="K829" s="58">
        <v>3.9</v>
      </c>
      <c r="L829" s="58">
        <v>0.0</v>
      </c>
      <c r="M829" s="58">
        <v>0.0</v>
      </c>
      <c r="N829" s="58">
        <v>2.0</v>
      </c>
      <c r="O829" s="58" t="s">
        <v>1592</v>
      </c>
      <c r="P829" s="63" t="s">
        <v>60</v>
      </c>
      <c r="Q829" s="339">
        <v>43598.3041</v>
      </c>
      <c r="R829" s="63" t="s">
        <v>1580</v>
      </c>
      <c r="S829" s="58">
        <v>2024.0</v>
      </c>
      <c r="T829" s="25">
        <v>0.03417479223592</v>
      </c>
      <c r="U829" s="330">
        <f t="shared" si="91"/>
        <v>1489.962984</v>
      </c>
      <c r="V829" s="24">
        <f t="shared" si="3"/>
        <v>382.0417909</v>
      </c>
      <c r="W829" s="3">
        <f t="shared" si="29"/>
        <v>0</v>
      </c>
      <c r="X829" s="3">
        <f t="shared" si="30"/>
        <v>0</v>
      </c>
      <c r="Y829" s="3">
        <f t="shared" si="31"/>
        <v>0</v>
      </c>
      <c r="Z829" s="58">
        <v>0.0</v>
      </c>
      <c r="AA829" s="26">
        <f>VLOOKUP(S829,CPI!$A$2:$E$67,5,0)</f>
        <v>1</v>
      </c>
      <c r="AB829" s="27">
        <f t="shared" si="8"/>
        <v>1489.962984</v>
      </c>
      <c r="AC829" s="27">
        <f t="shared" si="9"/>
        <v>382.0417909</v>
      </c>
    </row>
    <row r="830">
      <c r="A830" s="61">
        <v>20003.0</v>
      </c>
      <c r="B830" s="63" t="s">
        <v>1576</v>
      </c>
      <c r="C830" s="329" t="s">
        <v>1590</v>
      </c>
      <c r="D830" s="16" t="s">
        <v>239</v>
      </c>
      <c r="E830" s="63" t="s">
        <v>1647</v>
      </c>
      <c r="F830" s="58">
        <v>2020.0</v>
      </c>
      <c r="G830" s="58">
        <v>2023.0</v>
      </c>
      <c r="H830" s="58">
        <v>0.0</v>
      </c>
      <c r="I830" s="58">
        <v>1.9</v>
      </c>
      <c r="J830" s="50">
        <v>1.0</v>
      </c>
      <c r="K830" s="58">
        <v>1.9</v>
      </c>
      <c r="L830" s="58">
        <v>0.0</v>
      </c>
      <c r="M830" s="58">
        <v>0.0</v>
      </c>
      <c r="N830" s="58">
        <v>1.0</v>
      </c>
      <c r="O830" s="58" t="s">
        <v>1592</v>
      </c>
      <c r="P830" s="63" t="s">
        <v>60</v>
      </c>
      <c r="Q830" s="339">
        <v>34400.0</v>
      </c>
      <c r="R830" s="63" t="s">
        <v>1580</v>
      </c>
      <c r="S830" s="58">
        <v>2024.0</v>
      </c>
      <c r="T830" s="25">
        <v>0.03217924258016</v>
      </c>
      <c r="U830" s="330">
        <f t="shared" si="91"/>
        <v>1106.965945</v>
      </c>
      <c r="V830" s="24">
        <f t="shared" si="3"/>
        <v>582.6136551</v>
      </c>
      <c r="W830" s="3">
        <f t="shared" si="29"/>
        <v>0</v>
      </c>
      <c r="X830" s="3">
        <f t="shared" si="30"/>
        <v>0</v>
      </c>
      <c r="Y830" s="3">
        <f t="shared" si="31"/>
        <v>0</v>
      </c>
      <c r="Z830" s="58">
        <v>0.0</v>
      </c>
      <c r="AA830" s="26">
        <f>VLOOKUP(S830,CPI!$A$2:$E$67,5,0)</f>
        <v>1</v>
      </c>
      <c r="AB830" s="27">
        <f t="shared" si="8"/>
        <v>1106.965945</v>
      </c>
      <c r="AC830" s="27">
        <f t="shared" si="9"/>
        <v>582.6136551</v>
      </c>
    </row>
    <row r="831">
      <c r="A831" s="61">
        <v>20007.0</v>
      </c>
      <c r="B831" s="63" t="s">
        <v>1576</v>
      </c>
      <c r="C831" s="329" t="s">
        <v>1590</v>
      </c>
      <c r="D831" s="16" t="s">
        <v>1620</v>
      </c>
      <c r="E831" s="63" t="s">
        <v>1648</v>
      </c>
      <c r="F831" s="58">
        <v>2021.0</v>
      </c>
      <c r="G831" s="58">
        <v>2023.0</v>
      </c>
      <c r="H831" s="58">
        <v>0.0</v>
      </c>
      <c r="I831" s="58">
        <v>4.9</v>
      </c>
      <c r="J831" s="50">
        <f t="shared" ref="J831:J850" si="96">K831/I831</f>
        <v>0.906122449</v>
      </c>
      <c r="K831" s="58">
        <v>4.44</v>
      </c>
      <c r="L831" s="58">
        <v>0.46</v>
      </c>
      <c r="M831" s="58">
        <v>0.0</v>
      </c>
      <c r="N831" s="58">
        <v>2.0</v>
      </c>
      <c r="O831" s="58" t="s">
        <v>1592</v>
      </c>
      <c r="P831" s="63" t="s">
        <v>60</v>
      </c>
      <c r="Q831" s="339">
        <v>56457.0</v>
      </c>
      <c r="R831" s="63" t="s">
        <v>1580</v>
      </c>
      <c r="S831" s="58">
        <v>2024.0</v>
      </c>
      <c r="T831" s="25">
        <v>0.03327215500668</v>
      </c>
      <c r="U831" s="330">
        <f t="shared" si="91"/>
        <v>1878.446055</v>
      </c>
      <c r="V831" s="24">
        <f t="shared" si="3"/>
        <v>383.3563378</v>
      </c>
      <c r="W831" s="3">
        <f t="shared" si="29"/>
        <v>0</v>
      </c>
      <c r="X831" s="3">
        <f t="shared" si="30"/>
        <v>0</v>
      </c>
      <c r="Y831" s="3">
        <f t="shared" si="31"/>
        <v>0</v>
      </c>
      <c r="Z831" s="58">
        <v>0.0</v>
      </c>
      <c r="AA831" s="26">
        <f>VLOOKUP(S831,CPI!$A$2:$E$67,5,0)</f>
        <v>1</v>
      </c>
      <c r="AB831" s="27">
        <f t="shared" si="8"/>
        <v>1878.446055</v>
      </c>
      <c r="AC831" s="27">
        <f t="shared" si="9"/>
        <v>383.3563378</v>
      </c>
    </row>
    <row r="832">
      <c r="A832" s="61">
        <v>20024.0</v>
      </c>
      <c r="B832" s="63" t="s">
        <v>1576</v>
      </c>
      <c r="C832" s="329" t="s">
        <v>1590</v>
      </c>
      <c r="D832" s="16" t="s">
        <v>283</v>
      </c>
      <c r="E832" s="63" t="s">
        <v>1649</v>
      </c>
      <c r="F832" s="58">
        <v>2018.0</v>
      </c>
      <c r="G832" s="58">
        <v>2024.0</v>
      </c>
      <c r="H832" s="58">
        <v>0.0</v>
      </c>
      <c r="I832" s="58">
        <v>15.6</v>
      </c>
      <c r="J832" s="50">
        <f t="shared" si="96"/>
        <v>1</v>
      </c>
      <c r="K832" s="58">
        <v>15.6</v>
      </c>
      <c r="L832" s="58">
        <v>0.0</v>
      </c>
      <c r="M832" s="58">
        <v>0.0</v>
      </c>
      <c r="N832" s="58">
        <v>7.0</v>
      </c>
      <c r="O832" s="58" t="s">
        <v>1592</v>
      </c>
      <c r="P832" s="63" t="s">
        <v>60</v>
      </c>
      <c r="Q832" s="339">
        <v>211867.8</v>
      </c>
      <c r="R832" s="63" t="s">
        <v>1580</v>
      </c>
      <c r="S832" s="58">
        <v>2024.0</v>
      </c>
      <c r="T832" s="25">
        <v>0.03301058858796</v>
      </c>
      <c r="U832" s="330">
        <f t="shared" si="91"/>
        <v>6993.880781</v>
      </c>
      <c r="V832" s="24">
        <f t="shared" si="3"/>
        <v>448.3256911</v>
      </c>
      <c r="W832" s="3">
        <f t="shared" si="29"/>
        <v>0</v>
      </c>
      <c r="X832" s="3">
        <f t="shared" si="30"/>
        <v>0</v>
      </c>
      <c r="Y832" s="3">
        <f t="shared" si="31"/>
        <v>0</v>
      </c>
      <c r="Z832" s="58">
        <v>0.0</v>
      </c>
      <c r="AA832" s="26">
        <f>VLOOKUP(S832,CPI!$A$2:$E$67,5,0)</f>
        <v>1</v>
      </c>
      <c r="AB832" s="27">
        <f t="shared" si="8"/>
        <v>6993.880781</v>
      </c>
      <c r="AC832" s="27">
        <f t="shared" si="9"/>
        <v>448.3256911</v>
      </c>
    </row>
    <row r="833">
      <c r="A833" s="61">
        <v>20011.0</v>
      </c>
      <c r="B833" s="63" t="s">
        <v>1576</v>
      </c>
      <c r="C833" s="329" t="s">
        <v>1590</v>
      </c>
      <c r="D833" s="16" t="s">
        <v>57</v>
      </c>
      <c r="E833" s="63" t="s">
        <v>1650</v>
      </c>
      <c r="F833" s="58">
        <v>2019.0</v>
      </c>
      <c r="G833" s="58">
        <v>2024.0</v>
      </c>
      <c r="H833" s="58">
        <v>0.0</v>
      </c>
      <c r="I833" s="58">
        <v>2.4</v>
      </c>
      <c r="J833" s="50">
        <f t="shared" si="96"/>
        <v>0.4375</v>
      </c>
      <c r="K833" s="58">
        <v>1.05</v>
      </c>
      <c r="L833" s="58">
        <v>0.0</v>
      </c>
      <c r="M833" s="58">
        <v>1.35</v>
      </c>
      <c r="N833" s="58">
        <v>1.0</v>
      </c>
      <c r="O833" s="58" t="s">
        <v>1592</v>
      </c>
      <c r="P833" s="63" t="s">
        <v>60</v>
      </c>
      <c r="Q833" s="339">
        <v>24067.28</v>
      </c>
      <c r="R833" s="63" t="s">
        <v>1580</v>
      </c>
      <c r="S833" s="58">
        <v>2024.0</v>
      </c>
      <c r="T833" s="25">
        <v>0.03269105876105</v>
      </c>
      <c r="U833" s="330">
        <f t="shared" si="91"/>
        <v>786.7848647</v>
      </c>
      <c r="V833" s="24">
        <f t="shared" si="3"/>
        <v>327.827027</v>
      </c>
      <c r="W833" s="3">
        <f t="shared" si="29"/>
        <v>0</v>
      </c>
      <c r="X833" s="3">
        <f t="shared" si="30"/>
        <v>0</v>
      </c>
      <c r="Y833" s="3">
        <f t="shared" si="31"/>
        <v>0</v>
      </c>
      <c r="Z833" s="58">
        <v>0.0</v>
      </c>
      <c r="AA833" s="26">
        <f>VLOOKUP(S833,CPI!$A$2:$E$67,5,0)</f>
        <v>1</v>
      </c>
      <c r="AB833" s="27">
        <f t="shared" si="8"/>
        <v>786.7848647</v>
      </c>
      <c r="AC833" s="27">
        <f t="shared" si="9"/>
        <v>327.827027</v>
      </c>
    </row>
    <row r="834">
      <c r="A834" s="61">
        <v>20025.0</v>
      </c>
      <c r="B834" s="63" t="s">
        <v>1576</v>
      </c>
      <c r="C834" s="329" t="s">
        <v>1590</v>
      </c>
      <c r="D834" s="16" t="s">
        <v>283</v>
      </c>
      <c r="E834" s="63" t="s">
        <v>1651</v>
      </c>
      <c r="F834" s="58">
        <v>2021.0</v>
      </c>
      <c r="G834" s="58">
        <v>2025.0</v>
      </c>
      <c r="H834" s="58">
        <v>0.0</v>
      </c>
      <c r="I834" s="58">
        <v>7.1</v>
      </c>
      <c r="J834" s="50">
        <f t="shared" si="96"/>
        <v>1</v>
      </c>
      <c r="K834" s="58">
        <v>7.1</v>
      </c>
      <c r="L834" s="58">
        <v>0.0</v>
      </c>
      <c r="M834" s="58">
        <v>0.0</v>
      </c>
      <c r="N834" s="58">
        <v>3.0</v>
      </c>
      <c r="O834" s="58" t="s">
        <v>1592</v>
      </c>
      <c r="P834" s="63" t="s">
        <v>60</v>
      </c>
      <c r="Q834" s="339">
        <v>97931.0</v>
      </c>
      <c r="R834" s="63" t="s">
        <v>1580</v>
      </c>
      <c r="S834" s="58">
        <v>2024.0</v>
      </c>
      <c r="T834" s="25">
        <v>0.03097970892896</v>
      </c>
      <c r="U834" s="330">
        <f t="shared" si="91"/>
        <v>3033.873875</v>
      </c>
      <c r="V834" s="24">
        <f t="shared" si="3"/>
        <v>427.3061796</v>
      </c>
      <c r="W834" s="3">
        <f t="shared" si="29"/>
        <v>0</v>
      </c>
      <c r="X834" s="3">
        <f t="shared" si="30"/>
        <v>0</v>
      </c>
      <c r="Y834" s="3">
        <f t="shared" si="31"/>
        <v>0</v>
      </c>
      <c r="Z834" s="58">
        <v>0.0</v>
      </c>
      <c r="AA834" s="26">
        <f>VLOOKUP(S834,CPI!$A$2:$E$67,5,0)</f>
        <v>1</v>
      </c>
      <c r="AB834" s="27">
        <f t="shared" si="8"/>
        <v>3033.873875</v>
      </c>
      <c r="AC834" s="27">
        <f t="shared" si="9"/>
        <v>427.3061796</v>
      </c>
    </row>
    <row r="835">
      <c r="A835" s="61">
        <v>20026.0</v>
      </c>
      <c r="B835" s="63" t="s">
        <v>1576</v>
      </c>
      <c r="C835" s="329" t="s">
        <v>1590</v>
      </c>
      <c r="D835" s="16" t="s">
        <v>283</v>
      </c>
      <c r="E835" s="63" t="s">
        <v>1652</v>
      </c>
      <c r="F835" s="58">
        <v>2022.0</v>
      </c>
      <c r="G835" s="58">
        <v>2025.0</v>
      </c>
      <c r="H835" s="58">
        <v>0.0</v>
      </c>
      <c r="I835" s="58">
        <v>2.5</v>
      </c>
      <c r="J835" s="50">
        <f t="shared" si="96"/>
        <v>1</v>
      </c>
      <c r="K835" s="58">
        <v>2.5</v>
      </c>
      <c r="L835" s="58">
        <v>0.0</v>
      </c>
      <c r="M835" s="58">
        <v>0.0</v>
      </c>
      <c r="N835" s="58">
        <v>1.0</v>
      </c>
      <c r="O835" s="58" t="s">
        <v>1592</v>
      </c>
      <c r="P835" s="63" t="s">
        <v>60</v>
      </c>
      <c r="Q835" s="339">
        <v>35552.0</v>
      </c>
      <c r="R835" s="63" t="s">
        <v>1580</v>
      </c>
      <c r="S835" s="58">
        <v>2024.0</v>
      </c>
      <c r="T835" s="25">
        <v>0.03016850387055</v>
      </c>
      <c r="U835" s="330">
        <f t="shared" si="91"/>
        <v>1072.55065</v>
      </c>
      <c r="V835" s="24">
        <f t="shared" si="3"/>
        <v>429.0202598</v>
      </c>
      <c r="W835" s="3">
        <f t="shared" si="29"/>
        <v>0</v>
      </c>
      <c r="X835" s="3">
        <f t="shared" si="30"/>
        <v>0</v>
      </c>
      <c r="Y835" s="3">
        <f t="shared" si="31"/>
        <v>0</v>
      </c>
      <c r="Z835" s="58">
        <v>0.0</v>
      </c>
      <c r="AA835" s="26">
        <f>VLOOKUP(S835,CPI!$A$2:$E$67,5,0)</f>
        <v>1</v>
      </c>
      <c r="AB835" s="27">
        <f t="shared" si="8"/>
        <v>1072.55065</v>
      </c>
      <c r="AC835" s="27">
        <f t="shared" si="9"/>
        <v>429.0202598</v>
      </c>
    </row>
    <row r="836">
      <c r="A836" s="61">
        <v>20027.0</v>
      </c>
      <c r="B836" s="63" t="s">
        <v>1576</v>
      </c>
      <c r="C836" s="329" t="s">
        <v>1590</v>
      </c>
      <c r="D836" s="16" t="s">
        <v>121</v>
      </c>
      <c r="E836" s="63" t="s">
        <v>1653</v>
      </c>
      <c r="F836" s="58">
        <v>2022.0</v>
      </c>
      <c r="G836" s="58">
        <v>2026.0</v>
      </c>
      <c r="H836" s="58">
        <v>0.0</v>
      </c>
      <c r="I836" s="58">
        <v>19.32</v>
      </c>
      <c r="J836" s="50">
        <f t="shared" si="96"/>
        <v>1</v>
      </c>
      <c r="K836" s="58">
        <v>19.32</v>
      </c>
      <c r="L836" s="58">
        <v>0.0</v>
      </c>
      <c r="M836" s="58">
        <v>0.0</v>
      </c>
      <c r="N836" s="58">
        <v>8.0</v>
      </c>
      <c r="O836" s="58" t="s">
        <v>1592</v>
      </c>
      <c r="P836" s="63" t="s">
        <v>60</v>
      </c>
      <c r="Q836" s="339">
        <v>293616.09</v>
      </c>
      <c r="R836" s="63" t="s">
        <v>1580</v>
      </c>
      <c r="S836" s="58">
        <v>2024.0</v>
      </c>
      <c r="T836" s="25">
        <v>0.02861722432015</v>
      </c>
      <c r="U836" s="330">
        <f t="shared" si="91"/>
        <v>8402.477512</v>
      </c>
      <c r="V836" s="24">
        <f t="shared" si="3"/>
        <v>434.9108443</v>
      </c>
      <c r="W836" s="3">
        <f t="shared" si="29"/>
        <v>0</v>
      </c>
      <c r="X836" s="3">
        <f t="shared" si="30"/>
        <v>0</v>
      </c>
      <c r="Y836" s="3">
        <f t="shared" si="31"/>
        <v>0</v>
      </c>
      <c r="Z836" s="58">
        <v>0.0</v>
      </c>
      <c r="AA836" s="26">
        <f>VLOOKUP(S836,CPI!$A$2:$E$67,5,0)</f>
        <v>1</v>
      </c>
      <c r="AB836" s="27">
        <f t="shared" si="8"/>
        <v>8402.477512</v>
      </c>
      <c r="AC836" s="27">
        <f t="shared" si="9"/>
        <v>434.9108443</v>
      </c>
    </row>
    <row r="837">
      <c r="A837" s="61">
        <v>20051.0</v>
      </c>
      <c r="B837" s="63" t="s">
        <v>1576</v>
      </c>
      <c r="C837" s="329" t="s">
        <v>1654</v>
      </c>
      <c r="D837" s="16" t="s">
        <v>57</v>
      </c>
      <c r="E837" s="26" t="s">
        <v>1656</v>
      </c>
      <c r="F837" s="58">
        <v>2008.0</v>
      </c>
      <c r="G837" s="58">
        <v>2012.0</v>
      </c>
      <c r="H837" s="58">
        <v>0.0</v>
      </c>
      <c r="I837" s="58">
        <v>3.4</v>
      </c>
      <c r="J837" s="50">
        <f t="shared" si="96"/>
        <v>0.6370588235</v>
      </c>
      <c r="K837" s="55">
        <v>2.166</v>
      </c>
      <c r="L837" s="343">
        <v>1.234</v>
      </c>
      <c r="M837" s="58">
        <v>0.0</v>
      </c>
      <c r="N837" s="58">
        <v>1.0</v>
      </c>
      <c r="O837" s="58" t="s">
        <v>1579</v>
      </c>
      <c r="P837" s="63" t="s">
        <v>74</v>
      </c>
      <c r="Q837" s="55">
        <f>20770+1230</f>
        <v>22000</v>
      </c>
      <c r="R837" s="63" t="s">
        <v>1580</v>
      </c>
      <c r="S837" s="58">
        <v>2010.0</v>
      </c>
      <c r="T837" s="58">
        <v>0.063206562</v>
      </c>
      <c r="U837" s="330">
        <f t="shared" si="91"/>
        <v>1390.544364</v>
      </c>
      <c r="V837" s="24">
        <f t="shared" si="3"/>
        <v>408.9836365</v>
      </c>
      <c r="W837" s="3">
        <f t="shared" si="29"/>
        <v>0</v>
      </c>
      <c r="X837" s="3">
        <f t="shared" si="30"/>
        <v>0</v>
      </c>
      <c r="Y837" s="3">
        <f t="shared" si="31"/>
        <v>0</v>
      </c>
      <c r="Z837" s="58">
        <v>0.0</v>
      </c>
      <c r="AA837" s="26">
        <f>VLOOKUP(S837,CPI!$A$2:$E$67,5,0)</f>
        <v>1.397356642</v>
      </c>
      <c r="AB837" s="27">
        <f t="shared" si="8"/>
        <v>1943.086403</v>
      </c>
      <c r="AC837" s="27">
        <f t="shared" si="9"/>
        <v>571.496001</v>
      </c>
    </row>
    <row r="838">
      <c r="A838" s="61">
        <v>20036.0</v>
      </c>
      <c r="B838" s="63" t="s">
        <v>1576</v>
      </c>
      <c r="C838" s="329" t="s">
        <v>1654</v>
      </c>
      <c r="D838" s="16" t="s">
        <v>54</v>
      </c>
      <c r="E838" s="63" t="s">
        <v>1658</v>
      </c>
      <c r="F838" s="58">
        <v>2015.0</v>
      </c>
      <c r="G838" s="58">
        <v>2018.0</v>
      </c>
      <c r="H838" s="58">
        <v>0.0</v>
      </c>
      <c r="I838" s="58">
        <v>3.1</v>
      </c>
      <c r="J838" s="50">
        <f t="shared" si="96"/>
        <v>1</v>
      </c>
      <c r="K838" s="58">
        <v>3.1</v>
      </c>
      <c r="L838" s="58">
        <v>0.0</v>
      </c>
      <c r="M838" s="58">
        <v>0.0</v>
      </c>
      <c r="N838" s="58">
        <v>1.0</v>
      </c>
      <c r="O838" s="58" t="s">
        <v>1579</v>
      </c>
      <c r="P838" s="63" t="s">
        <v>60</v>
      </c>
      <c r="Q838" s="339">
        <v>11175.1363</v>
      </c>
      <c r="R838" s="63" t="s">
        <v>1580</v>
      </c>
      <c r="S838" s="58">
        <v>2019.0</v>
      </c>
      <c r="T838" s="25">
        <v>0.04159821378393</v>
      </c>
      <c r="U838" s="330">
        <f t="shared" si="91"/>
        <v>464.8657089</v>
      </c>
      <c r="V838" s="24">
        <f t="shared" si="3"/>
        <v>149.9566803</v>
      </c>
      <c r="W838" s="3">
        <f t="shared" si="29"/>
        <v>0</v>
      </c>
      <c r="X838" s="3">
        <f t="shared" si="30"/>
        <v>0</v>
      </c>
      <c r="Y838" s="3">
        <f t="shared" si="31"/>
        <v>0</v>
      </c>
      <c r="Z838" s="58">
        <v>0.0</v>
      </c>
      <c r="AA838" s="26">
        <f>VLOOKUP(S838,CPI!$A$2:$E$67,5,0)</f>
        <v>1.191839066</v>
      </c>
      <c r="AB838" s="27">
        <f t="shared" si="8"/>
        <v>554.0451121</v>
      </c>
      <c r="AC838" s="27">
        <f t="shared" si="9"/>
        <v>178.7242297</v>
      </c>
    </row>
    <row r="839">
      <c r="A839" s="61">
        <v>20035.0</v>
      </c>
      <c r="B839" s="63" t="s">
        <v>1576</v>
      </c>
      <c r="C839" s="329" t="s">
        <v>1654</v>
      </c>
      <c r="D839" s="16" t="s">
        <v>57</v>
      </c>
      <c r="E839" s="63" t="s">
        <v>1660</v>
      </c>
      <c r="F839" s="58">
        <v>2022.0</v>
      </c>
      <c r="G839" s="58">
        <v>2026.0</v>
      </c>
      <c r="H839" s="58">
        <v>0.0</v>
      </c>
      <c r="I839" s="58">
        <v>3.29</v>
      </c>
      <c r="J839" s="50">
        <f t="shared" si="96"/>
        <v>1</v>
      </c>
      <c r="K839" s="58">
        <v>3.29</v>
      </c>
      <c r="L839" s="58">
        <v>0.0</v>
      </c>
      <c r="M839" s="58">
        <v>0.0</v>
      </c>
      <c r="N839" s="58">
        <v>2.0</v>
      </c>
      <c r="O839" s="58" t="s">
        <v>1579</v>
      </c>
      <c r="P839" s="63" t="s">
        <v>60</v>
      </c>
      <c r="Q839" s="339">
        <v>35581.0528</v>
      </c>
      <c r="R839" s="63" t="s">
        <v>1580</v>
      </c>
      <c r="S839" s="58">
        <v>2025.0</v>
      </c>
      <c r="T839" s="25">
        <v>0.02825590631215</v>
      </c>
      <c r="U839" s="330">
        <f t="shared" si="91"/>
        <v>1005.374894</v>
      </c>
      <c r="V839" s="24">
        <f t="shared" si="3"/>
        <v>305.5850743</v>
      </c>
      <c r="W839" s="3">
        <f t="shared" si="29"/>
        <v>0</v>
      </c>
      <c r="X839" s="3">
        <f t="shared" si="30"/>
        <v>0</v>
      </c>
      <c r="Y839" s="3">
        <f t="shared" si="31"/>
        <v>0</v>
      </c>
      <c r="Z839" s="58">
        <v>0.0</v>
      </c>
      <c r="AA839" s="26">
        <f>VLOOKUP(S839,CPI!$A$2:$E$67,5,0)</f>
        <v>1</v>
      </c>
      <c r="AB839" s="27">
        <f t="shared" si="8"/>
        <v>1005.374894</v>
      </c>
      <c r="AC839" s="27">
        <f t="shared" si="9"/>
        <v>305.5850743</v>
      </c>
    </row>
    <row r="840">
      <c r="A840" s="61">
        <v>20037.0</v>
      </c>
      <c r="B840" s="63" t="s">
        <v>1576</v>
      </c>
      <c r="C840" s="329" t="s">
        <v>1667</v>
      </c>
      <c r="D840" s="16" t="s">
        <v>57</v>
      </c>
      <c r="E840" s="63" t="s">
        <v>1668</v>
      </c>
      <c r="F840" s="58">
        <v>2022.0</v>
      </c>
      <c r="G840" s="58">
        <v>2026.0</v>
      </c>
      <c r="H840" s="58">
        <v>0.0</v>
      </c>
      <c r="I840" s="58">
        <v>1.6</v>
      </c>
      <c r="J840" s="50">
        <f t="shared" si="96"/>
        <v>1</v>
      </c>
      <c r="K840" s="58">
        <v>1.6</v>
      </c>
      <c r="L840" s="58">
        <v>0.0</v>
      </c>
      <c r="M840" s="58">
        <v>0.0</v>
      </c>
      <c r="N840" s="58">
        <v>1.0</v>
      </c>
      <c r="O840" s="58" t="s">
        <v>1579</v>
      </c>
      <c r="P840" s="63" t="s">
        <v>60</v>
      </c>
      <c r="Q840" s="339">
        <v>19100.0</v>
      </c>
      <c r="R840" s="63" t="s">
        <v>1580</v>
      </c>
      <c r="S840" s="58">
        <v>2025.0</v>
      </c>
      <c r="T840" s="25">
        <v>0.02817922305102</v>
      </c>
      <c r="U840" s="330">
        <f t="shared" si="91"/>
        <v>538.2231603</v>
      </c>
      <c r="V840" s="24">
        <f t="shared" si="3"/>
        <v>336.3894752</v>
      </c>
      <c r="W840" s="3">
        <f t="shared" si="29"/>
        <v>0</v>
      </c>
      <c r="X840" s="3">
        <f t="shared" si="30"/>
        <v>0</v>
      </c>
      <c r="Y840" s="3">
        <f t="shared" si="31"/>
        <v>0</v>
      </c>
      <c r="Z840" s="58">
        <v>0.0</v>
      </c>
      <c r="AA840" s="26">
        <f>VLOOKUP(S840,CPI!$A$2:$E$67,5,0)</f>
        <v>1</v>
      </c>
      <c r="AB840" s="27">
        <f t="shared" si="8"/>
        <v>538.2231603</v>
      </c>
      <c r="AC840" s="27">
        <f t="shared" si="9"/>
        <v>336.3894752</v>
      </c>
    </row>
    <row r="841">
      <c r="A841" s="61">
        <v>20033.0</v>
      </c>
      <c r="B841" s="63" t="s">
        <v>1576</v>
      </c>
      <c r="C841" s="329" t="s">
        <v>1670</v>
      </c>
      <c r="D841" s="16" t="s">
        <v>84</v>
      </c>
      <c r="E841" s="63" t="s">
        <v>1677</v>
      </c>
      <c r="F841" s="58">
        <v>2004.0</v>
      </c>
      <c r="G841" s="58">
        <v>2012.0</v>
      </c>
      <c r="H841" s="58">
        <v>0.0</v>
      </c>
      <c r="I841" s="58">
        <v>8.4</v>
      </c>
      <c r="J841" s="50">
        <f t="shared" si="96"/>
        <v>1</v>
      </c>
      <c r="K841" s="58">
        <v>8.4</v>
      </c>
      <c r="L841" s="58">
        <v>0.0</v>
      </c>
      <c r="M841" s="58">
        <v>0.0</v>
      </c>
      <c r="N841" s="58">
        <v>4.0</v>
      </c>
      <c r="O841" s="58" t="s">
        <v>1592</v>
      </c>
      <c r="P841" s="63" t="s">
        <v>60</v>
      </c>
      <c r="Q841" s="339">
        <v>62840.9862</v>
      </c>
      <c r="R841" s="63" t="s">
        <v>1580</v>
      </c>
      <c r="S841" s="58">
        <v>2025.0</v>
      </c>
      <c r="T841" s="25">
        <v>0.02973395395114</v>
      </c>
      <c r="U841" s="330">
        <f t="shared" si="91"/>
        <v>1868.51099</v>
      </c>
      <c r="V841" s="24">
        <f t="shared" si="3"/>
        <v>222.4417845</v>
      </c>
      <c r="W841" s="3">
        <f t="shared" si="29"/>
        <v>0</v>
      </c>
      <c r="X841" s="3">
        <f t="shared" si="30"/>
        <v>0</v>
      </c>
      <c r="Y841" s="3">
        <f t="shared" si="31"/>
        <v>0</v>
      </c>
      <c r="Z841" s="58">
        <v>0.0</v>
      </c>
      <c r="AA841" s="26">
        <f>VLOOKUP(S841,CPI!$A$2:$E$67,5,0)</f>
        <v>1</v>
      </c>
      <c r="AB841" s="27">
        <f t="shared" si="8"/>
        <v>1868.51099</v>
      </c>
      <c r="AC841" s="27">
        <f t="shared" si="9"/>
        <v>222.4417845</v>
      </c>
    </row>
    <row r="842">
      <c r="A842" s="61">
        <v>20031.0</v>
      </c>
      <c r="B842" s="63" t="s">
        <v>1576</v>
      </c>
      <c r="C842" s="329" t="s">
        <v>1670</v>
      </c>
      <c r="D842" s="16" t="s">
        <v>54</v>
      </c>
      <c r="E842" s="63" t="s">
        <v>1679</v>
      </c>
      <c r="F842" s="58">
        <v>2014.0</v>
      </c>
      <c r="G842" s="58">
        <v>2018.0</v>
      </c>
      <c r="H842" s="58">
        <v>0.0</v>
      </c>
      <c r="I842" s="58">
        <v>5.1</v>
      </c>
      <c r="J842" s="50">
        <f t="shared" si="96"/>
        <v>1</v>
      </c>
      <c r="K842" s="58">
        <v>5.1</v>
      </c>
      <c r="L842" s="58">
        <v>0.0</v>
      </c>
      <c r="M842" s="58">
        <v>0.0</v>
      </c>
      <c r="N842" s="58">
        <v>2.0</v>
      </c>
      <c r="O842" s="58" t="s">
        <v>1680</v>
      </c>
      <c r="P842" s="63" t="s">
        <v>60</v>
      </c>
      <c r="Q842" s="339">
        <v>35964.4143</v>
      </c>
      <c r="R842" s="63" t="s">
        <v>1580</v>
      </c>
      <c r="S842" s="58">
        <v>2025.0</v>
      </c>
      <c r="T842" s="25">
        <v>0.02970292013522</v>
      </c>
      <c r="U842" s="330">
        <f t="shared" si="91"/>
        <v>1068.248126</v>
      </c>
      <c r="V842" s="24">
        <f t="shared" si="3"/>
        <v>209.4604168</v>
      </c>
      <c r="W842" s="3">
        <f t="shared" si="29"/>
        <v>0</v>
      </c>
      <c r="X842" s="3">
        <f t="shared" si="30"/>
        <v>0</v>
      </c>
      <c r="Y842" s="3">
        <f t="shared" si="31"/>
        <v>0</v>
      </c>
      <c r="Z842" s="58">
        <v>0.0</v>
      </c>
      <c r="AA842" s="26">
        <f>VLOOKUP(S842,CPI!$A$2:$E$67,5,0)</f>
        <v>1</v>
      </c>
      <c r="AB842" s="27">
        <f t="shared" si="8"/>
        <v>1068.248126</v>
      </c>
      <c r="AC842" s="27">
        <f t="shared" si="9"/>
        <v>209.4604168</v>
      </c>
    </row>
    <row r="843">
      <c r="A843" s="61">
        <v>20034.0</v>
      </c>
      <c r="B843" s="63" t="s">
        <v>1576</v>
      </c>
      <c r="C843" s="329" t="s">
        <v>1670</v>
      </c>
      <c r="D843" s="16" t="s">
        <v>84</v>
      </c>
      <c r="E843" s="63" t="s">
        <v>1681</v>
      </c>
      <c r="F843" s="58">
        <v>2011.0</v>
      </c>
      <c r="G843" s="58">
        <v>2019.0</v>
      </c>
      <c r="H843" s="58">
        <v>0.0</v>
      </c>
      <c r="I843" s="58">
        <v>6.2</v>
      </c>
      <c r="J843" s="50">
        <f t="shared" si="96"/>
        <v>1</v>
      </c>
      <c r="K843" s="58">
        <v>6.2</v>
      </c>
      <c r="L843" s="58">
        <v>0.0</v>
      </c>
      <c r="M843" s="58">
        <v>0.0</v>
      </c>
      <c r="N843" s="58">
        <v>3.0</v>
      </c>
      <c r="O843" s="58" t="s">
        <v>1592</v>
      </c>
      <c r="P843" s="63" t="s">
        <v>60</v>
      </c>
      <c r="Q843" s="339">
        <v>38392.3192</v>
      </c>
      <c r="R843" s="63" t="s">
        <v>1580</v>
      </c>
      <c r="S843" s="58">
        <v>2025.0</v>
      </c>
      <c r="T843" s="25">
        <v>0.02970674254673</v>
      </c>
      <c r="U843" s="330">
        <f t="shared" si="91"/>
        <v>1140.510742</v>
      </c>
      <c r="V843" s="24">
        <f t="shared" si="3"/>
        <v>183.9533455</v>
      </c>
      <c r="W843" s="3">
        <f t="shared" si="29"/>
        <v>0</v>
      </c>
      <c r="X843" s="3">
        <f t="shared" si="30"/>
        <v>0</v>
      </c>
      <c r="Y843" s="3">
        <f t="shared" si="31"/>
        <v>0</v>
      </c>
      <c r="Z843" s="58">
        <v>0.0</v>
      </c>
      <c r="AA843" s="26">
        <f>VLOOKUP(S843,CPI!$A$2:$E$67,5,0)</f>
        <v>1</v>
      </c>
      <c r="AB843" s="27">
        <f t="shared" si="8"/>
        <v>1140.510742</v>
      </c>
      <c r="AC843" s="27">
        <f t="shared" si="9"/>
        <v>183.9533455</v>
      </c>
    </row>
    <row r="844">
      <c r="A844" s="61">
        <v>20030.0</v>
      </c>
      <c r="B844" s="63" t="s">
        <v>1576</v>
      </c>
      <c r="C844" s="329" t="s">
        <v>1670</v>
      </c>
      <c r="D844" s="16" t="s">
        <v>110</v>
      </c>
      <c r="E844" s="63" t="s">
        <v>1682</v>
      </c>
      <c r="F844" s="58">
        <v>2015.0</v>
      </c>
      <c r="G844" s="58">
        <v>2024.0</v>
      </c>
      <c r="H844" s="58">
        <v>0.0</v>
      </c>
      <c r="I844" s="58">
        <v>3.6</v>
      </c>
      <c r="J844" s="50">
        <f t="shared" si="96"/>
        <v>1</v>
      </c>
      <c r="K844" s="58">
        <v>3.6</v>
      </c>
      <c r="L844" s="58">
        <v>0.0</v>
      </c>
      <c r="M844" s="58">
        <v>0.0</v>
      </c>
      <c r="N844" s="58">
        <v>2.0</v>
      </c>
      <c r="O844" s="58" t="s">
        <v>1592</v>
      </c>
      <c r="P844" s="63" t="s">
        <v>60</v>
      </c>
      <c r="Q844" s="339">
        <v>45986.3262</v>
      </c>
      <c r="R844" s="63" t="s">
        <v>1580</v>
      </c>
      <c r="S844" s="58">
        <v>2025.0</v>
      </c>
      <c r="T844" s="25">
        <v>0.02950513115352</v>
      </c>
      <c r="U844" s="330">
        <f t="shared" si="91"/>
        <v>1356.832586</v>
      </c>
      <c r="V844" s="24">
        <f t="shared" si="3"/>
        <v>376.8979405</v>
      </c>
      <c r="W844" s="3">
        <f t="shared" si="29"/>
        <v>0</v>
      </c>
      <c r="X844" s="3">
        <f t="shared" si="30"/>
        <v>0</v>
      </c>
      <c r="Y844" s="3">
        <f t="shared" si="31"/>
        <v>0</v>
      </c>
      <c r="Z844" s="58">
        <v>0.0</v>
      </c>
      <c r="AA844" s="26">
        <f>VLOOKUP(S844,CPI!$A$2:$E$67,5,0)</f>
        <v>1</v>
      </c>
      <c r="AB844" s="27">
        <f t="shared" si="8"/>
        <v>1356.832586</v>
      </c>
      <c r="AC844" s="27">
        <f t="shared" si="9"/>
        <v>376.8979405</v>
      </c>
    </row>
    <row r="845">
      <c r="A845" s="61">
        <v>20028.0</v>
      </c>
      <c r="B845" s="63" t="s">
        <v>1576</v>
      </c>
      <c r="C845" s="329" t="s">
        <v>1670</v>
      </c>
      <c r="D845" s="16" t="s">
        <v>80</v>
      </c>
      <c r="E845" s="63" t="s">
        <v>1683</v>
      </c>
      <c r="F845" s="58">
        <v>2018.0</v>
      </c>
      <c r="G845" s="58">
        <v>2025.0</v>
      </c>
      <c r="H845" s="58">
        <v>0.0</v>
      </c>
      <c r="I845" s="58">
        <v>2.57</v>
      </c>
      <c r="J845" s="50">
        <f t="shared" si="96"/>
        <v>1</v>
      </c>
      <c r="K845" s="58">
        <v>2.57</v>
      </c>
      <c r="L845" s="58">
        <v>0.0</v>
      </c>
      <c r="M845" s="58">
        <v>0.0</v>
      </c>
      <c r="N845" s="58">
        <v>2.0</v>
      </c>
      <c r="O845" s="58" t="s">
        <v>1592</v>
      </c>
      <c r="P845" s="63" t="s">
        <v>60</v>
      </c>
      <c r="Q845" s="339">
        <v>84053.5385</v>
      </c>
      <c r="R845" s="63" t="s">
        <v>1580</v>
      </c>
      <c r="S845" s="58">
        <v>2025.0</v>
      </c>
      <c r="T845" s="25">
        <v>0.02915219320978</v>
      </c>
      <c r="U845" s="330">
        <f t="shared" si="91"/>
        <v>2450.344994</v>
      </c>
      <c r="V845" s="24">
        <f t="shared" si="3"/>
        <v>953.441632</v>
      </c>
      <c r="W845" s="3">
        <f t="shared" si="29"/>
        <v>0</v>
      </c>
      <c r="X845" s="3">
        <f t="shared" si="30"/>
        <v>0</v>
      </c>
      <c r="Y845" s="3">
        <f t="shared" si="31"/>
        <v>0</v>
      </c>
      <c r="Z845" s="58">
        <v>0.0</v>
      </c>
      <c r="AA845" s="26">
        <f>VLOOKUP(S845,CPI!$A$2:$E$67,5,0)</f>
        <v>1</v>
      </c>
      <c r="AB845" s="27">
        <f t="shared" si="8"/>
        <v>2450.344994</v>
      </c>
      <c r="AC845" s="27">
        <f t="shared" si="9"/>
        <v>953.441632</v>
      </c>
    </row>
    <row r="846">
      <c r="A846" s="61">
        <v>20032.0</v>
      </c>
      <c r="B846" s="63" t="s">
        <v>1576</v>
      </c>
      <c r="C846" s="329" t="s">
        <v>1670</v>
      </c>
      <c r="D846" s="16" t="s">
        <v>54</v>
      </c>
      <c r="E846" s="63" t="s">
        <v>1684</v>
      </c>
      <c r="F846" s="58">
        <v>2022.0</v>
      </c>
      <c r="G846" s="58">
        <v>2028.0</v>
      </c>
      <c r="H846" s="58">
        <v>0.0</v>
      </c>
      <c r="I846" s="58">
        <v>5.0</v>
      </c>
      <c r="J846" s="50">
        <f t="shared" si="96"/>
        <v>1</v>
      </c>
      <c r="K846" s="58">
        <v>5.0</v>
      </c>
      <c r="L846" s="58">
        <v>0.0</v>
      </c>
      <c r="M846" s="58">
        <v>0.0</v>
      </c>
      <c r="N846" s="58">
        <v>2.0</v>
      </c>
      <c r="O846" s="58" t="s">
        <v>1680</v>
      </c>
      <c r="P846" s="63" t="s">
        <v>60</v>
      </c>
      <c r="Q846" s="339">
        <v>128087.1166</v>
      </c>
      <c r="R846" s="63" t="s">
        <v>1580</v>
      </c>
      <c r="S846" s="58">
        <v>2025.0</v>
      </c>
      <c r="T846" s="25">
        <v>0.02823135914499</v>
      </c>
      <c r="U846" s="330">
        <f t="shared" si="91"/>
        <v>3616.073391</v>
      </c>
      <c r="V846" s="24">
        <f t="shared" si="3"/>
        <v>723.2146781</v>
      </c>
      <c r="W846" s="3">
        <f t="shared" si="29"/>
        <v>0</v>
      </c>
      <c r="X846" s="3">
        <f t="shared" si="30"/>
        <v>0</v>
      </c>
      <c r="Y846" s="3">
        <f t="shared" si="31"/>
        <v>0</v>
      </c>
      <c r="Z846" s="58">
        <v>0.0</v>
      </c>
      <c r="AA846" s="26">
        <f>VLOOKUP(S846,CPI!$A$2:$E$67,5,0)</f>
        <v>1</v>
      </c>
      <c r="AB846" s="27">
        <f t="shared" si="8"/>
        <v>3616.073391</v>
      </c>
      <c r="AC846" s="27">
        <f t="shared" si="9"/>
        <v>723.2146781</v>
      </c>
    </row>
    <row r="847">
      <c r="A847" s="61">
        <v>20029.0</v>
      </c>
      <c r="B847" s="63" t="s">
        <v>1576</v>
      </c>
      <c r="C847" s="329" t="s">
        <v>1670</v>
      </c>
      <c r="D847" s="16" t="s">
        <v>80</v>
      </c>
      <c r="E847" s="63" t="s">
        <v>1685</v>
      </c>
      <c r="F847" s="58">
        <v>2024.0</v>
      </c>
      <c r="G847" s="58">
        <v>2030.0</v>
      </c>
      <c r="H847" s="58">
        <v>0.0</v>
      </c>
      <c r="I847" s="58">
        <v>7.0</v>
      </c>
      <c r="J847" s="50">
        <f t="shared" si="96"/>
        <v>1</v>
      </c>
      <c r="K847" s="58">
        <v>7.0</v>
      </c>
      <c r="L847" s="58">
        <v>0.0</v>
      </c>
      <c r="M847" s="58">
        <v>0.0</v>
      </c>
      <c r="N847" s="58">
        <v>4.0</v>
      </c>
      <c r="O847" s="58" t="s">
        <v>1592</v>
      </c>
      <c r="P847" s="63" t="s">
        <v>60</v>
      </c>
      <c r="Q847" s="339">
        <v>127909.0904</v>
      </c>
      <c r="R847" s="63" t="s">
        <v>1580</v>
      </c>
      <c r="S847" s="58">
        <v>2025.0</v>
      </c>
      <c r="T847" s="25">
        <v>0.02821073481878</v>
      </c>
      <c r="U847" s="330">
        <f t="shared" si="91"/>
        <v>3608.40943</v>
      </c>
      <c r="V847" s="24">
        <f t="shared" si="3"/>
        <v>515.4870615</v>
      </c>
      <c r="W847" s="3">
        <f t="shared" si="29"/>
        <v>0</v>
      </c>
      <c r="X847" s="3">
        <f t="shared" si="30"/>
        <v>0</v>
      </c>
      <c r="Y847" s="3">
        <f t="shared" si="31"/>
        <v>0</v>
      </c>
      <c r="Z847" s="58">
        <v>0.0</v>
      </c>
      <c r="AA847" s="26">
        <f>VLOOKUP(S847,CPI!$A$2:$E$67,5,0)</f>
        <v>1</v>
      </c>
      <c r="AB847" s="27">
        <f t="shared" si="8"/>
        <v>3608.40943</v>
      </c>
      <c r="AC847" s="27">
        <f t="shared" si="9"/>
        <v>515.4870615</v>
      </c>
    </row>
    <row r="848">
      <c r="A848" s="61">
        <v>20052.0</v>
      </c>
      <c r="B848" s="63" t="s">
        <v>1576</v>
      </c>
      <c r="C848" s="329" t="s">
        <v>1690</v>
      </c>
      <c r="D848" s="16" t="s">
        <v>57</v>
      </c>
      <c r="E848" s="26" t="s">
        <v>1691</v>
      </c>
      <c r="F848" s="58">
        <v>2007.0</v>
      </c>
      <c r="G848" s="58">
        <v>2012.0</v>
      </c>
      <c r="H848" s="58">
        <v>0.0</v>
      </c>
      <c r="I848" s="58">
        <v>4.2</v>
      </c>
      <c r="J848" s="50">
        <f t="shared" si="96"/>
        <v>1</v>
      </c>
      <c r="K848" s="58">
        <v>4.2</v>
      </c>
      <c r="L848" s="58">
        <v>0.0</v>
      </c>
      <c r="M848" s="58">
        <v>0.0</v>
      </c>
      <c r="N848" s="58">
        <v>2.0</v>
      </c>
      <c r="O848" s="58" t="s">
        <v>1579</v>
      </c>
      <c r="P848" s="63" t="s">
        <v>74</v>
      </c>
      <c r="Q848" s="55">
        <v>16000.0</v>
      </c>
      <c r="R848" s="63" t="s">
        <v>1580</v>
      </c>
      <c r="S848" s="58">
        <v>2010.0</v>
      </c>
      <c r="T848" s="58">
        <v>0.063206562</v>
      </c>
      <c r="U848" s="330">
        <f t="shared" si="91"/>
        <v>1011.304992</v>
      </c>
      <c r="V848" s="24">
        <f t="shared" si="3"/>
        <v>240.7869029</v>
      </c>
      <c r="W848" s="3">
        <f t="shared" si="29"/>
        <v>0</v>
      </c>
      <c r="X848" s="3">
        <f t="shared" si="30"/>
        <v>0</v>
      </c>
      <c r="Y848" s="3">
        <f t="shared" si="31"/>
        <v>0</v>
      </c>
      <c r="Z848" s="58">
        <v>0.0</v>
      </c>
      <c r="AA848" s="26">
        <f>VLOOKUP(S848,CPI!$A$2:$E$67,5,0)</f>
        <v>1.397356642</v>
      </c>
      <c r="AB848" s="27">
        <f t="shared" si="8"/>
        <v>1413.153748</v>
      </c>
      <c r="AC848" s="27">
        <f t="shared" si="9"/>
        <v>336.4651781</v>
      </c>
    </row>
    <row r="849">
      <c r="A849" s="14">
        <v>8192.0</v>
      </c>
      <c r="B849" s="15" t="s">
        <v>1693</v>
      </c>
      <c r="C849" s="15" t="s">
        <v>1694</v>
      </c>
      <c r="D849" s="16" t="s">
        <v>1695</v>
      </c>
      <c r="E849" s="15" t="s">
        <v>1696</v>
      </c>
      <c r="F849" s="17">
        <v>2014.0</v>
      </c>
      <c r="G849" s="17"/>
      <c r="H849" s="17">
        <v>0.0</v>
      </c>
      <c r="I849" s="18">
        <v>50.0</v>
      </c>
      <c r="J849" s="19">
        <f t="shared" si="96"/>
        <v>0</v>
      </c>
      <c r="K849" s="20">
        <v>0.0</v>
      </c>
      <c r="L849" s="21">
        <v>0.0</v>
      </c>
      <c r="M849" s="21">
        <v>0.0</v>
      </c>
      <c r="N849" s="18"/>
      <c r="O849" s="17"/>
      <c r="P849" s="22"/>
      <c r="Q849" s="23">
        <v>16000.0</v>
      </c>
      <c r="R849" s="15" t="s">
        <v>37</v>
      </c>
      <c r="S849" s="18">
        <v>2010.0</v>
      </c>
      <c r="T849" s="18">
        <v>1.623</v>
      </c>
      <c r="U849" s="18">
        <f t="shared" si="91"/>
        <v>25968</v>
      </c>
      <c r="V849" s="24">
        <f t="shared" si="3"/>
        <v>519.36</v>
      </c>
      <c r="W849" s="3">
        <f t="shared" si="29"/>
        <v>0</v>
      </c>
      <c r="X849" s="3">
        <f t="shared" si="30"/>
        <v>0</v>
      </c>
      <c r="Y849" s="3">
        <f t="shared" si="31"/>
        <v>0</v>
      </c>
      <c r="Z849" s="25">
        <f t="shared" ref="Z849:Z955" si="97">IF(OR(B849 = "US",B849 = "CA",B849 = "UK",B849 = "NZ",B849 = "AU",B849 = "SG"), 1, 0)</f>
        <v>0</v>
      </c>
      <c r="AA849" s="26">
        <f>VLOOKUP(S849,CPI!$A$2:$E$67,5,0)</f>
        <v>1.397356642</v>
      </c>
      <c r="AB849" s="27">
        <f t="shared" si="8"/>
        <v>36286.55729</v>
      </c>
      <c r="AC849" s="27">
        <f t="shared" si="9"/>
        <v>725.7311458</v>
      </c>
    </row>
    <row r="850">
      <c r="A850" s="14">
        <v>8186.0</v>
      </c>
      <c r="B850" s="15" t="s">
        <v>1693</v>
      </c>
      <c r="C850" s="15" t="s">
        <v>1698</v>
      </c>
      <c r="D850" s="15" t="s">
        <v>1699</v>
      </c>
      <c r="E850" s="15" t="s">
        <v>1699</v>
      </c>
      <c r="F850" s="17">
        <v>2014.0</v>
      </c>
      <c r="G850" s="17">
        <v>2025.0</v>
      </c>
      <c r="H850" s="17">
        <v>0.0</v>
      </c>
      <c r="I850" s="18">
        <v>161.1</v>
      </c>
      <c r="J850" s="19">
        <f t="shared" si="96"/>
        <v>0.1241464929</v>
      </c>
      <c r="K850" s="20">
        <v>20.0</v>
      </c>
      <c r="L850" s="21">
        <v>0.0</v>
      </c>
      <c r="M850" s="21">
        <v>0.0</v>
      </c>
      <c r="N850" s="18">
        <v>81.0</v>
      </c>
      <c r="O850" s="17"/>
      <c r="P850" s="22" t="s">
        <v>36</v>
      </c>
      <c r="Q850" s="23">
        <v>12000.0</v>
      </c>
      <c r="R850" s="15" t="s">
        <v>37</v>
      </c>
      <c r="S850" s="18">
        <v>2015.0</v>
      </c>
      <c r="T850" s="18">
        <v>1.435</v>
      </c>
      <c r="U850" s="18">
        <f t="shared" si="91"/>
        <v>17220</v>
      </c>
      <c r="V850" s="24">
        <f t="shared" si="3"/>
        <v>106.8901304</v>
      </c>
      <c r="W850" s="3">
        <f t="shared" si="29"/>
        <v>0</v>
      </c>
      <c r="X850" s="3">
        <f t="shared" si="30"/>
        <v>0</v>
      </c>
      <c r="Y850" s="3">
        <f t="shared" si="31"/>
        <v>0</v>
      </c>
      <c r="Z850" s="25">
        <f t="shared" si="97"/>
        <v>0</v>
      </c>
      <c r="AA850" s="26">
        <f>VLOOKUP(S850,CPI!$A$2:$E$67,5,0)</f>
        <v>1.285570233</v>
      </c>
      <c r="AB850" s="27">
        <f t="shared" si="8"/>
        <v>22137.51942</v>
      </c>
      <c r="AC850" s="27">
        <f t="shared" si="9"/>
        <v>137.4147698</v>
      </c>
    </row>
    <row r="851">
      <c r="A851" s="14">
        <v>8187.0</v>
      </c>
      <c r="B851" s="15" t="s">
        <v>1693</v>
      </c>
      <c r="C851" s="15" t="s">
        <v>1701</v>
      </c>
      <c r="D851" s="15" t="s">
        <v>1702</v>
      </c>
      <c r="E851" s="15" t="s">
        <v>1702</v>
      </c>
      <c r="F851" s="17">
        <v>2009.0</v>
      </c>
      <c r="G851" s="17"/>
      <c r="H851" s="17"/>
      <c r="I851" s="18">
        <v>188.0</v>
      </c>
      <c r="J851" s="19"/>
      <c r="K851" s="20"/>
      <c r="L851" s="21" t="e">
        <v>#N/A</v>
      </c>
      <c r="M851" s="21" t="e">
        <v>#N/A</v>
      </c>
      <c r="N851" s="18">
        <v>90.0</v>
      </c>
      <c r="O851" s="17"/>
      <c r="P851" s="22"/>
      <c r="Q851" s="23">
        <v>62000.0</v>
      </c>
      <c r="R851" s="15" t="s">
        <v>1703</v>
      </c>
      <c r="S851" s="18">
        <v>2010.0</v>
      </c>
      <c r="T851" s="18">
        <v>0.616</v>
      </c>
      <c r="U851" s="18">
        <f t="shared" si="91"/>
        <v>38192</v>
      </c>
      <c r="V851" s="24">
        <f t="shared" si="3"/>
        <v>203.1489362</v>
      </c>
      <c r="W851" s="3">
        <f t="shared" si="29"/>
        <v>0</v>
      </c>
      <c r="X851" s="3">
        <f t="shared" si="30"/>
        <v>0</v>
      </c>
      <c r="Y851" s="3">
        <f t="shared" si="31"/>
        <v>0</v>
      </c>
      <c r="Z851" s="25">
        <f t="shared" si="97"/>
        <v>0</v>
      </c>
      <c r="AA851" s="26">
        <f>VLOOKUP(S851,CPI!$A$2:$E$67,5,0)</f>
        <v>1.397356642</v>
      </c>
      <c r="AB851" s="27">
        <f t="shared" si="8"/>
        <v>53367.84488</v>
      </c>
      <c r="AC851" s="27">
        <f t="shared" si="9"/>
        <v>283.8715153</v>
      </c>
    </row>
    <row r="852">
      <c r="A852" s="14">
        <v>8171.0</v>
      </c>
      <c r="B852" s="15" t="s">
        <v>1693</v>
      </c>
      <c r="C852" s="15" t="s">
        <v>1704</v>
      </c>
      <c r="D852" s="15" t="s">
        <v>1705</v>
      </c>
      <c r="E852" s="15" t="s">
        <v>1705</v>
      </c>
      <c r="F852" s="17">
        <v>2015.0</v>
      </c>
      <c r="G852" s="17">
        <v>2016.0</v>
      </c>
      <c r="H852" s="17">
        <v>0.0</v>
      </c>
      <c r="I852" s="18">
        <v>38.0</v>
      </c>
      <c r="J852" s="19">
        <f t="shared" ref="J852:J857" si="98">K852/I852</f>
        <v>0.4263157895</v>
      </c>
      <c r="K852" s="20">
        <v>16.2</v>
      </c>
      <c r="L852" s="21">
        <v>0.0</v>
      </c>
      <c r="M852" s="21">
        <v>0.0</v>
      </c>
      <c r="N852" s="18">
        <v>22.0</v>
      </c>
      <c r="O852" s="17"/>
      <c r="P852" s="22" t="s">
        <v>36</v>
      </c>
      <c r="Q852" s="23">
        <v>6561.0</v>
      </c>
      <c r="R852" s="15" t="s">
        <v>37</v>
      </c>
      <c r="S852" s="18">
        <v>2013.0</v>
      </c>
      <c r="T852" s="18">
        <v>1.82</v>
      </c>
      <c r="U852" s="18">
        <f t="shared" si="91"/>
        <v>11941.02</v>
      </c>
      <c r="V852" s="24">
        <f t="shared" si="3"/>
        <v>314.2373684</v>
      </c>
      <c r="W852" s="3">
        <f t="shared" si="29"/>
        <v>0</v>
      </c>
      <c r="X852" s="3">
        <f t="shared" si="30"/>
        <v>0</v>
      </c>
      <c r="Y852" s="3">
        <f t="shared" si="31"/>
        <v>0</v>
      </c>
      <c r="Z852" s="25">
        <f t="shared" si="97"/>
        <v>0</v>
      </c>
      <c r="AA852" s="26">
        <f>VLOOKUP(S852,CPI!$A$2:$E$67,5,0)</f>
        <v>1.307975292</v>
      </c>
      <c r="AB852" s="27">
        <f t="shared" si="8"/>
        <v>15618.55912</v>
      </c>
      <c r="AC852" s="27">
        <f t="shared" si="9"/>
        <v>411.0147136</v>
      </c>
    </row>
    <row r="853">
      <c r="A853" s="14">
        <v>8179.0</v>
      </c>
      <c r="B853" s="15" t="s">
        <v>1693</v>
      </c>
      <c r="C853" s="15" t="s">
        <v>1704</v>
      </c>
      <c r="D853" s="15" t="s">
        <v>1707</v>
      </c>
      <c r="E853" s="15" t="s">
        <v>1707</v>
      </c>
      <c r="F853" s="17">
        <v>2015.0</v>
      </c>
      <c r="G853" s="17">
        <v>2016.0</v>
      </c>
      <c r="H853" s="17">
        <v>0.0</v>
      </c>
      <c r="I853" s="18">
        <v>12.9</v>
      </c>
      <c r="J853" s="19">
        <f t="shared" si="98"/>
        <v>0.9302325581</v>
      </c>
      <c r="K853" s="20">
        <v>12.0</v>
      </c>
      <c r="L853" s="21">
        <v>0.0</v>
      </c>
      <c r="M853" s="21">
        <v>0.0</v>
      </c>
      <c r="N853" s="18">
        <v>11.0</v>
      </c>
      <c r="O853" s="17"/>
      <c r="P853" s="22" t="s">
        <v>36</v>
      </c>
      <c r="Q853" s="23">
        <v>2220.0</v>
      </c>
      <c r="R853" s="15" t="s">
        <v>37</v>
      </c>
      <c r="S853" s="18">
        <v>2013.0</v>
      </c>
      <c r="T853" s="18">
        <v>1.82</v>
      </c>
      <c r="U853" s="18">
        <f t="shared" si="91"/>
        <v>4040.4</v>
      </c>
      <c r="V853" s="24">
        <f t="shared" si="3"/>
        <v>313.2093023</v>
      </c>
      <c r="W853" s="3">
        <f t="shared" si="29"/>
        <v>0</v>
      </c>
      <c r="X853" s="3">
        <f t="shared" si="30"/>
        <v>0</v>
      </c>
      <c r="Y853" s="3">
        <f t="shared" si="31"/>
        <v>0</v>
      </c>
      <c r="Z853" s="25">
        <f t="shared" si="97"/>
        <v>0</v>
      </c>
      <c r="AA853" s="26">
        <f>VLOOKUP(S853,CPI!$A$2:$E$67,5,0)</f>
        <v>1.307975292</v>
      </c>
      <c r="AB853" s="27">
        <f t="shared" si="8"/>
        <v>5284.743368</v>
      </c>
      <c r="AC853" s="27">
        <f t="shared" si="9"/>
        <v>409.6700285</v>
      </c>
    </row>
    <row r="854">
      <c r="A854" s="14">
        <v>8177.0</v>
      </c>
      <c r="B854" s="15" t="s">
        <v>1693</v>
      </c>
      <c r="C854" s="15" t="s">
        <v>1704</v>
      </c>
      <c r="D854" s="15" t="s">
        <v>1709</v>
      </c>
      <c r="E854" s="15" t="s">
        <v>1709</v>
      </c>
      <c r="F854" s="17">
        <v>2014.0</v>
      </c>
      <c r="G854" s="17">
        <v>2017.0</v>
      </c>
      <c r="H854" s="17">
        <v>0.0</v>
      </c>
      <c r="I854" s="18">
        <v>40.7</v>
      </c>
      <c r="J854" s="19">
        <f t="shared" si="98"/>
        <v>0.14004914</v>
      </c>
      <c r="K854" s="20">
        <v>5.7</v>
      </c>
      <c r="L854" s="21">
        <v>0.0</v>
      </c>
      <c r="M854" s="21">
        <v>0.0</v>
      </c>
      <c r="N854" s="18">
        <v>20.0</v>
      </c>
      <c r="O854" s="17"/>
      <c r="P854" s="22" t="s">
        <v>36</v>
      </c>
      <c r="Q854" s="23">
        <v>5002.0</v>
      </c>
      <c r="R854" s="15" t="s">
        <v>37</v>
      </c>
      <c r="S854" s="18">
        <v>2013.0</v>
      </c>
      <c r="T854" s="18">
        <v>1.82</v>
      </c>
      <c r="U854" s="18">
        <f t="shared" si="91"/>
        <v>9103.64</v>
      </c>
      <c r="V854" s="24">
        <f t="shared" si="3"/>
        <v>223.6766585</v>
      </c>
      <c r="W854" s="3">
        <f t="shared" si="29"/>
        <v>0</v>
      </c>
      <c r="X854" s="3">
        <f t="shared" si="30"/>
        <v>0</v>
      </c>
      <c r="Y854" s="3">
        <f t="shared" si="31"/>
        <v>0</v>
      </c>
      <c r="Z854" s="25">
        <f t="shared" si="97"/>
        <v>0</v>
      </c>
      <c r="AA854" s="26">
        <f>VLOOKUP(S854,CPI!$A$2:$E$67,5,0)</f>
        <v>1.307975292</v>
      </c>
      <c r="AB854" s="27">
        <f t="shared" si="8"/>
        <v>11907.33618</v>
      </c>
      <c r="AC854" s="27">
        <f t="shared" si="9"/>
        <v>292.5635426</v>
      </c>
    </row>
    <row r="855">
      <c r="A855" s="14">
        <v>8184.0</v>
      </c>
      <c r="B855" s="15" t="s">
        <v>1693</v>
      </c>
      <c r="C855" s="15" t="s">
        <v>1704</v>
      </c>
      <c r="D855" s="15" t="s">
        <v>1710</v>
      </c>
      <c r="E855" s="15" t="s">
        <v>1710</v>
      </c>
      <c r="F855" s="17">
        <v>2014.0</v>
      </c>
      <c r="G855" s="17">
        <v>2019.0</v>
      </c>
      <c r="H855" s="17">
        <v>0.0</v>
      </c>
      <c r="I855" s="18">
        <v>29.9</v>
      </c>
      <c r="J855" s="19">
        <f t="shared" si="98"/>
        <v>0</v>
      </c>
      <c r="K855" s="20">
        <v>0.0</v>
      </c>
      <c r="L855" s="21">
        <v>0.0</v>
      </c>
      <c r="M855" s="21">
        <v>0.0</v>
      </c>
      <c r="N855" s="18">
        <v>6.0</v>
      </c>
      <c r="O855" s="17"/>
      <c r="P855" s="22" t="s">
        <v>36</v>
      </c>
      <c r="Q855" s="23">
        <v>3330.0</v>
      </c>
      <c r="R855" s="15" t="s">
        <v>37</v>
      </c>
      <c r="S855" s="18">
        <v>2013.0</v>
      </c>
      <c r="T855" s="18">
        <v>1.82</v>
      </c>
      <c r="U855" s="18">
        <f t="shared" si="91"/>
        <v>6060.6</v>
      </c>
      <c r="V855" s="24">
        <f t="shared" si="3"/>
        <v>202.6956522</v>
      </c>
      <c r="W855" s="3">
        <f t="shared" si="29"/>
        <v>0</v>
      </c>
      <c r="X855" s="3">
        <f t="shared" si="30"/>
        <v>0</v>
      </c>
      <c r="Y855" s="3">
        <f t="shared" si="31"/>
        <v>0</v>
      </c>
      <c r="Z855" s="25">
        <f t="shared" si="97"/>
        <v>0</v>
      </c>
      <c r="AA855" s="26">
        <f>VLOOKUP(S855,CPI!$A$2:$E$67,5,0)</f>
        <v>1.307975292</v>
      </c>
      <c r="AB855" s="27">
        <f t="shared" si="8"/>
        <v>7927.115052</v>
      </c>
      <c r="AC855" s="27">
        <f t="shared" si="9"/>
        <v>265.1209048</v>
      </c>
    </row>
    <row r="856">
      <c r="A856" s="14">
        <v>8176.0</v>
      </c>
      <c r="B856" s="15" t="s">
        <v>1693</v>
      </c>
      <c r="C856" s="15" t="s">
        <v>1704</v>
      </c>
      <c r="D856" s="15" t="s">
        <v>1712</v>
      </c>
      <c r="E856" s="15" t="s">
        <v>1712</v>
      </c>
      <c r="F856" s="17">
        <v>2014.0</v>
      </c>
      <c r="G856" s="17">
        <v>2020.0</v>
      </c>
      <c r="H856" s="17">
        <v>0.0</v>
      </c>
      <c r="I856" s="18">
        <v>25.3</v>
      </c>
      <c r="J856" s="19">
        <f t="shared" si="98"/>
        <v>0</v>
      </c>
      <c r="K856" s="20">
        <v>0.0</v>
      </c>
      <c r="L856" s="21">
        <v>0.0</v>
      </c>
      <c r="M856" s="21">
        <v>0.0</v>
      </c>
      <c r="N856" s="18">
        <v>13.0</v>
      </c>
      <c r="O856" s="17"/>
      <c r="P856" s="22" t="s">
        <v>36</v>
      </c>
      <c r="Q856" s="23">
        <v>2880.0</v>
      </c>
      <c r="R856" s="15" t="s">
        <v>37</v>
      </c>
      <c r="S856" s="18">
        <v>2013.0</v>
      </c>
      <c r="T856" s="18">
        <v>1.82</v>
      </c>
      <c r="U856" s="18">
        <f t="shared" si="91"/>
        <v>5241.6</v>
      </c>
      <c r="V856" s="24">
        <f t="shared" si="3"/>
        <v>207.1778656</v>
      </c>
      <c r="W856" s="3">
        <f t="shared" si="29"/>
        <v>0</v>
      </c>
      <c r="X856" s="3">
        <f t="shared" si="30"/>
        <v>0</v>
      </c>
      <c r="Y856" s="3">
        <f t="shared" si="31"/>
        <v>0</v>
      </c>
      <c r="Z856" s="25">
        <f t="shared" si="97"/>
        <v>0</v>
      </c>
      <c r="AA856" s="26">
        <f>VLOOKUP(S856,CPI!$A$2:$E$67,5,0)</f>
        <v>1.307975292</v>
      </c>
      <c r="AB856" s="27">
        <f t="shared" si="8"/>
        <v>6855.883288</v>
      </c>
      <c r="AC856" s="27">
        <f t="shared" si="9"/>
        <v>270.9835292</v>
      </c>
    </row>
    <row r="857">
      <c r="A857" s="14">
        <v>8178.0</v>
      </c>
      <c r="B857" s="15" t="s">
        <v>1693</v>
      </c>
      <c r="C857" s="15" t="s">
        <v>1704</v>
      </c>
      <c r="D857" s="15" t="s">
        <v>1713</v>
      </c>
      <c r="E857" s="15" t="s">
        <v>1713</v>
      </c>
      <c r="F857" s="17">
        <v>2014.0</v>
      </c>
      <c r="G857" s="17">
        <v>2020.0</v>
      </c>
      <c r="H857" s="17">
        <v>0.0</v>
      </c>
      <c r="I857" s="18">
        <v>29.6</v>
      </c>
      <c r="J857" s="19">
        <f t="shared" si="98"/>
        <v>0</v>
      </c>
      <c r="K857" s="20">
        <v>0.0</v>
      </c>
      <c r="L857" s="21">
        <v>0.0</v>
      </c>
      <c r="M857" s="21">
        <v>0.0</v>
      </c>
      <c r="N857" s="18">
        <v>8.0</v>
      </c>
      <c r="O857" s="17"/>
      <c r="P857" s="22" t="s">
        <v>36</v>
      </c>
      <c r="Q857" s="23">
        <v>2270.0</v>
      </c>
      <c r="R857" s="15" t="s">
        <v>37</v>
      </c>
      <c r="S857" s="18">
        <v>2013.0</v>
      </c>
      <c r="T857" s="18">
        <v>1.82</v>
      </c>
      <c r="U857" s="18">
        <f t="shared" si="91"/>
        <v>4131.4</v>
      </c>
      <c r="V857" s="24">
        <f t="shared" si="3"/>
        <v>139.5743243</v>
      </c>
      <c r="W857" s="3">
        <f t="shared" si="29"/>
        <v>0</v>
      </c>
      <c r="X857" s="3">
        <f t="shared" si="30"/>
        <v>0</v>
      </c>
      <c r="Y857" s="3">
        <f t="shared" si="31"/>
        <v>0</v>
      </c>
      <c r="Z857" s="25">
        <f t="shared" si="97"/>
        <v>0</v>
      </c>
      <c r="AA857" s="26">
        <f>VLOOKUP(S857,CPI!$A$2:$E$67,5,0)</f>
        <v>1.307975292</v>
      </c>
      <c r="AB857" s="27">
        <f t="shared" si="8"/>
        <v>5403.76912</v>
      </c>
      <c r="AC857" s="27">
        <f t="shared" si="9"/>
        <v>182.5597676</v>
      </c>
    </row>
    <row r="858">
      <c r="A858" s="61">
        <v>9804.0</v>
      </c>
      <c r="B858" s="6" t="s">
        <v>1714</v>
      </c>
      <c r="C858" s="6" t="s">
        <v>1715</v>
      </c>
      <c r="D858" s="6" t="s">
        <v>1716</v>
      </c>
      <c r="E858" s="6" t="s">
        <v>1716</v>
      </c>
      <c r="F858" s="3">
        <v>2018.0</v>
      </c>
      <c r="G858" s="3">
        <v>2026.0</v>
      </c>
      <c r="H858" s="3">
        <v>1.0</v>
      </c>
      <c r="I858" s="3">
        <v>8.0</v>
      </c>
      <c r="J858" s="39">
        <v>0.75</v>
      </c>
      <c r="K858" s="20">
        <v>6.0</v>
      </c>
      <c r="L858" s="40">
        <v>0.0</v>
      </c>
      <c r="M858" s="40">
        <v>0.0</v>
      </c>
      <c r="N858" s="3">
        <v>3.0</v>
      </c>
      <c r="O858" s="3"/>
      <c r="P858" s="6" t="s">
        <v>60</v>
      </c>
      <c r="Q858" s="41">
        <v>20000.0</v>
      </c>
      <c r="R858" s="6" t="s">
        <v>1717</v>
      </c>
      <c r="S858" s="3">
        <v>2009.0</v>
      </c>
      <c r="T858" s="3">
        <v>0.112</v>
      </c>
      <c r="U858" s="3">
        <f t="shared" si="91"/>
        <v>2240</v>
      </c>
      <c r="V858" s="24">
        <f t="shared" si="3"/>
        <v>280</v>
      </c>
      <c r="W858" s="3">
        <f t="shared" si="29"/>
        <v>1</v>
      </c>
      <c r="X858" s="3">
        <f t="shared" si="30"/>
        <v>8</v>
      </c>
      <c r="Y858" s="3">
        <f t="shared" si="31"/>
        <v>6</v>
      </c>
      <c r="Z858" s="25">
        <f t="shared" si="97"/>
        <v>0</v>
      </c>
      <c r="AA858" s="26">
        <f>VLOOKUP(S858,CPI!$A$2:$E$67,5,0)</f>
        <v>1.420277155</v>
      </c>
      <c r="AB858" s="27">
        <f t="shared" si="8"/>
        <v>3181.420827</v>
      </c>
      <c r="AC858" s="27">
        <f t="shared" si="9"/>
        <v>397.6776034</v>
      </c>
    </row>
    <row r="859">
      <c r="A859" s="38">
        <v>7225.0</v>
      </c>
      <c r="B859" s="26" t="s">
        <v>1714</v>
      </c>
      <c r="C859" s="26" t="s">
        <v>1719</v>
      </c>
      <c r="D859" s="26" t="s">
        <v>1720</v>
      </c>
      <c r="E859" s="26" t="s">
        <v>1720</v>
      </c>
      <c r="F859" s="25">
        <v>2005.0</v>
      </c>
      <c r="G859" s="25">
        <v>2010.0</v>
      </c>
      <c r="H859" s="25">
        <v>1.0</v>
      </c>
      <c r="I859" s="25">
        <v>17.0</v>
      </c>
      <c r="J859" s="50">
        <v>0.35</v>
      </c>
      <c r="K859" s="25">
        <v>6.0</v>
      </c>
      <c r="L859" s="51">
        <v>0.0</v>
      </c>
      <c r="M859" s="51">
        <v>0.0</v>
      </c>
      <c r="N859" s="25">
        <v>3.0</v>
      </c>
      <c r="O859" s="25"/>
      <c r="P859" s="26" t="s">
        <v>36</v>
      </c>
      <c r="Q859" s="52">
        <v>8450.0</v>
      </c>
      <c r="R859" s="26" t="s">
        <v>1717</v>
      </c>
      <c r="S859" s="25">
        <v>2001.0</v>
      </c>
      <c r="T859" s="25">
        <v>0.106</v>
      </c>
      <c r="U859" s="25">
        <f t="shared" si="91"/>
        <v>895.7</v>
      </c>
      <c r="V859" s="24">
        <f t="shared" si="3"/>
        <v>52.68823529</v>
      </c>
      <c r="W859" s="3">
        <f t="shared" si="29"/>
        <v>1</v>
      </c>
      <c r="X859" s="3">
        <f t="shared" si="30"/>
        <v>17</v>
      </c>
      <c r="Y859" s="3">
        <f t="shared" si="31"/>
        <v>6</v>
      </c>
      <c r="Z859" s="25">
        <f t="shared" si="97"/>
        <v>0</v>
      </c>
      <c r="AA859" s="26">
        <f>VLOOKUP(S859,CPI!$A$2:$E$67,5,0)</f>
        <v>1.720508187</v>
      </c>
      <c r="AB859" s="27">
        <f t="shared" si="8"/>
        <v>1541.059184</v>
      </c>
      <c r="AC859" s="27">
        <f t="shared" si="9"/>
        <v>90.65054021</v>
      </c>
    </row>
    <row r="860">
      <c r="A860" s="38">
        <v>7224.0</v>
      </c>
      <c r="B860" s="26" t="s">
        <v>1714</v>
      </c>
      <c r="C860" s="26" t="s">
        <v>1722</v>
      </c>
      <c r="D860" s="26" t="s">
        <v>1723</v>
      </c>
      <c r="E860" s="26" t="s">
        <v>1723</v>
      </c>
      <c r="F860" s="25">
        <v>2007.0</v>
      </c>
      <c r="G860" s="25">
        <v>2017.0</v>
      </c>
      <c r="H860" s="25">
        <v>1.0</v>
      </c>
      <c r="I860" s="25">
        <v>7.4</v>
      </c>
      <c r="J860" s="50">
        <v>0.81</v>
      </c>
      <c r="K860" s="25">
        <v>6.0</v>
      </c>
      <c r="L860" s="51">
        <v>0.0</v>
      </c>
      <c r="M860" s="51">
        <v>0.0</v>
      </c>
      <c r="N860" s="25">
        <v>2.0</v>
      </c>
      <c r="O860" s="58">
        <v>200.0</v>
      </c>
      <c r="P860" s="26" t="s">
        <v>60</v>
      </c>
      <c r="Q860" s="52">
        <v>16800.0</v>
      </c>
      <c r="R860" s="26" t="s">
        <v>1717</v>
      </c>
      <c r="S860" s="25">
        <v>2007.0</v>
      </c>
      <c r="T860" s="25">
        <v>0.1125</v>
      </c>
      <c r="U860" s="25">
        <f t="shared" si="91"/>
        <v>1890</v>
      </c>
      <c r="V860" s="24">
        <f t="shared" si="3"/>
        <v>255.4054054</v>
      </c>
      <c r="W860" s="3">
        <f t="shared" si="29"/>
        <v>1</v>
      </c>
      <c r="X860" s="3">
        <f t="shared" si="30"/>
        <v>7.4</v>
      </c>
      <c r="Y860" s="3">
        <f t="shared" si="31"/>
        <v>6</v>
      </c>
      <c r="Z860" s="25">
        <f t="shared" si="97"/>
        <v>0</v>
      </c>
      <c r="AA860" s="26">
        <f>VLOOKUP(S860,CPI!$A$2:$E$67,5,0)</f>
        <v>1.469562366</v>
      </c>
      <c r="AB860" s="27">
        <f t="shared" si="8"/>
        <v>2777.472871</v>
      </c>
      <c r="AC860" s="27">
        <f t="shared" si="9"/>
        <v>375.3341717</v>
      </c>
    </row>
    <row r="861">
      <c r="A861" s="38">
        <v>7219.0</v>
      </c>
      <c r="B861" s="26" t="s">
        <v>1714</v>
      </c>
      <c r="C861" s="26" t="s">
        <v>1722</v>
      </c>
      <c r="D861" s="63" t="s">
        <v>153</v>
      </c>
      <c r="E861" s="26" t="s">
        <v>1725</v>
      </c>
      <c r="F861" s="25">
        <v>2020.0</v>
      </c>
      <c r="G861" s="25">
        <v>2026.0</v>
      </c>
      <c r="H861" s="25">
        <v>0.0</v>
      </c>
      <c r="I861" s="25">
        <v>3.3</v>
      </c>
      <c r="J861" s="50">
        <v>1.0</v>
      </c>
      <c r="K861" s="25">
        <v>3.3</v>
      </c>
      <c r="L861" s="51">
        <v>0.0</v>
      </c>
      <c r="M861" s="51">
        <v>0.0</v>
      </c>
      <c r="N861" s="25">
        <v>2.0</v>
      </c>
      <c r="O861" s="58">
        <v>140.0</v>
      </c>
      <c r="P861" s="26" t="s">
        <v>60</v>
      </c>
      <c r="Q861" s="55">
        <v>5286.0</v>
      </c>
      <c r="R861" s="26" t="s">
        <v>1717</v>
      </c>
      <c r="S861" s="58">
        <v>2016.0</v>
      </c>
      <c r="T861" s="58">
        <v>0.113</v>
      </c>
      <c r="U861" s="25">
        <f t="shared" si="91"/>
        <v>597.318</v>
      </c>
      <c r="V861" s="24">
        <f t="shared" si="3"/>
        <v>181.0054545</v>
      </c>
      <c r="W861" s="3">
        <f t="shared" si="29"/>
        <v>1</v>
      </c>
      <c r="X861" s="3">
        <f t="shared" si="30"/>
        <v>3.3</v>
      </c>
      <c r="Y861" s="3">
        <f t="shared" si="31"/>
        <v>3.3</v>
      </c>
      <c r="Z861" s="25">
        <f t="shared" si="97"/>
        <v>0</v>
      </c>
      <c r="AA861" s="26">
        <f>VLOOKUP(S861,CPI!$A$2:$E$67,5,0)</f>
        <v>1.269554638</v>
      </c>
      <c r="AB861" s="27">
        <f t="shared" si="8"/>
        <v>758.3278373</v>
      </c>
      <c r="AC861" s="27">
        <f t="shared" si="9"/>
        <v>229.7963143</v>
      </c>
    </row>
    <row r="862">
      <c r="A862" s="38">
        <v>7217.0</v>
      </c>
      <c r="B862" s="26" t="s">
        <v>1714</v>
      </c>
      <c r="C862" s="26" t="s">
        <v>1722</v>
      </c>
      <c r="D862" s="63" t="s">
        <v>127</v>
      </c>
      <c r="E862" s="26" t="s">
        <v>1727</v>
      </c>
      <c r="F862" s="25">
        <v>2020.0</v>
      </c>
      <c r="G862" s="25">
        <v>2030.0</v>
      </c>
      <c r="H862" s="25">
        <v>0.0</v>
      </c>
      <c r="I862" s="25">
        <v>4.1</v>
      </c>
      <c r="J862" s="50">
        <v>1.0</v>
      </c>
      <c r="K862" s="25">
        <v>4.1</v>
      </c>
      <c r="L862" s="51">
        <v>0.0</v>
      </c>
      <c r="M862" s="51">
        <v>0.0</v>
      </c>
      <c r="N862" s="25">
        <v>2.0</v>
      </c>
      <c r="O862" s="58">
        <v>140.0</v>
      </c>
      <c r="P862" s="26" t="s">
        <v>60</v>
      </c>
      <c r="Q862" s="55">
        <v>5643.0</v>
      </c>
      <c r="R862" s="26" t="s">
        <v>1717</v>
      </c>
      <c r="S862" s="58">
        <v>2016.0</v>
      </c>
      <c r="T862" s="58">
        <v>0.113</v>
      </c>
      <c r="U862" s="25">
        <f t="shared" si="91"/>
        <v>637.659</v>
      </c>
      <c r="V862" s="24">
        <f t="shared" si="3"/>
        <v>155.5265854</v>
      </c>
      <c r="W862" s="3">
        <f t="shared" si="29"/>
        <v>1</v>
      </c>
      <c r="X862" s="3">
        <f t="shared" si="30"/>
        <v>4.1</v>
      </c>
      <c r="Y862" s="3">
        <f t="shared" si="31"/>
        <v>4.1</v>
      </c>
      <c r="Z862" s="25">
        <f t="shared" si="97"/>
        <v>0</v>
      </c>
      <c r="AA862" s="26">
        <f>VLOOKUP(S862,CPI!$A$2:$E$67,5,0)</f>
        <v>1.269554638</v>
      </c>
      <c r="AB862" s="27">
        <f t="shared" si="8"/>
        <v>809.5429409</v>
      </c>
      <c r="AC862" s="27">
        <f t="shared" si="9"/>
        <v>197.4494978</v>
      </c>
    </row>
    <row r="863">
      <c r="A863" s="38">
        <v>7218.0</v>
      </c>
      <c r="B863" s="26" t="s">
        <v>1714</v>
      </c>
      <c r="C863" s="26" t="s">
        <v>1722</v>
      </c>
      <c r="D863" s="63" t="s">
        <v>153</v>
      </c>
      <c r="E863" s="26" t="s">
        <v>1728</v>
      </c>
      <c r="F863" s="25">
        <v>2020.0</v>
      </c>
      <c r="G863" s="25">
        <v>2030.0</v>
      </c>
      <c r="H863" s="25">
        <v>0.0</v>
      </c>
      <c r="I863" s="25">
        <v>11.5</v>
      </c>
      <c r="J863" s="50">
        <v>1.0</v>
      </c>
      <c r="K863" s="25">
        <v>11.5</v>
      </c>
      <c r="L863" s="51">
        <v>0.0</v>
      </c>
      <c r="M863" s="51">
        <v>0.0</v>
      </c>
      <c r="N863" s="25">
        <v>6.0</v>
      </c>
      <c r="O863" s="58">
        <v>140.0</v>
      </c>
      <c r="P863" s="26" t="s">
        <v>60</v>
      </c>
      <c r="Q863" s="55">
        <v>20884.0</v>
      </c>
      <c r="R863" s="26" t="s">
        <v>1717</v>
      </c>
      <c r="S863" s="58">
        <v>2016.0</v>
      </c>
      <c r="T863" s="58">
        <v>0.113</v>
      </c>
      <c r="U863" s="25">
        <f t="shared" si="91"/>
        <v>2359.892</v>
      </c>
      <c r="V863" s="24">
        <f t="shared" si="3"/>
        <v>205.208</v>
      </c>
      <c r="W863" s="3">
        <f t="shared" si="29"/>
        <v>1</v>
      </c>
      <c r="X863" s="3">
        <f t="shared" si="30"/>
        <v>11.5</v>
      </c>
      <c r="Y863" s="3">
        <f t="shared" si="31"/>
        <v>11.5</v>
      </c>
      <c r="Z863" s="25">
        <f t="shared" si="97"/>
        <v>0</v>
      </c>
      <c r="AA863" s="26">
        <f>VLOOKUP(S863,CPI!$A$2:$E$67,5,0)</f>
        <v>1.269554638</v>
      </c>
      <c r="AB863" s="27">
        <f t="shared" si="8"/>
        <v>2996.011834</v>
      </c>
      <c r="AC863" s="27">
        <f t="shared" si="9"/>
        <v>260.5227682</v>
      </c>
    </row>
    <row r="864">
      <c r="A864" s="7"/>
      <c r="B864" s="115" t="s">
        <v>1730</v>
      </c>
      <c r="C864" s="115" t="s">
        <v>1731</v>
      </c>
      <c r="D864" s="115" t="s">
        <v>1732</v>
      </c>
      <c r="E864" s="115" t="s">
        <v>1733</v>
      </c>
      <c r="F864" s="82">
        <v>2002.0</v>
      </c>
      <c r="G864" s="115">
        <v>2012.0</v>
      </c>
      <c r="H864" s="82">
        <v>0.0</v>
      </c>
      <c r="I864" s="82">
        <v>35.5</v>
      </c>
      <c r="J864" s="247">
        <v>1.0</v>
      </c>
      <c r="K864" s="82">
        <v>35.5</v>
      </c>
      <c r="L864" s="114"/>
      <c r="M864" s="114"/>
      <c r="N864" s="82">
        <v>30.0</v>
      </c>
      <c r="O864" s="82">
        <v>70.0</v>
      </c>
      <c r="P864" s="115" t="s">
        <v>74</v>
      </c>
      <c r="Q864" s="248">
        <v>8000.0</v>
      </c>
      <c r="R864" s="115" t="s">
        <v>1734</v>
      </c>
      <c r="S864" s="115">
        <v>2007.0</v>
      </c>
      <c r="T864" s="115">
        <v>1.16</v>
      </c>
      <c r="U864" s="118">
        <f t="shared" si="91"/>
        <v>9280</v>
      </c>
      <c r="V864" s="24">
        <f t="shared" si="3"/>
        <v>261.4084507</v>
      </c>
      <c r="W864" s="3">
        <f t="shared" si="29"/>
        <v>0</v>
      </c>
      <c r="X864" s="3">
        <f t="shared" si="30"/>
        <v>0</v>
      </c>
      <c r="Y864" s="3">
        <f t="shared" si="31"/>
        <v>0</v>
      </c>
      <c r="Z864" s="25">
        <f t="shared" si="97"/>
        <v>1</v>
      </c>
      <c r="AA864" s="26">
        <f>VLOOKUP(S864,CPI!$A$2:$E$67,5,0)</f>
        <v>1.469562366</v>
      </c>
      <c r="AB864" s="27">
        <f t="shared" si="8"/>
        <v>13637.53875</v>
      </c>
      <c r="AC864" s="27">
        <f t="shared" si="9"/>
        <v>384.1560212</v>
      </c>
    </row>
    <row r="865">
      <c r="A865" s="38">
        <v>7281.0</v>
      </c>
      <c r="B865" s="26" t="s">
        <v>1730</v>
      </c>
      <c r="C865" s="26" t="s">
        <v>1731</v>
      </c>
      <c r="D865" s="26" t="s">
        <v>1736</v>
      </c>
      <c r="E865" s="26" t="s">
        <v>1736</v>
      </c>
      <c r="F865" s="25">
        <v>2008.0</v>
      </c>
      <c r="G865" s="25">
        <v>2017.0</v>
      </c>
      <c r="H865" s="25">
        <v>0.0</v>
      </c>
      <c r="I865" s="25">
        <v>41.9</v>
      </c>
      <c r="J865" s="50">
        <v>1.0</v>
      </c>
      <c r="K865" s="25">
        <v>41.9</v>
      </c>
      <c r="L865" s="51">
        <v>0.0</v>
      </c>
      <c r="M865" s="51">
        <v>0.0</v>
      </c>
      <c r="N865" s="25">
        <v>34.0</v>
      </c>
      <c r="O865" s="25"/>
      <c r="P865" s="26" t="s">
        <v>74</v>
      </c>
      <c r="Q865" s="52">
        <v>21000.0</v>
      </c>
      <c r="R865" s="26" t="s">
        <v>1734</v>
      </c>
      <c r="S865" s="25">
        <v>2012.0</v>
      </c>
      <c r="T865" s="25">
        <v>1.18</v>
      </c>
      <c r="U865" s="25">
        <f t="shared" si="91"/>
        <v>24780</v>
      </c>
      <c r="V865" s="24">
        <f t="shared" si="3"/>
        <v>591.4081146</v>
      </c>
      <c r="W865" s="3">
        <f t="shared" si="29"/>
        <v>0</v>
      </c>
      <c r="X865" s="3">
        <f t="shared" si="30"/>
        <v>0</v>
      </c>
      <c r="Y865" s="3">
        <f t="shared" si="31"/>
        <v>0</v>
      </c>
      <c r="Z865" s="25">
        <f t="shared" si="97"/>
        <v>1</v>
      </c>
      <c r="AA865" s="26">
        <f>VLOOKUP(S865,CPI!$A$2:$E$67,5,0)</f>
        <v>1.327133984</v>
      </c>
      <c r="AB865" s="27">
        <f t="shared" si="8"/>
        <v>32886.38013</v>
      </c>
      <c r="AC865" s="27">
        <f t="shared" si="9"/>
        <v>784.8778074</v>
      </c>
    </row>
    <row r="866">
      <c r="A866" s="38">
        <v>7282.0</v>
      </c>
      <c r="B866" s="26" t="s">
        <v>1730</v>
      </c>
      <c r="C866" s="26" t="s">
        <v>1731</v>
      </c>
      <c r="D866" s="26" t="s">
        <v>1738</v>
      </c>
      <c r="E866" s="26" t="s">
        <v>1738</v>
      </c>
      <c r="F866" s="25">
        <v>2014.0</v>
      </c>
      <c r="G866" s="25">
        <v>2024.0</v>
      </c>
      <c r="H866" s="25">
        <v>0.0</v>
      </c>
      <c r="I866" s="25">
        <v>43.0</v>
      </c>
      <c r="J866" s="50">
        <v>1.0</v>
      </c>
      <c r="K866" s="25">
        <v>43.0</v>
      </c>
      <c r="L866" s="51">
        <v>0.0</v>
      </c>
      <c r="M866" s="51">
        <v>0.0</v>
      </c>
      <c r="N866" s="25">
        <v>32.0</v>
      </c>
      <c r="O866" s="25"/>
      <c r="P866" s="26" t="s">
        <v>42</v>
      </c>
      <c r="Q866" s="52">
        <v>25000.0</v>
      </c>
      <c r="R866" s="26" t="s">
        <v>1734</v>
      </c>
      <c r="S866" s="25">
        <v>2019.0</v>
      </c>
      <c r="T866" s="25">
        <v>1.13</v>
      </c>
      <c r="U866" s="25">
        <f t="shared" si="91"/>
        <v>28250</v>
      </c>
      <c r="V866" s="24">
        <f t="shared" si="3"/>
        <v>656.9767442</v>
      </c>
      <c r="W866" s="3">
        <f t="shared" si="29"/>
        <v>0</v>
      </c>
      <c r="X866" s="3">
        <f t="shared" si="30"/>
        <v>0</v>
      </c>
      <c r="Y866" s="3">
        <f t="shared" si="31"/>
        <v>0</v>
      </c>
      <c r="Z866" s="25">
        <f t="shared" si="97"/>
        <v>1</v>
      </c>
      <c r="AA866" s="26">
        <f>VLOOKUP(S866,CPI!$A$2:$E$67,5,0)</f>
        <v>1.191839066</v>
      </c>
      <c r="AB866" s="27">
        <f t="shared" si="8"/>
        <v>33669.4536</v>
      </c>
      <c r="AC866" s="27">
        <f t="shared" si="9"/>
        <v>783.0105489</v>
      </c>
    </row>
    <row r="867">
      <c r="A867" s="38">
        <v>7329.0</v>
      </c>
      <c r="B867" s="26" t="s">
        <v>1730</v>
      </c>
      <c r="C867" s="26" t="s">
        <v>1731</v>
      </c>
      <c r="D867" s="1" t="s">
        <v>1732</v>
      </c>
      <c r="E867" s="26" t="s">
        <v>1740</v>
      </c>
      <c r="F867" s="25">
        <v>2017.0</v>
      </c>
      <c r="G867" s="25">
        <v>2025.0</v>
      </c>
      <c r="H867" s="25">
        <v>0.0</v>
      </c>
      <c r="I867" s="25">
        <v>4.0</v>
      </c>
      <c r="J867" s="50">
        <v>1.0</v>
      </c>
      <c r="K867" s="25">
        <v>4.0</v>
      </c>
      <c r="L867" s="51">
        <v>0.0</v>
      </c>
      <c r="M867" s="51">
        <v>0.0</v>
      </c>
      <c r="N867" s="25">
        <v>3.0</v>
      </c>
      <c r="O867" s="25"/>
      <c r="P867" s="26" t="s">
        <v>42</v>
      </c>
      <c r="Q867" s="52">
        <v>4850.0</v>
      </c>
      <c r="R867" s="26" t="s">
        <v>1734</v>
      </c>
      <c r="S867" s="25">
        <v>2021.0</v>
      </c>
      <c r="T867" s="25">
        <v>1.13</v>
      </c>
      <c r="U867" s="25">
        <f t="shared" si="91"/>
        <v>5480.5</v>
      </c>
      <c r="V867" s="24">
        <f t="shared" si="3"/>
        <v>1370.125</v>
      </c>
      <c r="W867" s="3">
        <f t="shared" si="29"/>
        <v>0</v>
      </c>
      <c r="X867" s="3">
        <f t="shared" si="30"/>
        <v>0</v>
      </c>
      <c r="Y867" s="3">
        <f t="shared" si="31"/>
        <v>0</v>
      </c>
      <c r="Z867" s="25">
        <f t="shared" si="97"/>
        <v>1</v>
      </c>
      <c r="AA867" s="26">
        <f>VLOOKUP(S867,CPI!$A$2:$E$67,5,0)</f>
        <v>1.124486105</v>
      </c>
      <c r="AB867" s="27">
        <f t="shared" si="8"/>
        <v>6162.746101</v>
      </c>
      <c r="AC867" s="27">
        <f t="shared" si="9"/>
        <v>1540.686525</v>
      </c>
    </row>
    <row r="868">
      <c r="A868" s="38">
        <v>7480.0</v>
      </c>
      <c r="B868" s="26" t="s">
        <v>1742</v>
      </c>
      <c r="C868" s="26" t="s">
        <v>1743</v>
      </c>
      <c r="D868" s="1" t="s">
        <v>1744</v>
      </c>
      <c r="E868" s="26" t="s">
        <v>1745</v>
      </c>
      <c r="F868" s="25">
        <v>2012.0</v>
      </c>
      <c r="G868" s="25">
        <v>2018.0</v>
      </c>
      <c r="H868" s="25">
        <v>0.0</v>
      </c>
      <c r="I868" s="25">
        <v>12.8</v>
      </c>
      <c r="J868" s="50">
        <v>0.0</v>
      </c>
      <c r="K868" s="25">
        <v>0.0</v>
      </c>
      <c r="L868" s="51">
        <v>0.0</v>
      </c>
      <c r="M868" s="51">
        <v>0.0</v>
      </c>
      <c r="N868" s="25">
        <v>9.0</v>
      </c>
      <c r="O868" s="25"/>
      <c r="P868" s="26" t="s">
        <v>60</v>
      </c>
      <c r="Q868" s="52">
        <v>21904.0</v>
      </c>
      <c r="R868" s="26" t="s">
        <v>1746</v>
      </c>
      <c r="S868" s="25">
        <v>2007.0</v>
      </c>
      <c r="T868" s="25">
        <v>0.087</v>
      </c>
      <c r="U868" s="25">
        <f t="shared" si="91"/>
        <v>1905.648</v>
      </c>
      <c r="V868" s="24">
        <f t="shared" si="3"/>
        <v>148.87875</v>
      </c>
      <c r="W868" s="3">
        <f t="shared" si="29"/>
        <v>0</v>
      </c>
      <c r="X868" s="3">
        <f t="shared" si="30"/>
        <v>0</v>
      </c>
      <c r="Y868" s="3">
        <f t="shared" si="31"/>
        <v>0</v>
      </c>
      <c r="Z868" s="25">
        <f t="shared" si="97"/>
        <v>0</v>
      </c>
      <c r="AA868" s="26">
        <f>VLOOKUP(S868,CPI!$A$2:$E$67,5,0)</f>
        <v>1.469562366</v>
      </c>
      <c r="AB868" s="27">
        <f t="shared" si="8"/>
        <v>2800.468583</v>
      </c>
      <c r="AC868" s="27">
        <f t="shared" si="9"/>
        <v>218.786608</v>
      </c>
    </row>
    <row r="869">
      <c r="A869" s="38">
        <v>7482.0</v>
      </c>
      <c r="B869" s="26" t="s">
        <v>1742</v>
      </c>
      <c r="C869" s="26" t="s">
        <v>1743</v>
      </c>
      <c r="D869" s="1" t="s">
        <v>153</v>
      </c>
      <c r="E869" s="26" t="s">
        <v>1748</v>
      </c>
      <c r="F869" s="25">
        <v>2011.0</v>
      </c>
      <c r="G869" s="25">
        <v>2020.0</v>
      </c>
      <c r="H869" s="25">
        <v>0.0</v>
      </c>
      <c r="I869" s="25">
        <v>26.9</v>
      </c>
      <c r="J869" s="50">
        <v>0.2</v>
      </c>
      <c r="K869" s="25">
        <v>5.4</v>
      </c>
      <c r="L869" s="51">
        <v>0.0</v>
      </c>
      <c r="M869" s="51">
        <v>0.0</v>
      </c>
      <c r="N869" s="25">
        <v>19.0</v>
      </c>
      <c r="O869" s="25"/>
      <c r="P869" s="26" t="s">
        <v>60</v>
      </c>
      <c r="Q869" s="52">
        <v>71687.0</v>
      </c>
      <c r="R869" s="26" t="s">
        <v>1746</v>
      </c>
      <c r="S869" s="25">
        <v>2015.0</v>
      </c>
      <c r="T869" s="25">
        <v>0.081</v>
      </c>
      <c r="U869" s="25">
        <f t="shared" si="91"/>
        <v>5806.647</v>
      </c>
      <c r="V869" s="24">
        <f t="shared" si="3"/>
        <v>215.8604833</v>
      </c>
      <c r="W869" s="3">
        <f t="shared" si="29"/>
        <v>0</v>
      </c>
      <c r="X869" s="3">
        <f t="shared" si="30"/>
        <v>0</v>
      </c>
      <c r="Y869" s="3">
        <f t="shared" si="31"/>
        <v>0</v>
      </c>
      <c r="Z869" s="25">
        <f t="shared" si="97"/>
        <v>0</v>
      </c>
      <c r="AA869" s="26">
        <f>VLOOKUP(S869,CPI!$A$2:$E$67,5,0)</f>
        <v>1.285570233</v>
      </c>
      <c r="AB869" s="27">
        <f t="shared" si="8"/>
        <v>7464.852539</v>
      </c>
      <c r="AC869" s="27">
        <f t="shared" si="9"/>
        <v>277.5038119</v>
      </c>
    </row>
    <row r="870">
      <c r="A870" s="38">
        <v>7481.0</v>
      </c>
      <c r="B870" s="26" t="s">
        <v>1742</v>
      </c>
      <c r="C870" s="26" t="s">
        <v>1743</v>
      </c>
      <c r="D870" s="1" t="s">
        <v>1744</v>
      </c>
      <c r="E870" s="26" t="s">
        <v>1750</v>
      </c>
      <c r="F870" s="25">
        <v>2015.0</v>
      </c>
      <c r="G870" s="25">
        <v>2020.0</v>
      </c>
      <c r="H870" s="25">
        <v>0.0</v>
      </c>
      <c r="I870" s="25">
        <v>19.0</v>
      </c>
      <c r="J870" s="50">
        <v>0.0</v>
      </c>
      <c r="K870" s="25">
        <v>0.0</v>
      </c>
      <c r="L870" s="51">
        <v>0.0</v>
      </c>
      <c r="M870" s="51">
        <v>0.0</v>
      </c>
      <c r="N870" s="25">
        <v>16.0</v>
      </c>
      <c r="O870" s="25"/>
      <c r="P870" s="26" t="s">
        <v>60</v>
      </c>
      <c r="Q870" s="52">
        <v>58862.0</v>
      </c>
      <c r="R870" s="26" t="s">
        <v>1746</v>
      </c>
      <c r="S870" s="25">
        <v>2017.0</v>
      </c>
      <c r="T870" s="25">
        <v>0.081</v>
      </c>
      <c r="U870" s="25">
        <f t="shared" si="91"/>
        <v>4767.822</v>
      </c>
      <c r="V870" s="24">
        <f t="shared" si="3"/>
        <v>250.938</v>
      </c>
      <c r="W870" s="3">
        <f t="shared" si="29"/>
        <v>0</v>
      </c>
      <c r="X870" s="3">
        <f t="shared" si="30"/>
        <v>0</v>
      </c>
      <c r="Y870" s="3">
        <f t="shared" si="31"/>
        <v>0</v>
      </c>
      <c r="Z870" s="25">
        <f t="shared" si="97"/>
        <v>0</v>
      </c>
      <c r="AA870" s="26">
        <f>VLOOKUP(S870,CPI!$A$2:$E$67,5,0)</f>
        <v>1.243072781</v>
      </c>
      <c r="AB870" s="27">
        <f t="shared" si="8"/>
        <v>5926.749751</v>
      </c>
      <c r="AC870" s="27">
        <f t="shared" si="9"/>
        <v>311.9341974</v>
      </c>
    </row>
    <row r="871">
      <c r="A871" s="38">
        <v>7488.0</v>
      </c>
      <c r="B871" s="26" t="s">
        <v>1742</v>
      </c>
      <c r="C871" s="26" t="s">
        <v>1743</v>
      </c>
      <c r="D871" s="26" t="s">
        <v>1751</v>
      </c>
      <c r="E871" s="26" t="s">
        <v>1751</v>
      </c>
      <c r="F871" s="25">
        <v>2017.0</v>
      </c>
      <c r="G871" s="25">
        <v>2022.0</v>
      </c>
      <c r="H871" s="25">
        <v>0.0</v>
      </c>
      <c r="I871" s="25">
        <v>34.5</v>
      </c>
      <c r="J871" s="50">
        <v>0.0</v>
      </c>
      <c r="K871" s="25">
        <v>0.0</v>
      </c>
      <c r="L871" s="51">
        <v>0.0</v>
      </c>
      <c r="M871" s="51">
        <v>0.0</v>
      </c>
      <c r="N871" s="25">
        <v>30.0</v>
      </c>
      <c r="O871" s="25"/>
      <c r="P871" s="26" t="s">
        <v>60</v>
      </c>
      <c r="Q871" s="52">
        <v>56725.0</v>
      </c>
      <c r="R871" s="26" t="s">
        <v>1746</v>
      </c>
      <c r="S871" s="25">
        <v>2019.0</v>
      </c>
      <c r="T871" s="25">
        <v>0.081</v>
      </c>
      <c r="U871" s="25">
        <f t="shared" si="91"/>
        <v>4594.725</v>
      </c>
      <c r="V871" s="24">
        <f t="shared" si="3"/>
        <v>133.1804348</v>
      </c>
      <c r="W871" s="3">
        <f t="shared" si="29"/>
        <v>0</v>
      </c>
      <c r="X871" s="3">
        <f t="shared" si="30"/>
        <v>0</v>
      </c>
      <c r="Y871" s="3">
        <f t="shared" si="31"/>
        <v>0</v>
      </c>
      <c r="Z871" s="25">
        <f t="shared" si="97"/>
        <v>0</v>
      </c>
      <c r="AA871" s="26">
        <f>VLOOKUP(S871,CPI!$A$2:$E$67,5,0)</f>
        <v>1.191839066</v>
      </c>
      <c r="AB871" s="27">
        <f t="shared" si="8"/>
        <v>5476.172751</v>
      </c>
      <c r="AC871" s="27">
        <f t="shared" si="9"/>
        <v>158.729645</v>
      </c>
    </row>
    <row r="872">
      <c r="A872" s="38">
        <v>7489.0</v>
      </c>
      <c r="B872" s="26" t="s">
        <v>1742</v>
      </c>
      <c r="C872" s="26" t="s">
        <v>1743</v>
      </c>
      <c r="D872" s="26" t="s">
        <v>1729</v>
      </c>
      <c r="E872" s="26" t="s">
        <v>1729</v>
      </c>
      <c r="F872" s="25">
        <v>2017.0</v>
      </c>
      <c r="G872" s="25">
        <v>2022.0</v>
      </c>
      <c r="H872" s="25">
        <v>0.0</v>
      </c>
      <c r="I872" s="25">
        <v>30.4</v>
      </c>
      <c r="J872" s="50">
        <v>0.0</v>
      </c>
      <c r="K872" s="25">
        <v>0.0</v>
      </c>
      <c r="L872" s="51">
        <v>0.0</v>
      </c>
      <c r="M872" s="51">
        <v>0.0</v>
      </c>
      <c r="N872" s="25">
        <v>23.0</v>
      </c>
      <c r="O872" s="25"/>
      <c r="P872" s="26" t="s">
        <v>74</v>
      </c>
      <c r="Q872" s="52">
        <v>54768.0</v>
      </c>
      <c r="R872" s="26" t="s">
        <v>1746</v>
      </c>
      <c r="S872" s="25">
        <v>2019.0</v>
      </c>
      <c r="T872" s="25">
        <v>0.081</v>
      </c>
      <c r="U872" s="25">
        <f t="shared" si="91"/>
        <v>4436.208</v>
      </c>
      <c r="V872" s="24">
        <f t="shared" si="3"/>
        <v>145.9278947</v>
      </c>
      <c r="W872" s="3">
        <f t="shared" si="29"/>
        <v>0</v>
      </c>
      <c r="X872" s="3">
        <f t="shared" si="30"/>
        <v>0</v>
      </c>
      <c r="Y872" s="3">
        <f t="shared" si="31"/>
        <v>0</v>
      </c>
      <c r="Z872" s="25">
        <f t="shared" si="97"/>
        <v>0</v>
      </c>
      <c r="AA872" s="26">
        <f>VLOOKUP(S872,CPI!$A$2:$E$67,5,0)</f>
        <v>1.191839066</v>
      </c>
      <c r="AB872" s="27">
        <f t="shared" si="8"/>
        <v>5287.245998</v>
      </c>
      <c r="AC872" s="27">
        <f t="shared" si="9"/>
        <v>173.9225657</v>
      </c>
    </row>
    <row r="873">
      <c r="A873" s="38">
        <v>7490.0</v>
      </c>
      <c r="B873" s="26" t="s">
        <v>1742</v>
      </c>
      <c r="C873" s="26" t="s">
        <v>1743</v>
      </c>
      <c r="D873" s="26" t="s">
        <v>1536</v>
      </c>
      <c r="E873" s="26" t="s">
        <v>1536</v>
      </c>
      <c r="F873" s="25">
        <v>2017.0</v>
      </c>
      <c r="G873" s="25">
        <v>2025.0</v>
      </c>
      <c r="H873" s="25">
        <v>0.0</v>
      </c>
      <c r="I873" s="25">
        <v>35.9</v>
      </c>
      <c r="J873" s="50">
        <v>0.75</v>
      </c>
      <c r="K873" s="25">
        <v>27.0</v>
      </c>
      <c r="L873" s="51">
        <v>0.0</v>
      </c>
      <c r="M873" s="51">
        <v>0.0</v>
      </c>
      <c r="N873" s="25">
        <v>28.0</v>
      </c>
      <c r="O873" s="25"/>
      <c r="P873" s="26" t="s">
        <v>60</v>
      </c>
      <c r="Q873" s="52">
        <v>235320.0</v>
      </c>
      <c r="R873" s="26" t="s">
        <v>1746</v>
      </c>
      <c r="S873" s="25">
        <v>2021.0</v>
      </c>
      <c r="T873" s="25">
        <v>0.081</v>
      </c>
      <c r="U873" s="25">
        <f t="shared" si="91"/>
        <v>19060.92</v>
      </c>
      <c r="V873" s="24">
        <f t="shared" si="3"/>
        <v>530.9448468</v>
      </c>
      <c r="W873" s="3">
        <f t="shared" si="29"/>
        <v>0</v>
      </c>
      <c r="X873" s="3">
        <f t="shared" si="30"/>
        <v>0</v>
      </c>
      <c r="Y873" s="3">
        <f t="shared" si="31"/>
        <v>0</v>
      </c>
      <c r="Z873" s="25">
        <f t="shared" si="97"/>
        <v>0</v>
      </c>
      <c r="AA873" s="26">
        <f>VLOOKUP(S873,CPI!$A$2:$E$67,5,0)</f>
        <v>1.124486105</v>
      </c>
      <c r="AB873" s="27">
        <f t="shared" si="8"/>
        <v>21433.7397</v>
      </c>
      <c r="AC873" s="27">
        <f t="shared" si="9"/>
        <v>597.040103</v>
      </c>
    </row>
    <row r="874">
      <c r="A874" s="38">
        <v>7483.0</v>
      </c>
      <c r="B874" s="26" t="s">
        <v>1742</v>
      </c>
      <c r="C874" s="26" t="s">
        <v>1743</v>
      </c>
      <c r="D874" s="26" t="s">
        <v>1755</v>
      </c>
      <c r="E874" s="26" t="s">
        <v>1755</v>
      </c>
      <c r="F874" s="25">
        <v>2020.0</v>
      </c>
      <c r="G874" s="26"/>
      <c r="H874" s="25">
        <v>0.0</v>
      </c>
      <c r="I874" s="25">
        <v>22.1</v>
      </c>
      <c r="J874" s="50">
        <v>0.0</v>
      </c>
      <c r="K874" s="25">
        <v>0.0</v>
      </c>
      <c r="L874" s="51">
        <v>0.0</v>
      </c>
      <c r="M874" s="51">
        <v>0.0</v>
      </c>
      <c r="N874" s="25">
        <v>18.0</v>
      </c>
      <c r="O874" s="25"/>
      <c r="P874" s="26" t="s">
        <v>60</v>
      </c>
      <c r="Q874" s="52">
        <v>48386.0</v>
      </c>
      <c r="R874" s="26" t="s">
        <v>1746</v>
      </c>
      <c r="S874" s="25">
        <v>2020.0</v>
      </c>
      <c r="T874" s="25">
        <v>0.081</v>
      </c>
      <c r="U874" s="25">
        <f t="shared" si="91"/>
        <v>3919.266</v>
      </c>
      <c r="V874" s="24">
        <f t="shared" si="3"/>
        <v>177.3423529</v>
      </c>
      <c r="W874" s="3">
        <f t="shared" si="29"/>
        <v>0</v>
      </c>
      <c r="X874" s="3">
        <f t="shared" si="30"/>
        <v>0</v>
      </c>
      <c r="Y874" s="3">
        <f t="shared" si="31"/>
        <v>0</v>
      </c>
      <c r="Z874" s="25">
        <f t="shared" si="97"/>
        <v>0</v>
      </c>
      <c r="AA874" s="26">
        <f>VLOOKUP(S874,CPI!$A$2:$E$67,5,0)</f>
        <v>1.17731472</v>
      </c>
      <c r="AB874" s="27">
        <f t="shared" si="8"/>
        <v>4614.209553</v>
      </c>
      <c r="AC874" s="27">
        <f t="shared" si="9"/>
        <v>208.7877626</v>
      </c>
    </row>
    <row r="875">
      <c r="A875" s="38">
        <v>7491.0</v>
      </c>
      <c r="B875" s="26" t="s">
        <v>1742</v>
      </c>
      <c r="C875" s="26" t="s">
        <v>1757</v>
      </c>
      <c r="D875" s="26" t="s">
        <v>40</v>
      </c>
      <c r="E875" s="26" t="s">
        <v>40</v>
      </c>
      <c r="F875" s="25">
        <v>2022.0</v>
      </c>
      <c r="G875" s="25">
        <v>2027.0</v>
      </c>
      <c r="H875" s="25">
        <v>0.0</v>
      </c>
      <c r="I875" s="25">
        <v>15.8</v>
      </c>
      <c r="J875" s="50">
        <v>0.46</v>
      </c>
      <c r="K875" s="25">
        <v>7.2</v>
      </c>
      <c r="L875" s="51">
        <v>0.0</v>
      </c>
      <c r="M875" s="51">
        <v>0.0</v>
      </c>
      <c r="N875" s="25">
        <v>12.0</v>
      </c>
      <c r="O875" s="25"/>
      <c r="P875" s="26" t="s">
        <v>59</v>
      </c>
      <c r="Q875" s="52">
        <v>27000.0</v>
      </c>
      <c r="R875" s="26" t="s">
        <v>1746</v>
      </c>
      <c r="S875" s="25">
        <v>2024.0</v>
      </c>
      <c r="T875" s="25">
        <v>0.081</v>
      </c>
      <c r="U875" s="25">
        <f t="shared" si="91"/>
        <v>2187</v>
      </c>
      <c r="V875" s="24">
        <f t="shared" si="3"/>
        <v>138.4177215</v>
      </c>
      <c r="W875" s="3">
        <f t="shared" si="29"/>
        <v>0</v>
      </c>
      <c r="X875" s="3">
        <f t="shared" si="30"/>
        <v>0</v>
      </c>
      <c r="Y875" s="3">
        <f t="shared" si="31"/>
        <v>0</v>
      </c>
      <c r="Z875" s="25">
        <f t="shared" si="97"/>
        <v>0</v>
      </c>
      <c r="AA875" s="26">
        <f>VLOOKUP(S875,CPI!$A$2:$E$67,5,0)</f>
        <v>1</v>
      </c>
      <c r="AB875" s="27">
        <f t="shared" si="8"/>
        <v>2187</v>
      </c>
      <c r="AC875" s="27">
        <f t="shared" si="9"/>
        <v>138.4177215</v>
      </c>
    </row>
    <row r="876">
      <c r="A876" s="61">
        <v>9827.0</v>
      </c>
      <c r="B876" s="26" t="s">
        <v>1759</v>
      </c>
      <c r="C876" s="26" t="s">
        <v>1760</v>
      </c>
      <c r="D876" s="26" t="s">
        <v>1761</v>
      </c>
      <c r="E876" s="26" t="s">
        <v>1761</v>
      </c>
      <c r="F876" s="25">
        <v>1996.0</v>
      </c>
      <c r="G876" s="25">
        <v>2010.0</v>
      </c>
      <c r="H876" s="25">
        <v>0.0</v>
      </c>
      <c r="I876" s="25">
        <v>13.9</v>
      </c>
      <c r="J876" s="50">
        <v>0.25</v>
      </c>
      <c r="K876" s="25">
        <v>3.5</v>
      </c>
      <c r="L876" s="51">
        <v>0.0</v>
      </c>
      <c r="M876" s="51">
        <v>0.0</v>
      </c>
      <c r="N876" s="25">
        <v>13.0</v>
      </c>
      <c r="O876" s="25"/>
      <c r="P876" s="26" t="s">
        <v>74</v>
      </c>
      <c r="Q876" s="52">
        <v>534.0</v>
      </c>
      <c r="R876" s="26" t="s">
        <v>37</v>
      </c>
      <c r="S876" s="25">
        <v>2006.0</v>
      </c>
      <c r="T876" s="25">
        <v>2.0</v>
      </c>
      <c r="U876" s="25">
        <f t="shared" si="91"/>
        <v>1068</v>
      </c>
      <c r="V876" s="24">
        <f t="shared" si="3"/>
        <v>76.83453237</v>
      </c>
      <c r="W876" s="3">
        <f t="shared" si="29"/>
        <v>1</v>
      </c>
      <c r="X876" s="3">
        <f t="shared" si="30"/>
        <v>13.9</v>
      </c>
      <c r="Y876" s="3">
        <f t="shared" si="31"/>
        <v>3.5</v>
      </c>
      <c r="Z876" s="25">
        <f t="shared" si="97"/>
        <v>0</v>
      </c>
      <c r="AA876" s="26">
        <f>VLOOKUP(S876,CPI!$A$2:$E$67,5,0)</f>
        <v>1.511418651</v>
      </c>
      <c r="AB876" s="27">
        <f t="shared" si="8"/>
        <v>1614.195119</v>
      </c>
      <c r="AC876" s="27">
        <f t="shared" si="9"/>
        <v>116.1291453</v>
      </c>
    </row>
    <row r="877">
      <c r="A877" s="38">
        <v>7633.0</v>
      </c>
      <c r="B877" s="6" t="s">
        <v>1759</v>
      </c>
      <c r="C877" s="6" t="s">
        <v>1763</v>
      </c>
      <c r="D877" s="6" t="s">
        <v>1764</v>
      </c>
      <c r="E877" s="6" t="s">
        <v>1764</v>
      </c>
      <c r="F877" s="6">
        <v>2003.0</v>
      </c>
      <c r="G877" s="6">
        <v>2017.0</v>
      </c>
      <c r="H877" s="6">
        <v>0.0</v>
      </c>
      <c r="I877" s="6">
        <v>9.22</v>
      </c>
      <c r="J877" s="345">
        <v>1.0</v>
      </c>
      <c r="K877" s="6">
        <v>9.22</v>
      </c>
      <c r="L877" s="346">
        <v>0.0</v>
      </c>
      <c r="M877" s="346">
        <v>0.0</v>
      </c>
      <c r="N877" s="6">
        <v>9.0</v>
      </c>
      <c r="O877" s="85"/>
      <c r="P877" s="36" t="s">
        <v>60</v>
      </c>
      <c r="Q877" s="347">
        <v>1000.0</v>
      </c>
      <c r="R877" s="6" t="s">
        <v>1765</v>
      </c>
      <c r="S877" s="6">
        <v>2010.0</v>
      </c>
      <c r="T877" s="6">
        <v>1.1</v>
      </c>
      <c r="U877" s="6">
        <f t="shared" si="91"/>
        <v>1100</v>
      </c>
      <c r="V877" s="24">
        <f t="shared" si="3"/>
        <v>119.3058568</v>
      </c>
      <c r="W877" s="3">
        <f t="shared" si="29"/>
        <v>1</v>
      </c>
      <c r="X877" s="3">
        <f t="shared" si="30"/>
        <v>9.22</v>
      </c>
      <c r="Y877" s="3">
        <f t="shared" si="31"/>
        <v>9.22</v>
      </c>
      <c r="Z877" s="25">
        <f t="shared" si="97"/>
        <v>0</v>
      </c>
      <c r="AA877" s="26">
        <f>VLOOKUP(S877,CPI!$A$2:$E$67,5,0)</f>
        <v>1.397356642</v>
      </c>
      <c r="AB877" s="27">
        <f t="shared" si="8"/>
        <v>1537.092307</v>
      </c>
      <c r="AC877" s="27">
        <f t="shared" si="9"/>
        <v>166.7128315</v>
      </c>
    </row>
    <row r="878">
      <c r="A878" s="38">
        <v>7634.0</v>
      </c>
      <c r="B878" s="6" t="s">
        <v>1759</v>
      </c>
      <c r="C878" s="6" t="s">
        <v>1767</v>
      </c>
      <c r="D878" s="6" t="s">
        <v>1768</v>
      </c>
      <c r="E878" s="6" t="s">
        <v>1768</v>
      </c>
      <c r="F878" s="6">
        <v>1997.0</v>
      </c>
      <c r="G878" s="6">
        <v>2014.0</v>
      </c>
      <c r="H878" s="6">
        <v>0.0</v>
      </c>
      <c r="I878" s="6">
        <v>39.0</v>
      </c>
      <c r="J878" s="345">
        <v>0.1603</v>
      </c>
      <c r="K878" s="6">
        <v>6.25</v>
      </c>
      <c r="L878" s="346">
        <v>0.0</v>
      </c>
      <c r="M878" s="346">
        <v>0.0</v>
      </c>
      <c r="N878" s="6">
        <v>38.0</v>
      </c>
      <c r="O878" s="85"/>
      <c r="P878" s="36" t="s">
        <v>42</v>
      </c>
      <c r="Q878" s="347">
        <v>425.0</v>
      </c>
      <c r="R878" s="6" t="s">
        <v>52</v>
      </c>
      <c r="S878" s="6">
        <v>2006.0</v>
      </c>
      <c r="T878" s="6">
        <v>2.1</v>
      </c>
      <c r="U878" s="6">
        <f t="shared" si="91"/>
        <v>892.5</v>
      </c>
      <c r="V878" s="24">
        <f t="shared" si="3"/>
        <v>22.88461538</v>
      </c>
      <c r="W878" s="3">
        <f t="shared" si="29"/>
        <v>1</v>
      </c>
      <c r="X878" s="3">
        <f t="shared" si="30"/>
        <v>39</v>
      </c>
      <c r="Y878" s="3">
        <f t="shared" si="31"/>
        <v>6.25</v>
      </c>
      <c r="Z878" s="25">
        <f t="shared" si="97"/>
        <v>0</v>
      </c>
      <c r="AA878" s="26">
        <f>VLOOKUP(S878,CPI!$A$2:$E$67,5,0)</f>
        <v>1.511418651</v>
      </c>
      <c r="AB878" s="27">
        <f t="shared" si="8"/>
        <v>1348.941146</v>
      </c>
      <c r="AC878" s="27">
        <f t="shared" si="9"/>
        <v>34.58823451</v>
      </c>
    </row>
    <row r="879">
      <c r="A879" s="38">
        <v>7616.0</v>
      </c>
      <c r="B879" s="221" t="s">
        <v>1759</v>
      </c>
      <c r="C879" s="221" t="s">
        <v>1770</v>
      </c>
      <c r="D879" s="36" t="s">
        <v>1764</v>
      </c>
      <c r="E879" s="221" t="s">
        <v>1771</v>
      </c>
      <c r="F879" s="227">
        <v>2005.0</v>
      </c>
      <c r="G879" s="227">
        <v>2012.0</v>
      </c>
      <c r="H879" s="227">
        <v>0.0</v>
      </c>
      <c r="I879" s="227">
        <v>21.7</v>
      </c>
      <c r="J879" s="228">
        <v>1.0</v>
      </c>
      <c r="K879" s="227">
        <v>21.7</v>
      </c>
      <c r="L879" s="229">
        <v>0.0</v>
      </c>
      <c r="M879" s="229">
        <v>0.0</v>
      </c>
      <c r="N879" s="227">
        <v>16.0</v>
      </c>
      <c r="O879" s="349">
        <v>180.0</v>
      </c>
      <c r="P879" s="221" t="s">
        <v>60</v>
      </c>
      <c r="Q879" s="350">
        <v>1299.0</v>
      </c>
      <c r="R879" s="221" t="s">
        <v>37</v>
      </c>
      <c r="S879" s="227">
        <v>2009.0</v>
      </c>
      <c r="T879" s="227">
        <v>1.7</v>
      </c>
      <c r="U879" s="227">
        <f t="shared" si="91"/>
        <v>2208.3</v>
      </c>
      <c r="V879" s="24">
        <f t="shared" si="3"/>
        <v>101.764977</v>
      </c>
      <c r="W879" s="3">
        <f t="shared" si="29"/>
        <v>1</v>
      </c>
      <c r="X879" s="3">
        <f t="shared" si="30"/>
        <v>21.7</v>
      </c>
      <c r="Y879" s="3">
        <f t="shared" si="31"/>
        <v>21.7</v>
      </c>
      <c r="Z879" s="25">
        <f t="shared" si="97"/>
        <v>0</v>
      </c>
      <c r="AA879" s="26">
        <f>VLOOKUP(S879,CPI!$A$2:$E$67,5,0)</f>
        <v>1.420277155</v>
      </c>
      <c r="AB879" s="27">
        <f t="shared" si="8"/>
        <v>3136.398041</v>
      </c>
      <c r="AC879" s="27">
        <f t="shared" si="9"/>
        <v>144.534472</v>
      </c>
    </row>
    <row r="880">
      <c r="A880" s="38">
        <v>7619.0</v>
      </c>
      <c r="B880" s="221" t="s">
        <v>1759</v>
      </c>
      <c r="C880" s="221" t="s">
        <v>1770</v>
      </c>
      <c r="D880" s="352" t="s">
        <v>1773</v>
      </c>
      <c r="E880" s="221" t="s">
        <v>1774</v>
      </c>
      <c r="F880" s="227">
        <v>2004.0</v>
      </c>
      <c r="G880" s="227">
        <v>2013.0</v>
      </c>
      <c r="H880" s="227">
        <v>1.0</v>
      </c>
      <c r="I880" s="227">
        <v>13.6</v>
      </c>
      <c r="J880" s="228">
        <v>1.0</v>
      </c>
      <c r="K880" s="227">
        <v>13.6</v>
      </c>
      <c r="L880" s="349">
        <v>0.0</v>
      </c>
      <c r="M880" s="349">
        <v>0.0</v>
      </c>
      <c r="N880" s="77">
        <v>4.0</v>
      </c>
      <c r="O880" s="349">
        <v>225.0</v>
      </c>
      <c r="P880" s="221" t="s">
        <v>60</v>
      </c>
      <c r="Q880" s="353">
        <v>1823.0</v>
      </c>
      <c r="R880" s="221" t="s">
        <v>37</v>
      </c>
      <c r="S880" s="227">
        <v>2009.0</v>
      </c>
      <c r="T880" s="227">
        <v>1.7</v>
      </c>
      <c r="U880" s="227">
        <f t="shared" si="91"/>
        <v>3099.1</v>
      </c>
      <c r="V880" s="24">
        <f t="shared" si="3"/>
        <v>227.875</v>
      </c>
      <c r="W880" s="3">
        <f t="shared" si="29"/>
        <v>1</v>
      </c>
      <c r="X880" s="3">
        <f t="shared" si="30"/>
        <v>13.6</v>
      </c>
      <c r="Y880" s="3">
        <f t="shared" si="31"/>
        <v>13.6</v>
      </c>
      <c r="Z880" s="25">
        <f t="shared" si="97"/>
        <v>0</v>
      </c>
      <c r="AA880" s="26">
        <f>VLOOKUP(S880,CPI!$A$2:$E$67,5,0)</f>
        <v>1.420277155</v>
      </c>
      <c r="AB880" s="27">
        <f t="shared" si="8"/>
        <v>4401.580931</v>
      </c>
      <c r="AC880" s="27">
        <f t="shared" si="9"/>
        <v>323.6456567</v>
      </c>
    </row>
    <row r="881">
      <c r="A881" s="38">
        <v>7611.0</v>
      </c>
      <c r="B881" s="221" t="s">
        <v>1759</v>
      </c>
      <c r="C881" s="221" t="s">
        <v>1770</v>
      </c>
      <c r="D881" s="36" t="s">
        <v>856</v>
      </c>
      <c r="E881" s="221" t="s">
        <v>1775</v>
      </c>
      <c r="F881" s="227">
        <v>2006.0</v>
      </c>
      <c r="G881" s="227">
        <v>2013.0</v>
      </c>
      <c r="H881" s="227">
        <v>0.0</v>
      </c>
      <c r="I881" s="227">
        <v>16.1</v>
      </c>
      <c r="J881" s="228">
        <v>1.0</v>
      </c>
      <c r="K881" s="227">
        <v>15.9</v>
      </c>
      <c r="L881" s="229">
        <v>0.0</v>
      </c>
      <c r="M881" s="229">
        <v>0.0</v>
      </c>
      <c r="N881" s="227">
        <v>11.0</v>
      </c>
      <c r="O881" s="349">
        <v>180.0</v>
      </c>
      <c r="P881" s="221" t="s">
        <v>42</v>
      </c>
      <c r="Q881" s="353">
        <v>1344.0</v>
      </c>
      <c r="R881" s="221" t="s">
        <v>37</v>
      </c>
      <c r="S881" s="227">
        <v>2010.0</v>
      </c>
      <c r="T881" s="227">
        <v>1.6</v>
      </c>
      <c r="U881" s="227">
        <f t="shared" si="91"/>
        <v>2150.4</v>
      </c>
      <c r="V881" s="24">
        <f t="shared" si="3"/>
        <v>133.5652174</v>
      </c>
      <c r="W881" s="3">
        <f t="shared" si="29"/>
        <v>1</v>
      </c>
      <c r="X881" s="3">
        <f t="shared" si="30"/>
        <v>16.1</v>
      </c>
      <c r="Y881" s="3">
        <f t="shared" si="31"/>
        <v>15.9</v>
      </c>
      <c r="Z881" s="25">
        <f t="shared" si="97"/>
        <v>0</v>
      </c>
      <c r="AA881" s="26">
        <f>VLOOKUP(S881,CPI!$A$2:$E$67,5,0)</f>
        <v>1.397356642</v>
      </c>
      <c r="AB881" s="27">
        <f t="shared" si="8"/>
        <v>3004.875724</v>
      </c>
      <c r="AC881" s="27">
        <f t="shared" si="9"/>
        <v>186.6382437</v>
      </c>
    </row>
    <row r="882">
      <c r="A882" s="170">
        <v>9836.0</v>
      </c>
      <c r="B882" s="123" t="s">
        <v>1759</v>
      </c>
      <c r="C882" s="123" t="s">
        <v>1770</v>
      </c>
      <c r="D882" s="36" t="s">
        <v>866</v>
      </c>
      <c r="E882" s="123" t="s">
        <v>1777</v>
      </c>
      <c r="F882" s="75">
        <v>1987.0</v>
      </c>
      <c r="G882" s="75">
        <v>2014.0</v>
      </c>
      <c r="H882" s="75">
        <v>0.0</v>
      </c>
      <c r="I882" s="75">
        <v>26.6</v>
      </c>
      <c r="J882" s="124">
        <f t="shared" ref="J882:J884" si="99">K882/I882</f>
        <v>0.3646616541</v>
      </c>
      <c r="K882" s="75">
        <v>9.7</v>
      </c>
      <c r="L882" s="125">
        <v>0.0</v>
      </c>
      <c r="M882" s="125">
        <v>0.0</v>
      </c>
      <c r="N882" s="75">
        <v>23.0</v>
      </c>
      <c r="O882" s="152" t="s">
        <v>1778</v>
      </c>
      <c r="P882" s="123" t="s">
        <v>60</v>
      </c>
      <c r="Q882" s="157">
        <v>882.0</v>
      </c>
      <c r="R882" s="123" t="s">
        <v>37</v>
      </c>
      <c r="S882" s="75">
        <v>2000.0</v>
      </c>
      <c r="T882" s="75">
        <v>2.2</v>
      </c>
      <c r="U882" s="75">
        <f t="shared" si="91"/>
        <v>1940.4</v>
      </c>
      <c r="V882" s="24">
        <f t="shared" si="3"/>
        <v>72.94736842</v>
      </c>
      <c r="W882" s="3">
        <f t="shared" si="29"/>
        <v>1</v>
      </c>
      <c r="X882" s="3">
        <f t="shared" si="30"/>
        <v>26.6</v>
      </c>
      <c r="Y882" s="3">
        <f t="shared" si="31"/>
        <v>9.7</v>
      </c>
      <c r="Z882" s="25">
        <f t="shared" si="97"/>
        <v>0</v>
      </c>
      <c r="AA882" s="26">
        <f>VLOOKUP(S882,CPI!$A$2:$E$67,5,0)</f>
        <v>1.769465738</v>
      </c>
      <c r="AB882" s="27">
        <f t="shared" si="8"/>
        <v>3433.471317</v>
      </c>
      <c r="AC882" s="27">
        <f t="shared" si="9"/>
        <v>129.0778691</v>
      </c>
    </row>
    <row r="883">
      <c r="A883" s="38">
        <v>7610.0</v>
      </c>
      <c r="B883" s="34" t="s">
        <v>1759</v>
      </c>
      <c r="C883" s="221" t="s">
        <v>1770</v>
      </c>
      <c r="D883" s="221" t="s">
        <v>864</v>
      </c>
      <c r="E883" s="221" t="s">
        <v>864</v>
      </c>
      <c r="F883" s="227">
        <v>1992.0</v>
      </c>
      <c r="G883" s="227">
        <v>2014.0</v>
      </c>
      <c r="H883" s="227">
        <v>0.0</v>
      </c>
      <c r="I883" s="227">
        <v>23.5</v>
      </c>
      <c r="J883" s="228">
        <f t="shared" si="99"/>
        <v>0.914893617</v>
      </c>
      <c r="K883" s="227">
        <v>21.5</v>
      </c>
      <c r="L883" s="229">
        <v>0.0</v>
      </c>
      <c r="M883" s="229">
        <v>0.0</v>
      </c>
      <c r="N883" s="227">
        <v>17.0</v>
      </c>
      <c r="O883" s="349">
        <v>180.0</v>
      </c>
      <c r="P883" s="221" t="s">
        <v>60</v>
      </c>
      <c r="Q883" s="353">
        <v>2510.0</v>
      </c>
      <c r="R883" s="221" t="s">
        <v>37</v>
      </c>
      <c r="S883" s="227">
        <v>2003.0</v>
      </c>
      <c r="T883" s="227">
        <v>2.0</v>
      </c>
      <c r="U883" s="227">
        <f t="shared" si="91"/>
        <v>5020</v>
      </c>
      <c r="V883" s="24">
        <f t="shared" si="3"/>
        <v>213.6170213</v>
      </c>
      <c r="W883" s="3">
        <f t="shared" si="29"/>
        <v>1</v>
      </c>
      <c r="X883" s="3">
        <f t="shared" si="30"/>
        <v>23.5</v>
      </c>
      <c r="Y883" s="3">
        <f t="shared" si="31"/>
        <v>21.5</v>
      </c>
      <c r="Z883" s="25">
        <f t="shared" si="97"/>
        <v>0</v>
      </c>
      <c r="AA883" s="26">
        <f>VLOOKUP(S883,CPI!$A$2:$E$67,5,0)</f>
        <v>1.65598913</v>
      </c>
      <c r="AB883" s="27">
        <f t="shared" si="8"/>
        <v>8313.065435</v>
      </c>
      <c r="AC883" s="27">
        <f t="shared" si="9"/>
        <v>353.7474653</v>
      </c>
    </row>
    <row r="884">
      <c r="A884" s="170">
        <v>9828.0</v>
      </c>
      <c r="B884" s="123" t="s">
        <v>1759</v>
      </c>
      <c r="C884" s="123" t="s">
        <v>1770</v>
      </c>
      <c r="D884" s="123" t="s">
        <v>1780</v>
      </c>
      <c r="E884" s="123" t="s">
        <v>1780</v>
      </c>
      <c r="F884" s="75">
        <v>2013.0</v>
      </c>
      <c r="G884" s="75">
        <v>2015.0</v>
      </c>
      <c r="H884" s="75">
        <v>0.0</v>
      </c>
      <c r="I884" s="75">
        <v>3.3</v>
      </c>
      <c r="J884" s="124">
        <f t="shared" si="99"/>
        <v>1</v>
      </c>
      <c r="K884" s="75">
        <v>3.3</v>
      </c>
      <c r="L884" s="125">
        <v>0.0</v>
      </c>
      <c r="M884" s="125">
        <v>0.0</v>
      </c>
      <c r="N884" s="75">
        <v>4.0</v>
      </c>
      <c r="O884" s="152">
        <v>90.0</v>
      </c>
      <c r="P884" s="123" t="s">
        <v>60</v>
      </c>
      <c r="Q884" s="157">
        <v>124.6</v>
      </c>
      <c r="R884" s="123" t="s">
        <v>37</v>
      </c>
      <c r="S884" s="75">
        <v>2014.0</v>
      </c>
      <c r="T884" s="75">
        <v>2.0</v>
      </c>
      <c r="U884" s="75">
        <f t="shared" si="91"/>
        <v>249.2</v>
      </c>
      <c r="V884" s="24">
        <f t="shared" si="3"/>
        <v>75.51515152</v>
      </c>
      <c r="W884" s="3">
        <f t="shared" si="29"/>
        <v>1</v>
      </c>
      <c r="X884" s="3">
        <f t="shared" si="30"/>
        <v>3.3</v>
      </c>
      <c r="Y884" s="3">
        <f t="shared" si="31"/>
        <v>3.3</v>
      </c>
      <c r="Z884" s="25">
        <f t="shared" si="97"/>
        <v>0</v>
      </c>
      <c r="AA884" s="26">
        <f>VLOOKUP(S884,CPI!$A$2:$E$67,5,0)</f>
        <v>1.287096175</v>
      </c>
      <c r="AB884" s="27">
        <f t="shared" si="8"/>
        <v>320.7443667</v>
      </c>
      <c r="AC884" s="27">
        <f t="shared" si="9"/>
        <v>97.19526264</v>
      </c>
    </row>
    <row r="885">
      <c r="A885" s="38">
        <v>7617.0</v>
      </c>
      <c r="B885" s="221" t="s">
        <v>1759</v>
      </c>
      <c r="C885" s="221" t="s">
        <v>1770</v>
      </c>
      <c r="D885" s="36" t="s">
        <v>1764</v>
      </c>
      <c r="E885" s="221" t="s">
        <v>1782</v>
      </c>
      <c r="F885" s="227">
        <v>2013.0</v>
      </c>
      <c r="G885" s="227">
        <v>2016.0</v>
      </c>
      <c r="H885" s="227">
        <v>0.0</v>
      </c>
      <c r="I885" s="227">
        <v>4.4</v>
      </c>
      <c r="J885" s="228">
        <v>1.0</v>
      </c>
      <c r="K885" s="227">
        <v>4.4</v>
      </c>
      <c r="L885" s="229">
        <v>0.0</v>
      </c>
      <c r="M885" s="229">
        <v>0.0</v>
      </c>
      <c r="N885" s="227">
        <v>3.0</v>
      </c>
      <c r="O885" s="349">
        <v>180.0</v>
      </c>
      <c r="P885" s="221" t="s">
        <v>42</v>
      </c>
      <c r="Q885" s="353">
        <v>151.0</v>
      </c>
      <c r="R885" s="221" t="s">
        <v>37</v>
      </c>
      <c r="S885" s="227">
        <v>2015.0</v>
      </c>
      <c r="T885" s="227">
        <v>2.3</v>
      </c>
      <c r="U885" s="227">
        <f t="shared" si="91"/>
        <v>347.3</v>
      </c>
      <c r="V885" s="24">
        <f t="shared" si="3"/>
        <v>78.93181818</v>
      </c>
      <c r="W885" s="3">
        <f t="shared" si="29"/>
        <v>1</v>
      </c>
      <c r="X885" s="3">
        <f t="shared" si="30"/>
        <v>4.4</v>
      </c>
      <c r="Y885" s="3">
        <f t="shared" si="31"/>
        <v>4.4</v>
      </c>
      <c r="Z885" s="25">
        <f t="shared" si="97"/>
        <v>0</v>
      </c>
      <c r="AA885" s="26">
        <f>VLOOKUP(S885,CPI!$A$2:$E$67,5,0)</f>
        <v>1.285570233</v>
      </c>
      <c r="AB885" s="27">
        <f t="shared" si="8"/>
        <v>446.478542</v>
      </c>
      <c r="AC885" s="27">
        <f t="shared" si="9"/>
        <v>101.4723959</v>
      </c>
    </row>
    <row r="886">
      <c r="A886" s="38">
        <v>7618.0</v>
      </c>
      <c r="B886" s="221" t="s">
        <v>1759</v>
      </c>
      <c r="C886" s="221" t="s">
        <v>1770</v>
      </c>
      <c r="D886" s="36" t="s">
        <v>1364</v>
      </c>
      <c r="E886" s="221" t="s">
        <v>1783</v>
      </c>
      <c r="F886" s="227">
        <v>2011.0</v>
      </c>
      <c r="G886" s="227">
        <v>2018.0</v>
      </c>
      <c r="H886" s="227">
        <v>0.0</v>
      </c>
      <c r="I886" s="227">
        <v>19.7</v>
      </c>
      <c r="J886" s="228">
        <v>1.0</v>
      </c>
      <c r="K886" s="227">
        <v>19.7</v>
      </c>
      <c r="L886" s="229">
        <v>0.0</v>
      </c>
      <c r="M886" s="229">
        <v>0.0</v>
      </c>
      <c r="N886" s="227">
        <v>16.0</v>
      </c>
      <c r="O886" s="349">
        <v>140.0</v>
      </c>
      <c r="P886" s="221" t="s">
        <v>60</v>
      </c>
      <c r="Q886" s="353">
        <v>866.0</v>
      </c>
      <c r="R886" s="221" t="s">
        <v>37</v>
      </c>
      <c r="S886" s="227">
        <v>2015.0</v>
      </c>
      <c r="T886" s="227">
        <v>2.3</v>
      </c>
      <c r="U886" s="227">
        <f t="shared" si="91"/>
        <v>1991.8</v>
      </c>
      <c r="V886" s="24">
        <f t="shared" si="3"/>
        <v>101.106599</v>
      </c>
      <c r="W886" s="3">
        <f t="shared" si="29"/>
        <v>1</v>
      </c>
      <c r="X886" s="3">
        <f t="shared" si="30"/>
        <v>19.7</v>
      </c>
      <c r="Y886" s="3">
        <f t="shared" si="31"/>
        <v>19.7</v>
      </c>
      <c r="Z886" s="25">
        <f t="shared" si="97"/>
        <v>0</v>
      </c>
      <c r="AA886" s="26">
        <f>VLOOKUP(S886,CPI!$A$2:$E$67,5,0)</f>
        <v>1.285570233</v>
      </c>
      <c r="AB886" s="27">
        <f t="shared" si="8"/>
        <v>2560.598791</v>
      </c>
      <c r="AC886" s="27">
        <f t="shared" si="9"/>
        <v>129.9796341</v>
      </c>
    </row>
    <row r="887">
      <c r="A887" s="38">
        <v>7624.0</v>
      </c>
      <c r="B887" s="221" t="s">
        <v>1759</v>
      </c>
      <c r="C887" s="221" t="s">
        <v>1770</v>
      </c>
      <c r="D887" s="352" t="s">
        <v>1773</v>
      </c>
      <c r="E887" s="221" t="s">
        <v>1785</v>
      </c>
      <c r="F887" s="227">
        <v>2011.0</v>
      </c>
      <c r="G887" s="227">
        <v>2019.0</v>
      </c>
      <c r="H887" s="227">
        <v>1.0</v>
      </c>
      <c r="I887" s="227">
        <v>63.0</v>
      </c>
      <c r="J887" s="228">
        <v>0.0</v>
      </c>
      <c r="K887" s="227">
        <v>0.0</v>
      </c>
      <c r="L887" s="229">
        <v>0.0</v>
      </c>
      <c r="M887" s="229">
        <v>0.0</v>
      </c>
      <c r="N887" s="227">
        <v>36.0</v>
      </c>
      <c r="O887" s="349">
        <v>225.0</v>
      </c>
      <c r="P887" s="221" t="s">
        <v>60</v>
      </c>
      <c r="Q887" s="353">
        <v>1298.0</v>
      </c>
      <c r="R887" s="221" t="s">
        <v>37</v>
      </c>
      <c r="S887" s="227">
        <v>2015.0</v>
      </c>
      <c r="T887" s="227">
        <v>2.3</v>
      </c>
      <c r="U887" s="227">
        <f t="shared" si="91"/>
        <v>2985.4</v>
      </c>
      <c r="V887" s="24">
        <f t="shared" si="3"/>
        <v>47.38730159</v>
      </c>
      <c r="W887" s="3">
        <f t="shared" si="29"/>
        <v>1</v>
      </c>
      <c r="X887" s="3">
        <f t="shared" si="30"/>
        <v>63</v>
      </c>
      <c r="Y887" s="3">
        <f t="shared" si="31"/>
        <v>0</v>
      </c>
      <c r="Z887" s="25">
        <f t="shared" si="97"/>
        <v>0</v>
      </c>
      <c r="AA887" s="26">
        <f>VLOOKUP(S887,CPI!$A$2:$E$67,5,0)</f>
        <v>1.285570233</v>
      </c>
      <c r="AB887" s="27">
        <f t="shared" si="8"/>
        <v>3837.941375</v>
      </c>
      <c r="AC887" s="27">
        <f t="shared" si="9"/>
        <v>60.91970436</v>
      </c>
    </row>
    <row r="888">
      <c r="A888" s="243">
        <v>9501.0</v>
      </c>
      <c r="B888" s="221" t="s">
        <v>1759</v>
      </c>
      <c r="C888" s="221" t="s">
        <v>1770</v>
      </c>
      <c r="D888" s="36" t="s">
        <v>1764</v>
      </c>
      <c r="E888" s="221" t="s">
        <v>1787</v>
      </c>
      <c r="F888" s="227">
        <v>2015.0</v>
      </c>
      <c r="G888" s="349">
        <v>2022.0</v>
      </c>
      <c r="H888" s="227">
        <v>0.0</v>
      </c>
      <c r="I888" s="227">
        <v>7.5</v>
      </c>
      <c r="J888" s="228">
        <v>1.0</v>
      </c>
      <c r="K888" s="227">
        <v>7.5</v>
      </c>
      <c r="L888" s="229">
        <v>0.0</v>
      </c>
      <c r="M888" s="229">
        <v>0.0</v>
      </c>
      <c r="N888" s="227">
        <v>4.0</v>
      </c>
      <c r="O888" s="349">
        <v>180.0</v>
      </c>
      <c r="P888" s="221" t="s">
        <v>60</v>
      </c>
      <c r="Q888" s="353">
        <v>170.0</v>
      </c>
      <c r="R888" s="221" t="s">
        <v>52</v>
      </c>
      <c r="S888" s="227">
        <v>2018.0</v>
      </c>
      <c r="T888" s="349">
        <v>3.0</v>
      </c>
      <c r="U888" s="25">
        <f t="shared" si="91"/>
        <v>510</v>
      </c>
      <c r="V888" s="24">
        <f t="shared" si="3"/>
        <v>68</v>
      </c>
      <c r="W888" s="3">
        <f t="shared" si="29"/>
        <v>1</v>
      </c>
      <c r="X888" s="3">
        <f t="shared" si="30"/>
        <v>7.5</v>
      </c>
      <c r="Y888" s="3">
        <f t="shared" si="31"/>
        <v>7.5</v>
      </c>
      <c r="Z888" s="25">
        <f t="shared" si="97"/>
        <v>0</v>
      </c>
      <c r="AA888" s="26">
        <f>VLOOKUP(S888,CPI!$A$2:$E$67,5,0)</f>
        <v>1.21343491</v>
      </c>
      <c r="AB888" s="27">
        <f t="shared" si="8"/>
        <v>618.8518042</v>
      </c>
      <c r="AC888" s="27">
        <f t="shared" si="9"/>
        <v>82.51357389</v>
      </c>
    </row>
    <row r="889">
      <c r="A889" s="170">
        <v>9509.0</v>
      </c>
      <c r="B889" s="221" t="s">
        <v>1759</v>
      </c>
      <c r="C889" s="221" t="s">
        <v>1770</v>
      </c>
      <c r="D889" s="36" t="s">
        <v>846</v>
      </c>
      <c r="E889" s="221" t="s">
        <v>847</v>
      </c>
      <c r="F889" s="227">
        <v>2016.0</v>
      </c>
      <c r="G889" s="349">
        <v>2022.0</v>
      </c>
      <c r="H889" s="227">
        <v>0.0</v>
      </c>
      <c r="I889" s="227">
        <v>37.5</v>
      </c>
      <c r="J889" s="228">
        <v>1.0</v>
      </c>
      <c r="K889" s="227">
        <v>37.5</v>
      </c>
      <c r="L889" s="229">
        <v>0.0</v>
      </c>
      <c r="M889" s="229">
        <v>0.0</v>
      </c>
      <c r="N889" s="227">
        <v>9.0</v>
      </c>
      <c r="O889" s="349">
        <v>180.0</v>
      </c>
      <c r="P889" s="221" t="s">
        <v>60</v>
      </c>
      <c r="Q889" s="353">
        <v>1130.0</v>
      </c>
      <c r="R889" s="221" t="s">
        <v>37</v>
      </c>
      <c r="S889" s="227">
        <v>2019.0</v>
      </c>
      <c r="T889" s="349">
        <v>3.0</v>
      </c>
      <c r="U889" s="25">
        <f t="shared" si="91"/>
        <v>3390</v>
      </c>
      <c r="V889" s="24">
        <f t="shared" si="3"/>
        <v>90.4</v>
      </c>
      <c r="W889" s="3">
        <f t="shared" si="29"/>
        <v>1</v>
      </c>
      <c r="X889" s="3">
        <f t="shared" si="30"/>
        <v>37.5</v>
      </c>
      <c r="Y889" s="3">
        <f t="shared" si="31"/>
        <v>37.5</v>
      </c>
      <c r="Z889" s="25">
        <f t="shared" si="97"/>
        <v>0</v>
      </c>
      <c r="AA889" s="26">
        <f>VLOOKUP(S889,CPI!$A$2:$E$67,5,0)</f>
        <v>1.191839066</v>
      </c>
      <c r="AB889" s="27">
        <f t="shared" si="8"/>
        <v>4040.334432</v>
      </c>
      <c r="AC889" s="27">
        <f t="shared" si="9"/>
        <v>107.7422515</v>
      </c>
    </row>
    <row r="890">
      <c r="A890" s="170">
        <v>9502.0</v>
      </c>
      <c r="B890" s="221" t="s">
        <v>1759</v>
      </c>
      <c r="C890" s="221" t="s">
        <v>1770</v>
      </c>
      <c r="D890" s="221" t="s">
        <v>838</v>
      </c>
      <c r="E890" s="221" t="s">
        <v>838</v>
      </c>
      <c r="F890" s="227">
        <v>2016.0</v>
      </c>
      <c r="G890" s="349">
        <v>2022.0</v>
      </c>
      <c r="H890" s="227">
        <v>0.0</v>
      </c>
      <c r="I890" s="227">
        <v>14.3</v>
      </c>
      <c r="J890" s="228">
        <v>1.0</v>
      </c>
      <c r="K890" s="227">
        <v>14.3</v>
      </c>
      <c r="L890" s="229">
        <v>0.0</v>
      </c>
      <c r="M890" s="229">
        <v>0.0</v>
      </c>
      <c r="N890" s="227">
        <v>11.0</v>
      </c>
      <c r="O890" s="349">
        <v>100.0</v>
      </c>
      <c r="P890" s="221" t="s">
        <v>60</v>
      </c>
      <c r="Q890" s="353">
        <v>635.0</v>
      </c>
      <c r="R890" s="221" t="s">
        <v>37</v>
      </c>
      <c r="S890" s="227">
        <v>2019.0</v>
      </c>
      <c r="T890" s="349">
        <v>3.0</v>
      </c>
      <c r="U890" s="25">
        <f t="shared" si="91"/>
        <v>1905</v>
      </c>
      <c r="V890" s="24">
        <f t="shared" si="3"/>
        <v>133.2167832</v>
      </c>
      <c r="W890" s="3">
        <f t="shared" si="29"/>
        <v>1</v>
      </c>
      <c r="X890" s="3">
        <f t="shared" si="30"/>
        <v>14.3</v>
      </c>
      <c r="Y890" s="3">
        <f t="shared" si="31"/>
        <v>14.3</v>
      </c>
      <c r="Z890" s="25">
        <f t="shared" si="97"/>
        <v>0</v>
      </c>
      <c r="AA890" s="26">
        <f>VLOOKUP(S890,CPI!$A$2:$E$67,5,0)</f>
        <v>1.191839066</v>
      </c>
      <c r="AB890" s="27">
        <f t="shared" si="8"/>
        <v>2270.45342</v>
      </c>
      <c r="AC890" s="27">
        <f t="shared" si="9"/>
        <v>158.7729664</v>
      </c>
    </row>
    <row r="891">
      <c r="A891" s="170">
        <v>9833.0</v>
      </c>
      <c r="B891" s="123" t="s">
        <v>1759</v>
      </c>
      <c r="C891" s="123" t="s">
        <v>1770</v>
      </c>
      <c r="D891" s="36" t="s">
        <v>856</v>
      </c>
      <c r="E891" s="123" t="s">
        <v>1791</v>
      </c>
      <c r="F891" s="75">
        <v>2017.0</v>
      </c>
      <c r="G891" s="75">
        <v>2022.0</v>
      </c>
      <c r="H891" s="75">
        <v>0.0</v>
      </c>
      <c r="I891" s="75">
        <v>6.2</v>
      </c>
      <c r="J891" s="124">
        <f>K891/I891</f>
        <v>1</v>
      </c>
      <c r="K891" s="75">
        <v>6.2</v>
      </c>
      <c r="L891" s="125">
        <v>0.0</v>
      </c>
      <c r="M891" s="125">
        <v>0.0</v>
      </c>
      <c r="N891" s="75">
        <v>4.0</v>
      </c>
      <c r="O891" s="349">
        <v>180.0</v>
      </c>
      <c r="P891" s="123" t="s">
        <v>60</v>
      </c>
      <c r="Q891" s="157">
        <v>205.9</v>
      </c>
      <c r="R891" s="123" t="s">
        <v>37</v>
      </c>
      <c r="S891" s="75">
        <v>2020.0</v>
      </c>
      <c r="T891" s="152">
        <v>3.3</v>
      </c>
      <c r="U891" s="75">
        <f t="shared" si="91"/>
        <v>679.47</v>
      </c>
      <c r="V891" s="24">
        <f t="shared" si="3"/>
        <v>109.5919355</v>
      </c>
      <c r="W891" s="3">
        <f t="shared" si="29"/>
        <v>1</v>
      </c>
      <c r="X891" s="3">
        <f t="shared" si="30"/>
        <v>6.2</v>
      </c>
      <c r="Y891" s="3">
        <f t="shared" si="31"/>
        <v>6.2</v>
      </c>
      <c r="Z891" s="25">
        <f t="shared" si="97"/>
        <v>0</v>
      </c>
      <c r="AA891" s="26">
        <f>VLOOKUP(S891,CPI!$A$2:$E$67,5,0)</f>
        <v>1.17731472</v>
      </c>
      <c r="AB891" s="27">
        <f t="shared" si="8"/>
        <v>799.9500328</v>
      </c>
      <c r="AC891" s="27">
        <f t="shared" si="9"/>
        <v>129.0241988</v>
      </c>
    </row>
    <row r="892">
      <c r="A892" s="170">
        <v>9510.0</v>
      </c>
      <c r="B892" s="221" t="s">
        <v>1759</v>
      </c>
      <c r="C892" s="221" t="s">
        <v>1770</v>
      </c>
      <c r="D892" s="36" t="s">
        <v>846</v>
      </c>
      <c r="E892" s="221" t="s">
        <v>1793</v>
      </c>
      <c r="F892" s="349">
        <v>2018.0</v>
      </c>
      <c r="G892" s="227">
        <v>2022.0</v>
      </c>
      <c r="H892" s="227">
        <v>0.0</v>
      </c>
      <c r="I892" s="227">
        <v>32.0</v>
      </c>
      <c r="J892" s="228">
        <v>1.0</v>
      </c>
      <c r="K892" s="227">
        <v>32.0</v>
      </c>
      <c r="L892" s="229">
        <v>0.0</v>
      </c>
      <c r="M892" s="229">
        <v>0.0</v>
      </c>
      <c r="N892" s="227">
        <v>7.0</v>
      </c>
      <c r="O892" s="349">
        <v>180.0</v>
      </c>
      <c r="P892" s="221" t="s">
        <v>60</v>
      </c>
      <c r="Q892" s="353">
        <v>916.0</v>
      </c>
      <c r="R892" s="221" t="s">
        <v>37</v>
      </c>
      <c r="S892" s="227">
        <v>2020.0</v>
      </c>
      <c r="T892" s="349">
        <v>3.3</v>
      </c>
      <c r="U892" s="227">
        <f t="shared" si="91"/>
        <v>3022.8</v>
      </c>
      <c r="V892" s="24">
        <f t="shared" si="3"/>
        <v>94.4625</v>
      </c>
      <c r="W892" s="3">
        <f t="shared" si="29"/>
        <v>1</v>
      </c>
      <c r="X892" s="3">
        <f t="shared" si="30"/>
        <v>32</v>
      </c>
      <c r="Y892" s="3">
        <f t="shared" si="31"/>
        <v>32</v>
      </c>
      <c r="Z892" s="25">
        <f t="shared" si="97"/>
        <v>0</v>
      </c>
      <c r="AA892" s="26">
        <f>VLOOKUP(S892,CPI!$A$2:$E$67,5,0)</f>
        <v>1.17731472</v>
      </c>
      <c r="AB892" s="27">
        <f t="shared" si="8"/>
        <v>3558.786936</v>
      </c>
      <c r="AC892" s="27">
        <f t="shared" si="9"/>
        <v>111.2120917</v>
      </c>
    </row>
    <row r="893">
      <c r="A893" s="170">
        <v>9500.0</v>
      </c>
      <c r="B893" s="221" t="s">
        <v>1759</v>
      </c>
      <c r="C893" s="221" t="s">
        <v>1770</v>
      </c>
      <c r="D893" s="36" t="s">
        <v>856</v>
      </c>
      <c r="E893" s="221" t="s">
        <v>857</v>
      </c>
      <c r="F893" s="227">
        <v>2015.0</v>
      </c>
      <c r="G893" s="227">
        <v>2023.0</v>
      </c>
      <c r="H893" s="227">
        <v>0.0</v>
      </c>
      <c r="I893" s="349">
        <v>8.9</v>
      </c>
      <c r="J893" s="228">
        <v>1.0</v>
      </c>
      <c r="K893" s="227">
        <v>8.4</v>
      </c>
      <c r="L893" s="229">
        <v>0.0</v>
      </c>
      <c r="M893" s="229">
        <v>0.0</v>
      </c>
      <c r="N893" s="349">
        <v>8.0</v>
      </c>
      <c r="O893" s="349">
        <v>180.0</v>
      </c>
      <c r="P893" s="221" t="s">
        <v>60</v>
      </c>
      <c r="Q893" s="353">
        <v>333.0</v>
      </c>
      <c r="R893" s="221" t="s">
        <v>37</v>
      </c>
      <c r="S893" s="227">
        <v>2019.0</v>
      </c>
      <c r="T893" s="349">
        <v>3.0</v>
      </c>
      <c r="U893" s="25">
        <f t="shared" si="91"/>
        <v>999</v>
      </c>
      <c r="V893" s="24">
        <f t="shared" si="3"/>
        <v>112.247191</v>
      </c>
      <c r="W893" s="3">
        <f t="shared" si="29"/>
        <v>1</v>
      </c>
      <c r="X893" s="3">
        <f t="shared" si="30"/>
        <v>8.9</v>
      </c>
      <c r="Y893" s="3">
        <f t="shared" si="31"/>
        <v>8.4</v>
      </c>
      <c r="Z893" s="25">
        <f t="shared" si="97"/>
        <v>0</v>
      </c>
      <c r="AA893" s="26">
        <f>VLOOKUP(S893,CPI!$A$2:$E$67,5,0)</f>
        <v>1.191839066</v>
      </c>
      <c r="AB893" s="27">
        <f t="shared" si="8"/>
        <v>1190.647227</v>
      </c>
      <c r="AC893" s="27">
        <f t="shared" si="9"/>
        <v>133.7805873</v>
      </c>
    </row>
    <row r="894">
      <c r="A894" s="170">
        <v>9835.0</v>
      </c>
      <c r="B894" s="123" t="s">
        <v>1759</v>
      </c>
      <c r="C894" s="123" t="s">
        <v>1770</v>
      </c>
      <c r="D894" s="123" t="s">
        <v>1795</v>
      </c>
      <c r="E894" s="123" t="s">
        <v>1795</v>
      </c>
      <c r="F894" s="75">
        <v>2016.0</v>
      </c>
      <c r="G894" s="152">
        <v>2023.0</v>
      </c>
      <c r="H894" s="75">
        <v>0.0</v>
      </c>
      <c r="I894" s="152">
        <v>13.4</v>
      </c>
      <c r="J894" s="124">
        <f>K894/I894</f>
        <v>1</v>
      </c>
      <c r="K894" s="152">
        <v>13.4</v>
      </c>
      <c r="L894" s="125">
        <v>0.0</v>
      </c>
      <c r="M894" s="125">
        <v>0.0</v>
      </c>
      <c r="N894" s="75">
        <v>12.0</v>
      </c>
      <c r="O894" s="152">
        <v>90.0</v>
      </c>
      <c r="P894" s="123" t="s">
        <v>60</v>
      </c>
      <c r="Q894" s="157">
        <v>386.7</v>
      </c>
      <c r="R894" s="123" t="s">
        <v>37</v>
      </c>
      <c r="S894" s="75">
        <v>2020.0</v>
      </c>
      <c r="T894" s="152">
        <v>3.3</v>
      </c>
      <c r="U894" s="75">
        <f t="shared" si="91"/>
        <v>1276.11</v>
      </c>
      <c r="V894" s="24">
        <f t="shared" si="3"/>
        <v>95.23208955</v>
      </c>
      <c r="W894" s="3">
        <f t="shared" si="29"/>
        <v>1</v>
      </c>
      <c r="X894" s="3">
        <f t="shared" si="30"/>
        <v>13.4</v>
      </c>
      <c r="Y894" s="3">
        <f t="shared" si="31"/>
        <v>13.4</v>
      </c>
      <c r="Z894" s="25">
        <f t="shared" si="97"/>
        <v>0</v>
      </c>
      <c r="AA894" s="26">
        <f>VLOOKUP(S894,CPI!$A$2:$E$67,5,0)</f>
        <v>1.17731472</v>
      </c>
      <c r="AB894" s="27">
        <f t="shared" si="8"/>
        <v>1502.383087</v>
      </c>
      <c r="AC894" s="27">
        <f t="shared" si="9"/>
        <v>112.1181408</v>
      </c>
    </row>
    <row r="895">
      <c r="A895" s="170">
        <v>9508.0</v>
      </c>
      <c r="B895" s="221" t="s">
        <v>1759</v>
      </c>
      <c r="C895" s="221" t="s">
        <v>1770</v>
      </c>
      <c r="D895" s="36" t="s">
        <v>1797</v>
      </c>
      <c r="E895" s="221" t="s">
        <v>1798</v>
      </c>
      <c r="F895" s="227">
        <v>2017.0</v>
      </c>
      <c r="G895" s="349">
        <v>2023.0</v>
      </c>
      <c r="H895" s="227">
        <v>0.0</v>
      </c>
      <c r="I895" s="227">
        <v>13.0</v>
      </c>
      <c r="J895" s="228">
        <v>1.0</v>
      </c>
      <c r="K895" s="227">
        <v>13.0</v>
      </c>
      <c r="L895" s="229">
        <v>0.0</v>
      </c>
      <c r="M895" s="229">
        <v>0.0</v>
      </c>
      <c r="N895" s="349">
        <v>11.0</v>
      </c>
      <c r="O895" s="349">
        <v>100.0</v>
      </c>
      <c r="P895" s="221" t="s">
        <v>60</v>
      </c>
      <c r="Q895" s="350">
        <v>698.0</v>
      </c>
      <c r="R895" s="221" t="s">
        <v>37</v>
      </c>
      <c r="S895" s="227">
        <v>2020.0</v>
      </c>
      <c r="T895" s="349">
        <v>3.3</v>
      </c>
      <c r="U895" s="25">
        <f t="shared" si="91"/>
        <v>2303.4</v>
      </c>
      <c r="V895" s="24">
        <f t="shared" si="3"/>
        <v>177.1846154</v>
      </c>
      <c r="W895" s="3">
        <f t="shared" si="29"/>
        <v>1</v>
      </c>
      <c r="X895" s="3">
        <f t="shared" si="30"/>
        <v>13</v>
      </c>
      <c r="Y895" s="3">
        <f t="shared" si="31"/>
        <v>13</v>
      </c>
      <c r="Z895" s="25">
        <f t="shared" si="97"/>
        <v>0</v>
      </c>
      <c r="AA895" s="26">
        <f>VLOOKUP(S895,CPI!$A$2:$E$67,5,0)</f>
        <v>1.17731472</v>
      </c>
      <c r="AB895" s="27">
        <f t="shared" si="8"/>
        <v>2711.826726</v>
      </c>
      <c r="AC895" s="27">
        <f t="shared" si="9"/>
        <v>208.6020559</v>
      </c>
    </row>
    <row r="896">
      <c r="A896" s="38">
        <v>7625.0</v>
      </c>
      <c r="B896" s="221" t="s">
        <v>1759</v>
      </c>
      <c r="C896" s="221" t="s">
        <v>1770</v>
      </c>
      <c r="D896" s="36" t="s">
        <v>849</v>
      </c>
      <c r="E896" s="221" t="s">
        <v>1799</v>
      </c>
      <c r="F896" s="227">
        <v>2014.0</v>
      </c>
      <c r="G896" s="349">
        <v>2024.0</v>
      </c>
      <c r="H896" s="227">
        <v>0.0</v>
      </c>
      <c r="I896" s="227">
        <v>23.75</v>
      </c>
      <c r="J896" s="228">
        <v>0.9621</v>
      </c>
      <c r="K896" s="227">
        <v>22.85</v>
      </c>
      <c r="L896" s="229">
        <v>0.0</v>
      </c>
      <c r="M896" s="229">
        <v>0.0</v>
      </c>
      <c r="N896" s="227">
        <v>19.0</v>
      </c>
      <c r="O896" s="349">
        <v>180.0</v>
      </c>
      <c r="P896" s="221" t="s">
        <v>60</v>
      </c>
      <c r="Q896" s="353">
        <v>896.0</v>
      </c>
      <c r="R896" s="221" t="s">
        <v>37</v>
      </c>
      <c r="S896" s="349">
        <v>2019.0</v>
      </c>
      <c r="T896" s="227">
        <v>3.0</v>
      </c>
      <c r="U896" s="227">
        <f t="shared" si="91"/>
        <v>2688</v>
      </c>
      <c r="V896" s="24">
        <f t="shared" si="3"/>
        <v>113.1789474</v>
      </c>
      <c r="W896" s="3">
        <f t="shared" si="29"/>
        <v>1</v>
      </c>
      <c r="X896" s="3">
        <f t="shared" si="30"/>
        <v>23.75</v>
      </c>
      <c r="Y896" s="3">
        <f t="shared" si="31"/>
        <v>22.85</v>
      </c>
      <c r="Z896" s="25">
        <f t="shared" si="97"/>
        <v>0</v>
      </c>
      <c r="AA896" s="26">
        <f>VLOOKUP(S896,CPI!$A$2:$E$67,5,0)</f>
        <v>1.191839066</v>
      </c>
      <c r="AB896" s="27">
        <f t="shared" si="8"/>
        <v>3203.663408</v>
      </c>
      <c r="AC896" s="27">
        <f t="shared" si="9"/>
        <v>134.8910909</v>
      </c>
    </row>
    <row r="897">
      <c r="A897" s="243">
        <v>11255.0</v>
      </c>
      <c r="B897" s="123" t="s">
        <v>1759</v>
      </c>
      <c r="C897" s="123" t="s">
        <v>1770</v>
      </c>
      <c r="D897" s="123" t="s">
        <v>1801</v>
      </c>
      <c r="E897" s="123" t="s">
        <v>1801</v>
      </c>
      <c r="F897" s="152">
        <v>2017.0</v>
      </c>
      <c r="G897" s="152">
        <v>2024.0</v>
      </c>
      <c r="H897" s="75">
        <v>0.0</v>
      </c>
      <c r="I897" s="75">
        <v>14.0</v>
      </c>
      <c r="J897" s="124">
        <v>1.0</v>
      </c>
      <c r="K897" s="152">
        <v>14.0</v>
      </c>
      <c r="L897" s="75">
        <v>0.0</v>
      </c>
      <c r="M897" s="75">
        <v>0.0</v>
      </c>
      <c r="N897" s="75">
        <v>8.0</v>
      </c>
      <c r="O897" s="152">
        <v>180.0</v>
      </c>
      <c r="P897" s="142" t="s">
        <v>60</v>
      </c>
      <c r="Q897" s="157">
        <v>344.0</v>
      </c>
      <c r="R897" s="123" t="s">
        <v>37</v>
      </c>
      <c r="S897" s="75">
        <v>2020.0</v>
      </c>
      <c r="T897" s="152">
        <v>3.3</v>
      </c>
      <c r="U897" s="75">
        <f t="shared" si="91"/>
        <v>1135.2</v>
      </c>
      <c r="V897" s="24">
        <f t="shared" si="3"/>
        <v>81.08571429</v>
      </c>
      <c r="W897" s="3">
        <f t="shared" si="29"/>
        <v>1</v>
      </c>
      <c r="X897" s="3">
        <f t="shared" si="30"/>
        <v>14</v>
      </c>
      <c r="Y897" s="3">
        <f t="shared" si="31"/>
        <v>14</v>
      </c>
      <c r="Z897" s="25">
        <f t="shared" si="97"/>
        <v>0</v>
      </c>
      <c r="AA897" s="26">
        <f>VLOOKUP(S897,CPI!$A$2:$E$67,5,0)</f>
        <v>1.17731472</v>
      </c>
      <c r="AB897" s="27">
        <f t="shared" si="8"/>
        <v>1336.48767</v>
      </c>
      <c r="AC897" s="27">
        <f t="shared" si="9"/>
        <v>95.46340501</v>
      </c>
    </row>
    <row r="898">
      <c r="A898" s="7"/>
      <c r="B898" s="237" t="s">
        <v>1759</v>
      </c>
      <c r="C898" s="357" t="s">
        <v>1770</v>
      </c>
      <c r="D898" s="357" t="s">
        <v>843</v>
      </c>
      <c r="E898" s="357" t="s">
        <v>1802</v>
      </c>
      <c r="F898" s="358">
        <v>2022.0</v>
      </c>
      <c r="G898" s="358">
        <v>2026.0</v>
      </c>
      <c r="H898" s="358">
        <v>0.0</v>
      </c>
      <c r="I898" s="358">
        <v>3.9</v>
      </c>
      <c r="J898" s="359">
        <v>1.0</v>
      </c>
      <c r="K898" s="358">
        <v>3.9</v>
      </c>
      <c r="L898" s="358">
        <v>0.0</v>
      </c>
      <c r="M898" s="358">
        <v>0.0</v>
      </c>
      <c r="N898" s="358">
        <v>2.0</v>
      </c>
      <c r="O898" s="358">
        <v>180.0</v>
      </c>
      <c r="P898" s="357" t="s">
        <v>60</v>
      </c>
      <c r="Q898" s="360">
        <v>2897.0</v>
      </c>
      <c r="R898" s="357" t="s">
        <v>1765</v>
      </c>
      <c r="S898" s="358">
        <v>2024.0</v>
      </c>
      <c r="T898" s="358">
        <v>0.27</v>
      </c>
      <c r="U898" s="118">
        <f t="shared" si="91"/>
        <v>782.19</v>
      </c>
      <c r="V898" s="24">
        <f t="shared" si="3"/>
        <v>200.5615385</v>
      </c>
      <c r="W898" s="3">
        <f t="shared" si="29"/>
        <v>1</v>
      </c>
      <c r="X898" s="3">
        <f t="shared" si="30"/>
        <v>3.9</v>
      </c>
      <c r="Y898" s="3">
        <f t="shared" si="31"/>
        <v>3.9</v>
      </c>
      <c r="Z898" s="25">
        <f t="shared" si="97"/>
        <v>0</v>
      </c>
      <c r="AA898" s="26">
        <v>1.0</v>
      </c>
      <c r="AB898" s="27">
        <f t="shared" si="8"/>
        <v>782.19</v>
      </c>
      <c r="AC898" s="27">
        <f t="shared" si="9"/>
        <v>200.5615385</v>
      </c>
    </row>
    <row r="899">
      <c r="A899" s="170">
        <v>9507.0</v>
      </c>
      <c r="B899" s="221" t="s">
        <v>1759</v>
      </c>
      <c r="C899" s="221" t="s">
        <v>1770</v>
      </c>
      <c r="D899" s="36" t="s">
        <v>1364</v>
      </c>
      <c r="E899" s="221" t="s">
        <v>1803</v>
      </c>
      <c r="F899" s="227">
        <v>2016.0</v>
      </c>
      <c r="G899" s="349">
        <v>2027.0</v>
      </c>
      <c r="H899" s="227">
        <v>0.0</v>
      </c>
      <c r="I899" s="227">
        <v>17.8</v>
      </c>
      <c r="J899" s="228">
        <v>1.0</v>
      </c>
      <c r="K899" s="227">
        <v>17.8</v>
      </c>
      <c r="L899" s="229">
        <v>0.0</v>
      </c>
      <c r="M899" s="229">
        <v>0.0</v>
      </c>
      <c r="N899" s="349">
        <v>13.0</v>
      </c>
      <c r="O899" s="349">
        <v>140.0</v>
      </c>
      <c r="P899" s="221" t="s">
        <v>60</v>
      </c>
      <c r="Q899" s="353">
        <v>657.0</v>
      </c>
      <c r="R899" s="221" t="s">
        <v>37</v>
      </c>
      <c r="S899" s="227">
        <v>2019.0</v>
      </c>
      <c r="T899" s="349">
        <v>3.0</v>
      </c>
      <c r="U899" s="25">
        <f t="shared" si="91"/>
        <v>1971</v>
      </c>
      <c r="V899" s="24">
        <f t="shared" si="3"/>
        <v>110.7303371</v>
      </c>
      <c r="W899" s="3">
        <f t="shared" si="29"/>
        <v>1</v>
      </c>
      <c r="X899" s="3">
        <f t="shared" si="30"/>
        <v>17.8</v>
      </c>
      <c r="Y899" s="3">
        <f t="shared" si="31"/>
        <v>17.8</v>
      </c>
      <c r="Z899" s="25">
        <f t="shared" si="97"/>
        <v>0</v>
      </c>
      <c r="AA899" s="26">
        <f>VLOOKUP(S899,CPI!$A$2:$E$67,5,0)</f>
        <v>1.191839066</v>
      </c>
      <c r="AB899" s="27">
        <f t="shared" si="8"/>
        <v>2349.114798</v>
      </c>
      <c r="AC899" s="27">
        <f t="shared" si="9"/>
        <v>131.9727415</v>
      </c>
    </row>
    <row r="900">
      <c r="A900" s="243">
        <v>11254.0</v>
      </c>
      <c r="B900" s="123" t="s">
        <v>1759</v>
      </c>
      <c r="C900" s="123" t="s">
        <v>1770</v>
      </c>
      <c r="D900" s="36" t="s">
        <v>866</v>
      </c>
      <c r="E900" s="123" t="s">
        <v>1804</v>
      </c>
      <c r="F900" s="152">
        <v>2017.0</v>
      </c>
      <c r="G900" s="152">
        <v>2027.0</v>
      </c>
      <c r="H900" s="75">
        <v>0.0</v>
      </c>
      <c r="I900" s="75">
        <v>9.7</v>
      </c>
      <c r="J900" s="244">
        <v>0.95</v>
      </c>
      <c r="K900" s="152">
        <v>9.3</v>
      </c>
      <c r="L900" s="75">
        <v>0.0</v>
      </c>
      <c r="M900" s="75">
        <v>0.0</v>
      </c>
      <c r="N900" s="152">
        <v>10.0</v>
      </c>
      <c r="O900" s="152">
        <v>125.0</v>
      </c>
      <c r="P900" s="142" t="s">
        <v>60</v>
      </c>
      <c r="Q900" s="245">
        <v>786.0</v>
      </c>
      <c r="R900" s="123" t="s">
        <v>37</v>
      </c>
      <c r="S900" s="75">
        <v>2020.0</v>
      </c>
      <c r="T900" s="152">
        <v>3.3</v>
      </c>
      <c r="U900" s="75">
        <f t="shared" si="91"/>
        <v>2593.8</v>
      </c>
      <c r="V900" s="24">
        <f t="shared" si="3"/>
        <v>267.4020619</v>
      </c>
      <c r="W900" s="3">
        <f t="shared" si="29"/>
        <v>1</v>
      </c>
      <c r="X900" s="3">
        <f t="shared" si="30"/>
        <v>9.7</v>
      </c>
      <c r="Y900" s="3">
        <f t="shared" si="31"/>
        <v>9.3</v>
      </c>
      <c r="Z900" s="25">
        <f t="shared" si="97"/>
        <v>0</v>
      </c>
      <c r="AA900" s="26">
        <f>VLOOKUP(S900,CPI!$A$2:$E$67,5,0)</f>
        <v>1.17731472</v>
      </c>
      <c r="AB900" s="27">
        <f t="shared" si="8"/>
        <v>3053.718921</v>
      </c>
      <c r="AC900" s="27">
        <f t="shared" si="9"/>
        <v>314.8163836</v>
      </c>
    </row>
    <row r="901">
      <c r="A901" s="170">
        <v>9834.0</v>
      </c>
      <c r="B901" s="123" t="s">
        <v>1759</v>
      </c>
      <c r="C901" s="123" t="s">
        <v>1770</v>
      </c>
      <c r="D901" s="36" t="s">
        <v>849</v>
      </c>
      <c r="E901" s="123" t="s">
        <v>1805</v>
      </c>
      <c r="F901" s="75">
        <v>2017.0</v>
      </c>
      <c r="G901" s="152">
        <v>2027.0</v>
      </c>
      <c r="H901" s="75">
        <v>0.0</v>
      </c>
      <c r="I901" s="75">
        <v>18.5</v>
      </c>
      <c r="J901" s="124">
        <f>K901/I901</f>
        <v>0.972972973</v>
      </c>
      <c r="K901" s="75">
        <v>18.0</v>
      </c>
      <c r="L901" s="125">
        <v>0.0</v>
      </c>
      <c r="M901" s="125">
        <v>0.0</v>
      </c>
      <c r="N901" s="75">
        <v>11.0</v>
      </c>
      <c r="O901" s="152">
        <v>180.0</v>
      </c>
      <c r="P901" s="123" t="s">
        <v>60</v>
      </c>
      <c r="Q901" s="157">
        <v>896.3</v>
      </c>
      <c r="R901" s="123" t="s">
        <v>37</v>
      </c>
      <c r="S901" s="75">
        <v>2020.0</v>
      </c>
      <c r="T901" s="152">
        <v>3.3</v>
      </c>
      <c r="U901" s="75">
        <f t="shared" si="91"/>
        <v>2957.79</v>
      </c>
      <c r="V901" s="24">
        <f t="shared" si="3"/>
        <v>159.8805405</v>
      </c>
      <c r="W901" s="3">
        <f t="shared" si="29"/>
        <v>1</v>
      </c>
      <c r="X901" s="3">
        <f t="shared" si="30"/>
        <v>18.5</v>
      </c>
      <c r="Y901" s="3">
        <f t="shared" si="31"/>
        <v>18</v>
      </c>
      <c r="Z901" s="25">
        <f t="shared" si="97"/>
        <v>0</v>
      </c>
      <c r="AA901" s="26">
        <f>VLOOKUP(S901,CPI!$A$2:$E$67,5,0)</f>
        <v>1.17731472</v>
      </c>
      <c r="AB901" s="27">
        <f t="shared" si="8"/>
        <v>3482.249706</v>
      </c>
      <c r="AC901" s="27">
        <f t="shared" si="9"/>
        <v>188.2297138</v>
      </c>
    </row>
    <row r="902">
      <c r="A902" s="38">
        <v>7626.0</v>
      </c>
      <c r="B902" s="6" t="s">
        <v>1759</v>
      </c>
      <c r="C902" s="362" t="s">
        <v>1806</v>
      </c>
      <c r="D902" s="36" t="s">
        <v>866</v>
      </c>
      <c r="E902" s="6" t="s">
        <v>1807</v>
      </c>
      <c r="F902" s="6">
        <v>1995.0</v>
      </c>
      <c r="G902" s="6">
        <v>2000.0</v>
      </c>
      <c r="H902" s="6">
        <v>0.0</v>
      </c>
      <c r="I902" s="6">
        <v>11.6</v>
      </c>
      <c r="J902" s="345">
        <v>0.2931</v>
      </c>
      <c r="K902" s="6">
        <v>3.4</v>
      </c>
      <c r="L902" s="346">
        <v>0.0</v>
      </c>
      <c r="M902" s="346">
        <v>0.0</v>
      </c>
      <c r="N902" s="6">
        <v>10.0</v>
      </c>
      <c r="O902" s="85"/>
      <c r="P902" s="36" t="s">
        <v>60</v>
      </c>
      <c r="Q902" s="347">
        <v>600.0</v>
      </c>
      <c r="R902" s="6" t="s">
        <v>37</v>
      </c>
      <c r="S902" s="6">
        <v>1998.0</v>
      </c>
      <c r="T902" s="6">
        <v>2.0</v>
      </c>
      <c r="U902" s="6">
        <f t="shared" si="91"/>
        <v>1200</v>
      </c>
      <c r="V902" s="24">
        <f t="shared" si="3"/>
        <v>103.4482759</v>
      </c>
      <c r="W902" s="3">
        <f t="shared" si="29"/>
        <v>1</v>
      </c>
      <c r="X902" s="3">
        <f t="shared" si="30"/>
        <v>11.6</v>
      </c>
      <c r="Y902" s="3">
        <f t="shared" si="31"/>
        <v>3.4</v>
      </c>
      <c r="Z902" s="25">
        <f t="shared" si="97"/>
        <v>0</v>
      </c>
      <c r="AA902" s="26">
        <f>VLOOKUP(S902,CPI!$A$2:$E$67,5,0)</f>
        <v>1.869337423</v>
      </c>
      <c r="AB902" s="27">
        <f t="shared" si="8"/>
        <v>2243.204908</v>
      </c>
      <c r="AC902" s="27">
        <f t="shared" si="9"/>
        <v>193.3797334</v>
      </c>
    </row>
    <row r="903">
      <c r="A903" s="38">
        <v>7632.0</v>
      </c>
      <c r="B903" s="6" t="s">
        <v>1759</v>
      </c>
      <c r="C903" s="362" t="s">
        <v>1806</v>
      </c>
      <c r="D903" s="36" t="s">
        <v>866</v>
      </c>
      <c r="E903" s="6" t="s">
        <v>1809</v>
      </c>
      <c r="F903" s="6">
        <v>2010.0</v>
      </c>
      <c r="G903" s="6">
        <v>2012.0</v>
      </c>
      <c r="H903" s="6">
        <v>0.0</v>
      </c>
      <c r="I903" s="6">
        <v>2.25</v>
      </c>
      <c r="J903" s="345">
        <v>1.0</v>
      </c>
      <c r="K903" s="6">
        <v>2.25</v>
      </c>
      <c r="L903" s="346">
        <v>0.0</v>
      </c>
      <c r="M903" s="346">
        <v>0.0</v>
      </c>
      <c r="N903" s="6">
        <v>2.0</v>
      </c>
      <c r="O903" s="85"/>
      <c r="P903" s="36" t="s">
        <v>60</v>
      </c>
      <c r="Q903" s="347">
        <v>106.0</v>
      </c>
      <c r="R903" s="6" t="s">
        <v>1765</v>
      </c>
      <c r="S903" s="6">
        <v>2011.0</v>
      </c>
      <c r="T903" s="6">
        <v>1.0</v>
      </c>
      <c r="U903" s="6">
        <f t="shared" si="91"/>
        <v>106</v>
      </c>
      <c r="V903" s="24">
        <f t="shared" si="3"/>
        <v>47.11111111</v>
      </c>
      <c r="W903" s="3">
        <f t="shared" si="29"/>
        <v>1</v>
      </c>
      <c r="X903" s="3">
        <f t="shared" si="30"/>
        <v>2.25</v>
      </c>
      <c r="Y903" s="3">
        <f t="shared" si="31"/>
        <v>2.25</v>
      </c>
      <c r="Z903" s="25">
        <f t="shared" si="97"/>
        <v>0</v>
      </c>
      <c r="AA903" s="26">
        <f>VLOOKUP(S903,CPI!$A$2:$E$67,5,0)</f>
        <v>1.354598358</v>
      </c>
      <c r="AB903" s="27">
        <f t="shared" si="8"/>
        <v>143.5874259</v>
      </c>
      <c r="AC903" s="27">
        <f t="shared" si="9"/>
        <v>63.81663374</v>
      </c>
    </row>
    <row r="904">
      <c r="A904" s="38">
        <v>7627.0</v>
      </c>
      <c r="B904" s="6" t="s">
        <v>1759</v>
      </c>
      <c r="C904" s="362" t="s">
        <v>1806</v>
      </c>
      <c r="D904" s="36" t="s">
        <v>866</v>
      </c>
      <c r="E904" s="6" t="s">
        <v>1811</v>
      </c>
      <c r="F904" s="6">
        <v>2005.0</v>
      </c>
      <c r="G904" s="6">
        <v>2014.0</v>
      </c>
      <c r="H904" s="6">
        <v>0.0</v>
      </c>
      <c r="I904" s="6">
        <v>5.35</v>
      </c>
      <c r="J904" s="345">
        <v>1.0</v>
      </c>
      <c r="K904" s="6">
        <v>5.35</v>
      </c>
      <c r="L904" s="346">
        <v>0.0</v>
      </c>
      <c r="M904" s="346">
        <v>0.0</v>
      </c>
      <c r="N904" s="6">
        <v>6.0</v>
      </c>
      <c r="O904" s="85"/>
      <c r="P904" s="36" t="s">
        <v>60</v>
      </c>
      <c r="Q904" s="347">
        <v>252.0</v>
      </c>
      <c r="R904" s="6" t="s">
        <v>1765</v>
      </c>
      <c r="S904" s="6">
        <v>2010.0</v>
      </c>
      <c r="T904" s="6">
        <v>1.1</v>
      </c>
      <c r="U904" s="6">
        <f t="shared" si="91"/>
        <v>277.2</v>
      </c>
      <c r="V904" s="24">
        <f t="shared" si="3"/>
        <v>51.81308411</v>
      </c>
      <c r="W904" s="3">
        <f t="shared" si="29"/>
        <v>1</v>
      </c>
      <c r="X904" s="3">
        <f t="shared" si="30"/>
        <v>5.35</v>
      </c>
      <c r="Y904" s="3">
        <f t="shared" si="31"/>
        <v>5.35</v>
      </c>
      <c r="Z904" s="25">
        <f t="shared" si="97"/>
        <v>0</v>
      </c>
      <c r="AA904" s="26">
        <f>VLOOKUP(S904,CPI!$A$2:$E$67,5,0)</f>
        <v>1.397356642</v>
      </c>
      <c r="AB904" s="27">
        <f t="shared" si="8"/>
        <v>387.3472613</v>
      </c>
      <c r="AC904" s="27">
        <f t="shared" si="9"/>
        <v>72.40135724</v>
      </c>
    </row>
    <row r="905">
      <c r="A905" s="38">
        <v>7579.0</v>
      </c>
      <c r="B905" s="26" t="s">
        <v>1812</v>
      </c>
      <c r="C905" s="26" t="s">
        <v>1813</v>
      </c>
      <c r="D905" s="26" t="s">
        <v>1814</v>
      </c>
      <c r="E905" s="26" t="s">
        <v>1814</v>
      </c>
      <c r="F905" s="25">
        <v>2001.0</v>
      </c>
      <c r="G905" s="25">
        <v>2008.0</v>
      </c>
      <c r="H905" s="25">
        <v>0.0</v>
      </c>
      <c r="I905" s="25">
        <v>43.0</v>
      </c>
      <c r="J905" s="50">
        <v>0.74</v>
      </c>
      <c r="K905" s="25">
        <v>31.8</v>
      </c>
      <c r="L905" s="51">
        <v>0.0</v>
      </c>
      <c r="M905" s="51">
        <v>0.0</v>
      </c>
      <c r="N905" s="25">
        <v>38.0</v>
      </c>
      <c r="O905" s="25"/>
      <c r="P905" s="26" t="s">
        <v>59</v>
      </c>
      <c r="Q905" s="52">
        <v>181300.0</v>
      </c>
      <c r="R905" s="26" t="s">
        <v>1815</v>
      </c>
      <c r="S905" s="25">
        <v>2004.0</v>
      </c>
      <c r="T905" s="25">
        <v>0.0664</v>
      </c>
      <c r="U905" s="25">
        <f t="shared" si="91"/>
        <v>12038.32</v>
      </c>
      <c r="V905" s="24">
        <f t="shared" si="3"/>
        <v>279.9609302</v>
      </c>
      <c r="W905" s="3">
        <f t="shared" si="29"/>
        <v>0</v>
      </c>
      <c r="X905" s="3">
        <f t="shared" si="30"/>
        <v>0</v>
      </c>
      <c r="Y905" s="3">
        <f t="shared" si="31"/>
        <v>0</v>
      </c>
      <c r="Z905" s="25">
        <f t="shared" si="97"/>
        <v>0</v>
      </c>
      <c r="AA905" s="26">
        <f>VLOOKUP(S905,CPI!$A$2:$E$67,5,0)</f>
        <v>1.613033351</v>
      </c>
      <c r="AB905" s="27">
        <f t="shared" si="8"/>
        <v>19418.21165</v>
      </c>
      <c r="AC905" s="27">
        <f t="shared" si="9"/>
        <v>451.5863174</v>
      </c>
    </row>
    <row r="906">
      <c r="A906" s="38">
        <v>7584.0</v>
      </c>
      <c r="B906" s="26" t="s">
        <v>1812</v>
      </c>
      <c r="C906" s="26" t="s">
        <v>1813</v>
      </c>
      <c r="D906" s="26" t="s">
        <v>1817</v>
      </c>
      <c r="E906" s="26" t="s">
        <v>1817</v>
      </c>
      <c r="F906" s="25">
        <v>2008.0</v>
      </c>
      <c r="G906" s="25">
        <v>2018.0</v>
      </c>
      <c r="H906" s="25">
        <v>1.0</v>
      </c>
      <c r="I906" s="25">
        <v>15.4</v>
      </c>
      <c r="J906" s="50">
        <v>1.0</v>
      </c>
      <c r="K906" s="25">
        <v>15.4</v>
      </c>
      <c r="L906" s="51">
        <v>0.0</v>
      </c>
      <c r="M906" s="51">
        <v>0.0</v>
      </c>
      <c r="N906" s="25">
        <v>10.0</v>
      </c>
      <c r="O906" s="25"/>
      <c r="P906" s="26" t="s">
        <v>60</v>
      </c>
      <c r="Q906" s="52">
        <v>99870.0</v>
      </c>
      <c r="R906" s="26" t="s">
        <v>1815</v>
      </c>
      <c r="S906" s="25">
        <v>2013.0</v>
      </c>
      <c r="T906" s="25">
        <v>0.0664</v>
      </c>
      <c r="U906" s="25">
        <f t="shared" si="91"/>
        <v>6631.368</v>
      </c>
      <c r="V906" s="24">
        <f t="shared" si="3"/>
        <v>430.6083117</v>
      </c>
      <c r="W906" s="3">
        <f t="shared" si="29"/>
        <v>0</v>
      </c>
      <c r="X906" s="3">
        <f t="shared" si="30"/>
        <v>0</v>
      </c>
      <c r="Y906" s="3">
        <f t="shared" si="31"/>
        <v>0</v>
      </c>
      <c r="Z906" s="25">
        <f t="shared" si="97"/>
        <v>0</v>
      </c>
      <c r="AA906" s="26">
        <f>VLOOKUP(S906,CPI!$A$2:$E$67,5,0)</f>
        <v>1.307975292</v>
      </c>
      <c r="AB906" s="27">
        <f t="shared" si="8"/>
        <v>8673.665493</v>
      </c>
      <c r="AC906" s="27">
        <f t="shared" si="9"/>
        <v>563.225032</v>
      </c>
    </row>
    <row r="907">
      <c r="A907" s="38">
        <v>7586.0</v>
      </c>
      <c r="B907" s="26" t="s">
        <v>1812</v>
      </c>
      <c r="C907" s="26" t="s">
        <v>1819</v>
      </c>
      <c r="D907" s="26" t="s">
        <v>127</v>
      </c>
      <c r="E907" s="26" t="s">
        <v>127</v>
      </c>
      <c r="F907" s="25">
        <v>2010.0</v>
      </c>
      <c r="G907" s="25">
        <v>2020.0</v>
      </c>
      <c r="H907" s="25">
        <v>0.0</v>
      </c>
      <c r="I907" s="25">
        <v>16.7</v>
      </c>
      <c r="J907" s="50">
        <v>0.0</v>
      </c>
      <c r="K907" s="25">
        <v>0.0</v>
      </c>
      <c r="L907" s="51">
        <v>0.0</v>
      </c>
      <c r="M907" s="51">
        <v>0.0</v>
      </c>
      <c r="N907" s="25">
        <v>18.0</v>
      </c>
      <c r="O907" s="25"/>
      <c r="P907" s="26" t="s">
        <v>60</v>
      </c>
      <c r="Q907" s="52">
        <v>59337.0</v>
      </c>
      <c r="R907" s="26" t="s">
        <v>1815</v>
      </c>
      <c r="S907" s="25">
        <v>2015.0</v>
      </c>
      <c r="T907" s="25">
        <v>0.0664</v>
      </c>
      <c r="U907" s="25">
        <f t="shared" si="91"/>
        <v>3939.9768</v>
      </c>
      <c r="V907" s="24">
        <f t="shared" si="3"/>
        <v>235.9267545</v>
      </c>
      <c r="W907" s="3">
        <f t="shared" si="29"/>
        <v>0</v>
      </c>
      <c r="X907" s="3">
        <f t="shared" si="30"/>
        <v>0</v>
      </c>
      <c r="Y907" s="3">
        <f t="shared" si="31"/>
        <v>0</v>
      </c>
      <c r="Z907" s="25">
        <f t="shared" si="97"/>
        <v>0</v>
      </c>
      <c r="AA907" s="26">
        <f>VLOOKUP(S907,CPI!$A$2:$E$67,5,0)</f>
        <v>1.285570233</v>
      </c>
      <c r="AB907" s="27">
        <f t="shared" si="8"/>
        <v>5065.116894</v>
      </c>
      <c r="AC907" s="27">
        <f t="shared" si="9"/>
        <v>303.3004128</v>
      </c>
    </row>
    <row r="908">
      <c r="A908" s="38">
        <v>7585.0</v>
      </c>
      <c r="B908" s="26" t="s">
        <v>1812</v>
      </c>
      <c r="C908" s="26" t="s">
        <v>1821</v>
      </c>
      <c r="D908" s="26" t="s">
        <v>1822</v>
      </c>
      <c r="E908" s="26" t="s">
        <v>1822</v>
      </c>
      <c r="F908" s="25">
        <v>2019.0</v>
      </c>
      <c r="G908" s="25">
        <v>2024.0</v>
      </c>
      <c r="H908" s="25">
        <v>1.0</v>
      </c>
      <c r="I908" s="25">
        <v>8.2</v>
      </c>
      <c r="J908" s="50">
        <v>1.0</v>
      </c>
      <c r="K908" s="25">
        <v>8.2</v>
      </c>
      <c r="L908" s="51">
        <v>0.0</v>
      </c>
      <c r="M908" s="51">
        <v>0.0</v>
      </c>
      <c r="N908" s="25">
        <v>3.0</v>
      </c>
      <c r="O908" s="25"/>
      <c r="P908" s="26" t="s">
        <v>60</v>
      </c>
      <c r="Q908" s="52">
        <v>29360.0</v>
      </c>
      <c r="R908" s="26" t="s">
        <v>1815</v>
      </c>
      <c r="S908" s="25">
        <v>2021.0</v>
      </c>
      <c r="T908" s="25">
        <v>0.0664</v>
      </c>
      <c r="U908" s="25">
        <f t="shared" si="91"/>
        <v>1949.504</v>
      </c>
      <c r="V908" s="24">
        <f t="shared" si="3"/>
        <v>237.7443902</v>
      </c>
      <c r="W908" s="3">
        <f t="shared" si="29"/>
        <v>0</v>
      </c>
      <c r="X908" s="3">
        <f t="shared" si="30"/>
        <v>0</v>
      </c>
      <c r="Y908" s="3">
        <f t="shared" si="31"/>
        <v>0</v>
      </c>
      <c r="Z908" s="25">
        <f t="shared" si="97"/>
        <v>0</v>
      </c>
      <c r="AA908" s="26">
        <f>VLOOKUP(S908,CPI!$A$2:$E$67,5,0)</f>
        <v>1.124486105</v>
      </c>
      <c r="AB908" s="27">
        <f t="shared" si="8"/>
        <v>2192.190161</v>
      </c>
      <c r="AC908" s="27">
        <f t="shared" si="9"/>
        <v>267.3402635</v>
      </c>
    </row>
    <row r="909">
      <c r="A909" s="61">
        <v>9810.0</v>
      </c>
      <c r="B909" s="26" t="s">
        <v>1812</v>
      </c>
      <c r="C909" s="26" t="s">
        <v>1824</v>
      </c>
      <c r="D909" s="26" t="s">
        <v>1825</v>
      </c>
      <c r="E909" s="26" t="s">
        <v>1825</v>
      </c>
      <c r="F909" s="25">
        <v>2002.0</v>
      </c>
      <c r="G909" s="25">
        <v>2009.0</v>
      </c>
      <c r="H909" s="25">
        <v>0.0</v>
      </c>
      <c r="I909" s="25">
        <v>14.8</v>
      </c>
      <c r="J909" s="50">
        <v>0.26</v>
      </c>
      <c r="K909" s="25">
        <v>3.8</v>
      </c>
      <c r="L909" s="51">
        <v>0.0</v>
      </c>
      <c r="M909" s="51">
        <v>0.0</v>
      </c>
      <c r="N909" s="25">
        <v>12.0</v>
      </c>
      <c r="O909" s="25"/>
      <c r="P909" s="26" t="s">
        <v>59</v>
      </c>
      <c r="Q909" s="52">
        <v>63714.0</v>
      </c>
      <c r="R909" s="26" t="s">
        <v>1815</v>
      </c>
      <c r="S909" s="25">
        <v>2005.0</v>
      </c>
      <c r="T909" s="25">
        <v>0.0664</v>
      </c>
      <c r="U909" s="25">
        <f t="shared" si="91"/>
        <v>4230.6096</v>
      </c>
      <c r="V909" s="24">
        <f t="shared" si="3"/>
        <v>285.852</v>
      </c>
      <c r="W909" s="3">
        <f t="shared" si="29"/>
        <v>0</v>
      </c>
      <c r="X909" s="3">
        <f t="shared" si="30"/>
        <v>0</v>
      </c>
      <c r="Y909" s="3">
        <f t="shared" si="31"/>
        <v>0</v>
      </c>
      <c r="Z909" s="25">
        <f t="shared" si="97"/>
        <v>0</v>
      </c>
      <c r="AA909" s="26">
        <f>VLOOKUP(S909,CPI!$A$2:$E$67,5,0)</f>
        <v>1.560174091</v>
      </c>
      <c r="AB909" s="27">
        <f t="shared" si="8"/>
        <v>6600.487488</v>
      </c>
      <c r="AC909" s="27">
        <f t="shared" si="9"/>
        <v>445.9788843</v>
      </c>
    </row>
    <row r="910">
      <c r="A910" s="61">
        <v>9809.0</v>
      </c>
      <c r="B910" s="26" t="s">
        <v>1812</v>
      </c>
      <c r="C910" s="26" t="s">
        <v>1824</v>
      </c>
      <c r="D910" s="16" t="s">
        <v>1827</v>
      </c>
      <c r="E910" s="26" t="s">
        <v>1827</v>
      </c>
      <c r="F910" s="25">
        <v>1988.0</v>
      </c>
      <c r="G910" s="25">
        <v>2012.0</v>
      </c>
      <c r="H910" s="25">
        <v>0.0</v>
      </c>
      <c r="I910" s="25">
        <f>25.1+22.8+12.5+23.7+24.6-14.8</f>
        <v>93.9</v>
      </c>
      <c r="J910" s="50">
        <v>0.65</v>
      </c>
      <c r="K910" s="25">
        <f>0+3.9+12.5+23.7+24.6-3.8</f>
        <v>60.9</v>
      </c>
      <c r="L910" s="51">
        <v>0.0</v>
      </c>
      <c r="M910" s="51">
        <v>0.0</v>
      </c>
      <c r="N910" s="25">
        <f>24+21+13+24+22-12</f>
        <v>92</v>
      </c>
      <c r="O910" s="25"/>
      <c r="P910" s="26" t="s">
        <v>59</v>
      </c>
      <c r="Q910" s="52">
        <f>621000-63714</f>
        <v>557286</v>
      </c>
      <c r="R910" s="26" t="s">
        <v>1815</v>
      </c>
      <c r="S910" s="25">
        <v>2000.0</v>
      </c>
      <c r="T910" s="25">
        <v>0.0664</v>
      </c>
      <c r="U910" s="25">
        <f t="shared" si="91"/>
        <v>37003.7904</v>
      </c>
      <c r="V910" s="24">
        <f t="shared" si="3"/>
        <v>394.0765751</v>
      </c>
      <c r="W910" s="3">
        <f t="shared" si="29"/>
        <v>0</v>
      </c>
      <c r="X910" s="3">
        <f t="shared" si="30"/>
        <v>0</v>
      </c>
      <c r="Y910" s="3">
        <f t="shared" si="31"/>
        <v>0</v>
      </c>
      <c r="Z910" s="25">
        <f t="shared" si="97"/>
        <v>0</v>
      </c>
      <c r="AA910" s="26">
        <f>VLOOKUP(S910,CPI!$A$2:$E$67,5,0)</f>
        <v>1.769465738</v>
      </c>
      <c r="AB910" s="27">
        <f t="shared" si="8"/>
        <v>65476.93927</v>
      </c>
      <c r="AC910" s="27">
        <f t="shared" si="9"/>
        <v>697.3049976</v>
      </c>
    </row>
    <row r="911">
      <c r="A911" s="61">
        <v>9811.0</v>
      </c>
      <c r="B911" s="26" t="s">
        <v>1812</v>
      </c>
      <c r="C911" s="26" t="s">
        <v>1824</v>
      </c>
      <c r="D911" s="1" t="s">
        <v>1828</v>
      </c>
      <c r="E911" s="26" t="s">
        <v>1828</v>
      </c>
      <c r="F911" s="25">
        <v>2002.0</v>
      </c>
      <c r="G911" s="25">
        <v>2013.0</v>
      </c>
      <c r="H911" s="25">
        <v>0.0</v>
      </c>
      <c r="I911" s="25">
        <v>6.5</v>
      </c>
      <c r="J911" s="50">
        <v>1.0</v>
      </c>
      <c r="K911" s="25">
        <v>6.5</v>
      </c>
      <c r="L911" s="51">
        <v>0.0</v>
      </c>
      <c r="M911" s="51">
        <v>0.0</v>
      </c>
      <c r="N911" s="58">
        <v>7.0</v>
      </c>
      <c r="O911" s="25"/>
      <c r="P911" s="26" t="s">
        <v>42</v>
      </c>
      <c r="Q911" s="52">
        <v>39000.0</v>
      </c>
      <c r="R911" s="26" t="s">
        <v>1815</v>
      </c>
      <c r="S911" s="25">
        <v>2007.0</v>
      </c>
      <c r="T911" s="25">
        <v>0.0664</v>
      </c>
      <c r="U911" s="25">
        <f t="shared" si="91"/>
        <v>2589.6</v>
      </c>
      <c r="V911" s="24">
        <f t="shared" si="3"/>
        <v>398.4</v>
      </c>
      <c r="W911" s="3">
        <f t="shared" si="29"/>
        <v>0</v>
      </c>
      <c r="X911" s="3">
        <f t="shared" si="30"/>
        <v>0</v>
      </c>
      <c r="Y911" s="3">
        <f t="shared" si="31"/>
        <v>0</v>
      </c>
      <c r="Z911" s="25">
        <f t="shared" si="97"/>
        <v>0</v>
      </c>
      <c r="AA911" s="26">
        <f>VLOOKUP(S911,CPI!$A$2:$E$67,5,0)</f>
        <v>1.469562366</v>
      </c>
      <c r="AB911" s="27">
        <f t="shared" si="8"/>
        <v>3805.578702</v>
      </c>
      <c r="AC911" s="27">
        <f t="shared" si="9"/>
        <v>585.4736464</v>
      </c>
    </row>
    <row r="912">
      <c r="A912" s="38">
        <v>7571.0</v>
      </c>
      <c r="B912" s="26" t="s">
        <v>1812</v>
      </c>
      <c r="C912" s="26" t="s">
        <v>1824</v>
      </c>
      <c r="D912" s="26" t="s">
        <v>1830</v>
      </c>
      <c r="E912" s="26" t="s">
        <v>1830</v>
      </c>
      <c r="F912" s="25">
        <v>2006.0</v>
      </c>
      <c r="G912" s="25">
        <v>2017.0</v>
      </c>
      <c r="H912" s="25">
        <v>0.0</v>
      </c>
      <c r="I912" s="25">
        <v>51.0</v>
      </c>
      <c r="J912" s="50">
        <v>0.21</v>
      </c>
      <c r="K912" s="25">
        <v>10.7</v>
      </c>
      <c r="L912" s="51">
        <v>0.0</v>
      </c>
      <c r="M912" s="51">
        <v>0.0</v>
      </c>
      <c r="N912" s="25">
        <v>22.0</v>
      </c>
      <c r="O912" s="25"/>
      <c r="P912" s="26" t="s">
        <v>74</v>
      </c>
      <c r="Q912" s="52">
        <v>113850.0</v>
      </c>
      <c r="R912" s="26" t="s">
        <v>1815</v>
      </c>
      <c r="S912" s="25">
        <v>2011.0</v>
      </c>
      <c r="T912" s="25">
        <v>0.0664</v>
      </c>
      <c r="U912" s="25">
        <f t="shared" si="91"/>
        <v>7559.64</v>
      </c>
      <c r="V912" s="24">
        <f t="shared" si="3"/>
        <v>148.2282353</v>
      </c>
      <c r="W912" s="3">
        <f t="shared" si="29"/>
        <v>0</v>
      </c>
      <c r="X912" s="3">
        <f t="shared" si="30"/>
        <v>0</v>
      </c>
      <c r="Y912" s="3">
        <f t="shared" si="31"/>
        <v>0</v>
      </c>
      <c r="Z912" s="25">
        <f t="shared" si="97"/>
        <v>0</v>
      </c>
      <c r="AA912" s="26">
        <f>VLOOKUP(S912,CPI!$A$2:$E$67,5,0)</f>
        <v>1.354598358</v>
      </c>
      <c r="AB912" s="27">
        <f t="shared" si="8"/>
        <v>10240.27593</v>
      </c>
      <c r="AC912" s="27">
        <f t="shared" si="9"/>
        <v>200.7897241</v>
      </c>
    </row>
    <row r="913">
      <c r="A913" s="38">
        <v>7570.0</v>
      </c>
      <c r="B913" s="26" t="s">
        <v>1812</v>
      </c>
      <c r="C913" s="26" t="s">
        <v>1824</v>
      </c>
      <c r="D913" s="16" t="s">
        <v>1832</v>
      </c>
      <c r="E913" s="26" t="s">
        <v>1833</v>
      </c>
      <c r="F913" s="25">
        <v>2011.0</v>
      </c>
      <c r="G913" s="25">
        <v>2020.0</v>
      </c>
      <c r="H913" s="25">
        <v>0.0</v>
      </c>
      <c r="I913" s="25">
        <v>15.4</v>
      </c>
      <c r="J913" s="50">
        <v>0.07</v>
      </c>
      <c r="K913" s="25">
        <v>1.1</v>
      </c>
      <c r="L913" s="51">
        <v>0.0</v>
      </c>
      <c r="M913" s="51">
        <v>0.0</v>
      </c>
      <c r="N913" s="25">
        <v>14.0</v>
      </c>
      <c r="O913" s="25"/>
      <c r="P913" s="26" t="s">
        <v>59</v>
      </c>
      <c r="Q913" s="52">
        <v>69970.0</v>
      </c>
      <c r="R913" s="26" t="s">
        <v>1815</v>
      </c>
      <c r="S913" s="25">
        <v>2015.0</v>
      </c>
      <c r="T913" s="25">
        <v>0.0664</v>
      </c>
      <c r="U913" s="25">
        <f t="shared" si="91"/>
        <v>4646.008</v>
      </c>
      <c r="V913" s="24">
        <f t="shared" si="3"/>
        <v>301.6888312</v>
      </c>
      <c r="W913" s="3">
        <f t="shared" si="29"/>
        <v>0</v>
      </c>
      <c r="X913" s="3">
        <f t="shared" si="30"/>
        <v>0</v>
      </c>
      <c r="Y913" s="3">
        <f t="shared" si="31"/>
        <v>0</v>
      </c>
      <c r="Z913" s="25">
        <f t="shared" si="97"/>
        <v>0</v>
      </c>
      <c r="AA913" s="26">
        <f>VLOOKUP(S913,CPI!$A$2:$E$67,5,0)</f>
        <v>1.285570233</v>
      </c>
      <c r="AB913" s="27">
        <f t="shared" si="8"/>
        <v>5972.769589</v>
      </c>
      <c r="AC913" s="27">
        <f t="shared" si="9"/>
        <v>387.8421811</v>
      </c>
    </row>
    <row r="914">
      <c r="A914" s="61">
        <v>9812.0</v>
      </c>
      <c r="B914" s="26" t="s">
        <v>1812</v>
      </c>
      <c r="C914" s="26" t="s">
        <v>1824</v>
      </c>
      <c r="D914" s="1" t="s">
        <v>1828</v>
      </c>
      <c r="E914" s="26" t="s">
        <v>1835</v>
      </c>
      <c r="F914" s="25">
        <v>2016.0</v>
      </c>
      <c r="G914" s="25">
        <v>2022.0</v>
      </c>
      <c r="H914" s="25">
        <v>0.0</v>
      </c>
      <c r="I914" s="25">
        <v>1.4</v>
      </c>
      <c r="J914" s="50">
        <v>1.0</v>
      </c>
      <c r="K914" s="25">
        <v>1.4</v>
      </c>
      <c r="L914" s="51">
        <v>0.0</v>
      </c>
      <c r="M914" s="51">
        <v>0.0</v>
      </c>
      <c r="N914" s="25">
        <v>1.0</v>
      </c>
      <c r="O914" s="25"/>
      <c r="P914" s="26" t="s">
        <v>60</v>
      </c>
      <c r="Q914" s="52">
        <v>9000.0</v>
      </c>
      <c r="R914" s="26" t="s">
        <v>1815</v>
      </c>
      <c r="S914" s="25">
        <v>2019.0</v>
      </c>
      <c r="T914" s="25">
        <v>0.0664</v>
      </c>
      <c r="U914" s="25">
        <f t="shared" si="91"/>
        <v>597.6</v>
      </c>
      <c r="V914" s="24">
        <f t="shared" si="3"/>
        <v>426.8571429</v>
      </c>
      <c r="W914" s="3">
        <f t="shared" si="29"/>
        <v>0</v>
      </c>
      <c r="X914" s="3">
        <f t="shared" si="30"/>
        <v>0</v>
      </c>
      <c r="Y914" s="3">
        <f t="shared" si="31"/>
        <v>0</v>
      </c>
      <c r="Z914" s="25">
        <f t="shared" si="97"/>
        <v>0</v>
      </c>
      <c r="AA914" s="26">
        <f>VLOOKUP(S914,CPI!$A$2:$E$67,5,0)</f>
        <v>1.191839066</v>
      </c>
      <c r="AB914" s="27">
        <f t="shared" si="8"/>
        <v>712.2430256</v>
      </c>
      <c r="AC914" s="27">
        <f t="shared" si="9"/>
        <v>508.7450183</v>
      </c>
    </row>
    <row r="915">
      <c r="A915" s="38">
        <v>7568.0</v>
      </c>
      <c r="B915" s="26" t="s">
        <v>1812</v>
      </c>
      <c r="C915" s="26" t="s">
        <v>1824</v>
      </c>
      <c r="D915" s="26" t="s">
        <v>1837</v>
      </c>
      <c r="E915" s="26" t="s">
        <v>1837</v>
      </c>
      <c r="F915" s="25">
        <v>2016.0</v>
      </c>
      <c r="G915" s="25">
        <v>2023.0</v>
      </c>
      <c r="H915" s="25">
        <v>0.0</v>
      </c>
      <c r="I915" s="25">
        <v>14.29</v>
      </c>
      <c r="J915" s="50">
        <v>0.0</v>
      </c>
      <c r="K915" s="25">
        <v>0.0</v>
      </c>
      <c r="L915" s="51">
        <v>0.0</v>
      </c>
      <c r="M915" s="51">
        <v>0.0</v>
      </c>
      <c r="N915" s="25">
        <v>12.0</v>
      </c>
      <c r="O915" s="25"/>
      <c r="P915" s="26" t="s">
        <v>60</v>
      </c>
      <c r="Q915" s="52">
        <v>50200.0</v>
      </c>
      <c r="R915" s="26" t="s">
        <v>1815</v>
      </c>
      <c r="S915" s="25">
        <v>2019.0</v>
      </c>
      <c r="T915" s="25">
        <v>0.0664</v>
      </c>
      <c r="U915" s="25">
        <f t="shared" si="91"/>
        <v>3333.28</v>
      </c>
      <c r="V915" s="24">
        <f t="shared" si="3"/>
        <v>233.2596221</v>
      </c>
      <c r="W915" s="3">
        <f t="shared" si="29"/>
        <v>0</v>
      </c>
      <c r="X915" s="3">
        <f t="shared" si="30"/>
        <v>0</v>
      </c>
      <c r="Y915" s="3">
        <f t="shared" si="31"/>
        <v>0</v>
      </c>
      <c r="Z915" s="25">
        <f t="shared" si="97"/>
        <v>0</v>
      </c>
      <c r="AA915" s="26">
        <f>VLOOKUP(S915,CPI!$A$2:$E$67,5,0)</f>
        <v>1.191839066</v>
      </c>
      <c r="AB915" s="27">
        <f t="shared" si="8"/>
        <v>3972.733321</v>
      </c>
      <c r="AC915" s="27">
        <f t="shared" si="9"/>
        <v>278.0079301</v>
      </c>
    </row>
    <row r="916">
      <c r="A916" s="38">
        <v>7569.0</v>
      </c>
      <c r="B916" s="26" t="s">
        <v>1812</v>
      </c>
      <c r="C916" s="26" t="s">
        <v>1824</v>
      </c>
      <c r="D916" s="26" t="s">
        <v>1839</v>
      </c>
      <c r="E916" s="26" t="s">
        <v>1839</v>
      </c>
      <c r="F916" s="25">
        <v>2014.0</v>
      </c>
      <c r="G916" s="25">
        <v>2024.0</v>
      </c>
      <c r="H916" s="25">
        <v>0.0</v>
      </c>
      <c r="I916" s="25">
        <v>14.0</v>
      </c>
      <c r="J916" s="50">
        <v>0.0</v>
      </c>
      <c r="K916" s="25">
        <v>0.0</v>
      </c>
      <c r="L916" s="51">
        <v>0.0</v>
      </c>
      <c r="M916" s="51">
        <v>0.0</v>
      </c>
      <c r="N916" s="25">
        <v>20.0</v>
      </c>
      <c r="O916" s="25"/>
      <c r="P916" s="26" t="s">
        <v>74</v>
      </c>
      <c r="Q916" s="52">
        <v>15300.0</v>
      </c>
      <c r="R916" s="26" t="s">
        <v>1815</v>
      </c>
      <c r="S916" s="25">
        <v>2016.0</v>
      </c>
      <c r="T916" s="25">
        <v>0.0664</v>
      </c>
      <c r="U916" s="25">
        <f t="shared" si="91"/>
        <v>1015.92</v>
      </c>
      <c r="V916" s="24">
        <f t="shared" si="3"/>
        <v>72.56571429</v>
      </c>
      <c r="W916" s="3">
        <f t="shared" si="29"/>
        <v>0</v>
      </c>
      <c r="X916" s="3">
        <f t="shared" si="30"/>
        <v>0</v>
      </c>
      <c r="Y916" s="3">
        <f t="shared" si="31"/>
        <v>0</v>
      </c>
      <c r="Z916" s="25">
        <f t="shared" si="97"/>
        <v>0</v>
      </c>
      <c r="AA916" s="26">
        <f>VLOOKUP(S916,CPI!$A$2:$E$67,5,0)</f>
        <v>1.269554638</v>
      </c>
      <c r="AB916" s="27">
        <f t="shared" si="8"/>
        <v>1289.765948</v>
      </c>
      <c r="AC916" s="27">
        <f t="shared" si="9"/>
        <v>92.12613913</v>
      </c>
    </row>
    <row r="917">
      <c r="A917" s="38">
        <v>7576.0</v>
      </c>
      <c r="B917" s="26" t="s">
        <v>1812</v>
      </c>
      <c r="C917" s="26" t="s">
        <v>1824</v>
      </c>
      <c r="D917" s="26" t="s">
        <v>1841</v>
      </c>
      <c r="E917" s="26" t="s">
        <v>1841</v>
      </c>
      <c r="F917" s="25">
        <v>2019.0</v>
      </c>
      <c r="G917" s="25">
        <v>2026.0</v>
      </c>
      <c r="H917" s="25">
        <v>0.0</v>
      </c>
      <c r="I917" s="25">
        <v>27.8</v>
      </c>
      <c r="J917" s="50">
        <v>0.45</v>
      </c>
      <c r="K917" s="25">
        <v>12.5</v>
      </c>
      <c r="L917" s="51">
        <v>0.0</v>
      </c>
      <c r="M917" s="51">
        <v>0.0</v>
      </c>
      <c r="N917" s="25">
        <v>21.0</v>
      </c>
      <c r="O917" s="25"/>
      <c r="P917" s="26" t="s">
        <v>42</v>
      </c>
      <c r="Q917" s="52">
        <v>98264.0</v>
      </c>
      <c r="R917" s="26" t="s">
        <v>1815</v>
      </c>
      <c r="S917" s="25">
        <v>2022.0</v>
      </c>
      <c r="T917" s="25">
        <v>0.0664</v>
      </c>
      <c r="U917" s="25">
        <f t="shared" si="91"/>
        <v>6524.7296</v>
      </c>
      <c r="V917" s="24">
        <f t="shared" si="3"/>
        <v>234.7025036</v>
      </c>
      <c r="W917" s="3">
        <f t="shared" si="29"/>
        <v>0</v>
      </c>
      <c r="X917" s="3">
        <f t="shared" si="30"/>
        <v>0</v>
      </c>
      <c r="Y917" s="3">
        <f t="shared" si="31"/>
        <v>0</v>
      </c>
      <c r="Z917" s="25">
        <f t="shared" si="97"/>
        <v>0</v>
      </c>
      <c r="AA917" s="26">
        <f>VLOOKUP(S917,CPI!$A$2:$E$67,5,0)</f>
        <v>1.041164511</v>
      </c>
      <c r="AB917" s="27">
        <f t="shared" si="8"/>
        <v>6793.316904</v>
      </c>
      <c r="AC917" s="27">
        <f t="shared" si="9"/>
        <v>244.3639174</v>
      </c>
    </row>
    <row r="918">
      <c r="A918" s="38">
        <v>7232.0</v>
      </c>
      <c r="B918" s="26" t="s">
        <v>1812</v>
      </c>
      <c r="C918" s="26" t="s">
        <v>1824</v>
      </c>
      <c r="D918" s="16" t="s">
        <v>1843</v>
      </c>
      <c r="E918" s="26" t="s">
        <v>1844</v>
      </c>
      <c r="F918" s="25">
        <v>2021.0</v>
      </c>
      <c r="G918" s="25">
        <v>2028.0</v>
      </c>
      <c r="H918" s="25">
        <v>0.0</v>
      </c>
      <c r="I918" s="25">
        <v>13.3</v>
      </c>
      <c r="J918" s="50">
        <f>K918/I918</f>
        <v>0.2105263158</v>
      </c>
      <c r="K918" s="25">
        <v>2.8</v>
      </c>
      <c r="L918" s="51">
        <v>0.0</v>
      </c>
      <c r="M918" s="51">
        <v>0.0</v>
      </c>
      <c r="N918" s="25">
        <v>13.0</v>
      </c>
      <c r="O918" s="25"/>
      <c r="P918" s="26" t="s">
        <v>42</v>
      </c>
      <c r="Q918" s="52">
        <v>55530.0</v>
      </c>
      <c r="R918" s="26" t="s">
        <v>1815</v>
      </c>
      <c r="S918" s="25">
        <v>2018.0</v>
      </c>
      <c r="T918" s="25">
        <v>0.068</v>
      </c>
      <c r="U918" s="25">
        <f t="shared" si="91"/>
        <v>3776.04</v>
      </c>
      <c r="V918" s="24">
        <f t="shared" si="3"/>
        <v>283.912782</v>
      </c>
      <c r="W918" s="3">
        <f t="shared" si="29"/>
        <v>0</v>
      </c>
      <c r="X918" s="3">
        <f t="shared" si="30"/>
        <v>0</v>
      </c>
      <c r="Y918" s="3">
        <f t="shared" si="31"/>
        <v>0</v>
      </c>
      <c r="Z918" s="25">
        <f t="shared" si="97"/>
        <v>0</v>
      </c>
      <c r="AA918" s="26">
        <f>VLOOKUP(S918,CPI!$A$2:$E$67,5,0)</f>
        <v>1.21343491</v>
      </c>
      <c r="AB918" s="27">
        <f t="shared" si="8"/>
        <v>4581.978758</v>
      </c>
      <c r="AC918" s="27">
        <f t="shared" si="9"/>
        <v>344.5096811</v>
      </c>
    </row>
    <row r="919">
      <c r="A919" s="38">
        <v>7578.0</v>
      </c>
      <c r="B919" s="26" t="s">
        <v>1812</v>
      </c>
      <c r="C919" s="26" t="s">
        <v>1824</v>
      </c>
      <c r="D919" s="26" t="s">
        <v>1846</v>
      </c>
      <c r="E919" s="26" t="s">
        <v>1846</v>
      </c>
      <c r="F919" s="25">
        <v>2019.0</v>
      </c>
      <c r="G919" s="25">
        <v>2030.0</v>
      </c>
      <c r="H919" s="25">
        <v>1.0</v>
      </c>
      <c r="I919" s="25">
        <v>17.9</v>
      </c>
      <c r="J919" s="50">
        <v>1.0</v>
      </c>
      <c r="K919" s="25">
        <v>17.9</v>
      </c>
      <c r="L919" s="51">
        <v>0.0</v>
      </c>
      <c r="M919" s="51">
        <v>0.0</v>
      </c>
      <c r="N919" s="25">
        <v>8.0</v>
      </c>
      <c r="O919" s="25"/>
      <c r="P919" s="26" t="s">
        <v>74</v>
      </c>
      <c r="Q919" s="52">
        <v>105600.0</v>
      </c>
      <c r="R919" s="26" t="s">
        <v>1815</v>
      </c>
      <c r="S919" s="25">
        <v>2024.0</v>
      </c>
      <c r="T919" s="25">
        <v>0.0664</v>
      </c>
      <c r="U919" s="25">
        <f t="shared" si="91"/>
        <v>7011.84</v>
      </c>
      <c r="V919" s="24">
        <f t="shared" si="3"/>
        <v>391.722905</v>
      </c>
      <c r="W919" s="3">
        <f t="shared" si="29"/>
        <v>0</v>
      </c>
      <c r="X919" s="3">
        <f t="shared" si="30"/>
        <v>0</v>
      </c>
      <c r="Y919" s="3">
        <f t="shared" si="31"/>
        <v>0</v>
      </c>
      <c r="Z919" s="25">
        <f t="shared" si="97"/>
        <v>0</v>
      </c>
      <c r="AA919" s="26">
        <f>VLOOKUP(S919,CPI!$A$2:$E$67,5,0)</f>
        <v>1</v>
      </c>
      <c r="AB919" s="27">
        <f t="shared" si="8"/>
        <v>7011.84</v>
      </c>
      <c r="AC919" s="27">
        <f t="shared" si="9"/>
        <v>391.722905</v>
      </c>
    </row>
    <row r="920">
      <c r="A920" s="243">
        <v>11262.0</v>
      </c>
      <c r="B920" s="142" t="s">
        <v>1812</v>
      </c>
      <c r="C920" s="142" t="s">
        <v>1824</v>
      </c>
      <c r="D920" s="142" t="s">
        <v>1848</v>
      </c>
      <c r="E920" s="142" t="s">
        <v>1848</v>
      </c>
      <c r="F920" s="152">
        <v>2023.0</v>
      </c>
      <c r="G920" s="152">
        <v>2032.0</v>
      </c>
      <c r="H920" s="152">
        <v>0.0</v>
      </c>
      <c r="I920" s="152">
        <v>16.0</v>
      </c>
      <c r="J920" s="244">
        <v>0.1</v>
      </c>
      <c r="K920" s="152">
        <v>1.6</v>
      </c>
      <c r="L920" s="152">
        <v>12.8</v>
      </c>
      <c r="M920" s="152">
        <v>1.6</v>
      </c>
      <c r="N920" s="152">
        <v>13.0</v>
      </c>
      <c r="O920" s="152"/>
      <c r="P920" s="142" t="s">
        <v>42</v>
      </c>
      <c r="Q920" s="245">
        <v>42500.0</v>
      </c>
      <c r="R920" s="142" t="s">
        <v>1815</v>
      </c>
      <c r="S920" s="152">
        <v>2027.0</v>
      </c>
      <c r="T920" s="152">
        <v>0.0664</v>
      </c>
      <c r="U920" s="75">
        <f t="shared" si="91"/>
        <v>2822</v>
      </c>
      <c r="V920" s="24">
        <f t="shared" si="3"/>
        <v>176.375</v>
      </c>
      <c r="W920" s="3">
        <f t="shared" si="29"/>
        <v>0</v>
      </c>
      <c r="X920" s="3">
        <f t="shared" si="30"/>
        <v>0</v>
      </c>
      <c r="Y920" s="3">
        <f t="shared" si="31"/>
        <v>0</v>
      </c>
      <c r="Z920" s="25">
        <f t="shared" si="97"/>
        <v>0</v>
      </c>
      <c r="AA920" s="26">
        <f>VLOOKUP(S920,CPI!$A$2:$E$67,5,0)</f>
        <v>1</v>
      </c>
      <c r="AB920" s="27">
        <f t="shared" si="8"/>
        <v>2822</v>
      </c>
      <c r="AC920" s="27">
        <f t="shared" si="9"/>
        <v>176.375</v>
      </c>
    </row>
    <row r="921">
      <c r="A921" s="38">
        <v>7577.0</v>
      </c>
      <c r="B921" s="26" t="s">
        <v>1812</v>
      </c>
      <c r="C921" s="26" t="s">
        <v>1824</v>
      </c>
      <c r="D921" s="26" t="s">
        <v>1850</v>
      </c>
      <c r="E921" s="26" t="s">
        <v>1850</v>
      </c>
      <c r="F921" s="25">
        <v>2019.0</v>
      </c>
      <c r="G921" s="25"/>
      <c r="H921" s="25">
        <v>0.0</v>
      </c>
      <c r="I921" s="25">
        <v>11.5</v>
      </c>
      <c r="J921" s="50">
        <v>0.0</v>
      </c>
      <c r="K921" s="25">
        <v>0.0</v>
      </c>
      <c r="L921" s="51">
        <v>0.0</v>
      </c>
      <c r="M921" s="51">
        <v>0.0</v>
      </c>
      <c r="N921" s="25">
        <v>8.0</v>
      </c>
      <c r="O921" s="25"/>
      <c r="P921" s="26" t="s">
        <v>60</v>
      </c>
      <c r="Q921" s="52">
        <v>19558.0</v>
      </c>
      <c r="R921" s="26" t="s">
        <v>1815</v>
      </c>
      <c r="S921" s="25">
        <v>2020.0</v>
      </c>
      <c r="T921" s="25">
        <v>0.0664</v>
      </c>
      <c r="U921" s="25">
        <f t="shared" si="91"/>
        <v>1298.6512</v>
      </c>
      <c r="V921" s="24">
        <f t="shared" si="3"/>
        <v>112.9261913</v>
      </c>
      <c r="W921" s="3">
        <f t="shared" si="29"/>
        <v>0</v>
      </c>
      <c r="X921" s="3">
        <f t="shared" si="30"/>
        <v>0</v>
      </c>
      <c r="Y921" s="3">
        <f t="shared" si="31"/>
        <v>0</v>
      </c>
      <c r="Z921" s="25">
        <f t="shared" si="97"/>
        <v>0</v>
      </c>
      <c r="AA921" s="26">
        <f>VLOOKUP(S921,CPI!$A$2:$E$67,5,0)</f>
        <v>1.17731472</v>
      </c>
      <c r="AB921" s="27">
        <f t="shared" si="8"/>
        <v>1528.921174</v>
      </c>
      <c r="AC921" s="27">
        <f t="shared" si="9"/>
        <v>132.9496673</v>
      </c>
    </row>
    <row r="922">
      <c r="A922" s="38">
        <v>7563.0</v>
      </c>
      <c r="B922" s="26" t="s">
        <v>1852</v>
      </c>
      <c r="C922" s="26" t="s">
        <v>1853</v>
      </c>
      <c r="D922" s="1" t="s">
        <v>856</v>
      </c>
      <c r="E922" s="26" t="s">
        <v>1854</v>
      </c>
      <c r="F922" s="25">
        <v>2018.0</v>
      </c>
      <c r="G922" s="25">
        <v>2024.0</v>
      </c>
      <c r="H922" s="25">
        <v>0.0</v>
      </c>
      <c r="I922" s="25">
        <v>3.5</v>
      </c>
      <c r="J922" s="50">
        <v>1.0</v>
      </c>
      <c r="K922" s="25">
        <v>3.5</v>
      </c>
      <c r="L922" s="51">
        <v>0.0</v>
      </c>
      <c r="M922" s="51">
        <v>0.0</v>
      </c>
      <c r="N922" s="25">
        <v>2.0</v>
      </c>
      <c r="O922" s="25"/>
      <c r="P922" s="26" t="s">
        <v>60</v>
      </c>
      <c r="Q922" s="52">
        <v>382.0</v>
      </c>
      <c r="R922" s="26" t="s">
        <v>52</v>
      </c>
      <c r="S922" s="25">
        <v>2021.0</v>
      </c>
      <c r="T922" s="25">
        <v>3.9</v>
      </c>
      <c r="U922" s="25">
        <f t="shared" si="91"/>
        <v>1489.8</v>
      </c>
      <c r="V922" s="24">
        <f t="shared" si="3"/>
        <v>425.6571429</v>
      </c>
      <c r="W922" s="3">
        <f t="shared" si="29"/>
        <v>0</v>
      </c>
      <c r="X922" s="3">
        <f t="shared" si="30"/>
        <v>0</v>
      </c>
      <c r="Y922" s="3">
        <f t="shared" si="31"/>
        <v>0</v>
      </c>
      <c r="Z922" s="25">
        <f t="shared" si="97"/>
        <v>0</v>
      </c>
      <c r="AA922" s="26">
        <f>VLOOKUP(S922,CPI!$A$2:$E$67,5,0)</f>
        <v>1.124486105</v>
      </c>
      <c r="AB922" s="27">
        <f t="shared" si="8"/>
        <v>1675.2594</v>
      </c>
      <c r="AC922" s="27">
        <f t="shared" si="9"/>
        <v>478.6455428</v>
      </c>
    </row>
    <row r="923">
      <c r="A923" s="38">
        <v>7561.0</v>
      </c>
      <c r="B923" s="363" t="s">
        <v>1852</v>
      </c>
      <c r="C923" s="363" t="s">
        <v>1856</v>
      </c>
      <c r="D923" s="1" t="s">
        <v>856</v>
      </c>
      <c r="E923" s="363" t="s">
        <v>1857</v>
      </c>
      <c r="F923" s="18">
        <v>2018.0</v>
      </c>
      <c r="G923" s="18">
        <v>2022.0</v>
      </c>
      <c r="H923" s="18">
        <v>0.0</v>
      </c>
      <c r="I923" s="18">
        <v>3.7</v>
      </c>
      <c r="J923" s="364">
        <v>1.0</v>
      </c>
      <c r="K923" s="18">
        <v>3.7</v>
      </c>
      <c r="L923" s="21">
        <v>0.0</v>
      </c>
      <c r="M923" s="21">
        <v>0.0</v>
      </c>
      <c r="N923" s="18">
        <v>2.0</v>
      </c>
      <c r="O923" s="18"/>
      <c r="P923" s="363" t="s">
        <v>60</v>
      </c>
      <c r="Q923" s="365">
        <v>5993.0</v>
      </c>
      <c r="R923" s="363" t="s">
        <v>1858</v>
      </c>
      <c r="S923" s="18">
        <v>2020.0</v>
      </c>
      <c r="T923" s="18">
        <v>0.121</v>
      </c>
      <c r="U923" s="18">
        <f t="shared" si="91"/>
        <v>725.153</v>
      </c>
      <c r="V923" s="24">
        <f t="shared" si="3"/>
        <v>195.9872973</v>
      </c>
      <c r="W923" s="3">
        <f t="shared" si="29"/>
        <v>0</v>
      </c>
      <c r="X923" s="3">
        <f t="shared" si="30"/>
        <v>0</v>
      </c>
      <c r="Y923" s="3">
        <f t="shared" si="31"/>
        <v>0</v>
      </c>
      <c r="Z923" s="25">
        <f t="shared" si="97"/>
        <v>0</v>
      </c>
      <c r="AA923" s="26">
        <f>VLOOKUP(S923,CPI!$A$2:$E$67,5,0)</f>
        <v>1.17731472</v>
      </c>
      <c r="AB923" s="27">
        <f t="shared" si="8"/>
        <v>853.7333012</v>
      </c>
      <c r="AC923" s="27">
        <f t="shared" si="9"/>
        <v>230.73873</v>
      </c>
    </row>
    <row r="924">
      <c r="A924" s="38">
        <v>7562.0</v>
      </c>
      <c r="B924" s="2" t="s">
        <v>1852</v>
      </c>
      <c r="C924" s="2" t="s">
        <v>1856</v>
      </c>
      <c r="D924" s="1" t="s">
        <v>1764</v>
      </c>
      <c r="E924" s="2" t="s">
        <v>1764</v>
      </c>
      <c r="F924" s="3">
        <v>2021.0</v>
      </c>
      <c r="G924" s="3">
        <v>2026.0</v>
      </c>
      <c r="H924" s="3">
        <v>0.0</v>
      </c>
      <c r="I924" s="3">
        <v>20.0</v>
      </c>
      <c r="J924" s="39">
        <v>0.65</v>
      </c>
      <c r="K924" s="3">
        <v>13.0</v>
      </c>
      <c r="L924" s="40">
        <v>0.0</v>
      </c>
      <c r="M924" s="40">
        <v>0.0</v>
      </c>
      <c r="N924" s="3">
        <v>13.0</v>
      </c>
      <c r="O924" s="3"/>
      <c r="P924" s="2" t="s">
        <v>36</v>
      </c>
      <c r="Q924" s="41">
        <v>2000.0</v>
      </c>
      <c r="R924" s="2" t="s">
        <v>37</v>
      </c>
      <c r="S924" s="3">
        <v>2023.0</v>
      </c>
      <c r="T924" s="3">
        <v>3.0</v>
      </c>
      <c r="U924" s="3">
        <f t="shared" si="91"/>
        <v>6000</v>
      </c>
      <c r="V924" s="24">
        <f t="shared" si="3"/>
        <v>300</v>
      </c>
      <c r="W924" s="3">
        <f t="shared" si="29"/>
        <v>0</v>
      </c>
      <c r="X924" s="3">
        <f t="shared" si="30"/>
        <v>0</v>
      </c>
      <c r="Y924" s="3">
        <f t="shared" si="31"/>
        <v>0</v>
      </c>
      <c r="Z924" s="25">
        <f t="shared" si="97"/>
        <v>0</v>
      </c>
      <c r="AA924" s="26">
        <f>VLOOKUP(S924,CPI!$A$2:$E$67,5,0)</f>
        <v>1</v>
      </c>
      <c r="AB924" s="27">
        <f t="shared" si="8"/>
        <v>6000</v>
      </c>
      <c r="AC924" s="27">
        <f t="shared" si="9"/>
        <v>300</v>
      </c>
    </row>
    <row r="925">
      <c r="A925" s="38">
        <v>7336.0</v>
      </c>
      <c r="B925" s="26" t="s">
        <v>1861</v>
      </c>
      <c r="C925" s="26" t="s">
        <v>1862</v>
      </c>
      <c r="D925" s="1" t="s">
        <v>1863</v>
      </c>
      <c r="E925" s="26" t="s">
        <v>1864</v>
      </c>
      <c r="F925" s="25">
        <v>1993.0</v>
      </c>
      <c r="G925" s="25">
        <v>1999.0</v>
      </c>
      <c r="H925" s="25">
        <v>0.0</v>
      </c>
      <c r="I925" s="25">
        <v>16.0</v>
      </c>
      <c r="J925" s="50">
        <v>0.8</v>
      </c>
      <c r="K925" s="25">
        <v>12.8</v>
      </c>
      <c r="L925" s="51">
        <v>0.0</v>
      </c>
      <c r="M925" s="51">
        <v>0.0</v>
      </c>
      <c r="N925" s="58">
        <v>11.0</v>
      </c>
      <c r="O925" s="58">
        <v>125.0</v>
      </c>
      <c r="P925" s="26" t="s">
        <v>74</v>
      </c>
      <c r="Q925" s="55">
        <v>3132.0</v>
      </c>
      <c r="R925" s="26" t="s">
        <v>1865</v>
      </c>
      <c r="S925" s="25">
        <v>1996.0</v>
      </c>
      <c r="T925" s="25">
        <v>1.4</v>
      </c>
      <c r="U925" s="25">
        <f t="shared" si="91"/>
        <v>4384.8</v>
      </c>
      <c r="V925" s="24">
        <f t="shared" si="3"/>
        <v>274.05</v>
      </c>
      <c r="W925" s="3">
        <f t="shared" si="29"/>
        <v>0</v>
      </c>
      <c r="X925" s="3">
        <f t="shared" si="30"/>
        <v>0</v>
      </c>
      <c r="Y925" s="3">
        <f t="shared" si="31"/>
        <v>0</v>
      </c>
      <c r="Z925" s="25">
        <f t="shared" si="97"/>
        <v>1</v>
      </c>
      <c r="AA925" s="26">
        <f>VLOOKUP(S925,CPI!$A$2:$E$67,5,0)</f>
        <v>1.942014022</v>
      </c>
      <c r="AB925" s="27">
        <f t="shared" si="8"/>
        <v>8515.343082</v>
      </c>
      <c r="AC925" s="27">
        <f t="shared" si="9"/>
        <v>532.2089426</v>
      </c>
    </row>
    <row r="926">
      <c r="A926" s="38">
        <v>7417.0</v>
      </c>
      <c r="B926" s="2" t="s">
        <v>1861</v>
      </c>
      <c r="C926" s="2" t="s">
        <v>1862</v>
      </c>
      <c r="D926" s="2" t="s">
        <v>1867</v>
      </c>
      <c r="E926" s="2" t="s">
        <v>1867</v>
      </c>
      <c r="F926" s="3">
        <v>2009.0</v>
      </c>
      <c r="G926" s="85">
        <v>2022.0</v>
      </c>
      <c r="H926" s="3">
        <v>1.0</v>
      </c>
      <c r="I926" s="3">
        <v>21.0</v>
      </c>
      <c r="J926" s="39">
        <v>1.0</v>
      </c>
      <c r="K926" s="3">
        <v>21.0</v>
      </c>
      <c r="L926" s="40">
        <v>0.0</v>
      </c>
      <c r="M926" s="40">
        <v>0.0</v>
      </c>
      <c r="N926" s="3">
        <v>8.0</v>
      </c>
      <c r="O926" s="3"/>
      <c r="P926" s="2" t="s">
        <v>59</v>
      </c>
      <c r="Q926" s="41">
        <v>13328.0</v>
      </c>
      <c r="R926" s="2" t="s">
        <v>1865</v>
      </c>
      <c r="S926" s="3">
        <v>2015.0</v>
      </c>
      <c r="T926" s="3">
        <v>1.4</v>
      </c>
      <c r="U926" s="3">
        <f t="shared" si="91"/>
        <v>18659.2</v>
      </c>
      <c r="V926" s="24">
        <f t="shared" si="3"/>
        <v>888.5333333</v>
      </c>
      <c r="W926" s="3">
        <f t="shared" si="29"/>
        <v>0</v>
      </c>
      <c r="X926" s="3">
        <f t="shared" si="30"/>
        <v>0</v>
      </c>
      <c r="Y926" s="3">
        <f t="shared" si="31"/>
        <v>0</v>
      </c>
      <c r="Z926" s="25">
        <f t="shared" si="97"/>
        <v>1</v>
      </c>
      <c r="AA926" s="26">
        <f>VLOOKUP(S926,CPI!$A$2:$E$67,5,0)</f>
        <v>1.285570233</v>
      </c>
      <c r="AB926" s="27">
        <f t="shared" si="8"/>
        <v>23987.7121</v>
      </c>
      <c r="AC926" s="27">
        <f t="shared" si="9"/>
        <v>1142.272005</v>
      </c>
    </row>
    <row r="927">
      <c r="A927" s="38">
        <v>7226.0</v>
      </c>
      <c r="B927" s="26" t="s">
        <v>1861</v>
      </c>
      <c r="C927" s="26" t="s">
        <v>1862</v>
      </c>
      <c r="D927" s="16" t="s">
        <v>1869</v>
      </c>
      <c r="E927" s="26" t="s">
        <v>1870</v>
      </c>
      <c r="F927" s="25">
        <v>2015.0</v>
      </c>
      <c r="G927" s="25">
        <v>2021.0</v>
      </c>
      <c r="H927" s="25">
        <v>0.0</v>
      </c>
      <c r="I927" s="25">
        <v>3.2</v>
      </c>
      <c r="J927" s="50">
        <v>1.0</v>
      </c>
      <c r="K927" s="25">
        <v>3.2</v>
      </c>
      <c r="L927" s="51">
        <v>0.0</v>
      </c>
      <c r="M927" s="51">
        <v>0.0</v>
      </c>
      <c r="N927" s="25">
        <v>2.0</v>
      </c>
      <c r="O927" s="58">
        <v>107.0</v>
      </c>
      <c r="P927" s="26" t="s">
        <v>42</v>
      </c>
      <c r="Q927" s="52">
        <v>1200.0</v>
      </c>
      <c r="R927" s="26" t="s">
        <v>1865</v>
      </c>
      <c r="S927" s="25">
        <v>2017.0</v>
      </c>
      <c r="T927" s="25">
        <v>1.47</v>
      </c>
      <c r="U927" s="25">
        <f t="shared" si="91"/>
        <v>1764</v>
      </c>
      <c r="V927" s="24">
        <f t="shared" si="3"/>
        <v>551.25</v>
      </c>
      <c r="W927" s="3">
        <f t="shared" si="29"/>
        <v>0</v>
      </c>
      <c r="X927" s="3">
        <f t="shared" si="30"/>
        <v>0</v>
      </c>
      <c r="Y927" s="3">
        <f t="shared" si="31"/>
        <v>0</v>
      </c>
      <c r="Z927" s="25">
        <f t="shared" si="97"/>
        <v>1</v>
      </c>
      <c r="AA927" s="26">
        <f>VLOOKUP(S927,CPI!$A$2:$E$67,5,0)</f>
        <v>1.243072781</v>
      </c>
      <c r="AB927" s="27">
        <f t="shared" si="8"/>
        <v>2192.780385</v>
      </c>
      <c r="AC927" s="27">
        <f t="shared" si="9"/>
        <v>685.2438703</v>
      </c>
    </row>
    <row r="928">
      <c r="A928" s="38">
        <v>7161.0</v>
      </c>
      <c r="B928" s="34" t="s">
        <v>1872</v>
      </c>
      <c r="C928" s="34" t="s">
        <v>1873</v>
      </c>
      <c r="D928" s="367" t="s">
        <v>127</v>
      </c>
      <c r="E928" s="34" t="s">
        <v>1874</v>
      </c>
      <c r="F928" s="34">
        <v>2013.0</v>
      </c>
      <c r="G928" s="367">
        <v>2022.0</v>
      </c>
      <c r="H928" s="34">
        <v>0.0</v>
      </c>
      <c r="I928" s="34">
        <v>7.6</v>
      </c>
      <c r="J928" s="368">
        <v>0.0</v>
      </c>
      <c r="K928" s="34">
        <v>0.0</v>
      </c>
      <c r="L928" s="369">
        <v>0.78</v>
      </c>
      <c r="M928" s="369">
        <v>6.82</v>
      </c>
      <c r="N928" s="34">
        <v>7.0</v>
      </c>
      <c r="O928" s="25"/>
      <c r="P928" s="34" t="s">
        <v>60</v>
      </c>
      <c r="Q928" s="370">
        <v>2289.0</v>
      </c>
      <c r="R928" s="34" t="s">
        <v>37</v>
      </c>
      <c r="S928" s="34">
        <v>2020.0</v>
      </c>
      <c r="T928" s="34">
        <v>1.0</v>
      </c>
      <c r="U928" s="25">
        <f t="shared" si="91"/>
        <v>2289</v>
      </c>
      <c r="V928" s="24">
        <f t="shared" si="3"/>
        <v>301.1842105</v>
      </c>
      <c r="W928" s="3">
        <f t="shared" si="29"/>
        <v>0</v>
      </c>
      <c r="X928" s="3">
        <f t="shared" si="30"/>
        <v>0</v>
      </c>
      <c r="Y928" s="3">
        <f t="shared" si="31"/>
        <v>0</v>
      </c>
      <c r="Z928" s="25">
        <f t="shared" si="97"/>
        <v>1</v>
      </c>
      <c r="AA928" s="26">
        <f>VLOOKUP(S928,CPI!$A$2:$E$67,5,0)</f>
        <v>1.17731472</v>
      </c>
      <c r="AB928" s="27">
        <f t="shared" si="8"/>
        <v>2694.873394</v>
      </c>
      <c r="AC928" s="27">
        <f t="shared" si="9"/>
        <v>354.5886045</v>
      </c>
    </row>
    <row r="929">
      <c r="A929" s="7"/>
      <c r="B929" s="115" t="s">
        <v>1872</v>
      </c>
      <c r="C929" s="115" t="s">
        <v>1876</v>
      </c>
      <c r="D929" s="115" t="s">
        <v>1536</v>
      </c>
      <c r="E929" s="115" t="s">
        <v>1536</v>
      </c>
      <c r="F929" s="82">
        <v>1987.0</v>
      </c>
      <c r="G929" s="115">
        <v>1993.0</v>
      </c>
      <c r="H929" s="82">
        <v>0.0</v>
      </c>
      <c r="I929" s="82">
        <v>14.4</v>
      </c>
      <c r="J929" s="247">
        <v>0.0</v>
      </c>
      <c r="K929" s="82">
        <v>0.0</v>
      </c>
      <c r="L929" s="115">
        <v>4.0</v>
      </c>
      <c r="M929" s="115">
        <v>10.4</v>
      </c>
      <c r="N929" s="82">
        <v>7.0</v>
      </c>
      <c r="O929" s="82">
        <v>120.0</v>
      </c>
      <c r="P929" s="115" t="s">
        <v>59</v>
      </c>
      <c r="Q929" s="248">
        <v>500.0</v>
      </c>
      <c r="R929" s="115" t="s">
        <v>37</v>
      </c>
      <c r="S929" s="115">
        <v>1990.0</v>
      </c>
      <c r="T929" s="115">
        <v>1.0</v>
      </c>
      <c r="U929" s="118">
        <f t="shared" si="91"/>
        <v>500</v>
      </c>
      <c r="V929" s="24">
        <f t="shared" si="3"/>
        <v>34.72222222</v>
      </c>
      <c r="W929" s="3">
        <f t="shared" si="29"/>
        <v>0</v>
      </c>
      <c r="X929" s="3">
        <f t="shared" si="30"/>
        <v>0</v>
      </c>
      <c r="Y929" s="3">
        <f t="shared" si="31"/>
        <v>0</v>
      </c>
      <c r="Z929" s="25">
        <f t="shared" si="97"/>
        <v>1</v>
      </c>
      <c r="AA929" s="26">
        <f>VLOOKUP(S929,CPI!$A$2:$E$67,5,0)</f>
        <v>2.33130834</v>
      </c>
      <c r="AB929" s="27">
        <f t="shared" si="8"/>
        <v>1165.65417</v>
      </c>
      <c r="AC929" s="27">
        <f t="shared" si="9"/>
        <v>80.94820624</v>
      </c>
    </row>
    <row r="930">
      <c r="A930" s="61">
        <v>9817.0</v>
      </c>
      <c r="B930" s="34" t="s">
        <v>1872</v>
      </c>
      <c r="C930" s="34" t="s">
        <v>1878</v>
      </c>
      <c r="D930" s="34" t="s">
        <v>1879</v>
      </c>
      <c r="E930" s="34" t="s">
        <v>1879</v>
      </c>
      <c r="F930" s="34">
        <v>2011.0</v>
      </c>
      <c r="G930" s="34">
        <v>2026.0</v>
      </c>
      <c r="H930" s="34">
        <v>0.0</v>
      </c>
      <c r="I930" s="34">
        <v>32.0</v>
      </c>
      <c r="J930" s="368">
        <v>0.0</v>
      </c>
      <c r="K930" s="34">
        <v>0.0</v>
      </c>
      <c r="L930" s="369">
        <v>0.0</v>
      </c>
      <c r="M930" s="369">
        <v>0.0</v>
      </c>
      <c r="N930" s="34">
        <v>21.0</v>
      </c>
      <c r="O930" s="25"/>
      <c r="P930" s="34" t="s">
        <v>36</v>
      </c>
      <c r="Q930" s="371">
        <v>11371.0</v>
      </c>
      <c r="R930" s="34" t="s">
        <v>37</v>
      </c>
      <c r="S930" s="367">
        <v>2018.0</v>
      </c>
      <c r="T930" s="34">
        <v>1.0</v>
      </c>
      <c r="U930" s="25">
        <f t="shared" si="91"/>
        <v>11371</v>
      </c>
      <c r="V930" s="24">
        <f t="shared" si="3"/>
        <v>355.34375</v>
      </c>
      <c r="W930" s="3">
        <f t="shared" si="29"/>
        <v>0</v>
      </c>
      <c r="X930" s="3">
        <f t="shared" si="30"/>
        <v>0</v>
      </c>
      <c r="Y930" s="3">
        <f t="shared" si="31"/>
        <v>0</v>
      </c>
      <c r="Z930" s="25">
        <f t="shared" si="97"/>
        <v>1</v>
      </c>
      <c r="AA930" s="26">
        <f>VLOOKUP(S930,CPI!$A$2:$E$67,5,0)</f>
        <v>1.21343491</v>
      </c>
      <c r="AB930" s="27">
        <f t="shared" si="8"/>
        <v>13797.96836</v>
      </c>
      <c r="AC930" s="27">
        <f t="shared" si="9"/>
        <v>431.1865114</v>
      </c>
    </row>
    <row r="931">
      <c r="A931" s="61">
        <v>9818.0</v>
      </c>
      <c r="B931" s="34" t="s">
        <v>1872</v>
      </c>
      <c r="C931" s="34" t="s">
        <v>1881</v>
      </c>
      <c r="D931" s="34" t="s">
        <v>1882</v>
      </c>
      <c r="E931" s="34" t="s">
        <v>1882</v>
      </c>
      <c r="F931" s="34">
        <v>2014.0</v>
      </c>
      <c r="G931" s="367">
        <v>2022.0</v>
      </c>
      <c r="H931" s="34">
        <v>0.0</v>
      </c>
      <c r="I931" s="34">
        <v>13.7</v>
      </c>
      <c r="J931" s="368">
        <v>0.34</v>
      </c>
      <c r="K931" s="34">
        <v>4.7</v>
      </c>
      <c r="L931" s="369">
        <v>0.0</v>
      </c>
      <c r="M931" s="369">
        <v>0.0</v>
      </c>
      <c r="N931" s="34">
        <v>9.0</v>
      </c>
      <c r="O931" s="25"/>
      <c r="P931" s="34" t="s">
        <v>74</v>
      </c>
      <c r="Q931" s="370">
        <v>2100.0</v>
      </c>
      <c r="R931" s="34" t="s">
        <v>37</v>
      </c>
      <c r="S931" s="34">
        <v>2017.0</v>
      </c>
      <c r="T931" s="34">
        <v>1.0</v>
      </c>
      <c r="U931" s="58">
        <v>2058.0</v>
      </c>
      <c r="V931" s="24">
        <f t="shared" si="3"/>
        <v>150.2189781</v>
      </c>
      <c r="W931" s="3">
        <f t="shared" si="29"/>
        <v>0</v>
      </c>
      <c r="X931" s="3">
        <f t="shared" si="30"/>
        <v>0</v>
      </c>
      <c r="Y931" s="3">
        <f t="shared" si="31"/>
        <v>0</v>
      </c>
      <c r="Z931" s="25">
        <f t="shared" si="97"/>
        <v>1</v>
      </c>
      <c r="AA931" s="26">
        <f>VLOOKUP(S931,CPI!$A$2:$E$67,5,0)</f>
        <v>1.243072781</v>
      </c>
      <c r="AB931" s="27">
        <f t="shared" si="8"/>
        <v>2558.243783</v>
      </c>
      <c r="AC931" s="27">
        <f t="shared" si="9"/>
        <v>186.7331228</v>
      </c>
    </row>
    <row r="932">
      <c r="A932" s="38">
        <v>7155.0</v>
      </c>
      <c r="B932" s="26" t="s">
        <v>1872</v>
      </c>
      <c r="C932" s="26" t="s">
        <v>1881</v>
      </c>
      <c r="D932" s="26" t="s">
        <v>1884</v>
      </c>
      <c r="E932" s="26" t="s">
        <v>1884</v>
      </c>
      <c r="F932" s="25">
        <v>2014.0</v>
      </c>
      <c r="G932" s="25">
        <v>2022.0</v>
      </c>
      <c r="H932" s="25">
        <v>0.0</v>
      </c>
      <c r="I932" s="25">
        <v>3.1</v>
      </c>
      <c r="J932" s="50">
        <v>1.0</v>
      </c>
      <c r="K932" s="25">
        <v>3.1</v>
      </c>
      <c r="L932" s="51">
        <v>0.0</v>
      </c>
      <c r="M932" s="51">
        <v>0.0</v>
      </c>
      <c r="N932" s="25">
        <v>3.0</v>
      </c>
      <c r="O932" s="25"/>
      <c r="P932" s="26" t="s">
        <v>60</v>
      </c>
      <c r="Q932" s="52">
        <v>1756.0</v>
      </c>
      <c r="R932" s="26" t="s">
        <v>37</v>
      </c>
      <c r="S932" s="25">
        <v>2018.0</v>
      </c>
      <c r="T932" s="25">
        <v>1.0</v>
      </c>
      <c r="U932" s="25">
        <f t="shared" ref="U932:U1008" si="100">Q932*T932</f>
        <v>1756</v>
      </c>
      <c r="V932" s="24">
        <f t="shared" si="3"/>
        <v>566.4516129</v>
      </c>
      <c r="W932" s="3">
        <f t="shared" si="29"/>
        <v>0</v>
      </c>
      <c r="X932" s="3">
        <f t="shared" si="30"/>
        <v>0</v>
      </c>
      <c r="Y932" s="3">
        <f t="shared" si="31"/>
        <v>0</v>
      </c>
      <c r="Z932" s="25">
        <f t="shared" si="97"/>
        <v>1</v>
      </c>
      <c r="AA932" s="26">
        <f>VLOOKUP(S932,CPI!$A$2:$E$67,5,0)</f>
        <v>1.21343491</v>
      </c>
      <c r="AB932" s="27">
        <f t="shared" si="8"/>
        <v>2130.791702</v>
      </c>
      <c r="AC932" s="27">
        <f t="shared" si="9"/>
        <v>687.352162</v>
      </c>
    </row>
    <row r="933">
      <c r="A933" s="38">
        <v>7154.0</v>
      </c>
      <c r="B933" s="26" t="s">
        <v>1872</v>
      </c>
      <c r="C933" s="26" t="s">
        <v>1881</v>
      </c>
      <c r="D933" s="1" t="s">
        <v>1886</v>
      </c>
      <c r="E933" s="26" t="s">
        <v>1887</v>
      </c>
      <c r="F933" s="25">
        <v>2014.0</v>
      </c>
      <c r="G933" s="58">
        <v>2024.0</v>
      </c>
      <c r="H933" s="25">
        <v>0.0</v>
      </c>
      <c r="I933" s="25">
        <v>6.3</v>
      </c>
      <c r="J933" s="50">
        <v>1.0</v>
      </c>
      <c r="K933" s="25">
        <v>6.3</v>
      </c>
      <c r="L933" s="51">
        <v>0.0</v>
      </c>
      <c r="M933" s="51">
        <v>0.0</v>
      </c>
      <c r="N933" s="25">
        <v>3.0</v>
      </c>
      <c r="O933" s="25"/>
      <c r="P933" s="26" t="s">
        <v>42</v>
      </c>
      <c r="Q933" s="52">
        <v>2800.0</v>
      </c>
      <c r="R933" s="26" t="s">
        <v>37</v>
      </c>
      <c r="S933" s="25">
        <v>2018.0</v>
      </c>
      <c r="T933" s="25">
        <v>1.0</v>
      </c>
      <c r="U933" s="25">
        <f t="shared" si="100"/>
        <v>2800</v>
      </c>
      <c r="V933" s="24">
        <f t="shared" si="3"/>
        <v>444.4444444</v>
      </c>
      <c r="W933" s="3">
        <f t="shared" si="29"/>
        <v>0</v>
      </c>
      <c r="X933" s="3">
        <f t="shared" si="30"/>
        <v>0</v>
      </c>
      <c r="Y933" s="374">
        <f t="shared" si="31"/>
        <v>0</v>
      </c>
      <c r="Z933" s="25">
        <f t="shared" si="97"/>
        <v>1</v>
      </c>
      <c r="AA933" s="26">
        <f>VLOOKUP(S933,CPI!$A$2:$E$67,5,0)</f>
        <v>1.21343491</v>
      </c>
      <c r="AB933" s="27">
        <f t="shared" si="8"/>
        <v>3397.617749</v>
      </c>
      <c r="AC933" s="27">
        <f t="shared" si="9"/>
        <v>539.3044045</v>
      </c>
    </row>
    <row r="934">
      <c r="A934" s="38">
        <v>7153.0</v>
      </c>
      <c r="B934" s="26" t="s">
        <v>1872</v>
      </c>
      <c r="C934" s="26" t="s">
        <v>1881</v>
      </c>
      <c r="D934" s="1" t="s">
        <v>1886</v>
      </c>
      <c r="E934" s="26" t="s">
        <v>1889</v>
      </c>
      <c r="F934" s="25">
        <v>2018.0</v>
      </c>
      <c r="G934" s="25">
        <v>2026.0</v>
      </c>
      <c r="H934" s="25">
        <v>0.0</v>
      </c>
      <c r="I934" s="25">
        <v>4.2</v>
      </c>
      <c r="J934" s="50">
        <v>1.0</v>
      </c>
      <c r="K934" s="25">
        <v>4.2</v>
      </c>
      <c r="L934" s="51">
        <v>0.0</v>
      </c>
      <c r="M934" s="51">
        <v>0.0</v>
      </c>
      <c r="N934" s="25">
        <v>2.0</v>
      </c>
      <c r="O934" s="25"/>
      <c r="P934" s="26" t="s">
        <v>36</v>
      </c>
      <c r="Q934" s="52">
        <v>2400.0</v>
      </c>
      <c r="R934" s="26" t="s">
        <v>37</v>
      </c>
      <c r="S934" s="25">
        <v>2021.0</v>
      </c>
      <c r="T934" s="25">
        <v>1.0</v>
      </c>
      <c r="U934" s="25">
        <f t="shared" si="100"/>
        <v>2400</v>
      </c>
      <c r="V934" s="24">
        <f t="shared" si="3"/>
        <v>571.4285714</v>
      </c>
      <c r="W934" s="3">
        <f t="shared" si="29"/>
        <v>0</v>
      </c>
      <c r="X934" s="3">
        <f t="shared" si="30"/>
        <v>0</v>
      </c>
      <c r="Y934" s="3">
        <f t="shared" si="31"/>
        <v>0</v>
      </c>
      <c r="Z934" s="25">
        <f t="shared" si="97"/>
        <v>1</v>
      </c>
      <c r="AA934" s="26">
        <f>VLOOKUP(S934,CPI!$A$2:$E$67,5,0)</f>
        <v>1.124486105</v>
      </c>
      <c r="AB934" s="27">
        <f t="shared" si="8"/>
        <v>2698.766653</v>
      </c>
      <c r="AC934" s="27">
        <f t="shared" si="9"/>
        <v>642.5634888</v>
      </c>
    </row>
    <row r="935">
      <c r="A935" s="38">
        <v>7152.0</v>
      </c>
      <c r="B935" s="26" t="s">
        <v>1872</v>
      </c>
      <c r="C935" s="26" t="s">
        <v>1881</v>
      </c>
      <c r="D935" s="1" t="s">
        <v>1886</v>
      </c>
      <c r="E935" s="26" t="s">
        <v>1891</v>
      </c>
      <c r="F935" s="25">
        <v>2020.0</v>
      </c>
      <c r="G935" s="25">
        <v>2027.0</v>
      </c>
      <c r="H935" s="25">
        <v>0.0</v>
      </c>
      <c r="I935" s="25">
        <v>4.2</v>
      </c>
      <c r="J935" s="50">
        <v>1.0</v>
      </c>
      <c r="K935" s="25">
        <v>4.2</v>
      </c>
      <c r="L935" s="51">
        <v>0.0</v>
      </c>
      <c r="M935" s="51">
        <v>0.0</v>
      </c>
      <c r="N935" s="25">
        <v>2.0</v>
      </c>
      <c r="O935" s="25"/>
      <c r="P935" s="26" t="s">
        <v>42</v>
      </c>
      <c r="Q935" s="52">
        <v>3600.0</v>
      </c>
      <c r="R935" s="26" t="s">
        <v>37</v>
      </c>
      <c r="S935" s="25">
        <v>2023.0</v>
      </c>
      <c r="T935" s="25">
        <v>1.0</v>
      </c>
      <c r="U935" s="25">
        <f t="shared" si="100"/>
        <v>3600</v>
      </c>
      <c r="V935" s="24">
        <f t="shared" si="3"/>
        <v>857.1428571</v>
      </c>
      <c r="W935" s="3">
        <f t="shared" si="29"/>
        <v>0</v>
      </c>
      <c r="X935" s="3">
        <f t="shared" si="30"/>
        <v>0</v>
      </c>
      <c r="Y935" s="3">
        <f t="shared" si="31"/>
        <v>0</v>
      </c>
      <c r="Z935" s="25">
        <f t="shared" si="97"/>
        <v>1</v>
      </c>
      <c r="AA935" s="26">
        <f>VLOOKUP(S935,CPI!$A$2:$E$67,5,0)</f>
        <v>1</v>
      </c>
      <c r="AB935" s="27">
        <f t="shared" si="8"/>
        <v>3600</v>
      </c>
      <c r="AC935" s="27">
        <f t="shared" si="9"/>
        <v>857.1428571</v>
      </c>
    </row>
    <row r="936">
      <c r="A936" s="61">
        <v>9819.0</v>
      </c>
      <c r="B936" s="26" t="s">
        <v>1872</v>
      </c>
      <c r="C936" s="26" t="s">
        <v>1893</v>
      </c>
      <c r="D936" s="26" t="s">
        <v>1894</v>
      </c>
      <c r="E936" s="26" t="s">
        <v>1894</v>
      </c>
      <c r="F936" s="25">
        <v>2009.0</v>
      </c>
      <c r="G936" s="25">
        <v>2012.0</v>
      </c>
      <c r="H936" s="25">
        <v>0.0</v>
      </c>
      <c r="I936" s="25">
        <v>3.9</v>
      </c>
      <c r="J936" s="50">
        <v>0.0</v>
      </c>
      <c r="K936" s="25">
        <v>0.0</v>
      </c>
      <c r="L936" s="58">
        <v>3.9</v>
      </c>
      <c r="M936" s="51">
        <v>0.0</v>
      </c>
      <c r="N936" s="25">
        <v>1.0</v>
      </c>
      <c r="O936" s="25"/>
      <c r="P936" s="26" t="s">
        <v>60</v>
      </c>
      <c r="Q936" s="52">
        <v>506.0</v>
      </c>
      <c r="R936" s="26" t="s">
        <v>37</v>
      </c>
      <c r="S936" s="25">
        <v>2010.0</v>
      </c>
      <c r="T936" s="25">
        <v>1.0</v>
      </c>
      <c r="U936" s="25">
        <f t="shared" si="100"/>
        <v>506</v>
      </c>
      <c r="V936" s="24">
        <f t="shared" si="3"/>
        <v>129.7435897</v>
      </c>
      <c r="W936" s="3">
        <f t="shared" si="29"/>
        <v>0</v>
      </c>
      <c r="X936" s="3">
        <f t="shared" si="30"/>
        <v>0</v>
      </c>
      <c r="Y936" s="3">
        <f t="shared" si="31"/>
        <v>0</v>
      </c>
      <c r="Z936" s="25">
        <f t="shared" si="97"/>
        <v>1</v>
      </c>
      <c r="AA936" s="26">
        <f>VLOOKUP(S936,CPI!$A$2:$E$67,5,0)</f>
        <v>1.397356642</v>
      </c>
      <c r="AB936" s="27">
        <f t="shared" si="8"/>
        <v>707.062461</v>
      </c>
      <c r="AC936" s="27">
        <f t="shared" si="9"/>
        <v>181.2980669</v>
      </c>
    </row>
    <row r="937">
      <c r="A937" s="38">
        <v>7408.0</v>
      </c>
      <c r="B937" s="26" t="s">
        <v>1872</v>
      </c>
      <c r="C937" s="26" t="s">
        <v>1896</v>
      </c>
      <c r="D937" s="1" t="s">
        <v>228</v>
      </c>
      <c r="E937" s="26" t="s">
        <v>1897</v>
      </c>
      <c r="F937" s="25">
        <v>2007.0</v>
      </c>
      <c r="G937" s="25">
        <v>2014.0</v>
      </c>
      <c r="H937" s="25">
        <v>0.0</v>
      </c>
      <c r="I937" s="25">
        <v>1.6</v>
      </c>
      <c r="J937" s="50">
        <v>1.0</v>
      </c>
      <c r="K937" s="25">
        <v>1.6</v>
      </c>
      <c r="L937" s="51">
        <v>0.0</v>
      </c>
      <c r="M937" s="51">
        <v>0.0</v>
      </c>
      <c r="N937" s="25">
        <v>1.0</v>
      </c>
      <c r="O937" s="25"/>
      <c r="P937" s="26" t="s">
        <v>59</v>
      </c>
      <c r="Q937" s="52">
        <v>2400.0</v>
      </c>
      <c r="R937" s="26" t="s">
        <v>37</v>
      </c>
      <c r="S937" s="58">
        <v>2010.0</v>
      </c>
      <c r="T937" s="25">
        <v>1.0</v>
      </c>
      <c r="U937" s="25">
        <f t="shared" si="100"/>
        <v>2400</v>
      </c>
      <c r="V937" s="24">
        <f t="shared" si="3"/>
        <v>1500</v>
      </c>
      <c r="W937" s="3">
        <f t="shared" si="29"/>
        <v>0</v>
      </c>
      <c r="X937" s="3">
        <f t="shared" si="30"/>
        <v>0</v>
      </c>
      <c r="Y937" s="3">
        <f t="shared" si="31"/>
        <v>0</v>
      </c>
      <c r="Z937" s="25">
        <f t="shared" si="97"/>
        <v>1</v>
      </c>
      <c r="AA937" s="26">
        <f>VLOOKUP(S937,CPI!$A$2:$E$67,5,0)</f>
        <v>1.397356642</v>
      </c>
      <c r="AB937" s="27">
        <f t="shared" si="8"/>
        <v>3353.655942</v>
      </c>
      <c r="AC937" s="27">
        <f t="shared" si="9"/>
        <v>2096.034963</v>
      </c>
    </row>
    <row r="938">
      <c r="A938" s="38">
        <v>7409.0</v>
      </c>
      <c r="B938" s="26" t="s">
        <v>1872</v>
      </c>
      <c r="C938" s="26" t="s">
        <v>1896</v>
      </c>
      <c r="D938" s="1" t="s">
        <v>1899</v>
      </c>
      <c r="E938" s="26" t="s">
        <v>1900</v>
      </c>
      <c r="F938" s="25">
        <v>2007.0</v>
      </c>
      <c r="G938" s="25">
        <v>2016.0</v>
      </c>
      <c r="H938" s="25">
        <v>0.0</v>
      </c>
      <c r="I938" s="58">
        <v>2.7</v>
      </c>
      <c r="J938" s="50">
        <v>1.0</v>
      </c>
      <c r="K938" s="58">
        <v>2.7</v>
      </c>
      <c r="L938" s="51">
        <v>0.0</v>
      </c>
      <c r="M938" s="51">
        <v>0.0</v>
      </c>
      <c r="N938" s="25">
        <v>3.0</v>
      </c>
      <c r="O938" s="58">
        <v>187.0</v>
      </c>
      <c r="P938" s="26" t="s">
        <v>59</v>
      </c>
      <c r="Q938" s="55">
        <v>4601.0</v>
      </c>
      <c r="R938" s="26" t="s">
        <v>37</v>
      </c>
      <c r="S938" s="58">
        <v>2011.0</v>
      </c>
      <c r="T938" s="25">
        <v>1.0</v>
      </c>
      <c r="U938" s="25">
        <f t="shared" si="100"/>
        <v>4601</v>
      </c>
      <c r="V938" s="24">
        <f t="shared" si="3"/>
        <v>1704.074074</v>
      </c>
      <c r="W938" s="3">
        <f t="shared" si="29"/>
        <v>0</v>
      </c>
      <c r="X938" s="3">
        <f t="shared" si="30"/>
        <v>0</v>
      </c>
      <c r="Y938" s="3">
        <f t="shared" si="31"/>
        <v>0</v>
      </c>
      <c r="Z938" s="25">
        <f t="shared" si="97"/>
        <v>1</v>
      </c>
      <c r="AA938" s="26">
        <f>VLOOKUP(S938,CPI!$A$2:$E$67,5,0)</f>
        <v>1.354598358</v>
      </c>
      <c r="AB938" s="27">
        <f t="shared" si="8"/>
        <v>6232.507044</v>
      </c>
      <c r="AC938" s="27">
        <f t="shared" si="9"/>
        <v>2308.335942</v>
      </c>
    </row>
    <row r="939">
      <c r="A939" s="38">
        <v>7411.0</v>
      </c>
      <c r="B939" s="26" t="s">
        <v>1872</v>
      </c>
      <c r="C939" s="26" t="s">
        <v>1896</v>
      </c>
      <c r="D939" s="26" t="s">
        <v>1902</v>
      </c>
      <c r="E939" s="26" t="s">
        <v>1902</v>
      </c>
      <c r="F939" s="25">
        <v>2007.0</v>
      </c>
      <c r="G939" s="25">
        <v>2022.0</v>
      </c>
      <c r="H939" s="25">
        <v>1.0</v>
      </c>
      <c r="I939" s="25">
        <v>2.8</v>
      </c>
      <c r="J939" s="50">
        <v>1.0</v>
      </c>
      <c r="K939" s="25">
        <v>2.8</v>
      </c>
      <c r="L939" s="51">
        <v>0.0</v>
      </c>
      <c r="M939" s="51">
        <v>0.0</v>
      </c>
      <c r="N939" s="25">
        <v>1.0</v>
      </c>
      <c r="O939" s="25"/>
      <c r="P939" s="26" t="s">
        <v>59</v>
      </c>
      <c r="Q939" s="52">
        <v>11000.0</v>
      </c>
      <c r="R939" s="26" t="s">
        <v>37</v>
      </c>
      <c r="S939" s="25">
        <v>2015.0</v>
      </c>
      <c r="T939" s="25">
        <v>1.0</v>
      </c>
      <c r="U939" s="25">
        <f t="shared" si="100"/>
        <v>11000</v>
      </c>
      <c r="V939" s="24">
        <f t="shared" si="3"/>
        <v>3928.571429</v>
      </c>
      <c r="W939" s="3">
        <f t="shared" si="29"/>
        <v>0</v>
      </c>
      <c r="X939" s="3">
        <f t="shared" si="30"/>
        <v>0</v>
      </c>
      <c r="Y939" s="3">
        <f t="shared" si="31"/>
        <v>0</v>
      </c>
      <c r="Z939" s="25">
        <f t="shared" si="97"/>
        <v>1</v>
      </c>
      <c r="AA939" s="26">
        <f>VLOOKUP(S939,CPI!$A$2:$E$67,5,0)</f>
        <v>1.285570233</v>
      </c>
      <c r="AB939" s="27">
        <f t="shared" si="8"/>
        <v>14141.27257</v>
      </c>
      <c r="AC939" s="27">
        <f t="shared" si="9"/>
        <v>5050.454488</v>
      </c>
    </row>
    <row r="940">
      <c r="A940" s="38">
        <v>7416.0</v>
      </c>
      <c r="B940" s="26" t="s">
        <v>1872</v>
      </c>
      <c r="C940" s="26" t="s">
        <v>1896</v>
      </c>
      <c r="D940" s="26" t="s">
        <v>1904</v>
      </c>
      <c r="E940" s="26" t="s">
        <v>1904</v>
      </c>
      <c r="F940" s="25">
        <v>2019.0</v>
      </c>
      <c r="G940" s="25">
        <v>2026.0</v>
      </c>
      <c r="H940" s="25">
        <v>1.0</v>
      </c>
      <c r="I940" s="25">
        <v>5.3</v>
      </c>
      <c r="J940" s="50">
        <v>1.0</v>
      </c>
      <c r="K940" s="25">
        <v>5.3</v>
      </c>
      <c r="L940" s="51">
        <v>0.0</v>
      </c>
      <c r="M940" s="51">
        <v>0.0</v>
      </c>
      <c r="N940" s="25">
        <v>0.0</v>
      </c>
      <c r="O940" s="25"/>
      <c r="P940" s="26" t="s">
        <v>59</v>
      </c>
      <c r="Q940" s="52">
        <v>9500.0</v>
      </c>
      <c r="R940" s="26" t="s">
        <v>37</v>
      </c>
      <c r="S940" s="25">
        <v>2023.0</v>
      </c>
      <c r="T940" s="25">
        <v>1.0</v>
      </c>
      <c r="U940" s="25">
        <f t="shared" si="100"/>
        <v>9500</v>
      </c>
      <c r="V940" s="24">
        <f t="shared" si="3"/>
        <v>1792.45283</v>
      </c>
      <c r="W940" s="3">
        <f t="shared" si="29"/>
        <v>0</v>
      </c>
      <c r="X940" s="3">
        <f t="shared" si="30"/>
        <v>0</v>
      </c>
      <c r="Y940" s="3">
        <f t="shared" si="31"/>
        <v>0</v>
      </c>
      <c r="Z940" s="25">
        <f t="shared" si="97"/>
        <v>1</v>
      </c>
      <c r="AA940" s="26">
        <f>VLOOKUP(S940,CPI!$A$2:$E$67,5,0)</f>
        <v>1</v>
      </c>
      <c r="AB940" s="27">
        <f t="shared" si="8"/>
        <v>9500</v>
      </c>
      <c r="AC940" s="27">
        <f t="shared" si="9"/>
        <v>1792.45283</v>
      </c>
    </row>
    <row r="941">
      <c r="A941" s="38">
        <v>7410.0</v>
      </c>
      <c r="B941" s="26" t="s">
        <v>1872</v>
      </c>
      <c r="C941" s="26" t="s">
        <v>1896</v>
      </c>
      <c r="D941" s="1" t="s">
        <v>1899</v>
      </c>
      <c r="E941" s="26" t="s">
        <v>1906</v>
      </c>
      <c r="F941" s="25">
        <v>2019.0</v>
      </c>
      <c r="G941" s="25">
        <v>2029.0</v>
      </c>
      <c r="H941" s="25">
        <v>0.0</v>
      </c>
      <c r="I941" s="25">
        <v>2.6</v>
      </c>
      <c r="J941" s="50">
        <v>1.0</v>
      </c>
      <c r="K941" s="25">
        <v>2.6</v>
      </c>
      <c r="L941" s="51">
        <v>0.0</v>
      </c>
      <c r="M941" s="51">
        <v>0.0</v>
      </c>
      <c r="N941" s="25">
        <v>3.0</v>
      </c>
      <c r="O941" s="58">
        <v>187.0</v>
      </c>
      <c r="P941" s="26" t="s">
        <v>59</v>
      </c>
      <c r="Q941" s="55">
        <v>6949.0</v>
      </c>
      <c r="R941" s="26" t="s">
        <v>37</v>
      </c>
      <c r="S941" s="25">
        <v>2024.0</v>
      </c>
      <c r="T941" s="25">
        <v>1.0</v>
      </c>
      <c r="U941" s="25">
        <f t="shared" si="100"/>
        <v>6949</v>
      </c>
      <c r="V941" s="24">
        <f t="shared" si="3"/>
        <v>2672.692308</v>
      </c>
      <c r="W941" s="3">
        <f t="shared" si="29"/>
        <v>0</v>
      </c>
      <c r="X941" s="3">
        <f t="shared" si="30"/>
        <v>0</v>
      </c>
      <c r="Y941" s="3">
        <f t="shared" si="31"/>
        <v>0</v>
      </c>
      <c r="Z941" s="25">
        <f t="shared" si="97"/>
        <v>1</v>
      </c>
      <c r="AA941" s="26">
        <f>VLOOKUP(S941,CPI!$A$2:$E$67,5,0)</f>
        <v>1</v>
      </c>
      <c r="AB941" s="27">
        <f t="shared" si="8"/>
        <v>6949</v>
      </c>
      <c r="AC941" s="27">
        <f t="shared" si="9"/>
        <v>2672.692308</v>
      </c>
    </row>
    <row r="942">
      <c r="A942" s="7"/>
      <c r="B942" s="115" t="s">
        <v>1872</v>
      </c>
      <c r="C942" s="115" t="s">
        <v>1908</v>
      </c>
      <c r="D942" s="115" t="s">
        <v>1909</v>
      </c>
      <c r="E942" s="115" t="s">
        <v>1910</v>
      </c>
      <c r="F942" s="82">
        <v>1976.0</v>
      </c>
      <c r="G942" s="115">
        <v>1984.0</v>
      </c>
      <c r="H942" s="82">
        <v>1.0</v>
      </c>
      <c r="I942" s="82">
        <v>2.9</v>
      </c>
      <c r="J942" s="247">
        <v>0.69</v>
      </c>
      <c r="K942" s="82">
        <v>2.0</v>
      </c>
      <c r="L942" s="115"/>
      <c r="M942" s="115"/>
      <c r="N942" s="82">
        <v>1.0</v>
      </c>
      <c r="O942" s="82">
        <v>350.0</v>
      </c>
      <c r="P942" s="115" t="s">
        <v>59</v>
      </c>
      <c r="Q942" s="248">
        <v>330.0</v>
      </c>
      <c r="R942" s="115" t="s">
        <v>37</v>
      </c>
      <c r="S942" s="115">
        <v>1980.0</v>
      </c>
      <c r="T942" s="115">
        <v>1.0</v>
      </c>
      <c r="U942" s="118">
        <f t="shared" si="100"/>
        <v>330</v>
      </c>
      <c r="V942" s="24">
        <f t="shared" si="3"/>
        <v>113.7931034</v>
      </c>
      <c r="W942" s="3">
        <f t="shared" si="29"/>
        <v>0</v>
      </c>
      <c r="X942" s="3">
        <f t="shared" si="30"/>
        <v>0</v>
      </c>
      <c r="Y942" s="3">
        <f t="shared" si="31"/>
        <v>0</v>
      </c>
      <c r="Z942" s="25">
        <f t="shared" si="97"/>
        <v>1</v>
      </c>
      <c r="AA942" s="26">
        <f>VLOOKUP(S942,CPI!$A$2:$E$67,5,0)</f>
        <v>3.697839806</v>
      </c>
      <c r="AB942" s="27">
        <f t="shared" si="8"/>
        <v>1220.287136</v>
      </c>
      <c r="AC942" s="27">
        <f t="shared" si="9"/>
        <v>420.7886676</v>
      </c>
    </row>
    <row r="943">
      <c r="A943" s="38">
        <v>7160.0</v>
      </c>
      <c r="B943" s="26" t="s">
        <v>1872</v>
      </c>
      <c r="C943" s="26" t="s">
        <v>1912</v>
      </c>
      <c r="D943" s="26" t="s">
        <v>1913</v>
      </c>
      <c r="E943" s="26" t="s">
        <v>1913</v>
      </c>
      <c r="F943" s="25">
        <v>2010.0</v>
      </c>
      <c r="G943" s="25">
        <v>2021.0</v>
      </c>
      <c r="H943" s="25">
        <v>0.0</v>
      </c>
      <c r="I943" s="25">
        <v>2.7</v>
      </c>
      <c r="J943" s="50">
        <v>1.0</v>
      </c>
      <c r="K943" s="25">
        <v>2.7</v>
      </c>
      <c r="L943" s="51">
        <v>0.0</v>
      </c>
      <c r="M943" s="51">
        <v>0.0</v>
      </c>
      <c r="N943" s="25">
        <v>4.0</v>
      </c>
      <c r="O943" s="25"/>
      <c r="P943" s="26" t="s">
        <v>42</v>
      </c>
      <c r="Q943" s="52">
        <v>1670.0</v>
      </c>
      <c r="R943" s="26" t="s">
        <v>37</v>
      </c>
      <c r="S943" s="25">
        <v>2014.0</v>
      </c>
      <c r="T943" s="25">
        <v>1.0</v>
      </c>
      <c r="U943" s="25">
        <f t="shared" si="100"/>
        <v>1670</v>
      </c>
      <c r="V943" s="24">
        <f t="shared" si="3"/>
        <v>618.5185185</v>
      </c>
      <c r="W943" s="3">
        <f t="shared" si="29"/>
        <v>0</v>
      </c>
      <c r="X943" s="3">
        <f t="shared" si="30"/>
        <v>0</v>
      </c>
      <c r="Y943" s="3">
        <f t="shared" si="31"/>
        <v>0</v>
      </c>
      <c r="Z943" s="25">
        <f t="shared" si="97"/>
        <v>1</v>
      </c>
      <c r="AA943" s="26">
        <f>VLOOKUP(S943,CPI!$A$2:$E$67,5,0)</f>
        <v>1.287096175</v>
      </c>
      <c r="AB943" s="27">
        <f t="shared" si="8"/>
        <v>2149.450612</v>
      </c>
      <c r="AC943" s="27">
        <f t="shared" si="9"/>
        <v>796.0928191</v>
      </c>
    </row>
    <row r="944">
      <c r="A944" s="38">
        <v>7163.0</v>
      </c>
      <c r="B944" s="26" t="s">
        <v>1872</v>
      </c>
      <c r="C944" s="26" t="s">
        <v>1912</v>
      </c>
      <c r="D944" s="26" t="s">
        <v>1915</v>
      </c>
      <c r="E944" s="26" t="s">
        <v>1915</v>
      </c>
      <c r="F944" s="58">
        <v>2024.0</v>
      </c>
      <c r="G944" s="58">
        <v>2036.0</v>
      </c>
      <c r="H944" s="25">
        <v>0.0</v>
      </c>
      <c r="I944" s="25">
        <v>9.6</v>
      </c>
      <c r="J944" s="50">
        <v>0.83</v>
      </c>
      <c r="K944" s="25">
        <v>8.0</v>
      </c>
      <c r="L944" s="51">
        <v>0.0</v>
      </c>
      <c r="M944" s="51">
        <v>0.0</v>
      </c>
      <c r="N944" s="25">
        <v>4.0</v>
      </c>
      <c r="O944" s="25"/>
      <c r="P944" s="26" t="s">
        <v>60</v>
      </c>
      <c r="Q944" s="55">
        <v>12200.0</v>
      </c>
      <c r="R944" s="26" t="s">
        <v>37</v>
      </c>
      <c r="S944" s="58">
        <v>2030.0</v>
      </c>
      <c r="T944" s="25">
        <v>1.0</v>
      </c>
      <c r="U944" s="25">
        <f t="shared" si="100"/>
        <v>12200</v>
      </c>
      <c r="V944" s="24">
        <f t="shared" si="3"/>
        <v>1270.833333</v>
      </c>
      <c r="W944" s="3">
        <f t="shared" si="29"/>
        <v>0</v>
      </c>
      <c r="X944" s="3">
        <f t="shared" si="30"/>
        <v>0</v>
      </c>
      <c r="Y944" s="3">
        <f t="shared" si="31"/>
        <v>0</v>
      </c>
      <c r="Z944" s="25">
        <f t="shared" si="97"/>
        <v>1</v>
      </c>
      <c r="AA944" s="26">
        <f>VLOOKUP(S944,CPI!$A$2:$E$67,5,0)</f>
        <v>1</v>
      </c>
      <c r="AB944" s="27">
        <f t="shared" si="8"/>
        <v>12200</v>
      </c>
      <c r="AC944" s="27">
        <f t="shared" si="9"/>
        <v>1270.833333</v>
      </c>
    </row>
    <row r="945">
      <c r="A945" s="61">
        <v>7151.0</v>
      </c>
      <c r="B945" s="26" t="s">
        <v>1872</v>
      </c>
      <c r="C945" s="26" t="s">
        <v>1917</v>
      </c>
      <c r="D945" s="26" t="s">
        <v>1918</v>
      </c>
      <c r="E945" s="26" t="s">
        <v>1918</v>
      </c>
      <c r="F945" s="25">
        <v>2009.0</v>
      </c>
      <c r="G945" s="25">
        <v>2016.0</v>
      </c>
      <c r="H945" s="25">
        <v>0.0</v>
      </c>
      <c r="I945" s="25">
        <v>5.1</v>
      </c>
      <c r="J945" s="50">
        <v>1.0</v>
      </c>
      <c r="K945" s="25">
        <v>5.1</v>
      </c>
      <c r="L945" s="51">
        <v>0.0</v>
      </c>
      <c r="M945" s="51">
        <v>0.0</v>
      </c>
      <c r="N945" s="25">
        <v>2.0</v>
      </c>
      <c r="O945" s="25"/>
      <c r="P945" s="26" t="s">
        <v>42</v>
      </c>
      <c r="Q945" s="52">
        <v>1756.0</v>
      </c>
      <c r="R945" s="26" t="s">
        <v>37</v>
      </c>
      <c r="S945" s="25">
        <v>2012.0</v>
      </c>
      <c r="T945" s="25">
        <v>1.0</v>
      </c>
      <c r="U945" s="25">
        <f t="shared" si="100"/>
        <v>1756</v>
      </c>
      <c r="V945" s="24">
        <f t="shared" si="3"/>
        <v>344.3137255</v>
      </c>
      <c r="W945" s="3">
        <f t="shared" si="29"/>
        <v>0</v>
      </c>
      <c r="X945" s="3">
        <f t="shared" si="30"/>
        <v>0</v>
      </c>
      <c r="Y945" s="3">
        <f t="shared" si="31"/>
        <v>0</v>
      </c>
      <c r="Z945" s="25">
        <f t="shared" si="97"/>
        <v>1</v>
      </c>
      <c r="AA945" s="26">
        <f>VLOOKUP(S945,CPI!$A$2:$E$67,5,0)</f>
        <v>1.327133984</v>
      </c>
      <c r="AB945" s="27">
        <f t="shared" si="8"/>
        <v>2330.447276</v>
      </c>
      <c r="AC945" s="27">
        <f t="shared" si="9"/>
        <v>456.9504464</v>
      </c>
    </row>
    <row r="946">
      <c r="A946" s="61">
        <v>9820.0</v>
      </c>
      <c r="B946" s="26" t="s">
        <v>1872</v>
      </c>
      <c r="C946" s="26" t="s">
        <v>1917</v>
      </c>
      <c r="D946" s="26" t="s">
        <v>2093</v>
      </c>
      <c r="E946" s="26" t="s">
        <v>2093</v>
      </c>
      <c r="F946" s="25">
        <v>2026.0</v>
      </c>
      <c r="G946" s="25">
        <v>2036.0</v>
      </c>
      <c r="H946" s="25">
        <v>0.0</v>
      </c>
      <c r="I946" s="25">
        <v>19.0</v>
      </c>
      <c r="J946" s="50">
        <v>0.32</v>
      </c>
      <c r="K946" s="25">
        <v>6.0</v>
      </c>
      <c r="L946" s="51">
        <v>0.0</v>
      </c>
      <c r="M946" s="51">
        <v>0.0</v>
      </c>
      <c r="N946" s="25">
        <v>13.0</v>
      </c>
      <c r="O946" s="25"/>
      <c r="P946" s="26" t="s">
        <v>60</v>
      </c>
      <c r="Q946" s="52">
        <v>12341.0</v>
      </c>
      <c r="R946" s="26" t="s">
        <v>37</v>
      </c>
      <c r="S946" s="25">
        <v>2020.0</v>
      </c>
      <c r="T946" s="25">
        <v>1.0</v>
      </c>
      <c r="U946" s="25">
        <f t="shared" si="100"/>
        <v>12341</v>
      </c>
      <c r="V946" s="24">
        <f t="shared" si="3"/>
        <v>649.5263158</v>
      </c>
      <c r="W946" s="3">
        <f t="shared" si="29"/>
        <v>0</v>
      </c>
      <c r="X946" s="3">
        <f t="shared" si="30"/>
        <v>0</v>
      </c>
      <c r="Y946" s="3">
        <f t="shared" si="31"/>
        <v>0</v>
      </c>
      <c r="Z946" s="25">
        <f t="shared" si="97"/>
        <v>1</v>
      </c>
      <c r="AA946" s="26">
        <f>VLOOKUP(S946,CPI!$A$2:$E$67,5,0)</f>
        <v>1.17731472</v>
      </c>
      <c r="AB946" s="27">
        <f t="shared" si="8"/>
        <v>14529.24096</v>
      </c>
      <c r="AC946" s="27">
        <f t="shared" si="9"/>
        <v>764.6968926</v>
      </c>
    </row>
    <row r="947">
      <c r="A947" s="61">
        <v>9825.0</v>
      </c>
      <c r="B947" s="26" t="s">
        <v>1872</v>
      </c>
      <c r="C947" s="26" t="s">
        <v>1924</v>
      </c>
      <c r="D947" s="1" t="s">
        <v>1925</v>
      </c>
      <c r="E947" s="26" t="s">
        <v>1926</v>
      </c>
      <c r="F947" s="25">
        <v>2009.0</v>
      </c>
      <c r="G947" s="25">
        <v>2014.0</v>
      </c>
      <c r="H947" s="25">
        <v>0.0</v>
      </c>
      <c r="I947" s="25">
        <v>18.8</v>
      </c>
      <c r="J947" s="50">
        <v>0.04</v>
      </c>
      <c r="K947" s="25">
        <v>0.7</v>
      </c>
      <c r="L947" s="51">
        <v>0.0</v>
      </c>
      <c r="M947" s="51">
        <v>0.0</v>
      </c>
      <c r="N947" s="25">
        <v>5.0</v>
      </c>
      <c r="O947" s="25"/>
      <c r="P947" s="26" t="s">
        <v>59</v>
      </c>
      <c r="Q947" s="52">
        <v>2982.0</v>
      </c>
      <c r="R947" s="26" t="s">
        <v>37</v>
      </c>
      <c r="S947" s="25">
        <v>2011.0</v>
      </c>
      <c r="T947" s="25">
        <v>1.0</v>
      </c>
      <c r="U947" s="25">
        <f t="shared" si="100"/>
        <v>2982</v>
      </c>
      <c r="V947" s="24">
        <f t="shared" si="3"/>
        <v>158.6170213</v>
      </c>
      <c r="W947" s="3">
        <f t="shared" si="29"/>
        <v>0</v>
      </c>
      <c r="X947" s="3">
        <f t="shared" si="30"/>
        <v>0</v>
      </c>
      <c r="Y947" s="3">
        <f t="shared" si="31"/>
        <v>0</v>
      </c>
      <c r="Z947" s="25">
        <f t="shared" si="97"/>
        <v>1</v>
      </c>
      <c r="AA947" s="26">
        <f>VLOOKUP(S947,CPI!$A$2:$E$67,5,0)</f>
        <v>1.354598358</v>
      </c>
      <c r="AB947" s="27">
        <f t="shared" si="8"/>
        <v>4039.412303</v>
      </c>
      <c r="AC947" s="27">
        <f t="shared" si="9"/>
        <v>214.8623565</v>
      </c>
    </row>
    <row r="948">
      <c r="A948" s="61">
        <v>9826.0</v>
      </c>
      <c r="B948" s="26" t="s">
        <v>1872</v>
      </c>
      <c r="C948" s="26" t="s">
        <v>1924</v>
      </c>
      <c r="D948" s="1" t="s">
        <v>1925</v>
      </c>
      <c r="E948" s="26" t="s">
        <v>1928</v>
      </c>
      <c r="F948" s="25">
        <v>2013.0</v>
      </c>
      <c r="G948" s="58">
        <v>2022.0</v>
      </c>
      <c r="H948" s="25">
        <v>0.0</v>
      </c>
      <c r="I948" s="25">
        <v>18.3</v>
      </c>
      <c r="J948" s="50">
        <v>0.0</v>
      </c>
      <c r="K948" s="25">
        <v>0.0</v>
      </c>
      <c r="L948" s="51">
        <v>0.0</v>
      </c>
      <c r="M948" s="51">
        <v>0.0</v>
      </c>
      <c r="N948" s="25">
        <v>6.0</v>
      </c>
      <c r="O948" s="25"/>
      <c r="P948" s="26" t="s">
        <v>60</v>
      </c>
      <c r="Q948" s="55">
        <v>3050.0</v>
      </c>
      <c r="R948" s="26" t="s">
        <v>37</v>
      </c>
      <c r="S948" s="25">
        <v>2017.0</v>
      </c>
      <c r="T948" s="25">
        <v>1.0</v>
      </c>
      <c r="U948" s="25">
        <f t="shared" si="100"/>
        <v>3050</v>
      </c>
      <c r="V948" s="24">
        <f t="shared" si="3"/>
        <v>166.6666667</v>
      </c>
      <c r="W948" s="3">
        <f t="shared" si="29"/>
        <v>0</v>
      </c>
      <c r="X948" s="3">
        <f t="shared" si="30"/>
        <v>0</v>
      </c>
      <c r="Y948" s="3">
        <f t="shared" si="31"/>
        <v>0</v>
      </c>
      <c r="Z948" s="25">
        <f t="shared" si="97"/>
        <v>1</v>
      </c>
      <c r="AA948" s="26">
        <f>VLOOKUP(S948,CPI!$A$2:$E$67,5,0)</f>
        <v>1.243072781</v>
      </c>
      <c r="AB948" s="27">
        <f t="shared" si="8"/>
        <v>3791.371981</v>
      </c>
      <c r="AC948" s="27">
        <f t="shared" si="9"/>
        <v>207.1787968</v>
      </c>
    </row>
    <row r="949">
      <c r="A949" s="61">
        <v>9515.0</v>
      </c>
      <c r="B949" s="26" t="s">
        <v>1930</v>
      </c>
      <c r="C949" s="26" t="s">
        <v>1931</v>
      </c>
      <c r="D949" s="26" t="s">
        <v>1932</v>
      </c>
      <c r="E949" s="26" t="s">
        <v>1932</v>
      </c>
      <c r="F949" s="25">
        <v>2017.0</v>
      </c>
      <c r="G949" s="25">
        <v>2020.0</v>
      </c>
      <c r="H949" s="25">
        <v>0.0</v>
      </c>
      <c r="I949" s="58">
        <v>6.94</v>
      </c>
      <c r="J949" s="50">
        <v>0.0</v>
      </c>
      <c r="K949" s="58">
        <v>0.0</v>
      </c>
      <c r="L949" s="58">
        <v>6.94</v>
      </c>
      <c r="M949" s="51">
        <v>0.0</v>
      </c>
      <c r="N949" s="25">
        <v>6.0</v>
      </c>
      <c r="O949" s="25"/>
      <c r="P949" s="26" t="s">
        <v>36</v>
      </c>
      <c r="Q949" s="52">
        <v>142.2</v>
      </c>
      <c r="R949" s="26" t="s">
        <v>37</v>
      </c>
      <c r="S949" s="25">
        <v>2018.0</v>
      </c>
      <c r="T949" s="25">
        <v>5.0</v>
      </c>
      <c r="U949" s="25">
        <f t="shared" si="100"/>
        <v>711</v>
      </c>
      <c r="V949" s="24">
        <f t="shared" si="3"/>
        <v>102.4495677</v>
      </c>
      <c r="W949" s="3">
        <f t="shared" si="29"/>
        <v>0</v>
      </c>
      <c r="X949" s="3">
        <f t="shared" si="30"/>
        <v>0</v>
      </c>
      <c r="Y949" s="3">
        <f t="shared" si="31"/>
        <v>0</v>
      </c>
      <c r="Z949" s="25">
        <f t="shared" si="97"/>
        <v>0</v>
      </c>
      <c r="AA949" s="26">
        <f>VLOOKUP(S949,CPI!$A$2:$E$67,5,0)</f>
        <v>1.21343491</v>
      </c>
      <c r="AB949" s="27">
        <f t="shared" si="8"/>
        <v>862.7522212</v>
      </c>
      <c r="AC949" s="27">
        <f t="shared" si="9"/>
        <v>124.315882</v>
      </c>
    </row>
    <row r="950">
      <c r="A950" s="61">
        <v>9516.0</v>
      </c>
      <c r="B950" s="26" t="s">
        <v>1930</v>
      </c>
      <c r="C950" s="26" t="s">
        <v>1931</v>
      </c>
      <c r="D950" s="1" t="s">
        <v>1934</v>
      </c>
      <c r="E950" s="26" t="s">
        <v>1935</v>
      </c>
      <c r="F950" s="25">
        <v>2017.0</v>
      </c>
      <c r="G950" s="25">
        <v>2020.0</v>
      </c>
      <c r="H950" s="25">
        <v>0.0</v>
      </c>
      <c r="I950" s="25">
        <v>2.9</v>
      </c>
      <c r="J950" s="50">
        <v>1.0</v>
      </c>
      <c r="K950" s="25">
        <v>2.9</v>
      </c>
      <c r="L950" s="51">
        <v>0.0</v>
      </c>
      <c r="M950" s="51">
        <v>0.0</v>
      </c>
      <c r="N950" s="25">
        <v>2.0</v>
      </c>
      <c r="O950" s="25"/>
      <c r="P950" s="26" t="s">
        <v>36</v>
      </c>
      <c r="Q950" s="52">
        <v>124.8</v>
      </c>
      <c r="R950" s="26" t="s">
        <v>37</v>
      </c>
      <c r="S950" s="25">
        <v>2018.0</v>
      </c>
      <c r="T950" s="25">
        <v>5.0</v>
      </c>
      <c r="U950" s="25">
        <f t="shared" si="100"/>
        <v>624</v>
      </c>
      <c r="V950" s="24">
        <f t="shared" si="3"/>
        <v>215.1724138</v>
      </c>
      <c r="W950" s="3">
        <f t="shared" si="29"/>
        <v>0</v>
      </c>
      <c r="X950" s="3">
        <f t="shared" si="30"/>
        <v>0</v>
      </c>
      <c r="Y950" s="3">
        <f t="shared" si="31"/>
        <v>0</v>
      </c>
      <c r="Z950" s="25">
        <f t="shared" si="97"/>
        <v>0</v>
      </c>
      <c r="AA950" s="26">
        <f>VLOOKUP(S950,CPI!$A$2:$E$67,5,0)</f>
        <v>1.21343491</v>
      </c>
      <c r="AB950" s="27">
        <f t="shared" si="8"/>
        <v>757.183384</v>
      </c>
      <c r="AC950" s="27">
        <f t="shared" si="9"/>
        <v>261.0977186</v>
      </c>
    </row>
    <row r="951">
      <c r="A951" s="38">
        <v>7243.0</v>
      </c>
      <c r="B951" s="26" t="s">
        <v>1937</v>
      </c>
      <c r="C951" s="26" t="s">
        <v>1938</v>
      </c>
      <c r="D951" s="26" t="s">
        <v>54</v>
      </c>
      <c r="E951" s="26" t="s">
        <v>54</v>
      </c>
      <c r="F951" s="25">
        <v>2011.0</v>
      </c>
      <c r="G951" s="58">
        <v>2021.0</v>
      </c>
      <c r="H951" s="25">
        <v>0.0</v>
      </c>
      <c r="I951" s="25">
        <v>11.5</v>
      </c>
      <c r="J951" s="50">
        <v>0.74</v>
      </c>
      <c r="K951" s="25">
        <v>8.5</v>
      </c>
      <c r="L951" s="51">
        <v>2.99</v>
      </c>
      <c r="M951" s="51">
        <v>0.0</v>
      </c>
      <c r="N951" s="25">
        <v>12.0</v>
      </c>
      <c r="O951" s="25"/>
      <c r="P951" s="26" t="s">
        <v>42</v>
      </c>
      <c r="Q951" s="52">
        <v>1.9555E7</v>
      </c>
      <c r="R951" s="26" t="s">
        <v>1939</v>
      </c>
      <c r="S951" s="25">
        <v>2015.0</v>
      </c>
      <c r="T951" s="25">
        <v>1.26E-4</v>
      </c>
      <c r="U951" s="25">
        <f t="shared" si="100"/>
        <v>2463.93</v>
      </c>
      <c r="V951" s="24">
        <f t="shared" si="3"/>
        <v>214.2547826</v>
      </c>
      <c r="W951" s="3">
        <f t="shared" si="29"/>
        <v>0</v>
      </c>
      <c r="X951" s="3">
        <f t="shared" si="30"/>
        <v>0</v>
      </c>
      <c r="Y951" s="3">
        <f t="shared" si="31"/>
        <v>0</v>
      </c>
      <c r="Z951" s="25">
        <f t="shared" si="97"/>
        <v>0</v>
      </c>
      <c r="AA951" s="26">
        <f>VLOOKUP(S951,CPI!$A$2:$E$67,5,0)</f>
        <v>1.285570233</v>
      </c>
      <c r="AB951" s="27">
        <f t="shared" si="8"/>
        <v>3167.555065</v>
      </c>
      <c r="AC951" s="27">
        <f t="shared" si="9"/>
        <v>275.4395709</v>
      </c>
    </row>
    <row r="952">
      <c r="A952" s="38">
        <v>7242.0</v>
      </c>
      <c r="B952" s="26" t="s">
        <v>1937</v>
      </c>
      <c r="C952" s="26" t="s">
        <v>1938</v>
      </c>
      <c r="D952" s="26" t="s">
        <v>87</v>
      </c>
      <c r="E952" s="26" t="s">
        <v>87</v>
      </c>
      <c r="F952" s="25">
        <v>2010.0</v>
      </c>
      <c r="G952" s="58">
        <v>2024.0</v>
      </c>
      <c r="H952" s="25">
        <v>0.0</v>
      </c>
      <c r="I952" s="25">
        <v>12.5</v>
      </c>
      <c r="J952" s="50">
        <v>0.32</v>
      </c>
      <c r="K952" s="25">
        <v>4.0</v>
      </c>
      <c r="L952" s="51">
        <v>8.5</v>
      </c>
      <c r="M952" s="51">
        <v>0.0</v>
      </c>
      <c r="N952" s="25">
        <v>12.0</v>
      </c>
      <c r="O952" s="25"/>
      <c r="P952" s="26" t="s">
        <v>42</v>
      </c>
      <c r="Q952" s="55">
        <v>3.482605E7</v>
      </c>
      <c r="R952" s="26" t="s">
        <v>1939</v>
      </c>
      <c r="S952" s="25">
        <v>2016.0</v>
      </c>
      <c r="T952" s="25">
        <v>1.26E-4</v>
      </c>
      <c r="U952" s="25">
        <f t="shared" si="100"/>
        <v>4388.0823</v>
      </c>
      <c r="V952" s="24">
        <f t="shared" si="3"/>
        <v>351.046584</v>
      </c>
      <c r="W952" s="3">
        <f t="shared" si="29"/>
        <v>0</v>
      </c>
      <c r="X952" s="3">
        <f t="shared" si="30"/>
        <v>0</v>
      </c>
      <c r="Y952" s="3">
        <f t="shared" si="31"/>
        <v>0</v>
      </c>
      <c r="Z952" s="25">
        <f t="shared" si="97"/>
        <v>0</v>
      </c>
      <c r="AA952" s="26">
        <f>VLOOKUP(S952,CPI!$A$2:$E$67,5,0)</f>
        <v>1.269554638</v>
      </c>
      <c r="AB952" s="27">
        <f t="shared" si="8"/>
        <v>5570.910236</v>
      </c>
      <c r="AC952" s="27">
        <f t="shared" si="9"/>
        <v>445.6728189</v>
      </c>
    </row>
    <row r="953">
      <c r="A953" s="38">
        <v>7496.0</v>
      </c>
      <c r="B953" s="26" t="s">
        <v>1937</v>
      </c>
      <c r="C953" s="26" t="s">
        <v>1942</v>
      </c>
      <c r="D953" s="26" t="s">
        <v>57</v>
      </c>
      <c r="E953" s="26" t="s">
        <v>57</v>
      </c>
      <c r="F953" s="25">
        <v>2012.0</v>
      </c>
      <c r="G953" s="25">
        <v>2021.0</v>
      </c>
      <c r="H953" s="25">
        <v>0.0</v>
      </c>
      <c r="I953" s="25">
        <v>19.7</v>
      </c>
      <c r="J953" s="50">
        <v>0.13</v>
      </c>
      <c r="K953" s="25">
        <v>2.6</v>
      </c>
      <c r="L953" s="51">
        <v>0.0</v>
      </c>
      <c r="M953" s="51">
        <v>0.0</v>
      </c>
      <c r="N953" s="25">
        <v>14.0</v>
      </c>
      <c r="O953" s="25"/>
      <c r="P953" s="26" t="s">
        <v>60</v>
      </c>
      <c r="Q953" s="52">
        <v>4.36E7</v>
      </c>
      <c r="R953" s="26" t="s">
        <v>1939</v>
      </c>
      <c r="S953" s="25">
        <v>2016.0</v>
      </c>
      <c r="T953" s="25">
        <v>1.26E-4</v>
      </c>
      <c r="U953" s="25">
        <f t="shared" si="100"/>
        <v>5493.6</v>
      </c>
      <c r="V953" s="24">
        <f t="shared" si="3"/>
        <v>278.8629442</v>
      </c>
      <c r="W953" s="3">
        <f t="shared" si="29"/>
        <v>0</v>
      </c>
      <c r="X953" s="3">
        <f t="shared" si="30"/>
        <v>0</v>
      </c>
      <c r="Y953" s="3">
        <f t="shared" si="31"/>
        <v>0</v>
      </c>
      <c r="Z953" s="25">
        <f t="shared" si="97"/>
        <v>0</v>
      </c>
      <c r="AA953" s="26">
        <f>VLOOKUP(S953,CPI!$A$2:$E$67,5,0)</f>
        <v>1.269554638</v>
      </c>
      <c r="AB953" s="27">
        <f t="shared" si="8"/>
        <v>6974.425359</v>
      </c>
      <c r="AC953" s="27">
        <f t="shared" si="9"/>
        <v>354.0317441</v>
      </c>
    </row>
    <row r="954">
      <c r="A954" s="38">
        <v>7497.0</v>
      </c>
      <c r="B954" s="26" t="s">
        <v>1937</v>
      </c>
      <c r="C954" s="26" t="s">
        <v>1942</v>
      </c>
      <c r="D954" s="1" t="s">
        <v>54</v>
      </c>
      <c r="E954" s="26" t="s">
        <v>1944</v>
      </c>
      <c r="F954" s="25">
        <v>2020.0</v>
      </c>
      <c r="G954" s="25">
        <v>2026.0</v>
      </c>
      <c r="H954" s="25">
        <v>0.0</v>
      </c>
      <c r="I954" s="25">
        <v>11.3</v>
      </c>
      <c r="J954" s="50">
        <v>0.82</v>
      </c>
      <c r="K954" s="25">
        <v>9.3</v>
      </c>
      <c r="L954" s="51">
        <v>0.0</v>
      </c>
      <c r="M954" s="51">
        <v>0.0</v>
      </c>
      <c r="N954" s="25">
        <v>11.0</v>
      </c>
      <c r="O954" s="25"/>
      <c r="P954" s="26" t="s">
        <v>42</v>
      </c>
      <c r="Q954" s="52">
        <v>4.8E7</v>
      </c>
      <c r="R954" s="26" t="s">
        <v>1939</v>
      </c>
      <c r="S954" s="25">
        <v>2023.0</v>
      </c>
      <c r="T954" s="25">
        <v>1.26E-4</v>
      </c>
      <c r="U954" s="25">
        <f t="shared" si="100"/>
        <v>6048</v>
      </c>
      <c r="V954" s="24">
        <f t="shared" si="3"/>
        <v>535.2212389</v>
      </c>
      <c r="W954" s="3">
        <f t="shared" si="29"/>
        <v>0</v>
      </c>
      <c r="X954" s="3">
        <f t="shared" si="30"/>
        <v>0</v>
      </c>
      <c r="Y954" s="3">
        <f t="shared" si="31"/>
        <v>0</v>
      </c>
      <c r="Z954" s="25">
        <f t="shared" si="97"/>
        <v>0</v>
      </c>
      <c r="AA954" s="26">
        <f>VLOOKUP(S954,CPI!$A$2:$E$67,5,0)</f>
        <v>1</v>
      </c>
      <c r="AB954" s="27">
        <f t="shared" si="8"/>
        <v>6048</v>
      </c>
      <c r="AC954" s="27">
        <f t="shared" si="9"/>
        <v>535.2212389</v>
      </c>
    </row>
    <row r="955">
      <c r="A955" s="38">
        <v>7498.0</v>
      </c>
      <c r="B955" s="26" t="s">
        <v>1937</v>
      </c>
      <c r="C955" s="26" t="s">
        <v>1942</v>
      </c>
      <c r="D955" s="1" t="s">
        <v>84</v>
      </c>
      <c r="E955" s="26" t="s">
        <v>1946</v>
      </c>
      <c r="F955" s="25">
        <v>2025.0</v>
      </c>
      <c r="G955" s="25">
        <v>2029.0</v>
      </c>
      <c r="H955" s="25">
        <v>0.0</v>
      </c>
      <c r="I955" s="25">
        <v>8.9</v>
      </c>
      <c r="J955" s="50">
        <v>0.84</v>
      </c>
      <c r="K955" s="25">
        <v>7.5</v>
      </c>
      <c r="L955" s="51">
        <v>0.0</v>
      </c>
      <c r="M955" s="51">
        <v>0.0</v>
      </c>
      <c r="N955" s="25">
        <v>7.0</v>
      </c>
      <c r="O955" s="25"/>
      <c r="P955" s="26" t="s">
        <v>42</v>
      </c>
      <c r="Q955" s="52">
        <v>4.16E7</v>
      </c>
      <c r="R955" s="26" t="s">
        <v>1939</v>
      </c>
      <c r="S955" s="25">
        <v>2027.0</v>
      </c>
      <c r="T955" s="25">
        <v>1.26E-4</v>
      </c>
      <c r="U955" s="25">
        <f t="shared" si="100"/>
        <v>5241.6</v>
      </c>
      <c r="V955" s="24">
        <f t="shared" si="3"/>
        <v>588.9438202</v>
      </c>
      <c r="W955" s="3">
        <f t="shared" si="29"/>
        <v>0</v>
      </c>
      <c r="X955" s="3">
        <f t="shared" si="30"/>
        <v>0</v>
      </c>
      <c r="Y955" s="3">
        <f t="shared" si="31"/>
        <v>0</v>
      </c>
      <c r="Z955" s="25">
        <f t="shared" si="97"/>
        <v>0</v>
      </c>
      <c r="AA955" s="26">
        <f>VLOOKUP(S955,CPI!$A$2:$E$67,5,0)</f>
        <v>1</v>
      </c>
      <c r="AB955" s="27">
        <f t="shared" si="8"/>
        <v>5241.6</v>
      </c>
      <c r="AC955" s="27">
        <f t="shared" si="9"/>
        <v>588.9438202</v>
      </c>
    </row>
    <row r="956">
      <c r="A956" s="7"/>
      <c r="B956" s="74" t="s">
        <v>1861</v>
      </c>
      <c r="C956" s="74" t="s">
        <v>1862</v>
      </c>
      <c r="D956" s="237" t="s">
        <v>1948</v>
      </c>
      <c r="E956" s="74" t="s">
        <v>1949</v>
      </c>
      <c r="F956" s="70">
        <v>2004.0</v>
      </c>
      <c r="G956" s="70">
        <v>2005.0</v>
      </c>
      <c r="H956" s="115">
        <v>0.0</v>
      </c>
      <c r="I956" s="70">
        <v>4.4</v>
      </c>
      <c r="J956" s="71">
        <v>0.0</v>
      </c>
      <c r="K956" s="70">
        <v>0.0</v>
      </c>
      <c r="L956" s="70">
        <v>2.8</v>
      </c>
      <c r="M956" s="70">
        <v>1.6</v>
      </c>
      <c r="N956" s="70">
        <v>4.0</v>
      </c>
      <c r="O956" s="70">
        <v>82.0</v>
      </c>
      <c r="P956" s="254" t="s">
        <v>60</v>
      </c>
      <c r="Q956" s="73">
        <v>115.0</v>
      </c>
      <c r="R956" s="74" t="s">
        <v>1950</v>
      </c>
      <c r="S956" s="70">
        <v>2005.0</v>
      </c>
      <c r="T956" s="115">
        <v>1.4</v>
      </c>
      <c r="U956" s="376">
        <f t="shared" si="100"/>
        <v>161</v>
      </c>
      <c r="V956" s="24">
        <f t="shared" si="3"/>
        <v>36.59090909</v>
      </c>
      <c r="W956" s="3">
        <f t="shared" si="29"/>
        <v>0</v>
      </c>
      <c r="X956" s="3">
        <f t="shared" si="30"/>
        <v>0</v>
      </c>
      <c r="Y956" s="3">
        <f t="shared" si="31"/>
        <v>0</v>
      </c>
      <c r="Z956" s="69">
        <v>1.0</v>
      </c>
      <c r="AA956" s="26">
        <f>VLOOKUP(S956,CPI!$A$2:$E$67,5,0)</f>
        <v>1.560174091</v>
      </c>
      <c r="AB956" s="27">
        <f t="shared" si="8"/>
        <v>251.1880287</v>
      </c>
      <c r="AC956" s="27">
        <f t="shared" si="9"/>
        <v>57.08818833</v>
      </c>
    </row>
    <row r="957">
      <c r="A957" s="7"/>
      <c r="B957" s="74" t="s">
        <v>1861</v>
      </c>
      <c r="C957" s="74" t="s">
        <v>1862</v>
      </c>
      <c r="D957" s="237" t="s">
        <v>1948</v>
      </c>
      <c r="E957" s="74" t="s">
        <v>1953</v>
      </c>
      <c r="F957" s="70">
        <v>1996.0</v>
      </c>
      <c r="G957" s="70">
        <v>1999.0</v>
      </c>
      <c r="H957" s="115">
        <v>0.0</v>
      </c>
      <c r="I957" s="70">
        <v>4.2</v>
      </c>
      <c r="J957" s="71">
        <v>0.405</v>
      </c>
      <c r="K957" s="70">
        <v>1.7</v>
      </c>
      <c r="L957" s="70">
        <v>0.8</v>
      </c>
      <c r="M957" s="70">
        <v>1.7</v>
      </c>
      <c r="N957" s="70">
        <v>7.0</v>
      </c>
      <c r="O957" s="70">
        <v>82.0</v>
      </c>
      <c r="P957" s="254" t="s">
        <v>60</v>
      </c>
      <c r="Q957" s="73">
        <v>200.0</v>
      </c>
      <c r="R957" s="74" t="s">
        <v>1950</v>
      </c>
      <c r="S957" s="70">
        <v>1999.0</v>
      </c>
      <c r="T957" s="115">
        <v>1.4</v>
      </c>
      <c r="U957" s="376">
        <f t="shared" si="100"/>
        <v>280</v>
      </c>
      <c r="V957" s="24">
        <f t="shared" si="3"/>
        <v>66.66666667</v>
      </c>
      <c r="W957" s="3">
        <f t="shared" si="29"/>
        <v>0</v>
      </c>
      <c r="X957" s="3">
        <f t="shared" si="30"/>
        <v>0</v>
      </c>
      <c r="Y957" s="3">
        <f t="shared" si="31"/>
        <v>0</v>
      </c>
      <c r="Z957" s="69">
        <v>1.0</v>
      </c>
      <c r="AA957" s="26">
        <f>VLOOKUP(S957,CPI!$A$2:$E$67,5,0)</f>
        <v>1.828943577</v>
      </c>
      <c r="AB957" s="27">
        <f t="shared" si="8"/>
        <v>512.1042017</v>
      </c>
      <c r="AC957" s="27">
        <f t="shared" si="9"/>
        <v>121.9295718</v>
      </c>
    </row>
    <row r="958">
      <c r="A958" s="7"/>
      <c r="B958" s="74" t="s">
        <v>1861</v>
      </c>
      <c r="C958" s="74" t="s">
        <v>1862</v>
      </c>
      <c r="D958" s="237" t="s">
        <v>1948</v>
      </c>
      <c r="E958" s="74" t="s">
        <v>1955</v>
      </c>
      <c r="F958" s="70">
        <v>2005.0</v>
      </c>
      <c r="G958" s="70">
        <v>2009.0</v>
      </c>
      <c r="H958" s="115">
        <v>0.0</v>
      </c>
      <c r="I958" s="70">
        <v>2.5</v>
      </c>
      <c r="J958" s="71">
        <v>0.9113</v>
      </c>
      <c r="K958" s="70">
        <v>2.3</v>
      </c>
      <c r="L958" s="115">
        <v>0.0</v>
      </c>
      <c r="M958" s="70">
        <v>0.25</v>
      </c>
      <c r="N958" s="115">
        <v>1.0</v>
      </c>
      <c r="O958" s="70">
        <v>82.0</v>
      </c>
      <c r="P958" s="254" t="s">
        <v>60</v>
      </c>
      <c r="Q958" s="73">
        <v>180.0</v>
      </c>
      <c r="R958" s="74" t="s">
        <v>1950</v>
      </c>
      <c r="S958" s="70">
        <v>2005.0</v>
      </c>
      <c r="T958" s="115">
        <v>1.4</v>
      </c>
      <c r="U958" s="376">
        <f t="shared" si="100"/>
        <v>252</v>
      </c>
      <c r="V958" s="24">
        <f t="shared" si="3"/>
        <v>100.8</v>
      </c>
      <c r="W958" s="3">
        <f t="shared" si="29"/>
        <v>0</v>
      </c>
      <c r="X958" s="3">
        <f t="shared" si="30"/>
        <v>0</v>
      </c>
      <c r="Y958" s="3">
        <f t="shared" si="31"/>
        <v>0</v>
      </c>
      <c r="Z958" s="69">
        <v>1.0</v>
      </c>
      <c r="AA958" s="26">
        <f>VLOOKUP(S958,CPI!$A$2:$E$67,5,0)</f>
        <v>1.560174091</v>
      </c>
      <c r="AB958" s="27">
        <f t="shared" si="8"/>
        <v>393.163871</v>
      </c>
      <c r="AC958" s="27">
        <f t="shared" si="9"/>
        <v>157.2655484</v>
      </c>
    </row>
    <row r="959">
      <c r="A959" s="7"/>
      <c r="B959" s="74" t="s">
        <v>1861</v>
      </c>
      <c r="C959" s="74" t="s">
        <v>1862</v>
      </c>
      <c r="D959" s="237" t="s">
        <v>1948</v>
      </c>
      <c r="E959" s="74" t="s">
        <v>1957</v>
      </c>
      <c r="F959" s="70">
        <v>1988.0</v>
      </c>
      <c r="G959" s="70">
        <v>1991.0</v>
      </c>
      <c r="H959" s="115">
        <v>0.0</v>
      </c>
      <c r="I959" s="73">
        <v>2.01</v>
      </c>
      <c r="J959" s="117">
        <v>0.8</v>
      </c>
      <c r="K959" s="70">
        <v>1.79</v>
      </c>
      <c r="L959" s="70">
        <v>0.2</v>
      </c>
      <c r="M959" s="378">
        <v>0.0</v>
      </c>
      <c r="N959" s="70">
        <v>1.0</v>
      </c>
      <c r="O959" s="70">
        <v>82.0</v>
      </c>
      <c r="P959" s="254" t="s">
        <v>60</v>
      </c>
      <c r="Q959" s="73">
        <v>295.0</v>
      </c>
      <c r="R959" s="74" t="s">
        <v>1950</v>
      </c>
      <c r="S959" s="70">
        <v>1991.0</v>
      </c>
      <c r="T959" s="115">
        <v>1.5</v>
      </c>
      <c r="U959" s="376">
        <f t="shared" si="100"/>
        <v>442.5</v>
      </c>
      <c r="V959" s="24">
        <f t="shared" si="3"/>
        <v>220.1492537</v>
      </c>
      <c r="W959" s="3">
        <f t="shared" si="29"/>
        <v>0</v>
      </c>
      <c r="X959" s="3">
        <f t="shared" si="30"/>
        <v>0</v>
      </c>
      <c r="Y959" s="3">
        <f t="shared" si="31"/>
        <v>0</v>
      </c>
      <c r="Z959" s="69">
        <v>1.0</v>
      </c>
      <c r="AA959" s="26">
        <f>VLOOKUP(S959,CPI!$A$2:$E$67,5,0)</f>
        <v>2.237165932</v>
      </c>
      <c r="AB959" s="27">
        <f t="shared" si="8"/>
        <v>989.9459251</v>
      </c>
      <c r="AC959" s="27">
        <f t="shared" si="9"/>
        <v>492.5104105</v>
      </c>
    </row>
    <row r="960">
      <c r="A960" s="7"/>
      <c r="B960" s="74" t="s">
        <v>1861</v>
      </c>
      <c r="C960" s="74" t="s">
        <v>1862</v>
      </c>
      <c r="D960" s="237" t="s">
        <v>1948</v>
      </c>
      <c r="E960" s="74" t="s">
        <v>1959</v>
      </c>
      <c r="F960" s="70">
        <v>1991.0</v>
      </c>
      <c r="G960" s="70">
        <v>1994.0</v>
      </c>
      <c r="H960" s="115">
        <v>0.0</v>
      </c>
      <c r="I960" s="70">
        <v>12.73</v>
      </c>
      <c r="J960" s="71">
        <v>0.0</v>
      </c>
      <c r="K960" s="70">
        <v>0.0</v>
      </c>
      <c r="L960" s="70">
        <v>4.92</v>
      </c>
      <c r="M960" s="70">
        <v>7.81</v>
      </c>
      <c r="N960" s="70">
        <v>12.0</v>
      </c>
      <c r="O960" s="70">
        <v>54.0</v>
      </c>
      <c r="P960" s="254" t="s">
        <v>1960</v>
      </c>
      <c r="Q960" s="73">
        <v>280.0</v>
      </c>
      <c r="R960" s="74" t="s">
        <v>1950</v>
      </c>
      <c r="S960" s="70">
        <v>1994.0</v>
      </c>
      <c r="T960" s="115">
        <v>1.5</v>
      </c>
      <c r="U960" s="376">
        <f t="shared" si="100"/>
        <v>420</v>
      </c>
      <c r="V960" s="24">
        <f t="shared" si="3"/>
        <v>32.99293009</v>
      </c>
      <c r="W960" s="3">
        <f t="shared" si="29"/>
        <v>0</v>
      </c>
      <c r="X960" s="3">
        <f t="shared" si="30"/>
        <v>0</v>
      </c>
      <c r="Y960" s="3">
        <f t="shared" si="31"/>
        <v>0</v>
      </c>
      <c r="Z960" s="69">
        <v>1.0</v>
      </c>
      <c r="AA960" s="26">
        <f>VLOOKUP(S960,CPI!$A$2:$E$67,5,0)</f>
        <v>2.056018893</v>
      </c>
      <c r="AB960" s="27">
        <f t="shared" si="8"/>
        <v>863.5279352</v>
      </c>
      <c r="AC960" s="27">
        <f t="shared" si="9"/>
        <v>67.83408761</v>
      </c>
    </row>
    <row r="961">
      <c r="A961" s="7"/>
      <c r="B961" s="74" t="s">
        <v>1861</v>
      </c>
      <c r="C961" s="114" t="s">
        <v>1862</v>
      </c>
      <c r="D961" s="114" t="s">
        <v>1962</v>
      </c>
      <c r="E961" s="114" t="s">
        <v>1962</v>
      </c>
      <c r="F961" s="116">
        <v>1993.0</v>
      </c>
      <c r="G961" s="116">
        <v>1998.0</v>
      </c>
      <c r="H961" s="115">
        <v>1.0</v>
      </c>
      <c r="I961" s="116">
        <v>11.12</v>
      </c>
      <c r="J961" s="71">
        <v>0.6115</v>
      </c>
      <c r="K961" s="116">
        <v>6.8</v>
      </c>
      <c r="L961" s="116">
        <v>2.24</v>
      </c>
      <c r="M961" s="116">
        <v>2.08</v>
      </c>
      <c r="N961" s="116">
        <v>2.0</v>
      </c>
      <c r="O961" s="116">
        <v>200.0</v>
      </c>
      <c r="P961" s="114" t="s">
        <v>1963</v>
      </c>
      <c r="Q961" s="116">
        <v>500.0</v>
      </c>
      <c r="R961" s="114" t="s">
        <v>1950</v>
      </c>
      <c r="S961" s="116">
        <v>1998.0</v>
      </c>
      <c r="T961" s="193">
        <f>1/0.72</f>
        <v>1.388888889</v>
      </c>
      <c r="U961" s="376">
        <f t="shared" si="100"/>
        <v>694.4444444</v>
      </c>
      <c r="V961" s="24">
        <f t="shared" si="3"/>
        <v>62.45003997</v>
      </c>
      <c r="W961" s="3">
        <f t="shared" si="29"/>
        <v>0</v>
      </c>
      <c r="X961" s="3">
        <f t="shared" si="30"/>
        <v>0</v>
      </c>
      <c r="Y961" s="3">
        <f t="shared" si="31"/>
        <v>0</v>
      </c>
      <c r="Z961" s="69">
        <v>1.0</v>
      </c>
      <c r="AA961" s="26">
        <f>VLOOKUP(S961,CPI!$A$2:$E$67,5,0)</f>
        <v>1.869337423</v>
      </c>
      <c r="AB961" s="27">
        <f t="shared" si="8"/>
        <v>1298.150988</v>
      </c>
      <c r="AC961" s="27">
        <f t="shared" si="9"/>
        <v>116.7401968</v>
      </c>
    </row>
    <row r="962">
      <c r="A962" s="7"/>
      <c r="B962" s="74" t="s">
        <v>1861</v>
      </c>
      <c r="C962" s="114" t="s">
        <v>1862</v>
      </c>
      <c r="D962" s="326" t="s">
        <v>1966</v>
      </c>
      <c r="E962" s="114" t="s">
        <v>1967</v>
      </c>
      <c r="F962" s="116">
        <v>1986.0</v>
      </c>
      <c r="G962" s="116">
        <v>1991.0</v>
      </c>
      <c r="H962" s="115">
        <v>1.0</v>
      </c>
      <c r="I962" s="116">
        <v>3.02</v>
      </c>
      <c r="J962" s="117">
        <v>0.3</v>
      </c>
      <c r="K962" s="116">
        <v>0.9</v>
      </c>
      <c r="L962" s="114"/>
      <c r="M962" s="82">
        <v>2.12</v>
      </c>
      <c r="N962" s="116">
        <v>1.0</v>
      </c>
      <c r="O962" s="116">
        <v>240.0</v>
      </c>
      <c r="P962" s="114" t="s">
        <v>1963</v>
      </c>
      <c r="Q962" s="116">
        <v>44.0</v>
      </c>
      <c r="R962" s="114" t="s">
        <v>1950</v>
      </c>
      <c r="S962" s="116">
        <v>1991.0</v>
      </c>
      <c r="T962" s="193">
        <v>1.54</v>
      </c>
      <c r="U962" s="376">
        <f t="shared" si="100"/>
        <v>67.76</v>
      </c>
      <c r="V962" s="24">
        <f t="shared" si="3"/>
        <v>22.43708609</v>
      </c>
      <c r="W962" s="3">
        <f t="shared" si="29"/>
        <v>0</v>
      </c>
      <c r="X962" s="3">
        <f t="shared" si="30"/>
        <v>0</v>
      </c>
      <c r="Y962" s="3">
        <f t="shared" si="31"/>
        <v>0</v>
      </c>
      <c r="Z962" s="69">
        <v>1.0</v>
      </c>
      <c r="AA962" s="26">
        <f>VLOOKUP(S962,CPI!$A$2:$E$67,5,0)</f>
        <v>2.237165932</v>
      </c>
      <c r="AB962" s="27">
        <f t="shared" si="8"/>
        <v>151.5903636</v>
      </c>
      <c r="AC962" s="27">
        <f t="shared" si="9"/>
        <v>50.19548463</v>
      </c>
    </row>
    <row r="963">
      <c r="A963" s="7"/>
      <c r="B963" s="74" t="s">
        <v>1861</v>
      </c>
      <c r="C963" s="114" t="s">
        <v>1862</v>
      </c>
      <c r="D963" s="114" t="s">
        <v>1969</v>
      </c>
      <c r="E963" s="115" t="s">
        <v>1970</v>
      </c>
      <c r="F963" s="116">
        <v>1967.0</v>
      </c>
      <c r="G963" s="116">
        <v>1971.0</v>
      </c>
      <c r="H963" s="115">
        <v>0.0</v>
      </c>
      <c r="I963" s="116">
        <v>5.63</v>
      </c>
      <c r="J963" s="117">
        <v>1.0</v>
      </c>
      <c r="K963" s="116">
        <v>5.63</v>
      </c>
      <c r="L963" s="115">
        <v>0.0</v>
      </c>
      <c r="M963" s="115">
        <v>0.0</v>
      </c>
      <c r="N963" s="116">
        <v>4.0</v>
      </c>
      <c r="O963" s="116">
        <v>135.0</v>
      </c>
      <c r="P963" s="114" t="s">
        <v>42</v>
      </c>
      <c r="Q963" s="379">
        <v>260.06</v>
      </c>
      <c r="R963" s="114" t="s">
        <v>1950</v>
      </c>
      <c r="S963" s="82">
        <v>2023.0</v>
      </c>
      <c r="T963" s="193">
        <v>1.47</v>
      </c>
      <c r="U963" s="376">
        <f t="shared" si="100"/>
        <v>382.2882</v>
      </c>
      <c r="V963" s="24">
        <f t="shared" si="3"/>
        <v>67.90198934</v>
      </c>
      <c r="W963" s="3">
        <f t="shared" si="29"/>
        <v>0</v>
      </c>
      <c r="X963" s="3">
        <f t="shared" si="30"/>
        <v>0</v>
      </c>
      <c r="Y963" s="3">
        <f t="shared" si="31"/>
        <v>0</v>
      </c>
      <c r="Z963" s="69">
        <v>1.0</v>
      </c>
      <c r="AA963" s="26">
        <f>VLOOKUP(S963,CPI!$A$2:$E$67,5,0)</f>
        <v>1</v>
      </c>
      <c r="AB963" s="27">
        <f t="shared" si="8"/>
        <v>382.2882</v>
      </c>
      <c r="AC963" s="27">
        <f t="shared" si="9"/>
        <v>67.90198934</v>
      </c>
    </row>
    <row r="964">
      <c r="A964" s="7"/>
      <c r="B964" s="74" t="s">
        <v>1861</v>
      </c>
      <c r="C964" s="114" t="s">
        <v>1862</v>
      </c>
      <c r="D964" s="114" t="s">
        <v>1969</v>
      </c>
      <c r="E964" s="115" t="s">
        <v>1972</v>
      </c>
      <c r="F964" s="116">
        <v>1962.0</v>
      </c>
      <c r="G964" s="116">
        <v>1969.0</v>
      </c>
      <c r="H964" s="115">
        <v>0.0</v>
      </c>
      <c r="I964" s="116">
        <v>16.989</v>
      </c>
      <c r="J964" s="117">
        <v>1.0</v>
      </c>
      <c r="K964" s="116">
        <v>16.989</v>
      </c>
      <c r="L964" s="115">
        <v>0.0</v>
      </c>
      <c r="M964" s="115">
        <v>0.0</v>
      </c>
      <c r="N964" s="116">
        <v>12.0</v>
      </c>
      <c r="O964" s="116">
        <v>135.0</v>
      </c>
      <c r="P964" s="114" t="s">
        <v>42</v>
      </c>
      <c r="Q964" s="379">
        <v>1024.55</v>
      </c>
      <c r="R964" s="114" t="s">
        <v>1950</v>
      </c>
      <c r="S964" s="82">
        <v>2023.0</v>
      </c>
      <c r="T964" s="193">
        <v>1.47</v>
      </c>
      <c r="U964" s="376">
        <f t="shared" si="100"/>
        <v>1506.0885</v>
      </c>
      <c r="V964" s="24">
        <f t="shared" si="3"/>
        <v>88.65080346</v>
      </c>
      <c r="W964" s="3">
        <f t="shared" si="29"/>
        <v>0</v>
      </c>
      <c r="X964" s="3">
        <f t="shared" si="30"/>
        <v>0</v>
      </c>
      <c r="Y964" s="3">
        <f t="shared" si="31"/>
        <v>0</v>
      </c>
      <c r="Z964" s="69">
        <v>1.0</v>
      </c>
      <c r="AA964" s="26">
        <f>VLOOKUP(S964,CPI!$A$2:$E$67,5,0)</f>
        <v>1</v>
      </c>
      <c r="AB964" s="27">
        <f t="shared" si="8"/>
        <v>1506.0885</v>
      </c>
      <c r="AC964" s="27">
        <f t="shared" si="9"/>
        <v>88.65080346</v>
      </c>
    </row>
    <row r="965">
      <c r="A965" s="7"/>
      <c r="B965" s="74" t="s">
        <v>1861</v>
      </c>
      <c r="C965" s="114" t="s">
        <v>1862</v>
      </c>
      <c r="D965" s="326" t="s">
        <v>1974</v>
      </c>
      <c r="E965" s="115" t="s">
        <v>1975</v>
      </c>
      <c r="F965" s="116">
        <v>1971.0</v>
      </c>
      <c r="G965" s="116">
        <v>1979.0</v>
      </c>
      <c r="H965" s="115">
        <v>0.0</v>
      </c>
      <c r="I965" s="116">
        <v>4.43</v>
      </c>
      <c r="J965" s="117">
        <v>1.0</v>
      </c>
      <c r="K965" s="116">
        <v>4.43</v>
      </c>
      <c r="L965" s="115">
        <v>0.0</v>
      </c>
      <c r="M965" s="115">
        <v>0.0</v>
      </c>
      <c r="N965" s="116">
        <v>4.0</v>
      </c>
      <c r="O965" s="116">
        <v>125.0</v>
      </c>
      <c r="P965" s="114" t="s">
        <v>42</v>
      </c>
      <c r="Q965" s="82">
        <v>424.1</v>
      </c>
      <c r="R965" s="114" t="s">
        <v>1950</v>
      </c>
      <c r="S965" s="82">
        <v>2023.0</v>
      </c>
      <c r="T965" s="193">
        <v>1.47</v>
      </c>
      <c r="U965" s="376">
        <f t="shared" si="100"/>
        <v>623.427</v>
      </c>
      <c r="V965" s="24">
        <f t="shared" si="3"/>
        <v>140.7284424</v>
      </c>
      <c r="W965" s="3">
        <f t="shared" si="29"/>
        <v>0</v>
      </c>
      <c r="X965" s="3">
        <f t="shared" si="30"/>
        <v>0</v>
      </c>
      <c r="Y965" s="3">
        <f t="shared" si="31"/>
        <v>0</v>
      </c>
      <c r="Z965" s="69">
        <v>1.0</v>
      </c>
      <c r="AA965" s="26">
        <f>VLOOKUP(S965,CPI!$A$2:$E$67,5,0)</f>
        <v>1</v>
      </c>
      <c r="AB965" s="27">
        <f t="shared" si="8"/>
        <v>623.427</v>
      </c>
      <c r="AC965" s="27">
        <f t="shared" si="9"/>
        <v>140.7284424</v>
      </c>
    </row>
    <row r="966">
      <c r="A966" s="7"/>
      <c r="B966" s="114" t="s">
        <v>1861</v>
      </c>
      <c r="C966" s="114" t="s">
        <v>1862</v>
      </c>
      <c r="D966" s="326" t="s">
        <v>1977</v>
      </c>
      <c r="E966" s="114" t="s">
        <v>1978</v>
      </c>
      <c r="F966" s="70">
        <v>1971.0</v>
      </c>
      <c r="G966" s="116">
        <v>1977.0</v>
      </c>
      <c r="H966" s="115">
        <v>0.0</v>
      </c>
      <c r="I966" s="116">
        <v>5.6</v>
      </c>
      <c r="J966" s="117">
        <v>0.84</v>
      </c>
      <c r="K966" s="116">
        <v>4.69</v>
      </c>
      <c r="L966" s="115">
        <v>0.0</v>
      </c>
      <c r="M966" s="116">
        <v>0.91</v>
      </c>
      <c r="N966" s="116">
        <v>2.0</v>
      </c>
      <c r="O966" s="116">
        <v>107.0</v>
      </c>
      <c r="P966" s="114" t="s">
        <v>42</v>
      </c>
      <c r="Q966" s="82">
        <v>163.06</v>
      </c>
      <c r="R966" s="114" t="s">
        <v>1950</v>
      </c>
      <c r="S966" s="82">
        <v>2023.0</v>
      </c>
      <c r="T966" s="82">
        <v>1.5</v>
      </c>
      <c r="U966" s="376">
        <f t="shared" si="100"/>
        <v>244.59</v>
      </c>
      <c r="V966" s="24">
        <f t="shared" si="3"/>
        <v>43.67678571</v>
      </c>
      <c r="W966" s="3">
        <f t="shared" si="29"/>
        <v>0</v>
      </c>
      <c r="X966" s="3">
        <f t="shared" si="30"/>
        <v>0</v>
      </c>
      <c r="Y966" s="3">
        <f t="shared" si="31"/>
        <v>0</v>
      </c>
      <c r="Z966" s="69">
        <v>1.0</v>
      </c>
      <c r="AA966" s="26">
        <f>VLOOKUP(S966,CPI!$A$2:$E$67,5,0)</f>
        <v>1</v>
      </c>
      <c r="AB966" s="27">
        <f t="shared" si="8"/>
        <v>244.59</v>
      </c>
      <c r="AC966" s="27">
        <f t="shared" si="9"/>
        <v>43.67678571</v>
      </c>
    </row>
    <row r="967">
      <c r="A967" s="7"/>
      <c r="B967" s="114" t="s">
        <v>1861</v>
      </c>
      <c r="C967" s="114" t="s">
        <v>1862</v>
      </c>
      <c r="D967" s="326" t="s">
        <v>1977</v>
      </c>
      <c r="E967" s="114" t="s">
        <v>1980</v>
      </c>
      <c r="F967" s="70">
        <v>1983.0</v>
      </c>
      <c r="G967" s="116">
        <v>1986.0</v>
      </c>
      <c r="H967" s="115">
        <v>0.0</v>
      </c>
      <c r="I967" s="116">
        <v>2.9</v>
      </c>
      <c r="J967" s="117">
        <v>1.0</v>
      </c>
      <c r="K967" s="116">
        <v>2.9</v>
      </c>
      <c r="L967" s="115">
        <v>0.0</v>
      </c>
      <c r="M967" s="115">
        <v>0.0</v>
      </c>
      <c r="N967" s="116">
        <v>1.0</v>
      </c>
      <c r="O967" s="116">
        <v>107.0</v>
      </c>
      <c r="P967" s="114" t="s">
        <v>42</v>
      </c>
      <c r="Q967" s="82">
        <v>77.18</v>
      </c>
      <c r="R967" s="114" t="s">
        <v>1950</v>
      </c>
      <c r="S967" s="82">
        <v>2023.0</v>
      </c>
      <c r="T967" s="82">
        <v>1.5</v>
      </c>
      <c r="U967" s="376">
        <f t="shared" si="100"/>
        <v>115.77</v>
      </c>
      <c r="V967" s="24">
        <f t="shared" si="3"/>
        <v>39.92068966</v>
      </c>
      <c r="W967" s="3">
        <f t="shared" si="29"/>
        <v>0</v>
      </c>
      <c r="X967" s="3">
        <f t="shared" si="30"/>
        <v>0</v>
      </c>
      <c r="Y967" s="3">
        <f t="shared" si="31"/>
        <v>0</v>
      </c>
      <c r="Z967" s="69">
        <v>1.0</v>
      </c>
      <c r="AA967" s="26">
        <f>VLOOKUP(S967,CPI!$A$2:$E$67,5,0)</f>
        <v>1</v>
      </c>
      <c r="AB967" s="27">
        <f t="shared" si="8"/>
        <v>115.77</v>
      </c>
      <c r="AC967" s="27">
        <f t="shared" si="9"/>
        <v>39.92068966</v>
      </c>
    </row>
    <row r="968">
      <c r="A968" s="206"/>
      <c r="B968" s="385" t="s">
        <v>1403</v>
      </c>
      <c r="C968" s="206" t="s">
        <v>1986</v>
      </c>
      <c r="D968" s="255" t="s">
        <v>1987</v>
      </c>
      <c r="E968" s="206" t="s">
        <v>1988</v>
      </c>
      <c r="F968" s="253">
        <v>1986.0</v>
      </c>
      <c r="G968" s="383">
        <v>1992.0</v>
      </c>
      <c r="H968" s="385">
        <v>0.0</v>
      </c>
      <c r="I968" s="383">
        <v>1.1</v>
      </c>
      <c r="J968" s="386">
        <v>0.1818</v>
      </c>
      <c r="K968" s="383">
        <v>0.2</v>
      </c>
      <c r="L968" s="253">
        <v>1.0</v>
      </c>
      <c r="M968" s="255"/>
      <c r="N968" s="383">
        <v>1.0</v>
      </c>
      <c r="O968" s="383">
        <v>120.0</v>
      </c>
      <c r="P968" s="206" t="s">
        <v>60</v>
      </c>
      <c r="Q968" s="387">
        <v>9700.0</v>
      </c>
      <c r="R968" s="206" t="s">
        <v>1407</v>
      </c>
      <c r="S968" s="253">
        <v>1992.0</v>
      </c>
      <c r="T968" s="82">
        <f>1/185.65</f>
        <v>0.005386479935</v>
      </c>
      <c r="U968" s="376">
        <f t="shared" si="100"/>
        <v>52.24885537</v>
      </c>
      <c r="V968" s="24">
        <f t="shared" si="3"/>
        <v>47.49895943</v>
      </c>
      <c r="W968" s="3">
        <f t="shared" si="29"/>
        <v>0</v>
      </c>
      <c r="X968" s="3">
        <f t="shared" si="30"/>
        <v>0</v>
      </c>
      <c r="Y968" s="54"/>
      <c r="Z968" s="385">
        <v>0.0</v>
      </c>
      <c r="AA968" s="26">
        <f>VLOOKUP(S968,CPI!$A$2:$E$67,5,0)</f>
        <v>2.171789024</v>
      </c>
      <c r="AB968" s="27">
        <f t="shared" si="8"/>
        <v>113.4734906</v>
      </c>
      <c r="AC968" s="27">
        <f t="shared" si="9"/>
        <v>103.1577187</v>
      </c>
    </row>
    <row r="969">
      <c r="A969" s="206"/>
      <c r="B969" s="385" t="s">
        <v>1403</v>
      </c>
      <c r="C969" s="206" t="s">
        <v>1986</v>
      </c>
      <c r="D969" s="206" t="s">
        <v>1987</v>
      </c>
      <c r="E969" s="206" t="s">
        <v>1990</v>
      </c>
      <c r="F969" s="253">
        <v>1981.0</v>
      </c>
      <c r="G969" s="383">
        <v>1987.0</v>
      </c>
      <c r="H969" s="385">
        <v>0.0</v>
      </c>
      <c r="I969" s="383">
        <v>15.44</v>
      </c>
      <c r="J969" s="384">
        <v>0.76</v>
      </c>
      <c r="K969" s="383">
        <v>11.59</v>
      </c>
      <c r="L969" s="383">
        <v>2.75</v>
      </c>
      <c r="M969" s="206"/>
      <c r="N969" s="383">
        <v>16.0</v>
      </c>
      <c r="O969" s="383">
        <v>120.0</v>
      </c>
      <c r="P969" s="206" t="s">
        <v>60</v>
      </c>
      <c r="Q969" s="387">
        <v>292500.0</v>
      </c>
      <c r="R969" s="206" t="s">
        <v>1407</v>
      </c>
      <c r="S969" s="387">
        <v>2023.0</v>
      </c>
      <c r="T969" s="82">
        <f>1/95.27</f>
        <v>0.01049648368</v>
      </c>
      <c r="U969" s="376">
        <f t="shared" si="100"/>
        <v>3070.221476</v>
      </c>
      <c r="V969" s="24">
        <f t="shared" si="3"/>
        <v>198.8485412</v>
      </c>
      <c r="W969" s="3">
        <f t="shared" si="29"/>
        <v>0</v>
      </c>
      <c r="X969" s="3">
        <f t="shared" si="30"/>
        <v>0</v>
      </c>
      <c r="Y969" s="206"/>
      <c r="Z969" s="385">
        <v>0.0</v>
      </c>
      <c r="AA969" s="26">
        <f>VLOOKUP(S969,CPI!$A$2:$E$67,5,0)</f>
        <v>1</v>
      </c>
      <c r="AB969" s="27">
        <f t="shared" si="8"/>
        <v>3070.221476</v>
      </c>
      <c r="AC969" s="27">
        <f t="shared" si="9"/>
        <v>198.8485412</v>
      </c>
    </row>
    <row r="970">
      <c r="A970" s="206"/>
      <c r="B970" s="385" t="s">
        <v>1403</v>
      </c>
      <c r="C970" s="206" t="s">
        <v>1986</v>
      </c>
      <c r="D970" s="206" t="s">
        <v>1992</v>
      </c>
      <c r="E970" s="385" t="s">
        <v>1993</v>
      </c>
      <c r="F970" s="253">
        <v>2006.0</v>
      </c>
      <c r="G970" s="383">
        <v>2015.0</v>
      </c>
      <c r="H970" s="385">
        <v>0.0</v>
      </c>
      <c r="I970" s="383">
        <v>14.4</v>
      </c>
      <c r="J970" s="253">
        <f>100-4.17</f>
        <v>95.83</v>
      </c>
      <c r="K970" s="383">
        <v>13.78</v>
      </c>
      <c r="L970" s="383">
        <v>0.6</v>
      </c>
      <c r="M970" s="206"/>
      <c r="N970" s="383">
        <v>13.0</v>
      </c>
      <c r="O970" s="383">
        <v>82.5</v>
      </c>
      <c r="P970" s="206" t="s">
        <v>60</v>
      </c>
      <c r="Q970" s="387">
        <v>232700.0</v>
      </c>
      <c r="R970" s="255" t="s">
        <v>1407</v>
      </c>
      <c r="S970" s="383">
        <v>2015.0</v>
      </c>
      <c r="T970" s="82">
        <f>1/103.45</f>
        <v>0.009666505558</v>
      </c>
      <c r="U970" s="376">
        <f t="shared" si="100"/>
        <v>2249.395843</v>
      </c>
      <c r="V970" s="24">
        <f t="shared" si="3"/>
        <v>156.2080447</v>
      </c>
      <c r="W970" s="3">
        <f t="shared" si="29"/>
        <v>0</v>
      </c>
      <c r="X970" s="3">
        <f t="shared" si="30"/>
        <v>0</v>
      </c>
      <c r="Y970" s="206"/>
      <c r="Z970" s="385">
        <v>0.0</v>
      </c>
      <c r="AA970" s="26">
        <f>VLOOKUP(S970,CPI!$A$2:$E$67,5,0)</f>
        <v>1.285570233</v>
      </c>
      <c r="AB970" s="27">
        <f t="shared" si="8"/>
        <v>2891.756339</v>
      </c>
      <c r="AC970" s="27">
        <f t="shared" si="9"/>
        <v>200.8164125</v>
      </c>
    </row>
    <row r="971">
      <c r="A971" s="206"/>
      <c r="B971" s="385" t="s">
        <v>1403</v>
      </c>
      <c r="C971" s="206" t="s">
        <v>1986</v>
      </c>
      <c r="D971" s="206" t="s">
        <v>663</v>
      </c>
      <c r="E971" s="385" t="s">
        <v>1995</v>
      </c>
      <c r="F971" s="253">
        <v>2002.0</v>
      </c>
      <c r="G971" s="383">
        <v>2007.0</v>
      </c>
      <c r="H971" s="383">
        <v>1.0</v>
      </c>
      <c r="I971" s="383">
        <v>3.55</v>
      </c>
      <c r="J971" s="384">
        <v>0.08</v>
      </c>
      <c r="K971" s="383">
        <v>0.3</v>
      </c>
      <c r="L971" s="383">
        <v>5.8</v>
      </c>
      <c r="M971" s="383">
        <v>0.4</v>
      </c>
      <c r="N971" s="383">
        <v>3.0</v>
      </c>
      <c r="O971" s="383">
        <v>120.0</v>
      </c>
      <c r="P971" s="206" t="s">
        <v>60</v>
      </c>
      <c r="Q971" s="385">
        <v>32900.0</v>
      </c>
      <c r="R971" s="255" t="s">
        <v>1407</v>
      </c>
      <c r="S971" s="383">
        <v>2007.0</v>
      </c>
      <c r="T971" s="82">
        <f>1/120.32</f>
        <v>0.008311170213</v>
      </c>
      <c r="U971" s="376">
        <f t="shared" si="100"/>
        <v>273.4375</v>
      </c>
      <c r="V971" s="24">
        <f t="shared" si="3"/>
        <v>77.02464789</v>
      </c>
      <c r="W971" s="3">
        <f t="shared" si="29"/>
        <v>0</v>
      </c>
      <c r="X971" s="3">
        <f t="shared" si="30"/>
        <v>0</v>
      </c>
      <c r="Y971" s="206"/>
      <c r="Z971" s="385">
        <v>0.0</v>
      </c>
      <c r="AA971" s="26">
        <f>VLOOKUP(S971,CPI!$A$2:$E$67,5,0)</f>
        <v>1.469562366</v>
      </c>
      <c r="AB971" s="27">
        <f t="shared" si="8"/>
        <v>401.8334593</v>
      </c>
      <c r="AC971" s="27">
        <f t="shared" si="9"/>
        <v>113.1925238</v>
      </c>
    </row>
    <row r="972">
      <c r="A972" s="206"/>
      <c r="B972" s="385" t="s">
        <v>1403</v>
      </c>
      <c r="C972" s="206" t="s">
        <v>1986</v>
      </c>
      <c r="D972" s="385" t="s">
        <v>1997</v>
      </c>
      <c r="E972" s="385" t="s">
        <v>1998</v>
      </c>
      <c r="F972" s="383">
        <v>1981.0</v>
      </c>
      <c r="G972" s="383">
        <v>2000.0</v>
      </c>
      <c r="H972" s="253">
        <v>1.0</v>
      </c>
      <c r="I972" s="383">
        <v>3.9</v>
      </c>
      <c r="J972" s="386">
        <v>0.8974</v>
      </c>
      <c r="K972" s="383">
        <v>3.5</v>
      </c>
      <c r="L972" s="206"/>
      <c r="M972" s="383">
        <v>0.4</v>
      </c>
      <c r="N972" s="383">
        <v>5.0</v>
      </c>
      <c r="O972" s="383">
        <v>80.0</v>
      </c>
      <c r="P972" s="206" t="s">
        <v>60</v>
      </c>
      <c r="Q972" s="392">
        <v>65400.0</v>
      </c>
      <c r="R972" s="206" t="s">
        <v>1407</v>
      </c>
      <c r="S972" s="383">
        <v>2000.0</v>
      </c>
      <c r="T972" s="82">
        <f>1/154.69</f>
        <v>0.006464541987</v>
      </c>
      <c r="U972" s="376">
        <f t="shared" si="100"/>
        <v>422.781046</v>
      </c>
      <c r="V972" s="24">
        <f t="shared" si="3"/>
        <v>108.4053964</v>
      </c>
      <c r="W972" s="3">
        <f t="shared" si="29"/>
        <v>0</v>
      </c>
      <c r="X972" s="3">
        <f t="shared" si="30"/>
        <v>0</v>
      </c>
      <c r="Y972" s="206"/>
      <c r="Z972" s="385">
        <v>0.0</v>
      </c>
      <c r="AA972" s="26">
        <f>VLOOKUP(S972,CPI!$A$2:$E$67,5,0)</f>
        <v>1.769465738</v>
      </c>
      <c r="AB972" s="27">
        <f t="shared" si="8"/>
        <v>748.0965753</v>
      </c>
      <c r="AC972" s="27">
        <f t="shared" si="9"/>
        <v>191.8196347</v>
      </c>
    </row>
    <row r="973">
      <c r="A973" s="206"/>
      <c r="B973" s="385" t="s">
        <v>1403</v>
      </c>
      <c r="C973" s="206" t="s">
        <v>2000</v>
      </c>
      <c r="D973" s="255" t="s">
        <v>2001</v>
      </c>
      <c r="E973" s="255" t="s">
        <v>2002</v>
      </c>
      <c r="F973" s="383">
        <v>1969.0</v>
      </c>
      <c r="G973" s="383">
        <v>1971.0</v>
      </c>
      <c r="H973" s="255"/>
      <c r="I973" s="383">
        <v>7.95</v>
      </c>
      <c r="J973" s="384">
        <v>1.0</v>
      </c>
      <c r="K973" s="383">
        <v>7.95</v>
      </c>
      <c r="L973" s="206"/>
      <c r="M973" s="206"/>
      <c r="N973" s="383">
        <v>9.0</v>
      </c>
      <c r="O973" s="383">
        <v>110.0</v>
      </c>
      <c r="P973" s="206" t="s">
        <v>60</v>
      </c>
      <c r="Q973" s="387">
        <v>99952.1</v>
      </c>
      <c r="R973" s="206" t="s">
        <v>1407</v>
      </c>
      <c r="S973" s="387">
        <v>2023.0</v>
      </c>
      <c r="T973" s="82">
        <f t="shared" ref="T973:T975" si="101">1/95.27</f>
        <v>0.01049648368</v>
      </c>
      <c r="U973" s="376">
        <f t="shared" si="100"/>
        <v>1049.145586</v>
      </c>
      <c r="V973" s="24">
        <f t="shared" si="3"/>
        <v>131.9679983</v>
      </c>
      <c r="W973" s="3">
        <f t="shared" si="29"/>
        <v>0</v>
      </c>
      <c r="X973" s="3">
        <f t="shared" si="30"/>
        <v>0</v>
      </c>
      <c r="Y973" s="206"/>
      <c r="Z973" s="385">
        <v>0.0</v>
      </c>
      <c r="AA973" s="26">
        <f>VLOOKUP(S973,CPI!$A$2:$E$67,5,0)</f>
        <v>1</v>
      </c>
      <c r="AB973" s="27">
        <f t="shared" si="8"/>
        <v>1049.145586</v>
      </c>
      <c r="AC973" s="27">
        <f t="shared" si="9"/>
        <v>131.9679983</v>
      </c>
    </row>
    <row r="974">
      <c r="A974" s="65"/>
      <c r="B974" s="385" t="s">
        <v>1403</v>
      </c>
      <c r="C974" s="54" t="s">
        <v>2000</v>
      </c>
      <c r="D974" s="54" t="s">
        <v>2001</v>
      </c>
      <c r="E974" s="388" t="s">
        <v>2004</v>
      </c>
      <c r="F974" s="383">
        <v>1970.0</v>
      </c>
      <c r="G974" s="383">
        <v>1971.0</v>
      </c>
      <c r="H974" s="206"/>
      <c r="I974" s="394">
        <v>4.675</v>
      </c>
      <c r="J974" s="386">
        <v>3.7E-4</v>
      </c>
      <c r="K974" s="383">
        <f>I974-L974</f>
        <v>0.175</v>
      </c>
      <c r="L974" s="383">
        <v>4.5</v>
      </c>
      <c r="M974" s="206"/>
      <c r="N974" s="383">
        <v>4.0</v>
      </c>
      <c r="O974" s="383">
        <v>110.0</v>
      </c>
      <c r="P974" s="206" t="s">
        <v>60</v>
      </c>
      <c r="Q974" s="387">
        <v>38443.1</v>
      </c>
      <c r="R974" s="206" t="s">
        <v>1407</v>
      </c>
      <c r="S974" s="387">
        <v>2023.0</v>
      </c>
      <c r="T974" s="82">
        <f t="shared" si="101"/>
        <v>0.01049648368</v>
      </c>
      <c r="U974" s="376">
        <f t="shared" si="100"/>
        <v>403.5173717</v>
      </c>
      <c r="V974" s="24">
        <f t="shared" si="3"/>
        <v>86.3138763</v>
      </c>
      <c r="W974" s="3">
        <f t="shared" si="29"/>
        <v>0</v>
      </c>
      <c r="X974" s="3">
        <f t="shared" si="30"/>
        <v>0</v>
      </c>
      <c r="Y974" s="206"/>
      <c r="Z974" s="385">
        <v>0.0</v>
      </c>
      <c r="AA974" s="26">
        <f>VLOOKUP(S974,CPI!$A$2:$E$67,5,0)</f>
        <v>1</v>
      </c>
      <c r="AB974" s="27">
        <f t="shared" si="8"/>
        <v>403.5173717</v>
      </c>
      <c r="AC974" s="27">
        <f t="shared" si="9"/>
        <v>86.3138763</v>
      </c>
    </row>
    <row r="975">
      <c r="A975" s="65"/>
      <c r="B975" s="385" t="s">
        <v>1403</v>
      </c>
      <c r="C975" s="54" t="s">
        <v>2000</v>
      </c>
      <c r="D975" s="54" t="s">
        <v>2001</v>
      </c>
      <c r="E975" s="388" t="s">
        <v>2005</v>
      </c>
      <c r="F975" s="383">
        <v>1974.0</v>
      </c>
      <c r="G975" s="383">
        <v>1978.0</v>
      </c>
      <c r="H975" s="206"/>
      <c r="I975" s="394">
        <v>2.2</v>
      </c>
      <c r="J975" s="384">
        <v>1.0</v>
      </c>
      <c r="K975" s="394">
        <v>2.2</v>
      </c>
      <c r="L975" s="206"/>
      <c r="M975" s="206"/>
      <c r="N975" s="383">
        <v>3.0</v>
      </c>
      <c r="O975" s="383">
        <v>110.0</v>
      </c>
      <c r="P975" s="206" t="s">
        <v>60</v>
      </c>
      <c r="Q975" s="387">
        <v>62941.2</v>
      </c>
      <c r="R975" s="206" t="s">
        <v>1407</v>
      </c>
      <c r="S975" s="387">
        <v>2023.0</v>
      </c>
      <c r="T975" s="82">
        <f t="shared" si="101"/>
        <v>0.01049648368</v>
      </c>
      <c r="U975" s="376">
        <f t="shared" si="100"/>
        <v>660.6612785</v>
      </c>
      <c r="V975" s="24">
        <f t="shared" si="3"/>
        <v>300.3005811</v>
      </c>
      <c r="W975" s="3">
        <f t="shared" si="29"/>
        <v>0</v>
      </c>
      <c r="X975" s="3">
        <f t="shared" si="30"/>
        <v>0</v>
      </c>
      <c r="Y975" s="206"/>
      <c r="Z975" s="385">
        <v>0.0</v>
      </c>
      <c r="AA975" s="26">
        <f>VLOOKUP(S975,CPI!$A$2:$E$67,5,0)</f>
        <v>1</v>
      </c>
      <c r="AB975" s="27">
        <f t="shared" si="8"/>
        <v>660.6612785</v>
      </c>
      <c r="AC975" s="27">
        <f t="shared" si="9"/>
        <v>300.3005811</v>
      </c>
    </row>
    <row r="976">
      <c r="A976" s="65"/>
      <c r="B976" s="385" t="s">
        <v>1403</v>
      </c>
      <c r="C976" s="54" t="s">
        <v>2000</v>
      </c>
      <c r="D976" s="54" t="s">
        <v>2006</v>
      </c>
      <c r="E976" s="388" t="s">
        <v>2007</v>
      </c>
      <c r="F976" s="383">
        <v>1995.0</v>
      </c>
      <c r="G976" s="383">
        <v>1999.0</v>
      </c>
      <c r="H976" s="206"/>
      <c r="I976" s="394">
        <v>2.79</v>
      </c>
      <c r="J976" s="384">
        <v>1.0</v>
      </c>
      <c r="K976" s="394">
        <v>2.79</v>
      </c>
      <c r="L976" s="206"/>
      <c r="M976" s="206"/>
      <c r="N976" s="383">
        <v>3.0</v>
      </c>
      <c r="O976" s="383">
        <v>144.0</v>
      </c>
      <c r="P976" s="206" t="s">
        <v>60</v>
      </c>
      <c r="Q976" s="387">
        <v>47900.0</v>
      </c>
      <c r="R976" s="255" t="s">
        <v>1407</v>
      </c>
      <c r="S976" s="383">
        <v>1999.0</v>
      </c>
      <c r="T976" s="82">
        <v>0.00617131572</v>
      </c>
      <c r="U976" s="376">
        <f t="shared" si="100"/>
        <v>295.606023</v>
      </c>
      <c r="V976" s="24">
        <f t="shared" si="3"/>
        <v>105.9519796</v>
      </c>
      <c r="W976" s="3">
        <f t="shared" si="29"/>
        <v>0</v>
      </c>
      <c r="X976" s="3">
        <f t="shared" si="30"/>
        <v>0</v>
      </c>
      <c r="Y976" s="206"/>
      <c r="Z976" s="385">
        <v>0.0</v>
      </c>
      <c r="AA976" s="26">
        <f>VLOOKUP(S976,CPI!$A$2:$E$67,5,0)</f>
        <v>1.828943577</v>
      </c>
      <c r="AB976" s="27">
        <f t="shared" si="8"/>
        <v>540.6467372</v>
      </c>
      <c r="AC976" s="27">
        <f t="shared" si="9"/>
        <v>193.7801925</v>
      </c>
    </row>
    <row r="977">
      <c r="A977" s="65"/>
      <c r="B977" s="385" t="s">
        <v>1403</v>
      </c>
      <c r="C977" s="54" t="s">
        <v>2000</v>
      </c>
      <c r="D977" s="54" t="s">
        <v>2006</v>
      </c>
      <c r="E977" s="388" t="s">
        <v>2008</v>
      </c>
      <c r="F977" s="383">
        <v>1973.0</v>
      </c>
      <c r="G977" s="383">
        <v>1976.0</v>
      </c>
      <c r="H977" s="206"/>
      <c r="I977" s="394">
        <v>10.67</v>
      </c>
      <c r="J977" s="384">
        <v>1.0</v>
      </c>
      <c r="K977" s="394">
        <v>10.67</v>
      </c>
      <c r="L977" s="206"/>
      <c r="M977" s="206"/>
      <c r="N977" s="383">
        <v>11.0</v>
      </c>
      <c r="O977" s="383">
        <v>162.0</v>
      </c>
      <c r="P977" s="206" t="s">
        <v>60</v>
      </c>
      <c r="Q977" s="387">
        <v>198350.3</v>
      </c>
      <c r="R977" s="255" t="s">
        <v>1407</v>
      </c>
      <c r="S977" s="387">
        <v>2023.0</v>
      </c>
      <c r="T977" s="82">
        <f t="shared" ref="T977:T979" si="102">1/95.27</f>
        <v>0.01049648368</v>
      </c>
      <c r="U977" s="376">
        <f t="shared" si="100"/>
        <v>2081.980686</v>
      </c>
      <c r="V977" s="24">
        <f t="shared" si="3"/>
        <v>195.1247129</v>
      </c>
      <c r="W977" s="3">
        <f t="shared" si="29"/>
        <v>0</v>
      </c>
      <c r="X977" s="3">
        <f t="shared" si="30"/>
        <v>0</v>
      </c>
      <c r="Y977" s="206"/>
      <c r="Z977" s="385">
        <v>0.0</v>
      </c>
      <c r="AA977" s="26">
        <f>VLOOKUP(S977,CPI!$A$2:$E$67,5,0)</f>
        <v>1</v>
      </c>
      <c r="AB977" s="27">
        <f t="shared" si="8"/>
        <v>2081.980686</v>
      </c>
      <c r="AC977" s="27">
        <f t="shared" si="9"/>
        <v>195.1247129</v>
      </c>
    </row>
    <row r="978">
      <c r="A978" s="65"/>
      <c r="B978" s="385" t="s">
        <v>1403</v>
      </c>
      <c r="C978" s="54" t="s">
        <v>2000</v>
      </c>
      <c r="D978" s="54" t="s">
        <v>2006</v>
      </c>
      <c r="E978" s="388" t="s">
        <v>2009</v>
      </c>
      <c r="F978" s="383">
        <v>1978.0</v>
      </c>
      <c r="G978" s="383">
        <v>1982.0</v>
      </c>
      <c r="H978" s="206"/>
      <c r="I978" s="394">
        <v>7.34</v>
      </c>
      <c r="J978" s="384">
        <v>1.0</v>
      </c>
      <c r="K978" s="394">
        <v>7.34</v>
      </c>
      <c r="L978" s="206"/>
      <c r="M978" s="206"/>
      <c r="N978" s="383">
        <v>7.0</v>
      </c>
      <c r="O978" s="383">
        <v>162.0</v>
      </c>
      <c r="P978" s="206" t="s">
        <v>60</v>
      </c>
      <c r="Q978" s="387">
        <v>177306.6</v>
      </c>
      <c r="R978" s="255" t="s">
        <v>1407</v>
      </c>
      <c r="S978" s="387">
        <v>2023.0</v>
      </c>
      <c r="T978" s="82">
        <f t="shared" si="102"/>
        <v>0.01049648368</v>
      </c>
      <c r="U978" s="376">
        <f t="shared" si="100"/>
        <v>1861.095833</v>
      </c>
      <c r="V978" s="24">
        <f t="shared" si="3"/>
        <v>253.5552906</v>
      </c>
      <c r="W978" s="3">
        <f t="shared" si="29"/>
        <v>0</v>
      </c>
      <c r="X978" s="3">
        <f t="shared" si="30"/>
        <v>0</v>
      </c>
      <c r="Y978" s="206"/>
      <c r="Z978" s="385">
        <v>0.0</v>
      </c>
      <c r="AA978" s="26">
        <f>VLOOKUP(S978,CPI!$A$2:$E$67,5,0)</f>
        <v>1</v>
      </c>
      <c r="AB978" s="27">
        <f t="shared" si="8"/>
        <v>1861.095833</v>
      </c>
      <c r="AC978" s="27">
        <f t="shared" si="9"/>
        <v>253.5552906</v>
      </c>
    </row>
    <row r="979">
      <c r="A979" s="65"/>
      <c r="B979" s="385" t="s">
        <v>1403</v>
      </c>
      <c r="C979" s="54" t="s">
        <v>2000</v>
      </c>
      <c r="D979" s="54" t="s">
        <v>2010</v>
      </c>
      <c r="E979" s="388" t="s">
        <v>2011</v>
      </c>
      <c r="F979" s="383">
        <v>1983.0</v>
      </c>
      <c r="G979" s="383">
        <v>1988.0</v>
      </c>
      <c r="H979" s="206"/>
      <c r="I979" s="394">
        <v>8.995</v>
      </c>
      <c r="J979" s="384">
        <v>1.0</v>
      </c>
      <c r="K979" s="394">
        <v>8.995</v>
      </c>
      <c r="L979" s="206"/>
      <c r="M979" s="206"/>
      <c r="N979" s="383">
        <v>9.0</v>
      </c>
      <c r="O979" s="383">
        <v>144.0</v>
      </c>
      <c r="P979" s="206" t="s">
        <v>60</v>
      </c>
      <c r="Q979" s="387">
        <v>290091.6</v>
      </c>
      <c r="R979" s="255" t="s">
        <v>1407</v>
      </c>
      <c r="S979" s="387">
        <v>2023.0</v>
      </c>
      <c r="T979" s="82">
        <f t="shared" si="102"/>
        <v>0.01049648368</v>
      </c>
      <c r="U979" s="376">
        <f t="shared" si="100"/>
        <v>3044.941745</v>
      </c>
      <c r="V979" s="24">
        <f t="shared" si="3"/>
        <v>338.5149243</v>
      </c>
      <c r="W979" s="3">
        <f t="shared" si="29"/>
        <v>0</v>
      </c>
      <c r="X979" s="3">
        <f t="shared" si="30"/>
        <v>0</v>
      </c>
      <c r="Y979" s="206"/>
      <c r="Z979" s="385">
        <v>0.0</v>
      </c>
      <c r="AA979" s="26">
        <f>VLOOKUP(S979,CPI!$A$2:$E$67,5,0)</f>
        <v>1</v>
      </c>
      <c r="AB979" s="27">
        <f t="shared" si="8"/>
        <v>3044.941745</v>
      </c>
      <c r="AC979" s="27">
        <f t="shared" si="9"/>
        <v>338.5149243</v>
      </c>
    </row>
    <row r="980">
      <c r="A980" s="65"/>
      <c r="B980" s="385" t="s">
        <v>1403</v>
      </c>
      <c r="C980" s="54" t="s">
        <v>2000</v>
      </c>
      <c r="D980" s="54" t="s">
        <v>2010</v>
      </c>
      <c r="E980" s="388" t="s">
        <v>2012</v>
      </c>
      <c r="F980" s="383">
        <v>1990.0</v>
      </c>
      <c r="G980" s="383">
        <v>1994.0</v>
      </c>
      <c r="H980" s="206"/>
      <c r="I980" s="394">
        <v>5.535</v>
      </c>
      <c r="J980" s="384">
        <v>1.0</v>
      </c>
      <c r="K980" s="394">
        <v>5.535</v>
      </c>
      <c r="L980" s="206"/>
      <c r="M980" s="206"/>
      <c r="N980" s="383">
        <v>5.0</v>
      </c>
      <c r="O980" s="383">
        <v>108.0</v>
      </c>
      <c r="P980" s="206" t="s">
        <v>60</v>
      </c>
      <c r="Q980" s="387">
        <v>96600.0</v>
      </c>
      <c r="R980" s="255" t="s">
        <v>1407</v>
      </c>
      <c r="S980" s="383">
        <v>1994.0</v>
      </c>
      <c r="T980" s="82">
        <f>1/178.83</f>
        <v>0.005591902925</v>
      </c>
      <c r="U980" s="376">
        <f t="shared" si="100"/>
        <v>540.1778225</v>
      </c>
      <c r="V980" s="24">
        <f t="shared" si="3"/>
        <v>97.59310253</v>
      </c>
      <c r="W980" s="3">
        <f t="shared" si="29"/>
        <v>0</v>
      </c>
      <c r="X980" s="3">
        <f t="shared" si="30"/>
        <v>0</v>
      </c>
      <c r="Y980" s="206"/>
      <c r="Z980" s="385">
        <v>0.0</v>
      </c>
      <c r="AA980" s="26">
        <f>VLOOKUP(S980,CPI!$A$2:$E$67,5,0)</f>
        <v>2.056018893</v>
      </c>
      <c r="AB980" s="27">
        <f t="shared" si="8"/>
        <v>1110.615809</v>
      </c>
      <c r="AC980" s="27">
        <f t="shared" si="9"/>
        <v>200.6532627</v>
      </c>
    </row>
    <row r="981">
      <c r="A981" s="65"/>
      <c r="B981" s="385" t="s">
        <v>1403</v>
      </c>
      <c r="C981" s="54" t="s">
        <v>1418</v>
      </c>
      <c r="D981" s="385" t="s">
        <v>2013</v>
      </c>
      <c r="E981" s="388" t="s">
        <v>2014</v>
      </c>
      <c r="F981" s="383">
        <v>1987.0</v>
      </c>
      <c r="G981" s="383">
        <v>1993.0</v>
      </c>
      <c r="H981" s="206"/>
      <c r="I981" s="383">
        <v>10.7</v>
      </c>
      <c r="J981" s="386">
        <v>0.3925</v>
      </c>
      <c r="K981" s="383">
        <v>4.2</v>
      </c>
      <c r="L981" s="383">
        <v>6.5</v>
      </c>
      <c r="M981" s="206"/>
      <c r="N981" s="383">
        <v>7.0</v>
      </c>
      <c r="O981" s="383">
        <v>144.0</v>
      </c>
      <c r="P981" s="206" t="s">
        <v>1964</v>
      </c>
      <c r="Q981" s="396">
        <v>200000.0</v>
      </c>
      <c r="R981" s="255" t="s">
        <v>1407</v>
      </c>
      <c r="S981" s="383">
        <v>1993.0</v>
      </c>
      <c r="T981" s="82">
        <f>1/182.31</f>
        <v>0.005485162635</v>
      </c>
      <c r="U981" s="376">
        <f t="shared" si="100"/>
        <v>1097.032527</v>
      </c>
      <c r="V981" s="24">
        <f t="shared" si="3"/>
        <v>102.5264044</v>
      </c>
      <c r="W981" s="54"/>
      <c r="X981" s="54"/>
      <c r="Y981" s="206"/>
      <c r="Z981" s="385">
        <v>0.0</v>
      </c>
      <c r="AA981" s="26">
        <f>VLOOKUP(S981,CPI!$A$2:$E$67,5,0)</f>
        <v>2.10866436</v>
      </c>
      <c r="AB981" s="27">
        <f t="shared" si="8"/>
        <v>2313.273391</v>
      </c>
      <c r="AC981" s="27">
        <f t="shared" si="9"/>
        <v>216.1937749</v>
      </c>
    </row>
    <row r="982">
      <c r="A982" s="65"/>
      <c r="B982" s="385" t="s">
        <v>1403</v>
      </c>
      <c r="C982" s="54" t="s">
        <v>1418</v>
      </c>
      <c r="D982" s="385" t="s">
        <v>2013</v>
      </c>
      <c r="E982" s="388" t="s">
        <v>2016</v>
      </c>
      <c r="F982" s="383">
        <v>1995.0</v>
      </c>
      <c r="G982" s="383">
        <v>1999.0</v>
      </c>
      <c r="H982" s="206"/>
      <c r="I982" s="383">
        <v>7.4</v>
      </c>
      <c r="J982" s="386">
        <v>0.9595</v>
      </c>
      <c r="K982" s="383">
        <v>7.1</v>
      </c>
      <c r="L982" s="383">
        <v>0.3</v>
      </c>
      <c r="M982" s="206"/>
      <c r="N982" s="383">
        <v>6.0</v>
      </c>
      <c r="O982" s="383">
        <v>144.0</v>
      </c>
      <c r="P982" s="206" t="s">
        <v>1964</v>
      </c>
      <c r="Q982" s="396">
        <v>164200.0</v>
      </c>
      <c r="R982" s="255" t="s">
        <v>1407</v>
      </c>
      <c r="S982" s="383">
        <v>1999.0</v>
      </c>
      <c r="T982" s="82">
        <f>1/162.04</f>
        <v>0.006171315725</v>
      </c>
      <c r="U982" s="376">
        <f t="shared" si="100"/>
        <v>1013.330042</v>
      </c>
      <c r="V982" s="24">
        <f t="shared" si="3"/>
        <v>136.9364922</v>
      </c>
      <c r="W982" s="54"/>
      <c r="X982" s="54"/>
      <c r="Y982" s="206"/>
      <c r="Z982" s="385">
        <v>0.0</v>
      </c>
      <c r="AA982" s="26">
        <f>VLOOKUP(S982,CPI!$A$2:$E$67,5,0)</f>
        <v>1.828943577</v>
      </c>
      <c r="AB982" s="27">
        <f t="shared" si="8"/>
        <v>1853.323472</v>
      </c>
      <c r="AC982" s="27">
        <f t="shared" si="9"/>
        <v>250.4491178</v>
      </c>
    </row>
    <row r="983">
      <c r="A983" s="65"/>
      <c r="B983" s="385" t="s">
        <v>1403</v>
      </c>
      <c r="C983" s="54" t="s">
        <v>1418</v>
      </c>
      <c r="D983" s="385" t="s">
        <v>2017</v>
      </c>
      <c r="E983" s="388" t="s">
        <v>2018</v>
      </c>
      <c r="F983" s="383">
        <v>2001.0</v>
      </c>
      <c r="G983" s="383">
        <v>2008.0</v>
      </c>
      <c r="H983" s="206"/>
      <c r="I983" s="383">
        <v>13.1</v>
      </c>
      <c r="J983" s="386">
        <v>0.8168</v>
      </c>
      <c r="K983" s="383">
        <v>10.7</v>
      </c>
      <c r="L983" s="383">
        <v>2.4</v>
      </c>
      <c r="M983" s="206"/>
      <c r="N983" s="383">
        <v>10.0</v>
      </c>
      <c r="O983" s="383">
        <v>93.0</v>
      </c>
      <c r="P983" s="206" t="s">
        <v>1964</v>
      </c>
      <c r="Q983" s="396">
        <v>241200.0</v>
      </c>
      <c r="R983" s="255" t="s">
        <v>1407</v>
      </c>
      <c r="S983" s="383">
        <v>2008.0</v>
      </c>
      <c r="T983" s="82">
        <f>1/116.85</f>
        <v>0.008557980317</v>
      </c>
      <c r="U983" s="376">
        <f t="shared" si="100"/>
        <v>2064.184852</v>
      </c>
      <c r="V983" s="24">
        <f t="shared" si="3"/>
        <v>157.5713628</v>
      </c>
      <c r="W983" s="54"/>
      <c r="X983" s="54"/>
      <c r="Y983" s="206"/>
      <c r="Z983" s="385">
        <v>0.0</v>
      </c>
      <c r="AA983" s="26">
        <f>VLOOKUP(S983,CPI!$A$2:$E$67,5,0)</f>
        <v>1.415224126</v>
      </c>
      <c r="AB983" s="27">
        <f t="shared" si="8"/>
        <v>2921.284204</v>
      </c>
      <c r="AC983" s="27">
        <f t="shared" si="9"/>
        <v>222.9987942</v>
      </c>
    </row>
    <row r="984">
      <c r="A984" s="65"/>
      <c r="B984" s="385" t="s">
        <v>1403</v>
      </c>
      <c r="C984" s="54" t="s">
        <v>1418</v>
      </c>
      <c r="D984" s="385" t="s">
        <v>2013</v>
      </c>
      <c r="E984" s="388" t="s">
        <v>2019</v>
      </c>
      <c r="F984" s="383">
        <v>1967.0</v>
      </c>
      <c r="G984" s="383">
        <v>1972.0</v>
      </c>
      <c r="H984" s="206"/>
      <c r="I984" s="383">
        <v>5.7</v>
      </c>
      <c r="J984" s="384">
        <v>1.0</v>
      </c>
      <c r="K984" s="383">
        <v>5.7</v>
      </c>
      <c r="L984" s="206"/>
      <c r="M984" s="206"/>
      <c r="N984" s="383">
        <v>6.0</v>
      </c>
      <c r="O984" s="383">
        <v>144.0</v>
      </c>
      <c r="P984" s="206" t="s">
        <v>1964</v>
      </c>
      <c r="Q984" s="387">
        <v>87434.3</v>
      </c>
      <c r="R984" s="255" t="s">
        <v>1407</v>
      </c>
      <c r="S984" s="387">
        <v>2023.0</v>
      </c>
      <c r="T984" s="82">
        <f t="shared" ref="T984:T987" si="103">1/95.27</f>
        <v>0.01049648368</v>
      </c>
      <c r="U984" s="376">
        <f t="shared" si="100"/>
        <v>917.7527028</v>
      </c>
      <c r="V984" s="24">
        <f t="shared" si="3"/>
        <v>161.0092461</v>
      </c>
      <c r="W984" s="54"/>
      <c r="X984" s="54"/>
      <c r="Y984" s="206"/>
      <c r="Z984" s="385">
        <v>0.0</v>
      </c>
      <c r="AA984" s="26">
        <f>VLOOKUP(S984,CPI!$A$2:$E$67,5,0)</f>
        <v>1</v>
      </c>
      <c r="AB984" s="27">
        <f t="shared" si="8"/>
        <v>917.7527028</v>
      </c>
      <c r="AC984" s="27">
        <f t="shared" si="9"/>
        <v>161.0092461</v>
      </c>
    </row>
    <row r="985">
      <c r="A985" s="65"/>
      <c r="B985" s="385" t="s">
        <v>1403</v>
      </c>
      <c r="C985" s="54" t="s">
        <v>1418</v>
      </c>
      <c r="D985" s="385" t="s">
        <v>2013</v>
      </c>
      <c r="E985" s="388" t="s">
        <v>2020</v>
      </c>
      <c r="F985" s="383">
        <v>1973.0</v>
      </c>
      <c r="G985" s="383">
        <v>1976.0</v>
      </c>
      <c r="H985" s="206"/>
      <c r="I985" s="383">
        <v>6.6</v>
      </c>
      <c r="J985" s="384">
        <v>1.0</v>
      </c>
      <c r="K985" s="383">
        <v>6.6</v>
      </c>
      <c r="L985" s="206"/>
      <c r="M985" s="206"/>
      <c r="N985" s="383">
        <v>6.0</v>
      </c>
      <c r="O985" s="383">
        <v>144.0</v>
      </c>
      <c r="P985" s="206" t="s">
        <v>1964</v>
      </c>
      <c r="Q985" s="387">
        <v>132476.2</v>
      </c>
      <c r="R985" s="255" t="s">
        <v>1407</v>
      </c>
      <c r="S985" s="387">
        <v>2023.0</v>
      </c>
      <c r="T985" s="82">
        <f t="shared" si="103"/>
        <v>0.01049648368</v>
      </c>
      <c r="U985" s="376">
        <f t="shared" si="100"/>
        <v>1390.534271</v>
      </c>
      <c r="V985" s="24">
        <f t="shared" si="3"/>
        <v>210.6870108</v>
      </c>
      <c r="W985" s="54"/>
      <c r="X985" s="54"/>
      <c r="Y985" s="206"/>
      <c r="Z985" s="385">
        <v>0.0</v>
      </c>
      <c r="AA985" s="26">
        <f>VLOOKUP(S985,CPI!$A$2:$E$67,5,0)</f>
        <v>1</v>
      </c>
      <c r="AB985" s="27">
        <f t="shared" si="8"/>
        <v>1390.534271</v>
      </c>
      <c r="AC985" s="27">
        <f t="shared" si="9"/>
        <v>210.6870108</v>
      </c>
    </row>
    <row r="986">
      <c r="A986" s="65"/>
      <c r="B986" s="385" t="s">
        <v>1403</v>
      </c>
      <c r="C986" s="54" t="s">
        <v>1418</v>
      </c>
      <c r="D986" s="385" t="s">
        <v>2013</v>
      </c>
      <c r="E986" s="388" t="s">
        <v>2021</v>
      </c>
      <c r="F986" s="383">
        <v>1983.0</v>
      </c>
      <c r="G986" s="383">
        <v>1985.0</v>
      </c>
      <c r="H986" s="206"/>
      <c r="I986" s="383">
        <v>9.1</v>
      </c>
      <c r="J986" s="386">
        <v>0.8236</v>
      </c>
      <c r="K986" s="383">
        <v>7.495</v>
      </c>
      <c r="L986" s="383">
        <v>1.605</v>
      </c>
      <c r="M986" s="206"/>
      <c r="N986" s="383">
        <v>4.0</v>
      </c>
      <c r="O986" s="383">
        <v>144.0</v>
      </c>
      <c r="P986" s="206" t="s">
        <v>1964</v>
      </c>
      <c r="Q986" s="253">
        <v>194992.0</v>
      </c>
      <c r="R986" s="255" t="s">
        <v>1407</v>
      </c>
      <c r="S986" s="387">
        <v>2023.0</v>
      </c>
      <c r="T986" s="82">
        <f t="shared" si="103"/>
        <v>0.01049648368</v>
      </c>
      <c r="U986" s="376">
        <f t="shared" si="100"/>
        <v>2046.730345</v>
      </c>
      <c r="V986" s="24">
        <f t="shared" si="3"/>
        <v>224.9154226</v>
      </c>
      <c r="W986" s="54"/>
      <c r="X986" s="54"/>
      <c r="Y986" s="206"/>
      <c r="Z986" s="385">
        <v>0.0</v>
      </c>
      <c r="AA986" s="26">
        <f>VLOOKUP(S986,CPI!$A$2:$E$67,5,0)</f>
        <v>1</v>
      </c>
      <c r="AB986" s="27">
        <f t="shared" si="8"/>
        <v>2046.730345</v>
      </c>
      <c r="AC986" s="27">
        <f t="shared" si="9"/>
        <v>224.9154226</v>
      </c>
    </row>
    <row r="987">
      <c r="A987" s="65"/>
      <c r="B987" s="385" t="s">
        <v>1403</v>
      </c>
      <c r="C987" s="54" t="s">
        <v>1418</v>
      </c>
      <c r="D987" s="385" t="s">
        <v>2013</v>
      </c>
      <c r="E987" s="388" t="s">
        <v>2022</v>
      </c>
      <c r="F987" s="383">
        <v>1983.0</v>
      </c>
      <c r="G987" s="383">
        <v>1987.0</v>
      </c>
      <c r="H987" s="206"/>
      <c r="I987" s="383">
        <v>1.6</v>
      </c>
      <c r="J987" s="384">
        <v>1.0</v>
      </c>
      <c r="K987" s="383">
        <v>1.6</v>
      </c>
      <c r="L987" s="206"/>
      <c r="M987" s="206"/>
      <c r="N987" s="383">
        <v>2.0</v>
      </c>
      <c r="O987" s="383">
        <v>144.0</v>
      </c>
      <c r="P987" s="206" t="s">
        <v>1964</v>
      </c>
      <c r="Q987" s="253">
        <v>52625.0</v>
      </c>
      <c r="R987" s="255" t="s">
        <v>1407</v>
      </c>
      <c r="S987" s="387">
        <v>2023.0</v>
      </c>
      <c r="T987" s="82">
        <f t="shared" si="103"/>
        <v>0.01049648368</v>
      </c>
      <c r="U987" s="376">
        <f t="shared" si="100"/>
        <v>552.3774536</v>
      </c>
      <c r="V987" s="24">
        <f t="shared" si="3"/>
        <v>345.2359085</v>
      </c>
      <c r="W987" s="54"/>
      <c r="X987" s="54"/>
      <c r="Y987" s="206"/>
      <c r="Z987" s="385">
        <v>0.0</v>
      </c>
      <c r="AA987" s="26">
        <f>VLOOKUP(S987,CPI!$A$2:$E$67,5,0)</f>
        <v>1</v>
      </c>
      <c r="AB987" s="27">
        <f t="shared" si="8"/>
        <v>552.3774536</v>
      </c>
      <c r="AC987" s="27">
        <f t="shared" si="9"/>
        <v>345.2359085</v>
      </c>
    </row>
    <row r="988">
      <c r="A988" s="65"/>
      <c r="B988" s="255" t="s">
        <v>1403</v>
      </c>
      <c r="C988" s="54" t="s">
        <v>2023</v>
      </c>
      <c r="D988" s="54" t="s">
        <v>2024</v>
      </c>
      <c r="E988" s="388" t="s">
        <v>2025</v>
      </c>
      <c r="F988" s="383">
        <v>1981.0</v>
      </c>
      <c r="G988" s="383">
        <v>1993.0</v>
      </c>
      <c r="H988" s="206"/>
      <c r="I988" s="383">
        <v>1.4</v>
      </c>
      <c r="J988" s="384">
        <v>1.0</v>
      </c>
      <c r="K988" s="383">
        <v>1.4</v>
      </c>
      <c r="L988" s="206"/>
      <c r="M988" s="206"/>
      <c r="N988" s="383">
        <v>1.0</v>
      </c>
      <c r="O988" s="383">
        <v>160.0</v>
      </c>
      <c r="P988" s="206" t="s">
        <v>42</v>
      </c>
      <c r="Q988" s="387">
        <v>39600.0</v>
      </c>
      <c r="R988" s="255" t="s">
        <v>1407</v>
      </c>
      <c r="S988" s="253">
        <v>1993.0</v>
      </c>
      <c r="T988" s="82">
        <f>1/182.31</f>
        <v>0.005485162635</v>
      </c>
      <c r="U988" s="376">
        <f t="shared" si="100"/>
        <v>217.2124403</v>
      </c>
      <c r="V988" s="24">
        <f t="shared" si="3"/>
        <v>155.1517431</v>
      </c>
      <c r="W988" s="54"/>
      <c r="X988" s="54"/>
      <c r="Y988" s="206"/>
      <c r="Z988" s="385">
        <v>0.0</v>
      </c>
      <c r="AA988" s="26">
        <f>VLOOKUP(S988,CPI!$A$2:$E$67,5,0)</f>
        <v>2.10866436</v>
      </c>
      <c r="AB988" s="27">
        <f t="shared" si="8"/>
        <v>458.0281315</v>
      </c>
      <c r="AC988" s="27">
        <f t="shared" si="9"/>
        <v>327.1629511</v>
      </c>
    </row>
    <row r="989">
      <c r="A989" s="65"/>
      <c r="B989" s="255" t="s">
        <v>1403</v>
      </c>
      <c r="C989" s="54" t="s">
        <v>2023</v>
      </c>
      <c r="D989" s="54" t="s">
        <v>2027</v>
      </c>
      <c r="E989" s="388" t="s">
        <v>2028</v>
      </c>
      <c r="F989" s="383">
        <v>1987.0</v>
      </c>
      <c r="G989" s="383">
        <v>1994.0</v>
      </c>
      <c r="H989" s="206"/>
      <c r="I989" s="383">
        <v>8.3</v>
      </c>
      <c r="J989" s="384">
        <v>1.0</v>
      </c>
      <c r="K989" s="383">
        <v>8.3</v>
      </c>
      <c r="L989" s="206"/>
      <c r="M989" s="206"/>
      <c r="N989" s="383">
        <v>9.0</v>
      </c>
      <c r="O989" s="383">
        <v>160.0</v>
      </c>
      <c r="P989" s="206" t="s">
        <v>42</v>
      </c>
      <c r="Q989" s="398">
        <v>177540.0</v>
      </c>
      <c r="R989" s="255" t="s">
        <v>1407</v>
      </c>
      <c r="S989" s="253">
        <v>1994.0</v>
      </c>
      <c r="T989" s="82">
        <f>1/178.83</f>
        <v>0.005591902925</v>
      </c>
      <c r="U989" s="376">
        <f t="shared" si="100"/>
        <v>992.7864452</v>
      </c>
      <c r="V989" s="24">
        <f t="shared" si="3"/>
        <v>119.6128247</v>
      </c>
      <c r="W989" s="54"/>
      <c r="X989" s="54"/>
      <c r="Y989" s="206"/>
      <c r="Z989" s="385">
        <v>0.0</v>
      </c>
      <c r="AA989" s="26">
        <f>VLOOKUP(S989,CPI!$A$2:$E$67,5,0)</f>
        <v>2.056018893</v>
      </c>
      <c r="AB989" s="27">
        <f t="shared" si="8"/>
        <v>2041.187688</v>
      </c>
      <c r="AC989" s="27">
        <f t="shared" si="9"/>
        <v>245.9262275</v>
      </c>
    </row>
    <row r="990">
      <c r="A990" s="65"/>
      <c r="B990" s="255" t="s">
        <v>1403</v>
      </c>
      <c r="C990" s="54" t="s">
        <v>2023</v>
      </c>
      <c r="D990" s="54" t="s">
        <v>2029</v>
      </c>
      <c r="E990" s="388" t="s">
        <v>2030</v>
      </c>
      <c r="F990" s="383">
        <v>1996.0</v>
      </c>
      <c r="G990" s="383">
        <v>2003.0</v>
      </c>
      <c r="H990" s="206"/>
      <c r="I990" s="383">
        <v>6.2</v>
      </c>
      <c r="J990" s="384">
        <v>1.0</v>
      </c>
      <c r="K990" s="383">
        <v>6.2</v>
      </c>
      <c r="L990" s="206"/>
      <c r="M990" s="206"/>
      <c r="N990" s="383">
        <v>8.0</v>
      </c>
      <c r="O990" s="206" t="s">
        <v>2031</v>
      </c>
      <c r="P990" s="206" t="s">
        <v>42</v>
      </c>
      <c r="Q990" s="398">
        <v>160980.0</v>
      </c>
      <c r="R990" s="255" t="s">
        <v>1407</v>
      </c>
      <c r="S990" s="253">
        <v>2003.0</v>
      </c>
      <c r="T990" s="82">
        <f>1/139.58</f>
        <v>0.007164350193</v>
      </c>
      <c r="U990" s="376">
        <f t="shared" si="100"/>
        <v>1153.317094</v>
      </c>
      <c r="V990" s="24">
        <f t="shared" si="3"/>
        <v>186.0188862</v>
      </c>
      <c r="W990" s="54"/>
      <c r="X990" s="54"/>
      <c r="Y990" s="206"/>
      <c r="Z990" s="385">
        <v>0.0</v>
      </c>
      <c r="AA990" s="26">
        <f>VLOOKUP(S990,CPI!$A$2:$E$67,5,0)</f>
        <v>1.65598913</v>
      </c>
      <c r="AB990" s="27">
        <f t="shared" si="8"/>
        <v>1909.880572</v>
      </c>
      <c r="AC990" s="27">
        <f t="shared" si="9"/>
        <v>308.0452535</v>
      </c>
    </row>
    <row r="991">
      <c r="A991" s="65"/>
      <c r="B991" s="255" t="s">
        <v>1403</v>
      </c>
      <c r="C991" s="54" t="s">
        <v>2023</v>
      </c>
      <c r="D991" s="54" t="s">
        <v>2032</v>
      </c>
      <c r="E991" s="388" t="s">
        <v>2033</v>
      </c>
      <c r="F991" s="383">
        <v>1997.0</v>
      </c>
      <c r="G991" s="383">
        <v>2004.0</v>
      </c>
      <c r="H991" s="206"/>
      <c r="I991" s="383">
        <v>5.1</v>
      </c>
      <c r="J991" s="384">
        <v>1.0</v>
      </c>
      <c r="K991" s="383">
        <v>5.1</v>
      </c>
      <c r="L991" s="206"/>
      <c r="M991" s="206"/>
      <c r="N991" s="383">
        <v>5.0</v>
      </c>
      <c r="O991" s="383">
        <v>93.48</v>
      </c>
      <c r="P991" s="206" t="s">
        <v>42</v>
      </c>
      <c r="Q991" s="387">
        <v>93740.0</v>
      </c>
      <c r="R991" s="255" t="s">
        <v>1407</v>
      </c>
      <c r="S991" s="253">
        <v>2004.0</v>
      </c>
      <c r="T991" s="82">
        <f>1/134.4</f>
        <v>0.00744047619</v>
      </c>
      <c r="U991" s="376">
        <f t="shared" si="100"/>
        <v>697.4702381</v>
      </c>
      <c r="V991" s="24">
        <f t="shared" si="3"/>
        <v>136.7588702</v>
      </c>
      <c r="W991" s="54"/>
      <c r="X991" s="54"/>
      <c r="Y991" s="206"/>
      <c r="Z991" s="385">
        <v>0.0</v>
      </c>
      <c r="AA991" s="26">
        <f>VLOOKUP(S991,CPI!$A$2:$E$67,5,0)</f>
        <v>1.613033351</v>
      </c>
      <c r="AB991" s="27">
        <f t="shared" si="8"/>
        <v>1125.042755</v>
      </c>
      <c r="AC991" s="27">
        <f t="shared" si="9"/>
        <v>220.5966187</v>
      </c>
    </row>
    <row r="992">
      <c r="A992" s="65"/>
      <c r="B992" s="255" t="s">
        <v>1403</v>
      </c>
      <c r="C992" s="54" t="s">
        <v>2023</v>
      </c>
      <c r="D992" s="54" t="s">
        <v>2027</v>
      </c>
      <c r="E992" s="388" t="s">
        <v>2034</v>
      </c>
      <c r="F992" s="383">
        <v>2006.0</v>
      </c>
      <c r="G992" s="383">
        <v>2011.0</v>
      </c>
      <c r="H992" s="206"/>
      <c r="I992" s="383">
        <v>4.1</v>
      </c>
      <c r="J992" s="384">
        <v>1.0</v>
      </c>
      <c r="K992" s="383">
        <v>4.1</v>
      </c>
      <c r="L992" s="206"/>
      <c r="M992" s="206"/>
      <c r="N992" s="383">
        <v>4.0</v>
      </c>
      <c r="O992" s="383">
        <v>120.0</v>
      </c>
      <c r="P992" s="206" t="s">
        <v>42</v>
      </c>
      <c r="Q992" s="387">
        <v>67150.0</v>
      </c>
      <c r="R992" s="255" t="s">
        <v>1407</v>
      </c>
      <c r="S992" s="253">
        <v>2011.0</v>
      </c>
      <c r="T992" s="82">
        <f>1/107.45</f>
        <v>0.009306654258</v>
      </c>
      <c r="U992" s="376">
        <f t="shared" si="100"/>
        <v>624.9418334</v>
      </c>
      <c r="V992" s="24">
        <f t="shared" si="3"/>
        <v>152.4248374</v>
      </c>
      <c r="W992" s="54"/>
      <c r="X992" s="54"/>
      <c r="Y992" s="206"/>
      <c r="Z992" s="385">
        <v>0.0</v>
      </c>
      <c r="AA992" s="26">
        <f>VLOOKUP(S992,CPI!$A$2:$E$67,5,0)</f>
        <v>1.354598358</v>
      </c>
      <c r="AB992" s="27">
        <f t="shared" si="8"/>
        <v>846.5451812</v>
      </c>
      <c r="AC992" s="27">
        <f t="shared" si="9"/>
        <v>206.4744344</v>
      </c>
    </row>
    <row r="993">
      <c r="A993" s="65"/>
      <c r="B993" s="255" t="s">
        <v>1403</v>
      </c>
      <c r="C993" s="54" t="s">
        <v>2023</v>
      </c>
      <c r="D993" s="54" t="s">
        <v>2027</v>
      </c>
      <c r="E993" s="388" t="s">
        <v>2035</v>
      </c>
      <c r="F993" s="383">
        <v>1983.0</v>
      </c>
      <c r="G993" s="383">
        <v>1989.0</v>
      </c>
      <c r="H993" s="206"/>
      <c r="I993" s="383">
        <v>7.5</v>
      </c>
      <c r="J993" s="384">
        <v>1.0</v>
      </c>
      <c r="K993" s="383">
        <v>7.5</v>
      </c>
      <c r="L993" s="206"/>
      <c r="M993" s="206"/>
      <c r="N993" s="383">
        <v>8.0</v>
      </c>
      <c r="O993" s="383">
        <v>160.0</v>
      </c>
      <c r="P993" s="206" t="s">
        <v>42</v>
      </c>
      <c r="Q993" s="399">
        <v>306450.0</v>
      </c>
      <c r="R993" s="255" t="s">
        <v>1407</v>
      </c>
      <c r="S993" s="387">
        <v>2023.0</v>
      </c>
      <c r="T993" s="82">
        <f t="shared" ref="T993:T1007" si="104">1/95.27</f>
        <v>0.01049648368</v>
      </c>
      <c r="U993" s="376">
        <f t="shared" si="100"/>
        <v>3216.647423</v>
      </c>
      <c r="V993" s="24">
        <f t="shared" si="3"/>
        <v>428.8863231</v>
      </c>
      <c r="W993" s="54"/>
      <c r="X993" s="54"/>
      <c r="Y993" s="206"/>
      <c r="Z993" s="385">
        <v>0.0</v>
      </c>
      <c r="AA993" s="26">
        <f>VLOOKUP(S993,CPI!$A$2:$E$67,5,0)</f>
        <v>1</v>
      </c>
      <c r="AB993" s="27">
        <f t="shared" si="8"/>
        <v>3216.647423</v>
      </c>
      <c r="AC993" s="27">
        <f t="shared" si="9"/>
        <v>428.8863231</v>
      </c>
    </row>
    <row r="994">
      <c r="A994" s="65"/>
      <c r="B994" s="255" t="s">
        <v>1403</v>
      </c>
      <c r="C994" s="54" t="s">
        <v>2023</v>
      </c>
      <c r="D994" s="54" t="s">
        <v>2036</v>
      </c>
      <c r="E994" s="388" t="s">
        <v>2037</v>
      </c>
      <c r="F994" s="383">
        <v>1954.0</v>
      </c>
      <c r="G994" s="383">
        <v>1957.0</v>
      </c>
      <c r="H994" s="206"/>
      <c r="I994" s="383">
        <v>2.6</v>
      </c>
      <c r="J994" s="384">
        <v>1.0</v>
      </c>
      <c r="K994" s="383">
        <v>2.6</v>
      </c>
      <c r="L994" s="206"/>
      <c r="M994" s="206"/>
      <c r="N994" s="383">
        <v>3.0</v>
      </c>
      <c r="O994" s="383">
        <v>93.48</v>
      </c>
      <c r="P994" s="206" t="s">
        <v>42</v>
      </c>
      <c r="Q994" s="383">
        <v>16264.0</v>
      </c>
      <c r="R994" s="255" t="s">
        <v>1407</v>
      </c>
      <c r="S994" s="387">
        <v>2023.0</v>
      </c>
      <c r="T994" s="82">
        <f t="shared" si="104"/>
        <v>0.01049648368</v>
      </c>
      <c r="U994" s="376">
        <f t="shared" si="100"/>
        <v>170.7148105</v>
      </c>
      <c r="V994" s="24">
        <f t="shared" si="3"/>
        <v>65.65954251</v>
      </c>
      <c r="W994" s="54"/>
      <c r="X994" s="54"/>
      <c r="Y994" s="206"/>
      <c r="Z994" s="385">
        <v>0.0</v>
      </c>
      <c r="AA994" s="26">
        <f>VLOOKUP(S994,CPI!$A$2:$E$67,5,0)</f>
        <v>1</v>
      </c>
      <c r="AB994" s="27">
        <f t="shared" si="8"/>
        <v>170.7148105</v>
      </c>
      <c r="AC994" s="27">
        <f t="shared" si="9"/>
        <v>65.65954251</v>
      </c>
    </row>
    <row r="995">
      <c r="A995" s="65"/>
      <c r="B995" s="255" t="s">
        <v>1403</v>
      </c>
      <c r="C995" s="54" t="s">
        <v>2023</v>
      </c>
      <c r="D995" s="255" t="s">
        <v>2036</v>
      </c>
      <c r="E995" s="388" t="s">
        <v>2038</v>
      </c>
      <c r="F995" s="383">
        <v>1954.0</v>
      </c>
      <c r="G995" s="383">
        <v>1960.0</v>
      </c>
      <c r="H995" s="206"/>
      <c r="I995" s="383">
        <v>3.5</v>
      </c>
      <c r="J995" s="384">
        <v>1.0</v>
      </c>
      <c r="K995" s="383">
        <v>3.5</v>
      </c>
      <c r="L995" s="206"/>
      <c r="M995" s="206"/>
      <c r="N995" s="383">
        <v>4.0</v>
      </c>
      <c r="O995" s="383">
        <v>93.48</v>
      </c>
      <c r="P995" s="206" t="s">
        <v>42</v>
      </c>
      <c r="Q995" s="383">
        <v>22282.0</v>
      </c>
      <c r="R995" s="255" t="s">
        <v>1407</v>
      </c>
      <c r="S995" s="387">
        <v>2023.0</v>
      </c>
      <c r="T995" s="82">
        <f t="shared" si="104"/>
        <v>0.01049648368</v>
      </c>
      <c r="U995" s="376">
        <f t="shared" si="100"/>
        <v>233.8826493</v>
      </c>
      <c r="V995" s="24">
        <f t="shared" si="3"/>
        <v>66.82361409</v>
      </c>
      <c r="W995" s="206"/>
      <c r="X995" s="206"/>
      <c r="Y995" s="206"/>
      <c r="Z995" s="385">
        <v>0.0</v>
      </c>
      <c r="AA995" s="26">
        <f>VLOOKUP(S995,CPI!$A$2:$E$67,5,0)</f>
        <v>1</v>
      </c>
      <c r="AB995" s="27">
        <f t="shared" si="8"/>
        <v>233.8826493</v>
      </c>
      <c r="AC995" s="27">
        <f t="shared" si="9"/>
        <v>66.82361409</v>
      </c>
    </row>
    <row r="996">
      <c r="A996" s="206"/>
      <c r="B996" s="206" t="s">
        <v>1403</v>
      </c>
      <c r="C996" s="206" t="s">
        <v>2023</v>
      </c>
      <c r="D996" s="206" t="s">
        <v>2036</v>
      </c>
      <c r="E996" s="206" t="s">
        <v>2039</v>
      </c>
      <c r="F996" s="383">
        <v>1961.0</v>
      </c>
      <c r="G996" s="383">
        <v>1963.0</v>
      </c>
      <c r="H996" s="206"/>
      <c r="I996" s="383">
        <v>2.6</v>
      </c>
      <c r="J996" s="384">
        <v>1.0</v>
      </c>
      <c r="K996" s="383">
        <v>2.6</v>
      </c>
      <c r="L996" s="206"/>
      <c r="M996" s="206"/>
      <c r="N996" s="383">
        <v>3.0</v>
      </c>
      <c r="O996" s="383">
        <v>93.48</v>
      </c>
      <c r="P996" s="206" t="s">
        <v>42</v>
      </c>
      <c r="Q996" s="383">
        <v>23696.0</v>
      </c>
      <c r="R996" s="255" t="s">
        <v>1407</v>
      </c>
      <c r="S996" s="387">
        <v>2023.0</v>
      </c>
      <c r="T996" s="82">
        <f t="shared" si="104"/>
        <v>0.01049648368</v>
      </c>
      <c r="U996" s="376">
        <f t="shared" si="100"/>
        <v>248.7246772</v>
      </c>
      <c r="V996" s="24">
        <f t="shared" si="3"/>
        <v>95.6633374</v>
      </c>
      <c r="W996" s="206"/>
      <c r="X996" s="206"/>
      <c r="Y996" s="206"/>
      <c r="Z996" s="385">
        <v>0.0</v>
      </c>
      <c r="AA996" s="26">
        <f>VLOOKUP(S996,CPI!$A$2:$E$67,5,0)</f>
        <v>1</v>
      </c>
      <c r="AB996" s="27">
        <f t="shared" si="8"/>
        <v>248.7246772</v>
      </c>
      <c r="AC996" s="27">
        <f t="shared" si="9"/>
        <v>95.6633374</v>
      </c>
    </row>
    <row r="997">
      <c r="A997" s="65"/>
      <c r="B997" s="206" t="s">
        <v>1403</v>
      </c>
      <c r="C997" s="391" t="s">
        <v>2023</v>
      </c>
      <c r="D997" s="391" t="s">
        <v>2032</v>
      </c>
      <c r="E997" s="388" t="s">
        <v>2040</v>
      </c>
      <c r="F997" s="383">
        <v>1964.0</v>
      </c>
      <c r="G997" s="383">
        <v>1967.0</v>
      </c>
      <c r="H997" s="206"/>
      <c r="I997" s="383">
        <v>4.6</v>
      </c>
      <c r="J997" s="384">
        <v>1.0</v>
      </c>
      <c r="K997" s="383">
        <v>4.6</v>
      </c>
      <c r="L997" s="206"/>
      <c r="M997" s="206"/>
      <c r="N997" s="383">
        <v>7.0</v>
      </c>
      <c r="O997" s="383">
        <v>93.48</v>
      </c>
      <c r="P997" s="206" t="s">
        <v>42</v>
      </c>
      <c r="Q997" s="383">
        <v>40337.0</v>
      </c>
      <c r="R997" s="255" t="s">
        <v>1407</v>
      </c>
      <c r="S997" s="387">
        <v>2023.0</v>
      </c>
      <c r="T997" s="82">
        <f t="shared" si="104"/>
        <v>0.01049648368</v>
      </c>
      <c r="U997" s="376">
        <f t="shared" si="100"/>
        <v>423.3966621</v>
      </c>
      <c r="V997" s="24">
        <f t="shared" si="3"/>
        <v>92.04275263</v>
      </c>
      <c r="W997" s="206"/>
      <c r="X997" s="206"/>
      <c r="Y997" s="206"/>
      <c r="Z997" s="385">
        <v>0.0</v>
      </c>
      <c r="AA997" s="26">
        <f>VLOOKUP(S997,CPI!$A$2:$E$67,5,0)</f>
        <v>1</v>
      </c>
      <c r="AB997" s="27">
        <f t="shared" si="8"/>
        <v>423.3966621</v>
      </c>
      <c r="AC997" s="27">
        <f t="shared" si="9"/>
        <v>92.04275263</v>
      </c>
    </row>
    <row r="998">
      <c r="A998" s="65"/>
      <c r="B998" s="206" t="s">
        <v>1403</v>
      </c>
      <c r="C998" s="391" t="s">
        <v>2023</v>
      </c>
      <c r="D998" s="206" t="s">
        <v>2041</v>
      </c>
      <c r="E998" s="388" t="s">
        <v>2042</v>
      </c>
      <c r="F998" s="383">
        <v>1965.0</v>
      </c>
      <c r="G998" s="383">
        <v>1967.0</v>
      </c>
      <c r="H998" s="206"/>
      <c r="I998" s="383">
        <v>1.2</v>
      </c>
      <c r="J998" s="384">
        <v>1.0</v>
      </c>
      <c r="K998" s="383">
        <v>1.2</v>
      </c>
      <c r="L998" s="206"/>
      <c r="M998" s="206"/>
      <c r="N998" s="383">
        <v>1.0</v>
      </c>
      <c r="O998" s="383">
        <v>93.48</v>
      </c>
      <c r="P998" s="206" t="s">
        <v>42</v>
      </c>
      <c r="Q998" s="383">
        <v>10054.0</v>
      </c>
      <c r="R998" s="255" t="s">
        <v>1407</v>
      </c>
      <c r="S998" s="387">
        <v>2023.0</v>
      </c>
      <c r="T998" s="82">
        <f t="shared" si="104"/>
        <v>0.01049648368</v>
      </c>
      <c r="U998" s="376">
        <f t="shared" si="100"/>
        <v>105.5316469</v>
      </c>
      <c r="V998" s="24">
        <f t="shared" si="3"/>
        <v>87.94303908</v>
      </c>
      <c r="W998" s="206"/>
      <c r="X998" s="206"/>
      <c r="Y998" s="206"/>
      <c r="Z998" s="385">
        <v>0.0</v>
      </c>
      <c r="AA998" s="26">
        <f>VLOOKUP(S998,CPI!$A$2:$E$67,5,0)</f>
        <v>1</v>
      </c>
      <c r="AB998" s="27">
        <f t="shared" si="8"/>
        <v>105.5316469</v>
      </c>
      <c r="AC998" s="27">
        <f t="shared" si="9"/>
        <v>87.94303908</v>
      </c>
    </row>
    <row r="999">
      <c r="A999" s="65"/>
      <c r="B999" s="206" t="s">
        <v>1403</v>
      </c>
      <c r="C999" s="391" t="s">
        <v>2023</v>
      </c>
      <c r="D999" s="391" t="s">
        <v>2036</v>
      </c>
      <c r="E999" s="388" t="s">
        <v>2043</v>
      </c>
      <c r="F999" s="383">
        <v>1962.0</v>
      </c>
      <c r="G999" s="383">
        <v>1969.0</v>
      </c>
      <c r="H999" s="206"/>
      <c r="I999" s="383">
        <v>8.5</v>
      </c>
      <c r="J999" s="384">
        <f>K999/I999</f>
        <v>0.5647058824</v>
      </c>
      <c r="K999" s="383">
        <v>4.8</v>
      </c>
      <c r="L999" s="383">
        <v>3.7</v>
      </c>
      <c r="M999" s="206"/>
      <c r="N999" s="383">
        <v>4.0</v>
      </c>
      <c r="O999" s="383">
        <v>93.48</v>
      </c>
      <c r="P999" s="206" t="s">
        <v>42</v>
      </c>
      <c r="Q999" s="383">
        <v>69259.0</v>
      </c>
      <c r="R999" s="255" t="s">
        <v>1407</v>
      </c>
      <c r="S999" s="387">
        <v>2023.0</v>
      </c>
      <c r="T999" s="82">
        <f t="shared" si="104"/>
        <v>0.01049648368</v>
      </c>
      <c r="U999" s="376">
        <f t="shared" si="100"/>
        <v>726.9759631</v>
      </c>
      <c r="V999" s="24">
        <f t="shared" si="3"/>
        <v>85.52658389</v>
      </c>
      <c r="W999" s="206"/>
      <c r="X999" s="206"/>
      <c r="Y999" s="206"/>
      <c r="Z999" s="385">
        <v>0.0</v>
      </c>
      <c r="AA999" s="26">
        <f>VLOOKUP(S999,CPI!$A$2:$E$67,5,0)</f>
        <v>1</v>
      </c>
      <c r="AB999" s="27">
        <f t="shared" si="8"/>
        <v>726.9759631</v>
      </c>
      <c r="AC999" s="27">
        <f t="shared" si="9"/>
        <v>85.52658389</v>
      </c>
    </row>
    <row r="1000">
      <c r="A1000" s="65"/>
      <c r="B1000" s="206" t="s">
        <v>1403</v>
      </c>
      <c r="C1000" s="255" t="s">
        <v>2023</v>
      </c>
      <c r="D1000" s="206" t="s">
        <v>2044</v>
      </c>
      <c r="E1000" s="388" t="s">
        <v>2045</v>
      </c>
      <c r="F1000" s="383">
        <v>1969.0</v>
      </c>
      <c r="G1000" s="383">
        <v>1971.0</v>
      </c>
      <c r="H1000" s="206"/>
      <c r="I1000" s="383">
        <v>6.1</v>
      </c>
      <c r="J1000" s="384">
        <v>1.0</v>
      </c>
      <c r="K1000" s="383">
        <v>6.1</v>
      </c>
      <c r="L1000" s="206"/>
      <c r="M1000" s="206"/>
      <c r="N1000" s="383">
        <v>7.0</v>
      </c>
      <c r="O1000" s="383">
        <v>93.48</v>
      </c>
      <c r="P1000" s="206" t="s">
        <v>42</v>
      </c>
      <c r="Q1000" s="383">
        <v>76021.0</v>
      </c>
      <c r="R1000" s="255" t="s">
        <v>1407</v>
      </c>
      <c r="S1000" s="387">
        <v>2023.0</v>
      </c>
      <c r="T1000" s="82">
        <f t="shared" si="104"/>
        <v>0.01049648368</v>
      </c>
      <c r="U1000" s="376">
        <f t="shared" si="100"/>
        <v>797.9531857</v>
      </c>
      <c r="V1000" s="24">
        <f t="shared" si="3"/>
        <v>130.8119977</v>
      </c>
      <c r="W1000" s="206"/>
      <c r="X1000" s="206"/>
      <c r="Y1000" s="206"/>
      <c r="Z1000" s="385">
        <v>0.0</v>
      </c>
      <c r="AA1000" s="26">
        <f>VLOOKUP(S1000,CPI!$A$2:$E$67,5,0)</f>
        <v>1</v>
      </c>
      <c r="AB1000" s="27">
        <f t="shared" si="8"/>
        <v>797.9531857</v>
      </c>
      <c r="AC1000" s="27">
        <f t="shared" si="9"/>
        <v>130.8119977</v>
      </c>
    </row>
    <row r="1001">
      <c r="A1001" s="65"/>
      <c r="B1001" s="206" t="s">
        <v>1403</v>
      </c>
      <c r="C1001" s="391" t="s">
        <v>2023</v>
      </c>
      <c r="D1001" s="391" t="s">
        <v>2032</v>
      </c>
      <c r="E1001" s="391" t="s">
        <v>2046</v>
      </c>
      <c r="F1001" s="383">
        <v>1969.0</v>
      </c>
      <c r="G1001" s="383">
        <v>1971.0</v>
      </c>
      <c r="H1001" s="206"/>
      <c r="I1001" s="383">
        <v>4.6</v>
      </c>
      <c r="J1001" s="384">
        <v>1.0</v>
      </c>
      <c r="K1001" s="383">
        <v>4.6</v>
      </c>
      <c r="L1001" s="206"/>
      <c r="M1001" s="206"/>
      <c r="N1001" s="383">
        <v>5.0</v>
      </c>
      <c r="O1001" s="383">
        <v>93.48</v>
      </c>
      <c r="P1001" s="206" t="s">
        <v>42</v>
      </c>
      <c r="Q1001" s="383">
        <v>61285.0</v>
      </c>
      <c r="R1001" s="255" t="s">
        <v>1407</v>
      </c>
      <c r="S1001" s="387">
        <v>2023.0</v>
      </c>
      <c r="T1001" s="82">
        <f t="shared" si="104"/>
        <v>0.01049648368</v>
      </c>
      <c r="U1001" s="376">
        <f t="shared" si="100"/>
        <v>643.2770022</v>
      </c>
      <c r="V1001" s="24">
        <f t="shared" si="3"/>
        <v>139.8428266</v>
      </c>
      <c r="W1001" s="206"/>
      <c r="X1001" s="206"/>
      <c r="Y1001" s="206"/>
      <c r="Z1001" s="385">
        <v>0.0</v>
      </c>
      <c r="AA1001" s="26">
        <f>VLOOKUP(S1001,CPI!$A$2:$E$67,5,0)</f>
        <v>1</v>
      </c>
      <c r="AB1001" s="27">
        <f t="shared" si="8"/>
        <v>643.2770022</v>
      </c>
      <c r="AC1001" s="27">
        <f t="shared" si="9"/>
        <v>139.8428266</v>
      </c>
    </row>
    <row r="1002">
      <c r="A1002" s="65"/>
      <c r="B1002" s="206" t="s">
        <v>1403</v>
      </c>
      <c r="C1002" s="206" t="s">
        <v>2023</v>
      </c>
      <c r="D1002" s="206" t="s">
        <v>2032</v>
      </c>
      <c r="E1002" s="206" t="s">
        <v>2047</v>
      </c>
      <c r="F1002" s="383">
        <v>1971.0</v>
      </c>
      <c r="G1002" s="383">
        <v>1974.0</v>
      </c>
      <c r="H1002" s="206"/>
      <c r="I1002" s="383">
        <v>5.6</v>
      </c>
      <c r="J1002" s="384">
        <v>1.0</v>
      </c>
      <c r="K1002" s="383">
        <v>5.6</v>
      </c>
      <c r="L1002" s="206"/>
      <c r="M1002" s="206"/>
      <c r="N1002" s="383">
        <v>6.0</v>
      </c>
      <c r="O1002" s="383">
        <v>93.48</v>
      </c>
      <c r="P1002" s="206" t="s">
        <v>42</v>
      </c>
      <c r="Q1002" s="383">
        <v>58628.0</v>
      </c>
      <c r="R1002" s="255" t="s">
        <v>1407</v>
      </c>
      <c r="S1002" s="387">
        <v>2023.0</v>
      </c>
      <c r="T1002" s="82">
        <f t="shared" si="104"/>
        <v>0.01049648368</v>
      </c>
      <c r="U1002" s="376">
        <f t="shared" si="100"/>
        <v>615.3878451</v>
      </c>
      <c r="V1002" s="24">
        <f t="shared" si="3"/>
        <v>109.8906866</v>
      </c>
      <c r="W1002" s="206"/>
      <c r="X1002" s="206"/>
      <c r="Y1002" s="206"/>
      <c r="Z1002" s="385">
        <v>0.0</v>
      </c>
      <c r="AA1002" s="26">
        <f>VLOOKUP(S1002,CPI!$A$2:$E$67,5,0)</f>
        <v>1</v>
      </c>
      <c r="AB1002" s="27">
        <f t="shared" si="8"/>
        <v>615.3878451</v>
      </c>
      <c r="AC1002" s="27">
        <f t="shared" si="9"/>
        <v>109.8906866</v>
      </c>
    </row>
    <row r="1003">
      <c r="A1003" s="65"/>
      <c r="B1003" s="206" t="s">
        <v>1403</v>
      </c>
      <c r="C1003" s="255" t="s">
        <v>2023</v>
      </c>
      <c r="D1003" s="255" t="s">
        <v>2024</v>
      </c>
      <c r="E1003" s="255" t="s">
        <v>2048</v>
      </c>
      <c r="F1003" s="383">
        <v>1973.0</v>
      </c>
      <c r="G1003" s="383">
        <v>1977.0</v>
      </c>
      <c r="H1003" s="206"/>
      <c r="I1003" s="383">
        <v>8.4</v>
      </c>
      <c r="J1003" s="384">
        <v>1.0</v>
      </c>
      <c r="K1003" s="383">
        <v>8.4</v>
      </c>
      <c r="L1003" s="206"/>
      <c r="M1003" s="206"/>
      <c r="N1003" s="383">
        <v>8.0</v>
      </c>
      <c r="O1003" s="383">
        <v>160.0</v>
      </c>
      <c r="P1003" s="206" t="s">
        <v>42</v>
      </c>
      <c r="Q1003" s="383">
        <v>125041.0</v>
      </c>
      <c r="R1003" s="255" t="s">
        <v>1407</v>
      </c>
      <c r="S1003" s="387">
        <v>2023.0</v>
      </c>
      <c r="T1003" s="82">
        <f t="shared" si="104"/>
        <v>0.01049648368</v>
      </c>
      <c r="U1003" s="376">
        <f t="shared" si="100"/>
        <v>1312.490816</v>
      </c>
      <c r="V1003" s="24">
        <f t="shared" si="3"/>
        <v>156.2489066</v>
      </c>
      <c r="W1003" s="206"/>
      <c r="X1003" s="206"/>
      <c r="Y1003" s="206"/>
      <c r="Z1003" s="385">
        <v>0.0</v>
      </c>
      <c r="AA1003" s="26">
        <f>VLOOKUP(S1003,CPI!$A$2:$E$67,5,0)</f>
        <v>1</v>
      </c>
      <c r="AB1003" s="27">
        <f t="shared" si="8"/>
        <v>1312.490816</v>
      </c>
      <c r="AC1003" s="27">
        <f t="shared" si="9"/>
        <v>156.2489066</v>
      </c>
    </row>
    <row r="1004">
      <c r="A1004" s="65"/>
      <c r="B1004" s="206" t="s">
        <v>1403</v>
      </c>
      <c r="C1004" s="255" t="s">
        <v>2023</v>
      </c>
      <c r="D1004" s="255" t="s">
        <v>2024</v>
      </c>
      <c r="E1004" s="206" t="s">
        <v>2049</v>
      </c>
      <c r="F1004" s="383">
        <v>1975.0</v>
      </c>
      <c r="G1004" s="383">
        <v>1978.0</v>
      </c>
      <c r="H1004" s="206"/>
      <c r="I1004" s="383">
        <v>5.7</v>
      </c>
      <c r="J1004" s="384">
        <f>K1004/I1004</f>
        <v>0.9473684211</v>
      </c>
      <c r="K1004" s="383">
        <v>5.4</v>
      </c>
      <c r="L1004" s="383">
        <v>0.3</v>
      </c>
      <c r="M1004" s="206"/>
      <c r="N1004" s="383">
        <v>5.0</v>
      </c>
      <c r="O1004" s="383">
        <v>160.0</v>
      </c>
      <c r="P1004" s="206" t="s">
        <v>42</v>
      </c>
      <c r="Q1004" s="383">
        <v>93395.0</v>
      </c>
      <c r="R1004" s="255" t="s">
        <v>1407</v>
      </c>
      <c r="S1004" s="387">
        <v>2023.0</v>
      </c>
      <c r="T1004" s="82">
        <f t="shared" si="104"/>
        <v>0.01049648368</v>
      </c>
      <c r="U1004" s="376">
        <f t="shared" si="100"/>
        <v>980.3190931</v>
      </c>
      <c r="V1004" s="24">
        <f t="shared" si="3"/>
        <v>171.9858058</v>
      </c>
      <c r="W1004" s="206"/>
      <c r="X1004" s="206"/>
      <c r="Y1004" s="206"/>
      <c r="Z1004" s="385">
        <v>0.0</v>
      </c>
      <c r="AA1004" s="26">
        <f>VLOOKUP(S1004,CPI!$A$2:$E$67,5,0)</f>
        <v>1</v>
      </c>
      <c r="AB1004" s="27">
        <f t="shared" si="8"/>
        <v>980.3190931</v>
      </c>
      <c r="AC1004" s="27">
        <f t="shared" si="9"/>
        <v>171.9858058</v>
      </c>
    </row>
    <row r="1005">
      <c r="A1005" s="65"/>
      <c r="B1005" s="206" t="s">
        <v>1403</v>
      </c>
      <c r="C1005" s="255" t="s">
        <v>2023</v>
      </c>
      <c r="D1005" s="206" t="s">
        <v>2024</v>
      </c>
      <c r="E1005" s="206" t="s">
        <v>2050</v>
      </c>
      <c r="F1005" s="383">
        <v>1977.0</v>
      </c>
      <c r="G1005" s="383">
        <v>1981.0</v>
      </c>
      <c r="H1005" s="206"/>
      <c r="I1005" s="383">
        <v>2.9</v>
      </c>
      <c r="J1005" s="384">
        <v>1.0</v>
      </c>
      <c r="K1005" s="383">
        <v>2.9</v>
      </c>
      <c r="L1005" s="206"/>
      <c r="M1005" s="206"/>
      <c r="N1005" s="383">
        <v>3.0</v>
      </c>
      <c r="O1005" s="383">
        <v>160.0</v>
      </c>
      <c r="P1005" s="206" t="s">
        <v>42</v>
      </c>
      <c r="Q1005" s="383">
        <v>67803.0</v>
      </c>
      <c r="R1005" s="255" t="s">
        <v>1407</v>
      </c>
      <c r="S1005" s="387">
        <v>2023.0</v>
      </c>
      <c r="T1005" s="82">
        <f t="shared" si="104"/>
        <v>0.01049648368</v>
      </c>
      <c r="U1005" s="376">
        <f t="shared" si="100"/>
        <v>711.6930828</v>
      </c>
      <c r="V1005" s="24">
        <f t="shared" si="3"/>
        <v>245.4114079</v>
      </c>
      <c r="W1005" s="206"/>
      <c r="X1005" s="206"/>
      <c r="Y1005" s="206"/>
      <c r="Z1005" s="385">
        <v>0.0</v>
      </c>
      <c r="AA1005" s="26">
        <f>VLOOKUP(S1005,CPI!$A$2:$E$67,5,0)</f>
        <v>1</v>
      </c>
      <c r="AB1005" s="27">
        <f t="shared" si="8"/>
        <v>711.6930828</v>
      </c>
      <c r="AC1005" s="27">
        <f t="shared" si="9"/>
        <v>245.4114079</v>
      </c>
    </row>
    <row r="1006">
      <c r="A1006" s="65"/>
      <c r="B1006" s="206" t="s">
        <v>1403</v>
      </c>
      <c r="C1006" s="206" t="s">
        <v>2023</v>
      </c>
      <c r="D1006" s="206" t="s">
        <v>2036</v>
      </c>
      <c r="E1006" s="206" t="s">
        <v>2051</v>
      </c>
      <c r="F1006" s="383">
        <v>1978.0</v>
      </c>
      <c r="G1006" s="383">
        <v>1982.0</v>
      </c>
      <c r="H1006" s="206"/>
      <c r="I1006" s="383">
        <v>3.0</v>
      </c>
      <c r="J1006" s="384">
        <v>1.0</v>
      </c>
      <c r="K1006" s="383">
        <v>3.0</v>
      </c>
      <c r="L1006" s="206"/>
      <c r="M1006" s="206"/>
      <c r="N1006" s="383">
        <v>3.0</v>
      </c>
      <c r="O1006" s="383">
        <v>93.48</v>
      </c>
      <c r="P1006" s="206" t="s">
        <v>42</v>
      </c>
      <c r="Q1006" s="383">
        <v>81502.0</v>
      </c>
      <c r="R1006" s="255" t="s">
        <v>1407</v>
      </c>
      <c r="S1006" s="387">
        <v>2023.0</v>
      </c>
      <c r="T1006" s="82">
        <f t="shared" si="104"/>
        <v>0.01049648368</v>
      </c>
      <c r="U1006" s="376">
        <f t="shared" si="100"/>
        <v>855.4844127</v>
      </c>
      <c r="V1006" s="24">
        <f t="shared" si="3"/>
        <v>285.1614709</v>
      </c>
      <c r="W1006" s="206"/>
      <c r="X1006" s="206"/>
      <c r="Y1006" s="206"/>
      <c r="Z1006" s="385">
        <v>0.0</v>
      </c>
      <c r="AA1006" s="26">
        <f>VLOOKUP(S1006,CPI!$A$2:$E$67,5,0)</f>
        <v>1</v>
      </c>
      <c r="AB1006" s="27">
        <f t="shared" si="8"/>
        <v>855.4844127</v>
      </c>
      <c r="AC1006" s="27">
        <f t="shared" si="9"/>
        <v>285.1614709</v>
      </c>
    </row>
    <row r="1007">
      <c r="A1007" s="65"/>
      <c r="B1007" s="206" t="s">
        <v>1403</v>
      </c>
      <c r="C1007" s="206" t="s">
        <v>2023</v>
      </c>
      <c r="D1007" s="206" t="s">
        <v>2024</v>
      </c>
      <c r="E1007" s="206" t="s">
        <v>2052</v>
      </c>
      <c r="F1007" s="383">
        <v>1980.0</v>
      </c>
      <c r="G1007" s="383">
        <v>1984.0</v>
      </c>
      <c r="H1007" s="206"/>
      <c r="I1007" s="383">
        <v>2.8</v>
      </c>
      <c r="J1007" s="384">
        <v>1.0</v>
      </c>
      <c r="K1007" s="383">
        <v>2.8</v>
      </c>
      <c r="L1007" s="206"/>
      <c r="M1007" s="206"/>
      <c r="N1007" s="383">
        <v>2.0</v>
      </c>
      <c r="O1007" s="383">
        <v>160.0</v>
      </c>
      <c r="P1007" s="206" t="s">
        <v>42</v>
      </c>
      <c r="Q1007" s="383">
        <v>57366.0</v>
      </c>
      <c r="R1007" s="255" t="s">
        <v>1407</v>
      </c>
      <c r="S1007" s="387">
        <v>2023.0</v>
      </c>
      <c r="T1007" s="82">
        <f t="shared" si="104"/>
        <v>0.01049648368</v>
      </c>
      <c r="U1007" s="376">
        <f t="shared" si="100"/>
        <v>602.1412827</v>
      </c>
      <c r="V1007" s="24">
        <f t="shared" si="3"/>
        <v>215.0504581</v>
      </c>
      <c r="W1007" s="206"/>
      <c r="X1007" s="206"/>
      <c r="Y1007" s="206"/>
      <c r="Z1007" s="385">
        <v>0.0</v>
      </c>
      <c r="AA1007" s="26">
        <f>VLOOKUP(S1007,CPI!$A$2:$E$67,5,0)</f>
        <v>1</v>
      </c>
      <c r="AB1007" s="27">
        <f t="shared" si="8"/>
        <v>602.1412827</v>
      </c>
      <c r="AC1007" s="27">
        <f t="shared" si="9"/>
        <v>215.0504581</v>
      </c>
    </row>
    <row r="1008">
      <c r="A1008" s="400"/>
      <c r="B1008" s="206" t="s">
        <v>1861</v>
      </c>
      <c r="C1008" s="206" t="s">
        <v>1862</v>
      </c>
      <c r="D1008" s="206" t="s">
        <v>2105</v>
      </c>
      <c r="E1008" s="206" t="s">
        <v>1948</v>
      </c>
      <c r="F1008" s="383">
        <v>2006.0</v>
      </c>
      <c r="G1008" s="383">
        <v>2011.0</v>
      </c>
      <c r="H1008" s="206"/>
      <c r="I1008" s="383">
        <v>6.0</v>
      </c>
      <c r="J1008" s="383">
        <v>0.0</v>
      </c>
      <c r="K1008" s="383">
        <v>0.0</v>
      </c>
      <c r="L1008" s="206"/>
      <c r="M1008" s="206"/>
      <c r="N1008" s="206"/>
      <c r="O1008" s="383">
        <v>82.0</v>
      </c>
      <c r="P1008" s="206" t="s">
        <v>60</v>
      </c>
      <c r="Q1008" s="383">
        <v>211.0</v>
      </c>
      <c r="R1008" s="206" t="s">
        <v>1950</v>
      </c>
      <c r="S1008" s="383">
        <v>2011.0</v>
      </c>
      <c r="T1008" s="82">
        <v>1.41</v>
      </c>
      <c r="U1008" s="376">
        <f t="shared" si="100"/>
        <v>297.51</v>
      </c>
      <c r="V1008" s="24">
        <f t="shared" si="3"/>
        <v>49.585</v>
      </c>
      <c r="W1008" s="206"/>
      <c r="X1008" s="206"/>
      <c r="Z1008" s="383">
        <v>1.0</v>
      </c>
      <c r="AA1008" s="26">
        <f>VLOOKUP(S1008,CPI!$A$2:$E$67,5,0)</f>
        <v>1.354598358</v>
      </c>
      <c r="AB1008" s="27">
        <f t="shared" si="8"/>
        <v>403.0065574</v>
      </c>
      <c r="AC1008" s="27">
        <f t="shared" si="9"/>
        <v>67.16775957</v>
      </c>
    </row>
    <row r="1009">
      <c r="A1009" s="400"/>
      <c r="B1009" s="206"/>
      <c r="C1009" s="206"/>
      <c r="D1009" s="206"/>
      <c r="E1009" s="206"/>
      <c r="F1009" s="383"/>
      <c r="G1009" s="383"/>
      <c r="H1009" s="206"/>
      <c r="I1009" s="383"/>
      <c r="J1009" s="383"/>
      <c r="K1009" s="383"/>
      <c r="L1009" s="206"/>
      <c r="M1009" s="206"/>
      <c r="N1009" s="206"/>
      <c r="O1009" s="383"/>
      <c r="P1009" s="206"/>
      <c r="Q1009" s="383"/>
      <c r="R1009" s="206"/>
      <c r="S1009" s="383"/>
      <c r="T1009" s="385"/>
      <c r="U1009" s="376"/>
      <c r="V1009" s="24"/>
      <c r="W1009" s="206"/>
      <c r="X1009" s="206"/>
      <c r="Z1009" s="383"/>
      <c r="AA1009" s="26"/>
      <c r="AB1009" s="410">
        <f t="shared" ref="AB1009:AC1009" si="105">min(AB2:AB1008)</f>
        <v>85.27137346</v>
      </c>
      <c r="AC1009" s="410">
        <f t="shared" si="105"/>
        <v>12.15866267</v>
      </c>
    </row>
    <row r="1010">
      <c r="A1010" s="400"/>
      <c r="B1010" s="206"/>
      <c r="C1010" s="206"/>
      <c r="D1010" s="206"/>
      <c r="E1010" s="206"/>
      <c r="F1010" s="383"/>
      <c r="G1010" s="383"/>
      <c r="H1010" s="206"/>
      <c r="I1010" s="383"/>
      <c r="J1010" s="383"/>
      <c r="K1010" s="383"/>
      <c r="L1010" s="206"/>
      <c r="M1010" s="206"/>
      <c r="N1010" s="206"/>
      <c r="O1010" s="383"/>
      <c r="P1010" s="206"/>
      <c r="Q1010" s="383"/>
      <c r="R1010" s="206"/>
      <c r="S1010" s="383"/>
      <c r="T1010" s="385"/>
      <c r="U1010" s="376"/>
      <c r="V1010" s="24"/>
      <c r="W1010" s="206"/>
      <c r="X1010" s="206"/>
      <c r="Z1010" s="383"/>
      <c r="AA1010" s="26"/>
      <c r="AB1010" s="27"/>
      <c r="AC1010" s="27"/>
    </row>
    <row r="1011">
      <c r="A1011" s="411" t="s">
        <v>2106</v>
      </c>
      <c r="B1011" s="206">
        <f>IFERROR(__xludf.DUMMYFUNCTION("COUNTUNIQUE(B2:B1008)"),60.0)</f>
        <v>60</v>
      </c>
      <c r="C1011" s="206"/>
      <c r="D1011" s="206"/>
      <c r="E1011" s="206"/>
      <c r="F1011" s="383"/>
      <c r="G1011" s="383"/>
      <c r="H1011" s="206"/>
      <c r="I1011" s="383"/>
      <c r="J1011" s="383"/>
      <c r="K1011" s="383"/>
      <c r="L1011" s="206"/>
      <c r="M1011" s="206"/>
      <c r="N1011" s="206"/>
      <c r="O1011" s="383"/>
      <c r="P1011" s="206"/>
      <c r="Q1011" s="383"/>
      <c r="R1011" s="206"/>
      <c r="S1011" s="383"/>
      <c r="T1011" s="385"/>
      <c r="U1011" s="376"/>
      <c r="V1011" s="24"/>
      <c r="W1011" s="206"/>
      <c r="X1011" s="206"/>
      <c r="Z1011" s="383"/>
      <c r="AA1011" s="26"/>
      <c r="AB1011" s="27"/>
      <c r="AC1011" s="27"/>
    </row>
    <row r="1012">
      <c r="A1012" s="411" t="s">
        <v>2107</v>
      </c>
      <c r="B1012" s="206">
        <f>IFERROR(__xludf.DUMMYFUNCTION("COUNTUNIQUE(C2:C1008)"),200.0)</f>
        <v>200</v>
      </c>
      <c r="C1012" s="206"/>
      <c r="D1012" s="206"/>
      <c r="E1012" s="206"/>
      <c r="F1012" s="383"/>
      <c r="G1012" s="383"/>
      <c r="H1012" s="206"/>
      <c r="I1012" s="383"/>
      <c r="J1012" s="383"/>
      <c r="K1012" s="383"/>
      <c r="L1012" s="206"/>
      <c r="M1012" s="206"/>
      <c r="N1012" s="206"/>
      <c r="O1012" s="383"/>
      <c r="P1012" s="206"/>
      <c r="Q1012" s="383"/>
      <c r="R1012" s="206"/>
      <c r="S1012" s="383"/>
      <c r="T1012" s="385"/>
      <c r="U1012" s="376"/>
      <c r="V1012" s="24"/>
      <c r="W1012" s="206"/>
      <c r="X1012" s="206"/>
      <c r="Z1012" s="383"/>
      <c r="AA1012" s="26"/>
      <c r="AB1012" s="27"/>
      <c r="AC1012" s="27"/>
    </row>
    <row r="1013">
      <c r="A1013" s="411" t="s">
        <v>2108</v>
      </c>
      <c r="B1013" s="412">
        <f>sum(I2:I1008)</f>
        <v>20765.7866</v>
      </c>
      <c r="C1013" s="206"/>
      <c r="D1013" s="206"/>
      <c r="E1013" s="206"/>
      <c r="F1013" s="383"/>
      <c r="G1013" s="383"/>
      <c r="H1013" s="206"/>
      <c r="I1013" s="383"/>
      <c r="J1013" s="383"/>
      <c r="K1013" s="383"/>
      <c r="L1013" s="206"/>
      <c r="M1013" s="206"/>
      <c r="N1013" s="206"/>
      <c r="O1013" s="383"/>
      <c r="P1013" s="206"/>
      <c r="Q1013" s="383"/>
      <c r="R1013" s="206"/>
      <c r="S1013" s="383"/>
      <c r="T1013" s="385"/>
      <c r="U1013" s="376"/>
      <c r="V1013" s="24"/>
      <c r="W1013" s="206"/>
      <c r="X1013" s="206"/>
      <c r="Z1013" s="383"/>
      <c r="AA1013" s="26"/>
      <c r="AB1013" s="27">
        <f>sum(AB928:AB948)</f>
        <v>113187.6241</v>
      </c>
      <c r="AC1013" s="27"/>
    </row>
    <row r="1014">
      <c r="A1014" s="411" t="s">
        <v>2109</v>
      </c>
      <c r="B1014" s="413">
        <f>sum(AB2:AB1008)</f>
        <v>4964497.069</v>
      </c>
      <c r="C1014" s="206"/>
      <c r="D1014" s="206"/>
      <c r="E1014" s="206"/>
      <c r="F1014" s="383"/>
      <c r="G1014" s="383"/>
      <c r="H1014" s="206"/>
      <c r="I1014" s="383">
        <f>sum(I928:I948)</f>
        <v>180.8</v>
      </c>
      <c r="J1014" s="383"/>
      <c r="K1014" s="383"/>
      <c r="L1014" s="206"/>
      <c r="M1014" s="206"/>
      <c r="N1014" s="206"/>
      <c r="O1014" s="383"/>
      <c r="P1014" s="206"/>
      <c r="Q1014" s="383"/>
      <c r="R1014" s="206"/>
      <c r="S1014" s="383"/>
      <c r="T1014" s="385"/>
      <c r="U1014" s="376">
        <f>sum(U928:U948)</f>
        <v>96059</v>
      </c>
      <c r="V1014" s="24"/>
      <c r="W1014" s="206"/>
      <c r="X1014" s="206"/>
      <c r="Z1014" s="383"/>
      <c r="AA1014" s="26"/>
      <c r="AB1014" s="27">
        <f>AB1013/I1014</f>
        <v>626.0377439</v>
      </c>
      <c r="AC1014" s="27"/>
    </row>
    <row r="1015">
      <c r="A1015" s="411" t="s">
        <v>2110</v>
      </c>
      <c r="B1015" s="413">
        <f>B1014/B1013</f>
        <v>239.0709856</v>
      </c>
      <c r="C1015" s="206"/>
      <c r="D1015" s="206"/>
      <c r="E1015" s="206"/>
      <c r="F1015" s="383"/>
      <c r="G1015" s="383"/>
      <c r="H1015" s="206"/>
      <c r="I1015" s="383"/>
      <c r="J1015" s="383"/>
      <c r="K1015" s="383"/>
      <c r="L1015" s="206"/>
      <c r="M1015" s="206"/>
      <c r="N1015" s="206"/>
      <c r="O1015" s="383"/>
      <c r="P1015" s="206"/>
      <c r="Q1015" s="383"/>
      <c r="R1015" s="206"/>
      <c r="S1015" s="383"/>
      <c r="T1015" s="385"/>
      <c r="U1015" s="376">
        <f>U1014/I1014</f>
        <v>531.2997788</v>
      </c>
      <c r="V1015" s="24"/>
      <c r="W1015" s="206"/>
      <c r="X1015" s="206"/>
      <c r="Z1015" s="383"/>
      <c r="AA1015" s="26"/>
      <c r="AB1015" s="27"/>
      <c r="AC1015" s="27"/>
    </row>
    <row r="1016">
      <c r="A1016" s="411" t="s">
        <v>2111</v>
      </c>
      <c r="B1016" s="206">
        <f>count(AB2:AB1008)</f>
        <v>1007</v>
      </c>
      <c r="C1016" s="206"/>
      <c r="D1016" s="206"/>
      <c r="E1016" s="206"/>
      <c r="F1016" s="383"/>
      <c r="G1016" s="383"/>
      <c r="H1016" s="206"/>
      <c r="I1016" s="383"/>
      <c r="J1016" s="383"/>
      <c r="K1016" s="383"/>
      <c r="L1016" s="206"/>
      <c r="M1016" s="206"/>
      <c r="N1016" s="206"/>
      <c r="O1016" s="383"/>
      <c r="P1016" s="206"/>
      <c r="Q1016" s="383"/>
      <c r="R1016" s="206"/>
      <c r="S1016" s="383"/>
      <c r="T1016" s="385"/>
      <c r="U1016" s="376"/>
      <c r="V1016" s="24"/>
      <c r="W1016" s="206"/>
      <c r="X1016" s="206"/>
      <c r="Z1016" s="383"/>
      <c r="AA1016" s="26"/>
      <c r="AB1016" s="27"/>
      <c r="AC1016" s="27"/>
    </row>
    <row r="1017">
      <c r="A1017" s="400"/>
      <c r="B1017" s="206"/>
      <c r="C1017" s="206"/>
      <c r="D1017" s="206"/>
      <c r="E1017" s="206"/>
      <c r="F1017" s="383"/>
      <c r="G1017" s="383"/>
      <c r="H1017" s="206"/>
      <c r="I1017" s="383"/>
      <c r="J1017" s="383"/>
      <c r="K1017" s="383"/>
      <c r="L1017" s="206"/>
      <c r="M1017" s="206"/>
      <c r="N1017" s="206"/>
      <c r="O1017" s="383"/>
      <c r="P1017" s="206"/>
      <c r="Q1017" s="383"/>
      <c r="R1017" s="206"/>
      <c r="S1017" s="383"/>
      <c r="T1017" s="385"/>
      <c r="U1017" s="376"/>
      <c r="V1017" s="24"/>
      <c r="W1017" s="206"/>
      <c r="X1017" s="206"/>
      <c r="Z1017" s="383"/>
      <c r="AA1017" s="26"/>
      <c r="AB1017" s="27"/>
      <c r="AC1017" s="27"/>
    </row>
    <row r="1018">
      <c r="A1018" s="411" t="s">
        <v>2112</v>
      </c>
      <c r="B1018" s="412">
        <f>sum(K2:K1008)</f>
        <v>13117.0346</v>
      </c>
      <c r="C1018" s="206"/>
      <c r="D1018" s="206"/>
      <c r="E1018" s="206"/>
      <c r="F1018" s="383"/>
      <c r="G1018" s="383"/>
      <c r="H1018" s="206"/>
      <c r="I1018" s="383"/>
      <c r="J1018" s="383"/>
      <c r="K1018" s="383"/>
      <c r="L1018" s="206"/>
      <c r="M1018" s="206"/>
      <c r="N1018" s="206"/>
      <c r="O1018" s="383"/>
      <c r="P1018" s="206"/>
      <c r="Q1018" s="383"/>
      <c r="R1018" s="206"/>
      <c r="S1018" s="383"/>
      <c r="T1018" s="385"/>
      <c r="U1018" s="376"/>
      <c r="V1018" s="24"/>
      <c r="W1018" s="206"/>
      <c r="X1018" s="206"/>
      <c r="Z1018" s="383"/>
      <c r="AA1018" s="26"/>
      <c r="AB1018" s="27"/>
      <c r="AC1018" s="27"/>
    </row>
    <row r="1019">
      <c r="A1019" s="411" t="s">
        <v>2113</v>
      </c>
      <c r="B1019" s="414">
        <f>B1018/B1013</f>
        <v>0.6316656745</v>
      </c>
      <c r="C1019" s="206"/>
      <c r="D1019" s="206"/>
      <c r="E1019" s="206"/>
      <c r="F1019" s="383"/>
      <c r="G1019" s="383"/>
      <c r="H1019" s="206"/>
      <c r="I1019" s="383"/>
      <c r="J1019" s="383"/>
      <c r="K1019" s="383"/>
      <c r="L1019" s="206"/>
      <c r="M1019" s="206"/>
      <c r="N1019" s="206"/>
      <c r="O1019" s="383"/>
      <c r="P1019" s="206"/>
      <c r="Q1019" s="383"/>
      <c r="R1019" s="206"/>
      <c r="S1019" s="383"/>
      <c r="T1019" s="385"/>
      <c r="U1019" s="376"/>
      <c r="V1019" s="24"/>
      <c r="W1019" s="206"/>
      <c r="X1019" s="206"/>
      <c r="Z1019" s="383"/>
      <c r="AA1019" s="26"/>
      <c r="AB1019" s="27"/>
      <c r="AC1019" s="27"/>
    </row>
    <row r="1020">
      <c r="A1020" s="400"/>
      <c r="B1020" s="206"/>
      <c r="C1020" s="206"/>
      <c r="D1020" s="206"/>
      <c r="E1020" s="206"/>
      <c r="F1020" s="383"/>
      <c r="G1020" s="383"/>
      <c r="H1020" s="206"/>
      <c r="I1020" s="383"/>
      <c r="J1020" s="383"/>
      <c r="K1020" s="383"/>
      <c r="L1020" s="206"/>
      <c r="M1020" s="206"/>
      <c r="N1020" s="206"/>
      <c r="O1020" s="383"/>
      <c r="P1020" s="206"/>
      <c r="Q1020" s="383"/>
      <c r="R1020" s="206"/>
      <c r="S1020" s="383"/>
      <c r="T1020" s="385"/>
      <c r="U1020" s="376"/>
      <c r="V1020" s="24"/>
      <c r="W1020" s="206"/>
      <c r="X1020" s="206"/>
      <c r="Z1020" s="383"/>
      <c r="AA1020" s="26"/>
      <c r="AB1020" s="27"/>
      <c r="AC1020" s="27"/>
    </row>
    <row r="1021">
      <c r="A1021" s="411" t="s">
        <v>2114</v>
      </c>
      <c r="B1021" s="413">
        <f>average(AC2:AC1008)</f>
        <v>273.3013901</v>
      </c>
      <c r="C1021" s="206"/>
      <c r="D1021" s="206"/>
      <c r="E1021" s="206"/>
      <c r="F1021" s="383"/>
      <c r="G1021" s="383"/>
      <c r="H1021" s="206"/>
      <c r="I1021" s="383"/>
      <c r="J1021" s="383"/>
      <c r="K1021" s="383"/>
      <c r="L1021" s="206"/>
      <c r="M1021" s="206"/>
      <c r="N1021" s="206"/>
      <c r="O1021" s="383"/>
      <c r="P1021" s="206"/>
      <c r="Q1021" s="383"/>
      <c r="R1021" s="206"/>
      <c r="S1021" s="383"/>
      <c r="T1021" s="385"/>
      <c r="U1021" s="376"/>
      <c r="V1021" s="24"/>
      <c r="W1021" s="206"/>
      <c r="X1021" s="206"/>
      <c r="Z1021" s="383"/>
      <c r="AA1021" s="26"/>
      <c r="AB1021" s="27"/>
      <c r="AC1021" s="27"/>
    </row>
  </sheetData>
  <autoFilter ref="$A$1:$AC$1009"/>
  <conditionalFormatting sqref="A864:A1021">
    <cfRule type="expression" dxfId="0" priority="1">
      <formula>"countif(A:A,A1)&gt;1"</formula>
    </cfRule>
  </conditionalFormatting>
  <conditionalFormatting sqref="AC864:AC920 AC951:AC1008 AC1010:AC1021">
    <cfRule type="cellIs" dxfId="1" priority="2" operator="equal">
      <formula>0</formula>
    </cfRule>
  </conditionalFormatting>
  <conditionalFormatting sqref="A764:A863 B780 B794">
    <cfRule type="expression" dxfId="0" priority="3">
      <formula>"countif(A:A,A1)&gt;1"</formula>
    </cfRule>
  </conditionalFormatting>
  <conditionalFormatting sqref="AC764:AC863">
    <cfRule type="cellIs" dxfId="1" priority="4" operator="equal">
      <formula>0</formula>
    </cfRule>
  </conditionalFormatting>
  <conditionalFormatting sqref="A748:A763 B748:B760 B762">
    <cfRule type="expression" dxfId="0" priority="5">
      <formula>"countif(A:A,A1)&gt;1"</formula>
    </cfRule>
  </conditionalFormatting>
  <conditionalFormatting sqref="AC748:AC763">
    <cfRule type="cellIs" dxfId="1" priority="6" operator="equal">
      <formula>0</formula>
    </cfRule>
  </conditionalFormatting>
  <conditionalFormatting sqref="A644:A700 B666:B700 A702:A716 B702:B705 A718:A747 B720:B729 C725:C726 B731 B745:B747">
    <cfRule type="expression" dxfId="0" priority="7">
      <formula>"countif(A:A,A1)&gt;1"</formula>
    </cfRule>
  </conditionalFormatting>
  <conditionalFormatting sqref="AC644:AC747">
    <cfRule type="cellIs" dxfId="1" priority="8" operator="equal">
      <formula>0</formula>
    </cfRule>
  </conditionalFormatting>
  <conditionalFormatting sqref="A596:A643">
    <cfRule type="expression" dxfId="0" priority="9">
      <formula>"countif(A:A,A1)&gt;1"</formula>
    </cfRule>
  </conditionalFormatting>
  <conditionalFormatting sqref="AC596:AC643">
    <cfRule type="cellIs" dxfId="1" priority="10" operator="equal">
      <formula>0</formula>
    </cfRule>
  </conditionalFormatting>
  <conditionalFormatting sqref="A595">
    <cfRule type="expression" dxfId="0" priority="11">
      <formula>"countif(A:A,A1)&gt;1"</formula>
    </cfRule>
  </conditionalFormatting>
  <conditionalFormatting sqref="AC595">
    <cfRule type="cellIs" dxfId="1" priority="12" operator="equal">
      <formula>0</formula>
    </cfRule>
  </conditionalFormatting>
  <conditionalFormatting sqref="A594">
    <cfRule type="expression" dxfId="0" priority="13">
      <formula>"countif(A:A,A1)&gt;1"</formula>
    </cfRule>
  </conditionalFormatting>
  <conditionalFormatting sqref="AC594">
    <cfRule type="cellIs" dxfId="1" priority="14" operator="equal">
      <formula>0</formula>
    </cfRule>
  </conditionalFormatting>
  <conditionalFormatting sqref="A592:A593">
    <cfRule type="expression" dxfId="0" priority="15">
      <formula>"countif(A:A,A1)&gt;1"</formula>
    </cfRule>
  </conditionalFormatting>
  <conditionalFormatting sqref="AC592:AC593">
    <cfRule type="cellIs" dxfId="1" priority="16" operator="equal">
      <formula>0</formula>
    </cfRule>
  </conditionalFormatting>
  <conditionalFormatting sqref="A591">
    <cfRule type="expression" dxfId="0" priority="17">
      <formula>"countif(A:A,A1)&gt;1"</formula>
    </cfRule>
  </conditionalFormatting>
  <conditionalFormatting sqref="AC591">
    <cfRule type="cellIs" dxfId="1" priority="18" operator="equal">
      <formula>0</formula>
    </cfRule>
  </conditionalFormatting>
  <conditionalFormatting sqref="A476:A516 A518:A590">
    <cfRule type="expression" dxfId="0" priority="19">
      <formula>"countif(A:A,A1)&gt;1"</formula>
    </cfRule>
  </conditionalFormatting>
  <conditionalFormatting sqref="AC476:AC590">
    <cfRule type="cellIs" dxfId="1" priority="20" operator="equal">
      <formula>0</formula>
    </cfRule>
  </conditionalFormatting>
  <conditionalFormatting sqref="A470:A475">
    <cfRule type="expression" dxfId="0" priority="21">
      <formula>"countif(A:A,A1)&gt;1"</formula>
    </cfRule>
  </conditionalFormatting>
  <conditionalFormatting sqref="AC470:AC475">
    <cfRule type="cellIs" dxfId="1" priority="22" operator="equal">
      <formula>0</formula>
    </cfRule>
  </conditionalFormatting>
  <conditionalFormatting sqref="A413:A469">
    <cfRule type="expression" dxfId="0" priority="23">
      <formula>"countif(A:A,A1)&gt;1"</formula>
    </cfRule>
  </conditionalFormatting>
  <conditionalFormatting sqref="AC413:AC469">
    <cfRule type="cellIs" dxfId="1" priority="24" operator="equal">
      <formula>0</formula>
    </cfRule>
  </conditionalFormatting>
  <conditionalFormatting sqref="A409:A412">
    <cfRule type="expression" dxfId="0" priority="25">
      <formula>"countif(A:A,A1)&gt;1"</formula>
    </cfRule>
  </conditionalFormatting>
  <conditionalFormatting sqref="AC409:AC412">
    <cfRule type="cellIs" dxfId="1" priority="26" operator="equal">
      <formula>0</formula>
    </cfRule>
  </conditionalFormatting>
  <conditionalFormatting sqref="A384:A408">
    <cfRule type="expression" dxfId="0" priority="27">
      <formula>"countif(A:A,A1)&gt;1"</formula>
    </cfRule>
  </conditionalFormatting>
  <conditionalFormatting sqref="AC384:AC408">
    <cfRule type="cellIs" dxfId="1" priority="28" operator="equal">
      <formula>0</formula>
    </cfRule>
  </conditionalFormatting>
  <conditionalFormatting sqref="A95:A383">
    <cfRule type="expression" dxfId="0" priority="29">
      <formula>"countif(A:A,A1)&gt;1"</formula>
    </cfRule>
  </conditionalFormatting>
  <conditionalFormatting sqref="AC95:AC383">
    <cfRule type="cellIs" dxfId="1" priority="30" operator="equal">
      <formula>0</formula>
    </cfRule>
  </conditionalFormatting>
  <conditionalFormatting sqref="A90:A94">
    <cfRule type="expression" dxfId="0" priority="31">
      <formula>"countif(A:A,A1)&gt;1"</formula>
    </cfRule>
  </conditionalFormatting>
  <conditionalFormatting sqref="AC90:AC94">
    <cfRule type="cellIs" dxfId="1" priority="32" operator="equal">
      <formula>0</formula>
    </cfRule>
  </conditionalFormatting>
  <conditionalFormatting sqref="A78:A89">
    <cfRule type="expression" dxfId="0" priority="33">
      <formula>"countif(A:A,A1)&gt;1"</formula>
    </cfRule>
  </conditionalFormatting>
  <conditionalFormatting sqref="AC78:AC89">
    <cfRule type="cellIs" dxfId="1" priority="34" operator="equal">
      <formula>0</formula>
    </cfRule>
  </conditionalFormatting>
  <conditionalFormatting sqref="A75:A77">
    <cfRule type="expression" dxfId="0" priority="35">
      <formula>"countif(A:A,A1)&gt;1"</formula>
    </cfRule>
  </conditionalFormatting>
  <conditionalFormatting sqref="AC75:AC77">
    <cfRule type="cellIs" dxfId="1" priority="36" operator="equal">
      <formula>0</formula>
    </cfRule>
  </conditionalFormatting>
  <conditionalFormatting sqref="A72:A74">
    <cfRule type="expression" dxfId="0" priority="37">
      <formula>"countif(A:A,A1)&gt;1"</formula>
    </cfRule>
  </conditionalFormatting>
  <conditionalFormatting sqref="AC72:AC74">
    <cfRule type="cellIs" dxfId="1" priority="38" operator="equal">
      <formula>0</formula>
    </cfRule>
  </conditionalFormatting>
  <conditionalFormatting sqref="A65:A71">
    <cfRule type="expression" dxfId="0" priority="39">
      <formula>"countif(A:A,A1)&gt;1"</formula>
    </cfRule>
  </conditionalFormatting>
  <conditionalFormatting sqref="AC65:AC71">
    <cfRule type="cellIs" dxfId="1" priority="40" operator="equal">
      <formula>0</formula>
    </cfRule>
  </conditionalFormatting>
  <conditionalFormatting sqref="A59:A64">
    <cfRule type="expression" dxfId="0" priority="41">
      <formula>"countif(A:A,A1)&gt;1"</formula>
    </cfRule>
  </conditionalFormatting>
  <conditionalFormatting sqref="AC59:AC64">
    <cfRule type="cellIs" dxfId="1" priority="42" operator="equal">
      <formula>0</formula>
    </cfRule>
  </conditionalFormatting>
  <conditionalFormatting sqref="A33:A41 A43:A58">
    <cfRule type="expression" dxfId="0" priority="43">
      <formula>"countif(A:A,A1)&gt;1"</formula>
    </cfRule>
  </conditionalFormatting>
  <conditionalFormatting sqref="AC33:AC58">
    <cfRule type="cellIs" dxfId="1" priority="44" operator="equal">
      <formula>0</formula>
    </cfRule>
  </conditionalFormatting>
  <conditionalFormatting sqref="A1:A32">
    <cfRule type="expression" dxfId="0" priority="45">
      <formula>"countif(A:A,A1)&gt;1"</formula>
    </cfRule>
  </conditionalFormatting>
  <conditionalFormatting sqref="AC1:AC32">
    <cfRule type="cellIs" dxfId="1" priority="46" operator="equal">
      <formula>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26" t="s">
        <v>19</v>
      </c>
      <c r="B1" s="415"/>
      <c r="C1" s="326"/>
      <c r="D1" s="326" t="s">
        <v>2115</v>
      </c>
      <c r="E1" s="326" t="s">
        <v>2116</v>
      </c>
      <c r="F1" s="326" t="s">
        <v>2117</v>
      </c>
    </row>
    <row r="2">
      <c r="A2" s="326">
        <v>1965.0</v>
      </c>
      <c r="B2" s="415">
        <v>31.5</v>
      </c>
      <c r="C2" s="326">
        <v>1.0</v>
      </c>
      <c r="D2" s="408">
        <f t="shared" ref="D2:D57" si="1">C2*$B$58/B2</f>
        <v>8.602222222</v>
      </c>
      <c r="E2" s="408">
        <f t="shared" ref="E2:E60" si="2">C2*$B$60/B2</f>
        <v>9.673079365</v>
      </c>
      <c r="F2" s="408">
        <f t="shared" ref="F2:F60" si="3">C2*$B$62/B2</f>
        <v>10.22585714</v>
      </c>
    </row>
    <row r="3">
      <c r="A3" s="326">
        <v>1966.0</v>
      </c>
      <c r="B3" s="415">
        <v>32.4</v>
      </c>
      <c r="C3" s="326">
        <v>1.0</v>
      </c>
      <c r="D3" s="408">
        <f t="shared" si="1"/>
        <v>8.363271605</v>
      </c>
      <c r="E3" s="408">
        <f t="shared" si="2"/>
        <v>9.404382716</v>
      </c>
      <c r="F3" s="408">
        <f t="shared" si="3"/>
        <v>9.941805556</v>
      </c>
    </row>
    <row r="4">
      <c r="A4" s="326">
        <v>1967.0</v>
      </c>
      <c r="B4" s="415">
        <v>33.4</v>
      </c>
      <c r="C4" s="326">
        <v>1.0</v>
      </c>
      <c r="D4" s="408">
        <f t="shared" si="1"/>
        <v>8.112874251</v>
      </c>
      <c r="E4" s="408">
        <f t="shared" si="2"/>
        <v>9.122814371</v>
      </c>
      <c r="F4" s="408">
        <f t="shared" si="3"/>
        <v>9.644146707</v>
      </c>
    </row>
    <row r="5">
      <c r="A5" s="326">
        <v>1968.0</v>
      </c>
      <c r="B5" s="415">
        <v>34.8</v>
      </c>
      <c r="C5" s="326">
        <v>1.0</v>
      </c>
      <c r="D5" s="408">
        <f t="shared" si="1"/>
        <v>7.786494253</v>
      </c>
      <c r="E5" s="408">
        <f t="shared" si="2"/>
        <v>8.755804598</v>
      </c>
      <c r="F5" s="408">
        <f t="shared" si="3"/>
        <v>9.256163793</v>
      </c>
    </row>
    <row r="6">
      <c r="A6" s="326">
        <v>1969.0</v>
      </c>
      <c r="B6" s="415">
        <v>36.7</v>
      </c>
      <c r="C6" s="326">
        <v>1.0</v>
      </c>
      <c r="D6" s="408">
        <f t="shared" si="1"/>
        <v>7.383378747</v>
      </c>
      <c r="E6" s="408">
        <f t="shared" si="2"/>
        <v>8.302506812</v>
      </c>
      <c r="F6" s="408">
        <f t="shared" si="3"/>
        <v>8.776961853</v>
      </c>
    </row>
    <row r="7">
      <c r="A7" s="326">
        <v>1970.0</v>
      </c>
      <c r="B7" s="415">
        <v>38.8</v>
      </c>
      <c r="C7" s="326">
        <v>1.0</v>
      </c>
      <c r="D7" s="408">
        <f t="shared" si="1"/>
        <v>6.983762887</v>
      </c>
      <c r="E7" s="408">
        <f t="shared" si="2"/>
        <v>7.85314433</v>
      </c>
      <c r="F7" s="408">
        <f t="shared" si="3"/>
        <v>8.301920103</v>
      </c>
    </row>
    <row r="8">
      <c r="A8" s="326">
        <v>1971.0</v>
      </c>
      <c r="B8" s="415">
        <v>40.5</v>
      </c>
      <c r="C8" s="326">
        <v>1.0</v>
      </c>
      <c r="D8" s="408">
        <f t="shared" si="1"/>
        <v>6.690617284</v>
      </c>
      <c r="E8" s="408">
        <f t="shared" si="2"/>
        <v>7.523506173</v>
      </c>
      <c r="F8" s="408">
        <f t="shared" si="3"/>
        <v>7.953444444</v>
      </c>
    </row>
    <row r="9">
      <c r="A9" s="326">
        <v>1972.0</v>
      </c>
      <c r="B9" s="415">
        <v>41.8</v>
      </c>
      <c r="C9" s="326">
        <v>1.0</v>
      </c>
      <c r="D9" s="408">
        <f t="shared" si="1"/>
        <v>6.482535885</v>
      </c>
      <c r="E9" s="408">
        <f t="shared" si="2"/>
        <v>7.289521531</v>
      </c>
      <c r="F9" s="408">
        <f t="shared" si="3"/>
        <v>7.706088517</v>
      </c>
    </row>
    <row r="10">
      <c r="A10" s="326">
        <v>1973.0</v>
      </c>
      <c r="B10" s="415">
        <v>44.4</v>
      </c>
      <c r="C10" s="326">
        <v>1.0</v>
      </c>
      <c r="D10" s="408">
        <f t="shared" si="1"/>
        <v>6.102927928</v>
      </c>
      <c r="E10" s="408">
        <f t="shared" si="2"/>
        <v>6.862657658</v>
      </c>
      <c r="F10" s="408">
        <f t="shared" si="3"/>
        <v>7.254831081</v>
      </c>
    </row>
    <row r="11">
      <c r="A11" s="326">
        <v>1974.0</v>
      </c>
      <c r="B11" s="415">
        <v>49.3</v>
      </c>
      <c r="C11" s="326">
        <v>1.0</v>
      </c>
      <c r="D11" s="408">
        <f t="shared" si="1"/>
        <v>5.496348884</v>
      </c>
      <c r="E11" s="408">
        <f t="shared" si="2"/>
        <v>6.180567951</v>
      </c>
      <c r="F11" s="408">
        <f t="shared" si="3"/>
        <v>6.533762677</v>
      </c>
    </row>
    <row r="12">
      <c r="A12" s="326">
        <v>1975.0</v>
      </c>
      <c r="B12" s="415">
        <v>53.8</v>
      </c>
      <c r="C12" s="326">
        <v>1.0</v>
      </c>
      <c r="D12" s="408">
        <f t="shared" si="1"/>
        <v>5.0366171</v>
      </c>
      <c r="E12" s="408">
        <f t="shared" si="2"/>
        <v>5.663605948</v>
      </c>
      <c r="F12" s="408">
        <f t="shared" si="3"/>
        <v>5.987258364</v>
      </c>
    </row>
    <row r="13">
      <c r="A13" s="326">
        <v>1976.0</v>
      </c>
      <c r="B13" s="415">
        <v>56.9</v>
      </c>
      <c r="C13" s="326">
        <v>1.0</v>
      </c>
      <c r="D13" s="408">
        <f t="shared" si="1"/>
        <v>4.762214411</v>
      </c>
      <c r="E13" s="408">
        <f t="shared" si="2"/>
        <v>5.355043937</v>
      </c>
      <c r="F13" s="408">
        <f t="shared" si="3"/>
        <v>5.661063269</v>
      </c>
    </row>
    <row r="14">
      <c r="A14" s="326">
        <v>1977.0</v>
      </c>
      <c r="B14" s="415">
        <v>60.6</v>
      </c>
      <c r="C14" s="326">
        <v>1.0</v>
      </c>
      <c r="D14" s="408">
        <f t="shared" si="1"/>
        <v>4.471452145</v>
      </c>
      <c r="E14" s="408">
        <f t="shared" si="2"/>
        <v>5.028085809</v>
      </c>
      <c r="F14" s="408">
        <f t="shared" si="3"/>
        <v>5.315420792</v>
      </c>
    </row>
    <row r="15">
      <c r="A15" s="326">
        <v>1978.0</v>
      </c>
      <c r="B15" s="415">
        <v>65.2</v>
      </c>
      <c r="C15" s="326">
        <v>1.0</v>
      </c>
      <c r="D15" s="408">
        <f t="shared" si="1"/>
        <v>4.155981595</v>
      </c>
      <c r="E15" s="408">
        <f t="shared" si="2"/>
        <v>4.673343558</v>
      </c>
      <c r="F15" s="408">
        <f t="shared" si="3"/>
        <v>4.940406442</v>
      </c>
    </row>
    <row r="16">
      <c r="A16" s="326">
        <v>1979.0</v>
      </c>
      <c r="B16" s="415">
        <v>72.6</v>
      </c>
      <c r="C16" s="326">
        <v>1.0</v>
      </c>
      <c r="D16" s="408">
        <f t="shared" si="1"/>
        <v>3.732369146</v>
      </c>
      <c r="E16" s="408">
        <f t="shared" si="2"/>
        <v>4.196997245</v>
      </c>
      <c r="F16" s="408">
        <f t="shared" si="3"/>
        <v>4.436838843</v>
      </c>
    </row>
    <row r="17">
      <c r="A17" s="326">
        <v>1980.0</v>
      </c>
      <c r="B17" s="415">
        <v>82.4</v>
      </c>
      <c r="C17" s="326">
        <v>1.0</v>
      </c>
      <c r="D17" s="408">
        <f t="shared" si="1"/>
        <v>3.288470874</v>
      </c>
      <c r="E17" s="408">
        <f t="shared" si="2"/>
        <v>3.697839806</v>
      </c>
      <c r="F17" s="408">
        <f t="shared" si="3"/>
        <v>3.909156553</v>
      </c>
    </row>
    <row r="18">
      <c r="A18" s="326">
        <v>1981.0</v>
      </c>
      <c r="B18" s="415">
        <v>90.9</v>
      </c>
      <c r="C18" s="326">
        <v>1.0</v>
      </c>
      <c r="D18" s="408">
        <f t="shared" si="1"/>
        <v>2.980968097</v>
      </c>
      <c r="E18" s="408">
        <f t="shared" si="2"/>
        <v>3.352057206</v>
      </c>
      <c r="F18" s="408">
        <f t="shared" si="3"/>
        <v>3.543613861</v>
      </c>
    </row>
    <row r="19">
      <c r="A19" s="326">
        <v>1982.0</v>
      </c>
      <c r="B19" s="415">
        <v>96.5</v>
      </c>
      <c r="C19" s="326">
        <v>1.0</v>
      </c>
      <c r="D19" s="408">
        <f t="shared" si="1"/>
        <v>2.807979275</v>
      </c>
      <c r="E19" s="408">
        <f t="shared" si="2"/>
        <v>3.157533679</v>
      </c>
      <c r="F19" s="408">
        <f t="shared" si="3"/>
        <v>3.337974093</v>
      </c>
    </row>
    <row r="20">
      <c r="A20" s="326">
        <v>1983.0</v>
      </c>
      <c r="B20" s="415">
        <v>99.6</v>
      </c>
      <c r="C20" s="326">
        <v>1.0</v>
      </c>
      <c r="D20" s="408">
        <f t="shared" si="1"/>
        <v>2.720582329</v>
      </c>
      <c r="E20" s="408">
        <f t="shared" si="2"/>
        <v>3.059257028</v>
      </c>
      <c r="F20" s="408">
        <f t="shared" si="3"/>
        <v>3.234081325</v>
      </c>
    </row>
    <row r="21">
      <c r="A21" s="326">
        <v>1984.0</v>
      </c>
      <c r="B21" s="415">
        <v>103.9</v>
      </c>
      <c r="C21" s="326">
        <v>1.0</v>
      </c>
      <c r="D21" s="408">
        <f t="shared" si="1"/>
        <v>2.60798845</v>
      </c>
      <c r="E21" s="408">
        <f t="shared" si="2"/>
        <v>2.932646776</v>
      </c>
      <c r="F21" s="408">
        <f t="shared" si="3"/>
        <v>3.100235804</v>
      </c>
    </row>
    <row r="22">
      <c r="A22" s="326">
        <v>1985.0</v>
      </c>
      <c r="B22" s="415">
        <v>107.6</v>
      </c>
      <c r="C22" s="326">
        <v>1.0</v>
      </c>
      <c r="D22" s="408">
        <f t="shared" si="1"/>
        <v>2.51830855</v>
      </c>
      <c r="E22" s="408">
        <f t="shared" si="2"/>
        <v>2.831802974</v>
      </c>
      <c r="F22" s="408">
        <f t="shared" si="3"/>
        <v>2.993629182</v>
      </c>
    </row>
    <row r="23">
      <c r="A23" s="326">
        <v>1986.0</v>
      </c>
      <c r="B23" s="415">
        <v>109.6</v>
      </c>
      <c r="C23" s="326">
        <v>1.0</v>
      </c>
      <c r="D23" s="408">
        <f t="shared" si="1"/>
        <v>2.472354015</v>
      </c>
      <c r="E23" s="408">
        <f t="shared" si="2"/>
        <v>2.780127737</v>
      </c>
      <c r="F23" s="408">
        <f t="shared" si="3"/>
        <v>2.939000912</v>
      </c>
    </row>
    <row r="24">
      <c r="A24" s="326">
        <v>1987.0</v>
      </c>
      <c r="B24" s="415">
        <v>113.6</v>
      </c>
      <c r="C24" s="326">
        <v>1.0</v>
      </c>
      <c r="D24" s="408">
        <f t="shared" si="1"/>
        <v>2.385299296</v>
      </c>
      <c r="E24" s="408">
        <f t="shared" si="2"/>
        <v>2.682235915</v>
      </c>
      <c r="F24" s="408">
        <f t="shared" si="3"/>
        <v>2.835514965</v>
      </c>
    </row>
    <row r="25">
      <c r="A25" s="326">
        <v>1988.0</v>
      </c>
      <c r="B25" s="415">
        <v>118.3</v>
      </c>
      <c r="C25" s="326">
        <v>1.0</v>
      </c>
      <c r="D25" s="408">
        <f t="shared" si="1"/>
        <v>2.290532544</v>
      </c>
      <c r="E25" s="408">
        <f t="shared" si="2"/>
        <v>2.57567202</v>
      </c>
      <c r="F25" s="408">
        <f t="shared" si="3"/>
        <v>2.722861369</v>
      </c>
    </row>
    <row r="26">
      <c r="A26" s="326">
        <v>1989.0</v>
      </c>
      <c r="B26" s="415">
        <v>124.0</v>
      </c>
      <c r="C26" s="326">
        <v>1.0</v>
      </c>
      <c r="D26" s="408">
        <f t="shared" si="1"/>
        <v>2.185241935</v>
      </c>
      <c r="E26" s="408">
        <f t="shared" si="2"/>
        <v>2.457274194</v>
      </c>
      <c r="F26" s="408">
        <f t="shared" si="3"/>
        <v>2.597697581</v>
      </c>
    </row>
    <row r="27">
      <c r="A27" s="326">
        <v>1990.0</v>
      </c>
      <c r="B27" s="415">
        <v>130.7</v>
      </c>
      <c r="C27" s="326">
        <v>1.0</v>
      </c>
      <c r="D27" s="408">
        <f t="shared" si="1"/>
        <v>2.073221117</v>
      </c>
      <c r="E27" s="408">
        <f t="shared" si="2"/>
        <v>2.33130834</v>
      </c>
      <c r="F27" s="408">
        <f t="shared" si="3"/>
        <v>2.464533282</v>
      </c>
    </row>
    <row r="28">
      <c r="A28" s="326">
        <v>1991.0</v>
      </c>
      <c r="B28" s="415">
        <v>136.2</v>
      </c>
      <c r="C28" s="326">
        <v>1.0</v>
      </c>
      <c r="D28" s="408">
        <f t="shared" si="1"/>
        <v>1.989500734</v>
      </c>
      <c r="E28" s="408">
        <f t="shared" si="2"/>
        <v>2.237165932</v>
      </c>
      <c r="F28" s="408">
        <f t="shared" si="3"/>
        <v>2.365011013</v>
      </c>
    </row>
    <row r="29">
      <c r="A29" s="326">
        <v>1992.0</v>
      </c>
      <c r="B29" s="415">
        <v>140.3</v>
      </c>
      <c r="C29" s="326">
        <v>1.0</v>
      </c>
      <c r="D29" s="408">
        <f t="shared" si="1"/>
        <v>1.931361368</v>
      </c>
      <c r="E29" s="408">
        <f t="shared" si="2"/>
        <v>2.171789024</v>
      </c>
      <c r="F29" s="408">
        <f t="shared" si="3"/>
        <v>2.295898076</v>
      </c>
    </row>
    <row r="30">
      <c r="A30" s="326">
        <v>1993.0</v>
      </c>
      <c r="B30" s="415">
        <v>144.5</v>
      </c>
      <c r="C30" s="326">
        <v>1.0</v>
      </c>
      <c r="D30" s="408">
        <f t="shared" si="1"/>
        <v>1.875224913</v>
      </c>
      <c r="E30" s="408">
        <f t="shared" si="2"/>
        <v>2.10866436</v>
      </c>
      <c r="F30" s="408">
        <f t="shared" si="3"/>
        <v>2.22916609</v>
      </c>
    </row>
    <row r="31">
      <c r="A31" s="326">
        <v>1994.0</v>
      </c>
      <c r="B31" s="415">
        <v>148.2</v>
      </c>
      <c r="C31" s="326">
        <v>1.0</v>
      </c>
      <c r="D31" s="408">
        <f t="shared" si="1"/>
        <v>1.828407557</v>
      </c>
      <c r="E31" s="408">
        <f t="shared" si="2"/>
        <v>2.056018893</v>
      </c>
      <c r="F31" s="408">
        <f t="shared" si="3"/>
        <v>2.173512146</v>
      </c>
    </row>
    <row r="32">
      <c r="A32" s="326">
        <v>1995.0</v>
      </c>
      <c r="B32" s="415">
        <v>152.4</v>
      </c>
      <c r="C32" s="326">
        <v>1.0</v>
      </c>
      <c r="D32" s="408">
        <f t="shared" si="1"/>
        <v>1.778018373</v>
      </c>
      <c r="E32" s="408">
        <f t="shared" si="2"/>
        <v>1.999356955</v>
      </c>
      <c r="F32" s="408">
        <f t="shared" si="3"/>
        <v>2.113612205</v>
      </c>
    </row>
    <row r="33">
      <c r="A33" s="326">
        <v>1996.0</v>
      </c>
      <c r="B33" s="415">
        <v>156.9</v>
      </c>
      <c r="C33" s="326">
        <v>1.0</v>
      </c>
      <c r="D33" s="408">
        <f t="shared" si="1"/>
        <v>1.727023582</v>
      </c>
      <c r="E33" s="408">
        <f t="shared" si="2"/>
        <v>1.942014022</v>
      </c>
      <c r="F33" s="408">
        <f t="shared" si="3"/>
        <v>2.052992352</v>
      </c>
    </row>
    <row r="34">
      <c r="A34" s="326">
        <v>1997.0</v>
      </c>
      <c r="B34" s="415">
        <v>160.5</v>
      </c>
      <c r="C34" s="326">
        <v>1.0</v>
      </c>
      <c r="D34" s="408">
        <f t="shared" si="1"/>
        <v>1.688286604</v>
      </c>
      <c r="E34" s="408">
        <f t="shared" si="2"/>
        <v>1.898454829</v>
      </c>
      <c r="F34" s="408">
        <f t="shared" si="3"/>
        <v>2.006943925</v>
      </c>
    </row>
    <row r="35">
      <c r="A35" s="326">
        <v>1998.0</v>
      </c>
      <c r="B35" s="415">
        <v>163.0</v>
      </c>
      <c r="C35" s="326">
        <v>1.0</v>
      </c>
      <c r="D35" s="408">
        <f t="shared" si="1"/>
        <v>1.662392638</v>
      </c>
      <c r="E35" s="408">
        <f t="shared" si="2"/>
        <v>1.869337423</v>
      </c>
      <c r="F35" s="408">
        <f t="shared" si="3"/>
        <v>1.976162577</v>
      </c>
    </row>
    <row r="36">
      <c r="A36" s="326">
        <v>1999.0</v>
      </c>
      <c r="B36" s="415">
        <v>166.6</v>
      </c>
      <c r="C36" s="326">
        <v>1.0</v>
      </c>
      <c r="D36" s="408">
        <f t="shared" si="1"/>
        <v>1.626470588</v>
      </c>
      <c r="E36" s="408">
        <f t="shared" si="2"/>
        <v>1.828943577</v>
      </c>
      <c r="F36" s="408">
        <f t="shared" si="3"/>
        <v>1.933460384</v>
      </c>
    </row>
    <row r="37">
      <c r="A37" s="326">
        <v>2000.0</v>
      </c>
      <c r="B37" s="415">
        <v>172.2</v>
      </c>
      <c r="C37" s="326">
        <v>1.0</v>
      </c>
      <c r="D37" s="408">
        <f t="shared" si="1"/>
        <v>1.573577236</v>
      </c>
      <c r="E37" s="408">
        <f t="shared" si="2"/>
        <v>1.769465738</v>
      </c>
      <c r="F37" s="408">
        <f t="shared" si="3"/>
        <v>1.870583624</v>
      </c>
    </row>
    <row r="38">
      <c r="A38" s="326">
        <v>2001.0</v>
      </c>
      <c r="B38" s="415">
        <v>177.1</v>
      </c>
      <c r="C38" s="326">
        <v>1.0</v>
      </c>
      <c r="D38" s="408">
        <f t="shared" si="1"/>
        <v>1.530039526</v>
      </c>
      <c r="E38" s="408">
        <f t="shared" si="2"/>
        <v>1.720508187</v>
      </c>
      <c r="F38" s="408">
        <f t="shared" si="3"/>
        <v>1.818828346</v>
      </c>
    </row>
    <row r="39">
      <c r="A39" s="326">
        <v>2002.0</v>
      </c>
      <c r="B39" s="415">
        <v>179.9</v>
      </c>
      <c r="C39" s="326">
        <v>1.0</v>
      </c>
      <c r="D39" s="408">
        <f t="shared" si="1"/>
        <v>1.506225681</v>
      </c>
      <c r="E39" s="408">
        <f t="shared" si="2"/>
        <v>1.69372985</v>
      </c>
      <c r="F39" s="408">
        <f t="shared" si="3"/>
        <v>1.790519733</v>
      </c>
    </row>
    <row r="40">
      <c r="A40" s="326">
        <v>2003.0</v>
      </c>
      <c r="B40" s="415">
        <v>184.0</v>
      </c>
      <c r="C40" s="326">
        <v>1.0</v>
      </c>
      <c r="D40" s="408">
        <f t="shared" si="1"/>
        <v>1.472663043</v>
      </c>
      <c r="E40" s="408">
        <f t="shared" si="2"/>
        <v>1.65598913</v>
      </c>
      <c r="F40" s="408">
        <f t="shared" si="3"/>
        <v>1.750622283</v>
      </c>
    </row>
    <row r="41">
      <c r="A41" s="326">
        <v>2004.0</v>
      </c>
      <c r="B41" s="415">
        <v>188.9</v>
      </c>
      <c r="C41" s="326">
        <v>1.0</v>
      </c>
      <c r="D41" s="408">
        <f t="shared" si="1"/>
        <v>1.434462679</v>
      </c>
      <c r="E41" s="408">
        <f t="shared" si="2"/>
        <v>1.613033351</v>
      </c>
      <c r="F41" s="408">
        <f t="shared" si="3"/>
        <v>1.705211752</v>
      </c>
    </row>
    <row r="42">
      <c r="A42" s="326">
        <v>2005.0</v>
      </c>
      <c r="B42" s="415">
        <v>195.3</v>
      </c>
      <c r="C42" s="326">
        <v>1.0</v>
      </c>
      <c r="D42" s="408">
        <f t="shared" si="1"/>
        <v>1.387455197</v>
      </c>
      <c r="E42" s="408">
        <f t="shared" si="2"/>
        <v>1.560174091</v>
      </c>
      <c r="F42" s="408">
        <f t="shared" si="3"/>
        <v>1.649331797</v>
      </c>
    </row>
    <row r="43">
      <c r="A43" s="326">
        <v>2006.0</v>
      </c>
      <c r="B43" s="415">
        <v>201.6</v>
      </c>
      <c r="C43" s="326">
        <v>1.0</v>
      </c>
      <c r="D43" s="408">
        <f t="shared" si="1"/>
        <v>1.344097222</v>
      </c>
      <c r="E43" s="408">
        <f t="shared" si="2"/>
        <v>1.511418651</v>
      </c>
      <c r="F43" s="408">
        <f t="shared" si="3"/>
        <v>1.597790179</v>
      </c>
    </row>
    <row r="44">
      <c r="A44" s="326">
        <v>2007.0</v>
      </c>
      <c r="B44" s="415">
        <v>207.342</v>
      </c>
      <c r="C44" s="326">
        <v>1.0</v>
      </c>
      <c r="D44" s="408">
        <f t="shared" si="1"/>
        <v>1.306874632</v>
      </c>
      <c r="E44" s="408">
        <f t="shared" si="2"/>
        <v>1.469562366</v>
      </c>
      <c r="F44" s="408">
        <f t="shared" si="3"/>
        <v>1.553541974</v>
      </c>
    </row>
    <row r="45">
      <c r="A45" s="326">
        <v>2008.0</v>
      </c>
      <c r="B45" s="415">
        <v>215.303</v>
      </c>
      <c r="C45" s="326">
        <v>1.0</v>
      </c>
      <c r="D45" s="408">
        <f t="shared" si="1"/>
        <v>1.258551901</v>
      </c>
      <c r="E45" s="408">
        <f t="shared" si="2"/>
        <v>1.415224126</v>
      </c>
      <c r="F45" s="408">
        <f t="shared" si="3"/>
        <v>1.496098522</v>
      </c>
    </row>
    <row r="46">
      <c r="A46" s="326">
        <v>2009.0</v>
      </c>
      <c r="B46" s="415">
        <v>214.537</v>
      </c>
      <c r="C46" s="326">
        <v>1.0</v>
      </c>
      <c r="D46" s="408">
        <f t="shared" si="1"/>
        <v>1.263045535</v>
      </c>
      <c r="E46" s="408">
        <f t="shared" si="2"/>
        <v>1.420277155</v>
      </c>
      <c r="F46" s="408">
        <f t="shared" si="3"/>
        <v>1.501440311</v>
      </c>
    </row>
    <row r="47">
      <c r="A47" s="326">
        <v>2010.0</v>
      </c>
      <c r="B47" s="415">
        <v>218.056</v>
      </c>
      <c r="C47" s="326">
        <v>1.0</v>
      </c>
      <c r="D47" s="408">
        <f t="shared" si="1"/>
        <v>1.242662435</v>
      </c>
      <c r="E47" s="408">
        <f t="shared" si="2"/>
        <v>1.397356642</v>
      </c>
      <c r="F47" s="408">
        <f t="shared" si="3"/>
        <v>1.477209983</v>
      </c>
    </row>
    <row r="48">
      <c r="A48" s="326">
        <v>2011.0</v>
      </c>
      <c r="B48" s="415">
        <v>224.939</v>
      </c>
      <c r="C48" s="326">
        <v>1.0</v>
      </c>
      <c r="D48" s="408">
        <f t="shared" si="1"/>
        <v>1.204637702</v>
      </c>
      <c r="E48" s="408">
        <f t="shared" si="2"/>
        <v>1.354598358</v>
      </c>
      <c r="F48" s="408">
        <f t="shared" si="3"/>
        <v>1.432008233</v>
      </c>
    </row>
    <row r="49">
      <c r="A49" s="326">
        <v>2012.0</v>
      </c>
      <c r="B49" s="415">
        <v>229.594</v>
      </c>
      <c r="C49" s="326">
        <v>1.0</v>
      </c>
      <c r="D49" s="408">
        <f t="shared" si="1"/>
        <v>1.180213769</v>
      </c>
      <c r="E49" s="408">
        <f t="shared" si="2"/>
        <v>1.327133984</v>
      </c>
      <c r="F49" s="408">
        <f t="shared" si="3"/>
        <v>1.402974381</v>
      </c>
    </row>
    <row r="50">
      <c r="A50" s="326">
        <v>2013.0</v>
      </c>
      <c r="B50" s="415">
        <v>232.957</v>
      </c>
      <c r="C50" s="326">
        <v>1.0</v>
      </c>
      <c r="D50" s="408">
        <f t="shared" si="1"/>
        <v>1.163176037</v>
      </c>
      <c r="E50" s="408">
        <f t="shared" si="2"/>
        <v>1.307975292</v>
      </c>
      <c r="F50" s="408">
        <f t="shared" si="3"/>
        <v>1.382720845</v>
      </c>
    </row>
    <row r="51">
      <c r="A51" s="326">
        <v>2014.0</v>
      </c>
      <c r="B51" s="415">
        <v>236.736</v>
      </c>
      <c r="C51" s="326">
        <v>1.0</v>
      </c>
      <c r="D51" s="408">
        <f t="shared" si="1"/>
        <v>1.14460834</v>
      </c>
      <c r="E51" s="408">
        <f t="shared" si="2"/>
        <v>1.287096175</v>
      </c>
      <c r="F51" s="408">
        <f t="shared" si="3"/>
        <v>1.360648571</v>
      </c>
    </row>
    <row r="52">
      <c r="A52" s="326">
        <v>2015.0</v>
      </c>
      <c r="B52" s="415">
        <v>237.017</v>
      </c>
      <c r="C52" s="326">
        <v>1.0</v>
      </c>
      <c r="D52" s="408">
        <f t="shared" si="1"/>
        <v>1.143251328</v>
      </c>
      <c r="E52" s="408">
        <f t="shared" si="2"/>
        <v>1.285570233</v>
      </c>
      <c r="F52" s="408">
        <f t="shared" si="3"/>
        <v>1.359035428</v>
      </c>
    </row>
    <row r="53">
      <c r="A53" s="326">
        <v>2016.0</v>
      </c>
      <c r="B53" s="415">
        <v>240.007</v>
      </c>
      <c r="C53" s="326">
        <v>1.0</v>
      </c>
      <c r="D53" s="408">
        <f t="shared" si="1"/>
        <v>1.129008737</v>
      </c>
      <c r="E53" s="408">
        <f t="shared" si="2"/>
        <v>1.269554638</v>
      </c>
      <c r="F53" s="408">
        <f t="shared" si="3"/>
        <v>1.342104605</v>
      </c>
    </row>
    <row r="54">
      <c r="A54" s="326">
        <v>2017.0</v>
      </c>
      <c r="B54" s="415">
        <v>245.12</v>
      </c>
      <c r="C54" s="326">
        <v>1.0</v>
      </c>
      <c r="D54" s="408">
        <f t="shared" si="1"/>
        <v>1.105458551</v>
      </c>
      <c r="E54" s="408">
        <f t="shared" si="2"/>
        <v>1.243072781</v>
      </c>
      <c r="F54" s="408">
        <f t="shared" si="3"/>
        <v>1.314109416</v>
      </c>
    </row>
    <row r="55">
      <c r="A55" s="326">
        <v>2018.0</v>
      </c>
      <c r="B55" s="415">
        <v>251.107</v>
      </c>
      <c r="C55" s="326">
        <v>1.0</v>
      </c>
      <c r="D55" s="408">
        <f t="shared" si="1"/>
        <v>1.079101738</v>
      </c>
      <c r="E55" s="408">
        <f t="shared" si="2"/>
        <v>1.21343491</v>
      </c>
      <c r="F55" s="408">
        <f t="shared" si="3"/>
        <v>1.28277786</v>
      </c>
    </row>
    <row r="56">
      <c r="A56" s="326">
        <v>2019.0</v>
      </c>
      <c r="B56" s="415">
        <v>255.657</v>
      </c>
      <c r="C56" s="326">
        <v>1.0</v>
      </c>
      <c r="D56" s="408">
        <f t="shared" si="1"/>
        <v>1.059896658</v>
      </c>
      <c r="E56" s="408">
        <f t="shared" si="2"/>
        <v>1.191839066</v>
      </c>
      <c r="F56" s="408">
        <f t="shared" si="3"/>
        <v>1.259947899</v>
      </c>
    </row>
    <row r="57">
      <c r="A57" s="326">
        <v>2020.0</v>
      </c>
      <c r="B57" s="415">
        <v>258.811</v>
      </c>
      <c r="C57" s="326">
        <v>1.0</v>
      </c>
      <c r="D57" s="408">
        <f t="shared" si="1"/>
        <v>1.046980229</v>
      </c>
      <c r="E57" s="408">
        <f t="shared" si="2"/>
        <v>1.17731472</v>
      </c>
      <c r="F57" s="408">
        <f t="shared" si="3"/>
        <v>1.244593545</v>
      </c>
    </row>
    <row r="58">
      <c r="A58" s="326">
        <v>2021.0</v>
      </c>
      <c r="B58" s="415">
        <v>270.97</v>
      </c>
      <c r="C58" s="326">
        <v>1.0</v>
      </c>
      <c r="D58" s="416">
        <v>1.0</v>
      </c>
      <c r="E58" s="408">
        <f t="shared" si="2"/>
        <v>1.124486105</v>
      </c>
      <c r="F58" s="408">
        <f t="shared" si="3"/>
        <v>1.188745987</v>
      </c>
    </row>
    <row r="59">
      <c r="A59" s="326">
        <v>2022.0</v>
      </c>
      <c r="B59" s="415">
        <v>292.655</v>
      </c>
      <c r="C59" s="326">
        <v>1.0</v>
      </c>
      <c r="D59" s="417">
        <f>C58*$B$58/B58</f>
        <v>1</v>
      </c>
      <c r="E59" s="408">
        <f t="shared" si="2"/>
        <v>1.041164511</v>
      </c>
      <c r="F59" s="408">
        <f t="shared" si="3"/>
        <v>1.100662897</v>
      </c>
    </row>
    <row r="60">
      <c r="A60" s="326">
        <v>2023.0</v>
      </c>
      <c r="B60" s="415">
        <v>304.702</v>
      </c>
      <c r="C60" s="326">
        <v>1.0</v>
      </c>
      <c r="D60" s="326">
        <v>1.0</v>
      </c>
      <c r="E60" s="408">
        <f t="shared" si="2"/>
        <v>1</v>
      </c>
      <c r="F60" s="408">
        <f t="shared" si="3"/>
        <v>1.057145998</v>
      </c>
    </row>
    <row r="61">
      <c r="A61" s="326">
        <v>2024.0</v>
      </c>
      <c r="B61" s="408">
        <f t="shared" ref="B61:B67" si="4">D82</f>
        <v>313.689</v>
      </c>
      <c r="D61" s="326">
        <v>1.0</v>
      </c>
      <c r="E61" s="326">
        <v>1.0</v>
      </c>
      <c r="F61" s="326">
        <v>1.0</v>
      </c>
    </row>
    <row r="62">
      <c r="A62" s="326">
        <v>2025.0</v>
      </c>
      <c r="B62" s="408">
        <f t="shared" si="4"/>
        <v>322.1145</v>
      </c>
      <c r="D62" s="326">
        <v>1.0</v>
      </c>
      <c r="E62" s="326">
        <v>1.0</v>
      </c>
      <c r="F62" s="326">
        <v>1.0</v>
      </c>
    </row>
    <row r="63">
      <c r="A63" s="326">
        <v>2026.0</v>
      </c>
      <c r="B63" s="408" t="str">
        <f t="shared" si="4"/>
        <v/>
      </c>
      <c r="D63" s="326">
        <v>1.0</v>
      </c>
      <c r="E63" s="326">
        <v>1.0</v>
      </c>
      <c r="F63" s="326">
        <v>1.0</v>
      </c>
    </row>
    <row r="64">
      <c r="A64" s="326">
        <v>2027.0</v>
      </c>
      <c r="B64" s="408" t="str">
        <f t="shared" si="4"/>
        <v/>
      </c>
      <c r="D64" s="326">
        <v>1.0</v>
      </c>
      <c r="E64" s="326">
        <v>1.0</v>
      </c>
      <c r="F64" s="326">
        <v>1.0</v>
      </c>
    </row>
    <row r="65">
      <c r="A65" s="326">
        <v>2028.0</v>
      </c>
      <c r="B65" s="408" t="str">
        <f t="shared" si="4"/>
        <v/>
      </c>
      <c r="D65" s="326">
        <v>1.0</v>
      </c>
      <c r="E65" s="326">
        <v>1.0</v>
      </c>
      <c r="F65" s="326">
        <v>1.0</v>
      </c>
    </row>
    <row r="66">
      <c r="A66" s="326">
        <v>2029.0</v>
      </c>
      <c r="B66" s="408" t="str">
        <f t="shared" si="4"/>
        <v/>
      </c>
      <c r="D66" s="326">
        <v>1.0</v>
      </c>
      <c r="E66" s="326">
        <v>1.0</v>
      </c>
      <c r="F66" s="326">
        <v>1.0</v>
      </c>
    </row>
    <row r="67">
      <c r="A67" s="326">
        <v>2030.0</v>
      </c>
      <c r="B67" s="408" t="str">
        <f t="shared" si="4"/>
        <v/>
      </c>
      <c r="D67" s="326">
        <v>1.0</v>
      </c>
      <c r="E67" s="326">
        <v>1.0</v>
      </c>
      <c r="F67" s="326">
        <v>1.0</v>
      </c>
    </row>
    <row r="68">
      <c r="A68" s="326">
        <v>2031.0</v>
      </c>
      <c r="F68" s="326">
        <v>1.0</v>
      </c>
    </row>
    <row r="69">
      <c r="A69" s="326">
        <v>2032.0</v>
      </c>
      <c r="F69" s="326">
        <v>1.0</v>
      </c>
    </row>
    <row r="70">
      <c r="A70" s="326">
        <v>2033.0</v>
      </c>
      <c r="F70" s="326">
        <v>1.0</v>
      </c>
    </row>
    <row r="71">
      <c r="A71" s="326">
        <v>2034.0</v>
      </c>
      <c r="F71" s="326">
        <v>1.0</v>
      </c>
    </row>
    <row r="72">
      <c r="A72" s="418" t="s">
        <v>2118</v>
      </c>
      <c r="B72" s="408" t="str">
        <f>D89</f>
        <v/>
      </c>
    </row>
    <row r="73">
      <c r="A73" s="419" t="s">
        <v>19</v>
      </c>
      <c r="B73" s="419" t="s">
        <v>2119</v>
      </c>
      <c r="C73" s="419" t="s">
        <v>2120</v>
      </c>
      <c r="D73" s="419"/>
      <c r="E73" s="419"/>
      <c r="F73" s="419"/>
      <c r="G73" s="419"/>
      <c r="H73" s="419"/>
      <c r="I73" s="419"/>
      <c r="J73" s="419"/>
      <c r="K73" s="419"/>
      <c r="L73" s="419"/>
      <c r="M73" s="419"/>
    </row>
    <row r="74">
      <c r="A74" s="419">
        <v>2016.0</v>
      </c>
      <c r="B74" s="326">
        <v>238.778</v>
      </c>
      <c r="C74" s="326">
        <v>241.237</v>
      </c>
      <c r="D74" s="408">
        <f t="shared" ref="D74:D83" si="5">average(B74:C74)</f>
        <v>240.0075</v>
      </c>
    </row>
    <row r="75">
      <c r="A75" s="419">
        <v>2017.0</v>
      </c>
      <c r="B75" s="326">
        <v>244.076</v>
      </c>
      <c r="C75" s="326">
        <v>246.163</v>
      </c>
      <c r="D75" s="408">
        <f t="shared" si="5"/>
        <v>245.1195</v>
      </c>
    </row>
    <row r="76">
      <c r="A76" s="419">
        <v>2018.0</v>
      </c>
      <c r="B76" s="326">
        <v>250.089</v>
      </c>
      <c r="C76" s="326">
        <v>252.125</v>
      </c>
      <c r="D76" s="408">
        <f t="shared" si="5"/>
        <v>251.107</v>
      </c>
    </row>
    <row r="77">
      <c r="A77" s="419">
        <v>2019.0</v>
      </c>
      <c r="B77" s="326">
        <v>254.412</v>
      </c>
      <c r="C77" s="326">
        <v>256.903</v>
      </c>
      <c r="D77" s="408">
        <f t="shared" si="5"/>
        <v>255.6575</v>
      </c>
    </row>
    <row r="78">
      <c r="A78" s="419">
        <v>2020.0</v>
      </c>
      <c r="B78" s="326">
        <v>257.557</v>
      </c>
      <c r="C78" s="326">
        <v>260.065</v>
      </c>
      <c r="D78" s="408">
        <f t="shared" si="5"/>
        <v>258.811</v>
      </c>
    </row>
    <row r="79">
      <c r="A79" s="419">
        <v>2021.0</v>
      </c>
      <c r="B79" s="326">
        <v>266.236</v>
      </c>
      <c r="C79" s="326">
        <v>275.703</v>
      </c>
      <c r="D79" s="408">
        <f t="shared" si="5"/>
        <v>270.9695</v>
      </c>
    </row>
    <row r="80">
      <c r="A80" s="419">
        <v>2022.0</v>
      </c>
      <c r="B80" s="326">
        <v>288.347</v>
      </c>
      <c r="C80" s="326">
        <v>296.963</v>
      </c>
      <c r="D80" s="408">
        <f t="shared" si="5"/>
        <v>292.655</v>
      </c>
    </row>
    <row r="81">
      <c r="A81" s="419">
        <v>2023.0</v>
      </c>
      <c r="B81" s="326">
        <v>302.408</v>
      </c>
      <c r="C81" s="326">
        <v>306.996</v>
      </c>
      <c r="D81" s="408">
        <f t="shared" si="5"/>
        <v>304.702</v>
      </c>
    </row>
    <row r="82">
      <c r="A82" s="419">
        <v>2024.0</v>
      </c>
      <c r="B82" s="326">
        <v>312.145</v>
      </c>
      <c r="C82" s="326">
        <v>315.233</v>
      </c>
      <c r="D82" s="408">
        <f t="shared" si="5"/>
        <v>313.689</v>
      </c>
    </row>
    <row r="83">
      <c r="A83" s="419">
        <v>2025.0</v>
      </c>
      <c r="B83" s="326">
        <v>320.229</v>
      </c>
      <c r="C83" s="326">
        <v>324.0</v>
      </c>
      <c r="D83" s="408">
        <f t="shared" si="5"/>
        <v>322.1145</v>
      </c>
    </row>
  </sheetData>
  <hyperlinks>
    <hyperlink r:id="rId1" ref="A7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1" max="21" width="15.43"/>
    <col customWidth="1" min="24" max="24" width="18.86"/>
  </cols>
  <sheetData>
    <row r="1">
      <c r="A1" s="8" t="s">
        <v>2</v>
      </c>
      <c r="B1" s="9" t="s">
        <v>3</v>
      </c>
      <c r="C1" s="8" t="s">
        <v>4</v>
      </c>
      <c r="D1" s="8" t="s">
        <v>5</v>
      </c>
      <c r="E1" s="9" t="s">
        <v>6</v>
      </c>
      <c r="F1" s="9" t="s">
        <v>7</v>
      </c>
      <c r="G1" s="9" t="s">
        <v>8</v>
      </c>
      <c r="H1" s="9" t="s">
        <v>9</v>
      </c>
      <c r="I1" s="9" t="s">
        <v>10</v>
      </c>
      <c r="J1" s="9" t="s">
        <v>11</v>
      </c>
      <c r="K1" s="8" t="s">
        <v>12</v>
      </c>
      <c r="L1" s="8" t="s">
        <v>13</v>
      </c>
      <c r="M1" s="9" t="s">
        <v>14</v>
      </c>
      <c r="N1" s="8" t="s">
        <v>2121</v>
      </c>
      <c r="O1" s="9" t="s">
        <v>16</v>
      </c>
      <c r="P1" s="10" t="s">
        <v>17</v>
      </c>
      <c r="Q1" s="9" t="s">
        <v>18</v>
      </c>
      <c r="R1" s="9" t="s">
        <v>19</v>
      </c>
      <c r="S1" s="9" t="s">
        <v>20</v>
      </c>
      <c r="T1" s="9" t="s">
        <v>21</v>
      </c>
      <c r="U1" s="420" t="s">
        <v>2122</v>
      </c>
      <c r="V1" s="8" t="s">
        <v>27</v>
      </c>
      <c r="W1" s="8" t="s">
        <v>2103</v>
      </c>
      <c r="X1" s="8" t="s">
        <v>2104</v>
      </c>
      <c r="Y1" s="9" t="s">
        <v>30</v>
      </c>
      <c r="Z1" s="9" t="s">
        <v>31</v>
      </c>
      <c r="AA1" s="421"/>
      <c r="AB1" s="422"/>
      <c r="AC1" s="422"/>
      <c r="AD1" s="422"/>
    </row>
    <row r="2">
      <c r="A2" s="221" t="s">
        <v>1759</v>
      </c>
      <c r="B2" s="221" t="s">
        <v>1770</v>
      </c>
      <c r="C2" s="36" t="s">
        <v>1764</v>
      </c>
      <c r="D2" s="221" t="s">
        <v>1787</v>
      </c>
      <c r="E2" s="227">
        <v>2015.0</v>
      </c>
      <c r="F2" s="349">
        <v>2022.0</v>
      </c>
      <c r="G2" s="227">
        <v>0.0</v>
      </c>
      <c r="H2" s="227">
        <v>7.5</v>
      </c>
      <c r="I2" s="228">
        <v>1.0</v>
      </c>
      <c r="J2" s="227">
        <v>7.5</v>
      </c>
      <c r="K2" s="229">
        <v>0.0</v>
      </c>
      <c r="L2" s="229">
        <v>0.0</v>
      </c>
      <c r="M2" s="227">
        <v>4.0</v>
      </c>
      <c r="N2" s="352">
        <v>180.0</v>
      </c>
      <c r="O2" s="221" t="s">
        <v>60</v>
      </c>
      <c r="P2" s="353">
        <v>170.0</v>
      </c>
      <c r="Q2" s="221" t="s">
        <v>52</v>
      </c>
      <c r="R2" s="227">
        <v>2018.0</v>
      </c>
      <c r="S2" s="349">
        <v>3.0</v>
      </c>
      <c r="T2" s="25">
        <f t="shared" ref="T2:T418" si="1">P2*S2</f>
        <v>510</v>
      </c>
      <c r="U2" s="24">
        <f t="shared" ref="U2:U885" si="2">T2/H2</f>
        <v>68</v>
      </c>
      <c r="V2" s="26">
        <f>VLOOKUP(R2,CPI!$A$2:$E$67,5,0)</f>
        <v>1.21343491</v>
      </c>
      <c r="W2" s="27">
        <f t="shared" ref="W2:W885" si="3">T2*V2</f>
        <v>618.8518042</v>
      </c>
      <c r="X2" s="27">
        <f t="shared" ref="X2:X885" si="4">U2*V2</f>
        <v>82.51357389</v>
      </c>
      <c r="Y2" s="26" t="s">
        <v>60</v>
      </c>
      <c r="Z2" s="354" t="s">
        <v>1788</v>
      </c>
      <c r="AA2" s="178"/>
      <c r="AB2" s="172"/>
      <c r="AC2" s="172"/>
      <c r="AD2" s="172"/>
    </row>
    <row r="3">
      <c r="A3" s="26" t="s">
        <v>125</v>
      </c>
      <c r="B3" s="26" t="s">
        <v>191</v>
      </c>
      <c r="C3" s="1" t="s">
        <v>199</v>
      </c>
      <c r="D3" s="26" t="s">
        <v>200</v>
      </c>
      <c r="E3" s="25">
        <v>2020.0</v>
      </c>
      <c r="F3" s="25">
        <v>2025.0</v>
      </c>
      <c r="G3" s="25">
        <v>0.0</v>
      </c>
      <c r="H3" s="25">
        <v>5.7</v>
      </c>
      <c r="I3" s="50">
        <f>5/5.7</f>
        <v>0.8771929825</v>
      </c>
      <c r="J3" s="25">
        <v>5.0</v>
      </c>
      <c r="K3" s="51">
        <v>0.295</v>
      </c>
      <c r="L3" s="51">
        <v>0.446</v>
      </c>
      <c r="M3" s="25">
        <v>6.0</v>
      </c>
      <c r="N3" s="26"/>
      <c r="O3" s="26" t="s">
        <v>60</v>
      </c>
      <c r="P3" s="52">
        <v>2830.0</v>
      </c>
      <c r="Q3" s="26" t="s">
        <v>129</v>
      </c>
      <c r="R3" s="25">
        <v>2018.0</v>
      </c>
      <c r="S3" s="25">
        <v>0.84</v>
      </c>
      <c r="T3" s="25">
        <f t="shared" si="1"/>
        <v>2377.2</v>
      </c>
      <c r="U3" s="24">
        <f t="shared" si="2"/>
        <v>417.0526316</v>
      </c>
      <c r="V3" s="26">
        <f>VLOOKUP(R3,CPI!$A$2:$E$67,5,0)</f>
        <v>1.21343491</v>
      </c>
      <c r="W3" s="27">
        <f t="shared" si="3"/>
        <v>2884.577469</v>
      </c>
      <c r="X3" s="27">
        <f t="shared" si="4"/>
        <v>506.0662226</v>
      </c>
      <c r="Y3" s="26" t="s">
        <v>42</v>
      </c>
      <c r="Z3" s="57" t="s">
        <v>2123</v>
      </c>
      <c r="AA3" s="34"/>
      <c r="AB3" s="34"/>
      <c r="AC3" s="34"/>
      <c r="AD3" s="34"/>
    </row>
    <row r="4">
      <c r="A4" s="26" t="s">
        <v>125</v>
      </c>
      <c r="B4" s="26" t="s">
        <v>170</v>
      </c>
      <c r="C4" s="1" t="s">
        <v>173</v>
      </c>
      <c r="D4" s="26" t="s">
        <v>174</v>
      </c>
      <c r="E4" s="25">
        <v>2009.0</v>
      </c>
      <c r="F4" s="25">
        <v>2017.0</v>
      </c>
      <c r="G4" s="25">
        <v>0.0</v>
      </c>
      <c r="H4" s="25">
        <v>8.6</v>
      </c>
      <c r="I4" s="50">
        <v>1.0</v>
      </c>
      <c r="J4" s="25">
        <v>8.6</v>
      </c>
      <c r="K4" s="51">
        <v>0.0</v>
      </c>
      <c r="L4" s="51">
        <v>0.0</v>
      </c>
      <c r="M4" s="25">
        <v>6.0</v>
      </c>
      <c r="N4" s="26"/>
      <c r="O4" s="26" t="s">
        <v>42</v>
      </c>
      <c r="P4" s="52">
        <v>3200.0</v>
      </c>
      <c r="Q4" s="26" t="s">
        <v>129</v>
      </c>
      <c r="R4" s="25">
        <v>2013.0</v>
      </c>
      <c r="S4" s="25">
        <v>0.81</v>
      </c>
      <c r="T4" s="25">
        <f t="shared" si="1"/>
        <v>2592</v>
      </c>
      <c r="U4" s="24">
        <f t="shared" si="2"/>
        <v>301.3953488</v>
      </c>
      <c r="V4" s="26">
        <f>VLOOKUP(R4,CPI!$A$2:$E$67,5,0)</f>
        <v>1.307975292</v>
      </c>
      <c r="W4" s="27">
        <f t="shared" si="3"/>
        <v>3390.271956</v>
      </c>
      <c r="X4" s="27">
        <f t="shared" si="4"/>
        <v>394.2176693</v>
      </c>
      <c r="Y4" s="26" t="s">
        <v>42</v>
      </c>
      <c r="Z4" s="57" t="s">
        <v>175</v>
      </c>
      <c r="AA4" s="34"/>
      <c r="AB4" s="34"/>
      <c r="AC4" s="34"/>
      <c r="AD4" s="34"/>
    </row>
    <row r="5">
      <c r="A5" s="26" t="s">
        <v>125</v>
      </c>
      <c r="B5" s="26" t="s">
        <v>170</v>
      </c>
      <c r="C5" s="26" t="s">
        <v>181</v>
      </c>
      <c r="D5" s="26" t="s">
        <v>181</v>
      </c>
      <c r="E5" s="25">
        <v>2020.0</v>
      </c>
      <c r="F5" s="25">
        <v>2030.0</v>
      </c>
      <c r="G5" s="25">
        <v>0.0</v>
      </c>
      <c r="H5" s="25">
        <v>7.8</v>
      </c>
      <c r="I5" s="50">
        <v>1.0</v>
      </c>
      <c r="J5" s="25">
        <v>7.8</v>
      </c>
      <c r="K5" s="51">
        <v>0.0</v>
      </c>
      <c r="L5" s="51">
        <v>0.0</v>
      </c>
      <c r="M5" s="25">
        <v>3.0</v>
      </c>
      <c r="N5" s="26"/>
      <c r="O5" s="26" t="s">
        <v>74</v>
      </c>
      <c r="P5" s="52">
        <v>5500.0</v>
      </c>
      <c r="Q5" s="26" t="s">
        <v>129</v>
      </c>
      <c r="R5" s="25">
        <v>2018.0</v>
      </c>
      <c r="S5" s="25">
        <v>0.84</v>
      </c>
      <c r="T5" s="25">
        <f t="shared" si="1"/>
        <v>4620</v>
      </c>
      <c r="U5" s="24">
        <f t="shared" si="2"/>
        <v>592.3076923</v>
      </c>
      <c r="V5" s="26">
        <f>VLOOKUP(R5,CPI!$A$2:$E$67,5,0)</f>
        <v>1.21343491</v>
      </c>
      <c r="W5" s="27">
        <f t="shared" si="3"/>
        <v>5606.069285</v>
      </c>
      <c r="X5" s="27">
        <f t="shared" si="4"/>
        <v>718.7268314</v>
      </c>
      <c r="Y5" s="26" t="s">
        <v>42</v>
      </c>
      <c r="Z5" s="53" t="s">
        <v>182</v>
      </c>
      <c r="AA5" s="34"/>
      <c r="AB5" s="34"/>
      <c r="AC5" s="34"/>
      <c r="AD5" s="34"/>
    </row>
    <row r="6">
      <c r="A6" s="26" t="s">
        <v>125</v>
      </c>
      <c r="B6" s="26" t="s">
        <v>170</v>
      </c>
      <c r="C6" s="26" t="s">
        <v>189</v>
      </c>
      <c r="D6" s="26" t="s">
        <v>189</v>
      </c>
      <c r="E6" s="58">
        <v>2022.0</v>
      </c>
      <c r="F6" s="58">
        <v>2031.0</v>
      </c>
      <c r="G6" s="25">
        <v>0.0</v>
      </c>
      <c r="H6" s="25">
        <v>15.5</v>
      </c>
      <c r="I6" s="50">
        <v>0.57</v>
      </c>
      <c r="J6" s="25">
        <v>8.8</v>
      </c>
      <c r="K6" s="51">
        <v>5.76</v>
      </c>
      <c r="L6" s="51">
        <v>1.06</v>
      </c>
      <c r="M6" s="25">
        <v>15.0</v>
      </c>
      <c r="N6" s="26"/>
      <c r="O6" s="26" t="s">
        <v>60</v>
      </c>
      <c r="P6" s="55">
        <v>27200.0</v>
      </c>
      <c r="Q6" s="26" t="s">
        <v>129</v>
      </c>
      <c r="R6" s="58">
        <v>2023.0</v>
      </c>
      <c r="S6" s="25">
        <v>0.84</v>
      </c>
      <c r="T6" s="25">
        <f t="shared" si="1"/>
        <v>22848</v>
      </c>
      <c r="U6" s="24">
        <f t="shared" si="2"/>
        <v>1474.064516</v>
      </c>
      <c r="V6" s="26">
        <f>VLOOKUP(R6,CPI!$A$2:$E$67,5,0)</f>
        <v>1</v>
      </c>
      <c r="W6" s="27">
        <f t="shared" si="3"/>
        <v>22848</v>
      </c>
      <c r="X6" s="27">
        <f t="shared" si="4"/>
        <v>1474.064516</v>
      </c>
      <c r="Y6" s="26" t="s">
        <v>60</v>
      </c>
      <c r="Z6" s="109" t="s">
        <v>190</v>
      </c>
      <c r="AA6" s="29"/>
      <c r="AB6" s="30"/>
      <c r="AC6" s="30"/>
      <c r="AD6" s="30"/>
    </row>
    <row r="7">
      <c r="A7" s="26" t="s">
        <v>125</v>
      </c>
      <c r="B7" s="26" t="s">
        <v>170</v>
      </c>
      <c r="C7" s="1" t="s">
        <v>173</v>
      </c>
      <c r="D7" s="26" t="s">
        <v>184</v>
      </c>
      <c r="E7" s="25">
        <v>2020.0</v>
      </c>
      <c r="F7" s="25">
        <v>2030.0</v>
      </c>
      <c r="G7" s="25">
        <v>0.0</v>
      </c>
      <c r="H7" s="25">
        <v>7.4</v>
      </c>
      <c r="I7" s="50">
        <v>1.0</v>
      </c>
      <c r="J7" s="25">
        <v>7.4</v>
      </c>
      <c r="K7" s="51">
        <v>0.0</v>
      </c>
      <c r="L7" s="51">
        <v>0.0</v>
      </c>
      <c r="M7" s="25">
        <v>6.0</v>
      </c>
      <c r="N7" s="26"/>
      <c r="O7" s="26" t="s">
        <v>60</v>
      </c>
      <c r="P7" s="52">
        <v>5600.0</v>
      </c>
      <c r="Q7" s="26" t="s">
        <v>129</v>
      </c>
      <c r="R7" s="25">
        <v>2020.0</v>
      </c>
      <c r="S7" s="25">
        <v>0.84</v>
      </c>
      <c r="T7" s="25">
        <f t="shared" si="1"/>
        <v>4704</v>
      </c>
      <c r="U7" s="24">
        <f t="shared" si="2"/>
        <v>635.6756757</v>
      </c>
      <c r="V7" s="26">
        <f>VLOOKUP(R7,CPI!$A$2:$E$67,5,0)</f>
        <v>1.17731472</v>
      </c>
      <c r="W7" s="27">
        <f t="shared" si="3"/>
        <v>5538.088443</v>
      </c>
      <c r="X7" s="27">
        <f t="shared" si="4"/>
        <v>748.3903301</v>
      </c>
      <c r="Y7" s="26" t="s">
        <v>42</v>
      </c>
      <c r="Z7" s="53" t="s">
        <v>185</v>
      </c>
      <c r="AA7" s="29"/>
      <c r="AB7" s="30"/>
      <c r="AC7" s="30"/>
      <c r="AD7" s="30"/>
    </row>
    <row r="8">
      <c r="A8" s="26" t="s">
        <v>1502</v>
      </c>
      <c r="B8" s="26" t="s">
        <v>1503</v>
      </c>
      <c r="C8" s="63" t="s">
        <v>1504</v>
      </c>
      <c r="D8" s="63" t="s">
        <v>1504</v>
      </c>
      <c r="E8" s="25">
        <v>2003.0</v>
      </c>
      <c r="F8" s="25">
        <v>2018.0</v>
      </c>
      <c r="G8" s="25">
        <v>0.0</v>
      </c>
      <c r="H8" s="25">
        <v>9.7</v>
      </c>
      <c r="I8" s="50">
        <v>0.73</v>
      </c>
      <c r="J8" s="25">
        <v>7.1</v>
      </c>
      <c r="K8" s="51">
        <v>0.0</v>
      </c>
      <c r="L8" s="51">
        <v>0.0</v>
      </c>
      <c r="M8" s="25">
        <v>8.0</v>
      </c>
      <c r="N8" s="26"/>
      <c r="O8" s="26" t="s">
        <v>74</v>
      </c>
      <c r="P8" s="52">
        <v>3100.0</v>
      </c>
      <c r="Q8" s="26" t="s">
        <v>52</v>
      </c>
      <c r="R8" s="25">
        <v>2009.0</v>
      </c>
      <c r="S8" s="25">
        <v>1.3</v>
      </c>
      <c r="T8" s="25">
        <f t="shared" si="1"/>
        <v>4030</v>
      </c>
      <c r="U8" s="24">
        <f t="shared" si="2"/>
        <v>415.4639175</v>
      </c>
      <c r="V8" s="26">
        <f>VLOOKUP(R8,CPI!$A$2:$E$67,5,0)</f>
        <v>1.420277155</v>
      </c>
      <c r="W8" s="27">
        <f t="shared" si="3"/>
        <v>5723.716935</v>
      </c>
      <c r="X8" s="27">
        <f t="shared" si="4"/>
        <v>590.0739108</v>
      </c>
      <c r="Y8" s="26" t="s">
        <v>42</v>
      </c>
      <c r="Z8" s="53" t="s">
        <v>1505</v>
      </c>
      <c r="AA8" s="178"/>
      <c r="AB8" s="172"/>
      <c r="AC8" s="172"/>
      <c r="AD8" s="172"/>
    </row>
    <row r="9">
      <c r="A9" s="26" t="s">
        <v>125</v>
      </c>
      <c r="B9" s="26" t="s">
        <v>150</v>
      </c>
      <c r="C9" s="63" t="s">
        <v>153</v>
      </c>
      <c r="D9" s="63"/>
      <c r="E9" s="25">
        <v>2020.0</v>
      </c>
      <c r="F9" s="25">
        <v>2026.0</v>
      </c>
      <c r="G9" s="25">
        <v>0.0</v>
      </c>
      <c r="H9" s="25">
        <v>5.8</v>
      </c>
      <c r="I9" s="50">
        <v>1.0</v>
      </c>
      <c r="J9" s="25">
        <v>5.8</v>
      </c>
      <c r="K9" s="51">
        <v>0.0</v>
      </c>
      <c r="L9" s="51">
        <v>0.0</v>
      </c>
      <c r="M9" s="25">
        <v>5.0</v>
      </c>
      <c r="N9" s="26"/>
      <c r="O9" s="26" t="s">
        <v>42</v>
      </c>
      <c r="P9" s="52">
        <v>4500.0</v>
      </c>
      <c r="Q9" s="26" t="s">
        <v>129</v>
      </c>
      <c r="R9" s="25">
        <v>2018.0</v>
      </c>
      <c r="S9" s="25">
        <v>0.84</v>
      </c>
      <c r="T9" s="25">
        <f t="shared" si="1"/>
        <v>3780</v>
      </c>
      <c r="U9" s="24">
        <f t="shared" si="2"/>
        <v>651.7241379</v>
      </c>
      <c r="V9" s="26">
        <f>VLOOKUP(R9,CPI!$A$2:$E$67,5,0)</f>
        <v>1.21343491</v>
      </c>
      <c r="W9" s="27">
        <f t="shared" si="3"/>
        <v>4586.783961</v>
      </c>
      <c r="X9" s="27">
        <f t="shared" si="4"/>
        <v>790.8248208</v>
      </c>
      <c r="Y9" s="26" t="s">
        <v>42</v>
      </c>
      <c r="Z9" s="53" t="s">
        <v>2124</v>
      </c>
      <c r="AA9" s="29"/>
      <c r="AB9" s="30"/>
      <c r="AC9" s="30"/>
      <c r="AD9" s="30"/>
    </row>
    <row r="10">
      <c r="A10" s="26" t="s">
        <v>1872</v>
      </c>
      <c r="B10" s="26" t="s">
        <v>1917</v>
      </c>
      <c r="C10" s="26" t="s">
        <v>1918</v>
      </c>
      <c r="D10" s="26" t="s">
        <v>1918</v>
      </c>
      <c r="E10" s="25">
        <v>2009.0</v>
      </c>
      <c r="F10" s="25">
        <v>2016.0</v>
      </c>
      <c r="G10" s="25">
        <v>0.0</v>
      </c>
      <c r="H10" s="25">
        <v>5.1</v>
      </c>
      <c r="I10" s="50">
        <v>1.0</v>
      </c>
      <c r="J10" s="25">
        <v>5.1</v>
      </c>
      <c r="K10" s="51">
        <v>0.0</v>
      </c>
      <c r="L10" s="51">
        <v>0.0</v>
      </c>
      <c r="M10" s="25">
        <v>2.0</v>
      </c>
      <c r="N10" s="26"/>
      <c r="O10" s="26" t="s">
        <v>42</v>
      </c>
      <c r="P10" s="52">
        <v>1756.0</v>
      </c>
      <c r="Q10" s="26" t="s">
        <v>37</v>
      </c>
      <c r="R10" s="25">
        <v>2012.0</v>
      </c>
      <c r="S10" s="25">
        <v>1.0</v>
      </c>
      <c r="T10" s="25">
        <f t="shared" si="1"/>
        <v>1756</v>
      </c>
      <c r="U10" s="24">
        <f t="shared" si="2"/>
        <v>344.3137255</v>
      </c>
      <c r="V10" s="26">
        <f>VLOOKUP(R10,CPI!$A$2:$E$67,5,0)</f>
        <v>1.327133984</v>
      </c>
      <c r="W10" s="27">
        <f t="shared" si="3"/>
        <v>2330.447276</v>
      </c>
      <c r="X10" s="27">
        <f t="shared" si="4"/>
        <v>456.9504464</v>
      </c>
      <c r="Y10" s="26" t="s">
        <v>60</v>
      </c>
      <c r="Z10" s="57" t="s">
        <v>1919</v>
      </c>
      <c r="AA10" s="179"/>
      <c r="AB10" s="60"/>
      <c r="AC10" s="60"/>
      <c r="AD10" s="60"/>
    </row>
    <row r="11">
      <c r="A11" s="26" t="s">
        <v>1872</v>
      </c>
      <c r="B11" s="26" t="s">
        <v>1881</v>
      </c>
      <c r="C11" s="1" t="s">
        <v>1886</v>
      </c>
      <c r="D11" s="26" t="s">
        <v>1891</v>
      </c>
      <c r="E11" s="25">
        <v>2020.0</v>
      </c>
      <c r="F11" s="25">
        <v>2027.0</v>
      </c>
      <c r="G11" s="25">
        <v>0.0</v>
      </c>
      <c r="H11" s="25">
        <v>4.2</v>
      </c>
      <c r="I11" s="50">
        <v>1.0</v>
      </c>
      <c r="J11" s="25">
        <v>4.2</v>
      </c>
      <c r="K11" s="51">
        <v>0.0</v>
      </c>
      <c r="L11" s="51">
        <v>0.0</v>
      </c>
      <c r="M11" s="25">
        <v>2.0</v>
      </c>
      <c r="N11" s="26"/>
      <c r="O11" s="26" t="s">
        <v>42</v>
      </c>
      <c r="P11" s="52">
        <v>3600.0</v>
      </c>
      <c r="Q11" s="26" t="s">
        <v>37</v>
      </c>
      <c r="R11" s="25">
        <v>2023.0</v>
      </c>
      <c r="S11" s="25">
        <v>1.0</v>
      </c>
      <c r="T11" s="25">
        <f t="shared" si="1"/>
        <v>3600</v>
      </c>
      <c r="U11" s="24">
        <f t="shared" si="2"/>
        <v>857.1428571</v>
      </c>
      <c r="V11" s="26">
        <f>VLOOKUP(R11,CPI!$A$2:$E$67,5,0)</f>
        <v>1</v>
      </c>
      <c r="W11" s="27">
        <f t="shared" si="3"/>
        <v>3600</v>
      </c>
      <c r="X11" s="27">
        <f t="shared" si="4"/>
        <v>857.1428571</v>
      </c>
      <c r="Y11" s="26" t="s">
        <v>42</v>
      </c>
      <c r="Z11" s="57" t="s">
        <v>1892</v>
      </c>
      <c r="AA11" s="179"/>
      <c r="AB11" s="60"/>
      <c r="AC11" s="60"/>
      <c r="AD11" s="60"/>
    </row>
    <row r="12">
      <c r="A12" s="26" t="s">
        <v>1872</v>
      </c>
      <c r="B12" s="26" t="s">
        <v>1881</v>
      </c>
      <c r="C12" s="1" t="s">
        <v>1886</v>
      </c>
      <c r="D12" s="26" t="s">
        <v>1889</v>
      </c>
      <c r="E12" s="25">
        <v>2018.0</v>
      </c>
      <c r="F12" s="25">
        <v>2026.0</v>
      </c>
      <c r="G12" s="25">
        <v>0.0</v>
      </c>
      <c r="H12" s="25">
        <v>4.2</v>
      </c>
      <c r="I12" s="50">
        <v>1.0</v>
      </c>
      <c r="J12" s="25">
        <v>4.2</v>
      </c>
      <c r="K12" s="51">
        <v>0.0</v>
      </c>
      <c r="L12" s="51">
        <v>0.0</v>
      </c>
      <c r="M12" s="25">
        <v>2.0</v>
      </c>
      <c r="N12" s="26"/>
      <c r="O12" s="26" t="s">
        <v>36</v>
      </c>
      <c r="P12" s="52">
        <v>2400.0</v>
      </c>
      <c r="Q12" s="26" t="s">
        <v>37</v>
      </c>
      <c r="R12" s="25">
        <v>2021.0</v>
      </c>
      <c r="S12" s="25">
        <v>1.0</v>
      </c>
      <c r="T12" s="25">
        <f t="shared" si="1"/>
        <v>2400</v>
      </c>
      <c r="U12" s="24">
        <f t="shared" si="2"/>
        <v>571.4285714</v>
      </c>
      <c r="V12" s="26">
        <f>VLOOKUP(R12,CPI!$A$2:$E$67,5,0)</f>
        <v>1.124486105</v>
      </c>
      <c r="W12" s="27">
        <f t="shared" si="3"/>
        <v>2698.766653</v>
      </c>
      <c r="X12" s="27">
        <f t="shared" si="4"/>
        <v>642.5634888</v>
      </c>
      <c r="Y12" s="26" t="s">
        <v>36</v>
      </c>
      <c r="Z12" s="57" t="s">
        <v>1890</v>
      </c>
      <c r="AA12" s="179"/>
      <c r="AB12" s="60"/>
      <c r="AC12" s="60"/>
      <c r="AD12" s="60"/>
    </row>
    <row r="13">
      <c r="A13" s="26" t="s">
        <v>1872</v>
      </c>
      <c r="B13" s="26" t="s">
        <v>1881</v>
      </c>
      <c r="C13" s="1" t="s">
        <v>1886</v>
      </c>
      <c r="D13" s="26" t="s">
        <v>1887</v>
      </c>
      <c r="E13" s="25">
        <v>2014.0</v>
      </c>
      <c r="F13" s="58">
        <v>2024.0</v>
      </c>
      <c r="G13" s="25">
        <v>0.0</v>
      </c>
      <c r="H13" s="25">
        <v>6.3</v>
      </c>
      <c r="I13" s="50">
        <v>1.0</v>
      </c>
      <c r="J13" s="25">
        <v>6.3</v>
      </c>
      <c r="K13" s="51">
        <v>0.0</v>
      </c>
      <c r="L13" s="51">
        <v>0.0</v>
      </c>
      <c r="M13" s="25">
        <v>3.0</v>
      </c>
      <c r="N13" s="26"/>
      <c r="O13" s="26" t="s">
        <v>42</v>
      </c>
      <c r="P13" s="52">
        <v>2800.0</v>
      </c>
      <c r="Q13" s="26" t="s">
        <v>37</v>
      </c>
      <c r="R13" s="25">
        <v>2018.0</v>
      </c>
      <c r="S13" s="25">
        <v>1.0</v>
      </c>
      <c r="T13" s="25">
        <f t="shared" si="1"/>
        <v>2800</v>
      </c>
      <c r="U13" s="24">
        <f t="shared" si="2"/>
        <v>444.4444444</v>
      </c>
      <c r="V13" s="26">
        <f>VLOOKUP(R13,CPI!$A$2:$E$67,5,0)</f>
        <v>1.21343491</v>
      </c>
      <c r="W13" s="27">
        <f t="shared" si="3"/>
        <v>3397.617749</v>
      </c>
      <c r="X13" s="27">
        <f t="shared" si="4"/>
        <v>539.3044045</v>
      </c>
      <c r="Y13" s="26" t="s">
        <v>42</v>
      </c>
      <c r="Z13" s="53" t="s">
        <v>1888</v>
      </c>
      <c r="AA13" s="423"/>
      <c r="AB13" s="424"/>
      <c r="AC13" s="424"/>
      <c r="AD13" s="424"/>
    </row>
    <row r="14">
      <c r="A14" s="26" t="s">
        <v>1872</v>
      </c>
      <c r="B14" s="26" t="s">
        <v>1881</v>
      </c>
      <c r="C14" s="26" t="s">
        <v>1884</v>
      </c>
      <c r="D14" s="26" t="s">
        <v>1884</v>
      </c>
      <c r="E14" s="25">
        <v>2014.0</v>
      </c>
      <c r="F14" s="25">
        <v>2022.0</v>
      </c>
      <c r="G14" s="25">
        <v>0.0</v>
      </c>
      <c r="H14" s="25">
        <v>3.1</v>
      </c>
      <c r="I14" s="50">
        <v>1.0</v>
      </c>
      <c r="J14" s="25">
        <v>3.1</v>
      </c>
      <c r="K14" s="51">
        <v>0.0</v>
      </c>
      <c r="L14" s="51">
        <v>0.0</v>
      </c>
      <c r="M14" s="25">
        <v>3.0</v>
      </c>
      <c r="N14" s="26"/>
      <c r="O14" s="26" t="s">
        <v>60</v>
      </c>
      <c r="P14" s="52">
        <v>1756.0</v>
      </c>
      <c r="Q14" s="26" t="s">
        <v>37</v>
      </c>
      <c r="R14" s="25">
        <v>2018.0</v>
      </c>
      <c r="S14" s="25">
        <v>1.0</v>
      </c>
      <c r="T14" s="25">
        <f t="shared" si="1"/>
        <v>1756</v>
      </c>
      <c r="U14" s="24">
        <f t="shared" si="2"/>
        <v>566.4516129</v>
      </c>
      <c r="V14" s="26">
        <f>VLOOKUP(R14,CPI!$A$2:$E$67,5,0)</f>
        <v>1.21343491</v>
      </c>
      <c r="W14" s="27">
        <f t="shared" si="3"/>
        <v>2130.791702</v>
      </c>
      <c r="X14" s="27">
        <f t="shared" si="4"/>
        <v>687.352162</v>
      </c>
      <c r="Y14" s="26" t="s">
        <v>60</v>
      </c>
      <c r="Z14" s="53" t="s">
        <v>1885</v>
      </c>
      <c r="AA14" s="423"/>
      <c r="AB14" s="424"/>
      <c r="AC14" s="424"/>
      <c r="AD14" s="424"/>
    </row>
    <row r="15">
      <c r="A15" s="26" t="s">
        <v>1872</v>
      </c>
      <c r="B15" s="26" t="s">
        <v>1912</v>
      </c>
      <c r="C15" s="26" t="s">
        <v>1913</v>
      </c>
      <c r="D15" s="26" t="s">
        <v>1913</v>
      </c>
      <c r="E15" s="25">
        <v>2010.0</v>
      </c>
      <c r="F15" s="25">
        <v>2021.0</v>
      </c>
      <c r="G15" s="25">
        <v>0.0</v>
      </c>
      <c r="H15" s="25">
        <v>2.7</v>
      </c>
      <c r="I15" s="50">
        <v>1.0</v>
      </c>
      <c r="J15" s="25">
        <v>2.7</v>
      </c>
      <c r="K15" s="51">
        <v>0.0</v>
      </c>
      <c r="L15" s="51">
        <v>0.0</v>
      </c>
      <c r="M15" s="25">
        <v>4.0</v>
      </c>
      <c r="N15" s="26"/>
      <c r="O15" s="26" t="s">
        <v>42</v>
      </c>
      <c r="P15" s="52">
        <v>1670.0</v>
      </c>
      <c r="Q15" s="26" t="s">
        <v>37</v>
      </c>
      <c r="R15" s="25">
        <v>2014.0</v>
      </c>
      <c r="S15" s="25">
        <v>1.0</v>
      </c>
      <c r="T15" s="25">
        <f t="shared" si="1"/>
        <v>1670</v>
      </c>
      <c r="U15" s="24">
        <f t="shared" si="2"/>
        <v>618.5185185</v>
      </c>
      <c r="V15" s="26">
        <f>VLOOKUP(R15,CPI!$A$2:$E$67,5,0)</f>
        <v>1.287096175</v>
      </c>
      <c r="W15" s="27">
        <f t="shared" si="3"/>
        <v>2149.450612</v>
      </c>
      <c r="X15" s="27">
        <f t="shared" si="4"/>
        <v>796.0928191</v>
      </c>
      <c r="Y15" s="26" t="s">
        <v>42</v>
      </c>
      <c r="Z15" s="53" t="s">
        <v>1914</v>
      </c>
      <c r="AA15" s="179"/>
      <c r="AB15" s="60"/>
      <c r="AC15" s="60"/>
      <c r="AD15" s="60"/>
    </row>
    <row r="16">
      <c r="A16" s="34" t="s">
        <v>1872</v>
      </c>
      <c r="B16" s="34" t="s">
        <v>1873</v>
      </c>
      <c r="C16" s="367" t="s">
        <v>127</v>
      </c>
      <c r="D16" s="34" t="s">
        <v>1874</v>
      </c>
      <c r="E16" s="34">
        <v>2013.0</v>
      </c>
      <c r="F16" s="367">
        <v>2022.0</v>
      </c>
      <c r="G16" s="34">
        <v>0.0</v>
      </c>
      <c r="H16" s="34">
        <v>7.6</v>
      </c>
      <c r="I16" s="368">
        <v>0.0</v>
      </c>
      <c r="J16" s="34">
        <v>0.0</v>
      </c>
      <c r="K16" s="369">
        <v>0.78</v>
      </c>
      <c r="L16" s="369">
        <v>6.82</v>
      </c>
      <c r="M16" s="34">
        <v>7.0</v>
      </c>
      <c r="N16" s="34"/>
      <c r="O16" s="34" t="s">
        <v>60</v>
      </c>
      <c r="P16" s="370">
        <v>2289.0</v>
      </c>
      <c r="Q16" s="34" t="s">
        <v>37</v>
      </c>
      <c r="R16" s="34">
        <v>2020.0</v>
      </c>
      <c r="S16" s="34">
        <v>1.0</v>
      </c>
      <c r="T16" s="25">
        <f t="shared" si="1"/>
        <v>2289</v>
      </c>
      <c r="U16" s="24">
        <f t="shared" si="2"/>
        <v>301.1842105</v>
      </c>
      <c r="V16" s="26">
        <f>VLOOKUP(R16,CPI!$A$2:$E$67,5,0)</f>
        <v>1.17731472</v>
      </c>
      <c r="W16" s="27">
        <f t="shared" si="3"/>
        <v>2694.873394</v>
      </c>
      <c r="X16" s="27">
        <f t="shared" si="4"/>
        <v>354.5886045</v>
      </c>
      <c r="Y16" s="34" t="s">
        <v>60</v>
      </c>
      <c r="Z16" s="325" t="s">
        <v>1875</v>
      </c>
      <c r="AA16" s="179"/>
      <c r="AB16" s="60"/>
      <c r="AC16" s="60"/>
      <c r="AD16" s="60"/>
    </row>
    <row r="17">
      <c r="A17" s="26" t="s">
        <v>125</v>
      </c>
      <c r="B17" s="26" t="s">
        <v>161</v>
      </c>
      <c r="C17" s="26" t="s">
        <v>162</v>
      </c>
      <c r="D17" s="26" t="s">
        <v>162</v>
      </c>
      <c r="E17" s="25">
        <v>2013.0</v>
      </c>
      <c r="F17" s="25">
        <v>2019.0</v>
      </c>
      <c r="G17" s="25">
        <v>0.0</v>
      </c>
      <c r="H17" s="25">
        <v>12.5</v>
      </c>
      <c r="I17" s="50">
        <v>0.2</v>
      </c>
      <c r="J17" s="25">
        <v>2.5</v>
      </c>
      <c r="K17" s="51">
        <v>0.84</v>
      </c>
      <c r="L17" s="51">
        <v>9.16</v>
      </c>
      <c r="M17" s="25">
        <v>13.0</v>
      </c>
      <c r="N17" s="26"/>
      <c r="O17" s="26" t="s">
        <v>36</v>
      </c>
      <c r="P17" s="52">
        <v>2100.0</v>
      </c>
      <c r="Q17" s="26" t="s">
        <v>129</v>
      </c>
      <c r="R17" s="25">
        <v>2016.0</v>
      </c>
      <c r="S17" s="25">
        <v>0.83</v>
      </c>
      <c r="T17" s="25">
        <f t="shared" si="1"/>
        <v>1743</v>
      </c>
      <c r="U17" s="24">
        <f t="shared" si="2"/>
        <v>139.44</v>
      </c>
      <c r="V17" s="26">
        <f>VLOOKUP(R17,CPI!$A$2:$E$67,5,0)</f>
        <v>1.269554638</v>
      </c>
      <c r="W17" s="27">
        <f t="shared" si="3"/>
        <v>2212.833734</v>
      </c>
      <c r="X17" s="27">
        <f t="shared" si="4"/>
        <v>177.0266987</v>
      </c>
      <c r="Y17" s="26" t="s">
        <v>36</v>
      </c>
      <c r="Z17" s="53" t="s">
        <v>164</v>
      </c>
      <c r="AA17" s="29"/>
      <c r="AB17" s="30"/>
      <c r="AC17" s="30"/>
      <c r="AD17" s="30"/>
    </row>
    <row r="18">
      <c r="A18" s="26" t="s">
        <v>1872</v>
      </c>
      <c r="B18" s="26" t="s">
        <v>1912</v>
      </c>
      <c r="C18" s="26" t="s">
        <v>1915</v>
      </c>
      <c r="D18" s="26" t="s">
        <v>1915</v>
      </c>
      <c r="E18" s="58">
        <v>2024.0</v>
      </c>
      <c r="F18" s="58">
        <v>2036.0</v>
      </c>
      <c r="G18" s="25">
        <v>0.0</v>
      </c>
      <c r="H18" s="25">
        <v>9.6</v>
      </c>
      <c r="I18" s="50">
        <v>0.83</v>
      </c>
      <c r="J18" s="25">
        <v>8.0</v>
      </c>
      <c r="K18" s="51">
        <v>0.0</v>
      </c>
      <c r="L18" s="51">
        <v>0.0</v>
      </c>
      <c r="M18" s="25">
        <v>4.0</v>
      </c>
      <c r="N18" s="26"/>
      <c r="O18" s="26" t="s">
        <v>60</v>
      </c>
      <c r="P18" s="55">
        <v>12200.0</v>
      </c>
      <c r="Q18" s="26" t="s">
        <v>37</v>
      </c>
      <c r="R18" s="58">
        <v>2030.0</v>
      </c>
      <c r="S18" s="25">
        <v>1.0</v>
      </c>
      <c r="T18" s="25">
        <f t="shared" si="1"/>
        <v>12200</v>
      </c>
      <c r="U18" s="24">
        <f t="shared" si="2"/>
        <v>1270.833333</v>
      </c>
      <c r="V18" s="26">
        <f>VLOOKUP(R18,CPI!$A$2:$E$67,5,0)</f>
        <v>1</v>
      </c>
      <c r="W18" s="27">
        <f t="shared" si="3"/>
        <v>12200</v>
      </c>
      <c r="X18" s="27">
        <f t="shared" si="4"/>
        <v>1270.833333</v>
      </c>
      <c r="Y18" s="63" t="s">
        <v>42</v>
      </c>
      <c r="Z18" s="56" t="s">
        <v>1916</v>
      </c>
      <c r="AA18" s="179"/>
      <c r="AB18" s="60"/>
      <c r="AC18" s="60"/>
      <c r="AD18" s="60"/>
    </row>
    <row r="19">
      <c r="A19" s="26" t="s">
        <v>89</v>
      </c>
      <c r="B19" s="26" t="s">
        <v>90</v>
      </c>
      <c r="C19" s="1" t="s">
        <v>57</v>
      </c>
      <c r="D19" s="26" t="s">
        <v>98</v>
      </c>
      <c r="E19" s="25">
        <v>2009.0</v>
      </c>
      <c r="F19" s="58" t="s">
        <v>99</v>
      </c>
      <c r="G19" s="25">
        <v>0.0</v>
      </c>
      <c r="H19" s="25">
        <v>5.1</v>
      </c>
      <c r="I19" s="50">
        <v>0.6</v>
      </c>
      <c r="J19" s="25">
        <v>3.1</v>
      </c>
      <c r="K19" s="51">
        <v>0.0</v>
      </c>
      <c r="L19" s="51">
        <v>0.0</v>
      </c>
      <c r="M19" s="25">
        <v>4.0</v>
      </c>
      <c r="N19" s="26"/>
      <c r="O19" s="26" t="s">
        <v>59</v>
      </c>
      <c r="P19" s="52">
        <v>407.0</v>
      </c>
      <c r="Q19" s="26" t="s">
        <v>100</v>
      </c>
      <c r="R19" s="25">
        <v>2010.0</v>
      </c>
      <c r="S19" s="25">
        <v>1.69</v>
      </c>
      <c r="T19" s="25">
        <f t="shared" si="1"/>
        <v>687.83</v>
      </c>
      <c r="U19" s="24">
        <f t="shared" si="2"/>
        <v>134.8686275</v>
      </c>
      <c r="V19" s="26">
        <f>VLOOKUP(R19,CPI!$A$2:$E$67,5,0)</f>
        <v>1.397356642</v>
      </c>
      <c r="W19" s="27">
        <f t="shared" si="3"/>
        <v>961.1438193</v>
      </c>
      <c r="X19" s="27">
        <f t="shared" si="4"/>
        <v>188.4595724</v>
      </c>
      <c r="Y19" s="26" t="s">
        <v>42</v>
      </c>
      <c r="Z19" s="57" t="s">
        <v>101</v>
      </c>
      <c r="AA19" s="29"/>
      <c r="AB19" s="30"/>
      <c r="AC19" s="30"/>
      <c r="AD19" s="30"/>
    </row>
    <row r="20">
      <c r="A20" s="26" t="s">
        <v>89</v>
      </c>
      <c r="B20" s="26" t="s">
        <v>90</v>
      </c>
      <c r="C20" s="1" t="s">
        <v>57</v>
      </c>
      <c r="D20" s="26" t="s">
        <v>92</v>
      </c>
      <c r="E20" s="25">
        <v>2013.0</v>
      </c>
      <c r="F20" s="25">
        <v>2015.0</v>
      </c>
      <c r="G20" s="25">
        <v>0.0</v>
      </c>
      <c r="H20" s="25">
        <v>3.0</v>
      </c>
      <c r="I20" s="50">
        <v>1.0</v>
      </c>
      <c r="J20" s="25">
        <v>3.0</v>
      </c>
      <c r="K20" s="51">
        <v>0.0</v>
      </c>
      <c r="L20" s="51">
        <v>0.0</v>
      </c>
      <c r="M20" s="25">
        <v>3.0</v>
      </c>
      <c r="N20" s="26"/>
      <c r="O20" s="26" t="s">
        <v>42</v>
      </c>
      <c r="P20" s="52">
        <v>44.0</v>
      </c>
      <c r="Q20" s="26" t="s">
        <v>52</v>
      </c>
      <c r="R20" s="25">
        <v>2014.0</v>
      </c>
      <c r="S20" s="25">
        <v>3.32</v>
      </c>
      <c r="T20" s="25">
        <f t="shared" si="1"/>
        <v>146.08</v>
      </c>
      <c r="U20" s="24">
        <f t="shared" si="2"/>
        <v>48.69333333</v>
      </c>
      <c r="V20" s="26">
        <f>VLOOKUP(R20,CPI!$A$2:$E$67,5,0)</f>
        <v>1.287096175</v>
      </c>
      <c r="W20" s="27">
        <f t="shared" si="3"/>
        <v>188.0190092</v>
      </c>
      <c r="X20" s="27">
        <f t="shared" si="4"/>
        <v>62.67300306</v>
      </c>
      <c r="Y20" s="26" t="s">
        <v>42</v>
      </c>
      <c r="Z20" s="57" t="s">
        <v>93</v>
      </c>
      <c r="AA20" s="29"/>
      <c r="AB20" s="30"/>
      <c r="AC20" s="30"/>
      <c r="AD20" s="30"/>
    </row>
    <row r="21">
      <c r="A21" s="26" t="s">
        <v>89</v>
      </c>
      <c r="B21" s="26" t="s">
        <v>90</v>
      </c>
      <c r="C21" s="1" t="s">
        <v>54</v>
      </c>
      <c r="D21" s="26" t="s">
        <v>54</v>
      </c>
      <c r="E21" s="25">
        <v>2008.0</v>
      </c>
      <c r="F21" s="25">
        <v>2012.0</v>
      </c>
      <c r="G21" s="25">
        <v>0.0</v>
      </c>
      <c r="H21" s="25">
        <v>17.0</v>
      </c>
      <c r="I21" s="50">
        <v>0.9</v>
      </c>
      <c r="J21" s="25">
        <v>15.3</v>
      </c>
      <c r="K21" s="51">
        <v>0.0</v>
      </c>
      <c r="L21" s="51">
        <v>0.0</v>
      </c>
      <c r="M21" s="25">
        <v>11.0</v>
      </c>
      <c r="N21" s="26"/>
      <c r="O21" s="26" t="s">
        <v>36</v>
      </c>
      <c r="P21" s="52">
        <v>952.0</v>
      </c>
      <c r="Q21" s="26" t="s">
        <v>52</v>
      </c>
      <c r="R21" s="25">
        <v>2010.0</v>
      </c>
      <c r="S21" s="25">
        <v>3.32</v>
      </c>
      <c r="T21" s="25">
        <f t="shared" si="1"/>
        <v>3160.64</v>
      </c>
      <c r="U21" s="24">
        <f t="shared" si="2"/>
        <v>185.92</v>
      </c>
      <c r="V21" s="26">
        <f>VLOOKUP(R21,CPI!$A$2:$E$67,5,0)</f>
        <v>1.397356642</v>
      </c>
      <c r="W21" s="27">
        <f t="shared" si="3"/>
        <v>4416.541298</v>
      </c>
      <c r="X21" s="27">
        <f t="shared" si="4"/>
        <v>259.7965469</v>
      </c>
      <c r="Y21" s="26" t="s">
        <v>36</v>
      </c>
      <c r="Z21" s="57" t="s">
        <v>91</v>
      </c>
      <c r="AA21" s="29"/>
      <c r="AB21" s="30"/>
      <c r="AC21" s="30"/>
      <c r="AD21" s="30"/>
    </row>
    <row r="22">
      <c r="A22" s="26" t="s">
        <v>89</v>
      </c>
      <c r="B22" s="26" t="s">
        <v>90</v>
      </c>
      <c r="C22" s="1" t="s">
        <v>54</v>
      </c>
      <c r="D22" s="26" t="s">
        <v>55</v>
      </c>
      <c r="E22" s="25">
        <v>2012.0</v>
      </c>
      <c r="F22" s="25">
        <v>2016.0</v>
      </c>
      <c r="G22" s="25">
        <v>0.0</v>
      </c>
      <c r="H22" s="25">
        <v>1.3</v>
      </c>
      <c r="I22" s="50">
        <v>1.0</v>
      </c>
      <c r="J22" s="25">
        <v>1.3</v>
      </c>
      <c r="K22" s="51">
        <v>0.0</v>
      </c>
      <c r="L22" s="51">
        <v>0.0</v>
      </c>
      <c r="M22" s="25">
        <v>1.0</v>
      </c>
      <c r="N22" s="26"/>
      <c r="O22" s="26" t="s">
        <v>42</v>
      </c>
      <c r="P22" s="52">
        <v>21.0</v>
      </c>
      <c r="Q22" s="26" t="s">
        <v>52</v>
      </c>
      <c r="R22" s="25">
        <v>2014.0</v>
      </c>
      <c r="S22" s="25">
        <v>3.32</v>
      </c>
      <c r="T22" s="25">
        <f t="shared" si="1"/>
        <v>69.72</v>
      </c>
      <c r="U22" s="24">
        <f t="shared" si="2"/>
        <v>53.63076923</v>
      </c>
      <c r="V22" s="26">
        <f>VLOOKUP(R22,CPI!$A$2:$E$67,5,0)</f>
        <v>1.287096175</v>
      </c>
      <c r="W22" s="27">
        <f t="shared" si="3"/>
        <v>89.7363453</v>
      </c>
      <c r="X22" s="27">
        <f t="shared" si="4"/>
        <v>69.02795792</v>
      </c>
      <c r="Y22" s="26" t="s">
        <v>42</v>
      </c>
      <c r="Z22" s="53" t="s">
        <v>94</v>
      </c>
      <c r="AA22" s="29"/>
      <c r="AB22" s="30"/>
      <c r="AC22" s="30"/>
      <c r="AD22" s="30"/>
    </row>
    <row r="23">
      <c r="A23" s="26" t="s">
        <v>89</v>
      </c>
      <c r="B23" s="26" t="s">
        <v>90</v>
      </c>
      <c r="C23" s="1" t="s">
        <v>87</v>
      </c>
      <c r="D23" s="26" t="s">
        <v>87</v>
      </c>
      <c r="E23" s="25">
        <v>2016.0</v>
      </c>
      <c r="F23" s="25">
        <v>2021.0</v>
      </c>
      <c r="G23" s="25">
        <v>0.0</v>
      </c>
      <c r="H23" s="25">
        <v>12.0</v>
      </c>
      <c r="I23" s="50">
        <v>1.0</v>
      </c>
      <c r="J23" s="25">
        <v>12.0</v>
      </c>
      <c r="K23" s="51">
        <v>0.0</v>
      </c>
      <c r="L23" s="51">
        <v>0.0</v>
      </c>
      <c r="M23" s="25">
        <v>12.0</v>
      </c>
      <c r="N23" s="26"/>
      <c r="O23" s="26" t="s">
        <v>60</v>
      </c>
      <c r="P23" s="52">
        <v>500.0</v>
      </c>
      <c r="Q23" s="26" t="s">
        <v>52</v>
      </c>
      <c r="R23" s="25">
        <v>2018.0</v>
      </c>
      <c r="S23" s="25">
        <v>3.32</v>
      </c>
      <c r="T23" s="25">
        <f t="shared" si="1"/>
        <v>1660</v>
      </c>
      <c r="U23" s="24">
        <f t="shared" si="2"/>
        <v>138.3333333</v>
      </c>
      <c r="V23" s="26">
        <f>VLOOKUP(R23,CPI!$A$2:$E$67,5,0)</f>
        <v>1.21343491</v>
      </c>
      <c r="W23" s="27">
        <f t="shared" si="3"/>
        <v>2014.301951</v>
      </c>
      <c r="X23" s="27">
        <f t="shared" si="4"/>
        <v>167.8584959</v>
      </c>
      <c r="Y23" s="26" t="s">
        <v>60</v>
      </c>
      <c r="Z23" s="53" t="s">
        <v>95</v>
      </c>
      <c r="AA23" s="29"/>
      <c r="AB23" s="30"/>
      <c r="AC23" s="30"/>
      <c r="AD23" s="30"/>
    </row>
    <row r="24">
      <c r="A24" s="26" t="s">
        <v>89</v>
      </c>
      <c r="B24" s="26" t="s">
        <v>90</v>
      </c>
      <c r="C24" s="1" t="s">
        <v>87</v>
      </c>
      <c r="D24" s="26" t="s">
        <v>96</v>
      </c>
      <c r="E24" s="25">
        <v>2021.0</v>
      </c>
      <c r="F24" s="25"/>
      <c r="G24" s="25">
        <v>0.0</v>
      </c>
      <c r="H24" s="25">
        <v>3.1</v>
      </c>
      <c r="I24" s="50">
        <v>1.0</v>
      </c>
      <c r="J24" s="25">
        <v>3.1</v>
      </c>
      <c r="K24" s="51">
        <v>0.0</v>
      </c>
      <c r="L24" s="51">
        <v>0.0</v>
      </c>
      <c r="M24" s="25">
        <v>4.0</v>
      </c>
      <c r="N24" s="26"/>
      <c r="O24" s="26" t="s">
        <v>60</v>
      </c>
      <c r="P24" s="52">
        <v>112.5</v>
      </c>
      <c r="Q24" s="26" t="s">
        <v>52</v>
      </c>
      <c r="R24" s="25">
        <v>2021.0</v>
      </c>
      <c r="S24" s="25">
        <v>3.32</v>
      </c>
      <c r="T24" s="25">
        <f t="shared" si="1"/>
        <v>373.5</v>
      </c>
      <c r="U24" s="24">
        <f t="shared" si="2"/>
        <v>120.483871</v>
      </c>
      <c r="V24" s="26">
        <f>VLOOKUP(R24,CPI!$A$2:$E$67,5,0)</f>
        <v>1.124486105</v>
      </c>
      <c r="W24" s="27">
        <f t="shared" si="3"/>
        <v>419.9955604</v>
      </c>
      <c r="X24" s="27">
        <f t="shared" si="4"/>
        <v>135.4824388</v>
      </c>
      <c r="Y24" s="26" t="s">
        <v>36</v>
      </c>
      <c r="Z24" s="53" t="s">
        <v>97</v>
      </c>
      <c r="AA24" s="29"/>
      <c r="AB24" s="30"/>
      <c r="AC24" s="30"/>
      <c r="AD24" s="30"/>
    </row>
    <row r="25">
      <c r="A25" s="2" t="s">
        <v>1539</v>
      </c>
      <c r="B25" s="2" t="s">
        <v>1544</v>
      </c>
      <c r="C25" s="1" t="s">
        <v>54</v>
      </c>
      <c r="D25" s="2" t="s">
        <v>54</v>
      </c>
      <c r="E25" s="3">
        <v>2010.0</v>
      </c>
      <c r="F25" s="3">
        <v>2015.0</v>
      </c>
      <c r="G25" s="3">
        <v>0.0</v>
      </c>
      <c r="H25" s="3">
        <v>6.5</v>
      </c>
      <c r="I25" s="50">
        <v>1.0</v>
      </c>
      <c r="J25" s="3">
        <v>6.5</v>
      </c>
      <c r="K25" s="40">
        <v>0.0</v>
      </c>
      <c r="L25" s="40">
        <v>0.0</v>
      </c>
      <c r="M25" s="3">
        <v>7.0</v>
      </c>
      <c r="N25" s="2"/>
      <c r="O25" s="2" t="s">
        <v>36</v>
      </c>
      <c r="P25" s="3">
        <v>5900.0</v>
      </c>
      <c r="Q25" s="2" t="s">
        <v>1542</v>
      </c>
      <c r="R25" s="3">
        <v>2012.0</v>
      </c>
      <c r="S25" s="3">
        <v>0.557</v>
      </c>
      <c r="T25" s="3">
        <f t="shared" si="1"/>
        <v>3286.3</v>
      </c>
      <c r="U25" s="24">
        <f t="shared" si="2"/>
        <v>505.5846154</v>
      </c>
      <c r="V25" s="26">
        <f>VLOOKUP(R25,CPI!$A$2:$E$67,5,0)</f>
        <v>1.327133984</v>
      </c>
      <c r="W25" s="27">
        <f t="shared" si="3"/>
        <v>4361.360413</v>
      </c>
      <c r="X25" s="27">
        <f t="shared" si="4"/>
        <v>670.978525</v>
      </c>
      <c r="Y25" s="2" t="s">
        <v>36</v>
      </c>
      <c r="Z25" s="327" t="s">
        <v>1545</v>
      </c>
      <c r="AA25" s="425"/>
      <c r="AB25" s="92"/>
      <c r="AC25" s="92"/>
      <c r="AD25" s="92"/>
    </row>
    <row r="26">
      <c r="A26" s="26" t="s">
        <v>1539</v>
      </c>
      <c r="B26" s="26" t="s">
        <v>1544</v>
      </c>
      <c r="C26" s="1" t="s">
        <v>54</v>
      </c>
      <c r="D26" s="26" t="s">
        <v>1546</v>
      </c>
      <c r="E26" s="25">
        <v>2015.0</v>
      </c>
      <c r="F26" s="25">
        <v>2019.0</v>
      </c>
      <c r="G26" s="25">
        <v>0.0</v>
      </c>
      <c r="H26" s="25">
        <v>3.1</v>
      </c>
      <c r="I26" s="50">
        <v>1.0</v>
      </c>
      <c r="J26" s="25">
        <v>3.1</v>
      </c>
      <c r="K26" s="51">
        <v>0.0</v>
      </c>
      <c r="L26" s="51">
        <v>0.0</v>
      </c>
      <c r="M26" s="25">
        <v>3.0</v>
      </c>
      <c r="N26" s="26"/>
      <c r="O26" s="26" t="s">
        <v>36</v>
      </c>
      <c r="P26" s="52">
        <v>1070.0</v>
      </c>
      <c r="Q26" s="26" t="s">
        <v>1542</v>
      </c>
      <c r="R26" s="25">
        <v>2017.0</v>
      </c>
      <c r="S26" s="25">
        <v>0.576</v>
      </c>
      <c r="T26" s="25">
        <f t="shared" si="1"/>
        <v>616.32</v>
      </c>
      <c r="U26" s="24">
        <f t="shared" si="2"/>
        <v>198.8129032</v>
      </c>
      <c r="V26" s="26">
        <f>VLOOKUP(R26,CPI!$A$2:$E$67,5,0)</f>
        <v>1.243072781</v>
      </c>
      <c r="W26" s="27">
        <f t="shared" si="3"/>
        <v>766.1306162</v>
      </c>
      <c r="X26" s="27">
        <f t="shared" si="4"/>
        <v>247.1389084</v>
      </c>
      <c r="Y26" s="26" t="s">
        <v>36</v>
      </c>
      <c r="Z26" s="53" t="s">
        <v>1547</v>
      </c>
      <c r="AA26" s="178"/>
      <c r="AB26" s="172"/>
      <c r="AC26" s="172"/>
      <c r="AD26" s="172"/>
    </row>
    <row r="27">
      <c r="A27" s="26" t="s">
        <v>1539</v>
      </c>
      <c r="B27" s="26" t="s">
        <v>1544</v>
      </c>
      <c r="C27" s="1" t="s">
        <v>54</v>
      </c>
      <c r="D27" s="63" t="s">
        <v>1548</v>
      </c>
      <c r="E27" s="25">
        <v>2015.0</v>
      </c>
      <c r="F27" s="25">
        <v>2020.0</v>
      </c>
      <c r="G27" s="25">
        <v>0.0</v>
      </c>
      <c r="H27" s="25">
        <v>3.4</v>
      </c>
      <c r="I27" s="50">
        <v>1.0</v>
      </c>
      <c r="J27" s="25">
        <v>3.4</v>
      </c>
      <c r="K27" s="51">
        <v>0.0</v>
      </c>
      <c r="L27" s="51">
        <v>0.0</v>
      </c>
      <c r="M27" s="25">
        <v>3.0</v>
      </c>
      <c r="N27" s="26"/>
      <c r="O27" s="26" t="s">
        <v>36</v>
      </c>
      <c r="P27" s="52">
        <v>1148.0</v>
      </c>
      <c r="Q27" s="26" t="s">
        <v>1542</v>
      </c>
      <c r="R27" s="25">
        <v>2017.0</v>
      </c>
      <c r="S27" s="25">
        <v>0.576</v>
      </c>
      <c r="T27" s="25">
        <f t="shared" si="1"/>
        <v>661.248</v>
      </c>
      <c r="U27" s="24">
        <f t="shared" si="2"/>
        <v>194.4847059</v>
      </c>
      <c r="V27" s="26">
        <f>VLOOKUP(R27,CPI!$A$2:$E$67,5,0)</f>
        <v>1.243072781</v>
      </c>
      <c r="W27" s="27">
        <f t="shared" si="3"/>
        <v>821.9793901</v>
      </c>
      <c r="X27" s="27">
        <f t="shared" si="4"/>
        <v>241.7586441</v>
      </c>
      <c r="Y27" s="26" t="s">
        <v>36</v>
      </c>
      <c r="Z27" s="53" t="s">
        <v>1549</v>
      </c>
      <c r="AA27" s="178"/>
      <c r="AB27" s="172"/>
      <c r="AC27" s="172"/>
      <c r="AD27" s="172"/>
    </row>
    <row r="28">
      <c r="A28" s="26" t="s">
        <v>1539</v>
      </c>
      <c r="B28" s="26" t="s">
        <v>1544</v>
      </c>
      <c r="C28" s="1" t="s">
        <v>54</v>
      </c>
      <c r="D28" s="26" t="s">
        <v>1550</v>
      </c>
      <c r="E28" s="25">
        <v>2018.0</v>
      </c>
      <c r="F28" s="25">
        <v>2022.0</v>
      </c>
      <c r="G28" s="25">
        <v>0.0</v>
      </c>
      <c r="H28" s="25">
        <v>4.0</v>
      </c>
      <c r="I28" s="50">
        <v>1.0</v>
      </c>
      <c r="J28" s="25">
        <v>4.0</v>
      </c>
      <c r="K28" s="51">
        <v>0.0</v>
      </c>
      <c r="L28" s="51">
        <v>0.0</v>
      </c>
      <c r="M28" s="25">
        <v>3.0</v>
      </c>
      <c r="N28" s="26"/>
      <c r="O28" s="26" t="s">
        <v>36</v>
      </c>
      <c r="P28" s="52">
        <v>1400.0</v>
      </c>
      <c r="Q28" s="26" t="s">
        <v>1542</v>
      </c>
      <c r="R28" s="25">
        <v>2020.0</v>
      </c>
      <c r="S28" s="25">
        <v>0.571</v>
      </c>
      <c r="T28" s="25">
        <f t="shared" si="1"/>
        <v>799.4</v>
      </c>
      <c r="U28" s="24">
        <f t="shared" si="2"/>
        <v>199.85</v>
      </c>
      <c r="V28" s="26">
        <f>VLOOKUP(R28,CPI!$A$2:$E$67,5,0)</f>
        <v>1.17731472</v>
      </c>
      <c r="W28" s="27">
        <f t="shared" si="3"/>
        <v>941.1453872</v>
      </c>
      <c r="X28" s="27">
        <f t="shared" si="4"/>
        <v>235.2863468</v>
      </c>
      <c r="Y28" s="26" t="s">
        <v>36</v>
      </c>
      <c r="Z28" s="53" t="s">
        <v>1551</v>
      </c>
      <c r="AA28" s="130"/>
      <c r="AB28" s="130"/>
      <c r="AC28" s="130"/>
      <c r="AD28" s="130"/>
    </row>
    <row r="29">
      <c r="A29" s="26" t="s">
        <v>1565</v>
      </c>
      <c r="B29" s="26" t="s">
        <v>1566</v>
      </c>
      <c r="C29" s="26" t="s">
        <v>84</v>
      </c>
      <c r="D29" s="26" t="s">
        <v>84</v>
      </c>
      <c r="E29" s="25">
        <v>2014.0</v>
      </c>
      <c r="F29" s="25">
        <v>2019.0</v>
      </c>
      <c r="G29" s="25">
        <v>0.0</v>
      </c>
      <c r="H29" s="25">
        <v>6.9</v>
      </c>
      <c r="I29" s="50">
        <v>1.0</v>
      </c>
      <c r="J29" s="25">
        <v>6.9</v>
      </c>
      <c r="K29" s="51">
        <v>0.0</v>
      </c>
      <c r="L29" s="51">
        <v>0.0</v>
      </c>
      <c r="M29" s="25">
        <v>10.0</v>
      </c>
      <c r="N29" s="26"/>
      <c r="O29" s="26" t="s">
        <v>60</v>
      </c>
      <c r="P29" s="52">
        <v>3122.0</v>
      </c>
      <c r="Q29" s="26" t="s">
        <v>1567</v>
      </c>
      <c r="R29" s="25">
        <v>2016.0</v>
      </c>
      <c r="S29" s="25">
        <v>0.596</v>
      </c>
      <c r="T29" s="25">
        <f t="shared" si="1"/>
        <v>1860.712</v>
      </c>
      <c r="U29" s="24">
        <f t="shared" si="2"/>
        <v>269.6684058</v>
      </c>
      <c r="V29" s="26">
        <f>VLOOKUP(R29,CPI!$A$2:$E$67,5,0)</f>
        <v>1.269554638</v>
      </c>
      <c r="W29" s="27">
        <f t="shared" si="3"/>
        <v>2362.27555</v>
      </c>
      <c r="X29" s="27">
        <f t="shared" si="4"/>
        <v>342.3587753</v>
      </c>
      <c r="Y29" s="26" t="s">
        <v>60</v>
      </c>
      <c r="Z29" s="57" t="s">
        <v>1568</v>
      </c>
      <c r="AA29" s="178"/>
      <c r="AB29" s="172"/>
      <c r="AC29" s="172"/>
      <c r="AD29" s="172"/>
    </row>
    <row r="30">
      <c r="A30" s="363" t="s">
        <v>1576</v>
      </c>
      <c r="B30" s="363" t="s">
        <v>1590</v>
      </c>
      <c r="C30" s="363" t="s">
        <v>292</v>
      </c>
      <c r="D30" s="363" t="s">
        <v>292</v>
      </c>
      <c r="E30" s="18">
        <v>2017.0</v>
      </c>
      <c r="F30" s="18">
        <v>2023.0</v>
      </c>
      <c r="G30" s="18">
        <v>0.0</v>
      </c>
      <c r="H30" s="18">
        <v>66.7</v>
      </c>
      <c r="I30" s="364">
        <v>1.0</v>
      </c>
      <c r="J30" s="18">
        <v>66.7</v>
      </c>
      <c r="K30" s="21">
        <v>0.0</v>
      </c>
      <c r="L30" s="21">
        <v>0.0</v>
      </c>
      <c r="M30" s="18">
        <v>31.0</v>
      </c>
      <c r="N30" s="363"/>
      <c r="O30" s="363" t="s">
        <v>42</v>
      </c>
      <c r="P30" s="365">
        <v>501000.0</v>
      </c>
      <c r="Q30" s="363" t="s">
        <v>1580</v>
      </c>
      <c r="R30" s="18">
        <v>2018.0</v>
      </c>
      <c r="S30" s="18">
        <v>0.04</v>
      </c>
      <c r="T30" s="18">
        <f t="shared" si="1"/>
        <v>20040</v>
      </c>
      <c r="U30" s="24">
        <f t="shared" si="2"/>
        <v>300.4497751</v>
      </c>
      <c r="V30" s="26">
        <f>VLOOKUP(R30,CPI!$A$2:$E$67,5,0)</f>
        <v>1.21343491</v>
      </c>
      <c r="W30" s="27">
        <f t="shared" si="3"/>
        <v>24317.2356</v>
      </c>
      <c r="X30" s="27">
        <f t="shared" si="4"/>
        <v>364.5762459</v>
      </c>
      <c r="Y30" s="363" t="s">
        <v>42</v>
      </c>
      <c r="Z30" s="426" t="s">
        <v>2125</v>
      </c>
      <c r="AA30" s="178"/>
      <c r="AB30" s="172"/>
      <c r="AC30" s="172"/>
      <c r="AD30" s="172"/>
    </row>
    <row r="31">
      <c r="A31" s="26" t="s">
        <v>1576</v>
      </c>
      <c r="B31" s="329" t="s">
        <v>2126</v>
      </c>
      <c r="C31" s="16" t="s">
        <v>54</v>
      </c>
      <c r="D31" s="26" t="s">
        <v>55</v>
      </c>
      <c r="E31" s="25">
        <v>2015.0</v>
      </c>
      <c r="F31" s="25">
        <v>2018.0</v>
      </c>
      <c r="G31" s="25">
        <v>0.0</v>
      </c>
      <c r="H31" s="25">
        <v>2.5</v>
      </c>
      <c r="I31" s="50">
        <v>1.0</v>
      </c>
      <c r="J31" s="25">
        <v>2.5</v>
      </c>
      <c r="K31" s="51">
        <v>0.0</v>
      </c>
      <c r="L31" s="51">
        <v>0.0</v>
      </c>
      <c r="M31" s="25">
        <v>1.0</v>
      </c>
      <c r="N31" s="26"/>
      <c r="O31" s="26" t="s">
        <v>36</v>
      </c>
      <c r="P31" s="52">
        <v>11000.0</v>
      </c>
      <c r="Q31" s="26" t="s">
        <v>1580</v>
      </c>
      <c r="R31" s="25">
        <v>2016.0</v>
      </c>
      <c r="S31" s="25">
        <v>0.041</v>
      </c>
      <c r="T31" s="25">
        <f t="shared" si="1"/>
        <v>451</v>
      </c>
      <c r="U31" s="24">
        <f t="shared" si="2"/>
        <v>180.4</v>
      </c>
      <c r="V31" s="26">
        <f>VLOOKUP(R31,CPI!$A$2:$E$67,5,0)</f>
        <v>1.269554638</v>
      </c>
      <c r="W31" s="27">
        <f t="shared" si="3"/>
        <v>572.5691417</v>
      </c>
      <c r="X31" s="27">
        <f t="shared" si="4"/>
        <v>229.0276567</v>
      </c>
      <c r="Y31" s="26" t="s">
        <v>36</v>
      </c>
      <c r="Z31" s="53" t="s">
        <v>2127</v>
      </c>
      <c r="AA31" s="178"/>
      <c r="AB31" s="172"/>
      <c r="AC31" s="172"/>
      <c r="AD31" s="172"/>
    </row>
    <row r="32">
      <c r="A32" s="26" t="s">
        <v>1576</v>
      </c>
      <c r="B32" s="26" t="s">
        <v>2128</v>
      </c>
      <c r="C32" s="16" t="s">
        <v>87</v>
      </c>
      <c r="D32" s="26" t="s">
        <v>2129</v>
      </c>
      <c r="E32" s="25">
        <v>2014.0</v>
      </c>
      <c r="F32" s="25">
        <v>2018.0</v>
      </c>
      <c r="G32" s="25">
        <v>0.0</v>
      </c>
      <c r="H32" s="25">
        <v>5.0</v>
      </c>
      <c r="I32" s="50">
        <v>1.0</v>
      </c>
      <c r="J32" s="25">
        <v>5.0</v>
      </c>
      <c r="K32" s="51">
        <v>0.0</v>
      </c>
      <c r="L32" s="51">
        <v>0.0</v>
      </c>
      <c r="M32" s="25">
        <v>2.0</v>
      </c>
      <c r="N32" s="26"/>
      <c r="O32" s="26" t="s">
        <v>36</v>
      </c>
      <c r="P32" s="52">
        <v>37000.0</v>
      </c>
      <c r="Q32" s="26" t="s">
        <v>1580</v>
      </c>
      <c r="R32" s="25">
        <v>2016.0</v>
      </c>
      <c r="S32" s="25">
        <v>0.041</v>
      </c>
      <c r="T32" s="25">
        <f t="shared" si="1"/>
        <v>1517</v>
      </c>
      <c r="U32" s="24">
        <f t="shared" si="2"/>
        <v>303.4</v>
      </c>
      <c r="V32" s="26">
        <f>VLOOKUP(R32,CPI!$A$2:$E$67,5,0)</f>
        <v>1.269554638</v>
      </c>
      <c r="W32" s="27">
        <f t="shared" si="3"/>
        <v>1925.914386</v>
      </c>
      <c r="X32" s="27">
        <f t="shared" si="4"/>
        <v>385.1828772</v>
      </c>
      <c r="Y32" s="26" t="s">
        <v>36</v>
      </c>
      <c r="Z32" s="57" t="s">
        <v>2127</v>
      </c>
      <c r="AA32" s="178"/>
      <c r="AB32" s="172"/>
      <c r="AC32" s="172"/>
      <c r="AD32" s="172"/>
    </row>
    <row r="33">
      <c r="A33" s="26" t="s">
        <v>1576</v>
      </c>
      <c r="B33" s="26" t="s">
        <v>2128</v>
      </c>
      <c r="C33" s="26" t="s">
        <v>84</v>
      </c>
      <c r="D33" s="26" t="s">
        <v>119</v>
      </c>
      <c r="E33" s="25">
        <v>2013.0</v>
      </c>
      <c r="F33" s="25">
        <v>2019.0</v>
      </c>
      <c r="G33" s="25">
        <v>0.0</v>
      </c>
      <c r="H33" s="25">
        <v>6.4</v>
      </c>
      <c r="I33" s="50">
        <v>0.97</v>
      </c>
      <c r="J33" s="25">
        <v>6.2</v>
      </c>
      <c r="K33" s="51">
        <v>0.0</v>
      </c>
      <c r="L33" s="51">
        <v>0.0</v>
      </c>
      <c r="M33" s="25">
        <v>3.0</v>
      </c>
      <c r="N33" s="26"/>
      <c r="O33" s="26" t="s">
        <v>59</v>
      </c>
      <c r="P33" s="52">
        <v>44600.0</v>
      </c>
      <c r="Q33" s="26" t="s">
        <v>1580</v>
      </c>
      <c r="R33" s="25">
        <v>2016.0</v>
      </c>
      <c r="S33" s="25">
        <v>0.041</v>
      </c>
      <c r="T33" s="25">
        <f t="shared" si="1"/>
        <v>1828.6</v>
      </c>
      <c r="U33" s="24">
        <f t="shared" si="2"/>
        <v>285.71875</v>
      </c>
      <c r="V33" s="26">
        <f>VLOOKUP(R33,CPI!$A$2:$E$67,5,0)</f>
        <v>1.269554638</v>
      </c>
      <c r="W33" s="27">
        <f t="shared" si="3"/>
        <v>2321.507611</v>
      </c>
      <c r="X33" s="27">
        <f t="shared" si="4"/>
        <v>362.7355642</v>
      </c>
      <c r="Y33" s="26" t="s">
        <v>42</v>
      </c>
      <c r="Z33" s="57" t="s">
        <v>2130</v>
      </c>
      <c r="AA33" s="178"/>
      <c r="AB33" s="172"/>
      <c r="AC33" s="172"/>
      <c r="AD33" s="172"/>
    </row>
    <row r="34">
      <c r="A34" s="26" t="s">
        <v>1576</v>
      </c>
      <c r="B34" s="26" t="s">
        <v>1590</v>
      </c>
      <c r="C34" s="16" t="s">
        <v>57</v>
      </c>
      <c r="D34" s="26" t="s">
        <v>58</v>
      </c>
      <c r="E34" s="25">
        <v>2016.0</v>
      </c>
      <c r="F34" s="25">
        <v>2019.0</v>
      </c>
      <c r="G34" s="25">
        <v>0.0</v>
      </c>
      <c r="H34" s="25">
        <v>11.6</v>
      </c>
      <c r="I34" s="50">
        <v>0.14</v>
      </c>
      <c r="J34" s="25">
        <v>1.6</v>
      </c>
      <c r="K34" s="58">
        <v>0.14</v>
      </c>
      <c r="L34" s="58">
        <v>9.836</v>
      </c>
      <c r="M34" s="58">
        <v>4.0</v>
      </c>
      <c r="N34" s="26"/>
      <c r="O34" s="26" t="s">
        <v>74</v>
      </c>
      <c r="P34" s="52">
        <v>41032.869</v>
      </c>
      <c r="Q34" s="26" t="s">
        <v>1580</v>
      </c>
      <c r="R34" s="25">
        <v>2018.0</v>
      </c>
      <c r="S34" s="25">
        <v>0.04</v>
      </c>
      <c r="T34" s="25">
        <f t="shared" si="1"/>
        <v>1641.31476</v>
      </c>
      <c r="U34" s="24">
        <f t="shared" si="2"/>
        <v>141.4926517</v>
      </c>
      <c r="V34" s="26">
        <f>VLOOKUP(R34,CPI!$A$2:$E$67,5,0)</f>
        <v>1.21343491</v>
      </c>
      <c r="W34" s="27">
        <f t="shared" si="3"/>
        <v>1991.628628</v>
      </c>
      <c r="X34" s="27">
        <f t="shared" si="4"/>
        <v>171.6921231</v>
      </c>
      <c r="Y34" s="26" t="s">
        <v>60</v>
      </c>
      <c r="Z34" s="53" t="s">
        <v>2131</v>
      </c>
      <c r="AA34" s="178"/>
      <c r="AB34" s="172"/>
      <c r="AC34" s="172"/>
      <c r="AD34" s="172"/>
    </row>
    <row r="35">
      <c r="A35" s="26" t="s">
        <v>981</v>
      </c>
      <c r="B35" s="26" t="s">
        <v>982</v>
      </c>
      <c r="C35" s="16" t="s">
        <v>987</v>
      </c>
      <c r="D35" s="26" t="s">
        <v>988</v>
      </c>
      <c r="E35" s="25">
        <v>2010.0</v>
      </c>
      <c r="F35" s="25">
        <v>2015.0</v>
      </c>
      <c r="G35" s="25">
        <v>0.0</v>
      </c>
      <c r="H35" s="25">
        <v>6.1</v>
      </c>
      <c r="I35" s="59">
        <v>0.97</v>
      </c>
      <c r="J35" s="58">
        <v>5.9</v>
      </c>
      <c r="K35" s="51">
        <v>0.0</v>
      </c>
      <c r="L35" s="58">
        <v>0.2</v>
      </c>
      <c r="M35" s="25">
        <v>4.0</v>
      </c>
      <c r="N35" s="26"/>
      <c r="O35" s="26" t="s">
        <v>74</v>
      </c>
      <c r="P35" s="52">
        <v>20200.0</v>
      </c>
      <c r="Q35" s="26" t="s">
        <v>985</v>
      </c>
      <c r="R35" s="25">
        <v>2012.0</v>
      </c>
      <c r="S35" s="25">
        <v>0.0752</v>
      </c>
      <c r="T35" s="25">
        <f t="shared" si="1"/>
        <v>1519.04</v>
      </c>
      <c r="U35" s="24">
        <f t="shared" si="2"/>
        <v>249.0229508</v>
      </c>
      <c r="V35" s="26">
        <f>VLOOKUP(R35,CPI!$A$2:$E$67,5,0)</f>
        <v>1.327133984</v>
      </c>
      <c r="W35" s="27">
        <f t="shared" si="3"/>
        <v>2015.969608</v>
      </c>
      <c r="X35" s="27">
        <f t="shared" si="4"/>
        <v>330.4868209</v>
      </c>
      <c r="Y35" s="26" t="s">
        <v>36</v>
      </c>
      <c r="Z35" s="53" t="s">
        <v>989</v>
      </c>
      <c r="AA35" s="178"/>
      <c r="AB35" s="172"/>
      <c r="AC35" s="172"/>
      <c r="AD35" s="172"/>
    </row>
    <row r="36">
      <c r="A36" s="26" t="s">
        <v>1248</v>
      </c>
      <c r="B36" s="26" t="s">
        <v>1249</v>
      </c>
      <c r="C36" s="16" t="s">
        <v>110</v>
      </c>
      <c r="D36" s="26" t="s">
        <v>110</v>
      </c>
      <c r="E36" s="25">
        <v>2006.0</v>
      </c>
      <c r="F36" s="25">
        <v>2014.0</v>
      </c>
      <c r="G36" s="25">
        <v>0.0</v>
      </c>
      <c r="H36" s="25">
        <v>7.4</v>
      </c>
      <c r="I36" s="50">
        <v>1.0</v>
      </c>
      <c r="J36" s="25">
        <v>7.4</v>
      </c>
      <c r="K36" s="51">
        <v>0.0</v>
      </c>
      <c r="L36" s="51">
        <v>0.0</v>
      </c>
      <c r="M36" s="25">
        <v>10.0</v>
      </c>
      <c r="N36" s="26"/>
      <c r="O36" s="26" t="s">
        <v>36</v>
      </c>
      <c r="P36" s="52">
        <v>452000.0</v>
      </c>
      <c r="Q36" s="26" t="s">
        <v>1250</v>
      </c>
      <c r="R36" s="25">
        <v>2010.0</v>
      </c>
      <c r="S36" s="25">
        <v>0.00792</v>
      </c>
      <c r="T36" s="25">
        <f t="shared" si="1"/>
        <v>3579.84</v>
      </c>
      <c r="U36" s="24">
        <f t="shared" si="2"/>
        <v>483.7621622</v>
      </c>
      <c r="V36" s="26">
        <f>VLOOKUP(R36,CPI!$A$2:$E$67,5,0)</f>
        <v>1.397356642</v>
      </c>
      <c r="W36" s="27">
        <f t="shared" si="3"/>
        <v>5002.313202</v>
      </c>
      <c r="X36" s="27">
        <f t="shared" si="4"/>
        <v>675.9882706</v>
      </c>
      <c r="Y36" s="26" t="s">
        <v>60</v>
      </c>
      <c r="Z36" s="53" t="s">
        <v>1251</v>
      </c>
      <c r="AA36" s="178"/>
      <c r="AB36" s="172"/>
      <c r="AC36" s="172"/>
      <c r="AD36" s="172"/>
    </row>
    <row r="37">
      <c r="A37" s="26" t="s">
        <v>1165</v>
      </c>
      <c r="B37" s="26" t="s">
        <v>1200</v>
      </c>
      <c r="C37" s="16" t="s">
        <v>87</v>
      </c>
      <c r="D37" s="26" t="s">
        <v>87</v>
      </c>
      <c r="E37" s="25">
        <v>2021.0</v>
      </c>
      <c r="F37" s="25">
        <v>2025.0</v>
      </c>
      <c r="G37" s="25">
        <v>0.0</v>
      </c>
      <c r="H37" s="25">
        <v>27.0</v>
      </c>
      <c r="I37" s="50">
        <v>0.6</v>
      </c>
      <c r="J37" s="25">
        <v>16.2</v>
      </c>
      <c r="K37" s="51">
        <v>0.0</v>
      </c>
      <c r="L37" s="51">
        <v>0.0</v>
      </c>
      <c r="M37" s="25">
        <v>21.0</v>
      </c>
      <c r="N37" s="26"/>
      <c r="O37" s="26" t="s">
        <v>60</v>
      </c>
      <c r="P37" s="52">
        <v>2670.0</v>
      </c>
      <c r="Q37" s="26" t="s">
        <v>52</v>
      </c>
      <c r="R37" s="25">
        <v>2016.0</v>
      </c>
      <c r="S37" s="25">
        <v>1.3</v>
      </c>
      <c r="T37" s="25">
        <f t="shared" si="1"/>
        <v>3471</v>
      </c>
      <c r="U37" s="24">
        <f t="shared" si="2"/>
        <v>128.5555556</v>
      </c>
      <c r="V37" s="26">
        <f>VLOOKUP(R37,CPI!$A$2:$E$67,5,0)</f>
        <v>1.269554638</v>
      </c>
      <c r="W37" s="27">
        <f t="shared" si="3"/>
        <v>4406.624148</v>
      </c>
      <c r="X37" s="27">
        <f t="shared" si="4"/>
        <v>163.2083018</v>
      </c>
      <c r="Y37" s="26" t="s">
        <v>60</v>
      </c>
      <c r="Z37" s="53" t="s">
        <v>1201</v>
      </c>
      <c r="AA37" s="178"/>
      <c r="AB37" s="172"/>
      <c r="AC37" s="172"/>
      <c r="AD37" s="172"/>
    </row>
    <row r="38">
      <c r="A38" s="26" t="s">
        <v>1337</v>
      </c>
      <c r="B38" s="26" t="s">
        <v>1396</v>
      </c>
      <c r="C38" s="63" t="s">
        <v>57</v>
      </c>
      <c r="D38" s="26" t="s">
        <v>1397</v>
      </c>
      <c r="E38" s="25">
        <v>2000.0</v>
      </c>
      <c r="F38" s="25">
        <v>2011.0</v>
      </c>
      <c r="G38" s="25">
        <v>0.0</v>
      </c>
      <c r="H38" s="25">
        <v>13.2</v>
      </c>
      <c r="I38" s="50">
        <v>1.0</v>
      </c>
      <c r="J38" s="25">
        <v>13.2</v>
      </c>
      <c r="K38" s="51">
        <v>0.0</v>
      </c>
      <c r="L38" s="51">
        <v>0.0</v>
      </c>
      <c r="M38" s="25">
        <v>21.0</v>
      </c>
      <c r="N38" s="306">
        <v>55.0</v>
      </c>
      <c r="O38" s="306" t="s">
        <v>2132</v>
      </c>
      <c r="P38" s="308">
        <v>1138.0</v>
      </c>
      <c r="Q38" s="26" t="s">
        <v>52</v>
      </c>
      <c r="R38" s="25">
        <v>2005.0</v>
      </c>
      <c r="S38" s="25">
        <v>1.25</v>
      </c>
      <c r="T38" s="25">
        <f t="shared" si="1"/>
        <v>1422.5</v>
      </c>
      <c r="U38" s="24">
        <f t="shared" si="2"/>
        <v>107.7651515</v>
      </c>
      <c r="V38" s="26">
        <f>VLOOKUP(R38,CPI!$A$2:$E$67,5,0)</f>
        <v>1.560174091</v>
      </c>
      <c r="W38" s="27">
        <f t="shared" si="3"/>
        <v>2219.347645</v>
      </c>
      <c r="X38" s="27">
        <f t="shared" si="4"/>
        <v>168.1323973</v>
      </c>
      <c r="Y38" s="26" t="s">
        <v>60</v>
      </c>
      <c r="Z38" s="57" t="s">
        <v>1398</v>
      </c>
      <c r="AA38" s="178"/>
      <c r="AB38" s="172"/>
      <c r="AC38" s="172"/>
      <c r="AD38" s="172"/>
    </row>
    <row r="39">
      <c r="A39" s="26" t="s">
        <v>1337</v>
      </c>
      <c r="B39" s="26" t="s">
        <v>1396</v>
      </c>
      <c r="C39" s="63" t="s">
        <v>57</v>
      </c>
      <c r="D39" s="26" t="s">
        <v>1399</v>
      </c>
      <c r="E39" s="25">
        <v>2012.0</v>
      </c>
      <c r="F39" s="25">
        <v>2021.0</v>
      </c>
      <c r="G39" s="25">
        <v>0.0</v>
      </c>
      <c r="H39" s="25">
        <v>1.9</v>
      </c>
      <c r="I39" s="50">
        <v>1.0</v>
      </c>
      <c r="J39" s="25">
        <v>1.9</v>
      </c>
      <c r="K39" s="51">
        <v>0.0</v>
      </c>
      <c r="L39" s="51">
        <v>0.0</v>
      </c>
      <c r="M39" s="25">
        <v>2.0</v>
      </c>
      <c r="N39" s="306">
        <v>55.0</v>
      </c>
      <c r="O39" s="306" t="s">
        <v>2132</v>
      </c>
      <c r="P39" s="308">
        <v>189.0</v>
      </c>
      <c r="Q39" s="26" t="s">
        <v>52</v>
      </c>
      <c r="R39" s="25">
        <v>2016.0</v>
      </c>
      <c r="S39" s="25">
        <v>1.3</v>
      </c>
      <c r="T39" s="25">
        <f t="shared" si="1"/>
        <v>245.7</v>
      </c>
      <c r="U39" s="24">
        <f t="shared" si="2"/>
        <v>129.3157895</v>
      </c>
      <c r="V39" s="26">
        <f>VLOOKUP(R39,CPI!$A$2:$E$67,5,0)</f>
        <v>1.269554638</v>
      </c>
      <c r="W39" s="27">
        <f t="shared" si="3"/>
        <v>311.9295746</v>
      </c>
      <c r="X39" s="27">
        <f t="shared" si="4"/>
        <v>164.1734603</v>
      </c>
      <c r="Y39" s="26" t="s">
        <v>60</v>
      </c>
      <c r="Z39" s="57" t="s">
        <v>1398</v>
      </c>
      <c r="AA39" s="178"/>
      <c r="AB39" s="172"/>
      <c r="AC39" s="172"/>
      <c r="AD39" s="172"/>
    </row>
    <row r="40">
      <c r="A40" s="26" t="s">
        <v>1337</v>
      </c>
      <c r="B40" s="26" t="s">
        <v>1396</v>
      </c>
      <c r="C40" s="63" t="s">
        <v>57</v>
      </c>
      <c r="D40" s="26" t="s">
        <v>1400</v>
      </c>
      <c r="E40" s="25">
        <v>2018.0</v>
      </c>
      <c r="F40" s="25">
        <v>2024.0</v>
      </c>
      <c r="G40" s="25">
        <v>0.0</v>
      </c>
      <c r="H40" s="25">
        <v>3.4</v>
      </c>
      <c r="I40" s="50">
        <v>1.0</v>
      </c>
      <c r="J40" s="25">
        <v>3.4</v>
      </c>
      <c r="K40" s="51">
        <v>0.0</v>
      </c>
      <c r="L40" s="51">
        <v>0.0</v>
      </c>
      <c r="M40" s="25">
        <v>4.0</v>
      </c>
      <c r="N40" s="306">
        <v>55.0</v>
      </c>
      <c r="O40" s="306" t="s">
        <v>2132</v>
      </c>
      <c r="P40" s="308">
        <v>340.0</v>
      </c>
      <c r="Q40" s="26" t="s">
        <v>52</v>
      </c>
      <c r="R40" s="25">
        <v>2020.0</v>
      </c>
      <c r="S40" s="25">
        <v>1.3</v>
      </c>
      <c r="T40" s="25">
        <f t="shared" si="1"/>
        <v>442</v>
      </c>
      <c r="U40" s="24">
        <f t="shared" si="2"/>
        <v>130</v>
      </c>
      <c r="V40" s="26">
        <f>VLOOKUP(R40,CPI!$A$2:$E$67,5,0)</f>
        <v>1.17731472</v>
      </c>
      <c r="W40" s="27">
        <f t="shared" si="3"/>
        <v>520.3731062</v>
      </c>
      <c r="X40" s="27">
        <f t="shared" si="4"/>
        <v>153.0509136</v>
      </c>
      <c r="Y40" s="26" t="s">
        <v>60</v>
      </c>
      <c r="Z40" s="53" t="s">
        <v>1398</v>
      </c>
      <c r="AA40" s="178"/>
      <c r="AB40" s="172"/>
      <c r="AC40" s="172"/>
      <c r="AD40" s="172"/>
    </row>
    <row r="41">
      <c r="A41" s="26" t="s">
        <v>1157</v>
      </c>
      <c r="B41" s="26" t="s">
        <v>1158</v>
      </c>
      <c r="C41" s="1" t="s">
        <v>1161</v>
      </c>
      <c r="D41" s="63" t="s">
        <v>1162</v>
      </c>
      <c r="E41" s="25">
        <v>2009.0</v>
      </c>
      <c r="F41" s="25">
        <v>2017.0</v>
      </c>
      <c r="G41" s="25">
        <v>0.0</v>
      </c>
      <c r="H41" s="25">
        <v>13.5</v>
      </c>
      <c r="I41" s="50">
        <v>1.0</v>
      </c>
      <c r="J41" s="25">
        <v>13.5</v>
      </c>
      <c r="K41" s="51">
        <v>0.0</v>
      </c>
      <c r="L41" s="51">
        <v>0.0</v>
      </c>
      <c r="M41" s="25">
        <v>8.0</v>
      </c>
      <c r="N41" s="63">
        <v>135.0</v>
      </c>
      <c r="O41" s="26" t="s">
        <v>59</v>
      </c>
      <c r="P41" s="55">
        <v>1171.0</v>
      </c>
      <c r="Q41" s="26" t="s">
        <v>52</v>
      </c>
      <c r="R41" s="25">
        <v>2013.0</v>
      </c>
      <c r="S41" s="25">
        <v>1.3</v>
      </c>
      <c r="T41" s="25">
        <f t="shared" si="1"/>
        <v>1522.3</v>
      </c>
      <c r="U41" s="24">
        <f t="shared" si="2"/>
        <v>112.762963</v>
      </c>
      <c r="V41" s="26">
        <f>VLOOKUP(R41,CPI!$A$2:$E$67,5,0)</f>
        <v>1.307975292</v>
      </c>
      <c r="W41" s="27">
        <f t="shared" si="3"/>
        <v>1991.130786</v>
      </c>
      <c r="X41" s="27">
        <f t="shared" si="4"/>
        <v>147.4911694</v>
      </c>
      <c r="Y41" s="26" t="s">
        <v>60</v>
      </c>
      <c r="Z41" s="56" t="s">
        <v>1163</v>
      </c>
      <c r="AA41" s="178"/>
      <c r="AB41" s="172"/>
      <c r="AC41" s="172"/>
      <c r="AD41" s="172"/>
    </row>
    <row r="42">
      <c r="A42" s="63" t="s">
        <v>1157</v>
      </c>
      <c r="B42" s="63" t="s">
        <v>1158</v>
      </c>
      <c r="C42" s="1" t="s">
        <v>1161</v>
      </c>
      <c r="D42" s="63" t="s">
        <v>1164</v>
      </c>
      <c r="E42" s="58">
        <v>2014.0</v>
      </c>
      <c r="F42" s="58">
        <v>2023.0</v>
      </c>
      <c r="G42" s="58">
        <v>0.0</v>
      </c>
      <c r="H42" s="58">
        <v>7.0</v>
      </c>
      <c r="I42" s="59">
        <v>1.0</v>
      </c>
      <c r="J42" s="58">
        <v>7.0</v>
      </c>
      <c r="K42" s="58">
        <v>0.0</v>
      </c>
      <c r="L42" s="58">
        <v>0.0</v>
      </c>
      <c r="M42" s="58">
        <v>5.0</v>
      </c>
      <c r="N42" s="63">
        <v>90.0</v>
      </c>
      <c r="O42" s="63" t="s">
        <v>60</v>
      </c>
      <c r="P42" s="55">
        <v>1159.0</v>
      </c>
      <c r="Q42" s="63" t="s">
        <v>52</v>
      </c>
      <c r="R42" s="58">
        <v>2018.0</v>
      </c>
      <c r="S42" s="58">
        <v>1.35</v>
      </c>
      <c r="T42" s="25">
        <f t="shared" si="1"/>
        <v>1564.65</v>
      </c>
      <c r="U42" s="24">
        <f t="shared" si="2"/>
        <v>223.5214286</v>
      </c>
      <c r="V42" s="26">
        <f>VLOOKUP(R42,CPI!$A$2:$E$67,5,0)</f>
        <v>1.21343491</v>
      </c>
      <c r="W42" s="27">
        <f t="shared" si="3"/>
        <v>1898.600932</v>
      </c>
      <c r="X42" s="27">
        <f t="shared" si="4"/>
        <v>271.2287046</v>
      </c>
      <c r="Y42" s="63" t="s">
        <v>60</v>
      </c>
      <c r="Z42" s="56" t="s">
        <v>1163</v>
      </c>
      <c r="AA42" s="178"/>
      <c r="AB42" s="172"/>
      <c r="AC42" s="172"/>
      <c r="AD42" s="172"/>
    </row>
    <row r="43">
      <c r="A43" s="26" t="s">
        <v>1157</v>
      </c>
      <c r="B43" s="26" t="s">
        <v>1158</v>
      </c>
      <c r="C43" s="26" t="s">
        <v>1159</v>
      </c>
      <c r="D43" s="26" t="s">
        <v>1159</v>
      </c>
      <c r="E43" s="25">
        <v>2009.0</v>
      </c>
      <c r="F43" s="25">
        <v>2015.0</v>
      </c>
      <c r="G43" s="25">
        <v>1.0</v>
      </c>
      <c r="H43" s="25">
        <v>18.0</v>
      </c>
      <c r="I43" s="50">
        <v>0.44</v>
      </c>
      <c r="J43" s="25">
        <v>8.0</v>
      </c>
      <c r="K43" s="51">
        <v>0.0</v>
      </c>
      <c r="L43" s="51">
        <v>0.0</v>
      </c>
      <c r="M43" s="25">
        <v>5.0</v>
      </c>
      <c r="N43" s="26"/>
      <c r="O43" s="26" t="s">
        <v>60</v>
      </c>
      <c r="P43" s="52">
        <v>773.8</v>
      </c>
      <c r="Q43" s="26" t="s">
        <v>52</v>
      </c>
      <c r="R43" s="25">
        <v>2012.0</v>
      </c>
      <c r="S43" s="25">
        <v>1.3</v>
      </c>
      <c r="T43" s="25">
        <f t="shared" si="1"/>
        <v>1005.94</v>
      </c>
      <c r="U43" s="24">
        <f t="shared" si="2"/>
        <v>55.88555556</v>
      </c>
      <c r="V43" s="26">
        <f>VLOOKUP(R43,CPI!$A$2:$E$67,5,0)</f>
        <v>1.327133984</v>
      </c>
      <c r="W43" s="27">
        <f t="shared" si="3"/>
        <v>1335.01716</v>
      </c>
      <c r="X43" s="27">
        <f t="shared" si="4"/>
        <v>74.16762001</v>
      </c>
      <c r="Y43" s="26" t="s">
        <v>60</v>
      </c>
      <c r="Z43" s="53" t="s">
        <v>1160</v>
      </c>
      <c r="AA43" s="178"/>
      <c r="AB43" s="172"/>
      <c r="AC43" s="172"/>
      <c r="AD43" s="172"/>
    </row>
    <row r="44">
      <c r="A44" s="26" t="s">
        <v>1714</v>
      </c>
      <c r="B44" s="26" t="s">
        <v>1722</v>
      </c>
      <c r="C44" s="26" t="s">
        <v>1727</v>
      </c>
      <c r="D44" s="26" t="s">
        <v>1727</v>
      </c>
      <c r="E44" s="25">
        <v>2020.0</v>
      </c>
      <c r="F44" s="25">
        <v>2030.0</v>
      </c>
      <c r="G44" s="25">
        <v>0.0</v>
      </c>
      <c r="H44" s="25">
        <v>4.1</v>
      </c>
      <c r="I44" s="50">
        <v>1.0</v>
      </c>
      <c r="J44" s="25">
        <v>4.1</v>
      </c>
      <c r="K44" s="51">
        <v>0.0</v>
      </c>
      <c r="L44" s="51">
        <v>0.0</v>
      </c>
      <c r="M44" s="25">
        <v>2.0</v>
      </c>
      <c r="N44" s="63">
        <v>140.0</v>
      </c>
      <c r="O44" s="26" t="s">
        <v>60</v>
      </c>
      <c r="P44" s="55">
        <v>5643.0</v>
      </c>
      <c r="Q44" s="26" t="s">
        <v>1717</v>
      </c>
      <c r="R44" s="58">
        <v>2016.0</v>
      </c>
      <c r="S44" s="58">
        <v>0.113</v>
      </c>
      <c r="T44" s="25">
        <f t="shared" si="1"/>
        <v>637.659</v>
      </c>
      <c r="U44" s="24">
        <f t="shared" si="2"/>
        <v>155.5265854</v>
      </c>
      <c r="V44" s="26">
        <f>VLOOKUP(R44,CPI!$A$2:$E$67,5,0)</f>
        <v>1.269554638</v>
      </c>
      <c r="W44" s="27">
        <f t="shared" si="3"/>
        <v>809.5429409</v>
      </c>
      <c r="X44" s="27">
        <f t="shared" si="4"/>
        <v>197.4494978</v>
      </c>
      <c r="Y44" s="26" t="s">
        <v>60</v>
      </c>
      <c r="Z44" s="53" t="s">
        <v>1726</v>
      </c>
      <c r="AA44" s="178"/>
      <c r="AB44" s="172"/>
      <c r="AC44" s="172"/>
      <c r="AD44" s="172"/>
    </row>
    <row r="45">
      <c r="A45" s="26" t="s">
        <v>1714</v>
      </c>
      <c r="B45" s="26" t="s">
        <v>1722</v>
      </c>
      <c r="C45" s="26" t="s">
        <v>1728</v>
      </c>
      <c r="D45" s="26" t="s">
        <v>1728</v>
      </c>
      <c r="E45" s="25">
        <v>2020.0</v>
      </c>
      <c r="F45" s="25">
        <v>2030.0</v>
      </c>
      <c r="G45" s="25">
        <v>0.0</v>
      </c>
      <c r="H45" s="25">
        <v>11.5</v>
      </c>
      <c r="I45" s="50">
        <v>1.0</v>
      </c>
      <c r="J45" s="25">
        <v>11.5</v>
      </c>
      <c r="K45" s="51">
        <v>0.0</v>
      </c>
      <c r="L45" s="51">
        <v>0.0</v>
      </c>
      <c r="M45" s="25">
        <v>6.0</v>
      </c>
      <c r="N45" s="63">
        <v>140.0</v>
      </c>
      <c r="O45" s="26" t="s">
        <v>60</v>
      </c>
      <c r="P45" s="55">
        <v>20884.0</v>
      </c>
      <c r="Q45" s="26" t="s">
        <v>1717</v>
      </c>
      <c r="R45" s="58">
        <v>2016.0</v>
      </c>
      <c r="S45" s="58">
        <v>0.113</v>
      </c>
      <c r="T45" s="25">
        <f t="shared" si="1"/>
        <v>2359.892</v>
      </c>
      <c r="U45" s="24">
        <f t="shared" si="2"/>
        <v>205.208</v>
      </c>
      <c r="V45" s="26">
        <f>VLOOKUP(R45,CPI!$A$2:$E$67,5,0)</f>
        <v>1.269554638</v>
      </c>
      <c r="W45" s="27">
        <f t="shared" si="3"/>
        <v>2996.011834</v>
      </c>
      <c r="X45" s="27">
        <f t="shared" si="4"/>
        <v>260.5227682</v>
      </c>
      <c r="Y45" s="26" t="s">
        <v>60</v>
      </c>
      <c r="Z45" s="53" t="s">
        <v>1726</v>
      </c>
      <c r="AA45" s="178"/>
      <c r="AB45" s="172"/>
      <c r="AC45" s="172"/>
      <c r="AD45" s="172"/>
    </row>
    <row r="46">
      <c r="A46" s="26" t="s">
        <v>1714</v>
      </c>
      <c r="B46" s="26" t="s">
        <v>1722</v>
      </c>
      <c r="C46" s="26" t="s">
        <v>1725</v>
      </c>
      <c r="D46" s="26" t="s">
        <v>1725</v>
      </c>
      <c r="E46" s="25">
        <v>2020.0</v>
      </c>
      <c r="F46" s="25">
        <v>2026.0</v>
      </c>
      <c r="G46" s="25">
        <v>0.0</v>
      </c>
      <c r="H46" s="25">
        <v>3.3</v>
      </c>
      <c r="I46" s="50">
        <v>1.0</v>
      </c>
      <c r="J46" s="25">
        <v>3.3</v>
      </c>
      <c r="K46" s="51">
        <v>0.0</v>
      </c>
      <c r="L46" s="51">
        <v>0.0</v>
      </c>
      <c r="M46" s="25">
        <v>2.0</v>
      </c>
      <c r="N46" s="63">
        <v>140.0</v>
      </c>
      <c r="O46" s="26" t="s">
        <v>60</v>
      </c>
      <c r="P46" s="55">
        <v>5286.0</v>
      </c>
      <c r="Q46" s="26" t="s">
        <v>1717</v>
      </c>
      <c r="R46" s="58">
        <v>2016.0</v>
      </c>
      <c r="S46" s="58">
        <v>0.113</v>
      </c>
      <c r="T46" s="25">
        <f t="shared" si="1"/>
        <v>597.318</v>
      </c>
      <c r="U46" s="24">
        <f t="shared" si="2"/>
        <v>181.0054545</v>
      </c>
      <c r="V46" s="26">
        <f>VLOOKUP(R46,CPI!$A$2:$E$67,5,0)</f>
        <v>1.269554638</v>
      </c>
      <c r="W46" s="27">
        <f t="shared" si="3"/>
        <v>758.3278373</v>
      </c>
      <c r="X46" s="27">
        <f t="shared" si="4"/>
        <v>229.7963143</v>
      </c>
      <c r="Y46" s="26" t="s">
        <v>60</v>
      </c>
      <c r="Z46" s="53" t="s">
        <v>1726</v>
      </c>
      <c r="AA46" s="178"/>
      <c r="AB46" s="172"/>
      <c r="AC46" s="172"/>
      <c r="AD46" s="172"/>
    </row>
    <row r="47">
      <c r="A47" s="26" t="s">
        <v>1714</v>
      </c>
      <c r="B47" s="26" t="s">
        <v>1722</v>
      </c>
      <c r="C47" s="26" t="s">
        <v>1723</v>
      </c>
      <c r="D47" s="26" t="s">
        <v>1723</v>
      </c>
      <c r="E47" s="25">
        <v>2007.0</v>
      </c>
      <c r="F47" s="25">
        <v>2017.0</v>
      </c>
      <c r="G47" s="25">
        <v>1.0</v>
      </c>
      <c r="H47" s="25">
        <v>7.4</v>
      </c>
      <c r="I47" s="50">
        <v>0.81</v>
      </c>
      <c r="J47" s="25">
        <v>6.0</v>
      </c>
      <c r="K47" s="51">
        <v>0.0</v>
      </c>
      <c r="L47" s="51">
        <v>0.0</v>
      </c>
      <c r="M47" s="25">
        <v>2.0</v>
      </c>
      <c r="N47" s="63">
        <v>200.0</v>
      </c>
      <c r="O47" s="26" t="s">
        <v>60</v>
      </c>
      <c r="P47" s="52">
        <v>16800.0</v>
      </c>
      <c r="Q47" s="26" t="s">
        <v>1717</v>
      </c>
      <c r="R47" s="25">
        <v>2007.0</v>
      </c>
      <c r="S47" s="25">
        <v>0.1125</v>
      </c>
      <c r="T47" s="25">
        <f t="shared" si="1"/>
        <v>1890</v>
      </c>
      <c r="U47" s="24">
        <f t="shared" si="2"/>
        <v>255.4054054</v>
      </c>
      <c r="V47" s="26">
        <f>VLOOKUP(R47,CPI!$A$2:$E$67,5,0)</f>
        <v>1.469562366</v>
      </c>
      <c r="W47" s="27">
        <f t="shared" si="3"/>
        <v>2777.472871</v>
      </c>
      <c r="X47" s="27">
        <f t="shared" si="4"/>
        <v>375.3341717</v>
      </c>
      <c r="Y47" s="26" t="s">
        <v>60</v>
      </c>
      <c r="Z47" s="53" t="s">
        <v>1724</v>
      </c>
      <c r="AA47" s="178"/>
      <c r="AB47" s="172"/>
      <c r="AC47" s="172"/>
      <c r="AD47" s="172"/>
    </row>
    <row r="48">
      <c r="A48" s="26" t="s">
        <v>1714</v>
      </c>
      <c r="B48" s="26" t="s">
        <v>1719</v>
      </c>
      <c r="C48" s="26" t="s">
        <v>1720</v>
      </c>
      <c r="D48" s="26" t="s">
        <v>1720</v>
      </c>
      <c r="E48" s="25">
        <v>2005.0</v>
      </c>
      <c r="F48" s="25">
        <v>2010.0</v>
      </c>
      <c r="G48" s="25">
        <v>1.0</v>
      </c>
      <c r="H48" s="25">
        <v>17.0</v>
      </c>
      <c r="I48" s="50">
        <v>0.35</v>
      </c>
      <c r="J48" s="25">
        <v>6.0</v>
      </c>
      <c r="K48" s="51">
        <v>0.0</v>
      </c>
      <c r="L48" s="51">
        <v>0.0</v>
      </c>
      <c r="M48" s="25">
        <v>3.0</v>
      </c>
      <c r="N48" s="26"/>
      <c r="O48" s="26" t="s">
        <v>36</v>
      </c>
      <c r="P48" s="52">
        <v>8450.0</v>
      </c>
      <c r="Q48" s="26" t="s">
        <v>1717</v>
      </c>
      <c r="R48" s="25">
        <v>2001.0</v>
      </c>
      <c r="S48" s="25">
        <v>0.106</v>
      </c>
      <c r="T48" s="25">
        <f t="shared" si="1"/>
        <v>895.7</v>
      </c>
      <c r="U48" s="24">
        <f t="shared" si="2"/>
        <v>52.68823529</v>
      </c>
      <c r="V48" s="26">
        <f>VLOOKUP(R48,CPI!$A$2:$E$67,5,0)</f>
        <v>1.720508187</v>
      </c>
      <c r="W48" s="27">
        <f t="shared" si="3"/>
        <v>1541.059184</v>
      </c>
      <c r="X48" s="27">
        <f t="shared" si="4"/>
        <v>90.65054021</v>
      </c>
      <c r="Y48" s="26" t="s">
        <v>36</v>
      </c>
      <c r="Z48" s="53" t="s">
        <v>1721</v>
      </c>
      <c r="AA48" s="178"/>
      <c r="AB48" s="172"/>
      <c r="AC48" s="172"/>
      <c r="AD48" s="172"/>
    </row>
    <row r="49">
      <c r="A49" s="26" t="s">
        <v>1861</v>
      </c>
      <c r="B49" s="26" t="s">
        <v>1862</v>
      </c>
      <c r="C49" s="16" t="s">
        <v>1869</v>
      </c>
      <c r="D49" s="26" t="s">
        <v>1870</v>
      </c>
      <c r="E49" s="25">
        <v>2015.0</v>
      </c>
      <c r="F49" s="25">
        <v>2021.0</v>
      </c>
      <c r="G49" s="25">
        <v>0.0</v>
      </c>
      <c r="H49" s="25">
        <v>3.2</v>
      </c>
      <c r="I49" s="50">
        <v>1.0</v>
      </c>
      <c r="J49" s="25">
        <v>3.2</v>
      </c>
      <c r="K49" s="51">
        <v>0.0</v>
      </c>
      <c r="L49" s="51">
        <v>0.0</v>
      </c>
      <c r="M49" s="25">
        <v>2.0</v>
      </c>
      <c r="N49" s="26"/>
      <c r="O49" s="26" t="s">
        <v>42</v>
      </c>
      <c r="P49" s="52">
        <v>1200.0</v>
      </c>
      <c r="Q49" s="26" t="s">
        <v>1865</v>
      </c>
      <c r="R49" s="25">
        <v>2017.0</v>
      </c>
      <c r="S49" s="25">
        <v>1.47</v>
      </c>
      <c r="T49" s="25">
        <f t="shared" si="1"/>
        <v>1764</v>
      </c>
      <c r="U49" s="24">
        <f t="shared" si="2"/>
        <v>551.25</v>
      </c>
      <c r="V49" s="26">
        <f>VLOOKUP(R49,CPI!$A$2:$E$67,5,0)</f>
        <v>1.243072781</v>
      </c>
      <c r="W49" s="27">
        <f t="shared" si="3"/>
        <v>2192.780385</v>
      </c>
      <c r="X49" s="27">
        <f t="shared" si="4"/>
        <v>685.2438703</v>
      </c>
      <c r="Y49" s="26" t="s">
        <v>42</v>
      </c>
      <c r="Z49" s="57" t="s">
        <v>1871</v>
      </c>
      <c r="AA49" s="179"/>
      <c r="AB49" s="60"/>
      <c r="AC49" s="60"/>
      <c r="AD49" s="60"/>
    </row>
    <row r="50">
      <c r="A50" s="26" t="s">
        <v>1489</v>
      </c>
      <c r="B50" s="26" t="s">
        <v>1493</v>
      </c>
      <c r="C50" s="26" t="s">
        <v>287</v>
      </c>
      <c r="D50" s="26" t="s">
        <v>287</v>
      </c>
      <c r="E50" s="25">
        <v>2008.0</v>
      </c>
      <c r="F50" s="25">
        <v>2012.0</v>
      </c>
      <c r="G50" s="25">
        <v>0.0</v>
      </c>
      <c r="H50" s="25">
        <v>24.5</v>
      </c>
      <c r="I50" s="50">
        <v>0.43</v>
      </c>
      <c r="J50" s="25">
        <v>10.5</v>
      </c>
      <c r="K50" s="51">
        <v>12.57</v>
      </c>
      <c r="L50" s="51">
        <v>1.395</v>
      </c>
      <c r="M50" s="25">
        <v>20.0</v>
      </c>
      <c r="N50" s="26"/>
      <c r="O50" s="26" t="s">
        <v>74</v>
      </c>
      <c r="P50" s="52">
        <v>47906.0</v>
      </c>
      <c r="Q50" s="26" t="s">
        <v>1491</v>
      </c>
      <c r="R50" s="25">
        <v>2010.0</v>
      </c>
      <c r="S50" s="25">
        <v>0.13</v>
      </c>
      <c r="T50" s="25">
        <f t="shared" si="1"/>
        <v>6227.78</v>
      </c>
      <c r="U50" s="24">
        <f t="shared" si="2"/>
        <v>254.195102</v>
      </c>
      <c r="V50" s="26">
        <f>VLOOKUP(R50,CPI!$A$2:$E$67,5,0)</f>
        <v>1.397356642</v>
      </c>
      <c r="W50" s="27">
        <f t="shared" si="3"/>
        <v>8702.42975</v>
      </c>
      <c r="X50" s="27">
        <f t="shared" si="4"/>
        <v>355.2012143</v>
      </c>
      <c r="Y50" s="26" t="s">
        <v>42</v>
      </c>
      <c r="Z50" s="53" t="s">
        <v>1494</v>
      </c>
      <c r="AA50" s="178"/>
      <c r="AB50" s="172"/>
      <c r="AC50" s="172"/>
      <c r="AD50" s="172"/>
    </row>
    <row r="51">
      <c r="A51" s="26" t="s">
        <v>1812</v>
      </c>
      <c r="B51" s="26" t="s">
        <v>1824</v>
      </c>
      <c r="C51" s="16" t="s">
        <v>1843</v>
      </c>
      <c r="D51" s="26" t="s">
        <v>1844</v>
      </c>
      <c r="E51" s="25">
        <v>2021.0</v>
      </c>
      <c r="F51" s="25">
        <v>2028.0</v>
      </c>
      <c r="G51" s="25">
        <v>0.0</v>
      </c>
      <c r="H51" s="25">
        <v>13.3</v>
      </c>
      <c r="I51" s="50">
        <f>J51/H51</f>
        <v>0.2105263158</v>
      </c>
      <c r="J51" s="25">
        <v>2.8</v>
      </c>
      <c r="K51" s="51">
        <v>0.0</v>
      </c>
      <c r="L51" s="51">
        <v>0.0</v>
      </c>
      <c r="M51" s="25">
        <v>13.0</v>
      </c>
      <c r="N51" s="26"/>
      <c r="O51" s="26" t="s">
        <v>42</v>
      </c>
      <c r="P51" s="52">
        <v>55530.0</v>
      </c>
      <c r="Q51" s="26" t="s">
        <v>1815</v>
      </c>
      <c r="R51" s="25">
        <v>2018.0</v>
      </c>
      <c r="S51" s="25">
        <v>0.068</v>
      </c>
      <c r="T51" s="25">
        <f t="shared" si="1"/>
        <v>3776.04</v>
      </c>
      <c r="U51" s="24">
        <f t="shared" si="2"/>
        <v>283.912782</v>
      </c>
      <c r="V51" s="26">
        <f>VLOOKUP(R51,CPI!$A$2:$E$67,5,0)</f>
        <v>1.21343491</v>
      </c>
      <c r="W51" s="27">
        <f t="shared" si="3"/>
        <v>4581.978758</v>
      </c>
      <c r="X51" s="27">
        <f t="shared" si="4"/>
        <v>344.5096811</v>
      </c>
      <c r="Y51" s="26" t="s">
        <v>42</v>
      </c>
      <c r="Z51" s="57" t="s">
        <v>1845</v>
      </c>
      <c r="AA51" s="178"/>
      <c r="AB51" s="172"/>
      <c r="AC51" s="172"/>
      <c r="AD51" s="172"/>
    </row>
    <row r="52">
      <c r="A52" s="26" t="s">
        <v>1337</v>
      </c>
      <c r="B52" s="26" t="s">
        <v>1355</v>
      </c>
      <c r="C52" s="1" t="s">
        <v>1364</v>
      </c>
      <c r="D52" s="63" t="s">
        <v>1365</v>
      </c>
      <c r="E52" s="25">
        <v>2007.0</v>
      </c>
      <c r="F52" s="25">
        <v>2013.0</v>
      </c>
      <c r="G52" s="25">
        <v>0.0</v>
      </c>
      <c r="H52" s="25">
        <v>6.1</v>
      </c>
      <c r="I52" s="50">
        <v>1.0</v>
      </c>
      <c r="J52" s="25">
        <v>6.1</v>
      </c>
      <c r="K52" s="51">
        <v>0.0</v>
      </c>
      <c r="L52" s="51">
        <v>0.0</v>
      </c>
      <c r="M52" s="25">
        <v>9.0</v>
      </c>
      <c r="N52" s="306">
        <v>50.0</v>
      </c>
      <c r="O52" s="306" t="s">
        <v>2132</v>
      </c>
      <c r="P52" s="308">
        <v>508.0</v>
      </c>
      <c r="Q52" s="26" t="s">
        <v>52</v>
      </c>
      <c r="R52" s="25">
        <v>2010.0</v>
      </c>
      <c r="S52" s="25">
        <v>1.3</v>
      </c>
      <c r="T52" s="25">
        <f t="shared" si="1"/>
        <v>660.4</v>
      </c>
      <c r="U52" s="24">
        <f t="shared" si="2"/>
        <v>108.2622951</v>
      </c>
      <c r="V52" s="26">
        <f>VLOOKUP(R52,CPI!$A$2:$E$67,5,0)</f>
        <v>1.397356642</v>
      </c>
      <c r="W52" s="27">
        <f t="shared" si="3"/>
        <v>922.8143266</v>
      </c>
      <c r="X52" s="27">
        <f t="shared" si="4"/>
        <v>151.2810371</v>
      </c>
      <c r="Y52" s="26" t="s">
        <v>36</v>
      </c>
      <c r="Z52" s="53" t="s">
        <v>1366</v>
      </c>
      <c r="AA52" s="178"/>
      <c r="AB52" s="172"/>
      <c r="AC52" s="172"/>
      <c r="AD52" s="172"/>
    </row>
    <row r="53">
      <c r="A53" s="26" t="s">
        <v>1337</v>
      </c>
      <c r="B53" s="26" t="s">
        <v>1355</v>
      </c>
      <c r="C53" s="1" t="s">
        <v>1364</v>
      </c>
      <c r="D53" s="63" t="s">
        <v>1367</v>
      </c>
      <c r="E53" s="25">
        <v>2010.0</v>
      </c>
      <c r="F53" s="25">
        <v>2015.0</v>
      </c>
      <c r="G53" s="25">
        <v>0.0</v>
      </c>
      <c r="H53" s="25">
        <v>6.5</v>
      </c>
      <c r="I53" s="50">
        <v>1.0</v>
      </c>
      <c r="J53" s="25">
        <v>6.5</v>
      </c>
      <c r="K53" s="51">
        <v>0.0</v>
      </c>
      <c r="L53" s="51">
        <v>0.0</v>
      </c>
      <c r="M53" s="25">
        <v>10.0</v>
      </c>
      <c r="N53" s="306">
        <v>50.0</v>
      </c>
      <c r="O53" s="306" t="s">
        <v>2132</v>
      </c>
      <c r="P53" s="308">
        <v>751.0</v>
      </c>
      <c r="Q53" s="26" t="s">
        <v>52</v>
      </c>
      <c r="R53" s="25">
        <v>2012.0</v>
      </c>
      <c r="S53" s="25">
        <v>1.3</v>
      </c>
      <c r="T53" s="25">
        <f t="shared" si="1"/>
        <v>976.3</v>
      </c>
      <c r="U53" s="24">
        <f t="shared" si="2"/>
        <v>150.2</v>
      </c>
      <c r="V53" s="26">
        <f>VLOOKUP(R53,CPI!$A$2:$E$67,5,0)</f>
        <v>1.327133984</v>
      </c>
      <c r="W53" s="27">
        <f t="shared" si="3"/>
        <v>1295.680909</v>
      </c>
      <c r="X53" s="27">
        <f t="shared" si="4"/>
        <v>199.3355244</v>
      </c>
      <c r="Y53" s="26" t="s">
        <v>60</v>
      </c>
      <c r="Z53" s="57" t="s">
        <v>1368</v>
      </c>
      <c r="AA53" s="178"/>
      <c r="AB53" s="172"/>
      <c r="AC53" s="172"/>
      <c r="AD53" s="172"/>
    </row>
    <row r="54">
      <c r="A54" s="26" t="s">
        <v>1337</v>
      </c>
      <c r="B54" s="26" t="s">
        <v>1355</v>
      </c>
      <c r="C54" s="26" t="s">
        <v>110</v>
      </c>
      <c r="D54" s="26" t="s">
        <v>110</v>
      </c>
      <c r="E54" s="25">
        <v>2015.0</v>
      </c>
      <c r="F54" s="58">
        <v>2024.0</v>
      </c>
      <c r="G54" s="25">
        <v>0.0</v>
      </c>
      <c r="H54" s="25">
        <v>15.2</v>
      </c>
      <c r="I54" s="50">
        <v>1.0</v>
      </c>
      <c r="J54" s="25">
        <v>15.2</v>
      </c>
      <c r="K54" s="51">
        <v>0.0</v>
      </c>
      <c r="L54" s="51">
        <v>0.0</v>
      </c>
      <c r="M54" s="25">
        <v>21.0</v>
      </c>
      <c r="N54" s="306">
        <v>50.0</v>
      </c>
      <c r="O54" s="26" t="s">
        <v>74</v>
      </c>
      <c r="P54" s="52">
        <v>1696.7</v>
      </c>
      <c r="Q54" s="26" t="s">
        <v>52</v>
      </c>
      <c r="R54" s="25">
        <v>2019.0</v>
      </c>
      <c r="S54" s="25">
        <v>1.3</v>
      </c>
      <c r="T54" s="25">
        <f t="shared" si="1"/>
        <v>2205.71</v>
      </c>
      <c r="U54" s="24">
        <f t="shared" si="2"/>
        <v>145.1125</v>
      </c>
      <c r="V54" s="26">
        <f>VLOOKUP(R54,CPI!$A$2:$E$67,5,0)</f>
        <v>1.191839066</v>
      </c>
      <c r="W54" s="27">
        <f t="shared" si="3"/>
        <v>2628.851345</v>
      </c>
      <c r="X54" s="27">
        <f t="shared" si="4"/>
        <v>172.9507464</v>
      </c>
      <c r="Y54" s="26" t="s">
        <v>60</v>
      </c>
      <c r="Z54" s="57" t="s">
        <v>1371</v>
      </c>
      <c r="AA54" s="178"/>
      <c r="AB54" s="172"/>
      <c r="AC54" s="172"/>
      <c r="AD54" s="172"/>
    </row>
    <row r="55">
      <c r="A55" s="26" t="s">
        <v>1165</v>
      </c>
      <c r="B55" s="26" t="s">
        <v>1174</v>
      </c>
      <c r="C55" s="26" t="s">
        <v>1195</v>
      </c>
      <c r="D55" s="26" t="s">
        <v>1195</v>
      </c>
      <c r="E55" s="25">
        <v>2017.0</v>
      </c>
      <c r="F55" s="25">
        <v>2030.0</v>
      </c>
      <c r="G55" s="25">
        <v>0.0</v>
      </c>
      <c r="H55" s="25">
        <v>200.0</v>
      </c>
      <c r="I55" s="50">
        <v>0.8</v>
      </c>
      <c r="J55" s="25">
        <v>160.0</v>
      </c>
      <c r="K55" s="51">
        <v>0.0</v>
      </c>
      <c r="L55" s="51">
        <v>0.0</v>
      </c>
      <c r="M55" s="25">
        <v>68.0</v>
      </c>
      <c r="N55" s="26"/>
      <c r="O55" s="26" t="s">
        <v>74</v>
      </c>
      <c r="P55" s="55">
        <v>36100.0</v>
      </c>
      <c r="Q55" s="26" t="s">
        <v>52</v>
      </c>
      <c r="R55" s="25">
        <v>2012.0</v>
      </c>
      <c r="S55" s="25">
        <v>1.3</v>
      </c>
      <c r="T55" s="25">
        <f t="shared" si="1"/>
        <v>46930</v>
      </c>
      <c r="U55" s="24">
        <f t="shared" si="2"/>
        <v>234.65</v>
      </c>
      <c r="V55" s="26">
        <f>VLOOKUP(R55,CPI!$A$2:$E$67,5,0)</f>
        <v>1.327133984</v>
      </c>
      <c r="W55" s="27">
        <f t="shared" si="3"/>
        <v>62282.39788</v>
      </c>
      <c r="X55" s="27">
        <f t="shared" si="4"/>
        <v>311.4119894</v>
      </c>
      <c r="Y55" s="26" t="s">
        <v>60</v>
      </c>
      <c r="Z55" s="88" t="s">
        <v>1196</v>
      </c>
      <c r="AA55" s="178"/>
      <c r="AB55" s="172"/>
      <c r="AC55" s="172"/>
      <c r="AD55" s="172"/>
    </row>
    <row r="56">
      <c r="A56" s="26" t="s">
        <v>1337</v>
      </c>
      <c r="B56" s="26" t="s">
        <v>1355</v>
      </c>
      <c r="C56" s="16" t="s">
        <v>1356</v>
      </c>
      <c r="D56" s="306" t="s">
        <v>1357</v>
      </c>
      <c r="E56" s="25">
        <v>1984.0</v>
      </c>
      <c r="F56" s="302">
        <v>2004.0</v>
      </c>
      <c r="G56" s="25">
        <v>1.0</v>
      </c>
      <c r="H56" s="302">
        <v>7.8</v>
      </c>
      <c r="I56" s="307">
        <v>0.9</v>
      </c>
      <c r="J56" s="25">
        <v>7.8</v>
      </c>
      <c r="K56" s="51">
        <v>0.02</v>
      </c>
      <c r="L56" s="51">
        <v>5.18</v>
      </c>
      <c r="M56" s="25">
        <v>10.0</v>
      </c>
      <c r="N56" s="63">
        <v>250.0</v>
      </c>
      <c r="O56" s="26" t="s">
        <v>74</v>
      </c>
      <c r="P56" s="52">
        <v>915.0</v>
      </c>
      <c r="Q56" s="26" t="s">
        <v>52</v>
      </c>
      <c r="R56" s="25">
        <v>1996.0</v>
      </c>
      <c r="S56" s="25">
        <v>1.3</v>
      </c>
      <c r="T56" s="25">
        <f t="shared" si="1"/>
        <v>1189.5</v>
      </c>
      <c r="U56" s="24">
        <f t="shared" si="2"/>
        <v>152.5</v>
      </c>
      <c r="V56" s="26">
        <f>VLOOKUP(R56,CPI!$A$2:$E$67,5,0)</f>
        <v>1.942014022</v>
      </c>
      <c r="W56" s="27">
        <f t="shared" si="3"/>
        <v>2310.025679</v>
      </c>
      <c r="X56" s="27">
        <f t="shared" si="4"/>
        <v>296.1571383</v>
      </c>
      <c r="Y56" s="26" t="s">
        <v>42</v>
      </c>
      <c r="Z56" s="53" t="s">
        <v>1358</v>
      </c>
      <c r="AA56" s="178"/>
      <c r="AB56" s="172"/>
      <c r="AC56" s="172"/>
      <c r="AD56" s="172"/>
    </row>
    <row r="57">
      <c r="A57" s="26" t="s">
        <v>1937</v>
      </c>
      <c r="B57" s="26" t="s">
        <v>1938</v>
      </c>
      <c r="C57" s="26" t="s">
        <v>87</v>
      </c>
      <c r="D57" s="26" t="s">
        <v>87</v>
      </c>
      <c r="E57" s="25">
        <v>2010.0</v>
      </c>
      <c r="F57" s="25">
        <v>2013.0</v>
      </c>
      <c r="G57" s="25">
        <v>0.0</v>
      </c>
      <c r="H57" s="25">
        <v>12.5</v>
      </c>
      <c r="I57" s="50">
        <v>0.32</v>
      </c>
      <c r="J57" s="25">
        <v>4.0</v>
      </c>
      <c r="K57" s="51">
        <v>8.5</v>
      </c>
      <c r="L57" s="51">
        <v>0.0</v>
      </c>
      <c r="M57" s="25">
        <v>12.0</v>
      </c>
      <c r="N57" s="26"/>
      <c r="O57" s="26" t="s">
        <v>42</v>
      </c>
      <c r="P57" s="52">
        <v>3.6E7</v>
      </c>
      <c r="Q57" s="26" t="s">
        <v>1939</v>
      </c>
      <c r="R57" s="25">
        <v>2016.0</v>
      </c>
      <c r="S57" s="25">
        <v>1.26E-4</v>
      </c>
      <c r="T57" s="25">
        <f t="shared" si="1"/>
        <v>4536</v>
      </c>
      <c r="U57" s="24">
        <f t="shared" si="2"/>
        <v>362.88</v>
      </c>
      <c r="V57" s="26">
        <f>VLOOKUP(R57,CPI!$A$2:$E$67,5,0)</f>
        <v>1.269554638</v>
      </c>
      <c r="W57" s="27">
        <f t="shared" si="3"/>
        <v>5758.699838</v>
      </c>
      <c r="X57" s="27">
        <f t="shared" si="4"/>
        <v>460.695987</v>
      </c>
      <c r="Y57" s="26" t="s">
        <v>42</v>
      </c>
      <c r="Z57" s="57" t="s">
        <v>2133</v>
      </c>
      <c r="AA57" s="179"/>
      <c r="AB57" s="60"/>
      <c r="AC57" s="60"/>
      <c r="AD57" s="60"/>
    </row>
    <row r="58">
      <c r="A58" s="26" t="s">
        <v>1937</v>
      </c>
      <c r="B58" s="26" t="s">
        <v>1938</v>
      </c>
      <c r="C58" s="26" t="s">
        <v>54</v>
      </c>
      <c r="D58" s="26" t="s">
        <v>54</v>
      </c>
      <c r="E58" s="25">
        <v>2011.0</v>
      </c>
      <c r="F58" s="25">
        <v>2020.0</v>
      </c>
      <c r="G58" s="25">
        <v>0.0</v>
      </c>
      <c r="H58" s="25">
        <v>11.5</v>
      </c>
      <c r="I58" s="50">
        <v>0.74</v>
      </c>
      <c r="J58" s="25">
        <v>8.5</v>
      </c>
      <c r="K58" s="51">
        <v>2.99</v>
      </c>
      <c r="L58" s="51">
        <v>0.0</v>
      </c>
      <c r="M58" s="25">
        <v>12.0</v>
      </c>
      <c r="N58" s="26"/>
      <c r="O58" s="26" t="s">
        <v>42</v>
      </c>
      <c r="P58" s="52">
        <v>1.9555E7</v>
      </c>
      <c r="Q58" s="26" t="s">
        <v>1939</v>
      </c>
      <c r="R58" s="25">
        <v>2015.0</v>
      </c>
      <c r="S58" s="25">
        <v>1.26E-4</v>
      </c>
      <c r="T58" s="25">
        <f t="shared" si="1"/>
        <v>2463.93</v>
      </c>
      <c r="U58" s="24">
        <f t="shared" si="2"/>
        <v>214.2547826</v>
      </c>
      <c r="V58" s="26">
        <f>VLOOKUP(R58,CPI!$A$2:$E$67,5,0)</f>
        <v>1.285570233</v>
      </c>
      <c r="W58" s="27">
        <f t="shared" si="3"/>
        <v>3167.555065</v>
      </c>
      <c r="X58" s="27">
        <f t="shared" si="4"/>
        <v>275.4395709</v>
      </c>
      <c r="Y58" s="26" t="s">
        <v>42</v>
      </c>
      <c r="Z58" s="57" t="s">
        <v>1940</v>
      </c>
      <c r="AA58" s="179"/>
      <c r="AB58" s="60"/>
      <c r="AC58" s="60"/>
      <c r="AD58" s="60"/>
    </row>
    <row r="59">
      <c r="A59" s="26" t="s">
        <v>1443</v>
      </c>
      <c r="B59" s="26" t="s">
        <v>1451</v>
      </c>
      <c r="C59" s="1" t="s">
        <v>1453</v>
      </c>
      <c r="D59" s="63" t="s">
        <v>1454</v>
      </c>
      <c r="E59" s="25">
        <v>2005.0</v>
      </c>
      <c r="F59" s="25">
        <v>2011.0</v>
      </c>
      <c r="G59" s="25">
        <v>0.0</v>
      </c>
      <c r="H59" s="25">
        <v>17.3</v>
      </c>
      <c r="I59" s="50">
        <v>1.0</v>
      </c>
      <c r="J59" s="25">
        <v>17.3</v>
      </c>
      <c r="K59" s="51">
        <v>0.0</v>
      </c>
      <c r="L59" s="51">
        <v>0.0</v>
      </c>
      <c r="M59" s="25">
        <v>6.0</v>
      </c>
      <c r="N59" s="63">
        <v>200.0</v>
      </c>
      <c r="O59" s="26" t="s">
        <v>74</v>
      </c>
      <c r="P59" s="52">
        <v>1169000.0</v>
      </c>
      <c r="Q59" s="26" t="s">
        <v>1445</v>
      </c>
      <c r="R59" s="25">
        <v>2002.0</v>
      </c>
      <c r="S59" s="25">
        <v>0.0013</v>
      </c>
      <c r="T59" s="25">
        <f t="shared" si="1"/>
        <v>1519.7</v>
      </c>
      <c r="U59" s="24">
        <f t="shared" si="2"/>
        <v>87.84393064</v>
      </c>
      <c r="V59" s="26">
        <f>VLOOKUP(R59,CPI!$A$2:$E$67,5,0)</f>
        <v>1.69372985</v>
      </c>
      <c r="W59" s="27">
        <f t="shared" si="3"/>
        <v>2573.961253</v>
      </c>
      <c r="X59" s="27">
        <f t="shared" si="4"/>
        <v>148.7838875</v>
      </c>
      <c r="Y59" s="26" t="s">
        <v>36</v>
      </c>
      <c r="Z59" s="53" t="s">
        <v>1455</v>
      </c>
      <c r="AA59" s="178"/>
      <c r="AB59" s="172"/>
      <c r="AC59" s="172"/>
      <c r="AD59" s="172"/>
    </row>
    <row r="60">
      <c r="A60" s="26" t="s">
        <v>1443</v>
      </c>
      <c r="B60" s="26" t="s">
        <v>1451</v>
      </c>
      <c r="C60" s="1" t="s">
        <v>1453</v>
      </c>
      <c r="D60" s="63" t="s">
        <v>1458</v>
      </c>
      <c r="E60" s="25">
        <v>2011.0</v>
      </c>
      <c r="F60" s="25">
        <v>2018.0</v>
      </c>
      <c r="G60" s="25">
        <v>0.0</v>
      </c>
      <c r="H60" s="25">
        <v>12.8</v>
      </c>
      <c r="I60" s="50">
        <v>1.0</v>
      </c>
      <c r="J60" s="25">
        <v>12.8</v>
      </c>
      <c r="K60" s="51">
        <v>0.0</v>
      </c>
      <c r="L60" s="51">
        <v>0.0</v>
      </c>
      <c r="M60" s="25">
        <v>7.0</v>
      </c>
      <c r="N60" s="63">
        <v>200.0</v>
      </c>
      <c r="O60" s="26" t="s">
        <v>42</v>
      </c>
      <c r="P60" s="52">
        <v>1025500.0</v>
      </c>
      <c r="Q60" s="26" t="s">
        <v>1445</v>
      </c>
      <c r="R60" s="25">
        <v>2006.0</v>
      </c>
      <c r="S60" s="25">
        <v>0.0013</v>
      </c>
      <c r="T60" s="25">
        <f t="shared" si="1"/>
        <v>1333.15</v>
      </c>
      <c r="U60" s="24">
        <f t="shared" si="2"/>
        <v>104.1523438</v>
      </c>
      <c r="V60" s="26">
        <f>VLOOKUP(R60,CPI!$A$2:$E$67,5,0)</f>
        <v>1.511418651</v>
      </c>
      <c r="W60" s="27">
        <f t="shared" si="3"/>
        <v>2014.947774</v>
      </c>
      <c r="X60" s="27">
        <f t="shared" si="4"/>
        <v>157.4177949</v>
      </c>
      <c r="Y60" s="26" t="s">
        <v>60</v>
      </c>
      <c r="Z60" s="57" t="s">
        <v>1459</v>
      </c>
      <c r="AA60" s="178"/>
      <c r="AB60" s="172"/>
      <c r="AC60" s="172"/>
      <c r="AD60" s="172"/>
    </row>
    <row r="61">
      <c r="A61" s="26" t="s">
        <v>1489</v>
      </c>
      <c r="B61" s="26" t="s">
        <v>1490</v>
      </c>
      <c r="C61" s="26" t="s">
        <v>87</v>
      </c>
      <c r="D61" s="26" t="s">
        <v>87</v>
      </c>
      <c r="E61" s="25">
        <v>2014.0</v>
      </c>
      <c r="F61" s="25">
        <v>2020.0</v>
      </c>
      <c r="G61" s="25">
        <v>0.0</v>
      </c>
      <c r="H61" s="25">
        <v>21.5</v>
      </c>
      <c r="I61" s="50">
        <v>0.25</v>
      </c>
      <c r="J61" s="25">
        <v>5.4</v>
      </c>
      <c r="K61" s="51">
        <v>14.595</v>
      </c>
      <c r="L61" s="51">
        <v>1.53</v>
      </c>
      <c r="M61" s="25">
        <v>18.0</v>
      </c>
      <c r="N61" s="26"/>
      <c r="O61" s="26" t="s">
        <v>36</v>
      </c>
      <c r="P61" s="52">
        <v>31500.0</v>
      </c>
      <c r="Q61" s="26" t="s">
        <v>1491</v>
      </c>
      <c r="R61" s="25">
        <v>2017.0</v>
      </c>
      <c r="S61" s="25">
        <v>0.106</v>
      </c>
      <c r="T61" s="25">
        <f t="shared" si="1"/>
        <v>3339</v>
      </c>
      <c r="U61" s="24">
        <f t="shared" si="2"/>
        <v>155.3023256</v>
      </c>
      <c r="V61" s="26">
        <f>VLOOKUP(R61,CPI!$A$2:$E$67,5,0)</f>
        <v>1.243072781</v>
      </c>
      <c r="W61" s="27">
        <f t="shared" si="3"/>
        <v>4150.620015</v>
      </c>
      <c r="X61" s="27">
        <f t="shared" si="4"/>
        <v>193.0520937</v>
      </c>
      <c r="Y61" s="26" t="s">
        <v>42</v>
      </c>
      <c r="Z61" s="53" t="s">
        <v>1492</v>
      </c>
      <c r="AA61" s="178"/>
      <c r="AB61" s="172"/>
      <c r="AC61" s="172"/>
      <c r="AD61" s="172"/>
    </row>
    <row r="62">
      <c r="A62" s="26" t="s">
        <v>992</v>
      </c>
      <c r="B62" s="26" t="s">
        <v>1038</v>
      </c>
      <c r="C62" s="26" t="s">
        <v>1039</v>
      </c>
      <c r="D62" s="26" t="s">
        <v>1039</v>
      </c>
      <c r="E62" s="25">
        <v>2003.0</v>
      </c>
      <c r="F62" s="25">
        <v>2013.0</v>
      </c>
      <c r="G62" s="25">
        <v>1.0</v>
      </c>
      <c r="H62" s="25">
        <v>3.6</v>
      </c>
      <c r="I62" s="50">
        <v>1.0</v>
      </c>
      <c r="J62" s="25">
        <v>3.6</v>
      </c>
      <c r="K62" s="51">
        <v>0.0</v>
      </c>
      <c r="L62" s="51">
        <v>0.0</v>
      </c>
      <c r="M62" s="25">
        <v>4.0</v>
      </c>
      <c r="N62" s="26"/>
      <c r="O62" s="26" t="s">
        <v>74</v>
      </c>
      <c r="P62" s="52">
        <v>960.0</v>
      </c>
      <c r="Q62" s="26" t="s">
        <v>52</v>
      </c>
      <c r="R62" s="25">
        <v>2008.0</v>
      </c>
      <c r="S62" s="25">
        <v>1.3</v>
      </c>
      <c r="T62" s="25">
        <f t="shared" si="1"/>
        <v>1248</v>
      </c>
      <c r="U62" s="24">
        <f t="shared" si="2"/>
        <v>346.6666667</v>
      </c>
      <c r="V62" s="26">
        <f>VLOOKUP(R62,CPI!$A$2:$E$67,5,0)</f>
        <v>1.415224126</v>
      </c>
      <c r="W62" s="27">
        <f t="shared" si="3"/>
        <v>1766.199709</v>
      </c>
      <c r="X62" s="27">
        <f t="shared" si="4"/>
        <v>490.6110303</v>
      </c>
      <c r="Y62" s="26" t="s">
        <v>60</v>
      </c>
      <c r="Z62" s="57" t="s">
        <v>1040</v>
      </c>
      <c r="AA62" s="178"/>
      <c r="AB62" s="172"/>
      <c r="AC62" s="172"/>
      <c r="AD62" s="172"/>
    </row>
    <row r="63">
      <c r="A63" s="26" t="s">
        <v>1337</v>
      </c>
      <c r="B63" s="26" t="s">
        <v>1388</v>
      </c>
      <c r="C63" s="16" t="s">
        <v>1392</v>
      </c>
      <c r="D63" s="26" t="s">
        <v>1393</v>
      </c>
      <c r="E63" s="302">
        <v>2005.0</v>
      </c>
      <c r="F63" s="311">
        <v>2015.0</v>
      </c>
      <c r="G63" s="25">
        <v>0.0</v>
      </c>
      <c r="H63" s="302">
        <v>4.7</v>
      </c>
      <c r="I63" s="50">
        <v>1.0</v>
      </c>
      <c r="J63" s="302">
        <v>4.7</v>
      </c>
      <c r="K63" s="51">
        <v>0.0</v>
      </c>
      <c r="L63" s="51">
        <v>0.0</v>
      </c>
      <c r="M63" s="25">
        <v>3.0</v>
      </c>
      <c r="N63" s="306">
        <v>150.0</v>
      </c>
      <c r="O63" s="306" t="s">
        <v>2132</v>
      </c>
      <c r="P63" s="308">
        <v>761.0</v>
      </c>
      <c r="Q63" s="26" t="s">
        <v>52</v>
      </c>
      <c r="R63" s="25">
        <v>2012.0</v>
      </c>
      <c r="S63" s="25">
        <v>1.3</v>
      </c>
      <c r="T63" s="25">
        <f t="shared" si="1"/>
        <v>989.3</v>
      </c>
      <c r="U63" s="24">
        <f t="shared" si="2"/>
        <v>210.4893617</v>
      </c>
      <c r="V63" s="26">
        <f>VLOOKUP(R63,CPI!$A$2:$E$67,5,0)</f>
        <v>1.327133984</v>
      </c>
      <c r="W63" s="27">
        <f t="shared" si="3"/>
        <v>1312.933651</v>
      </c>
      <c r="X63" s="27">
        <f t="shared" si="4"/>
        <v>279.3475853</v>
      </c>
      <c r="Y63" s="26" t="s">
        <v>60</v>
      </c>
      <c r="Z63" s="53" t="s">
        <v>1394</v>
      </c>
      <c r="AA63" s="178"/>
      <c r="AB63" s="172"/>
      <c r="AC63" s="172"/>
      <c r="AD63" s="172"/>
    </row>
    <row r="64">
      <c r="A64" s="26" t="s">
        <v>1337</v>
      </c>
      <c r="B64" s="26" t="s">
        <v>1388</v>
      </c>
      <c r="C64" s="1" t="s">
        <v>983</v>
      </c>
      <c r="D64" s="26" t="s">
        <v>1389</v>
      </c>
      <c r="E64" s="25">
        <v>2007.0</v>
      </c>
      <c r="F64" s="25">
        <v>2013.0</v>
      </c>
      <c r="G64" s="25">
        <v>0.0</v>
      </c>
      <c r="H64" s="25">
        <v>2.8</v>
      </c>
      <c r="I64" s="50">
        <v>1.0</v>
      </c>
      <c r="J64" s="25">
        <v>2.8</v>
      </c>
      <c r="K64" s="51">
        <v>0.0</v>
      </c>
      <c r="L64" s="51">
        <v>0.0</v>
      </c>
      <c r="M64" s="25">
        <v>4.0</v>
      </c>
      <c r="N64" s="26"/>
      <c r="O64" s="26" t="s">
        <v>60</v>
      </c>
      <c r="P64" s="52">
        <v>399.0</v>
      </c>
      <c r="Q64" s="26" t="s">
        <v>52</v>
      </c>
      <c r="R64" s="25">
        <v>2010.0</v>
      </c>
      <c r="S64" s="25">
        <v>1.3</v>
      </c>
      <c r="T64" s="25">
        <f t="shared" si="1"/>
        <v>518.7</v>
      </c>
      <c r="U64" s="24">
        <f t="shared" si="2"/>
        <v>185.25</v>
      </c>
      <c r="V64" s="26">
        <f>VLOOKUP(R64,CPI!$A$2:$E$67,5,0)</f>
        <v>1.397356642</v>
      </c>
      <c r="W64" s="27">
        <f t="shared" si="3"/>
        <v>724.8088904</v>
      </c>
      <c r="X64" s="27">
        <f t="shared" si="4"/>
        <v>258.860318</v>
      </c>
      <c r="Y64" s="26" t="s">
        <v>60</v>
      </c>
      <c r="Z64" s="182" t="s">
        <v>1390</v>
      </c>
      <c r="AA64" s="178"/>
      <c r="AB64" s="172"/>
      <c r="AC64" s="172"/>
      <c r="AD64" s="172"/>
    </row>
    <row r="65">
      <c r="A65" s="26" t="s">
        <v>1337</v>
      </c>
      <c r="B65" s="26" t="s">
        <v>1388</v>
      </c>
      <c r="C65" s="1" t="s">
        <v>983</v>
      </c>
      <c r="D65" s="26" t="s">
        <v>1391</v>
      </c>
      <c r="E65" s="25">
        <v>2007.0</v>
      </c>
      <c r="F65" s="25">
        <v>2013.0</v>
      </c>
      <c r="G65" s="25">
        <v>0.0</v>
      </c>
      <c r="H65" s="302">
        <v>7.6</v>
      </c>
      <c r="I65" s="50">
        <v>1.0</v>
      </c>
      <c r="J65" s="302">
        <v>7.6</v>
      </c>
      <c r="K65" s="51">
        <v>0.0</v>
      </c>
      <c r="L65" s="51">
        <v>0.0</v>
      </c>
      <c r="M65" s="25">
        <v>9.0</v>
      </c>
      <c r="N65" s="306">
        <v>110.0</v>
      </c>
      <c r="O65" s="306" t="s">
        <v>2132</v>
      </c>
      <c r="P65" s="308">
        <v>1206.0</v>
      </c>
      <c r="Q65" s="26" t="s">
        <v>52</v>
      </c>
      <c r="R65" s="25">
        <v>2010.0</v>
      </c>
      <c r="S65" s="25">
        <v>1.3</v>
      </c>
      <c r="T65" s="25">
        <f t="shared" si="1"/>
        <v>1567.8</v>
      </c>
      <c r="U65" s="24">
        <f t="shared" si="2"/>
        <v>206.2894737</v>
      </c>
      <c r="V65" s="26">
        <f>VLOOKUP(R65,CPI!$A$2:$E$67,5,0)</f>
        <v>1.397356642</v>
      </c>
      <c r="W65" s="27">
        <f t="shared" si="3"/>
        <v>2190.775744</v>
      </c>
      <c r="X65" s="27">
        <f t="shared" si="4"/>
        <v>288.2599663</v>
      </c>
      <c r="Y65" s="26" t="s">
        <v>60</v>
      </c>
      <c r="Z65" s="182" t="s">
        <v>1390</v>
      </c>
      <c r="AA65" s="178"/>
      <c r="AB65" s="172"/>
      <c r="AC65" s="172"/>
      <c r="AD65" s="172"/>
    </row>
    <row r="66">
      <c r="A66" s="26" t="s">
        <v>1337</v>
      </c>
      <c r="B66" s="26" t="s">
        <v>1388</v>
      </c>
      <c r="C66" s="1" t="s">
        <v>983</v>
      </c>
      <c r="D66" s="26" t="s">
        <v>1395</v>
      </c>
      <c r="E66" s="25">
        <v>2013.0</v>
      </c>
      <c r="F66" s="25">
        <v>2023.0</v>
      </c>
      <c r="G66" s="25">
        <v>0.0</v>
      </c>
      <c r="H66" s="302">
        <v>2.7</v>
      </c>
      <c r="I66" s="50">
        <v>1.0</v>
      </c>
      <c r="J66" s="302">
        <v>2.7</v>
      </c>
      <c r="K66" s="51">
        <v>0.0</v>
      </c>
      <c r="L66" s="51">
        <v>0.0</v>
      </c>
      <c r="M66" s="25">
        <v>2.0</v>
      </c>
      <c r="N66" s="306">
        <v>110.0</v>
      </c>
      <c r="O66" s="310" t="s">
        <v>60</v>
      </c>
      <c r="P66" s="308">
        <v>861.0</v>
      </c>
      <c r="Q66" s="26" t="s">
        <v>52</v>
      </c>
      <c r="R66" s="25">
        <v>2018.0</v>
      </c>
      <c r="S66" s="25">
        <v>1.3</v>
      </c>
      <c r="T66" s="25">
        <f t="shared" si="1"/>
        <v>1119.3</v>
      </c>
      <c r="U66" s="24">
        <f t="shared" si="2"/>
        <v>414.5555556</v>
      </c>
      <c r="V66" s="26">
        <f>VLOOKUP(R66,CPI!$A$2:$E$67,5,0)</f>
        <v>1.21343491</v>
      </c>
      <c r="W66" s="27">
        <f t="shared" si="3"/>
        <v>1358.197695</v>
      </c>
      <c r="X66" s="27">
        <f t="shared" si="4"/>
        <v>503.0361833</v>
      </c>
      <c r="Y66" s="26" t="s">
        <v>60</v>
      </c>
      <c r="Z66" s="182" t="s">
        <v>1390</v>
      </c>
      <c r="AA66" s="178"/>
      <c r="AB66" s="172"/>
      <c r="AC66" s="172"/>
      <c r="AD66" s="172"/>
    </row>
    <row r="67">
      <c r="A67" s="26" t="s">
        <v>992</v>
      </c>
      <c r="B67" s="26" t="s">
        <v>993</v>
      </c>
      <c r="C67" s="26" t="s">
        <v>1007</v>
      </c>
      <c r="D67" s="26" t="s">
        <v>1007</v>
      </c>
      <c r="E67" s="25">
        <v>2004.0</v>
      </c>
      <c r="F67" s="25">
        <v>2009.0</v>
      </c>
      <c r="G67" s="25">
        <v>0.0</v>
      </c>
      <c r="H67" s="25">
        <v>1.8</v>
      </c>
      <c r="I67" s="50">
        <v>1.0</v>
      </c>
      <c r="J67" s="25">
        <v>1.8</v>
      </c>
      <c r="K67" s="51">
        <v>0.0</v>
      </c>
      <c r="L67" s="51">
        <v>0.0</v>
      </c>
      <c r="M67" s="25">
        <v>3.0</v>
      </c>
      <c r="N67" s="63">
        <v>100.0</v>
      </c>
      <c r="O67" s="26" t="s">
        <v>60</v>
      </c>
      <c r="P67" s="52">
        <v>320.0</v>
      </c>
      <c r="Q67" s="26" t="s">
        <v>52</v>
      </c>
      <c r="R67" s="25">
        <v>2006.0</v>
      </c>
      <c r="S67" s="25">
        <v>1.3</v>
      </c>
      <c r="T67" s="25">
        <f t="shared" si="1"/>
        <v>416</v>
      </c>
      <c r="U67" s="24">
        <f t="shared" si="2"/>
        <v>231.1111111</v>
      </c>
      <c r="V67" s="26">
        <f>VLOOKUP(R67,CPI!$A$2:$E$67,5,0)</f>
        <v>1.511418651</v>
      </c>
      <c r="W67" s="27">
        <f t="shared" si="3"/>
        <v>628.7501587</v>
      </c>
      <c r="X67" s="27">
        <f t="shared" si="4"/>
        <v>349.3056437</v>
      </c>
      <c r="Y67" s="26" t="s">
        <v>60</v>
      </c>
      <c r="Z67" s="53" t="s">
        <v>1008</v>
      </c>
      <c r="AA67" s="178"/>
      <c r="AB67" s="172"/>
      <c r="AC67" s="172"/>
      <c r="AD67" s="172"/>
    </row>
    <row r="68">
      <c r="A68" s="26" t="s">
        <v>992</v>
      </c>
      <c r="B68" s="26" t="s">
        <v>993</v>
      </c>
      <c r="C68" s="26" t="s">
        <v>1009</v>
      </c>
      <c r="D68" s="26" t="s">
        <v>1009</v>
      </c>
      <c r="E68" s="25">
        <v>2010.0</v>
      </c>
      <c r="F68" s="25">
        <v>2020.0</v>
      </c>
      <c r="G68" s="25">
        <v>0.0</v>
      </c>
      <c r="H68" s="25">
        <v>2.2</v>
      </c>
      <c r="I68" s="50">
        <v>1.0</v>
      </c>
      <c r="J68" s="25">
        <v>2.2</v>
      </c>
      <c r="K68" s="51">
        <v>0.0</v>
      </c>
      <c r="L68" s="51">
        <v>0.0</v>
      </c>
      <c r="M68" s="25">
        <v>3.0</v>
      </c>
      <c r="N68" s="63">
        <v>100.0</v>
      </c>
      <c r="O68" s="26" t="s">
        <v>60</v>
      </c>
      <c r="P68" s="52">
        <v>525.0</v>
      </c>
      <c r="Q68" s="26" t="s">
        <v>52</v>
      </c>
      <c r="R68" s="25">
        <v>2015.0</v>
      </c>
      <c r="S68" s="25">
        <v>1.3</v>
      </c>
      <c r="T68" s="25">
        <f t="shared" si="1"/>
        <v>682.5</v>
      </c>
      <c r="U68" s="24">
        <f t="shared" si="2"/>
        <v>310.2272727</v>
      </c>
      <c r="V68" s="26">
        <f>VLOOKUP(R68,CPI!$A$2:$E$67,5,0)</f>
        <v>1.285570233</v>
      </c>
      <c r="W68" s="27">
        <f t="shared" si="3"/>
        <v>877.4016843</v>
      </c>
      <c r="X68" s="27">
        <f t="shared" si="4"/>
        <v>398.8189474</v>
      </c>
      <c r="Y68" s="26" t="s">
        <v>60</v>
      </c>
      <c r="Z68" s="53" t="s">
        <v>1010</v>
      </c>
      <c r="AA68" s="178"/>
      <c r="AB68" s="172"/>
      <c r="AC68" s="172"/>
      <c r="AD68" s="172"/>
    </row>
    <row r="69">
      <c r="A69" s="26" t="s">
        <v>85</v>
      </c>
      <c r="B69" s="26" t="s">
        <v>86</v>
      </c>
      <c r="C69" s="26" t="s">
        <v>87</v>
      </c>
      <c r="D69" s="26" t="s">
        <v>87</v>
      </c>
      <c r="E69" s="25">
        <v>2020.0</v>
      </c>
      <c r="F69" s="25">
        <v>2028.0</v>
      </c>
      <c r="G69" s="25">
        <v>0.0</v>
      </c>
      <c r="H69" s="58">
        <v>4.8</v>
      </c>
      <c r="I69" s="50">
        <v>1.0</v>
      </c>
      <c r="J69" s="58">
        <v>4.8</v>
      </c>
      <c r="K69" s="51">
        <v>0.0</v>
      </c>
      <c r="L69" s="51">
        <v>0.0</v>
      </c>
      <c r="M69" s="25">
        <v>7.0</v>
      </c>
      <c r="N69" s="26"/>
      <c r="O69" s="26" t="s">
        <v>60</v>
      </c>
      <c r="P69" s="55">
        <v>2600.0</v>
      </c>
      <c r="Q69" s="26" t="s">
        <v>52</v>
      </c>
      <c r="R69" s="25">
        <v>2024.0</v>
      </c>
      <c r="S69" s="25">
        <v>1.3</v>
      </c>
      <c r="T69" s="25">
        <f t="shared" si="1"/>
        <v>3380</v>
      </c>
      <c r="U69" s="24">
        <f t="shared" si="2"/>
        <v>704.1666667</v>
      </c>
      <c r="V69" s="26">
        <f>VLOOKUP(R69,CPI!$A$2:$E$67,5,0)</f>
        <v>1</v>
      </c>
      <c r="W69" s="27">
        <f t="shared" si="3"/>
        <v>3380</v>
      </c>
      <c r="X69" s="27">
        <f t="shared" si="4"/>
        <v>704.1666667</v>
      </c>
      <c r="Y69" s="26" t="s">
        <v>60</v>
      </c>
      <c r="Z69" s="56" t="s">
        <v>88</v>
      </c>
      <c r="AA69" s="29"/>
      <c r="AB69" s="30"/>
      <c r="AC69" s="30"/>
      <c r="AD69" s="30"/>
    </row>
    <row r="70">
      <c r="A70" s="26" t="s">
        <v>1056</v>
      </c>
      <c r="B70" s="26" t="s">
        <v>1057</v>
      </c>
      <c r="C70" s="26" t="s">
        <v>1058</v>
      </c>
      <c r="D70" s="26" t="s">
        <v>1058</v>
      </c>
      <c r="E70" s="25">
        <v>2009.0</v>
      </c>
      <c r="F70" s="25">
        <v>2019.0</v>
      </c>
      <c r="G70" s="25">
        <v>0.0</v>
      </c>
      <c r="H70" s="25">
        <v>15.5</v>
      </c>
      <c r="I70" s="50">
        <v>1.0</v>
      </c>
      <c r="J70" s="25">
        <v>15.5</v>
      </c>
      <c r="K70" s="51">
        <v>0.0</v>
      </c>
      <c r="L70" s="51">
        <v>0.0</v>
      </c>
      <c r="M70" s="25">
        <v>17.0</v>
      </c>
      <c r="N70" s="26"/>
      <c r="O70" s="26" t="s">
        <v>42</v>
      </c>
      <c r="P70" s="52">
        <v>25300.0</v>
      </c>
      <c r="Q70" s="26" t="s">
        <v>1059</v>
      </c>
      <c r="R70" s="25">
        <v>2014.0</v>
      </c>
      <c r="S70" s="25">
        <v>0.138</v>
      </c>
      <c r="T70" s="25">
        <f t="shared" si="1"/>
        <v>3491.4</v>
      </c>
      <c r="U70" s="24">
        <f t="shared" si="2"/>
        <v>225.2516129</v>
      </c>
      <c r="V70" s="26">
        <f>VLOOKUP(R70,CPI!$A$2:$E$67,5,0)</f>
        <v>1.287096175</v>
      </c>
      <c r="W70" s="27">
        <f t="shared" si="3"/>
        <v>4493.767584</v>
      </c>
      <c r="X70" s="27">
        <f t="shared" si="4"/>
        <v>289.9204893</v>
      </c>
      <c r="Y70" s="26" t="s">
        <v>42</v>
      </c>
      <c r="Z70" s="53" t="s">
        <v>1060</v>
      </c>
      <c r="AA70" s="178"/>
      <c r="AB70" s="172"/>
      <c r="AC70" s="172"/>
      <c r="AD70" s="172"/>
    </row>
    <row r="71">
      <c r="A71" s="26" t="s">
        <v>1506</v>
      </c>
      <c r="B71" s="26" t="s">
        <v>1507</v>
      </c>
      <c r="C71" s="26" t="s">
        <v>1508</v>
      </c>
      <c r="D71" s="26" t="s">
        <v>1508</v>
      </c>
      <c r="E71" s="25">
        <v>2013.0</v>
      </c>
      <c r="F71" s="25">
        <v>2016.0</v>
      </c>
      <c r="G71" s="25">
        <v>0.0</v>
      </c>
      <c r="H71" s="25">
        <v>1.6</v>
      </c>
      <c r="I71" s="50">
        <v>1.0</v>
      </c>
      <c r="J71" s="25">
        <v>1.6</v>
      </c>
      <c r="K71" s="51">
        <v>0.0</v>
      </c>
      <c r="L71" s="51">
        <v>0.0</v>
      </c>
      <c r="M71" s="25">
        <v>1.0</v>
      </c>
      <c r="N71" s="26"/>
      <c r="O71" s="26" t="s">
        <v>36</v>
      </c>
      <c r="P71" s="52">
        <v>1330.0</v>
      </c>
      <c r="Q71" s="26" t="s">
        <v>1509</v>
      </c>
      <c r="R71" s="25">
        <v>2014.0</v>
      </c>
      <c r="S71" s="25">
        <v>0.107</v>
      </c>
      <c r="T71" s="25">
        <f t="shared" si="1"/>
        <v>142.31</v>
      </c>
      <c r="U71" s="24">
        <f t="shared" si="2"/>
        <v>88.94375</v>
      </c>
      <c r="V71" s="26">
        <f>VLOOKUP(R71,CPI!$A$2:$E$67,5,0)</f>
        <v>1.287096175</v>
      </c>
      <c r="W71" s="27">
        <f t="shared" si="3"/>
        <v>183.1666566</v>
      </c>
      <c r="X71" s="27">
        <f t="shared" si="4"/>
        <v>114.4791604</v>
      </c>
      <c r="Y71" s="26" t="s">
        <v>36</v>
      </c>
      <c r="Z71" s="57" t="s">
        <v>1510</v>
      </c>
      <c r="AA71" s="178"/>
      <c r="AB71" s="172"/>
      <c r="AC71" s="172"/>
      <c r="AD71" s="172"/>
    </row>
    <row r="72">
      <c r="A72" s="26" t="s">
        <v>1506</v>
      </c>
      <c r="B72" s="26" t="s">
        <v>1507</v>
      </c>
      <c r="C72" s="26" t="s">
        <v>1511</v>
      </c>
      <c r="D72" s="26" t="s">
        <v>1511</v>
      </c>
      <c r="E72" s="25">
        <v>2020.0</v>
      </c>
      <c r="F72" s="58">
        <v>2029.0</v>
      </c>
      <c r="G72" s="25">
        <v>0.0</v>
      </c>
      <c r="H72" s="25">
        <v>8.2</v>
      </c>
      <c r="I72" s="50">
        <v>1.0</v>
      </c>
      <c r="J72" s="25">
        <v>8.2</v>
      </c>
      <c r="K72" s="51">
        <v>0.0</v>
      </c>
      <c r="L72" s="51">
        <v>0.0</v>
      </c>
      <c r="M72" s="25">
        <v>6.0</v>
      </c>
      <c r="N72" s="26"/>
      <c r="O72" s="26" t="s">
        <v>60</v>
      </c>
      <c r="P72" s="55">
        <v>26400.0</v>
      </c>
      <c r="Q72" s="26" t="s">
        <v>1509</v>
      </c>
      <c r="R72" s="58">
        <v>2021.0</v>
      </c>
      <c r="S72" s="58">
        <v>0.103</v>
      </c>
      <c r="T72" s="25">
        <f t="shared" si="1"/>
        <v>2719.2</v>
      </c>
      <c r="U72" s="24">
        <f t="shared" si="2"/>
        <v>331.6097561</v>
      </c>
      <c r="V72" s="26">
        <f>VLOOKUP(R72,CPI!$A$2:$E$67,5,0)</f>
        <v>1.124486105</v>
      </c>
      <c r="W72" s="27">
        <f t="shared" si="3"/>
        <v>3057.702618</v>
      </c>
      <c r="X72" s="27">
        <f t="shared" si="4"/>
        <v>372.8905632</v>
      </c>
      <c r="Y72" s="63" t="s">
        <v>42</v>
      </c>
      <c r="Z72" s="109" t="s">
        <v>1512</v>
      </c>
      <c r="AA72" s="178"/>
      <c r="AB72" s="172"/>
      <c r="AC72" s="172"/>
      <c r="AD72" s="172"/>
    </row>
    <row r="73">
      <c r="A73" s="26" t="s">
        <v>64</v>
      </c>
      <c r="B73" s="26" t="s">
        <v>72</v>
      </c>
      <c r="C73" s="26" t="s">
        <v>76</v>
      </c>
      <c r="D73" s="26" t="s">
        <v>76</v>
      </c>
      <c r="E73" s="25">
        <v>2017.0</v>
      </c>
      <c r="F73" s="25">
        <v>2024.0</v>
      </c>
      <c r="G73" s="25">
        <v>0.0</v>
      </c>
      <c r="H73" s="25">
        <v>30.0</v>
      </c>
      <c r="I73" s="50">
        <v>0.51</v>
      </c>
      <c r="J73" s="25">
        <v>15.3</v>
      </c>
      <c r="K73" s="51">
        <v>0.0</v>
      </c>
      <c r="L73" s="51">
        <v>0.0</v>
      </c>
      <c r="M73" s="25">
        <v>7.0</v>
      </c>
      <c r="N73" s="26"/>
      <c r="O73" s="26" t="s">
        <v>74</v>
      </c>
      <c r="P73" s="52">
        <v>15500.0</v>
      </c>
      <c r="Q73" s="26" t="s">
        <v>67</v>
      </c>
      <c r="R73" s="25">
        <v>2021.0</v>
      </c>
      <c r="S73" s="25">
        <v>0.69</v>
      </c>
      <c r="T73" s="25">
        <f t="shared" si="1"/>
        <v>10695</v>
      </c>
      <c r="U73" s="24">
        <f t="shared" si="2"/>
        <v>356.5</v>
      </c>
      <c r="V73" s="26">
        <f>VLOOKUP(R73,CPI!$A$2:$E$67,5,0)</f>
        <v>1.124486105</v>
      </c>
      <c r="W73" s="27">
        <f t="shared" si="3"/>
        <v>12026.3789</v>
      </c>
      <c r="X73" s="27">
        <f t="shared" si="4"/>
        <v>400.8792966</v>
      </c>
      <c r="Y73" s="26" t="s">
        <v>42</v>
      </c>
      <c r="Z73" s="57" t="s">
        <v>77</v>
      </c>
      <c r="AA73" s="29"/>
      <c r="AB73" s="30"/>
      <c r="AC73" s="30"/>
      <c r="AD73" s="30"/>
    </row>
    <row r="74">
      <c r="A74" s="26" t="s">
        <v>64</v>
      </c>
      <c r="B74" s="26" t="s">
        <v>72</v>
      </c>
      <c r="C74" s="26" t="s">
        <v>73</v>
      </c>
      <c r="D74" s="26" t="s">
        <v>73</v>
      </c>
      <c r="E74" s="25">
        <v>2013.0</v>
      </c>
      <c r="F74" s="25">
        <v>2019.0</v>
      </c>
      <c r="G74" s="25">
        <v>0.0</v>
      </c>
      <c r="H74" s="25">
        <v>36.0</v>
      </c>
      <c r="I74" s="50">
        <v>0.42</v>
      </c>
      <c r="J74" s="25">
        <v>15.1</v>
      </c>
      <c r="K74" s="51">
        <v>0.0</v>
      </c>
      <c r="L74" s="51">
        <v>0.0</v>
      </c>
      <c r="M74" s="25">
        <v>13.0</v>
      </c>
      <c r="N74" s="26"/>
      <c r="O74" s="26" t="s">
        <v>74</v>
      </c>
      <c r="P74" s="52">
        <v>7800.0</v>
      </c>
      <c r="Q74" s="26" t="s">
        <v>67</v>
      </c>
      <c r="R74" s="25">
        <v>2016.0</v>
      </c>
      <c r="S74" s="25">
        <v>0.69</v>
      </c>
      <c r="T74" s="25">
        <f t="shared" si="1"/>
        <v>5382</v>
      </c>
      <c r="U74" s="24">
        <f t="shared" si="2"/>
        <v>149.5</v>
      </c>
      <c r="V74" s="26">
        <f>VLOOKUP(R74,CPI!$A$2:$E$67,5,0)</f>
        <v>1.269554638</v>
      </c>
      <c r="W74" s="27">
        <f t="shared" si="3"/>
        <v>6832.743062</v>
      </c>
      <c r="X74" s="27">
        <f t="shared" si="4"/>
        <v>189.7984184</v>
      </c>
      <c r="Y74" s="26" t="s">
        <v>60</v>
      </c>
      <c r="Z74" s="53" t="s">
        <v>75</v>
      </c>
      <c r="AA74" s="29"/>
      <c r="AB74" s="30"/>
      <c r="AC74" s="30"/>
      <c r="AD74" s="30"/>
    </row>
    <row r="75">
      <c r="A75" s="26" t="s">
        <v>64</v>
      </c>
      <c r="B75" s="26" t="s">
        <v>65</v>
      </c>
      <c r="C75" s="26" t="s">
        <v>66</v>
      </c>
      <c r="D75" s="26" t="s">
        <v>66</v>
      </c>
      <c r="E75" s="25">
        <v>2018.0</v>
      </c>
      <c r="F75" s="25">
        <v>2025.0</v>
      </c>
      <c r="G75" s="25">
        <v>0.0</v>
      </c>
      <c r="H75" s="25">
        <v>9.0</v>
      </c>
      <c r="I75" s="50">
        <v>1.0</v>
      </c>
      <c r="J75" s="25">
        <v>9.0</v>
      </c>
      <c r="K75" s="51">
        <v>0.0</v>
      </c>
      <c r="L75" s="51">
        <v>0.0</v>
      </c>
      <c r="M75" s="25">
        <v>5.0</v>
      </c>
      <c r="N75" s="26"/>
      <c r="O75" s="26" t="s">
        <v>60</v>
      </c>
      <c r="P75" s="55">
        <v>12584.4</v>
      </c>
      <c r="Q75" s="26" t="s">
        <v>67</v>
      </c>
      <c r="R75" s="25">
        <v>2021.0</v>
      </c>
      <c r="S75" s="25">
        <v>0.69</v>
      </c>
      <c r="T75" s="25">
        <f t="shared" si="1"/>
        <v>8683.236</v>
      </c>
      <c r="U75" s="24">
        <f t="shared" si="2"/>
        <v>964.804</v>
      </c>
      <c r="V75" s="26">
        <f>VLOOKUP(R75,CPI!$A$2:$E$67,5,0)</f>
        <v>1.124486105</v>
      </c>
      <c r="W75" s="27">
        <f t="shared" si="3"/>
        <v>9764.178233</v>
      </c>
      <c r="X75" s="27">
        <f t="shared" si="4"/>
        <v>1084.908693</v>
      </c>
      <c r="Y75" s="26" t="s">
        <v>60</v>
      </c>
      <c r="Z75" s="56" t="s">
        <v>68</v>
      </c>
      <c r="AA75" s="29"/>
      <c r="AB75" s="30"/>
      <c r="AC75" s="30"/>
      <c r="AD75" s="30"/>
    </row>
    <row r="76">
      <c r="A76" s="26" t="s">
        <v>1730</v>
      </c>
      <c r="B76" s="26" t="s">
        <v>1731</v>
      </c>
      <c r="C76" s="26" t="s">
        <v>1736</v>
      </c>
      <c r="D76" s="26" t="s">
        <v>1736</v>
      </c>
      <c r="E76" s="25">
        <v>2008.0</v>
      </c>
      <c r="F76" s="25">
        <v>2017.0</v>
      </c>
      <c r="G76" s="25">
        <v>0.0</v>
      </c>
      <c r="H76" s="25">
        <v>41.9</v>
      </c>
      <c r="I76" s="50">
        <v>1.0</v>
      </c>
      <c r="J76" s="25">
        <v>41.9</v>
      </c>
      <c r="K76" s="51">
        <v>0.0</v>
      </c>
      <c r="L76" s="51">
        <v>0.0</v>
      </c>
      <c r="M76" s="25">
        <v>34.0</v>
      </c>
      <c r="N76" s="26"/>
      <c r="O76" s="26" t="s">
        <v>74</v>
      </c>
      <c r="P76" s="52">
        <v>21000.0</v>
      </c>
      <c r="Q76" s="26" t="s">
        <v>1734</v>
      </c>
      <c r="R76" s="25">
        <v>2012.0</v>
      </c>
      <c r="S76" s="25">
        <v>1.18</v>
      </c>
      <c r="T76" s="25">
        <f t="shared" si="1"/>
        <v>24780</v>
      </c>
      <c r="U76" s="24">
        <f t="shared" si="2"/>
        <v>591.4081146</v>
      </c>
      <c r="V76" s="26">
        <f>VLOOKUP(R76,CPI!$A$2:$E$67,5,0)</f>
        <v>1.327133984</v>
      </c>
      <c r="W76" s="27">
        <f t="shared" si="3"/>
        <v>32886.38013</v>
      </c>
      <c r="X76" s="27">
        <f t="shared" si="4"/>
        <v>784.8778074</v>
      </c>
      <c r="Y76" s="26" t="s">
        <v>60</v>
      </c>
      <c r="Z76" s="57" t="s">
        <v>1737</v>
      </c>
      <c r="AA76" s="178"/>
      <c r="AB76" s="172"/>
      <c r="AC76" s="172"/>
      <c r="AD76" s="172"/>
    </row>
    <row r="77">
      <c r="A77" s="26" t="s">
        <v>1730</v>
      </c>
      <c r="B77" s="26" t="s">
        <v>1731</v>
      </c>
      <c r="C77" s="26" t="s">
        <v>1738</v>
      </c>
      <c r="D77" s="26" t="s">
        <v>1738</v>
      </c>
      <c r="E77" s="25">
        <v>2014.0</v>
      </c>
      <c r="F77" s="25">
        <v>2024.0</v>
      </c>
      <c r="G77" s="25">
        <v>0.0</v>
      </c>
      <c r="H77" s="25">
        <v>43.0</v>
      </c>
      <c r="I77" s="50">
        <v>1.0</v>
      </c>
      <c r="J77" s="25">
        <v>43.0</v>
      </c>
      <c r="K77" s="51">
        <v>0.0</v>
      </c>
      <c r="L77" s="51">
        <v>0.0</v>
      </c>
      <c r="M77" s="25">
        <v>32.0</v>
      </c>
      <c r="N77" s="26"/>
      <c r="O77" s="26" t="s">
        <v>42</v>
      </c>
      <c r="P77" s="52">
        <v>25000.0</v>
      </c>
      <c r="Q77" s="26" t="s">
        <v>1734</v>
      </c>
      <c r="R77" s="25">
        <v>2019.0</v>
      </c>
      <c r="S77" s="25">
        <v>1.13</v>
      </c>
      <c r="T77" s="25">
        <f t="shared" si="1"/>
        <v>28250</v>
      </c>
      <c r="U77" s="24">
        <f t="shared" si="2"/>
        <v>656.9767442</v>
      </c>
      <c r="V77" s="26">
        <f>VLOOKUP(R77,CPI!$A$2:$E$67,5,0)</f>
        <v>1.191839066</v>
      </c>
      <c r="W77" s="27">
        <f t="shared" si="3"/>
        <v>33669.4536</v>
      </c>
      <c r="X77" s="27">
        <f t="shared" si="4"/>
        <v>783.0105489</v>
      </c>
      <c r="Y77" s="26" t="s">
        <v>42</v>
      </c>
      <c r="Z77" s="57" t="s">
        <v>1739</v>
      </c>
      <c r="AA77" s="178"/>
      <c r="AB77" s="172"/>
      <c r="AC77" s="172"/>
      <c r="AD77" s="172"/>
    </row>
    <row r="78">
      <c r="A78" s="26" t="s">
        <v>125</v>
      </c>
      <c r="B78" s="26" t="s">
        <v>170</v>
      </c>
      <c r="C78" s="26" t="s">
        <v>176</v>
      </c>
      <c r="D78" s="26" t="s">
        <v>176</v>
      </c>
      <c r="E78" s="25">
        <v>2011.0</v>
      </c>
      <c r="F78" s="25">
        <v>2022.0</v>
      </c>
      <c r="G78" s="25">
        <v>0.0</v>
      </c>
      <c r="H78" s="25">
        <v>19.0</v>
      </c>
      <c r="I78" s="50">
        <v>0.53</v>
      </c>
      <c r="J78" s="25">
        <v>10.0</v>
      </c>
      <c r="K78" s="51">
        <v>0.62</v>
      </c>
      <c r="L78" s="51">
        <v>8.31</v>
      </c>
      <c r="M78" s="25">
        <v>25.0</v>
      </c>
      <c r="N78" s="26"/>
      <c r="O78" s="26" t="s">
        <v>60</v>
      </c>
      <c r="P78" s="52">
        <v>5300.0</v>
      </c>
      <c r="Q78" s="26" t="s">
        <v>129</v>
      </c>
      <c r="R78" s="25">
        <v>2016.0</v>
      </c>
      <c r="S78" s="25">
        <v>0.83</v>
      </c>
      <c r="T78" s="25">
        <f t="shared" si="1"/>
        <v>4399</v>
      </c>
      <c r="U78" s="24">
        <f t="shared" si="2"/>
        <v>231.5263158</v>
      </c>
      <c r="V78" s="26">
        <f>VLOOKUP(R78,CPI!$A$2:$E$67,5,0)</f>
        <v>1.269554638</v>
      </c>
      <c r="W78" s="27">
        <f t="shared" si="3"/>
        <v>5584.770853</v>
      </c>
      <c r="X78" s="27">
        <f t="shared" si="4"/>
        <v>293.935308</v>
      </c>
      <c r="Y78" s="26" t="s">
        <v>36</v>
      </c>
      <c r="Z78" s="53" t="s">
        <v>2134</v>
      </c>
      <c r="AA78" s="29"/>
      <c r="AB78" s="30"/>
      <c r="AC78" s="30"/>
      <c r="AD78" s="30"/>
    </row>
    <row r="79">
      <c r="A79" s="26" t="s">
        <v>1262</v>
      </c>
      <c r="B79" s="26" t="s">
        <v>1303</v>
      </c>
      <c r="C79" s="26" t="s">
        <v>1097</v>
      </c>
      <c r="D79" s="26" t="s">
        <v>1097</v>
      </c>
      <c r="E79" s="25">
        <v>2009.0</v>
      </c>
      <c r="F79" s="25">
        <v>2019.0</v>
      </c>
      <c r="G79" s="25">
        <v>0.0</v>
      </c>
      <c r="H79" s="25">
        <v>20.2</v>
      </c>
      <c r="I79" s="50">
        <v>0.0</v>
      </c>
      <c r="J79" s="25">
        <v>0.0</v>
      </c>
      <c r="K79" s="51">
        <v>0.0</v>
      </c>
      <c r="L79" s="51">
        <v>0.0</v>
      </c>
      <c r="M79" s="25">
        <v>17.0</v>
      </c>
      <c r="N79" s="26"/>
      <c r="O79" s="26" t="s">
        <v>60</v>
      </c>
      <c r="P79" s="52">
        <v>30000.0</v>
      </c>
      <c r="Q79" s="26" t="s">
        <v>1265</v>
      </c>
      <c r="R79" s="25">
        <v>2014.0</v>
      </c>
      <c r="S79" s="25">
        <v>0.054</v>
      </c>
      <c r="T79" s="25">
        <f t="shared" si="1"/>
        <v>1620</v>
      </c>
      <c r="U79" s="24">
        <f t="shared" si="2"/>
        <v>80.1980198</v>
      </c>
      <c r="V79" s="26">
        <f>VLOOKUP(R79,CPI!$A$2:$E$67,5,0)</f>
        <v>1.287096175</v>
      </c>
      <c r="W79" s="27">
        <f t="shared" si="3"/>
        <v>2085.095803</v>
      </c>
      <c r="X79" s="27">
        <f t="shared" si="4"/>
        <v>103.2225645</v>
      </c>
      <c r="Y79" s="26" t="s">
        <v>42</v>
      </c>
      <c r="Z79" s="53" t="s">
        <v>1304</v>
      </c>
      <c r="AA79" s="178"/>
      <c r="AB79" s="172"/>
      <c r="AC79" s="172"/>
      <c r="AD79" s="172"/>
    </row>
    <row r="80">
      <c r="A80" s="26" t="s">
        <v>1262</v>
      </c>
      <c r="B80" s="26" t="s">
        <v>1303</v>
      </c>
      <c r="C80" s="26" t="s">
        <v>87</v>
      </c>
      <c r="D80" s="26" t="s">
        <v>87</v>
      </c>
      <c r="E80" s="25">
        <v>2016.0</v>
      </c>
      <c r="F80" s="25">
        <v>2022.0</v>
      </c>
      <c r="G80" s="25">
        <v>0.0</v>
      </c>
      <c r="H80" s="25">
        <v>33.5</v>
      </c>
      <c r="I80" s="50">
        <v>1.0</v>
      </c>
      <c r="J80" s="25">
        <v>33.5</v>
      </c>
      <c r="K80" s="51">
        <v>0.0</v>
      </c>
      <c r="L80" s="51">
        <v>0.0</v>
      </c>
      <c r="M80" s="25">
        <v>27.0</v>
      </c>
      <c r="N80" s="26"/>
      <c r="O80" s="26" t="s">
        <v>42</v>
      </c>
      <c r="P80" s="52">
        <v>320000.0</v>
      </c>
      <c r="Q80" s="26" t="s">
        <v>1265</v>
      </c>
      <c r="R80" s="25">
        <v>2019.0</v>
      </c>
      <c r="S80" s="25">
        <v>0.047</v>
      </c>
      <c r="T80" s="25">
        <f t="shared" si="1"/>
        <v>15040</v>
      </c>
      <c r="U80" s="24">
        <f t="shared" si="2"/>
        <v>448.9552239</v>
      </c>
      <c r="V80" s="26">
        <f>VLOOKUP(R80,CPI!$A$2:$E$67,5,0)</f>
        <v>1.191839066</v>
      </c>
      <c r="W80" s="27">
        <f t="shared" si="3"/>
        <v>17925.25955</v>
      </c>
      <c r="X80" s="27">
        <f t="shared" si="4"/>
        <v>535.0823745</v>
      </c>
      <c r="Y80" s="26" t="s">
        <v>36</v>
      </c>
      <c r="Z80" s="53" t="s">
        <v>1308</v>
      </c>
      <c r="AA80" s="178"/>
      <c r="AB80" s="172"/>
      <c r="AC80" s="172"/>
      <c r="AD80" s="172"/>
    </row>
    <row r="81">
      <c r="A81" s="26" t="s">
        <v>1262</v>
      </c>
      <c r="B81" s="26" t="s">
        <v>1303</v>
      </c>
      <c r="C81" s="1" t="s">
        <v>54</v>
      </c>
      <c r="D81" s="26" t="s">
        <v>1305</v>
      </c>
      <c r="E81" s="25">
        <v>2016.0</v>
      </c>
      <c r="F81" s="25">
        <v>2021.0</v>
      </c>
      <c r="G81" s="25">
        <v>0.0</v>
      </c>
      <c r="H81" s="25">
        <v>18.6</v>
      </c>
      <c r="I81" s="50">
        <v>0.0</v>
      </c>
      <c r="J81" s="25">
        <v>0.0</v>
      </c>
      <c r="K81" s="51">
        <v>17.48</v>
      </c>
      <c r="L81" s="51">
        <v>1.12</v>
      </c>
      <c r="M81" s="25">
        <v>17.0</v>
      </c>
      <c r="N81" s="26"/>
      <c r="O81" s="26" t="s">
        <v>42</v>
      </c>
      <c r="P81" s="52">
        <v>64100.0</v>
      </c>
      <c r="Q81" s="26" t="s">
        <v>1265</v>
      </c>
      <c r="R81" s="25">
        <v>2018.0</v>
      </c>
      <c r="S81" s="25">
        <v>0.048</v>
      </c>
      <c r="T81" s="25">
        <f t="shared" si="1"/>
        <v>3076.8</v>
      </c>
      <c r="U81" s="24">
        <f t="shared" si="2"/>
        <v>165.4193548</v>
      </c>
      <c r="V81" s="26">
        <f>VLOOKUP(R81,CPI!$A$2:$E$67,5,0)</f>
        <v>1.21343491</v>
      </c>
      <c r="W81" s="27">
        <f t="shared" si="3"/>
        <v>3733.496532</v>
      </c>
      <c r="X81" s="27">
        <f t="shared" si="4"/>
        <v>200.72562</v>
      </c>
      <c r="Y81" s="26" t="s">
        <v>42</v>
      </c>
      <c r="Z81" s="53" t="s">
        <v>1306</v>
      </c>
      <c r="AA81" s="178"/>
      <c r="AB81" s="172"/>
      <c r="AC81" s="172"/>
      <c r="AD81" s="172"/>
    </row>
    <row r="82">
      <c r="A82" s="26" t="s">
        <v>1262</v>
      </c>
      <c r="B82" s="26" t="s">
        <v>1303</v>
      </c>
      <c r="C82" s="1" t="s">
        <v>54</v>
      </c>
      <c r="D82" s="26" t="s">
        <v>1315</v>
      </c>
      <c r="E82" s="25">
        <v>2018.0</v>
      </c>
      <c r="F82" s="25">
        <v>2023.0</v>
      </c>
      <c r="G82" s="25">
        <v>0.0</v>
      </c>
      <c r="H82" s="25">
        <v>23.5</v>
      </c>
      <c r="I82" s="50">
        <v>0.0</v>
      </c>
      <c r="J82" s="25">
        <v>0.0</v>
      </c>
      <c r="K82" s="51">
        <v>23.5</v>
      </c>
      <c r="L82" s="51">
        <v>0.0</v>
      </c>
      <c r="M82" s="25">
        <v>22.0</v>
      </c>
      <c r="N82" s="26"/>
      <c r="O82" s="26" t="s">
        <v>60</v>
      </c>
      <c r="P82" s="52">
        <v>109860.0</v>
      </c>
      <c r="Q82" s="26" t="s">
        <v>1265</v>
      </c>
      <c r="R82" s="25">
        <v>2020.0</v>
      </c>
      <c r="S82" s="25">
        <v>0.047</v>
      </c>
      <c r="T82" s="25">
        <f t="shared" si="1"/>
        <v>5163.42</v>
      </c>
      <c r="U82" s="24">
        <f t="shared" si="2"/>
        <v>219.72</v>
      </c>
      <c r="V82" s="26">
        <f>VLOOKUP(R82,CPI!$A$2:$E$67,5,0)</f>
        <v>1.17731472</v>
      </c>
      <c r="W82" s="27">
        <f t="shared" si="3"/>
        <v>6078.970372</v>
      </c>
      <c r="X82" s="27">
        <f t="shared" si="4"/>
        <v>258.6795903</v>
      </c>
      <c r="Y82" s="26" t="s">
        <v>60</v>
      </c>
      <c r="Z82" s="53" t="s">
        <v>1316</v>
      </c>
      <c r="AA82" s="178"/>
      <c r="AB82" s="172"/>
      <c r="AC82" s="172"/>
      <c r="AD82" s="172"/>
    </row>
    <row r="83">
      <c r="A83" s="26" t="s">
        <v>1262</v>
      </c>
      <c r="B83" s="26" t="s">
        <v>1303</v>
      </c>
      <c r="C83" s="1" t="s">
        <v>110</v>
      </c>
      <c r="D83" s="26" t="s">
        <v>110</v>
      </c>
      <c r="E83" s="25">
        <v>2018.0</v>
      </c>
      <c r="F83" s="25">
        <v>2022.0</v>
      </c>
      <c r="G83" s="25">
        <v>0.0</v>
      </c>
      <c r="H83" s="25">
        <v>32.3</v>
      </c>
      <c r="I83" s="50">
        <v>0.0</v>
      </c>
      <c r="J83" s="25">
        <v>0.0</v>
      </c>
      <c r="K83" s="51">
        <v>31.71</v>
      </c>
      <c r="L83" s="51">
        <v>0.59</v>
      </c>
      <c r="M83" s="25">
        <v>32.0</v>
      </c>
      <c r="N83" s="26"/>
      <c r="O83" s="26" t="s">
        <v>60</v>
      </c>
      <c r="P83" s="52">
        <v>145490.0</v>
      </c>
      <c r="Q83" s="26" t="s">
        <v>1265</v>
      </c>
      <c r="R83" s="25">
        <v>2020.0</v>
      </c>
      <c r="S83" s="25">
        <v>0.047</v>
      </c>
      <c r="T83" s="25">
        <f t="shared" si="1"/>
        <v>6838.03</v>
      </c>
      <c r="U83" s="24">
        <f t="shared" si="2"/>
        <v>211.7037152</v>
      </c>
      <c r="V83" s="26">
        <f>VLOOKUP(R83,CPI!$A$2:$E$67,5,0)</f>
        <v>1.17731472</v>
      </c>
      <c r="W83" s="27">
        <f t="shared" si="3"/>
        <v>8050.513375</v>
      </c>
      <c r="X83" s="27">
        <f t="shared" si="4"/>
        <v>249.2419002</v>
      </c>
      <c r="Y83" s="26" t="s">
        <v>60</v>
      </c>
      <c r="Z83" s="57" t="s">
        <v>1310</v>
      </c>
      <c r="AA83" s="178"/>
      <c r="AB83" s="172"/>
      <c r="AC83" s="172"/>
      <c r="AD83" s="172"/>
    </row>
    <row r="84">
      <c r="A84" s="26" t="s">
        <v>1262</v>
      </c>
      <c r="B84" s="26" t="s">
        <v>1303</v>
      </c>
      <c r="C84" s="1" t="s">
        <v>110</v>
      </c>
      <c r="D84" s="26" t="s">
        <v>1311</v>
      </c>
      <c r="E84" s="25">
        <v>2019.0</v>
      </c>
      <c r="F84" s="25">
        <v>2022.0</v>
      </c>
      <c r="G84" s="25">
        <v>0.0</v>
      </c>
      <c r="H84" s="25">
        <v>2.7</v>
      </c>
      <c r="I84" s="50">
        <v>0.0</v>
      </c>
      <c r="J84" s="25">
        <v>0.0</v>
      </c>
      <c r="K84" s="51">
        <v>0.0</v>
      </c>
      <c r="L84" s="51">
        <v>0.0</v>
      </c>
      <c r="M84" s="25">
        <v>2.0</v>
      </c>
      <c r="N84" s="26"/>
      <c r="O84" s="26" t="s">
        <v>60</v>
      </c>
      <c r="P84" s="52">
        <v>7860.0</v>
      </c>
      <c r="Q84" s="26" t="s">
        <v>1265</v>
      </c>
      <c r="R84" s="25">
        <v>2017.0</v>
      </c>
      <c r="S84" s="25">
        <v>0.048</v>
      </c>
      <c r="T84" s="25">
        <f t="shared" si="1"/>
        <v>377.28</v>
      </c>
      <c r="U84" s="24">
        <f t="shared" si="2"/>
        <v>139.7333333</v>
      </c>
      <c r="V84" s="26">
        <f>VLOOKUP(R84,CPI!$A$2:$E$67,5,0)</f>
        <v>1.243072781</v>
      </c>
      <c r="W84" s="27">
        <f t="shared" si="3"/>
        <v>468.9864987</v>
      </c>
      <c r="X84" s="27">
        <f t="shared" si="4"/>
        <v>173.6987032</v>
      </c>
      <c r="Y84" s="26" t="s">
        <v>60</v>
      </c>
      <c r="Z84" s="57" t="s">
        <v>1312</v>
      </c>
      <c r="AA84" s="178"/>
      <c r="AB84" s="172"/>
      <c r="AC84" s="172"/>
      <c r="AD84" s="172"/>
    </row>
    <row r="85">
      <c r="A85" s="26" t="s">
        <v>1262</v>
      </c>
      <c r="B85" s="26" t="s">
        <v>1303</v>
      </c>
      <c r="C85" s="26" t="s">
        <v>84</v>
      </c>
      <c r="D85" s="26" t="s">
        <v>84</v>
      </c>
      <c r="E85" s="25">
        <v>2017.0</v>
      </c>
      <c r="F85" s="25">
        <v>2024.0</v>
      </c>
      <c r="G85" s="25">
        <v>0.0</v>
      </c>
      <c r="H85" s="25">
        <v>24.9</v>
      </c>
      <c r="I85" s="50">
        <v>0.0</v>
      </c>
      <c r="J85" s="25">
        <v>0.0</v>
      </c>
      <c r="K85" s="51">
        <v>0.0</v>
      </c>
      <c r="L85" s="51">
        <v>0.0</v>
      </c>
      <c r="M85" s="25">
        <v>16.0</v>
      </c>
      <c r="N85" s="26"/>
      <c r="O85" s="26" t="s">
        <v>60</v>
      </c>
      <c r="P85" s="52">
        <v>84165.0</v>
      </c>
      <c r="Q85" s="26" t="s">
        <v>1265</v>
      </c>
      <c r="R85" s="25">
        <v>2020.0</v>
      </c>
      <c r="S85" s="25">
        <v>0.047</v>
      </c>
      <c r="T85" s="25">
        <f t="shared" si="1"/>
        <v>3955.755</v>
      </c>
      <c r="U85" s="24">
        <f t="shared" si="2"/>
        <v>158.8656627</v>
      </c>
      <c r="V85" s="26">
        <f>VLOOKUP(R85,CPI!$A$2:$E$67,5,0)</f>
        <v>1.17731472</v>
      </c>
      <c r="W85" s="27">
        <f t="shared" si="3"/>
        <v>4657.16859</v>
      </c>
      <c r="X85" s="27">
        <f t="shared" si="4"/>
        <v>187.0348831</v>
      </c>
      <c r="Y85" s="26" t="s">
        <v>60</v>
      </c>
      <c r="Z85" s="53" t="s">
        <v>1317</v>
      </c>
      <c r="AA85" s="178"/>
      <c r="AB85" s="172"/>
      <c r="AC85" s="172"/>
      <c r="AD85" s="172"/>
    </row>
    <row r="86">
      <c r="A86" s="26" t="s">
        <v>1262</v>
      </c>
      <c r="B86" s="26" t="s">
        <v>1303</v>
      </c>
      <c r="C86" s="26" t="s">
        <v>80</v>
      </c>
      <c r="D86" s="26" t="s">
        <v>80</v>
      </c>
      <c r="E86" s="25">
        <v>2017.0</v>
      </c>
      <c r="F86" s="25">
        <v>2022.0</v>
      </c>
      <c r="G86" s="25">
        <v>0.0</v>
      </c>
      <c r="H86" s="25">
        <v>14.5</v>
      </c>
      <c r="I86" s="50">
        <v>0.0</v>
      </c>
      <c r="J86" s="25">
        <v>0.0</v>
      </c>
      <c r="K86" s="51">
        <v>14.5</v>
      </c>
      <c r="L86" s="51">
        <v>0.0</v>
      </c>
      <c r="M86" s="25">
        <v>13.0</v>
      </c>
      <c r="N86" s="26"/>
      <c r="O86" s="26" t="s">
        <v>74</v>
      </c>
      <c r="P86" s="52">
        <v>55670.0</v>
      </c>
      <c r="Q86" s="26" t="s">
        <v>1265</v>
      </c>
      <c r="R86" s="25">
        <v>2016.0</v>
      </c>
      <c r="S86" s="25">
        <v>0.05</v>
      </c>
      <c r="T86" s="25">
        <f t="shared" si="1"/>
        <v>2783.5</v>
      </c>
      <c r="U86" s="24">
        <f t="shared" si="2"/>
        <v>191.9655172</v>
      </c>
      <c r="V86" s="26">
        <f>VLOOKUP(R86,CPI!$A$2:$E$67,5,0)</f>
        <v>1.269554638</v>
      </c>
      <c r="W86" s="27">
        <f t="shared" si="3"/>
        <v>3533.805335</v>
      </c>
      <c r="X86" s="27">
        <f t="shared" si="4"/>
        <v>243.7107127</v>
      </c>
      <c r="Y86" s="26" t="s">
        <v>42</v>
      </c>
      <c r="Z86" s="57" t="s">
        <v>1309</v>
      </c>
      <c r="AA86" s="178"/>
      <c r="AB86" s="172"/>
      <c r="AC86" s="172"/>
      <c r="AD86" s="172"/>
    </row>
    <row r="87">
      <c r="A87" s="26" t="s">
        <v>1262</v>
      </c>
      <c r="B87" s="26" t="s">
        <v>1303</v>
      </c>
      <c r="C87" s="26" t="s">
        <v>228</v>
      </c>
      <c r="D87" s="26" t="s">
        <v>228</v>
      </c>
      <c r="E87" s="25">
        <v>2016.0</v>
      </c>
      <c r="F87" s="25">
        <v>2021.0</v>
      </c>
      <c r="G87" s="25">
        <v>0.0</v>
      </c>
      <c r="H87" s="25">
        <v>16.5</v>
      </c>
      <c r="I87" s="50">
        <v>0.0</v>
      </c>
      <c r="J87" s="25">
        <v>0.0</v>
      </c>
      <c r="K87" s="51">
        <v>15.505</v>
      </c>
      <c r="L87" s="51">
        <v>0.995</v>
      </c>
      <c r="M87" s="25">
        <v>14.0</v>
      </c>
      <c r="N87" s="26"/>
      <c r="O87" s="26" t="s">
        <v>74</v>
      </c>
      <c r="P87" s="52">
        <v>62080.0</v>
      </c>
      <c r="Q87" s="26" t="s">
        <v>1265</v>
      </c>
      <c r="R87" s="25">
        <v>2018.0</v>
      </c>
      <c r="S87" s="25">
        <v>0.048</v>
      </c>
      <c r="T87" s="25">
        <f t="shared" si="1"/>
        <v>2979.84</v>
      </c>
      <c r="U87" s="24">
        <f t="shared" si="2"/>
        <v>180.5963636</v>
      </c>
      <c r="V87" s="26">
        <f>VLOOKUP(R87,CPI!$A$2:$E$67,5,0)</f>
        <v>1.21343491</v>
      </c>
      <c r="W87" s="27">
        <f t="shared" si="3"/>
        <v>3615.841883</v>
      </c>
      <c r="X87" s="27">
        <f t="shared" si="4"/>
        <v>219.1419323</v>
      </c>
      <c r="Y87" s="26" t="s">
        <v>42</v>
      </c>
      <c r="Z87" s="57" t="s">
        <v>1307</v>
      </c>
      <c r="AA87" s="178"/>
      <c r="AB87" s="172"/>
      <c r="AC87" s="172"/>
      <c r="AD87" s="172"/>
    </row>
    <row r="88">
      <c r="A88" s="26" t="s">
        <v>1262</v>
      </c>
      <c r="B88" s="26" t="s">
        <v>1303</v>
      </c>
      <c r="C88" s="26" t="s">
        <v>1313</v>
      </c>
      <c r="D88" s="26" t="s">
        <v>1313</v>
      </c>
      <c r="E88" s="25">
        <v>2019.0</v>
      </c>
      <c r="F88" s="25">
        <v>2022.0</v>
      </c>
      <c r="G88" s="25">
        <v>0.0</v>
      </c>
      <c r="H88" s="25">
        <v>13.5</v>
      </c>
      <c r="I88" s="50">
        <v>0.16</v>
      </c>
      <c r="J88" s="25">
        <v>2.2</v>
      </c>
      <c r="K88" s="51">
        <v>0.0</v>
      </c>
      <c r="L88" s="51">
        <v>0.0</v>
      </c>
      <c r="M88" s="25">
        <v>11.0</v>
      </c>
      <c r="N88" s="26"/>
      <c r="O88" s="26" t="s">
        <v>60</v>
      </c>
      <c r="P88" s="52">
        <v>65180.0</v>
      </c>
      <c r="Q88" s="26" t="s">
        <v>1265</v>
      </c>
      <c r="R88" s="25">
        <v>2020.0</v>
      </c>
      <c r="S88" s="25">
        <v>0.047</v>
      </c>
      <c r="T88" s="25">
        <f t="shared" si="1"/>
        <v>3063.46</v>
      </c>
      <c r="U88" s="24">
        <f t="shared" si="2"/>
        <v>226.922963</v>
      </c>
      <c r="V88" s="26">
        <f>VLOOKUP(R88,CPI!$A$2:$E$67,5,0)</f>
        <v>1.17731472</v>
      </c>
      <c r="W88" s="27">
        <f t="shared" si="3"/>
        <v>3606.656552</v>
      </c>
      <c r="X88" s="27">
        <f t="shared" si="4"/>
        <v>267.1597446</v>
      </c>
      <c r="Y88" s="26" t="s">
        <v>60</v>
      </c>
      <c r="Z88" s="57" t="s">
        <v>1314</v>
      </c>
      <c r="AA88" s="178"/>
      <c r="AB88" s="172"/>
      <c r="AC88" s="172"/>
      <c r="AD88" s="172"/>
    </row>
    <row r="89">
      <c r="A89" s="26" t="s">
        <v>1262</v>
      </c>
      <c r="B89" s="26" t="s">
        <v>1303</v>
      </c>
      <c r="C89" s="26" t="s">
        <v>239</v>
      </c>
      <c r="D89" s="26" t="s">
        <v>239</v>
      </c>
      <c r="E89" s="25">
        <v>2020.0</v>
      </c>
      <c r="F89" s="25">
        <v>2024.0</v>
      </c>
      <c r="G89" s="25">
        <v>0.0</v>
      </c>
      <c r="H89" s="25">
        <v>9.2</v>
      </c>
      <c r="I89" s="50">
        <v>0.08</v>
      </c>
      <c r="J89" s="25">
        <v>0.7</v>
      </c>
      <c r="K89" s="51">
        <v>0.0</v>
      </c>
      <c r="L89" s="51">
        <v>0.0</v>
      </c>
      <c r="M89" s="25">
        <v>4.0</v>
      </c>
      <c r="N89" s="26"/>
      <c r="O89" s="26" t="s">
        <v>60</v>
      </c>
      <c r="P89" s="52">
        <v>38210.0</v>
      </c>
      <c r="Q89" s="26" t="s">
        <v>1265</v>
      </c>
      <c r="R89" s="25">
        <v>2018.0</v>
      </c>
      <c r="S89" s="25">
        <v>0.048</v>
      </c>
      <c r="T89" s="25">
        <f t="shared" si="1"/>
        <v>1834.08</v>
      </c>
      <c r="U89" s="24">
        <f t="shared" si="2"/>
        <v>199.3565217</v>
      </c>
      <c r="V89" s="26">
        <f>VLOOKUP(R89,CPI!$A$2:$E$67,5,0)</f>
        <v>1.21343491</v>
      </c>
      <c r="W89" s="27">
        <f t="shared" si="3"/>
        <v>2225.5367</v>
      </c>
      <c r="X89" s="27">
        <f t="shared" si="4"/>
        <v>241.9061631</v>
      </c>
      <c r="Y89" s="26" t="s">
        <v>60</v>
      </c>
      <c r="Z89" s="53" t="s">
        <v>1318</v>
      </c>
      <c r="AA89" s="178"/>
      <c r="AB89" s="172"/>
      <c r="AC89" s="172"/>
      <c r="AD89" s="172"/>
    </row>
    <row r="90">
      <c r="A90" s="26" t="s">
        <v>1262</v>
      </c>
      <c r="B90" s="26" t="s">
        <v>1303</v>
      </c>
      <c r="C90" s="26" t="s">
        <v>292</v>
      </c>
      <c r="D90" s="26" t="s">
        <v>292</v>
      </c>
      <c r="E90" s="25">
        <v>2020.0</v>
      </c>
      <c r="F90" s="25">
        <v>2026.0</v>
      </c>
      <c r="G90" s="25">
        <v>0.0</v>
      </c>
      <c r="H90" s="25">
        <v>12.8</v>
      </c>
      <c r="I90" s="50">
        <v>0.69</v>
      </c>
      <c r="J90" s="25">
        <v>8.8</v>
      </c>
      <c r="K90" s="51">
        <v>0.0</v>
      </c>
      <c r="L90" s="51">
        <v>0.0</v>
      </c>
      <c r="M90" s="25">
        <v>10.0</v>
      </c>
      <c r="N90" s="26"/>
      <c r="O90" s="26" t="s">
        <v>60</v>
      </c>
      <c r="P90" s="52">
        <v>70850.0</v>
      </c>
      <c r="Q90" s="26" t="s">
        <v>1265</v>
      </c>
      <c r="R90" s="25">
        <v>2018.0</v>
      </c>
      <c r="S90" s="25">
        <v>0.048</v>
      </c>
      <c r="T90" s="25">
        <f t="shared" si="1"/>
        <v>3400.8</v>
      </c>
      <c r="U90" s="24">
        <f t="shared" si="2"/>
        <v>265.6875</v>
      </c>
      <c r="V90" s="26">
        <f>VLOOKUP(R90,CPI!$A$2:$E$67,5,0)</f>
        <v>1.21343491</v>
      </c>
      <c r="W90" s="27">
        <f t="shared" si="3"/>
        <v>4126.649443</v>
      </c>
      <c r="X90" s="27">
        <f t="shared" si="4"/>
        <v>322.3944877</v>
      </c>
      <c r="Y90" s="26" t="s">
        <v>60</v>
      </c>
      <c r="Z90" s="53" t="s">
        <v>1319</v>
      </c>
      <c r="AA90" s="178"/>
      <c r="AB90" s="172"/>
      <c r="AC90" s="172"/>
      <c r="AD90" s="172"/>
    </row>
    <row r="91">
      <c r="A91" s="26" t="s">
        <v>1262</v>
      </c>
      <c r="B91" s="26" t="s">
        <v>1303</v>
      </c>
      <c r="C91" s="26" t="s">
        <v>287</v>
      </c>
      <c r="D91" s="26" t="s">
        <v>287</v>
      </c>
      <c r="E91" s="25">
        <v>2020.0</v>
      </c>
      <c r="F91" s="25">
        <v>2026.0</v>
      </c>
      <c r="G91" s="25">
        <v>0.0</v>
      </c>
      <c r="H91" s="25">
        <v>20.8</v>
      </c>
      <c r="I91" s="50">
        <v>0.0</v>
      </c>
      <c r="J91" s="25">
        <v>0.0</v>
      </c>
      <c r="K91" s="51">
        <v>0.0</v>
      </c>
      <c r="L91" s="51">
        <v>0.0</v>
      </c>
      <c r="M91" s="25">
        <v>17.0</v>
      </c>
      <c r="N91" s="26"/>
      <c r="O91" s="26" t="s">
        <v>60</v>
      </c>
      <c r="P91" s="52">
        <v>47380.0</v>
      </c>
      <c r="Q91" s="26" t="s">
        <v>1265</v>
      </c>
      <c r="R91" s="25">
        <v>2018.0</v>
      </c>
      <c r="S91" s="25">
        <v>0.048</v>
      </c>
      <c r="T91" s="25">
        <f t="shared" si="1"/>
        <v>2274.24</v>
      </c>
      <c r="U91" s="24">
        <f t="shared" si="2"/>
        <v>109.3384615</v>
      </c>
      <c r="V91" s="26">
        <f>VLOOKUP(R91,CPI!$A$2:$E$67,5,0)</f>
        <v>1.21343491</v>
      </c>
      <c r="W91" s="27">
        <f t="shared" si="3"/>
        <v>2759.64221</v>
      </c>
      <c r="X91" s="27">
        <f t="shared" si="4"/>
        <v>132.6751063</v>
      </c>
      <c r="Y91" s="26" t="s">
        <v>60</v>
      </c>
      <c r="Z91" s="53" t="s">
        <v>1320</v>
      </c>
      <c r="AA91" s="178"/>
      <c r="AB91" s="172"/>
      <c r="AC91" s="172"/>
      <c r="AD91" s="172"/>
    </row>
    <row r="92">
      <c r="A92" s="26" t="s">
        <v>1202</v>
      </c>
      <c r="B92" s="26" t="s">
        <v>1203</v>
      </c>
      <c r="C92" s="26" t="s">
        <v>110</v>
      </c>
      <c r="D92" s="26" t="s">
        <v>110</v>
      </c>
      <c r="E92" s="25">
        <v>2019.0</v>
      </c>
      <c r="F92" s="25">
        <v>2027.0</v>
      </c>
      <c r="G92" s="25">
        <v>0.0</v>
      </c>
      <c r="H92" s="25">
        <v>12.8</v>
      </c>
      <c r="I92" s="50">
        <v>1.0</v>
      </c>
      <c r="J92" s="25">
        <v>12.8</v>
      </c>
      <c r="K92" s="51">
        <v>0.0</v>
      </c>
      <c r="L92" s="51">
        <v>0.0</v>
      </c>
      <c r="M92" s="25">
        <v>15.0</v>
      </c>
      <c r="N92" s="26"/>
      <c r="O92" s="26" t="s">
        <v>60</v>
      </c>
      <c r="P92" s="52">
        <v>1328.0</v>
      </c>
      <c r="Q92" s="26" t="s">
        <v>52</v>
      </c>
      <c r="R92" s="25">
        <v>2023.0</v>
      </c>
      <c r="S92" s="25">
        <v>1.3</v>
      </c>
      <c r="T92" s="25">
        <f t="shared" si="1"/>
        <v>1726.4</v>
      </c>
      <c r="U92" s="24">
        <f t="shared" si="2"/>
        <v>134.875</v>
      </c>
      <c r="V92" s="26">
        <f>VLOOKUP(R92,CPI!$A$2:$E$67,5,0)</f>
        <v>1</v>
      </c>
      <c r="W92" s="27">
        <f t="shared" si="3"/>
        <v>1726.4</v>
      </c>
      <c r="X92" s="27">
        <f t="shared" si="4"/>
        <v>134.875</v>
      </c>
      <c r="Y92" s="26" t="s">
        <v>60</v>
      </c>
      <c r="Z92" s="53" t="s">
        <v>1206</v>
      </c>
      <c r="AA92" s="178"/>
      <c r="AB92" s="172"/>
      <c r="AC92" s="172"/>
      <c r="AD92" s="172"/>
    </row>
    <row r="93">
      <c r="A93" s="26" t="s">
        <v>1202</v>
      </c>
      <c r="B93" s="26" t="s">
        <v>1203</v>
      </c>
      <c r="C93" s="1" t="s">
        <v>87</v>
      </c>
      <c r="D93" s="26" t="s">
        <v>1204</v>
      </c>
      <c r="E93" s="25">
        <v>2012.0</v>
      </c>
      <c r="F93" s="25">
        <v>2021.0</v>
      </c>
      <c r="G93" s="25">
        <v>0.0</v>
      </c>
      <c r="H93" s="25">
        <v>7.6</v>
      </c>
      <c r="I93" s="50">
        <v>1.0</v>
      </c>
      <c r="J93" s="25">
        <v>7.6</v>
      </c>
      <c r="K93" s="51">
        <v>0.0</v>
      </c>
      <c r="L93" s="51">
        <v>0.0</v>
      </c>
      <c r="M93" s="25">
        <v>6.0</v>
      </c>
      <c r="N93" s="26"/>
      <c r="O93" s="26" t="s">
        <v>60</v>
      </c>
      <c r="P93" s="52">
        <v>742.0</v>
      </c>
      <c r="Q93" s="26" t="s">
        <v>52</v>
      </c>
      <c r="R93" s="25">
        <v>2016.0</v>
      </c>
      <c r="S93" s="25">
        <v>1.3</v>
      </c>
      <c r="T93" s="25">
        <f t="shared" si="1"/>
        <v>964.6</v>
      </c>
      <c r="U93" s="24">
        <f t="shared" si="2"/>
        <v>126.9210526</v>
      </c>
      <c r="V93" s="26">
        <f>VLOOKUP(R93,CPI!$A$2:$E$67,5,0)</f>
        <v>1.269554638</v>
      </c>
      <c r="W93" s="27">
        <f t="shared" si="3"/>
        <v>1224.612404</v>
      </c>
      <c r="X93" s="27">
        <f t="shared" si="4"/>
        <v>161.133211</v>
      </c>
      <c r="Y93" s="26" t="s">
        <v>60</v>
      </c>
      <c r="Z93" s="57" t="s">
        <v>1205</v>
      </c>
      <c r="AA93" s="178"/>
      <c r="AB93" s="172"/>
      <c r="AC93" s="172"/>
      <c r="AD93" s="172"/>
    </row>
    <row r="94">
      <c r="A94" s="2" t="s">
        <v>1202</v>
      </c>
      <c r="B94" s="2" t="s">
        <v>1207</v>
      </c>
      <c r="C94" s="2" t="s">
        <v>1208</v>
      </c>
      <c r="D94" s="2" t="s">
        <v>1208</v>
      </c>
      <c r="E94" s="3">
        <v>2006.0</v>
      </c>
      <c r="F94" s="3">
        <v>2020.0</v>
      </c>
      <c r="G94" s="3">
        <v>0.0</v>
      </c>
      <c r="H94" s="3">
        <v>9.5</v>
      </c>
      <c r="I94" s="39">
        <v>1.0</v>
      </c>
      <c r="J94" s="3">
        <v>9.5</v>
      </c>
      <c r="K94" s="40">
        <v>0.0</v>
      </c>
      <c r="L94" s="40">
        <v>0.0</v>
      </c>
      <c r="M94" s="3">
        <v>13.0</v>
      </c>
      <c r="N94" s="2"/>
      <c r="O94" s="2" t="s">
        <v>60</v>
      </c>
      <c r="P94" s="41">
        <v>1112.0</v>
      </c>
      <c r="Q94" s="2" t="s">
        <v>52</v>
      </c>
      <c r="R94" s="3">
        <v>2014.0</v>
      </c>
      <c r="S94" s="3">
        <v>1.3</v>
      </c>
      <c r="T94" s="3">
        <f t="shared" si="1"/>
        <v>1445.6</v>
      </c>
      <c r="U94" s="24">
        <f t="shared" si="2"/>
        <v>152.1684211</v>
      </c>
      <c r="V94" s="26">
        <f>VLOOKUP(R94,CPI!$A$2:$E$67,5,0)</f>
        <v>1.287096175</v>
      </c>
      <c r="W94" s="27">
        <f t="shared" si="3"/>
        <v>1860.62623</v>
      </c>
      <c r="X94" s="27">
        <f t="shared" si="4"/>
        <v>195.8553926</v>
      </c>
      <c r="Y94" s="2" t="s">
        <v>60</v>
      </c>
      <c r="Z94" s="42" t="s">
        <v>1209</v>
      </c>
      <c r="AA94" s="178"/>
      <c r="AB94" s="172"/>
      <c r="AC94" s="172"/>
      <c r="AD94" s="172"/>
    </row>
    <row r="95">
      <c r="A95" s="2" t="s">
        <v>1202</v>
      </c>
      <c r="B95" s="2" t="s">
        <v>1207</v>
      </c>
      <c r="C95" s="2" t="s">
        <v>1210</v>
      </c>
      <c r="D95" s="2" t="s">
        <v>1210</v>
      </c>
      <c r="E95" s="3">
        <v>2013.0</v>
      </c>
      <c r="F95" s="3">
        <v>2021.0</v>
      </c>
      <c r="G95" s="3">
        <v>0.0</v>
      </c>
      <c r="H95" s="3">
        <v>4.8</v>
      </c>
      <c r="I95" s="39">
        <v>1.0</v>
      </c>
      <c r="J95" s="3">
        <v>4.8</v>
      </c>
      <c r="K95" s="40">
        <v>0.0</v>
      </c>
      <c r="L95" s="40">
        <v>0.0</v>
      </c>
      <c r="M95" s="3">
        <v>5.0</v>
      </c>
      <c r="N95" s="2"/>
      <c r="O95" s="2" t="s">
        <v>60</v>
      </c>
      <c r="P95" s="41">
        <v>567.0</v>
      </c>
      <c r="Q95" s="2" t="s">
        <v>52</v>
      </c>
      <c r="R95" s="3">
        <v>2017.0</v>
      </c>
      <c r="S95" s="3">
        <v>1.3</v>
      </c>
      <c r="T95" s="3">
        <f t="shared" si="1"/>
        <v>737.1</v>
      </c>
      <c r="U95" s="24">
        <f t="shared" si="2"/>
        <v>153.5625</v>
      </c>
      <c r="V95" s="26">
        <f>VLOOKUP(R95,CPI!$A$2:$E$67,5,0)</f>
        <v>1.243072781</v>
      </c>
      <c r="W95" s="27">
        <f t="shared" si="3"/>
        <v>916.2689466</v>
      </c>
      <c r="X95" s="27">
        <f t="shared" si="4"/>
        <v>190.8893639</v>
      </c>
      <c r="Y95" s="2" t="s">
        <v>60</v>
      </c>
      <c r="Z95" s="42" t="s">
        <v>1205</v>
      </c>
      <c r="AA95" s="178"/>
      <c r="AB95" s="172"/>
      <c r="AC95" s="172"/>
      <c r="AD95" s="172"/>
    </row>
    <row r="96">
      <c r="A96" s="26" t="s">
        <v>1443</v>
      </c>
      <c r="B96" s="26" t="s">
        <v>1444</v>
      </c>
      <c r="C96" s="1" t="s">
        <v>57</v>
      </c>
      <c r="D96" s="26" t="s">
        <v>58</v>
      </c>
      <c r="E96" s="25">
        <v>2009.0</v>
      </c>
      <c r="F96" s="25">
        <v>2017.0</v>
      </c>
      <c r="G96" s="25">
        <v>0.0</v>
      </c>
      <c r="H96" s="25">
        <v>8.0</v>
      </c>
      <c r="I96" s="50">
        <v>1.0</v>
      </c>
      <c r="J96" s="25">
        <v>8.0</v>
      </c>
      <c r="K96" s="51">
        <v>0.0</v>
      </c>
      <c r="L96" s="51">
        <v>0.0</v>
      </c>
      <c r="M96" s="25">
        <v>6.0</v>
      </c>
      <c r="N96" s="26"/>
      <c r="O96" s="26" t="s">
        <v>36</v>
      </c>
      <c r="P96" s="52">
        <v>959000.0</v>
      </c>
      <c r="Q96" s="26" t="s">
        <v>1445</v>
      </c>
      <c r="R96" s="25">
        <v>2013.0</v>
      </c>
      <c r="S96" s="25">
        <v>0.00115</v>
      </c>
      <c r="T96" s="25">
        <f t="shared" si="1"/>
        <v>1102.85</v>
      </c>
      <c r="U96" s="24">
        <f t="shared" si="2"/>
        <v>137.85625</v>
      </c>
      <c r="V96" s="26">
        <f>VLOOKUP(R96,CPI!$A$2:$E$67,5,0)</f>
        <v>1.307975292</v>
      </c>
      <c r="W96" s="27">
        <f t="shared" si="3"/>
        <v>1442.50055</v>
      </c>
      <c r="X96" s="27">
        <f t="shared" si="4"/>
        <v>180.3125688</v>
      </c>
      <c r="Y96" s="26" t="s">
        <v>36</v>
      </c>
      <c r="Z96" s="53" t="s">
        <v>1446</v>
      </c>
      <c r="AA96" s="178"/>
      <c r="AB96" s="172"/>
      <c r="AC96" s="172"/>
      <c r="AD96" s="172"/>
    </row>
    <row r="97">
      <c r="A97" s="26" t="s">
        <v>1443</v>
      </c>
      <c r="B97" s="26" t="s">
        <v>1451</v>
      </c>
      <c r="C97" s="26" t="s">
        <v>1460</v>
      </c>
      <c r="D97" s="26" t="s">
        <v>1460</v>
      </c>
      <c r="E97" s="25">
        <v>2014.0</v>
      </c>
      <c r="F97" s="25">
        <v>2019.0</v>
      </c>
      <c r="G97" s="25">
        <v>0.0</v>
      </c>
      <c r="H97" s="25">
        <v>23.7</v>
      </c>
      <c r="I97" s="50">
        <v>1.0</v>
      </c>
      <c r="J97" s="25">
        <v>23.7</v>
      </c>
      <c r="K97" s="51">
        <v>0.0</v>
      </c>
      <c r="L97" s="51">
        <v>0.0</v>
      </c>
      <c r="M97" s="25">
        <v>10.0</v>
      </c>
      <c r="N97" s="26"/>
      <c r="O97" s="26" t="s">
        <v>36</v>
      </c>
      <c r="P97" s="52">
        <v>1655300.0</v>
      </c>
      <c r="Q97" s="26" t="s">
        <v>1445</v>
      </c>
      <c r="R97" s="25">
        <v>2016.0</v>
      </c>
      <c r="S97" s="25">
        <v>0.00116</v>
      </c>
      <c r="T97" s="25">
        <f t="shared" si="1"/>
        <v>1920.148</v>
      </c>
      <c r="U97" s="24">
        <f t="shared" si="2"/>
        <v>81.01890295</v>
      </c>
      <c r="V97" s="26">
        <f>VLOOKUP(R97,CPI!$A$2:$E$67,5,0)</f>
        <v>1.269554638</v>
      </c>
      <c r="W97" s="27">
        <f t="shared" si="3"/>
        <v>2437.732799</v>
      </c>
      <c r="X97" s="27">
        <f t="shared" si="4"/>
        <v>102.857924</v>
      </c>
      <c r="Y97" s="26" t="s">
        <v>42</v>
      </c>
      <c r="Z97" s="57" t="s">
        <v>1461</v>
      </c>
      <c r="AA97" s="178"/>
      <c r="AB97" s="172"/>
      <c r="AC97" s="172"/>
      <c r="AD97" s="172"/>
    </row>
    <row r="98">
      <c r="A98" s="26" t="s">
        <v>1443</v>
      </c>
      <c r="B98" s="26" t="s">
        <v>1451</v>
      </c>
      <c r="C98" s="1" t="s">
        <v>228</v>
      </c>
      <c r="D98" s="26" t="s">
        <v>1464</v>
      </c>
      <c r="E98" s="25">
        <v>2014.0</v>
      </c>
      <c r="F98" s="25">
        <v>2021.0</v>
      </c>
      <c r="G98" s="25">
        <v>0.0</v>
      </c>
      <c r="H98" s="25">
        <v>3.9</v>
      </c>
      <c r="I98" s="50">
        <v>1.0</v>
      </c>
      <c r="J98" s="25">
        <v>3.9</v>
      </c>
      <c r="K98" s="51">
        <v>0.0</v>
      </c>
      <c r="L98" s="51">
        <v>0.0</v>
      </c>
      <c r="M98" s="25">
        <v>2.0</v>
      </c>
      <c r="N98" s="26"/>
      <c r="O98" s="26" t="s">
        <v>74</v>
      </c>
      <c r="P98" s="52">
        <v>432100.0</v>
      </c>
      <c r="Q98" s="26" t="s">
        <v>1445</v>
      </c>
      <c r="R98" s="25">
        <v>2017.0</v>
      </c>
      <c r="S98" s="25">
        <v>0.0011</v>
      </c>
      <c r="T98" s="25">
        <f t="shared" si="1"/>
        <v>475.31</v>
      </c>
      <c r="U98" s="24">
        <f t="shared" si="2"/>
        <v>121.874359</v>
      </c>
      <c r="V98" s="26">
        <f>VLOOKUP(R98,CPI!$A$2:$E$67,5,0)</f>
        <v>1.243072781</v>
      </c>
      <c r="W98" s="27">
        <f t="shared" si="3"/>
        <v>590.8449234</v>
      </c>
      <c r="X98" s="27">
        <f t="shared" si="4"/>
        <v>151.4986983</v>
      </c>
      <c r="Y98" s="26" t="s">
        <v>42</v>
      </c>
      <c r="Z98" s="53" t="s">
        <v>1465</v>
      </c>
      <c r="AA98" s="178"/>
      <c r="AB98" s="172"/>
      <c r="AC98" s="172"/>
      <c r="AD98" s="172"/>
    </row>
    <row r="99">
      <c r="A99" s="26" t="s">
        <v>1443</v>
      </c>
      <c r="B99" s="26" t="s">
        <v>1451</v>
      </c>
      <c r="C99" s="26" t="s">
        <v>1474</v>
      </c>
      <c r="D99" s="26" t="s">
        <v>1474</v>
      </c>
      <c r="E99" s="25">
        <v>2020.0</v>
      </c>
      <c r="F99" s="25">
        <v>2028.0</v>
      </c>
      <c r="G99" s="25">
        <v>0.0</v>
      </c>
      <c r="H99" s="25">
        <v>71.0</v>
      </c>
      <c r="I99" s="50">
        <v>1.0</v>
      </c>
      <c r="J99" s="25">
        <v>71.0</v>
      </c>
      <c r="K99" s="51">
        <v>0.0</v>
      </c>
      <c r="L99" s="51">
        <v>0.0</v>
      </c>
      <c r="M99" s="25">
        <v>53.0</v>
      </c>
      <c r="N99" s="26"/>
      <c r="O99" s="26" t="s">
        <v>42</v>
      </c>
      <c r="P99" s="52">
        <v>7230200.0</v>
      </c>
      <c r="Q99" s="26" t="s">
        <v>1445</v>
      </c>
      <c r="R99" s="25">
        <v>2024.0</v>
      </c>
      <c r="S99" s="25">
        <v>0.0011</v>
      </c>
      <c r="T99" s="25">
        <f t="shared" si="1"/>
        <v>7953.22</v>
      </c>
      <c r="U99" s="24">
        <f t="shared" si="2"/>
        <v>112.0171831</v>
      </c>
      <c r="V99" s="26">
        <f>VLOOKUP(R99,CPI!$A$2:$E$67,5,0)</f>
        <v>1</v>
      </c>
      <c r="W99" s="27">
        <f t="shared" si="3"/>
        <v>7953.22</v>
      </c>
      <c r="X99" s="27">
        <f t="shared" si="4"/>
        <v>112.0171831</v>
      </c>
      <c r="Y99" s="26" t="s">
        <v>42</v>
      </c>
      <c r="Z99" s="57" t="s">
        <v>1475</v>
      </c>
      <c r="AA99" s="178"/>
      <c r="AB99" s="172"/>
      <c r="AC99" s="172"/>
      <c r="AD99" s="172"/>
    </row>
    <row r="100">
      <c r="A100" s="26" t="s">
        <v>1730</v>
      </c>
      <c r="B100" s="26" t="s">
        <v>1731</v>
      </c>
      <c r="C100" s="1" t="s">
        <v>1732</v>
      </c>
      <c r="D100" s="26" t="s">
        <v>1740</v>
      </c>
      <c r="E100" s="25">
        <v>2017.0</v>
      </c>
      <c r="F100" s="25">
        <v>2025.0</v>
      </c>
      <c r="G100" s="25">
        <v>0.0</v>
      </c>
      <c r="H100" s="25">
        <v>4.0</v>
      </c>
      <c r="I100" s="50">
        <v>1.0</v>
      </c>
      <c r="J100" s="25">
        <v>4.0</v>
      </c>
      <c r="K100" s="51">
        <v>0.0</v>
      </c>
      <c r="L100" s="51">
        <v>0.0</v>
      </c>
      <c r="M100" s="25">
        <v>3.0</v>
      </c>
      <c r="N100" s="26"/>
      <c r="O100" s="26" t="s">
        <v>42</v>
      </c>
      <c r="P100" s="52">
        <v>4850.0</v>
      </c>
      <c r="Q100" s="26" t="s">
        <v>1734</v>
      </c>
      <c r="R100" s="25">
        <v>2021.0</v>
      </c>
      <c r="S100" s="25">
        <v>1.13</v>
      </c>
      <c r="T100" s="25">
        <f t="shared" si="1"/>
        <v>5480.5</v>
      </c>
      <c r="U100" s="24">
        <f t="shared" si="2"/>
        <v>1370.125</v>
      </c>
      <c r="V100" s="26">
        <f>VLOOKUP(R100,CPI!$A$2:$E$67,5,0)</f>
        <v>1.124486105</v>
      </c>
      <c r="W100" s="27">
        <f t="shared" si="3"/>
        <v>6162.746101</v>
      </c>
      <c r="X100" s="27">
        <f t="shared" si="4"/>
        <v>1540.686525</v>
      </c>
      <c r="Y100" s="26" t="s">
        <v>42</v>
      </c>
      <c r="Z100" s="53" t="s">
        <v>1741</v>
      </c>
      <c r="AA100" s="178"/>
      <c r="AB100" s="172"/>
      <c r="AC100" s="172"/>
      <c r="AD100" s="172"/>
    </row>
    <row r="101">
      <c r="A101" s="26" t="s">
        <v>1165</v>
      </c>
      <c r="B101" s="26" t="s">
        <v>1174</v>
      </c>
      <c r="C101" s="1" t="s">
        <v>287</v>
      </c>
      <c r="D101" s="26" t="s">
        <v>1187</v>
      </c>
      <c r="E101" s="25">
        <v>2012.0</v>
      </c>
      <c r="F101" s="25">
        <v>2021.0</v>
      </c>
      <c r="G101" s="25">
        <v>0.0</v>
      </c>
      <c r="H101" s="25">
        <v>1.7</v>
      </c>
      <c r="I101" s="50">
        <v>1.0</v>
      </c>
      <c r="J101" s="25">
        <v>1.7</v>
      </c>
      <c r="K101" s="51">
        <v>0.0</v>
      </c>
      <c r="L101" s="51">
        <v>0.0</v>
      </c>
      <c r="M101" s="25">
        <v>2.0</v>
      </c>
      <c r="N101" s="26"/>
      <c r="O101" s="26" t="s">
        <v>60</v>
      </c>
      <c r="P101" s="52">
        <v>175.1</v>
      </c>
      <c r="Q101" s="26" t="s">
        <v>52</v>
      </c>
      <c r="R101" s="25">
        <v>2006.0</v>
      </c>
      <c r="S101" s="25">
        <v>1.25</v>
      </c>
      <c r="T101" s="25">
        <f t="shared" si="1"/>
        <v>218.875</v>
      </c>
      <c r="U101" s="24">
        <f t="shared" si="2"/>
        <v>128.75</v>
      </c>
      <c r="V101" s="26">
        <f>VLOOKUP(R101,CPI!$A$2:$E$67,5,0)</f>
        <v>1.511418651</v>
      </c>
      <c r="W101" s="27">
        <f t="shared" si="3"/>
        <v>330.8117572</v>
      </c>
      <c r="X101" s="27">
        <f t="shared" si="4"/>
        <v>194.5951513</v>
      </c>
      <c r="Y101" s="26" t="s">
        <v>60</v>
      </c>
      <c r="Z101" s="57" t="s">
        <v>1188</v>
      </c>
      <c r="AA101" s="178"/>
      <c r="AB101" s="172"/>
      <c r="AC101" s="172"/>
      <c r="AD101" s="172"/>
    </row>
    <row r="102">
      <c r="A102" s="26" t="s">
        <v>1165</v>
      </c>
      <c r="B102" s="26" t="s">
        <v>1174</v>
      </c>
      <c r="C102" s="1" t="s">
        <v>57</v>
      </c>
      <c r="D102" s="26" t="s">
        <v>58</v>
      </c>
      <c r="E102" s="25">
        <v>2021.0</v>
      </c>
      <c r="F102" s="25">
        <v>2030.0</v>
      </c>
      <c r="G102" s="25">
        <v>0.0</v>
      </c>
      <c r="H102" s="25">
        <v>4.9</v>
      </c>
      <c r="I102" s="50">
        <v>1.0</v>
      </c>
      <c r="J102" s="25">
        <v>4.9</v>
      </c>
      <c r="K102" s="51">
        <v>0.0</v>
      </c>
      <c r="L102" s="51">
        <v>0.0</v>
      </c>
      <c r="M102" s="25">
        <v>3.0</v>
      </c>
      <c r="N102" s="26"/>
      <c r="O102" s="26" t="s">
        <v>60</v>
      </c>
      <c r="P102" s="52">
        <v>1385.0</v>
      </c>
      <c r="Q102" s="26" t="s">
        <v>52</v>
      </c>
      <c r="R102" s="25">
        <v>2017.0</v>
      </c>
      <c r="S102" s="25">
        <v>1.3</v>
      </c>
      <c r="T102" s="25">
        <f t="shared" si="1"/>
        <v>1800.5</v>
      </c>
      <c r="U102" s="24">
        <f t="shared" si="2"/>
        <v>367.4489796</v>
      </c>
      <c r="V102" s="26">
        <f>VLOOKUP(R102,CPI!$A$2:$E$67,5,0)</f>
        <v>1.243072781</v>
      </c>
      <c r="W102" s="27">
        <f t="shared" si="3"/>
        <v>2238.152542</v>
      </c>
      <c r="X102" s="27">
        <f t="shared" si="4"/>
        <v>456.7658248</v>
      </c>
      <c r="Y102" s="26" t="s">
        <v>42</v>
      </c>
      <c r="Z102" s="53" t="s">
        <v>1197</v>
      </c>
      <c r="AA102" s="178"/>
      <c r="AB102" s="172"/>
      <c r="AC102" s="172"/>
      <c r="AD102" s="172"/>
    </row>
    <row r="103">
      <c r="A103" s="26" t="s">
        <v>1861</v>
      </c>
      <c r="B103" s="26" t="s">
        <v>1862</v>
      </c>
      <c r="C103" s="1" t="s">
        <v>1863</v>
      </c>
      <c r="D103" s="26" t="s">
        <v>1864</v>
      </c>
      <c r="E103" s="25">
        <v>1993.0</v>
      </c>
      <c r="F103" s="25">
        <v>1999.0</v>
      </c>
      <c r="G103" s="25">
        <v>0.0</v>
      </c>
      <c r="H103" s="25">
        <v>16.0</v>
      </c>
      <c r="I103" s="50">
        <v>0.8</v>
      </c>
      <c r="J103" s="25">
        <v>12.8</v>
      </c>
      <c r="K103" s="51">
        <v>0.0</v>
      </c>
      <c r="L103" s="51">
        <v>0.0</v>
      </c>
      <c r="M103" s="58">
        <v>11.0</v>
      </c>
      <c r="N103" s="26"/>
      <c r="O103" s="26" t="s">
        <v>74</v>
      </c>
      <c r="P103" s="52">
        <v>3500.0</v>
      </c>
      <c r="Q103" s="26" t="s">
        <v>1865</v>
      </c>
      <c r="R103" s="25">
        <v>1996.0</v>
      </c>
      <c r="S103" s="25">
        <v>1.4</v>
      </c>
      <c r="T103" s="25">
        <f t="shared" si="1"/>
        <v>4900</v>
      </c>
      <c r="U103" s="24">
        <f t="shared" si="2"/>
        <v>306.25</v>
      </c>
      <c r="V103" s="26">
        <f>VLOOKUP(R103,CPI!$A$2:$E$67,5,0)</f>
        <v>1.942014022</v>
      </c>
      <c r="W103" s="27">
        <f t="shared" si="3"/>
        <v>9515.868706</v>
      </c>
      <c r="X103" s="27">
        <f t="shared" si="4"/>
        <v>594.7417941</v>
      </c>
      <c r="Y103" s="26" t="s">
        <v>42</v>
      </c>
      <c r="Z103" s="53" t="s">
        <v>2135</v>
      </c>
      <c r="AA103" s="179"/>
      <c r="AB103" s="60"/>
      <c r="AC103" s="60"/>
      <c r="AD103" s="60"/>
    </row>
    <row r="104">
      <c r="A104" s="26" t="s">
        <v>224</v>
      </c>
      <c r="B104" s="26" t="s">
        <v>225</v>
      </c>
      <c r="C104" s="26" t="s">
        <v>228</v>
      </c>
      <c r="D104" s="26" t="s">
        <v>228</v>
      </c>
      <c r="E104" s="25">
        <v>2021.0</v>
      </c>
      <c r="F104" s="25">
        <v>2026.0</v>
      </c>
      <c r="G104" s="25">
        <v>0.0</v>
      </c>
      <c r="H104" s="25">
        <v>24.8</v>
      </c>
      <c r="I104" s="50">
        <v>1.0</v>
      </c>
      <c r="J104" s="25">
        <v>24.8</v>
      </c>
      <c r="K104" s="51">
        <v>0.0</v>
      </c>
      <c r="L104" s="51">
        <v>0.0</v>
      </c>
      <c r="M104" s="25">
        <v>21.0</v>
      </c>
      <c r="N104" s="26"/>
      <c r="O104" s="26" t="s">
        <v>60</v>
      </c>
      <c r="P104" s="52">
        <v>2900.0</v>
      </c>
      <c r="Q104" s="26" t="s">
        <v>37</v>
      </c>
      <c r="R104" s="25">
        <v>2022.0</v>
      </c>
      <c r="S104" s="25">
        <v>1.7</v>
      </c>
      <c r="T104" s="25">
        <f t="shared" si="1"/>
        <v>4930</v>
      </c>
      <c r="U104" s="24">
        <f t="shared" si="2"/>
        <v>198.7903226</v>
      </c>
      <c r="V104" s="26">
        <f>VLOOKUP(R104,CPI!$A$2:$E$67,5,0)</f>
        <v>1.041164511</v>
      </c>
      <c r="W104" s="27">
        <f t="shared" si="3"/>
        <v>5132.94104</v>
      </c>
      <c r="X104" s="27">
        <f t="shared" si="4"/>
        <v>206.973429</v>
      </c>
      <c r="Y104" s="26" t="s">
        <v>36</v>
      </c>
      <c r="Z104" s="53" t="s">
        <v>229</v>
      </c>
      <c r="AA104" s="29"/>
      <c r="AB104" s="30"/>
      <c r="AC104" s="30"/>
      <c r="AD104" s="30"/>
    </row>
    <row r="105">
      <c r="A105" s="26" t="s">
        <v>224</v>
      </c>
      <c r="B105" s="26" t="s">
        <v>225</v>
      </c>
      <c r="C105" s="26" t="s">
        <v>226</v>
      </c>
      <c r="D105" s="26" t="s">
        <v>226</v>
      </c>
      <c r="E105" s="25">
        <v>2013.0</v>
      </c>
      <c r="F105" s="25">
        <v>2019.0</v>
      </c>
      <c r="G105" s="25">
        <v>0.0</v>
      </c>
      <c r="H105" s="25">
        <v>37.0</v>
      </c>
      <c r="I105" s="50">
        <v>1.0</v>
      </c>
      <c r="J105" s="25">
        <v>37.0</v>
      </c>
      <c r="K105" s="51">
        <v>0.0</v>
      </c>
      <c r="L105" s="51">
        <v>0.0</v>
      </c>
      <c r="M105" s="25">
        <v>28.0</v>
      </c>
      <c r="N105" s="26"/>
      <c r="O105" s="26" t="s">
        <v>60</v>
      </c>
      <c r="P105" s="52">
        <v>3000.0</v>
      </c>
      <c r="Q105" s="26" t="s">
        <v>37</v>
      </c>
      <c r="R105" s="25">
        <v>2016.0</v>
      </c>
      <c r="S105" s="25">
        <v>1.7</v>
      </c>
      <c r="T105" s="25">
        <f t="shared" si="1"/>
        <v>5100</v>
      </c>
      <c r="U105" s="24">
        <f t="shared" si="2"/>
        <v>137.8378378</v>
      </c>
      <c r="V105" s="26">
        <f>VLOOKUP(R105,CPI!$A$2:$E$67,5,0)</f>
        <v>1.269554638</v>
      </c>
      <c r="W105" s="27">
        <f t="shared" si="3"/>
        <v>6474.728654</v>
      </c>
      <c r="X105" s="27">
        <f t="shared" si="4"/>
        <v>174.9926663</v>
      </c>
      <c r="Y105" s="26" t="s">
        <v>60</v>
      </c>
      <c r="Z105" s="53" t="s">
        <v>227</v>
      </c>
      <c r="AA105" s="34"/>
      <c r="AB105" s="34"/>
      <c r="AC105" s="34"/>
      <c r="AD105" s="34"/>
    </row>
    <row r="106">
      <c r="A106" s="26" t="s">
        <v>108</v>
      </c>
      <c r="B106" s="26" t="s">
        <v>118</v>
      </c>
      <c r="C106" s="1" t="s">
        <v>84</v>
      </c>
      <c r="D106" s="26" t="s">
        <v>119</v>
      </c>
      <c r="E106" s="25">
        <v>2010.0</v>
      </c>
      <c r="F106" s="25">
        <v>2019.0</v>
      </c>
      <c r="G106" s="25">
        <v>0.0</v>
      </c>
      <c r="H106" s="25">
        <v>12.0</v>
      </c>
      <c r="I106" s="50">
        <v>1.0</v>
      </c>
      <c r="J106" s="25">
        <v>12.0</v>
      </c>
      <c r="K106" s="51">
        <v>0.0</v>
      </c>
      <c r="L106" s="51">
        <v>0.0</v>
      </c>
      <c r="M106" s="25">
        <v>11.0</v>
      </c>
      <c r="N106" s="26"/>
      <c r="O106" s="26" t="s">
        <v>74</v>
      </c>
      <c r="P106" s="52">
        <v>6900.0</v>
      </c>
      <c r="Q106" s="26" t="s">
        <v>111</v>
      </c>
      <c r="R106" s="25">
        <v>2014.0</v>
      </c>
      <c r="S106" s="25">
        <v>0.55</v>
      </c>
      <c r="T106" s="25">
        <f t="shared" si="1"/>
        <v>3795</v>
      </c>
      <c r="U106" s="24">
        <f t="shared" si="2"/>
        <v>316.25</v>
      </c>
      <c r="V106" s="26">
        <f>VLOOKUP(R106,CPI!$A$2:$E$67,5,0)</f>
        <v>1.287096175</v>
      </c>
      <c r="W106" s="27">
        <f t="shared" si="3"/>
        <v>4884.529983</v>
      </c>
      <c r="X106" s="27">
        <f t="shared" si="4"/>
        <v>407.0441652</v>
      </c>
      <c r="Y106" s="26" t="s">
        <v>36</v>
      </c>
      <c r="Z106" s="57" t="s">
        <v>120</v>
      </c>
      <c r="AA106" s="34"/>
      <c r="AB106" s="34"/>
      <c r="AC106" s="34"/>
      <c r="AD106" s="34"/>
    </row>
    <row r="107">
      <c r="A107" s="26" t="s">
        <v>108</v>
      </c>
      <c r="B107" s="26" t="s">
        <v>113</v>
      </c>
      <c r="C107" s="26" t="s">
        <v>114</v>
      </c>
      <c r="D107" s="26" t="s">
        <v>114</v>
      </c>
      <c r="E107" s="25">
        <v>2000.0</v>
      </c>
      <c r="F107" s="25">
        <v>2017.0</v>
      </c>
      <c r="G107" s="25">
        <v>0.0</v>
      </c>
      <c r="H107" s="25">
        <v>33.0</v>
      </c>
      <c r="I107" s="50">
        <v>0.04</v>
      </c>
      <c r="J107" s="25">
        <v>1.4</v>
      </c>
      <c r="K107" s="51">
        <v>10.935</v>
      </c>
      <c r="L107" s="51">
        <v>20.745</v>
      </c>
      <c r="M107" s="25">
        <v>20.0</v>
      </c>
      <c r="N107" s="26"/>
      <c r="O107" s="26" t="s">
        <v>74</v>
      </c>
      <c r="P107" s="52">
        <v>4800.0</v>
      </c>
      <c r="Q107" s="26" t="s">
        <v>111</v>
      </c>
      <c r="R107" s="25">
        <v>2012.0</v>
      </c>
      <c r="S107" s="25">
        <v>0.62</v>
      </c>
      <c r="T107" s="25">
        <f t="shared" si="1"/>
        <v>2976</v>
      </c>
      <c r="U107" s="24">
        <f t="shared" si="2"/>
        <v>90.18181818</v>
      </c>
      <c r="V107" s="26">
        <f>VLOOKUP(R107,CPI!$A$2:$E$67,5,0)</f>
        <v>1.327133984</v>
      </c>
      <c r="W107" s="27">
        <f t="shared" si="3"/>
        <v>3949.550737</v>
      </c>
      <c r="X107" s="27">
        <f t="shared" si="4"/>
        <v>119.6833557</v>
      </c>
      <c r="Y107" s="26" t="s">
        <v>42</v>
      </c>
      <c r="Z107" s="57" t="s">
        <v>115</v>
      </c>
      <c r="AA107" s="29"/>
      <c r="AB107" s="30"/>
      <c r="AC107" s="30"/>
      <c r="AD107" s="30"/>
    </row>
    <row r="108">
      <c r="A108" s="26" t="s">
        <v>1518</v>
      </c>
      <c r="B108" s="26" t="s">
        <v>1519</v>
      </c>
      <c r="C108" s="326" t="s">
        <v>57</v>
      </c>
      <c r="D108" s="26" t="s">
        <v>57</v>
      </c>
      <c r="E108" s="25">
        <v>2010.0</v>
      </c>
      <c r="F108" s="25">
        <v>2014.0</v>
      </c>
      <c r="G108" s="25">
        <v>0.0</v>
      </c>
      <c r="H108" s="25">
        <v>13.7</v>
      </c>
      <c r="I108" s="50">
        <v>0.53</v>
      </c>
      <c r="J108" s="25">
        <v>7.3</v>
      </c>
      <c r="K108" s="51">
        <v>4.69</v>
      </c>
      <c r="L108" s="51">
        <v>1.749</v>
      </c>
      <c r="M108" s="25">
        <v>12.0</v>
      </c>
      <c r="N108" s="26"/>
      <c r="O108" s="26" t="s">
        <v>74</v>
      </c>
      <c r="P108" s="52">
        <v>2009.0</v>
      </c>
      <c r="Q108" s="26" t="s">
        <v>37</v>
      </c>
      <c r="R108" s="25">
        <v>2012.0</v>
      </c>
      <c r="S108" s="25">
        <v>1.74</v>
      </c>
      <c r="T108" s="25">
        <f t="shared" si="1"/>
        <v>3495.66</v>
      </c>
      <c r="U108" s="24">
        <f t="shared" si="2"/>
        <v>255.1576642</v>
      </c>
      <c r="V108" s="26">
        <f>VLOOKUP(R108,CPI!$A$2:$E$67,5,0)</f>
        <v>1.327133984</v>
      </c>
      <c r="W108" s="27">
        <f t="shared" si="3"/>
        <v>4639.209184</v>
      </c>
      <c r="X108" s="27">
        <f t="shared" si="4"/>
        <v>338.6284076</v>
      </c>
      <c r="Y108" s="26" t="s">
        <v>42</v>
      </c>
      <c r="Z108" s="53" t="s">
        <v>1520</v>
      </c>
      <c r="AA108" s="178"/>
      <c r="AB108" s="172"/>
      <c r="AC108" s="172"/>
      <c r="AD108" s="172"/>
    </row>
    <row r="109">
      <c r="A109" s="26" t="s">
        <v>1518</v>
      </c>
      <c r="B109" s="26" t="s">
        <v>1519</v>
      </c>
      <c r="C109" s="26" t="s">
        <v>54</v>
      </c>
      <c r="D109" s="26" t="s">
        <v>54</v>
      </c>
      <c r="E109" s="25">
        <v>2015.0</v>
      </c>
      <c r="F109" s="25">
        <v>2019.0</v>
      </c>
      <c r="G109" s="25">
        <v>0.0</v>
      </c>
      <c r="H109" s="25">
        <v>21.0</v>
      </c>
      <c r="I109" s="50">
        <v>0.0</v>
      </c>
      <c r="J109" s="25">
        <v>0.0</v>
      </c>
      <c r="K109" s="51">
        <v>21.0</v>
      </c>
      <c r="L109" s="51">
        <v>0.0</v>
      </c>
      <c r="M109" s="25">
        <v>16.0</v>
      </c>
      <c r="N109" s="26"/>
      <c r="O109" s="26" t="s">
        <v>36</v>
      </c>
      <c r="P109" s="52">
        <v>2130.0</v>
      </c>
      <c r="Q109" s="26" t="s">
        <v>37</v>
      </c>
      <c r="R109" s="25">
        <v>2017.0</v>
      </c>
      <c r="S109" s="25">
        <v>2.01</v>
      </c>
      <c r="T109" s="25">
        <f t="shared" si="1"/>
        <v>4281.3</v>
      </c>
      <c r="U109" s="24">
        <f t="shared" si="2"/>
        <v>203.8714286</v>
      </c>
      <c r="V109" s="26">
        <f>VLOOKUP(R109,CPI!$A$2:$E$67,5,0)</f>
        <v>1.243072781</v>
      </c>
      <c r="W109" s="27">
        <f t="shared" si="3"/>
        <v>5321.967496</v>
      </c>
      <c r="X109" s="27">
        <f t="shared" si="4"/>
        <v>253.4270236</v>
      </c>
      <c r="Y109" s="26" t="s">
        <v>36</v>
      </c>
      <c r="Z109" s="53" t="s">
        <v>1521</v>
      </c>
      <c r="AA109" s="178"/>
      <c r="AB109" s="172"/>
      <c r="AC109" s="172"/>
      <c r="AD109" s="172"/>
    </row>
    <row r="110">
      <c r="A110" s="26" t="s">
        <v>1518</v>
      </c>
      <c r="B110" s="26" t="s">
        <v>1519</v>
      </c>
      <c r="C110" s="26" t="s">
        <v>87</v>
      </c>
      <c r="D110" s="26" t="s">
        <v>87</v>
      </c>
      <c r="E110" s="25">
        <v>2020.0</v>
      </c>
      <c r="F110" s="25">
        <v>2024.0</v>
      </c>
      <c r="G110" s="25">
        <v>0.0</v>
      </c>
      <c r="H110" s="25">
        <v>26.7</v>
      </c>
      <c r="I110" s="50">
        <v>0.0</v>
      </c>
      <c r="J110" s="25">
        <v>0.0</v>
      </c>
      <c r="K110" s="51">
        <v>0.0</v>
      </c>
      <c r="L110" s="51">
        <v>0.0</v>
      </c>
      <c r="M110" s="25">
        <v>14.0</v>
      </c>
      <c r="N110" s="26"/>
      <c r="O110" s="26" t="s">
        <v>36</v>
      </c>
      <c r="P110" s="52">
        <v>2507.0</v>
      </c>
      <c r="Q110" s="26" t="s">
        <v>37</v>
      </c>
      <c r="R110" s="25">
        <v>2020.0</v>
      </c>
      <c r="S110" s="25">
        <v>2.08</v>
      </c>
      <c r="T110" s="25">
        <f t="shared" si="1"/>
        <v>5214.56</v>
      </c>
      <c r="U110" s="24">
        <f t="shared" si="2"/>
        <v>195.3018727</v>
      </c>
      <c r="V110" s="26">
        <f>VLOOKUP(R110,CPI!$A$2:$E$67,5,0)</f>
        <v>1.17731472</v>
      </c>
      <c r="W110" s="27">
        <f t="shared" si="3"/>
        <v>6139.178246</v>
      </c>
      <c r="X110" s="27">
        <f t="shared" si="4"/>
        <v>229.9317695</v>
      </c>
      <c r="Y110" s="26" t="s">
        <v>36</v>
      </c>
      <c r="Z110" s="53" t="s">
        <v>2136</v>
      </c>
      <c r="AA110" s="178"/>
      <c r="AB110" s="172"/>
      <c r="AC110" s="172"/>
      <c r="AD110" s="172"/>
    </row>
    <row r="111">
      <c r="A111" s="26" t="s">
        <v>1527</v>
      </c>
      <c r="B111" s="26" t="s">
        <v>1528</v>
      </c>
      <c r="C111" s="26" t="s">
        <v>253</v>
      </c>
      <c r="D111" s="26" t="s">
        <v>253</v>
      </c>
      <c r="E111" s="25">
        <v>2019.0</v>
      </c>
      <c r="F111" s="25">
        <v>2025.0</v>
      </c>
      <c r="G111" s="25">
        <v>0.0</v>
      </c>
      <c r="H111" s="25">
        <v>28.3</v>
      </c>
      <c r="I111" s="50">
        <v>1.0</v>
      </c>
      <c r="J111" s="25">
        <v>28.3</v>
      </c>
      <c r="K111" s="51">
        <v>0.0</v>
      </c>
      <c r="L111" s="51">
        <v>0.0</v>
      </c>
      <c r="M111" s="25">
        <v>13.0</v>
      </c>
      <c r="N111" s="26"/>
      <c r="O111" s="26" t="s">
        <v>42</v>
      </c>
      <c r="P111" s="52">
        <v>356960.0</v>
      </c>
      <c r="Q111" s="26" t="s">
        <v>1529</v>
      </c>
      <c r="R111" s="25">
        <v>2022.0</v>
      </c>
      <c r="S111" s="25">
        <v>0.055</v>
      </c>
      <c r="T111" s="25">
        <f t="shared" si="1"/>
        <v>19632.8</v>
      </c>
      <c r="U111" s="24">
        <f t="shared" si="2"/>
        <v>693.7385159</v>
      </c>
      <c r="V111" s="26">
        <f>VLOOKUP(R111,CPI!$A$2:$E$67,5,0)</f>
        <v>1.041164511</v>
      </c>
      <c r="W111" s="27">
        <f t="shared" si="3"/>
        <v>20440.97461</v>
      </c>
      <c r="X111" s="27">
        <f t="shared" si="4"/>
        <v>722.2959227</v>
      </c>
      <c r="Y111" s="26" t="s">
        <v>42</v>
      </c>
      <c r="Z111" s="53" t="s">
        <v>1532</v>
      </c>
      <c r="AA111" s="178"/>
      <c r="AB111" s="172"/>
      <c r="AC111" s="172"/>
      <c r="AD111" s="172"/>
    </row>
    <row r="112">
      <c r="A112" s="26" t="s">
        <v>1527</v>
      </c>
      <c r="B112" s="26" t="s">
        <v>1528</v>
      </c>
      <c r="C112" s="26" t="s">
        <v>228</v>
      </c>
      <c r="D112" s="26" t="s">
        <v>228</v>
      </c>
      <c r="E112" s="25">
        <v>2015.0</v>
      </c>
      <c r="F112" s="25">
        <v>2021.0</v>
      </c>
      <c r="G112" s="25">
        <v>0.0</v>
      </c>
      <c r="H112" s="25">
        <v>22.8</v>
      </c>
      <c r="I112" s="50">
        <v>0.15</v>
      </c>
      <c r="J112" s="25">
        <v>3.4</v>
      </c>
      <c r="K112" s="51">
        <v>0.0</v>
      </c>
      <c r="L112" s="51">
        <v>0.0</v>
      </c>
      <c r="M112" s="25">
        <v>14.0</v>
      </c>
      <c r="N112" s="26"/>
      <c r="O112" s="26" t="s">
        <v>59</v>
      </c>
      <c r="P112" s="52">
        <v>69300.0</v>
      </c>
      <c r="Q112" s="26" t="s">
        <v>1529</v>
      </c>
      <c r="R112" s="25">
        <v>2018.0</v>
      </c>
      <c r="S112" s="25">
        <v>0.055</v>
      </c>
      <c r="T112" s="25">
        <f t="shared" si="1"/>
        <v>3811.5</v>
      </c>
      <c r="U112" s="24">
        <f t="shared" si="2"/>
        <v>167.1710526</v>
      </c>
      <c r="V112" s="26">
        <f>VLOOKUP(R112,CPI!$A$2:$E$67,5,0)</f>
        <v>1.21343491</v>
      </c>
      <c r="W112" s="27">
        <f t="shared" si="3"/>
        <v>4625.00716</v>
      </c>
      <c r="X112" s="27">
        <f t="shared" si="4"/>
        <v>202.8511912</v>
      </c>
      <c r="Y112" s="26" t="s">
        <v>36</v>
      </c>
      <c r="Z112" s="57" t="s">
        <v>1530</v>
      </c>
      <c r="AA112" s="178"/>
      <c r="AB112" s="172"/>
      <c r="AC112" s="172"/>
      <c r="AD112" s="172"/>
    </row>
    <row r="113">
      <c r="A113" s="26" t="s">
        <v>1527</v>
      </c>
      <c r="B113" s="26" t="s">
        <v>1528</v>
      </c>
      <c r="C113" s="26" t="s">
        <v>84</v>
      </c>
      <c r="D113" s="26" t="s">
        <v>84</v>
      </c>
      <c r="E113" s="25">
        <v>2019.0</v>
      </c>
      <c r="F113" s="25">
        <v>2025.0</v>
      </c>
      <c r="G113" s="25">
        <v>0.0</v>
      </c>
      <c r="H113" s="25">
        <v>11.0</v>
      </c>
      <c r="I113" s="50">
        <v>1.0</v>
      </c>
      <c r="J113" s="25">
        <v>11.0</v>
      </c>
      <c r="K113" s="51">
        <v>0.0</v>
      </c>
      <c r="L113" s="51">
        <v>0.0</v>
      </c>
      <c r="M113" s="25">
        <v>10.0</v>
      </c>
      <c r="N113" s="26"/>
      <c r="O113" s="26" t="s">
        <v>42</v>
      </c>
      <c r="P113" s="52">
        <v>2500.0</v>
      </c>
      <c r="Q113" s="26" t="s">
        <v>37</v>
      </c>
      <c r="R113" s="25">
        <v>2022.0</v>
      </c>
      <c r="S113" s="25">
        <v>2.66</v>
      </c>
      <c r="T113" s="25">
        <f t="shared" si="1"/>
        <v>6650</v>
      </c>
      <c r="U113" s="24">
        <f t="shared" si="2"/>
        <v>604.5454545</v>
      </c>
      <c r="V113" s="26">
        <f>VLOOKUP(R113,CPI!$A$2:$E$67,5,0)</f>
        <v>1.041164511</v>
      </c>
      <c r="W113" s="27">
        <f t="shared" si="3"/>
        <v>6923.743999</v>
      </c>
      <c r="X113" s="27">
        <f t="shared" si="4"/>
        <v>629.4312726</v>
      </c>
      <c r="Y113" s="26" t="s">
        <v>42</v>
      </c>
      <c r="Z113" s="57" t="s">
        <v>1531</v>
      </c>
      <c r="AA113" s="178"/>
      <c r="AB113" s="172"/>
      <c r="AC113" s="172"/>
      <c r="AD113" s="172"/>
    </row>
    <row r="114">
      <c r="A114" s="26" t="s">
        <v>1527</v>
      </c>
      <c r="B114" s="26" t="s">
        <v>1528</v>
      </c>
      <c r="C114" s="26" t="s">
        <v>110</v>
      </c>
      <c r="D114" s="26" t="s">
        <v>110</v>
      </c>
      <c r="E114" s="25">
        <v>2021.0</v>
      </c>
      <c r="F114" s="25">
        <v>2025.0</v>
      </c>
      <c r="G114" s="25">
        <v>0.0</v>
      </c>
      <c r="H114" s="25">
        <v>15.6</v>
      </c>
      <c r="I114" s="50">
        <v>0.0</v>
      </c>
      <c r="J114" s="25">
        <v>0.0</v>
      </c>
      <c r="K114" s="51">
        <v>0.0</v>
      </c>
      <c r="L114" s="51">
        <v>0.0</v>
      </c>
      <c r="M114" s="25">
        <v>11.0</v>
      </c>
      <c r="N114" s="26"/>
      <c r="O114" s="26" t="s">
        <v>74</v>
      </c>
      <c r="P114" s="52">
        <v>59300.0</v>
      </c>
      <c r="Q114" s="26" t="s">
        <v>1529</v>
      </c>
      <c r="R114" s="25">
        <v>2023.0</v>
      </c>
      <c r="S114" s="25">
        <v>0.055</v>
      </c>
      <c r="T114" s="25">
        <f t="shared" si="1"/>
        <v>3261.5</v>
      </c>
      <c r="U114" s="24">
        <f t="shared" si="2"/>
        <v>209.0705128</v>
      </c>
      <c r="V114" s="26">
        <f>VLOOKUP(R114,CPI!$A$2:$E$67,5,0)</f>
        <v>1</v>
      </c>
      <c r="W114" s="27">
        <f t="shared" si="3"/>
        <v>3261.5</v>
      </c>
      <c r="X114" s="27">
        <f t="shared" si="4"/>
        <v>209.0705128</v>
      </c>
      <c r="Y114" s="26" t="s">
        <v>42</v>
      </c>
      <c r="Z114" s="57" t="s">
        <v>1533</v>
      </c>
      <c r="AA114" s="178"/>
      <c r="AB114" s="172"/>
      <c r="AC114" s="172"/>
      <c r="AD114" s="172"/>
    </row>
    <row r="115">
      <c r="A115" s="26" t="s">
        <v>48</v>
      </c>
      <c r="B115" s="26" t="s">
        <v>49</v>
      </c>
      <c r="C115" s="1" t="s">
        <v>54</v>
      </c>
      <c r="D115" s="26" t="s">
        <v>55</v>
      </c>
      <c r="E115" s="25">
        <v>2010.0</v>
      </c>
      <c r="F115" s="25">
        <v>2013.0</v>
      </c>
      <c r="G115" s="25">
        <v>0.0</v>
      </c>
      <c r="H115" s="25">
        <v>4.2</v>
      </c>
      <c r="I115" s="50">
        <v>0.0</v>
      </c>
      <c r="J115" s="25">
        <v>0.0</v>
      </c>
      <c r="K115" s="51">
        <v>2.63</v>
      </c>
      <c r="L115" s="51">
        <v>1.57</v>
      </c>
      <c r="M115" s="25">
        <v>3.0</v>
      </c>
      <c r="N115" s="26"/>
      <c r="O115" s="26" t="s">
        <v>42</v>
      </c>
      <c r="P115" s="52">
        <v>320.0</v>
      </c>
      <c r="Q115" s="26" t="s">
        <v>52</v>
      </c>
      <c r="R115" s="25">
        <v>2012.0</v>
      </c>
      <c r="S115" s="25">
        <v>1.3</v>
      </c>
      <c r="T115" s="25">
        <f t="shared" si="1"/>
        <v>416</v>
      </c>
      <c r="U115" s="24">
        <f t="shared" si="2"/>
        <v>99.04761905</v>
      </c>
      <c r="V115" s="26">
        <f>VLOOKUP(R115,CPI!$A$2:$E$67,5,0)</f>
        <v>1.327133984</v>
      </c>
      <c r="W115" s="27">
        <f t="shared" si="3"/>
        <v>552.0877375</v>
      </c>
      <c r="X115" s="27">
        <f t="shared" si="4"/>
        <v>131.4494613</v>
      </c>
      <c r="Y115" s="26" t="s">
        <v>42</v>
      </c>
      <c r="Z115" s="53" t="s">
        <v>56</v>
      </c>
      <c r="AA115" s="29"/>
      <c r="AB115" s="30"/>
      <c r="AC115" s="30"/>
      <c r="AD115" s="30"/>
    </row>
    <row r="116">
      <c r="A116" s="26" t="s">
        <v>48</v>
      </c>
      <c r="B116" s="26" t="s">
        <v>49</v>
      </c>
      <c r="C116" s="1" t="s">
        <v>57</v>
      </c>
      <c r="D116" s="26" t="s">
        <v>58</v>
      </c>
      <c r="E116" s="25">
        <v>2012.0</v>
      </c>
      <c r="F116" s="25">
        <v>2017.0</v>
      </c>
      <c r="G116" s="25">
        <v>0.0</v>
      </c>
      <c r="H116" s="25">
        <v>4.7</v>
      </c>
      <c r="I116" s="50">
        <v>0.57</v>
      </c>
      <c r="J116" s="25">
        <v>2.7</v>
      </c>
      <c r="K116" s="51">
        <v>0.06</v>
      </c>
      <c r="L116" s="51">
        <v>2.008</v>
      </c>
      <c r="M116" s="25">
        <v>5.0</v>
      </c>
      <c r="N116" s="26"/>
      <c r="O116" s="26" t="s">
        <v>59</v>
      </c>
      <c r="P116" s="52">
        <v>600.0</v>
      </c>
      <c r="Q116" s="26" t="s">
        <v>52</v>
      </c>
      <c r="R116" s="25">
        <v>2015.0</v>
      </c>
      <c r="S116" s="25">
        <v>1.3</v>
      </c>
      <c r="T116" s="25">
        <f t="shared" si="1"/>
        <v>780</v>
      </c>
      <c r="U116" s="24">
        <f t="shared" si="2"/>
        <v>165.9574468</v>
      </c>
      <c r="V116" s="26">
        <f>VLOOKUP(R116,CPI!$A$2:$E$67,5,0)</f>
        <v>1.285570233</v>
      </c>
      <c r="W116" s="27">
        <f t="shared" si="3"/>
        <v>1002.744782</v>
      </c>
      <c r="X116" s="27">
        <f t="shared" si="4"/>
        <v>213.3499536</v>
      </c>
      <c r="Y116" s="26" t="s">
        <v>60</v>
      </c>
      <c r="Z116" s="53" t="s">
        <v>61</v>
      </c>
      <c r="AA116" s="29"/>
      <c r="AB116" s="30"/>
      <c r="AC116" s="30"/>
      <c r="AD116" s="30"/>
    </row>
    <row r="117">
      <c r="A117" s="26" t="s">
        <v>48</v>
      </c>
      <c r="B117" s="26" t="s">
        <v>49</v>
      </c>
      <c r="C117" s="26" t="s">
        <v>62</v>
      </c>
      <c r="D117" s="26" t="s">
        <v>62</v>
      </c>
      <c r="E117" s="25">
        <v>2019.0</v>
      </c>
      <c r="F117" s="25">
        <v>2029.0</v>
      </c>
      <c r="G117" s="25">
        <v>0.0</v>
      </c>
      <c r="H117" s="25">
        <v>9.0</v>
      </c>
      <c r="I117" s="50">
        <v>1.0</v>
      </c>
      <c r="J117" s="25">
        <v>9.0</v>
      </c>
      <c r="K117" s="51">
        <v>0.0</v>
      </c>
      <c r="L117" s="51">
        <v>0.0</v>
      </c>
      <c r="M117" s="25">
        <v>11.0</v>
      </c>
      <c r="N117" s="26"/>
      <c r="O117" s="26" t="s">
        <v>60</v>
      </c>
      <c r="P117" s="52">
        <v>2200.0</v>
      </c>
      <c r="Q117" s="26" t="s">
        <v>52</v>
      </c>
      <c r="R117" s="25">
        <v>2023.0</v>
      </c>
      <c r="S117" s="25">
        <v>1.3</v>
      </c>
      <c r="T117" s="25">
        <f t="shared" si="1"/>
        <v>2860</v>
      </c>
      <c r="U117" s="24">
        <f t="shared" si="2"/>
        <v>317.7777778</v>
      </c>
      <c r="V117" s="26">
        <f>VLOOKUP(R117,CPI!$A$2:$E$67,5,0)</f>
        <v>1</v>
      </c>
      <c r="W117" s="27">
        <f t="shared" si="3"/>
        <v>2860</v>
      </c>
      <c r="X117" s="27">
        <f t="shared" si="4"/>
        <v>317.7777778</v>
      </c>
      <c r="Y117" s="26" t="s">
        <v>42</v>
      </c>
      <c r="Z117" s="53" t="s">
        <v>63</v>
      </c>
      <c r="AA117" s="29"/>
      <c r="AB117" s="30"/>
      <c r="AC117" s="30"/>
      <c r="AD117" s="30"/>
    </row>
    <row r="118">
      <c r="A118" s="26" t="s">
        <v>1262</v>
      </c>
      <c r="B118" s="26" t="s">
        <v>1299</v>
      </c>
      <c r="C118" s="26" t="s">
        <v>1069</v>
      </c>
      <c r="D118" s="26" t="s">
        <v>1069</v>
      </c>
      <c r="E118" s="25">
        <v>2013.0</v>
      </c>
      <c r="F118" s="25">
        <v>2017.0</v>
      </c>
      <c r="G118" s="25">
        <v>0.0</v>
      </c>
      <c r="H118" s="25">
        <v>13.0</v>
      </c>
      <c r="I118" s="50">
        <v>0.0</v>
      </c>
      <c r="J118" s="25">
        <v>0.0</v>
      </c>
      <c r="K118" s="51">
        <v>0.0</v>
      </c>
      <c r="L118" s="51">
        <v>0.0</v>
      </c>
      <c r="M118" s="25">
        <v>11.0</v>
      </c>
      <c r="N118" s="26"/>
      <c r="O118" s="26" t="s">
        <v>60</v>
      </c>
      <c r="P118" s="52">
        <v>51810.0</v>
      </c>
      <c r="Q118" s="26" t="s">
        <v>1265</v>
      </c>
      <c r="R118" s="25">
        <v>2015.0</v>
      </c>
      <c r="S118" s="25">
        <v>0.052</v>
      </c>
      <c r="T118" s="25">
        <f t="shared" si="1"/>
        <v>2694.12</v>
      </c>
      <c r="U118" s="24">
        <f t="shared" si="2"/>
        <v>207.24</v>
      </c>
      <c r="V118" s="26">
        <f>VLOOKUP(R118,CPI!$A$2:$E$67,5,0)</f>
        <v>1.285570233</v>
      </c>
      <c r="W118" s="27">
        <f t="shared" si="3"/>
        <v>3463.480477</v>
      </c>
      <c r="X118" s="27">
        <f t="shared" si="4"/>
        <v>266.4215752</v>
      </c>
      <c r="Y118" s="26" t="s">
        <v>60</v>
      </c>
      <c r="Z118" s="57" t="s">
        <v>1300</v>
      </c>
      <c r="AA118" s="178"/>
      <c r="AB118" s="172"/>
      <c r="AC118" s="172"/>
      <c r="AD118" s="172"/>
    </row>
    <row r="119">
      <c r="A119" s="26" t="s">
        <v>1262</v>
      </c>
      <c r="B119" s="26" t="s">
        <v>1278</v>
      </c>
      <c r="C119" s="26" t="s">
        <v>1281</v>
      </c>
      <c r="D119" s="26" t="s">
        <v>1281</v>
      </c>
      <c r="E119" s="25">
        <v>2012.0</v>
      </c>
      <c r="F119" s="25">
        <v>2020.0</v>
      </c>
      <c r="G119" s="25">
        <v>0.0</v>
      </c>
      <c r="H119" s="25">
        <v>160.6</v>
      </c>
      <c r="I119" s="50">
        <v>0.33</v>
      </c>
      <c r="J119" s="25">
        <v>53.0</v>
      </c>
      <c r="K119" s="51">
        <v>0.0</v>
      </c>
      <c r="L119" s="51">
        <v>0.0</v>
      </c>
      <c r="M119" s="25">
        <v>109.0</v>
      </c>
      <c r="N119" s="26"/>
      <c r="O119" s="26" t="s">
        <v>74</v>
      </c>
      <c r="P119" s="52">
        <v>410790.0</v>
      </c>
      <c r="Q119" s="26" t="s">
        <v>1265</v>
      </c>
      <c r="R119" s="25">
        <v>2016.0</v>
      </c>
      <c r="S119" s="25">
        <v>0.05</v>
      </c>
      <c r="T119" s="25">
        <f t="shared" si="1"/>
        <v>20539.5</v>
      </c>
      <c r="U119" s="24">
        <f t="shared" si="2"/>
        <v>127.892279</v>
      </c>
      <c r="V119" s="26">
        <f>VLOOKUP(R119,CPI!$A$2:$E$67,5,0)</f>
        <v>1.269554638</v>
      </c>
      <c r="W119" s="27">
        <f t="shared" si="3"/>
        <v>26076.01749</v>
      </c>
      <c r="X119" s="27">
        <f t="shared" si="4"/>
        <v>162.3662359</v>
      </c>
      <c r="Y119" s="26" t="s">
        <v>60</v>
      </c>
      <c r="Z119" s="57" t="s">
        <v>1282</v>
      </c>
      <c r="AA119" s="178"/>
      <c r="AB119" s="172"/>
      <c r="AC119" s="172"/>
      <c r="AD119" s="172"/>
    </row>
    <row r="120">
      <c r="A120" s="26" t="s">
        <v>1262</v>
      </c>
      <c r="B120" s="26" t="s">
        <v>1278</v>
      </c>
      <c r="C120" s="1" t="s">
        <v>1283</v>
      </c>
      <c r="D120" s="26" t="s">
        <v>1284</v>
      </c>
      <c r="E120" s="25">
        <v>2019.0</v>
      </c>
      <c r="F120" s="25">
        <v>2025.0</v>
      </c>
      <c r="G120" s="25">
        <v>0.0</v>
      </c>
      <c r="H120" s="25">
        <v>61.7</v>
      </c>
      <c r="I120" s="50">
        <v>0.36</v>
      </c>
      <c r="J120" s="25">
        <v>22.3</v>
      </c>
      <c r="K120" s="51">
        <v>0.0</v>
      </c>
      <c r="L120" s="51">
        <v>0.0</v>
      </c>
      <c r="M120" s="25">
        <v>46.0</v>
      </c>
      <c r="N120" s="26"/>
      <c r="O120" s="26" t="s">
        <v>42</v>
      </c>
      <c r="P120" s="52">
        <v>249486.5</v>
      </c>
      <c r="Q120" s="26" t="s">
        <v>1265</v>
      </c>
      <c r="R120" s="25">
        <v>2022.0</v>
      </c>
      <c r="S120" s="25">
        <v>0.047</v>
      </c>
      <c r="T120" s="25">
        <f t="shared" si="1"/>
        <v>11725.8655</v>
      </c>
      <c r="U120" s="24">
        <f t="shared" si="2"/>
        <v>190.0464425</v>
      </c>
      <c r="V120" s="26">
        <f>VLOOKUP(R120,CPI!$A$2:$E$67,5,0)</f>
        <v>1.041164511</v>
      </c>
      <c r="W120" s="27">
        <f t="shared" si="3"/>
        <v>12208.55502</v>
      </c>
      <c r="X120" s="27">
        <f t="shared" si="4"/>
        <v>197.8696114</v>
      </c>
      <c r="Y120" s="26" t="s">
        <v>42</v>
      </c>
      <c r="Z120" s="53" t="s">
        <v>1285</v>
      </c>
      <c r="AA120" s="178"/>
      <c r="AB120" s="172"/>
      <c r="AC120" s="172"/>
      <c r="AD120" s="172"/>
    </row>
    <row r="121">
      <c r="A121" s="26" t="s">
        <v>1262</v>
      </c>
      <c r="B121" s="26" t="s">
        <v>1278</v>
      </c>
      <c r="C121" s="1" t="s">
        <v>1283</v>
      </c>
      <c r="D121" s="26" t="s">
        <v>1286</v>
      </c>
      <c r="E121" s="25">
        <v>2019.0</v>
      </c>
      <c r="F121" s="25">
        <v>2025.0</v>
      </c>
      <c r="G121" s="25">
        <v>0.0</v>
      </c>
      <c r="H121" s="25">
        <v>42.3</v>
      </c>
      <c r="I121" s="50">
        <v>0.35</v>
      </c>
      <c r="J121" s="25">
        <v>14.7</v>
      </c>
      <c r="K121" s="51">
        <v>0.0</v>
      </c>
      <c r="L121" s="51">
        <v>0.0</v>
      </c>
      <c r="M121" s="25">
        <v>43.0</v>
      </c>
      <c r="N121" s="26"/>
      <c r="O121" s="26" t="s">
        <v>42</v>
      </c>
      <c r="P121" s="52">
        <v>215363.5</v>
      </c>
      <c r="Q121" s="26" t="s">
        <v>1265</v>
      </c>
      <c r="R121" s="25">
        <v>2022.0</v>
      </c>
      <c r="S121" s="25">
        <v>0.047</v>
      </c>
      <c r="T121" s="25">
        <f t="shared" si="1"/>
        <v>10122.0845</v>
      </c>
      <c r="U121" s="24">
        <f t="shared" si="2"/>
        <v>239.2927778</v>
      </c>
      <c r="V121" s="26">
        <f>VLOOKUP(R121,CPI!$A$2:$E$67,5,0)</f>
        <v>1.041164511</v>
      </c>
      <c r="W121" s="27">
        <f t="shared" si="3"/>
        <v>10538.75516</v>
      </c>
      <c r="X121" s="27">
        <f t="shared" si="4"/>
        <v>249.143148</v>
      </c>
      <c r="Y121" s="26" t="s">
        <v>42</v>
      </c>
      <c r="Z121" s="53" t="s">
        <v>1287</v>
      </c>
      <c r="AA121" s="178"/>
      <c r="AB121" s="172"/>
      <c r="AC121" s="172"/>
      <c r="AD121" s="172"/>
    </row>
    <row r="122">
      <c r="A122" s="26" t="s">
        <v>1331</v>
      </c>
      <c r="B122" s="26" t="s">
        <v>1332</v>
      </c>
      <c r="C122" s="1" t="s">
        <v>87</v>
      </c>
      <c r="D122" s="26" t="s">
        <v>1333</v>
      </c>
      <c r="E122" s="25">
        <v>2012.0</v>
      </c>
      <c r="F122" s="25">
        <v>2014.0</v>
      </c>
      <c r="G122" s="25">
        <v>0.0</v>
      </c>
      <c r="H122" s="25">
        <v>12.0</v>
      </c>
      <c r="I122" s="50">
        <v>1.0</v>
      </c>
      <c r="J122" s="25">
        <v>12.0</v>
      </c>
      <c r="K122" s="51">
        <v>0.0</v>
      </c>
      <c r="L122" s="51">
        <v>0.0</v>
      </c>
      <c r="M122" s="25">
        <v>11.0</v>
      </c>
      <c r="N122" s="26"/>
      <c r="O122" s="26" t="s">
        <v>36</v>
      </c>
      <c r="P122" s="52">
        <v>2.0E7</v>
      </c>
      <c r="Q122" s="26" t="s">
        <v>1334</v>
      </c>
      <c r="R122" s="25">
        <v>2013.0</v>
      </c>
      <c r="S122" s="25">
        <v>1.2E-4</v>
      </c>
      <c r="T122" s="25">
        <f t="shared" si="1"/>
        <v>2400</v>
      </c>
      <c r="U122" s="24">
        <f t="shared" si="2"/>
        <v>200</v>
      </c>
      <c r="V122" s="26">
        <f>VLOOKUP(R122,CPI!$A$2:$E$67,5,0)</f>
        <v>1.307975292</v>
      </c>
      <c r="W122" s="27">
        <f t="shared" si="3"/>
        <v>3139.1407</v>
      </c>
      <c r="X122" s="27">
        <f t="shared" si="4"/>
        <v>261.5950583</v>
      </c>
      <c r="Y122" s="26" t="s">
        <v>36</v>
      </c>
      <c r="Z122" s="53" t="s">
        <v>1335</v>
      </c>
      <c r="AA122" s="178"/>
      <c r="AB122" s="172"/>
      <c r="AC122" s="172"/>
      <c r="AD122" s="172"/>
    </row>
    <row r="123">
      <c r="A123" s="26" t="s">
        <v>1331</v>
      </c>
      <c r="B123" s="26" t="s">
        <v>1332</v>
      </c>
      <c r="C123" s="26" t="s">
        <v>80</v>
      </c>
      <c r="D123" s="26" t="s">
        <v>80</v>
      </c>
      <c r="E123" s="26"/>
      <c r="F123" s="25">
        <v>2020.0</v>
      </c>
      <c r="G123" s="25">
        <v>0.0</v>
      </c>
      <c r="H123" s="25">
        <v>31.0</v>
      </c>
      <c r="I123" s="50">
        <v>1.0</v>
      </c>
      <c r="J123" s="25">
        <v>31.0</v>
      </c>
      <c r="K123" s="51">
        <v>0.0</v>
      </c>
      <c r="L123" s="51">
        <v>0.0</v>
      </c>
      <c r="M123" s="25">
        <v>29.0</v>
      </c>
      <c r="N123" s="26"/>
      <c r="O123" s="26" t="s">
        <v>42</v>
      </c>
      <c r="P123" s="52">
        <v>9.0E7</v>
      </c>
      <c r="Q123" s="26" t="s">
        <v>1334</v>
      </c>
      <c r="R123" s="25">
        <v>2017.0</v>
      </c>
      <c r="S123" s="25">
        <v>6.4E-5</v>
      </c>
      <c r="T123" s="25">
        <f t="shared" si="1"/>
        <v>5760</v>
      </c>
      <c r="U123" s="24">
        <f t="shared" si="2"/>
        <v>185.8064516</v>
      </c>
      <c r="V123" s="26">
        <f>VLOOKUP(R123,CPI!$A$2:$E$67,5,0)</f>
        <v>1.243072781</v>
      </c>
      <c r="W123" s="27">
        <f t="shared" si="3"/>
        <v>7160.099217</v>
      </c>
      <c r="X123" s="27">
        <f t="shared" si="4"/>
        <v>230.9709425</v>
      </c>
      <c r="Y123" s="26" t="s">
        <v>42</v>
      </c>
      <c r="Z123" s="53" t="s">
        <v>1336</v>
      </c>
      <c r="AA123" s="178"/>
      <c r="AB123" s="172"/>
      <c r="AC123" s="172"/>
      <c r="AD123" s="172"/>
    </row>
    <row r="124">
      <c r="A124" s="26" t="s">
        <v>1331</v>
      </c>
      <c r="B124" s="26" t="s">
        <v>1332</v>
      </c>
      <c r="C124" s="26" t="s">
        <v>228</v>
      </c>
      <c r="D124" s="26" t="s">
        <v>228</v>
      </c>
      <c r="E124" s="26"/>
      <c r="F124" s="25">
        <v>2019.0</v>
      </c>
      <c r="G124" s="25">
        <v>0.0</v>
      </c>
      <c r="H124" s="25">
        <v>27.0</v>
      </c>
      <c r="I124" s="50">
        <v>1.0</v>
      </c>
      <c r="J124" s="25">
        <v>27.0</v>
      </c>
      <c r="K124" s="51">
        <v>0.0</v>
      </c>
      <c r="L124" s="51">
        <v>0.0</v>
      </c>
      <c r="M124" s="25">
        <v>25.0</v>
      </c>
      <c r="N124" s="26"/>
      <c r="O124" s="26" t="s">
        <v>42</v>
      </c>
      <c r="P124" s="52">
        <v>9.0E7</v>
      </c>
      <c r="Q124" s="26" t="s">
        <v>1334</v>
      </c>
      <c r="R124" s="25">
        <v>2017.0</v>
      </c>
      <c r="S124" s="25">
        <v>6.4E-5</v>
      </c>
      <c r="T124" s="25">
        <f t="shared" si="1"/>
        <v>5760</v>
      </c>
      <c r="U124" s="24">
        <f t="shared" si="2"/>
        <v>213.3333333</v>
      </c>
      <c r="V124" s="26">
        <f>VLOOKUP(R124,CPI!$A$2:$E$67,5,0)</f>
        <v>1.243072781</v>
      </c>
      <c r="W124" s="27">
        <f t="shared" si="3"/>
        <v>7160.099217</v>
      </c>
      <c r="X124" s="27">
        <f t="shared" si="4"/>
        <v>265.1888599</v>
      </c>
      <c r="Y124" s="26" t="s">
        <v>42</v>
      </c>
      <c r="Z124" s="53" t="s">
        <v>1336</v>
      </c>
      <c r="AA124" s="178"/>
      <c r="AB124" s="172"/>
      <c r="AC124" s="172"/>
      <c r="AD124" s="172"/>
    </row>
    <row r="125">
      <c r="A125" s="26" t="s">
        <v>1122</v>
      </c>
      <c r="B125" s="26" t="s">
        <v>1140</v>
      </c>
      <c r="C125" s="26" t="s">
        <v>1141</v>
      </c>
      <c r="D125" s="26" t="s">
        <v>1141</v>
      </c>
      <c r="E125" s="25">
        <v>1995.0</v>
      </c>
      <c r="F125" s="25">
        <v>1998.0</v>
      </c>
      <c r="G125" s="25">
        <v>0.0</v>
      </c>
      <c r="H125" s="25">
        <v>56.0</v>
      </c>
      <c r="I125" s="50">
        <v>0.68</v>
      </c>
      <c r="J125" s="25">
        <v>38.0</v>
      </c>
      <c r="K125" s="51">
        <v>0.0</v>
      </c>
      <c r="L125" s="51">
        <v>0.0</v>
      </c>
      <c r="M125" s="25">
        <v>37.0</v>
      </c>
      <c r="N125" s="26"/>
      <c r="O125" s="26" t="s">
        <v>36</v>
      </c>
      <c r="P125" s="52">
        <v>1579.0</v>
      </c>
      <c r="Q125" s="26" t="s">
        <v>52</v>
      </c>
      <c r="R125" s="25">
        <v>1997.0</v>
      </c>
      <c r="S125" s="25">
        <v>1.25</v>
      </c>
      <c r="T125" s="25">
        <f t="shared" si="1"/>
        <v>1973.75</v>
      </c>
      <c r="U125" s="24">
        <f t="shared" si="2"/>
        <v>35.24553571</v>
      </c>
      <c r="V125" s="26">
        <f>VLOOKUP(R125,CPI!$A$2:$E$67,5,0)</f>
        <v>1.898454829</v>
      </c>
      <c r="W125" s="27">
        <f t="shared" si="3"/>
        <v>3747.075218</v>
      </c>
      <c r="X125" s="27">
        <f t="shared" si="4"/>
        <v>66.91205747</v>
      </c>
      <c r="Y125" s="26" t="s">
        <v>36</v>
      </c>
      <c r="Z125" s="57" t="s">
        <v>1142</v>
      </c>
      <c r="AA125" s="178"/>
      <c r="AB125" s="172"/>
      <c r="AC125" s="172"/>
      <c r="AD125" s="172"/>
    </row>
    <row r="126">
      <c r="A126" s="26" t="s">
        <v>1122</v>
      </c>
      <c r="B126" s="26" t="s">
        <v>1140</v>
      </c>
      <c r="C126" s="26" t="s">
        <v>1143</v>
      </c>
      <c r="D126" s="26" t="s">
        <v>1143</v>
      </c>
      <c r="E126" s="25">
        <v>1999.0</v>
      </c>
      <c r="F126" s="25">
        <v>2003.0</v>
      </c>
      <c r="G126" s="25">
        <v>0.0</v>
      </c>
      <c r="H126" s="25">
        <v>75.0</v>
      </c>
      <c r="I126" s="50">
        <v>0.77</v>
      </c>
      <c r="J126" s="25">
        <v>58.0</v>
      </c>
      <c r="K126" s="51">
        <v>0.0</v>
      </c>
      <c r="L126" s="51">
        <v>0.0</v>
      </c>
      <c r="M126" s="25">
        <v>39.0</v>
      </c>
      <c r="N126" s="26"/>
      <c r="O126" s="26" t="s">
        <v>36</v>
      </c>
      <c r="P126" s="52">
        <v>3157.0</v>
      </c>
      <c r="Q126" s="26" t="s">
        <v>52</v>
      </c>
      <c r="R126" s="25">
        <v>2001.0</v>
      </c>
      <c r="S126" s="25">
        <v>1.25</v>
      </c>
      <c r="T126" s="25">
        <f t="shared" si="1"/>
        <v>3946.25</v>
      </c>
      <c r="U126" s="24">
        <f t="shared" si="2"/>
        <v>52.61666667</v>
      </c>
      <c r="V126" s="26">
        <f>VLOOKUP(R126,CPI!$A$2:$E$67,5,0)</f>
        <v>1.720508187</v>
      </c>
      <c r="W126" s="27">
        <f t="shared" si="3"/>
        <v>6789.555435</v>
      </c>
      <c r="X126" s="27">
        <f t="shared" si="4"/>
        <v>90.5274058</v>
      </c>
      <c r="Y126" s="26" t="s">
        <v>36</v>
      </c>
      <c r="Z126" s="57" t="s">
        <v>1142</v>
      </c>
      <c r="AA126" s="178"/>
      <c r="AB126" s="172"/>
      <c r="AC126" s="172"/>
      <c r="AD126" s="172"/>
    </row>
    <row r="127">
      <c r="A127" s="26" t="s">
        <v>1552</v>
      </c>
      <c r="B127" s="26" t="s">
        <v>1553</v>
      </c>
      <c r="C127" s="26" t="s">
        <v>1554</v>
      </c>
      <c r="D127" s="26" t="s">
        <v>1554</v>
      </c>
      <c r="E127" s="25">
        <v>2021.0</v>
      </c>
      <c r="F127" s="25">
        <v>2023.0</v>
      </c>
      <c r="G127" s="25">
        <v>0.0</v>
      </c>
      <c r="H127" s="25">
        <v>2.0</v>
      </c>
      <c r="I127" s="50">
        <v>1.0</v>
      </c>
      <c r="J127" s="25">
        <v>2.0</v>
      </c>
      <c r="K127" s="51">
        <v>0.0</v>
      </c>
      <c r="L127" s="51">
        <v>0.0</v>
      </c>
      <c r="M127" s="25">
        <v>2.0</v>
      </c>
      <c r="N127" s="26"/>
      <c r="O127" s="26" t="s">
        <v>42</v>
      </c>
      <c r="P127" s="52">
        <v>216.0</v>
      </c>
      <c r="Q127" s="26" t="s">
        <v>52</v>
      </c>
      <c r="R127" s="25">
        <v>2021.0</v>
      </c>
      <c r="S127" s="25">
        <v>1.3</v>
      </c>
      <c r="T127" s="25">
        <f t="shared" si="1"/>
        <v>280.8</v>
      </c>
      <c r="U127" s="24">
        <f t="shared" si="2"/>
        <v>140.4</v>
      </c>
      <c r="V127" s="26">
        <f>VLOOKUP(R127,CPI!$A$2:$E$67,5,0)</f>
        <v>1.124486105</v>
      </c>
      <c r="W127" s="27">
        <f t="shared" si="3"/>
        <v>315.7556984</v>
      </c>
      <c r="X127" s="27">
        <f t="shared" si="4"/>
        <v>157.8778492</v>
      </c>
      <c r="Y127" s="26" t="s">
        <v>36</v>
      </c>
      <c r="Z127" s="53" t="s">
        <v>1555</v>
      </c>
      <c r="AA127" s="178"/>
      <c r="AB127" s="172"/>
      <c r="AC127" s="172"/>
      <c r="AD127" s="172"/>
    </row>
    <row r="128">
      <c r="A128" s="26" t="s">
        <v>1552</v>
      </c>
      <c r="B128" s="26" t="s">
        <v>1556</v>
      </c>
      <c r="C128" s="26" t="s">
        <v>1557</v>
      </c>
      <c r="D128" s="26" t="s">
        <v>1557</v>
      </c>
      <c r="E128" s="25">
        <v>2019.0</v>
      </c>
      <c r="F128" s="25">
        <v>2023.0</v>
      </c>
      <c r="G128" s="25">
        <v>0.0</v>
      </c>
      <c r="H128" s="25">
        <v>6.0</v>
      </c>
      <c r="I128" s="50">
        <v>0.47</v>
      </c>
      <c r="J128" s="25">
        <v>2.8</v>
      </c>
      <c r="K128" s="51">
        <v>0.0</v>
      </c>
      <c r="L128" s="51">
        <v>0.0</v>
      </c>
      <c r="M128" s="25">
        <v>7.0</v>
      </c>
      <c r="N128" s="26"/>
      <c r="O128" s="26" t="s">
        <v>42</v>
      </c>
      <c r="P128" s="52">
        <v>308.0</v>
      </c>
      <c r="Q128" s="26" t="s">
        <v>52</v>
      </c>
      <c r="R128" s="25">
        <v>2021.0</v>
      </c>
      <c r="S128" s="25">
        <v>1.3</v>
      </c>
      <c r="T128" s="25">
        <f t="shared" si="1"/>
        <v>400.4</v>
      </c>
      <c r="U128" s="24">
        <f t="shared" si="2"/>
        <v>66.73333333</v>
      </c>
      <c r="V128" s="26">
        <f>VLOOKUP(R128,CPI!$A$2:$E$67,5,0)</f>
        <v>1.124486105</v>
      </c>
      <c r="W128" s="27">
        <f t="shared" si="3"/>
        <v>450.2442366</v>
      </c>
      <c r="X128" s="27">
        <f t="shared" si="4"/>
        <v>75.04070611</v>
      </c>
      <c r="Y128" s="26" t="s">
        <v>42</v>
      </c>
      <c r="Z128" s="53" t="s">
        <v>2137</v>
      </c>
      <c r="AA128" s="178"/>
      <c r="AB128" s="172"/>
      <c r="AC128" s="172"/>
      <c r="AD128" s="172"/>
    </row>
    <row r="129">
      <c r="A129" s="2" t="s">
        <v>1122</v>
      </c>
      <c r="B129" s="2" t="s">
        <v>1140</v>
      </c>
      <c r="C129" s="2" t="s">
        <v>1151</v>
      </c>
      <c r="D129" s="2" t="s">
        <v>1151</v>
      </c>
      <c r="E129" s="3">
        <v>2020.0</v>
      </c>
      <c r="F129" s="3">
        <v>2028.0</v>
      </c>
      <c r="G129" s="3">
        <v>1.0</v>
      </c>
      <c r="H129" s="3">
        <v>10.5</v>
      </c>
      <c r="I129" s="39">
        <v>1.0</v>
      </c>
      <c r="J129" s="3">
        <v>10.5</v>
      </c>
      <c r="K129" s="40">
        <v>0.0</v>
      </c>
      <c r="L129" s="40">
        <v>0.0</v>
      </c>
      <c r="M129" s="3">
        <v>4.0</v>
      </c>
      <c r="N129" s="2"/>
      <c r="O129" s="2" t="s">
        <v>59</v>
      </c>
      <c r="P129" s="41">
        <v>760.0</v>
      </c>
      <c r="Q129" s="2" t="s">
        <v>52</v>
      </c>
      <c r="R129" s="3">
        <v>2024.0</v>
      </c>
      <c r="S129" s="3">
        <v>1.3</v>
      </c>
      <c r="T129" s="3">
        <f t="shared" si="1"/>
        <v>988</v>
      </c>
      <c r="U129" s="24">
        <f t="shared" si="2"/>
        <v>94.0952381</v>
      </c>
      <c r="V129" s="26">
        <f>VLOOKUP(R129,CPI!$A$2:$E$67,5,0)</f>
        <v>1</v>
      </c>
      <c r="W129" s="27">
        <f t="shared" si="3"/>
        <v>988</v>
      </c>
      <c r="X129" s="27">
        <f t="shared" si="4"/>
        <v>94.0952381</v>
      </c>
      <c r="Y129" s="2" t="s">
        <v>60</v>
      </c>
      <c r="Z129" s="266" t="s">
        <v>1152</v>
      </c>
      <c r="AA129" s="178"/>
      <c r="AB129" s="172"/>
      <c r="AC129" s="172"/>
      <c r="AD129" s="172"/>
    </row>
    <row r="130">
      <c r="A130" s="26" t="s">
        <v>1122</v>
      </c>
      <c r="B130" s="26" t="s">
        <v>1140</v>
      </c>
      <c r="C130" s="1" t="s">
        <v>54</v>
      </c>
      <c r="D130" s="26" t="s">
        <v>55</v>
      </c>
      <c r="E130" s="25">
        <v>2008.0</v>
      </c>
      <c r="F130" s="25">
        <v>2011.0</v>
      </c>
      <c r="G130" s="25">
        <v>0.0</v>
      </c>
      <c r="H130" s="25">
        <v>4.6</v>
      </c>
      <c r="I130" s="50">
        <v>1.0</v>
      </c>
      <c r="J130" s="25">
        <v>4.6</v>
      </c>
      <c r="K130" s="51">
        <v>0.0</v>
      </c>
      <c r="L130" s="51">
        <v>0.0</v>
      </c>
      <c r="M130" s="25">
        <v>4.0</v>
      </c>
      <c r="N130" s="26"/>
      <c r="O130" s="26" t="s">
        <v>36</v>
      </c>
      <c r="P130" s="52">
        <v>315.0</v>
      </c>
      <c r="Q130" s="26" t="s">
        <v>52</v>
      </c>
      <c r="R130" s="25">
        <v>2010.0</v>
      </c>
      <c r="S130" s="25">
        <v>1.3</v>
      </c>
      <c r="T130" s="25">
        <f t="shared" si="1"/>
        <v>409.5</v>
      </c>
      <c r="U130" s="24">
        <f t="shared" si="2"/>
        <v>89.02173913</v>
      </c>
      <c r="V130" s="26">
        <f>VLOOKUP(R130,CPI!$A$2:$E$67,5,0)</f>
        <v>1.397356642</v>
      </c>
      <c r="W130" s="27">
        <f t="shared" si="3"/>
        <v>572.217545</v>
      </c>
      <c r="X130" s="27">
        <f t="shared" si="4"/>
        <v>124.3951185</v>
      </c>
      <c r="Y130" s="26" t="s">
        <v>36</v>
      </c>
      <c r="Z130" s="57" t="s">
        <v>1146</v>
      </c>
      <c r="AA130" s="178"/>
      <c r="AB130" s="172"/>
      <c r="AC130" s="172"/>
      <c r="AD130" s="172"/>
    </row>
    <row r="131">
      <c r="A131" s="26" t="s">
        <v>1122</v>
      </c>
      <c r="B131" s="26" t="s">
        <v>1140</v>
      </c>
      <c r="C131" s="1" t="s">
        <v>253</v>
      </c>
      <c r="D131" s="26" t="s">
        <v>1147</v>
      </c>
      <c r="E131" s="25">
        <v>2009.0</v>
      </c>
      <c r="F131" s="25">
        <v>2015.0</v>
      </c>
      <c r="G131" s="25">
        <v>0.0</v>
      </c>
      <c r="H131" s="25">
        <v>3.0</v>
      </c>
      <c r="I131" s="50">
        <v>1.0</v>
      </c>
      <c r="J131" s="25">
        <v>3.0</v>
      </c>
      <c r="K131" s="51">
        <v>0.0</v>
      </c>
      <c r="L131" s="51">
        <v>0.0</v>
      </c>
      <c r="M131" s="25">
        <v>2.0</v>
      </c>
      <c r="N131" s="26"/>
      <c r="O131" s="26" t="s">
        <v>60</v>
      </c>
      <c r="P131" s="52">
        <v>191.0</v>
      </c>
      <c r="Q131" s="26" t="s">
        <v>52</v>
      </c>
      <c r="R131" s="25">
        <v>2012.0</v>
      </c>
      <c r="S131" s="25">
        <v>1.3</v>
      </c>
      <c r="T131" s="25">
        <f t="shared" si="1"/>
        <v>248.3</v>
      </c>
      <c r="U131" s="24">
        <f t="shared" si="2"/>
        <v>82.76666667</v>
      </c>
      <c r="V131" s="26">
        <f>VLOOKUP(R131,CPI!$A$2:$E$67,5,0)</f>
        <v>1.327133984</v>
      </c>
      <c r="W131" s="27">
        <f t="shared" si="3"/>
        <v>329.5273683</v>
      </c>
      <c r="X131" s="27">
        <f t="shared" si="4"/>
        <v>109.8424561</v>
      </c>
      <c r="Y131" s="26" t="s">
        <v>60</v>
      </c>
      <c r="Z131" s="53" t="s">
        <v>1148</v>
      </c>
      <c r="AA131" s="178"/>
      <c r="AB131" s="172"/>
      <c r="AC131" s="172"/>
      <c r="AD131" s="172"/>
    </row>
    <row r="132">
      <c r="A132" s="26" t="s">
        <v>1067</v>
      </c>
      <c r="B132" s="26" t="s">
        <v>1068</v>
      </c>
      <c r="C132" s="1" t="s">
        <v>1069</v>
      </c>
      <c r="D132" s="26" t="s">
        <v>1069</v>
      </c>
      <c r="E132" s="25">
        <v>2012.0</v>
      </c>
      <c r="F132" s="25">
        <v>2019.0</v>
      </c>
      <c r="G132" s="25">
        <v>0.0</v>
      </c>
      <c r="H132" s="25">
        <v>22.9</v>
      </c>
      <c r="I132" s="50">
        <v>1.0</v>
      </c>
      <c r="J132" s="25">
        <v>22.9</v>
      </c>
      <c r="K132" s="51">
        <v>0.0</v>
      </c>
      <c r="L132" s="51">
        <v>0.0</v>
      </c>
      <c r="M132" s="25">
        <v>15.0</v>
      </c>
      <c r="N132" s="26"/>
      <c r="O132" s="26" t="s">
        <v>74</v>
      </c>
      <c r="P132" s="52">
        <v>2010.0</v>
      </c>
      <c r="Q132" s="26" t="s">
        <v>37</v>
      </c>
      <c r="R132" s="25">
        <v>2016.0</v>
      </c>
      <c r="S132" s="25">
        <v>1.9</v>
      </c>
      <c r="T132" s="25">
        <f t="shared" si="1"/>
        <v>3819</v>
      </c>
      <c r="U132" s="24">
        <f t="shared" si="2"/>
        <v>166.768559</v>
      </c>
      <c r="V132" s="26">
        <f>VLOOKUP(R132,CPI!$A$2:$E$67,5,0)</f>
        <v>1.269554638</v>
      </c>
      <c r="W132" s="27">
        <f t="shared" si="3"/>
        <v>4848.429162</v>
      </c>
      <c r="X132" s="27">
        <f t="shared" si="4"/>
        <v>211.7217975</v>
      </c>
      <c r="Y132" s="26" t="s">
        <v>60</v>
      </c>
      <c r="Z132" s="57" t="s">
        <v>1070</v>
      </c>
      <c r="AA132" s="178"/>
      <c r="AB132" s="172"/>
      <c r="AC132" s="172"/>
      <c r="AD132" s="172"/>
    </row>
    <row r="133">
      <c r="A133" s="26" t="s">
        <v>1122</v>
      </c>
      <c r="B133" s="26" t="s">
        <v>1140</v>
      </c>
      <c r="C133" s="26" t="s">
        <v>1144</v>
      </c>
      <c r="D133" s="26" t="s">
        <v>1144</v>
      </c>
      <c r="E133" s="25">
        <v>2003.0</v>
      </c>
      <c r="F133" s="25">
        <v>2008.0</v>
      </c>
      <c r="G133" s="25">
        <v>1.0</v>
      </c>
      <c r="H133" s="25">
        <v>7.5</v>
      </c>
      <c r="I133" s="50">
        <v>1.0</v>
      </c>
      <c r="J133" s="25">
        <v>7.5</v>
      </c>
      <c r="K133" s="51">
        <v>0.0</v>
      </c>
      <c r="L133" s="51">
        <v>0.0</v>
      </c>
      <c r="M133" s="25">
        <v>3.0</v>
      </c>
      <c r="N133" s="26"/>
      <c r="O133" s="26" t="s">
        <v>74</v>
      </c>
      <c r="P133" s="52">
        <v>550.0</v>
      </c>
      <c r="Q133" s="26" t="s">
        <v>52</v>
      </c>
      <c r="R133" s="25">
        <v>2006.0</v>
      </c>
      <c r="S133" s="25">
        <v>1.25</v>
      </c>
      <c r="T133" s="25">
        <f t="shared" si="1"/>
        <v>687.5</v>
      </c>
      <c r="U133" s="24">
        <f t="shared" si="2"/>
        <v>91.66666667</v>
      </c>
      <c r="V133" s="26">
        <f>VLOOKUP(R133,CPI!$A$2:$E$67,5,0)</f>
        <v>1.511418651</v>
      </c>
      <c r="W133" s="27">
        <f t="shared" si="3"/>
        <v>1039.100322</v>
      </c>
      <c r="X133" s="27">
        <f t="shared" si="4"/>
        <v>138.5467097</v>
      </c>
      <c r="Y133" s="26" t="s">
        <v>42</v>
      </c>
      <c r="Z133" s="53" t="s">
        <v>1145</v>
      </c>
      <c r="AA133" s="178"/>
      <c r="AB133" s="172"/>
      <c r="AC133" s="172"/>
      <c r="AD133" s="172"/>
    </row>
    <row r="134">
      <c r="A134" s="26" t="s">
        <v>1165</v>
      </c>
      <c r="B134" s="26" t="s">
        <v>1174</v>
      </c>
      <c r="C134" s="26" t="s">
        <v>267</v>
      </c>
      <c r="D134" s="26" t="s">
        <v>267</v>
      </c>
      <c r="E134" s="25">
        <v>1993.0</v>
      </c>
      <c r="F134" s="25">
        <v>2007.0</v>
      </c>
      <c r="G134" s="25">
        <v>0.0</v>
      </c>
      <c r="H134" s="25">
        <v>9.2</v>
      </c>
      <c r="I134" s="50">
        <v>1.0</v>
      </c>
      <c r="J134" s="25">
        <v>9.2</v>
      </c>
      <c r="K134" s="51">
        <v>0.0</v>
      </c>
      <c r="L134" s="51">
        <v>0.0</v>
      </c>
      <c r="M134" s="25">
        <v>9.0</v>
      </c>
      <c r="N134" s="26"/>
      <c r="O134" s="26" t="s">
        <v>74</v>
      </c>
      <c r="P134" s="52">
        <v>1211.2</v>
      </c>
      <c r="Q134" s="26" t="s">
        <v>52</v>
      </c>
      <c r="R134" s="25">
        <v>2004.0</v>
      </c>
      <c r="S134" s="25">
        <v>1.25</v>
      </c>
      <c r="T134" s="25">
        <f t="shared" si="1"/>
        <v>1514</v>
      </c>
      <c r="U134" s="24">
        <f t="shared" si="2"/>
        <v>164.5652174</v>
      </c>
      <c r="V134" s="26">
        <f>VLOOKUP(R134,CPI!$A$2:$E$67,5,0)</f>
        <v>1.613033351</v>
      </c>
      <c r="W134" s="27">
        <f t="shared" si="3"/>
        <v>2442.132493</v>
      </c>
      <c r="X134" s="27">
        <f t="shared" si="4"/>
        <v>265.4491841</v>
      </c>
      <c r="Y134" s="26" t="s">
        <v>36</v>
      </c>
      <c r="Z134" s="53" t="s">
        <v>1178</v>
      </c>
      <c r="AA134" s="178"/>
      <c r="AB134" s="172"/>
      <c r="AC134" s="172"/>
      <c r="AD134" s="172"/>
    </row>
    <row r="135">
      <c r="A135" s="26" t="s">
        <v>125</v>
      </c>
      <c r="B135" s="26" t="s">
        <v>170</v>
      </c>
      <c r="C135" s="26" t="s">
        <v>171</v>
      </c>
      <c r="D135" s="26" t="s">
        <v>171</v>
      </c>
      <c r="E135" s="25">
        <v>1994.0</v>
      </c>
      <c r="F135" s="25">
        <v>2002.0</v>
      </c>
      <c r="G135" s="25">
        <v>0.0</v>
      </c>
      <c r="H135" s="25">
        <v>5.5</v>
      </c>
      <c r="I135" s="50">
        <v>1.0</v>
      </c>
      <c r="J135" s="25">
        <v>5.5</v>
      </c>
      <c r="K135" s="51">
        <v>0.0</v>
      </c>
      <c r="L135" s="51">
        <v>0.0</v>
      </c>
      <c r="M135" s="25">
        <v>5.0</v>
      </c>
      <c r="N135" s="26"/>
      <c r="O135" s="26" t="s">
        <v>42</v>
      </c>
      <c r="P135" s="52">
        <v>1000.0</v>
      </c>
      <c r="Q135" s="26" t="s">
        <v>129</v>
      </c>
      <c r="R135" s="25">
        <v>1998.0</v>
      </c>
      <c r="S135" s="25">
        <v>0.81</v>
      </c>
      <c r="T135" s="25">
        <f t="shared" si="1"/>
        <v>810</v>
      </c>
      <c r="U135" s="24">
        <f t="shared" si="2"/>
        <v>147.2727273</v>
      </c>
      <c r="V135" s="26">
        <f>VLOOKUP(R135,CPI!$A$2:$E$67,5,0)</f>
        <v>1.869337423</v>
      </c>
      <c r="W135" s="27">
        <f t="shared" si="3"/>
        <v>1514.163313</v>
      </c>
      <c r="X135" s="27">
        <f t="shared" si="4"/>
        <v>275.3024205</v>
      </c>
      <c r="Y135" s="26" t="s">
        <v>42</v>
      </c>
      <c r="Z135" s="53" t="s">
        <v>172</v>
      </c>
      <c r="AA135" s="29"/>
      <c r="AB135" s="30"/>
      <c r="AC135" s="30"/>
      <c r="AD135" s="30"/>
    </row>
    <row r="136">
      <c r="A136" s="26" t="s">
        <v>125</v>
      </c>
      <c r="B136" s="26" t="s">
        <v>150</v>
      </c>
      <c r="C136" s="26" t="s">
        <v>151</v>
      </c>
      <c r="D136" s="26" t="s">
        <v>151</v>
      </c>
      <c r="E136" s="25">
        <v>2001.0</v>
      </c>
      <c r="F136" s="25">
        <v>2007.0</v>
      </c>
      <c r="G136" s="25">
        <v>0.0</v>
      </c>
      <c r="H136" s="25">
        <v>5.2</v>
      </c>
      <c r="I136" s="50">
        <v>1.0</v>
      </c>
      <c r="J136" s="25">
        <v>5.2</v>
      </c>
      <c r="K136" s="51">
        <v>0.0</v>
      </c>
      <c r="L136" s="51">
        <v>0.0</v>
      </c>
      <c r="M136" s="25">
        <v>3.0</v>
      </c>
      <c r="N136" s="26"/>
      <c r="O136" s="26" t="s">
        <v>74</v>
      </c>
      <c r="P136" s="52">
        <v>745.0</v>
      </c>
      <c r="Q136" s="26" t="s">
        <v>129</v>
      </c>
      <c r="R136" s="25">
        <v>2004.0</v>
      </c>
      <c r="S136" s="25">
        <v>0.81</v>
      </c>
      <c r="T136" s="25">
        <f t="shared" si="1"/>
        <v>603.45</v>
      </c>
      <c r="U136" s="24">
        <f t="shared" si="2"/>
        <v>116.0480769</v>
      </c>
      <c r="V136" s="26">
        <f>VLOOKUP(R136,CPI!$A$2:$E$67,5,0)</f>
        <v>1.613033351</v>
      </c>
      <c r="W136" s="27">
        <f t="shared" si="3"/>
        <v>973.3849756</v>
      </c>
      <c r="X136" s="27">
        <f t="shared" si="4"/>
        <v>187.1894184</v>
      </c>
      <c r="Y136" s="26" t="s">
        <v>42</v>
      </c>
      <c r="Z136" s="53" t="s">
        <v>152</v>
      </c>
      <c r="AA136" s="89"/>
      <c r="AB136" s="90"/>
      <c r="AC136" s="90"/>
      <c r="AD136" s="90"/>
    </row>
    <row r="137">
      <c r="A137" s="26" t="s">
        <v>992</v>
      </c>
      <c r="B137" s="26" t="s">
        <v>1035</v>
      </c>
      <c r="C137" s="26" t="s">
        <v>1036</v>
      </c>
      <c r="D137" s="26" t="s">
        <v>1036</v>
      </c>
      <c r="E137" s="25">
        <v>2010.0</v>
      </c>
      <c r="F137" s="25">
        <v>2021.0</v>
      </c>
      <c r="G137" s="25">
        <v>1.0</v>
      </c>
      <c r="H137" s="25">
        <v>4.8</v>
      </c>
      <c r="I137" s="50">
        <v>1.0</v>
      </c>
      <c r="J137" s="25">
        <v>4.8</v>
      </c>
      <c r="K137" s="51">
        <v>0.0</v>
      </c>
      <c r="L137" s="51">
        <v>0.0</v>
      </c>
      <c r="M137" s="25">
        <v>6.0</v>
      </c>
      <c r="N137" s="26"/>
      <c r="O137" s="26" t="s">
        <v>60</v>
      </c>
      <c r="P137" s="52">
        <v>1457.3</v>
      </c>
      <c r="Q137" s="26" t="s">
        <v>52</v>
      </c>
      <c r="R137" s="25">
        <v>2016.0</v>
      </c>
      <c r="S137" s="25">
        <v>1.3</v>
      </c>
      <c r="T137" s="25">
        <f t="shared" si="1"/>
        <v>1894.49</v>
      </c>
      <c r="U137" s="24">
        <f t="shared" si="2"/>
        <v>394.6854167</v>
      </c>
      <c r="V137" s="26">
        <f>VLOOKUP(R137,CPI!$A$2:$E$67,5,0)</f>
        <v>1.269554638</v>
      </c>
      <c r="W137" s="27">
        <f t="shared" si="3"/>
        <v>2405.158566</v>
      </c>
      <c r="X137" s="27">
        <f t="shared" si="4"/>
        <v>501.0747013</v>
      </c>
      <c r="Y137" s="26" t="s">
        <v>60</v>
      </c>
      <c r="Z137" s="53" t="s">
        <v>1037</v>
      </c>
      <c r="AA137" s="178"/>
      <c r="AB137" s="172"/>
      <c r="AC137" s="172"/>
      <c r="AD137" s="172"/>
    </row>
    <row r="138">
      <c r="A138" s="26" t="s">
        <v>992</v>
      </c>
      <c r="B138" s="26" t="s">
        <v>1014</v>
      </c>
      <c r="C138" s="26" t="s">
        <v>1015</v>
      </c>
      <c r="D138" s="26" t="s">
        <v>1015</v>
      </c>
      <c r="E138" s="25">
        <v>2007.0</v>
      </c>
      <c r="F138" s="25">
        <v>2016.0</v>
      </c>
      <c r="G138" s="25">
        <v>0.0</v>
      </c>
      <c r="H138" s="25">
        <v>3.4</v>
      </c>
      <c r="I138" s="50">
        <v>1.0</v>
      </c>
      <c r="J138" s="25">
        <v>3.4</v>
      </c>
      <c r="K138" s="51">
        <v>0.0</v>
      </c>
      <c r="L138" s="51">
        <v>0.0</v>
      </c>
      <c r="M138" s="25">
        <v>6.0</v>
      </c>
      <c r="N138" s="26"/>
      <c r="O138" s="26" t="s">
        <v>74</v>
      </c>
      <c r="P138" s="52">
        <v>929.0</v>
      </c>
      <c r="Q138" s="26" t="s">
        <v>52</v>
      </c>
      <c r="R138" s="25">
        <v>2012.0</v>
      </c>
      <c r="S138" s="25">
        <v>1.3</v>
      </c>
      <c r="T138" s="25">
        <f t="shared" si="1"/>
        <v>1207.7</v>
      </c>
      <c r="U138" s="24">
        <f t="shared" si="2"/>
        <v>355.2058824</v>
      </c>
      <c r="V138" s="26">
        <f>VLOOKUP(R138,CPI!$A$2:$E$67,5,0)</f>
        <v>1.327133984</v>
      </c>
      <c r="W138" s="27">
        <f t="shared" si="3"/>
        <v>1602.779713</v>
      </c>
      <c r="X138" s="27">
        <f t="shared" si="4"/>
        <v>471.4057979</v>
      </c>
      <c r="Y138" s="26" t="s">
        <v>42</v>
      </c>
      <c r="Z138" s="57" t="s">
        <v>1016</v>
      </c>
      <c r="AA138" s="178"/>
      <c r="AB138" s="172"/>
      <c r="AC138" s="172"/>
      <c r="AD138" s="172"/>
    </row>
    <row r="139">
      <c r="A139" s="26" t="s">
        <v>1872</v>
      </c>
      <c r="B139" s="26" t="s">
        <v>1896</v>
      </c>
      <c r="C139" s="1" t="s">
        <v>228</v>
      </c>
      <c r="D139" s="26" t="s">
        <v>1897</v>
      </c>
      <c r="E139" s="25">
        <v>2007.0</v>
      </c>
      <c r="F139" s="25">
        <v>2014.0</v>
      </c>
      <c r="G139" s="25">
        <v>0.0</v>
      </c>
      <c r="H139" s="25">
        <v>1.6</v>
      </c>
      <c r="I139" s="50">
        <v>1.0</v>
      </c>
      <c r="J139" s="25">
        <v>1.6</v>
      </c>
      <c r="K139" s="51">
        <v>0.0</v>
      </c>
      <c r="L139" s="51">
        <v>0.0</v>
      </c>
      <c r="M139" s="25">
        <v>1.0</v>
      </c>
      <c r="N139" s="26"/>
      <c r="O139" s="26" t="s">
        <v>59</v>
      </c>
      <c r="P139" s="52">
        <v>2400.0</v>
      </c>
      <c r="Q139" s="26" t="s">
        <v>37</v>
      </c>
      <c r="R139" s="58">
        <v>2010.0</v>
      </c>
      <c r="S139" s="25">
        <v>1.0</v>
      </c>
      <c r="T139" s="25">
        <f t="shared" si="1"/>
        <v>2400</v>
      </c>
      <c r="U139" s="24">
        <f t="shared" si="2"/>
        <v>1500</v>
      </c>
      <c r="V139" s="26">
        <f>VLOOKUP(R139,CPI!$A$2:$E$67,5,0)</f>
        <v>1.397356642</v>
      </c>
      <c r="W139" s="27">
        <f t="shared" si="3"/>
        <v>3353.655942</v>
      </c>
      <c r="X139" s="27">
        <f t="shared" si="4"/>
        <v>2096.034963</v>
      </c>
      <c r="Y139" s="26" t="s">
        <v>60</v>
      </c>
      <c r="Z139" s="53" t="s">
        <v>1898</v>
      </c>
      <c r="AA139" s="179"/>
      <c r="AB139" s="60"/>
      <c r="AC139" s="60"/>
      <c r="AD139" s="60"/>
    </row>
    <row r="140">
      <c r="A140" s="26" t="s">
        <v>1872</v>
      </c>
      <c r="B140" s="26" t="s">
        <v>1896</v>
      </c>
      <c r="C140" s="1" t="s">
        <v>1899</v>
      </c>
      <c r="D140" s="26" t="s">
        <v>1900</v>
      </c>
      <c r="E140" s="25">
        <v>2007.0</v>
      </c>
      <c r="F140" s="25">
        <v>2016.0</v>
      </c>
      <c r="G140" s="25">
        <v>0.0</v>
      </c>
      <c r="H140" s="58">
        <v>2.7</v>
      </c>
      <c r="I140" s="50">
        <v>1.0</v>
      </c>
      <c r="J140" s="58">
        <v>2.7</v>
      </c>
      <c r="K140" s="51">
        <v>0.0</v>
      </c>
      <c r="L140" s="51">
        <v>0.0</v>
      </c>
      <c r="M140" s="25">
        <v>3.0</v>
      </c>
      <c r="N140" s="63">
        <v>187.0</v>
      </c>
      <c r="O140" s="26" t="s">
        <v>59</v>
      </c>
      <c r="P140" s="55">
        <v>4601.0</v>
      </c>
      <c r="Q140" s="26" t="s">
        <v>37</v>
      </c>
      <c r="R140" s="58">
        <v>2011.0</v>
      </c>
      <c r="S140" s="25">
        <v>1.0</v>
      </c>
      <c r="T140" s="25">
        <f t="shared" si="1"/>
        <v>4601</v>
      </c>
      <c r="U140" s="24">
        <f t="shared" si="2"/>
        <v>1704.074074</v>
      </c>
      <c r="V140" s="26">
        <f>VLOOKUP(R140,CPI!$A$2:$E$67,5,0)</f>
        <v>1.354598358</v>
      </c>
      <c r="W140" s="27">
        <f t="shared" si="3"/>
        <v>6232.507044</v>
      </c>
      <c r="X140" s="27">
        <f t="shared" si="4"/>
        <v>2308.335942</v>
      </c>
      <c r="Y140" s="26" t="s">
        <v>42</v>
      </c>
      <c r="Z140" s="83" t="s">
        <v>1901</v>
      </c>
      <c r="AA140" s="6"/>
      <c r="AB140" s="6"/>
      <c r="AC140" s="6"/>
      <c r="AD140" s="6"/>
    </row>
    <row r="141">
      <c r="A141" s="26" t="s">
        <v>1872</v>
      </c>
      <c r="B141" s="26" t="s">
        <v>1896</v>
      </c>
      <c r="C141" s="1" t="s">
        <v>1899</v>
      </c>
      <c r="D141" s="26" t="s">
        <v>1906</v>
      </c>
      <c r="E141" s="25">
        <v>2019.0</v>
      </c>
      <c r="F141" s="25">
        <v>2029.0</v>
      </c>
      <c r="G141" s="25">
        <v>0.0</v>
      </c>
      <c r="H141" s="25">
        <v>2.6</v>
      </c>
      <c r="I141" s="50">
        <v>1.0</v>
      </c>
      <c r="J141" s="25">
        <v>2.6</v>
      </c>
      <c r="K141" s="51">
        <v>0.0</v>
      </c>
      <c r="L141" s="51">
        <v>0.0</v>
      </c>
      <c r="M141" s="25">
        <v>3.0</v>
      </c>
      <c r="N141" s="63">
        <v>187.0</v>
      </c>
      <c r="O141" s="26" t="s">
        <v>59</v>
      </c>
      <c r="P141" s="55">
        <v>6949.0</v>
      </c>
      <c r="Q141" s="26" t="s">
        <v>37</v>
      </c>
      <c r="R141" s="25">
        <v>2024.0</v>
      </c>
      <c r="S141" s="25">
        <v>1.0</v>
      </c>
      <c r="T141" s="25">
        <f t="shared" si="1"/>
        <v>6949</v>
      </c>
      <c r="U141" s="24">
        <f t="shared" si="2"/>
        <v>2672.692308</v>
      </c>
      <c r="V141" s="26">
        <f>VLOOKUP(R141,CPI!$A$2:$E$67,5,0)</f>
        <v>1</v>
      </c>
      <c r="W141" s="27">
        <f t="shared" si="3"/>
        <v>6949</v>
      </c>
      <c r="X141" s="27">
        <f t="shared" si="4"/>
        <v>2672.692308</v>
      </c>
      <c r="Y141" s="26" t="s">
        <v>36</v>
      </c>
      <c r="Z141" s="88" t="s">
        <v>1907</v>
      </c>
      <c r="AA141" s="89"/>
      <c r="AB141" s="90"/>
      <c r="AC141" s="90"/>
      <c r="AD141" s="90"/>
    </row>
    <row r="142">
      <c r="A142" s="26" t="s">
        <v>1872</v>
      </c>
      <c r="B142" s="26" t="s">
        <v>1896</v>
      </c>
      <c r="C142" s="26" t="s">
        <v>1902</v>
      </c>
      <c r="D142" s="26" t="s">
        <v>1902</v>
      </c>
      <c r="E142" s="25">
        <v>2007.0</v>
      </c>
      <c r="F142" s="25">
        <v>2022.0</v>
      </c>
      <c r="G142" s="25">
        <v>1.0</v>
      </c>
      <c r="H142" s="25">
        <v>2.8</v>
      </c>
      <c r="I142" s="50">
        <v>1.0</v>
      </c>
      <c r="J142" s="25">
        <v>2.8</v>
      </c>
      <c r="K142" s="51">
        <v>0.0</v>
      </c>
      <c r="L142" s="51">
        <v>0.0</v>
      </c>
      <c r="M142" s="25">
        <v>1.0</v>
      </c>
      <c r="N142" s="26"/>
      <c r="O142" s="26" t="s">
        <v>59</v>
      </c>
      <c r="P142" s="52">
        <v>11000.0</v>
      </c>
      <c r="Q142" s="26" t="s">
        <v>37</v>
      </c>
      <c r="R142" s="25">
        <v>2015.0</v>
      </c>
      <c r="S142" s="25">
        <v>1.0</v>
      </c>
      <c r="T142" s="25">
        <f t="shared" si="1"/>
        <v>11000</v>
      </c>
      <c r="U142" s="24">
        <f t="shared" si="2"/>
        <v>3928.571429</v>
      </c>
      <c r="V142" s="26">
        <f>VLOOKUP(R142,CPI!$A$2:$E$67,5,0)</f>
        <v>1.285570233</v>
      </c>
      <c r="W142" s="27">
        <f t="shared" si="3"/>
        <v>14141.27257</v>
      </c>
      <c r="X142" s="27">
        <f t="shared" si="4"/>
        <v>5050.454488</v>
      </c>
      <c r="Y142" s="26" t="s">
        <v>42</v>
      </c>
      <c r="Z142" s="53" t="s">
        <v>1903</v>
      </c>
      <c r="AA142" s="89"/>
      <c r="AB142" s="90"/>
      <c r="AC142" s="90"/>
      <c r="AD142" s="90"/>
    </row>
    <row r="143">
      <c r="A143" s="26" t="s">
        <v>1872</v>
      </c>
      <c r="B143" s="26" t="s">
        <v>1896</v>
      </c>
      <c r="C143" s="26" t="s">
        <v>1904</v>
      </c>
      <c r="D143" s="26" t="s">
        <v>1904</v>
      </c>
      <c r="E143" s="25">
        <v>2019.0</v>
      </c>
      <c r="F143" s="25">
        <v>2026.0</v>
      </c>
      <c r="G143" s="25">
        <v>1.0</v>
      </c>
      <c r="H143" s="25">
        <v>5.3</v>
      </c>
      <c r="I143" s="50">
        <v>1.0</v>
      </c>
      <c r="J143" s="25">
        <v>5.3</v>
      </c>
      <c r="K143" s="51">
        <v>0.0</v>
      </c>
      <c r="L143" s="51">
        <v>0.0</v>
      </c>
      <c r="M143" s="25">
        <v>0.0</v>
      </c>
      <c r="N143" s="26"/>
      <c r="O143" s="26" t="s">
        <v>59</v>
      </c>
      <c r="P143" s="52">
        <v>9500.0</v>
      </c>
      <c r="Q143" s="26" t="s">
        <v>37</v>
      </c>
      <c r="R143" s="25">
        <v>2023.0</v>
      </c>
      <c r="S143" s="25">
        <v>1.0</v>
      </c>
      <c r="T143" s="25">
        <f t="shared" si="1"/>
        <v>9500</v>
      </c>
      <c r="U143" s="24">
        <f t="shared" si="2"/>
        <v>1792.45283</v>
      </c>
      <c r="V143" s="26">
        <f>VLOOKUP(R143,CPI!$A$2:$E$67,5,0)</f>
        <v>1</v>
      </c>
      <c r="W143" s="27">
        <f t="shared" si="3"/>
        <v>9500</v>
      </c>
      <c r="X143" s="27">
        <f t="shared" si="4"/>
        <v>1792.45283</v>
      </c>
      <c r="Y143" s="26" t="s">
        <v>60</v>
      </c>
      <c r="Z143" s="53" t="s">
        <v>1905</v>
      </c>
      <c r="AA143" s="179"/>
      <c r="AB143" s="60"/>
      <c r="AC143" s="60"/>
      <c r="AD143" s="60"/>
    </row>
    <row r="144">
      <c r="A144" s="2" t="s">
        <v>1861</v>
      </c>
      <c r="B144" s="2" t="s">
        <v>1862</v>
      </c>
      <c r="C144" s="2" t="s">
        <v>1867</v>
      </c>
      <c r="D144" s="2" t="s">
        <v>1867</v>
      </c>
      <c r="E144" s="3">
        <v>2009.0</v>
      </c>
      <c r="F144" s="3">
        <v>2021.0</v>
      </c>
      <c r="G144" s="3">
        <v>1.0</v>
      </c>
      <c r="H144" s="3">
        <v>21.0</v>
      </c>
      <c r="I144" s="39">
        <v>1.0</v>
      </c>
      <c r="J144" s="3">
        <v>21.0</v>
      </c>
      <c r="K144" s="40">
        <v>0.0</v>
      </c>
      <c r="L144" s="40">
        <v>0.0</v>
      </c>
      <c r="M144" s="3">
        <v>8.0</v>
      </c>
      <c r="N144" s="2"/>
      <c r="O144" s="2" t="s">
        <v>59</v>
      </c>
      <c r="P144" s="41">
        <v>13328.0</v>
      </c>
      <c r="Q144" s="2" t="s">
        <v>1865</v>
      </c>
      <c r="R144" s="3">
        <v>2015.0</v>
      </c>
      <c r="S144" s="3">
        <v>1.4</v>
      </c>
      <c r="T144" s="3">
        <f t="shared" si="1"/>
        <v>18659.2</v>
      </c>
      <c r="U144" s="24">
        <f t="shared" si="2"/>
        <v>888.5333333</v>
      </c>
      <c r="V144" s="26">
        <f>VLOOKUP(R144,CPI!$A$2:$E$67,5,0)</f>
        <v>1.285570233</v>
      </c>
      <c r="W144" s="27">
        <f t="shared" si="3"/>
        <v>23987.7121</v>
      </c>
      <c r="X144" s="27">
        <f t="shared" si="4"/>
        <v>1142.272005</v>
      </c>
      <c r="Y144" s="2" t="s">
        <v>2138</v>
      </c>
      <c r="Z144" s="2"/>
      <c r="AA144" s="179"/>
      <c r="AB144" s="60"/>
      <c r="AC144" s="60"/>
      <c r="AD144" s="60"/>
    </row>
    <row r="145">
      <c r="A145" s="26" t="s">
        <v>1165</v>
      </c>
      <c r="B145" s="26" t="s">
        <v>1174</v>
      </c>
      <c r="C145" s="1" t="s">
        <v>110</v>
      </c>
      <c r="D145" s="26" t="s">
        <v>1189</v>
      </c>
      <c r="E145" s="25">
        <v>2014.0</v>
      </c>
      <c r="F145" s="25">
        <v>2021.0</v>
      </c>
      <c r="G145" s="25">
        <v>0.0</v>
      </c>
      <c r="H145" s="25">
        <v>1.8</v>
      </c>
      <c r="I145" s="50">
        <v>1.0</v>
      </c>
      <c r="J145" s="25">
        <v>1.8</v>
      </c>
      <c r="K145" s="51">
        <v>0.0</v>
      </c>
      <c r="L145" s="51">
        <v>0.0</v>
      </c>
      <c r="M145" s="25">
        <v>2.0</v>
      </c>
      <c r="N145" s="26"/>
      <c r="O145" s="26" t="s">
        <v>60</v>
      </c>
      <c r="P145" s="52">
        <v>380.0</v>
      </c>
      <c r="Q145" s="26" t="s">
        <v>52</v>
      </c>
      <c r="R145" s="25">
        <v>2011.0</v>
      </c>
      <c r="S145" s="25">
        <v>1.3</v>
      </c>
      <c r="T145" s="25">
        <f t="shared" si="1"/>
        <v>494</v>
      </c>
      <c r="U145" s="24">
        <f t="shared" si="2"/>
        <v>274.4444444</v>
      </c>
      <c r="V145" s="26">
        <f>VLOOKUP(R145,CPI!$A$2:$E$67,5,0)</f>
        <v>1.354598358</v>
      </c>
      <c r="W145" s="27">
        <f t="shared" si="3"/>
        <v>669.1715887</v>
      </c>
      <c r="X145" s="27">
        <f t="shared" si="4"/>
        <v>371.7619937</v>
      </c>
      <c r="Y145" s="26" t="s">
        <v>60</v>
      </c>
      <c r="Z145" s="53" t="s">
        <v>1190</v>
      </c>
      <c r="AA145" s="178"/>
      <c r="AB145" s="172"/>
      <c r="AC145" s="172"/>
      <c r="AD145" s="172"/>
    </row>
    <row r="146">
      <c r="A146" s="26" t="s">
        <v>1165</v>
      </c>
      <c r="B146" s="26" t="s">
        <v>1174</v>
      </c>
      <c r="C146" s="1" t="s">
        <v>1191</v>
      </c>
      <c r="D146" s="26" t="s">
        <v>1192</v>
      </c>
      <c r="E146" s="25">
        <v>2018.0</v>
      </c>
      <c r="F146" s="25">
        <v>2022.0</v>
      </c>
      <c r="G146" s="25">
        <v>1.0</v>
      </c>
      <c r="H146" s="25">
        <v>8.0</v>
      </c>
      <c r="I146" s="50">
        <v>1.0</v>
      </c>
      <c r="J146" s="25">
        <v>8.0</v>
      </c>
      <c r="K146" s="51">
        <v>0.0</v>
      </c>
      <c r="L146" s="51">
        <v>0.0</v>
      </c>
      <c r="M146" s="25">
        <v>2.0</v>
      </c>
      <c r="N146" s="26"/>
      <c r="O146" s="26" t="s">
        <v>74</v>
      </c>
      <c r="P146" s="52">
        <v>1800.0</v>
      </c>
      <c r="Q146" s="26" t="s">
        <v>52</v>
      </c>
      <c r="R146" s="25">
        <v>2012.0</v>
      </c>
      <c r="S146" s="25">
        <v>1.3</v>
      </c>
      <c r="T146" s="25">
        <f t="shared" si="1"/>
        <v>2340</v>
      </c>
      <c r="U146" s="24">
        <f t="shared" si="2"/>
        <v>292.5</v>
      </c>
      <c r="V146" s="26">
        <f>VLOOKUP(R146,CPI!$A$2:$E$67,5,0)</f>
        <v>1.327133984</v>
      </c>
      <c r="W146" s="27">
        <f t="shared" si="3"/>
        <v>3105.493523</v>
      </c>
      <c r="X146" s="27">
        <f t="shared" si="4"/>
        <v>388.1866904</v>
      </c>
      <c r="Y146" s="26" t="s">
        <v>42</v>
      </c>
      <c r="Z146" s="53" t="s">
        <v>1193</v>
      </c>
      <c r="AA146" s="178"/>
      <c r="AB146" s="172"/>
      <c r="AC146" s="172"/>
      <c r="AD146" s="172"/>
    </row>
    <row r="147">
      <c r="A147" s="26" t="s">
        <v>1165</v>
      </c>
      <c r="B147" s="26" t="s">
        <v>1174</v>
      </c>
      <c r="C147" s="1" t="s">
        <v>110</v>
      </c>
      <c r="D147" s="26" t="s">
        <v>1185</v>
      </c>
      <c r="E147" s="25">
        <v>2008.0</v>
      </c>
      <c r="F147" s="25">
        <v>2013.0</v>
      </c>
      <c r="G147" s="25">
        <v>0.0</v>
      </c>
      <c r="H147" s="25">
        <v>1.5</v>
      </c>
      <c r="I147" s="50">
        <v>1.0</v>
      </c>
      <c r="J147" s="25">
        <v>1.5</v>
      </c>
      <c r="K147" s="51">
        <v>0.0</v>
      </c>
      <c r="L147" s="51">
        <v>0.0</v>
      </c>
      <c r="M147" s="25">
        <v>1.0</v>
      </c>
      <c r="N147" s="26"/>
      <c r="O147" s="26" t="s">
        <v>42</v>
      </c>
      <c r="P147" s="52">
        <v>185.3</v>
      </c>
      <c r="Q147" s="26" t="s">
        <v>52</v>
      </c>
      <c r="R147" s="25">
        <v>2010.0</v>
      </c>
      <c r="S147" s="25">
        <v>1.3</v>
      </c>
      <c r="T147" s="25">
        <f t="shared" si="1"/>
        <v>240.89</v>
      </c>
      <c r="U147" s="24">
        <f t="shared" si="2"/>
        <v>160.5933333</v>
      </c>
      <c r="V147" s="26">
        <f>VLOOKUP(R147,CPI!$A$2:$E$67,5,0)</f>
        <v>1.397356642</v>
      </c>
      <c r="W147" s="27">
        <f t="shared" si="3"/>
        <v>336.6092416</v>
      </c>
      <c r="X147" s="27">
        <f t="shared" si="4"/>
        <v>224.406161</v>
      </c>
      <c r="Y147" s="26" t="s">
        <v>42</v>
      </c>
      <c r="Z147" s="53" t="s">
        <v>1186</v>
      </c>
      <c r="AA147" s="178"/>
      <c r="AB147" s="172"/>
      <c r="AC147" s="172"/>
      <c r="AD147" s="172"/>
    </row>
    <row r="148">
      <c r="A148" s="26" t="s">
        <v>1165</v>
      </c>
      <c r="B148" s="26" t="s">
        <v>1174</v>
      </c>
      <c r="C148" s="1" t="s">
        <v>243</v>
      </c>
      <c r="D148" s="26" t="s">
        <v>1181</v>
      </c>
      <c r="E148" s="25">
        <v>2007.0</v>
      </c>
      <c r="F148" s="25">
        <v>2011.0</v>
      </c>
      <c r="G148" s="25">
        <v>0.0</v>
      </c>
      <c r="H148" s="25">
        <v>1.3</v>
      </c>
      <c r="I148" s="50">
        <v>0.0</v>
      </c>
      <c r="J148" s="25">
        <v>0.0</v>
      </c>
      <c r="K148" s="51">
        <v>0.0</v>
      </c>
      <c r="L148" s="51">
        <v>0.0</v>
      </c>
      <c r="M148" s="25">
        <v>1.0</v>
      </c>
      <c r="N148" s="26"/>
      <c r="O148" s="26" t="s">
        <v>74</v>
      </c>
      <c r="P148" s="52">
        <v>83.0</v>
      </c>
      <c r="Q148" s="26" t="s">
        <v>52</v>
      </c>
      <c r="R148" s="25">
        <v>2005.0</v>
      </c>
      <c r="S148" s="25">
        <v>1.25</v>
      </c>
      <c r="T148" s="25">
        <f t="shared" si="1"/>
        <v>103.75</v>
      </c>
      <c r="U148" s="24">
        <f t="shared" si="2"/>
        <v>79.80769231</v>
      </c>
      <c r="V148" s="26">
        <f>VLOOKUP(R148,CPI!$A$2:$E$67,5,0)</f>
        <v>1.560174091</v>
      </c>
      <c r="W148" s="27">
        <f t="shared" si="3"/>
        <v>161.868062</v>
      </c>
      <c r="X148" s="27">
        <f t="shared" si="4"/>
        <v>124.5138938</v>
      </c>
      <c r="Y148" s="26" t="s">
        <v>42</v>
      </c>
      <c r="Z148" s="53" t="s">
        <v>1182</v>
      </c>
      <c r="AA148" s="178"/>
      <c r="AB148" s="172"/>
      <c r="AC148" s="172"/>
      <c r="AD148" s="172"/>
    </row>
    <row r="149">
      <c r="A149" s="26" t="s">
        <v>1165</v>
      </c>
      <c r="B149" s="26" t="s">
        <v>1174</v>
      </c>
      <c r="C149" s="1" t="s">
        <v>236</v>
      </c>
      <c r="D149" s="26" t="s">
        <v>1179</v>
      </c>
      <c r="E149" s="25">
        <v>2005.0</v>
      </c>
      <c r="F149" s="25">
        <v>2008.0</v>
      </c>
      <c r="G149" s="25">
        <v>0.0</v>
      </c>
      <c r="H149" s="25">
        <v>1.9</v>
      </c>
      <c r="I149" s="50">
        <v>1.0</v>
      </c>
      <c r="J149" s="25">
        <v>1.9</v>
      </c>
      <c r="K149" s="51">
        <v>0.0</v>
      </c>
      <c r="L149" s="51">
        <v>0.0</v>
      </c>
      <c r="M149" s="25">
        <v>2.0</v>
      </c>
      <c r="N149" s="26"/>
      <c r="O149" s="26" t="s">
        <v>60</v>
      </c>
      <c r="P149" s="52">
        <v>158.0</v>
      </c>
      <c r="Q149" s="26" t="s">
        <v>52</v>
      </c>
      <c r="R149" s="25">
        <v>2006.0</v>
      </c>
      <c r="S149" s="25">
        <v>1.25</v>
      </c>
      <c r="T149" s="25">
        <f t="shared" si="1"/>
        <v>197.5</v>
      </c>
      <c r="U149" s="24">
        <f t="shared" si="2"/>
        <v>103.9473684</v>
      </c>
      <c r="V149" s="26">
        <f>VLOOKUP(R149,CPI!$A$2:$E$67,5,0)</f>
        <v>1.511418651</v>
      </c>
      <c r="W149" s="27">
        <f t="shared" si="3"/>
        <v>298.5051835</v>
      </c>
      <c r="X149" s="27">
        <f t="shared" si="4"/>
        <v>157.1079913</v>
      </c>
      <c r="Y149" s="26" t="s">
        <v>60</v>
      </c>
      <c r="Z149" s="53" t="s">
        <v>1180</v>
      </c>
      <c r="AA149" s="178"/>
      <c r="AB149" s="172"/>
      <c r="AC149" s="172"/>
      <c r="AD149" s="172"/>
    </row>
    <row r="150">
      <c r="A150" s="26" t="s">
        <v>1165</v>
      </c>
      <c r="B150" s="26" t="s">
        <v>1174</v>
      </c>
      <c r="C150" s="1" t="s">
        <v>287</v>
      </c>
      <c r="D150" s="26" t="s">
        <v>1183</v>
      </c>
      <c r="E150" s="25">
        <v>2007.0</v>
      </c>
      <c r="F150" s="25">
        <v>2012.0</v>
      </c>
      <c r="G150" s="25">
        <v>0.0</v>
      </c>
      <c r="H150" s="25">
        <v>1.5</v>
      </c>
      <c r="I150" s="50">
        <v>1.0</v>
      </c>
      <c r="J150" s="25">
        <v>1.5</v>
      </c>
      <c r="K150" s="51">
        <v>0.0</v>
      </c>
      <c r="L150" s="51">
        <v>0.0</v>
      </c>
      <c r="M150" s="25">
        <v>1.0</v>
      </c>
      <c r="N150" s="26"/>
      <c r="O150" s="26" t="s">
        <v>59</v>
      </c>
      <c r="P150" s="52">
        <v>295.0</v>
      </c>
      <c r="Q150" s="26" t="s">
        <v>52</v>
      </c>
      <c r="R150" s="25">
        <v>2009.0</v>
      </c>
      <c r="S150" s="25">
        <v>1.3</v>
      </c>
      <c r="T150" s="25">
        <f t="shared" si="1"/>
        <v>383.5</v>
      </c>
      <c r="U150" s="24">
        <f t="shared" si="2"/>
        <v>255.6666667</v>
      </c>
      <c r="V150" s="26">
        <f>VLOOKUP(R150,CPI!$A$2:$E$67,5,0)</f>
        <v>1.420277155</v>
      </c>
      <c r="W150" s="27">
        <f t="shared" si="3"/>
        <v>544.6762889</v>
      </c>
      <c r="X150" s="27">
        <f t="shared" si="4"/>
        <v>363.117526</v>
      </c>
      <c r="Y150" s="26" t="s">
        <v>60</v>
      </c>
      <c r="Z150" s="53" t="s">
        <v>1184</v>
      </c>
      <c r="AA150" s="178"/>
      <c r="AB150" s="172"/>
      <c r="AC150" s="172"/>
      <c r="AD150" s="172"/>
    </row>
    <row r="151">
      <c r="A151" s="26" t="s">
        <v>1165</v>
      </c>
      <c r="B151" s="26" t="s">
        <v>1174</v>
      </c>
      <c r="C151" s="1" t="s">
        <v>292</v>
      </c>
      <c r="D151" s="26" t="s">
        <v>292</v>
      </c>
      <c r="E151" s="25">
        <v>2016.0</v>
      </c>
      <c r="F151" s="58">
        <v>2024.0</v>
      </c>
      <c r="G151" s="25">
        <v>0.0</v>
      </c>
      <c r="H151" s="58">
        <v>6.3</v>
      </c>
      <c r="I151" s="50">
        <v>0.9</v>
      </c>
      <c r="J151" s="58">
        <v>5.7</v>
      </c>
      <c r="K151" s="58">
        <v>0.6</v>
      </c>
      <c r="L151" s="51">
        <v>0.0</v>
      </c>
      <c r="M151" s="25">
        <v>6.0</v>
      </c>
      <c r="N151" s="26"/>
      <c r="O151" s="26" t="s">
        <v>59</v>
      </c>
      <c r="P151" s="52">
        <v>1084.0</v>
      </c>
      <c r="Q151" s="26" t="s">
        <v>52</v>
      </c>
      <c r="R151" s="25">
        <v>2014.0</v>
      </c>
      <c r="S151" s="25">
        <v>1.3</v>
      </c>
      <c r="T151" s="25">
        <f t="shared" si="1"/>
        <v>1409.2</v>
      </c>
      <c r="U151" s="24">
        <f t="shared" si="2"/>
        <v>223.6825397</v>
      </c>
      <c r="V151" s="26">
        <f>VLOOKUP(R151,CPI!$A$2:$E$67,5,0)</f>
        <v>1.287096175</v>
      </c>
      <c r="W151" s="27">
        <f t="shared" si="3"/>
        <v>1813.775929</v>
      </c>
      <c r="X151" s="27">
        <f t="shared" si="4"/>
        <v>287.9009412</v>
      </c>
      <c r="Y151" s="26" t="s">
        <v>60</v>
      </c>
      <c r="Z151" s="53" t="s">
        <v>1194</v>
      </c>
      <c r="AA151" s="178"/>
      <c r="AB151" s="172"/>
      <c r="AC151" s="172"/>
      <c r="AD151" s="172"/>
    </row>
    <row r="152">
      <c r="A152" s="26" t="s">
        <v>1257</v>
      </c>
      <c r="B152" s="26" t="s">
        <v>1258</v>
      </c>
      <c r="C152" s="26" t="s">
        <v>40</v>
      </c>
      <c r="D152" s="26" t="s">
        <v>40</v>
      </c>
      <c r="E152" s="25">
        <v>2015.0</v>
      </c>
      <c r="F152" s="25">
        <v>2022.0</v>
      </c>
      <c r="G152" s="25">
        <v>0.0</v>
      </c>
      <c r="H152" s="25">
        <v>24.0</v>
      </c>
      <c r="I152" s="50">
        <v>0.5</v>
      </c>
      <c r="J152" s="25">
        <v>12.0</v>
      </c>
      <c r="K152" s="51">
        <v>0.0</v>
      </c>
      <c r="L152" s="51">
        <v>0.0</v>
      </c>
      <c r="M152" s="25">
        <v>34.0</v>
      </c>
      <c r="N152" s="26"/>
      <c r="O152" s="26" t="s">
        <v>74</v>
      </c>
      <c r="P152" s="52">
        <v>17600.0</v>
      </c>
      <c r="Q152" s="26" t="s">
        <v>1259</v>
      </c>
      <c r="R152" s="25">
        <v>2018.0</v>
      </c>
      <c r="S152" s="25">
        <v>0.268</v>
      </c>
      <c r="T152" s="25">
        <f t="shared" si="1"/>
        <v>4716.8</v>
      </c>
      <c r="U152" s="24">
        <f t="shared" si="2"/>
        <v>196.5333333</v>
      </c>
      <c r="V152" s="26">
        <f>VLOOKUP(R152,CPI!$A$2:$E$67,5,0)</f>
        <v>1.21343491</v>
      </c>
      <c r="W152" s="27">
        <f t="shared" si="3"/>
        <v>5723.529785</v>
      </c>
      <c r="X152" s="27">
        <f t="shared" si="4"/>
        <v>238.4804077</v>
      </c>
      <c r="Y152" s="26" t="s">
        <v>42</v>
      </c>
      <c r="Z152" s="53" t="s">
        <v>1260</v>
      </c>
      <c r="AA152" s="178"/>
      <c r="AB152" s="172"/>
      <c r="AC152" s="172"/>
      <c r="AD152" s="172"/>
    </row>
    <row r="153">
      <c r="A153" s="26" t="s">
        <v>1257</v>
      </c>
      <c r="B153" s="26" t="s">
        <v>1258</v>
      </c>
      <c r="C153" s="26" t="s">
        <v>127</v>
      </c>
      <c r="D153" s="26" t="s">
        <v>127</v>
      </c>
      <c r="E153" s="25">
        <v>2018.0</v>
      </c>
      <c r="F153" s="25">
        <v>2024.0</v>
      </c>
      <c r="G153" s="25">
        <v>0.0</v>
      </c>
      <c r="H153" s="25">
        <v>38.6</v>
      </c>
      <c r="I153" s="50">
        <v>0.12</v>
      </c>
      <c r="J153" s="25">
        <v>4.6</v>
      </c>
      <c r="K153" s="51">
        <v>0.0</v>
      </c>
      <c r="L153" s="51">
        <v>0.0</v>
      </c>
      <c r="M153" s="25">
        <v>62.0</v>
      </c>
      <c r="N153" s="26"/>
      <c r="O153" s="26" t="s">
        <v>74</v>
      </c>
      <c r="P153" s="52">
        <v>20000.0</v>
      </c>
      <c r="Q153" s="26" t="s">
        <v>1259</v>
      </c>
      <c r="R153" s="25">
        <v>2020.0</v>
      </c>
      <c r="S153" s="25">
        <v>0.268</v>
      </c>
      <c r="T153" s="25">
        <f t="shared" si="1"/>
        <v>5360</v>
      </c>
      <c r="U153" s="24">
        <f t="shared" si="2"/>
        <v>138.8601036</v>
      </c>
      <c r="V153" s="26">
        <f>VLOOKUP(R153,CPI!$A$2:$E$67,5,0)</f>
        <v>1.17731472</v>
      </c>
      <c r="W153" s="27">
        <f t="shared" si="3"/>
        <v>6310.406899</v>
      </c>
      <c r="X153" s="27">
        <f t="shared" si="4"/>
        <v>163.482044</v>
      </c>
      <c r="Y153" s="26" t="s">
        <v>42</v>
      </c>
      <c r="Z153" s="53" t="s">
        <v>1261</v>
      </c>
      <c r="AA153" s="178"/>
      <c r="AB153" s="172"/>
      <c r="AC153" s="172"/>
      <c r="AD153" s="172"/>
    </row>
    <row r="154">
      <c r="A154" s="26" t="s">
        <v>1513</v>
      </c>
      <c r="B154" s="26" t="s">
        <v>1514</v>
      </c>
      <c r="C154" s="26" t="s">
        <v>1515</v>
      </c>
      <c r="D154" s="26" t="s">
        <v>1515</v>
      </c>
      <c r="E154" s="25">
        <v>2013.0</v>
      </c>
      <c r="F154" s="25">
        <v>2024.0</v>
      </c>
      <c r="G154" s="25">
        <v>1.0</v>
      </c>
      <c r="H154" s="25">
        <v>3.5</v>
      </c>
      <c r="I154" s="50">
        <v>1.0</v>
      </c>
      <c r="J154" s="25">
        <v>3.5</v>
      </c>
      <c r="K154" s="51">
        <v>0.0</v>
      </c>
      <c r="L154" s="51">
        <v>0.0</v>
      </c>
      <c r="M154" s="25">
        <v>4.0</v>
      </c>
      <c r="N154" s="26"/>
      <c r="O154" s="26" t="s">
        <v>74</v>
      </c>
      <c r="P154" s="52">
        <v>4419.0</v>
      </c>
      <c r="Q154" s="26" t="s">
        <v>1516</v>
      </c>
      <c r="R154" s="25">
        <v>2018.0</v>
      </c>
      <c r="S154" s="25">
        <v>0.677</v>
      </c>
      <c r="T154" s="25">
        <f t="shared" si="1"/>
        <v>2991.663</v>
      </c>
      <c r="U154" s="24">
        <f t="shared" si="2"/>
        <v>854.7608571</v>
      </c>
      <c r="V154" s="26">
        <f>VLOOKUP(R154,CPI!$A$2:$E$67,5,0)</f>
        <v>1.21343491</v>
      </c>
      <c r="W154" s="27">
        <f t="shared" si="3"/>
        <v>3630.188324</v>
      </c>
      <c r="X154" s="27">
        <f t="shared" si="4"/>
        <v>1037.196664</v>
      </c>
      <c r="Y154" s="26" t="s">
        <v>60</v>
      </c>
      <c r="Z154" s="53" t="s">
        <v>1517</v>
      </c>
      <c r="AA154" s="178"/>
      <c r="AB154" s="172"/>
      <c r="AC154" s="172"/>
      <c r="AD154" s="172"/>
    </row>
    <row r="155">
      <c r="A155" s="26" t="s">
        <v>992</v>
      </c>
      <c r="B155" s="26" t="s">
        <v>1025</v>
      </c>
      <c r="C155" s="1" t="s">
        <v>1026</v>
      </c>
      <c r="D155" s="26" t="s">
        <v>1027</v>
      </c>
      <c r="E155" s="25">
        <v>2007.0</v>
      </c>
      <c r="F155" s="25">
        <v>2012.0</v>
      </c>
      <c r="G155" s="25">
        <v>0.0</v>
      </c>
      <c r="H155" s="25">
        <v>3.9</v>
      </c>
      <c r="I155" s="50">
        <v>1.0</v>
      </c>
      <c r="J155" s="25">
        <v>3.9</v>
      </c>
      <c r="K155" s="51">
        <v>0.0</v>
      </c>
      <c r="L155" s="51">
        <v>0.0</v>
      </c>
      <c r="M155" s="25">
        <v>2.0</v>
      </c>
      <c r="N155" s="26"/>
      <c r="O155" s="26" t="s">
        <v>42</v>
      </c>
      <c r="P155" s="52">
        <v>326.3</v>
      </c>
      <c r="Q155" s="26" t="s">
        <v>52</v>
      </c>
      <c r="R155" s="25">
        <v>2009.0</v>
      </c>
      <c r="S155" s="25">
        <v>1.3</v>
      </c>
      <c r="T155" s="25">
        <f t="shared" si="1"/>
        <v>424.19</v>
      </c>
      <c r="U155" s="24">
        <f t="shared" si="2"/>
        <v>108.7666667</v>
      </c>
      <c r="V155" s="26">
        <f>VLOOKUP(R155,CPI!$A$2:$E$67,5,0)</f>
        <v>1.420277155</v>
      </c>
      <c r="W155" s="27">
        <f t="shared" si="3"/>
        <v>602.4673664</v>
      </c>
      <c r="X155" s="27">
        <f t="shared" si="4"/>
        <v>154.4788119</v>
      </c>
      <c r="Y155" s="26" t="s">
        <v>42</v>
      </c>
      <c r="Z155" s="53" t="s">
        <v>1028</v>
      </c>
      <c r="AA155" s="130"/>
      <c r="AB155" s="130"/>
      <c r="AC155" s="130"/>
      <c r="AD155" s="130"/>
    </row>
    <row r="156">
      <c r="A156" s="26" t="s">
        <v>992</v>
      </c>
      <c r="B156" s="26" t="s">
        <v>1025</v>
      </c>
      <c r="C156" s="1" t="s">
        <v>1026</v>
      </c>
      <c r="D156" s="26" t="s">
        <v>1029</v>
      </c>
      <c r="E156" s="25">
        <v>2014.0</v>
      </c>
      <c r="F156" s="25">
        <v>2018.0</v>
      </c>
      <c r="G156" s="25">
        <v>0.0</v>
      </c>
      <c r="H156" s="25">
        <v>1.3</v>
      </c>
      <c r="I156" s="50">
        <v>1.0</v>
      </c>
      <c r="J156" s="25">
        <v>1.3</v>
      </c>
      <c r="K156" s="51">
        <v>0.0</v>
      </c>
      <c r="L156" s="51">
        <v>0.0</v>
      </c>
      <c r="M156" s="25">
        <v>1.0</v>
      </c>
      <c r="N156" s="26"/>
      <c r="O156" s="26" t="s">
        <v>42</v>
      </c>
      <c r="P156" s="52">
        <v>178.0</v>
      </c>
      <c r="Q156" s="26" t="s">
        <v>52</v>
      </c>
      <c r="R156" s="25">
        <v>2016.0</v>
      </c>
      <c r="S156" s="25">
        <v>1.3</v>
      </c>
      <c r="T156" s="25">
        <f t="shared" si="1"/>
        <v>231.4</v>
      </c>
      <c r="U156" s="24">
        <f t="shared" si="2"/>
        <v>178</v>
      </c>
      <c r="V156" s="26">
        <f>VLOOKUP(R156,CPI!$A$2:$E$67,5,0)</f>
        <v>1.269554638</v>
      </c>
      <c r="W156" s="27">
        <f t="shared" si="3"/>
        <v>293.7749432</v>
      </c>
      <c r="X156" s="27">
        <f t="shared" si="4"/>
        <v>225.9807256</v>
      </c>
      <c r="Y156" s="26" t="s">
        <v>42</v>
      </c>
      <c r="Z156" s="53" t="s">
        <v>1028</v>
      </c>
      <c r="AA156" s="178"/>
      <c r="AB156" s="172"/>
      <c r="AC156" s="172"/>
      <c r="AD156" s="172"/>
    </row>
    <row r="157">
      <c r="A157" s="26" t="s">
        <v>992</v>
      </c>
      <c r="B157" s="26" t="s">
        <v>1025</v>
      </c>
      <c r="C157" s="1" t="s">
        <v>1026</v>
      </c>
      <c r="D157" s="26" t="s">
        <v>2139</v>
      </c>
      <c r="E157" s="25">
        <v>2020.0</v>
      </c>
      <c r="F157" s="26"/>
      <c r="G157" s="25">
        <v>0.0</v>
      </c>
      <c r="H157" s="25">
        <v>2.6</v>
      </c>
      <c r="I157" s="50">
        <v>1.0</v>
      </c>
      <c r="J157" s="25">
        <v>2.6</v>
      </c>
      <c r="K157" s="51">
        <v>0.0</v>
      </c>
      <c r="L157" s="51">
        <v>0.0</v>
      </c>
      <c r="M157" s="25">
        <v>3.0</v>
      </c>
      <c r="N157" s="26"/>
      <c r="O157" s="26" t="s">
        <v>42</v>
      </c>
      <c r="P157" s="55">
        <v>561.0</v>
      </c>
      <c r="Q157" s="26" t="s">
        <v>52</v>
      </c>
      <c r="R157" s="58">
        <v>2021.0</v>
      </c>
      <c r="S157" s="25">
        <v>1.3</v>
      </c>
      <c r="T157" s="25">
        <f t="shared" si="1"/>
        <v>729.3</v>
      </c>
      <c r="U157" s="24">
        <f t="shared" si="2"/>
        <v>280.5</v>
      </c>
      <c r="V157" s="26">
        <f>VLOOKUP(R157,CPI!$A$2:$E$67,5,0)</f>
        <v>1.124486105</v>
      </c>
      <c r="W157" s="27">
        <f t="shared" si="3"/>
        <v>820.0877167</v>
      </c>
      <c r="X157" s="27">
        <f t="shared" si="4"/>
        <v>315.4183526</v>
      </c>
      <c r="Y157" s="26" t="s">
        <v>42</v>
      </c>
      <c r="Z157" s="56" t="s">
        <v>1034</v>
      </c>
      <c r="AA157" s="178"/>
      <c r="AB157" s="172"/>
      <c r="AC157" s="172"/>
      <c r="AD157" s="172"/>
    </row>
    <row r="158">
      <c r="A158" s="26" t="s">
        <v>1122</v>
      </c>
      <c r="B158" s="26" t="s">
        <v>1123</v>
      </c>
      <c r="C158" s="1" t="s">
        <v>1124</v>
      </c>
      <c r="D158" s="26" t="s">
        <v>1125</v>
      </c>
      <c r="E158" s="25">
        <v>2001.0</v>
      </c>
      <c r="F158" s="25">
        <v>2008.0</v>
      </c>
      <c r="G158" s="25">
        <v>0.0</v>
      </c>
      <c r="H158" s="25">
        <v>1.9</v>
      </c>
      <c r="I158" s="50">
        <v>1.0</v>
      </c>
      <c r="J158" s="25">
        <v>1.9</v>
      </c>
      <c r="K158" s="51">
        <v>0.0</v>
      </c>
      <c r="L158" s="51">
        <v>0.0</v>
      </c>
      <c r="M158" s="25">
        <v>2.0</v>
      </c>
      <c r="N158" s="26"/>
      <c r="O158" s="26" t="s">
        <v>60</v>
      </c>
      <c r="P158" s="52">
        <v>151.0</v>
      </c>
      <c r="Q158" s="26" t="s">
        <v>52</v>
      </c>
      <c r="R158" s="25">
        <v>2004.0</v>
      </c>
      <c r="S158" s="25">
        <v>1.25</v>
      </c>
      <c r="T158" s="25">
        <f t="shared" si="1"/>
        <v>188.75</v>
      </c>
      <c r="U158" s="24">
        <f t="shared" si="2"/>
        <v>99.34210526</v>
      </c>
      <c r="V158" s="26">
        <f>VLOOKUP(R158,CPI!$A$2:$E$67,5,0)</f>
        <v>1.613033351</v>
      </c>
      <c r="W158" s="27">
        <f t="shared" si="3"/>
        <v>304.460045</v>
      </c>
      <c r="X158" s="27">
        <f t="shared" si="4"/>
        <v>160.2421289</v>
      </c>
      <c r="Y158" s="26" t="s">
        <v>60</v>
      </c>
      <c r="Z158" s="53" t="s">
        <v>1126</v>
      </c>
      <c r="AA158" s="178"/>
      <c r="AB158" s="172"/>
      <c r="AC158" s="172"/>
      <c r="AD158" s="172"/>
    </row>
    <row r="159">
      <c r="A159" s="26" t="s">
        <v>1122</v>
      </c>
      <c r="B159" s="26" t="s">
        <v>1123</v>
      </c>
      <c r="C159" s="26" t="s">
        <v>1133</v>
      </c>
      <c r="D159" s="26" t="s">
        <v>1133</v>
      </c>
      <c r="E159" s="25">
        <v>2008.0</v>
      </c>
      <c r="F159" s="25">
        <v>2015.0</v>
      </c>
      <c r="G159" s="25">
        <v>0.0</v>
      </c>
      <c r="H159" s="25">
        <v>4.5</v>
      </c>
      <c r="I159" s="50">
        <v>1.0</v>
      </c>
      <c r="J159" s="25">
        <v>4.5</v>
      </c>
      <c r="K159" s="51">
        <v>0.0</v>
      </c>
      <c r="L159" s="51">
        <v>0.0</v>
      </c>
      <c r="M159" s="25">
        <v>3.0</v>
      </c>
      <c r="N159" s="26"/>
      <c r="O159" s="26" t="s">
        <v>60</v>
      </c>
      <c r="P159" s="52">
        <v>401.0</v>
      </c>
      <c r="Q159" s="26" t="s">
        <v>52</v>
      </c>
      <c r="R159" s="25">
        <v>2011.0</v>
      </c>
      <c r="S159" s="25">
        <v>1.3</v>
      </c>
      <c r="T159" s="25">
        <f t="shared" si="1"/>
        <v>521.3</v>
      </c>
      <c r="U159" s="24">
        <f t="shared" si="2"/>
        <v>115.8444444</v>
      </c>
      <c r="V159" s="26">
        <f>VLOOKUP(R159,CPI!$A$2:$E$67,5,0)</f>
        <v>1.354598358</v>
      </c>
      <c r="W159" s="27">
        <f t="shared" si="3"/>
        <v>706.1521239</v>
      </c>
      <c r="X159" s="27">
        <f t="shared" si="4"/>
        <v>156.9226942</v>
      </c>
      <c r="Y159" s="26" t="s">
        <v>60</v>
      </c>
      <c r="Z159" s="53" t="s">
        <v>1134</v>
      </c>
      <c r="AA159" s="178"/>
      <c r="AB159" s="172"/>
      <c r="AC159" s="172"/>
      <c r="AD159" s="172"/>
    </row>
    <row r="160">
      <c r="A160" s="26" t="s">
        <v>1122</v>
      </c>
      <c r="B160" s="26" t="s">
        <v>1123</v>
      </c>
      <c r="C160" s="26" t="s">
        <v>1135</v>
      </c>
      <c r="D160" s="26" t="s">
        <v>1135</v>
      </c>
      <c r="E160" s="25">
        <v>2006.0</v>
      </c>
      <c r="F160" s="25">
        <v>2017.0</v>
      </c>
      <c r="G160" s="25">
        <v>0.0</v>
      </c>
      <c r="H160" s="25">
        <v>4.4</v>
      </c>
      <c r="I160" s="50">
        <v>1.0</v>
      </c>
      <c r="J160" s="25">
        <v>4.4</v>
      </c>
      <c r="K160" s="51">
        <v>0.0</v>
      </c>
      <c r="L160" s="51">
        <v>0.0</v>
      </c>
      <c r="M160" s="25">
        <v>4.0</v>
      </c>
      <c r="N160" s="26"/>
      <c r="O160" s="26" t="s">
        <v>60</v>
      </c>
      <c r="P160" s="52">
        <v>430.0</v>
      </c>
      <c r="Q160" s="26" t="s">
        <v>52</v>
      </c>
      <c r="R160" s="25">
        <v>2011.0</v>
      </c>
      <c r="S160" s="25">
        <v>1.3</v>
      </c>
      <c r="T160" s="25">
        <f t="shared" si="1"/>
        <v>559</v>
      </c>
      <c r="U160" s="24">
        <f t="shared" si="2"/>
        <v>127.0454545</v>
      </c>
      <c r="V160" s="26">
        <f>VLOOKUP(R160,CPI!$A$2:$E$67,5,0)</f>
        <v>1.354598358</v>
      </c>
      <c r="W160" s="27">
        <f t="shared" si="3"/>
        <v>757.220482</v>
      </c>
      <c r="X160" s="27">
        <f t="shared" si="4"/>
        <v>172.0955641</v>
      </c>
      <c r="Y160" s="26" t="s">
        <v>60</v>
      </c>
      <c r="Z160" s="53" t="s">
        <v>1134</v>
      </c>
      <c r="AA160" s="178"/>
      <c r="AB160" s="172"/>
      <c r="AC160" s="172"/>
      <c r="AD160" s="172"/>
    </row>
    <row r="161">
      <c r="A161" s="26" t="s">
        <v>1122</v>
      </c>
      <c r="B161" s="26" t="s">
        <v>1123</v>
      </c>
      <c r="C161" s="1" t="s">
        <v>1127</v>
      </c>
      <c r="D161" s="26" t="s">
        <v>1128</v>
      </c>
      <c r="E161" s="25">
        <v>2006.0</v>
      </c>
      <c r="F161" s="25">
        <v>2010.0</v>
      </c>
      <c r="G161" s="25">
        <v>0.0</v>
      </c>
      <c r="H161" s="25">
        <v>0.7</v>
      </c>
      <c r="I161" s="50">
        <v>1.0</v>
      </c>
      <c r="J161" s="25">
        <v>0.7</v>
      </c>
      <c r="K161" s="51">
        <v>0.0</v>
      </c>
      <c r="L161" s="51">
        <v>0.0</v>
      </c>
      <c r="M161" s="25">
        <v>1.0</v>
      </c>
      <c r="N161" s="26"/>
      <c r="O161" s="26" t="s">
        <v>60</v>
      </c>
      <c r="P161" s="52">
        <v>70.0</v>
      </c>
      <c r="Q161" s="26" t="s">
        <v>52</v>
      </c>
      <c r="R161" s="25">
        <v>2008.0</v>
      </c>
      <c r="S161" s="25">
        <v>1.25</v>
      </c>
      <c r="T161" s="25">
        <f t="shared" si="1"/>
        <v>87.5</v>
      </c>
      <c r="U161" s="24">
        <f t="shared" si="2"/>
        <v>125</v>
      </c>
      <c r="V161" s="26">
        <f>VLOOKUP(R161,CPI!$A$2:$E$67,5,0)</f>
        <v>1.415224126</v>
      </c>
      <c r="W161" s="27">
        <f t="shared" si="3"/>
        <v>123.832111</v>
      </c>
      <c r="X161" s="27">
        <f t="shared" si="4"/>
        <v>176.9030157</v>
      </c>
      <c r="Y161" s="26" t="s">
        <v>60</v>
      </c>
      <c r="Z161" s="57" t="s">
        <v>1129</v>
      </c>
      <c r="AA161" s="178"/>
      <c r="AB161" s="172"/>
      <c r="AC161" s="172"/>
      <c r="AD161" s="172"/>
    </row>
    <row r="162">
      <c r="A162" s="26" t="s">
        <v>1122</v>
      </c>
      <c r="B162" s="26" t="s">
        <v>1123</v>
      </c>
      <c r="C162" s="1" t="s">
        <v>1130</v>
      </c>
      <c r="D162" s="26" t="s">
        <v>1131</v>
      </c>
      <c r="E162" s="25">
        <v>2007.0</v>
      </c>
      <c r="F162" s="25">
        <v>2010.0</v>
      </c>
      <c r="G162" s="25">
        <v>0.0</v>
      </c>
      <c r="H162" s="25">
        <v>2.5</v>
      </c>
      <c r="I162" s="50">
        <v>1.0</v>
      </c>
      <c r="J162" s="25">
        <v>2.5</v>
      </c>
      <c r="K162" s="51">
        <v>0.0</v>
      </c>
      <c r="L162" s="51">
        <v>0.0</v>
      </c>
      <c r="M162" s="25">
        <v>3.0</v>
      </c>
      <c r="N162" s="26"/>
      <c r="O162" s="26" t="s">
        <v>42</v>
      </c>
      <c r="P162" s="52">
        <v>320.0</v>
      </c>
      <c r="Q162" s="26" t="s">
        <v>52</v>
      </c>
      <c r="R162" s="25">
        <v>2008.0</v>
      </c>
      <c r="S162" s="25">
        <v>1.25</v>
      </c>
      <c r="T162" s="25">
        <f t="shared" si="1"/>
        <v>400</v>
      </c>
      <c r="U162" s="24">
        <f t="shared" si="2"/>
        <v>160</v>
      </c>
      <c r="V162" s="26">
        <f>VLOOKUP(R162,CPI!$A$2:$E$67,5,0)</f>
        <v>1.415224126</v>
      </c>
      <c r="W162" s="27">
        <f t="shared" si="3"/>
        <v>566.0896504</v>
      </c>
      <c r="X162" s="27">
        <f t="shared" si="4"/>
        <v>226.4358602</v>
      </c>
      <c r="Y162" s="26" t="s">
        <v>42</v>
      </c>
      <c r="Z162" s="53" t="s">
        <v>1132</v>
      </c>
      <c r="AA162" s="178"/>
      <c r="AB162" s="172"/>
      <c r="AC162" s="172"/>
      <c r="AD162" s="172"/>
    </row>
    <row r="163">
      <c r="A163" s="26" t="s">
        <v>1122</v>
      </c>
      <c r="B163" s="26" t="s">
        <v>1123</v>
      </c>
      <c r="C163" s="1" t="s">
        <v>1136</v>
      </c>
      <c r="D163" s="26" t="s">
        <v>1136</v>
      </c>
      <c r="E163" s="25">
        <v>2003.0</v>
      </c>
      <c r="F163" s="25">
        <v>2026.0</v>
      </c>
      <c r="G163" s="25">
        <v>0.0</v>
      </c>
      <c r="H163" s="25">
        <v>47.8</v>
      </c>
      <c r="I163" s="50">
        <v>0.91</v>
      </c>
      <c r="J163" s="25">
        <v>43.7</v>
      </c>
      <c r="K163" s="51">
        <v>0.0</v>
      </c>
      <c r="L163" s="51">
        <v>0.0</v>
      </c>
      <c r="M163" s="25">
        <v>52.0</v>
      </c>
      <c r="N163" s="26"/>
      <c r="O163" s="26" t="s">
        <v>60</v>
      </c>
      <c r="P163" s="52">
        <v>5954.0</v>
      </c>
      <c r="Q163" s="26" t="s">
        <v>52</v>
      </c>
      <c r="R163" s="25">
        <v>2014.0</v>
      </c>
      <c r="S163" s="25">
        <v>1.3</v>
      </c>
      <c r="T163" s="25">
        <f t="shared" si="1"/>
        <v>7740.2</v>
      </c>
      <c r="U163" s="24">
        <f t="shared" si="2"/>
        <v>161.9288703</v>
      </c>
      <c r="V163" s="26">
        <f>VLOOKUP(R163,CPI!$A$2:$E$67,5,0)</f>
        <v>1.287096175</v>
      </c>
      <c r="W163" s="27">
        <f t="shared" si="3"/>
        <v>9962.381811</v>
      </c>
      <c r="X163" s="27">
        <f t="shared" si="4"/>
        <v>208.4180295</v>
      </c>
      <c r="Y163" s="26" t="s">
        <v>60</v>
      </c>
      <c r="Z163" s="57" t="s">
        <v>1137</v>
      </c>
      <c r="AA163" s="178"/>
      <c r="AB163" s="172"/>
      <c r="AC163" s="172"/>
      <c r="AD163" s="172"/>
    </row>
    <row r="164">
      <c r="A164" s="26" t="s">
        <v>1122</v>
      </c>
      <c r="B164" s="26" t="s">
        <v>1138</v>
      </c>
      <c r="C164" s="26" t="s">
        <v>87</v>
      </c>
      <c r="D164" s="26" t="s">
        <v>87</v>
      </c>
      <c r="E164" s="25">
        <v>2007.0</v>
      </c>
      <c r="F164" s="25">
        <v>2016.0</v>
      </c>
      <c r="G164" s="25">
        <v>0.0</v>
      </c>
      <c r="H164" s="25">
        <v>5.9</v>
      </c>
      <c r="I164" s="50">
        <v>0.95</v>
      </c>
      <c r="J164" s="25">
        <v>5.6</v>
      </c>
      <c r="K164" s="51">
        <v>0.0</v>
      </c>
      <c r="L164" s="51">
        <v>0.0</v>
      </c>
      <c r="M164" s="25">
        <v>7.0</v>
      </c>
      <c r="N164" s="26"/>
      <c r="O164" s="26" t="s">
        <v>59</v>
      </c>
      <c r="P164" s="52">
        <v>279.0</v>
      </c>
      <c r="Q164" s="26" t="s">
        <v>52</v>
      </c>
      <c r="R164" s="25">
        <v>2011.0</v>
      </c>
      <c r="S164" s="25">
        <v>1.3</v>
      </c>
      <c r="T164" s="25">
        <f t="shared" si="1"/>
        <v>362.7</v>
      </c>
      <c r="U164" s="24">
        <f t="shared" si="2"/>
        <v>61.47457627</v>
      </c>
      <c r="V164" s="26">
        <f>VLOOKUP(R164,CPI!$A$2:$E$67,5,0)</f>
        <v>1.354598358</v>
      </c>
      <c r="W164" s="27">
        <f t="shared" si="3"/>
        <v>491.3128244</v>
      </c>
      <c r="X164" s="27">
        <f t="shared" si="4"/>
        <v>83.27336006</v>
      </c>
      <c r="Y164" s="26" t="s">
        <v>42</v>
      </c>
      <c r="Z164" s="53" t="s">
        <v>1139</v>
      </c>
      <c r="AA164" s="178"/>
      <c r="AB164" s="172"/>
      <c r="AC164" s="172"/>
      <c r="AD164" s="172"/>
    </row>
    <row r="165">
      <c r="A165" s="26" t="s">
        <v>1122</v>
      </c>
      <c r="B165" s="26" t="s">
        <v>1155</v>
      </c>
      <c r="C165" s="26" t="s">
        <v>57</v>
      </c>
      <c r="D165" s="26" t="s">
        <v>57</v>
      </c>
      <c r="E165" s="25">
        <v>2003.0</v>
      </c>
      <c r="F165" s="25">
        <v>2009.0</v>
      </c>
      <c r="G165" s="25">
        <v>0.0</v>
      </c>
      <c r="H165" s="25">
        <v>18.2</v>
      </c>
      <c r="I165" s="50">
        <v>0.64</v>
      </c>
      <c r="J165" s="25">
        <v>11.6</v>
      </c>
      <c r="K165" s="51">
        <v>6.552</v>
      </c>
      <c r="L165" s="51">
        <v>0.0</v>
      </c>
      <c r="M165" s="25">
        <v>22.0</v>
      </c>
      <c r="N165" s="26"/>
      <c r="O165" s="26" t="s">
        <v>59</v>
      </c>
      <c r="P165" s="52">
        <v>892.0</v>
      </c>
      <c r="Q165" s="26" t="s">
        <v>52</v>
      </c>
      <c r="R165" s="25">
        <v>2006.0</v>
      </c>
      <c r="S165" s="25">
        <v>1.25</v>
      </c>
      <c r="T165" s="25">
        <f t="shared" si="1"/>
        <v>1115</v>
      </c>
      <c r="U165" s="24">
        <f t="shared" si="2"/>
        <v>61.26373626</v>
      </c>
      <c r="V165" s="26">
        <f>VLOOKUP(R165,CPI!$A$2:$E$67,5,0)</f>
        <v>1.511418651</v>
      </c>
      <c r="W165" s="27">
        <f t="shared" si="3"/>
        <v>1685.231796</v>
      </c>
      <c r="X165" s="27">
        <f t="shared" si="4"/>
        <v>92.59515361</v>
      </c>
      <c r="Y165" s="26" t="s">
        <v>42</v>
      </c>
      <c r="Z165" s="57" t="s">
        <v>1156</v>
      </c>
      <c r="AA165" s="178"/>
      <c r="AB165" s="172"/>
      <c r="AC165" s="172"/>
      <c r="AD165" s="172"/>
    </row>
    <row r="166">
      <c r="A166" s="26" t="s">
        <v>1122</v>
      </c>
      <c r="B166" s="26" t="s">
        <v>1153</v>
      </c>
      <c r="C166" s="26" t="s">
        <v>114</v>
      </c>
      <c r="D166" s="26" t="s">
        <v>114</v>
      </c>
      <c r="E166" s="25">
        <v>2006.0</v>
      </c>
      <c r="F166" s="25">
        <v>2014.0</v>
      </c>
      <c r="G166" s="25">
        <v>0.0</v>
      </c>
      <c r="H166" s="25">
        <v>11.3</v>
      </c>
      <c r="I166" s="50">
        <v>0.81</v>
      </c>
      <c r="J166" s="25">
        <v>9.2</v>
      </c>
      <c r="K166" s="51">
        <v>0.0</v>
      </c>
      <c r="L166" s="51">
        <v>0.0</v>
      </c>
      <c r="M166" s="25">
        <v>17.0</v>
      </c>
      <c r="N166" s="26"/>
      <c r="O166" s="26" t="s">
        <v>74</v>
      </c>
      <c r="P166" s="52">
        <v>870.0</v>
      </c>
      <c r="Q166" s="26" t="s">
        <v>52</v>
      </c>
      <c r="R166" s="25">
        <v>2010.0</v>
      </c>
      <c r="S166" s="25">
        <v>1.3</v>
      </c>
      <c r="T166" s="25">
        <f t="shared" si="1"/>
        <v>1131</v>
      </c>
      <c r="U166" s="24">
        <f t="shared" si="2"/>
        <v>100.0884956</v>
      </c>
      <c r="V166" s="26">
        <f>VLOOKUP(R166,CPI!$A$2:$E$67,5,0)</f>
        <v>1.397356642</v>
      </c>
      <c r="W166" s="27">
        <f t="shared" si="3"/>
        <v>1580.410362</v>
      </c>
      <c r="X166" s="27">
        <f t="shared" si="4"/>
        <v>139.8593241</v>
      </c>
      <c r="Y166" s="26" t="s">
        <v>42</v>
      </c>
      <c r="Z166" s="53" t="s">
        <v>1154</v>
      </c>
      <c r="AA166" s="178"/>
      <c r="AB166" s="172"/>
      <c r="AC166" s="172"/>
      <c r="AD166" s="172"/>
    </row>
    <row r="167">
      <c r="A167" s="26" t="s">
        <v>78</v>
      </c>
      <c r="B167" s="26" t="s">
        <v>79</v>
      </c>
      <c r="C167" s="26" t="s">
        <v>80</v>
      </c>
      <c r="D167" s="26" t="s">
        <v>80</v>
      </c>
      <c r="E167" s="25">
        <v>2015.0</v>
      </c>
      <c r="F167" s="58">
        <v>2022.0</v>
      </c>
      <c r="G167" s="25">
        <v>0.0</v>
      </c>
      <c r="H167" s="58">
        <v>21.3</v>
      </c>
      <c r="I167" s="50">
        <v>0.0</v>
      </c>
      <c r="J167" s="25">
        <v>0.0</v>
      </c>
      <c r="K167" s="51">
        <v>0.0</v>
      </c>
      <c r="L167" s="51">
        <v>0.0</v>
      </c>
      <c r="M167" s="25">
        <v>16.0</v>
      </c>
      <c r="N167" s="26"/>
      <c r="O167" s="26" t="s">
        <v>42</v>
      </c>
      <c r="P167" s="55">
        <v>334720.0</v>
      </c>
      <c r="Q167" s="26" t="s">
        <v>81</v>
      </c>
      <c r="R167" s="58">
        <v>2019.0</v>
      </c>
      <c r="S167" s="25">
        <v>0.032</v>
      </c>
      <c r="T167" s="25">
        <f t="shared" si="1"/>
        <v>10711.04</v>
      </c>
      <c r="U167" s="24">
        <f t="shared" si="2"/>
        <v>502.8657277</v>
      </c>
      <c r="V167" s="26">
        <f>VLOOKUP(R167,CPI!$A$2:$E$67,5,0)</f>
        <v>1.191839066</v>
      </c>
      <c r="W167" s="27">
        <f t="shared" si="3"/>
        <v>12765.83591</v>
      </c>
      <c r="X167" s="27">
        <f t="shared" si="4"/>
        <v>599.335019</v>
      </c>
      <c r="Y167" s="26" t="s">
        <v>42</v>
      </c>
      <c r="Z167" s="56" t="s">
        <v>82</v>
      </c>
      <c r="AA167" s="29"/>
      <c r="AB167" s="30"/>
      <c r="AC167" s="30"/>
      <c r="AD167" s="30"/>
    </row>
    <row r="168">
      <c r="A168" s="26" t="s">
        <v>78</v>
      </c>
      <c r="B168" s="26" t="s">
        <v>79</v>
      </c>
      <c r="C168" s="26" t="s">
        <v>57</v>
      </c>
      <c r="D168" s="26" t="s">
        <v>57</v>
      </c>
      <c r="E168" s="25">
        <v>2020.0</v>
      </c>
      <c r="F168" s="25">
        <v>2026.0</v>
      </c>
      <c r="G168" s="25">
        <v>0.0</v>
      </c>
      <c r="H168" s="25">
        <v>31.2</v>
      </c>
      <c r="I168" s="59">
        <v>0.64</v>
      </c>
      <c r="J168" s="58">
        <v>19.9</v>
      </c>
      <c r="K168" s="51">
        <v>0.0</v>
      </c>
      <c r="L168" s="51">
        <v>0.0</v>
      </c>
      <c r="M168" s="25">
        <v>19.0</v>
      </c>
      <c r="N168" s="26"/>
      <c r="O168" s="26" t="s">
        <v>42</v>
      </c>
      <c r="P168" s="52">
        <v>525610.0</v>
      </c>
      <c r="Q168" s="26" t="s">
        <v>81</v>
      </c>
      <c r="R168" s="25">
        <v>2023.0</v>
      </c>
      <c r="S168" s="25">
        <v>0.032</v>
      </c>
      <c r="T168" s="25">
        <f t="shared" si="1"/>
        <v>16819.52</v>
      </c>
      <c r="U168" s="24">
        <f t="shared" si="2"/>
        <v>539.0871795</v>
      </c>
      <c r="V168" s="26">
        <f>VLOOKUP(R168,CPI!$A$2:$E$67,5,0)</f>
        <v>1</v>
      </c>
      <c r="W168" s="27">
        <f t="shared" si="3"/>
        <v>16819.52</v>
      </c>
      <c r="X168" s="27">
        <f t="shared" si="4"/>
        <v>539.0871795</v>
      </c>
      <c r="Y168" s="26" t="s">
        <v>42</v>
      </c>
      <c r="Z168" s="53" t="s">
        <v>83</v>
      </c>
      <c r="AA168" s="29"/>
      <c r="AB168" s="30"/>
      <c r="AC168" s="30"/>
      <c r="AD168" s="30"/>
    </row>
    <row r="169">
      <c r="A169" s="26" t="s">
        <v>78</v>
      </c>
      <c r="B169" s="26" t="s">
        <v>79</v>
      </c>
      <c r="C169" s="26" t="s">
        <v>84</v>
      </c>
      <c r="D169" s="26" t="s">
        <v>84</v>
      </c>
      <c r="E169" s="25">
        <v>2020.0</v>
      </c>
      <c r="F169" s="25">
        <v>2028.0</v>
      </c>
      <c r="G169" s="25">
        <v>0.0</v>
      </c>
      <c r="H169" s="25">
        <v>19.6</v>
      </c>
      <c r="I169" s="50">
        <v>0.7</v>
      </c>
      <c r="J169" s="25">
        <v>14.0</v>
      </c>
      <c r="K169" s="51">
        <v>0.0</v>
      </c>
      <c r="L169" s="51">
        <v>0.0</v>
      </c>
      <c r="M169" s="25">
        <v>14.0</v>
      </c>
      <c r="N169" s="26"/>
      <c r="O169" s="26" t="s">
        <v>42</v>
      </c>
      <c r="P169" s="52">
        <v>412380.0</v>
      </c>
      <c r="Q169" s="26" t="s">
        <v>81</v>
      </c>
      <c r="R169" s="25">
        <v>2024.0</v>
      </c>
      <c r="S169" s="25">
        <v>0.032</v>
      </c>
      <c r="T169" s="25">
        <f t="shared" si="1"/>
        <v>13196.16</v>
      </c>
      <c r="U169" s="24">
        <f t="shared" si="2"/>
        <v>673.2734694</v>
      </c>
      <c r="V169" s="26">
        <f>VLOOKUP(R169,CPI!$A$2:$E$67,5,0)</f>
        <v>1</v>
      </c>
      <c r="W169" s="27">
        <f t="shared" si="3"/>
        <v>13196.16</v>
      </c>
      <c r="X169" s="27">
        <f t="shared" si="4"/>
        <v>673.2734694</v>
      </c>
      <c r="Y169" s="26" t="s">
        <v>42</v>
      </c>
      <c r="Z169" s="53" t="s">
        <v>83</v>
      </c>
      <c r="AA169" s="29"/>
      <c r="AB169" s="30"/>
      <c r="AC169" s="30"/>
      <c r="AD169" s="30"/>
    </row>
    <row r="170">
      <c r="A170" s="26" t="s">
        <v>1252</v>
      </c>
      <c r="B170" s="26" t="s">
        <v>1253</v>
      </c>
      <c r="C170" s="26" t="s">
        <v>1254</v>
      </c>
      <c r="D170" s="26" t="s">
        <v>1254</v>
      </c>
      <c r="E170" s="25">
        <v>2013.0</v>
      </c>
      <c r="F170" s="25">
        <v>2019.0</v>
      </c>
      <c r="G170" s="25">
        <v>0.0</v>
      </c>
      <c r="H170" s="25">
        <v>15.7</v>
      </c>
      <c r="I170" s="50">
        <v>0.38</v>
      </c>
      <c r="J170" s="25">
        <v>5.9</v>
      </c>
      <c r="K170" s="51">
        <v>0.0</v>
      </c>
      <c r="L170" s="51">
        <v>0.0</v>
      </c>
      <c r="M170" s="25">
        <v>13.0</v>
      </c>
      <c r="N170" s="26"/>
      <c r="O170" s="26" t="s">
        <v>42</v>
      </c>
      <c r="P170" s="52">
        <v>1.377607E7</v>
      </c>
      <c r="Q170" s="26" t="s">
        <v>1255</v>
      </c>
      <c r="R170" s="25">
        <v>2016.0</v>
      </c>
      <c r="S170" s="25">
        <v>2.13E-4</v>
      </c>
      <c r="T170" s="25">
        <f t="shared" si="1"/>
        <v>2934.30291</v>
      </c>
      <c r="U170" s="24">
        <f t="shared" si="2"/>
        <v>186.8982745</v>
      </c>
      <c r="V170" s="26">
        <f>VLOOKUP(R170,CPI!$A$2:$E$67,5,0)</f>
        <v>1.269554638</v>
      </c>
      <c r="W170" s="27">
        <f t="shared" si="3"/>
        <v>3725.257869</v>
      </c>
      <c r="X170" s="27">
        <f t="shared" si="4"/>
        <v>237.2775713</v>
      </c>
      <c r="Y170" s="26" t="s">
        <v>42</v>
      </c>
      <c r="Z170" s="53" t="s">
        <v>1256</v>
      </c>
      <c r="AA170" s="178"/>
      <c r="AB170" s="172"/>
      <c r="AC170" s="172"/>
      <c r="AD170" s="172"/>
    </row>
    <row r="171">
      <c r="A171" s="26" t="s">
        <v>1165</v>
      </c>
      <c r="B171" s="26" t="s">
        <v>1166</v>
      </c>
      <c r="C171" s="1" t="s">
        <v>987</v>
      </c>
      <c r="D171" s="26" t="s">
        <v>1167</v>
      </c>
      <c r="E171" s="25">
        <v>2005.0</v>
      </c>
      <c r="F171" s="25">
        <v>2007.0</v>
      </c>
      <c r="G171" s="25">
        <v>0.0</v>
      </c>
      <c r="H171" s="25">
        <v>1.0</v>
      </c>
      <c r="I171" s="50">
        <v>1.0</v>
      </c>
      <c r="J171" s="25">
        <v>1.0</v>
      </c>
      <c r="K171" s="51">
        <v>0.0</v>
      </c>
      <c r="L171" s="51">
        <v>0.0</v>
      </c>
      <c r="M171" s="25">
        <v>1.0</v>
      </c>
      <c r="N171" s="26"/>
      <c r="O171" s="26" t="s">
        <v>60</v>
      </c>
      <c r="P171" s="52">
        <v>53.0</v>
      </c>
      <c r="Q171" s="26" t="s">
        <v>52</v>
      </c>
      <c r="R171" s="25">
        <v>2006.0</v>
      </c>
      <c r="S171" s="25">
        <v>1.25</v>
      </c>
      <c r="T171" s="25">
        <f t="shared" si="1"/>
        <v>66.25</v>
      </c>
      <c r="U171" s="24">
        <f t="shared" si="2"/>
        <v>66.25</v>
      </c>
      <c r="V171" s="26">
        <f>VLOOKUP(R171,CPI!$A$2:$E$67,5,0)</f>
        <v>1.511418651</v>
      </c>
      <c r="W171" s="27">
        <f t="shared" si="3"/>
        <v>100.1314856</v>
      </c>
      <c r="X171" s="27">
        <f t="shared" si="4"/>
        <v>100.1314856</v>
      </c>
      <c r="Y171" s="26" t="s">
        <v>60</v>
      </c>
      <c r="Z171" s="53" t="s">
        <v>1168</v>
      </c>
      <c r="AA171" s="178"/>
      <c r="AB171" s="172"/>
      <c r="AC171" s="172"/>
      <c r="AD171" s="172"/>
    </row>
    <row r="172">
      <c r="A172" s="26" t="s">
        <v>1165</v>
      </c>
      <c r="B172" s="26" t="s">
        <v>1166</v>
      </c>
      <c r="C172" s="1" t="s">
        <v>1169</v>
      </c>
      <c r="D172" s="26" t="s">
        <v>1170</v>
      </c>
      <c r="E172" s="25">
        <v>2009.0</v>
      </c>
      <c r="F172" s="25">
        <v>2013.0</v>
      </c>
      <c r="G172" s="25">
        <v>0.0</v>
      </c>
      <c r="H172" s="25">
        <v>1.8</v>
      </c>
      <c r="I172" s="50">
        <v>1.0</v>
      </c>
      <c r="J172" s="25">
        <v>1.8</v>
      </c>
      <c r="K172" s="51">
        <v>0.0</v>
      </c>
      <c r="L172" s="51">
        <v>0.0</v>
      </c>
      <c r="M172" s="25">
        <v>1.0</v>
      </c>
      <c r="N172" s="26"/>
      <c r="O172" s="26" t="s">
        <v>42</v>
      </c>
      <c r="P172" s="52">
        <v>222.0</v>
      </c>
      <c r="Q172" s="26" t="s">
        <v>52</v>
      </c>
      <c r="R172" s="25">
        <v>2011.0</v>
      </c>
      <c r="S172" s="25">
        <v>1.3</v>
      </c>
      <c r="T172" s="25">
        <f t="shared" si="1"/>
        <v>288.6</v>
      </c>
      <c r="U172" s="24">
        <f t="shared" si="2"/>
        <v>160.3333333</v>
      </c>
      <c r="V172" s="26">
        <f>VLOOKUP(R172,CPI!$A$2:$E$67,5,0)</f>
        <v>1.354598358</v>
      </c>
      <c r="W172" s="27">
        <f t="shared" si="3"/>
        <v>390.9370861</v>
      </c>
      <c r="X172" s="27">
        <f t="shared" si="4"/>
        <v>217.18727</v>
      </c>
      <c r="Y172" s="26" t="s">
        <v>42</v>
      </c>
      <c r="Z172" s="53" t="s">
        <v>1171</v>
      </c>
      <c r="AA172" s="178"/>
      <c r="AB172" s="172"/>
      <c r="AC172" s="172"/>
      <c r="AD172" s="172"/>
    </row>
    <row r="173">
      <c r="A173" s="26" t="s">
        <v>1165</v>
      </c>
      <c r="B173" s="26" t="s">
        <v>1166</v>
      </c>
      <c r="C173" s="1" t="s">
        <v>1169</v>
      </c>
      <c r="D173" s="26" t="s">
        <v>1172</v>
      </c>
      <c r="E173" s="25">
        <v>2017.0</v>
      </c>
      <c r="F173" s="25">
        <v>2023.0</v>
      </c>
      <c r="G173" s="25">
        <v>0.0</v>
      </c>
      <c r="H173" s="25">
        <v>2.5</v>
      </c>
      <c r="I173" s="50">
        <v>1.0</v>
      </c>
      <c r="J173" s="25">
        <v>2.5</v>
      </c>
      <c r="K173" s="51">
        <v>0.0</v>
      </c>
      <c r="L173" s="51">
        <v>0.0</v>
      </c>
      <c r="M173" s="25">
        <v>2.0</v>
      </c>
      <c r="N173" s="26"/>
      <c r="O173" s="26" t="s">
        <v>60</v>
      </c>
      <c r="P173" s="52">
        <v>394.0</v>
      </c>
      <c r="Q173" s="26" t="s">
        <v>52</v>
      </c>
      <c r="R173" s="25">
        <v>2020.0</v>
      </c>
      <c r="S173" s="25">
        <v>1.3</v>
      </c>
      <c r="T173" s="25">
        <f t="shared" si="1"/>
        <v>512.2</v>
      </c>
      <c r="U173" s="24">
        <f t="shared" si="2"/>
        <v>204.88</v>
      </c>
      <c r="V173" s="26">
        <f>VLOOKUP(R173,CPI!$A$2:$E$67,5,0)</f>
        <v>1.17731472</v>
      </c>
      <c r="W173" s="27">
        <f t="shared" si="3"/>
        <v>603.0205996</v>
      </c>
      <c r="X173" s="27">
        <f t="shared" si="4"/>
        <v>241.2082398</v>
      </c>
      <c r="Y173" s="26" t="s">
        <v>60</v>
      </c>
      <c r="Z173" s="57" t="s">
        <v>1173</v>
      </c>
      <c r="AA173" s="178"/>
      <c r="AB173" s="172"/>
      <c r="AC173" s="172"/>
      <c r="AD173" s="172"/>
    </row>
    <row r="174">
      <c r="A174" s="26" t="s">
        <v>1534</v>
      </c>
      <c r="B174" s="26" t="s">
        <v>1535</v>
      </c>
      <c r="C174" s="26" t="s">
        <v>1536</v>
      </c>
      <c r="D174" s="26" t="s">
        <v>1536</v>
      </c>
      <c r="E174" s="25">
        <v>2015.0</v>
      </c>
      <c r="F174" s="25">
        <v>2020.0</v>
      </c>
      <c r="G174" s="25">
        <v>0.0</v>
      </c>
      <c r="H174" s="25">
        <v>27.1</v>
      </c>
      <c r="I174" s="50">
        <v>0.06</v>
      </c>
      <c r="J174" s="25">
        <v>1.6</v>
      </c>
      <c r="K174" s="51">
        <v>0.0</v>
      </c>
      <c r="L174" s="51">
        <v>0.0</v>
      </c>
      <c r="M174" s="25">
        <v>26.0</v>
      </c>
      <c r="N174" s="26"/>
      <c r="O174" s="26" t="s">
        <v>74</v>
      </c>
      <c r="P174" s="52">
        <v>183000.0</v>
      </c>
      <c r="Q174" s="26" t="s">
        <v>1537</v>
      </c>
      <c r="R174" s="25">
        <v>2017.0</v>
      </c>
      <c r="S174" s="25">
        <v>0.033</v>
      </c>
      <c r="T174" s="25">
        <f t="shared" si="1"/>
        <v>6039</v>
      </c>
      <c r="U174" s="24">
        <f t="shared" si="2"/>
        <v>222.8413284</v>
      </c>
      <c r="V174" s="26">
        <f>VLOOKUP(R174,CPI!$A$2:$E$67,5,0)</f>
        <v>1.243072781</v>
      </c>
      <c r="W174" s="27">
        <f t="shared" si="3"/>
        <v>7506.916523</v>
      </c>
      <c r="X174" s="27">
        <f t="shared" si="4"/>
        <v>277.0079898</v>
      </c>
      <c r="Y174" s="26" t="s">
        <v>42</v>
      </c>
      <c r="Z174" s="57" t="s">
        <v>1538</v>
      </c>
      <c r="AA174" s="178"/>
      <c r="AB174" s="172"/>
      <c r="AC174" s="172"/>
      <c r="AD174" s="172"/>
    </row>
    <row r="175">
      <c r="A175" s="26" t="s">
        <v>1742</v>
      </c>
      <c r="B175" s="26" t="s">
        <v>1743</v>
      </c>
      <c r="C175" s="1" t="s">
        <v>1744</v>
      </c>
      <c r="D175" s="26" t="s">
        <v>1745</v>
      </c>
      <c r="E175" s="25">
        <v>2012.0</v>
      </c>
      <c r="F175" s="25">
        <v>2018.0</v>
      </c>
      <c r="G175" s="25">
        <v>0.0</v>
      </c>
      <c r="H175" s="25">
        <v>12.8</v>
      </c>
      <c r="I175" s="50">
        <v>0.0</v>
      </c>
      <c r="J175" s="25">
        <v>0.0</v>
      </c>
      <c r="K175" s="51">
        <v>0.0</v>
      </c>
      <c r="L175" s="51">
        <v>0.0</v>
      </c>
      <c r="M175" s="25">
        <v>9.0</v>
      </c>
      <c r="N175" s="26"/>
      <c r="O175" s="26" t="s">
        <v>60</v>
      </c>
      <c r="P175" s="52">
        <v>21904.0</v>
      </c>
      <c r="Q175" s="26" t="s">
        <v>1746</v>
      </c>
      <c r="R175" s="25">
        <v>2007.0</v>
      </c>
      <c r="S175" s="25">
        <v>0.087</v>
      </c>
      <c r="T175" s="25">
        <f t="shared" si="1"/>
        <v>1905.648</v>
      </c>
      <c r="U175" s="24">
        <f t="shared" si="2"/>
        <v>148.87875</v>
      </c>
      <c r="V175" s="26">
        <f>VLOOKUP(R175,CPI!$A$2:$E$67,5,0)</f>
        <v>1.469562366</v>
      </c>
      <c r="W175" s="27">
        <f t="shared" si="3"/>
        <v>2800.468583</v>
      </c>
      <c r="X175" s="27">
        <f t="shared" si="4"/>
        <v>218.786608</v>
      </c>
      <c r="Y175" s="26" t="s">
        <v>60</v>
      </c>
      <c r="Z175" s="53" t="s">
        <v>1747</v>
      </c>
      <c r="AA175" s="178"/>
      <c r="AB175" s="172"/>
      <c r="AC175" s="172"/>
      <c r="AD175" s="172"/>
    </row>
    <row r="176">
      <c r="A176" s="26" t="s">
        <v>1742</v>
      </c>
      <c r="B176" s="26" t="s">
        <v>1743</v>
      </c>
      <c r="C176" s="1" t="s">
        <v>1744</v>
      </c>
      <c r="D176" s="26" t="s">
        <v>1750</v>
      </c>
      <c r="E176" s="25">
        <v>2015.0</v>
      </c>
      <c r="F176" s="25">
        <v>2020.0</v>
      </c>
      <c r="G176" s="25">
        <v>0.0</v>
      </c>
      <c r="H176" s="25">
        <v>19.0</v>
      </c>
      <c r="I176" s="50">
        <v>0.0</v>
      </c>
      <c r="J176" s="25">
        <v>0.0</v>
      </c>
      <c r="K176" s="51">
        <v>0.0</v>
      </c>
      <c r="L176" s="51">
        <v>0.0</v>
      </c>
      <c r="M176" s="25">
        <v>16.0</v>
      </c>
      <c r="N176" s="26"/>
      <c r="O176" s="26" t="s">
        <v>60</v>
      </c>
      <c r="P176" s="52">
        <v>58862.0</v>
      </c>
      <c r="Q176" s="26" t="s">
        <v>1746</v>
      </c>
      <c r="R176" s="25">
        <v>2017.0</v>
      </c>
      <c r="S176" s="25">
        <v>0.081</v>
      </c>
      <c r="T176" s="25">
        <f t="shared" si="1"/>
        <v>4767.822</v>
      </c>
      <c r="U176" s="24">
        <f t="shared" si="2"/>
        <v>250.938</v>
      </c>
      <c r="V176" s="26">
        <f>VLOOKUP(R176,CPI!$A$2:$E$67,5,0)</f>
        <v>1.243072781</v>
      </c>
      <c r="W176" s="27">
        <f t="shared" si="3"/>
        <v>5926.749751</v>
      </c>
      <c r="X176" s="27">
        <f t="shared" si="4"/>
        <v>311.9341974</v>
      </c>
      <c r="Y176" s="26" t="s">
        <v>60</v>
      </c>
      <c r="Z176" s="53" t="s">
        <v>1747</v>
      </c>
      <c r="AA176" s="178"/>
      <c r="AB176" s="172"/>
      <c r="AC176" s="172"/>
      <c r="AD176" s="172"/>
    </row>
    <row r="177">
      <c r="A177" s="26" t="s">
        <v>1742</v>
      </c>
      <c r="B177" s="26" t="s">
        <v>1743</v>
      </c>
      <c r="C177" s="1" t="s">
        <v>153</v>
      </c>
      <c r="D177" s="26" t="s">
        <v>1748</v>
      </c>
      <c r="E177" s="25">
        <v>2011.0</v>
      </c>
      <c r="F177" s="25">
        <v>2020.0</v>
      </c>
      <c r="G177" s="25">
        <v>0.0</v>
      </c>
      <c r="H177" s="25">
        <v>26.9</v>
      </c>
      <c r="I177" s="50">
        <v>0.2</v>
      </c>
      <c r="J177" s="25">
        <v>5.4</v>
      </c>
      <c r="K177" s="51">
        <v>0.0</v>
      </c>
      <c r="L177" s="51">
        <v>0.0</v>
      </c>
      <c r="M177" s="25">
        <v>19.0</v>
      </c>
      <c r="N177" s="26"/>
      <c r="O177" s="26" t="s">
        <v>60</v>
      </c>
      <c r="P177" s="52">
        <v>71687.0</v>
      </c>
      <c r="Q177" s="26" t="s">
        <v>1746</v>
      </c>
      <c r="R177" s="25">
        <v>2015.0</v>
      </c>
      <c r="S177" s="25">
        <v>0.081</v>
      </c>
      <c r="T177" s="25">
        <f t="shared" si="1"/>
        <v>5806.647</v>
      </c>
      <c r="U177" s="24">
        <f t="shared" si="2"/>
        <v>215.8604833</v>
      </c>
      <c r="V177" s="26">
        <f>VLOOKUP(R177,CPI!$A$2:$E$67,5,0)</f>
        <v>1.285570233</v>
      </c>
      <c r="W177" s="27">
        <f t="shared" si="3"/>
        <v>7464.852539</v>
      </c>
      <c r="X177" s="27">
        <f t="shared" si="4"/>
        <v>277.5038119</v>
      </c>
      <c r="Y177" s="26" t="s">
        <v>60</v>
      </c>
      <c r="Z177" s="53" t="s">
        <v>1749</v>
      </c>
      <c r="AA177" s="178"/>
      <c r="AB177" s="172"/>
      <c r="AC177" s="172"/>
      <c r="AD177" s="172"/>
    </row>
    <row r="178">
      <c r="A178" s="26" t="s">
        <v>1742</v>
      </c>
      <c r="B178" s="26" t="s">
        <v>1743</v>
      </c>
      <c r="C178" s="26" t="s">
        <v>1755</v>
      </c>
      <c r="D178" s="26" t="s">
        <v>1755</v>
      </c>
      <c r="E178" s="25">
        <v>2020.0</v>
      </c>
      <c r="F178" s="26"/>
      <c r="G178" s="25">
        <v>0.0</v>
      </c>
      <c r="H178" s="25">
        <v>22.1</v>
      </c>
      <c r="I178" s="50">
        <v>0.0</v>
      </c>
      <c r="J178" s="25">
        <v>0.0</v>
      </c>
      <c r="K178" s="51">
        <v>0.0</v>
      </c>
      <c r="L178" s="51">
        <v>0.0</v>
      </c>
      <c r="M178" s="25">
        <v>18.0</v>
      </c>
      <c r="N178" s="26"/>
      <c r="O178" s="26" t="s">
        <v>60</v>
      </c>
      <c r="P178" s="52">
        <v>48386.0</v>
      </c>
      <c r="Q178" s="26" t="s">
        <v>1746</v>
      </c>
      <c r="R178" s="25">
        <v>2020.0</v>
      </c>
      <c r="S178" s="25">
        <v>0.081</v>
      </c>
      <c r="T178" s="25">
        <f t="shared" si="1"/>
        <v>3919.266</v>
      </c>
      <c r="U178" s="24">
        <f t="shared" si="2"/>
        <v>177.3423529</v>
      </c>
      <c r="V178" s="26">
        <f>VLOOKUP(R178,CPI!$A$2:$E$67,5,0)</f>
        <v>1.17731472</v>
      </c>
      <c r="W178" s="27">
        <f t="shared" si="3"/>
        <v>4614.209553</v>
      </c>
      <c r="X178" s="27">
        <f t="shared" si="4"/>
        <v>208.7877626</v>
      </c>
      <c r="Y178" s="26" t="s">
        <v>60</v>
      </c>
      <c r="Z178" s="53" t="s">
        <v>1756</v>
      </c>
      <c r="AA178" s="178"/>
      <c r="AB178" s="172"/>
      <c r="AC178" s="172"/>
      <c r="AD178" s="172"/>
    </row>
    <row r="179">
      <c r="A179" s="26" t="s">
        <v>1742</v>
      </c>
      <c r="B179" s="26" t="s">
        <v>1743</v>
      </c>
      <c r="C179" s="26" t="s">
        <v>1751</v>
      </c>
      <c r="D179" s="26" t="s">
        <v>1751</v>
      </c>
      <c r="E179" s="25">
        <v>2017.0</v>
      </c>
      <c r="F179" s="25">
        <v>2022.0</v>
      </c>
      <c r="G179" s="25">
        <v>0.0</v>
      </c>
      <c r="H179" s="25">
        <v>34.5</v>
      </c>
      <c r="I179" s="50">
        <v>0.0</v>
      </c>
      <c r="J179" s="25">
        <v>0.0</v>
      </c>
      <c r="K179" s="51">
        <v>0.0</v>
      </c>
      <c r="L179" s="51">
        <v>0.0</v>
      </c>
      <c r="M179" s="25">
        <v>30.0</v>
      </c>
      <c r="N179" s="26"/>
      <c r="O179" s="26" t="s">
        <v>60</v>
      </c>
      <c r="P179" s="52">
        <v>56725.0</v>
      </c>
      <c r="Q179" s="26" t="s">
        <v>1746</v>
      </c>
      <c r="R179" s="25">
        <v>2019.0</v>
      </c>
      <c r="S179" s="25">
        <v>0.081</v>
      </c>
      <c r="T179" s="25">
        <f t="shared" si="1"/>
        <v>4594.725</v>
      </c>
      <c r="U179" s="24">
        <f t="shared" si="2"/>
        <v>133.1804348</v>
      </c>
      <c r="V179" s="26">
        <f>VLOOKUP(R179,CPI!$A$2:$E$67,5,0)</f>
        <v>1.191839066</v>
      </c>
      <c r="W179" s="27">
        <f t="shared" si="3"/>
        <v>5476.172751</v>
      </c>
      <c r="X179" s="27">
        <f t="shared" si="4"/>
        <v>158.729645</v>
      </c>
      <c r="Y179" s="26" t="s">
        <v>60</v>
      </c>
      <c r="Z179" s="57" t="s">
        <v>1752</v>
      </c>
      <c r="AA179" s="178"/>
      <c r="AB179" s="172"/>
      <c r="AC179" s="172"/>
      <c r="AD179" s="172"/>
    </row>
    <row r="180">
      <c r="A180" s="26" t="s">
        <v>1742</v>
      </c>
      <c r="B180" s="26" t="s">
        <v>1743</v>
      </c>
      <c r="C180" s="26" t="s">
        <v>1729</v>
      </c>
      <c r="D180" s="26" t="s">
        <v>1729</v>
      </c>
      <c r="E180" s="25">
        <v>2017.0</v>
      </c>
      <c r="F180" s="25">
        <v>2022.0</v>
      </c>
      <c r="G180" s="25">
        <v>0.0</v>
      </c>
      <c r="H180" s="25">
        <v>30.4</v>
      </c>
      <c r="I180" s="50">
        <v>0.0</v>
      </c>
      <c r="J180" s="25">
        <v>0.0</v>
      </c>
      <c r="K180" s="51">
        <v>0.0</v>
      </c>
      <c r="L180" s="51">
        <v>0.0</v>
      </c>
      <c r="M180" s="25">
        <v>23.0</v>
      </c>
      <c r="N180" s="26"/>
      <c r="O180" s="26" t="s">
        <v>74</v>
      </c>
      <c r="P180" s="52">
        <v>54768.0</v>
      </c>
      <c r="Q180" s="26" t="s">
        <v>1746</v>
      </c>
      <c r="R180" s="25">
        <v>2019.0</v>
      </c>
      <c r="S180" s="25">
        <v>0.081</v>
      </c>
      <c r="T180" s="25">
        <f t="shared" si="1"/>
        <v>4436.208</v>
      </c>
      <c r="U180" s="24">
        <f t="shared" si="2"/>
        <v>145.9278947</v>
      </c>
      <c r="V180" s="26">
        <f>VLOOKUP(R180,CPI!$A$2:$E$67,5,0)</f>
        <v>1.191839066</v>
      </c>
      <c r="W180" s="27">
        <f t="shared" si="3"/>
        <v>5287.245998</v>
      </c>
      <c r="X180" s="27">
        <f t="shared" si="4"/>
        <v>173.9225657</v>
      </c>
      <c r="Y180" s="26" t="s">
        <v>60</v>
      </c>
      <c r="Z180" s="53" t="s">
        <v>1753</v>
      </c>
      <c r="AA180" s="178"/>
      <c r="AB180" s="172"/>
      <c r="AC180" s="172"/>
      <c r="AD180" s="172"/>
    </row>
    <row r="181">
      <c r="A181" s="26" t="s">
        <v>1742</v>
      </c>
      <c r="B181" s="26" t="s">
        <v>1743</v>
      </c>
      <c r="C181" s="26" t="s">
        <v>1536</v>
      </c>
      <c r="D181" s="26" t="s">
        <v>1536</v>
      </c>
      <c r="E181" s="25">
        <v>2017.0</v>
      </c>
      <c r="F181" s="25">
        <v>2025.0</v>
      </c>
      <c r="G181" s="25">
        <v>0.0</v>
      </c>
      <c r="H181" s="25">
        <v>35.9</v>
      </c>
      <c r="I181" s="50">
        <v>0.75</v>
      </c>
      <c r="J181" s="25">
        <v>27.0</v>
      </c>
      <c r="K181" s="51">
        <v>0.0</v>
      </c>
      <c r="L181" s="51">
        <v>0.0</v>
      </c>
      <c r="M181" s="25">
        <v>28.0</v>
      </c>
      <c r="N181" s="26"/>
      <c r="O181" s="26" t="s">
        <v>60</v>
      </c>
      <c r="P181" s="52">
        <v>235320.0</v>
      </c>
      <c r="Q181" s="26" t="s">
        <v>1746</v>
      </c>
      <c r="R181" s="25">
        <v>2021.0</v>
      </c>
      <c r="S181" s="25">
        <v>0.081</v>
      </c>
      <c r="T181" s="25">
        <f t="shared" si="1"/>
        <v>19060.92</v>
      </c>
      <c r="U181" s="24">
        <f t="shared" si="2"/>
        <v>530.9448468</v>
      </c>
      <c r="V181" s="26">
        <f>VLOOKUP(R181,CPI!$A$2:$E$67,5,0)</f>
        <v>1.124486105</v>
      </c>
      <c r="W181" s="27">
        <f t="shared" si="3"/>
        <v>21433.7397</v>
      </c>
      <c r="X181" s="27">
        <f t="shared" si="4"/>
        <v>597.040103</v>
      </c>
      <c r="Y181" s="26" t="s">
        <v>60</v>
      </c>
      <c r="Z181" s="53" t="s">
        <v>1754</v>
      </c>
      <c r="AA181" s="178"/>
      <c r="AB181" s="172"/>
      <c r="AC181" s="172"/>
      <c r="AD181" s="172"/>
    </row>
    <row r="182">
      <c r="A182" s="26" t="s">
        <v>1742</v>
      </c>
      <c r="B182" s="26" t="s">
        <v>1757</v>
      </c>
      <c r="C182" s="26" t="s">
        <v>40</v>
      </c>
      <c r="D182" s="26" t="s">
        <v>40</v>
      </c>
      <c r="E182" s="25">
        <v>2022.0</v>
      </c>
      <c r="F182" s="25">
        <v>2027.0</v>
      </c>
      <c r="G182" s="25">
        <v>0.0</v>
      </c>
      <c r="H182" s="25">
        <v>15.8</v>
      </c>
      <c r="I182" s="50">
        <v>0.46</v>
      </c>
      <c r="J182" s="25">
        <v>7.2</v>
      </c>
      <c r="K182" s="51">
        <v>0.0</v>
      </c>
      <c r="L182" s="51">
        <v>0.0</v>
      </c>
      <c r="M182" s="25">
        <v>12.0</v>
      </c>
      <c r="N182" s="26"/>
      <c r="O182" s="26" t="s">
        <v>59</v>
      </c>
      <c r="P182" s="52">
        <v>27000.0</v>
      </c>
      <c r="Q182" s="26" t="s">
        <v>1746</v>
      </c>
      <c r="R182" s="25">
        <v>2024.0</v>
      </c>
      <c r="S182" s="25">
        <v>0.081</v>
      </c>
      <c r="T182" s="25">
        <f t="shared" si="1"/>
        <v>2187</v>
      </c>
      <c r="U182" s="24">
        <f t="shared" si="2"/>
        <v>138.4177215</v>
      </c>
      <c r="V182" s="26">
        <f>VLOOKUP(R182,CPI!$A$2:$E$67,5,0)</f>
        <v>1</v>
      </c>
      <c r="W182" s="27">
        <f t="shared" si="3"/>
        <v>2187</v>
      </c>
      <c r="X182" s="27">
        <f t="shared" si="4"/>
        <v>138.4177215</v>
      </c>
      <c r="Y182" s="26" t="s">
        <v>42</v>
      </c>
      <c r="Z182" s="57" t="s">
        <v>1758</v>
      </c>
      <c r="AA182" s="178"/>
      <c r="AB182" s="172"/>
      <c r="AC182" s="172"/>
      <c r="AD182" s="172"/>
    </row>
    <row r="183">
      <c r="A183" s="26" t="s">
        <v>1937</v>
      </c>
      <c r="B183" s="26" t="s">
        <v>1942</v>
      </c>
      <c r="C183" s="26" t="s">
        <v>57</v>
      </c>
      <c r="D183" s="26" t="s">
        <v>57</v>
      </c>
      <c r="E183" s="25">
        <v>2012.0</v>
      </c>
      <c r="F183" s="25">
        <v>2021.0</v>
      </c>
      <c r="G183" s="25">
        <v>0.0</v>
      </c>
      <c r="H183" s="25">
        <v>19.7</v>
      </c>
      <c r="I183" s="50">
        <v>0.13</v>
      </c>
      <c r="J183" s="25">
        <v>2.6</v>
      </c>
      <c r="K183" s="51">
        <v>0.0</v>
      </c>
      <c r="L183" s="51">
        <v>0.0</v>
      </c>
      <c r="M183" s="25">
        <v>14.0</v>
      </c>
      <c r="N183" s="26"/>
      <c r="O183" s="26" t="s">
        <v>60</v>
      </c>
      <c r="P183" s="52">
        <v>4.36E7</v>
      </c>
      <c r="Q183" s="26" t="s">
        <v>1939</v>
      </c>
      <c r="R183" s="25">
        <v>2016.0</v>
      </c>
      <c r="S183" s="25">
        <v>1.26E-4</v>
      </c>
      <c r="T183" s="25">
        <f t="shared" si="1"/>
        <v>5493.6</v>
      </c>
      <c r="U183" s="24">
        <f t="shared" si="2"/>
        <v>278.8629442</v>
      </c>
      <c r="V183" s="26">
        <f>VLOOKUP(R183,CPI!$A$2:$E$67,5,0)</f>
        <v>1.269554638</v>
      </c>
      <c r="W183" s="27">
        <f t="shared" si="3"/>
        <v>6974.425359</v>
      </c>
      <c r="X183" s="27">
        <f t="shared" si="4"/>
        <v>354.0317441</v>
      </c>
      <c r="Y183" s="26" t="s">
        <v>42</v>
      </c>
      <c r="Z183" s="57" t="s">
        <v>1943</v>
      </c>
      <c r="AA183" s="29"/>
      <c r="AB183" s="30"/>
      <c r="AC183" s="30"/>
      <c r="AD183" s="30"/>
    </row>
    <row r="184">
      <c r="A184" s="26" t="s">
        <v>1937</v>
      </c>
      <c r="B184" s="26" t="s">
        <v>1942</v>
      </c>
      <c r="C184" s="1" t="s">
        <v>54</v>
      </c>
      <c r="D184" s="26" t="s">
        <v>1944</v>
      </c>
      <c r="E184" s="25">
        <v>2020.0</v>
      </c>
      <c r="F184" s="25">
        <v>2026.0</v>
      </c>
      <c r="G184" s="25">
        <v>0.0</v>
      </c>
      <c r="H184" s="25">
        <v>11.3</v>
      </c>
      <c r="I184" s="50">
        <v>0.82</v>
      </c>
      <c r="J184" s="25">
        <v>9.3</v>
      </c>
      <c r="K184" s="51">
        <v>0.0</v>
      </c>
      <c r="L184" s="51">
        <v>0.0</v>
      </c>
      <c r="M184" s="25">
        <v>11.0</v>
      </c>
      <c r="N184" s="26"/>
      <c r="O184" s="26" t="s">
        <v>42</v>
      </c>
      <c r="P184" s="52">
        <v>4.8E7</v>
      </c>
      <c r="Q184" s="26" t="s">
        <v>1939</v>
      </c>
      <c r="R184" s="25">
        <v>2023.0</v>
      </c>
      <c r="S184" s="25">
        <v>1.26E-4</v>
      </c>
      <c r="T184" s="25">
        <f t="shared" si="1"/>
        <v>6048</v>
      </c>
      <c r="U184" s="24">
        <f t="shared" si="2"/>
        <v>535.2212389</v>
      </c>
      <c r="V184" s="26">
        <f>VLOOKUP(R184,CPI!$A$2:$E$67,5,0)</f>
        <v>1</v>
      </c>
      <c r="W184" s="27">
        <f t="shared" si="3"/>
        <v>6048</v>
      </c>
      <c r="X184" s="27">
        <f t="shared" si="4"/>
        <v>535.2212389</v>
      </c>
      <c r="Y184" s="26" t="s">
        <v>42</v>
      </c>
      <c r="Z184" s="57" t="s">
        <v>1945</v>
      </c>
      <c r="AA184" s="29"/>
      <c r="AB184" s="30"/>
      <c r="AC184" s="30"/>
      <c r="AD184" s="30"/>
    </row>
    <row r="185">
      <c r="A185" s="26" t="s">
        <v>1937</v>
      </c>
      <c r="B185" s="26" t="s">
        <v>1942</v>
      </c>
      <c r="C185" s="1" t="s">
        <v>84</v>
      </c>
      <c r="D185" s="26" t="s">
        <v>1946</v>
      </c>
      <c r="E185" s="25">
        <v>2025.0</v>
      </c>
      <c r="F185" s="25">
        <v>2029.0</v>
      </c>
      <c r="G185" s="25">
        <v>0.0</v>
      </c>
      <c r="H185" s="25">
        <v>8.9</v>
      </c>
      <c r="I185" s="50">
        <v>0.84</v>
      </c>
      <c r="J185" s="25">
        <v>7.5</v>
      </c>
      <c r="K185" s="51">
        <v>0.0</v>
      </c>
      <c r="L185" s="51">
        <v>0.0</v>
      </c>
      <c r="M185" s="25">
        <v>7.0</v>
      </c>
      <c r="N185" s="26"/>
      <c r="O185" s="26" t="s">
        <v>42</v>
      </c>
      <c r="P185" s="52">
        <v>4.16E7</v>
      </c>
      <c r="Q185" s="26" t="s">
        <v>1939</v>
      </c>
      <c r="R185" s="25">
        <v>2027.0</v>
      </c>
      <c r="S185" s="25">
        <v>1.26E-4</v>
      </c>
      <c r="T185" s="25">
        <f t="shared" si="1"/>
        <v>5241.6</v>
      </c>
      <c r="U185" s="24">
        <f t="shared" si="2"/>
        <v>588.9438202</v>
      </c>
      <c r="V185" s="26">
        <f>VLOOKUP(R185,CPI!$A$2:$E$67,5,0)</f>
        <v>1</v>
      </c>
      <c r="W185" s="27">
        <f t="shared" si="3"/>
        <v>5241.6</v>
      </c>
      <c r="X185" s="27">
        <f t="shared" si="4"/>
        <v>588.9438202</v>
      </c>
      <c r="Y185" s="26" t="s">
        <v>42</v>
      </c>
      <c r="Z185" s="57" t="s">
        <v>1947</v>
      </c>
      <c r="AA185" s="29"/>
      <c r="AB185" s="30"/>
      <c r="AC185" s="30"/>
      <c r="AD185" s="30"/>
    </row>
    <row r="186">
      <c r="A186" s="26" t="s">
        <v>1403</v>
      </c>
      <c r="B186" s="26" t="s">
        <v>1409</v>
      </c>
      <c r="C186" s="1" t="s">
        <v>1414</v>
      </c>
      <c r="D186" s="26" t="s">
        <v>1415</v>
      </c>
      <c r="E186" s="25">
        <v>2015.0</v>
      </c>
      <c r="F186" s="25">
        <v>2023.0</v>
      </c>
      <c r="G186" s="25">
        <v>1.0</v>
      </c>
      <c r="H186" s="25">
        <v>2.4</v>
      </c>
      <c r="I186" s="50">
        <v>1.0</v>
      </c>
      <c r="J186" s="25">
        <v>2.4</v>
      </c>
      <c r="K186" s="51">
        <v>0.0</v>
      </c>
      <c r="L186" s="51">
        <v>0.0</v>
      </c>
      <c r="M186" s="25">
        <v>1.0</v>
      </c>
      <c r="N186" s="26"/>
      <c r="O186" s="26" t="s">
        <v>60</v>
      </c>
      <c r="P186" s="52">
        <v>69000.0</v>
      </c>
      <c r="Q186" s="26" t="s">
        <v>1407</v>
      </c>
      <c r="R186" s="25">
        <v>2019.0</v>
      </c>
      <c r="S186" s="25">
        <v>0.01</v>
      </c>
      <c r="T186" s="25">
        <f t="shared" si="1"/>
        <v>690</v>
      </c>
      <c r="U186" s="24">
        <f t="shared" si="2"/>
        <v>287.5</v>
      </c>
      <c r="V186" s="26">
        <f>VLOOKUP(R186,CPI!$A$2:$E$67,5,0)</f>
        <v>1.191839066</v>
      </c>
      <c r="W186" s="27">
        <f t="shared" si="3"/>
        <v>822.3689553</v>
      </c>
      <c r="X186" s="27">
        <f t="shared" si="4"/>
        <v>342.6537314</v>
      </c>
      <c r="Y186" s="26" t="s">
        <v>60</v>
      </c>
      <c r="Z186" s="53" t="s">
        <v>1413</v>
      </c>
      <c r="AA186" s="178"/>
      <c r="AB186" s="172"/>
      <c r="AC186" s="172"/>
      <c r="AD186" s="172"/>
    </row>
    <row r="187">
      <c r="A187" s="26" t="s">
        <v>1403</v>
      </c>
      <c r="B187" s="26" t="s">
        <v>1409</v>
      </c>
      <c r="C187" s="26" t="s">
        <v>1412</v>
      </c>
      <c r="D187" s="26" t="s">
        <v>1412</v>
      </c>
      <c r="E187" s="25">
        <v>1999.0</v>
      </c>
      <c r="F187" s="25">
        <v>2019.0</v>
      </c>
      <c r="G187" s="25">
        <v>1.0</v>
      </c>
      <c r="H187" s="25">
        <v>20.3</v>
      </c>
      <c r="I187" s="50">
        <v>0.0</v>
      </c>
      <c r="J187" s="25">
        <v>0.0</v>
      </c>
      <c r="K187" s="51">
        <v>0.0</v>
      </c>
      <c r="L187" s="51">
        <v>0.0</v>
      </c>
      <c r="M187" s="25">
        <v>0.0</v>
      </c>
      <c r="N187" s="26"/>
      <c r="O187" s="26" t="s">
        <v>60</v>
      </c>
      <c r="P187" s="52">
        <v>120000.0</v>
      </c>
      <c r="Q187" s="26" t="s">
        <v>1407</v>
      </c>
      <c r="R187" s="25">
        <v>2009.0</v>
      </c>
      <c r="S187" s="25">
        <v>0.0087</v>
      </c>
      <c r="T187" s="25">
        <f t="shared" si="1"/>
        <v>1044</v>
      </c>
      <c r="U187" s="24">
        <f t="shared" si="2"/>
        <v>51.42857143</v>
      </c>
      <c r="V187" s="26">
        <f>VLOOKUP(R187,CPI!$A$2:$E$67,5,0)</f>
        <v>1.420277155</v>
      </c>
      <c r="W187" s="27">
        <f t="shared" si="3"/>
        <v>1482.76935</v>
      </c>
      <c r="X187" s="27">
        <f t="shared" si="4"/>
        <v>73.04282511</v>
      </c>
      <c r="Y187" s="26" t="s">
        <v>60</v>
      </c>
      <c r="Z187" s="57" t="s">
        <v>1413</v>
      </c>
      <c r="AA187" s="178"/>
      <c r="AB187" s="172"/>
      <c r="AC187" s="172"/>
      <c r="AD187" s="172"/>
    </row>
    <row r="188">
      <c r="A188" s="26" t="s">
        <v>1403</v>
      </c>
      <c r="B188" s="26" t="s">
        <v>1409</v>
      </c>
      <c r="C188" s="1" t="s">
        <v>1097</v>
      </c>
      <c r="D188" s="26" t="s">
        <v>1416</v>
      </c>
      <c r="E188" s="25">
        <v>2018.0</v>
      </c>
      <c r="F188" s="25">
        <v>2029.0</v>
      </c>
      <c r="G188" s="25">
        <v>0.0</v>
      </c>
      <c r="H188" s="25">
        <v>8.9</v>
      </c>
      <c r="I188" s="50">
        <v>0.0</v>
      </c>
      <c r="J188" s="25">
        <v>0.0</v>
      </c>
      <c r="K188" s="51">
        <v>0.0</v>
      </c>
      <c r="L188" s="51">
        <v>0.0</v>
      </c>
      <c r="M188" s="25">
        <v>4.0</v>
      </c>
      <c r="N188" s="26"/>
      <c r="O188" s="26" t="s">
        <v>60</v>
      </c>
      <c r="P188" s="52">
        <v>105000.0</v>
      </c>
      <c r="Q188" s="26" t="s">
        <v>1407</v>
      </c>
      <c r="R188" s="25">
        <v>2019.0</v>
      </c>
      <c r="S188" s="25">
        <v>0.01</v>
      </c>
      <c r="T188" s="25">
        <f t="shared" si="1"/>
        <v>1050</v>
      </c>
      <c r="U188" s="24">
        <f t="shared" si="2"/>
        <v>117.9775281</v>
      </c>
      <c r="V188" s="26">
        <f>VLOOKUP(R188,CPI!$A$2:$E$67,5,0)</f>
        <v>1.191839066</v>
      </c>
      <c r="W188" s="27">
        <f t="shared" si="3"/>
        <v>1251.431019</v>
      </c>
      <c r="X188" s="27">
        <f t="shared" si="4"/>
        <v>140.6102268</v>
      </c>
      <c r="Y188" s="26" t="s">
        <v>60</v>
      </c>
      <c r="Z188" s="57" t="s">
        <v>1417</v>
      </c>
      <c r="AA188" s="178"/>
      <c r="AB188" s="172"/>
      <c r="AC188" s="172"/>
      <c r="AD188" s="172"/>
    </row>
    <row r="189">
      <c r="A189" s="26" t="s">
        <v>1403</v>
      </c>
      <c r="B189" s="26" t="s">
        <v>1418</v>
      </c>
      <c r="C189" s="26" t="s">
        <v>1430</v>
      </c>
      <c r="D189" s="26" t="s">
        <v>1430</v>
      </c>
      <c r="E189" s="25">
        <v>2001.0</v>
      </c>
      <c r="F189" s="25">
        <v>2008.0</v>
      </c>
      <c r="G189" s="25">
        <v>0.0</v>
      </c>
      <c r="H189" s="25">
        <v>8.9</v>
      </c>
      <c r="I189" s="50">
        <v>1.0</v>
      </c>
      <c r="J189" s="25">
        <v>8.9</v>
      </c>
      <c r="K189" s="51">
        <v>0.0</v>
      </c>
      <c r="L189" s="51">
        <v>0.0</v>
      </c>
      <c r="M189" s="25">
        <v>8.0</v>
      </c>
      <c r="N189" s="26"/>
      <c r="O189" s="26" t="s">
        <v>42</v>
      </c>
      <c r="P189" s="52">
        <v>250000.0</v>
      </c>
      <c r="Q189" s="26" t="s">
        <v>1407</v>
      </c>
      <c r="R189" s="25">
        <v>2004.0</v>
      </c>
      <c r="S189" s="25">
        <v>0.0074</v>
      </c>
      <c r="T189" s="25">
        <f t="shared" si="1"/>
        <v>1850</v>
      </c>
      <c r="U189" s="24">
        <f t="shared" si="2"/>
        <v>207.8651685</v>
      </c>
      <c r="V189" s="26">
        <f>VLOOKUP(R189,CPI!$A$2:$E$67,5,0)</f>
        <v>1.613033351</v>
      </c>
      <c r="W189" s="27">
        <f t="shared" si="3"/>
        <v>2984.111699</v>
      </c>
      <c r="X189" s="27">
        <f t="shared" si="4"/>
        <v>335.2934494</v>
      </c>
      <c r="Y189" s="26" t="s">
        <v>42</v>
      </c>
      <c r="Z189" s="53" t="s">
        <v>1431</v>
      </c>
      <c r="AA189" s="178"/>
      <c r="AB189" s="172"/>
      <c r="AC189" s="172"/>
      <c r="AD189" s="172"/>
    </row>
    <row r="190">
      <c r="A190" s="26" t="s">
        <v>1403</v>
      </c>
      <c r="B190" s="26" t="s">
        <v>1418</v>
      </c>
      <c r="C190" s="26" t="s">
        <v>1426</v>
      </c>
      <c r="D190" s="26" t="s">
        <v>1426</v>
      </c>
      <c r="E190" s="25">
        <v>1993.0</v>
      </c>
      <c r="F190" s="25">
        <v>2004.0</v>
      </c>
      <c r="G190" s="25">
        <v>1.0</v>
      </c>
      <c r="H190" s="25">
        <v>4.1</v>
      </c>
      <c r="I190" s="50">
        <v>1.0</v>
      </c>
      <c r="J190" s="25">
        <v>4.1</v>
      </c>
      <c r="K190" s="51">
        <v>0.0</v>
      </c>
      <c r="L190" s="51">
        <v>0.0</v>
      </c>
      <c r="M190" s="25">
        <v>6.0</v>
      </c>
      <c r="N190" s="26"/>
      <c r="O190" s="26" t="s">
        <v>36</v>
      </c>
      <c r="P190" s="52">
        <v>257000.0</v>
      </c>
      <c r="Q190" s="26" t="s">
        <v>1407</v>
      </c>
      <c r="R190" s="25">
        <v>1998.0</v>
      </c>
      <c r="S190" s="25">
        <v>0.0063</v>
      </c>
      <c r="T190" s="25">
        <f t="shared" si="1"/>
        <v>1619.1</v>
      </c>
      <c r="U190" s="24">
        <f t="shared" si="2"/>
        <v>394.902439</v>
      </c>
      <c r="V190" s="26">
        <f>VLOOKUP(R190,CPI!$A$2:$E$67,5,0)</f>
        <v>1.869337423</v>
      </c>
      <c r="W190" s="27">
        <f t="shared" si="3"/>
        <v>3026.644222</v>
      </c>
      <c r="X190" s="27">
        <f t="shared" si="4"/>
        <v>738.2059078</v>
      </c>
      <c r="Y190" s="26" t="s">
        <v>42</v>
      </c>
      <c r="Z190" s="53" t="s">
        <v>1427</v>
      </c>
      <c r="AA190" s="178"/>
      <c r="AB190" s="172"/>
      <c r="AC190" s="172"/>
      <c r="AD190" s="172"/>
    </row>
    <row r="191">
      <c r="A191" s="26" t="s">
        <v>1403</v>
      </c>
      <c r="B191" s="26" t="s">
        <v>1418</v>
      </c>
      <c r="C191" s="26" t="s">
        <v>1424</v>
      </c>
      <c r="D191" s="26" t="s">
        <v>1424</v>
      </c>
      <c r="E191" s="25">
        <v>1992.0</v>
      </c>
      <c r="F191" s="25">
        <v>2000.0</v>
      </c>
      <c r="G191" s="25">
        <v>0.0</v>
      </c>
      <c r="H191" s="25">
        <v>27.8</v>
      </c>
      <c r="I191" s="50">
        <v>1.0</v>
      </c>
      <c r="J191" s="25">
        <v>27.8</v>
      </c>
      <c r="K191" s="51">
        <v>0.0</v>
      </c>
      <c r="L191" s="51">
        <v>0.0</v>
      </c>
      <c r="M191" s="25">
        <v>27.0</v>
      </c>
      <c r="N191" s="26"/>
      <c r="O191" s="26" t="s">
        <v>60</v>
      </c>
      <c r="P191" s="52">
        <v>988600.0</v>
      </c>
      <c r="Q191" s="26" t="s">
        <v>1407</v>
      </c>
      <c r="R191" s="25">
        <v>1999.0</v>
      </c>
      <c r="S191" s="25">
        <v>0.0064</v>
      </c>
      <c r="T191" s="25">
        <f t="shared" si="1"/>
        <v>6327.04</v>
      </c>
      <c r="U191" s="24">
        <f t="shared" si="2"/>
        <v>227.5913669</v>
      </c>
      <c r="V191" s="26">
        <f>VLOOKUP(R191,CPI!$A$2:$E$67,5,0)</f>
        <v>1.828943577</v>
      </c>
      <c r="W191" s="27">
        <f t="shared" si="3"/>
        <v>11571.79917</v>
      </c>
      <c r="X191" s="27">
        <f t="shared" si="4"/>
        <v>416.2517688</v>
      </c>
      <c r="Y191" s="26" t="s">
        <v>60</v>
      </c>
      <c r="Z191" s="53" t="s">
        <v>1425</v>
      </c>
      <c r="AA191" s="178"/>
      <c r="AB191" s="172"/>
      <c r="AC191" s="172"/>
      <c r="AD191" s="172"/>
    </row>
    <row r="192">
      <c r="A192" s="26" t="s">
        <v>1403</v>
      </c>
      <c r="B192" s="26" t="s">
        <v>1418</v>
      </c>
      <c r="C192" s="26" t="s">
        <v>1441</v>
      </c>
      <c r="D192" s="26" t="s">
        <v>1441</v>
      </c>
      <c r="E192" s="25">
        <v>2022.0</v>
      </c>
      <c r="F192" s="25">
        <v>2029.0</v>
      </c>
      <c r="G192" s="25">
        <v>1.0</v>
      </c>
      <c r="H192" s="25">
        <v>5.6</v>
      </c>
      <c r="I192" s="50">
        <v>1.0</v>
      </c>
      <c r="J192" s="25">
        <v>5.6</v>
      </c>
      <c r="K192" s="51">
        <v>0.0</v>
      </c>
      <c r="L192" s="51">
        <v>0.0</v>
      </c>
      <c r="M192" s="25">
        <v>2.0</v>
      </c>
      <c r="N192" s="26"/>
      <c r="O192" s="26" t="s">
        <v>59</v>
      </c>
      <c r="P192" s="52">
        <v>300000.0</v>
      </c>
      <c r="Q192" s="26" t="s">
        <v>1407</v>
      </c>
      <c r="R192" s="25">
        <v>2025.0</v>
      </c>
      <c r="S192" s="25">
        <v>0.01</v>
      </c>
      <c r="T192" s="25">
        <f t="shared" si="1"/>
        <v>3000</v>
      </c>
      <c r="U192" s="24">
        <f t="shared" si="2"/>
        <v>535.7142857</v>
      </c>
      <c r="V192" s="26">
        <f>VLOOKUP(R192,CPI!$A$2:$E$67,5,0)</f>
        <v>1</v>
      </c>
      <c r="W192" s="27">
        <f t="shared" si="3"/>
        <v>3000</v>
      </c>
      <c r="X192" s="27">
        <f t="shared" si="4"/>
        <v>535.7142857</v>
      </c>
      <c r="Y192" s="26" t="s">
        <v>42</v>
      </c>
      <c r="Z192" s="57" t="s">
        <v>1442</v>
      </c>
      <c r="AA192" s="178"/>
      <c r="AB192" s="172"/>
      <c r="AC192" s="172"/>
      <c r="AD192" s="172"/>
    </row>
    <row r="193">
      <c r="A193" s="26" t="s">
        <v>1403</v>
      </c>
      <c r="B193" s="26" t="s">
        <v>1418</v>
      </c>
      <c r="C193" s="63" t="s">
        <v>1421</v>
      </c>
      <c r="D193" s="26" t="s">
        <v>1422</v>
      </c>
      <c r="E193" s="25">
        <v>1991.0</v>
      </c>
      <c r="F193" s="25">
        <v>2000.0</v>
      </c>
      <c r="G193" s="25">
        <v>0.0</v>
      </c>
      <c r="H193" s="25">
        <v>16.0</v>
      </c>
      <c r="I193" s="50">
        <v>0.0</v>
      </c>
      <c r="J193" s="25">
        <v>0.0</v>
      </c>
      <c r="K193" s="51">
        <v>0.0</v>
      </c>
      <c r="L193" s="51">
        <v>0.0</v>
      </c>
      <c r="M193" s="25">
        <v>19.0</v>
      </c>
      <c r="N193" s="26"/>
      <c r="O193" s="26" t="s">
        <v>36</v>
      </c>
      <c r="P193" s="52">
        <v>242200.0</v>
      </c>
      <c r="Q193" s="26" t="s">
        <v>1407</v>
      </c>
      <c r="R193" s="25">
        <v>1995.0</v>
      </c>
      <c r="S193" s="25">
        <v>0.006</v>
      </c>
      <c r="T193" s="25">
        <f t="shared" si="1"/>
        <v>1453.2</v>
      </c>
      <c r="U193" s="24">
        <f t="shared" si="2"/>
        <v>90.825</v>
      </c>
      <c r="V193" s="26">
        <f>VLOOKUP(R193,CPI!$A$2:$E$67,5,0)</f>
        <v>1.999356955</v>
      </c>
      <c r="W193" s="27">
        <f t="shared" si="3"/>
        <v>2905.465528</v>
      </c>
      <c r="X193" s="27">
        <f t="shared" si="4"/>
        <v>181.5915955</v>
      </c>
      <c r="Y193" s="26" t="s">
        <v>36</v>
      </c>
      <c r="Z193" s="57" t="s">
        <v>1423</v>
      </c>
      <c r="AA193" s="178"/>
      <c r="AB193" s="172"/>
      <c r="AC193" s="172"/>
      <c r="AD193" s="172"/>
    </row>
    <row r="194">
      <c r="A194" s="26" t="s">
        <v>1403</v>
      </c>
      <c r="B194" s="26" t="s">
        <v>1418</v>
      </c>
      <c r="C194" s="16" t="s">
        <v>1097</v>
      </c>
      <c r="D194" s="26" t="s">
        <v>1439</v>
      </c>
      <c r="E194" s="25">
        <v>2015.0</v>
      </c>
      <c r="F194" s="25">
        <v>2025.0</v>
      </c>
      <c r="G194" s="25">
        <v>1.0</v>
      </c>
      <c r="H194" s="25">
        <v>3.0</v>
      </c>
      <c r="I194" s="50">
        <v>0.0</v>
      </c>
      <c r="J194" s="25">
        <v>0.0</v>
      </c>
      <c r="K194" s="51">
        <v>0.0</v>
      </c>
      <c r="L194" s="51">
        <v>0.0</v>
      </c>
      <c r="M194" s="25"/>
      <c r="N194" s="26"/>
      <c r="O194" s="26" t="s">
        <v>36</v>
      </c>
      <c r="P194" s="52">
        <v>109500.0</v>
      </c>
      <c r="Q194" s="26" t="s">
        <v>1407</v>
      </c>
      <c r="R194" s="25">
        <v>2020.0</v>
      </c>
      <c r="S194" s="25">
        <v>0.01</v>
      </c>
      <c r="T194" s="25">
        <f t="shared" si="1"/>
        <v>1095</v>
      </c>
      <c r="U194" s="24">
        <f t="shared" si="2"/>
        <v>365</v>
      </c>
      <c r="V194" s="26">
        <f>VLOOKUP(R194,CPI!$A$2:$E$67,5,0)</f>
        <v>1.17731472</v>
      </c>
      <c r="W194" s="27">
        <f t="shared" si="3"/>
        <v>1289.159618</v>
      </c>
      <c r="X194" s="27">
        <f t="shared" si="4"/>
        <v>429.7198728</v>
      </c>
      <c r="Y194" s="26" t="s">
        <v>36</v>
      </c>
      <c r="Z194" s="57" t="s">
        <v>1440</v>
      </c>
      <c r="AA194" s="178"/>
      <c r="AB194" s="172"/>
      <c r="AC194" s="172"/>
      <c r="AD194" s="172"/>
    </row>
    <row r="195">
      <c r="A195" s="26" t="s">
        <v>1403</v>
      </c>
      <c r="B195" s="26" t="s">
        <v>1418</v>
      </c>
      <c r="C195" s="26" t="s">
        <v>1432</v>
      </c>
      <c r="D195" s="26" t="s">
        <v>1432</v>
      </c>
      <c r="E195" s="25">
        <v>2008.0</v>
      </c>
      <c r="F195" s="25">
        <v>2015.0</v>
      </c>
      <c r="G195" s="25">
        <v>1.0</v>
      </c>
      <c r="H195" s="25">
        <v>3.8</v>
      </c>
      <c r="I195" s="50">
        <v>0.0</v>
      </c>
      <c r="J195" s="25">
        <v>0.0</v>
      </c>
      <c r="K195" s="51">
        <v>0.0</v>
      </c>
      <c r="L195" s="51">
        <v>0.0</v>
      </c>
      <c r="M195" s="25">
        <v>0.0</v>
      </c>
      <c r="N195" s="26"/>
      <c r="O195" s="26" t="s">
        <v>36</v>
      </c>
      <c r="P195" s="52">
        <v>40000.0</v>
      </c>
      <c r="Q195" s="26" t="s">
        <v>1407</v>
      </c>
      <c r="R195" s="25">
        <v>2011.0</v>
      </c>
      <c r="S195" s="25">
        <v>0.009</v>
      </c>
      <c r="T195" s="25">
        <f t="shared" si="1"/>
        <v>360</v>
      </c>
      <c r="U195" s="24">
        <f t="shared" si="2"/>
        <v>94.73684211</v>
      </c>
      <c r="V195" s="26">
        <f>VLOOKUP(R195,CPI!$A$2:$E$67,5,0)</f>
        <v>1.354598358</v>
      </c>
      <c r="W195" s="27">
        <f t="shared" si="3"/>
        <v>487.6554088</v>
      </c>
      <c r="X195" s="27">
        <f t="shared" si="4"/>
        <v>128.3303707</v>
      </c>
      <c r="Y195" s="26" t="s">
        <v>36</v>
      </c>
      <c r="Z195" s="53" t="s">
        <v>1433</v>
      </c>
      <c r="AA195" s="178"/>
      <c r="AB195" s="172"/>
      <c r="AC195" s="172"/>
      <c r="AD195" s="172"/>
    </row>
    <row r="196">
      <c r="A196" s="26" t="s">
        <v>1403</v>
      </c>
      <c r="B196" s="26" t="s">
        <v>1418</v>
      </c>
      <c r="C196" s="1" t="s">
        <v>1434</v>
      </c>
      <c r="D196" s="26" t="s">
        <v>1435</v>
      </c>
      <c r="E196" s="25">
        <v>2010.0</v>
      </c>
      <c r="F196" s="25">
        <v>2019.0</v>
      </c>
      <c r="G196" s="25">
        <v>1.0</v>
      </c>
      <c r="H196" s="25">
        <v>2.7</v>
      </c>
      <c r="I196" s="50">
        <v>0.78</v>
      </c>
      <c r="J196" s="25">
        <v>2.1</v>
      </c>
      <c r="K196" s="51">
        <v>0.0</v>
      </c>
      <c r="L196" s="51">
        <v>0.0</v>
      </c>
      <c r="M196" s="25">
        <v>1.0</v>
      </c>
      <c r="N196" s="26"/>
      <c r="O196" s="26" t="s">
        <v>59</v>
      </c>
      <c r="P196" s="52">
        <v>111400.0</v>
      </c>
      <c r="Q196" s="26" t="s">
        <v>1407</v>
      </c>
      <c r="R196" s="25">
        <v>2014.0</v>
      </c>
      <c r="S196" s="25">
        <v>0.0097</v>
      </c>
      <c r="T196" s="25">
        <f t="shared" si="1"/>
        <v>1080.58</v>
      </c>
      <c r="U196" s="24">
        <f t="shared" si="2"/>
        <v>400.2148148</v>
      </c>
      <c r="V196" s="26">
        <f>VLOOKUP(R196,CPI!$A$2:$E$67,5,0)</f>
        <v>1.287096175</v>
      </c>
      <c r="W196" s="27">
        <f t="shared" si="3"/>
        <v>1390.810384</v>
      </c>
      <c r="X196" s="27">
        <f t="shared" si="4"/>
        <v>515.1149572</v>
      </c>
      <c r="Y196" s="26" t="s">
        <v>42</v>
      </c>
      <c r="Z196" s="53" t="s">
        <v>1436</v>
      </c>
      <c r="AA196" s="178"/>
      <c r="AB196" s="172"/>
      <c r="AC196" s="172"/>
      <c r="AD196" s="172"/>
    </row>
    <row r="197">
      <c r="A197" s="26" t="s">
        <v>1403</v>
      </c>
      <c r="B197" s="26" t="s">
        <v>1418</v>
      </c>
      <c r="C197" s="1" t="s">
        <v>1434</v>
      </c>
      <c r="D197" s="26" t="s">
        <v>1437</v>
      </c>
      <c r="E197" s="25">
        <v>2010.0</v>
      </c>
      <c r="F197" s="25">
        <v>2022.0</v>
      </c>
      <c r="G197" s="25">
        <v>1.0</v>
      </c>
      <c r="H197" s="25">
        <v>10.0</v>
      </c>
      <c r="I197" s="50">
        <v>0.8</v>
      </c>
      <c r="J197" s="25">
        <v>8.0</v>
      </c>
      <c r="K197" s="51">
        <v>0.0</v>
      </c>
      <c r="L197" s="51">
        <v>0.0</v>
      </c>
      <c r="M197" s="25">
        <v>2.0</v>
      </c>
      <c r="N197" s="26"/>
      <c r="O197" s="26" t="s">
        <v>59</v>
      </c>
      <c r="P197" s="52">
        <v>290800.0</v>
      </c>
      <c r="Q197" s="26" t="s">
        <v>1407</v>
      </c>
      <c r="R197" s="25">
        <v>2016.0</v>
      </c>
      <c r="S197" s="25">
        <v>0.0095</v>
      </c>
      <c r="T197" s="25">
        <f t="shared" si="1"/>
        <v>2762.6</v>
      </c>
      <c r="U197" s="24">
        <f t="shared" si="2"/>
        <v>276.26</v>
      </c>
      <c r="V197" s="26">
        <f>VLOOKUP(R197,CPI!$A$2:$E$67,5,0)</f>
        <v>1.269554638</v>
      </c>
      <c r="W197" s="27">
        <f t="shared" si="3"/>
        <v>3507.271643</v>
      </c>
      <c r="X197" s="27">
        <f t="shared" si="4"/>
        <v>350.7271643</v>
      </c>
      <c r="Y197" s="26" t="s">
        <v>36</v>
      </c>
      <c r="Z197" s="53" t="s">
        <v>1438</v>
      </c>
      <c r="AA197" s="178"/>
      <c r="AB197" s="172"/>
      <c r="AC197" s="172"/>
      <c r="AD197" s="172"/>
    </row>
    <row r="198">
      <c r="A198" s="26" t="s">
        <v>1403</v>
      </c>
      <c r="B198" s="26" t="s">
        <v>1404</v>
      </c>
      <c r="C198" s="1" t="s">
        <v>1405</v>
      </c>
      <c r="D198" s="26" t="s">
        <v>1406</v>
      </c>
      <c r="E198" s="25">
        <v>2014.0</v>
      </c>
      <c r="F198" s="25">
        <v>2022.0</v>
      </c>
      <c r="G198" s="25">
        <v>0.0</v>
      </c>
      <c r="H198" s="25">
        <v>1.6</v>
      </c>
      <c r="I198" s="50">
        <v>1.0</v>
      </c>
      <c r="J198" s="25">
        <v>1.6</v>
      </c>
      <c r="K198" s="51">
        <v>0.0</v>
      </c>
      <c r="L198" s="51">
        <v>0.0</v>
      </c>
      <c r="M198" s="25">
        <v>2.0</v>
      </c>
      <c r="N198" s="26"/>
      <c r="O198" s="26" t="s">
        <v>74</v>
      </c>
      <c r="P198" s="52">
        <v>58700.0</v>
      </c>
      <c r="Q198" s="26" t="s">
        <v>1407</v>
      </c>
      <c r="R198" s="25">
        <v>2018.0</v>
      </c>
      <c r="S198" s="25">
        <v>0.01</v>
      </c>
      <c r="T198" s="25">
        <f t="shared" si="1"/>
        <v>587</v>
      </c>
      <c r="U198" s="24">
        <f t="shared" si="2"/>
        <v>366.875</v>
      </c>
      <c r="V198" s="26">
        <f>VLOOKUP(R198,CPI!$A$2:$E$67,5,0)</f>
        <v>1.21343491</v>
      </c>
      <c r="W198" s="27">
        <f t="shared" si="3"/>
        <v>712.2862923</v>
      </c>
      <c r="X198" s="27">
        <f t="shared" si="4"/>
        <v>445.1789327</v>
      </c>
      <c r="Y198" s="26" t="s">
        <v>42</v>
      </c>
      <c r="Z198" s="53" t="s">
        <v>1408</v>
      </c>
      <c r="AA198" s="178"/>
      <c r="AB198" s="172"/>
      <c r="AC198" s="172"/>
      <c r="AD198" s="172"/>
    </row>
    <row r="199">
      <c r="A199" s="26" t="s">
        <v>108</v>
      </c>
      <c r="B199" s="26" t="s">
        <v>118</v>
      </c>
      <c r="C199" s="1" t="s">
        <v>80</v>
      </c>
      <c r="D199" s="26" t="s">
        <v>123</v>
      </c>
      <c r="E199" s="25">
        <v>2015.0</v>
      </c>
      <c r="F199" s="25">
        <v>2023.0</v>
      </c>
      <c r="G199" s="25">
        <v>0.0</v>
      </c>
      <c r="H199" s="25">
        <v>15.9</v>
      </c>
      <c r="I199" s="50">
        <v>0.84</v>
      </c>
      <c r="J199" s="25">
        <v>13.4</v>
      </c>
      <c r="K199" s="51">
        <v>0.0</v>
      </c>
      <c r="L199" s="51">
        <v>0.0</v>
      </c>
      <c r="M199" s="25">
        <v>15.0</v>
      </c>
      <c r="N199" s="26"/>
      <c r="O199" s="26" t="s">
        <v>36</v>
      </c>
      <c r="P199" s="52">
        <v>9600.0</v>
      </c>
      <c r="Q199" s="26" t="s">
        <v>111</v>
      </c>
      <c r="R199" s="25">
        <v>2020.0</v>
      </c>
      <c r="S199" s="25">
        <v>0.44</v>
      </c>
      <c r="T199" s="25">
        <f t="shared" si="1"/>
        <v>4224</v>
      </c>
      <c r="U199" s="24">
        <f t="shared" si="2"/>
        <v>265.6603774</v>
      </c>
      <c r="V199" s="26">
        <f>VLOOKUP(R199,CPI!$A$2:$E$67,5,0)</f>
        <v>1.17731472</v>
      </c>
      <c r="W199" s="27">
        <f t="shared" si="3"/>
        <v>4972.977377</v>
      </c>
      <c r="X199" s="27">
        <f t="shared" si="4"/>
        <v>312.7658728</v>
      </c>
      <c r="Y199" s="26" t="s">
        <v>36</v>
      </c>
      <c r="Z199" s="57" t="s">
        <v>124</v>
      </c>
      <c r="AA199" s="29"/>
      <c r="AB199" s="30"/>
      <c r="AC199" s="30"/>
      <c r="AD199" s="30"/>
    </row>
    <row r="200">
      <c r="A200" s="26" t="s">
        <v>211</v>
      </c>
      <c r="B200" s="26" t="s">
        <v>218</v>
      </c>
      <c r="C200" s="26" t="s">
        <v>219</v>
      </c>
      <c r="D200" s="26" t="s">
        <v>219</v>
      </c>
      <c r="E200" s="25">
        <v>2008.0</v>
      </c>
      <c r="F200" s="25">
        <v>2013.0</v>
      </c>
      <c r="G200" s="25">
        <v>1.0</v>
      </c>
      <c r="H200" s="25">
        <v>1.5</v>
      </c>
      <c r="I200" s="50">
        <v>0.9</v>
      </c>
      <c r="J200" s="25">
        <v>1.4</v>
      </c>
      <c r="K200" s="51">
        <v>0.0</v>
      </c>
      <c r="L200" s="51">
        <v>0.0</v>
      </c>
      <c r="M200" s="25">
        <v>1.0</v>
      </c>
      <c r="N200" s="26"/>
      <c r="O200" s="26" t="s">
        <v>60</v>
      </c>
      <c r="P200" s="52">
        <v>220.2</v>
      </c>
      <c r="Q200" s="26" t="s">
        <v>214</v>
      </c>
      <c r="R200" s="25">
        <v>2010.0</v>
      </c>
      <c r="S200" s="25">
        <v>0.68</v>
      </c>
      <c r="T200" s="25">
        <f t="shared" si="1"/>
        <v>149.736</v>
      </c>
      <c r="U200" s="24">
        <f t="shared" si="2"/>
        <v>99.824</v>
      </c>
      <c r="V200" s="26">
        <f>VLOOKUP(R200,CPI!$A$2:$E$67,5,0)</f>
        <v>1.397356642</v>
      </c>
      <c r="W200" s="27">
        <f t="shared" si="3"/>
        <v>209.2345942</v>
      </c>
      <c r="X200" s="27">
        <f t="shared" si="4"/>
        <v>139.4897295</v>
      </c>
      <c r="Y200" s="26" t="s">
        <v>60</v>
      </c>
      <c r="Z200" s="53" t="s">
        <v>220</v>
      </c>
      <c r="AA200" s="29"/>
      <c r="AB200" s="30"/>
      <c r="AC200" s="30"/>
      <c r="AD200" s="30"/>
    </row>
    <row r="201">
      <c r="A201" s="26" t="s">
        <v>211</v>
      </c>
      <c r="B201" s="26" t="s">
        <v>221</v>
      </c>
      <c r="C201" s="26" t="s">
        <v>222</v>
      </c>
      <c r="D201" s="26" t="s">
        <v>222</v>
      </c>
      <c r="E201" s="25">
        <v>2007.0</v>
      </c>
      <c r="F201" s="25">
        <v>2014.0</v>
      </c>
      <c r="G201" s="25">
        <v>1.0</v>
      </c>
      <c r="H201" s="25">
        <v>9.6</v>
      </c>
      <c r="I201" s="50">
        <v>0.5</v>
      </c>
      <c r="J201" s="25">
        <v>4.8</v>
      </c>
      <c r="K201" s="51">
        <v>0.2</v>
      </c>
      <c r="L201" s="51">
        <v>4.6</v>
      </c>
      <c r="M201" s="25">
        <v>1.0</v>
      </c>
      <c r="N201" s="26"/>
      <c r="O201" s="26" t="s">
        <v>36</v>
      </c>
      <c r="P201" s="52">
        <v>2030.0</v>
      </c>
      <c r="Q201" s="26" t="s">
        <v>214</v>
      </c>
      <c r="R201" s="25">
        <v>2010.0</v>
      </c>
      <c r="S201" s="25">
        <v>0.68</v>
      </c>
      <c r="T201" s="25">
        <f t="shared" si="1"/>
        <v>1380.4</v>
      </c>
      <c r="U201" s="24">
        <f t="shared" si="2"/>
        <v>143.7916667</v>
      </c>
      <c r="V201" s="26">
        <f>VLOOKUP(R201,CPI!$A$2:$E$67,5,0)</f>
        <v>1.397356642</v>
      </c>
      <c r="W201" s="27">
        <f t="shared" si="3"/>
        <v>1928.911109</v>
      </c>
      <c r="X201" s="27">
        <f t="shared" si="4"/>
        <v>200.9282405</v>
      </c>
      <c r="Y201" s="26" t="s">
        <v>36</v>
      </c>
      <c r="Z201" s="57" t="s">
        <v>223</v>
      </c>
      <c r="AA201" s="29"/>
      <c r="AB201" s="30"/>
      <c r="AC201" s="30"/>
      <c r="AD201" s="30"/>
    </row>
    <row r="202">
      <c r="A202" s="26" t="s">
        <v>1403</v>
      </c>
      <c r="B202" s="26" t="s">
        <v>1418</v>
      </c>
      <c r="C202" s="26" t="s">
        <v>1428</v>
      </c>
      <c r="D202" s="26" t="s">
        <v>1428</v>
      </c>
      <c r="E202" s="25">
        <v>1997.0</v>
      </c>
      <c r="F202" s="25">
        <v>2005.0</v>
      </c>
      <c r="G202" s="25">
        <v>0.0</v>
      </c>
      <c r="H202" s="25">
        <v>58.3</v>
      </c>
      <c r="I202" s="50">
        <v>0.28</v>
      </c>
      <c r="J202" s="25">
        <v>16.3</v>
      </c>
      <c r="K202" s="51">
        <v>0.0</v>
      </c>
      <c r="L202" s="51">
        <v>0.0</v>
      </c>
      <c r="M202" s="25">
        <v>20.0</v>
      </c>
      <c r="N202" s="26"/>
      <c r="O202" s="26" t="s">
        <v>60</v>
      </c>
      <c r="P202" s="52">
        <v>949400.0</v>
      </c>
      <c r="Q202" s="26" t="s">
        <v>1407</v>
      </c>
      <c r="R202" s="25">
        <v>2001.0</v>
      </c>
      <c r="S202" s="25">
        <v>0.0077</v>
      </c>
      <c r="T202" s="25">
        <f t="shared" si="1"/>
        <v>7310.38</v>
      </c>
      <c r="U202" s="24">
        <f t="shared" si="2"/>
        <v>125.3924528</v>
      </c>
      <c r="V202" s="26">
        <f>VLOOKUP(R202,CPI!$A$2:$E$67,5,0)</f>
        <v>1.720508187</v>
      </c>
      <c r="W202" s="27">
        <f t="shared" si="3"/>
        <v>12577.56864</v>
      </c>
      <c r="X202" s="27">
        <f t="shared" si="4"/>
        <v>215.7387417</v>
      </c>
      <c r="Y202" s="26" t="s">
        <v>60</v>
      </c>
      <c r="Z202" s="57" t="s">
        <v>1429</v>
      </c>
      <c r="AA202" s="178"/>
      <c r="AB202" s="172"/>
      <c r="AC202" s="172"/>
      <c r="AD202" s="172"/>
    </row>
    <row r="203">
      <c r="A203" s="26" t="s">
        <v>1262</v>
      </c>
      <c r="B203" s="26" t="s">
        <v>1269</v>
      </c>
      <c r="C203" s="1" t="s">
        <v>1270</v>
      </c>
      <c r="D203" s="26" t="s">
        <v>38</v>
      </c>
      <c r="E203" s="25">
        <v>2017.0</v>
      </c>
      <c r="F203" s="25">
        <v>2024.0</v>
      </c>
      <c r="G203" s="25">
        <v>0.0</v>
      </c>
      <c r="H203" s="25">
        <v>73.9</v>
      </c>
      <c r="I203" s="59">
        <v>0.1867</v>
      </c>
      <c r="J203" s="58">
        <v>13.8</v>
      </c>
      <c r="K203" s="51">
        <v>0.0</v>
      </c>
      <c r="L203" s="51">
        <v>0.0</v>
      </c>
      <c r="M203" s="25">
        <v>62.0</v>
      </c>
      <c r="N203" s="26"/>
      <c r="O203" s="26" t="s">
        <v>36</v>
      </c>
      <c r="P203" s="52">
        <v>306950.0</v>
      </c>
      <c r="Q203" s="26" t="s">
        <v>1265</v>
      </c>
      <c r="R203" s="25">
        <v>2020.0</v>
      </c>
      <c r="S203" s="25">
        <v>0.047</v>
      </c>
      <c r="T203" s="25">
        <f t="shared" si="1"/>
        <v>14426.65</v>
      </c>
      <c r="U203" s="24">
        <f t="shared" si="2"/>
        <v>195.2185386</v>
      </c>
      <c r="V203" s="26">
        <f>VLOOKUP(R203,CPI!$A$2:$E$67,5,0)</f>
        <v>1.17731472</v>
      </c>
      <c r="W203" s="27">
        <f t="shared" si="3"/>
        <v>16984.70741</v>
      </c>
      <c r="X203" s="27">
        <f t="shared" si="4"/>
        <v>229.8336591</v>
      </c>
      <c r="Y203" s="26" t="s">
        <v>42</v>
      </c>
      <c r="Z203" s="53" t="s">
        <v>1272</v>
      </c>
      <c r="AA203" s="178"/>
      <c r="AB203" s="172"/>
      <c r="AC203" s="172"/>
      <c r="AD203" s="172"/>
    </row>
    <row r="204">
      <c r="A204" s="26" t="s">
        <v>1262</v>
      </c>
      <c r="B204" s="26" t="s">
        <v>1269</v>
      </c>
      <c r="C204" s="1" t="s">
        <v>1270</v>
      </c>
      <c r="D204" s="26" t="s">
        <v>34</v>
      </c>
      <c r="E204" s="25">
        <v>2006.0</v>
      </c>
      <c r="F204" s="25">
        <v>2017.0</v>
      </c>
      <c r="G204" s="25">
        <v>0.0</v>
      </c>
      <c r="H204" s="25">
        <v>42.3</v>
      </c>
      <c r="I204" s="50">
        <v>0.2</v>
      </c>
      <c r="J204" s="25">
        <v>8.5</v>
      </c>
      <c r="K204" s="51">
        <v>0.0</v>
      </c>
      <c r="L204" s="51">
        <v>0.0</v>
      </c>
      <c r="M204" s="25">
        <v>41.0</v>
      </c>
      <c r="N204" s="26"/>
      <c r="O204" s="26" t="s">
        <v>74</v>
      </c>
      <c r="P204" s="52">
        <v>144050.0</v>
      </c>
      <c r="Q204" s="26" t="s">
        <v>1265</v>
      </c>
      <c r="R204" s="25">
        <v>2011.0</v>
      </c>
      <c r="S204" s="58">
        <v>0.064</v>
      </c>
      <c r="T204" s="25">
        <f t="shared" si="1"/>
        <v>9219.2</v>
      </c>
      <c r="U204" s="24">
        <f t="shared" si="2"/>
        <v>217.9479905</v>
      </c>
      <c r="V204" s="26">
        <f>VLOOKUP(R204,CPI!$A$2:$E$67,5,0)</f>
        <v>1.354598358</v>
      </c>
      <c r="W204" s="27">
        <f t="shared" si="3"/>
        <v>12488.31318</v>
      </c>
      <c r="X204" s="27">
        <f t="shared" si="4"/>
        <v>295.2319901</v>
      </c>
      <c r="Y204" s="26" t="s">
        <v>42</v>
      </c>
      <c r="Z204" s="57" t="s">
        <v>1271</v>
      </c>
      <c r="AA204" s="178"/>
      <c r="AB204" s="172"/>
      <c r="AC204" s="172"/>
      <c r="AD204" s="172"/>
    </row>
    <row r="205">
      <c r="A205" s="26" t="s">
        <v>1262</v>
      </c>
      <c r="B205" s="26" t="s">
        <v>1288</v>
      </c>
      <c r="C205" s="1" t="s">
        <v>1288</v>
      </c>
      <c r="D205" s="26" t="s">
        <v>34</v>
      </c>
      <c r="E205" s="25">
        <v>2009.0</v>
      </c>
      <c r="F205" s="25">
        <v>2013.0</v>
      </c>
      <c r="G205" s="25">
        <v>0.0</v>
      </c>
      <c r="H205" s="25">
        <v>5.5</v>
      </c>
      <c r="I205" s="50">
        <v>0.0</v>
      </c>
      <c r="J205" s="25">
        <v>0.0</v>
      </c>
      <c r="K205" s="51">
        <v>0.0</v>
      </c>
      <c r="L205" s="51">
        <v>0.0</v>
      </c>
      <c r="M205" s="25">
        <v>6.0</v>
      </c>
      <c r="N205" s="26"/>
      <c r="O205" s="26" t="s">
        <v>74</v>
      </c>
      <c r="P205" s="52">
        <v>10880.0</v>
      </c>
      <c r="Q205" s="26" t="s">
        <v>1265</v>
      </c>
      <c r="R205" s="25">
        <v>2011.0</v>
      </c>
      <c r="S205" s="25">
        <v>0.064</v>
      </c>
      <c r="T205" s="25">
        <f t="shared" si="1"/>
        <v>696.32</v>
      </c>
      <c r="U205" s="24">
        <f t="shared" si="2"/>
        <v>126.6036364</v>
      </c>
      <c r="V205" s="26">
        <f>VLOOKUP(R205,CPI!$A$2:$E$67,5,0)</f>
        <v>1.354598358</v>
      </c>
      <c r="W205" s="27">
        <f t="shared" si="3"/>
        <v>943.2339285</v>
      </c>
      <c r="X205" s="27">
        <f t="shared" si="4"/>
        <v>171.4970779</v>
      </c>
      <c r="Y205" s="26" t="s">
        <v>42</v>
      </c>
      <c r="Z205" s="53" t="s">
        <v>1289</v>
      </c>
      <c r="AA205" s="178"/>
      <c r="AB205" s="172"/>
      <c r="AC205" s="172"/>
      <c r="AD205" s="172"/>
    </row>
    <row r="206">
      <c r="A206" s="26" t="s">
        <v>1262</v>
      </c>
      <c r="B206" s="26" t="s">
        <v>1288</v>
      </c>
      <c r="C206" s="1" t="s">
        <v>1288</v>
      </c>
      <c r="D206" s="26" t="s">
        <v>38</v>
      </c>
      <c r="E206" s="25">
        <v>2013.0</v>
      </c>
      <c r="F206" s="25">
        <v>2017.0</v>
      </c>
      <c r="G206" s="25">
        <v>0.0</v>
      </c>
      <c r="H206" s="25">
        <v>6.3</v>
      </c>
      <c r="I206" s="50">
        <v>0.0</v>
      </c>
      <c r="J206" s="25">
        <v>0.0</v>
      </c>
      <c r="K206" s="51">
        <v>0.0</v>
      </c>
      <c r="L206" s="51">
        <v>0.0</v>
      </c>
      <c r="M206" s="25">
        <v>5.0</v>
      </c>
      <c r="N206" s="26"/>
      <c r="O206" s="26" t="s">
        <v>74</v>
      </c>
      <c r="P206" s="52">
        <v>24230.0</v>
      </c>
      <c r="Q206" s="26" t="s">
        <v>1265</v>
      </c>
      <c r="R206" s="25">
        <v>2015.0</v>
      </c>
      <c r="S206" s="25">
        <v>0.052</v>
      </c>
      <c r="T206" s="25">
        <f t="shared" si="1"/>
        <v>1259.96</v>
      </c>
      <c r="U206" s="24">
        <f t="shared" si="2"/>
        <v>199.9936508</v>
      </c>
      <c r="V206" s="26">
        <f>VLOOKUP(R206,CPI!$A$2:$E$67,5,0)</f>
        <v>1.285570233</v>
      </c>
      <c r="W206" s="27">
        <f t="shared" si="3"/>
        <v>1619.767071</v>
      </c>
      <c r="X206" s="27">
        <f t="shared" si="4"/>
        <v>257.1058843</v>
      </c>
      <c r="Y206" s="26" t="s">
        <v>42</v>
      </c>
      <c r="Z206" s="53" t="s">
        <v>1290</v>
      </c>
      <c r="AA206" s="178"/>
      <c r="AB206" s="172"/>
      <c r="AC206" s="172"/>
      <c r="AD206" s="172"/>
    </row>
    <row r="207">
      <c r="A207" s="26" t="s">
        <v>1262</v>
      </c>
      <c r="B207" s="26" t="s">
        <v>1321</v>
      </c>
      <c r="C207" s="1" t="s">
        <v>1321</v>
      </c>
      <c r="D207" s="26" t="s">
        <v>34</v>
      </c>
      <c r="E207" s="25">
        <v>2014.0</v>
      </c>
      <c r="F207" s="25">
        <v>2020.0</v>
      </c>
      <c r="G207" s="25">
        <v>0.0</v>
      </c>
      <c r="H207" s="25">
        <v>38.2</v>
      </c>
      <c r="I207" s="50">
        <v>0.0</v>
      </c>
      <c r="J207" s="25">
        <v>0.0</v>
      </c>
      <c r="K207" s="51">
        <v>0.0</v>
      </c>
      <c r="L207" s="51">
        <v>0.0</v>
      </c>
      <c r="M207" s="25">
        <v>40.0</v>
      </c>
      <c r="N207" s="26"/>
      <c r="O207" s="26" t="s">
        <v>42</v>
      </c>
      <c r="P207" s="52">
        <v>86800.0</v>
      </c>
      <c r="Q207" s="26" t="s">
        <v>1265</v>
      </c>
      <c r="R207" s="25">
        <v>2014.0</v>
      </c>
      <c r="S207" s="25">
        <v>0.054</v>
      </c>
      <c r="T207" s="25">
        <f t="shared" si="1"/>
        <v>4687.2</v>
      </c>
      <c r="U207" s="24">
        <f t="shared" si="2"/>
        <v>122.7015707</v>
      </c>
      <c r="V207" s="26">
        <f>VLOOKUP(R207,CPI!$A$2:$E$67,5,0)</f>
        <v>1.287096175</v>
      </c>
      <c r="W207" s="27">
        <f t="shared" si="3"/>
        <v>6032.87719</v>
      </c>
      <c r="X207" s="27">
        <f t="shared" si="4"/>
        <v>157.9287222</v>
      </c>
      <c r="Y207" s="26" t="s">
        <v>60</v>
      </c>
      <c r="Z207" s="57" t="s">
        <v>1322</v>
      </c>
      <c r="AA207" s="178"/>
      <c r="AB207" s="172"/>
      <c r="AC207" s="172"/>
      <c r="AD207" s="172"/>
    </row>
    <row r="208">
      <c r="A208" s="26" t="s">
        <v>1262</v>
      </c>
      <c r="B208" s="26" t="s">
        <v>1321</v>
      </c>
      <c r="C208" s="1" t="s">
        <v>1321</v>
      </c>
      <c r="D208" s="26" t="s">
        <v>38</v>
      </c>
      <c r="E208" s="25"/>
      <c r="F208" s="25"/>
      <c r="G208" s="25">
        <v>0.0</v>
      </c>
      <c r="H208" s="25">
        <v>43.8</v>
      </c>
      <c r="I208" s="50">
        <v>0.0</v>
      </c>
      <c r="J208" s="25">
        <v>0.0</v>
      </c>
      <c r="K208" s="51">
        <v>0.0</v>
      </c>
      <c r="L208" s="51">
        <v>0.0</v>
      </c>
      <c r="M208" s="25">
        <v>32.0</v>
      </c>
      <c r="N208" s="26"/>
      <c r="O208" s="26" t="s">
        <v>60</v>
      </c>
      <c r="P208" s="52">
        <v>112160.0</v>
      </c>
      <c r="Q208" s="26" t="s">
        <v>1265</v>
      </c>
      <c r="R208" s="25">
        <v>2018.0</v>
      </c>
      <c r="S208" s="25">
        <v>0.048</v>
      </c>
      <c r="T208" s="25">
        <f t="shared" si="1"/>
        <v>5383.68</v>
      </c>
      <c r="U208" s="24">
        <f t="shared" si="2"/>
        <v>122.9150685</v>
      </c>
      <c r="V208" s="26">
        <f>VLOOKUP(R208,CPI!$A$2:$E$67,5,0)</f>
        <v>1.21343491</v>
      </c>
      <c r="W208" s="27">
        <f t="shared" si="3"/>
        <v>6532.745257</v>
      </c>
      <c r="X208" s="27">
        <f t="shared" si="4"/>
        <v>149.1494351</v>
      </c>
      <c r="Y208" s="26" t="s">
        <v>42</v>
      </c>
      <c r="Z208" s="53" t="s">
        <v>1323</v>
      </c>
      <c r="AA208" s="178"/>
      <c r="AB208" s="172"/>
      <c r="AC208" s="172"/>
      <c r="AD208" s="172"/>
    </row>
    <row r="209">
      <c r="A209" s="26" t="s">
        <v>1262</v>
      </c>
      <c r="B209" s="63" t="s">
        <v>1267</v>
      </c>
      <c r="C209" s="1" t="s">
        <v>4</v>
      </c>
      <c r="D209" s="26" t="s">
        <v>34</v>
      </c>
      <c r="E209" s="25">
        <v>2015.0</v>
      </c>
      <c r="F209" s="25">
        <v>2023.0</v>
      </c>
      <c r="G209" s="25">
        <v>0.0</v>
      </c>
      <c r="H209" s="25">
        <v>40.0</v>
      </c>
      <c r="I209" s="50">
        <v>0.16</v>
      </c>
      <c r="J209" s="25">
        <v>6.4</v>
      </c>
      <c r="K209" s="51">
        <v>0.0</v>
      </c>
      <c r="L209" s="51">
        <v>0.0</v>
      </c>
      <c r="M209" s="25">
        <v>33.0</v>
      </c>
      <c r="N209" s="26"/>
      <c r="O209" s="26" t="s">
        <v>74</v>
      </c>
      <c r="P209" s="52">
        <v>127000.0</v>
      </c>
      <c r="Q209" s="26" t="s">
        <v>1265</v>
      </c>
      <c r="R209" s="25">
        <v>2019.0</v>
      </c>
      <c r="S209" s="25">
        <v>0.047</v>
      </c>
      <c r="T209" s="25">
        <f t="shared" si="1"/>
        <v>5969</v>
      </c>
      <c r="U209" s="24">
        <f t="shared" si="2"/>
        <v>149.225</v>
      </c>
      <c r="V209" s="26">
        <f>VLOOKUP(R209,CPI!$A$2:$E$67,5,0)</f>
        <v>1.191839066</v>
      </c>
      <c r="W209" s="27">
        <f t="shared" si="3"/>
        <v>7114.087383</v>
      </c>
      <c r="X209" s="27">
        <f t="shared" si="4"/>
        <v>177.8521846</v>
      </c>
      <c r="Y209" s="26" t="s">
        <v>42</v>
      </c>
      <c r="Z209" s="53" t="s">
        <v>1268</v>
      </c>
      <c r="AA209" s="178"/>
      <c r="AB209" s="172"/>
      <c r="AC209" s="172"/>
      <c r="AD209" s="172"/>
    </row>
    <row r="210">
      <c r="A210" s="26" t="s">
        <v>1262</v>
      </c>
      <c r="B210" s="26" t="s">
        <v>1291</v>
      </c>
      <c r="C210" s="1" t="s">
        <v>1069</v>
      </c>
      <c r="D210" s="26" t="s">
        <v>34</v>
      </c>
      <c r="E210" s="25">
        <v>2012.0</v>
      </c>
      <c r="F210" s="25">
        <v>2020.0</v>
      </c>
      <c r="G210" s="25">
        <v>0.0</v>
      </c>
      <c r="H210" s="25">
        <v>72.0</v>
      </c>
      <c r="I210" s="50">
        <v>0.0</v>
      </c>
      <c r="J210" s="25">
        <v>0.0</v>
      </c>
      <c r="K210" s="51">
        <v>0.0</v>
      </c>
      <c r="L210" s="51">
        <v>0.0</v>
      </c>
      <c r="M210" s="25">
        <v>66.0</v>
      </c>
      <c r="N210" s="26"/>
      <c r="O210" s="26" t="s">
        <v>42</v>
      </c>
      <c r="P210" s="52">
        <v>188000.0</v>
      </c>
      <c r="Q210" s="26" t="s">
        <v>1265</v>
      </c>
      <c r="R210" s="25">
        <v>2016.0</v>
      </c>
      <c r="S210" s="25">
        <v>0.05</v>
      </c>
      <c r="T210" s="25">
        <f t="shared" si="1"/>
        <v>9400</v>
      </c>
      <c r="U210" s="24">
        <f t="shared" si="2"/>
        <v>130.5555556</v>
      </c>
      <c r="V210" s="26">
        <f>VLOOKUP(R210,CPI!$A$2:$E$67,5,0)</f>
        <v>1.269554638</v>
      </c>
      <c r="W210" s="27">
        <f t="shared" si="3"/>
        <v>11933.8136</v>
      </c>
      <c r="X210" s="27">
        <f t="shared" si="4"/>
        <v>165.7474111</v>
      </c>
      <c r="Y210" s="26" t="s">
        <v>42</v>
      </c>
      <c r="Z210" s="53" t="s">
        <v>1292</v>
      </c>
      <c r="AA210" s="178"/>
      <c r="AB210" s="172"/>
      <c r="AC210" s="172"/>
      <c r="AD210" s="172"/>
    </row>
    <row r="211">
      <c r="A211" s="26" t="s">
        <v>1262</v>
      </c>
      <c r="B211" s="26" t="s">
        <v>1291</v>
      </c>
      <c r="C211" s="26" t="s">
        <v>1293</v>
      </c>
      <c r="D211" s="26" t="s">
        <v>1293</v>
      </c>
      <c r="E211" s="25">
        <v>2020.0</v>
      </c>
      <c r="F211" s="26"/>
      <c r="G211" s="25">
        <v>0.0</v>
      </c>
      <c r="H211" s="25">
        <v>31.0</v>
      </c>
      <c r="I211" s="50">
        <v>0.08</v>
      </c>
      <c r="J211" s="25">
        <v>2.5</v>
      </c>
      <c r="K211" s="51">
        <v>0.0</v>
      </c>
      <c r="L211" s="51">
        <v>0.0</v>
      </c>
      <c r="M211" s="25">
        <v>10.0</v>
      </c>
      <c r="N211" s="26"/>
      <c r="O211" s="26" t="s">
        <v>42</v>
      </c>
      <c r="P211" s="52">
        <v>46500.0</v>
      </c>
      <c r="Q211" s="26" t="s">
        <v>1265</v>
      </c>
      <c r="R211" s="25">
        <v>2020.0</v>
      </c>
      <c r="S211" s="25">
        <v>0.047</v>
      </c>
      <c r="T211" s="25">
        <f t="shared" si="1"/>
        <v>2185.5</v>
      </c>
      <c r="U211" s="24">
        <f t="shared" si="2"/>
        <v>70.5</v>
      </c>
      <c r="V211" s="26">
        <f>VLOOKUP(R211,CPI!$A$2:$E$67,5,0)</f>
        <v>1.17731472</v>
      </c>
      <c r="W211" s="27">
        <f t="shared" si="3"/>
        <v>2573.021321</v>
      </c>
      <c r="X211" s="27">
        <f t="shared" si="4"/>
        <v>83.00068776</v>
      </c>
      <c r="Y211" s="26" t="s">
        <v>42</v>
      </c>
      <c r="Z211" s="53" t="s">
        <v>1294</v>
      </c>
      <c r="AA211" s="178"/>
      <c r="AB211" s="172"/>
      <c r="AC211" s="172"/>
      <c r="AD211" s="172"/>
    </row>
    <row r="212">
      <c r="A212" s="26" t="s">
        <v>1262</v>
      </c>
      <c r="B212" s="26" t="s">
        <v>1273</v>
      </c>
      <c r="C212" s="1" t="s">
        <v>34</v>
      </c>
      <c r="D212" s="26" t="s">
        <v>34</v>
      </c>
      <c r="E212" s="25">
        <v>2009.0</v>
      </c>
      <c r="F212" s="25">
        <v>2019.0</v>
      </c>
      <c r="G212" s="25">
        <v>0.0</v>
      </c>
      <c r="H212" s="25">
        <v>45.1</v>
      </c>
      <c r="I212" s="50">
        <v>0.53</v>
      </c>
      <c r="J212" s="25">
        <v>24.0</v>
      </c>
      <c r="K212" s="51">
        <v>0.0</v>
      </c>
      <c r="L212" s="51">
        <v>0.0</v>
      </c>
      <c r="M212" s="25">
        <v>34.0</v>
      </c>
      <c r="N212" s="26"/>
      <c r="O212" s="26" t="s">
        <v>36</v>
      </c>
      <c r="P212" s="52">
        <v>200000.0</v>
      </c>
      <c r="Q212" s="26" t="s">
        <v>1265</v>
      </c>
      <c r="R212" s="25">
        <v>2014.0</v>
      </c>
      <c r="S212" s="25">
        <v>0.054</v>
      </c>
      <c r="T212" s="25">
        <f t="shared" si="1"/>
        <v>10800</v>
      </c>
      <c r="U212" s="24">
        <f t="shared" si="2"/>
        <v>239.4678492</v>
      </c>
      <c r="V212" s="26">
        <f>VLOOKUP(R212,CPI!$A$2:$E$67,5,0)</f>
        <v>1.287096175</v>
      </c>
      <c r="W212" s="27">
        <f t="shared" si="3"/>
        <v>13900.63869</v>
      </c>
      <c r="X212" s="27">
        <f t="shared" si="4"/>
        <v>308.2181527</v>
      </c>
      <c r="Y212" s="26" t="s">
        <v>42</v>
      </c>
      <c r="Z212" s="53" t="s">
        <v>1274</v>
      </c>
      <c r="AA212" s="178"/>
      <c r="AB212" s="172"/>
      <c r="AC212" s="172"/>
      <c r="AD212" s="172"/>
    </row>
    <row r="213">
      <c r="A213" s="26" t="s">
        <v>1262</v>
      </c>
      <c r="B213" s="26" t="s">
        <v>1273</v>
      </c>
      <c r="C213" s="1" t="s">
        <v>34</v>
      </c>
      <c r="D213" s="26" t="s">
        <v>1275</v>
      </c>
      <c r="E213" s="25">
        <v>2016.0</v>
      </c>
      <c r="F213" s="25">
        <v>2020.0</v>
      </c>
      <c r="G213" s="25">
        <v>0.0</v>
      </c>
      <c r="H213" s="25">
        <v>9.1</v>
      </c>
      <c r="I213" s="50">
        <v>0.26</v>
      </c>
      <c r="J213" s="25">
        <v>2.4</v>
      </c>
      <c r="K213" s="51">
        <v>0.0</v>
      </c>
      <c r="L213" s="51">
        <v>0.0</v>
      </c>
      <c r="M213" s="25">
        <v>9.0</v>
      </c>
      <c r="N213" s="26"/>
      <c r="O213" s="26" t="s">
        <v>36</v>
      </c>
      <c r="P213" s="52">
        <v>37700.0</v>
      </c>
      <c r="Q213" s="26" t="s">
        <v>1265</v>
      </c>
      <c r="R213" s="25">
        <v>2018.0</v>
      </c>
      <c r="S213" s="25">
        <v>0.048</v>
      </c>
      <c r="T213" s="25">
        <f t="shared" si="1"/>
        <v>1809.6</v>
      </c>
      <c r="U213" s="24">
        <f t="shared" si="2"/>
        <v>198.8571429</v>
      </c>
      <c r="V213" s="26">
        <f>VLOOKUP(R213,CPI!$A$2:$E$67,5,0)</f>
        <v>1.21343491</v>
      </c>
      <c r="W213" s="27">
        <f t="shared" si="3"/>
        <v>2195.831814</v>
      </c>
      <c r="X213" s="27">
        <f t="shared" si="4"/>
        <v>241.3001993</v>
      </c>
      <c r="Y213" s="26" t="s">
        <v>36</v>
      </c>
      <c r="Z213" s="53" t="s">
        <v>1276</v>
      </c>
      <c r="AA213" s="178"/>
      <c r="AB213" s="172"/>
      <c r="AC213" s="172"/>
      <c r="AD213" s="172"/>
    </row>
    <row r="214">
      <c r="A214" s="26" t="s">
        <v>1262</v>
      </c>
      <c r="B214" s="26" t="s">
        <v>1273</v>
      </c>
      <c r="C214" s="1" t="s">
        <v>38</v>
      </c>
      <c r="D214" s="26" t="s">
        <v>38</v>
      </c>
      <c r="E214" s="25">
        <v>2020.0</v>
      </c>
      <c r="F214" s="25">
        <v>2026.0</v>
      </c>
      <c r="G214" s="25">
        <v>0.0</v>
      </c>
      <c r="H214" s="25">
        <v>118.9</v>
      </c>
      <c r="I214" s="50">
        <v>0.36</v>
      </c>
      <c r="J214" s="25">
        <v>42.8</v>
      </c>
      <c r="K214" s="51">
        <v>0.0</v>
      </c>
      <c r="L214" s="51">
        <v>0.0</v>
      </c>
      <c r="M214" s="25">
        <v>128.0</v>
      </c>
      <c r="N214" s="26"/>
      <c r="O214" s="26" t="s">
        <v>42</v>
      </c>
      <c r="P214" s="52">
        <v>691800.0</v>
      </c>
      <c r="Q214" s="26" t="s">
        <v>1265</v>
      </c>
      <c r="R214" s="25">
        <v>2023.0</v>
      </c>
      <c r="S214" s="25">
        <v>0.047</v>
      </c>
      <c r="T214" s="25">
        <f t="shared" si="1"/>
        <v>32514.6</v>
      </c>
      <c r="U214" s="24">
        <f t="shared" si="2"/>
        <v>273.4617325</v>
      </c>
      <c r="V214" s="26">
        <f>VLOOKUP(R214,CPI!$A$2:$E$67,5,0)</f>
        <v>1</v>
      </c>
      <c r="W214" s="27">
        <f t="shared" si="3"/>
        <v>32514.6</v>
      </c>
      <c r="X214" s="27">
        <f t="shared" si="4"/>
        <v>273.4617325</v>
      </c>
      <c r="Y214" s="26" t="s">
        <v>42</v>
      </c>
      <c r="Z214" s="53" t="s">
        <v>1277</v>
      </c>
      <c r="AA214" s="178"/>
      <c r="AB214" s="172"/>
      <c r="AC214" s="172"/>
      <c r="AD214" s="172"/>
    </row>
    <row r="215">
      <c r="A215" s="26" t="s">
        <v>211</v>
      </c>
      <c r="B215" s="26" t="s">
        <v>212</v>
      </c>
      <c r="C215" s="26" t="s">
        <v>213</v>
      </c>
      <c r="D215" s="26" t="s">
        <v>213</v>
      </c>
      <c r="E215" s="25">
        <v>2013.0</v>
      </c>
      <c r="F215" s="25">
        <v>2019.0</v>
      </c>
      <c r="G215" s="25">
        <v>1.0</v>
      </c>
      <c r="H215" s="25">
        <v>8.8</v>
      </c>
      <c r="I215" s="50">
        <v>0.96</v>
      </c>
      <c r="J215" s="25">
        <v>8.4</v>
      </c>
      <c r="K215" s="51">
        <v>0.14</v>
      </c>
      <c r="L215" s="51">
        <v>0.212</v>
      </c>
      <c r="M215" s="25">
        <v>4.0</v>
      </c>
      <c r="N215" s="26"/>
      <c r="O215" s="26" t="s">
        <v>59</v>
      </c>
      <c r="P215" s="52">
        <v>1567.0</v>
      </c>
      <c r="Q215" s="26" t="s">
        <v>214</v>
      </c>
      <c r="R215" s="25">
        <v>2016.0</v>
      </c>
      <c r="S215" s="25">
        <v>0.68</v>
      </c>
      <c r="T215" s="25">
        <f t="shared" si="1"/>
        <v>1065.56</v>
      </c>
      <c r="U215" s="24">
        <f t="shared" si="2"/>
        <v>121.0863636</v>
      </c>
      <c r="V215" s="26">
        <f>VLOOKUP(R215,CPI!$A$2:$E$67,5,0)</f>
        <v>1.269554638</v>
      </c>
      <c r="W215" s="27">
        <f t="shared" si="3"/>
        <v>1352.78664</v>
      </c>
      <c r="X215" s="27">
        <f t="shared" si="4"/>
        <v>153.7257546</v>
      </c>
      <c r="Y215" s="26" t="s">
        <v>60</v>
      </c>
      <c r="Z215" s="53" t="s">
        <v>215</v>
      </c>
      <c r="AA215" s="29"/>
      <c r="AB215" s="30"/>
      <c r="AC215" s="30"/>
      <c r="AD215" s="30"/>
    </row>
    <row r="216">
      <c r="A216" s="363" t="s">
        <v>1852</v>
      </c>
      <c r="B216" s="363" t="s">
        <v>1856</v>
      </c>
      <c r="C216" s="1" t="s">
        <v>856</v>
      </c>
      <c r="D216" s="363" t="s">
        <v>1857</v>
      </c>
      <c r="E216" s="18">
        <v>2018.0</v>
      </c>
      <c r="F216" s="18">
        <v>2022.0</v>
      </c>
      <c r="G216" s="18">
        <v>0.0</v>
      </c>
      <c r="H216" s="18">
        <v>3.7</v>
      </c>
      <c r="I216" s="364">
        <v>1.0</v>
      </c>
      <c r="J216" s="18">
        <v>3.7</v>
      </c>
      <c r="K216" s="21">
        <v>0.0</v>
      </c>
      <c r="L216" s="21">
        <v>0.0</v>
      </c>
      <c r="M216" s="18">
        <v>2.0</v>
      </c>
      <c r="N216" s="363"/>
      <c r="O216" s="363" t="s">
        <v>60</v>
      </c>
      <c r="P216" s="365">
        <v>5993.0</v>
      </c>
      <c r="Q216" s="363" t="s">
        <v>1858</v>
      </c>
      <c r="R216" s="18">
        <v>2020.0</v>
      </c>
      <c r="S216" s="18">
        <v>0.121</v>
      </c>
      <c r="T216" s="18">
        <f t="shared" si="1"/>
        <v>725.153</v>
      </c>
      <c r="U216" s="24">
        <f t="shared" si="2"/>
        <v>195.9872973</v>
      </c>
      <c r="V216" s="26">
        <f>VLOOKUP(R216,CPI!$A$2:$E$67,5,0)</f>
        <v>1.17731472</v>
      </c>
      <c r="W216" s="27">
        <f t="shared" si="3"/>
        <v>853.7333012</v>
      </c>
      <c r="X216" s="27">
        <f t="shared" si="4"/>
        <v>230.73873</v>
      </c>
      <c r="Y216" s="363" t="s">
        <v>42</v>
      </c>
      <c r="Z216" s="366" t="s">
        <v>1859</v>
      </c>
      <c r="AA216" s="178"/>
      <c r="AB216" s="172"/>
      <c r="AC216" s="172"/>
      <c r="AD216" s="172"/>
    </row>
    <row r="217">
      <c r="A217" s="2" t="s">
        <v>1852</v>
      </c>
      <c r="B217" s="2" t="s">
        <v>1856</v>
      </c>
      <c r="C217" s="1" t="s">
        <v>1764</v>
      </c>
      <c r="D217" s="2" t="s">
        <v>1764</v>
      </c>
      <c r="E217" s="3">
        <v>2021.0</v>
      </c>
      <c r="F217" s="3">
        <v>2026.0</v>
      </c>
      <c r="G217" s="3">
        <v>0.0</v>
      </c>
      <c r="H217" s="3">
        <v>20.0</v>
      </c>
      <c r="I217" s="39">
        <v>0.65</v>
      </c>
      <c r="J217" s="3">
        <v>13.0</v>
      </c>
      <c r="K217" s="40">
        <v>0.0</v>
      </c>
      <c r="L217" s="40">
        <v>0.0</v>
      </c>
      <c r="M217" s="3">
        <v>13.0</v>
      </c>
      <c r="N217" s="2"/>
      <c r="O217" s="2" t="s">
        <v>36</v>
      </c>
      <c r="P217" s="41">
        <v>2000.0</v>
      </c>
      <c r="Q217" s="2" t="s">
        <v>37</v>
      </c>
      <c r="R217" s="3">
        <v>2023.0</v>
      </c>
      <c r="S217" s="3">
        <v>3.0</v>
      </c>
      <c r="T217" s="3">
        <f t="shared" si="1"/>
        <v>6000</v>
      </c>
      <c r="U217" s="24">
        <f t="shared" si="2"/>
        <v>300</v>
      </c>
      <c r="V217" s="26">
        <f>VLOOKUP(R217,CPI!$A$2:$E$67,5,0)</f>
        <v>1</v>
      </c>
      <c r="W217" s="27">
        <f t="shared" si="3"/>
        <v>6000</v>
      </c>
      <c r="X217" s="27">
        <f t="shared" si="4"/>
        <v>300</v>
      </c>
      <c r="Y217" s="2" t="s">
        <v>36</v>
      </c>
      <c r="Z217" s="42" t="s">
        <v>1860</v>
      </c>
      <c r="AA217" s="178"/>
      <c r="AB217" s="172"/>
      <c r="AC217" s="172"/>
      <c r="AD217" s="172"/>
    </row>
    <row r="218">
      <c r="A218" s="26" t="s">
        <v>1852</v>
      </c>
      <c r="B218" s="26" t="s">
        <v>1853</v>
      </c>
      <c r="C218" s="1" t="s">
        <v>856</v>
      </c>
      <c r="D218" s="26" t="s">
        <v>1854</v>
      </c>
      <c r="E218" s="25">
        <v>2018.0</v>
      </c>
      <c r="F218" s="25">
        <v>2024.0</v>
      </c>
      <c r="G218" s="25">
        <v>0.0</v>
      </c>
      <c r="H218" s="25">
        <v>3.5</v>
      </c>
      <c r="I218" s="50">
        <v>1.0</v>
      </c>
      <c r="J218" s="25">
        <v>3.5</v>
      </c>
      <c r="K218" s="51">
        <v>0.0</v>
      </c>
      <c r="L218" s="51">
        <v>0.0</v>
      </c>
      <c r="M218" s="25">
        <v>2.0</v>
      </c>
      <c r="N218" s="26"/>
      <c r="O218" s="26" t="s">
        <v>60</v>
      </c>
      <c r="P218" s="52">
        <v>382.0</v>
      </c>
      <c r="Q218" s="26" t="s">
        <v>52</v>
      </c>
      <c r="R218" s="25">
        <v>2021.0</v>
      </c>
      <c r="S218" s="25">
        <v>3.9</v>
      </c>
      <c r="T218" s="25">
        <f t="shared" si="1"/>
        <v>1489.8</v>
      </c>
      <c r="U218" s="24">
        <f t="shared" si="2"/>
        <v>425.6571429</v>
      </c>
      <c r="V218" s="26">
        <f>VLOOKUP(R218,CPI!$A$2:$E$67,5,0)</f>
        <v>1.124486105</v>
      </c>
      <c r="W218" s="27">
        <f t="shared" si="3"/>
        <v>1675.2594</v>
      </c>
      <c r="X218" s="27">
        <f t="shared" si="4"/>
        <v>478.6455428</v>
      </c>
      <c r="Y218" s="26" t="s">
        <v>36</v>
      </c>
      <c r="Z218" s="53" t="s">
        <v>1855</v>
      </c>
      <c r="AA218" s="178"/>
      <c r="AB218" s="172"/>
      <c r="AC218" s="172"/>
      <c r="AD218" s="172"/>
    </row>
    <row r="219">
      <c r="A219" s="26" t="s">
        <v>1812</v>
      </c>
      <c r="B219" s="26" t="s">
        <v>1824</v>
      </c>
      <c r="C219" s="26" t="s">
        <v>1837</v>
      </c>
      <c r="D219" s="26" t="s">
        <v>1837</v>
      </c>
      <c r="E219" s="25">
        <v>2016.0</v>
      </c>
      <c r="F219" s="25">
        <v>2023.0</v>
      </c>
      <c r="G219" s="25">
        <v>0.0</v>
      </c>
      <c r="H219" s="25">
        <v>14.29</v>
      </c>
      <c r="I219" s="50">
        <v>0.0</v>
      </c>
      <c r="J219" s="25">
        <v>0.0</v>
      </c>
      <c r="K219" s="51">
        <v>0.0</v>
      </c>
      <c r="L219" s="51">
        <v>0.0</v>
      </c>
      <c r="M219" s="25">
        <v>12.0</v>
      </c>
      <c r="N219" s="26"/>
      <c r="O219" s="26" t="s">
        <v>60</v>
      </c>
      <c r="P219" s="52">
        <v>50200.0</v>
      </c>
      <c r="Q219" s="26" t="s">
        <v>1815</v>
      </c>
      <c r="R219" s="25">
        <v>2019.0</v>
      </c>
      <c r="S219" s="25">
        <v>0.0664</v>
      </c>
      <c r="T219" s="25">
        <f t="shared" si="1"/>
        <v>3333.28</v>
      </c>
      <c r="U219" s="24">
        <f t="shared" si="2"/>
        <v>233.2596221</v>
      </c>
      <c r="V219" s="26">
        <f>VLOOKUP(R219,CPI!$A$2:$E$67,5,0)</f>
        <v>1.191839066</v>
      </c>
      <c r="W219" s="27">
        <f t="shared" si="3"/>
        <v>3972.733321</v>
      </c>
      <c r="X219" s="27">
        <f t="shared" si="4"/>
        <v>278.0079301</v>
      </c>
      <c r="Y219" s="26" t="s">
        <v>60</v>
      </c>
      <c r="Z219" s="53" t="s">
        <v>1838</v>
      </c>
      <c r="AA219" s="178"/>
      <c r="AB219" s="172"/>
      <c r="AC219" s="172"/>
      <c r="AD219" s="172"/>
    </row>
    <row r="220">
      <c r="A220" s="26" t="s">
        <v>1812</v>
      </c>
      <c r="B220" s="26" t="s">
        <v>1824</v>
      </c>
      <c r="C220" s="26" t="s">
        <v>1839</v>
      </c>
      <c r="D220" s="26" t="s">
        <v>1839</v>
      </c>
      <c r="E220" s="25">
        <v>2014.0</v>
      </c>
      <c r="F220" s="25">
        <v>2024.0</v>
      </c>
      <c r="G220" s="25">
        <v>0.0</v>
      </c>
      <c r="H220" s="25">
        <v>14.0</v>
      </c>
      <c r="I220" s="50">
        <v>0.0</v>
      </c>
      <c r="J220" s="25">
        <v>0.0</v>
      </c>
      <c r="K220" s="51">
        <v>0.0</v>
      </c>
      <c r="L220" s="51">
        <v>0.0</v>
      </c>
      <c r="M220" s="25">
        <v>20.0</v>
      </c>
      <c r="N220" s="26"/>
      <c r="O220" s="26" t="s">
        <v>74</v>
      </c>
      <c r="P220" s="52">
        <v>15300.0</v>
      </c>
      <c r="Q220" s="26" t="s">
        <v>1815</v>
      </c>
      <c r="R220" s="25">
        <v>2016.0</v>
      </c>
      <c r="S220" s="25">
        <v>0.0664</v>
      </c>
      <c r="T220" s="25">
        <f t="shared" si="1"/>
        <v>1015.92</v>
      </c>
      <c r="U220" s="24">
        <f t="shared" si="2"/>
        <v>72.56571429</v>
      </c>
      <c r="V220" s="26">
        <f>VLOOKUP(R220,CPI!$A$2:$E$67,5,0)</f>
        <v>1.269554638</v>
      </c>
      <c r="W220" s="27">
        <f t="shared" si="3"/>
        <v>1289.765948</v>
      </c>
      <c r="X220" s="27">
        <f t="shared" si="4"/>
        <v>92.12613913</v>
      </c>
      <c r="Y220" s="26" t="s">
        <v>42</v>
      </c>
      <c r="Z220" s="57" t="s">
        <v>1840</v>
      </c>
      <c r="AA220" s="178"/>
      <c r="AB220" s="172"/>
      <c r="AC220" s="172"/>
      <c r="AD220" s="172"/>
    </row>
    <row r="221">
      <c r="A221" s="26" t="s">
        <v>1812</v>
      </c>
      <c r="B221" s="26" t="s">
        <v>1824</v>
      </c>
      <c r="C221" s="16" t="s">
        <v>1832</v>
      </c>
      <c r="D221" s="26" t="s">
        <v>1833</v>
      </c>
      <c r="E221" s="25">
        <v>2011.0</v>
      </c>
      <c r="F221" s="25">
        <v>2020.0</v>
      </c>
      <c r="G221" s="25">
        <v>0.0</v>
      </c>
      <c r="H221" s="25">
        <v>15.4</v>
      </c>
      <c r="I221" s="50">
        <v>0.07</v>
      </c>
      <c r="J221" s="25">
        <v>1.1</v>
      </c>
      <c r="K221" s="51">
        <v>0.0</v>
      </c>
      <c r="L221" s="51">
        <v>0.0</v>
      </c>
      <c r="M221" s="25">
        <v>14.0</v>
      </c>
      <c r="N221" s="26"/>
      <c r="O221" s="26" t="s">
        <v>59</v>
      </c>
      <c r="P221" s="52">
        <v>69970.0</v>
      </c>
      <c r="Q221" s="26" t="s">
        <v>1815</v>
      </c>
      <c r="R221" s="25">
        <v>2015.0</v>
      </c>
      <c r="S221" s="25">
        <v>0.0664</v>
      </c>
      <c r="T221" s="25">
        <f t="shared" si="1"/>
        <v>4646.008</v>
      </c>
      <c r="U221" s="24">
        <f t="shared" si="2"/>
        <v>301.6888312</v>
      </c>
      <c r="V221" s="26">
        <f>VLOOKUP(R221,CPI!$A$2:$E$67,5,0)</f>
        <v>1.285570233</v>
      </c>
      <c r="W221" s="27">
        <f t="shared" si="3"/>
        <v>5972.769589</v>
      </c>
      <c r="X221" s="27">
        <f t="shared" si="4"/>
        <v>387.8421811</v>
      </c>
      <c r="Y221" s="26" t="s">
        <v>42</v>
      </c>
      <c r="Z221" s="57" t="s">
        <v>1834</v>
      </c>
      <c r="AA221" s="178"/>
      <c r="AB221" s="172"/>
      <c r="AC221" s="172"/>
      <c r="AD221" s="172"/>
    </row>
    <row r="222">
      <c r="A222" s="26" t="s">
        <v>1812</v>
      </c>
      <c r="B222" s="26" t="s">
        <v>1824</v>
      </c>
      <c r="C222" s="26" t="s">
        <v>1830</v>
      </c>
      <c r="D222" s="26" t="s">
        <v>1830</v>
      </c>
      <c r="E222" s="25">
        <v>2006.0</v>
      </c>
      <c r="F222" s="25">
        <v>2017.0</v>
      </c>
      <c r="G222" s="25">
        <v>0.0</v>
      </c>
      <c r="H222" s="25">
        <v>51.0</v>
      </c>
      <c r="I222" s="50">
        <v>0.21</v>
      </c>
      <c r="J222" s="25">
        <v>10.7</v>
      </c>
      <c r="K222" s="51">
        <v>0.0</v>
      </c>
      <c r="L222" s="51">
        <v>0.0</v>
      </c>
      <c r="M222" s="25">
        <v>22.0</v>
      </c>
      <c r="N222" s="26"/>
      <c r="O222" s="26" t="s">
        <v>74</v>
      </c>
      <c r="P222" s="52">
        <v>113850.0</v>
      </c>
      <c r="Q222" s="26" t="s">
        <v>1815</v>
      </c>
      <c r="R222" s="25">
        <v>2011.0</v>
      </c>
      <c r="S222" s="25">
        <v>0.0664</v>
      </c>
      <c r="T222" s="25">
        <f t="shared" si="1"/>
        <v>7559.64</v>
      </c>
      <c r="U222" s="24">
        <f t="shared" si="2"/>
        <v>148.2282353</v>
      </c>
      <c r="V222" s="26">
        <f>VLOOKUP(R222,CPI!$A$2:$E$67,5,0)</f>
        <v>1.354598358</v>
      </c>
      <c r="W222" s="27">
        <f t="shared" si="3"/>
        <v>10240.27593</v>
      </c>
      <c r="X222" s="27">
        <f t="shared" si="4"/>
        <v>200.7897241</v>
      </c>
      <c r="Y222" s="26" t="s">
        <v>42</v>
      </c>
      <c r="Z222" s="57" t="s">
        <v>1831</v>
      </c>
      <c r="AA222" s="178"/>
      <c r="AB222" s="172"/>
      <c r="AC222" s="172"/>
      <c r="AD222" s="172"/>
    </row>
    <row r="223">
      <c r="A223" s="26" t="s">
        <v>1812</v>
      </c>
      <c r="B223" s="26" t="s">
        <v>1824</v>
      </c>
      <c r="C223" s="26" t="s">
        <v>1841</v>
      </c>
      <c r="D223" s="26" t="s">
        <v>1841</v>
      </c>
      <c r="E223" s="25">
        <v>2019.0</v>
      </c>
      <c r="F223" s="25">
        <v>2026.0</v>
      </c>
      <c r="G223" s="25">
        <v>0.0</v>
      </c>
      <c r="H223" s="25">
        <v>27.8</v>
      </c>
      <c r="I223" s="50">
        <v>0.45</v>
      </c>
      <c r="J223" s="25">
        <v>12.5</v>
      </c>
      <c r="K223" s="51">
        <v>0.0</v>
      </c>
      <c r="L223" s="51">
        <v>0.0</v>
      </c>
      <c r="M223" s="25">
        <v>21.0</v>
      </c>
      <c r="N223" s="26"/>
      <c r="O223" s="26" t="s">
        <v>42</v>
      </c>
      <c r="P223" s="52">
        <v>98264.0</v>
      </c>
      <c r="Q223" s="26" t="s">
        <v>1815</v>
      </c>
      <c r="R223" s="25">
        <v>2022.0</v>
      </c>
      <c r="S223" s="25">
        <v>0.0664</v>
      </c>
      <c r="T223" s="25">
        <f t="shared" si="1"/>
        <v>6524.7296</v>
      </c>
      <c r="U223" s="24">
        <f t="shared" si="2"/>
        <v>234.7025036</v>
      </c>
      <c r="V223" s="26">
        <f>VLOOKUP(R223,CPI!$A$2:$E$67,5,0)</f>
        <v>1.041164511</v>
      </c>
      <c r="W223" s="27">
        <f t="shared" si="3"/>
        <v>6793.316904</v>
      </c>
      <c r="X223" s="27">
        <f t="shared" si="4"/>
        <v>244.3639174</v>
      </c>
      <c r="Y223" s="26" t="s">
        <v>60</v>
      </c>
      <c r="Z223" s="53" t="s">
        <v>1842</v>
      </c>
      <c r="AA223" s="178"/>
      <c r="AB223" s="172"/>
      <c r="AC223" s="172"/>
      <c r="AD223" s="172"/>
    </row>
    <row r="224">
      <c r="A224" s="26" t="s">
        <v>1812</v>
      </c>
      <c r="B224" s="26" t="s">
        <v>1824</v>
      </c>
      <c r="C224" s="26" t="s">
        <v>1850</v>
      </c>
      <c r="D224" s="26" t="s">
        <v>1850</v>
      </c>
      <c r="E224" s="25">
        <v>2019.0</v>
      </c>
      <c r="F224" s="25"/>
      <c r="G224" s="25">
        <v>0.0</v>
      </c>
      <c r="H224" s="25">
        <v>11.5</v>
      </c>
      <c r="I224" s="50">
        <v>0.0</v>
      </c>
      <c r="J224" s="25">
        <v>0.0</v>
      </c>
      <c r="K224" s="51">
        <v>0.0</v>
      </c>
      <c r="L224" s="51">
        <v>0.0</v>
      </c>
      <c r="M224" s="25">
        <v>8.0</v>
      </c>
      <c r="N224" s="26"/>
      <c r="O224" s="26" t="s">
        <v>60</v>
      </c>
      <c r="P224" s="52">
        <v>19558.0</v>
      </c>
      <c r="Q224" s="26" t="s">
        <v>1815</v>
      </c>
      <c r="R224" s="25">
        <v>2020.0</v>
      </c>
      <c r="S224" s="25">
        <v>0.0664</v>
      </c>
      <c r="T224" s="25">
        <f t="shared" si="1"/>
        <v>1298.6512</v>
      </c>
      <c r="U224" s="24">
        <f t="shared" si="2"/>
        <v>112.9261913</v>
      </c>
      <c r="V224" s="26">
        <f>VLOOKUP(R224,CPI!$A$2:$E$67,5,0)</f>
        <v>1.17731472</v>
      </c>
      <c r="W224" s="27">
        <f t="shared" si="3"/>
        <v>1528.921174</v>
      </c>
      <c r="X224" s="27">
        <f t="shared" si="4"/>
        <v>132.9496673</v>
      </c>
      <c r="Y224" s="26" t="s">
        <v>60</v>
      </c>
      <c r="Z224" s="53" t="s">
        <v>1851</v>
      </c>
      <c r="AA224" s="178"/>
      <c r="AB224" s="172"/>
      <c r="AC224" s="172"/>
      <c r="AD224" s="172"/>
    </row>
    <row r="225">
      <c r="A225" s="26" t="s">
        <v>1812</v>
      </c>
      <c r="B225" s="26" t="s">
        <v>1824</v>
      </c>
      <c r="C225" s="26" t="s">
        <v>1846</v>
      </c>
      <c r="D225" s="26" t="s">
        <v>1846</v>
      </c>
      <c r="E225" s="25">
        <v>2019.0</v>
      </c>
      <c r="F225" s="25">
        <v>2030.0</v>
      </c>
      <c r="G225" s="25">
        <v>1.0</v>
      </c>
      <c r="H225" s="25">
        <v>17.9</v>
      </c>
      <c r="I225" s="50">
        <v>1.0</v>
      </c>
      <c r="J225" s="25">
        <v>17.9</v>
      </c>
      <c r="K225" s="51">
        <v>0.0</v>
      </c>
      <c r="L225" s="51">
        <v>0.0</v>
      </c>
      <c r="M225" s="25">
        <v>8.0</v>
      </c>
      <c r="N225" s="26"/>
      <c r="O225" s="26" t="s">
        <v>74</v>
      </c>
      <c r="P225" s="52">
        <v>105600.0</v>
      </c>
      <c r="Q225" s="26" t="s">
        <v>1815</v>
      </c>
      <c r="R225" s="25">
        <v>2024.0</v>
      </c>
      <c r="S225" s="25">
        <v>0.0664</v>
      </c>
      <c r="T225" s="25">
        <f t="shared" si="1"/>
        <v>7011.84</v>
      </c>
      <c r="U225" s="24">
        <f t="shared" si="2"/>
        <v>391.722905</v>
      </c>
      <c r="V225" s="26">
        <f>VLOOKUP(R225,CPI!$A$2:$E$67,5,0)</f>
        <v>1</v>
      </c>
      <c r="W225" s="27">
        <f t="shared" si="3"/>
        <v>7011.84</v>
      </c>
      <c r="X225" s="27">
        <f t="shared" si="4"/>
        <v>391.722905</v>
      </c>
      <c r="Y225" s="26" t="s">
        <v>42</v>
      </c>
      <c r="Z225" s="53" t="s">
        <v>1847</v>
      </c>
      <c r="AA225" s="178"/>
      <c r="AB225" s="172"/>
      <c r="AC225" s="172"/>
      <c r="AD225" s="172"/>
    </row>
    <row r="226">
      <c r="A226" s="26" t="s">
        <v>1812</v>
      </c>
      <c r="B226" s="26" t="s">
        <v>1813</v>
      </c>
      <c r="C226" s="26" t="s">
        <v>1814</v>
      </c>
      <c r="D226" s="26" t="s">
        <v>1814</v>
      </c>
      <c r="E226" s="25">
        <v>2001.0</v>
      </c>
      <c r="F226" s="25">
        <v>2008.0</v>
      </c>
      <c r="G226" s="25">
        <v>0.0</v>
      </c>
      <c r="H226" s="25">
        <v>43.0</v>
      </c>
      <c r="I226" s="50">
        <v>0.74</v>
      </c>
      <c r="J226" s="25">
        <v>31.8</v>
      </c>
      <c r="K226" s="51">
        <v>0.0</v>
      </c>
      <c r="L226" s="51">
        <v>0.0</v>
      </c>
      <c r="M226" s="25">
        <v>38.0</v>
      </c>
      <c r="N226" s="26"/>
      <c r="O226" s="26" t="s">
        <v>59</v>
      </c>
      <c r="P226" s="52">
        <v>181300.0</v>
      </c>
      <c r="Q226" s="26" t="s">
        <v>1815</v>
      </c>
      <c r="R226" s="25">
        <v>2004.0</v>
      </c>
      <c r="S226" s="25">
        <v>0.0664</v>
      </c>
      <c r="T226" s="25">
        <f t="shared" si="1"/>
        <v>12038.32</v>
      </c>
      <c r="U226" s="24">
        <f t="shared" si="2"/>
        <v>279.9609302</v>
      </c>
      <c r="V226" s="26">
        <f>VLOOKUP(R226,CPI!$A$2:$E$67,5,0)</f>
        <v>1.613033351</v>
      </c>
      <c r="W226" s="27">
        <f t="shared" si="3"/>
        <v>19418.21165</v>
      </c>
      <c r="X226" s="27">
        <f t="shared" si="4"/>
        <v>451.5863174</v>
      </c>
      <c r="Y226" s="26" t="s">
        <v>36</v>
      </c>
      <c r="Z226" s="53" t="s">
        <v>1816</v>
      </c>
      <c r="AA226" s="178"/>
      <c r="AB226" s="172"/>
      <c r="AC226" s="172"/>
      <c r="AD226" s="172"/>
    </row>
    <row r="227">
      <c r="A227" s="26" t="s">
        <v>1812</v>
      </c>
      <c r="B227" s="26" t="s">
        <v>1813</v>
      </c>
      <c r="C227" s="26" t="s">
        <v>1817</v>
      </c>
      <c r="D227" s="26" t="s">
        <v>1817</v>
      </c>
      <c r="E227" s="25">
        <v>2008.0</v>
      </c>
      <c r="F227" s="25">
        <v>2018.0</v>
      </c>
      <c r="G227" s="25">
        <v>1.0</v>
      </c>
      <c r="H227" s="25">
        <v>15.4</v>
      </c>
      <c r="I227" s="50">
        <v>1.0</v>
      </c>
      <c r="J227" s="25">
        <v>15.4</v>
      </c>
      <c r="K227" s="51">
        <v>0.0</v>
      </c>
      <c r="L227" s="51">
        <v>0.0</v>
      </c>
      <c r="M227" s="25">
        <v>10.0</v>
      </c>
      <c r="N227" s="26"/>
      <c r="O227" s="26" t="s">
        <v>60</v>
      </c>
      <c r="P227" s="52">
        <v>99870.0</v>
      </c>
      <c r="Q227" s="26" t="s">
        <v>1815</v>
      </c>
      <c r="R227" s="25">
        <v>2013.0</v>
      </c>
      <c r="S227" s="25">
        <v>0.0664</v>
      </c>
      <c r="T227" s="25">
        <f t="shared" si="1"/>
        <v>6631.368</v>
      </c>
      <c r="U227" s="24">
        <f t="shared" si="2"/>
        <v>430.6083117</v>
      </c>
      <c r="V227" s="26">
        <f>VLOOKUP(R227,CPI!$A$2:$E$67,5,0)</f>
        <v>1.307975292</v>
      </c>
      <c r="W227" s="27">
        <f t="shared" si="3"/>
        <v>8673.665493</v>
      </c>
      <c r="X227" s="27">
        <f t="shared" si="4"/>
        <v>563.225032</v>
      </c>
      <c r="Y227" s="26" t="s">
        <v>60</v>
      </c>
      <c r="Z227" s="53" t="s">
        <v>1818</v>
      </c>
      <c r="AA227" s="178"/>
      <c r="AB227" s="172"/>
      <c r="AC227" s="172"/>
      <c r="AD227" s="172"/>
    </row>
    <row r="228">
      <c r="A228" s="26" t="s">
        <v>1812</v>
      </c>
      <c r="B228" s="26" t="s">
        <v>1821</v>
      </c>
      <c r="C228" s="26" t="s">
        <v>1822</v>
      </c>
      <c r="D228" s="26" t="s">
        <v>1822</v>
      </c>
      <c r="E228" s="25">
        <v>2019.0</v>
      </c>
      <c r="F228" s="25">
        <v>2024.0</v>
      </c>
      <c r="G228" s="25">
        <v>1.0</v>
      </c>
      <c r="H228" s="25">
        <v>8.2</v>
      </c>
      <c r="I228" s="50">
        <v>1.0</v>
      </c>
      <c r="J228" s="25">
        <v>8.2</v>
      </c>
      <c r="K228" s="51">
        <v>0.0</v>
      </c>
      <c r="L228" s="51">
        <v>0.0</v>
      </c>
      <c r="M228" s="25">
        <v>3.0</v>
      </c>
      <c r="N228" s="26"/>
      <c r="O228" s="26" t="s">
        <v>60</v>
      </c>
      <c r="P228" s="52">
        <v>29360.0</v>
      </c>
      <c r="Q228" s="26" t="s">
        <v>1815</v>
      </c>
      <c r="R228" s="25">
        <v>2021.0</v>
      </c>
      <c r="S228" s="25">
        <v>0.0664</v>
      </c>
      <c r="T228" s="25">
        <f t="shared" si="1"/>
        <v>1949.504</v>
      </c>
      <c r="U228" s="24">
        <f t="shared" si="2"/>
        <v>237.7443902</v>
      </c>
      <c r="V228" s="26">
        <f>VLOOKUP(R228,CPI!$A$2:$E$67,5,0)</f>
        <v>1.124486105</v>
      </c>
      <c r="W228" s="27">
        <f t="shared" si="3"/>
        <v>2192.190161</v>
      </c>
      <c r="X228" s="27">
        <f t="shared" si="4"/>
        <v>267.3402635</v>
      </c>
      <c r="Y228" s="26" t="s">
        <v>60</v>
      </c>
      <c r="Z228" s="53" t="s">
        <v>1823</v>
      </c>
      <c r="AA228" s="130"/>
      <c r="AB228" s="130"/>
      <c r="AC228" s="130"/>
      <c r="AD228" s="130"/>
    </row>
    <row r="229">
      <c r="A229" s="26" t="s">
        <v>1812</v>
      </c>
      <c r="B229" s="26" t="s">
        <v>1819</v>
      </c>
      <c r="C229" s="26" t="s">
        <v>127</v>
      </c>
      <c r="D229" s="26" t="s">
        <v>127</v>
      </c>
      <c r="E229" s="25">
        <v>2010.0</v>
      </c>
      <c r="F229" s="25">
        <v>2020.0</v>
      </c>
      <c r="G229" s="25">
        <v>0.0</v>
      </c>
      <c r="H229" s="25">
        <v>16.7</v>
      </c>
      <c r="I229" s="50">
        <v>0.0</v>
      </c>
      <c r="J229" s="25">
        <v>0.0</v>
      </c>
      <c r="K229" s="51">
        <v>0.0</v>
      </c>
      <c r="L229" s="51">
        <v>0.0</v>
      </c>
      <c r="M229" s="25">
        <v>18.0</v>
      </c>
      <c r="N229" s="26"/>
      <c r="O229" s="26" t="s">
        <v>60</v>
      </c>
      <c r="P229" s="52">
        <v>59337.0</v>
      </c>
      <c r="Q229" s="26" t="s">
        <v>1815</v>
      </c>
      <c r="R229" s="25">
        <v>2015.0</v>
      </c>
      <c r="S229" s="25">
        <v>0.0664</v>
      </c>
      <c r="T229" s="25">
        <f t="shared" si="1"/>
        <v>3939.9768</v>
      </c>
      <c r="U229" s="24">
        <f t="shared" si="2"/>
        <v>235.9267545</v>
      </c>
      <c r="V229" s="26">
        <f>VLOOKUP(R229,CPI!$A$2:$E$67,5,0)</f>
        <v>1.285570233</v>
      </c>
      <c r="W229" s="27">
        <f t="shared" si="3"/>
        <v>5065.116894</v>
      </c>
      <c r="X229" s="27">
        <f t="shared" si="4"/>
        <v>303.3004128</v>
      </c>
      <c r="Y229" s="26" t="s">
        <v>60</v>
      </c>
      <c r="Z229" s="53" t="s">
        <v>1820</v>
      </c>
      <c r="AA229" s="178"/>
      <c r="AB229" s="172"/>
      <c r="AC229" s="172"/>
      <c r="AD229" s="172"/>
    </row>
    <row r="230">
      <c r="A230" s="26" t="s">
        <v>64</v>
      </c>
      <c r="B230" s="26" t="s">
        <v>69</v>
      </c>
      <c r="C230" s="26" t="s">
        <v>70</v>
      </c>
      <c r="D230" s="26" t="s">
        <v>70</v>
      </c>
      <c r="E230" s="25">
        <v>2016.0</v>
      </c>
      <c r="F230" s="25">
        <v>2021.0</v>
      </c>
      <c r="G230" s="25">
        <v>1.0</v>
      </c>
      <c r="H230" s="25">
        <v>8.5</v>
      </c>
      <c r="I230" s="50">
        <v>1.0</v>
      </c>
      <c r="J230" s="25">
        <v>8.5</v>
      </c>
      <c r="K230" s="51">
        <v>0.0</v>
      </c>
      <c r="L230" s="51">
        <v>0.0</v>
      </c>
      <c r="M230" s="25">
        <v>3.0</v>
      </c>
      <c r="N230" s="26"/>
      <c r="O230" s="26" t="s">
        <v>60</v>
      </c>
      <c r="P230" s="52">
        <v>1860.0</v>
      </c>
      <c r="Q230" s="26" t="s">
        <v>67</v>
      </c>
      <c r="R230" s="25">
        <v>2018.0</v>
      </c>
      <c r="S230" s="25">
        <v>0.69</v>
      </c>
      <c r="T230" s="25">
        <f t="shared" si="1"/>
        <v>1283.4</v>
      </c>
      <c r="U230" s="24">
        <f t="shared" si="2"/>
        <v>150.9882353</v>
      </c>
      <c r="V230" s="26">
        <f>VLOOKUP(R230,CPI!$A$2:$E$67,5,0)</f>
        <v>1.21343491</v>
      </c>
      <c r="W230" s="27">
        <f t="shared" si="3"/>
        <v>1557.322364</v>
      </c>
      <c r="X230" s="27">
        <f t="shared" si="4"/>
        <v>183.2143957</v>
      </c>
      <c r="Y230" s="26" t="s">
        <v>60</v>
      </c>
      <c r="Z230" s="57" t="s">
        <v>71</v>
      </c>
      <c r="AA230" s="29"/>
      <c r="AB230" s="30"/>
      <c r="AC230" s="30"/>
      <c r="AD230" s="30"/>
    </row>
    <row r="231">
      <c r="A231" s="26" t="s">
        <v>1403</v>
      </c>
      <c r="B231" s="26" t="s">
        <v>1418</v>
      </c>
      <c r="C231" s="26" t="s">
        <v>1419</v>
      </c>
      <c r="D231" s="26" t="s">
        <v>1419</v>
      </c>
      <c r="E231" s="25">
        <v>1988.0</v>
      </c>
      <c r="F231" s="25">
        <v>1995.0</v>
      </c>
      <c r="G231" s="25">
        <v>0.0</v>
      </c>
      <c r="H231" s="25">
        <v>12.0</v>
      </c>
      <c r="I231" s="50">
        <v>0.0</v>
      </c>
      <c r="J231" s="25">
        <v>0.0</v>
      </c>
      <c r="K231" s="51">
        <v>0.0</v>
      </c>
      <c r="L231" s="51">
        <v>0.0</v>
      </c>
      <c r="M231" s="25">
        <v>12.0</v>
      </c>
      <c r="N231" s="26"/>
      <c r="O231" s="26" t="s">
        <v>36</v>
      </c>
      <c r="P231" s="52">
        <v>170200.0</v>
      </c>
      <c r="Q231" s="26" t="s">
        <v>1407</v>
      </c>
      <c r="R231" s="25">
        <v>1991.0</v>
      </c>
      <c r="S231" s="25">
        <v>0.0054</v>
      </c>
      <c r="T231" s="25">
        <f t="shared" si="1"/>
        <v>919.08</v>
      </c>
      <c r="U231" s="24">
        <f t="shared" si="2"/>
        <v>76.59</v>
      </c>
      <c r="V231" s="26">
        <f>VLOOKUP(R231,CPI!$A$2:$E$67,5,0)</f>
        <v>2.237165932</v>
      </c>
      <c r="W231" s="27">
        <f t="shared" si="3"/>
        <v>2056.134465</v>
      </c>
      <c r="X231" s="27">
        <f t="shared" si="4"/>
        <v>171.3445388</v>
      </c>
      <c r="Y231" s="26" t="s">
        <v>36</v>
      </c>
      <c r="Z231" s="57" t="s">
        <v>1420</v>
      </c>
      <c r="AA231" s="178"/>
      <c r="AB231" s="172"/>
      <c r="AC231" s="172"/>
      <c r="AD231" s="172"/>
    </row>
    <row r="232">
      <c r="A232" s="2" t="s">
        <v>44</v>
      </c>
      <c r="B232" s="2" t="s">
        <v>45</v>
      </c>
      <c r="C232" s="2" t="s">
        <v>46</v>
      </c>
      <c r="D232" s="2" t="s">
        <v>46</v>
      </c>
      <c r="E232" s="3">
        <v>2020.0</v>
      </c>
      <c r="F232" s="3">
        <v>2026.0</v>
      </c>
      <c r="G232" s="3">
        <v>1.0</v>
      </c>
      <c r="H232" s="3">
        <v>20.0</v>
      </c>
      <c r="I232" s="39">
        <v>1.0</v>
      </c>
      <c r="J232" s="3">
        <v>20.0</v>
      </c>
      <c r="K232" s="40">
        <v>0.0</v>
      </c>
      <c r="L232" s="40">
        <v>0.0</v>
      </c>
      <c r="M232" s="3">
        <v>4.0</v>
      </c>
      <c r="N232" s="2"/>
      <c r="O232" s="2" t="s">
        <v>42</v>
      </c>
      <c r="P232" s="41">
        <v>2300.0</v>
      </c>
      <c r="Q232" s="2" t="s">
        <v>37</v>
      </c>
      <c r="R232" s="3">
        <v>2023.0</v>
      </c>
      <c r="S232" s="3">
        <v>2.02</v>
      </c>
      <c r="T232" s="3">
        <f t="shared" si="1"/>
        <v>4646</v>
      </c>
      <c r="U232" s="24">
        <f t="shared" si="2"/>
        <v>232.3</v>
      </c>
      <c r="V232" s="26">
        <f>VLOOKUP(R232,CPI!$A$2:$E$67,5,0)</f>
        <v>1</v>
      </c>
      <c r="W232" s="27">
        <f t="shared" si="3"/>
        <v>4646</v>
      </c>
      <c r="X232" s="27">
        <f t="shared" si="4"/>
        <v>232.3</v>
      </c>
      <c r="Y232" s="2" t="s">
        <v>42</v>
      </c>
      <c r="Z232" s="42" t="s">
        <v>47</v>
      </c>
      <c r="AA232" s="29"/>
      <c r="AB232" s="30"/>
      <c r="AC232" s="30"/>
      <c r="AD232" s="30"/>
    </row>
    <row r="233">
      <c r="A233" s="26" t="s">
        <v>992</v>
      </c>
      <c r="B233" s="26" t="s">
        <v>1051</v>
      </c>
      <c r="C233" s="1" t="s">
        <v>1044</v>
      </c>
      <c r="D233" s="63" t="s">
        <v>1052</v>
      </c>
      <c r="E233" s="58">
        <v>2014.0</v>
      </c>
      <c r="F233" s="58">
        <v>2020.0</v>
      </c>
      <c r="G233" s="25">
        <v>0.0</v>
      </c>
      <c r="H233" s="58">
        <v>1.1</v>
      </c>
      <c r="I233" s="50">
        <v>1.0</v>
      </c>
      <c r="J233" s="58">
        <v>1.1</v>
      </c>
      <c r="K233" s="51">
        <v>0.0</v>
      </c>
      <c r="L233" s="51">
        <v>0.0</v>
      </c>
      <c r="M233" s="25">
        <v>1.0</v>
      </c>
      <c r="N233" s="63">
        <v>90.0</v>
      </c>
      <c r="O233" s="63" t="s">
        <v>60</v>
      </c>
      <c r="P233" s="55">
        <v>69.0</v>
      </c>
      <c r="Q233" s="26" t="s">
        <v>52</v>
      </c>
      <c r="R233" s="58">
        <v>2017.0</v>
      </c>
      <c r="S233" s="25">
        <v>1.3</v>
      </c>
      <c r="T233" s="25">
        <f t="shared" si="1"/>
        <v>89.7</v>
      </c>
      <c r="U233" s="24">
        <f t="shared" si="2"/>
        <v>81.54545455</v>
      </c>
      <c r="V233" s="26">
        <f>VLOOKUP(R233,CPI!$A$2:$E$67,5,0)</f>
        <v>1.243072781</v>
      </c>
      <c r="W233" s="27">
        <f t="shared" si="3"/>
        <v>111.5036284</v>
      </c>
      <c r="X233" s="27">
        <f t="shared" si="4"/>
        <v>101.3669349</v>
      </c>
      <c r="Y233" s="26" t="s">
        <v>42</v>
      </c>
      <c r="Z233" s="88" t="s">
        <v>1053</v>
      </c>
      <c r="AA233" s="178"/>
      <c r="AB233" s="172"/>
      <c r="AC233" s="172"/>
      <c r="AD233" s="172"/>
    </row>
    <row r="234">
      <c r="A234" s="26" t="s">
        <v>992</v>
      </c>
      <c r="B234" s="26" t="s">
        <v>1011</v>
      </c>
      <c r="C234" s="26" t="s">
        <v>1012</v>
      </c>
      <c r="D234" s="26" t="s">
        <v>1012</v>
      </c>
      <c r="E234" s="25">
        <v>2003.0</v>
      </c>
      <c r="F234" s="25">
        <v>2015.0</v>
      </c>
      <c r="G234" s="25">
        <v>0.0</v>
      </c>
      <c r="H234" s="25">
        <v>4.0</v>
      </c>
      <c r="I234" s="50">
        <v>1.0</v>
      </c>
      <c r="J234" s="25">
        <v>4.0</v>
      </c>
      <c r="K234" s="51">
        <v>0.0</v>
      </c>
      <c r="L234" s="51">
        <v>0.0</v>
      </c>
      <c r="M234" s="25">
        <v>6.0</v>
      </c>
      <c r="N234" s="26"/>
      <c r="O234" s="26" t="s">
        <v>74</v>
      </c>
      <c r="P234" s="52">
        <v>1040.0</v>
      </c>
      <c r="Q234" s="26" t="s">
        <v>52</v>
      </c>
      <c r="R234" s="25">
        <v>2009.0</v>
      </c>
      <c r="S234" s="25">
        <v>1.3</v>
      </c>
      <c r="T234" s="25">
        <f t="shared" si="1"/>
        <v>1352</v>
      </c>
      <c r="U234" s="24">
        <f t="shared" si="2"/>
        <v>338</v>
      </c>
      <c r="V234" s="26">
        <f>VLOOKUP(R234,CPI!$A$2:$E$67,5,0)</f>
        <v>1.420277155</v>
      </c>
      <c r="W234" s="27">
        <f t="shared" si="3"/>
        <v>1920.214714</v>
      </c>
      <c r="X234" s="27">
        <f t="shared" si="4"/>
        <v>480.0536784</v>
      </c>
      <c r="Y234" s="26" t="s">
        <v>60</v>
      </c>
      <c r="Z234" s="53" t="s">
        <v>1013</v>
      </c>
      <c r="AA234" s="178"/>
      <c r="AB234" s="172"/>
      <c r="AC234" s="172"/>
      <c r="AD234" s="172"/>
    </row>
    <row r="235">
      <c r="A235" s="26" t="s">
        <v>992</v>
      </c>
      <c r="B235" s="26" t="s">
        <v>993</v>
      </c>
      <c r="C235" s="1" t="s">
        <v>1001</v>
      </c>
      <c r="D235" s="26" t="s">
        <v>1002</v>
      </c>
      <c r="E235" s="25">
        <v>1985.0</v>
      </c>
      <c r="F235" s="25">
        <v>1994.0</v>
      </c>
      <c r="G235" s="25">
        <v>0.0</v>
      </c>
      <c r="H235" s="25">
        <v>3.6</v>
      </c>
      <c r="I235" s="50">
        <v>1.0</v>
      </c>
      <c r="J235" s="25">
        <v>3.6</v>
      </c>
      <c r="K235" s="51">
        <v>0.0</v>
      </c>
      <c r="L235" s="51">
        <v>0.0</v>
      </c>
      <c r="M235" s="25">
        <v>4.0</v>
      </c>
      <c r="N235" s="63">
        <v>100.0</v>
      </c>
      <c r="O235" s="26" t="s">
        <v>74</v>
      </c>
      <c r="P235" s="52">
        <v>520.0</v>
      </c>
      <c r="Q235" s="26" t="s">
        <v>52</v>
      </c>
      <c r="R235" s="25">
        <v>2020.0</v>
      </c>
      <c r="S235" s="25">
        <v>1.3</v>
      </c>
      <c r="T235" s="25">
        <f t="shared" si="1"/>
        <v>676</v>
      </c>
      <c r="U235" s="24">
        <f t="shared" si="2"/>
        <v>187.7777778</v>
      </c>
      <c r="V235" s="26">
        <f>VLOOKUP(R235,CPI!$A$2:$E$67,5,0)</f>
        <v>1.17731472</v>
      </c>
      <c r="W235" s="27">
        <f t="shared" si="3"/>
        <v>795.8647507</v>
      </c>
      <c r="X235" s="27">
        <f t="shared" si="4"/>
        <v>221.0735419</v>
      </c>
      <c r="Y235" s="26" t="s">
        <v>36</v>
      </c>
      <c r="Z235" s="53" t="s">
        <v>1003</v>
      </c>
      <c r="AA235" s="178"/>
      <c r="AB235" s="172"/>
      <c r="AC235" s="172"/>
      <c r="AD235" s="172"/>
    </row>
    <row r="236">
      <c r="A236" s="26" t="s">
        <v>992</v>
      </c>
      <c r="B236" s="26" t="s">
        <v>993</v>
      </c>
      <c r="C236" s="1" t="s">
        <v>1004</v>
      </c>
      <c r="D236" s="26" t="s">
        <v>1005</v>
      </c>
      <c r="E236" s="25">
        <v>1997.0</v>
      </c>
      <c r="F236" s="25">
        <v>2000.0</v>
      </c>
      <c r="G236" s="25">
        <v>0.0</v>
      </c>
      <c r="H236" s="25">
        <v>0.8</v>
      </c>
      <c r="I236" s="50">
        <v>1.0</v>
      </c>
      <c r="J236" s="25">
        <v>0.8</v>
      </c>
      <c r="K236" s="51">
        <v>0.0</v>
      </c>
      <c r="L236" s="51">
        <v>0.0</v>
      </c>
      <c r="M236" s="25">
        <v>1.0</v>
      </c>
      <c r="N236" s="63">
        <v>100.0</v>
      </c>
      <c r="O236" s="26" t="s">
        <v>42</v>
      </c>
      <c r="P236" s="52">
        <v>54.0</v>
      </c>
      <c r="Q236" s="26" t="s">
        <v>52</v>
      </c>
      <c r="R236" s="25">
        <v>1998.0</v>
      </c>
      <c r="S236" s="25">
        <v>1.3</v>
      </c>
      <c r="T236" s="25">
        <f t="shared" si="1"/>
        <v>70.2</v>
      </c>
      <c r="U236" s="24">
        <f t="shared" si="2"/>
        <v>87.75</v>
      </c>
      <c r="V236" s="26">
        <f>VLOOKUP(R236,CPI!$A$2:$E$67,5,0)</f>
        <v>1.869337423</v>
      </c>
      <c r="W236" s="27">
        <f t="shared" si="3"/>
        <v>131.2274871</v>
      </c>
      <c r="X236" s="27">
        <f t="shared" si="4"/>
        <v>164.0343589</v>
      </c>
      <c r="Y236" s="26" t="s">
        <v>42</v>
      </c>
      <c r="Z236" s="53" t="s">
        <v>1006</v>
      </c>
      <c r="AA236" s="178"/>
      <c r="AB236" s="172"/>
      <c r="AC236" s="172"/>
      <c r="AD236" s="172"/>
    </row>
    <row r="237">
      <c r="A237" s="26" t="s">
        <v>992</v>
      </c>
      <c r="B237" s="26" t="s">
        <v>1017</v>
      </c>
      <c r="C237" s="26" t="s">
        <v>1021</v>
      </c>
      <c r="D237" s="26" t="s">
        <v>1021</v>
      </c>
      <c r="E237" s="25">
        <v>2019.0</v>
      </c>
      <c r="F237" s="25">
        <v>2025.0</v>
      </c>
      <c r="G237" s="25">
        <v>0.0</v>
      </c>
      <c r="H237" s="25">
        <v>2.7</v>
      </c>
      <c r="I237" s="50">
        <v>0.52</v>
      </c>
      <c r="J237" s="25">
        <v>1.4</v>
      </c>
      <c r="K237" s="51">
        <v>0.0</v>
      </c>
      <c r="L237" s="51">
        <v>0.0</v>
      </c>
      <c r="M237" s="25">
        <v>4.0</v>
      </c>
      <c r="N237" s="26"/>
      <c r="O237" s="26" t="s">
        <v>59</v>
      </c>
      <c r="P237" s="52">
        <v>373.5</v>
      </c>
      <c r="Q237" s="26" t="s">
        <v>52</v>
      </c>
      <c r="R237" s="25">
        <v>2022.0</v>
      </c>
      <c r="S237" s="25">
        <v>1.3</v>
      </c>
      <c r="T237" s="25">
        <f t="shared" si="1"/>
        <v>485.55</v>
      </c>
      <c r="U237" s="24">
        <f t="shared" si="2"/>
        <v>179.8333333</v>
      </c>
      <c r="V237" s="26">
        <f>VLOOKUP(R237,CPI!$A$2:$E$67,5,0)</f>
        <v>1.041164511</v>
      </c>
      <c r="W237" s="27">
        <f t="shared" si="3"/>
        <v>505.5374284</v>
      </c>
      <c r="X237" s="27">
        <f t="shared" si="4"/>
        <v>187.2360846</v>
      </c>
      <c r="Y237" s="26" t="s">
        <v>42</v>
      </c>
      <c r="Z237" s="53" t="s">
        <v>1022</v>
      </c>
      <c r="AA237" s="178"/>
      <c r="AB237" s="172"/>
      <c r="AC237" s="172"/>
      <c r="AD237" s="172"/>
    </row>
    <row r="238">
      <c r="A238" s="26" t="s">
        <v>1524</v>
      </c>
      <c r="B238" s="26" t="s">
        <v>1525</v>
      </c>
      <c r="C238" s="26" t="s">
        <v>54</v>
      </c>
      <c r="D238" s="26" t="s">
        <v>54</v>
      </c>
      <c r="E238" s="25">
        <v>2014.0</v>
      </c>
      <c r="F238" s="25">
        <v>2025.0</v>
      </c>
      <c r="G238" s="25">
        <v>0.0</v>
      </c>
      <c r="H238" s="25">
        <v>35.0</v>
      </c>
      <c r="I238" s="50">
        <v>1.0</v>
      </c>
      <c r="J238" s="25">
        <v>35.0</v>
      </c>
      <c r="K238" s="51">
        <v>0.0</v>
      </c>
      <c r="L238" s="51">
        <v>0.0</v>
      </c>
      <c r="M238" s="25">
        <v>35.0</v>
      </c>
      <c r="N238" s="26"/>
      <c r="O238" s="26" t="s">
        <v>36</v>
      </c>
      <c r="P238" s="52">
        <v>5836.0</v>
      </c>
      <c r="Q238" s="26" t="s">
        <v>37</v>
      </c>
      <c r="R238" s="25">
        <v>2019.0</v>
      </c>
      <c r="S238" s="25">
        <v>1.9</v>
      </c>
      <c r="T238" s="25">
        <f t="shared" si="1"/>
        <v>11088.4</v>
      </c>
      <c r="U238" s="24">
        <f t="shared" si="2"/>
        <v>316.8114286</v>
      </c>
      <c r="V238" s="26">
        <f>VLOOKUP(R238,CPI!$A$2:$E$67,5,0)</f>
        <v>1.191839066</v>
      </c>
      <c r="W238" s="27">
        <f t="shared" si="3"/>
        <v>13215.5883</v>
      </c>
      <c r="X238" s="27">
        <f t="shared" si="4"/>
        <v>377.588237</v>
      </c>
      <c r="Y238" s="26" t="s">
        <v>60</v>
      </c>
      <c r="Z238" s="53" t="s">
        <v>1526</v>
      </c>
      <c r="AA238" s="178"/>
      <c r="AB238" s="172"/>
      <c r="AC238" s="172"/>
      <c r="AD238" s="172"/>
    </row>
    <row r="239">
      <c r="A239" s="26" t="s">
        <v>1495</v>
      </c>
      <c r="B239" s="26" t="s">
        <v>1496</v>
      </c>
      <c r="C239" s="26" t="s">
        <v>1497</v>
      </c>
      <c r="D239" s="26" t="s">
        <v>1497</v>
      </c>
      <c r="E239" s="25">
        <v>2012.0</v>
      </c>
      <c r="F239" s="25">
        <v>2017.0</v>
      </c>
      <c r="G239" s="25">
        <v>0.0</v>
      </c>
      <c r="H239" s="25">
        <v>51.0</v>
      </c>
      <c r="I239" s="50">
        <v>0.19</v>
      </c>
      <c r="J239" s="25">
        <v>9.5</v>
      </c>
      <c r="K239" s="51">
        <v>0.0</v>
      </c>
      <c r="L239" s="51">
        <v>0.0</v>
      </c>
      <c r="M239" s="25">
        <v>31.0</v>
      </c>
      <c r="N239" s="26"/>
      <c r="O239" s="26" t="s">
        <v>74</v>
      </c>
      <c r="P239" s="52">
        <v>21000.0</v>
      </c>
      <c r="Q239" s="26" t="s">
        <v>1498</v>
      </c>
      <c r="R239" s="25">
        <v>2014.0</v>
      </c>
      <c r="S239" s="25">
        <v>0.7</v>
      </c>
      <c r="T239" s="25">
        <f t="shared" si="1"/>
        <v>14700</v>
      </c>
      <c r="U239" s="24">
        <f t="shared" si="2"/>
        <v>288.2352941</v>
      </c>
      <c r="V239" s="26">
        <f>VLOOKUP(R239,CPI!$A$2:$E$67,5,0)</f>
        <v>1.287096175</v>
      </c>
      <c r="W239" s="27">
        <f t="shared" si="3"/>
        <v>18920.31377</v>
      </c>
      <c r="X239" s="27">
        <f t="shared" si="4"/>
        <v>370.9865445</v>
      </c>
      <c r="Y239" s="26" t="s">
        <v>42</v>
      </c>
      <c r="Z239" s="53" t="s">
        <v>1499</v>
      </c>
      <c r="AA239" s="178"/>
      <c r="AB239" s="172"/>
      <c r="AC239" s="172"/>
      <c r="AD239" s="172"/>
    </row>
    <row r="240">
      <c r="A240" s="26" t="s">
        <v>1495</v>
      </c>
      <c r="B240" s="26" t="s">
        <v>1496</v>
      </c>
      <c r="C240" s="26" t="s">
        <v>1500</v>
      </c>
      <c r="D240" s="26" t="s">
        <v>1500</v>
      </c>
      <c r="E240" s="25">
        <v>2016.0</v>
      </c>
      <c r="F240" s="25">
        <v>2023.0</v>
      </c>
      <c r="G240" s="25">
        <v>0.0</v>
      </c>
      <c r="H240" s="25">
        <v>52.2</v>
      </c>
      <c r="I240" s="50">
        <v>0.26</v>
      </c>
      <c r="J240" s="25">
        <v>13.5</v>
      </c>
      <c r="K240" s="51">
        <v>0.0</v>
      </c>
      <c r="L240" s="51">
        <v>0.0</v>
      </c>
      <c r="M240" s="25">
        <v>41.0</v>
      </c>
      <c r="N240" s="26"/>
      <c r="O240" s="26" t="s">
        <v>74</v>
      </c>
      <c r="P240" s="52">
        <v>30530.0</v>
      </c>
      <c r="Q240" s="26" t="s">
        <v>1498</v>
      </c>
      <c r="R240" s="25">
        <v>2019.0</v>
      </c>
      <c r="S240" s="25">
        <v>0.7</v>
      </c>
      <c r="T240" s="25">
        <f t="shared" si="1"/>
        <v>21371</v>
      </c>
      <c r="U240" s="24">
        <f t="shared" si="2"/>
        <v>409.4061303</v>
      </c>
      <c r="V240" s="26">
        <f>VLOOKUP(R240,CPI!$A$2:$E$67,5,0)</f>
        <v>1.191839066</v>
      </c>
      <c r="W240" s="27">
        <f t="shared" si="3"/>
        <v>25470.79267</v>
      </c>
      <c r="X240" s="27">
        <f t="shared" si="4"/>
        <v>487.9462198</v>
      </c>
      <c r="Y240" s="26" t="s">
        <v>42</v>
      </c>
      <c r="Z240" s="53" t="s">
        <v>1501</v>
      </c>
      <c r="AA240" s="178"/>
      <c r="AB240" s="172"/>
      <c r="AC240" s="172"/>
      <c r="AD240" s="172"/>
    </row>
    <row r="241">
      <c r="A241" s="34" t="s">
        <v>1759</v>
      </c>
      <c r="B241" s="221" t="s">
        <v>1770</v>
      </c>
      <c r="C241" s="221" t="s">
        <v>864</v>
      </c>
      <c r="D241" s="221" t="s">
        <v>864</v>
      </c>
      <c r="E241" s="227">
        <v>1992.0</v>
      </c>
      <c r="F241" s="227">
        <v>2014.0</v>
      </c>
      <c r="G241" s="227">
        <v>0.0</v>
      </c>
      <c r="H241" s="227">
        <v>23.5</v>
      </c>
      <c r="I241" s="228">
        <f>J241/H241</f>
        <v>0.914893617</v>
      </c>
      <c r="J241" s="227">
        <v>21.5</v>
      </c>
      <c r="K241" s="229">
        <v>0.0</v>
      </c>
      <c r="L241" s="229">
        <v>0.0</v>
      </c>
      <c r="M241" s="227">
        <v>17.0</v>
      </c>
      <c r="N241" s="352">
        <v>180.0</v>
      </c>
      <c r="O241" s="221" t="s">
        <v>60</v>
      </c>
      <c r="P241" s="353">
        <v>2510.0</v>
      </c>
      <c r="Q241" s="221" t="s">
        <v>37</v>
      </c>
      <c r="R241" s="227">
        <v>2003.0</v>
      </c>
      <c r="S241" s="227">
        <v>2.0</v>
      </c>
      <c r="T241" s="227">
        <f t="shared" si="1"/>
        <v>5020</v>
      </c>
      <c r="U241" s="24">
        <f t="shared" si="2"/>
        <v>213.6170213</v>
      </c>
      <c r="V241" s="26">
        <f>VLOOKUP(R241,CPI!$A$2:$E$67,5,0)</f>
        <v>1.65598913</v>
      </c>
      <c r="W241" s="27">
        <f t="shared" si="3"/>
        <v>8313.065435</v>
      </c>
      <c r="X241" s="27">
        <f t="shared" si="4"/>
        <v>353.7474653</v>
      </c>
      <c r="Y241" s="355" t="s">
        <v>60</v>
      </c>
      <c r="Z241" s="356" t="s">
        <v>2140</v>
      </c>
      <c r="AA241" s="178"/>
      <c r="AB241" s="172"/>
      <c r="AC241" s="172"/>
      <c r="AD241" s="172"/>
    </row>
    <row r="242">
      <c r="A242" s="221" t="s">
        <v>1759</v>
      </c>
      <c r="B242" s="221" t="s">
        <v>1770</v>
      </c>
      <c r="C242" s="36" t="s">
        <v>856</v>
      </c>
      <c r="D242" s="221" t="s">
        <v>1775</v>
      </c>
      <c r="E242" s="227">
        <v>2006.0</v>
      </c>
      <c r="F242" s="227">
        <v>2013.0</v>
      </c>
      <c r="G242" s="227">
        <v>0.0</v>
      </c>
      <c r="H242" s="227">
        <v>16.1</v>
      </c>
      <c r="I242" s="228">
        <v>1.0</v>
      </c>
      <c r="J242" s="227">
        <v>15.9</v>
      </c>
      <c r="K242" s="229">
        <v>0.0</v>
      </c>
      <c r="L242" s="229">
        <v>0.0</v>
      </c>
      <c r="M242" s="227">
        <v>11.0</v>
      </c>
      <c r="N242" s="352">
        <v>180.0</v>
      </c>
      <c r="O242" s="221" t="s">
        <v>42</v>
      </c>
      <c r="P242" s="353">
        <v>1344.0</v>
      </c>
      <c r="Q242" s="221" t="s">
        <v>37</v>
      </c>
      <c r="R242" s="227">
        <v>2010.0</v>
      </c>
      <c r="S242" s="227">
        <v>1.6</v>
      </c>
      <c r="T242" s="227">
        <f t="shared" si="1"/>
        <v>2150.4</v>
      </c>
      <c r="U242" s="24">
        <f t="shared" si="2"/>
        <v>133.5652174</v>
      </c>
      <c r="V242" s="26">
        <f>VLOOKUP(R242,CPI!$A$2:$E$67,5,0)</f>
        <v>1.397356642</v>
      </c>
      <c r="W242" s="27">
        <f t="shared" si="3"/>
        <v>3004.875724</v>
      </c>
      <c r="X242" s="27">
        <f t="shared" si="4"/>
        <v>186.6382437</v>
      </c>
      <c r="Y242" s="221" t="s">
        <v>42</v>
      </c>
      <c r="Z242" s="354" t="s">
        <v>1776</v>
      </c>
      <c r="AA242" s="178"/>
      <c r="AB242" s="172"/>
      <c r="AC242" s="172"/>
      <c r="AD242" s="172"/>
    </row>
    <row r="243">
      <c r="A243" s="221" t="s">
        <v>1759</v>
      </c>
      <c r="B243" s="221" t="s">
        <v>1770</v>
      </c>
      <c r="C243" s="36" t="s">
        <v>1764</v>
      </c>
      <c r="D243" s="221" t="s">
        <v>1771</v>
      </c>
      <c r="E243" s="227">
        <v>2005.0</v>
      </c>
      <c r="F243" s="227">
        <v>2012.0</v>
      </c>
      <c r="G243" s="227">
        <v>0.0</v>
      </c>
      <c r="H243" s="227">
        <v>21.7</v>
      </c>
      <c r="I243" s="228">
        <v>1.0</v>
      </c>
      <c r="J243" s="227">
        <v>21.7</v>
      </c>
      <c r="K243" s="229">
        <v>0.0</v>
      </c>
      <c r="L243" s="229">
        <v>0.0</v>
      </c>
      <c r="M243" s="227">
        <v>16.0</v>
      </c>
      <c r="N243" s="352">
        <v>180.0</v>
      </c>
      <c r="O243" s="221" t="s">
        <v>60</v>
      </c>
      <c r="P243" s="350">
        <v>1299.0</v>
      </c>
      <c r="Q243" s="221" t="s">
        <v>37</v>
      </c>
      <c r="R243" s="227">
        <v>2009.0</v>
      </c>
      <c r="S243" s="227">
        <v>1.7</v>
      </c>
      <c r="T243" s="227">
        <f t="shared" si="1"/>
        <v>2208.3</v>
      </c>
      <c r="U243" s="24">
        <f t="shared" si="2"/>
        <v>101.764977</v>
      </c>
      <c r="V243" s="26">
        <f>VLOOKUP(R243,CPI!$A$2:$E$67,5,0)</f>
        <v>1.420277155</v>
      </c>
      <c r="W243" s="27">
        <f t="shared" si="3"/>
        <v>3136.398041</v>
      </c>
      <c r="X243" s="27">
        <f t="shared" si="4"/>
        <v>144.534472</v>
      </c>
      <c r="Y243" s="221" t="s">
        <v>42</v>
      </c>
      <c r="Z243" s="354" t="s">
        <v>1772</v>
      </c>
      <c r="AA243" s="130"/>
      <c r="AB243" s="130"/>
      <c r="AC243" s="130"/>
      <c r="AD243" s="130"/>
    </row>
    <row r="244">
      <c r="A244" s="221" t="s">
        <v>1759</v>
      </c>
      <c r="B244" s="221" t="s">
        <v>1770</v>
      </c>
      <c r="C244" s="36" t="s">
        <v>1764</v>
      </c>
      <c r="D244" s="221" t="s">
        <v>1782</v>
      </c>
      <c r="E244" s="227">
        <v>2013.0</v>
      </c>
      <c r="F244" s="227">
        <v>2016.0</v>
      </c>
      <c r="G244" s="227">
        <v>0.0</v>
      </c>
      <c r="H244" s="227">
        <v>4.4</v>
      </c>
      <c r="I244" s="228">
        <v>1.0</v>
      </c>
      <c r="J244" s="227">
        <v>4.4</v>
      </c>
      <c r="K244" s="229">
        <v>0.0</v>
      </c>
      <c r="L244" s="229">
        <v>0.0</v>
      </c>
      <c r="M244" s="227">
        <v>3.0</v>
      </c>
      <c r="N244" s="352">
        <v>180.0</v>
      </c>
      <c r="O244" s="221" t="s">
        <v>42</v>
      </c>
      <c r="P244" s="353">
        <v>151.0</v>
      </c>
      <c r="Q244" s="221" t="s">
        <v>37</v>
      </c>
      <c r="R244" s="227">
        <v>2015.0</v>
      </c>
      <c r="S244" s="227">
        <v>2.3</v>
      </c>
      <c r="T244" s="227">
        <f t="shared" si="1"/>
        <v>347.3</v>
      </c>
      <c r="U244" s="24">
        <f t="shared" si="2"/>
        <v>78.93181818</v>
      </c>
      <c r="V244" s="26">
        <f>VLOOKUP(R244,CPI!$A$2:$E$67,5,0)</f>
        <v>1.285570233</v>
      </c>
      <c r="W244" s="27">
        <f t="shared" si="3"/>
        <v>446.478542</v>
      </c>
      <c r="X244" s="27">
        <f t="shared" si="4"/>
        <v>101.4723959</v>
      </c>
      <c r="Y244" s="221" t="s">
        <v>42</v>
      </c>
      <c r="Z244" s="354" t="s">
        <v>1772</v>
      </c>
      <c r="AA244" s="178"/>
      <c r="AB244" s="172"/>
      <c r="AC244" s="172"/>
      <c r="AD244" s="172"/>
    </row>
    <row r="245">
      <c r="A245" s="221" t="s">
        <v>1759</v>
      </c>
      <c r="B245" s="221" t="s">
        <v>1770</v>
      </c>
      <c r="C245" s="36" t="s">
        <v>1364</v>
      </c>
      <c r="D245" s="221" t="s">
        <v>1783</v>
      </c>
      <c r="E245" s="227">
        <v>2011.0</v>
      </c>
      <c r="F245" s="227">
        <v>2018.0</v>
      </c>
      <c r="G245" s="227">
        <v>0.0</v>
      </c>
      <c r="H245" s="227">
        <v>19.7</v>
      </c>
      <c r="I245" s="228">
        <v>1.0</v>
      </c>
      <c r="J245" s="227">
        <v>19.7</v>
      </c>
      <c r="K245" s="229">
        <v>0.0</v>
      </c>
      <c r="L245" s="229">
        <v>0.0</v>
      </c>
      <c r="M245" s="227">
        <v>16.0</v>
      </c>
      <c r="N245" s="352">
        <v>140.0</v>
      </c>
      <c r="O245" s="221" t="s">
        <v>60</v>
      </c>
      <c r="P245" s="353">
        <v>866.0</v>
      </c>
      <c r="Q245" s="221" t="s">
        <v>37</v>
      </c>
      <c r="R245" s="227">
        <v>2015.0</v>
      </c>
      <c r="S245" s="227">
        <v>2.3</v>
      </c>
      <c r="T245" s="227">
        <f t="shared" si="1"/>
        <v>1991.8</v>
      </c>
      <c r="U245" s="24">
        <f t="shared" si="2"/>
        <v>101.106599</v>
      </c>
      <c r="V245" s="26">
        <f>VLOOKUP(R245,CPI!$A$2:$E$67,5,0)</f>
        <v>1.285570233</v>
      </c>
      <c r="W245" s="27">
        <f t="shared" si="3"/>
        <v>2560.598791</v>
      </c>
      <c r="X245" s="27">
        <f t="shared" si="4"/>
        <v>129.9796341</v>
      </c>
      <c r="Y245" s="221" t="s">
        <v>42</v>
      </c>
      <c r="Z245" s="354" t="s">
        <v>1784</v>
      </c>
      <c r="AA245" s="178"/>
      <c r="AB245" s="172"/>
      <c r="AC245" s="172"/>
      <c r="AD245" s="172"/>
    </row>
    <row r="246">
      <c r="A246" s="221" t="s">
        <v>1759</v>
      </c>
      <c r="B246" s="221" t="s">
        <v>1770</v>
      </c>
      <c r="C246" s="352" t="s">
        <v>1773</v>
      </c>
      <c r="D246" s="221" t="s">
        <v>1774</v>
      </c>
      <c r="E246" s="227">
        <v>2004.0</v>
      </c>
      <c r="F246" s="227">
        <v>2013.0</v>
      </c>
      <c r="G246" s="227">
        <v>1.0</v>
      </c>
      <c r="H246" s="227">
        <v>13.6</v>
      </c>
      <c r="I246" s="228">
        <v>1.0</v>
      </c>
      <c r="J246" s="227">
        <v>13.6</v>
      </c>
      <c r="K246" s="349">
        <v>0.0</v>
      </c>
      <c r="L246" s="349">
        <v>0.0</v>
      </c>
      <c r="M246" s="77">
        <v>4.0</v>
      </c>
      <c r="N246" s="352">
        <v>225.0</v>
      </c>
      <c r="O246" s="221" t="s">
        <v>60</v>
      </c>
      <c r="P246" s="353">
        <v>1823.0</v>
      </c>
      <c r="Q246" s="221" t="s">
        <v>37</v>
      </c>
      <c r="R246" s="227">
        <v>2009.0</v>
      </c>
      <c r="S246" s="227">
        <v>1.7</v>
      </c>
      <c r="T246" s="227">
        <f t="shared" si="1"/>
        <v>3099.1</v>
      </c>
      <c r="U246" s="24">
        <f t="shared" si="2"/>
        <v>227.875</v>
      </c>
      <c r="V246" s="26">
        <f>VLOOKUP(R246,CPI!$A$2:$E$67,5,0)</f>
        <v>1.420277155</v>
      </c>
      <c r="W246" s="27">
        <f t="shared" si="3"/>
        <v>4401.580931</v>
      </c>
      <c r="X246" s="27">
        <f t="shared" si="4"/>
        <v>323.6456567</v>
      </c>
      <c r="Y246" s="221" t="s">
        <v>60</v>
      </c>
      <c r="Z246" s="72"/>
      <c r="AA246" s="178"/>
      <c r="AB246" s="172"/>
      <c r="AC246" s="172"/>
      <c r="AD246" s="172"/>
    </row>
    <row r="247">
      <c r="A247" s="221" t="s">
        <v>1759</v>
      </c>
      <c r="B247" s="221" t="s">
        <v>1770</v>
      </c>
      <c r="C247" s="352" t="s">
        <v>1773</v>
      </c>
      <c r="D247" s="221" t="s">
        <v>1785</v>
      </c>
      <c r="E247" s="227">
        <v>2011.0</v>
      </c>
      <c r="F247" s="227">
        <v>2019.0</v>
      </c>
      <c r="G247" s="227">
        <v>1.0</v>
      </c>
      <c r="H247" s="227">
        <v>63.0</v>
      </c>
      <c r="I247" s="228">
        <v>0.0</v>
      </c>
      <c r="J247" s="227">
        <v>0.0</v>
      </c>
      <c r="K247" s="229">
        <v>0.0</v>
      </c>
      <c r="L247" s="229">
        <v>0.0</v>
      </c>
      <c r="M247" s="227">
        <v>36.0</v>
      </c>
      <c r="N247" s="352">
        <v>225.0</v>
      </c>
      <c r="O247" s="221" t="s">
        <v>60</v>
      </c>
      <c r="P247" s="353">
        <v>1298.0</v>
      </c>
      <c r="Q247" s="221" t="s">
        <v>37</v>
      </c>
      <c r="R247" s="227">
        <v>2015.0</v>
      </c>
      <c r="S247" s="227">
        <v>2.3</v>
      </c>
      <c r="T247" s="227">
        <f t="shared" si="1"/>
        <v>2985.4</v>
      </c>
      <c r="U247" s="24">
        <f t="shared" si="2"/>
        <v>47.38730159</v>
      </c>
      <c r="V247" s="26">
        <f>VLOOKUP(R247,CPI!$A$2:$E$67,5,0)</f>
        <v>1.285570233</v>
      </c>
      <c r="W247" s="27">
        <f t="shared" si="3"/>
        <v>3837.941375</v>
      </c>
      <c r="X247" s="27">
        <f t="shared" si="4"/>
        <v>60.91970436</v>
      </c>
      <c r="Y247" s="221" t="s">
        <v>36</v>
      </c>
      <c r="Z247" s="354" t="s">
        <v>1786</v>
      </c>
      <c r="AA247" s="178"/>
      <c r="AB247" s="172"/>
      <c r="AC247" s="172"/>
      <c r="AD247" s="172"/>
    </row>
    <row r="248">
      <c r="A248" s="221" t="s">
        <v>1759</v>
      </c>
      <c r="B248" s="221" t="s">
        <v>1770</v>
      </c>
      <c r="C248" s="36" t="s">
        <v>849</v>
      </c>
      <c r="D248" s="221" t="s">
        <v>1799</v>
      </c>
      <c r="E248" s="227">
        <v>2014.0</v>
      </c>
      <c r="F248" s="349">
        <v>2024.0</v>
      </c>
      <c r="G248" s="227">
        <v>0.0</v>
      </c>
      <c r="H248" s="227">
        <v>23.75</v>
      </c>
      <c r="I248" s="228">
        <v>0.9621</v>
      </c>
      <c r="J248" s="227">
        <v>22.85</v>
      </c>
      <c r="K248" s="229">
        <v>0.0</v>
      </c>
      <c r="L248" s="229">
        <v>0.0</v>
      </c>
      <c r="M248" s="227">
        <v>19.0</v>
      </c>
      <c r="N248" s="352">
        <v>180.0</v>
      </c>
      <c r="O248" s="221" t="s">
        <v>60</v>
      </c>
      <c r="P248" s="353">
        <v>896.0</v>
      </c>
      <c r="Q248" s="221" t="s">
        <v>37</v>
      </c>
      <c r="R248" s="349">
        <v>2019.0</v>
      </c>
      <c r="S248" s="227">
        <v>3.0</v>
      </c>
      <c r="T248" s="227">
        <f t="shared" si="1"/>
        <v>2688</v>
      </c>
      <c r="U248" s="24">
        <f t="shared" si="2"/>
        <v>113.1789474</v>
      </c>
      <c r="V248" s="26">
        <f>VLOOKUP(R248,CPI!$A$2:$E$67,5,0)</f>
        <v>1.191839066</v>
      </c>
      <c r="W248" s="27">
        <f t="shared" si="3"/>
        <v>3203.663408</v>
      </c>
      <c r="X248" s="27">
        <f t="shared" si="4"/>
        <v>134.8910909</v>
      </c>
      <c r="Y248" s="221" t="s">
        <v>42</v>
      </c>
      <c r="Z248" s="354" t="s">
        <v>1800</v>
      </c>
      <c r="AA248" s="178"/>
      <c r="AB248" s="172"/>
      <c r="AC248" s="172"/>
      <c r="AD248" s="172"/>
    </row>
    <row r="249">
      <c r="A249" s="6" t="s">
        <v>1759</v>
      </c>
      <c r="B249" s="362" t="s">
        <v>1806</v>
      </c>
      <c r="C249" s="36" t="s">
        <v>866</v>
      </c>
      <c r="D249" s="6" t="s">
        <v>1807</v>
      </c>
      <c r="E249" s="6">
        <v>1995.0</v>
      </c>
      <c r="F249" s="6">
        <v>2000.0</v>
      </c>
      <c r="G249" s="6">
        <v>0.0</v>
      </c>
      <c r="H249" s="6">
        <v>11.6</v>
      </c>
      <c r="I249" s="345">
        <v>0.2931</v>
      </c>
      <c r="J249" s="6">
        <v>3.4</v>
      </c>
      <c r="K249" s="346">
        <v>0.0</v>
      </c>
      <c r="L249" s="346">
        <v>0.0</v>
      </c>
      <c r="M249" s="6">
        <v>10.0</v>
      </c>
      <c r="N249" s="36"/>
      <c r="O249" s="36" t="s">
        <v>60</v>
      </c>
      <c r="P249" s="347">
        <v>600.0</v>
      </c>
      <c r="Q249" s="6" t="s">
        <v>37</v>
      </c>
      <c r="R249" s="6">
        <v>1998.0</v>
      </c>
      <c r="S249" s="6">
        <v>2.0</v>
      </c>
      <c r="T249" s="6">
        <f t="shared" si="1"/>
        <v>1200</v>
      </c>
      <c r="U249" s="24">
        <f t="shared" si="2"/>
        <v>103.4482759</v>
      </c>
      <c r="V249" s="26">
        <f>VLOOKUP(R249,CPI!$A$2:$E$67,5,0)</f>
        <v>1.869337423</v>
      </c>
      <c r="W249" s="27">
        <f t="shared" si="3"/>
        <v>2243.204908</v>
      </c>
      <c r="X249" s="27">
        <f t="shared" si="4"/>
        <v>193.3797334</v>
      </c>
      <c r="Y249" s="36" t="s">
        <v>42</v>
      </c>
      <c r="Z249" s="182" t="s">
        <v>1808</v>
      </c>
      <c r="AA249" s="178"/>
      <c r="AB249" s="172"/>
      <c r="AC249" s="172"/>
      <c r="AD249" s="172"/>
    </row>
    <row r="250">
      <c r="A250" s="6" t="s">
        <v>1759</v>
      </c>
      <c r="B250" s="362" t="s">
        <v>1806</v>
      </c>
      <c r="C250" s="36" t="s">
        <v>866</v>
      </c>
      <c r="D250" s="6" t="s">
        <v>1811</v>
      </c>
      <c r="E250" s="6">
        <v>2005.0</v>
      </c>
      <c r="F250" s="6">
        <v>2014.0</v>
      </c>
      <c r="G250" s="6">
        <v>0.0</v>
      </c>
      <c r="H250" s="6">
        <v>5.35</v>
      </c>
      <c r="I250" s="345">
        <v>1.0</v>
      </c>
      <c r="J250" s="6">
        <v>5.35</v>
      </c>
      <c r="K250" s="346">
        <v>0.0</v>
      </c>
      <c r="L250" s="346">
        <v>0.0</v>
      </c>
      <c r="M250" s="6">
        <v>6.0</v>
      </c>
      <c r="N250" s="36"/>
      <c r="O250" s="36" t="s">
        <v>60</v>
      </c>
      <c r="P250" s="347">
        <v>252.0</v>
      </c>
      <c r="Q250" s="6" t="s">
        <v>1765</v>
      </c>
      <c r="R250" s="6">
        <v>2010.0</v>
      </c>
      <c r="S250" s="6">
        <v>1.1</v>
      </c>
      <c r="T250" s="6">
        <f t="shared" si="1"/>
        <v>277.2</v>
      </c>
      <c r="U250" s="24">
        <f t="shared" si="2"/>
        <v>51.81308411</v>
      </c>
      <c r="V250" s="26">
        <f>VLOOKUP(R250,CPI!$A$2:$E$67,5,0)</f>
        <v>1.397356642</v>
      </c>
      <c r="W250" s="27">
        <f t="shared" si="3"/>
        <v>387.3472613</v>
      </c>
      <c r="X250" s="27">
        <f t="shared" si="4"/>
        <v>72.40135724</v>
      </c>
      <c r="Y250" s="36" t="s">
        <v>60</v>
      </c>
      <c r="Z250" s="182" t="s">
        <v>1810</v>
      </c>
      <c r="AA250" s="178"/>
      <c r="AB250" s="172"/>
      <c r="AC250" s="172"/>
      <c r="AD250" s="172"/>
    </row>
    <row r="251">
      <c r="A251" s="6" t="s">
        <v>1759</v>
      </c>
      <c r="B251" s="362" t="s">
        <v>1806</v>
      </c>
      <c r="C251" s="36" t="s">
        <v>866</v>
      </c>
      <c r="D251" s="6" t="s">
        <v>1809</v>
      </c>
      <c r="E251" s="6">
        <v>2010.0</v>
      </c>
      <c r="F251" s="6">
        <v>2012.0</v>
      </c>
      <c r="G251" s="6">
        <v>0.0</v>
      </c>
      <c r="H251" s="6">
        <v>2.25</v>
      </c>
      <c r="I251" s="345">
        <v>1.0</v>
      </c>
      <c r="J251" s="6">
        <v>2.25</v>
      </c>
      <c r="K251" s="346">
        <v>0.0</v>
      </c>
      <c r="L251" s="346">
        <v>0.0</v>
      </c>
      <c r="M251" s="6">
        <v>2.0</v>
      </c>
      <c r="N251" s="36"/>
      <c r="O251" s="36" t="s">
        <v>60</v>
      </c>
      <c r="P251" s="347">
        <v>106.0</v>
      </c>
      <c r="Q251" s="6" t="s">
        <v>1765</v>
      </c>
      <c r="R251" s="6">
        <v>2011.0</v>
      </c>
      <c r="S251" s="6">
        <v>1.0</v>
      </c>
      <c r="T251" s="6">
        <f t="shared" si="1"/>
        <v>106</v>
      </c>
      <c r="U251" s="24">
        <f t="shared" si="2"/>
        <v>47.11111111</v>
      </c>
      <c r="V251" s="26">
        <f>VLOOKUP(R251,CPI!$A$2:$E$67,5,0)</f>
        <v>1.354598358</v>
      </c>
      <c r="W251" s="27">
        <f t="shared" si="3"/>
        <v>143.5874259</v>
      </c>
      <c r="X251" s="27">
        <f t="shared" si="4"/>
        <v>63.81663374</v>
      </c>
      <c r="Y251" s="36" t="s">
        <v>60</v>
      </c>
      <c r="Z251" s="182" t="s">
        <v>1810</v>
      </c>
      <c r="AA251" s="178"/>
      <c r="AB251" s="172"/>
      <c r="AC251" s="172"/>
      <c r="AD251" s="172"/>
    </row>
    <row r="252">
      <c r="A252" s="6" t="s">
        <v>1759</v>
      </c>
      <c r="B252" s="6" t="s">
        <v>1763</v>
      </c>
      <c r="C252" s="6" t="s">
        <v>1764</v>
      </c>
      <c r="D252" s="6" t="s">
        <v>1764</v>
      </c>
      <c r="E252" s="6">
        <v>2003.0</v>
      </c>
      <c r="F252" s="6">
        <v>2017.0</v>
      </c>
      <c r="G252" s="6">
        <v>0.0</v>
      </c>
      <c r="H252" s="6">
        <v>9.22</v>
      </c>
      <c r="I252" s="345">
        <v>1.0</v>
      </c>
      <c r="J252" s="6">
        <v>9.22</v>
      </c>
      <c r="K252" s="346">
        <v>0.0</v>
      </c>
      <c r="L252" s="346">
        <v>0.0</v>
      </c>
      <c r="M252" s="6">
        <v>9.0</v>
      </c>
      <c r="N252" s="36"/>
      <c r="O252" s="36" t="s">
        <v>60</v>
      </c>
      <c r="P252" s="347">
        <v>1000.0</v>
      </c>
      <c r="Q252" s="6" t="s">
        <v>1765</v>
      </c>
      <c r="R252" s="6">
        <v>2010.0</v>
      </c>
      <c r="S252" s="6">
        <v>1.1</v>
      </c>
      <c r="T252" s="6">
        <f t="shared" si="1"/>
        <v>1100</v>
      </c>
      <c r="U252" s="24">
        <f t="shared" si="2"/>
        <v>119.3058568</v>
      </c>
      <c r="V252" s="26">
        <f>VLOOKUP(R252,CPI!$A$2:$E$67,5,0)</f>
        <v>1.397356642</v>
      </c>
      <c r="W252" s="27">
        <f t="shared" si="3"/>
        <v>1537.092307</v>
      </c>
      <c r="X252" s="27">
        <f t="shared" si="4"/>
        <v>166.7128315</v>
      </c>
      <c r="Y252" s="36" t="s">
        <v>42</v>
      </c>
      <c r="Z252" s="182" t="s">
        <v>1766</v>
      </c>
      <c r="AA252" s="130"/>
      <c r="AB252" s="130"/>
      <c r="AC252" s="130"/>
      <c r="AD252" s="130"/>
    </row>
    <row r="253">
      <c r="A253" s="6" t="s">
        <v>1759</v>
      </c>
      <c r="B253" s="6" t="s">
        <v>1767</v>
      </c>
      <c r="C253" s="6" t="s">
        <v>1768</v>
      </c>
      <c r="D253" s="6" t="s">
        <v>1768</v>
      </c>
      <c r="E253" s="6">
        <v>1997.0</v>
      </c>
      <c r="F253" s="6">
        <v>2014.0</v>
      </c>
      <c r="G253" s="6">
        <v>0.0</v>
      </c>
      <c r="H253" s="6">
        <v>39.0</v>
      </c>
      <c r="I253" s="345">
        <v>0.1603</v>
      </c>
      <c r="J253" s="6">
        <v>6.25</v>
      </c>
      <c r="K253" s="346">
        <v>0.0</v>
      </c>
      <c r="L253" s="346">
        <v>0.0</v>
      </c>
      <c r="M253" s="6">
        <v>38.0</v>
      </c>
      <c r="N253" s="36"/>
      <c r="O253" s="36" t="s">
        <v>42</v>
      </c>
      <c r="P253" s="347">
        <v>425.0</v>
      </c>
      <c r="Q253" s="6" t="s">
        <v>52</v>
      </c>
      <c r="R253" s="6">
        <v>2006.0</v>
      </c>
      <c r="S253" s="6">
        <v>2.1</v>
      </c>
      <c r="T253" s="6">
        <f t="shared" si="1"/>
        <v>892.5</v>
      </c>
      <c r="U253" s="24">
        <f t="shared" si="2"/>
        <v>22.88461538</v>
      </c>
      <c r="V253" s="26">
        <f>VLOOKUP(R253,CPI!$A$2:$E$67,5,0)</f>
        <v>1.511418651</v>
      </c>
      <c r="W253" s="27">
        <f t="shared" si="3"/>
        <v>1348.941146</v>
      </c>
      <c r="X253" s="27">
        <f t="shared" si="4"/>
        <v>34.58823451</v>
      </c>
      <c r="Y253" s="36" t="s">
        <v>42</v>
      </c>
      <c r="Z253" s="348" t="s">
        <v>1769</v>
      </c>
      <c r="AA253" s="130"/>
      <c r="AB253" s="130"/>
      <c r="AC253" s="130"/>
      <c r="AD253" s="130"/>
    </row>
    <row r="254">
      <c r="A254" s="130" t="s">
        <v>230</v>
      </c>
      <c r="B254" s="130" t="s">
        <v>231</v>
      </c>
      <c r="C254" s="130" t="s">
        <v>110</v>
      </c>
      <c r="D254" s="130" t="s">
        <v>110</v>
      </c>
      <c r="E254" s="130">
        <v>2004.0</v>
      </c>
      <c r="F254" s="130">
        <v>2009.0</v>
      </c>
      <c r="G254" s="130">
        <v>0.0</v>
      </c>
      <c r="H254" s="130">
        <v>28.2</v>
      </c>
      <c r="I254" s="131">
        <f>J254/H254</f>
        <v>0.9516666667</v>
      </c>
      <c r="J254" s="130">
        <v>26.837</v>
      </c>
      <c r="K254" s="132">
        <v>0.0</v>
      </c>
      <c r="L254" s="132">
        <v>0.0</v>
      </c>
      <c r="M254" s="130">
        <v>24.0</v>
      </c>
      <c r="N254" s="134">
        <v>117.0</v>
      </c>
      <c r="O254" s="130" t="s">
        <v>42</v>
      </c>
      <c r="P254" s="140">
        <v>15380.0</v>
      </c>
      <c r="Q254" s="130" t="s">
        <v>234</v>
      </c>
      <c r="R254" s="130">
        <v>2005.0</v>
      </c>
      <c r="S254" s="136">
        <v>0.3519</v>
      </c>
      <c r="T254" s="128">
        <f t="shared" si="1"/>
        <v>5412.222</v>
      </c>
      <c r="U254" s="24">
        <f t="shared" si="2"/>
        <v>191.922766</v>
      </c>
      <c r="V254" s="26">
        <f>VLOOKUP(R254,CPI!$A$2:$E$67,5,0)</f>
        <v>1.560174091</v>
      </c>
      <c r="W254" s="27">
        <f t="shared" si="3"/>
        <v>8444.00854</v>
      </c>
      <c r="X254" s="27">
        <f t="shared" si="4"/>
        <v>299.4329269</v>
      </c>
      <c r="Y254" s="130" t="s">
        <v>42</v>
      </c>
      <c r="Z254" s="137" t="s">
        <v>246</v>
      </c>
      <c r="AA254" s="34"/>
      <c r="AB254" s="34"/>
      <c r="AC254" s="34"/>
      <c r="AD254" s="34"/>
    </row>
    <row r="255">
      <c r="A255" s="72" t="s">
        <v>230</v>
      </c>
      <c r="B255" s="72" t="s">
        <v>231</v>
      </c>
      <c r="C255" s="36" t="s">
        <v>242</v>
      </c>
      <c r="D255" s="72" t="s">
        <v>277</v>
      </c>
      <c r="E255" s="69">
        <v>2016.0</v>
      </c>
      <c r="F255" s="69">
        <v>2020.0</v>
      </c>
      <c r="G255" s="69">
        <v>0.0</v>
      </c>
      <c r="H255" s="69">
        <v>1.83</v>
      </c>
      <c r="I255" s="117">
        <v>1.0</v>
      </c>
      <c r="J255" s="69">
        <v>1.83</v>
      </c>
      <c r="K255" s="72"/>
      <c r="L255" s="72"/>
      <c r="M255" s="69">
        <v>1.0</v>
      </c>
      <c r="N255" s="69">
        <v>68.0</v>
      </c>
      <c r="O255" s="72"/>
      <c r="P255" s="140">
        <v>1800.0</v>
      </c>
      <c r="Q255" s="72" t="s">
        <v>234</v>
      </c>
      <c r="R255" s="69">
        <v>2018.0</v>
      </c>
      <c r="S255" s="136">
        <v>0.237</v>
      </c>
      <c r="T255" s="148">
        <f t="shared" si="1"/>
        <v>426.6</v>
      </c>
      <c r="U255" s="24">
        <f t="shared" si="2"/>
        <v>233.1147541</v>
      </c>
      <c r="V255" s="26">
        <f>VLOOKUP(R255,CPI!$A$2:$E$67,5,0)</f>
        <v>1.21343491</v>
      </c>
      <c r="W255" s="27">
        <f t="shared" si="3"/>
        <v>517.6513327</v>
      </c>
      <c r="X255" s="27">
        <f t="shared" si="4"/>
        <v>282.8695807</v>
      </c>
      <c r="Y255" s="72" t="s">
        <v>42</v>
      </c>
      <c r="Z255" s="149" t="s">
        <v>278</v>
      </c>
      <c r="AA255" s="6"/>
      <c r="AB255" s="6"/>
      <c r="AC255" s="6"/>
      <c r="AD255" s="6"/>
    </row>
    <row r="256">
      <c r="A256" s="130" t="s">
        <v>230</v>
      </c>
      <c r="B256" s="130" t="s">
        <v>231</v>
      </c>
      <c r="C256" s="36" t="s">
        <v>236</v>
      </c>
      <c r="D256" s="130" t="s">
        <v>236</v>
      </c>
      <c r="E256" s="130">
        <v>1999.0</v>
      </c>
      <c r="F256" s="130">
        <v>2003.0</v>
      </c>
      <c r="G256" s="130">
        <v>0.0</v>
      </c>
      <c r="H256" s="130">
        <v>40.85</v>
      </c>
      <c r="I256" s="131">
        <v>0.0</v>
      </c>
      <c r="J256" s="130">
        <v>0.0</v>
      </c>
      <c r="K256" s="132">
        <v>13.855</v>
      </c>
      <c r="L256" s="132">
        <v>26.995</v>
      </c>
      <c r="M256" s="130">
        <v>17.0</v>
      </c>
      <c r="N256" s="134">
        <v>117.0</v>
      </c>
      <c r="O256" s="130" t="s">
        <v>2141</v>
      </c>
      <c r="P256" s="135">
        <f>6.57*10^3</f>
        <v>6570</v>
      </c>
      <c r="Q256" s="130" t="s">
        <v>234</v>
      </c>
      <c r="R256" s="130">
        <v>1999.0</v>
      </c>
      <c r="S256" s="136">
        <v>0.367</v>
      </c>
      <c r="T256" s="128">
        <f t="shared" si="1"/>
        <v>2411.19</v>
      </c>
      <c r="U256" s="24">
        <f t="shared" si="2"/>
        <v>59.025459</v>
      </c>
      <c r="V256" s="26">
        <f>VLOOKUP(R256,CPI!$A$2:$E$67,5,0)</f>
        <v>1.828943577</v>
      </c>
      <c r="W256" s="27">
        <f t="shared" si="3"/>
        <v>4409.930464</v>
      </c>
      <c r="X256" s="27">
        <f t="shared" si="4"/>
        <v>107.9542341</v>
      </c>
      <c r="Y256" s="130" t="s">
        <v>42</v>
      </c>
      <c r="Z256" s="137" t="s">
        <v>237</v>
      </c>
      <c r="AA256" s="34"/>
      <c r="AB256" s="34"/>
      <c r="AC256" s="34"/>
      <c r="AD256" s="34"/>
    </row>
    <row r="257">
      <c r="A257" s="123" t="s">
        <v>230</v>
      </c>
      <c r="B257" s="123" t="s">
        <v>704</v>
      </c>
      <c r="C257" s="36" t="s">
        <v>57</v>
      </c>
      <c r="D257" s="123" t="s">
        <v>705</v>
      </c>
      <c r="E257" s="75">
        <v>1990.0</v>
      </c>
      <c r="F257" s="75">
        <v>1995.0</v>
      </c>
      <c r="G257" s="75">
        <v>0.0</v>
      </c>
      <c r="H257" s="75">
        <v>16.1</v>
      </c>
      <c r="I257" s="155"/>
      <c r="J257" s="123"/>
      <c r="K257" s="125" t="e">
        <v>#N/A</v>
      </c>
      <c r="L257" s="125" t="e">
        <v>#N/A</v>
      </c>
      <c r="M257" s="75">
        <v>13.0</v>
      </c>
      <c r="N257" s="123"/>
      <c r="O257" s="123" t="s">
        <v>74</v>
      </c>
      <c r="P257" s="126">
        <f>5.39*10^3</f>
        <v>5390</v>
      </c>
      <c r="Q257" s="123" t="s">
        <v>234</v>
      </c>
      <c r="R257" s="75">
        <v>1995.0</v>
      </c>
      <c r="S257" s="136">
        <v>0.365</v>
      </c>
      <c r="T257" s="118">
        <f t="shared" si="1"/>
        <v>1967.35</v>
      </c>
      <c r="U257" s="24">
        <f t="shared" si="2"/>
        <v>122.1956522</v>
      </c>
      <c r="V257" s="26">
        <f>VLOOKUP(R257,CPI!$A$2:$E$67,5,0)</f>
        <v>1.999356955</v>
      </c>
      <c r="W257" s="27">
        <f t="shared" si="3"/>
        <v>3933.434906</v>
      </c>
      <c r="X257" s="27">
        <f t="shared" si="4"/>
        <v>244.3127271</v>
      </c>
      <c r="Y257" s="123" t="s">
        <v>42</v>
      </c>
      <c r="Z257" s="129" t="s">
        <v>706</v>
      </c>
      <c r="AA257" s="34"/>
      <c r="AB257" s="34"/>
      <c r="AC257" s="34"/>
      <c r="AD257" s="34"/>
    </row>
    <row r="258">
      <c r="A258" s="123" t="s">
        <v>230</v>
      </c>
      <c r="B258" s="123" t="s">
        <v>704</v>
      </c>
      <c r="C258" s="36" t="s">
        <v>54</v>
      </c>
      <c r="D258" s="123" t="s">
        <v>348</v>
      </c>
      <c r="E258" s="75">
        <v>1995.0</v>
      </c>
      <c r="F258" s="75">
        <v>1999.0</v>
      </c>
      <c r="G258" s="75">
        <v>0.0</v>
      </c>
      <c r="H258" s="75">
        <v>16.3</v>
      </c>
      <c r="I258" s="124">
        <v>1.0</v>
      </c>
      <c r="J258" s="75">
        <v>16.3</v>
      </c>
      <c r="K258" s="125">
        <v>0.0</v>
      </c>
      <c r="L258" s="125">
        <v>0.0</v>
      </c>
      <c r="M258" s="75">
        <v>12.0</v>
      </c>
      <c r="N258" s="123"/>
      <c r="O258" s="123" t="s">
        <v>74</v>
      </c>
      <c r="P258" s="126">
        <f>12.4*10^3</f>
        <v>12400</v>
      </c>
      <c r="Q258" s="123" t="s">
        <v>234</v>
      </c>
      <c r="R258" s="75">
        <v>1995.0</v>
      </c>
      <c r="S258" s="136">
        <v>0.365</v>
      </c>
      <c r="T258" s="118">
        <f t="shared" si="1"/>
        <v>4526</v>
      </c>
      <c r="U258" s="24">
        <f t="shared" si="2"/>
        <v>277.6687117</v>
      </c>
      <c r="V258" s="26">
        <f>VLOOKUP(R258,CPI!$A$2:$E$67,5,0)</f>
        <v>1.999356955</v>
      </c>
      <c r="W258" s="27">
        <f t="shared" si="3"/>
        <v>9049.08958</v>
      </c>
      <c r="X258" s="27">
        <f t="shared" si="4"/>
        <v>555.1588699</v>
      </c>
      <c r="Y258" s="123" t="s">
        <v>60</v>
      </c>
      <c r="Z258" s="129" t="s">
        <v>707</v>
      </c>
      <c r="AA258" s="34"/>
      <c r="AB258" s="34"/>
      <c r="AC258" s="34"/>
      <c r="AD258" s="34"/>
    </row>
    <row r="259">
      <c r="A259" s="130" t="s">
        <v>230</v>
      </c>
      <c r="B259" s="130" t="s">
        <v>704</v>
      </c>
      <c r="C259" s="36" t="s">
        <v>54</v>
      </c>
      <c r="D259" s="130" t="s">
        <v>709</v>
      </c>
      <c r="E259" s="130">
        <v>1999.0</v>
      </c>
      <c r="F259" s="130">
        <v>2000.0</v>
      </c>
      <c r="G259" s="130">
        <v>0.0</v>
      </c>
      <c r="H259" s="130">
        <v>2.72</v>
      </c>
      <c r="I259" s="131">
        <v>0.3198529412</v>
      </c>
      <c r="J259" s="130">
        <v>0.87</v>
      </c>
      <c r="K259" s="132">
        <v>0.305</v>
      </c>
      <c r="L259" s="132">
        <v>1.5718</v>
      </c>
      <c r="M259" s="130">
        <v>1.0</v>
      </c>
      <c r="N259" s="130"/>
      <c r="O259" s="130" t="s">
        <v>74</v>
      </c>
      <c r="P259" s="135">
        <f>0.31477*10^3</f>
        <v>314.77</v>
      </c>
      <c r="Q259" s="130" t="s">
        <v>234</v>
      </c>
      <c r="R259" s="130">
        <v>1999.0</v>
      </c>
      <c r="S259" s="136">
        <v>0.367</v>
      </c>
      <c r="T259" s="128">
        <f t="shared" si="1"/>
        <v>115.52059</v>
      </c>
      <c r="U259" s="24">
        <f t="shared" si="2"/>
        <v>42.47080515</v>
      </c>
      <c r="V259" s="26">
        <f>VLOOKUP(R259,CPI!$A$2:$E$67,5,0)</f>
        <v>1.828943577</v>
      </c>
      <c r="W259" s="27">
        <f t="shared" si="3"/>
        <v>211.2806411</v>
      </c>
      <c r="X259" s="27">
        <f t="shared" si="4"/>
        <v>77.6767063</v>
      </c>
      <c r="Y259" s="130" t="s">
        <v>60</v>
      </c>
      <c r="Z259" s="137" t="s">
        <v>707</v>
      </c>
      <c r="AA259" s="34"/>
      <c r="AB259" s="34"/>
      <c r="AC259" s="34"/>
      <c r="AD259" s="34"/>
    </row>
    <row r="260">
      <c r="A260" s="130" t="s">
        <v>230</v>
      </c>
      <c r="B260" s="130" t="s">
        <v>704</v>
      </c>
      <c r="C260" s="36" t="s">
        <v>54</v>
      </c>
      <c r="D260" s="130" t="s">
        <v>712</v>
      </c>
      <c r="E260" s="130">
        <v>2001.0</v>
      </c>
      <c r="F260" s="130">
        <v>2006.0</v>
      </c>
      <c r="G260" s="130">
        <v>0.0</v>
      </c>
      <c r="H260" s="130">
        <v>6.155</v>
      </c>
      <c r="I260" s="131">
        <v>1.0</v>
      </c>
      <c r="J260" s="130">
        <v>6.155</v>
      </c>
      <c r="K260" s="132">
        <v>0.0</v>
      </c>
      <c r="L260" s="132">
        <v>0.0</v>
      </c>
      <c r="M260" s="130">
        <v>4.0</v>
      </c>
      <c r="N260" s="130"/>
      <c r="O260" s="130" t="s">
        <v>74</v>
      </c>
      <c r="P260" s="135">
        <f>3.48842*10^3</f>
        <v>3488.42</v>
      </c>
      <c r="Q260" s="130" t="s">
        <v>234</v>
      </c>
      <c r="R260" s="130">
        <v>2004.0</v>
      </c>
      <c r="S260" s="136">
        <v>0.355</v>
      </c>
      <c r="T260" s="128">
        <f t="shared" si="1"/>
        <v>1238.3891</v>
      </c>
      <c r="U260" s="24">
        <f t="shared" si="2"/>
        <v>201.2005037</v>
      </c>
      <c r="V260" s="26">
        <f>VLOOKUP(R260,CPI!$A$2:$E$67,5,0)</f>
        <v>1.613033351</v>
      </c>
      <c r="W260" s="27">
        <f t="shared" si="3"/>
        <v>1997.56292</v>
      </c>
      <c r="X260" s="27">
        <f t="shared" si="4"/>
        <v>324.5431226</v>
      </c>
      <c r="Y260" s="130" t="s">
        <v>60</v>
      </c>
      <c r="Z260" s="137" t="s">
        <v>707</v>
      </c>
      <c r="AA260" s="34"/>
      <c r="AB260" s="34"/>
      <c r="AC260" s="34"/>
      <c r="AD260" s="34"/>
    </row>
    <row r="261">
      <c r="A261" s="130" t="s">
        <v>230</v>
      </c>
      <c r="B261" s="130" t="s">
        <v>704</v>
      </c>
      <c r="C261" s="36" t="s">
        <v>54</v>
      </c>
      <c r="D261" s="130" t="s">
        <v>719</v>
      </c>
      <c r="E261" s="130">
        <v>2006.0</v>
      </c>
      <c r="F261" s="130">
        <v>2010.0</v>
      </c>
      <c r="G261" s="130">
        <v>0.0</v>
      </c>
      <c r="H261" s="130">
        <v>30.8</v>
      </c>
      <c r="I261" s="131">
        <f>215/308</f>
        <v>0.6980519481</v>
      </c>
      <c r="J261" s="130">
        <v>21.5</v>
      </c>
      <c r="K261" s="132">
        <v>8.565</v>
      </c>
      <c r="L261" s="132">
        <v>0.983</v>
      </c>
      <c r="M261" s="130">
        <v>10.0</v>
      </c>
      <c r="N261" s="130"/>
      <c r="O261" s="130" t="s">
        <v>59</v>
      </c>
      <c r="P261" s="135">
        <f>11.032*10^3</f>
        <v>11032</v>
      </c>
      <c r="Q261" s="130" t="s">
        <v>234</v>
      </c>
      <c r="R261" s="130">
        <v>2008.0</v>
      </c>
      <c r="S261" s="136">
        <v>0.315</v>
      </c>
      <c r="T261" s="128">
        <f t="shared" si="1"/>
        <v>3475.08</v>
      </c>
      <c r="U261" s="24">
        <f t="shared" si="2"/>
        <v>112.8272727</v>
      </c>
      <c r="V261" s="26">
        <f>VLOOKUP(R261,CPI!$A$2:$E$67,5,0)</f>
        <v>1.415224126</v>
      </c>
      <c r="W261" s="27">
        <f t="shared" si="3"/>
        <v>4918.017056</v>
      </c>
      <c r="X261" s="27">
        <f t="shared" si="4"/>
        <v>159.6758784</v>
      </c>
      <c r="Y261" s="130" t="s">
        <v>60</v>
      </c>
      <c r="Z261" s="137" t="s">
        <v>707</v>
      </c>
      <c r="AA261" s="34"/>
      <c r="AB261" s="34"/>
      <c r="AC261" s="34"/>
      <c r="AD261" s="34"/>
    </row>
    <row r="262">
      <c r="A262" s="123" t="s">
        <v>230</v>
      </c>
      <c r="B262" s="123" t="s">
        <v>704</v>
      </c>
      <c r="C262" s="36" t="s">
        <v>54</v>
      </c>
      <c r="D262" s="123" t="s">
        <v>720</v>
      </c>
      <c r="E262" s="123"/>
      <c r="F262" s="75">
        <v>2010.0</v>
      </c>
      <c r="G262" s="75">
        <v>0.0</v>
      </c>
      <c r="H262" s="75">
        <v>8.53</v>
      </c>
      <c r="I262" s="155"/>
      <c r="J262" s="123"/>
      <c r="K262" s="125" t="e">
        <v>#N/A</v>
      </c>
      <c r="L262" s="125" t="e">
        <v>#N/A</v>
      </c>
      <c r="M262" s="75">
        <v>3.0</v>
      </c>
      <c r="N262" s="123"/>
      <c r="O262" s="123" t="s">
        <v>74</v>
      </c>
      <c r="P262" s="126">
        <f>2.5*10^3</f>
        <v>2500</v>
      </c>
      <c r="Q262" s="123" t="s">
        <v>234</v>
      </c>
      <c r="R262" s="142">
        <v>2010.0</v>
      </c>
      <c r="S262" s="136">
        <v>0.3</v>
      </c>
      <c r="T262" s="128">
        <f t="shared" si="1"/>
        <v>750</v>
      </c>
      <c r="U262" s="24">
        <f t="shared" si="2"/>
        <v>87.92497069</v>
      </c>
      <c r="V262" s="26">
        <f>VLOOKUP(R262,CPI!$A$2:$E$67,5,0)</f>
        <v>1.397356642</v>
      </c>
      <c r="W262" s="27">
        <f t="shared" si="3"/>
        <v>1048.017482</v>
      </c>
      <c r="X262" s="27">
        <f t="shared" si="4"/>
        <v>122.8625418</v>
      </c>
      <c r="Y262" s="123" t="s">
        <v>60</v>
      </c>
      <c r="Z262" s="129" t="s">
        <v>707</v>
      </c>
      <c r="AA262" s="34"/>
      <c r="AB262" s="34"/>
      <c r="AC262" s="34"/>
      <c r="AD262" s="34"/>
    </row>
    <row r="263">
      <c r="A263" s="130" t="s">
        <v>230</v>
      </c>
      <c r="B263" s="130" t="s">
        <v>704</v>
      </c>
      <c r="C263" s="36" t="s">
        <v>87</v>
      </c>
      <c r="D263" s="130" t="s">
        <v>87</v>
      </c>
      <c r="E263" s="130">
        <v>1997.0</v>
      </c>
      <c r="F263" s="130">
        <v>2000.0</v>
      </c>
      <c r="G263" s="130">
        <v>0.0</v>
      </c>
      <c r="H263" s="130">
        <v>24.975</v>
      </c>
      <c r="I263" s="131">
        <v>0.0</v>
      </c>
      <c r="J263" s="130">
        <v>0.0</v>
      </c>
      <c r="K263" s="132">
        <v>21.605</v>
      </c>
      <c r="L263" s="132">
        <v>3.375</v>
      </c>
      <c r="M263" s="130"/>
      <c r="N263" s="130"/>
      <c r="O263" s="130" t="s">
        <v>74</v>
      </c>
      <c r="P263" s="135">
        <f>9.378*10^3</f>
        <v>9378</v>
      </c>
      <c r="Q263" s="130" t="s">
        <v>234</v>
      </c>
      <c r="R263" s="130">
        <v>1998.0</v>
      </c>
      <c r="S263" s="136">
        <v>0.357</v>
      </c>
      <c r="T263" s="128">
        <f t="shared" si="1"/>
        <v>3347.946</v>
      </c>
      <c r="U263" s="24">
        <f t="shared" si="2"/>
        <v>134.0518919</v>
      </c>
      <c r="V263" s="26">
        <f>VLOOKUP(R263,CPI!$A$2:$E$67,5,0)</f>
        <v>1.869337423</v>
      </c>
      <c r="W263" s="27">
        <f t="shared" si="3"/>
        <v>6258.440749</v>
      </c>
      <c r="X263" s="27">
        <f t="shared" si="4"/>
        <v>250.5882182</v>
      </c>
      <c r="Y263" s="130" t="s">
        <v>60</v>
      </c>
      <c r="Z263" s="137" t="s">
        <v>708</v>
      </c>
      <c r="AA263" s="34"/>
      <c r="AB263" s="34"/>
      <c r="AC263" s="34"/>
      <c r="AD263" s="34"/>
    </row>
    <row r="264">
      <c r="A264" s="123" t="s">
        <v>230</v>
      </c>
      <c r="B264" s="123" t="s">
        <v>704</v>
      </c>
      <c r="C264" s="36" t="s">
        <v>87</v>
      </c>
      <c r="D264" s="123" t="s">
        <v>713</v>
      </c>
      <c r="E264" s="123"/>
      <c r="F264" s="75">
        <v>2006.0</v>
      </c>
      <c r="G264" s="75">
        <v>0.0</v>
      </c>
      <c r="H264" s="75">
        <v>15.365</v>
      </c>
      <c r="I264" s="124">
        <v>0.128799219</v>
      </c>
      <c r="J264" s="75">
        <v>1.979</v>
      </c>
      <c r="K264" s="125">
        <v>13.395</v>
      </c>
      <c r="L264" s="125">
        <v>0.1306</v>
      </c>
      <c r="M264" s="75">
        <v>10.0</v>
      </c>
      <c r="N264" s="123"/>
      <c r="O264" s="123" t="s">
        <v>74</v>
      </c>
      <c r="P264" s="126">
        <f>3.5*10^3</f>
        <v>3500</v>
      </c>
      <c r="Q264" s="123" t="s">
        <v>234</v>
      </c>
      <c r="R264" s="142">
        <v>2006.0</v>
      </c>
      <c r="S264" s="136">
        <v>0.349</v>
      </c>
      <c r="T264" s="118">
        <f t="shared" si="1"/>
        <v>1221.5</v>
      </c>
      <c r="U264" s="24">
        <f t="shared" si="2"/>
        <v>79.49886105</v>
      </c>
      <c r="V264" s="26">
        <f>VLOOKUP(R264,CPI!$A$2:$E$67,5,0)</f>
        <v>1.511418651</v>
      </c>
      <c r="W264" s="27">
        <f t="shared" si="3"/>
        <v>1846.197882</v>
      </c>
      <c r="X264" s="27">
        <f t="shared" si="4"/>
        <v>120.1560613</v>
      </c>
      <c r="Y264" s="123" t="s">
        <v>60</v>
      </c>
      <c r="Z264" s="129" t="s">
        <v>708</v>
      </c>
      <c r="AA264" s="34"/>
      <c r="AB264" s="34"/>
      <c r="AC264" s="34"/>
      <c r="AD264" s="34"/>
    </row>
    <row r="265">
      <c r="A265" s="123" t="s">
        <v>230</v>
      </c>
      <c r="B265" s="123" t="s">
        <v>704</v>
      </c>
      <c r="C265" s="36" t="s">
        <v>110</v>
      </c>
      <c r="D265" s="123" t="s">
        <v>332</v>
      </c>
      <c r="E265" s="123"/>
      <c r="F265" s="75">
        <v>2005.0</v>
      </c>
      <c r="G265" s="75">
        <v>0.0</v>
      </c>
      <c r="H265" s="75">
        <v>22.032</v>
      </c>
      <c r="I265" s="124">
        <v>0.9432643428</v>
      </c>
      <c r="J265" s="75">
        <v>20.782</v>
      </c>
      <c r="K265" s="125">
        <v>1.285</v>
      </c>
      <c r="L265" s="125">
        <v>0.0368</v>
      </c>
      <c r="M265" s="75">
        <v>9.0</v>
      </c>
      <c r="N265" s="123"/>
      <c r="O265" s="123" t="s">
        <v>74</v>
      </c>
      <c r="P265" s="126">
        <f>12.6*10^3</f>
        <v>12600</v>
      </c>
      <c r="Q265" s="123" t="s">
        <v>234</v>
      </c>
      <c r="R265" s="142">
        <v>2005.0</v>
      </c>
      <c r="S265" s="136">
        <v>0.3519</v>
      </c>
      <c r="T265" s="128">
        <f t="shared" si="1"/>
        <v>4433.94</v>
      </c>
      <c r="U265" s="24">
        <f t="shared" si="2"/>
        <v>201.25</v>
      </c>
      <c r="V265" s="26">
        <f>VLOOKUP(R265,CPI!$A$2:$E$67,5,0)</f>
        <v>1.560174091</v>
      </c>
      <c r="W265" s="27">
        <f t="shared" si="3"/>
        <v>6917.71831</v>
      </c>
      <c r="X265" s="27">
        <f t="shared" si="4"/>
        <v>313.9850358</v>
      </c>
      <c r="Y265" s="123" t="s">
        <v>60</v>
      </c>
      <c r="Z265" s="129" t="s">
        <v>711</v>
      </c>
      <c r="AA265" s="34"/>
      <c r="AB265" s="34"/>
      <c r="AC265" s="34"/>
      <c r="AD265" s="34"/>
    </row>
    <row r="266">
      <c r="A266" s="130" t="s">
        <v>230</v>
      </c>
      <c r="B266" s="130" t="s">
        <v>704</v>
      </c>
      <c r="C266" s="36" t="s">
        <v>84</v>
      </c>
      <c r="D266" s="130" t="s">
        <v>319</v>
      </c>
      <c r="E266" s="130">
        <v>2000.0</v>
      </c>
      <c r="F266" s="130">
        <v>2002.0</v>
      </c>
      <c r="G266" s="130">
        <v>0.0</v>
      </c>
      <c r="H266" s="130">
        <v>17.206</v>
      </c>
      <c r="I266" s="131">
        <v>0.0</v>
      </c>
      <c r="J266" s="130">
        <v>0.0</v>
      </c>
      <c r="K266" s="132">
        <v>16.7</v>
      </c>
      <c r="L266" s="132">
        <v>0.51</v>
      </c>
      <c r="M266" s="130">
        <v>11.0</v>
      </c>
      <c r="N266" s="130"/>
      <c r="O266" s="130" t="s">
        <v>74</v>
      </c>
      <c r="P266" s="135">
        <f>3.437*10^3</f>
        <v>3437</v>
      </c>
      <c r="Q266" s="130" t="s">
        <v>234</v>
      </c>
      <c r="R266" s="130">
        <v>2001.0</v>
      </c>
      <c r="S266" s="136">
        <v>0.368</v>
      </c>
      <c r="T266" s="128">
        <f t="shared" si="1"/>
        <v>1264.816</v>
      </c>
      <c r="U266" s="24">
        <f t="shared" si="2"/>
        <v>73.51017087</v>
      </c>
      <c r="V266" s="26">
        <f>VLOOKUP(R266,CPI!$A$2:$E$67,5,0)</f>
        <v>1.720508187</v>
      </c>
      <c r="W266" s="27">
        <f t="shared" si="3"/>
        <v>2176.126284</v>
      </c>
      <c r="X266" s="27">
        <f t="shared" si="4"/>
        <v>126.4748508</v>
      </c>
      <c r="Y266" s="130" t="s">
        <v>60</v>
      </c>
      <c r="Z266" s="137" t="s">
        <v>710</v>
      </c>
      <c r="AA266" s="34"/>
      <c r="AB266" s="34"/>
      <c r="AC266" s="34"/>
      <c r="AD266" s="34"/>
    </row>
    <row r="267">
      <c r="A267" s="130" t="s">
        <v>230</v>
      </c>
      <c r="B267" s="130" t="s">
        <v>704</v>
      </c>
      <c r="C267" s="36" t="s">
        <v>84</v>
      </c>
      <c r="D267" s="130" t="s">
        <v>731</v>
      </c>
      <c r="E267" s="130">
        <v>2014.0</v>
      </c>
      <c r="F267" s="130">
        <v>2018.0</v>
      </c>
      <c r="G267" s="130">
        <v>0.0</v>
      </c>
      <c r="H267" s="130">
        <v>19.628</v>
      </c>
      <c r="I267" s="131">
        <v>0.3946912574</v>
      </c>
      <c r="J267" s="130">
        <v>7.747</v>
      </c>
      <c r="K267" s="132">
        <v>11.9743</v>
      </c>
      <c r="L267" s="132">
        <v>0.0</v>
      </c>
      <c r="M267" s="130">
        <v>9.0</v>
      </c>
      <c r="N267" s="130"/>
      <c r="O267" s="130" t="s">
        <v>74</v>
      </c>
      <c r="P267" s="135">
        <f>10.619*10^3</f>
        <v>10619</v>
      </c>
      <c r="Q267" s="130" t="s">
        <v>234</v>
      </c>
      <c r="R267" s="130">
        <v>2016.0</v>
      </c>
      <c r="S267" s="136">
        <v>0.251</v>
      </c>
      <c r="T267" s="128">
        <f t="shared" si="1"/>
        <v>2665.369</v>
      </c>
      <c r="U267" s="24">
        <f t="shared" si="2"/>
        <v>135.7942225</v>
      </c>
      <c r="V267" s="26">
        <f>VLOOKUP(R267,CPI!$A$2:$E$67,5,0)</f>
        <v>1.269554638</v>
      </c>
      <c r="W267" s="27">
        <f t="shared" si="3"/>
        <v>3383.831576</v>
      </c>
      <c r="X267" s="27">
        <f t="shared" si="4"/>
        <v>172.398185</v>
      </c>
      <c r="Y267" s="130" t="s">
        <v>60</v>
      </c>
      <c r="Z267" s="137" t="s">
        <v>710</v>
      </c>
      <c r="AA267" s="34"/>
      <c r="AB267" s="34"/>
      <c r="AC267" s="34"/>
      <c r="AD267" s="34"/>
    </row>
    <row r="268">
      <c r="A268" s="130" t="s">
        <v>230</v>
      </c>
      <c r="B268" s="130" t="s">
        <v>704</v>
      </c>
      <c r="C268" s="36" t="s">
        <v>228</v>
      </c>
      <c r="D268" s="130" t="s">
        <v>263</v>
      </c>
      <c r="E268" s="130">
        <v>2005.0</v>
      </c>
      <c r="F268" s="130">
        <v>2009.0</v>
      </c>
      <c r="G268" s="130">
        <v>0.0</v>
      </c>
      <c r="H268" s="130">
        <v>34.388</v>
      </c>
      <c r="I268" s="131">
        <v>1.0</v>
      </c>
      <c r="J268" s="130">
        <v>34.388</v>
      </c>
      <c r="K268" s="132">
        <v>0.0</v>
      </c>
      <c r="L268" s="132">
        <v>0.0</v>
      </c>
      <c r="M268" s="130">
        <v>28.0</v>
      </c>
      <c r="N268" s="130"/>
      <c r="O268" s="130" t="s">
        <v>74</v>
      </c>
      <c r="P268" s="135">
        <f>18.7*10^3</f>
        <v>18700</v>
      </c>
      <c r="Q268" s="130" t="s">
        <v>234</v>
      </c>
      <c r="R268" s="130">
        <v>2007.0</v>
      </c>
      <c r="S268" s="136">
        <v>0.333</v>
      </c>
      <c r="T268" s="128">
        <f t="shared" si="1"/>
        <v>6227.1</v>
      </c>
      <c r="U268" s="24">
        <f t="shared" si="2"/>
        <v>181.0835175</v>
      </c>
      <c r="V268" s="26">
        <f>VLOOKUP(R268,CPI!$A$2:$E$67,5,0)</f>
        <v>1.469562366</v>
      </c>
      <c r="W268" s="27">
        <f t="shared" si="3"/>
        <v>9151.111807</v>
      </c>
      <c r="X268" s="27">
        <f t="shared" si="4"/>
        <v>266.1135224</v>
      </c>
      <c r="Y268" s="130" t="s">
        <v>60</v>
      </c>
      <c r="Z268" s="137" t="s">
        <v>715</v>
      </c>
      <c r="AA268" s="34"/>
      <c r="AB268" s="34"/>
      <c r="AC268" s="34"/>
      <c r="AD268" s="34"/>
    </row>
    <row r="269">
      <c r="A269" s="130" t="s">
        <v>230</v>
      </c>
      <c r="B269" s="130" t="s">
        <v>704</v>
      </c>
      <c r="C269" s="36" t="s">
        <v>228</v>
      </c>
      <c r="D269" s="130" t="s">
        <v>722</v>
      </c>
      <c r="E269" s="130">
        <v>2009.0</v>
      </c>
      <c r="F269" s="130">
        <v>2011.0</v>
      </c>
      <c r="G269" s="130">
        <v>0.0</v>
      </c>
      <c r="H269" s="130">
        <v>9.978</v>
      </c>
      <c r="I269" s="131">
        <v>0.7025456003</v>
      </c>
      <c r="J269" s="130">
        <v>7.01</v>
      </c>
      <c r="K269" s="132">
        <v>2.515</v>
      </c>
      <c r="L269" s="132">
        <v>0.479</v>
      </c>
      <c r="M269" s="130">
        <v>5.0</v>
      </c>
      <c r="N269" s="130"/>
      <c r="O269" s="130" t="s">
        <v>74</v>
      </c>
      <c r="P269" s="135">
        <f>3.157*10^3</f>
        <v>3157</v>
      </c>
      <c r="Q269" s="130" t="s">
        <v>234</v>
      </c>
      <c r="R269" s="130">
        <v>2010.0</v>
      </c>
      <c r="S269" s="136">
        <v>0.3</v>
      </c>
      <c r="T269" s="128">
        <f t="shared" si="1"/>
        <v>947.1</v>
      </c>
      <c r="U269" s="24">
        <f t="shared" si="2"/>
        <v>94.91882141</v>
      </c>
      <c r="V269" s="26">
        <f>VLOOKUP(R269,CPI!$A$2:$E$67,5,0)</f>
        <v>1.397356642</v>
      </c>
      <c r="W269" s="27">
        <f t="shared" si="3"/>
        <v>1323.436476</v>
      </c>
      <c r="X269" s="27">
        <f t="shared" si="4"/>
        <v>132.6354456</v>
      </c>
      <c r="Y269" s="130" t="s">
        <v>60</v>
      </c>
      <c r="Z269" s="137" t="s">
        <v>715</v>
      </c>
      <c r="AA269" s="34"/>
      <c r="AB269" s="34"/>
      <c r="AC269" s="34"/>
      <c r="AD269" s="34"/>
    </row>
    <row r="270">
      <c r="A270" s="123" t="s">
        <v>230</v>
      </c>
      <c r="B270" s="123" t="s">
        <v>704</v>
      </c>
      <c r="C270" s="36" t="s">
        <v>243</v>
      </c>
      <c r="D270" s="123" t="s">
        <v>373</v>
      </c>
      <c r="E270" s="123"/>
      <c r="F270" s="75">
        <v>2009.0</v>
      </c>
      <c r="G270" s="75">
        <v>0.0</v>
      </c>
      <c r="H270" s="75">
        <v>14.44</v>
      </c>
      <c r="I270" s="124">
        <f>J270/H270</f>
        <v>0.5706371191</v>
      </c>
      <c r="J270" s="75">
        <v>8.24</v>
      </c>
      <c r="K270" s="125">
        <v>6.2092</v>
      </c>
      <c r="L270" s="125">
        <v>0.0</v>
      </c>
      <c r="M270" s="75">
        <v>8.0</v>
      </c>
      <c r="N270" s="123"/>
      <c r="O270" s="123" t="s">
        <v>74</v>
      </c>
      <c r="P270" s="126">
        <f>5.332*10^3</f>
        <v>5332</v>
      </c>
      <c r="Q270" s="123" t="s">
        <v>234</v>
      </c>
      <c r="R270" s="130">
        <v>2009.0</v>
      </c>
      <c r="S270" s="136">
        <v>0.317</v>
      </c>
      <c r="T270" s="118">
        <f t="shared" si="1"/>
        <v>1690.244</v>
      </c>
      <c r="U270" s="24">
        <f t="shared" si="2"/>
        <v>117.0529086</v>
      </c>
      <c r="V270" s="26">
        <f>VLOOKUP(R270,CPI!$A$2:$E$67,5,0)</f>
        <v>1.420277155</v>
      </c>
      <c r="W270" s="27">
        <f t="shared" si="3"/>
        <v>2400.61494</v>
      </c>
      <c r="X270" s="27">
        <f t="shared" si="4"/>
        <v>166.247572</v>
      </c>
      <c r="Y270" s="130" t="s">
        <v>60</v>
      </c>
      <c r="Z270" s="129" t="s">
        <v>717</v>
      </c>
      <c r="AA270" s="34"/>
      <c r="AB270" s="34"/>
      <c r="AC270" s="34"/>
      <c r="AD270" s="34"/>
    </row>
    <row r="271">
      <c r="A271" s="123" t="s">
        <v>230</v>
      </c>
      <c r="B271" s="123" t="s">
        <v>704</v>
      </c>
      <c r="C271" s="36" t="s">
        <v>253</v>
      </c>
      <c r="D271" s="123" t="s">
        <v>362</v>
      </c>
      <c r="E271" s="123"/>
      <c r="F271" s="75">
        <v>2008.0</v>
      </c>
      <c r="G271" s="75">
        <v>0.0</v>
      </c>
      <c r="H271" s="75">
        <v>30.687</v>
      </c>
      <c r="I271" s="124">
        <v>0.4817023495</v>
      </c>
      <c r="J271" s="75">
        <v>14.782</v>
      </c>
      <c r="K271" s="125">
        <v>15.9588</v>
      </c>
      <c r="L271" s="125">
        <v>0.0</v>
      </c>
      <c r="M271" s="75">
        <v>13.0</v>
      </c>
      <c r="N271" s="123"/>
      <c r="O271" s="123" t="s">
        <v>74</v>
      </c>
      <c r="P271" s="126">
        <f>19*10^3</f>
        <v>19000</v>
      </c>
      <c r="Q271" s="123" t="s">
        <v>234</v>
      </c>
      <c r="R271" s="130">
        <v>2008.0</v>
      </c>
      <c r="S271" s="136">
        <v>0.315</v>
      </c>
      <c r="T271" s="128">
        <f t="shared" si="1"/>
        <v>5985</v>
      </c>
      <c r="U271" s="24">
        <f t="shared" si="2"/>
        <v>195.0337276</v>
      </c>
      <c r="V271" s="26">
        <f>VLOOKUP(R271,CPI!$A$2:$E$67,5,0)</f>
        <v>1.415224126</v>
      </c>
      <c r="W271" s="27">
        <f t="shared" si="3"/>
        <v>8470.116394</v>
      </c>
      <c r="X271" s="27">
        <f t="shared" si="4"/>
        <v>276.0164367</v>
      </c>
      <c r="Y271" s="130" t="s">
        <v>60</v>
      </c>
      <c r="Z271" s="129" t="s">
        <v>714</v>
      </c>
      <c r="AA271" s="34"/>
      <c r="AB271" s="34"/>
      <c r="AC271" s="34"/>
      <c r="AD271" s="34"/>
    </row>
    <row r="272">
      <c r="A272" s="130" t="s">
        <v>230</v>
      </c>
      <c r="B272" s="130" t="s">
        <v>704</v>
      </c>
      <c r="C272" s="36" t="s">
        <v>253</v>
      </c>
      <c r="D272" s="130" t="s">
        <v>393</v>
      </c>
      <c r="E272" s="130">
        <v>2005.0</v>
      </c>
      <c r="F272" s="130">
        <v>2009.0</v>
      </c>
      <c r="G272" s="130">
        <v>0.0</v>
      </c>
      <c r="H272" s="130">
        <v>14.5</v>
      </c>
      <c r="I272" s="131">
        <v>1.0</v>
      </c>
      <c r="J272" s="130">
        <v>14.5</v>
      </c>
      <c r="K272" s="132">
        <v>0.0</v>
      </c>
      <c r="L272" s="132">
        <v>0.0</v>
      </c>
      <c r="M272" s="130">
        <v>10.0</v>
      </c>
      <c r="N272" s="130"/>
      <c r="O272" s="130" t="s">
        <v>74</v>
      </c>
      <c r="P272" s="135">
        <f>8.94*10^3</f>
        <v>8940</v>
      </c>
      <c r="Q272" s="130" t="s">
        <v>234</v>
      </c>
      <c r="R272" s="130">
        <v>2007.0</v>
      </c>
      <c r="S272" s="136">
        <v>0.333</v>
      </c>
      <c r="T272" s="128">
        <f t="shared" si="1"/>
        <v>2977.02</v>
      </c>
      <c r="U272" s="24">
        <f t="shared" si="2"/>
        <v>205.3117241</v>
      </c>
      <c r="V272" s="26">
        <f>VLOOKUP(R272,CPI!$A$2:$E$67,5,0)</f>
        <v>1.469562366</v>
      </c>
      <c r="W272" s="27">
        <f t="shared" si="3"/>
        <v>4374.916554</v>
      </c>
      <c r="X272" s="27">
        <f t="shared" si="4"/>
        <v>301.718383</v>
      </c>
      <c r="Y272" s="130" t="s">
        <v>60</v>
      </c>
      <c r="Z272" s="137" t="s">
        <v>714</v>
      </c>
      <c r="AA272" s="34"/>
      <c r="AB272" s="34"/>
      <c r="AC272" s="34"/>
      <c r="AD272" s="34"/>
    </row>
    <row r="273">
      <c r="A273" s="130" t="s">
        <v>230</v>
      </c>
      <c r="B273" s="130" t="s">
        <v>704</v>
      </c>
      <c r="C273" s="36" t="s">
        <v>253</v>
      </c>
      <c r="D273" s="130" t="s">
        <v>723</v>
      </c>
      <c r="E273" s="130">
        <v>2009.0</v>
      </c>
      <c r="F273" s="130">
        <v>2012.0</v>
      </c>
      <c r="G273" s="130">
        <v>0.0</v>
      </c>
      <c r="H273" s="130">
        <v>5.372</v>
      </c>
      <c r="I273" s="131">
        <v>1.0</v>
      </c>
      <c r="J273" s="130">
        <v>5.372</v>
      </c>
      <c r="K273" s="132">
        <v>0.0</v>
      </c>
      <c r="L273" s="132">
        <v>0.0</v>
      </c>
      <c r="M273" s="130"/>
      <c r="N273" s="130"/>
      <c r="O273" s="130" t="s">
        <v>74</v>
      </c>
      <c r="P273" s="135">
        <f>2.8*10^3</f>
        <v>2800</v>
      </c>
      <c r="Q273" s="130" t="s">
        <v>234</v>
      </c>
      <c r="R273" s="130">
        <v>2010.0</v>
      </c>
      <c r="S273" s="136">
        <v>0.3</v>
      </c>
      <c r="T273" s="128">
        <f t="shared" si="1"/>
        <v>840</v>
      </c>
      <c r="U273" s="24">
        <f t="shared" si="2"/>
        <v>156.366344</v>
      </c>
      <c r="V273" s="26">
        <f>VLOOKUP(R273,CPI!$A$2:$E$67,5,0)</f>
        <v>1.397356642</v>
      </c>
      <c r="W273" s="27">
        <f t="shared" si="3"/>
        <v>1173.77958</v>
      </c>
      <c r="X273" s="27">
        <f t="shared" si="4"/>
        <v>218.4995494</v>
      </c>
      <c r="Y273" s="130" t="s">
        <v>60</v>
      </c>
      <c r="Z273" s="137" t="s">
        <v>714</v>
      </c>
      <c r="AA273" s="34"/>
      <c r="AB273" s="34"/>
      <c r="AC273" s="34"/>
      <c r="AD273" s="34"/>
    </row>
    <row r="274">
      <c r="A274" s="72" t="s">
        <v>230</v>
      </c>
      <c r="B274" s="72" t="s">
        <v>704</v>
      </c>
      <c r="C274" s="115" t="s">
        <v>253</v>
      </c>
      <c r="D274" s="115" t="s">
        <v>728</v>
      </c>
      <c r="E274" s="69">
        <v>2013.0</v>
      </c>
      <c r="F274" s="69">
        <v>2017.0</v>
      </c>
      <c r="G274" s="69">
        <v>0.0</v>
      </c>
      <c r="H274" s="69">
        <v>13.828</v>
      </c>
      <c r="I274" s="117">
        <v>1.0</v>
      </c>
      <c r="J274" s="69">
        <v>13.828</v>
      </c>
      <c r="K274" s="72"/>
      <c r="L274" s="72"/>
      <c r="M274" s="69">
        <v>9.0</v>
      </c>
      <c r="N274" s="70">
        <v>138.0</v>
      </c>
      <c r="O274" s="72"/>
      <c r="P274" s="140">
        <v>12713.0</v>
      </c>
      <c r="Q274" s="72" t="s">
        <v>234</v>
      </c>
      <c r="R274" s="115">
        <v>2015.0</v>
      </c>
      <c r="S274" s="136">
        <v>0.258</v>
      </c>
      <c r="T274" s="118">
        <f t="shared" si="1"/>
        <v>3279.954</v>
      </c>
      <c r="U274" s="24">
        <f t="shared" si="2"/>
        <v>237.1965577</v>
      </c>
      <c r="V274" s="26">
        <f>VLOOKUP(R274,CPI!$A$2:$E$67,5,0)</f>
        <v>1.285570233</v>
      </c>
      <c r="W274" s="27">
        <f t="shared" si="3"/>
        <v>4216.611229</v>
      </c>
      <c r="X274" s="27">
        <f t="shared" si="4"/>
        <v>304.932834</v>
      </c>
      <c r="Y274" s="130" t="s">
        <v>60</v>
      </c>
      <c r="Z274" s="79" t="s">
        <v>729</v>
      </c>
      <c r="AA274" s="79" t="s">
        <v>730</v>
      </c>
    </row>
    <row r="275">
      <c r="A275" s="130" t="s">
        <v>230</v>
      </c>
      <c r="B275" s="130" t="s">
        <v>704</v>
      </c>
      <c r="C275" s="36" t="s">
        <v>239</v>
      </c>
      <c r="D275" s="130" t="s">
        <v>356</v>
      </c>
      <c r="E275" s="130">
        <v>2005.0</v>
      </c>
      <c r="F275" s="130">
        <v>2010.0</v>
      </c>
      <c r="G275" s="130">
        <v>0.0</v>
      </c>
      <c r="H275" s="130">
        <v>36.221</v>
      </c>
      <c r="I275" s="131">
        <v>1.0</v>
      </c>
      <c r="J275" s="130">
        <v>36.221</v>
      </c>
      <c r="K275" s="132">
        <v>0.0</v>
      </c>
      <c r="L275" s="132">
        <v>0.0</v>
      </c>
      <c r="M275" s="130">
        <v>31.0</v>
      </c>
      <c r="N275" s="134">
        <v>138.0</v>
      </c>
      <c r="O275" s="130" t="s">
        <v>74</v>
      </c>
      <c r="P275" s="135">
        <f>23.784*10^3</f>
        <v>23784</v>
      </c>
      <c r="Q275" s="130" t="s">
        <v>234</v>
      </c>
      <c r="R275" s="130">
        <v>2007.0</v>
      </c>
      <c r="S275" s="136">
        <v>0.333</v>
      </c>
      <c r="T275" s="128">
        <f t="shared" si="1"/>
        <v>7920.072</v>
      </c>
      <c r="U275" s="24">
        <f t="shared" si="2"/>
        <v>218.6596726</v>
      </c>
      <c r="V275" s="26">
        <f>VLOOKUP(R275,CPI!$A$2:$E$67,5,0)</f>
        <v>1.469562366</v>
      </c>
      <c r="W275" s="27">
        <f t="shared" si="3"/>
        <v>11639.03974</v>
      </c>
      <c r="X275" s="27">
        <f t="shared" si="4"/>
        <v>321.3340257</v>
      </c>
      <c r="Y275" s="130" t="s">
        <v>60</v>
      </c>
      <c r="Z275" s="137" t="s">
        <v>718</v>
      </c>
      <c r="AA275" s="34"/>
      <c r="AB275" s="34"/>
      <c r="AC275" s="34"/>
      <c r="AD275" s="34"/>
    </row>
    <row r="276">
      <c r="A276" s="130" t="s">
        <v>230</v>
      </c>
      <c r="B276" s="130" t="s">
        <v>704</v>
      </c>
      <c r="C276" s="36" t="s">
        <v>292</v>
      </c>
      <c r="D276" s="130" t="s">
        <v>622</v>
      </c>
      <c r="E276" s="130">
        <v>2007.0</v>
      </c>
      <c r="F276" s="130">
        <v>2009.0</v>
      </c>
      <c r="G276" s="130">
        <v>0.0</v>
      </c>
      <c r="H276" s="130">
        <v>46.008</v>
      </c>
      <c r="I276" s="131">
        <v>0.4711354547</v>
      </c>
      <c r="J276" s="130">
        <v>21.676</v>
      </c>
      <c r="K276" s="132">
        <v>24.3853</v>
      </c>
      <c r="L276" s="132">
        <v>0.0</v>
      </c>
      <c r="M276" s="130">
        <v>21.0</v>
      </c>
      <c r="N276" s="130"/>
      <c r="O276" s="130" t="s">
        <v>74</v>
      </c>
      <c r="P276" s="135">
        <f>18.95*10^3</f>
        <v>18950</v>
      </c>
      <c r="Q276" s="130" t="s">
        <v>234</v>
      </c>
      <c r="R276" s="130">
        <v>2008.0</v>
      </c>
      <c r="S276" s="136">
        <v>0.315</v>
      </c>
      <c r="T276" s="128">
        <f t="shared" si="1"/>
        <v>5969.25</v>
      </c>
      <c r="U276" s="24">
        <f t="shared" si="2"/>
        <v>129.7437402</v>
      </c>
      <c r="V276" s="26">
        <f>VLOOKUP(R276,CPI!$A$2:$E$67,5,0)</f>
        <v>1.415224126</v>
      </c>
      <c r="W276" s="27">
        <f t="shared" si="3"/>
        <v>8447.826614</v>
      </c>
      <c r="X276" s="27">
        <f t="shared" si="4"/>
        <v>183.6164714</v>
      </c>
      <c r="Y276" s="130" t="s">
        <v>60</v>
      </c>
      <c r="Z276" s="137" t="s">
        <v>716</v>
      </c>
      <c r="AA276" s="34"/>
      <c r="AB276" s="34"/>
      <c r="AC276" s="34"/>
      <c r="AD276" s="34"/>
    </row>
    <row r="277">
      <c r="A277" s="123" t="s">
        <v>230</v>
      </c>
      <c r="B277" s="123" t="s">
        <v>704</v>
      </c>
      <c r="C277" s="36" t="s">
        <v>292</v>
      </c>
      <c r="D277" s="123" t="s">
        <v>724</v>
      </c>
      <c r="E277" s="123"/>
      <c r="F277" s="75">
        <v>2013.0</v>
      </c>
      <c r="G277" s="75">
        <v>0.0</v>
      </c>
      <c r="H277" s="75">
        <v>22.886</v>
      </c>
      <c r="I277" s="155"/>
      <c r="J277" s="123"/>
      <c r="K277" s="125" t="e">
        <v>#N/A</v>
      </c>
      <c r="L277" s="125" t="e">
        <v>#N/A</v>
      </c>
      <c r="M277" s="75">
        <v>13.0</v>
      </c>
      <c r="N277" s="123"/>
      <c r="O277" s="123" t="s">
        <v>74</v>
      </c>
      <c r="P277" s="126">
        <f>12.965*10^3</f>
        <v>12965</v>
      </c>
      <c r="Q277" s="123" t="s">
        <v>234</v>
      </c>
      <c r="R277" s="130">
        <v>2013.0</v>
      </c>
      <c r="S277" s="136">
        <v>0.273</v>
      </c>
      <c r="T277" s="128">
        <f t="shared" si="1"/>
        <v>3539.445</v>
      </c>
      <c r="U277" s="24">
        <f t="shared" si="2"/>
        <v>154.6554662</v>
      </c>
      <c r="V277" s="26">
        <f>VLOOKUP(R277,CPI!$A$2:$E$67,5,0)</f>
        <v>1.307975292</v>
      </c>
      <c r="W277" s="27">
        <f t="shared" si="3"/>
        <v>4629.506606</v>
      </c>
      <c r="X277" s="27">
        <f t="shared" si="4"/>
        <v>202.2855285</v>
      </c>
      <c r="Y277" s="130" t="s">
        <v>60</v>
      </c>
      <c r="Z277" s="137" t="s">
        <v>716</v>
      </c>
      <c r="AA277" s="130"/>
      <c r="AB277" s="130"/>
      <c r="AC277" s="130"/>
      <c r="AD277" s="130"/>
    </row>
    <row r="278">
      <c r="A278" s="123" t="s">
        <v>230</v>
      </c>
      <c r="B278" s="123" t="s">
        <v>704</v>
      </c>
      <c r="C278" s="36" t="s">
        <v>292</v>
      </c>
      <c r="D278" s="123" t="s">
        <v>725</v>
      </c>
      <c r="E278" s="123"/>
      <c r="F278" s="75">
        <v>2013.0</v>
      </c>
      <c r="G278" s="75">
        <v>0.0</v>
      </c>
      <c r="H278" s="75">
        <v>6.0</v>
      </c>
      <c r="I278" s="124">
        <v>0.0</v>
      </c>
      <c r="J278" s="75">
        <v>0.0</v>
      </c>
      <c r="K278" s="125">
        <v>6.0</v>
      </c>
      <c r="L278" s="125">
        <v>0.0</v>
      </c>
      <c r="M278" s="75">
        <v>3.0</v>
      </c>
      <c r="N278" s="123"/>
      <c r="O278" s="123" t="s">
        <v>74</v>
      </c>
      <c r="P278" s="126">
        <f>1.849*10^3</f>
        <v>1849</v>
      </c>
      <c r="Q278" s="123" t="s">
        <v>234</v>
      </c>
      <c r="R278" s="130">
        <v>2013.0</v>
      </c>
      <c r="S278" s="136">
        <v>0.273</v>
      </c>
      <c r="T278" s="128">
        <f t="shared" si="1"/>
        <v>504.777</v>
      </c>
      <c r="U278" s="24">
        <f t="shared" si="2"/>
        <v>84.1295</v>
      </c>
      <c r="V278" s="26">
        <f>VLOOKUP(R278,CPI!$A$2:$E$67,5,0)</f>
        <v>1.307975292</v>
      </c>
      <c r="W278" s="27">
        <f t="shared" si="3"/>
        <v>660.2358438</v>
      </c>
      <c r="X278" s="27">
        <f t="shared" si="4"/>
        <v>110.0393073</v>
      </c>
      <c r="Y278" s="130" t="s">
        <v>60</v>
      </c>
      <c r="Z278" s="137" t="s">
        <v>716</v>
      </c>
      <c r="AA278" s="130"/>
      <c r="AB278" s="130"/>
      <c r="AC278" s="130"/>
      <c r="AD278" s="130"/>
    </row>
    <row r="279">
      <c r="A279" s="130" t="s">
        <v>230</v>
      </c>
      <c r="B279" s="130" t="s">
        <v>942</v>
      </c>
      <c r="C279" s="114" t="s">
        <v>87</v>
      </c>
      <c r="D279" s="130" t="s">
        <v>357</v>
      </c>
      <c r="E279" s="130" t="s">
        <v>952</v>
      </c>
      <c r="F279" s="130"/>
      <c r="G279" s="130">
        <v>0.0</v>
      </c>
      <c r="H279" s="130">
        <v>6.5</v>
      </c>
      <c r="I279" s="131">
        <v>1.0</v>
      </c>
      <c r="J279" s="130">
        <v>6.5</v>
      </c>
      <c r="K279" s="132">
        <v>0.0</v>
      </c>
      <c r="L279" s="132">
        <v>0.0</v>
      </c>
      <c r="M279" s="130">
        <v>5.0</v>
      </c>
      <c r="N279" s="130"/>
      <c r="O279" s="130" t="s">
        <v>60</v>
      </c>
      <c r="P279" s="135">
        <f>5.0154*10^3</f>
        <v>5015.4</v>
      </c>
      <c r="Q279" s="130" t="s">
        <v>234</v>
      </c>
      <c r="R279" s="130">
        <v>2020.0</v>
      </c>
      <c r="S279" s="136">
        <v>0.239</v>
      </c>
      <c r="T279" s="128">
        <f t="shared" si="1"/>
        <v>1198.6806</v>
      </c>
      <c r="U279" s="24">
        <f t="shared" si="2"/>
        <v>184.4124</v>
      </c>
      <c r="V279" s="26">
        <f>VLOOKUP(R279,CPI!$A$2:$E$67,5,0)</f>
        <v>1.17731472</v>
      </c>
      <c r="W279" s="27">
        <f t="shared" si="3"/>
        <v>1411.224315</v>
      </c>
      <c r="X279" s="27">
        <f t="shared" si="4"/>
        <v>217.1114331</v>
      </c>
      <c r="Y279" s="130" t="s">
        <v>60</v>
      </c>
      <c r="Z279" s="137" t="s">
        <v>953</v>
      </c>
      <c r="AA279" s="130"/>
      <c r="AB279" s="130"/>
      <c r="AC279" s="130"/>
      <c r="AD279" s="130"/>
    </row>
    <row r="280">
      <c r="A280" s="72" t="s">
        <v>230</v>
      </c>
      <c r="B280" s="72" t="s">
        <v>942</v>
      </c>
      <c r="C280" s="115" t="s">
        <v>110</v>
      </c>
      <c r="D280" s="115" t="s">
        <v>332</v>
      </c>
      <c r="E280" s="69">
        <v>2021.0</v>
      </c>
      <c r="F280" s="72"/>
      <c r="G280" s="69">
        <v>0.0</v>
      </c>
      <c r="H280" s="69">
        <v>26.2</v>
      </c>
      <c r="I280" s="117">
        <v>1.0</v>
      </c>
      <c r="J280" s="69">
        <v>26.2</v>
      </c>
      <c r="K280" s="72"/>
      <c r="L280" s="72"/>
      <c r="M280" s="69">
        <v>19.0</v>
      </c>
      <c r="N280" s="69">
        <v>117.0</v>
      </c>
      <c r="O280" s="72"/>
      <c r="P280" s="140">
        <v>18470.0</v>
      </c>
      <c r="Q280" s="72" t="s">
        <v>234</v>
      </c>
      <c r="R280" s="115">
        <v>2021.0</v>
      </c>
      <c r="S280" s="136">
        <v>0.239</v>
      </c>
      <c r="T280" s="118">
        <f t="shared" si="1"/>
        <v>4414.33</v>
      </c>
      <c r="U280" s="24">
        <f t="shared" si="2"/>
        <v>168.4858779</v>
      </c>
      <c r="V280" s="26">
        <f>VLOOKUP(R280,CPI!$A$2:$E$67,5,0)</f>
        <v>1.124486105</v>
      </c>
      <c r="W280" s="27">
        <f t="shared" si="3"/>
        <v>4963.85275</v>
      </c>
      <c r="X280" s="27">
        <f t="shared" si="4"/>
        <v>189.4600286</v>
      </c>
      <c r="Y280" s="72" t="s">
        <v>36</v>
      </c>
      <c r="Z280" s="79" t="s">
        <v>950</v>
      </c>
      <c r="AA280" s="72"/>
      <c r="AB280" s="72"/>
      <c r="AC280" s="221"/>
      <c r="AD280" s="72"/>
    </row>
    <row r="281">
      <c r="A281" s="130" t="s">
        <v>230</v>
      </c>
      <c r="B281" s="130" t="s">
        <v>942</v>
      </c>
      <c r="C281" s="36" t="s">
        <v>84</v>
      </c>
      <c r="D281" s="130" t="s">
        <v>319</v>
      </c>
      <c r="E281" s="130" t="s">
        <v>954</v>
      </c>
      <c r="F281" s="130"/>
      <c r="G281" s="130">
        <v>0.0</v>
      </c>
      <c r="H281" s="130">
        <v>24.6</v>
      </c>
      <c r="I281" s="131">
        <v>1.0</v>
      </c>
      <c r="J281" s="130">
        <v>24.6</v>
      </c>
      <c r="K281" s="132">
        <v>0.0</v>
      </c>
      <c r="L281" s="132">
        <v>0.0</v>
      </c>
      <c r="M281" s="130">
        <v>20.0</v>
      </c>
      <c r="N281" s="130"/>
      <c r="O281" s="130" t="s">
        <v>60</v>
      </c>
      <c r="P281" s="135">
        <f>16.83*10^3</f>
        <v>16830</v>
      </c>
      <c r="Q281" s="130" t="s">
        <v>234</v>
      </c>
      <c r="R281" s="130">
        <v>2020.0</v>
      </c>
      <c r="S281" s="136">
        <v>0.239</v>
      </c>
      <c r="T281" s="128">
        <f t="shared" si="1"/>
        <v>4022.37</v>
      </c>
      <c r="U281" s="24">
        <f t="shared" si="2"/>
        <v>163.5109756</v>
      </c>
      <c r="V281" s="26">
        <f>VLOOKUP(R281,CPI!$A$2:$E$67,5,0)</f>
        <v>1.17731472</v>
      </c>
      <c r="W281" s="27">
        <f t="shared" si="3"/>
        <v>4735.59541</v>
      </c>
      <c r="X281" s="27">
        <f t="shared" si="4"/>
        <v>192.5038785</v>
      </c>
      <c r="Y281" s="130" t="s">
        <v>60</v>
      </c>
      <c r="Z281" s="137" t="s">
        <v>953</v>
      </c>
      <c r="AA281" s="130"/>
      <c r="AB281" s="130"/>
      <c r="AC281" s="130"/>
      <c r="AD281" s="130"/>
    </row>
    <row r="282">
      <c r="A282" s="72" t="s">
        <v>230</v>
      </c>
      <c r="B282" s="72" t="s">
        <v>942</v>
      </c>
      <c r="C282" s="115" t="s">
        <v>80</v>
      </c>
      <c r="D282" s="115" t="s">
        <v>255</v>
      </c>
      <c r="E282" s="69">
        <v>2021.0</v>
      </c>
      <c r="F282" s="72"/>
      <c r="G282" s="69">
        <v>0.0</v>
      </c>
      <c r="H282" s="69">
        <v>22.912</v>
      </c>
      <c r="I282" s="117">
        <v>1.0</v>
      </c>
      <c r="J282" s="69">
        <v>22.912</v>
      </c>
      <c r="K282" s="72"/>
      <c r="L282" s="72"/>
      <c r="M282" s="69">
        <v>16.0</v>
      </c>
      <c r="N282" s="69">
        <v>117.0</v>
      </c>
      <c r="O282" s="72" t="s">
        <v>36</v>
      </c>
      <c r="P282" s="140">
        <v>19157.0</v>
      </c>
      <c r="Q282" s="72" t="s">
        <v>234</v>
      </c>
      <c r="R282" s="115">
        <v>2021.0</v>
      </c>
      <c r="S282" s="136">
        <v>0.239</v>
      </c>
      <c r="T282" s="118">
        <f t="shared" si="1"/>
        <v>4578.523</v>
      </c>
      <c r="U282" s="24">
        <f t="shared" si="2"/>
        <v>199.8307874</v>
      </c>
      <c r="V282" s="26">
        <f>VLOOKUP(R282,CPI!$A$2:$E$67,5,0)</f>
        <v>1.124486105</v>
      </c>
      <c r="W282" s="27">
        <f t="shared" si="3"/>
        <v>5148.485497</v>
      </c>
      <c r="X282" s="27">
        <f t="shared" si="4"/>
        <v>224.7069438</v>
      </c>
      <c r="Y282" s="72" t="s">
        <v>36</v>
      </c>
      <c r="Z282" s="79" t="s">
        <v>951</v>
      </c>
      <c r="AA282" s="72"/>
      <c r="AB282" s="72"/>
      <c r="AC282" s="72"/>
      <c r="AD282" s="72"/>
    </row>
    <row r="283">
      <c r="A283" s="130" t="s">
        <v>230</v>
      </c>
      <c r="B283" s="130" t="s">
        <v>771</v>
      </c>
      <c r="C283" s="36" t="s">
        <v>80</v>
      </c>
      <c r="D283" s="130" t="s">
        <v>255</v>
      </c>
      <c r="E283" s="130">
        <v>2015.0</v>
      </c>
      <c r="F283" s="130">
        <v>2020.0</v>
      </c>
      <c r="G283" s="130">
        <v>0.0</v>
      </c>
      <c r="H283" s="130">
        <v>37.626</v>
      </c>
      <c r="I283" s="131">
        <v>0.345771541</v>
      </c>
      <c r="J283" s="130">
        <v>13.01</v>
      </c>
      <c r="K283" s="132">
        <v>24.8358</v>
      </c>
      <c r="L283" s="132">
        <v>0.0</v>
      </c>
      <c r="M283" s="130">
        <v>20.0</v>
      </c>
      <c r="N283" s="134">
        <v>138.0</v>
      </c>
      <c r="O283" s="130" t="s">
        <v>60</v>
      </c>
      <c r="P283" s="135">
        <f>16.8*10^3</f>
        <v>16800</v>
      </c>
      <c r="Q283" s="130" t="s">
        <v>234</v>
      </c>
      <c r="R283" s="130">
        <v>2017.0</v>
      </c>
      <c r="S283" s="136">
        <v>0.239</v>
      </c>
      <c r="T283" s="128">
        <f t="shared" si="1"/>
        <v>4015.2</v>
      </c>
      <c r="U283" s="24">
        <f t="shared" si="2"/>
        <v>106.7134428</v>
      </c>
      <c r="V283" s="26">
        <f>VLOOKUP(R283,CPI!$A$2:$E$67,5,0)</f>
        <v>1.243072781</v>
      </c>
      <c r="W283" s="27">
        <f t="shared" si="3"/>
        <v>4991.185829</v>
      </c>
      <c r="X283" s="27">
        <f t="shared" si="4"/>
        <v>132.6525761</v>
      </c>
      <c r="Y283" s="130" t="s">
        <v>60</v>
      </c>
      <c r="Z283" s="137" t="s">
        <v>778</v>
      </c>
      <c r="AA283" s="6"/>
      <c r="AB283" s="7"/>
      <c r="AC283" s="7"/>
      <c r="AD283" s="7"/>
    </row>
    <row r="284">
      <c r="A284" s="123" t="s">
        <v>230</v>
      </c>
      <c r="B284" s="123" t="s">
        <v>771</v>
      </c>
      <c r="C284" s="36" t="s">
        <v>80</v>
      </c>
      <c r="D284" s="123" t="s">
        <v>779</v>
      </c>
      <c r="E284" s="75">
        <v>2018.0</v>
      </c>
      <c r="F284" s="75">
        <v>2022.0</v>
      </c>
      <c r="G284" s="75">
        <v>0.0</v>
      </c>
      <c r="H284" s="75">
        <v>6.13</v>
      </c>
      <c r="I284" s="124">
        <f>J284/H284</f>
        <v>0.8654159869</v>
      </c>
      <c r="J284" s="75">
        <v>5.305</v>
      </c>
      <c r="K284" s="125">
        <v>0.0</v>
      </c>
      <c r="L284" s="125">
        <v>0.0</v>
      </c>
      <c r="M284" s="75">
        <v>4.0</v>
      </c>
      <c r="N284" s="123"/>
      <c r="O284" s="123" t="s">
        <v>42</v>
      </c>
      <c r="P284" s="126">
        <v>3795.0</v>
      </c>
      <c r="Q284" s="123" t="s">
        <v>234</v>
      </c>
      <c r="R284" s="75">
        <v>2018.0</v>
      </c>
      <c r="S284" s="136">
        <v>0.237</v>
      </c>
      <c r="T284" s="215">
        <f t="shared" si="1"/>
        <v>899.415</v>
      </c>
      <c r="U284" s="24">
        <f t="shared" si="2"/>
        <v>146.723491</v>
      </c>
      <c r="V284" s="26">
        <f>VLOOKUP(R284,CPI!$A$2:$E$67,5,0)</f>
        <v>1.21343491</v>
      </c>
      <c r="W284" s="27">
        <f t="shared" si="3"/>
        <v>1091.38156</v>
      </c>
      <c r="X284" s="27">
        <f t="shared" si="4"/>
        <v>178.0394062</v>
      </c>
      <c r="Y284" s="130" t="s">
        <v>60</v>
      </c>
      <c r="Z284" s="216" t="s">
        <v>780</v>
      </c>
      <c r="AA284" s="34"/>
      <c r="AB284" s="34"/>
      <c r="AC284" s="34"/>
      <c r="AD284" s="34"/>
    </row>
    <row r="285">
      <c r="A285" s="123" t="s">
        <v>230</v>
      </c>
      <c r="B285" s="123" t="s">
        <v>771</v>
      </c>
      <c r="C285" s="36" t="s">
        <v>87</v>
      </c>
      <c r="D285" s="123" t="s">
        <v>785</v>
      </c>
      <c r="E285" s="218"/>
      <c r="F285" s="75">
        <v>2022.0</v>
      </c>
      <c r="G285" s="75">
        <v>0.0</v>
      </c>
      <c r="H285" s="75">
        <v>9.35</v>
      </c>
      <c r="I285" s="124">
        <v>0.7935828877</v>
      </c>
      <c r="J285" s="75">
        <v>7.42</v>
      </c>
      <c r="K285" s="125">
        <v>0.0</v>
      </c>
      <c r="L285" s="125">
        <v>0.0</v>
      </c>
      <c r="M285" s="75">
        <v>7.0</v>
      </c>
      <c r="N285" s="123"/>
      <c r="O285" s="123" t="s">
        <v>60</v>
      </c>
      <c r="P285" s="126">
        <f>10.785*10^3</f>
        <v>10785</v>
      </c>
      <c r="Q285" s="123" t="s">
        <v>234</v>
      </c>
      <c r="R285" s="75">
        <v>2020.0</v>
      </c>
      <c r="S285" s="136">
        <v>0.239</v>
      </c>
      <c r="T285" s="215">
        <f t="shared" si="1"/>
        <v>2577.615</v>
      </c>
      <c r="U285" s="24">
        <f t="shared" si="2"/>
        <v>275.6807487</v>
      </c>
      <c r="V285" s="26">
        <f>VLOOKUP(R285,CPI!$A$2:$E$67,5,0)</f>
        <v>1.17731472</v>
      </c>
      <c r="W285" s="27">
        <f t="shared" si="3"/>
        <v>3034.664082</v>
      </c>
      <c r="X285" s="27">
        <f t="shared" si="4"/>
        <v>324.5630034</v>
      </c>
      <c r="Y285" s="123" t="s">
        <v>60</v>
      </c>
      <c r="Z285" s="129" t="s">
        <v>778</v>
      </c>
      <c r="AA285" s="34"/>
      <c r="AB285" s="34"/>
      <c r="AC285" s="34"/>
      <c r="AD285" s="34"/>
    </row>
    <row r="286">
      <c r="A286" s="72" t="s">
        <v>230</v>
      </c>
      <c r="B286" s="72" t="s">
        <v>771</v>
      </c>
      <c r="C286" s="115" t="s">
        <v>287</v>
      </c>
      <c r="D286" s="115" t="s">
        <v>781</v>
      </c>
      <c r="E286" s="70">
        <v>2020.0</v>
      </c>
      <c r="F286" s="69">
        <v>2022.0</v>
      </c>
      <c r="G286" s="69">
        <v>0.0</v>
      </c>
      <c r="H286" s="69">
        <v>8.05</v>
      </c>
      <c r="I286" s="117">
        <v>1.0</v>
      </c>
      <c r="J286" s="69">
        <v>8.05</v>
      </c>
      <c r="K286" s="72"/>
      <c r="L286" s="72"/>
      <c r="M286" s="69">
        <v>6.0</v>
      </c>
      <c r="N286" s="69">
        <v>138.0</v>
      </c>
      <c r="O286" s="72"/>
      <c r="P286" s="140">
        <v>9094.0</v>
      </c>
      <c r="Q286" s="72" t="s">
        <v>234</v>
      </c>
      <c r="R286" s="115">
        <v>2021.0</v>
      </c>
      <c r="S286" s="136">
        <v>0.239</v>
      </c>
      <c r="T286" s="118">
        <f t="shared" si="1"/>
        <v>2173.466</v>
      </c>
      <c r="U286" s="24">
        <f t="shared" si="2"/>
        <v>269.9957764</v>
      </c>
      <c r="V286" s="26">
        <f>VLOOKUP(R286,CPI!$A$2:$E$67,5,0)</f>
        <v>1.124486105</v>
      </c>
      <c r="W286" s="27">
        <f t="shared" si="3"/>
        <v>2444.032318</v>
      </c>
      <c r="X286" s="27">
        <f t="shared" si="4"/>
        <v>303.6064991</v>
      </c>
      <c r="Y286" s="72"/>
      <c r="Z286" s="217" t="s">
        <v>782</v>
      </c>
      <c r="AA286" s="235"/>
      <c r="AB286" s="72"/>
      <c r="AC286" s="123"/>
      <c r="AD286" s="72"/>
    </row>
    <row r="287">
      <c r="A287" s="72" t="s">
        <v>230</v>
      </c>
      <c r="B287" s="72" t="s">
        <v>771</v>
      </c>
      <c r="C287" s="36" t="s">
        <v>236</v>
      </c>
      <c r="D287" s="72" t="s">
        <v>795</v>
      </c>
      <c r="E287" s="70">
        <v>2021.0</v>
      </c>
      <c r="F287" s="74"/>
      <c r="G287" s="69">
        <v>0.0</v>
      </c>
      <c r="H287" s="69">
        <v>19.296</v>
      </c>
      <c r="I287" s="117">
        <v>1.0</v>
      </c>
      <c r="J287" s="69">
        <v>19.296</v>
      </c>
      <c r="K287" s="72"/>
      <c r="L287" s="72"/>
      <c r="M287" s="69">
        <v>11.0</v>
      </c>
      <c r="N287" s="70">
        <v>184.0</v>
      </c>
      <c r="O287" s="72"/>
      <c r="P287" s="140">
        <v>27880.0</v>
      </c>
      <c r="Q287" s="72" t="s">
        <v>234</v>
      </c>
      <c r="R287" s="115">
        <v>2021.0</v>
      </c>
      <c r="S287" s="136">
        <v>0.239</v>
      </c>
      <c r="T287" s="118">
        <f t="shared" si="1"/>
        <v>6663.32</v>
      </c>
      <c r="U287" s="24">
        <f t="shared" si="2"/>
        <v>345.3213101</v>
      </c>
      <c r="V287" s="26">
        <f>VLOOKUP(R287,CPI!$A$2:$E$67,5,0)</f>
        <v>1.124486105</v>
      </c>
      <c r="W287" s="27">
        <f t="shared" si="3"/>
        <v>7492.810756</v>
      </c>
      <c r="X287" s="27">
        <f t="shared" si="4"/>
        <v>388.3090151</v>
      </c>
      <c r="Y287" s="115" t="s">
        <v>36</v>
      </c>
      <c r="Z287" s="79" t="s">
        <v>796</v>
      </c>
      <c r="AA287" s="72"/>
      <c r="AB287" s="72"/>
      <c r="AC287" s="221"/>
      <c r="AD287" s="72"/>
    </row>
    <row r="288">
      <c r="A288" s="123" t="s">
        <v>230</v>
      </c>
      <c r="B288" s="123" t="s">
        <v>771</v>
      </c>
      <c r="C288" s="36" t="s">
        <v>236</v>
      </c>
      <c r="D288" s="123" t="s">
        <v>787</v>
      </c>
      <c r="E288" s="219">
        <v>2020.0</v>
      </c>
      <c r="F288" s="75">
        <v>2025.0</v>
      </c>
      <c r="G288" s="75">
        <v>0.0</v>
      </c>
      <c r="H288" s="75">
        <v>4.47</v>
      </c>
      <c r="I288" s="124">
        <v>1.0</v>
      </c>
      <c r="J288" s="75">
        <v>4.47</v>
      </c>
      <c r="K288" s="125">
        <v>0.0</v>
      </c>
      <c r="L288" s="125">
        <v>0.0</v>
      </c>
      <c r="M288" s="75">
        <v>3.0</v>
      </c>
      <c r="N288" s="123"/>
      <c r="O288" s="123" t="s">
        <v>60</v>
      </c>
      <c r="P288" s="126">
        <f>4.962*10^3</f>
        <v>4962</v>
      </c>
      <c r="Q288" s="123" t="s">
        <v>234</v>
      </c>
      <c r="R288" s="75">
        <v>2020.0</v>
      </c>
      <c r="S288" s="136">
        <v>0.239</v>
      </c>
      <c r="T288" s="128">
        <f t="shared" si="1"/>
        <v>1185.918</v>
      </c>
      <c r="U288" s="24">
        <f t="shared" si="2"/>
        <v>265.3060403</v>
      </c>
      <c r="V288" s="26">
        <f>VLOOKUP(R288,CPI!$A$2:$E$67,5,0)</f>
        <v>1.17731472</v>
      </c>
      <c r="W288" s="27">
        <f t="shared" si="3"/>
        <v>1396.198718</v>
      </c>
      <c r="X288" s="27">
        <f t="shared" si="4"/>
        <v>312.3487065</v>
      </c>
      <c r="Y288" s="130" t="s">
        <v>60</v>
      </c>
      <c r="Z288" s="137" t="s">
        <v>778</v>
      </c>
      <c r="AA288" s="29"/>
      <c r="AB288" s="30"/>
      <c r="AC288" s="30"/>
      <c r="AD288" s="30"/>
    </row>
    <row r="289">
      <c r="A289" s="123" t="s">
        <v>230</v>
      </c>
      <c r="B289" s="123" t="s">
        <v>771</v>
      </c>
      <c r="C289" s="36" t="s">
        <v>283</v>
      </c>
      <c r="D289" s="123" t="s">
        <v>805</v>
      </c>
      <c r="E289" s="142" t="s">
        <v>571</v>
      </c>
      <c r="F289" s="123"/>
      <c r="G289" s="75">
        <v>0.0</v>
      </c>
      <c r="H289" s="75">
        <v>9.53</v>
      </c>
      <c r="I289" s="124">
        <v>1.0</v>
      </c>
      <c r="J289" s="75">
        <v>9.53</v>
      </c>
      <c r="K289" s="125">
        <v>0.0</v>
      </c>
      <c r="L289" s="125">
        <v>0.0</v>
      </c>
      <c r="M289" s="75">
        <v>7.0</v>
      </c>
      <c r="N289" s="142">
        <v>138.0</v>
      </c>
      <c r="O289" s="123" t="s">
        <v>60</v>
      </c>
      <c r="P289" s="126">
        <f>10.995*10^3</f>
        <v>10995</v>
      </c>
      <c r="Q289" s="123" t="s">
        <v>234</v>
      </c>
      <c r="R289" s="75">
        <v>2020.0</v>
      </c>
      <c r="S289" s="136">
        <v>0.239</v>
      </c>
      <c r="T289" s="128">
        <f t="shared" si="1"/>
        <v>2627.805</v>
      </c>
      <c r="U289" s="24">
        <f t="shared" si="2"/>
        <v>275.7402938</v>
      </c>
      <c r="V289" s="26">
        <f>VLOOKUP(R289,CPI!$A$2:$E$67,5,0)</f>
        <v>1.17731472</v>
      </c>
      <c r="W289" s="27">
        <f t="shared" si="3"/>
        <v>3093.753508</v>
      </c>
      <c r="X289" s="27">
        <f t="shared" si="4"/>
        <v>324.6331068</v>
      </c>
      <c r="Y289" s="222" t="s">
        <v>60</v>
      </c>
      <c r="Z289" s="223" t="s">
        <v>778</v>
      </c>
      <c r="AA289" s="29"/>
      <c r="AB289" s="30"/>
      <c r="AC289" s="30"/>
      <c r="AD289" s="30"/>
    </row>
    <row r="290">
      <c r="A290" s="123" t="s">
        <v>230</v>
      </c>
      <c r="B290" s="123" t="s">
        <v>771</v>
      </c>
      <c r="C290" s="36" t="s">
        <v>228</v>
      </c>
      <c r="D290" s="123" t="s">
        <v>477</v>
      </c>
      <c r="E290" s="142" t="s">
        <v>571</v>
      </c>
      <c r="F290" s="123"/>
      <c r="G290" s="75">
        <v>0.0</v>
      </c>
      <c r="H290" s="75">
        <v>2.45</v>
      </c>
      <c r="I290" s="124">
        <v>1.0</v>
      </c>
      <c r="J290" s="75">
        <v>2.45</v>
      </c>
      <c r="K290" s="125">
        <v>0.0</v>
      </c>
      <c r="L290" s="125">
        <v>0.0</v>
      </c>
      <c r="M290" s="75">
        <v>2.0</v>
      </c>
      <c r="N290" s="123"/>
      <c r="O290" s="123" t="s">
        <v>60</v>
      </c>
      <c r="P290" s="126">
        <f>2.806*10^3</f>
        <v>2806</v>
      </c>
      <c r="Q290" s="123" t="s">
        <v>234</v>
      </c>
      <c r="R290" s="75">
        <v>2020.0</v>
      </c>
      <c r="S290" s="136">
        <v>0.239</v>
      </c>
      <c r="T290" s="128">
        <f t="shared" si="1"/>
        <v>670.634</v>
      </c>
      <c r="U290" s="24">
        <f t="shared" si="2"/>
        <v>273.7281633</v>
      </c>
      <c r="V290" s="26">
        <f>VLOOKUP(R290,CPI!$A$2:$E$67,5,0)</f>
        <v>1.17731472</v>
      </c>
      <c r="W290" s="27">
        <f t="shared" si="3"/>
        <v>789.5472799</v>
      </c>
      <c r="X290" s="27">
        <f t="shared" si="4"/>
        <v>322.2641959</v>
      </c>
      <c r="Y290" s="222" t="s">
        <v>60</v>
      </c>
      <c r="Z290" s="223" t="s">
        <v>778</v>
      </c>
      <c r="AA290" s="29"/>
      <c r="AB290" s="30"/>
      <c r="AC290" s="30"/>
      <c r="AD290" s="30"/>
    </row>
    <row r="291">
      <c r="A291" s="123" t="s">
        <v>230</v>
      </c>
      <c r="B291" s="123" t="s">
        <v>771</v>
      </c>
      <c r="C291" s="36" t="s">
        <v>243</v>
      </c>
      <c r="D291" s="123" t="s">
        <v>788</v>
      </c>
      <c r="E291" s="218"/>
      <c r="F291" s="75">
        <v>2025.0</v>
      </c>
      <c r="G291" s="75">
        <v>0.0</v>
      </c>
      <c r="H291" s="75">
        <v>4.26</v>
      </c>
      <c r="I291" s="124">
        <v>1.0</v>
      </c>
      <c r="J291" s="75">
        <v>4.26</v>
      </c>
      <c r="K291" s="220">
        <v>0.0</v>
      </c>
      <c r="L291" s="220">
        <v>0.0</v>
      </c>
      <c r="M291" s="123"/>
      <c r="N291" s="123"/>
      <c r="O291" s="123" t="s">
        <v>60</v>
      </c>
      <c r="P291" s="126">
        <f>8.318*10^3</f>
        <v>8318</v>
      </c>
      <c r="Q291" s="123" t="s">
        <v>234</v>
      </c>
      <c r="R291" s="75">
        <v>2020.0</v>
      </c>
      <c r="S291" s="136">
        <v>0.239</v>
      </c>
      <c r="T291" s="128">
        <f t="shared" si="1"/>
        <v>1988.002</v>
      </c>
      <c r="U291" s="24">
        <f t="shared" si="2"/>
        <v>466.6671362</v>
      </c>
      <c r="V291" s="26">
        <f>VLOOKUP(R291,CPI!$A$2:$E$67,5,0)</f>
        <v>1.17731472</v>
      </c>
      <c r="W291" s="27">
        <f t="shared" si="3"/>
        <v>2340.504018</v>
      </c>
      <c r="X291" s="27">
        <f t="shared" si="4"/>
        <v>549.4140887</v>
      </c>
      <c r="Y291" s="123" t="s">
        <v>60</v>
      </c>
      <c r="Z291" s="129" t="s">
        <v>778</v>
      </c>
      <c r="AA291" s="29"/>
      <c r="AB291" s="30"/>
      <c r="AC291" s="30"/>
      <c r="AD291" s="30"/>
    </row>
    <row r="292">
      <c r="A292" s="123" t="s">
        <v>230</v>
      </c>
      <c r="B292" s="123" t="s">
        <v>771</v>
      </c>
      <c r="C292" s="36" t="s">
        <v>292</v>
      </c>
      <c r="D292" s="123" t="s">
        <v>724</v>
      </c>
      <c r="E292" s="142" t="s">
        <v>571</v>
      </c>
      <c r="F292" s="123"/>
      <c r="G292" s="75">
        <v>0.0</v>
      </c>
      <c r="H292" s="75">
        <v>5.58</v>
      </c>
      <c r="I292" s="124">
        <v>1.0</v>
      </c>
      <c r="J292" s="75">
        <v>5.58</v>
      </c>
      <c r="K292" s="125">
        <v>0.0</v>
      </c>
      <c r="L292" s="125">
        <v>0.0</v>
      </c>
      <c r="M292" s="75">
        <v>3.0</v>
      </c>
      <c r="N292" s="123"/>
      <c r="O292" s="123" t="s">
        <v>60</v>
      </c>
      <c r="P292" s="126">
        <f>6.634*10^3</f>
        <v>6634</v>
      </c>
      <c r="Q292" s="123" t="s">
        <v>234</v>
      </c>
      <c r="R292" s="75">
        <v>2020.0</v>
      </c>
      <c r="S292" s="136">
        <v>0.239</v>
      </c>
      <c r="T292" s="128">
        <f t="shared" si="1"/>
        <v>1585.526</v>
      </c>
      <c r="U292" s="24">
        <f t="shared" si="2"/>
        <v>284.1444444</v>
      </c>
      <c r="V292" s="26">
        <f>VLOOKUP(R292,CPI!$A$2:$E$67,5,0)</f>
        <v>1.17731472</v>
      </c>
      <c r="W292" s="27">
        <f t="shared" si="3"/>
        <v>1866.663099</v>
      </c>
      <c r="X292" s="27">
        <f t="shared" si="4"/>
        <v>334.5274371</v>
      </c>
      <c r="Y292" s="123" t="s">
        <v>60</v>
      </c>
      <c r="Z292" s="129" t="s">
        <v>778</v>
      </c>
      <c r="AA292" s="29"/>
      <c r="AB292" s="30"/>
      <c r="AC292" s="30"/>
      <c r="AD292" s="30"/>
    </row>
    <row r="293">
      <c r="A293" s="72" t="s">
        <v>230</v>
      </c>
      <c r="B293" s="72" t="s">
        <v>771</v>
      </c>
      <c r="C293" s="115" t="s">
        <v>749</v>
      </c>
      <c r="D293" s="115" t="s">
        <v>750</v>
      </c>
      <c r="E293" s="70">
        <v>2022.0</v>
      </c>
      <c r="F293" s="72"/>
      <c r="G293" s="69">
        <v>0.0</v>
      </c>
      <c r="H293" s="69">
        <v>8.43</v>
      </c>
      <c r="I293" s="117">
        <v>1.0</v>
      </c>
      <c r="J293" s="69">
        <v>8.43</v>
      </c>
      <c r="K293" s="72"/>
      <c r="L293" s="72"/>
      <c r="M293" s="69">
        <v>5.0</v>
      </c>
      <c r="N293" s="69">
        <v>184.0</v>
      </c>
      <c r="O293" s="72"/>
      <c r="P293" s="140">
        <v>11206.0</v>
      </c>
      <c r="Q293" s="72" t="s">
        <v>234</v>
      </c>
      <c r="R293" s="115">
        <v>2021.0</v>
      </c>
      <c r="S293" s="136">
        <v>0.239</v>
      </c>
      <c r="T293" s="118">
        <f t="shared" si="1"/>
        <v>2678.234</v>
      </c>
      <c r="U293" s="24">
        <f t="shared" si="2"/>
        <v>317.7027284</v>
      </c>
      <c r="V293" s="26">
        <f>VLOOKUP(R293,CPI!$A$2:$E$67,5,0)</f>
        <v>1.124486105</v>
      </c>
      <c r="W293" s="27">
        <f t="shared" si="3"/>
        <v>3011.63692</v>
      </c>
      <c r="X293" s="27">
        <f t="shared" si="4"/>
        <v>357.2523037</v>
      </c>
      <c r="Y293" s="72"/>
      <c r="Z293" s="79" t="s">
        <v>803</v>
      </c>
      <c r="AA293" s="79" t="s">
        <v>804</v>
      </c>
    </row>
    <row r="294">
      <c r="A294" s="123" t="s">
        <v>230</v>
      </c>
      <c r="B294" s="123" t="s">
        <v>514</v>
      </c>
      <c r="C294" s="36" t="s">
        <v>57</v>
      </c>
      <c r="D294" s="123" t="s">
        <v>232</v>
      </c>
      <c r="E294" s="75">
        <v>2007.0</v>
      </c>
      <c r="F294" s="75">
        <v>2012.0</v>
      </c>
      <c r="G294" s="75">
        <v>0.0</v>
      </c>
      <c r="H294" s="75">
        <v>48.0</v>
      </c>
      <c r="I294" s="155"/>
      <c r="J294" s="123"/>
      <c r="K294" s="125" t="e">
        <v>#N/A</v>
      </c>
      <c r="L294" s="125" t="e">
        <v>#N/A</v>
      </c>
      <c r="M294" s="75">
        <v>31.0</v>
      </c>
      <c r="N294" s="123"/>
      <c r="O294" s="123" t="s">
        <v>60</v>
      </c>
      <c r="P294" s="126">
        <f>(137.86+82.9)*10^2</f>
        <v>22076</v>
      </c>
      <c r="Q294" s="123" t="s">
        <v>234</v>
      </c>
      <c r="R294" s="75">
        <v>2007.0</v>
      </c>
      <c r="S294" s="136">
        <v>0.333</v>
      </c>
      <c r="T294" s="128">
        <f t="shared" si="1"/>
        <v>7351.308</v>
      </c>
      <c r="U294" s="24">
        <f t="shared" si="2"/>
        <v>153.15225</v>
      </c>
      <c r="V294" s="26">
        <f>VLOOKUP(R294,CPI!$A$2:$E$67,5,0)</f>
        <v>1.469562366</v>
      </c>
      <c r="W294" s="27">
        <f t="shared" si="3"/>
        <v>10803.20557</v>
      </c>
      <c r="X294" s="27">
        <f t="shared" si="4"/>
        <v>225.0667828</v>
      </c>
      <c r="Y294" s="123" t="s">
        <v>60</v>
      </c>
      <c r="Z294" s="154" t="s">
        <v>515</v>
      </c>
      <c r="AA294" s="179"/>
      <c r="AB294" s="174"/>
      <c r="AC294" s="174"/>
      <c r="AD294" s="174"/>
    </row>
    <row r="295">
      <c r="A295" s="123" t="s">
        <v>230</v>
      </c>
      <c r="B295" s="123" t="s">
        <v>609</v>
      </c>
      <c r="C295" s="36" t="s">
        <v>57</v>
      </c>
      <c r="D295" s="123" t="s">
        <v>232</v>
      </c>
      <c r="E295" s="75">
        <v>2000.0</v>
      </c>
      <c r="F295" s="75">
        <v>2005.0</v>
      </c>
      <c r="G295" s="75">
        <v>0.0</v>
      </c>
      <c r="H295" s="75">
        <v>21.72</v>
      </c>
      <c r="I295" s="124">
        <v>0.6597605893</v>
      </c>
      <c r="J295" s="75">
        <v>14.33</v>
      </c>
      <c r="K295" s="125">
        <v>6.05</v>
      </c>
      <c r="L295" s="125">
        <v>1.552</v>
      </c>
      <c r="M295" s="75">
        <v>16.0</v>
      </c>
      <c r="N295" s="123"/>
      <c r="O295" s="123" t="s">
        <v>42</v>
      </c>
      <c r="P295" s="126">
        <f>8.5*10^3</f>
        <v>8500</v>
      </c>
      <c r="Q295" s="123" t="s">
        <v>234</v>
      </c>
      <c r="R295" s="75">
        <v>2000.0</v>
      </c>
      <c r="S295" s="136">
        <v>0.367</v>
      </c>
      <c r="T295" s="128">
        <f t="shared" si="1"/>
        <v>3119.5</v>
      </c>
      <c r="U295" s="24">
        <f t="shared" si="2"/>
        <v>143.6233886</v>
      </c>
      <c r="V295" s="26">
        <f>VLOOKUP(R295,CPI!$A$2:$E$67,5,0)</f>
        <v>1.769465738</v>
      </c>
      <c r="W295" s="27">
        <f t="shared" si="3"/>
        <v>5519.848368</v>
      </c>
      <c r="X295" s="27">
        <f t="shared" si="4"/>
        <v>254.1366652</v>
      </c>
      <c r="Y295" s="123" t="s">
        <v>42</v>
      </c>
      <c r="Z295" s="129" t="s">
        <v>610</v>
      </c>
      <c r="AA295" s="29"/>
      <c r="AB295" s="30"/>
      <c r="AC295" s="30"/>
      <c r="AD295" s="30"/>
    </row>
    <row r="296">
      <c r="A296" s="123" t="s">
        <v>230</v>
      </c>
      <c r="B296" s="123" t="s">
        <v>872</v>
      </c>
      <c r="C296" s="36" t="s">
        <v>57</v>
      </c>
      <c r="D296" s="123" t="s">
        <v>232</v>
      </c>
      <c r="E296" s="75">
        <v>2000.0</v>
      </c>
      <c r="F296" s="75">
        <v>2003.0</v>
      </c>
      <c r="G296" s="75">
        <v>0.0</v>
      </c>
      <c r="H296" s="75">
        <v>10.234</v>
      </c>
      <c r="I296" s="124">
        <v>0.0</v>
      </c>
      <c r="J296" s="75">
        <v>0.0</v>
      </c>
      <c r="K296" s="125">
        <v>10.23</v>
      </c>
      <c r="L296" s="125">
        <v>0.0</v>
      </c>
      <c r="M296" s="75">
        <v>10.0</v>
      </c>
      <c r="N296" s="142">
        <v>78.0</v>
      </c>
      <c r="O296" s="123" t="s">
        <v>74</v>
      </c>
      <c r="P296" s="126">
        <f>2.199*10^3</f>
        <v>2199</v>
      </c>
      <c r="Q296" s="123" t="s">
        <v>234</v>
      </c>
      <c r="R296" s="75">
        <v>2000.0</v>
      </c>
      <c r="S296" s="136">
        <v>0.367</v>
      </c>
      <c r="T296" s="128">
        <f t="shared" si="1"/>
        <v>807.033</v>
      </c>
      <c r="U296" s="24">
        <f t="shared" si="2"/>
        <v>78.85802228</v>
      </c>
      <c r="V296" s="26">
        <f>VLOOKUP(R296,CPI!$A$2:$E$67,5,0)</f>
        <v>1.769465738</v>
      </c>
      <c r="W296" s="27">
        <f t="shared" si="3"/>
        <v>1428.017243</v>
      </c>
      <c r="X296" s="27">
        <f t="shared" si="4"/>
        <v>139.5365686</v>
      </c>
      <c r="Y296" s="123" t="s">
        <v>42</v>
      </c>
      <c r="Z296" s="154" t="s">
        <v>873</v>
      </c>
      <c r="AA296" s="178"/>
      <c r="AB296" s="172"/>
      <c r="AC296" s="172"/>
      <c r="AD296" s="172"/>
    </row>
    <row r="297">
      <c r="A297" s="123" t="s">
        <v>230</v>
      </c>
      <c r="B297" s="123" t="s">
        <v>872</v>
      </c>
      <c r="C297" s="36" t="s">
        <v>57</v>
      </c>
      <c r="D297" s="123" t="s">
        <v>410</v>
      </c>
      <c r="E297" s="75">
        <v>2005.0</v>
      </c>
      <c r="F297" s="75">
        <v>2010.0</v>
      </c>
      <c r="G297" s="75">
        <v>0.0</v>
      </c>
      <c r="H297" s="75">
        <v>18.25</v>
      </c>
      <c r="I297" s="124">
        <v>0.0</v>
      </c>
      <c r="J297" s="75">
        <v>0.0</v>
      </c>
      <c r="K297" s="125">
        <v>18.25</v>
      </c>
      <c r="L297" s="125">
        <v>0.0</v>
      </c>
      <c r="M297" s="75">
        <v>16.0</v>
      </c>
      <c r="N297" s="123"/>
      <c r="O297" s="123" t="s">
        <v>42</v>
      </c>
      <c r="P297" s="126">
        <f>4.6498*10^3</f>
        <v>4649.8</v>
      </c>
      <c r="Q297" s="123" t="s">
        <v>234</v>
      </c>
      <c r="R297" s="75">
        <v>2005.0</v>
      </c>
      <c r="S297" s="136">
        <v>0.3519</v>
      </c>
      <c r="T297" s="128">
        <f t="shared" si="1"/>
        <v>1636.26462</v>
      </c>
      <c r="U297" s="24">
        <f t="shared" si="2"/>
        <v>89.65833534</v>
      </c>
      <c r="V297" s="26">
        <f>VLOOKUP(R297,CPI!$A$2:$E$67,5,0)</f>
        <v>1.560174091</v>
      </c>
      <c r="W297" s="27">
        <f t="shared" si="3"/>
        <v>2552.857666</v>
      </c>
      <c r="X297" s="27">
        <f t="shared" si="4"/>
        <v>139.8826119</v>
      </c>
      <c r="Y297" s="123" t="s">
        <v>42</v>
      </c>
      <c r="Z297" s="154" t="s">
        <v>873</v>
      </c>
      <c r="AA297" s="178"/>
      <c r="AB297" s="172"/>
      <c r="AC297" s="172"/>
      <c r="AD297" s="172"/>
    </row>
    <row r="298">
      <c r="A298" s="123" t="s">
        <v>230</v>
      </c>
      <c r="B298" s="123" t="s">
        <v>872</v>
      </c>
      <c r="C298" s="36" t="s">
        <v>57</v>
      </c>
      <c r="D298" s="123" t="s">
        <v>875</v>
      </c>
      <c r="E298" s="75">
        <v>2011.0</v>
      </c>
      <c r="F298" s="75">
        <v>2013.0</v>
      </c>
      <c r="G298" s="75">
        <v>0.0</v>
      </c>
      <c r="H298" s="75">
        <v>5.7</v>
      </c>
      <c r="I298" s="124">
        <v>0.0</v>
      </c>
      <c r="J298" s="75">
        <v>0.0</v>
      </c>
      <c r="K298" s="125">
        <v>5.7</v>
      </c>
      <c r="L298" s="125">
        <v>0.0</v>
      </c>
      <c r="M298" s="75">
        <v>3.0</v>
      </c>
      <c r="N298" s="123"/>
      <c r="O298" s="123" t="s">
        <v>42</v>
      </c>
      <c r="P298" s="126">
        <f>2.361*10^3</f>
        <v>2361</v>
      </c>
      <c r="Q298" s="123" t="s">
        <v>234</v>
      </c>
      <c r="R298" s="75">
        <v>2011.0</v>
      </c>
      <c r="S298" s="136">
        <v>0.284</v>
      </c>
      <c r="T298" s="128">
        <f t="shared" si="1"/>
        <v>670.524</v>
      </c>
      <c r="U298" s="24">
        <f t="shared" si="2"/>
        <v>117.6357895</v>
      </c>
      <c r="V298" s="26">
        <f>VLOOKUP(R298,CPI!$A$2:$E$67,5,0)</f>
        <v>1.354598358</v>
      </c>
      <c r="W298" s="27">
        <f t="shared" si="3"/>
        <v>908.2907093</v>
      </c>
      <c r="X298" s="27">
        <f t="shared" si="4"/>
        <v>159.3492472</v>
      </c>
      <c r="Y298" s="123" t="s">
        <v>42</v>
      </c>
      <c r="Z298" s="154" t="s">
        <v>876</v>
      </c>
      <c r="AA298" s="178"/>
      <c r="AB298" s="172"/>
      <c r="AC298" s="172"/>
      <c r="AD298" s="172"/>
    </row>
    <row r="299">
      <c r="A299" s="72" t="s">
        <v>230</v>
      </c>
      <c r="B299" s="72" t="s">
        <v>555</v>
      </c>
      <c r="C299" s="36" t="s">
        <v>54</v>
      </c>
      <c r="D299" s="72" t="s">
        <v>315</v>
      </c>
      <c r="E299" s="70">
        <v>2020.0</v>
      </c>
      <c r="F299" s="69">
        <v>2024.0</v>
      </c>
      <c r="G299" s="69">
        <v>0.0</v>
      </c>
      <c r="H299" s="69">
        <v>14.5</v>
      </c>
      <c r="I299" s="117">
        <v>1.0</v>
      </c>
      <c r="J299" s="69">
        <v>14.5</v>
      </c>
      <c r="K299" s="72"/>
      <c r="L299" s="72"/>
      <c r="M299" s="69">
        <v>11.0</v>
      </c>
      <c r="N299" s="69">
        <v>117.0</v>
      </c>
      <c r="O299" s="72"/>
      <c r="P299" s="140">
        <v>9702.0</v>
      </c>
      <c r="Q299" s="72" t="s">
        <v>234</v>
      </c>
      <c r="R299" s="75">
        <v>2020.0</v>
      </c>
      <c r="S299" s="136">
        <v>0.239</v>
      </c>
      <c r="T299" s="128">
        <f t="shared" si="1"/>
        <v>2318.778</v>
      </c>
      <c r="U299" s="24">
        <f t="shared" si="2"/>
        <v>159.9157241</v>
      </c>
      <c r="V299" s="26">
        <f>VLOOKUP(R299,CPI!$A$2:$E$67,5,0)</f>
        <v>1.17731472</v>
      </c>
      <c r="W299" s="27">
        <f t="shared" si="3"/>
        <v>2729.931472</v>
      </c>
      <c r="X299" s="27">
        <f t="shared" si="4"/>
        <v>188.271136</v>
      </c>
      <c r="Y299" s="115" t="s">
        <v>36</v>
      </c>
      <c r="Z299" s="79" t="s">
        <v>560</v>
      </c>
      <c r="AA299" s="72"/>
      <c r="AB299" s="72"/>
      <c r="AC299" s="72"/>
      <c r="AD299" s="72"/>
    </row>
    <row r="300">
      <c r="A300" s="72" t="s">
        <v>230</v>
      </c>
      <c r="B300" s="72" t="s">
        <v>555</v>
      </c>
      <c r="C300" s="36" t="s">
        <v>87</v>
      </c>
      <c r="D300" s="72" t="s">
        <v>321</v>
      </c>
      <c r="E300" s="70">
        <v>2020.0</v>
      </c>
      <c r="F300" s="69">
        <v>2024.0</v>
      </c>
      <c r="G300" s="69">
        <v>0.0</v>
      </c>
      <c r="H300" s="69">
        <v>11.25</v>
      </c>
      <c r="I300" s="117">
        <v>1.0</v>
      </c>
      <c r="J300" s="69">
        <v>11.25</v>
      </c>
      <c r="K300" s="72"/>
      <c r="L300" s="72"/>
      <c r="M300" s="69">
        <v>8.0</v>
      </c>
      <c r="N300" s="69">
        <v>117.0</v>
      </c>
      <c r="O300" s="72"/>
      <c r="P300" s="140">
        <v>9103.0</v>
      </c>
      <c r="Q300" s="72" t="s">
        <v>234</v>
      </c>
      <c r="R300" s="75">
        <v>2020.0</v>
      </c>
      <c r="S300" s="136">
        <v>0.239</v>
      </c>
      <c r="T300" s="128">
        <f t="shared" si="1"/>
        <v>2175.617</v>
      </c>
      <c r="U300" s="24">
        <f t="shared" si="2"/>
        <v>193.3881778</v>
      </c>
      <c r="V300" s="26">
        <f>VLOOKUP(R300,CPI!$A$2:$E$67,5,0)</f>
        <v>1.17731472</v>
      </c>
      <c r="W300" s="27">
        <f t="shared" si="3"/>
        <v>2561.385919</v>
      </c>
      <c r="X300" s="27">
        <f t="shared" si="4"/>
        <v>227.6787484</v>
      </c>
      <c r="Y300" s="115" t="s">
        <v>36</v>
      </c>
      <c r="Z300" s="79" t="s">
        <v>561</v>
      </c>
      <c r="AA300" s="72"/>
      <c r="AB300" s="72"/>
      <c r="AC300" s="72"/>
      <c r="AD300" s="72"/>
    </row>
    <row r="301">
      <c r="A301" s="72" t="s">
        <v>230</v>
      </c>
      <c r="B301" s="72" t="s">
        <v>555</v>
      </c>
      <c r="C301" s="115" t="s">
        <v>110</v>
      </c>
      <c r="D301" s="72" t="s">
        <v>322</v>
      </c>
      <c r="E301" s="70">
        <v>2022.0</v>
      </c>
      <c r="F301" s="72"/>
      <c r="G301" s="69">
        <v>0.0</v>
      </c>
      <c r="H301" s="69">
        <v>13.97</v>
      </c>
      <c r="I301" s="117">
        <v>0.47</v>
      </c>
      <c r="J301" s="69">
        <v>6.55</v>
      </c>
      <c r="K301" s="72"/>
      <c r="L301" s="72"/>
      <c r="M301" s="69">
        <v>8.0</v>
      </c>
      <c r="N301" s="69">
        <v>117.0</v>
      </c>
      <c r="O301" s="72"/>
      <c r="P301" s="140">
        <v>7396.0</v>
      </c>
      <c r="Q301" s="72" t="s">
        <v>234</v>
      </c>
      <c r="R301" s="75">
        <v>2020.0</v>
      </c>
      <c r="S301" s="136">
        <v>0.239</v>
      </c>
      <c r="T301" s="128">
        <f t="shared" si="1"/>
        <v>1767.644</v>
      </c>
      <c r="U301" s="24">
        <f t="shared" si="2"/>
        <v>126.5314245</v>
      </c>
      <c r="V301" s="26">
        <f>VLOOKUP(R301,CPI!$A$2:$E$67,5,0)</f>
        <v>1.17731472</v>
      </c>
      <c r="W301" s="27">
        <f t="shared" si="3"/>
        <v>2081.073301</v>
      </c>
      <c r="X301" s="27">
        <f t="shared" si="4"/>
        <v>148.9673086</v>
      </c>
      <c r="Y301" s="115" t="s">
        <v>36</v>
      </c>
      <c r="Z301" s="79" t="s">
        <v>570</v>
      </c>
      <c r="AA301" s="72"/>
      <c r="AB301" s="72"/>
      <c r="AC301" s="72"/>
      <c r="AD301" s="72"/>
    </row>
    <row r="302">
      <c r="A302" s="72" t="s">
        <v>230</v>
      </c>
      <c r="B302" s="72" t="s">
        <v>555</v>
      </c>
      <c r="C302" s="115" t="s">
        <v>80</v>
      </c>
      <c r="D302" s="115" t="s">
        <v>255</v>
      </c>
      <c r="E302" s="70">
        <v>2021.0</v>
      </c>
      <c r="F302" s="72"/>
      <c r="G302" s="69">
        <v>0.0</v>
      </c>
      <c r="H302" s="69">
        <v>27.5</v>
      </c>
      <c r="I302" s="117">
        <v>1.0</v>
      </c>
      <c r="J302" s="69">
        <v>27.5</v>
      </c>
      <c r="K302" s="72"/>
      <c r="L302" s="72"/>
      <c r="M302" s="69">
        <v>17.0</v>
      </c>
      <c r="N302" s="69">
        <v>117.0</v>
      </c>
      <c r="O302" s="72"/>
      <c r="P302" s="140">
        <v>20983.6</v>
      </c>
      <c r="Q302" s="72" t="s">
        <v>234</v>
      </c>
      <c r="R302" s="115">
        <v>2021.0</v>
      </c>
      <c r="S302" s="136">
        <v>0.239</v>
      </c>
      <c r="T302" s="118">
        <f t="shared" si="1"/>
        <v>5015.0804</v>
      </c>
      <c r="U302" s="24">
        <f t="shared" si="2"/>
        <v>182.36656</v>
      </c>
      <c r="V302" s="26">
        <f>VLOOKUP(R302,CPI!$A$2:$E$67,5,0)</f>
        <v>1.124486105</v>
      </c>
      <c r="W302" s="27">
        <f t="shared" si="3"/>
        <v>5639.388228</v>
      </c>
      <c r="X302" s="27">
        <f t="shared" si="4"/>
        <v>205.0686628</v>
      </c>
      <c r="Y302" s="115" t="s">
        <v>36</v>
      </c>
      <c r="Z302" s="79" t="s">
        <v>568</v>
      </c>
      <c r="AA302" s="72"/>
      <c r="AB302" s="72"/>
      <c r="AC302" s="72"/>
      <c r="AD302" s="72"/>
    </row>
    <row r="303">
      <c r="A303" s="123" t="s">
        <v>230</v>
      </c>
      <c r="B303" s="123" t="s">
        <v>555</v>
      </c>
      <c r="C303" s="36" t="s">
        <v>228</v>
      </c>
      <c r="D303" s="123" t="s">
        <v>263</v>
      </c>
      <c r="E303" s="142" t="s">
        <v>571</v>
      </c>
      <c r="F303" s="123"/>
      <c r="G303" s="75">
        <v>0.0</v>
      </c>
      <c r="H303" s="75">
        <v>21.0</v>
      </c>
      <c r="I303" s="124">
        <v>1.0</v>
      </c>
      <c r="J303" s="75">
        <v>21.0</v>
      </c>
      <c r="K303" s="125">
        <v>0.0</v>
      </c>
      <c r="L303" s="125">
        <v>0.0</v>
      </c>
      <c r="M303" s="75">
        <v>17.0</v>
      </c>
      <c r="N303" s="123"/>
      <c r="O303" s="123" t="s">
        <v>60</v>
      </c>
      <c r="P303" s="126">
        <f>16.881*10^3</f>
        <v>16881</v>
      </c>
      <c r="Q303" s="123" t="s">
        <v>234</v>
      </c>
      <c r="R303" s="75">
        <v>2020.0</v>
      </c>
      <c r="S303" s="136">
        <v>0.239</v>
      </c>
      <c r="T303" s="128">
        <f t="shared" si="1"/>
        <v>4034.559</v>
      </c>
      <c r="U303" s="24">
        <f t="shared" si="2"/>
        <v>192.1218571</v>
      </c>
      <c r="V303" s="26">
        <f>VLOOKUP(R303,CPI!$A$2:$E$67,5,0)</f>
        <v>1.17731472</v>
      </c>
      <c r="W303" s="27">
        <f t="shared" si="3"/>
        <v>4749.945699</v>
      </c>
      <c r="X303" s="27">
        <f t="shared" si="4"/>
        <v>226.1878904</v>
      </c>
      <c r="Y303" s="123" t="s">
        <v>60</v>
      </c>
      <c r="Z303" s="129" t="s">
        <v>572</v>
      </c>
      <c r="AA303" s="29"/>
      <c r="AB303" s="30"/>
      <c r="AC303" s="30"/>
      <c r="AD303" s="30"/>
    </row>
    <row r="304">
      <c r="A304" s="123" t="s">
        <v>230</v>
      </c>
      <c r="B304" s="123" t="s">
        <v>555</v>
      </c>
      <c r="C304" s="36" t="s">
        <v>243</v>
      </c>
      <c r="D304" s="123" t="s">
        <v>379</v>
      </c>
      <c r="E304" s="142" t="s">
        <v>571</v>
      </c>
      <c r="F304" s="123"/>
      <c r="G304" s="75">
        <v>0.0</v>
      </c>
      <c r="H304" s="75">
        <v>23.0</v>
      </c>
      <c r="I304" s="124">
        <v>1.0</v>
      </c>
      <c r="J304" s="75">
        <v>23.0</v>
      </c>
      <c r="K304" s="125">
        <v>0.0</v>
      </c>
      <c r="L304" s="125">
        <v>0.0</v>
      </c>
      <c r="M304" s="75">
        <v>12.0</v>
      </c>
      <c r="N304" s="123"/>
      <c r="O304" s="123" t="s">
        <v>60</v>
      </c>
      <c r="P304" s="126">
        <f>16.201*10^3</f>
        <v>16201</v>
      </c>
      <c r="Q304" s="123" t="s">
        <v>234</v>
      </c>
      <c r="R304" s="75">
        <v>2020.0</v>
      </c>
      <c r="S304" s="136">
        <v>0.239</v>
      </c>
      <c r="T304" s="128">
        <f t="shared" si="1"/>
        <v>3872.039</v>
      </c>
      <c r="U304" s="24">
        <f t="shared" si="2"/>
        <v>168.3495217</v>
      </c>
      <c r="V304" s="26">
        <f>VLOOKUP(R304,CPI!$A$2:$E$67,5,0)</f>
        <v>1.17731472</v>
      </c>
      <c r="W304" s="27">
        <f t="shared" si="3"/>
        <v>4558.608511</v>
      </c>
      <c r="X304" s="27">
        <f t="shared" si="4"/>
        <v>198.20037</v>
      </c>
      <c r="Y304" s="123" t="s">
        <v>60</v>
      </c>
      <c r="Z304" s="129" t="s">
        <v>572</v>
      </c>
      <c r="AA304" s="29"/>
      <c r="AB304" s="30"/>
      <c r="AC304" s="30"/>
      <c r="AD304" s="30"/>
    </row>
    <row r="305">
      <c r="A305" s="123" t="s">
        <v>230</v>
      </c>
      <c r="B305" s="123" t="s">
        <v>586</v>
      </c>
      <c r="C305" s="36" t="s">
        <v>57</v>
      </c>
      <c r="D305" s="123" t="s">
        <v>587</v>
      </c>
      <c r="E305" s="75">
        <v>2010.0</v>
      </c>
      <c r="F305" s="75">
        <v>2014.0</v>
      </c>
      <c r="G305" s="75">
        <v>0.0</v>
      </c>
      <c r="H305" s="75">
        <v>42.1</v>
      </c>
      <c r="I305" s="124">
        <v>0.6983372922</v>
      </c>
      <c r="J305" s="75">
        <v>29.4</v>
      </c>
      <c r="K305" s="125">
        <v>12.09</v>
      </c>
      <c r="L305" s="125">
        <v>0.961</v>
      </c>
      <c r="M305" s="75">
        <v>31.0</v>
      </c>
      <c r="N305" s="123"/>
      <c r="O305" s="123" t="s">
        <v>60</v>
      </c>
      <c r="P305" s="126">
        <f>231.37*10^2</f>
        <v>23137</v>
      </c>
      <c r="Q305" s="123" t="s">
        <v>234</v>
      </c>
      <c r="R305" s="130">
        <v>2010.0</v>
      </c>
      <c r="S305" s="136">
        <v>0.3</v>
      </c>
      <c r="T305" s="128">
        <f t="shared" si="1"/>
        <v>6941.1</v>
      </c>
      <c r="U305" s="24">
        <f t="shared" si="2"/>
        <v>164.871734</v>
      </c>
      <c r="V305" s="26">
        <f>VLOOKUP(R305,CPI!$A$2:$E$67,5,0)</f>
        <v>1.397356642</v>
      </c>
      <c r="W305" s="27">
        <f t="shared" si="3"/>
        <v>9699.19219</v>
      </c>
      <c r="X305" s="27">
        <f t="shared" si="4"/>
        <v>230.3846126</v>
      </c>
      <c r="Y305" s="123" t="s">
        <v>42</v>
      </c>
      <c r="Z305" s="129" t="s">
        <v>588</v>
      </c>
      <c r="AA305" s="29"/>
      <c r="AB305" s="30"/>
      <c r="AC305" s="30"/>
      <c r="AD305" s="30"/>
    </row>
    <row r="306">
      <c r="A306" s="123" t="s">
        <v>230</v>
      </c>
      <c r="B306" s="123" t="s">
        <v>704</v>
      </c>
      <c r="C306" s="36" t="s">
        <v>57</v>
      </c>
      <c r="D306" s="123" t="s">
        <v>746</v>
      </c>
      <c r="E306" s="123"/>
      <c r="F306" s="123"/>
      <c r="G306" s="75">
        <v>0.0</v>
      </c>
      <c r="H306" s="75">
        <v>1.2</v>
      </c>
      <c r="I306" s="124">
        <v>0.0</v>
      </c>
      <c r="J306" s="75">
        <v>0.0</v>
      </c>
      <c r="K306" s="125">
        <v>0.0</v>
      </c>
      <c r="L306" s="125">
        <v>0.0</v>
      </c>
      <c r="M306" s="75">
        <v>1.0</v>
      </c>
      <c r="N306" s="123"/>
      <c r="O306" s="123" t="s">
        <v>60</v>
      </c>
      <c r="P306" s="126">
        <f>3.575*10^3</f>
        <v>3575</v>
      </c>
      <c r="Q306" s="123" t="s">
        <v>234</v>
      </c>
      <c r="R306" s="75">
        <v>2018.0</v>
      </c>
      <c r="S306" s="136">
        <v>0.237</v>
      </c>
      <c r="T306" s="128">
        <f t="shared" si="1"/>
        <v>847.275</v>
      </c>
      <c r="U306" s="24">
        <f t="shared" si="2"/>
        <v>706.0625</v>
      </c>
      <c r="V306" s="26">
        <f>VLOOKUP(R306,CPI!$A$2:$E$67,5,0)</f>
        <v>1.21343491</v>
      </c>
      <c r="W306" s="27">
        <f t="shared" si="3"/>
        <v>1028.113064</v>
      </c>
      <c r="X306" s="27">
        <f t="shared" si="4"/>
        <v>856.7608863</v>
      </c>
      <c r="Y306" s="123" t="s">
        <v>60</v>
      </c>
      <c r="Z306" s="129" t="s">
        <v>739</v>
      </c>
      <c r="AA306" s="29"/>
      <c r="AB306" s="30"/>
      <c r="AC306" s="30"/>
      <c r="AD306" s="30"/>
    </row>
    <row r="307">
      <c r="A307" s="123" t="s">
        <v>230</v>
      </c>
      <c r="B307" s="123" t="s">
        <v>704</v>
      </c>
      <c r="C307" s="36" t="s">
        <v>749</v>
      </c>
      <c r="D307" s="123" t="s">
        <v>750</v>
      </c>
      <c r="E307" s="123"/>
      <c r="F307" s="123"/>
      <c r="G307" s="75">
        <v>0.0</v>
      </c>
      <c r="H307" s="75">
        <v>19.8</v>
      </c>
      <c r="I307" s="124">
        <v>1.0</v>
      </c>
      <c r="J307" s="75">
        <v>19.8</v>
      </c>
      <c r="K307" s="125">
        <v>0.0</v>
      </c>
      <c r="L307" s="125">
        <v>0.0</v>
      </c>
      <c r="M307" s="75">
        <v>16.0</v>
      </c>
      <c r="N307" s="123"/>
      <c r="O307" s="123" t="s">
        <v>60</v>
      </c>
      <c r="P307" s="126">
        <f>39.354*10^3</f>
        <v>39354</v>
      </c>
      <c r="Q307" s="123" t="s">
        <v>234</v>
      </c>
      <c r="R307" s="75">
        <v>2018.0</v>
      </c>
      <c r="S307" s="136">
        <v>0.237</v>
      </c>
      <c r="T307" s="128">
        <f t="shared" si="1"/>
        <v>9326.898</v>
      </c>
      <c r="U307" s="24">
        <f t="shared" si="2"/>
        <v>471.0554545</v>
      </c>
      <c r="V307" s="26">
        <f>VLOOKUP(R307,CPI!$A$2:$E$67,5,0)</f>
        <v>1.21343491</v>
      </c>
      <c r="W307" s="27">
        <f t="shared" si="3"/>
        <v>11317.58364</v>
      </c>
      <c r="X307" s="27">
        <f t="shared" si="4"/>
        <v>571.5951332</v>
      </c>
      <c r="Y307" s="123" t="s">
        <v>60</v>
      </c>
      <c r="Z307" s="129" t="s">
        <v>739</v>
      </c>
      <c r="AA307" s="29"/>
      <c r="AB307" s="30"/>
      <c r="AC307" s="30"/>
      <c r="AD307" s="30"/>
    </row>
    <row r="308">
      <c r="A308" s="123" t="s">
        <v>230</v>
      </c>
      <c r="B308" s="123" t="s">
        <v>231</v>
      </c>
      <c r="C308" s="36" t="s">
        <v>290</v>
      </c>
      <c r="D308" s="123" t="s">
        <v>290</v>
      </c>
      <c r="E308" s="75">
        <v>2017.0</v>
      </c>
      <c r="F308" s="75">
        <v>2021.0</v>
      </c>
      <c r="G308" s="75">
        <v>0.0</v>
      </c>
      <c r="H308" s="75">
        <v>8.777</v>
      </c>
      <c r="I308" s="124">
        <v>1.0</v>
      </c>
      <c r="J308" s="75">
        <v>8.777</v>
      </c>
      <c r="K308" s="125">
        <v>0.0</v>
      </c>
      <c r="L308" s="125">
        <v>0.0</v>
      </c>
      <c r="M308" s="75">
        <v>9.0</v>
      </c>
      <c r="N308" s="123"/>
      <c r="O308" s="123" t="s">
        <v>42</v>
      </c>
      <c r="P308" s="126">
        <f>12.75*1000</f>
        <v>12750</v>
      </c>
      <c r="Q308" s="123" t="s">
        <v>234</v>
      </c>
      <c r="R308" s="75">
        <v>2019.0</v>
      </c>
      <c r="S308" s="136">
        <v>0.238</v>
      </c>
      <c r="T308" s="128">
        <f t="shared" si="1"/>
        <v>3034.5</v>
      </c>
      <c r="U308" s="24">
        <f t="shared" si="2"/>
        <v>345.7331662</v>
      </c>
      <c r="V308" s="26">
        <f>VLOOKUP(R308,CPI!$A$2:$E$67,5,0)</f>
        <v>1.191839066</v>
      </c>
      <c r="W308" s="27">
        <f t="shared" si="3"/>
        <v>3616.635645</v>
      </c>
      <c r="X308" s="27">
        <f t="shared" si="4"/>
        <v>412.0582938</v>
      </c>
      <c r="Y308" s="123" t="s">
        <v>42</v>
      </c>
      <c r="Z308" s="154" t="s">
        <v>291</v>
      </c>
      <c r="AA308" s="29"/>
      <c r="AB308" s="30"/>
      <c r="AC308" s="30"/>
      <c r="AD308" s="30"/>
    </row>
    <row r="309">
      <c r="A309" s="123" t="s">
        <v>230</v>
      </c>
      <c r="B309" s="123" t="s">
        <v>872</v>
      </c>
      <c r="C309" s="36" t="s">
        <v>292</v>
      </c>
      <c r="D309" s="123" t="s">
        <v>894</v>
      </c>
      <c r="E309" s="123"/>
      <c r="F309" s="123"/>
      <c r="G309" s="75">
        <v>0.0</v>
      </c>
      <c r="H309" s="75">
        <v>9.9</v>
      </c>
      <c r="I309" s="124">
        <v>1.0</v>
      </c>
      <c r="J309" s="75">
        <v>9.9</v>
      </c>
      <c r="K309" s="125">
        <v>0.0</v>
      </c>
      <c r="L309" s="125">
        <v>0.0</v>
      </c>
      <c r="M309" s="75">
        <v>6.0</v>
      </c>
      <c r="N309" s="123"/>
      <c r="O309" s="123" t="s">
        <v>60</v>
      </c>
      <c r="P309" s="126">
        <f>(79.89+39.01+16.25)*100</f>
        <v>13515</v>
      </c>
      <c r="Q309" s="123" t="s">
        <v>234</v>
      </c>
      <c r="R309" s="75">
        <v>2019.0</v>
      </c>
      <c r="S309" s="136">
        <v>0.238</v>
      </c>
      <c r="T309" s="128">
        <f t="shared" si="1"/>
        <v>3216.57</v>
      </c>
      <c r="U309" s="24">
        <f t="shared" si="2"/>
        <v>324.9060606</v>
      </c>
      <c r="V309" s="26">
        <f>VLOOKUP(R309,CPI!$A$2:$E$67,5,0)</f>
        <v>1.191839066</v>
      </c>
      <c r="W309" s="27">
        <f t="shared" si="3"/>
        <v>3833.633783</v>
      </c>
      <c r="X309" s="27">
        <f t="shared" si="4"/>
        <v>387.2357357</v>
      </c>
      <c r="Y309" s="123" t="s">
        <v>60</v>
      </c>
      <c r="Z309" s="129" t="s">
        <v>887</v>
      </c>
      <c r="AA309" s="173"/>
      <c r="AB309" s="60"/>
      <c r="AC309" s="60"/>
      <c r="AD309" s="60"/>
    </row>
    <row r="310">
      <c r="A310" s="123" t="s">
        <v>230</v>
      </c>
      <c r="B310" s="123" t="s">
        <v>704</v>
      </c>
      <c r="C310" s="123" t="s">
        <v>288</v>
      </c>
      <c r="D310" s="123" t="s">
        <v>288</v>
      </c>
      <c r="E310" s="123"/>
      <c r="F310" s="123"/>
      <c r="G310" s="75">
        <v>0.0</v>
      </c>
      <c r="H310" s="75">
        <v>44.5</v>
      </c>
      <c r="I310" s="124">
        <v>1.0</v>
      </c>
      <c r="J310" s="75">
        <v>44.5</v>
      </c>
      <c r="K310" s="125">
        <v>0.0</v>
      </c>
      <c r="L310" s="125">
        <v>0.0</v>
      </c>
      <c r="M310" s="75">
        <v>32.0</v>
      </c>
      <c r="N310" s="123"/>
      <c r="O310" s="123" t="s">
        <v>60</v>
      </c>
      <c r="P310" s="126">
        <f>60.524*1000</f>
        <v>60524</v>
      </c>
      <c r="Q310" s="123" t="s">
        <v>234</v>
      </c>
      <c r="R310" s="75">
        <v>2018.0</v>
      </c>
      <c r="S310" s="136">
        <v>0.237</v>
      </c>
      <c r="T310" s="128">
        <f t="shared" si="1"/>
        <v>14344.188</v>
      </c>
      <c r="U310" s="24">
        <f t="shared" si="2"/>
        <v>322.3413034</v>
      </c>
      <c r="V310" s="26">
        <f>VLOOKUP(R310,CPI!$A$2:$E$67,5,0)</f>
        <v>1.21343491</v>
      </c>
      <c r="W310" s="27">
        <f t="shared" si="3"/>
        <v>17405.73848</v>
      </c>
      <c r="X310" s="27">
        <f t="shared" si="4"/>
        <v>391.1401905</v>
      </c>
      <c r="Y310" s="123" t="s">
        <v>60</v>
      </c>
      <c r="Z310" s="154" t="s">
        <v>748</v>
      </c>
      <c r="AA310" s="29"/>
      <c r="AB310" s="30"/>
      <c r="AC310" s="30"/>
      <c r="AD310" s="30"/>
    </row>
    <row r="311">
      <c r="A311" s="123" t="s">
        <v>230</v>
      </c>
      <c r="B311" s="123" t="s">
        <v>704</v>
      </c>
      <c r="C311" s="36" t="s">
        <v>468</v>
      </c>
      <c r="D311" s="123" t="s">
        <v>751</v>
      </c>
      <c r="E311" s="123"/>
      <c r="F311" s="123"/>
      <c r="G311" s="75">
        <v>0.0</v>
      </c>
      <c r="H311" s="75">
        <v>28.0</v>
      </c>
      <c r="I311" s="124">
        <v>1.0</v>
      </c>
      <c r="J311" s="75">
        <v>28.0</v>
      </c>
      <c r="K311" s="125">
        <v>0.0</v>
      </c>
      <c r="L311" s="125">
        <v>0.0</v>
      </c>
      <c r="M311" s="75">
        <v>16.0</v>
      </c>
      <c r="N311" s="123"/>
      <c r="O311" s="123" t="s">
        <v>60</v>
      </c>
      <c r="P311" s="157">
        <f>36.956*1000</f>
        <v>36956</v>
      </c>
      <c r="Q311" s="123" t="s">
        <v>234</v>
      </c>
      <c r="R311" s="75">
        <v>2018.0</v>
      </c>
      <c r="S311" s="136">
        <v>0.237</v>
      </c>
      <c r="T311" s="128">
        <f t="shared" si="1"/>
        <v>8758.572</v>
      </c>
      <c r="U311" s="24">
        <f t="shared" si="2"/>
        <v>312.8061429</v>
      </c>
      <c r="V311" s="26">
        <f>VLOOKUP(R311,CPI!$A$2:$E$67,5,0)</f>
        <v>1.21343491</v>
      </c>
      <c r="W311" s="27">
        <f t="shared" si="3"/>
        <v>10627.95703</v>
      </c>
      <c r="X311" s="27">
        <f t="shared" si="4"/>
        <v>379.5698939</v>
      </c>
      <c r="Y311" s="123" t="s">
        <v>60</v>
      </c>
      <c r="Z311" s="154" t="s">
        <v>752</v>
      </c>
      <c r="AA311" s="29"/>
      <c r="AB311" s="30"/>
      <c r="AC311" s="30"/>
      <c r="AD311" s="30"/>
    </row>
    <row r="312">
      <c r="A312" s="123" t="s">
        <v>230</v>
      </c>
      <c r="B312" s="123" t="s">
        <v>704</v>
      </c>
      <c r="C312" s="36" t="s">
        <v>236</v>
      </c>
      <c r="D312" s="123" t="s">
        <v>747</v>
      </c>
      <c r="E312" s="123"/>
      <c r="F312" s="123"/>
      <c r="G312" s="75">
        <v>0.0</v>
      </c>
      <c r="H312" s="75">
        <v>9.8</v>
      </c>
      <c r="I312" s="124">
        <v>1.0</v>
      </c>
      <c r="J312" s="75">
        <v>9.8</v>
      </c>
      <c r="K312" s="125">
        <v>0.0</v>
      </c>
      <c r="L312" s="125">
        <v>0.0</v>
      </c>
      <c r="M312" s="75">
        <v>5.0</v>
      </c>
      <c r="N312" s="123"/>
      <c r="O312" s="123" t="s">
        <v>60</v>
      </c>
      <c r="P312" s="126">
        <f>12.629*1000</f>
        <v>12629</v>
      </c>
      <c r="Q312" s="123" t="s">
        <v>234</v>
      </c>
      <c r="R312" s="75">
        <v>2018.0</v>
      </c>
      <c r="S312" s="136">
        <v>0.237</v>
      </c>
      <c r="T312" s="128">
        <f t="shared" si="1"/>
        <v>2993.073</v>
      </c>
      <c r="U312" s="24">
        <f t="shared" si="2"/>
        <v>305.4156122</v>
      </c>
      <c r="V312" s="26">
        <f>VLOOKUP(R312,CPI!$A$2:$E$67,5,0)</f>
        <v>1.21343491</v>
      </c>
      <c r="W312" s="27">
        <f t="shared" si="3"/>
        <v>3631.899267</v>
      </c>
      <c r="X312" s="27">
        <f t="shared" si="4"/>
        <v>370.601966</v>
      </c>
      <c r="Y312" s="123" t="s">
        <v>60</v>
      </c>
      <c r="Z312" s="129" t="s">
        <v>739</v>
      </c>
      <c r="AA312" s="29"/>
      <c r="AB312" s="30"/>
      <c r="AC312" s="30"/>
      <c r="AD312" s="30"/>
    </row>
    <row r="313">
      <c r="A313" s="72" t="s">
        <v>230</v>
      </c>
      <c r="B313" s="72" t="s">
        <v>231</v>
      </c>
      <c r="C313" s="115" t="s">
        <v>292</v>
      </c>
      <c r="D313" s="72" t="s">
        <v>293</v>
      </c>
      <c r="E313" s="69">
        <v>2019.0</v>
      </c>
      <c r="F313" s="69">
        <v>2021.0</v>
      </c>
      <c r="G313" s="69">
        <v>0.0</v>
      </c>
      <c r="H313" s="69">
        <v>4.2</v>
      </c>
      <c r="I313" s="117">
        <v>1.0</v>
      </c>
      <c r="J313" s="69">
        <v>4.2</v>
      </c>
      <c r="K313" s="72"/>
      <c r="L313" s="72"/>
      <c r="M313" s="69">
        <v>4.0</v>
      </c>
      <c r="N313" s="69">
        <v>138.0</v>
      </c>
      <c r="O313" s="72"/>
      <c r="P313" s="140">
        <v>5715.0</v>
      </c>
      <c r="Q313" s="72" t="s">
        <v>234</v>
      </c>
      <c r="R313" s="75">
        <v>2020.0</v>
      </c>
      <c r="S313" s="136">
        <v>0.239</v>
      </c>
      <c r="T313" s="118">
        <f t="shared" si="1"/>
        <v>1365.885</v>
      </c>
      <c r="U313" s="24">
        <f t="shared" si="2"/>
        <v>325.2107143</v>
      </c>
      <c r="V313" s="26">
        <f>VLOOKUP(R313,CPI!$A$2:$E$67,5,0)</f>
        <v>1.17731472</v>
      </c>
      <c r="W313" s="27">
        <f t="shared" si="3"/>
        <v>1608.076516</v>
      </c>
      <c r="X313" s="27">
        <f t="shared" si="4"/>
        <v>382.875361</v>
      </c>
      <c r="Y313" s="72" t="s">
        <v>36</v>
      </c>
      <c r="Z313" s="79" t="s">
        <v>294</v>
      </c>
      <c r="AA313" s="186"/>
      <c r="AB313" s="187"/>
      <c r="AC313" s="187"/>
      <c r="AD313" s="187"/>
    </row>
    <row r="314">
      <c r="A314" s="123" t="s">
        <v>230</v>
      </c>
      <c r="B314" s="123" t="s">
        <v>704</v>
      </c>
      <c r="C314" s="36" t="s">
        <v>753</v>
      </c>
      <c r="D314" s="123" t="s">
        <v>754</v>
      </c>
      <c r="E314" s="123"/>
      <c r="F314" s="123"/>
      <c r="G314" s="75">
        <v>0.0</v>
      </c>
      <c r="H314" s="75">
        <v>28.0</v>
      </c>
      <c r="I314" s="124">
        <v>1.0</v>
      </c>
      <c r="J314" s="75">
        <v>28.0</v>
      </c>
      <c r="K314" s="125">
        <v>0.0</v>
      </c>
      <c r="L314" s="125">
        <v>0.0</v>
      </c>
      <c r="M314" s="75">
        <v>22.0</v>
      </c>
      <c r="N314" s="123"/>
      <c r="O314" s="123" t="s">
        <v>60</v>
      </c>
      <c r="P314" s="126">
        <f>33.729*1000</f>
        <v>33729</v>
      </c>
      <c r="Q314" s="123" t="s">
        <v>234</v>
      </c>
      <c r="R314" s="75">
        <v>2018.0</v>
      </c>
      <c r="S314" s="136">
        <v>0.237</v>
      </c>
      <c r="T314" s="128">
        <f t="shared" si="1"/>
        <v>7993.773</v>
      </c>
      <c r="U314" s="24">
        <f t="shared" si="2"/>
        <v>285.4918929</v>
      </c>
      <c r="V314" s="26">
        <f>VLOOKUP(R314,CPI!$A$2:$E$67,5,0)</f>
        <v>1.21343491</v>
      </c>
      <c r="W314" s="27">
        <f t="shared" si="3"/>
        <v>9699.923223</v>
      </c>
      <c r="X314" s="27">
        <f t="shared" si="4"/>
        <v>346.4258294</v>
      </c>
      <c r="Y314" s="123" t="s">
        <v>60</v>
      </c>
      <c r="Z314" s="129" t="s">
        <v>739</v>
      </c>
      <c r="AA314" s="29"/>
      <c r="AB314" s="30"/>
      <c r="AC314" s="30"/>
      <c r="AD314" s="30"/>
    </row>
    <row r="315">
      <c r="A315" s="72" t="s">
        <v>230</v>
      </c>
      <c r="B315" s="72" t="s">
        <v>771</v>
      </c>
      <c r="C315" s="72" t="s">
        <v>236</v>
      </c>
      <c r="D315" s="72" t="s">
        <v>236</v>
      </c>
      <c r="E315" s="69">
        <v>2021.0</v>
      </c>
      <c r="F315" s="72"/>
      <c r="G315" s="69">
        <v>0.0</v>
      </c>
      <c r="H315" s="69">
        <v>22.436</v>
      </c>
      <c r="I315" s="117">
        <v>1.0</v>
      </c>
      <c r="J315" s="69">
        <v>22.436</v>
      </c>
      <c r="K315" s="72"/>
      <c r="L315" s="72"/>
      <c r="M315" s="69">
        <v>16.0</v>
      </c>
      <c r="N315" s="70">
        <v>184.0</v>
      </c>
      <c r="O315" s="72"/>
      <c r="P315" s="140">
        <v>23371.0</v>
      </c>
      <c r="Q315" s="72" t="s">
        <v>234</v>
      </c>
      <c r="R315" s="115">
        <v>2021.0</v>
      </c>
      <c r="S315" s="136">
        <v>0.239</v>
      </c>
      <c r="T315" s="118">
        <f t="shared" si="1"/>
        <v>5585.669</v>
      </c>
      <c r="U315" s="24">
        <f t="shared" si="2"/>
        <v>248.9601088</v>
      </c>
      <c r="V315" s="26">
        <f>VLOOKUP(R315,CPI!$A$2:$E$67,5,0)</f>
        <v>1.124486105</v>
      </c>
      <c r="W315" s="27">
        <f t="shared" si="3"/>
        <v>6281.00718</v>
      </c>
      <c r="X315" s="27">
        <f t="shared" si="4"/>
        <v>279.9521831</v>
      </c>
      <c r="Y315" s="72" t="s">
        <v>36</v>
      </c>
      <c r="Z315" s="79" t="s">
        <v>797</v>
      </c>
      <c r="AA315" s="72"/>
      <c r="AB315" s="72"/>
      <c r="AC315" s="72"/>
      <c r="AD315" s="72"/>
    </row>
    <row r="316">
      <c r="A316" s="123" t="s">
        <v>230</v>
      </c>
      <c r="B316" s="123" t="s">
        <v>231</v>
      </c>
      <c r="C316" s="36" t="s">
        <v>87</v>
      </c>
      <c r="D316" s="123" t="s">
        <v>285</v>
      </c>
      <c r="E316" s="75">
        <v>2016.0</v>
      </c>
      <c r="F316" s="75">
        <v>2021.0</v>
      </c>
      <c r="G316" s="75">
        <v>0.0</v>
      </c>
      <c r="H316" s="75">
        <v>37.4</v>
      </c>
      <c r="I316" s="124">
        <v>0.5561497326</v>
      </c>
      <c r="J316" s="75">
        <v>20.8</v>
      </c>
      <c r="K316" s="125">
        <v>0.0</v>
      </c>
      <c r="L316" s="125">
        <v>0.0</v>
      </c>
      <c r="M316" s="75">
        <v>27.0</v>
      </c>
      <c r="N316" s="123"/>
      <c r="O316" s="123" t="s">
        <v>60</v>
      </c>
      <c r="P316" s="126">
        <v>41500.0</v>
      </c>
      <c r="Q316" s="123" t="s">
        <v>234</v>
      </c>
      <c r="R316" s="75">
        <v>2015.0</v>
      </c>
      <c r="S316" s="136">
        <v>0.258</v>
      </c>
      <c r="T316" s="128">
        <f t="shared" si="1"/>
        <v>10707</v>
      </c>
      <c r="U316" s="24">
        <f t="shared" si="2"/>
        <v>286.2834225</v>
      </c>
      <c r="V316" s="26">
        <f>VLOOKUP(R316,CPI!$A$2:$E$67,5,0)</f>
        <v>1.285570233</v>
      </c>
      <c r="W316" s="27">
        <f t="shared" si="3"/>
        <v>13764.60049</v>
      </c>
      <c r="X316" s="27">
        <f t="shared" si="4"/>
        <v>368.0374462</v>
      </c>
      <c r="Y316" s="123" t="s">
        <v>60</v>
      </c>
      <c r="Z316" s="154" t="s">
        <v>286</v>
      </c>
      <c r="AA316" s="34"/>
      <c r="AB316" s="34"/>
      <c r="AC316" s="34"/>
      <c r="AD316" s="34"/>
    </row>
    <row r="317">
      <c r="A317" s="123" t="s">
        <v>230</v>
      </c>
      <c r="B317" s="123" t="s">
        <v>231</v>
      </c>
      <c r="C317" s="36" t="s">
        <v>287</v>
      </c>
      <c r="D317" s="123" t="s">
        <v>287</v>
      </c>
      <c r="E317" s="75">
        <v>2017.0</v>
      </c>
      <c r="F317" s="75">
        <v>2021.0</v>
      </c>
      <c r="G317" s="75">
        <v>0.0</v>
      </c>
      <c r="H317" s="75">
        <v>29.2</v>
      </c>
      <c r="I317" s="124">
        <v>1.0</v>
      </c>
      <c r="J317" s="75">
        <v>29.2</v>
      </c>
      <c r="K317" s="125">
        <v>0.0</v>
      </c>
      <c r="L317" s="125">
        <v>0.0</v>
      </c>
      <c r="M317" s="75">
        <v>21.0</v>
      </c>
      <c r="N317" s="123"/>
      <c r="O317" s="123" t="s">
        <v>60</v>
      </c>
      <c r="P317" s="126">
        <v>32400.0</v>
      </c>
      <c r="Q317" s="123" t="s">
        <v>234</v>
      </c>
      <c r="R317" s="75">
        <v>2015.0</v>
      </c>
      <c r="S317" s="136">
        <v>0.258</v>
      </c>
      <c r="T317" s="128">
        <f t="shared" si="1"/>
        <v>8359.2</v>
      </c>
      <c r="U317" s="24">
        <f t="shared" si="2"/>
        <v>286.2739726</v>
      </c>
      <c r="V317" s="26">
        <f>VLOOKUP(R317,CPI!$A$2:$E$67,5,0)</f>
        <v>1.285570233</v>
      </c>
      <c r="W317" s="27">
        <f t="shared" si="3"/>
        <v>10746.33869</v>
      </c>
      <c r="X317" s="27">
        <f t="shared" si="4"/>
        <v>368.0252978</v>
      </c>
      <c r="Y317" s="123" t="s">
        <v>42</v>
      </c>
      <c r="Z317" s="129" t="s">
        <v>280</v>
      </c>
      <c r="AA317" s="29"/>
      <c r="AB317" s="30"/>
      <c r="AC317" s="30"/>
      <c r="AD317" s="30"/>
    </row>
    <row r="318">
      <c r="A318" s="114" t="s">
        <v>230</v>
      </c>
      <c r="B318" s="114" t="s">
        <v>461</v>
      </c>
      <c r="C318" s="115" t="s">
        <v>236</v>
      </c>
      <c r="D318" s="115" t="s">
        <v>492</v>
      </c>
      <c r="E318" s="116">
        <v>2019.0</v>
      </c>
      <c r="F318" s="114"/>
      <c r="G318" s="116">
        <v>0.0</v>
      </c>
      <c r="H318" s="116">
        <v>33.5</v>
      </c>
      <c r="I318" s="117">
        <v>1.0</v>
      </c>
      <c r="J318" s="116">
        <v>33.5</v>
      </c>
      <c r="K318" s="114"/>
      <c r="L318" s="114"/>
      <c r="M318" s="116">
        <v>23.0</v>
      </c>
      <c r="N318" s="116">
        <v>184.0</v>
      </c>
      <c r="O318" s="114"/>
      <c r="P318" s="140">
        <v>41085.0</v>
      </c>
      <c r="Q318" s="114" t="s">
        <v>234</v>
      </c>
      <c r="R318" s="115">
        <v>2019.0</v>
      </c>
      <c r="S318" s="136">
        <v>0.238</v>
      </c>
      <c r="T318" s="118">
        <f t="shared" si="1"/>
        <v>9778.23</v>
      </c>
      <c r="U318" s="24">
        <f t="shared" si="2"/>
        <v>291.8874627</v>
      </c>
      <c r="V318" s="26">
        <f>VLOOKUP(R318,CPI!$A$2:$E$67,5,0)</f>
        <v>1.191839066</v>
      </c>
      <c r="W318" s="27">
        <f t="shared" si="3"/>
        <v>11654.07651</v>
      </c>
      <c r="X318" s="27">
        <f t="shared" si="4"/>
        <v>347.8828808</v>
      </c>
      <c r="Y318" s="114"/>
      <c r="Z318" s="119" t="s">
        <v>493</v>
      </c>
      <c r="AA318" s="29"/>
      <c r="AB318" s="30"/>
      <c r="AC318" s="30"/>
      <c r="AD318" s="30"/>
    </row>
    <row r="319">
      <c r="A319" s="72" t="s">
        <v>230</v>
      </c>
      <c r="B319" s="72" t="s">
        <v>461</v>
      </c>
      <c r="C319" s="115" t="s">
        <v>239</v>
      </c>
      <c r="D319" s="72" t="s">
        <v>239</v>
      </c>
      <c r="E319" s="69">
        <v>2017.0</v>
      </c>
      <c r="F319" s="69">
        <v>2022.0</v>
      </c>
      <c r="G319" s="69">
        <v>0.0</v>
      </c>
      <c r="H319" s="69">
        <v>19.41</v>
      </c>
      <c r="I319" s="117">
        <v>1.0</v>
      </c>
      <c r="J319" s="69">
        <v>19.41</v>
      </c>
      <c r="K319" s="72"/>
      <c r="L319" s="72"/>
      <c r="M319" s="69">
        <v>14.0</v>
      </c>
      <c r="N319" s="69">
        <v>117.0</v>
      </c>
      <c r="O319" s="72"/>
      <c r="P319" s="140">
        <v>23143.0</v>
      </c>
      <c r="Q319" s="72" t="s">
        <v>234</v>
      </c>
      <c r="R319" s="115">
        <v>2020.0</v>
      </c>
      <c r="S319" s="136">
        <v>0.239</v>
      </c>
      <c r="T319" s="118">
        <f t="shared" si="1"/>
        <v>5531.177</v>
      </c>
      <c r="U319" s="24">
        <f t="shared" si="2"/>
        <v>284.9653272</v>
      </c>
      <c r="V319" s="26">
        <f>VLOOKUP(R319,CPI!$A$2:$E$67,5,0)</f>
        <v>1.17731472</v>
      </c>
      <c r="W319" s="27">
        <f t="shared" si="3"/>
        <v>6511.936101</v>
      </c>
      <c r="X319" s="27">
        <f t="shared" si="4"/>
        <v>335.4938743</v>
      </c>
      <c r="Y319" s="72" t="s">
        <v>36</v>
      </c>
      <c r="Z319" s="79" t="s">
        <v>475</v>
      </c>
      <c r="AA319" s="72"/>
      <c r="AB319" s="72"/>
      <c r="AC319" s="72"/>
      <c r="AD319" s="72"/>
    </row>
    <row r="320">
      <c r="A320" s="123" t="s">
        <v>230</v>
      </c>
      <c r="B320" s="123" t="s">
        <v>771</v>
      </c>
      <c r="C320" s="36" t="s">
        <v>287</v>
      </c>
      <c r="D320" s="123" t="s">
        <v>287</v>
      </c>
      <c r="E320" s="75">
        <v>2017.0</v>
      </c>
      <c r="F320" s="75">
        <v>2022.0</v>
      </c>
      <c r="G320" s="75">
        <v>0.0</v>
      </c>
      <c r="H320" s="75">
        <v>40.0</v>
      </c>
      <c r="I320" s="124">
        <v>1.0</v>
      </c>
      <c r="J320" s="75">
        <v>40.0</v>
      </c>
      <c r="K320" s="125">
        <v>0.0</v>
      </c>
      <c r="L320" s="125">
        <v>0.0</v>
      </c>
      <c r="M320" s="75">
        <v>33.0</v>
      </c>
      <c r="N320" s="123"/>
      <c r="O320" s="123" t="s">
        <v>60</v>
      </c>
      <c r="P320" s="126">
        <v>38140.0</v>
      </c>
      <c r="Q320" s="123" t="s">
        <v>234</v>
      </c>
      <c r="R320" s="75">
        <v>2017.0</v>
      </c>
      <c r="S320" s="136">
        <v>0.239</v>
      </c>
      <c r="T320" s="128">
        <f t="shared" si="1"/>
        <v>9115.46</v>
      </c>
      <c r="U320" s="24">
        <f t="shared" si="2"/>
        <v>227.8865</v>
      </c>
      <c r="V320" s="26">
        <f>VLOOKUP(R320,CPI!$A$2:$E$67,5,0)</f>
        <v>1.243072781</v>
      </c>
      <c r="W320" s="27">
        <f t="shared" si="3"/>
        <v>11331.18021</v>
      </c>
      <c r="X320" s="27">
        <f t="shared" si="4"/>
        <v>283.2795052</v>
      </c>
      <c r="Y320" s="123" t="s">
        <v>60</v>
      </c>
      <c r="Z320" s="129" t="s">
        <v>778</v>
      </c>
      <c r="AA320" s="29"/>
      <c r="AB320" s="30"/>
      <c r="AC320" s="30"/>
      <c r="AD320" s="30"/>
    </row>
    <row r="321">
      <c r="A321" s="123" t="s">
        <v>230</v>
      </c>
      <c r="B321" s="123" t="s">
        <v>231</v>
      </c>
      <c r="C321" s="36" t="s">
        <v>243</v>
      </c>
      <c r="D321" s="123" t="s">
        <v>272</v>
      </c>
      <c r="E321" s="75">
        <v>2016.0</v>
      </c>
      <c r="F321" s="75">
        <v>2018.0</v>
      </c>
      <c r="G321" s="75">
        <v>0.0</v>
      </c>
      <c r="H321" s="75">
        <v>3.4</v>
      </c>
      <c r="I321" s="124">
        <f>J321/H321</f>
        <v>0.2907647059</v>
      </c>
      <c r="J321" s="75">
        <v>0.9886</v>
      </c>
      <c r="K321" s="125">
        <v>2.414</v>
      </c>
      <c r="L321" s="125">
        <v>0.0</v>
      </c>
      <c r="M321" s="75">
        <v>2.0</v>
      </c>
      <c r="N321" s="123"/>
      <c r="O321" s="123" t="s">
        <v>74</v>
      </c>
      <c r="P321" s="126">
        <v>3420.0</v>
      </c>
      <c r="Q321" s="123" t="s">
        <v>234</v>
      </c>
      <c r="R321" s="75">
        <v>2015.0</v>
      </c>
      <c r="S321" s="136">
        <v>0.258</v>
      </c>
      <c r="T321" s="128">
        <f t="shared" si="1"/>
        <v>882.36</v>
      </c>
      <c r="U321" s="24">
        <f t="shared" si="2"/>
        <v>259.5176471</v>
      </c>
      <c r="V321" s="26">
        <f>VLOOKUP(R321,CPI!$A$2:$E$67,5,0)</f>
        <v>1.285570233</v>
      </c>
      <c r="W321" s="27">
        <f t="shared" si="3"/>
        <v>1134.335751</v>
      </c>
      <c r="X321" s="27">
        <f t="shared" si="4"/>
        <v>333.6281621</v>
      </c>
      <c r="Y321" s="123" t="s">
        <v>42</v>
      </c>
      <c r="Z321" s="129" t="s">
        <v>273</v>
      </c>
      <c r="AA321" s="29"/>
      <c r="AB321" s="30"/>
      <c r="AC321" s="30"/>
      <c r="AD321" s="30"/>
    </row>
    <row r="322">
      <c r="A322" s="123" t="s">
        <v>230</v>
      </c>
      <c r="B322" s="123" t="s">
        <v>350</v>
      </c>
      <c r="C322" s="36" t="s">
        <v>351</v>
      </c>
      <c r="D322" s="123" t="s">
        <v>367</v>
      </c>
      <c r="E322" s="75">
        <v>2019.0</v>
      </c>
      <c r="F322" s="75">
        <v>2024.0</v>
      </c>
      <c r="G322" s="75">
        <v>0.0</v>
      </c>
      <c r="H322" s="75">
        <f>11.01+3.28</f>
        <v>14.29</v>
      </c>
      <c r="I322" s="124">
        <v>1.0</v>
      </c>
      <c r="J322" s="75">
        <v>14.29</v>
      </c>
      <c r="K322" s="125">
        <v>0.0</v>
      </c>
      <c r="L322" s="125">
        <v>0.0</v>
      </c>
      <c r="M322" s="75">
        <v>7.0</v>
      </c>
      <c r="N322" s="123"/>
      <c r="O322" s="123" t="s">
        <v>60</v>
      </c>
      <c r="P322" s="126">
        <v>14656.0</v>
      </c>
      <c r="Q322" s="123" t="s">
        <v>234</v>
      </c>
      <c r="R322" s="75">
        <v>2019.0</v>
      </c>
      <c r="S322" s="136">
        <v>0.238</v>
      </c>
      <c r="T322" s="128">
        <f t="shared" si="1"/>
        <v>3488.128</v>
      </c>
      <c r="U322" s="24">
        <f t="shared" si="2"/>
        <v>244.0957313</v>
      </c>
      <c r="V322" s="26">
        <f>VLOOKUP(R322,CPI!$A$2:$E$67,5,0)</f>
        <v>1.191839066</v>
      </c>
      <c r="W322" s="27">
        <f t="shared" si="3"/>
        <v>4157.287216</v>
      </c>
      <c r="X322" s="27">
        <f t="shared" si="4"/>
        <v>290.9228283</v>
      </c>
      <c r="Y322" s="123" t="s">
        <v>60</v>
      </c>
      <c r="Z322" s="129" t="s">
        <v>365</v>
      </c>
      <c r="AA322" s="29"/>
      <c r="AB322" s="30"/>
      <c r="AC322" s="30"/>
      <c r="AD322" s="30"/>
    </row>
    <row r="323">
      <c r="A323" s="123" t="s">
        <v>230</v>
      </c>
      <c r="B323" s="123" t="s">
        <v>834</v>
      </c>
      <c r="C323" s="36" t="s">
        <v>838</v>
      </c>
      <c r="D323" s="123" t="s">
        <v>839</v>
      </c>
      <c r="E323" s="75">
        <v>2017.0</v>
      </c>
      <c r="F323" s="75">
        <v>2020.0</v>
      </c>
      <c r="G323" s="75">
        <v>0.0</v>
      </c>
      <c r="H323" s="75">
        <v>20.0</v>
      </c>
      <c r="I323" s="124">
        <v>1.0</v>
      </c>
      <c r="J323" s="75">
        <v>20.0</v>
      </c>
      <c r="K323" s="125">
        <v>0.0</v>
      </c>
      <c r="L323" s="125">
        <v>0.0</v>
      </c>
      <c r="M323" s="75">
        <v>18.0</v>
      </c>
      <c r="N323" s="123"/>
      <c r="O323" s="123" t="s">
        <v>60</v>
      </c>
      <c r="P323" s="126">
        <v>20053.0</v>
      </c>
      <c r="Q323" s="123" t="s">
        <v>234</v>
      </c>
      <c r="R323" s="75">
        <v>2015.0</v>
      </c>
      <c r="S323" s="136">
        <v>0.258</v>
      </c>
      <c r="T323" s="128">
        <f t="shared" si="1"/>
        <v>5173.674</v>
      </c>
      <c r="U323" s="24">
        <f t="shared" si="2"/>
        <v>258.6837</v>
      </c>
      <c r="V323" s="26">
        <f>VLOOKUP(R323,CPI!$A$2:$E$67,5,0)</f>
        <v>1.285570233</v>
      </c>
      <c r="W323" s="27">
        <f t="shared" si="3"/>
        <v>6651.121292</v>
      </c>
      <c r="X323" s="27">
        <f t="shared" si="4"/>
        <v>332.5560646</v>
      </c>
      <c r="Y323" s="123" t="s">
        <v>42</v>
      </c>
      <c r="Z323" s="129" t="s">
        <v>840</v>
      </c>
      <c r="AA323" s="29"/>
      <c r="AB323" s="30"/>
      <c r="AC323" s="30"/>
      <c r="AD323" s="30"/>
    </row>
    <row r="324">
      <c r="A324" s="123" t="s">
        <v>230</v>
      </c>
      <c r="B324" s="123" t="s">
        <v>231</v>
      </c>
      <c r="C324" s="36" t="s">
        <v>288</v>
      </c>
      <c r="D324" s="123" t="s">
        <v>289</v>
      </c>
      <c r="E324" s="75">
        <v>2017.0</v>
      </c>
      <c r="F324" s="75">
        <v>2021.0</v>
      </c>
      <c r="G324" s="75">
        <v>0.0</v>
      </c>
      <c r="H324" s="75">
        <v>22.4</v>
      </c>
      <c r="I324" s="124">
        <v>1.0</v>
      </c>
      <c r="J324" s="75">
        <v>22.4</v>
      </c>
      <c r="K324" s="125">
        <v>0.0</v>
      </c>
      <c r="L324" s="125">
        <v>0.0</v>
      </c>
      <c r="M324" s="75">
        <v>10.0</v>
      </c>
      <c r="N324" s="123"/>
      <c r="O324" s="123" t="s">
        <v>60</v>
      </c>
      <c r="P324" s="126">
        <v>22180.0</v>
      </c>
      <c r="Q324" s="123" t="s">
        <v>234</v>
      </c>
      <c r="R324" s="75">
        <v>2015.0</v>
      </c>
      <c r="S324" s="136">
        <v>0.258</v>
      </c>
      <c r="T324" s="128">
        <f t="shared" si="1"/>
        <v>5722.44</v>
      </c>
      <c r="U324" s="24">
        <f t="shared" si="2"/>
        <v>255.4660714</v>
      </c>
      <c r="V324" s="26">
        <f>VLOOKUP(R324,CPI!$A$2:$E$67,5,0)</f>
        <v>1.285570233</v>
      </c>
      <c r="W324" s="27">
        <f t="shared" si="3"/>
        <v>7356.598526</v>
      </c>
      <c r="X324" s="27">
        <f t="shared" si="4"/>
        <v>328.4195771</v>
      </c>
      <c r="Y324" s="123" t="s">
        <v>42</v>
      </c>
      <c r="Z324" s="129" t="s">
        <v>280</v>
      </c>
      <c r="AA324" s="34"/>
      <c r="AB324" s="34"/>
      <c r="AC324" s="34"/>
      <c r="AD324" s="34"/>
    </row>
    <row r="325">
      <c r="A325" s="72" t="s">
        <v>230</v>
      </c>
      <c r="B325" s="72" t="s">
        <v>231</v>
      </c>
      <c r="C325" s="115" t="s">
        <v>121</v>
      </c>
      <c r="D325" s="72" t="s">
        <v>121</v>
      </c>
      <c r="E325" s="69">
        <v>2015.0</v>
      </c>
      <c r="F325" s="69">
        <v>2022.0</v>
      </c>
      <c r="G325" s="69">
        <v>0.0</v>
      </c>
      <c r="H325" s="69">
        <v>49.7</v>
      </c>
      <c r="I325" s="117">
        <v>1.0</v>
      </c>
      <c r="J325" s="69">
        <v>49.7</v>
      </c>
      <c r="K325" s="72"/>
      <c r="L325" s="72"/>
      <c r="M325" s="69">
        <v>20.0</v>
      </c>
      <c r="N325" s="69">
        <v>184.0</v>
      </c>
      <c r="O325" s="72"/>
      <c r="P325" s="140">
        <v>51085.0</v>
      </c>
      <c r="Q325" s="72" t="s">
        <v>234</v>
      </c>
      <c r="R325" s="75">
        <v>2019.0</v>
      </c>
      <c r="S325" s="136">
        <v>0.238</v>
      </c>
      <c r="T325" s="128">
        <f t="shared" si="1"/>
        <v>12158.23</v>
      </c>
      <c r="U325" s="24">
        <f t="shared" si="2"/>
        <v>244.6323944</v>
      </c>
      <c r="V325" s="26">
        <f>VLOOKUP(R325,CPI!$A$2:$E$67,5,0)</f>
        <v>1.191839066</v>
      </c>
      <c r="W325" s="27">
        <f t="shared" si="3"/>
        <v>14490.65348</v>
      </c>
      <c r="X325" s="27">
        <f t="shared" si="4"/>
        <v>291.5624443</v>
      </c>
      <c r="Y325" s="72" t="s">
        <v>36</v>
      </c>
      <c r="Z325" s="79" t="s">
        <v>298</v>
      </c>
      <c r="AA325" s="186"/>
      <c r="AB325" s="187"/>
      <c r="AC325" s="187"/>
      <c r="AD325" s="187"/>
    </row>
    <row r="326">
      <c r="A326" s="123" t="s">
        <v>230</v>
      </c>
      <c r="B326" s="123" t="s">
        <v>231</v>
      </c>
      <c r="C326" s="123" t="s">
        <v>283</v>
      </c>
      <c r="D326" s="123" t="s">
        <v>283</v>
      </c>
      <c r="E326" s="75">
        <v>2013.0</v>
      </c>
      <c r="F326" s="75">
        <v>2021.0</v>
      </c>
      <c r="G326" s="75">
        <v>0.0</v>
      </c>
      <c r="H326" s="75">
        <v>49.8</v>
      </c>
      <c r="I326" s="124">
        <v>1.0</v>
      </c>
      <c r="J326" s="75">
        <v>49.8</v>
      </c>
      <c r="K326" s="125">
        <v>0.0</v>
      </c>
      <c r="L326" s="125">
        <v>0.0</v>
      </c>
      <c r="M326" s="75">
        <v>29.0</v>
      </c>
      <c r="N326" s="123"/>
      <c r="O326" s="123" t="s">
        <v>42</v>
      </c>
      <c r="P326" s="157">
        <v>49500.0</v>
      </c>
      <c r="Q326" s="123" t="s">
        <v>234</v>
      </c>
      <c r="R326" s="75">
        <v>2013.0</v>
      </c>
      <c r="S326" s="136">
        <v>0.273</v>
      </c>
      <c r="T326" s="128">
        <f t="shared" si="1"/>
        <v>13513.5</v>
      </c>
      <c r="U326" s="24">
        <f t="shared" si="2"/>
        <v>271.3554217</v>
      </c>
      <c r="V326" s="26">
        <f>VLOOKUP(R326,CPI!$A$2:$E$67,5,0)</f>
        <v>1.307975292</v>
      </c>
      <c r="W326" s="27">
        <f t="shared" si="3"/>
        <v>17675.3241</v>
      </c>
      <c r="X326" s="27">
        <f t="shared" si="4"/>
        <v>354.9261868</v>
      </c>
      <c r="Y326" s="123" t="s">
        <v>42</v>
      </c>
      <c r="Z326" s="154" t="s">
        <v>284</v>
      </c>
      <c r="AA326" s="29"/>
      <c r="AB326" s="30"/>
      <c r="AC326" s="30"/>
      <c r="AD326" s="30"/>
    </row>
    <row r="327">
      <c r="A327" s="123" t="s">
        <v>230</v>
      </c>
      <c r="B327" s="123" t="s">
        <v>231</v>
      </c>
      <c r="C327" s="36" t="s">
        <v>281</v>
      </c>
      <c r="D327" s="123" t="s">
        <v>282</v>
      </c>
      <c r="E327" s="75">
        <v>2017.0</v>
      </c>
      <c r="F327" s="75">
        <v>2020.0</v>
      </c>
      <c r="G327" s="75">
        <v>0.0</v>
      </c>
      <c r="H327" s="75">
        <v>5.0</v>
      </c>
      <c r="I327" s="155"/>
      <c r="J327" s="123"/>
      <c r="K327" s="125" t="e">
        <v>#N/A</v>
      </c>
      <c r="L327" s="125" t="e">
        <v>#N/A</v>
      </c>
      <c r="M327" s="75">
        <v>4.0</v>
      </c>
      <c r="N327" s="123"/>
      <c r="O327" s="123" t="s">
        <v>60</v>
      </c>
      <c r="P327" s="126">
        <v>4860.0</v>
      </c>
      <c r="Q327" s="123" t="s">
        <v>234</v>
      </c>
      <c r="R327" s="75">
        <v>2015.0</v>
      </c>
      <c r="S327" s="136">
        <v>0.258</v>
      </c>
      <c r="T327" s="128">
        <f t="shared" si="1"/>
        <v>1253.88</v>
      </c>
      <c r="U327" s="24">
        <f t="shared" si="2"/>
        <v>250.776</v>
      </c>
      <c r="V327" s="26">
        <f>VLOOKUP(R327,CPI!$A$2:$E$67,5,0)</f>
        <v>1.285570233</v>
      </c>
      <c r="W327" s="27">
        <f t="shared" si="3"/>
        <v>1611.950804</v>
      </c>
      <c r="X327" s="27">
        <f t="shared" si="4"/>
        <v>322.3901608</v>
      </c>
      <c r="Y327" s="123" t="s">
        <v>42</v>
      </c>
      <c r="Z327" s="129" t="s">
        <v>280</v>
      </c>
      <c r="AA327" s="29"/>
      <c r="AB327" s="30"/>
      <c r="AC327" s="30"/>
      <c r="AD327" s="30"/>
    </row>
    <row r="328">
      <c r="A328" s="72" t="s">
        <v>230</v>
      </c>
      <c r="B328" s="72" t="s">
        <v>834</v>
      </c>
      <c r="C328" s="115" t="s">
        <v>843</v>
      </c>
      <c r="D328" s="115" t="s">
        <v>844</v>
      </c>
      <c r="E328" s="69">
        <v>2018.0</v>
      </c>
      <c r="F328" s="69">
        <v>2022.0</v>
      </c>
      <c r="G328" s="69">
        <v>0.0</v>
      </c>
      <c r="H328" s="69">
        <v>21.22</v>
      </c>
      <c r="I328" s="117">
        <v>1.0</v>
      </c>
      <c r="J328" s="69">
        <v>21.22</v>
      </c>
      <c r="K328" s="72"/>
      <c r="L328" s="72"/>
      <c r="M328" s="69">
        <v>21.0</v>
      </c>
      <c r="N328" s="69">
        <v>117.0</v>
      </c>
      <c r="O328" s="72"/>
      <c r="P328" s="140">
        <v>22069.0</v>
      </c>
      <c r="Q328" s="72" t="s">
        <v>234</v>
      </c>
      <c r="R328" s="115">
        <v>2020.0</v>
      </c>
      <c r="S328" s="136">
        <v>0.239</v>
      </c>
      <c r="T328" s="118">
        <f t="shared" si="1"/>
        <v>5274.491</v>
      </c>
      <c r="U328" s="24">
        <f t="shared" si="2"/>
        <v>248.5622526</v>
      </c>
      <c r="V328" s="26">
        <f>VLOOKUP(R328,CPI!$A$2:$E$67,5,0)</f>
        <v>1.17731472</v>
      </c>
      <c r="W328" s="27">
        <f t="shared" si="3"/>
        <v>6209.735895</v>
      </c>
      <c r="X328" s="27">
        <f t="shared" si="4"/>
        <v>292.6359988</v>
      </c>
      <c r="Y328" s="72" t="s">
        <v>36</v>
      </c>
      <c r="Z328" s="79" t="s">
        <v>845</v>
      </c>
      <c r="AA328" s="72"/>
      <c r="AB328" s="72"/>
      <c r="AC328" s="72"/>
      <c r="AD328" s="72"/>
    </row>
    <row r="329">
      <c r="A329" s="72" t="s">
        <v>230</v>
      </c>
      <c r="B329" s="72" t="s">
        <v>834</v>
      </c>
      <c r="C329" s="115" t="s">
        <v>849</v>
      </c>
      <c r="D329" s="115" t="s">
        <v>850</v>
      </c>
      <c r="E329" s="69">
        <v>2019.0</v>
      </c>
      <c r="F329" s="72"/>
      <c r="G329" s="69">
        <v>0.0</v>
      </c>
      <c r="H329" s="69">
        <v>26.53</v>
      </c>
      <c r="I329" s="117">
        <v>1.0</v>
      </c>
      <c r="J329" s="69">
        <v>26.53</v>
      </c>
      <c r="K329" s="72"/>
      <c r="L329" s="72"/>
      <c r="M329" s="69">
        <v>21.0</v>
      </c>
      <c r="N329" s="69">
        <v>138.0</v>
      </c>
      <c r="O329" s="72"/>
      <c r="P329" s="140">
        <v>26890.0</v>
      </c>
      <c r="Q329" s="72" t="s">
        <v>234</v>
      </c>
      <c r="R329" s="75">
        <v>2019.0</v>
      </c>
      <c r="S329" s="136">
        <v>0.238</v>
      </c>
      <c r="T329" s="118">
        <f t="shared" si="1"/>
        <v>6399.82</v>
      </c>
      <c r="U329" s="24">
        <f t="shared" si="2"/>
        <v>241.2295515</v>
      </c>
      <c r="V329" s="26">
        <f>VLOOKUP(R329,CPI!$A$2:$E$67,5,0)</f>
        <v>1.191839066</v>
      </c>
      <c r="W329" s="27">
        <f t="shared" si="3"/>
        <v>7627.555489</v>
      </c>
      <c r="X329" s="27">
        <f t="shared" si="4"/>
        <v>287.5068032</v>
      </c>
      <c r="Y329" s="72" t="s">
        <v>36</v>
      </c>
      <c r="Z329" s="79" t="s">
        <v>851</v>
      </c>
      <c r="AA329" s="114"/>
      <c r="AB329" s="114"/>
      <c r="AC329" s="114"/>
      <c r="AD329" s="114"/>
    </row>
    <row r="330">
      <c r="A330" s="123" t="s">
        <v>230</v>
      </c>
      <c r="B330" s="123" t="s">
        <v>872</v>
      </c>
      <c r="C330" s="36" t="s">
        <v>287</v>
      </c>
      <c r="D330" s="123" t="s">
        <v>888</v>
      </c>
      <c r="E330" s="75">
        <v>2020.0</v>
      </c>
      <c r="F330" s="75">
        <v>2024.0</v>
      </c>
      <c r="G330" s="75">
        <v>0.0</v>
      </c>
      <c r="H330" s="75">
        <v>59.9</v>
      </c>
      <c r="I330" s="124">
        <v>1.0</v>
      </c>
      <c r="J330" s="75">
        <v>59.9</v>
      </c>
      <c r="K330" s="125">
        <v>0.0</v>
      </c>
      <c r="L330" s="125">
        <v>0.0</v>
      </c>
      <c r="M330" s="75">
        <v>37.0</v>
      </c>
      <c r="N330" s="123"/>
      <c r="O330" s="123" t="s">
        <v>60</v>
      </c>
      <c r="P330" s="126">
        <v>58387.0</v>
      </c>
      <c r="Q330" s="123" t="s">
        <v>234</v>
      </c>
      <c r="R330" s="75">
        <v>2018.0</v>
      </c>
      <c r="S330" s="136">
        <v>0.237</v>
      </c>
      <c r="T330" s="128">
        <f t="shared" si="1"/>
        <v>13837.719</v>
      </c>
      <c r="U330" s="24">
        <f t="shared" si="2"/>
        <v>231.0136728</v>
      </c>
      <c r="V330" s="26">
        <f>VLOOKUP(R330,CPI!$A$2:$E$67,5,0)</f>
        <v>1.21343491</v>
      </c>
      <c r="W330" s="27">
        <f t="shared" si="3"/>
        <v>16791.17131</v>
      </c>
      <c r="X330" s="27">
        <f t="shared" si="4"/>
        <v>280.3200553</v>
      </c>
      <c r="Y330" s="123" t="s">
        <v>60</v>
      </c>
      <c r="Z330" s="129" t="s">
        <v>887</v>
      </c>
      <c r="AA330" s="173"/>
      <c r="AB330" s="60"/>
      <c r="AC330" s="60"/>
      <c r="AD330" s="60"/>
    </row>
    <row r="331">
      <c r="A331" s="72" t="s">
        <v>230</v>
      </c>
      <c r="B331" s="72" t="s">
        <v>601</v>
      </c>
      <c r="C331" s="115" t="s">
        <v>54</v>
      </c>
      <c r="D331" s="72" t="s">
        <v>315</v>
      </c>
      <c r="E331" s="69">
        <v>2021.0</v>
      </c>
      <c r="F331" s="72"/>
      <c r="G331" s="69">
        <v>0.0</v>
      </c>
      <c r="H331" s="69">
        <v>10.42</v>
      </c>
      <c r="I331" s="117">
        <v>1.0</v>
      </c>
      <c r="J331" s="69">
        <v>10.42</v>
      </c>
      <c r="K331" s="72"/>
      <c r="L331" s="72"/>
      <c r="M331" s="69">
        <v>9.0</v>
      </c>
      <c r="N331" s="69">
        <v>117.0</v>
      </c>
      <c r="O331" s="72"/>
      <c r="P331" s="140">
        <v>10301.0</v>
      </c>
      <c r="Q331" s="72" t="s">
        <v>234</v>
      </c>
      <c r="R331" s="115">
        <v>2021.0</v>
      </c>
      <c r="S331" s="136">
        <v>0.239</v>
      </c>
      <c r="T331" s="118">
        <f t="shared" si="1"/>
        <v>2461.939</v>
      </c>
      <c r="U331" s="24">
        <f t="shared" si="2"/>
        <v>236.2705374</v>
      </c>
      <c r="V331" s="26">
        <f>VLOOKUP(R331,CPI!$A$2:$E$67,5,0)</f>
        <v>1.124486105</v>
      </c>
      <c r="W331" s="27">
        <f t="shared" si="3"/>
        <v>2768.416198</v>
      </c>
      <c r="X331" s="27">
        <f t="shared" si="4"/>
        <v>265.6829365</v>
      </c>
      <c r="Y331" s="72" t="s">
        <v>36</v>
      </c>
      <c r="Z331" s="79" t="s">
        <v>608</v>
      </c>
      <c r="AA331" s="72"/>
      <c r="AB331" s="72"/>
      <c r="AC331" s="72"/>
      <c r="AD331" s="72"/>
    </row>
    <row r="332">
      <c r="A332" s="123" t="s">
        <v>230</v>
      </c>
      <c r="B332" s="123" t="s">
        <v>350</v>
      </c>
      <c r="C332" s="36" t="s">
        <v>243</v>
      </c>
      <c r="D332" s="123" t="s">
        <v>373</v>
      </c>
      <c r="E332" s="75">
        <v>2019.0</v>
      </c>
      <c r="F332" s="75">
        <v>2024.0</v>
      </c>
      <c r="G332" s="75">
        <v>0.0</v>
      </c>
      <c r="H332" s="75">
        <f>6.51+1.32</f>
        <v>7.83</v>
      </c>
      <c r="I332" s="124">
        <f>J332/H332</f>
        <v>1</v>
      </c>
      <c r="J332" s="75">
        <f>H332</f>
        <v>7.83</v>
      </c>
      <c r="K332" s="125">
        <v>0.0</v>
      </c>
      <c r="L332" s="125">
        <v>0.0</v>
      </c>
      <c r="M332" s="75">
        <v>7.0</v>
      </c>
      <c r="N332" s="123"/>
      <c r="O332" s="123" t="s">
        <v>60</v>
      </c>
      <c r="P332" s="126">
        <v>7452.0</v>
      </c>
      <c r="Q332" s="123" t="s">
        <v>234</v>
      </c>
      <c r="R332" s="75">
        <v>2019.0</v>
      </c>
      <c r="S332" s="183">
        <f>S322</f>
        <v>0.238</v>
      </c>
      <c r="T332" s="128">
        <f t="shared" si="1"/>
        <v>1773.576</v>
      </c>
      <c r="U332" s="24">
        <f t="shared" si="2"/>
        <v>226.5103448</v>
      </c>
      <c r="V332" s="26">
        <f>VLOOKUP(R332,CPI!$A$2:$E$67,5,0)</f>
        <v>1.191839066</v>
      </c>
      <c r="W332" s="27">
        <f t="shared" si="3"/>
        <v>2113.817163</v>
      </c>
      <c r="X332" s="27">
        <f t="shared" si="4"/>
        <v>269.9638777</v>
      </c>
      <c r="Y332" s="123" t="s">
        <v>60</v>
      </c>
      <c r="Z332" s="129" t="s">
        <v>365</v>
      </c>
      <c r="AA332" s="29"/>
      <c r="AB332" s="30"/>
      <c r="AC332" s="30"/>
      <c r="AD332" s="30"/>
    </row>
    <row r="333">
      <c r="A333" s="72" t="s">
        <v>230</v>
      </c>
      <c r="B333" s="72" t="s">
        <v>834</v>
      </c>
      <c r="C333" s="115" t="s">
        <v>846</v>
      </c>
      <c r="D333" s="115" t="s">
        <v>847</v>
      </c>
      <c r="E333" s="69">
        <v>2019.0</v>
      </c>
      <c r="F333" s="72"/>
      <c r="G333" s="69">
        <v>0.0</v>
      </c>
      <c r="H333" s="69">
        <v>22.6</v>
      </c>
      <c r="I333" s="117">
        <v>1.0</v>
      </c>
      <c r="J333" s="69">
        <v>22.6</v>
      </c>
      <c r="K333" s="72"/>
      <c r="L333" s="72"/>
      <c r="M333" s="69">
        <v>21.0</v>
      </c>
      <c r="N333" s="69">
        <v>117.0</v>
      </c>
      <c r="O333" s="72"/>
      <c r="P333" s="140">
        <v>23789.0</v>
      </c>
      <c r="Q333" s="72" t="s">
        <v>234</v>
      </c>
      <c r="R333" s="75">
        <v>2019.0</v>
      </c>
      <c r="S333" s="136">
        <v>0.238</v>
      </c>
      <c r="T333" s="118">
        <f t="shared" si="1"/>
        <v>5661.782</v>
      </c>
      <c r="U333" s="24">
        <f t="shared" si="2"/>
        <v>250.5213274</v>
      </c>
      <c r="V333" s="26">
        <f>VLOOKUP(R333,CPI!$A$2:$E$67,5,0)</f>
        <v>1.191839066</v>
      </c>
      <c r="W333" s="27">
        <f t="shared" si="3"/>
        <v>6747.932969</v>
      </c>
      <c r="X333" s="27">
        <f t="shared" si="4"/>
        <v>298.5811048</v>
      </c>
      <c r="Y333" s="72" t="s">
        <v>36</v>
      </c>
      <c r="Z333" s="79" t="s">
        <v>848</v>
      </c>
      <c r="AA333" s="114"/>
      <c r="AB333" s="114"/>
      <c r="AC333" s="114"/>
      <c r="AD333" s="114"/>
    </row>
    <row r="334">
      <c r="A334" s="123" t="s">
        <v>230</v>
      </c>
      <c r="B334" s="123" t="s">
        <v>771</v>
      </c>
      <c r="C334" s="36" t="s">
        <v>283</v>
      </c>
      <c r="D334" s="123" t="s">
        <v>283</v>
      </c>
      <c r="E334" s="75">
        <v>2018.0</v>
      </c>
      <c r="F334" s="75">
        <v>2023.0</v>
      </c>
      <c r="G334" s="75">
        <v>0.0</v>
      </c>
      <c r="H334" s="75">
        <v>27.6</v>
      </c>
      <c r="I334" s="124">
        <v>1.0</v>
      </c>
      <c r="J334" s="75">
        <v>27.6</v>
      </c>
      <c r="K334" s="125">
        <v>0.0</v>
      </c>
      <c r="L334" s="125">
        <v>0.0</v>
      </c>
      <c r="M334" s="75">
        <v>24.0</v>
      </c>
      <c r="N334" s="123"/>
      <c r="O334" s="123" t="s">
        <v>42</v>
      </c>
      <c r="P334" s="126">
        <v>27530.0</v>
      </c>
      <c r="Q334" s="123" t="s">
        <v>234</v>
      </c>
      <c r="R334" s="75">
        <v>2017.0</v>
      </c>
      <c r="S334" s="136">
        <v>0.239</v>
      </c>
      <c r="T334" s="128">
        <f t="shared" si="1"/>
        <v>6579.67</v>
      </c>
      <c r="U334" s="24">
        <f t="shared" si="2"/>
        <v>238.3938406</v>
      </c>
      <c r="V334" s="26">
        <f>VLOOKUP(R334,CPI!$A$2:$E$67,5,0)</f>
        <v>1.243072781</v>
      </c>
      <c r="W334" s="27">
        <f t="shared" si="3"/>
        <v>8179.008683</v>
      </c>
      <c r="X334" s="27">
        <f t="shared" si="4"/>
        <v>296.3408943</v>
      </c>
      <c r="Y334" s="123" t="s">
        <v>60</v>
      </c>
      <c r="Z334" s="129" t="s">
        <v>778</v>
      </c>
      <c r="AA334" s="29"/>
      <c r="AB334" s="30"/>
      <c r="AC334" s="30"/>
      <c r="AD334" s="30"/>
    </row>
    <row r="335">
      <c r="A335" s="72" t="s">
        <v>230</v>
      </c>
      <c r="B335" s="72" t="s">
        <v>461</v>
      </c>
      <c r="C335" s="115" t="s">
        <v>287</v>
      </c>
      <c r="D335" s="72" t="s">
        <v>287</v>
      </c>
      <c r="E335" s="69">
        <v>2018.0</v>
      </c>
      <c r="F335" s="69">
        <v>2023.0</v>
      </c>
      <c r="G335" s="69">
        <v>0.0</v>
      </c>
      <c r="H335" s="69">
        <v>37.6</v>
      </c>
      <c r="I335" s="117">
        <v>1.0</v>
      </c>
      <c r="J335" s="69">
        <v>37.6</v>
      </c>
      <c r="K335" s="72"/>
      <c r="L335" s="72"/>
      <c r="M335" s="69">
        <v>25.0</v>
      </c>
      <c r="N335" s="69">
        <v>138.0</v>
      </c>
      <c r="O335" s="72"/>
      <c r="P335" s="140">
        <v>37500.0</v>
      </c>
      <c r="Q335" s="72" t="s">
        <v>234</v>
      </c>
      <c r="R335" s="115">
        <v>2020.0</v>
      </c>
      <c r="S335" s="136">
        <v>0.239</v>
      </c>
      <c r="T335" s="118">
        <f t="shared" si="1"/>
        <v>8962.5</v>
      </c>
      <c r="U335" s="24">
        <f t="shared" si="2"/>
        <v>238.3643617</v>
      </c>
      <c r="V335" s="26">
        <f>VLOOKUP(R335,CPI!$A$2:$E$67,5,0)</f>
        <v>1.17731472</v>
      </c>
      <c r="W335" s="27">
        <f t="shared" si="3"/>
        <v>10551.68318</v>
      </c>
      <c r="X335" s="27">
        <f t="shared" si="4"/>
        <v>280.6298718</v>
      </c>
      <c r="Y335" s="72" t="s">
        <v>36</v>
      </c>
      <c r="Z335" s="79" t="s">
        <v>482</v>
      </c>
      <c r="AA335" s="72"/>
      <c r="AB335" s="72"/>
      <c r="AC335" s="72"/>
      <c r="AD335" s="72"/>
    </row>
    <row r="336">
      <c r="A336" s="123" t="s">
        <v>230</v>
      </c>
      <c r="B336" s="123" t="s">
        <v>231</v>
      </c>
      <c r="C336" s="36" t="s">
        <v>228</v>
      </c>
      <c r="D336" s="123" t="s">
        <v>279</v>
      </c>
      <c r="E336" s="75">
        <v>2016.0</v>
      </c>
      <c r="F336" s="75">
        <v>2020.0</v>
      </c>
      <c r="G336" s="75">
        <v>0.0</v>
      </c>
      <c r="H336" s="75">
        <v>17.2</v>
      </c>
      <c r="I336" s="124">
        <v>0.8720930233</v>
      </c>
      <c r="J336" s="75">
        <v>15.0</v>
      </c>
      <c r="K336" s="125">
        <v>0.0</v>
      </c>
      <c r="L336" s="125">
        <v>0.0</v>
      </c>
      <c r="M336" s="75">
        <v>9.0</v>
      </c>
      <c r="N336" s="123"/>
      <c r="O336" s="123" t="s">
        <v>60</v>
      </c>
      <c r="P336" s="126">
        <v>15330.0</v>
      </c>
      <c r="Q336" s="123" t="s">
        <v>234</v>
      </c>
      <c r="R336" s="75">
        <v>2016.0</v>
      </c>
      <c r="S336" s="136">
        <v>0.251</v>
      </c>
      <c r="T336" s="128">
        <f t="shared" si="1"/>
        <v>3847.83</v>
      </c>
      <c r="U336" s="24">
        <f t="shared" si="2"/>
        <v>223.7110465</v>
      </c>
      <c r="V336" s="26">
        <f>VLOOKUP(R336,CPI!$A$2:$E$67,5,0)</f>
        <v>1.269554638</v>
      </c>
      <c r="W336" s="27">
        <f t="shared" si="3"/>
        <v>4885.030423</v>
      </c>
      <c r="X336" s="27">
        <f t="shared" si="4"/>
        <v>284.0133967</v>
      </c>
      <c r="Y336" s="123" t="s">
        <v>42</v>
      </c>
      <c r="Z336" s="129" t="s">
        <v>280</v>
      </c>
      <c r="AA336" s="29"/>
      <c r="AB336" s="30"/>
      <c r="AC336" s="30"/>
      <c r="AD336" s="30"/>
    </row>
    <row r="337">
      <c r="A337" s="123" t="s">
        <v>230</v>
      </c>
      <c r="B337" s="123" t="s">
        <v>872</v>
      </c>
      <c r="C337" s="36" t="s">
        <v>54</v>
      </c>
      <c r="D337" s="123" t="s">
        <v>770</v>
      </c>
      <c r="E337" s="123"/>
      <c r="F337" s="123"/>
      <c r="G337" s="75">
        <v>0.0</v>
      </c>
      <c r="H337" s="75">
        <v>13.35</v>
      </c>
      <c r="I337" s="124">
        <v>1.0</v>
      </c>
      <c r="J337" s="75">
        <v>13.35</v>
      </c>
      <c r="K337" s="125">
        <v>0.0</v>
      </c>
      <c r="L337" s="125">
        <v>0.0</v>
      </c>
      <c r="M337" s="75">
        <v>10.0</v>
      </c>
      <c r="N337" s="123"/>
      <c r="O337" s="123" t="s">
        <v>42</v>
      </c>
      <c r="P337" s="126">
        <v>16017.0</v>
      </c>
      <c r="Q337" s="123" t="s">
        <v>234</v>
      </c>
      <c r="R337" s="75">
        <v>2014.0</v>
      </c>
      <c r="S337" s="136">
        <v>0.266</v>
      </c>
      <c r="T337" s="128">
        <f t="shared" si="1"/>
        <v>4260.522</v>
      </c>
      <c r="U337" s="24">
        <f t="shared" si="2"/>
        <v>319.1402247</v>
      </c>
      <c r="V337" s="26">
        <f>VLOOKUP(R337,CPI!$A$2:$E$67,5,0)</f>
        <v>1.287096175</v>
      </c>
      <c r="W337" s="27">
        <f t="shared" si="3"/>
        <v>5483.701568</v>
      </c>
      <c r="X337" s="27">
        <f t="shared" si="4"/>
        <v>410.7641624</v>
      </c>
      <c r="Y337" s="123" t="s">
        <v>42</v>
      </c>
      <c r="Z337" s="129" t="s">
        <v>895</v>
      </c>
      <c r="AA337" s="173"/>
      <c r="AB337" s="60"/>
      <c r="AC337" s="60"/>
      <c r="AD337" s="60"/>
    </row>
    <row r="338">
      <c r="A338" s="123" t="s">
        <v>230</v>
      </c>
      <c r="B338" s="123" t="s">
        <v>514</v>
      </c>
      <c r="C338" s="36" t="s">
        <v>253</v>
      </c>
      <c r="D338" s="123" t="s">
        <v>362</v>
      </c>
      <c r="E338" s="75">
        <v>2017.0</v>
      </c>
      <c r="F338" s="75">
        <v>2022.0</v>
      </c>
      <c r="G338" s="75">
        <v>0.0</v>
      </c>
      <c r="H338" s="75">
        <v>17.8</v>
      </c>
      <c r="I338" s="155"/>
      <c r="J338" s="123"/>
      <c r="K338" s="125" t="e">
        <v>#N/A</v>
      </c>
      <c r="L338" s="125" t="e">
        <v>#N/A</v>
      </c>
      <c r="M338" s="75">
        <v>14.0</v>
      </c>
      <c r="N338" s="123"/>
      <c r="O338" s="123" t="s">
        <v>60</v>
      </c>
      <c r="P338" s="126">
        <v>15657.0</v>
      </c>
      <c r="Q338" s="123" t="s">
        <v>234</v>
      </c>
      <c r="R338" s="75">
        <v>2016.0</v>
      </c>
      <c r="S338" s="136">
        <v>0.251</v>
      </c>
      <c r="T338" s="128">
        <f t="shared" si="1"/>
        <v>3929.907</v>
      </c>
      <c r="U338" s="24">
        <f t="shared" si="2"/>
        <v>220.7812921</v>
      </c>
      <c r="V338" s="26">
        <f>VLOOKUP(R338,CPI!$A$2:$E$67,5,0)</f>
        <v>1.269554638</v>
      </c>
      <c r="W338" s="27">
        <f t="shared" si="3"/>
        <v>4989.231659</v>
      </c>
      <c r="X338" s="27">
        <f t="shared" si="4"/>
        <v>280.2939134</v>
      </c>
      <c r="Y338" s="123" t="s">
        <v>60</v>
      </c>
      <c r="Z338" s="129" t="s">
        <v>521</v>
      </c>
      <c r="AA338" s="29"/>
      <c r="AB338" s="30"/>
      <c r="AC338" s="30"/>
      <c r="AD338" s="30"/>
    </row>
    <row r="339">
      <c r="A339" s="72" t="s">
        <v>230</v>
      </c>
      <c r="B339" s="72" t="s">
        <v>704</v>
      </c>
      <c r="C339" s="72" t="s">
        <v>740</v>
      </c>
      <c r="D339" s="72" t="s">
        <v>740</v>
      </c>
      <c r="E339" s="69">
        <v>2021.0</v>
      </c>
      <c r="F339" s="69">
        <v>2027.0</v>
      </c>
      <c r="G339" s="69">
        <v>1.0</v>
      </c>
      <c r="H339" s="69">
        <v>41.36</v>
      </c>
      <c r="I339" s="117">
        <v>0.94</v>
      </c>
      <c r="J339" s="69">
        <v>38.68</v>
      </c>
      <c r="K339" s="72"/>
      <c r="L339" s="72"/>
      <c r="M339" s="69">
        <v>17.0</v>
      </c>
      <c r="N339" s="69">
        <v>184.0</v>
      </c>
      <c r="O339" s="72"/>
      <c r="P339" s="140">
        <v>39900.0</v>
      </c>
      <c r="Q339" s="72" t="s">
        <v>234</v>
      </c>
      <c r="R339" s="115">
        <v>2021.0</v>
      </c>
      <c r="S339" s="136">
        <v>0.239</v>
      </c>
      <c r="T339" s="118">
        <f t="shared" si="1"/>
        <v>9536.1</v>
      </c>
      <c r="U339" s="24">
        <f t="shared" si="2"/>
        <v>230.5633462</v>
      </c>
      <c r="V339" s="26">
        <f>VLOOKUP(R339,CPI!$A$2:$E$67,5,0)</f>
        <v>1.124486105</v>
      </c>
      <c r="W339" s="27">
        <f t="shared" si="3"/>
        <v>10723.21195</v>
      </c>
      <c r="X339" s="27">
        <f t="shared" si="4"/>
        <v>259.2652793</v>
      </c>
      <c r="Y339" s="72" t="s">
        <v>36</v>
      </c>
      <c r="Z339" s="79" t="s">
        <v>741</v>
      </c>
      <c r="AA339" s="79" t="s">
        <v>742</v>
      </c>
    </row>
    <row r="340">
      <c r="A340" s="123" t="s">
        <v>230</v>
      </c>
      <c r="B340" s="123" t="s">
        <v>231</v>
      </c>
      <c r="C340" s="16" t="s">
        <v>295</v>
      </c>
      <c r="D340" s="123" t="s">
        <v>296</v>
      </c>
      <c r="E340" s="75">
        <v>2019.0</v>
      </c>
      <c r="F340" s="75">
        <v>2021.0</v>
      </c>
      <c r="G340" s="75">
        <v>0.0</v>
      </c>
      <c r="H340" s="75">
        <v>16.6</v>
      </c>
      <c r="I340" s="155"/>
      <c r="J340" s="123"/>
      <c r="K340" s="125" t="e">
        <v>#N/A</v>
      </c>
      <c r="L340" s="125" t="e">
        <v>#N/A</v>
      </c>
      <c r="M340" s="75">
        <v>8.0</v>
      </c>
      <c r="N340" s="123"/>
      <c r="O340" s="123" t="s">
        <v>60</v>
      </c>
      <c r="P340" s="126">
        <v>14230.0</v>
      </c>
      <c r="Q340" s="123" t="s">
        <v>234</v>
      </c>
      <c r="R340" s="75">
        <v>2015.0</v>
      </c>
      <c r="S340" s="136">
        <v>0.258</v>
      </c>
      <c r="T340" s="128">
        <f t="shared" si="1"/>
        <v>3671.34</v>
      </c>
      <c r="U340" s="24">
        <f t="shared" si="2"/>
        <v>221.1650602</v>
      </c>
      <c r="V340" s="26">
        <f>VLOOKUP(R340,CPI!$A$2:$E$67,5,0)</f>
        <v>1.285570233</v>
      </c>
      <c r="W340" s="27">
        <f t="shared" si="3"/>
        <v>4719.765421</v>
      </c>
      <c r="X340" s="27">
        <f t="shared" si="4"/>
        <v>284.3232181</v>
      </c>
      <c r="Y340" s="123" t="s">
        <v>42</v>
      </c>
      <c r="Z340" s="129" t="s">
        <v>280</v>
      </c>
      <c r="AA340" s="29"/>
      <c r="AB340" s="30"/>
      <c r="AC340" s="30"/>
      <c r="AD340" s="30"/>
    </row>
    <row r="341">
      <c r="A341" s="72" t="s">
        <v>230</v>
      </c>
      <c r="B341" s="72" t="s">
        <v>609</v>
      </c>
      <c r="C341" s="72" t="s">
        <v>84</v>
      </c>
      <c r="D341" s="72" t="s">
        <v>84</v>
      </c>
      <c r="E341" s="69">
        <v>2021.0</v>
      </c>
      <c r="F341" s="72"/>
      <c r="G341" s="69">
        <v>0.0</v>
      </c>
      <c r="H341" s="69">
        <v>37.4</v>
      </c>
      <c r="I341" s="117">
        <v>1.0</v>
      </c>
      <c r="J341" s="69">
        <v>37.4</v>
      </c>
      <c r="K341" s="72"/>
      <c r="L341" s="72"/>
      <c r="M341" s="69">
        <v>30.0</v>
      </c>
      <c r="N341" s="69">
        <v>138.0</v>
      </c>
      <c r="O341" s="72"/>
      <c r="P341" s="140">
        <v>33458.0</v>
      </c>
      <c r="Q341" s="72" t="s">
        <v>234</v>
      </c>
      <c r="R341" s="115">
        <v>2021.0</v>
      </c>
      <c r="S341" s="136">
        <v>0.239</v>
      </c>
      <c r="T341" s="118">
        <f t="shared" si="1"/>
        <v>7996.462</v>
      </c>
      <c r="U341" s="24">
        <f t="shared" si="2"/>
        <v>213.8091444</v>
      </c>
      <c r="V341" s="26">
        <f>VLOOKUP(R341,CPI!$A$2:$E$67,5,0)</f>
        <v>1.124486105</v>
      </c>
      <c r="W341" s="27">
        <f t="shared" si="3"/>
        <v>8991.910412</v>
      </c>
      <c r="X341" s="27">
        <f t="shared" si="4"/>
        <v>240.4254121</v>
      </c>
      <c r="Y341" s="72" t="s">
        <v>36</v>
      </c>
      <c r="Z341" s="79" t="s">
        <v>635</v>
      </c>
      <c r="AA341" s="72"/>
      <c r="AB341" s="72"/>
      <c r="AC341" s="72"/>
      <c r="AD341" s="72"/>
    </row>
    <row r="342">
      <c r="A342" s="72" t="s">
        <v>230</v>
      </c>
      <c r="B342" s="72" t="s">
        <v>834</v>
      </c>
      <c r="C342" s="115" t="s">
        <v>853</v>
      </c>
      <c r="D342" s="115" t="s">
        <v>854</v>
      </c>
      <c r="E342" s="69">
        <v>2021.0</v>
      </c>
      <c r="F342" s="72"/>
      <c r="G342" s="69">
        <v>0.0</v>
      </c>
      <c r="H342" s="69">
        <v>31.6</v>
      </c>
      <c r="I342" s="192"/>
      <c r="J342" s="72"/>
      <c r="K342" s="72"/>
      <c r="L342" s="72"/>
      <c r="M342" s="69">
        <v>22.0</v>
      </c>
      <c r="N342" s="69">
        <v>117.0</v>
      </c>
      <c r="O342" s="72"/>
      <c r="P342" s="140">
        <v>29560.0</v>
      </c>
      <c r="Q342" s="72" t="s">
        <v>234</v>
      </c>
      <c r="R342" s="115">
        <v>2021.0</v>
      </c>
      <c r="S342" s="136">
        <v>0.239</v>
      </c>
      <c r="T342" s="118">
        <f t="shared" si="1"/>
        <v>7064.84</v>
      </c>
      <c r="U342" s="24">
        <f t="shared" si="2"/>
        <v>223.5708861</v>
      </c>
      <c r="V342" s="26">
        <f>VLOOKUP(R342,CPI!$A$2:$E$67,5,0)</f>
        <v>1.124486105</v>
      </c>
      <c r="W342" s="27">
        <f t="shared" si="3"/>
        <v>7944.314417</v>
      </c>
      <c r="X342" s="27">
        <f t="shared" si="4"/>
        <v>251.402355</v>
      </c>
      <c r="Y342" s="115" t="s">
        <v>42</v>
      </c>
      <c r="Z342" s="217" t="s">
        <v>855</v>
      </c>
      <c r="AA342" s="114"/>
      <c r="AB342" s="114"/>
      <c r="AC342" s="114"/>
      <c r="AD342" s="114"/>
    </row>
    <row r="343">
      <c r="A343" s="72" t="s">
        <v>230</v>
      </c>
      <c r="B343" s="72" t="s">
        <v>771</v>
      </c>
      <c r="C343" s="115" t="s">
        <v>267</v>
      </c>
      <c r="D343" s="72" t="s">
        <v>267</v>
      </c>
      <c r="E343" s="69">
        <v>2020.0</v>
      </c>
      <c r="F343" s="72"/>
      <c r="G343" s="69">
        <v>0.0</v>
      </c>
      <c r="H343" s="69">
        <v>50.34</v>
      </c>
      <c r="I343" s="117">
        <v>1.0</v>
      </c>
      <c r="J343" s="69">
        <v>50.34</v>
      </c>
      <c r="K343" s="72"/>
      <c r="L343" s="72"/>
      <c r="M343" s="69">
        <v>17.0</v>
      </c>
      <c r="N343" s="69">
        <v>184.0</v>
      </c>
      <c r="O343" s="72"/>
      <c r="P343" s="140">
        <v>41005.0</v>
      </c>
      <c r="Q343" s="72" t="s">
        <v>234</v>
      </c>
      <c r="R343" s="115">
        <v>2020.0</v>
      </c>
      <c r="S343" s="136">
        <v>0.239</v>
      </c>
      <c r="T343" s="118">
        <f t="shared" si="1"/>
        <v>9800.195</v>
      </c>
      <c r="U343" s="24">
        <f t="shared" si="2"/>
        <v>194.6800755</v>
      </c>
      <c r="V343" s="26">
        <f>VLOOKUP(R343,CPI!$A$2:$E$67,5,0)</f>
        <v>1.17731472</v>
      </c>
      <c r="W343" s="27">
        <f t="shared" si="3"/>
        <v>11537.91383</v>
      </c>
      <c r="X343" s="27">
        <f t="shared" si="4"/>
        <v>229.1997186</v>
      </c>
      <c r="Y343" s="72" t="s">
        <v>36</v>
      </c>
      <c r="Z343" s="79" t="s">
        <v>791</v>
      </c>
      <c r="AA343" s="72"/>
      <c r="AB343" s="72"/>
      <c r="AC343" s="72"/>
      <c r="AD343" s="72"/>
    </row>
    <row r="344">
      <c r="A344" s="72" t="s">
        <v>230</v>
      </c>
      <c r="B344" s="72" t="s">
        <v>231</v>
      </c>
      <c r="C344" s="36" t="s">
        <v>80</v>
      </c>
      <c r="D344" s="115" t="s">
        <v>255</v>
      </c>
      <c r="E344" s="69">
        <v>2008.0</v>
      </c>
      <c r="F344" s="69">
        <v>2012.0</v>
      </c>
      <c r="G344" s="69">
        <v>0.0</v>
      </c>
      <c r="H344" s="69">
        <v>30.4</v>
      </c>
      <c r="I344" s="117">
        <v>1.0</v>
      </c>
      <c r="J344" s="69">
        <v>30.4</v>
      </c>
      <c r="K344" s="72"/>
      <c r="L344" s="72"/>
      <c r="M344" s="69">
        <v>20.0</v>
      </c>
      <c r="N344" s="69">
        <v>156.0</v>
      </c>
      <c r="O344" s="72" t="s">
        <v>74</v>
      </c>
      <c r="P344" s="140">
        <v>28000.0</v>
      </c>
      <c r="Q344" s="72" t="s">
        <v>234</v>
      </c>
      <c r="R344" s="6">
        <v>2010.0</v>
      </c>
      <c r="S344" s="136">
        <v>0.3</v>
      </c>
      <c r="T344" s="148">
        <f t="shared" si="1"/>
        <v>8400</v>
      </c>
      <c r="U344" s="24">
        <f t="shared" si="2"/>
        <v>276.3157895</v>
      </c>
      <c r="V344" s="26">
        <f>VLOOKUP(R344,CPI!$A$2:$E$67,5,0)</f>
        <v>1.397356642</v>
      </c>
      <c r="W344" s="27">
        <f t="shared" si="3"/>
        <v>11737.7958</v>
      </c>
      <c r="X344" s="27">
        <f t="shared" si="4"/>
        <v>386.1117038</v>
      </c>
      <c r="Y344" s="72" t="s">
        <v>42</v>
      </c>
      <c r="Z344" s="149" t="s">
        <v>254</v>
      </c>
      <c r="AA344" s="179"/>
      <c r="AB344" s="60"/>
      <c r="AC344" s="60"/>
      <c r="AD344" s="60"/>
    </row>
    <row r="345">
      <c r="A345" s="123" t="s">
        <v>230</v>
      </c>
      <c r="B345" s="123" t="s">
        <v>323</v>
      </c>
      <c r="C345" s="36" t="s">
        <v>80</v>
      </c>
      <c r="D345" s="123" t="s">
        <v>338</v>
      </c>
      <c r="E345" s="75">
        <v>2017.0</v>
      </c>
      <c r="F345" s="75">
        <v>2021.0</v>
      </c>
      <c r="G345" s="75">
        <v>0.0</v>
      </c>
      <c r="H345" s="75">
        <v>26.5</v>
      </c>
      <c r="I345" s="124">
        <v>1.0</v>
      </c>
      <c r="J345" s="75">
        <v>26.5</v>
      </c>
      <c r="K345" s="125">
        <v>0.0</v>
      </c>
      <c r="L345" s="125">
        <v>0.0</v>
      </c>
      <c r="M345" s="75">
        <v>20.0</v>
      </c>
      <c r="N345" s="123"/>
      <c r="O345" s="123" t="s">
        <v>60</v>
      </c>
      <c r="P345" s="126">
        <v>22360.0</v>
      </c>
      <c r="Q345" s="123" t="s">
        <v>234</v>
      </c>
      <c r="R345" s="75">
        <v>2017.0</v>
      </c>
      <c r="S345" s="136">
        <v>0.239</v>
      </c>
      <c r="T345" s="128">
        <f t="shared" si="1"/>
        <v>5344.04</v>
      </c>
      <c r="U345" s="24">
        <f t="shared" si="2"/>
        <v>201.6618868</v>
      </c>
      <c r="V345" s="26">
        <f>VLOOKUP(R345,CPI!$A$2:$E$67,5,0)</f>
        <v>1.243072781</v>
      </c>
      <c r="W345" s="27">
        <f t="shared" si="3"/>
        <v>6643.030663</v>
      </c>
      <c r="X345" s="27">
        <f t="shared" si="4"/>
        <v>250.6804024</v>
      </c>
      <c r="Y345" s="123" t="s">
        <v>60</v>
      </c>
      <c r="Z345" s="129" t="s">
        <v>337</v>
      </c>
      <c r="AA345" s="29"/>
      <c r="AB345" s="30"/>
      <c r="AC345" s="30"/>
      <c r="AD345" s="30"/>
    </row>
    <row r="346">
      <c r="A346" s="72" t="s">
        <v>230</v>
      </c>
      <c r="B346" s="72" t="s">
        <v>609</v>
      </c>
      <c r="C346" s="36" t="s">
        <v>57</v>
      </c>
      <c r="D346" s="72" t="s">
        <v>633</v>
      </c>
      <c r="E346" s="69">
        <v>2021.0</v>
      </c>
      <c r="F346" s="72"/>
      <c r="G346" s="69">
        <v>0.0</v>
      </c>
      <c r="H346" s="69">
        <v>6.54</v>
      </c>
      <c r="I346" s="117">
        <v>0.92</v>
      </c>
      <c r="J346" s="69">
        <v>6.04</v>
      </c>
      <c r="K346" s="72"/>
      <c r="L346" s="72"/>
      <c r="M346" s="69">
        <v>5.0</v>
      </c>
      <c r="N346" s="69">
        <v>138.0</v>
      </c>
      <c r="O346" s="72"/>
      <c r="P346" s="140">
        <v>8180.0</v>
      </c>
      <c r="Q346" s="72" t="s">
        <v>234</v>
      </c>
      <c r="R346" s="115">
        <v>2021.0</v>
      </c>
      <c r="S346" s="136">
        <v>0.239</v>
      </c>
      <c r="T346" s="118">
        <f t="shared" si="1"/>
        <v>1955.02</v>
      </c>
      <c r="U346" s="24">
        <f t="shared" si="2"/>
        <v>298.9327217</v>
      </c>
      <c r="V346" s="26">
        <f>VLOOKUP(R346,CPI!$A$2:$E$67,5,0)</f>
        <v>1.124486105</v>
      </c>
      <c r="W346" s="27">
        <f t="shared" si="3"/>
        <v>2198.392826</v>
      </c>
      <c r="X346" s="27">
        <f t="shared" si="4"/>
        <v>336.145692</v>
      </c>
      <c r="Y346" s="72" t="s">
        <v>36</v>
      </c>
      <c r="Z346" s="79" t="s">
        <v>634</v>
      </c>
      <c r="AA346" s="72"/>
      <c r="AB346" s="72"/>
      <c r="AC346" s="72"/>
      <c r="AD346" s="72"/>
    </row>
    <row r="347">
      <c r="A347" s="72" t="s">
        <v>230</v>
      </c>
      <c r="B347" s="72" t="s">
        <v>514</v>
      </c>
      <c r="C347" s="115" t="s">
        <v>239</v>
      </c>
      <c r="D347" s="115" t="s">
        <v>356</v>
      </c>
      <c r="E347" s="72"/>
      <c r="F347" s="72">
        <v>2021.0</v>
      </c>
      <c r="G347" s="72">
        <v>0.0</v>
      </c>
      <c r="H347" s="72">
        <v>15.184</v>
      </c>
      <c r="I347" s="117">
        <v>1.0</v>
      </c>
      <c r="J347" s="72">
        <v>15.184</v>
      </c>
      <c r="K347" s="72"/>
      <c r="L347" s="72"/>
      <c r="M347" s="72">
        <v>12.0</v>
      </c>
      <c r="N347" s="72">
        <v>138.0</v>
      </c>
      <c r="O347" s="72"/>
      <c r="P347" s="140">
        <v>15702.0</v>
      </c>
      <c r="Q347" s="72" t="s">
        <v>234</v>
      </c>
      <c r="R347" s="115">
        <v>2021.0</v>
      </c>
      <c r="S347" s="136">
        <v>0.239</v>
      </c>
      <c r="T347" s="118">
        <f t="shared" si="1"/>
        <v>3752.778</v>
      </c>
      <c r="U347" s="24">
        <f t="shared" si="2"/>
        <v>247.153451</v>
      </c>
      <c r="V347" s="26">
        <f>VLOOKUP(R347,CPI!$A$2:$E$67,5,0)</f>
        <v>1.124486105</v>
      </c>
      <c r="W347" s="27">
        <f t="shared" si="3"/>
        <v>4219.946718</v>
      </c>
      <c r="X347" s="27">
        <f t="shared" si="4"/>
        <v>277.9206216</v>
      </c>
      <c r="Y347" s="72" t="s">
        <v>36</v>
      </c>
      <c r="Z347" s="79" t="s">
        <v>528</v>
      </c>
      <c r="AA347" s="72"/>
      <c r="AB347" s="72"/>
      <c r="AC347" s="72"/>
      <c r="AD347" s="72"/>
    </row>
    <row r="348">
      <c r="A348" s="72" t="s">
        <v>230</v>
      </c>
      <c r="B348" s="72" t="s">
        <v>872</v>
      </c>
      <c r="C348" s="115" t="s">
        <v>243</v>
      </c>
      <c r="D348" s="115" t="s">
        <v>373</v>
      </c>
      <c r="E348" s="69">
        <v>2016.0</v>
      </c>
      <c r="F348" s="69">
        <v>2021.0</v>
      </c>
      <c r="G348" s="69">
        <v>0.0</v>
      </c>
      <c r="H348" s="69">
        <v>17.6</v>
      </c>
      <c r="I348" s="117">
        <v>1.0</v>
      </c>
      <c r="J348" s="69">
        <v>17.6</v>
      </c>
      <c r="K348" s="72"/>
      <c r="L348" s="72"/>
      <c r="M348" s="69">
        <v>12.0</v>
      </c>
      <c r="N348" s="70">
        <v>184.0</v>
      </c>
      <c r="O348" s="72"/>
      <c r="P348" s="140">
        <v>14670.0</v>
      </c>
      <c r="Q348" s="72" t="s">
        <v>234</v>
      </c>
      <c r="R348" s="75">
        <v>2018.0</v>
      </c>
      <c r="S348" s="136">
        <v>0.237</v>
      </c>
      <c r="T348" s="118">
        <f t="shared" si="1"/>
        <v>3476.79</v>
      </c>
      <c r="U348" s="24">
        <f t="shared" si="2"/>
        <v>197.5448864</v>
      </c>
      <c r="V348" s="26">
        <f>VLOOKUP(R348,CPI!$A$2:$E$67,5,0)</f>
        <v>1.21343491</v>
      </c>
      <c r="W348" s="27">
        <f t="shared" si="3"/>
        <v>4218.858361</v>
      </c>
      <c r="X348" s="27">
        <f t="shared" si="4"/>
        <v>239.7078614</v>
      </c>
      <c r="Y348" s="72" t="s">
        <v>36</v>
      </c>
      <c r="Z348" s="79" t="s">
        <v>883</v>
      </c>
      <c r="AA348" s="114"/>
      <c r="AB348" s="72"/>
      <c r="AC348" s="72"/>
      <c r="AD348" s="72"/>
    </row>
    <row r="349">
      <c r="A349" s="123" t="s">
        <v>230</v>
      </c>
      <c r="B349" s="123" t="s">
        <v>323</v>
      </c>
      <c r="C349" s="36" t="s">
        <v>228</v>
      </c>
      <c r="D349" s="123" t="s">
        <v>263</v>
      </c>
      <c r="E349" s="75">
        <v>2017.0</v>
      </c>
      <c r="F349" s="75">
        <v>2021.0</v>
      </c>
      <c r="G349" s="75">
        <v>0.0</v>
      </c>
      <c r="H349" s="75">
        <v>21.6</v>
      </c>
      <c r="I349" s="124">
        <v>1.0</v>
      </c>
      <c r="J349" s="75">
        <v>21.6</v>
      </c>
      <c r="K349" s="125">
        <v>0.0</v>
      </c>
      <c r="L349" s="125">
        <v>0.0</v>
      </c>
      <c r="M349" s="75">
        <v>16.0</v>
      </c>
      <c r="N349" s="123"/>
      <c r="O349" s="123" t="s">
        <v>60</v>
      </c>
      <c r="P349" s="126">
        <v>18132.0</v>
      </c>
      <c r="Q349" s="123" t="s">
        <v>234</v>
      </c>
      <c r="R349" s="75">
        <v>2017.0</v>
      </c>
      <c r="S349" s="136">
        <v>0.239</v>
      </c>
      <c r="T349" s="128">
        <f t="shared" si="1"/>
        <v>4333.548</v>
      </c>
      <c r="U349" s="24">
        <f t="shared" si="2"/>
        <v>200.6272222</v>
      </c>
      <c r="V349" s="26">
        <f>VLOOKUP(R349,CPI!$A$2:$E$67,5,0)</f>
        <v>1.243072781</v>
      </c>
      <c r="W349" s="27">
        <f t="shared" si="3"/>
        <v>5386.915563</v>
      </c>
      <c r="X349" s="27">
        <f t="shared" si="4"/>
        <v>249.394239</v>
      </c>
      <c r="Y349" s="123" t="s">
        <v>60</v>
      </c>
      <c r="Z349" s="129" t="s">
        <v>337</v>
      </c>
      <c r="AA349" s="29"/>
      <c r="AB349" s="30"/>
      <c r="AC349" s="30"/>
      <c r="AD349" s="30"/>
    </row>
    <row r="350">
      <c r="A350" s="72" t="s">
        <v>230</v>
      </c>
      <c r="B350" s="72" t="s">
        <v>601</v>
      </c>
      <c r="C350" s="72" t="s">
        <v>87</v>
      </c>
      <c r="D350" s="72" t="s">
        <v>87</v>
      </c>
      <c r="E350" s="72"/>
      <c r="F350" s="69">
        <v>2021.0</v>
      </c>
      <c r="G350" s="69">
        <v>0.0</v>
      </c>
      <c r="H350" s="69">
        <v>28.5</v>
      </c>
      <c r="I350" s="117">
        <v>1.0</v>
      </c>
      <c r="J350" s="69">
        <v>28.5</v>
      </c>
      <c r="K350" s="72"/>
      <c r="L350" s="72"/>
      <c r="M350" s="69">
        <v>22.0</v>
      </c>
      <c r="N350" s="69">
        <v>117.0</v>
      </c>
      <c r="O350" s="72"/>
      <c r="P350" s="140">
        <v>22347.0</v>
      </c>
      <c r="Q350" s="72" t="s">
        <v>234</v>
      </c>
      <c r="R350" s="115">
        <v>2021.0</v>
      </c>
      <c r="S350" s="136">
        <v>0.239</v>
      </c>
      <c r="T350" s="118">
        <f t="shared" si="1"/>
        <v>5340.933</v>
      </c>
      <c r="U350" s="24">
        <f t="shared" si="2"/>
        <v>187.4011579</v>
      </c>
      <c r="V350" s="26">
        <f>VLOOKUP(R350,CPI!$A$2:$E$67,5,0)</f>
        <v>1.124486105</v>
      </c>
      <c r="W350" s="27">
        <f t="shared" si="3"/>
        <v>6005.804949</v>
      </c>
      <c r="X350" s="27">
        <f t="shared" si="4"/>
        <v>210.7299982</v>
      </c>
      <c r="Y350" s="72" t="s">
        <v>36</v>
      </c>
      <c r="Z350" s="79" t="s">
        <v>606</v>
      </c>
      <c r="AA350" s="72"/>
      <c r="AB350" s="72"/>
      <c r="AC350" s="72"/>
      <c r="AD350" s="72"/>
    </row>
    <row r="351">
      <c r="A351" s="123" t="s">
        <v>230</v>
      </c>
      <c r="B351" s="123" t="s">
        <v>930</v>
      </c>
      <c r="C351" s="123" t="s">
        <v>80</v>
      </c>
      <c r="D351" s="123" t="s">
        <v>80</v>
      </c>
      <c r="E351" s="75">
        <v>2017.0</v>
      </c>
      <c r="F351" s="75">
        <v>2022.0</v>
      </c>
      <c r="G351" s="75">
        <v>0.0</v>
      </c>
      <c r="H351" s="75">
        <v>44.5</v>
      </c>
      <c r="I351" s="124">
        <v>1.0</v>
      </c>
      <c r="J351" s="75">
        <v>44.5</v>
      </c>
      <c r="K351" s="125">
        <v>0.0</v>
      </c>
      <c r="L351" s="125">
        <v>0.0</v>
      </c>
      <c r="M351" s="75">
        <v>27.0</v>
      </c>
      <c r="N351" s="123"/>
      <c r="O351" s="123" t="s">
        <v>60</v>
      </c>
      <c r="P351" s="126">
        <v>36464.0</v>
      </c>
      <c r="Q351" s="123" t="s">
        <v>234</v>
      </c>
      <c r="R351" s="75">
        <v>2016.0</v>
      </c>
      <c r="S351" s="136">
        <v>0.251</v>
      </c>
      <c r="T351" s="128">
        <f t="shared" si="1"/>
        <v>9152.464</v>
      </c>
      <c r="U351" s="24">
        <f t="shared" si="2"/>
        <v>205.6733483</v>
      </c>
      <c r="V351" s="26">
        <f>VLOOKUP(R351,CPI!$A$2:$E$67,5,0)</f>
        <v>1.269554638</v>
      </c>
      <c r="W351" s="27">
        <f t="shared" si="3"/>
        <v>11619.55312</v>
      </c>
      <c r="X351" s="27">
        <f t="shared" si="4"/>
        <v>261.1135533</v>
      </c>
      <c r="Y351" s="123" t="s">
        <v>60</v>
      </c>
      <c r="Z351" s="129" t="s">
        <v>933</v>
      </c>
      <c r="AA351" s="178"/>
      <c r="AB351" s="172"/>
      <c r="AC351" s="172"/>
      <c r="AD351" s="172"/>
    </row>
    <row r="352">
      <c r="A352" s="72" t="s">
        <v>230</v>
      </c>
      <c r="B352" s="72" t="s">
        <v>609</v>
      </c>
      <c r="C352" s="115" t="s">
        <v>110</v>
      </c>
      <c r="D352" s="115" t="s">
        <v>358</v>
      </c>
      <c r="E352" s="69">
        <v>2021.0</v>
      </c>
      <c r="F352" s="69">
        <v>2025.0</v>
      </c>
      <c r="G352" s="69">
        <v>0.0</v>
      </c>
      <c r="H352" s="69">
        <v>10.0</v>
      </c>
      <c r="I352" s="117">
        <v>1.0</v>
      </c>
      <c r="J352" s="69">
        <v>10.0</v>
      </c>
      <c r="K352" s="72"/>
      <c r="L352" s="72"/>
      <c r="M352" s="69">
        <v>6.0</v>
      </c>
      <c r="N352" s="69">
        <v>117.0</v>
      </c>
      <c r="O352" s="72"/>
      <c r="P352" s="140">
        <v>8810.0</v>
      </c>
      <c r="Q352" s="72" t="s">
        <v>234</v>
      </c>
      <c r="R352" s="115">
        <v>2021.0</v>
      </c>
      <c r="S352" s="136">
        <v>0.239</v>
      </c>
      <c r="T352" s="118">
        <f t="shared" si="1"/>
        <v>2105.59</v>
      </c>
      <c r="U352" s="24">
        <f t="shared" si="2"/>
        <v>210.559</v>
      </c>
      <c r="V352" s="26">
        <f>VLOOKUP(R352,CPI!$A$2:$E$67,5,0)</f>
        <v>1.124486105</v>
      </c>
      <c r="W352" s="27">
        <f t="shared" si="3"/>
        <v>2367.706699</v>
      </c>
      <c r="X352" s="27">
        <f t="shared" si="4"/>
        <v>236.7706699</v>
      </c>
      <c r="Y352" s="72" t="s">
        <v>36</v>
      </c>
      <c r="Z352" s="79" t="s">
        <v>629</v>
      </c>
      <c r="AA352" s="72"/>
      <c r="AB352" s="72"/>
      <c r="AC352" s="72"/>
      <c r="AD352" s="72"/>
    </row>
    <row r="353">
      <c r="A353" s="123" t="s">
        <v>230</v>
      </c>
      <c r="B353" s="123" t="s">
        <v>872</v>
      </c>
      <c r="C353" s="123" t="s">
        <v>288</v>
      </c>
      <c r="D353" s="123" t="s">
        <v>288</v>
      </c>
      <c r="E353" s="123"/>
      <c r="F353" s="123"/>
      <c r="G353" s="75">
        <v>0.0</v>
      </c>
      <c r="H353" s="75">
        <v>20.6</v>
      </c>
      <c r="I353" s="124">
        <v>1.0</v>
      </c>
      <c r="J353" s="75">
        <v>20.6</v>
      </c>
      <c r="K353" s="125">
        <v>0.0</v>
      </c>
      <c r="L353" s="125">
        <v>0.0</v>
      </c>
      <c r="M353" s="75">
        <v>6.0</v>
      </c>
      <c r="N353" s="123"/>
      <c r="O353" s="123" t="s">
        <v>60</v>
      </c>
      <c r="P353" s="126">
        <v>17190.0</v>
      </c>
      <c r="Q353" s="123" t="s">
        <v>234</v>
      </c>
      <c r="R353" s="75">
        <v>2018.0</v>
      </c>
      <c r="S353" s="136">
        <v>0.237</v>
      </c>
      <c r="T353" s="128">
        <f t="shared" si="1"/>
        <v>4074.03</v>
      </c>
      <c r="U353" s="24">
        <f t="shared" si="2"/>
        <v>197.7684466</v>
      </c>
      <c r="V353" s="26">
        <f>VLOOKUP(R353,CPI!$A$2:$E$67,5,0)</f>
        <v>1.21343491</v>
      </c>
      <c r="W353" s="27">
        <f t="shared" si="3"/>
        <v>4943.570227</v>
      </c>
      <c r="X353" s="27">
        <f t="shared" si="4"/>
        <v>239.9791372</v>
      </c>
      <c r="Y353" s="123" t="s">
        <v>60</v>
      </c>
      <c r="Z353" s="129" t="s">
        <v>887</v>
      </c>
      <c r="AA353" s="178"/>
      <c r="AB353" s="172"/>
      <c r="AC353" s="172"/>
      <c r="AD353" s="172"/>
    </row>
    <row r="354">
      <c r="A354" s="72" t="s">
        <v>230</v>
      </c>
      <c r="B354" s="72" t="s">
        <v>609</v>
      </c>
      <c r="C354" s="16" t="s">
        <v>239</v>
      </c>
      <c r="D354" s="115" t="s">
        <v>360</v>
      </c>
      <c r="E354" s="69">
        <v>2020.0</v>
      </c>
      <c r="F354" s="69">
        <v>2023.0</v>
      </c>
      <c r="G354" s="69">
        <v>0.0</v>
      </c>
      <c r="H354" s="69">
        <v>13.33</v>
      </c>
      <c r="I354" s="117">
        <v>1.0</v>
      </c>
      <c r="J354" s="69">
        <v>13.33</v>
      </c>
      <c r="K354" s="72"/>
      <c r="L354" s="72"/>
      <c r="M354" s="69">
        <v>10.0</v>
      </c>
      <c r="N354" s="69">
        <v>138.0</v>
      </c>
      <c r="O354" s="72"/>
      <c r="P354" s="140">
        <v>10508.0</v>
      </c>
      <c r="Q354" s="72" t="s">
        <v>234</v>
      </c>
      <c r="R354" s="115">
        <v>2021.0</v>
      </c>
      <c r="S354" s="136">
        <v>0.239</v>
      </c>
      <c r="T354" s="118">
        <f t="shared" si="1"/>
        <v>2511.412</v>
      </c>
      <c r="U354" s="24">
        <f t="shared" si="2"/>
        <v>188.4030008</v>
      </c>
      <c r="V354" s="26">
        <f>VLOOKUP(R354,CPI!$A$2:$E$67,5,0)</f>
        <v>1.124486105</v>
      </c>
      <c r="W354" s="27">
        <f t="shared" si="3"/>
        <v>2824.047899</v>
      </c>
      <c r="X354" s="27">
        <f t="shared" si="4"/>
        <v>211.8565566</v>
      </c>
      <c r="Y354" s="72" t="s">
        <v>36</v>
      </c>
      <c r="Z354" s="79" t="s">
        <v>546</v>
      </c>
      <c r="AA354" s="72"/>
      <c r="AB354" s="72"/>
      <c r="AC354" s="72"/>
      <c r="AD354" s="72"/>
    </row>
    <row r="355">
      <c r="A355" s="123" t="s">
        <v>230</v>
      </c>
      <c r="B355" s="123" t="s">
        <v>461</v>
      </c>
      <c r="C355" s="36" t="s">
        <v>267</v>
      </c>
      <c r="D355" s="123" t="s">
        <v>472</v>
      </c>
      <c r="E355" s="75">
        <v>2017.0</v>
      </c>
      <c r="F355" s="75">
        <v>2021.0</v>
      </c>
      <c r="G355" s="75">
        <v>0.0</v>
      </c>
      <c r="H355" s="75">
        <v>11.6</v>
      </c>
      <c r="I355" s="124">
        <v>1.0</v>
      </c>
      <c r="J355" s="75">
        <v>11.6</v>
      </c>
      <c r="K355" s="125">
        <v>0.0</v>
      </c>
      <c r="L355" s="125">
        <v>0.0</v>
      </c>
      <c r="M355" s="75">
        <v>7.0</v>
      </c>
      <c r="N355" s="123"/>
      <c r="O355" s="123" t="s">
        <v>60</v>
      </c>
      <c r="P355" s="126">
        <v>9494.0</v>
      </c>
      <c r="Q355" s="123" t="s">
        <v>234</v>
      </c>
      <c r="R355" s="75">
        <v>2017.0</v>
      </c>
      <c r="S355" s="136">
        <v>0.239</v>
      </c>
      <c r="T355" s="128">
        <f t="shared" si="1"/>
        <v>2269.066</v>
      </c>
      <c r="U355" s="24">
        <f t="shared" si="2"/>
        <v>195.6091379</v>
      </c>
      <c r="V355" s="26">
        <f>VLOOKUP(R355,CPI!$A$2:$E$67,5,0)</f>
        <v>1.243072781</v>
      </c>
      <c r="W355" s="27">
        <f t="shared" si="3"/>
        <v>2820.614182</v>
      </c>
      <c r="X355" s="27">
        <f t="shared" si="4"/>
        <v>243.156395</v>
      </c>
      <c r="Y355" s="123" t="s">
        <v>60</v>
      </c>
      <c r="Z355" s="129" t="s">
        <v>473</v>
      </c>
      <c r="AA355" s="29"/>
      <c r="AB355" s="30"/>
      <c r="AC355" s="30"/>
      <c r="AD355" s="30"/>
    </row>
    <row r="356">
      <c r="A356" s="123" t="s">
        <v>230</v>
      </c>
      <c r="B356" s="123" t="s">
        <v>350</v>
      </c>
      <c r="C356" s="36" t="s">
        <v>236</v>
      </c>
      <c r="D356" s="123" t="s">
        <v>364</v>
      </c>
      <c r="E356" s="75">
        <v>2019.0</v>
      </c>
      <c r="F356" s="75">
        <v>2024.0</v>
      </c>
      <c r="G356" s="75">
        <v>0.0</v>
      </c>
      <c r="H356" s="75">
        <v>28.85</v>
      </c>
      <c r="I356" s="124">
        <f>J356/H356</f>
        <v>0.9116117851</v>
      </c>
      <c r="J356" s="75">
        <v>26.3</v>
      </c>
      <c r="K356" s="125">
        <v>0.0</v>
      </c>
      <c r="L356" s="125">
        <v>0.0</v>
      </c>
      <c r="M356" s="75">
        <v>19.0</v>
      </c>
      <c r="N356" s="123"/>
      <c r="O356" s="123" t="s">
        <v>60</v>
      </c>
      <c r="P356" s="126">
        <v>23644.0</v>
      </c>
      <c r="Q356" s="123" t="s">
        <v>234</v>
      </c>
      <c r="R356" s="75">
        <v>2019.0</v>
      </c>
      <c r="S356" s="136">
        <v>0.238</v>
      </c>
      <c r="T356" s="128">
        <f t="shared" si="1"/>
        <v>5627.272</v>
      </c>
      <c r="U356" s="24">
        <f t="shared" si="2"/>
        <v>195.0527556</v>
      </c>
      <c r="V356" s="26">
        <f>VLOOKUP(R356,CPI!$A$2:$E$67,5,0)</f>
        <v>1.191839066</v>
      </c>
      <c r="W356" s="27">
        <f t="shared" si="3"/>
        <v>6706.802602</v>
      </c>
      <c r="X356" s="27">
        <f t="shared" si="4"/>
        <v>232.471494</v>
      </c>
      <c r="Y356" s="123" t="s">
        <v>60</v>
      </c>
      <c r="Z356" s="129" t="s">
        <v>365</v>
      </c>
      <c r="AA356" s="179"/>
      <c r="AB356" s="174"/>
      <c r="AC356" s="174"/>
      <c r="AD356" s="174"/>
    </row>
    <row r="357">
      <c r="A357" s="72" t="s">
        <v>230</v>
      </c>
      <c r="B357" s="72" t="s">
        <v>655</v>
      </c>
      <c r="C357" s="115" t="s">
        <v>84</v>
      </c>
      <c r="D357" s="115" t="s">
        <v>319</v>
      </c>
      <c r="E357" s="72"/>
      <c r="F357" s="69">
        <v>2021.0</v>
      </c>
      <c r="G357" s="69">
        <v>0.0</v>
      </c>
      <c r="H357" s="69">
        <v>20.22</v>
      </c>
      <c r="I357" s="117">
        <v>1.0</v>
      </c>
      <c r="J357" s="69">
        <v>20.22</v>
      </c>
      <c r="K357" s="72"/>
      <c r="L357" s="72"/>
      <c r="M357" s="69">
        <v>17.0</v>
      </c>
      <c r="N357" s="69">
        <v>117.0</v>
      </c>
      <c r="O357" s="72"/>
      <c r="P357" s="140">
        <v>16400.0</v>
      </c>
      <c r="Q357" s="72" t="s">
        <v>234</v>
      </c>
      <c r="R357" s="115">
        <v>2021.0</v>
      </c>
      <c r="S357" s="136">
        <v>0.239</v>
      </c>
      <c r="T357" s="118">
        <f t="shared" si="1"/>
        <v>3919.6</v>
      </c>
      <c r="U357" s="24">
        <f t="shared" si="2"/>
        <v>193.8476756</v>
      </c>
      <c r="V357" s="26">
        <f>VLOOKUP(R357,CPI!$A$2:$E$67,5,0)</f>
        <v>1.124486105</v>
      </c>
      <c r="W357" s="27">
        <f t="shared" si="3"/>
        <v>4407.535739</v>
      </c>
      <c r="X357" s="27">
        <f t="shared" si="4"/>
        <v>217.9790178</v>
      </c>
      <c r="Y357" s="72" t="s">
        <v>36</v>
      </c>
      <c r="Z357" s="79" t="s">
        <v>662</v>
      </c>
      <c r="AA357" s="72"/>
      <c r="AB357" s="72"/>
      <c r="AC357" s="72"/>
      <c r="AD357" s="72"/>
    </row>
    <row r="358">
      <c r="A358" s="123" t="s">
        <v>230</v>
      </c>
      <c r="B358" s="123" t="s">
        <v>704</v>
      </c>
      <c r="C358" s="36" t="s">
        <v>243</v>
      </c>
      <c r="D358" s="123" t="s">
        <v>379</v>
      </c>
      <c r="E358" s="123"/>
      <c r="F358" s="75">
        <v>2009.0</v>
      </c>
      <c r="G358" s="75">
        <v>0.0</v>
      </c>
      <c r="H358" s="75">
        <v>23.22</v>
      </c>
      <c r="I358" s="124">
        <f>J358/H358</f>
        <v>1</v>
      </c>
      <c r="J358" s="75">
        <v>23.22</v>
      </c>
      <c r="K358" s="125">
        <v>0.0</v>
      </c>
      <c r="L358" s="125">
        <v>0.0</v>
      </c>
      <c r="M358" s="75">
        <v>22.0</v>
      </c>
      <c r="N358" s="123"/>
      <c r="O358" s="123" t="s">
        <v>42</v>
      </c>
      <c r="P358" s="126">
        <v>14493.0</v>
      </c>
      <c r="Q358" s="123" t="s">
        <v>234</v>
      </c>
      <c r="R358" s="75">
        <v>2001.0</v>
      </c>
      <c r="S358" s="136">
        <v>0.368</v>
      </c>
      <c r="T358" s="128">
        <f t="shared" si="1"/>
        <v>5333.424</v>
      </c>
      <c r="U358" s="24">
        <f t="shared" si="2"/>
        <v>229.6909561</v>
      </c>
      <c r="V358" s="26">
        <f>VLOOKUP(R358,CPI!$A$2:$E$67,5,0)</f>
        <v>1.720508187</v>
      </c>
      <c r="W358" s="27">
        <f t="shared" si="3"/>
        <v>9176.199659</v>
      </c>
      <c r="X358" s="27">
        <f t="shared" si="4"/>
        <v>395.1851705</v>
      </c>
      <c r="Y358" s="123" t="s">
        <v>42</v>
      </c>
      <c r="Z358" s="129" t="s">
        <v>717</v>
      </c>
      <c r="AA358" s="29"/>
      <c r="AB358" s="30"/>
      <c r="AC358" s="30"/>
      <c r="AD358" s="30"/>
    </row>
    <row r="359">
      <c r="A359" s="72" t="s">
        <v>230</v>
      </c>
      <c r="B359" s="72" t="s">
        <v>461</v>
      </c>
      <c r="C359" s="36" t="s">
        <v>302</v>
      </c>
      <c r="D359" s="72" t="s">
        <v>302</v>
      </c>
      <c r="E359" s="69">
        <v>2017.0</v>
      </c>
      <c r="F359" s="69">
        <v>2021.0</v>
      </c>
      <c r="G359" s="69">
        <v>1.0</v>
      </c>
      <c r="H359" s="69">
        <v>31.0</v>
      </c>
      <c r="I359" s="117">
        <v>1.0</v>
      </c>
      <c r="J359" s="69">
        <v>31.0</v>
      </c>
      <c r="K359" s="72"/>
      <c r="L359" s="72"/>
      <c r="M359" s="69">
        <v>6.0</v>
      </c>
      <c r="N359" s="69">
        <v>184.0</v>
      </c>
      <c r="O359" s="72"/>
      <c r="P359" s="140">
        <v>26400.0</v>
      </c>
      <c r="Q359" s="72" t="s">
        <v>234</v>
      </c>
      <c r="R359" s="115">
        <v>2020.0</v>
      </c>
      <c r="S359" s="136">
        <v>0.239</v>
      </c>
      <c r="T359" s="118">
        <f t="shared" si="1"/>
        <v>6309.6</v>
      </c>
      <c r="U359" s="24">
        <f t="shared" si="2"/>
        <v>203.5354839</v>
      </c>
      <c r="V359" s="26">
        <f>VLOOKUP(R359,CPI!$A$2:$E$67,5,0)</f>
        <v>1.17731472</v>
      </c>
      <c r="W359" s="27">
        <f t="shared" si="3"/>
        <v>7428.384957</v>
      </c>
      <c r="X359" s="27">
        <f t="shared" si="4"/>
        <v>239.6253212</v>
      </c>
      <c r="Y359" s="72" t="s">
        <v>36</v>
      </c>
      <c r="Z359" s="79" t="s">
        <v>474</v>
      </c>
      <c r="AA359" s="427"/>
      <c r="AB359" s="72"/>
      <c r="AC359" s="72"/>
      <c r="AD359" s="72"/>
    </row>
    <row r="360">
      <c r="A360" s="123" t="s">
        <v>230</v>
      </c>
      <c r="B360" s="123" t="s">
        <v>231</v>
      </c>
      <c r="C360" s="36" t="s">
        <v>302</v>
      </c>
      <c r="D360" s="123" t="s">
        <v>302</v>
      </c>
      <c r="E360" s="142">
        <v>2019.0</v>
      </c>
      <c r="F360" s="142">
        <v>2022.0</v>
      </c>
      <c r="G360" s="75">
        <v>0.0</v>
      </c>
      <c r="H360" s="75">
        <v>78.6</v>
      </c>
      <c r="I360" s="124">
        <v>0.62</v>
      </c>
      <c r="J360" s="75">
        <v>48.5</v>
      </c>
      <c r="K360" s="125">
        <v>0.0</v>
      </c>
      <c r="L360" s="125">
        <v>0.0</v>
      </c>
      <c r="M360" s="75">
        <v>20.0</v>
      </c>
      <c r="N360" s="123"/>
      <c r="O360" s="123" t="s">
        <v>60</v>
      </c>
      <c r="P360" s="126">
        <v>63930.0</v>
      </c>
      <c r="Q360" s="123" t="s">
        <v>234</v>
      </c>
      <c r="R360" s="75">
        <v>2019.0</v>
      </c>
      <c r="S360" s="136">
        <v>0.238</v>
      </c>
      <c r="T360" s="128">
        <f t="shared" si="1"/>
        <v>15215.34</v>
      </c>
      <c r="U360" s="24">
        <f t="shared" si="2"/>
        <v>193.5793893</v>
      </c>
      <c r="V360" s="26">
        <f>VLOOKUP(R360,CPI!$A$2:$E$67,5,0)</f>
        <v>1.191839066</v>
      </c>
      <c r="W360" s="27">
        <f t="shared" si="3"/>
        <v>18134.23661</v>
      </c>
      <c r="X360" s="27">
        <f t="shared" si="4"/>
        <v>230.7154785</v>
      </c>
      <c r="Y360" s="123" t="s">
        <v>60</v>
      </c>
      <c r="Z360" s="129" t="s">
        <v>276</v>
      </c>
      <c r="AA360" s="29"/>
      <c r="AB360" s="30"/>
      <c r="AC360" s="30"/>
      <c r="AD360" s="30"/>
    </row>
    <row r="361">
      <c r="A361" s="123" t="s">
        <v>230</v>
      </c>
      <c r="B361" s="123" t="s">
        <v>461</v>
      </c>
      <c r="C361" s="36" t="s">
        <v>84</v>
      </c>
      <c r="D361" s="123" t="s">
        <v>476</v>
      </c>
      <c r="E361" s="75">
        <v>2018.0</v>
      </c>
      <c r="F361" s="75">
        <v>2022.0</v>
      </c>
      <c r="G361" s="75">
        <v>0.0</v>
      </c>
      <c r="H361" s="75">
        <v>9.7</v>
      </c>
      <c r="I361" s="124">
        <v>1.0</v>
      </c>
      <c r="J361" s="75">
        <v>9.7</v>
      </c>
      <c r="K361" s="125">
        <v>0.0</v>
      </c>
      <c r="L361" s="125">
        <v>0.0</v>
      </c>
      <c r="M361" s="75">
        <v>6.0</v>
      </c>
      <c r="N361" s="123"/>
      <c r="O361" s="123" t="s">
        <v>60</v>
      </c>
      <c r="P361" s="126">
        <v>7862.0</v>
      </c>
      <c r="Q361" s="123" t="s">
        <v>234</v>
      </c>
      <c r="R361" s="75">
        <v>2017.0</v>
      </c>
      <c r="S361" s="136">
        <v>0.239</v>
      </c>
      <c r="T361" s="128">
        <f t="shared" si="1"/>
        <v>1879.018</v>
      </c>
      <c r="U361" s="24">
        <f t="shared" si="2"/>
        <v>193.7131959</v>
      </c>
      <c r="V361" s="26">
        <f>VLOOKUP(R361,CPI!$A$2:$E$67,5,0)</f>
        <v>1.243072781</v>
      </c>
      <c r="W361" s="27">
        <f t="shared" si="3"/>
        <v>2335.75613</v>
      </c>
      <c r="X361" s="27">
        <f t="shared" si="4"/>
        <v>240.7996011</v>
      </c>
      <c r="Y361" s="123" t="s">
        <v>60</v>
      </c>
      <c r="Z361" s="129" t="s">
        <v>473</v>
      </c>
      <c r="AA361" s="29"/>
      <c r="AB361" s="30"/>
      <c r="AC361" s="30"/>
      <c r="AD361" s="30"/>
    </row>
    <row r="362">
      <c r="A362" s="72" t="s">
        <v>230</v>
      </c>
      <c r="B362" s="72" t="s">
        <v>514</v>
      </c>
      <c r="C362" s="115" t="s">
        <v>80</v>
      </c>
      <c r="D362" s="115" t="s">
        <v>265</v>
      </c>
      <c r="E362" s="69">
        <v>2017.0</v>
      </c>
      <c r="F362" s="69">
        <v>2022.0</v>
      </c>
      <c r="G362" s="69">
        <v>0.0</v>
      </c>
      <c r="H362" s="69">
        <v>8.366</v>
      </c>
      <c r="I362" s="117">
        <v>1.0</v>
      </c>
      <c r="J362" s="69">
        <v>8.366</v>
      </c>
      <c r="K362" s="72"/>
      <c r="L362" s="72"/>
      <c r="M362" s="69">
        <v>5.0</v>
      </c>
      <c r="N362" s="69">
        <v>117.0</v>
      </c>
      <c r="O362" s="72"/>
      <c r="P362" s="140">
        <v>6226.0</v>
      </c>
      <c r="Q362" s="72" t="s">
        <v>234</v>
      </c>
      <c r="R362" s="115">
        <v>2020.0</v>
      </c>
      <c r="S362" s="136">
        <v>0.239</v>
      </c>
      <c r="T362" s="118">
        <f t="shared" si="1"/>
        <v>1488.014</v>
      </c>
      <c r="U362" s="24">
        <f t="shared" si="2"/>
        <v>177.8644514</v>
      </c>
      <c r="V362" s="26">
        <f>VLOOKUP(R362,CPI!$A$2:$E$67,5,0)</f>
        <v>1.17731472</v>
      </c>
      <c r="W362" s="27">
        <f t="shared" si="3"/>
        <v>1751.860786</v>
      </c>
      <c r="X362" s="27">
        <f t="shared" si="4"/>
        <v>209.4024367</v>
      </c>
      <c r="Y362" s="72" t="s">
        <v>36</v>
      </c>
      <c r="Z362" s="79" t="s">
        <v>531</v>
      </c>
      <c r="AA362" s="72"/>
      <c r="AB362" s="72"/>
      <c r="AC362" s="72"/>
      <c r="AD362" s="72"/>
    </row>
    <row r="363">
      <c r="A363" s="123" t="s">
        <v>230</v>
      </c>
      <c r="B363" s="123" t="s">
        <v>930</v>
      </c>
      <c r="C363" s="36" t="s">
        <v>54</v>
      </c>
      <c r="D363" s="123" t="s">
        <v>326</v>
      </c>
      <c r="E363" s="75">
        <v>2016.0</v>
      </c>
      <c r="F363" s="75">
        <v>2020.0</v>
      </c>
      <c r="G363" s="75">
        <v>0.0</v>
      </c>
      <c r="H363" s="75">
        <v>15.5</v>
      </c>
      <c r="I363" s="124">
        <v>1.0</v>
      </c>
      <c r="J363" s="75">
        <v>15.5</v>
      </c>
      <c r="K363" s="125">
        <v>0.0</v>
      </c>
      <c r="L363" s="125">
        <v>0.0</v>
      </c>
      <c r="M363" s="75">
        <v>9.0</v>
      </c>
      <c r="N363" s="123"/>
      <c r="O363" s="123" t="s">
        <v>60</v>
      </c>
      <c r="P363" s="126">
        <v>12218.0</v>
      </c>
      <c r="Q363" s="123" t="s">
        <v>234</v>
      </c>
      <c r="R363" s="75">
        <v>2016.0</v>
      </c>
      <c r="S363" s="136">
        <v>0.251</v>
      </c>
      <c r="T363" s="128">
        <f t="shared" si="1"/>
        <v>3066.718</v>
      </c>
      <c r="U363" s="24">
        <f t="shared" si="2"/>
        <v>197.8527742</v>
      </c>
      <c r="V363" s="26">
        <f>VLOOKUP(R363,CPI!$A$2:$E$67,5,0)</f>
        <v>1.269554638</v>
      </c>
      <c r="W363" s="27">
        <f t="shared" si="3"/>
        <v>3893.36606</v>
      </c>
      <c r="X363" s="27">
        <f t="shared" si="4"/>
        <v>251.1849071</v>
      </c>
      <c r="Y363" s="123" t="s">
        <v>60</v>
      </c>
      <c r="Z363" s="129" t="s">
        <v>933</v>
      </c>
      <c r="AA363" s="178"/>
      <c r="AB363" s="172"/>
      <c r="AC363" s="172"/>
      <c r="AD363" s="172"/>
    </row>
    <row r="364">
      <c r="A364" s="123" t="s">
        <v>230</v>
      </c>
      <c r="B364" s="123" t="s">
        <v>958</v>
      </c>
      <c r="C364" s="16" t="s">
        <v>267</v>
      </c>
      <c r="D364" s="123" t="s">
        <v>463</v>
      </c>
      <c r="E364" s="123"/>
      <c r="F364" s="123"/>
      <c r="G364" s="75">
        <v>0.0</v>
      </c>
      <c r="H364" s="75">
        <v>8.3</v>
      </c>
      <c r="I364" s="124">
        <v>1.0</v>
      </c>
      <c r="J364" s="75">
        <v>8.3</v>
      </c>
      <c r="K364" s="125">
        <v>0.0</v>
      </c>
      <c r="L364" s="125">
        <v>0.0</v>
      </c>
      <c r="M364" s="75">
        <v>6.0</v>
      </c>
      <c r="N364" s="123"/>
      <c r="O364" s="123" t="s">
        <v>60</v>
      </c>
      <c r="P364" s="126">
        <v>6684.0</v>
      </c>
      <c r="Q364" s="123" t="s">
        <v>234</v>
      </c>
      <c r="R364" s="75">
        <v>2019.0</v>
      </c>
      <c r="S364" s="136">
        <v>0.238</v>
      </c>
      <c r="T364" s="128">
        <f t="shared" si="1"/>
        <v>1590.792</v>
      </c>
      <c r="U364" s="24">
        <f t="shared" si="2"/>
        <v>191.6616867</v>
      </c>
      <c r="V364" s="26">
        <f>VLOOKUP(R364,CPI!$A$2:$E$67,5,0)</f>
        <v>1.191839066</v>
      </c>
      <c r="W364" s="27">
        <f t="shared" si="3"/>
        <v>1895.968051</v>
      </c>
      <c r="X364" s="27">
        <f t="shared" si="4"/>
        <v>228.4298856</v>
      </c>
      <c r="Y364" s="123" t="s">
        <v>60</v>
      </c>
      <c r="Z364" s="129" t="s">
        <v>974</v>
      </c>
      <c r="AA364" s="178"/>
      <c r="AB364" s="172"/>
      <c r="AC364" s="172"/>
      <c r="AD364" s="172"/>
    </row>
    <row r="365">
      <c r="A365" s="123" t="s">
        <v>230</v>
      </c>
      <c r="B365" s="123" t="s">
        <v>958</v>
      </c>
      <c r="C365" s="16" t="s">
        <v>80</v>
      </c>
      <c r="D365" s="123" t="s">
        <v>255</v>
      </c>
      <c r="E365" s="123"/>
      <c r="F365" s="123"/>
      <c r="G365" s="75">
        <v>0.0</v>
      </c>
      <c r="H365" s="75">
        <v>36.5</v>
      </c>
      <c r="I365" s="124">
        <v>0.9232876712</v>
      </c>
      <c r="J365" s="75">
        <v>33.7</v>
      </c>
      <c r="K365" s="125">
        <v>2.51</v>
      </c>
      <c r="L365" s="125">
        <v>0.41</v>
      </c>
      <c r="M365" s="75">
        <v>24.0</v>
      </c>
      <c r="N365" s="123"/>
      <c r="O365" s="123" t="s">
        <v>60</v>
      </c>
      <c r="P365" s="126">
        <v>29304.0</v>
      </c>
      <c r="Q365" s="123" t="s">
        <v>234</v>
      </c>
      <c r="R365" s="75">
        <v>2019.0</v>
      </c>
      <c r="S365" s="136">
        <v>0.238</v>
      </c>
      <c r="T365" s="128">
        <f t="shared" si="1"/>
        <v>6974.352</v>
      </c>
      <c r="U365" s="24">
        <f t="shared" si="2"/>
        <v>191.078137</v>
      </c>
      <c r="V365" s="26">
        <f>VLOOKUP(R365,CPI!$A$2:$E$67,5,0)</f>
        <v>1.191839066</v>
      </c>
      <c r="W365" s="27">
        <f t="shared" si="3"/>
        <v>8312.305171</v>
      </c>
      <c r="X365" s="27">
        <f t="shared" si="4"/>
        <v>227.7343882</v>
      </c>
      <c r="Y365" s="123" t="s">
        <v>60</v>
      </c>
      <c r="Z365" s="129" t="s">
        <v>974</v>
      </c>
      <c r="AA365" s="178"/>
      <c r="AB365" s="172"/>
      <c r="AC365" s="172"/>
      <c r="AD365" s="172"/>
    </row>
    <row r="366">
      <c r="A366" s="72" t="s">
        <v>230</v>
      </c>
      <c r="B366" s="72" t="s">
        <v>449</v>
      </c>
      <c r="C366" s="16" t="s">
        <v>84</v>
      </c>
      <c r="D366" s="115" t="s">
        <v>319</v>
      </c>
      <c r="E366" s="69">
        <v>2020.0</v>
      </c>
      <c r="F366" s="72"/>
      <c r="G366" s="69">
        <v>0.0</v>
      </c>
      <c r="H366" s="69">
        <v>27.7</v>
      </c>
      <c r="I366" s="117">
        <v>1.0</v>
      </c>
      <c r="J366" s="69">
        <v>27.7</v>
      </c>
      <c r="K366" s="72"/>
      <c r="L366" s="72"/>
      <c r="M366" s="69">
        <v>20.0</v>
      </c>
      <c r="N366" s="69">
        <v>117.0</v>
      </c>
      <c r="O366" s="72"/>
      <c r="P366" s="140">
        <v>21786.0</v>
      </c>
      <c r="Q366" s="72" t="s">
        <v>234</v>
      </c>
      <c r="R366" s="115">
        <v>2020.0</v>
      </c>
      <c r="S366" s="136">
        <v>0.239</v>
      </c>
      <c r="T366" s="118">
        <f t="shared" si="1"/>
        <v>5206.854</v>
      </c>
      <c r="U366" s="24">
        <f t="shared" si="2"/>
        <v>187.9730686</v>
      </c>
      <c r="V366" s="26">
        <f>VLOOKUP(R366,CPI!$A$2:$E$67,5,0)</f>
        <v>1.17731472</v>
      </c>
      <c r="W366" s="27">
        <f t="shared" si="3"/>
        <v>6130.105859</v>
      </c>
      <c r="X366" s="27">
        <f t="shared" si="4"/>
        <v>221.3034606</v>
      </c>
      <c r="Y366" s="72" t="s">
        <v>36</v>
      </c>
      <c r="Z366" s="79" t="s">
        <v>456</v>
      </c>
      <c r="AA366" s="72"/>
      <c r="AB366" s="72"/>
      <c r="AC366" s="72"/>
      <c r="AD366" s="72"/>
    </row>
    <row r="367">
      <c r="A367" s="72" t="s">
        <v>230</v>
      </c>
      <c r="B367" s="72" t="s">
        <v>609</v>
      </c>
      <c r="C367" s="16" t="s">
        <v>253</v>
      </c>
      <c r="D367" s="115" t="s">
        <v>618</v>
      </c>
      <c r="E367" s="69">
        <v>2016.0</v>
      </c>
      <c r="F367" s="69">
        <v>2020.0</v>
      </c>
      <c r="G367" s="69">
        <v>0.0</v>
      </c>
      <c r="H367" s="69">
        <v>19.677</v>
      </c>
      <c r="I367" s="117">
        <v>1.0</v>
      </c>
      <c r="J367" s="69">
        <v>19.677</v>
      </c>
      <c r="K367" s="72"/>
      <c r="L367" s="72"/>
      <c r="M367" s="69">
        <v>16.0</v>
      </c>
      <c r="N367" s="69">
        <v>117.0</v>
      </c>
      <c r="O367" s="72"/>
      <c r="P367" s="140">
        <v>21250.0</v>
      </c>
      <c r="Q367" s="72" t="s">
        <v>234</v>
      </c>
      <c r="R367" s="75">
        <v>2018.0</v>
      </c>
      <c r="S367" s="136">
        <v>0.237</v>
      </c>
      <c r="T367" s="118">
        <f t="shared" si="1"/>
        <v>5036.25</v>
      </c>
      <c r="U367" s="24">
        <f t="shared" si="2"/>
        <v>255.9460284</v>
      </c>
      <c r="V367" s="26">
        <f>VLOOKUP(R367,CPI!$A$2:$E$67,5,0)</f>
        <v>1.21343491</v>
      </c>
      <c r="W367" s="27">
        <f t="shared" si="3"/>
        <v>6111.161567</v>
      </c>
      <c r="X367" s="27">
        <f t="shared" si="4"/>
        <v>310.5738459</v>
      </c>
      <c r="Y367" s="72" t="s">
        <v>36</v>
      </c>
      <c r="Z367" s="79" t="s">
        <v>619</v>
      </c>
      <c r="AA367" s="72"/>
      <c r="AB367" s="72"/>
      <c r="AC367" s="72"/>
      <c r="AD367" s="72"/>
    </row>
    <row r="368">
      <c r="A368" s="123" t="s">
        <v>230</v>
      </c>
      <c r="B368" s="123" t="s">
        <v>323</v>
      </c>
      <c r="C368" s="36" t="s">
        <v>84</v>
      </c>
      <c r="D368" s="123" t="s">
        <v>340</v>
      </c>
      <c r="E368" s="75">
        <v>2018.0</v>
      </c>
      <c r="F368" s="75">
        <v>2022.0</v>
      </c>
      <c r="G368" s="75">
        <v>0.0</v>
      </c>
      <c r="H368" s="75">
        <v>8.43</v>
      </c>
      <c r="I368" s="124">
        <v>1.0</v>
      </c>
      <c r="J368" s="75">
        <v>8.43</v>
      </c>
      <c r="K368" s="125">
        <v>0.0</v>
      </c>
      <c r="L368" s="125">
        <v>0.0</v>
      </c>
      <c r="M368" s="75">
        <v>7.0</v>
      </c>
      <c r="N368" s="123"/>
      <c r="O368" s="123" t="s">
        <v>60</v>
      </c>
      <c r="P368" s="126">
        <v>6727.0</v>
      </c>
      <c r="Q368" s="123" t="s">
        <v>234</v>
      </c>
      <c r="R368" s="75">
        <v>2017.0</v>
      </c>
      <c r="S368" s="136">
        <v>0.239</v>
      </c>
      <c r="T368" s="128">
        <f t="shared" si="1"/>
        <v>1607.753</v>
      </c>
      <c r="U368" s="24">
        <f t="shared" si="2"/>
        <v>190.7180308</v>
      </c>
      <c r="V368" s="26">
        <f>VLOOKUP(R368,CPI!$A$2:$E$67,5,0)</f>
        <v>1.243072781</v>
      </c>
      <c r="W368" s="27">
        <f t="shared" si="3"/>
        <v>1998.553992</v>
      </c>
      <c r="X368" s="27">
        <f t="shared" si="4"/>
        <v>237.0763929</v>
      </c>
      <c r="Y368" s="123" t="s">
        <v>60</v>
      </c>
      <c r="Z368" s="129" t="s">
        <v>337</v>
      </c>
      <c r="AA368" s="29"/>
      <c r="AB368" s="30"/>
      <c r="AC368" s="30"/>
      <c r="AD368" s="30"/>
    </row>
    <row r="369">
      <c r="A369" s="72" t="s">
        <v>230</v>
      </c>
      <c r="B369" s="72" t="s">
        <v>872</v>
      </c>
      <c r="C369" s="72" t="s">
        <v>84</v>
      </c>
      <c r="D369" s="72" t="s">
        <v>84</v>
      </c>
      <c r="E369" s="69">
        <v>2017.0</v>
      </c>
      <c r="F369" s="69">
        <v>2021.0</v>
      </c>
      <c r="G369" s="69">
        <v>0.0</v>
      </c>
      <c r="H369" s="69">
        <v>33.59</v>
      </c>
      <c r="I369" s="117">
        <v>0.75</v>
      </c>
      <c r="J369" s="69">
        <v>25.33</v>
      </c>
      <c r="K369" s="72"/>
      <c r="L369" s="72"/>
      <c r="M369" s="69">
        <v>26.0</v>
      </c>
      <c r="N369" s="69">
        <v>138.0</v>
      </c>
      <c r="O369" s="72"/>
      <c r="P369" s="140">
        <v>23266.0</v>
      </c>
      <c r="Q369" s="72" t="s">
        <v>234</v>
      </c>
      <c r="R369" s="75">
        <v>2019.0</v>
      </c>
      <c r="S369" s="136">
        <v>0.238</v>
      </c>
      <c r="T369" s="118">
        <f t="shared" si="1"/>
        <v>5537.308</v>
      </c>
      <c r="U369" s="24">
        <f t="shared" si="2"/>
        <v>164.8498958</v>
      </c>
      <c r="V369" s="26">
        <f>VLOOKUP(R369,CPI!$A$2:$E$67,5,0)</f>
        <v>1.191839066</v>
      </c>
      <c r="W369" s="27">
        <f t="shared" si="3"/>
        <v>6599.579993</v>
      </c>
      <c r="X369" s="27">
        <f t="shared" si="4"/>
        <v>196.4745458</v>
      </c>
      <c r="Y369" s="72" t="s">
        <v>36</v>
      </c>
      <c r="Z369" s="79" t="s">
        <v>885</v>
      </c>
      <c r="AA369" s="114"/>
      <c r="AB369" s="72"/>
      <c r="AC369" s="72"/>
      <c r="AD369" s="72"/>
    </row>
    <row r="370">
      <c r="A370" s="123" t="s">
        <v>230</v>
      </c>
      <c r="B370" s="123" t="s">
        <v>387</v>
      </c>
      <c r="C370" s="36" t="s">
        <v>84</v>
      </c>
      <c r="D370" s="123" t="s">
        <v>394</v>
      </c>
      <c r="E370" s="75">
        <v>2019.0</v>
      </c>
      <c r="F370" s="75">
        <v>2024.0</v>
      </c>
      <c r="G370" s="69">
        <v>0.0</v>
      </c>
      <c r="H370" s="69">
        <v>8.95</v>
      </c>
      <c r="I370" s="117">
        <v>1.0</v>
      </c>
      <c r="J370" s="69">
        <v>8.95</v>
      </c>
      <c r="K370" s="72"/>
      <c r="L370" s="72"/>
      <c r="M370" s="69">
        <v>7.0</v>
      </c>
      <c r="N370" s="69">
        <v>117.0</v>
      </c>
      <c r="O370" s="72"/>
      <c r="P370" s="140">
        <v>8900.0</v>
      </c>
      <c r="Q370" s="72" t="s">
        <v>234</v>
      </c>
      <c r="R370" s="115">
        <v>2021.0</v>
      </c>
      <c r="S370" s="136">
        <v>0.239</v>
      </c>
      <c r="T370" s="118">
        <f t="shared" si="1"/>
        <v>2127.1</v>
      </c>
      <c r="U370" s="24">
        <f t="shared" si="2"/>
        <v>237.6648045</v>
      </c>
      <c r="V370" s="26">
        <f>VLOOKUP(R370,CPI!$A$2:$E$67,5,0)</f>
        <v>1.124486105</v>
      </c>
      <c r="W370" s="27">
        <f t="shared" si="3"/>
        <v>2391.894395</v>
      </c>
      <c r="X370" s="27">
        <f t="shared" si="4"/>
        <v>267.2507704</v>
      </c>
      <c r="Y370" s="72" t="s">
        <v>36</v>
      </c>
      <c r="Z370" s="79" t="s">
        <v>395</v>
      </c>
      <c r="AA370" s="29"/>
      <c r="AB370" s="30"/>
      <c r="AC370" s="30"/>
      <c r="AD370" s="30"/>
    </row>
    <row r="371">
      <c r="A371" s="123" t="s">
        <v>230</v>
      </c>
      <c r="B371" s="123" t="s">
        <v>231</v>
      </c>
      <c r="C371" s="36" t="s">
        <v>236</v>
      </c>
      <c r="D371" s="123" t="s">
        <v>299</v>
      </c>
      <c r="E371" s="75">
        <v>2019.0</v>
      </c>
      <c r="F371" s="75">
        <v>2022.0</v>
      </c>
      <c r="G371" s="75">
        <v>0.0</v>
      </c>
      <c r="H371" s="75">
        <v>30.2</v>
      </c>
      <c r="I371" s="124">
        <f>J371/H371</f>
        <v>0.6026490066</v>
      </c>
      <c r="J371" s="75">
        <v>18.2</v>
      </c>
      <c r="K371" s="125">
        <v>12.08</v>
      </c>
      <c r="L371" s="125">
        <v>0.0</v>
      </c>
      <c r="M371" s="75">
        <v>18.0</v>
      </c>
      <c r="N371" s="123"/>
      <c r="O371" s="123" t="s">
        <v>60</v>
      </c>
      <c r="P371" s="126">
        <v>23960.0</v>
      </c>
      <c r="Q371" s="123" t="s">
        <v>234</v>
      </c>
      <c r="R371" s="75">
        <v>2019.0</v>
      </c>
      <c r="S371" s="136">
        <v>0.238</v>
      </c>
      <c r="T371" s="128">
        <f t="shared" si="1"/>
        <v>5702.48</v>
      </c>
      <c r="U371" s="24">
        <f t="shared" si="2"/>
        <v>188.8238411</v>
      </c>
      <c r="V371" s="26">
        <f>VLOOKUP(R371,CPI!$A$2:$E$67,5,0)</f>
        <v>1.191839066</v>
      </c>
      <c r="W371" s="27">
        <f t="shared" si="3"/>
        <v>6796.438435</v>
      </c>
      <c r="X371" s="27">
        <f t="shared" si="4"/>
        <v>225.0476303</v>
      </c>
      <c r="Y371" s="123" t="s">
        <v>60</v>
      </c>
      <c r="Z371" s="154" t="s">
        <v>300</v>
      </c>
      <c r="AA371" s="29"/>
      <c r="AB371" s="30"/>
      <c r="AC371" s="30"/>
      <c r="AD371" s="30"/>
    </row>
    <row r="372">
      <c r="A372" s="123" t="s">
        <v>230</v>
      </c>
      <c r="B372" s="123" t="s">
        <v>958</v>
      </c>
      <c r="C372" s="16" t="s">
        <v>228</v>
      </c>
      <c r="D372" s="123" t="s">
        <v>263</v>
      </c>
      <c r="E372" s="123"/>
      <c r="F372" s="123"/>
      <c r="G372" s="75">
        <v>0.0</v>
      </c>
      <c r="H372" s="75">
        <v>26.9</v>
      </c>
      <c r="I372" s="124">
        <v>1.0</v>
      </c>
      <c r="J372" s="75">
        <v>26.9</v>
      </c>
      <c r="K372" s="125">
        <v>0.0</v>
      </c>
      <c r="L372" s="125">
        <v>0.0</v>
      </c>
      <c r="M372" s="75">
        <v>20.0</v>
      </c>
      <c r="N372" s="123"/>
      <c r="O372" s="123" t="s">
        <v>60</v>
      </c>
      <c r="P372" s="126">
        <v>21158.0</v>
      </c>
      <c r="Q372" s="123" t="s">
        <v>234</v>
      </c>
      <c r="R372" s="75">
        <v>2019.0</v>
      </c>
      <c r="S372" s="136">
        <v>0.238</v>
      </c>
      <c r="T372" s="128">
        <f t="shared" si="1"/>
        <v>5035.604</v>
      </c>
      <c r="U372" s="24">
        <f t="shared" si="2"/>
        <v>187.1971747</v>
      </c>
      <c r="V372" s="26">
        <f>VLOOKUP(R372,CPI!$A$2:$E$67,5,0)</f>
        <v>1.191839066</v>
      </c>
      <c r="W372" s="27">
        <f t="shared" si="3"/>
        <v>6001.629566</v>
      </c>
      <c r="X372" s="27">
        <f t="shared" si="4"/>
        <v>223.1089058</v>
      </c>
      <c r="Y372" s="123" t="s">
        <v>60</v>
      </c>
      <c r="Z372" s="129" t="s">
        <v>974</v>
      </c>
      <c r="AA372" s="178"/>
      <c r="AB372" s="172"/>
      <c r="AC372" s="172"/>
      <c r="AD372" s="172"/>
    </row>
    <row r="373">
      <c r="A373" s="72" t="s">
        <v>230</v>
      </c>
      <c r="B373" s="72" t="s">
        <v>309</v>
      </c>
      <c r="C373" s="115" t="s">
        <v>84</v>
      </c>
      <c r="D373" s="115" t="s">
        <v>319</v>
      </c>
      <c r="E373" s="69">
        <v>2021.0</v>
      </c>
      <c r="F373" s="69"/>
      <c r="G373" s="69">
        <v>0.0</v>
      </c>
      <c r="H373" s="69">
        <v>19.567</v>
      </c>
      <c r="I373" s="117">
        <v>1.0</v>
      </c>
      <c r="J373" s="69">
        <v>19.567</v>
      </c>
      <c r="K373" s="72"/>
      <c r="L373" s="72"/>
      <c r="M373" s="69">
        <v>18.0</v>
      </c>
      <c r="N373" s="69">
        <v>117.0</v>
      </c>
      <c r="O373" s="72"/>
      <c r="P373" s="140">
        <v>20000.0</v>
      </c>
      <c r="Q373" s="72" t="s">
        <v>234</v>
      </c>
      <c r="R373" s="69">
        <v>2019.0</v>
      </c>
      <c r="S373" s="136">
        <v>0.238</v>
      </c>
      <c r="T373" s="148">
        <f t="shared" si="1"/>
        <v>4760</v>
      </c>
      <c r="U373" s="24">
        <f t="shared" si="2"/>
        <v>243.2667246</v>
      </c>
      <c r="V373" s="26">
        <f>VLOOKUP(R373,CPI!$A$2:$E$67,5,0)</f>
        <v>1.191839066</v>
      </c>
      <c r="W373" s="27">
        <f t="shared" si="3"/>
        <v>5673.153952</v>
      </c>
      <c r="X373" s="27">
        <f t="shared" si="4"/>
        <v>289.9347857</v>
      </c>
      <c r="Y373" s="72" t="s">
        <v>60</v>
      </c>
      <c r="Z373" s="149" t="s">
        <v>320</v>
      </c>
      <c r="AA373" s="179"/>
      <c r="AB373" s="60"/>
      <c r="AC373" s="60"/>
      <c r="AD373" s="60"/>
    </row>
    <row r="374">
      <c r="A374" s="123" t="s">
        <v>230</v>
      </c>
      <c r="B374" s="123" t="s">
        <v>872</v>
      </c>
      <c r="C374" s="36" t="s">
        <v>292</v>
      </c>
      <c r="D374" s="123" t="s">
        <v>884</v>
      </c>
      <c r="E374" s="75">
        <v>2017.0</v>
      </c>
      <c r="F374" s="75">
        <v>2021.0</v>
      </c>
      <c r="G374" s="75">
        <v>0.0</v>
      </c>
      <c r="H374" s="75">
        <v>32.1</v>
      </c>
      <c r="I374" s="124">
        <v>1.0</v>
      </c>
      <c r="J374" s="75">
        <v>32.1</v>
      </c>
      <c r="K374" s="125">
        <v>0.0</v>
      </c>
      <c r="L374" s="125">
        <v>0.0</v>
      </c>
      <c r="M374" s="75">
        <v>20.0</v>
      </c>
      <c r="N374" s="123"/>
      <c r="O374" s="123" t="s">
        <v>60</v>
      </c>
      <c r="P374" s="126">
        <v>24620.0</v>
      </c>
      <c r="Q374" s="123" t="s">
        <v>234</v>
      </c>
      <c r="R374" s="75">
        <v>2015.0</v>
      </c>
      <c r="S374" s="136">
        <v>0.258</v>
      </c>
      <c r="T374" s="128">
        <f t="shared" si="1"/>
        <v>6351.96</v>
      </c>
      <c r="U374" s="24">
        <f t="shared" si="2"/>
        <v>197.8803738</v>
      </c>
      <c r="V374" s="26">
        <f>VLOOKUP(R374,CPI!$A$2:$E$67,5,0)</f>
        <v>1.285570233</v>
      </c>
      <c r="W374" s="27">
        <f t="shared" si="3"/>
        <v>8165.890699</v>
      </c>
      <c r="X374" s="27">
        <f t="shared" si="4"/>
        <v>254.3891184</v>
      </c>
      <c r="Y374" s="123" t="s">
        <v>60</v>
      </c>
      <c r="Z374" s="129" t="s">
        <v>881</v>
      </c>
      <c r="AA374" s="178"/>
      <c r="AB374" s="172"/>
      <c r="AC374" s="172"/>
      <c r="AD374" s="172"/>
    </row>
    <row r="375">
      <c r="A375" s="123" t="s">
        <v>230</v>
      </c>
      <c r="B375" s="123" t="s">
        <v>609</v>
      </c>
      <c r="C375" s="36" t="s">
        <v>54</v>
      </c>
      <c r="D375" s="123" t="s">
        <v>313</v>
      </c>
      <c r="E375" s="75">
        <v>2017.0</v>
      </c>
      <c r="F375" s="75">
        <v>2020.0</v>
      </c>
      <c r="G375" s="75">
        <v>0.0</v>
      </c>
      <c r="H375" s="75">
        <v>5.6</v>
      </c>
      <c r="I375" s="124">
        <v>1.0</v>
      </c>
      <c r="J375" s="75">
        <v>5.6</v>
      </c>
      <c r="K375" s="125">
        <v>0.0</v>
      </c>
      <c r="L375" s="125">
        <v>0.0</v>
      </c>
      <c r="M375" s="75">
        <v>4.0</v>
      </c>
      <c r="N375" s="123"/>
      <c r="O375" s="123" t="s">
        <v>60</v>
      </c>
      <c r="P375" s="126">
        <v>4280.0</v>
      </c>
      <c r="Q375" s="123" t="s">
        <v>234</v>
      </c>
      <c r="R375" s="75">
        <v>2015.0</v>
      </c>
      <c r="S375" s="136">
        <v>0.258</v>
      </c>
      <c r="T375" s="128">
        <f t="shared" si="1"/>
        <v>1104.24</v>
      </c>
      <c r="U375" s="24">
        <f t="shared" si="2"/>
        <v>197.1857143</v>
      </c>
      <c r="V375" s="26">
        <f>VLOOKUP(R375,CPI!$A$2:$E$67,5,0)</f>
        <v>1.285570233</v>
      </c>
      <c r="W375" s="27">
        <f t="shared" si="3"/>
        <v>1419.578074</v>
      </c>
      <c r="X375" s="27">
        <f t="shared" si="4"/>
        <v>253.4960847</v>
      </c>
      <c r="Y375" s="123" t="s">
        <v>60</v>
      </c>
      <c r="Z375" s="129" t="s">
        <v>617</v>
      </c>
      <c r="AA375" s="29"/>
      <c r="AB375" s="30"/>
      <c r="AC375" s="30"/>
      <c r="AD375" s="30"/>
    </row>
    <row r="376">
      <c r="A376" s="123" t="s">
        <v>230</v>
      </c>
      <c r="B376" s="123" t="s">
        <v>655</v>
      </c>
      <c r="C376" s="36" t="s">
        <v>54</v>
      </c>
      <c r="D376" s="123" t="s">
        <v>315</v>
      </c>
      <c r="E376" s="75">
        <v>2017.0</v>
      </c>
      <c r="F376" s="75">
        <v>2021.0</v>
      </c>
      <c r="G376" s="75">
        <v>0.0</v>
      </c>
      <c r="H376" s="75">
        <v>6.5</v>
      </c>
      <c r="I376" s="124">
        <v>1.0</v>
      </c>
      <c r="J376" s="75">
        <v>6.5</v>
      </c>
      <c r="K376" s="125">
        <v>0.0</v>
      </c>
      <c r="L376" s="125">
        <v>0.0</v>
      </c>
      <c r="M376" s="75">
        <v>4.0</v>
      </c>
      <c r="N376" s="142">
        <v>117.0</v>
      </c>
      <c r="O376" s="123" t="s">
        <v>42</v>
      </c>
      <c r="P376" s="126">
        <v>4898.0</v>
      </c>
      <c r="Q376" s="123" t="s">
        <v>234</v>
      </c>
      <c r="R376" s="75">
        <v>2017.0</v>
      </c>
      <c r="S376" s="136">
        <v>0.239</v>
      </c>
      <c r="T376" s="128">
        <f t="shared" si="1"/>
        <v>1170.622</v>
      </c>
      <c r="U376" s="24">
        <f t="shared" si="2"/>
        <v>180.0956923</v>
      </c>
      <c r="V376" s="26">
        <f>VLOOKUP(R376,CPI!$A$2:$E$67,5,0)</f>
        <v>1.243072781</v>
      </c>
      <c r="W376" s="27">
        <f t="shared" si="3"/>
        <v>1455.168345</v>
      </c>
      <c r="X376" s="27">
        <f t="shared" si="4"/>
        <v>223.872053</v>
      </c>
      <c r="Y376" s="123" t="s">
        <v>42</v>
      </c>
      <c r="Z376" s="129" t="s">
        <v>661</v>
      </c>
      <c r="AA376" s="29"/>
      <c r="AB376" s="30"/>
      <c r="AC376" s="30"/>
      <c r="AD376" s="30"/>
    </row>
    <row r="377">
      <c r="A377" s="72" t="s">
        <v>230</v>
      </c>
      <c r="B377" s="72" t="s">
        <v>609</v>
      </c>
      <c r="C377" s="72" t="s">
        <v>228</v>
      </c>
      <c r="D377" s="72" t="s">
        <v>228</v>
      </c>
      <c r="E377" s="69">
        <v>2019.0</v>
      </c>
      <c r="F377" s="72"/>
      <c r="G377" s="69">
        <v>0.0</v>
      </c>
      <c r="H377" s="69">
        <v>35.49</v>
      </c>
      <c r="I377" s="117">
        <v>1.0</v>
      </c>
      <c r="J377" s="69">
        <v>35.49</v>
      </c>
      <c r="K377" s="72"/>
      <c r="L377" s="72"/>
      <c r="M377" s="69">
        <v>27.0</v>
      </c>
      <c r="N377" s="69">
        <v>117.0</v>
      </c>
      <c r="O377" s="72"/>
      <c r="P377" s="140">
        <v>30186.0</v>
      </c>
      <c r="Q377" s="72" t="s">
        <v>234</v>
      </c>
      <c r="R377" s="69">
        <v>2019.0</v>
      </c>
      <c r="S377" s="136">
        <v>0.238</v>
      </c>
      <c r="T377" s="118">
        <f t="shared" si="1"/>
        <v>7184.268</v>
      </c>
      <c r="U377" s="24">
        <f t="shared" si="2"/>
        <v>202.4307692</v>
      </c>
      <c r="V377" s="26">
        <f>VLOOKUP(R377,CPI!$A$2:$E$67,5,0)</f>
        <v>1.191839066</v>
      </c>
      <c r="W377" s="27">
        <f t="shared" si="3"/>
        <v>8562.49126</v>
      </c>
      <c r="X377" s="27">
        <f t="shared" si="4"/>
        <v>241.2648989</v>
      </c>
      <c r="Y377" s="72" t="s">
        <v>36</v>
      </c>
      <c r="Z377" s="79" t="s">
        <v>632</v>
      </c>
      <c r="AA377" s="72"/>
      <c r="AB377" s="72"/>
      <c r="AC377" s="72"/>
      <c r="AD377" s="72"/>
    </row>
    <row r="378">
      <c r="A378" s="123" t="s">
        <v>230</v>
      </c>
      <c r="B378" s="123" t="s">
        <v>449</v>
      </c>
      <c r="C378" s="16" t="s">
        <v>110</v>
      </c>
      <c r="D378" s="123" t="s">
        <v>332</v>
      </c>
      <c r="E378" s="75">
        <v>2017.0</v>
      </c>
      <c r="F378" s="75">
        <v>2021.0</v>
      </c>
      <c r="G378" s="75">
        <v>0.0</v>
      </c>
      <c r="H378" s="75">
        <v>24.2</v>
      </c>
      <c r="I378" s="124">
        <v>1.0</v>
      </c>
      <c r="J378" s="75">
        <v>24.2</v>
      </c>
      <c r="K378" s="125">
        <v>0.0</v>
      </c>
      <c r="L378" s="125">
        <v>0.0</v>
      </c>
      <c r="M378" s="75">
        <v>21.0</v>
      </c>
      <c r="N378" s="123"/>
      <c r="O378" s="123" t="s">
        <v>60</v>
      </c>
      <c r="P378" s="126">
        <v>18436.0</v>
      </c>
      <c r="Q378" s="123" t="s">
        <v>234</v>
      </c>
      <c r="R378" s="75">
        <v>2015.0</v>
      </c>
      <c r="S378" s="136">
        <v>0.258</v>
      </c>
      <c r="T378" s="128">
        <f t="shared" si="1"/>
        <v>4756.488</v>
      </c>
      <c r="U378" s="24">
        <f t="shared" si="2"/>
        <v>196.5490909</v>
      </c>
      <c r="V378" s="26">
        <f>VLOOKUP(R378,CPI!$A$2:$E$67,5,0)</f>
        <v>1.285570233</v>
      </c>
      <c r="W378" s="27">
        <f t="shared" si="3"/>
        <v>6114.799388</v>
      </c>
      <c r="X378" s="27">
        <f t="shared" si="4"/>
        <v>252.6776607</v>
      </c>
      <c r="Y378" s="123" t="s">
        <v>60</v>
      </c>
      <c r="Z378" s="129" t="s">
        <v>451</v>
      </c>
      <c r="AA378" s="29"/>
      <c r="AB378" s="30"/>
      <c r="AC378" s="30"/>
      <c r="AD378" s="30"/>
    </row>
    <row r="379">
      <c r="A379" s="123" t="s">
        <v>230</v>
      </c>
      <c r="B379" s="123" t="s">
        <v>350</v>
      </c>
      <c r="C379" s="16" t="s">
        <v>371</v>
      </c>
      <c r="D379" s="123" t="s">
        <v>372</v>
      </c>
      <c r="E379" s="75">
        <v>2019.0</v>
      </c>
      <c r="F379" s="75">
        <v>2024.0</v>
      </c>
      <c r="G379" s="75">
        <v>0.0</v>
      </c>
      <c r="H379" s="75">
        <v>24.78</v>
      </c>
      <c r="I379" s="124">
        <v>1.0</v>
      </c>
      <c r="J379" s="75">
        <v>24.78</v>
      </c>
      <c r="K379" s="125">
        <v>0.0</v>
      </c>
      <c r="L379" s="125">
        <v>0.0</v>
      </c>
      <c r="M379" s="75">
        <v>24.0</v>
      </c>
      <c r="N379" s="142">
        <v>117.0</v>
      </c>
      <c r="O379" s="123" t="s">
        <v>60</v>
      </c>
      <c r="P379" s="126">
        <v>19112.0</v>
      </c>
      <c r="Q379" s="123" t="s">
        <v>234</v>
      </c>
      <c r="R379" s="69">
        <v>2019.0</v>
      </c>
      <c r="S379" s="136">
        <v>0.238</v>
      </c>
      <c r="T379" s="128">
        <f t="shared" si="1"/>
        <v>4548.656</v>
      </c>
      <c r="U379" s="24">
        <f t="shared" si="2"/>
        <v>183.5615819</v>
      </c>
      <c r="V379" s="26">
        <f>VLOOKUP(R379,CPI!$A$2:$E$67,5,0)</f>
        <v>1.191839066</v>
      </c>
      <c r="W379" s="27">
        <f t="shared" si="3"/>
        <v>5421.265917</v>
      </c>
      <c r="X379" s="27">
        <f t="shared" si="4"/>
        <v>218.7758643</v>
      </c>
      <c r="Y379" s="123" t="s">
        <v>60</v>
      </c>
      <c r="Z379" s="129" t="s">
        <v>365</v>
      </c>
      <c r="AA379" s="179"/>
      <c r="AB379" s="174"/>
      <c r="AC379" s="174"/>
      <c r="AD379" s="174"/>
    </row>
    <row r="380">
      <c r="A380" s="123" t="s">
        <v>230</v>
      </c>
      <c r="B380" s="123" t="s">
        <v>231</v>
      </c>
      <c r="C380" s="36" t="s">
        <v>228</v>
      </c>
      <c r="D380" s="123" t="s">
        <v>263</v>
      </c>
      <c r="E380" s="75">
        <v>2009.0</v>
      </c>
      <c r="F380" s="75">
        <v>2014.0</v>
      </c>
      <c r="G380" s="75">
        <v>0.0</v>
      </c>
      <c r="H380" s="75">
        <v>23.7</v>
      </c>
      <c r="I380" s="124">
        <v>1.0</v>
      </c>
      <c r="J380" s="75">
        <v>23.7</v>
      </c>
      <c r="K380" s="125">
        <v>0.0</v>
      </c>
      <c r="L380" s="125">
        <v>0.0</v>
      </c>
      <c r="M380" s="75">
        <v>21.0</v>
      </c>
      <c r="N380" s="142"/>
      <c r="O380" s="123" t="s">
        <v>60</v>
      </c>
      <c r="P380" s="126">
        <v>16000.0</v>
      </c>
      <c r="Q380" s="123" t="s">
        <v>234</v>
      </c>
      <c r="R380" s="75">
        <v>2014.0</v>
      </c>
      <c r="S380" s="136">
        <v>0.266</v>
      </c>
      <c r="T380" s="128">
        <f t="shared" si="1"/>
        <v>4256</v>
      </c>
      <c r="U380" s="24">
        <f t="shared" si="2"/>
        <v>179.5780591</v>
      </c>
      <c r="V380" s="26">
        <f>VLOOKUP(R380,CPI!$A$2:$E$67,5,0)</f>
        <v>1.287096175</v>
      </c>
      <c r="W380" s="27">
        <f t="shared" si="3"/>
        <v>5477.881319</v>
      </c>
      <c r="X380" s="27">
        <f t="shared" si="4"/>
        <v>231.1342329</v>
      </c>
      <c r="Y380" s="123" t="s">
        <v>42</v>
      </c>
      <c r="Z380" s="129" t="s">
        <v>264</v>
      </c>
      <c r="AA380" s="29"/>
      <c r="AB380" s="30"/>
      <c r="AC380" s="30"/>
      <c r="AD380" s="30"/>
    </row>
    <row r="381">
      <c r="A381" s="123" t="s">
        <v>230</v>
      </c>
      <c r="B381" s="123" t="s">
        <v>601</v>
      </c>
      <c r="C381" s="16" t="s">
        <v>110</v>
      </c>
      <c r="D381" s="123" t="s">
        <v>332</v>
      </c>
      <c r="E381" s="75">
        <v>2016.0</v>
      </c>
      <c r="F381" s="75">
        <v>2021.0</v>
      </c>
      <c r="G381" s="75">
        <v>0.0</v>
      </c>
      <c r="H381" s="75">
        <v>38.2</v>
      </c>
      <c r="I381" s="124">
        <v>0.8429319372</v>
      </c>
      <c r="J381" s="75">
        <v>32.2</v>
      </c>
      <c r="K381" s="125">
        <v>0.0</v>
      </c>
      <c r="L381" s="125">
        <v>0.0</v>
      </c>
      <c r="M381" s="75">
        <v>29.0</v>
      </c>
      <c r="N381" s="123"/>
      <c r="O381" s="123" t="s">
        <v>60</v>
      </c>
      <c r="P381" s="126">
        <v>28650.0</v>
      </c>
      <c r="Q381" s="123" t="s">
        <v>234</v>
      </c>
      <c r="R381" s="75">
        <v>2015.0</v>
      </c>
      <c r="S381" s="136">
        <v>0.258</v>
      </c>
      <c r="T381" s="128">
        <f t="shared" si="1"/>
        <v>7391.7</v>
      </c>
      <c r="U381" s="24">
        <f t="shared" si="2"/>
        <v>193.5</v>
      </c>
      <c r="V381" s="26">
        <f>VLOOKUP(R381,CPI!$A$2:$E$67,5,0)</f>
        <v>1.285570233</v>
      </c>
      <c r="W381" s="27">
        <f t="shared" si="3"/>
        <v>9502.549494</v>
      </c>
      <c r="X381" s="27">
        <f t="shared" si="4"/>
        <v>248.7578402</v>
      </c>
      <c r="Y381" s="123" t="s">
        <v>60</v>
      </c>
      <c r="Z381" s="129" t="s">
        <v>604</v>
      </c>
      <c r="AA381" s="29"/>
      <c r="AB381" s="30"/>
      <c r="AC381" s="30"/>
      <c r="AD381" s="30"/>
    </row>
    <row r="382">
      <c r="A382" s="123" t="s">
        <v>230</v>
      </c>
      <c r="B382" s="123" t="s">
        <v>911</v>
      </c>
      <c r="C382" s="16" t="s">
        <v>243</v>
      </c>
      <c r="D382" s="123" t="s">
        <v>243</v>
      </c>
      <c r="E382" s="123"/>
      <c r="F382" s="123"/>
      <c r="G382" s="75">
        <v>0.0</v>
      </c>
      <c r="H382" s="75">
        <v>50.0</v>
      </c>
      <c r="I382" s="124">
        <v>1.0</v>
      </c>
      <c r="J382" s="75">
        <v>50.0</v>
      </c>
      <c r="K382" s="125">
        <v>0.0</v>
      </c>
      <c r="L382" s="125">
        <v>0.0</v>
      </c>
      <c r="M382" s="75">
        <v>35.0</v>
      </c>
      <c r="N382" s="123"/>
      <c r="O382" s="123" t="s">
        <v>60</v>
      </c>
      <c r="P382" s="126">
        <v>38286.0</v>
      </c>
      <c r="Q382" s="123" t="s">
        <v>234</v>
      </c>
      <c r="R382" s="75">
        <v>2019.0</v>
      </c>
      <c r="S382" s="136">
        <v>0.238</v>
      </c>
      <c r="T382" s="128">
        <f t="shared" si="1"/>
        <v>9112.068</v>
      </c>
      <c r="U382" s="24">
        <f t="shared" si="2"/>
        <v>182.24136</v>
      </c>
      <c r="V382" s="26">
        <f>VLOOKUP(R382,CPI!$A$2:$E$67,5,0)</f>
        <v>1.191839066</v>
      </c>
      <c r="W382" s="27">
        <f t="shared" si="3"/>
        <v>10860.11861</v>
      </c>
      <c r="X382" s="27">
        <f t="shared" si="4"/>
        <v>217.2023722</v>
      </c>
      <c r="Y382" s="123" t="s">
        <v>60</v>
      </c>
      <c r="Z382" s="129" t="s">
        <v>926</v>
      </c>
      <c r="AA382" s="178"/>
      <c r="AB382" s="172"/>
      <c r="AC382" s="172"/>
      <c r="AD382" s="172"/>
    </row>
    <row r="383">
      <c r="A383" s="72" t="s">
        <v>230</v>
      </c>
      <c r="B383" s="72" t="s">
        <v>514</v>
      </c>
      <c r="C383" s="115" t="s">
        <v>110</v>
      </c>
      <c r="D383" s="115" t="s">
        <v>358</v>
      </c>
      <c r="E383" s="69">
        <v>2017.0</v>
      </c>
      <c r="F383" s="69">
        <v>2022.0</v>
      </c>
      <c r="G383" s="69">
        <v>0.0</v>
      </c>
      <c r="H383" s="69">
        <v>23.9</v>
      </c>
      <c r="I383" s="117">
        <v>1.0</v>
      </c>
      <c r="J383" s="69">
        <v>23.9</v>
      </c>
      <c r="K383" s="72"/>
      <c r="L383" s="72"/>
      <c r="M383" s="69">
        <v>15.0</v>
      </c>
      <c r="N383" s="69">
        <v>117.0</v>
      </c>
      <c r="O383" s="72"/>
      <c r="P383" s="140">
        <v>20686.0</v>
      </c>
      <c r="Q383" s="72" t="s">
        <v>234</v>
      </c>
      <c r="R383" s="115">
        <v>2020.0</v>
      </c>
      <c r="S383" s="136">
        <v>0.239</v>
      </c>
      <c r="T383" s="118">
        <f t="shared" si="1"/>
        <v>4943.954</v>
      </c>
      <c r="U383" s="24">
        <f t="shared" si="2"/>
        <v>206.86</v>
      </c>
      <c r="V383" s="26">
        <f>VLOOKUP(R383,CPI!$A$2:$E$67,5,0)</f>
        <v>1.17731472</v>
      </c>
      <c r="W383" s="27">
        <f t="shared" si="3"/>
        <v>5820.589819</v>
      </c>
      <c r="X383" s="27">
        <f t="shared" si="4"/>
        <v>243.539323</v>
      </c>
      <c r="Y383" s="72" t="s">
        <v>36</v>
      </c>
      <c r="Z383" s="79" t="s">
        <v>530</v>
      </c>
      <c r="AA383" s="72"/>
      <c r="AB383" s="72"/>
      <c r="AC383" s="72"/>
      <c r="AD383" s="72"/>
    </row>
    <row r="384">
      <c r="A384" s="72" t="s">
        <v>230</v>
      </c>
      <c r="B384" s="72" t="s">
        <v>461</v>
      </c>
      <c r="C384" s="115" t="s">
        <v>243</v>
      </c>
      <c r="D384" s="72" t="s">
        <v>256</v>
      </c>
      <c r="E384" s="69">
        <v>2017.0</v>
      </c>
      <c r="F384" s="69">
        <v>2023.0</v>
      </c>
      <c r="G384" s="69">
        <v>0.0</v>
      </c>
      <c r="H384" s="69">
        <v>20.0</v>
      </c>
      <c r="I384" s="117">
        <v>0.57</v>
      </c>
      <c r="J384" s="69">
        <v>11.3</v>
      </c>
      <c r="K384" s="72"/>
      <c r="L384" s="72"/>
      <c r="M384" s="69">
        <v>9.0</v>
      </c>
      <c r="N384" s="70">
        <v>138.0</v>
      </c>
      <c r="O384" s="72"/>
      <c r="P384" s="140">
        <v>15083.0</v>
      </c>
      <c r="Q384" s="72" t="s">
        <v>234</v>
      </c>
      <c r="R384" s="115">
        <v>2020.0</v>
      </c>
      <c r="S384" s="136">
        <v>0.239</v>
      </c>
      <c r="T384" s="118">
        <f t="shared" si="1"/>
        <v>3604.837</v>
      </c>
      <c r="U384" s="24">
        <f t="shared" si="2"/>
        <v>180.24185</v>
      </c>
      <c r="V384" s="26">
        <f>VLOOKUP(R384,CPI!$A$2:$E$67,5,0)</f>
        <v>1.17731472</v>
      </c>
      <c r="W384" s="27">
        <f t="shared" si="3"/>
        <v>4244.027663</v>
      </c>
      <c r="X384" s="27">
        <f t="shared" si="4"/>
        <v>212.2013832</v>
      </c>
      <c r="Y384" s="115" t="s">
        <v>60</v>
      </c>
      <c r="Z384" s="217" t="s">
        <v>481</v>
      </c>
      <c r="AA384" s="235"/>
      <c r="AB384" s="72"/>
      <c r="AC384" s="72"/>
      <c r="AD384" s="72"/>
    </row>
    <row r="385">
      <c r="A385" s="123" t="s">
        <v>230</v>
      </c>
      <c r="B385" s="123" t="s">
        <v>323</v>
      </c>
      <c r="C385" s="36" t="s">
        <v>80</v>
      </c>
      <c r="D385" s="123" t="s">
        <v>341</v>
      </c>
      <c r="E385" s="75">
        <v>2018.0</v>
      </c>
      <c r="F385" s="75">
        <v>2022.0</v>
      </c>
      <c r="G385" s="75">
        <v>0.0</v>
      </c>
      <c r="H385" s="75">
        <v>10.05</v>
      </c>
      <c r="I385" s="124">
        <v>1.0</v>
      </c>
      <c r="J385" s="75">
        <v>10.05</v>
      </c>
      <c r="K385" s="125">
        <v>0.0</v>
      </c>
      <c r="L385" s="125">
        <v>0.0</v>
      </c>
      <c r="M385" s="75">
        <v>7.0</v>
      </c>
      <c r="N385" s="123"/>
      <c r="O385" s="123" t="s">
        <v>60</v>
      </c>
      <c r="P385" s="126">
        <v>7565.0</v>
      </c>
      <c r="Q385" s="123" t="s">
        <v>234</v>
      </c>
      <c r="R385" s="75">
        <v>2017.0</v>
      </c>
      <c r="S385" s="136">
        <v>0.239</v>
      </c>
      <c r="T385" s="128">
        <f t="shared" si="1"/>
        <v>1808.035</v>
      </c>
      <c r="U385" s="24">
        <f t="shared" si="2"/>
        <v>179.9039801</v>
      </c>
      <c r="V385" s="26">
        <f>VLOOKUP(R385,CPI!$A$2:$E$67,5,0)</f>
        <v>1.243072781</v>
      </c>
      <c r="W385" s="27">
        <f t="shared" si="3"/>
        <v>2247.519095</v>
      </c>
      <c r="X385" s="27">
        <f t="shared" si="4"/>
        <v>223.6337408</v>
      </c>
      <c r="Y385" s="123" t="s">
        <v>60</v>
      </c>
      <c r="Z385" s="129" t="s">
        <v>337</v>
      </c>
      <c r="AA385" s="29"/>
      <c r="AB385" s="30"/>
      <c r="AC385" s="30"/>
      <c r="AD385" s="30"/>
    </row>
    <row r="386">
      <c r="A386" s="72" t="s">
        <v>230</v>
      </c>
      <c r="B386" s="72" t="s">
        <v>514</v>
      </c>
      <c r="C386" s="16" t="s">
        <v>243</v>
      </c>
      <c r="D386" s="115" t="s">
        <v>379</v>
      </c>
      <c r="E386" s="69">
        <v>2018.0</v>
      </c>
      <c r="F386" s="69">
        <v>2022.0</v>
      </c>
      <c r="G386" s="69">
        <v>0.0</v>
      </c>
      <c r="H386" s="69">
        <v>17.1</v>
      </c>
      <c r="I386" s="117">
        <v>1.0</v>
      </c>
      <c r="J386" s="69">
        <v>17.1</v>
      </c>
      <c r="K386" s="72"/>
      <c r="L386" s="72"/>
      <c r="M386" s="69">
        <v>9.0</v>
      </c>
      <c r="N386" s="69">
        <v>138.0</v>
      </c>
      <c r="O386" s="72"/>
      <c r="P386" s="140">
        <v>13526.0</v>
      </c>
      <c r="Q386" s="72" t="s">
        <v>234</v>
      </c>
      <c r="R386" s="115">
        <v>2020.0</v>
      </c>
      <c r="S386" s="136">
        <v>0.239</v>
      </c>
      <c r="T386" s="118">
        <f t="shared" si="1"/>
        <v>3232.714</v>
      </c>
      <c r="U386" s="24">
        <f t="shared" si="2"/>
        <v>189.0476023</v>
      </c>
      <c r="V386" s="26">
        <f>VLOOKUP(R386,CPI!$A$2:$E$67,5,0)</f>
        <v>1.17731472</v>
      </c>
      <c r="W386" s="27">
        <f t="shared" si="3"/>
        <v>3805.921778</v>
      </c>
      <c r="X386" s="27">
        <f t="shared" si="4"/>
        <v>222.568525</v>
      </c>
      <c r="Y386" s="72" t="s">
        <v>36</v>
      </c>
      <c r="Z386" s="79" t="s">
        <v>532</v>
      </c>
      <c r="AA386" s="72"/>
      <c r="AB386" s="72"/>
      <c r="AC386" s="72"/>
      <c r="AD386" s="72"/>
    </row>
    <row r="387">
      <c r="A387" s="123" t="s">
        <v>230</v>
      </c>
      <c r="B387" s="123" t="s">
        <v>461</v>
      </c>
      <c r="C387" s="36" t="s">
        <v>228</v>
      </c>
      <c r="D387" s="123" t="s">
        <v>477</v>
      </c>
      <c r="E387" s="75">
        <v>2018.0</v>
      </c>
      <c r="F387" s="75">
        <v>2022.0</v>
      </c>
      <c r="G387" s="75">
        <v>0.0</v>
      </c>
      <c r="H387" s="75">
        <v>21.8</v>
      </c>
      <c r="I387" s="124">
        <v>1.0</v>
      </c>
      <c r="J387" s="75">
        <v>21.8</v>
      </c>
      <c r="K387" s="125">
        <v>0.0</v>
      </c>
      <c r="L387" s="125">
        <v>0.0</v>
      </c>
      <c r="M387" s="75">
        <v>11.0</v>
      </c>
      <c r="N387" s="123"/>
      <c r="O387" s="123" t="s">
        <v>60</v>
      </c>
      <c r="P387" s="126">
        <v>16235.0</v>
      </c>
      <c r="Q387" s="123" t="s">
        <v>234</v>
      </c>
      <c r="R387" s="75">
        <v>2017.0</v>
      </c>
      <c r="S387" s="136">
        <v>0.239</v>
      </c>
      <c r="T387" s="128">
        <f t="shared" si="1"/>
        <v>3880.165</v>
      </c>
      <c r="U387" s="24">
        <f t="shared" si="2"/>
        <v>177.9892202</v>
      </c>
      <c r="V387" s="26">
        <f>VLOOKUP(R387,CPI!$A$2:$E$67,5,0)</f>
        <v>1.243072781</v>
      </c>
      <c r="W387" s="27">
        <f t="shared" si="3"/>
        <v>4823.327496</v>
      </c>
      <c r="X387" s="27">
        <f t="shared" si="4"/>
        <v>221.2535549</v>
      </c>
      <c r="Y387" s="123" t="s">
        <v>60</v>
      </c>
      <c r="Z387" s="129" t="s">
        <v>473</v>
      </c>
      <c r="AA387" s="29"/>
      <c r="AB387" s="30"/>
      <c r="AC387" s="30"/>
      <c r="AD387" s="30"/>
    </row>
    <row r="388">
      <c r="A388" s="72" t="s">
        <v>230</v>
      </c>
      <c r="B388" s="72" t="s">
        <v>813</v>
      </c>
      <c r="C388" s="72" t="s">
        <v>228</v>
      </c>
      <c r="D388" s="72" t="s">
        <v>228</v>
      </c>
      <c r="E388" s="69">
        <v>2021.0</v>
      </c>
      <c r="F388" s="72"/>
      <c r="G388" s="69">
        <v>0.0</v>
      </c>
      <c r="H388" s="69">
        <v>29.6</v>
      </c>
      <c r="I388" s="117">
        <v>1.0</v>
      </c>
      <c r="J388" s="69">
        <v>29.6</v>
      </c>
      <c r="K388" s="72"/>
      <c r="L388" s="72"/>
      <c r="M388" s="69">
        <v>25.0</v>
      </c>
      <c r="N388" s="69">
        <v>117.0</v>
      </c>
      <c r="O388" s="72"/>
      <c r="P388" s="140">
        <v>21993.0</v>
      </c>
      <c r="Q388" s="72" t="s">
        <v>234</v>
      </c>
      <c r="R388" s="115">
        <v>2021.0</v>
      </c>
      <c r="S388" s="136">
        <v>0.239</v>
      </c>
      <c r="T388" s="118">
        <f t="shared" si="1"/>
        <v>5256.327</v>
      </c>
      <c r="U388" s="24">
        <f t="shared" si="2"/>
        <v>177.5786149</v>
      </c>
      <c r="V388" s="26">
        <f>VLOOKUP(R388,CPI!$A$2:$E$67,5,0)</f>
        <v>1.124486105</v>
      </c>
      <c r="W388" s="27">
        <f t="shared" si="3"/>
        <v>5910.666677</v>
      </c>
      <c r="X388" s="27">
        <f t="shared" si="4"/>
        <v>199.684685</v>
      </c>
      <c r="Y388" s="72" t="s">
        <v>36</v>
      </c>
      <c r="Z388" s="79" t="s">
        <v>817</v>
      </c>
      <c r="AA388" s="72"/>
      <c r="AB388" s="72"/>
      <c r="AC388" s="72"/>
      <c r="AD388" s="72"/>
    </row>
    <row r="389">
      <c r="A389" s="72" t="s">
        <v>230</v>
      </c>
      <c r="B389" s="72" t="s">
        <v>461</v>
      </c>
      <c r="C389" s="72" t="s">
        <v>351</v>
      </c>
      <c r="D389" s="72" t="s">
        <v>351</v>
      </c>
      <c r="E389" s="69">
        <v>2017.0</v>
      </c>
      <c r="F389" s="69">
        <v>2023.0</v>
      </c>
      <c r="G389" s="69">
        <v>1.0</v>
      </c>
      <c r="H389" s="69">
        <v>62.5</v>
      </c>
      <c r="I389" s="117">
        <v>1.0</v>
      </c>
      <c r="J389" s="69">
        <v>62.5</v>
      </c>
      <c r="K389" s="72"/>
      <c r="L389" s="72"/>
      <c r="M389" s="69">
        <v>9.0</v>
      </c>
      <c r="N389" s="69">
        <v>184.0</v>
      </c>
      <c r="O389" s="72"/>
      <c r="P389" s="140">
        <v>48600.0</v>
      </c>
      <c r="Q389" s="72" t="s">
        <v>234</v>
      </c>
      <c r="R389" s="115">
        <v>2020.0</v>
      </c>
      <c r="S389" s="136">
        <v>0.239</v>
      </c>
      <c r="T389" s="118">
        <f t="shared" si="1"/>
        <v>11615.4</v>
      </c>
      <c r="U389" s="24">
        <f t="shared" si="2"/>
        <v>185.8464</v>
      </c>
      <c r="V389" s="26">
        <f>VLOOKUP(R389,CPI!$A$2:$E$67,5,0)</f>
        <v>1.17731472</v>
      </c>
      <c r="W389" s="27">
        <f t="shared" si="3"/>
        <v>13674.9814</v>
      </c>
      <c r="X389" s="27">
        <f t="shared" si="4"/>
        <v>218.7997024</v>
      </c>
      <c r="Y389" s="72" t="s">
        <v>36</v>
      </c>
      <c r="Z389" s="79" t="s">
        <v>479</v>
      </c>
      <c r="AA389" s="119" t="s">
        <v>480</v>
      </c>
    </row>
    <row r="390">
      <c r="A390" s="123" t="s">
        <v>230</v>
      </c>
      <c r="B390" s="123" t="s">
        <v>761</v>
      </c>
      <c r="C390" s="16" t="s">
        <v>80</v>
      </c>
      <c r="D390" s="123" t="s">
        <v>255</v>
      </c>
      <c r="E390" s="75">
        <v>2020.0</v>
      </c>
      <c r="F390" s="75">
        <v>2026.0</v>
      </c>
      <c r="G390" s="75">
        <v>0.0</v>
      </c>
      <c r="H390" s="75">
        <v>36.0</v>
      </c>
      <c r="I390" s="155"/>
      <c r="J390" s="123"/>
      <c r="K390" s="125" t="e">
        <v>#N/A</v>
      </c>
      <c r="L390" s="125" t="e">
        <v>#N/A</v>
      </c>
      <c r="M390" s="75">
        <v>32.0</v>
      </c>
      <c r="N390" s="123"/>
      <c r="O390" s="123" t="s">
        <v>60</v>
      </c>
      <c r="P390" s="126">
        <v>26350.0</v>
      </c>
      <c r="Q390" s="123" t="s">
        <v>234</v>
      </c>
      <c r="R390" s="75">
        <v>2019.0</v>
      </c>
      <c r="S390" s="136">
        <v>0.238</v>
      </c>
      <c r="T390" s="128">
        <f t="shared" si="1"/>
        <v>6271.3</v>
      </c>
      <c r="U390" s="24">
        <f t="shared" si="2"/>
        <v>174.2027778</v>
      </c>
      <c r="V390" s="26">
        <f>VLOOKUP(R390,CPI!$A$2:$E$67,5,0)</f>
        <v>1.191839066</v>
      </c>
      <c r="W390" s="27">
        <f t="shared" si="3"/>
        <v>7474.380332</v>
      </c>
      <c r="X390" s="27">
        <f t="shared" si="4"/>
        <v>207.6216759</v>
      </c>
      <c r="Y390" s="123" t="s">
        <v>42</v>
      </c>
      <c r="Z390" s="129" t="s">
        <v>767</v>
      </c>
      <c r="AA390" s="29"/>
      <c r="AB390" s="30"/>
      <c r="AC390" s="30"/>
      <c r="AD390" s="30"/>
    </row>
    <row r="391">
      <c r="A391" s="123" t="s">
        <v>230</v>
      </c>
      <c r="B391" s="123" t="s">
        <v>350</v>
      </c>
      <c r="C391" s="36" t="s">
        <v>121</v>
      </c>
      <c r="D391" s="123" t="s">
        <v>366</v>
      </c>
      <c r="E391" s="75">
        <v>2019.0</v>
      </c>
      <c r="F391" s="75">
        <v>2024.0</v>
      </c>
      <c r="G391" s="75">
        <v>0.0</v>
      </c>
      <c r="H391" s="75">
        <v>27.6</v>
      </c>
      <c r="I391" s="124">
        <v>1.0</v>
      </c>
      <c r="J391" s="75">
        <v>27.6</v>
      </c>
      <c r="K391" s="125">
        <v>0.0</v>
      </c>
      <c r="L391" s="125">
        <v>0.0</v>
      </c>
      <c r="M391" s="75">
        <v>17.0</v>
      </c>
      <c r="N391" s="123"/>
      <c r="O391" s="123" t="s">
        <v>60</v>
      </c>
      <c r="P391" s="126">
        <v>20014.0</v>
      </c>
      <c r="Q391" s="123" t="s">
        <v>234</v>
      </c>
      <c r="R391" s="75">
        <v>2019.0</v>
      </c>
      <c r="S391" s="136">
        <v>0.238</v>
      </c>
      <c r="T391" s="128">
        <f t="shared" si="1"/>
        <v>4763.332</v>
      </c>
      <c r="U391" s="24">
        <f t="shared" si="2"/>
        <v>172.5844928</v>
      </c>
      <c r="V391" s="26">
        <f>VLOOKUP(R391,CPI!$A$2:$E$67,5,0)</f>
        <v>1.191839066</v>
      </c>
      <c r="W391" s="27">
        <f t="shared" si="3"/>
        <v>5677.12516</v>
      </c>
      <c r="X391" s="27">
        <f t="shared" si="4"/>
        <v>205.6929406</v>
      </c>
      <c r="Y391" s="123" t="s">
        <v>60</v>
      </c>
      <c r="Z391" s="129" t="s">
        <v>365</v>
      </c>
      <c r="AA391" s="29"/>
      <c r="AB391" s="30"/>
      <c r="AC391" s="30"/>
      <c r="AD391" s="30"/>
    </row>
    <row r="392">
      <c r="A392" s="72" t="s">
        <v>230</v>
      </c>
      <c r="B392" s="72" t="s">
        <v>655</v>
      </c>
      <c r="C392" s="16" t="s">
        <v>110</v>
      </c>
      <c r="D392" s="115" t="s">
        <v>332</v>
      </c>
      <c r="E392" s="72"/>
      <c r="F392" s="69">
        <v>2020.0</v>
      </c>
      <c r="G392" s="69">
        <v>0.0</v>
      </c>
      <c r="H392" s="69">
        <v>24.98</v>
      </c>
      <c r="I392" s="117">
        <v>1.0</v>
      </c>
      <c r="J392" s="69">
        <v>24.98</v>
      </c>
      <c r="K392" s="72"/>
      <c r="L392" s="72"/>
      <c r="M392" s="69">
        <v>19.0</v>
      </c>
      <c r="N392" s="69">
        <v>117.0</v>
      </c>
      <c r="O392" s="72"/>
      <c r="P392" s="140">
        <v>17330.0</v>
      </c>
      <c r="Q392" s="72" t="s">
        <v>234</v>
      </c>
      <c r="R392" s="115">
        <v>2020.0</v>
      </c>
      <c r="S392" s="136">
        <v>0.239</v>
      </c>
      <c r="T392" s="118">
        <f t="shared" si="1"/>
        <v>4141.87</v>
      </c>
      <c r="U392" s="24">
        <f t="shared" si="2"/>
        <v>165.807446</v>
      </c>
      <c r="V392" s="26">
        <f>VLOOKUP(R392,CPI!$A$2:$E$67,5,0)</f>
        <v>1.17731472</v>
      </c>
      <c r="W392" s="27">
        <f t="shared" si="3"/>
        <v>4876.284519</v>
      </c>
      <c r="X392" s="27">
        <f t="shared" si="4"/>
        <v>195.2075468</v>
      </c>
      <c r="Y392" s="72" t="s">
        <v>36</v>
      </c>
      <c r="Z392" s="79" t="s">
        <v>660</v>
      </c>
      <c r="AA392" s="72"/>
      <c r="AB392" s="72"/>
      <c r="AC392" s="72"/>
      <c r="AD392" s="72"/>
    </row>
    <row r="393">
      <c r="A393" s="123" t="s">
        <v>230</v>
      </c>
      <c r="B393" s="123" t="s">
        <v>655</v>
      </c>
      <c r="C393" s="16" t="s">
        <v>87</v>
      </c>
      <c r="D393" s="123" t="s">
        <v>658</v>
      </c>
      <c r="E393" s="75">
        <v>2015.0</v>
      </c>
      <c r="F393" s="75">
        <v>2019.0</v>
      </c>
      <c r="G393" s="75">
        <v>0.0</v>
      </c>
      <c r="H393" s="75">
        <v>27.7</v>
      </c>
      <c r="I393" s="124">
        <v>1.0</v>
      </c>
      <c r="J393" s="75">
        <v>27.7</v>
      </c>
      <c r="K393" s="125">
        <v>0.0</v>
      </c>
      <c r="L393" s="125">
        <v>0.0</v>
      </c>
      <c r="M393" s="75">
        <v>23.0</v>
      </c>
      <c r="N393" s="142">
        <v>117.0</v>
      </c>
      <c r="O393" s="123" t="s">
        <v>60</v>
      </c>
      <c r="P393" s="126">
        <v>19343.0</v>
      </c>
      <c r="Q393" s="123" t="s">
        <v>234</v>
      </c>
      <c r="R393" s="75">
        <v>2015.0</v>
      </c>
      <c r="S393" s="136">
        <v>0.258</v>
      </c>
      <c r="T393" s="128">
        <f t="shared" si="1"/>
        <v>4990.494</v>
      </c>
      <c r="U393" s="24">
        <f t="shared" si="2"/>
        <v>180.1622383</v>
      </c>
      <c r="V393" s="26">
        <f>VLOOKUP(R393,CPI!$A$2:$E$67,5,0)</f>
        <v>1.285570233</v>
      </c>
      <c r="W393" s="27">
        <f t="shared" si="3"/>
        <v>6415.630536</v>
      </c>
      <c r="X393" s="27">
        <f t="shared" si="4"/>
        <v>231.6112107</v>
      </c>
      <c r="Y393" s="123" t="s">
        <v>42</v>
      </c>
      <c r="Z393" s="129" t="s">
        <v>659</v>
      </c>
      <c r="AA393" s="29"/>
      <c r="AB393" s="30"/>
      <c r="AC393" s="30"/>
      <c r="AD393" s="30"/>
    </row>
    <row r="394">
      <c r="A394" s="123" t="s">
        <v>230</v>
      </c>
      <c r="B394" s="123" t="s">
        <v>504</v>
      </c>
      <c r="C394" s="16" t="s">
        <v>87</v>
      </c>
      <c r="D394" s="123" t="s">
        <v>331</v>
      </c>
      <c r="E394" s="75">
        <v>2018.0</v>
      </c>
      <c r="F394" s="75">
        <v>2023.0</v>
      </c>
      <c r="G394" s="75">
        <v>0.0</v>
      </c>
      <c r="H394" s="75">
        <v>43.135</v>
      </c>
      <c r="I394" s="124">
        <v>1.0</v>
      </c>
      <c r="J394" s="75">
        <v>43.135</v>
      </c>
      <c r="K394" s="125">
        <v>0.0</v>
      </c>
      <c r="L394" s="125">
        <v>0.0</v>
      </c>
      <c r="M394" s="75">
        <v>29.0</v>
      </c>
      <c r="N394" s="123"/>
      <c r="O394" s="123" t="s">
        <v>42</v>
      </c>
      <c r="P394" s="126">
        <v>31545.0</v>
      </c>
      <c r="Q394" s="123" t="s">
        <v>234</v>
      </c>
      <c r="R394" s="75">
        <v>2017.0</v>
      </c>
      <c r="S394" s="136">
        <v>0.239</v>
      </c>
      <c r="T394" s="128">
        <f t="shared" si="1"/>
        <v>7539.255</v>
      </c>
      <c r="U394" s="24">
        <f t="shared" si="2"/>
        <v>174.782775</v>
      </c>
      <c r="V394" s="26">
        <f>VLOOKUP(R394,CPI!$A$2:$E$67,5,0)</f>
        <v>1.243072781</v>
      </c>
      <c r="W394" s="27">
        <f t="shared" si="3"/>
        <v>9371.842677</v>
      </c>
      <c r="X394" s="27">
        <f t="shared" si="4"/>
        <v>217.2677101</v>
      </c>
      <c r="Y394" s="123" t="s">
        <v>42</v>
      </c>
      <c r="Z394" s="129" t="s">
        <v>510</v>
      </c>
      <c r="AA394" s="29"/>
      <c r="AB394" s="30"/>
      <c r="AC394" s="30"/>
      <c r="AD394" s="30"/>
    </row>
    <row r="395">
      <c r="A395" s="72" t="s">
        <v>230</v>
      </c>
      <c r="B395" s="72" t="s">
        <v>555</v>
      </c>
      <c r="C395" s="16" t="s">
        <v>84</v>
      </c>
      <c r="D395" s="115" t="s">
        <v>319</v>
      </c>
      <c r="E395" s="69">
        <v>2020.0</v>
      </c>
      <c r="F395" s="72"/>
      <c r="G395" s="69">
        <v>0.0</v>
      </c>
      <c r="H395" s="69">
        <v>40.22</v>
      </c>
      <c r="I395" s="117">
        <v>1.0</v>
      </c>
      <c r="J395" s="69">
        <v>40.22</v>
      </c>
      <c r="K395" s="72"/>
      <c r="L395" s="72"/>
      <c r="M395" s="69">
        <v>33.0</v>
      </c>
      <c r="N395" s="69">
        <v>117.0</v>
      </c>
      <c r="O395" s="72"/>
      <c r="P395" s="140">
        <v>30638.0</v>
      </c>
      <c r="Q395" s="72" t="s">
        <v>234</v>
      </c>
      <c r="R395" s="115">
        <v>2020.0</v>
      </c>
      <c r="S395" s="136">
        <v>0.239</v>
      </c>
      <c r="T395" s="118">
        <f t="shared" si="1"/>
        <v>7322.482</v>
      </c>
      <c r="U395" s="24">
        <f t="shared" si="2"/>
        <v>182.0607161</v>
      </c>
      <c r="V395" s="26">
        <f>VLOOKUP(R395,CPI!$A$2:$E$67,5,0)</f>
        <v>1.17731472</v>
      </c>
      <c r="W395" s="27">
        <f t="shared" si="3"/>
        <v>8620.865846</v>
      </c>
      <c r="X395" s="27">
        <f t="shared" si="4"/>
        <v>214.342761</v>
      </c>
      <c r="Y395" s="72" t="s">
        <v>36</v>
      </c>
      <c r="Z395" s="79" t="s">
        <v>566</v>
      </c>
      <c r="AA395" s="72"/>
      <c r="AB395" s="72"/>
      <c r="AC395" s="72"/>
      <c r="AD395" s="72"/>
    </row>
    <row r="396">
      <c r="A396" s="72" t="s">
        <v>230</v>
      </c>
      <c r="B396" s="72" t="s">
        <v>514</v>
      </c>
      <c r="C396" s="115" t="s">
        <v>87</v>
      </c>
      <c r="D396" s="115" t="s">
        <v>331</v>
      </c>
      <c r="E396" s="69">
        <v>2017.0</v>
      </c>
      <c r="F396" s="69">
        <v>2021.0</v>
      </c>
      <c r="G396" s="69">
        <v>0.0</v>
      </c>
      <c r="H396" s="69">
        <v>52.9</v>
      </c>
      <c r="I396" s="117">
        <v>1.0</v>
      </c>
      <c r="J396" s="69">
        <v>52.9</v>
      </c>
      <c r="K396" s="72"/>
      <c r="L396" s="72"/>
      <c r="M396" s="69">
        <v>35.0</v>
      </c>
      <c r="N396" s="69">
        <v>117.0</v>
      </c>
      <c r="O396" s="72"/>
      <c r="P396" s="140">
        <v>42062.0</v>
      </c>
      <c r="Q396" s="72" t="s">
        <v>234</v>
      </c>
      <c r="R396" s="115">
        <v>2020.0</v>
      </c>
      <c r="S396" s="136">
        <v>0.239</v>
      </c>
      <c r="T396" s="118">
        <f t="shared" si="1"/>
        <v>10052.818</v>
      </c>
      <c r="U396" s="24">
        <f t="shared" si="2"/>
        <v>190.0343667</v>
      </c>
      <c r="V396" s="26">
        <f>VLOOKUP(R396,CPI!$A$2:$E$67,5,0)</f>
        <v>1.17731472</v>
      </c>
      <c r="W396" s="27">
        <f t="shared" si="3"/>
        <v>11835.33061</v>
      </c>
      <c r="X396" s="27">
        <f t="shared" si="4"/>
        <v>223.7302573</v>
      </c>
      <c r="Y396" s="72" t="s">
        <v>36</v>
      </c>
      <c r="Z396" s="79" t="s">
        <v>523</v>
      </c>
      <c r="AA396" s="72"/>
      <c r="AB396" s="72"/>
      <c r="AC396" s="72"/>
      <c r="AD396" s="72"/>
    </row>
    <row r="397">
      <c r="A397" s="123" t="s">
        <v>230</v>
      </c>
      <c r="B397" s="123" t="s">
        <v>761</v>
      </c>
      <c r="C397" s="16" t="s">
        <v>54</v>
      </c>
      <c r="D397" s="123" t="s">
        <v>770</v>
      </c>
      <c r="E397" s="123"/>
      <c r="F397" s="123"/>
      <c r="G397" s="75">
        <v>0.0</v>
      </c>
      <c r="H397" s="75">
        <v>14.3</v>
      </c>
      <c r="I397" s="155"/>
      <c r="J397" s="123"/>
      <c r="K397" s="125" t="e">
        <v>#N/A</v>
      </c>
      <c r="L397" s="125" t="e">
        <v>#N/A</v>
      </c>
      <c r="M397" s="75">
        <v>8.0</v>
      </c>
      <c r="N397" s="123"/>
      <c r="O397" s="123" t="s">
        <v>60</v>
      </c>
      <c r="P397" s="126">
        <v>10170.0</v>
      </c>
      <c r="Q397" s="123" t="s">
        <v>234</v>
      </c>
      <c r="R397" s="75">
        <v>2019.0</v>
      </c>
      <c r="S397" s="136">
        <v>0.238</v>
      </c>
      <c r="T397" s="128">
        <f t="shared" si="1"/>
        <v>2420.46</v>
      </c>
      <c r="U397" s="24">
        <f t="shared" si="2"/>
        <v>169.2629371</v>
      </c>
      <c r="V397" s="26">
        <f>VLOOKUP(R397,CPI!$A$2:$E$67,5,0)</f>
        <v>1.191839066</v>
      </c>
      <c r="W397" s="27">
        <f t="shared" si="3"/>
        <v>2884.798785</v>
      </c>
      <c r="X397" s="27">
        <f t="shared" si="4"/>
        <v>201.7341808</v>
      </c>
      <c r="Y397" s="123" t="s">
        <v>42</v>
      </c>
      <c r="Z397" s="129" t="s">
        <v>767</v>
      </c>
      <c r="AA397" s="29"/>
      <c r="AB397" s="30"/>
      <c r="AC397" s="30"/>
      <c r="AD397" s="30"/>
    </row>
    <row r="398">
      <c r="A398" s="72" t="s">
        <v>230</v>
      </c>
      <c r="B398" s="72" t="s">
        <v>586</v>
      </c>
      <c r="C398" s="115" t="s">
        <v>57</v>
      </c>
      <c r="D398" s="72" t="s">
        <v>592</v>
      </c>
      <c r="E398" s="69">
        <v>2020.0</v>
      </c>
      <c r="F398" s="72"/>
      <c r="G398" s="69">
        <v>0.0</v>
      </c>
      <c r="H398" s="69">
        <v>7.594</v>
      </c>
      <c r="I398" s="117">
        <v>1.0</v>
      </c>
      <c r="J398" s="69">
        <v>7.594</v>
      </c>
      <c r="K398" s="72"/>
      <c r="L398" s="72"/>
      <c r="M398" s="69">
        <v>7.0</v>
      </c>
      <c r="N398" s="69">
        <v>117.0</v>
      </c>
      <c r="O398" s="72"/>
      <c r="P398" s="140">
        <v>8940.0</v>
      </c>
      <c r="Q398" s="72" t="s">
        <v>234</v>
      </c>
      <c r="R398" s="115">
        <v>2020.0</v>
      </c>
      <c r="S398" s="136">
        <v>0.239</v>
      </c>
      <c r="T398" s="118">
        <f t="shared" si="1"/>
        <v>2136.66</v>
      </c>
      <c r="U398" s="24">
        <f t="shared" si="2"/>
        <v>281.3616013</v>
      </c>
      <c r="V398" s="26">
        <f>VLOOKUP(R398,CPI!$A$2:$E$67,5,0)</f>
        <v>1.17731472</v>
      </c>
      <c r="W398" s="27">
        <f t="shared" si="3"/>
        <v>2515.52127</v>
      </c>
      <c r="X398" s="27">
        <f t="shared" si="4"/>
        <v>331.2511548</v>
      </c>
      <c r="Y398" s="72" t="s">
        <v>36</v>
      </c>
      <c r="Z398" s="79" t="s">
        <v>593</v>
      </c>
      <c r="AA398" s="72"/>
      <c r="AB398" s="72"/>
      <c r="AC398" s="72"/>
      <c r="AD398" s="72"/>
    </row>
    <row r="399">
      <c r="A399" s="123" t="s">
        <v>230</v>
      </c>
      <c r="B399" s="123" t="s">
        <v>387</v>
      </c>
      <c r="C399" s="16" t="s">
        <v>239</v>
      </c>
      <c r="D399" s="123" t="s">
        <v>239</v>
      </c>
      <c r="E399" s="75">
        <v>2014.0</v>
      </c>
      <c r="F399" s="75">
        <v>2020.0</v>
      </c>
      <c r="G399" s="75">
        <v>0.0</v>
      </c>
      <c r="H399" s="75">
        <v>44.09</v>
      </c>
      <c r="I399" s="124">
        <v>0.811521887</v>
      </c>
      <c r="J399" s="75">
        <v>35.78</v>
      </c>
      <c r="K399" s="125">
        <v>7.06</v>
      </c>
      <c r="L399" s="125">
        <v>1.3171</v>
      </c>
      <c r="M399" s="75">
        <v>27.0</v>
      </c>
      <c r="N399" s="123"/>
      <c r="O399" s="123" t="s">
        <v>60</v>
      </c>
      <c r="P399" s="126">
        <v>31098.0</v>
      </c>
      <c r="Q399" s="123" t="s">
        <v>234</v>
      </c>
      <c r="R399" s="75">
        <v>2018.0</v>
      </c>
      <c r="S399" s="136">
        <v>0.237</v>
      </c>
      <c r="T399" s="128">
        <f t="shared" si="1"/>
        <v>7370.226</v>
      </c>
      <c r="U399" s="24">
        <f t="shared" si="2"/>
        <v>167.1632116</v>
      </c>
      <c r="V399" s="26">
        <f>VLOOKUP(R399,CPI!$A$2:$E$67,5,0)</f>
        <v>1.21343491</v>
      </c>
      <c r="W399" s="27">
        <f t="shared" si="3"/>
        <v>8943.289525</v>
      </c>
      <c r="X399" s="27">
        <f t="shared" si="4"/>
        <v>202.8416767</v>
      </c>
      <c r="Y399" s="123" t="s">
        <v>60</v>
      </c>
      <c r="Z399" s="129" t="s">
        <v>391</v>
      </c>
      <c r="AA399" s="29"/>
      <c r="AB399" s="30"/>
      <c r="AC399" s="30"/>
      <c r="AD399" s="30"/>
    </row>
    <row r="400">
      <c r="A400" s="72" t="s">
        <v>230</v>
      </c>
      <c r="B400" s="72" t="s">
        <v>609</v>
      </c>
      <c r="C400" s="72" t="s">
        <v>80</v>
      </c>
      <c r="D400" s="72" t="s">
        <v>80</v>
      </c>
      <c r="E400" s="69">
        <v>2019.0</v>
      </c>
      <c r="F400" s="69">
        <v>2023.0</v>
      </c>
      <c r="G400" s="69">
        <v>0.0</v>
      </c>
      <c r="H400" s="69">
        <v>32.365</v>
      </c>
      <c r="I400" s="117">
        <v>1.0</v>
      </c>
      <c r="J400" s="69">
        <v>32.365</v>
      </c>
      <c r="K400" s="72"/>
      <c r="L400" s="72"/>
      <c r="M400" s="69">
        <v>19.0</v>
      </c>
      <c r="N400" s="69">
        <v>117.0</v>
      </c>
      <c r="O400" s="72"/>
      <c r="P400" s="140">
        <v>32870.0</v>
      </c>
      <c r="Q400" s="72" t="s">
        <v>234</v>
      </c>
      <c r="R400" s="115">
        <v>2021.0</v>
      </c>
      <c r="S400" s="136">
        <v>0.239</v>
      </c>
      <c r="T400" s="118">
        <f t="shared" si="1"/>
        <v>7855.93</v>
      </c>
      <c r="U400" s="24">
        <f t="shared" si="2"/>
        <v>242.7291828</v>
      </c>
      <c r="V400" s="26">
        <f>VLOOKUP(R400,CPI!$A$2:$E$67,5,0)</f>
        <v>1.124486105</v>
      </c>
      <c r="W400" s="27">
        <f t="shared" si="3"/>
        <v>8833.884131</v>
      </c>
      <c r="X400" s="27">
        <f t="shared" si="4"/>
        <v>272.9455934</v>
      </c>
      <c r="Y400" s="72" t="s">
        <v>36</v>
      </c>
      <c r="Z400" s="79" t="s">
        <v>628</v>
      </c>
      <c r="AA400" s="72"/>
      <c r="AB400" s="72"/>
      <c r="AC400" s="72"/>
      <c r="AD400" s="72"/>
    </row>
    <row r="401">
      <c r="A401" s="72" t="s">
        <v>230</v>
      </c>
      <c r="B401" s="72" t="s">
        <v>555</v>
      </c>
      <c r="C401" s="115" t="s">
        <v>87</v>
      </c>
      <c r="D401" s="115" t="s">
        <v>331</v>
      </c>
      <c r="E401" s="69">
        <v>2014.0</v>
      </c>
      <c r="F401" s="69">
        <v>2019.0</v>
      </c>
      <c r="G401" s="69">
        <v>0.0</v>
      </c>
      <c r="H401" s="69">
        <v>37.2</v>
      </c>
      <c r="I401" s="117">
        <v>0.89</v>
      </c>
      <c r="J401" s="69">
        <v>32.97</v>
      </c>
      <c r="K401" s="72"/>
      <c r="L401" s="72"/>
      <c r="M401" s="69">
        <v>33.0</v>
      </c>
      <c r="N401" s="69">
        <v>117.0</v>
      </c>
      <c r="O401" s="72"/>
      <c r="P401" s="140">
        <v>26102.0</v>
      </c>
      <c r="Q401" s="72" t="s">
        <v>234</v>
      </c>
      <c r="R401" s="115">
        <v>2017.0</v>
      </c>
      <c r="S401" s="136">
        <v>0.239</v>
      </c>
      <c r="T401" s="118">
        <f t="shared" si="1"/>
        <v>6238.378</v>
      </c>
      <c r="U401" s="24">
        <f t="shared" si="2"/>
        <v>167.6983333</v>
      </c>
      <c r="V401" s="26">
        <f>VLOOKUP(R401,CPI!$A$2:$E$67,5,0)</f>
        <v>1.243072781</v>
      </c>
      <c r="W401" s="27">
        <f t="shared" si="3"/>
        <v>7754.757887</v>
      </c>
      <c r="X401" s="27">
        <f t="shared" si="4"/>
        <v>208.4612335</v>
      </c>
      <c r="Y401" s="72" t="s">
        <v>36</v>
      </c>
      <c r="Z401" s="79" t="s">
        <v>558</v>
      </c>
      <c r="AA401" s="72"/>
      <c r="AB401" s="72"/>
      <c r="AC401" s="72"/>
      <c r="AD401" s="72"/>
    </row>
    <row r="402">
      <c r="A402" s="123" t="s">
        <v>230</v>
      </c>
      <c r="B402" s="123" t="s">
        <v>609</v>
      </c>
      <c r="C402" s="115" t="s">
        <v>611</v>
      </c>
      <c r="D402" s="123" t="s">
        <v>620</v>
      </c>
      <c r="E402" s="75">
        <v>2017.0</v>
      </c>
      <c r="F402" s="75">
        <v>2020.0</v>
      </c>
      <c r="G402" s="75">
        <v>0.0</v>
      </c>
      <c r="H402" s="75">
        <v>2.5</v>
      </c>
      <c r="I402" s="124">
        <v>1.0</v>
      </c>
      <c r="J402" s="75">
        <v>2.5</v>
      </c>
      <c r="K402" s="125">
        <v>0.0</v>
      </c>
      <c r="L402" s="125">
        <v>0.0</v>
      </c>
      <c r="M402" s="75">
        <v>2.0</v>
      </c>
      <c r="N402" s="123"/>
      <c r="O402" s="123" t="s">
        <v>60</v>
      </c>
      <c r="P402" s="126">
        <v>1711.0</v>
      </c>
      <c r="Q402" s="123" t="s">
        <v>234</v>
      </c>
      <c r="R402" s="75">
        <v>2016.0</v>
      </c>
      <c r="S402" s="136">
        <v>0.251</v>
      </c>
      <c r="T402" s="128">
        <f t="shared" si="1"/>
        <v>429.461</v>
      </c>
      <c r="U402" s="24">
        <f t="shared" si="2"/>
        <v>171.7844</v>
      </c>
      <c r="V402" s="26">
        <f>VLOOKUP(R402,CPI!$A$2:$E$67,5,0)</f>
        <v>1.269554638</v>
      </c>
      <c r="W402" s="27">
        <f t="shared" si="3"/>
        <v>545.2242044</v>
      </c>
      <c r="X402" s="27">
        <f t="shared" si="4"/>
        <v>218.0896818</v>
      </c>
      <c r="Y402" s="123" t="s">
        <v>60</v>
      </c>
      <c r="Z402" s="129" t="s">
        <v>621</v>
      </c>
      <c r="AA402" s="29"/>
      <c r="AB402" s="30"/>
      <c r="AC402" s="30"/>
      <c r="AD402" s="30"/>
    </row>
    <row r="403">
      <c r="A403" s="123" t="s">
        <v>230</v>
      </c>
      <c r="B403" s="123" t="s">
        <v>387</v>
      </c>
      <c r="C403" s="36" t="s">
        <v>84</v>
      </c>
      <c r="D403" s="123" t="s">
        <v>396</v>
      </c>
      <c r="E403" s="75">
        <v>2019.0</v>
      </c>
      <c r="F403" s="75">
        <v>2024.0</v>
      </c>
      <c r="G403" s="75">
        <v>0.0</v>
      </c>
      <c r="H403" s="75">
        <v>28.96</v>
      </c>
      <c r="I403" s="124">
        <v>0.6256906077</v>
      </c>
      <c r="J403" s="75">
        <v>18.12</v>
      </c>
      <c r="K403" s="125">
        <v>0.0</v>
      </c>
      <c r="L403" s="125">
        <v>0.0</v>
      </c>
      <c r="M403" s="75">
        <v>19.0</v>
      </c>
      <c r="N403" s="123"/>
      <c r="O403" s="123" t="s">
        <v>60</v>
      </c>
      <c r="P403" s="126">
        <v>20334.0</v>
      </c>
      <c r="Q403" s="123" t="s">
        <v>234</v>
      </c>
      <c r="R403" s="75">
        <v>2018.0</v>
      </c>
      <c r="S403" s="136">
        <v>0.237</v>
      </c>
      <c r="T403" s="128">
        <f t="shared" si="1"/>
        <v>4819.158</v>
      </c>
      <c r="U403" s="24">
        <f t="shared" si="2"/>
        <v>166.4073895</v>
      </c>
      <c r="V403" s="26">
        <f>VLOOKUP(R403,CPI!$A$2:$E$67,5,0)</f>
        <v>1.21343491</v>
      </c>
      <c r="W403" s="27">
        <f t="shared" si="3"/>
        <v>5847.734555</v>
      </c>
      <c r="X403" s="27">
        <f t="shared" si="4"/>
        <v>201.9245357</v>
      </c>
      <c r="Y403" s="123" t="s">
        <v>60</v>
      </c>
      <c r="Z403" s="129" t="s">
        <v>391</v>
      </c>
      <c r="AA403" s="29"/>
      <c r="AB403" s="30"/>
      <c r="AC403" s="30"/>
      <c r="AD403" s="30"/>
    </row>
    <row r="404">
      <c r="A404" s="123" t="s">
        <v>230</v>
      </c>
      <c r="B404" s="123" t="s">
        <v>449</v>
      </c>
      <c r="C404" s="36" t="s">
        <v>80</v>
      </c>
      <c r="D404" s="123" t="s">
        <v>80</v>
      </c>
      <c r="E404" s="75">
        <v>2015.0</v>
      </c>
      <c r="F404" s="75">
        <v>2019.0</v>
      </c>
      <c r="G404" s="75">
        <v>0.0</v>
      </c>
      <c r="H404" s="75">
        <v>40.5</v>
      </c>
      <c r="I404" s="124">
        <v>0.7901234568</v>
      </c>
      <c r="J404" s="75">
        <v>32.0</v>
      </c>
      <c r="K404" s="125">
        <v>0.455</v>
      </c>
      <c r="L404" s="125">
        <v>8.05</v>
      </c>
      <c r="M404" s="75">
        <v>20.0</v>
      </c>
      <c r="N404" s="123"/>
      <c r="O404" s="123" t="s">
        <v>60</v>
      </c>
      <c r="P404" s="126">
        <v>27716.0</v>
      </c>
      <c r="Q404" s="123" t="s">
        <v>234</v>
      </c>
      <c r="R404" s="75">
        <v>2015.0</v>
      </c>
      <c r="S404" s="136">
        <v>0.258</v>
      </c>
      <c r="T404" s="128">
        <f t="shared" si="1"/>
        <v>7150.728</v>
      </c>
      <c r="U404" s="24">
        <f t="shared" si="2"/>
        <v>176.5611852</v>
      </c>
      <c r="V404" s="26">
        <f>VLOOKUP(R404,CPI!$A$2:$E$67,5,0)</f>
        <v>1.285570233</v>
      </c>
      <c r="W404" s="27">
        <f t="shared" si="3"/>
        <v>9192.763064</v>
      </c>
      <c r="X404" s="27">
        <f t="shared" si="4"/>
        <v>226.981804</v>
      </c>
      <c r="Y404" s="123" t="s">
        <v>60</v>
      </c>
      <c r="Z404" s="129" t="s">
        <v>451</v>
      </c>
      <c r="AA404" s="29"/>
      <c r="AB404" s="30"/>
      <c r="AC404" s="30"/>
      <c r="AD404" s="30"/>
    </row>
    <row r="405">
      <c r="A405" s="123" t="s">
        <v>230</v>
      </c>
      <c r="B405" s="123" t="s">
        <v>704</v>
      </c>
      <c r="C405" s="123" t="s">
        <v>738</v>
      </c>
      <c r="D405" s="123" t="s">
        <v>738</v>
      </c>
      <c r="E405" s="75">
        <v>2019.0</v>
      </c>
      <c r="F405" s="75">
        <v>2025.0</v>
      </c>
      <c r="G405" s="75">
        <v>0.0</v>
      </c>
      <c r="H405" s="75">
        <v>68.6</v>
      </c>
      <c r="I405" s="124">
        <v>0.83</v>
      </c>
      <c r="J405" s="75">
        <v>56.7</v>
      </c>
      <c r="K405" s="125">
        <v>0.0</v>
      </c>
      <c r="L405" s="125">
        <v>0.0</v>
      </c>
      <c r="M405" s="75">
        <v>9.0</v>
      </c>
      <c r="N405" s="123"/>
      <c r="O405" s="123" t="s">
        <v>60</v>
      </c>
      <c r="P405" s="126">
        <v>48054.0</v>
      </c>
      <c r="Q405" s="123" t="s">
        <v>234</v>
      </c>
      <c r="R405" s="75">
        <v>2018.0</v>
      </c>
      <c r="S405" s="136">
        <v>0.237</v>
      </c>
      <c r="T405" s="128">
        <f t="shared" si="1"/>
        <v>11388.798</v>
      </c>
      <c r="U405" s="24">
        <f t="shared" si="2"/>
        <v>166.0174636</v>
      </c>
      <c r="V405" s="26">
        <f>VLOOKUP(R405,CPI!$A$2:$E$67,5,0)</f>
        <v>1.21343491</v>
      </c>
      <c r="W405" s="27">
        <f t="shared" si="3"/>
        <v>13819.56508</v>
      </c>
      <c r="X405" s="27">
        <f t="shared" si="4"/>
        <v>201.451386</v>
      </c>
      <c r="Y405" s="123" t="s">
        <v>60</v>
      </c>
      <c r="Z405" s="129" t="s">
        <v>739</v>
      </c>
      <c r="AA405" s="29"/>
      <c r="AB405" s="30"/>
      <c r="AC405" s="30"/>
      <c r="AD405" s="30"/>
    </row>
    <row r="406">
      <c r="A406" s="72" t="s">
        <v>230</v>
      </c>
      <c r="B406" s="72" t="s">
        <v>958</v>
      </c>
      <c r="C406" s="16" t="s">
        <v>287</v>
      </c>
      <c r="D406" s="115" t="s">
        <v>967</v>
      </c>
      <c r="E406" s="69">
        <v>2019.0</v>
      </c>
      <c r="F406" s="69">
        <v>2024.0</v>
      </c>
      <c r="G406" s="69">
        <v>0.0</v>
      </c>
      <c r="H406" s="69">
        <v>17.034</v>
      </c>
      <c r="I406" s="117">
        <v>1.0</v>
      </c>
      <c r="J406" s="69">
        <v>17.034</v>
      </c>
      <c r="K406" s="72"/>
      <c r="L406" s="72"/>
      <c r="M406" s="69">
        <v>12.0</v>
      </c>
      <c r="N406" s="69">
        <v>117.0</v>
      </c>
      <c r="O406" s="72"/>
      <c r="P406" s="140">
        <v>11985.0</v>
      </c>
      <c r="Q406" s="72" t="s">
        <v>234</v>
      </c>
      <c r="R406" s="115">
        <v>2021.0</v>
      </c>
      <c r="S406" s="136">
        <v>0.239</v>
      </c>
      <c r="T406" s="118">
        <f t="shared" si="1"/>
        <v>2864.415</v>
      </c>
      <c r="U406" s="24">
        <f t="shared" si="2"/>
        <v>168.1586826</v>
      </c>
      <c r="V406" s="26">
        <f>VLOOKUP(R406,CPI!$A$2:$E$67,5,0)</f>
        <v>1.124486105</v>
      </c>
      <c r="W406" s="27">
        <f t="shared" si="3"/>
        <v>3220.994868</v>
      </c>
      <c r="X406" s="27">
        <f t="shared" si="4"/>
        <v>189.0921021</v>
      </c>
      <c r="Y406" s="72" t="s">
        <v>36</v>
      </c>
      <c r="Z406" s="79" t="s">
        <v>968</v>
      </c>
      <c r="AA406" s="72"/>
      <c r="AB406" s="72"/>
      <c r="AC406" s="72"/>
      <c r="AD406" s="72"/>
    </row>
    <row r="407">
      <c r="A407" s="123" t="s">
        <v>230</v>
      </c>
      <c r="B407" s="123" t="s">
        <v>231</v>
      </c>
      <c r="C407" s="36" t="s">
        <v>239</v>
      </c>
      <c r="D407" s="123" t="s">
        <v>240</v>
      </c>
      <c r="E407" s="75">
        <v>2003.0</v>
      </c>
      <c r="F407" s="75">
        <v>2008.0</v>
      </c>
      <c r="G407" s="75">
        <v>0.0</v>
      </c>
      <c r="H407" s="75">
        <v>24.64</v>
      </c>
      <c r="I407" s="124">
        <v>1.0</v>
      </c>
      <c r="J407" s="75">
        <v>24.64</v>
      </c>
      <c r="K407" s="125">
        <v>0.0</v>
      </c>
      <c r="L407" s="125">
        <v>0.0</v>
      </c>
      <c r="M407" s="75">
        <v>22.0</v>
      </c>
      <c r="N407" s="123"/>
      <c r="O407" s="123" t="s">
        <v>42</v>
      </c>
      <c r="P407" s="126">
        <v>13700.0</v>
      </c>
      <c r="Q407" s="123" t="s">
        <v>234</v>
      </c>
      <c r="R407" s="75">
        <v>2005.0</v>
      </c>
      <c r="S407" s="136">
        <v>0.3519</v>
      </c>
      <c r="T407" s="128">
        <f t="shared" si="1"/>
        <v>4821.03</v>
      </c>
      <c r="U407" s="24">
        <f t="shared" si="2"/>
        <v>195.6586851</v>
      </c>
      <c r="V407" s="26">
        <f>VLOOKUP(R407,CPI!$A$2:$E$67,5,0)</f>
        <v>1.560174091</v>
      </c>
      <c r="W407" s="27">
        <f t="shared" si="3"/>
        <v>7521.646099</v>
      </c>
      <c r="X407" s="27">
        <f t="shared" si="4"/>
        <v>305.2616111</v>
      </c>
      <c r="Y407" s="123" t="s">
        <v>42</v>
      </c>
      <c r="Z407" s="129" t="s">
        <v>241</v>
      </c>
      <c r="AA407" s="29"/>
      <c r="AB407" s="30"/>
      <c r="AC407" s="30"/>
      <c r="AD407" s="30"/>
    </row>
    <row r="408">
      <c r="A408" s="123" t="s">
        <v>230</v>
      </c>
      <c r="B408" s="123" t="s">
        <v>323</v>
      </c>
      <c r="C408" s="36" t="s">
        <v>84</v>
      </c>
      <c r="D408" s="123" t="s">
        <v>319</v>
      </c>
      <c r="E408" s="75">
        <v>2014.0</v>
      </c>
      <c r="F408" s="152">
        <v>2021.0</v>
      </c>
      <c r="G408" s="75">
        <v>0.0</v>
      </c>
      <c r="H408" s="75">
        <v>22.7</v>
      </c>
      <c r="I408" s="124">
        <f>J408/H408</f>
        <v>1</v>
      </c>
      <c r="J408" s="75">
        <f>H408</f>
        <v>22.7</v>
      </c>
      <c r="K408" s="125">
        <v>0.0</v>
      </c>
      <c r="L408" s="125">
        <v>0.0</v>
      </c>
      <c r="M408" s="75">
        <v>18.0</v>
      </c>
      <c r="N408" s="142">
        <v>117.0</v>
      </c>
      <c r="O408" s="123" t="s">
        <v>60</v>
      </c>
      <c r="P408" s="126">
        <v>16393.0</v>
      </c>
      <c r="Q408" s="123" t="s">
        <v>234</v>
      </c>
      <c r="R408" s="75">
        <v>2012.0</v>
      </c>
      <c r="S408" s="136">
        <v>0.2808</v>
      </c>
      <c r="T408" s="128">
        <f t="shared" si="1"/>
        <v>4603.1544</v>
      </c>
      <c r="U408" s="24">
        <f t="shared" si="2"/>
        <v>202.7821322</v>
      </c>
      <c r="V408" s="26">
        <f>VLOOKUP(R408,CPI!$A$2:$E$67,5,0)</f>
        <v>1.327133984</v>
      </c>
      <c r="W408" s="27">
        <f t="shared" si="3"/>
        <v>6109.002639</v>
      </c>
      <c r="X408" s="27">
        <f t="shared" si="4"/>
        <v>269.119059</v>
      </c>
      <c r="Y408" s="123" t="s">
        <v>60</v>
      </c>
      <c r="Z408" s="129" t="s">
        <v>330</v>
      </c>
      <c r="AA408" s="29"/>
      <c r="AB408" s="30"/>
      <c r="AC408" s="30"/>
      <c r="AD408" s="30"/>
    </row>
    <row r="409">
      <c r="A409" s="123" t="s">
        <v>230</v>
      </c>
      <c r="B409" s="123" t="s">
        <v>872</v>
      </c>
      <c r="C409" s="36" t="s">
        <v>228</v>
      </c>
      <c r="D409" s="123" t="s">
        <v>882</v>
      </c>
      <c r="E409" s="75">
        <v>2016.0</v>
      </c>
      <c r="F409" s="75">
        <v>2020.0</v>
      </c>
      <c r="G409" s="75">
        <v>0.0</v>
      </c>
      <c r="H409" s="75">
        <v>14.2</v>
      </c>
      <c r="I409" s="124">
        <v>1.0</v>
      </c>
      <c r="J409" s="75">
        <v>14.2</v>
      </c>
      <c r="K409" s="125">
        <v>0.0</v>
      </c>
      <c r="L409" s="125">
        <v>0.0</v>
      </c>
      <c r="M409" s="75">
        <v>7.0</v>
      </c>
      <c r="N409" s="123"/>
      <c r="O409" s="123" t="s">
        <v>60</v>
      </c>
      <c r="P409" s="126">
        <v>9600.0</v>
      </c>
      <c r="Q409" s="123" t="s">
        <v>234</v>
      </c>
      <c r="R409" s="75">
        <v>2015.0</v>
      </c>
      <c r="S409" s="136">
        <v>0.258</v>
      </c>
      <c r="T409" s="128">
        <f t="shared" si="1"/>
        <v>2476.8</v>
      </c>
      <c r="U409" s="24">
        <f t="shared" si="2"/>
        <v>174.4225352</v>
      </c>
      <c r="V409" s="26">
        <f>VLOOKUP(R409,CPI!$A$2:$E$67,5,0)</f>
        <v>1.285570233</v>
      </c>
      <c r="W409" s="27">
        <f t="shared" si="3"/>
        <v>3184.100354</v>
      </c>
      <c r="X409" s="27">
        <f t="shared" si="4"/>
        <v>224.2324193</v>
      </c>
      <c r="Y409" s="123" t="s">
        <v>60</v>
      </c>
      <c r="Z409" s="129" t="s">
        <v>881</v>
      </c>
      <c r="AA409" s="178"/>
      <c r="AB409" s="172"/>
      <c r="AC409" s="172"/>
      <c r="AD409" s="172"/>
    </row>
    <row r="410">
      <c r="A410" s="123" t="s">
        <v>230</v>
      </c>
      <c r="B410" s="123" t="s">
        <v>309</v>
      </c>
      <c r="C410" s="16" t="s">
        <v>228</v>
      </c>
      <c r="D410" s="123" t="s">
        <v>263</v>
      </c>
      <c r="E410" s="75">
        <v>2020.0</v>
      </c>
      <c r="F410" s="75">
        <v>2025.0</v>
      </c>
      <c r="G410" s="75">
        <v>0.0</v>
      </c>
      <c r="H410" s="75">
        <v>22.5</v>
      </c>
      <c r="I410" s="124">
        <v>1.0</v>
      </c>
      <c r="J410" s="75">
        <v>22.5</v>
      </c>
      <c r="K410" s="125">
        <v>0.0</v>
      </c>
      <c r="L410" s="125">
        <v>0.0</v>
      </c>
      <c r="M410" s="75">
        <v>19.0</v>
      </c>
      <c r="N410" s="123"/>
      <c r="O410" s="123" t="s">
        <v>60</v>
      </c>
      <c r="P410" s="126">
        <v>15583.0</v>
      </c>
      <c r="Q410" s="123" t="s">
        <v>234</v>
      </c>
      <c r="R410" s="75">
        <v>2018.0</v>
      </c>
      <c r="S410" s="136">
        <v>0.237</v>
      </c>
      <c r="T410" s="128">
        <f t="shared" si="1"/>
        <v>3693.171</v>
      </c>
      <c r="U410" s="24">
        <f t="shared" si="2"/>
        <v>164.1409333</v>
      </c>
      <c r="V410" s="26">
        <f>VLOOKUP(R410,CPI!$A$2:$E$67,5,0)</f>
        <v>1.21343491</v>
      </c>
      <c r="W410" s="27">
        <f t="shared" si="3"/>
        <v>4481.422621</v>
      </c>
      <c r="X410" s="27">
        <f t="shared" si="4"/>
        <v>199.1743387</v>
      </c>
      <c r="Y410" s="123" t="s">
        <v>60</v>
      </c>
      <c r="Z410" s="154" t="s">
        <v>318</v>
      </c>
      <c r="AA410" s="29"/>
      <c r="AB410" s="30"/>
      <c r="AC410" s="30"/>
      <c r="AD410" s="30"/>
    </row>
    <row r="411">
      <c r="A411" s="123" t="s">
        <v>230</v>
      </c>
      <c r="B411" s="123" t="s">
        <v>761</v>
      </c>
      <c r="C411" s="16" t="s">
        <v>57</v>
      </c>
      <c r="D411" s="123" t="s">
        <v>605</v>
      </c>
      <c r="E411" s="75">
        <v>2020.0</v>
      </c>
      <c r="F411" s="75">
        <v>2025.0</v>
      </c>
      <c r="G411" s="75">
        <v>0.0</v>
      </c>
      <c r="H411" s="75">
        <v>15.0</v>
      </c>
      <c r="I411" s="124">
        <f>J411/H411</f>
        <v>1</v>
      </c>
      <c r="J411" s="75">
        <v>15.0</v>
      </c>
      <c r="K411" s="125">
        <v>0.0</v>
      </c>
      <c r="L411" s="125">
        <v>0.0</v>
      </c>
      <c r="M411" s="75">
        <v>9.0</v>
      </c>
      <c r="N411" s="142">
        <v>117.0</v>
      </c>
      <c r="O411" s="123" t="s">
        <v>60</v>
      </c>
      <c r="P411" s="126">
        <v>10350.0</v>
      </c>
      <c r="Q411" s="123" t="s">
        <v>234</v>
      </c>
      <c r="R411" s="75">
        <v>2019.0</v>
      </c>
      <c r="S411" s="136">
        <v>0.238</v>
      </c>
      <c r="T411" s="128">
        <f t="shared" si="1"/>
        <v>2463.3</v>
      </c>
      <c r="U411" s="24">
        <f t="shared" si="2"/>
        <v>164.22</v>
      </c>
      <c r="V411" s="26">
        <f>VLOOKUP(R411,CPI!$A$2:$E$67,5,0)</f>
        <v>1.191839066</v>
      </c>
      <c r="W411" s="27">
        <f t="shared" si="3"/>
        <v>2935.85717</v>
      </c>
      <c r="X411" s="27">
        <f t="shared" si="4"/>
        <v>195.7238114</v>
      </c>
      <c r="Y411" s="123" t="s">
        <v>42</v>
      </c>
      <c r="Z411" s="154" t="s">
        <v>766</v>
      </c>
      <c r="AA411" s="89"/>
      <c r="AB411" s="90"/>
      <c r="AC411" s="90"/>
      <c r="AD411" s="90"/>
    </row>
    <row r="412">
      <c r="A412" s="72" t="s">
        <v>230</v>
      </c>
      <c r="B412" s="72" t="s">
        <v>609</v>
      </c>
      <c r="C412" s="16" t="s">
        <v>292</v>
      </c>
      <c r="D412" s="115" t="s">
        <v>622</v>
      </c>
      <c r="E412" s="69">
        <v>2018.0</v>
      </c>
      <c r="F412" s="69">
        <v>2021.0</v>
      </c>
      <c r="G412" s="69">
        <v>0.0</v>
      </c>
      <c r="H412" s="69">
        <v>27.0</v>
      </c>
      <c r="I412" s="117">
        <v>0.95</v>
      </c>
      <c r="J412" s="69">
        <v>25.6</v>
      </c>
      <c r="K412" s="72"/>
      <c r="L412" s="72"/>
      <c r="M412" s="69">
        <v>20.0</v>
      </c>
      <c r="N412" s="69">
        <v>117.0</v>
      </c>
      <c r="O412" s="72"/>
      <c r="P412" s="140">
        <v>21039.19</v>
      </c>
      <c r="Q412" s="72" t="s">
        <v>234</v>
      </c>
      <c r="R412" s="115">
        <v>2020.0</v>
      </c>
      <c r="S412" s="136">
        <v>0.239</v>
      </c>
      <c r="T412" s="118">
        <f t="shared" si="1"/>
        <v>5028.36641</v>
      </c>
      <c r="U412" s="24">
        <f t="shared" si="2"/>
        <v>186.235793</v>
      </c>
      <c r="V412" s="26">
        <f>VLOOKUP(R412,CPI!$A$2:$E$67,5,0)</f>
        <v>1.17731472</v>
      </c>
      <c r="W412" s="27">
        <f t="shared" si="3"/>
        <v>5919.969792</v>
      </c>
      <c r="X412" s="27">
        <f t="shared" si="4"/>
        <v>219.2581404</v>
      </c>
      <c r="Y412" s="72" t="s">
        <v>36</v>
      </c>
      <c r="Z412" s="79" t="s">
        <v>623</v>
      </c>
      <c r="AA412" s="72"/>
      <c r="AB412" s="72"/>
      <c r="AC412" s="72"/>
      <c r="AD412" s="72"/>
    </row>
    <row r="413">
      <c r="A413" s="123" t="s">
        <v>230</v>
      </c>
      <c r="B413" s="123" t="s">
        <v>930</v>
      </c>
      <c r="C413" s="36" t="s">
        <v>87</v>
      </c>
      <c r="D413" s="123" t="s">
        <v>357</v>
      </c>
      <c r="E413" s="75">
        <v>2016.0</v>
      </c>
      <c r="F413" s="75">
        <v>2020.0</v>
      </c>
      <c r="G413" s="75">
        <v>0.0</v>
      </c>
      <c r="H413" s="75">
        <v>22.6</v>
      </c>
      <c r="I413" s="124">
        <v>0.7433628319</v>
      </c>
      <c r="J413" s="75">
        <v>16.8</v>
      </c>
      <c r="K413" s="125">
        <v>0.0</v>
      </c>
      <c r="L413" s="125">
        <v>0.0</v>
      </c>
      <c r="M413" s="75">
        <v>13.0</v>
      </c>
      <c r="N413" s="123"/>
      <c r="O413" s="123" t="s">
        <v>60</v>
      </c>
      <c r="P413" s="126">
        <v>15154.0</v>
      </c>
      <c r="Q413" s="123" t="s">
        <v>234</v>
      </c>
      <c r="R413" s="75">
        <v>2016.0</v>
      </c>
      <c r="S413" s="136">
        <v>0.251</v>
      </c>
      <c r="T413" s="128">
        <f t="shared" si="1"/>
        <v>3803.654</v>
      </c>
      <c r="U413" s="24">
        <f t="shared" si="2"/>
        <v>168.3032743</v>
      </c>
      <c r="V413" s="26">
        <f>VLOOKUP(R413,CPI!$A$2:$E$67,5,0)</f>
        <v>1.269554638</v>
      </c>
      <c r="W413" s="27">
        <f t="shared" si="3"/>
        <v>4828.946577</v>
      </c>
      <c r="X413" s="27">
        <f t="shared" si="4"/>
        <v>213.6702025</v>
      </c>
      <c r="Y413" s="123" t="s">
        <v>60</v>
      </c>
      <c r="Z413" s="129" t="s">
        <v>933</v>
      </c>
      <c r="AA413" s="178"/>
      <c r="AB413" s="172"/>
      <c r="AC413" s="172"/>
      <c r="AD413" s="172"/>
    </row>
    <row r="414">
      <c r="A414" s="123" t="s">
        <v>230</v>
      </c>
      <c r="B414" s="123" t="s">
        <v>555</v>
      </c>
      <c r="C414" s="36" t="s">
        <v>110</v>
      </c>
      <c r="D414" s="123" t="s">
        <v>332</v>
      </c>
      <c r="E414" s="75">
        <v>2015.0</v>
      </c>
      <c r="F414" s="75">
        <v>2020.0</v>
      </c>
      <c r="G414" s="75">
        <v>0.0</v>
      </c>
      <c r="H414" s="75">
        <v>36.0</v>
      </c>
      <c r="I414" s="124">
        <v>1.0</v>
      </c>
      <c r="J414" s="75">
        <v>36.0</v>
      </c>
      <c r="K414" s="125">
        <v>0.0</v>
      </c>
      <c r="L414" s="125">
        <v>0.0</v>
      </c>
      <c r="M414" s="75">
        <v>28.0</v>
      </c>
      <c r="N414" s="142">
        <v>117.0</v>
      </c>
      <c r="O414" s="123" t="s">
        <v>60</v>
      </c>
      <c r="P414" s="126">
        <v>24289.0</v>
      </c>
      <c r="Q414" s="123" t="s">
        <v>234</v>
      </c>
      <c r="R414" s="75">
        <v>2014.0</v>
      </c>
      <c r="S414" s="136">
        <v>0.266</v>
      </c>
      <c r="T414" s="128">
        <f t="shared" si="1"/>
        <v>6460.874</v>
      </c>
      <c r="U414" s="24">
        <f t="shared" si="2"/>
        <v>179.4687222</v>
      </c>
      <c r="V414" s="26">
        <f>VLOOKUP(R414,CPI!$A$2:$E$67,5,0)</f>
        <v>1.287096175</v>
      </c>
      <c r="W414" s="27">
        <f t="shared" si="3"/>
        <v>8315.76621</v>
      </c>
      <c r="X414" s="27">
        <f t="shared" si="4"/>
        <v>230.9935058</v>
      </c>
      <c r="Y414" s="123" t="s">
        <v>60</v>
      </c>
      <c r="Z414" s="129" t="s">
        <v>559</v>
      </c>
      <c r="AA414" s="29"/>
      <c r="AB414" s="30"/>
      <c r="AC414" s="30"/>
      <c r="AD414" s="30"/>
    </row>
    <row r="415">
      <c r="A415" s="123" t="s">
        <v>230</v>
      </c>
      <c r="B415" s="123" t="s">
        <v>504</v>
      </c>
      <c r="C415" s="36" t="s">
        <v>54</v>
      </c>
      <c r="D415" s="123" t="s">
        <v>326</v>
      </c>
      <c r="E415" s="75">
        <v>2017.0</v>
      </c>
      <c r="F415" s="75">
        <v>2022.0</v>
      </c>
      <c r="G415" s="75">
        <v>0.0</v>
      </c>
      <c r="H415" s="75">
        <v>12.8</v>
      </c>
      <c r="I415" s="124">
        <v>0.8125</v>
      </c>
      <c r="J415" s="75">
        <v>10.4</v>
      </c>
      <c r="K415" s="125">
        <v>2.27</v>
      </c>
      <c r="L415" s="125">
        <v>0.162</v>
      </c>
      <c r="M415" s="75">
        <v>8.0</v>
      </c>
      <c r="N415" s="123"/>
      <c r="O415" s="123" t="s">
        <v>60</v>
      </c>
      <c r="P415" s="126">
        <v>8475.0</v>
      </c>
      <c r="Q415" s="123" t="s">
        <v>234</v>
      </c>
      <c r="R415" s="75">
        <v>2016.0</v>
      </c>
      <c r="S415" s="136">
        <v>0.251</v>
      </c>
      <c r="T415" s="128">
        <f t="shared" si="1"/>
        <v>2127.225</v>
      </c>
      <c r="U415" s="24">
        <f t="shared" si="2"/>
        <v>166.1894531</v>
      </c>
      <c r="V415" s="26">
        <f>VLOOKUP(R415,CPI!$A$2:$E$67,5,0)</f>
        <v>1.269554638</v>
      </c>
      <c r="W415" s="27">
        <f t="shared" si="3"/>
        <v>2700.628365</v>
      </c>
      <c r="X415" s="27">
        <f t="shared" si="4"/>
        <v>210.986591</v>
      </c>
      <c r="Y415" s="123" t="s">
        <v>60</v>
      </c>
      <c r="Z415" s="129" t="s">
        <v>508</v>
      </c>
      <c r="AA415" s="29"/>
      <c r="AB415" s="30"/>
      <c r="AC415" s="30"/>
      <c r="AD415" s="30"/>
    </row>
    <row r="416">
      <c r="A416" s="123" t="s">
        <v>230</v>
      </c>
      <c r="B416" s="123" t="s">
        <v>350</v>
      </c>
      <c r="C416" s="36" t="s">
        <v>239</v>
      </c>
      <c r="D416" s="123" t="s">
        <v>374</v>
      </c>
      <c r="E416" s="75">
        <v>2019.0</v>
      </c>
      <c r="F416" s="152">
        <v>2025.0</v>
      </c>
      <c r="G416" s="75">
        <v>0.0</v>
      </c>
      <c r="H416" s="75">
        <v>5.5</v>
      </c>
      <c r="I416" s="124">
        <f>J416/H416</f>
        <v>1</v>
      </c>
      <c r="J416" s="75">
        <v>5.5</v>
      </c>
      <c r="K416" s="125">
        <v>0.0</v>
      </c>
      <c r="L416" s="125">
        <v>0.0</v>
      </c>
      <c r="M416" s="75">
        <v>4.0</v>
      </c>
      <c r="N416" s="142">
        <v>138.0</v>
      </c>
      <c r="O416" s="123" t="s">
        <v>60</v>
      </c>
      <c r="P416" s="126">
        <v>3716.0</v>
      </c>
      <c r="Q416" s="123" t="s">
        <v>234</v>
      </c>
      <c r="R416" s="75">
        <v>2019.0</v>
      </c>
      <c r="S416" s="136">
        <v>0.238</v>
      </c>
      <c r="T416" s="128">
        <f t="shared" si="1"/>
        <v>884.408</v>
      </c>
      <c r="U416" s="24">
        <f t="shared" si="2"/>
        <v>160.8014545</v>
      </c>
      <c r="V416" s="26">
        <f>VLOOKUP(R416,CPI!$A$2:$E$67,5,0)</f>
        <v>1.191839066</v>
      </c>
      <c r="W416" s="27">
        <f t="shared" si="3"/>
        <v>1054.072004</v>
      </c>
      <c r="X416" s="27">
        <f t="shared" si="4"/>
        <v>191.6494553</v>
      </c>
      <c r="Y416" s="123" t="s">
        <v>60</v>
      </c>
      <c r="Z416" s="129" t="s">
        <v>365</v>
      </c>
      <c r="AA416" s="29"/>
      <c r="AB416" s="30"/>
      <c r="AC416" s="30"/>
      <c r="AD416" s="30"/>
    </row>
    <row r="417">
      <c r="A417" s="123" t="s">
        <v>230</v>
      </c>
      <c r="B417" s="123" t="s">
        <v>555</v>
      </c>
      <c r="C417" s="36" t="s">
        <v>57</v>
      </c>
      <c r="D417" s="123" t="s">
        <v>556</v>
      </c>
      <c r="E417" s="75">
        <v>2012.0</v>
      </c>
      <c r="F417" s="142">
        <v>2016.0</v>
      </c>
      <c r="G417" s="75">
        <v>0.0</v>
      </c>
      <c r="H417" s="75">
        <v>24.58</v>
      </c>
      <c r="I417" s="124">
        <v>1.0</v>
      </c>
      <c r="J417" s="75">
        <v>24.58</v>
      </c>
      <c r="K417" s="125">
        <v>0.0</v>
      </c>
      <c r="L417" s="125">
        <v>0.0</v>
      </c>
      <c r="M417" s="75">
        <v>26.0</v>
      </c>
      <c r="N417" s="142">
        <v>117.0</v>
      </c>
      <c r="O417" s="123" t="s">
        <v>59</v>
      </c>
      <c r="P417" s="126">
        <v>16496.0</v>
      </c>
      <c r="Q417" s="123" t="s">
        <v>234</v>
      </c>
      <c r="R417" s="75">
        <v>2012.0</v>
      </c>
      <c r="S417" s="136">
        <v>0.2808</v>
      </c>
      <c r="T417" s="128">
        <f t="shared" si="1"/>
        <v>4632.0768</v>
      </c>
      <c r="U417" s="24">
        <f t="shared" si="2"/>
        <v>188.4490155</v>
      </c>
      <c r="V417" s="26">
        <f>VLOOKUP(R417,CPI!$A$2:$E$67,5,0)</f>
        <v>1.327133984</v>
      </c>
      <c r="W417" s="27">
        <f t="shared" si="3"/>
        <v>6147.386539</v>
      </c>
      <c r="X417" s="27">
        <f t="shared" si="4"/>
        <v>250.0970927</v>
      </c>
      <c r="Y417" s="123" t="s">
        <v>42</v>
      </c>
      <c r="Z417" s="129" t="s">
        <v>557</v>
      </c>
      <c r="AA417" s="29"/>
      <c r="AB417" s="30"/>
      <c r="AC417" s="30"/>
      <c r="AD417" s="30"/>
    </row>
    <row r="418">
      <c r="A418" s="221" t="s">
        <v>230</v>
      </c>
      <c r="B418" s="221" t="s">
        <v>872</v>
      </c>
      <c r="C418" s="36" t="s">
        <v>110</v>
      </c>
      <c r="D418" s="221" t="s">
        <v>880</v>
      </c>
      <c r="E418" s="227">
        <v>2016.0</v>
      </c>
      <c r="F418" s="227">
        <v>2018.0</v>
      </c>
      <c r="G418" s="227">
        <v>0.0</v>
      </c>
      <c r="H418" s="227">
        <v>4.0</v>
      </c>
      <c r="I418" s="228">
        <v>0.85</v>
      </c>
      <c r="J418" s="227">
        <v>3.4</v>
      </c>
      <c r="K418" s="229">
        <v>0.0</v>
      </c>
      <c r="L418" s="229">
        <v>0.0</v>
      </c>
      <c r="M418" s="227">
        <v>2.0</v>
      </c>
      <c r="N418" s="221"/>
      <c r="O418" s="221" t="s">
        <v>60</v>
      </c>
      <c r="P418" s="230">
        <v>2634.0</v>
      </c>
      <c r="Q418" s="221" t="s">
        <v>234</v>
      </c>
      <c r="R418" s="227">
        <v>2015.0</v>
      </c>
      <c r="S418" s="136">
        <v>0.258</v>
      </c>
      <c r="T418" s="128">
        <f t="shared" si="1"/>
        <v>679.572</v>
      </c>
      <c r="U418" s="24">
        <f t="shared" si="2"/>
        <v>169.893</v>
      </c>
      <c r="V418" s="26">
        <f>VLOOKUP(R418,CPI!$A$2:$E$67,5,0)</f>
        <v>1.285570233</v>
      </c>
      <c r="W418" s="27">
        <f t="shared" si="3"/>
        <v>873.6375346</v>
      </c>
      <c r="X418" s="27">
        <f t="shared" si="4"/>
        <v>218.4093837</v>
      </c>
      <c r="Y418" s="123" t="s">
        <v>60</v>
      </c>
      <c r="Z418" s="223" t="s">
        <v>881</v>
      </c>
      <c r="AA418" s="178"/>
      <c r="AB418" s="172"/>
      <c r="AC418" s="172"/>
      <c r="AD418" s="172"/>
    </row>
    <row r="419">
      <c r="A419" s="130" t="s">
        <v>230</v>
      </c>
      <c r="B419" s="130" t="s">
        <v>834</v>
      </c>
      <c r="C419" s="16" t="s">
        <v>835</v>
      </c>
      <c r="D419" s="130" t="s">
        <v>836</v>
      </c>
      <c r="E419" s="130">
        <v>2015.0</v>
      </c>
      <c r="F419" s="130">
        <v>2020.0</v>
      </c>
      <c r="G419" s="130">
        <v>0.0</v>
      </c>
      <c r="H419" s="130">
        <v>43.7</v>
      </c>
      <c r="I419" s="131">
        <v>0.3455377574</v>
      </c>
      <c r="J419" s="130">
        <v>15.1</v>
      </c>
      <c r="K419" s="132">
        <v>0.0</v>
      </c>
      <c r="L419" s="132">
        <v>0.0</v>
      </c>
      <c r="M419" s="130">
        <v>20.0</v>
      </c>
      <c r="N419" s="130"/>
      <c r="O419" s="130" t="s">
        <v>60</v>
      </c>
      <c r="P419" s="135">
        <v>28699.0</v>
      </c>
      <c r="Q419" s="130" t="s">
        <v>234</v>
      </c>
      <c r="R419" s="130">
        <v>2015.0</v>
      </c>
      <c r="S419" s="136">
        <v>0.258</v>
      </c>
      <c r="T419" s="128">
        <f t="shared" ref="T419:T422" si="5">S419*P419</f>
        <v>7404.342</v>
      </c>
      <c r="U419" s="24">
        <f t="shared" si="2"/>
        <v>169.4357437</v>
      </c>
      <c r="V419" s="26">
        <f>VLOOKUP(R419,CPI!$A$2:$E$67,5,0)</f>
        <v>1.285570233</v>
      </c>
      <c r="W419" s="27">
        <f t="shared" si="3"/>
        <v>9518.801673</v>
      </c>
      <c r="X419" s="27">
        <f t="shared" si="4"/>
        <v>217.8215486</v>
      </c>
      <c r="Y419" s="130" t="s">
        <v>42</v>
      </c>
      <c r="Z419" s="137" t="s">
        <v>837</v>
      </c>
      <c r="AA419" s="173"/>
      <c r="AB419" s="174"/>
      <c r="AC419" s="174"/>
      <c r="AD419" s="174"/>
    </row>
    <row r="420">
      <c r="A420" s="130" t="s">
        <v>230</v>
      </c>
      <c r="B420" s="130" t="s">
        <v>231</v>
      </c>
      <c r="C420" s="36" t="s">
        <v>274</v>
      </c>
      <c r="D420" s="130" t="s">
        <v>275</v>
      </c>
      <c r="E420" s="130">
        <v>2016.0</v>
      </c>
      <c r="F420" s="130">
        <v>2019.0</v>
      </c>
      <c r="G420" s="130">
        <v>0.0</v>
      </c>
      <c r="H420" s="130">
        <v>44.0</v>
      </c>
      <c r="I420" s="131"/>
      <c r="J420" s="130"/>
      <c r="K420" s="132" t="e">
        <v>#N/A</v>
      </c>
      <c r="L420" s="132" t="e">
        <v>#N/A</v>
      </c>
      <c r="M420" s="130">
        <v>3.0</v>
      </c>
      <c r="N420" s="130"/>
      <c r="O420" s="130" t="s">
        <v>60</v>
      </c>
      <c r="P420" s="135">
        <v>27820.0</v>
      </c>
      <c r="Q420" s="130" t="s">
        <v>234</v>
      </c>
      <c r="R420" s="130">
        <v>2019.0</v>
      </c>
      <c r="S420" s="136">
        <v>0.238</v>
      </c>
      <c r="T420" s="128">
        <f t="shared" si="5"/>
        <v>6621.16</v>
      </c>
      <c r="U420" s="24">
        <f t="shared" si="2"/>
        <v>150.4809091</v>
      </c>
      <c r="V420" s="26">
        <f>VLOOKUP(R420,CPI!$A$2:$E$67,5,0)</f>
        <v>1.191839066</v>
      </c>
      <c r="W420" s="27">
        <f t="shared" si="3"/>
        <v>7891.357148</v>
      </c>
      <c r="X420" s="27">
        <f t="shared" si="4"/>
        <v>179.3490261</v>
      </c>
      <c r="Y420" s="130" t="s">
        <v>60</v>
      </c>
      <c r="Z420" s="137" t="s">
        <v>276</v>
      </c>
      <c r="AA420" s="29"/>
      <c r="AB420" s="30"/>
      <c r="AC420" s="30"/>
      <c r="AD420" s="30"/>
    </row>
    <row r="421">
      <c r="A421" s="130" t="s">
        <v>230</v>
      </c>
      <c r="B421" s="130" t="s">
        <v>231</v>
      </c>
      <c r="C421" s="36" t="s">
        <v>274</v>
      </c>
      <c r="D421" s="130" t="s">
        <v>306</v>
      </c>
      <c r="E421" s="130">
        <v>2019.0</v>
      </c>
      <c r="F421" s="130"/>
      <c r="G421" s="130">
        <v>0.0</v>
      </c>
      <c r="H421" s="130">
        <v>3.5</v>
      </c>
      <c r="I421" s="131"/>
      <c r="J421" s="130"/>
      <c r="K421" s="132" t="e">
        <v>#N/A</v>
      </c>
      <c r="L421" s="132" t="e">
        <v>#N/A</v>
      </c>
      <c r="M421" s="130">
        <v>2.0</v>
      </c>
      <c r="N421" s="130"/>
      <c r="O421" s="130" t="s">
        <v>60</v>
      </c>
      <c r="P421" s="135">
        <v>4040.0</v>
      </c>
      <c r="Q421" s="130" t="s">
        <v>234</v>
      </c>
      <c r="R421" s="130">
        <v>2019.0</v>
      </c>
      <c r="S421" s="136">
        <v>0.238</v>
      </c>
      <c r="T421" s="128">
        <f t="shared" si="5"/>
        <v>961.52</v>
      </c>
      <c r="U421" s="24">
        <f t="shared" si="2"/>
        <v>274.72</v>
      </c>
      <c r="V421" s="26">
        <f>VLOOKUP(R421,CPI!$A$2:$E$67,5,0)</f>
        <v>1.191839066</v>
      </c>
      <c r="W421" s="27">
        <f t="shared" si="3"/>
        <v>1145.977098</v>
      </c>
      <c r="X421" s="27">
        <f t="shared" si="4"/>
        <v>327.4220281</v>
      </c>
      <c r="Y421" s="130" t="s">
        <v>60</v>
      </c>
      <c r="Z421" s="137" t="s">
        <v>276</v>
      </c>
      <c r="AA421" s="29"/>
      <c r="AB421" s="30"/>
      <c r="AC421" s="30"/>
      <c r="AD421" s="30"/>
    </row>
    <row r="422">
      <c r="A422" s="130" t="s">
        <v>230</v>
      </c>
      <c r="B422" s="130" t="s">
        <v>231</v>
      </c>
      <c r="C422" s="36" t="s">
        <v>243</v>
      </c>
      <c r="D422" s="130" t="s">
        <v>244</v>
      </c>
      <c r="E422" s="130">
        <v>2005.0</v>
      </c>
      <c r="F422" s="130">
        <v>2008.0</v>
      </c>
      <c r="G422" s="130">
        <v>0.0</v>
      </c>
      <c r="H422" s="130">
        <v>4.528</v>
      </c>
      <c r="I422" s="131">
        <v>1.0</v>
      </c>
      <c r="J422" s="130">
        <v>4.528</v>
      </c>
      <c r="K422" s="132">
        <v>0.0</v>
      </c>
      <c r="L422" s="132">
        <v>0.0</v>
      </c>
      <c r="M422" s="130">
        <v>4.0</v>
      </c>
      <c r="N422" s="130"/>
      <c r="O422" s="130" t="s">
        <v>42</v>
      </c>
      <c r="P422" s="135">
        <v>2420.0</v>
      </c>
      <c r="Q422" s="130" t="s">
        <v>234</v>
      </c>
      <c r="R422" s="130">
        <v>2005.0</v>
      </c>
      <c r="S422" s="136">
        <v>0.3519</v>
      </c>
      <c r="T422" s="128">
        <f t="shared" si="5"/>
        <v>851.598</v>
      </c>
      <c r="U422" s="24">
        <f t="shared" si="2"/>
        <v>188.0737633</v>
      </c>
      <c r="V422" s="26">
        <f>VLOOKUP(R422,CPI!$A$2:$E$67,5,0)</f>
        <v>1.560174091</v>
      </c>
      <c r="W422" s="27">
        <f t="shared" si="3"/>
        <v>1328.641136</v>
      </c>
      <c r="X422" s="27">
        <f t="shared" si="4"/>
        <v>293.4278126</v>
      </c>
      <c r="Y422" s="130" t="s">
        <v>42</v>
      </c>
      <c r="Z422" s="130" t="s">
        <v>245</v>
      </c>
      <c r="AA422" s="29"/>
      <c r="AB422" s="30"/>
      <c r="AC422" s="30"/>
      <c r="AD422" s="30"/>
    </row>
    <row r="423">
      <c r="A423" s="72" t="s">
        <v>230</v>
      </c>
      <c r="B423" s="72" t="s">
        <v>911</v>
      </c>
      <c r="C423" s="115" t="s">
        <v>57</v>
      </c>
      <c r="D423" s="115" t="s">
        <v>354</v>
      </c>
      <c r="E423" s="69">
        <v>2019.0</v>
      </c>
      <c r="F423" s="69">
        <v>2023.0</v>
      </c>
      <c r="G423" s="69">
        <v>0.0</v>
      </c>
      <c r="H423" s="69">
        <v>10.6</v>
      </c>
      <c r="I423" s="117">
        <v>1.0</v>
      </c>
      <c r="J423" s="69">
        <v>10.6</v>
      </c>
      <c r="K423" s="72"/>
      <c r="L423" s="72"/>
      <c r="M423" s="69">
        <v>7.0</v>
      </c>
      <c r="N423" s="69">
        <v>117.0</v>
      </c>
      <c r="O423" s="72"/>
      <c r="P423" s="140">
        <v>8903.0</v>
      </c>
      <c r="Q423" s="72" t="s">
        <v>234</v>
      </c>
      <c r="R423" s="115">
        <v>2021.0</v>
      </c>
      <c r="S423" s="136">
        <v>0.239</v>
      </c>
      <c r="T423" s="118">
        <f>P423*S423</f>
        <v>2127.817</v>
      </c>
      <c r="U423" s="24">
        <f t="shared" si="2"/>
        <v>200.7374528</v>
      </c>
      <c r="V423" s="26">
        <f>VLOOKUP(R423,CPI!$A$2:$E$67,5,0)</f>
        <v>1.124486105</v>
      </c>
      <c r="W423" s="27">
        <f t="shared" si="3"/>
        <v>2392.700651</v>
      </c>
      <c r="X423" s="27">
        <f t="shared" si="4"/>
        <v>225.7264766</v>
      </c>
      <c r="Y423" s="72" t="s">
        <v>36</v>
      </c>
      <c r="Z423" s="79" t="s">
        <v>923</v>
      </c>
      <c r="AA423" s="72"/>
      <c r="AB423" s="72"/>
      <c r="AC423" s="72"/>
      <c r="AD423" s="72"/>
    </row>
    <row r="424">
      <c r="A424" s="130" t="s">
        <v>230</v>
      </c>
      <c r="B424" s="130" t="s">
        <v>323</v>
      </c>
      <c r="C424" s="16" t="s">
        <v>87</v>
      </c>
      <c r="D424" s="130" t="s">
        <v>331</v>
      </c>
      <c r="E424" s="130">
        <v>2012.0</v>
      </c>
      <c r="F424" s="130">
        <v>2016.0</v>
      </c>
      <c r="G424" s="130">
        <v>0.0</v>
      </c>
      <c r="H424" s="130">
        <v>35.6</v>
      </c>
      <c r="I424" s="131"/>
      <c r="J424" s="130"/>
      <c r="K424" s="132" t="e">
        <v>#N/A</v>
      </c>
      <c r="L424" s="132" t="e">
        <v>#N/A</v>
      </c>
      <c r="M424" s="130">
        <v>25.0</v>
      </c>
      <c r="N424" s="130"/>
      <c r="O424" s="130" t="s">
        <v>60</v>
      </c>
      <c r="P424" s="135">
        <v>23628.0</v>
      </c>
      <c r="Q424" s="130" t="s">
        <v>234</v>
      </c>
      <c r="R424" s="75">
        <v>2017.0</v>
      </c>
      <c r="S424" s="136">
        <v>0.239</v>
      </c>
      <c r="T424" s="128">
        <f t="shared" ref="T424:T428" si="6">S424*P424</f>
        <v>5647.092</v>
      </c>
      <c r="U424" s="24">
        <f t="shared" si="2"/>
        <v>158.6261798</v>
      </c>
      <c r="V424" s="26">
        <f>VLOOKUP(R424,CPI!$A$2:$E$67,5,0)</f>
        <v>1.243072781</v>
      </c>
      <c r="W424" s="27">
        <f t="shared" si="3"/>
        <v>7019.746355</v>
      </c>
      <c r="X424" s="27">
        <f t="shared" si="4"/>
        <v>197.1838864</v>
      </c>
      <c r="Y424" s="130" t="s">
        <v>60</v>
      </c>
      <c r="Z424" s="137" t="s">
        <v>330</v>
      </c>
      <c r="AA424" s="29"/>
      <c r="AB424" s="30"/>
      <c r="AC424" s="30"/>
      <c r="AD424" s="30"/>
    </row>
    <row r="425">
      <c r="A425" s="6" t="s">
        <v>230</v>
      </c>
      <c r="B425" s="6" t="s">
        <v>350</v>
      </c>
      <c r="C425" s="16" t="s">
        <v>295</v>
      </c>
      <c r="D425" s="6" t="s">
        <v>370</v>
      </c>
      <c r="E425" s="6">
        <v>2019.0</v>
      </c>
      <c r="F425" s="6">
        <v>2024.0</v>
      </c>
      <c r="G425" s="6">
        <v>0.0</v>
      </c>
      <c r="H425" s="69">
        <v>24.86</v>
      </c>
      <c r="I425" s="117">
        <v>0.7</v>
      </c>
      <c r="J425" s="69">
        <v>17.35</v>
      </c>
      <c r="K425" s="72"/>
      <c r="L425" s="72"/>
      <c r="M425" s="69">
        <v>17.0</v>
      </c>
      <c r="N425" s="69">
        <v>117.0</v>
      </c>
      <c r="O425" s="72"/>
      <c r="P425" s="140">
        <v>16587.0</v>
      </c>
      <c r="Q425" s="72" t="s">
        <v>234</v>
      </c>
      <c r="R425" s="6">
        <v>2019.0</v>
      </c>
      <c r="S425" s="136">
        <v>0.238</v>
      </c>
      <c r="T425" s="148">
        <f t="shared" si="6"/>
        <v>3947.706</v>
      </c>
      <c r="U425" s="24">
        <f t="shared" si="2"/>
        <v>158.797506</v>
      </c>
      <c r="V425" s="26">
        <f>VLOOKUP(R425,CPI!$A$2:$E$67,5,0)</f>
        <v>1.191839066</v>
      </c>
      <c r="W425" s="27">
        <f t="shared" si="3"/>
        <v>4705.03023</v>
      </c>
      <c r="X425" s="27">
        <f t="shared" si="4"/>
        <v>189.2610712</v>
      </c>
      <c r="Y425" s="6" t="s">
        <v>60</v>
      </c>
      <c r="Z425" s="182" t="s">
        <v>365</v>
      </c>
      <c r="AA425" s="179"/>
      <c r="AB425" s="60"/>
      <c r="AC425" s="60"/>
      <c r="AD425" s="60"/>
    </row>
    <row r="426">
      <c r="A426" s="130" t="s">
        <v>230</v>
      </c>
      <c r="B426" s="130" t="s">
        <v>813</v>
      </c>
      <c r="C426" s="130" t="s">
        <v>243</v>
      </c>
      <c r="D426" s="130" t="s">
        <v>243</v>
      </c>
      <c r="E426" s="130"/>
      <c r="F426" s="130"/>
      <c r="G426" s="130">
        <v>0.0</v>
      </c>
      <c r="H426" s="130">
        <v>35.2</v>
      </c>
      <c r="I426" s="131">
        <v>1.0</v>
      </c>
      <c r="J426" s="130">
        <v>35.2</v>
      </c>
      <c r="K426" s="132">
        <v>0.0</v>
      </c>
      <c r="L426" s="132">
        <v>0.0</v>
      </c>
      <c r="M426" s="130">
        <v>26.0</v>
      </c>
      <c r="N426" s="130"/>
      <c r="O426" s="130" t="s">
        <v>60</v>
      </c>
      <c r="P426" s="135">
        <v>23660.0</v>
      </c>
      <c r="Q426" s="130" t="s">
        <v>234</v>
      </c>
      <c r="R426" s="130">
        <v>2018.0</v>
      </c>
      <c r="S426" s="136">
        <v>0.237</v>
      </c>
      <c r="T426" s="128">
        <f t="shared" si="6"/>
        <v>5607.42</v>
      </c>
      <c r="U426" s="24">
        <f t="shared" si="2"/>
        <v>159.3017045</v>
      </c>
      <c r="V426" s="26">
        <f>VLOOKUP(R426,CPI!$A$2:$E$67,5,0)</f>
        <v>1.21343491</v>
      </c>
      <c r="W426" s="27">
        <f t="shared" si="3"/>
        <v>6804.239184</v>
      </c>
      <c r="X426" s="27">
        <f t="shared" si="4"/>
        <v>193.3022496</v>
      </c>
      <c r="Y426" s="130" t="s">
        <v>60</v>
      </c>
      <c r="Z426" s="137" t="s">
        <v>818</v>
      </c>
      <c r="AA426" s="29"/>
      <c r="AB426" s="30"/>
      <c r="AC426" s="30"/>
      <c r="AD426" s="30"/>
    </row>
    <row r="427">
      <c r="A427" s="130" t="s">
        <v>230</v>
      </c>
      <c r="B427" s="130" t="s">
        <v>813</v>
      </c>
      <c r="C427" s="130" t="s">
        <v>819</v>
      </c>
      <c r="D427" s="130" t="s">
        <v>819</v>
      </c>
      <c r="E427" s="130"/>
      <c r="F427" s="130"/>
      <c r="G427" s="130">
        <v>0.0</v>
      </c>
      <c r="H427" s="130">
        <v>41.0</v>
      </c>
      <c r="I427" s="131"/>
      <c r="J427" s="130"/>
      <c r="K427" s="132" t="e">
        <v>#N/A</v>
      </c>
      <c r="L427" s="132" t="e">
        <v>#N/A</v>
      </c>
      <c r="M427" s="130">
        <v>27.0</v>
      </c>
      <c r="N427" s="130"/>
      <c r="O427" s="130" t="s">
        <v>60</v>
      </c>
      <c r="P427" s="135">
        <v>27370.0</v>
      </c>
      <c r="Q427" s="130" t="s">
        <v>234</v>
      </c>
      <c r="R427" s="130">
        <v>2018.0</v>
      </c>
      <c r="S427" s="136">
        <v>0.237</v>
      </c>
      <c r="T427" s="128">
        <f t="shared" si="6"/>
        <v>6486.69</v>
      </c>
      <c r="U427" s="24">
        <f t="shared" si="2"/>
        <v>158.2119512</v>
      </c>
      <c r="V427" s="26">
        <f>VLOOKUP(R427,CPI!$A$2:$E$67,5,0)</f>
        <v>1.21343491</v>
      </c>
      <c r="W427" s="27">
        <f t="shared" si="3"/>
        <v>7871.176098</v>
      </c>
      <c r="X427" s="27">
        <f t="shared" si="4"/>
        <v>191.9799048</v>
      </c>
      <c r="Y427" s="130" t="s">
        <v>60</v>
      </c>
      <c r="Z427" s="137" t="s">
        <v>818</v>
      </c>
      <c r="AA427" s="29"/>
      <c r="AB427" s="30"/>
      <c r="AC427" s="30"/>
      <c r="AD427" s="30"/>
    </row>
    <row r="428">
      <c r="A428" s="130" t="s">
        <v>230</v>
      </c>
      <c r="B428" s="130" t="s">
        <v>514</v>
      </c>
      <c r="C428" s="130" t="s">
        <v>228</v>
      </c>
      <c r="D428" s="130" t="s">
        <v>228</v>
      </c>
      <c r="E428" s="130">
        <v>2017.0</v>
      </c>
      <c r="F428" s="130">
        <v>2021.0</v>
      </c>
      <c r="G428" s="130">
        <v>0.0</v>
      </c>
      <c r="H428" s="130">
        <v>45.0</v>
      </c>
      <c r="I428" s="131"/>
      <c r="J428" s="130"/>
      <c r="K428" s="132" t="e">
        <v>#N/A</v>
      </c>
      <c r="L428" s="132" t="e">
        <v>#N/A</v>
      </c>
      <c r="M428" s="130">
        <v>22.0</v>
      </c>
      <c r="N428" s="130"/>
      <c r="O428" s="130" t="s">
        <v>60</v>
      </c>
      <c r="P428" s="135">
        <v>28997.0</v>
      </c>
      <c r="Q428" s="130" t="s">
        <v>234</v>
      </c>
      <c r="R428" s="130">
        <v>2016.0</v>
      </c>
      <c r="S428" s="136">
        <v>0.251</v>
      </c>
      <c r="T428" s="128">
        <f t="shared" si="6"/>
        <v>7278.247</v>
      </c>
      <c r="U428" s="24">
        <f t="shared" si="2"/>
        <v>161.7388222</v>
      </c>
      <c r="V428" s="26">
        <f>VLOOKUP(R428,CPI!$A$2:$E$67,5,0)</f>
        <v>1.269554638</v>
      </c>
      <c r="W428" s="27">
        <f t="shared" si="3"/>
        <v>9240.132235</v>
      </c>
      <c r="X428" s="27">
        <f t="shared" si="4"/>
        <v>205.3362719</v>
      </c>
      <c r="Y428" s="130" t="s">
        <v>60</v>
      </c>
      <c r="Z428" s="137" t="s">
        <v>521</v>
      </c>
      <c r="AA428" s="29"/>
      <c r="AB428" s="30"/>
      <c r="AC428" s="30"/>
      <c r="AD428" s="30"/>
    </row>
    <row r="429">
      <c r="A429" s="72" t="s">
        <v>230</v>
      </c>
      <c r="B429" s="72" t="s">
        <v>820</v>
      </c>
      <c r="C429" s="115" t="s">
        <v>57</v>
      </c>
      <c r="D429" s="115" t="s">
        <v>232</v>
      </c>
      <c r="E429" s="69">
        <v>2021.0</v>
      </c>
      <c r="F429" s="72"/>
      <c r="G429" s="69">
        <v>0.0</v>
      </c>
      <c r="H429" s="69">
        <v>28.737</v>
      </c>
      <c r="I429" s="117">
        <v>1.0</v>
      </c>
      <c r="J429" s="69">
        <v>28.737</v>
      </c>
      <c r="K429" s="72"/>
      <c r="L429" s="72"/>
      <c r="M429" s="69">
        <v>24.0</v>
      </c>
      <c r="N429" s="69">
        <v>138.0</v>
      </c>
      <c r="O429" s="72"/>
      <c r="P429" s="140">
        <v>22458.7</v>
      </c>
      <c r="Q429" s="72" t="s">
        <v>234</v>
      </c>
      <c r="R429" s="115">
        <v>2021.0</v>
      </c>
      <c r="S429" s="136">
        <v>0.239</v>
      </c>
      <c r="T429" s="118">
        <f>P429*S429</f>
        <v>5367.6293</v>
      </c>
      <c r="U429" s="24">
        <f t="shared" si="2"/>
        <v>186.7846087</v>
      </c>
      <c r="V429" s="26">
        <f>VLOOKUP(R429,CPI!$A$2:$E$67,5,0)</f>
        <v>1.124486105</v>
      </c>
      <c r="W429" s="27">
        <f t="shared" si="3"/>
        <v>6035.824567</v>
      </c>
      <c r="X429" s="27">
        <f t="shared" si="4"/>
        <v>210.0366972</v>
      </c>
      <c r="Y429" s="72" t="s">
        <v>36</v>
      </c>
      <c r="Z429" s="79" t="s">
        <v>825</v>
      </c>
      <c r="AA429" s="72"/>
      <c r="AB429" s="72"/>
      <c r="AC429" s="72"/>
      <c r="AD429" s="72"/>
    </row>
    <row r="430">
      <c r="A430" s="130" t="s">
        <v>230</v>
      </c>
      <c r="B430" s="130" t="s">
        <v>323</v>
      </c>
      <c r="C430" s="36" t="s">
        <v>110</v>
      </c>
      <c r="D430" s="130" t="s">
        <v>332</v>
      </c>
      <c r="E430" s="130">
        <v>2013.0</v>
      </c>
      <c r="F430" s="130">
        <v>2017.0</v>
      </c>
      <c r="G430" s="130">
        <v>0.0</v>
      </c>
      <c r="H430" s="130">
        <v>33.5</v>
      </c>
      <c r="I430" s="131"/>
      <c r="J430" s="130"/>
      <c r="K430" s="132" t="e">
        <v>#N/A</v>
      </c>
      <c r="L430" s="132" t="e">
        <v>#N/A</v>
      </c>
      <c r="M430" s="130">
        <v>24.0</v>
      </c>
      <c r="N430" s="130"/>
      <c r="O430" s="130" t="s">
        <v>60</v>
      </c>
      <c r="P430" s="135">
        <v>21938.0</v>
      </c>
      <c r="Q430" s="130" t="s">
        <v>234</v>
      </c>
      <c r="R430" s="130">
        <v>2012.0</v>
      </c>
      <c r="S430" s="136">
        <v>0.2808</v>
      </c>
      <c r="T430" s="128">
        <f t="shared" ref="T430:T431" si="7">S430*P430</f>
        <v>6160.1904</v>
      </c>
      <c r="U430" s="24">
        <f t="shared" si="2"/>
        <v>183.8862806</v>
      </c>
      <c r="V430" s="26">
        <f>VLOOKUP(R430,CPI!$A$2:$E$67,5,0)</f>
        <v>1.327133984</v>
      </c>
      <c r="W430" s="27">
        <f t="shared" si="3"/>
        <v>8175.39803</v>
      </c>
      <c r="X430" s="27">
        <f t="shared" si="4"/>
        <v>244.0417322</v>
      </c>
      <c r="Y430" s="130" t="s">
        <v>60</v>
      </c>
      <c r="Z430" s="137" t="s">
        <v>330</v>
      </c>
      <c r="AA430" s="29"/>
      <c r="AB430" s="30"/>
      <c r="AC430" s="30"/>
      <c r="AD430" s="30"/>
    </row>
    <row r="431">
      <c r="A431" s="130" t="s">
        <v>230</v>
      </c>
      <c r="B431" s="130" t="s">
        <v>309</v>
      </c>
      <c r="C431" s="130" t="s">
        <v>80</v>
      </c>
      <c r="D431" s="130" t="s">
        <v>80</v>
      </c>
      <c r="E431" s="130"/>
      <c r="F431" s="130"/>
      <c r="G431" s="130">
        <v>0.0</v>
      </c>
      <c r="H431" s="130">
        <v>29.7</v>
      </c>
      <c r="I431" s="131">
        <v>1.0</v>
      </c>
      <c r="J431" s="130">
        <v>29.7</v>
      </c>
      <c r="K431" s="132">
        <v>0.0</v>
      </c>
      <c r="L431" s="132">
        <v>0.0</v>
      </c>
      <c r="M431" s="130">
        <v>22.0</v>
      </c>
      <c r="N431" s="130"/>
      <c r="O431" s="130" t="s">
        <v>60</v>
      </c>
      <c r="P431" s="135">
        <v>19549.0</v>
      </c>
      <c r="Q431" s="130" t="s">
        <v>234</v>
      </c>
      <c r="R431" s="130">
        <v>2018.0</v>
      </c>
      <c r="S431" s="136">
        <v>0.237</v>
      </c>
      <c r="T431" s="128">
        <f t="shared" si="7"/>
        <v>4633.113</v>
      </c>
      <c r="U431" s="24">
        <f t="shared" si="2"/>
        <v>155.9970707</v>
      </c>
      <c r="V431" s="26">
        <f>VLOOKUP(R431,CPI!$A$2:$E$67,5,0)</f>
        <v>1.21343491</v>
      </c>
      <c r="W431" s="27">
        <f t="shared" si="3"/>
        <v>5621.981057</v>
      </c>
      <c r="X431" s="27">
        <f t="shared" si="4"/>
        <v>189.2922915</v>
      </c>
      <c r="Y431" s="130" t="s">
        <v>60</v>
      </c>
      <c r="Z431" s="137" t="s">
        <v>316</v>
      </c>
      <c r="AA431" s="29"/>
      <c r="AB431" s="30"/>
      <c r="AC431" s="30"/>
      <c r="AD431" s="30"/>
    </row>
    <row r="432">
      <c r="A432" s="72" t="s">
        <v>230</v>
      </c>
      <c r="B432" s="72" t="s">
        <v>813</v>
      </c>
      <c r="C432" s="72" t="s">
        <v>80</v>
      </c>
      <c r="D432" s="72" t="s">
        <v>80</v>
      </c>
      <c r="E432" s="69">
        <v>2020.0</v>
      </c>
      <c r="F432" s="72"/>
      <c r="G432" s="69">
        <v>0.0</v>
      </c>
      <c r="H432" s="69">
        <v>36.2</v>
      </c>
      <c r="I432" s="117">
        <v>1.0</v>
      </c>
      <c r="J432" s="69">
        <v>36.2</v>
      </c>
      <c r="K432" s="72"/>
      <c r="L432" s="72"/>
      <c r="M432" s="69">
        <v>31.0</v>
      </c>
      <c r="N432" s="69">
        <v>117.0</v>
      </c>
      <c r="O432" s="72"/>
      <c r="P432" s="140">
        <v>23960.0</v>
      </c>
      <c r="Q432" s="72" t="s">
        <v>234</v>
      </c>
      <c r="R432" s="115">
        <v>2020.0</v>
      </c>
      <c r="S432" s="136">
        <v>0.239</v>
      </c>
      <c r="T432" s="118">
        <f>P432*S432</f>
        <v>5726.44</v>
      </c>
      <c r="U432" s="24">
        <f t="shared" si="2"/>
        <v>158.1889503</v>
      </c>
      <c r="V432" s="26">
        <f>VLOOKUP(R432,CPI!$A$2:$E$67,5,0)</f>
        <v>1.17731472</v>
      </c>
      <c r="W432" s="27">
        <f t="shared" si="3"/>
        <v>6741.822105</v>
      </c>
      <c r="X432" s="27">
        <f t="shared" si="4"/>
        <v>186.2381797</v>
      </c>
      <c r="Y432" s="72" t="s">
        <v>36</v>
      </c>
      <c r="Z432" s="79" t="s">
        <v>816</v>
      </c>
      <c r="AA432" s="72"/>
      <c r="AB432" s="72"/>
      <c r="AC432" s="72"/>
      <c r="AD432" s="72"/>
    </row>
    <row r="433">
      <c r="A433" s="130" t="s">
        <v>230</v>
      </c>
      <c r="B433" s="130" t="s">
        <v>911</v>
      </c>
      <c r="C433" s="134" t="s">
        <v>260</v>
      </c>
      <c r="D433" s="130" t="s">
        <v>261</v>
      </c>
      <c r="E433" s="130">
        <v>2020.0</v>
      </c>
      <c r="F433" s="130">
        <v>2025.0</v>
      </c>
      <c r="G433" s="130">
        <v>0.0</v>
      </c>
      <c r="H433" s="130">
        <v>19.0</v>
      </c>
      <c r="I433" s="131">
        <v>1.0</v>
      </c>
      <c r="J433" s="130">
        <v>19.0</v>
      </c>
      <c r="K433" s="132">
        <v>0.0</v>
      </c>
      <c r="L433" s="132">
        <v>0.0</v>
      </c>
      <c r="M433" s="130">
        <v>11.0</v>
      </c>
      <c r="N433" s="130"/>
      <c r="O433" s="130" t="s">
        <v>60</v>
      </c>
      <c r="P433" s="135">
        <v>12436.0</v>
      </c>
      <c r="Q433" s="130" t="s">
        <v>234</v>
      </c>
      <c r="R433" s="130">
        <v>2019.0</v>
      </c>
      <c r="S433" s="136">
        <v>0.238</v>
      </c>
      <c r="T433" s="128">
        <f>S433*P433</f>
        <v>2959.768</v>
      </c>
      <c r="U433" s="24">
        <f t="shared" si="2"/>
        <v>155.7772632</v>
      </c>
      <c r="V433" s="26">
        <f>VLOOKUP(R433,CPI!$A$2:$E$67,5,0)</f>
        <v>1.191839066</v>
      </c>
      <c r="W433" s="27">
        <f t="shared" si="3"/>
        <v>3527.567128</v>
      </c>
      <c r="X433" s="27">
        <f t="shared" si="4"/>
        <v>185.6614278</v>
      </c>
      <c r="Y433" s="130" t="s">
        <v>60</v>
      </c>
      <c r="Z433" s="137" t="s">
        <v>926</v>
      </c>
      <c r="AA433" s="178"/>
      <c r="AB433" s="172"/>
      <c r="AC433" s="172"/>
      <c r="AD433" s="172"/>
    </row>
    <row r="434">
      <c r="A434" s="72" t="s">
        <v>230</v>
      </c>
      <c r="B434" s="72" t="s">
        <v>504</v>
      </c>
      <c r="C434" s="115" t="s">
        <v>511</v>
      </c>
      <c r="D434" s="115" t="s">
        <v>512</v>
      </c>
      <c r="E434" s="69">
        <v>2021.0</v>
      </c>
      <c r="F434" s="72"/>
      <c r="G434" s="69">
        <v>0.0</v>
      </c>
      <c r="H434" s="69">
        <v>30.32</v>
      </c>
      <c r="I434" s="117">
        <v>0.75</v>
      </c>
      <c r="J434" s="69">
        <v>22.64</v>
      </c>
      <c r="K434" s="72"/>
      <c r="L434" s="72"/>
      <c r="M434" s="69">
        <v>13.0</v>
      </c>
      <c r="N434" s="69">
        <v>117.0</v>
      </c>
      <c r="O434" s="72"/>
      <c r="P434" s="140">
        <v>17252.45</v>
      </c>
      <c r="Q434" s="72" t="s">
        <v>234</v>
      </c>
      <c r="R434" s="115">
        <v>2021.0</v>
      </c>
      <c r="S434" s="136">
        <v>0.239</v>
      </c>
      <c r="T434" s="118">
        <f>P434*S434</f>
        <v>4123.33555</v>
      </c>
      <c r="U434" s="24">
        <f t="shared" si="2"/>
        <v>135.9939166</v>
      </c>
      <c r="V434" s="26">
        <f>VLOOKUP(R434,CPI!$A$2:$E$67,5,0)</f>
        <v>1.124486105</v>
      </c>
      <c r="W434" s="27">
        <f t="shared" si="3"/>
        <v>4636.633534</v>
      </c>
      <c r="X434" s="27">
        <f t="shared" si="4"/>
        <v>152.9232696</v>
      </c>
      <c r="Y434" s="72" t="s">
        <v>36</v>
      </c>
      <c r="Z434" s="79" t="s">
        <v>513</v>
      </c>
      <c r="AA434" s="72"/>
      <c r="AB434" s="72"/>
      <c r="AC434" s="72"/>
      <c r="AD434" s="72"/>
    </row>
    <row r="435">
      <c r="A435" s="130" t="s">
        <v>230</v>
      </c>
      <c r="B435" s="130" t="s">
        <v>872</v>
      </c>
      <c r="C435" s="16" t="s">
        <v>80</v>
      </c>
      <c r="D435" s="130" t="s">
        <v>265</v>
      </c>
      <c r="E435" s="130"/>
      <c r="F435" s="130"/>
      <c r="G435" s="130">
        <v>0.0</v>
      </c>
      <c r="H435" s="130">
        <v>7.0</v>
      </c>
      <c r="I435" s="131">
        <v>1.0</v>
      </c>
      <c r="J435" s="130">
        <v>7.0</v>
      </c>
      <c r="K435" s="132">
        <v>0.0</v>
      </c>
      <c r="L435" s="132">
        <v>0.0</v>
      </c>
      <c r="M435" s="130">
        <v>5.0</v>
      </c>
      <c r="N435" s="130"/>
      <c r="O435" s="130" t="s">
        <v>60</v>
      </c>
      <c r="P435" s="135">
        <v>4558.0</v>
      </c>
      <c r="Q435" s="130" t="s">
        <v>234</v>
      </c>
      <c r="R435" s="130">
        <v>2018.0</v>
      </c>
      <c r="S435" s="136">
        <v>0.237</v>
      </c>
      <c r="T435" s="128">
        <f>S435*P435</f>
        <v>1080.246</v>
      </c>
      <c r="U435" s="24">
        <f t="shared" si="2"/>
        <v>154.3208571</v>
      </c>
      <c r="V435" s="26">
        <f>VLOOKUP(R435,CPI!$A$2:$E$67,5,0)</f>
        <v>1.21343491</v>
      </c>
      <c r="W435" s="27">
        <f t="shared" si="3"/>
        <v>1310.808208</v>
      </c>
      <c r="X435" s="27">
        <f t="shared" si="4"/>
        <v>187.2583154</v>
      </c>
      <c r="Y435" s="130" t="s">
        <v>60</v>
      </c>
      <c r="Z435" s="137" t="s">
        <v>887</v>
      </c>
      <c r="AA435" s="178"/>
      <c r="AB435" s="172"/>
      <c r="AC435" s="172"/>
      <c r="AD435" s="172"/>
    </row>
    <row r="436">
      <c r="A436" s="72" t="s">
        <v>230</v>
      </c>
      <c r="B436" s="72" t="s">
        <v>958</v>
      </c>
      <c r="C436" s="16" t="s">
        <v>239</v>
      </c>
      <c r="D436" s="115" t="s">
        <v>356</v>
      </c>
      <c r="E436" s="69">
        <v>2019.0</v>
      </c>
      <c r="F436" s="69">
        <v>2024.0</v>
      </c>
      <c r="G436" s="69">
        <v>0.0</v>
      </c>
      <c r="H436" s="69">
        <v>21.3</v>
      </c>
      <c r="I436" s="117">
        <v>1.0</v>
      </c>
      <c r="J436" s="69">
        <v>21.3</v>
      </c>
      <c r="K436" s="72"/>
      <c r="L436" s="72"/>
      <c r="M436" s="69">
        <v>12.0</v>
      </c>
      <c r="N436" s="69">
        <v>138.0</v>
      </c>
      <c r="O436" s="72"/>
      <c r="P436" s="140">
        <v>13823.0</v>
      </c>
      <c r="Q436" s="72" t="s">
        <v>234</v>
      </c>
      <c r="R436" s="115">
        <v>2021.0</v>
      </c>
      <c r="S436" s="136">
        <v>0.239</v>
      </c>
      <c r="T436" s="118">
        <f>P436*S436</f>
        <v>3303.697</v>
      </c>
      <c r="U436" s="24">
        <f t="shared" si="2"/>
        <v>155.1031455</v>
      </c>
      <c r="V436" s="26">
        <f>VLOOKUP(R436,CPI!$A$2:$E$67,5,0)</f>
        <v>1.124486105</v>
      </c>
      <c r="W436" s="27">
        <f t="shared" si="3"/>
        <v>3714.961373</v>
      </c>
      <c r="X436" s="27">
        <f t="shared" si="4"/>
        <v>174.4113321</v>
      </c>
      <c r="Y436" s="72" t="s">
        <v>36</v>
      </c>
      <c r="Z436" s="79" t="s">
        <v>966</v>
      </c>
      <c r="AA436" s="72"/>
      <c r="AB436" s="72"/>
      <c r="AC436" s="123"/>
      <c r="AD436" s="72"/>
    </row>
    <row r="437">
      <c r="A437" s="130" t="s">
        <v>230</v>
      </c>
      <c r="B437" s="130" t="s">
        <v>323</v>
      </c>
      <c r="C437" s="36" t="s">
        <v>54</v>
      </c>
      <c r="D437" s="130" t="s">
        <v>336</v>
      </c>
      <c r="E437" s="130">
        <v>2017.0</v>
      </c>
      <c r="F437" s="130">
        <v>2021.0</v>
      </c>
      <c r="G437" s="130">
        <v>0.0</v>
      </c>
      <c r="H437" s="130">
        <v>14.72</v>
      </c>
      <c r="I437" s="131">
        <v>0.7826086957</v>
      </c>
      <c r="J437" s="130">
        <v>11.52</v>
      </c>
      <c r="K437" s="132">
        <v>0.0</v>
      </c>
      <c r="L437" s="132">
        <v>0.0</v>
      </c>
      <c r="M437" s="130">
        <v>11.0</v>
      </c>
      <c r="N437" s="130"/>
      <c r="O437" s="130" t="s">
        <v>60</v>
      </c>
      <c r="P437" s="135">
        <v>9513.0</v>
      </c>
      <c r="Q437" s="130" t="s">
        <v>234</v>
      </c>
      <c r="R437" s="130">
        <v>2017.0</v>
      </c>
      <c r="S437" s="136">
        <v>0.239</v>
      </c>
      <c r="T437" s="128">
        <f t="shared" ref="T437:T439" si="8">S437*P437</f>
        <v>2273.607</v>
      </c>
      <c r="U437" s="24">
        <f t="shared" si="2"/>
        <v>154.4569973</v>
      </c>
      <c r="V437" s="26">
        <f>VLOOKUP(R437,CPI!$A$2:$E$67,5,0)</f>
        <v>1.243072781</v>
      </c>
      <c r="W437" s="27">
        <f t="shared" si="3"/>
        <v>2826.258976</v>
      </c>
      <c r="X437" s="27">
        <f t="shared" si="4"/>
        <v>192.0012891</v>
      </c>
      <c r="Y437" s="130" t="s">
        <v>60</v>
      </c>
      <c r="Z437" s="137" t="s">
        <v>337</v>
      </c>
      <c r="AA437" s="29"/>
      <c r="AB437" s="30"/>
      <c r="AC437" s="30"/>
      <c r="AD437" s="30"/>
    </row>
    <row r="438">
      <c r="A438" s="130" t="s">
        <v>230</v>
      </c>
      <c r="B438" s="130" t="s">
        <v>586</v>
      </c>
      <c r="C438" s="36" t="s">
        <v>57</v>
      </c>
      <c r="D438" s="130" t="s">
        <v>589</v>
      </c>
      <c r="E438" s="130">
        <v>2013.0</v>
      </c>
      <c r="F438" s="130">
        <v>2015.0</v>
      </c>
      <c r="G438" s="130">
        <v>0.0</v>
      </c>
      <c r="H438" s="130">
        <v>5.2</v>
      </c>
      <c r="I438" s="131"/>
      <c r="J438" s="130"/>
      <c r="K438" s="132" t="e">
        <v>#N/A</v>
      </c>
      <c r="L438" s="132" t="e">
        <v>#N/A</v>
      </c>
      <c r="M438" s="130">
        <v>4.0</v>
      </c>
      <c r="N438" s="130"/>
      <c r="O438" s="130" t="s">
        <v>60</v>
      </c>
      <c r="P438" s="135">
        <v>3306.0</v>
      </c>
      <c r="Q438" s="130" t="s">
        <v>234</v>
      </c>
      <c r="R438" s="130">
        <v>2013.0</v>
      </c>
      <c r="S438" s="136">
        <v>0.273</v>
      </c>
      <c r="T438" s="128">
        <f t="shared" si="8"/>
        <v>902.538</v>
      </c>
      <c r="U438" s="24">
        <f t="shared" si="2"/>
        <v>173.565</v>
      </c>
      <c r="V438" s="26">
        <f>VLOOKUP(R438,CPI!$A$2:$E$67,5,0)</f>
        <v>1.307975292</v>
      </c>
      <c r="W438" s="27">
        <f t="shared" si="3"/>
        <v>1180.497404</v>
      </c>
      <c r="X438" s="27">
        <f t="shared" si="4"/>
        <v>227.0187315</v>
      </c>
      <c r="Y438" s="130" t="s">
        <v>60</v>
      </c>
      <c r="Z438" s="137" t="s">
        <v>590</v>
      </c>
      <c r="AA438" s="29"/>
      <c r="AB438" s="30"/>
      <c r="AC438" s="30"/>
      <c r="AD438" s="30"/>
    </row>
    <row r="439">
      <c r="A439" s="130" t="s">
        <v>230</v>
      </c>
      <c r="B439" s="130" t="s">
        <v>514</v>
      </c>
      <c r="C439" s="36" t="s">
        <v>54</v>
      </c>
      <c r="D439" s="130" t="s">
        <v>437</v>
      </c>
      <c r="E439" s="130">
        <v>2017.0</v>
      </c>
      <c r="F439" s="130">
        <v>2020.0</v>
      </c>
      <c r="G439" s="130">
        <v>0.0</v>
      </c>
      <c r="H439" s="130">
        <v>1.6</v>
      </c>
      <c r="I439" s="131"/>
      <c r="J439" s="130"/>
      <c r="K439" s="132" t="e">
        <v>#N/A</v>
      </c>
      <c r="L439" s="132" t="e">
        <v>#N/A</v>
      </c>
      <c r="M439" s="130">
        <v>1.0</v>
      </c>
      <c r="N439" s="130"/>
      <c r="O439" s="130" t="s">
        <v>60</v>
      </c>
      <c r="P439" s="135">
        <v>988.0</v>
      </c>
      <c r="Q439" s="130" t="s">
        <v>234</v>
      </c>
      <c r="R439" s="130">
        <v>2016.0</v>
      </c>
      <c r="S439" s="136">
        <v>0.251</v>
      </c>
      <c r="T439" s="128">
        <f t="shared" si="8"/>
        <v>247.988</v>
      </c>
      <c r="U439" s="24">
        <f t="shared" si="2"/>
        <v>154.9925</v>
      </c>
      <c r="V439" s="26">
        <f>VLOOKUP(R439,CPI!$A$2:$E$67,5,0)</f>
        <v>1.269554638</v>
      </c>
      <c r="W439" s="27">
        <f t="shared" si="3"/>
        <v>314.8343156</v>
      </c>
      <c r="X439" s="27">
        <f t="shared" si="4"/>
        <v>196.7714472</v>
      </c>
      <c r="Y439" s="130" t="s">
        <v>60</v>
      </c>
      <c r="Z439" s="137" t="s">
        <v>521</v>
      </c>
      <c r="AA439" s="29"/>
      <c r="AB439" s="30"/>
      <c r="AC439" s="30"/>
      <c r="AD439" s="30"/>
    </row>
    <row r="440">
      <c r="A440" s="72" t="s">
        <v>230</v>
      </c>
      <c r="B440" s="72" t="s">
        <v>958</v>
      </c>
      <c r="C440" s="16" t="s">
        <v>243</v>
      </c>
      <c r="D440" s="115" t="s">
        <v>379</v>
      </c>
      <c r="E440" s="69">
        <v>2019.0</v>
      </c>
      <c r="F440" s="69">
        <v>2024.0</v>
      </c>
      <c r="G440" s="69">
        <v>0.0</v>
      </c>
      <c r="H440" s="69">
        <v>50.63</v>
      </c>
      <c r="I440" s="117">
        <v>1.0</v>
      </c>
      <c r="J440" s="69">
        <v>50.63</v>
      </c>
      <c r="K440" s="72"/>
      <c r="L440" s="72"/>
      <c r="M440" s="69">
        <v>27.0</v>
      </c>
      <c r="N440" s="69">
        <v>138.0</v>
      </c>
      <c r="O440" s="72"/>
      <c r="P440" s="140">
        <v>31019.49</v>
      </c>
      <c r="Q440" s="72" t="s">
        <v>234</v>
      </c>
      <c r="R440" s="115">
        <v>2021.0</v>
      </c>
      <c r="S440" s="136">
        <v>0.239</v>
      </c>
      <c r="T440" s="118">
        <f>P440*S440</f>
        <v>7413.65811</v>
      </c>
      <c r="U440" s="24">
        <f t="shared" si="2"/>
        <v>146.4281673</v>
      </c>
      <c r="V440" s="26">
        <f>VLOOKUP(R440,CPI!$A$2:$E$67,5,0)</f>
        <v>1.124486105</v>
      </c>
      <c r="W440" s="27">
        <f t="shared" si="3"/>
        <v>8336.555535</v>
      </c>
      <c r="X440" s="27">
        <f t="shared" si="4"/>
        <v>164.6564396</v>
      </c>
      <c r="Y440" s="115" t="s">
        <v>42</v>
      </c>
      <c r="Z440" s="79" t="s">
        <v>969</v>
      </c>
      <c r="AA440" s="72"/>
      <c r="AB440" s="72"/>
      <c r="AC440" s="221"/>
      <c r="AD440" s="72"/>
    </row>
    <row r="441">
      <c r="A441" s="6" t="s">
        <v>230</v>
      </c>
      <c r="B441" s="6" t="s">
        <v>350</v>
      </c>
      <c r="C441" s="16" t="s">
        <v>288</v>
      </c>
      <c r="D441" s="6" t="s">
        <v>368</v>
      </c>
      <c r="E441" s="6">
        <v>2019.0</v>
      </c>
      <c r="F441" s="6">
        <v>2024.0</v>
      </c>
      <c r="G441" s="69">
        <v>0.0</v>
      </c>
      <c r="H441" s="69">
        <v>42.87</v>
      </c>
      <c r="I441" s="117">
        <v>1.0</v>
      </c>
      <c r="J441" s="69">
        <v>42.87</v>
      </c>
      <c r="K441" s="72"/>
      <c r="L441" s="72"/>
      <c r="M441" s="69">
        <v>12.0</v>
      </c>
      <c r="N441" s="69">
        <v>184.0</v>
      </c>
      <c r="O441" s="72"/>
      <c r="P441" s="140">
        <v>35518.0</v>
      </c>
      <c r="Q441" s="72" t="s">
        <v>234</v>
      </c>
      <c r="R441" s="6">
        <v>2019.0</v>
      </c>
      <c r="S441" s="136">
        <v>0.238</v>
      </c>
      <c r="T441" s="148">
        <f>S441*P441</f>
        <v>8453.284</v>
      </c>
      <c r="U441" s="24">
        <f t="shared" si="2"/>
        <v>197.1841381</v>
      </c>
      <c r="V441" s="26">
        <f>VLOOKUP(R441,CPI!$A$2:$E$67,5,0)</f>
        <v>1.191839066</v>
      </c>
      <c r="W441" s="27">
        <f t="shared" si="3"/>
        <v>10074.9541</v>
      </c>
      <c r="X441" s="27">
        <f t="shared" si="4"/>
        <v>235.0117589</v>
      </c>
      <c r="Y441" s="6" t="s">
        <v>60</v>
      </c>
      <c r="Z441" s="149" t="s">
        <v>369</v>
      </c>
      <c r="AA441" s="179"/>
      <c r="AB441" s="60"/>
      <c r="AC441" s="60"/>
      <c r="AD441" s="60"/>
    </row>
    <row r="442">
      <c r="A442" s="72" t="s">
        <v>230</v>
      </c>
      <c r="B442" s="72" t="s">
        <v>958</v>
      </c>
      <c r="C442" s="115" t="s">
        <v>87</v>
      </c>
      <c r="D442" s="115" t="s">
        <v>357</v>
      </c>
      <c r="E442" s="69">
        <v>2021.0</v>
      </c>
      <c r="F442" s="72"/>
      <c r="G442" s="69">
        <v>0.0</v>
      </c>
      <c r="H442" s="69">
        <v>6.305</v>
      </c>
      <c r="I442" s="117">
        <v>1.0</v>
      </c>
      <c r="J442" s="69">
        <v>6.305</v>
      </c>
      <c r="K442" s="72"/>
      <c r="L442" s="72"/>
      <c r="M442" s="69">
        <v>4.0</v>
      </c>
      <c r="N442" s="69">
        <v>138.0</v>
      </c>
      <c r="O442" s="72" t="s">
        <v>36</v>
      </c>
      <c r="P442" s="140">
        <v>3573.0</v>
      </c>
      <c r="Q442" s="72" t="s">
        <v>234</v>
      </c>
      <c r="R442" s="115">
        <v>2021.0</v>
      </c>
      <c r="S442" s="136">
        <v>0.239</v>
      </c>
      <c r="T442" s="118">
        <f>P442*S442</f>
        <v>853.947</v>
      </c>
      <c r="U442" s="24">
        <f t="shared" si="2"/>
        <v>135.4396511</v>
      </c>
      <c r="V442" s="26">
        <f>VLOOKUP(R442,CPI!$A$2:$E$67,5,0)</f>
        <v>1.124486105</v>
      </c>
      <c r="W442" s="27">
        <f t="shared" si="3"/>
        <v>960.2515363</v>
      </c>
      <c r="X442" s="27">
        <f t="shared" si="4"/>
        <v>152.3000058</v>
      </c>
      <c r="Y442" s="72" t="s">
        <v>36</v>
      </c>
      <c r="Z442" s="79" t="s">
        <v>973</v>
      </c>
      <c r="AA442" s="72"/>
      <c r="AB442" s="72"/>
      <c r="AC442" s="72"/>
      <c r="AD442" s="72"/>
    </row>
    <row r="443">
      <c r="A443" s="130" t="s">
        <v>230</v>
      </c>
      <c r="B443" s="130" t="s">
        <v>911</v>
      </c>
      <c r="C443" s="36" t="s">
        <v>54</v>
      </c>
      <c r="D443" s="130" t="s">
        <v>326</v>
      </c>
      <c r="E443" s="130"/>
      <c r="F443" s="130"/>
      <c r="G443" s="130">
        <v>0.0</v>
      </c>
      <c r="H443" s="130">
        <v>7.0</v>
      </c>
      <c r="I443" s="131">
        <v>1.0</v>
      </c>
      <c r="J443" s="130">
        <v>7.0</v>
      </c>
      <c r="K443" s="132">
        <v>0.0</v>
      </c>
      <c r="L443" s="132">
        <v>0.0</v>
      </c>
      <c r="M443" s="130">
        <v>4.0</v>
      </c>
      <c r="N443" s="130"/>
      <c r="O443" s="130" t="s">
        <v>60</v>
      </c>
      <c r="P443" s="135">
        <v>4289.0</v>
      </c>
      <c r="Q443" s="130" t="s">
        <v>234</v>
      </c>
      <c r="R443" s="130">
        <v>2019.0</v>
      </c>
      <c r="S443" s="136">
        <v>0.238</v>
      </c>
      <c r="T443" s="128">
        <f t="shared" ref="T443:T449" si="9">S443*P443</f>
        <v>1020.782</v>
      </c>
      <c r="U443" s="24">
        <f t="shared" si="2"/>
        <v>145.826</v>
      </c>
      <c r="V443" s="26">
        <f>VLOOKUP(R443,CPI!$A$2:$E$67,5,0)</f>
        <v>1.191839066</v>
      </c>
      <c r="W443" s="27">
        <f t="shared" si="3"/>
        <v>1216.607865</v>
      </c>
      <c r="X443" s="27">
        <f t="shared" si="4"/>
        <v>173.8011236</v>
      </c>
      <c r="Y443" s="130" t="s">
        <v>60</v>
      </c>
      <c r="Z443" s="137" t="s">
        <v>926</v>
      </c>
      <c r="AA443" s="178"/>
      <c r="AB443" s="172"/>
      <c r="AC443" s="172"/>
      <c r="AD443" s="172"/>
    </row>
    <row r="444">
      <c r="A444" s="130" t="s">
        <v>230</v>
      </c>
      <c r="B444" s="130" t="s">
        <v>820</v>
      </c>
      <c r="C444" s="16" t="s">
        <v>54</v>
      </c>
      <c r="D444" s="130" t="s">
        <v>348</v>
      </c>
      <c r="E444" s="130">
        <v>2012.0</v>
      </c>
      <c r="F444" s="130">
        <v>2016.0</v>
      </c>
      <c r="G444" s="130">
        <v>0.0</v>
      </c>
      <c r="H444" s="130">
        <v>25.1</v>
      </c>
      <c r="I444" s="131"/>
      <c r="J444" s="130"/>
      <c r="K444" s="132" t="e">
        <v>#N/A</v>
      </c>
      <c r="L444" s="132" t="e">
        <v>#N/A</v>
      </c>
      <c r="M444" s="130">
        <v>22.0</v>
      </c>
      <c r="N444" s="130"/>
      <c r="O444" s="130" t="s">
        <v>60</v>
      </c>
      <c r="P444" s="135">
        <v>15139.0</v>
      </c>
      <c r="Q444" s="130" t="s">
        <v>234</v>
      </c>
      <c r="R444" s="130">
        <v>2012.0</v>
      </c>
      <c r="S444" s="136">
        <v>0.2808</v>
      </c>
      <c r="T444" s="128">
        <f t="shared" si="9"/>
        <v>4251.0312</v>
      </c>
      <c r="U444" s="24">
        <f t="shared" si="2"/>
        <v>169.3637928</v>
      </c>
      <c r="V444" s="26">
        <f>VLOOKUP(R444,CPI!$A$2:$E$67,5,0)</f>
        <v>1.327133984</v>
      </c>
      <c r="W444" s="27">
        <f t="shared" si="3"/>
        <v>5641.687974</v>
      </c>
      <c r="X444" s="27">
        <f t="shared" si="4"/>
        <v>224.7684452</v>
      </c>
      <c r="Y444" s="130" t="s">
        <v>42</v>
      </c>
      <c r="Z444" s="137" t="s">
        <v>821</v>
      </c>
      <c r="AA444" s="29"/>
      <c r="AB444" s="30"/>
      <c r="AC444" s="30"/>
      <c r="AD444" s="30"/>
    </row>
    <row r="445">
      <c r="A445" s="130" t="s">
        <v>230</v>
      </c>
      <c r="B445" s="130" t="s">
        <v>911</v>
      </c>
      <c r="C445" s="130" t="s">
        <v>267</v>
      </c>
      <c r="D445" s="130" t="s">
        <v>267</v>
      </c>
      <c r="E445" s="130"/>
      <c r="F445" s="130"/>
      <c r="G445" s="130">
        <v>0.0</v>
      </c>
      <c r="H445" s="130">
        <v>13.8</v>
      </c>
      <c r="I445" s="131">
        <v>1.0</v>
      </c>
      <c r="J445" s="130">
        <v>13.8</v>
      </c>
      <c r="K445" s="132">
        <v>0.0</v>
      </c>
      <c r="L445" s="132">
        <v>0.0</v>
      </c>
      <c r="M445" s="130">
        <v>8.0</v>
      </c>
      <c r="N445" s="130"/>
      <c r="O445" s="130" t="s">
        <v>60</v>
      </c>
      <c r="P445" s="135">
        <v>8315.0</v>
      </c>
      <c r="Q445" s="130" t="s">
        <v>234</v>
      </c>
      <c r="R445" s="130">
        <v>2019.0</v>
      </c>
      <c r="S445" s="136">
        <v>0.238</v>
      </c>
      <c r="T445" s="128">
        <f t="shared" si="9"/>
        <v>1978.97</v>
      </c>
      <c r="U445" s="24">
        <f t="shared" si="2"/>
        <v>143.4036232</v>
      </c>
      <c r="V445" s="26">
        <f>VLOOKUP(R445,CPI!$A$2:$E$67,5,0)</f>
        <v>1.191839066</v>
      </c>
      <c r="W445" s="27">
        <f t="shared" si="3"/>
        <v>2358.613756</v>
      </c>
      <c r="X445" s="27">
        <f t="shared" si="4"/>
        <v>170.9140403</v>
      </c>
      <c r="Y445" s="130" t="s">
        <v>60</v>
      </c>
      <c r="Z445" s="137" t="s">
        <v>926</v>
      </c>
      <c r="AA445" s="178"/>
      <c r="AB445" s="172"/>
      <c r="AC445" s="172"/>
      <c r="AD445" s="172"/>
    </row>
    <row r="446">
      <c r="A446" s="130" t="s">
        <v>230</v>
      </c>
      <c r="B446" s="130" t="s">
        <v>761</v>
      </c>
      <c r="C446" s="16" t="s">
        <v>87</v>
      </c>
      <c r="D446" s="130" t="s">
        <v>331</v>
      </c>
      <c r="E446" s="130">
        <v>2019.0</v>
      </c>
      <c r="F446" s="130">
        <v>2025.0</v>
      </c>
      <c r="G446" s="130">
        <v>0.0</v>
      </c>
      <c r="H446" s="130">
        <v>38.4</v>
      </c>
      <c r="I446" s="131"/>
      <c r="J446" s="130"/>
      <c r="K446" s="132" t="e">
        <v>#N/A</v>
      </c>
      <c r="L446" s="132" t="e">
        <v>#N/A</v>
      </c>
      <c r="M446" s="130">
        <v>28.0</v>
      </c>
      <c r="N446" s="130"/>
      <c r="O446" s="130" t="s">
        <v>60</v>
      </c>
      <c r="P446" s="135">
        <v>23130.0</v>
      </c>
      <c r="Q446" s="130" t="s">
        <v>234</v>
      </c>
      <c r="R446" s="130">
        <v>2019.0</v>
      </c>
      <c r="S446" s="136">
        <v>0.238</v>
      </c>
      <c r="T446" s="128">
        <f t="shared" si="9"/>
        <v>5504.94</v>
      </c>
      <c r="U446" s="24">
        <f t="shared" si="2"/>
        <v>143.3578125</v>
      </c>
      <c r="V446" s="26">
        <f>VLOOKUP(R446,CPI!$A$2:$E$67,5,0)</f>
        <v>1.191839066</v>
      </c>
      <c r="W446" s="27">
        <f t="shared" si="3"/>
        <v>6561.002546</v>
      </c>
      <c r="X446" s="27">
        <f t="shared" si="4"/>
        <v>170.8594413</v>
      </c>
      <c r="Y446" s="130" t="s">
        <v>42</v>
      </c>
      <c r="Z446" s="137" t="s">
        <v>765</v>
      </c>
      <c r="AA446" s="179"/>
      <c r="AB446" s="174"/>
      <c r="AC446" s="174"/>
      <c r="AD446" s="174"/>
    </row>
    <row r="447">
      <c r="A447" s="130" t="s">
        <v>230</v>
      </c>
      <c r="B447" s="130" t="s">
        <v>461</v>
      </c>
      <c r="C447" s="16" t="s">
        <v>87</v>
      </c>
      <c r="D447" s="130" t="s">
        <v>478</v>
      </c>
      <c r="E447" s="130">
        <v>2019.0</v>
      </c>
      <c r="F447" s="130">
        <v>2022.0</v>
      </c>
      <c r="G447" s="130">
        <v>0.0</v>
      </c>
      <c r="H447" s="130">
        <v>9.6</v>
      </c>
      <c r="I447" s="131">
        <v>1.0</v>
      </c>
      <c r="J447" s="130">
        <v>9.6</v>
      </c>
      <c r="K447" s="132">
        <v>0.0</v>
      </c>
      <c r="L447" s="132">
        <v>0.0</v>
      </c>
      <c r="M447" s="130">
        <v>4.0</v>
      </c>
      <c r="N447" s="130"/>
      <c r="O447" s="130" t="s">
        <v>60</v>
      </c>
      <c r="P447" s="135">
        <v>5698.0</v>
      </c>
      <c r="Q447" s="130" t="s">
        <v>234</v>
      </c>
      <c r="R447" s="130">
        <v>2017.0</v>
      </c>
      <c r="S447" s="136">
        <v>0.239</v>
      </c>
      <c r="T447" s="128">
        <f t="shared" si="9"/>
        <v>1361.822</v>
      </c>
      <c r="U447" s="24">
        <f t="shared" si="2"/>
        <v>141.8564583</v>
      </c>
      <c r="V447" s="26">
        <f>VLOOKUP(R447,CPI!$A$2:$E$67,5,0)</f>
        <v>1.243072781</v>
      </c>
      <c r="W447" s="27">
        <f t="shared" si="3"/>
        <v>1692.84386</v>
      </c>
      <c r="X447" s="27">
        <f t="shared" si="4"/>
        <v>176.3379021</v>
      </c>
      <c r="Y447" s="130" t="s">
        <v>60</v>
      </c>
      <c r="Z447" s="137" t="s">
        <v>473</v>
      </c>
      <c r="AA447" s="29"/>
      <c r="AB447" s="30"/>
      <c r="AC447" s="30"/>
      <c r="AD447" s="30"/>
    </row>
    <row r="448">
      <c r="A448" s="130" t="s">
        <v>230</v>
      </c>
      <c r="B448" s="130" t="s">
        <v>231</v>
      </c>
      <c r="C448" s="130" t="s">
        <v>247</v>
      </c>
      <c r="D448" s="130" t="s">
        <v>247</v>
      </c>
      <c r="E448" s="130">
        <v>2007.0</v>
      </c>
      <c r="F448" s="130">
        <v>2010.0</v>
      </c>
      <c r="G448" s="130">
        <v>0.0</v>
      </c>
      <c r="H448" s="130">
        <v>21.8</v>
      </c>
      <c r="I448" s="131">
        <v>0.8027522936</v>
      </c>
      <c r="J448" s="130">
        <v>17.5</v>
      </c>
      <c r="K448" s="132">
        <v>4.36</v>
      </c>
      <c r="L448" s="132">
        <v>0.0</v>
      </c>
      <c r="M448" s="130">
        <v>11.0</v>
      </c>
      <c r="N448" s="130"/>
      <c r="O448" s="130" t="s">
        <v>42</v>
      </c>
      <c r="P448" s="135">
        <v>10930.0</v>
      </c>
      <c r="Q448" s="130" t="s">
        <v>234</v>
      </c>
      <c r="R448" s="130">
        <v>2007.0</v>
      </c>
      <c r="S448" s="136">
        <v>0.333</v>
      </c>
      <c r="T448" s="128">
        <f t="shared" si="9"/>
        <v>3639.69</v>
      </c>
      <c r="U448" s="24">
        <f t="shared" si="2"/>
        <v>166.9582569</v>
      </c>
      <c r="V448" s="26">
        <f>VLOOKUP(R448,CPI!$A$2:$E$67,5,0)</f>
        <v>1.469562366</v>
      </c>
      <c r="W448" s="27">
        <f t="shared" si="3"/>
        <v>5348.751446</v>
      </c>
      <c r="X448" s="27">
        <f t="shared" si="4"/>
        <v>245.3555709</v>
      </c>
      <c r="Y448" s="130" t="s">
        <v>42</v>
      </c>
      <c r="Z448" s="137" t="s">
        <v>248</v>
      </c>
      <c r="AA448" s="29"/>
      <c r="AB448" s="30"/>
      <c r="AC448" s="30"/>
      <c r="AD448" s="30"/>
    </row>
    <row r="449">
      <c r="A449" s="130" t="s">
        <v>230</v>
      </c>
      <c r="B449" s="130" t="s">
        <v>704</v>
      </c>
      <c r="C449" s="130" t="s">
        <v>745</v>
      </c>
      <c r="D449" s="130" t="s">
        <v>745</v>
      </c>
      <c r="E449" s="130"/>
      <c r="F449" s="130"/>
      <c r="G449" s="130">
        <v>0.0</v>
      </c>
      <c r="H449" s="130">
        <v>44.6</v>
      </c>
      <c r="I449" s="131">
        <v>0.59</v>
      </c>
      <c r="J449" s="130">
        <v>26.1</v>
      </c>
      <c r="K449" s="132">
        <v>0.0</v>
      </c>
      <c r="L449" s="132">
        <v>0.0</v>
      </c>
      <c r="M449" s="130">
        <v>8.0</v>
      </c>
      <c r="N449" s="130"/>
      <c r="O449" s="130" t="s">
        <v>60</v>
      </c>
      <c r="P449" s="135">
        <v>26426.0</v>
      </c>
      <c r="Q449" s="130" t="s">
        <v>234</v>
      </c>
      <c r="R449" s="130">
        <v>2018.0</v>
      </c>
      <c r="S449" s="136">
        <v>0.237</v>
      </c>
      <c r="T449" s="128">
        <f t="shared" si="9"/>
        <v>6262.962</v>
      </c>
      <c r="U449" s="24">
        <f t="shared" si="2"/>
        <v>140.425157</v>
      </c>
      <c r="V449" s="26">
        <f>VLOOKUP(R449,CPI!$A$2:$E$67,5,0)</f>
        <v>1.21343491</v>
      </c>
      <c r="W449" s="27">
        <f t="shared" si="3"/>
        <v>7599.696732</v>
      </c>
      <c r="X449" s="27">
        <f t="shared" si="4"/>
        <v>170.3967877</v>
      </c>
      <c r="Y449" s="130" t="s">
        <v>60</v>
      </c>
      <c r="Z449" s="137" t="s">
        <v>739</v>
      </c>
      <c r="AA449" s="29"/>
      <c r="AB449" s="30"/>
      <c r="AC449" s="30"/>
      <c r="AD449" s="30"/>
    </row>
    <row r="450">
      <c r="A450" s="72" t="s">
        <v>230</v>
      </c>
      <c r="B450" s="72" t="s">
        <v>911</v>
      </c>
      <c r="C450" s="16" t="s">
        <v>283</v>
      </c>
      <c r="D450" s="115" t="s">
        <v>924</v>
      </c>
      <c r="E450" s="69">
        <v>2019.0</v>
      </c>
      <c r="F450" s="69">
        <v>2024.0</v>
      </c>
      <c r="G450" s="69">
        <v>0.0</v>
      </c>
      <c r="H450" s="69">
        <v>15.03</v>
      </c>
      <c r="I450" s="117">
        <v>1.0</v>
      </c>
      <c r="J450" s="69">
        <v>15.03</v>
      </c>
      <c r="K450" s="72"/>
      <c r="L450" s="72"/>
      <c r="M450" s="69">
        <v>9.0</v>
      </c>
      <c r="N450" s="69">
        <v>117.0</v>
      </c>
      <c r="O450" s="72"/>
      <c r="P450" s="140">
        <v>10631.0</v>
      </c>
      <c r="Q450" s="72" t="s">
        <v>234</v>
      </c>
      <c r="R450" s="115">
        <v>2021.0</v>
      </c>
      <c r="S450" s="136">
        <v>0.239</v>
      </c>
      <c r="T450" s="118">
        <f>P450*S450</f>
        <v>2540.809</v>
      </c>
      <c r="U450" s="24">
        <f t="shared" si="2"/>
        <v>169.0491683</v>
      </c>
      <c r="V450" s="26">
        <f>VLOOKUP(R450,CPI!$A$2:$E$67,5,0)</f>
        <v>1.124486105</v>
      </c>
      <c r="W450" s="27">
        <f t="shared" si="3"/>
        <v>2857.104417</v>
      </c>
      <c r="X450" s="27">
        <f t="shared" si="4"/>
        <v>190.0934409</v>
      </c>
      <c r="Y450" s="72" t="s">
        <v>36</v>
      </c>
      <c r="Z450" s="79" t="s">
        <v>925</v>
      </c>
      <c r="AA450" s="72"/>
      <c r="AB450" s="72"/>
      <c r="AC450" s="72"/>
      <c r="AD450" s="72"/>
    </row>
    <row r="451">
      <c r="A451" s="130" t="s">
        <v>230</v>
      </c>
      <c r="B451" s="130" t="s">
        <v>872</v>
      </c>
      <c r="C451" s="130" t="s">
        <v>896</v>
      </c>
      <c r="D451" s="130" t="s">
        <v>896</v>
      </c>
      <c r="E451" s="130"/>
      <c r="F451" s="130"/>
      <c r="G451" s="130">
        <v>0.0</v>
      </c>
      <c r="H451" s="130">
        <v>30.2</v>
      </c>
      <c r="I451" s="131">
        <v>0.8410596026</v>
      </c>
      <c r="J451" s="130">
        <v>25.4</v>
      </c>
      <c r="K451" s="132">
        <v>0.0</v>
      </c>
      <c r="L451" s="132">
        <v>0.0</v>
      </c>
      <c r="M451" s="130">
        <v>11.0</v>
      </c>
      <c r="N451" s="130"/>
      <c r="O451" s="130" t="s">
        <v>60</v>
      </c>
      <c r="P451" s="135">
        <v>17681.0</v>
      </c>
      <c r="Q451" s="130" t="s">
        <v>234</v>
      </c>
      <c r="R451" s="130">
        <v>2018.0</v>
      </c>
      <c r="S451" s="136">
        <v>0.237</v>
      </c>
      <c r="T451" s="128">
        <f t="shared" ref="T451:T452" si="10">S451*P451</f>
        <v>4190.397</v>
      </c>
      <c r="U451" s="24">
        <f t="shared" si="2"/>
        <v>138.7548675</v>
      </c>
      <c r="V451" s="26">
        <f>VLOOKUP(R451,CPI!$A$2:$E$67,5,0)</f>
        <v>1.21343491</v>
      </c>
      <c r="W451" s="27">
        <f t="shared" si="3"/>
        <v>5084.774007</v>
      </c>
      <c r="X451" s="27">
        <f t="shared" si="4"/>
        <v>168.3700002</v>
      </c>
      <c r="Y451" s="130" t="s">
        <v>60</v>
      </c>
      <c r="Z451" s="137" t="s">
        <v>887</v>
      </c>
      <c r="AA451" s="178"/>
      <c r="AB451" s="172"/>
      <c r="AC451" s="172"/>
      <c r="AD451" s="172"/>
    </row>
    <row r="452">
      <c r="A452" s="130" t="s">
        <v>230</v>
      </c>
      <c r="B452" s="130" t="s">
        <v>834</v>
      </c>
      <c r="C452" s="16" t="s">
        <v>841</v>
      </c>
      <c r="D452" s="130" t="s">
        <v>842</v>
      </c>
      <c r="E452" s="130">
        <v>2017.0</v>
      </c>
      <c r="F452" s="130">
        <v>2020.0</v>
      </c>
      <c r="G452" s="130">
        <v>0.0</v>
      </c>
      <c r="H452" s="130">
        <v>52.8</v>
      </c>
      <c r="I452" s="131">
        <v>0.3390151515</v>
      </c>
      <c r="J452" s="130">
        <v>17.9</v>
      </c>
      <c r="K452" s="132">
        <v>0.0</v>
      </c>
      <c r="L452" s="132">
        <v>0.0</v>
      </c>
      <c r="M452" s="130">
        <v>5.0</v>
      </c>
      <c r="N452" s="130"/>
      <c r="O452" s="130" t="s">
        <v>60</v>
      </c>
      <c r="P452" s="135">
        <v>29975.0</v>
      </c>
      <c r="Q452" s="130" t="s">
        <v>234</v>
      </c>
      <c r="R452" s="130">
        <v>2015.0</v>
      </c>
      <c r="S452" s="136">
        <v>0.258</v>
      </c>
      <c r="T452" s="128">
        <f t="shared" si="10"/>
        <v>7733.55</v>
      </c>
      <c r="U452" s="24">
        <f t="shared" si="2"/>
        <v>146.46875</v>
      </c>
      <c r="V452" s="26">
        <f>VLOOKUP(R452,CPI!$A$2:$E$67,5,0)</f>
        <v>1.285570233</v>
      </c>
      <c r="W452" s="27">
        <f t="shared" si="3"/>
        <v>9942.021678</v>
      </c>
      <c r="X452" s="27">
        <f t="shared" si="4"/>
        <v>188.2958651</v>
      </c>
      <c r="Y452" s="130" t="s">
        <v>42</v>
      </c>
      <c r="Z452" s="137" t="s">
        <v>840</v>
      </c>
      <c r="AA452" s="173"/>
      <c r="AB452" s="174"/>
      <c r="AC452" s="174"/>
      <c r="AD452" s="174"/>
    </row>
    <row r="453">
      <c r="A453" s="72" t="s">
        <v>230</v>
      </c>
      <c r="B453" s="72" t="s">
        <v>586</v>
      </c>
      <c r="C453" s="115" t="s">
        <v>87</v>
      </c>
      <c r="D453" s="115" t="s">
        <v>357</v>
      </c>
      <c r="E453" s="69">
        <v>2013.0</v>
      </c>
      <c r="F453" s="69">
        <v>2018.0</v>
      </c>
      <c r="G453" s="69">
        <v>0.0</v>
      </c>
      <c r="H453" s="69">
        <v>4.0</v>
      </c>
      <c r="I453" s="192"/>
      <c r="J453" s="72"/>
      <c r="K453" s="72"/>
      <c r="L453" s="72"/>
      <c r="M453" s="69">
        <v>3.0</v>
      </c>
      <c r="N453" s="69">
        <v>117.0</v>
      </c>
      <c r="O453" s="72"/>
      <c r="P453" s="140">
        <v>2493.0</v>
      </c>
      <c r="Q453" s="72" t="s">
        <v>234</v>
      </c>
      <c r="R453" s="115">
        <v>2016.0</v>
      </c>
      <c r="S453" s="136">
        <v>0.251</v>
      </c>
      <c r="T453" s="118">
        <f>P453*S453</f>
        <v>625.743</v>
      </c>
      <c r="U453" s="24">
        <f t="shared" si="2"/>
        <v>156.43575</v>
      </c>
      <c r="V453" s="26">
        <f>VLOOKUP(R453,CPI!$A$2:$E$67,5,0)</f>
        <v>1.269554638</v>
      </c>
      <c r="W453" s="27">
        <f t="shared" si="3"/>
        <v>794.4149278</v>
      </c>
      <c r="X453" s="27">
        <f t="shared" si="4"/>
        <v>198.603732</v>
      </c>
      <c r="Y453" s="72"/>
      <c r="Z453" s="79" t="s">
        <v>588</v>
      </c>
      <c r="AA453" s="72"/>
      <c r="AB453" s="72"/>
      <c r="AC453" s="72"/>
      <c r="AD453" s="72"/>
    </row>
    <row r="454">
      <c r="A454" s="130" t="s">
        <v>230</v>
      </c>
      <c r="B454" s="130" t="s">
        <v>309</v>
      </c>
      <c r="C454" s="36" t="s">
        <v>54</v>
      </c>
      <c r="D454" s="130" t="s">
        <v>315</v>
      </c>
      <c r="E454" s="130">
        <v>2019.0</v>
      </c>
      <c r="F454" s="130">
        <v>2025.0</v>
      </c>
      <c r="G454" s="130">
        <v>0.0</v>
      </c>
      <c r="H454" s="130">
        <v>9.1</v>
      </c>
      <c r="I454" s="131">
        <v>1.0</v>
      </c>
      <c r="J454" s="130">
        <v>9.1</v>
      </c>
      <c r="K454" s="132">
        <v>0.0</v>
      </c>
      <c r="L454" s="132">
        <v>0.0</v>
      </c>
      <c r="M454" s="130">
        <v>5.0</v>
      </c>
      <c r="N454" s="130"/>
      <c r="O454" s="130" t="s">
        <v>60</v>
      </c>
      <c r="P454" s="135">
        <v>5131.0</v>
      </c>
      <c r="Q454" s="130" t="s">
        <v>234</v>
      </c>
      <c r="R454" s="130">
        <v>2018.0</v>
      </c>
      <c r="S454" s="136">
        <v>0.237</v>
      </c>
      <c r="T454" s="128">
        <f t="shared" ref="T454:T459" si="11">S454*P454</f>
        <v>1216.047</v>
      </c>
      <c r="U454" s="24">
        <f t="shared" si="2"/>
        <v>133.6315385</v>
      </c>
      <c r="V454" s="26">
        <f>VLOOKUP(R454,CPI!$A$2:$E$67,5,0)</f>
        <v>1.21343491</v>
      </c>
      <c r="W454" s="27">
        <f t="shared" si="3"/>
        <v>1475.593882</v>
      </c>
      <c r="X454" s="27">
        <f t="shared" si="4"/>
        <v>162.1531739</v>
      </c>
      <c r="Y454" s="130" t="s">
        <v>60</v>
      </c>
      <c r="Z454" s="137" t="s">
        <v>316</v>
      </c>
      <c r="AA454" s="29"/>
      <c r="AB454" s="30"/>
      <c r="AC454" s="30"/>
      <c r="AD454" s="30"/>
    </row>
    <row r="455">
      <c r="A455" s="130" t="s">
        <v>230</v>
      </c>
      <c r="B455" s="130" t="s">
        <v>514</v>
      </c>
      <c r="C455" s="36" t="s">
        <v>84</v>
      </c>
      <c r="D455" s="130" t="s">
        <v>522</v>
      </c>
      <c r="E455" s="130">
        <v>2017.0</v>
      </c>
      <c r="F455" s="130">
        <v>2020.0</v>
      </c>
      <c r="G455" s="130">
        <v>0.0</v>
      </c>
      <c r="H455" s="130">
        <v>3.2</v>
      </c>
      <c r="I455" s="131"/>
      <c r="J455" s="130"/>
      <c r="K455" s="132" t="e">
        <v>#N/A</v>
      </c>
      <c r="L455" s="132" t="e">
        <v>#N/A</v>
      </c>
      <c r="M455" s="130">
        <v>2.0</v>
      </c>
      <c r="N455" s="130"/>
      <c r="O455" s="130" t="s">
        <v>60</v>
      </c>
      <c r="P455" s="135">
        <v>1754.0</v>
      </c>
      <c r="Q455" s="130" t="s">
        <v>234</v>
      </c>
      <c r="R455" s="130">
        <v>2016.0</v>
      </c>
      <c r="S455" s="136">
        <v>0.251</v>
      </c>
      <c r="T455" s="128">
        <f t="shared" si="11"/>
        <v>440.254</v>
      </c>
      <c r="U455" s="24">
        <f t="shared" si="2"/>
        <v>137.579375</v>
      </c>
      <c r="V455" s="26">
        <f>VLOOKUP(R455,CPI!$A$2:$E$67,5,0)</f>
        <v>1.269554638</v>
      </c>
      <c r="W455" s="27">
        <f t="shared" si="3"/>
        <v>558.9265076</v>
      </c>
      <c r="X455" s="27">
        <f t="shared" si="4"/>
        <v>174.6645336</v>
      </c>
      <c r="Y455" s="130" t="s">
        <v>60</v>
      </c>
      <c r="Z455" s="137" t="s">
        <v>521</v>
      </c>
      <c r="AA455" s="29"/>
      <c r="AB455" s="30"/>
      <c r="AC455" s="30"/>
      <c r="AD455" s="30"/>
    </row>
    <row r="456">
      <c r="A456" s="130" t="s">
        <v>230</v>
      </c>
      <c r="B456" s="130" t="s">
        <v>504</v>
      </c>
      <c r="C456" s="16" t="s">
        <v>506</v>
      </c>
      <c r="D456" s="130" t="s">
        <v>507</v>
      </c>
      <c r="E456" s="130">
        <v>2016.0</v>
      </c>
      <c r="F456" s="130">
        <v>2020.0</v>
      </c>
      <c r="G456" s="130">
        <v>0.0</v>
      </c>
      <c r="H456" s="130">
        <v>28.5</v>
      </c>
      <c r="I456" s="131">
        <v>0.5298245614</v>
      </c>
      <c r="J456" s="130">
        <v>15.1</v>
      </c>
      <c r="K456" s="132">
        <v>0.0</v>
      </c>
      <c r="L456" s="132">
        <v>0.0</v>
      </c>
      <c r="M456" s="130">
        <v>12.0</v>
      </c>
      <c r="N456" s="130"/>
      <c r="O456" s="130" t="s">
        <v>60</v>
      </c>
      <c r="P456" s="135">
        <v>15479.0</v>
      </c>
      <c r="Q456" s="130" t="s">
        <v>234</v>
      </c>
      <c r="R456" s="130">
        <v>2016.0</v>
      </c>
      <c r="S456" s="136">
        <v>0.251</v>
      </c>
      <c r="T456" s="128">
        <f t="shared" si="11"/>
        <v>3885.229</v>
      </c>
      <c r="U456" s="24">
        <f t="shared" si="2"/>
        <v>136.3238246</v>
      </c>
      <c r="V456" s="26">
        <f>VLOOKUP(R456,CPI!$A$2:$E$67,5,0)</f>
        <v>1.269554638</v>
      </c>
      <c r="W456" s="27">
        <f t="shared" si="3"/>
        <v>4932.510497</v>
      </c>
      <c r="X456" s="27">
        <f t="shared" si="4"/>
        <v>173.0705437</v>
      </c>
      <c r="Y456" s="130" t="s">
        <v>60</v>
      </c>
      <c r="Z456" s="137" t="s">
        <v>508</v>
      </c>
      <c r="AA456" s="29"/>
      <c r="AB456" s="30"/>
      <c r="AC456" s="30"/>
      <c r="AD456" s="30"/>
    </row>
    <row r="457">
      <c r="A457" s="130" t="s">
        <v>230</v>
      </c>
      <c r="B457" s="130" t="s">
        <v>387</v>
      </c>
      <c r="C457" s="36" t="s">
        <v>110</v>
      </c>
      <c r="D457" s="130" t="s">
        <v>358</v>
      </c>
      <c r="E457" s="130"/>
      <c r="F457" s="130"/>
      <c r="G457" s="130">
        <v>0.0</v>
      </c>
      <c r="H457" s="130">
        <v>32.6</v>
      </c>
      <c r="I457" s="131">
        <v>0.6340490798</v>
      </c>
      <c r="J457" s="130">
        <v>20.67</v>
      </c>
      <c r="K457" s="132">
        <v>0.0</v>
      </c>
      <c r="L457" s="132">
        <v>0.0</v>
      </c>
      <c r="M457" s="130">
        <v>14.0</v>
      </c>
      <c r="N457" s="130"/>
      <c r="O457" s="130" t="s">
        <v>60</v>
      </c>
      <c r="P457" s="135">
        <v>18068.0</v>
      </c>
      <c r="Q457" s="130" t="s">
        <v>234</v>
      </c>
      <c r="R457" s="130">
        <v>2018.0</v>
      </c>
      <c r="S457" s="136">
        <v>0.237</v>
      </c>
      <c r="T457" s="128">
        <f t="shared" si="11"/>
        <v>4282.116</v>
      </c>
      <c r="U457" s="24">
        <f t="shared" si="2"/>
        <v>131.3532515</v>
      </c>
      <c r="V457" s="26">
        <f>VLOOKUP(R457,CPI!$A$2:$E$67,5,0)</f>
        <v>1.21343491</v>
      </c>
      <c r="W457" s="27">
        <f t="shared" si="3"/>
        <v>5196.069044</v>
      </c>
      <c r="X457" s="27">
        <f t="shared" si="4"/>
        <v>159.388621</v>
      </c>
      <c r="Y457" s="130" t="s">
        <v>60</v>
      </c>
      <c r="Z457" s="137" t="s">
        <v>391</v>
      </c>
      <c r="AA457" s="29"/>
      <c r="AB457" s="30"/>
      <c r="AC457" s="30"/>
      <c r="AD457" s="30"/>
    </row>
    <row r="458">
      <c r="A458" s="130" t="s">
        <v>230</v>
      </c>
      <c r="B458" s="130" t="s">
        <v>323</v>
      </c>
      <c r="C458" s="36" t="s">
        <v>54</v>
      </c>
      <c r="D458" s="130" t="s">
        <v>329</v>
      </c>
      <c r="E458" s="130">
        <v>2012.0</v>
      </c>
      <c r="F458" s="130">
        <v>2015.0</v>
      </c>
      <c r="G458" s="130">
        <v>0.0</v>
      </c>
      <c r="H458" s="130">
        <v>4.5</v>
      </c>
      <c r="I458" s="131"/>
      <c r="J458" s="130"/>
      <c r="K458" s="132" t="e">
        <v>#N/A</v>
      </c>
      <c r="L458" s="132" t="e">
        <v>#N/A</v>
      </c>
      <c r="M458" s="130">
        <v>4.0</v>
      </c>
      <c r="N458" s="130"/>
      <c r="O458" s="130" t="s">
        <v>60</v>
      </c>
      <c r="P458" s="135">
        <v>2466.0</v>
      </c>
      <c r="Q458" s="130" t="s">
        <v>234</v>
      </c>
      <c r="R458" s="130">
        <v>2012.0</v>
      </c>
      <c r="S458" s="136">
        <v>0.2808</v>
      </c>
      <c r="T458" s="128">
        <f t="shared" si="11"/>
        <v>692.4528</v>
      </c>
      <c r="U458" s="24">
        <f t="shared" si="2"/>
        <v>153.8784</v>
      </c>
      <c r="V458" s="26">
        <f>VLOOKUP(R458,CPI!$A$2:$E$67,5,0)</f>
        <v>1.327133984</v>
      </c>
      <c r="W458" s="27">
        <f t="shared" si="3"/>
        <v>918.9776434</v>
      </c>
      <c r="X458" s="27">
        <f t="shared" si="4"/>
        <v>204.2172541</v>
      </c>
      <c r="Y458" s="130" t="s">
        <v>60</v>
      </c>
      <c r="Z458" s="137" t="s">
        <v>330</v>
      </c>
      <c r="AA458" s="29"/>
      <c r="AB458" s="30"/>
      <c r="AC458" s="30"/>
      <c r="AD458" s="30"/>
    </row>
    <row r="459">
      <c r="A459" s="130" t="s">
        <v>230</v>
      </c>
      <c r="B459" s="130" t="s">
        <v>231</v>
      </c>
      <c r="C459" s="130" t="s">
        <v>84</v>
      </c>
      <c r="D459" s="130" t="s">
        <v>84</v>
      </c>
      <c r="E459" s="130">
        <v>2002.0</v>
      </c>
      <c r="F459" s="130">
        <v>2007.0</v>
      </c>
      <c r="G459" s="130">
        <v>0.0</v>
      </c>
      <c r="H459" s="130">
        <v>27.6</v>
      </c>
      <c r="I459" s="131"/>
      <c r="J459" s="130"/>
      <c r="K459" s="132" t="e">
        <v>#N/A</v>
      </c>
      <c r="L459" s="132" t="e">
        <v>#N/A</v>
      </c>
      <c r="M459" s="130">
        <v>23.0</v>
      </c>
      <c r="N459" s="130"/>
      <c r="O459" s="130" t="s">
        <v>42</v>
      </c>
      <c r="P459" s="135">
        <v>12000.0</v>
      </c>
      <c r="Q459" s="130" t="s">
        <v>234</v>
      </c>
      <c r="R459" s="130">
        <v>2004.0</v>
      </c>
      <c r="S459" s="136">
        <v>0.355</v>
      </c>
      <c r="T459" s="128">
        <f t="shared" si="11"/>
        <v>4260</v>
      </c>
      <c r="U459" s="24">
        <f t="shared" si="2"/>
        <v>154.3478261</v>
      </c>
      <c r="V459" s="26">
        <f>VLOOKUP(R459,CPI!$A$2:$E$67,5,0)</f>
        <v>1.613033351</v>
      </c>
      <c r="W459" s="27">
        <f t="shared" si="3"/>
        <v>6871.522075</v>
      </c>
      <c r="X459" s="27">
        <f t="shared" si="4"/>
        <v>248.9681911</v>
      </c>
      <c r="Y459" s="130" t="s">
        <v>42</v>
      </c>
      <c r="Z459" s="137" t="s">
        <v>238</v>
      </c>
      <c r="AA459" s="29"/>
      <c r="AB459" s="30"/>
      <c r="AC459" s="30"/>
      <c r="AD459" s="30"/>
    </row>
    <row r="460">
      <c r="A460" s="72" t="s">
        <v>230</v>
      </c>
      <c r="B460" s="72" t="s">
        <v>387</v>
      </c>
      <c r="C460" s="72" t="s">
        <v>388</v>
      </c>
      <c r="D460" s="72" t="s">
        <v>388</v>
      </c>
      <c r="E460" s="69">
        <v>2012.0</v>
      </c>
      <c r="F460" s="69">
        <v>2016.0</v>
      </c>
      <c r="G460" s="69">
        <v>0.0</v>
      </c>
      <c r="H460" s="69">
        <v>50.93</v>
      </c>
      <c r="I460" s="117">
        <v>0.86</v>
      </c>
      <c r="J460" s="69">
        <v>43.622</v>
      </c>
      <c r="K460" s="72"/>
      <c r="L460" s="72"/>
      <c r="M460" s="69">
        <v>33.0</v>
      </c>
      <c r="N460" s="69">
        <v>117.0</v>
      </c>
      <c r="O460" s="72"/>
      <c r="P460" s="140">
        <v>34163.0</v>
      </c>
      <c r="Q460" s="72" t="s">
        <v>234</v>
      </c>
      <c r="R460" s="115">
        <v>2014.0</v>
      </c>
      <c r="S460" s="136">
        <v>0.266</v>
      </c>
      <c r="T460" s="118">
        <f>P460*S460</f>
        <v>9087.358</v>
      </c>
      <c r="U460" s="24">
        <f t="shared" si="2"/>
        <v>178.4283919</v>
      </c>
      <c r="V460" s="26">
        <f>VLOOKUP(R460,CPI!$A$2:$E$67,5,0)</f>
        <v>1.287096175</v>
      </c>
      <c r="W460" s="27">
        <f t="shared" si="3"/>
        <v>11696.30372</v>
      </c>
      <c r="X460" s="27">
        <f t="shared" si="4"/>
        <v>229.6545007</v>
      </c>
      <c r="Y460" s="72"/>
      <c r="Z460" s="217" t="s">
        <v>389</v>
      </c>
      <c r="AA460" s="72"/>
      <c r="AB460" s="72"/>
      <c r="AC460" s="72"/>
      <c r="AD460" s="72"/>
    </row>
    <row r="461">
      <c r="A461" s="130" t="s">
        <v>230</v>
      </c>
      <c r="B461" s="130" t="s">
        <v>323</v>
      </c>
      <c r="C461" s="171" t="s">
        <v>333</v>
      </c>
      <c r="D461" s="130" t="s">
        <v>334</v>
      </c>
      <c r="E461" s="130">
        <v>2017.0</v>
      </c>
      <c r="F461" s="130">
        <v>2021.0</v>
      </c>
      <c r="G461" s="130">
        <v>0.0</v>
      </c>
      <c r="H461" s="130">
        <v>9.93</v>
      </c>
      <c r="I461" s="131">
        <v>0.5438066465</v>
      </c>
      <c r="J461" s="130">
        <v>5.4</v>
      </c>
      <c r="K461" s="132">
        <v>0.0</v>
      </c>
      <c r="L461" s="132">
        <v>0.0</v>
      </c>
      <c r="M461" s="130">
        <v>5.0</v>
      </c>
      <c r="N461" s="134">
        <v>117.0</v>
      </c>
      <c r="O461" s="130" t="s">
        <v>60</v>
      </c>
      <c r="P461" s="140">
        <v>6111.0</v>
      </c>
      <c r="Q461" s="130" t="s">
        <v>234</v>
      </c>
      <c r="R461" s="130">
        <v>2017.0</v>
      </c>
      <c r="S461" s="136">
        <v>0.239</v>
      </c>
      <c r="T461" s="128">
        <f>S461*P461</f>
        <v>1460.529</v>
      </c>
      <c r="U461" s="24">
        <f t="shared" si="2"/>
        <v>147.0824773</v>
      </c>
      <c r="V461" s="26">
        <f>VLOOKUP(R461,CPI!$A$2:$E$67,5,0)</f>
        <v>1.243072781</v>
      </c>
      <c r="W461" s="27">
        <f t="shared" si="3"/>
        <v>1815.543845</v>
      </c>
      <c r="X461" s="27">
        <f t="shared" si="4"/>
        <v>182.8342241</v>
      </c>
      <c r="Y461" s="130" t="s">
        <v>60</v>
      </c>
      <c r="Z461" s="137" t="s">
        <v>335</v>
      </c>
      <c r="AA461" s="29"/>
      <c r="AB461" s="30"/>
      <c r="AC461" s="30"/>
      <c r="AD461" s="30"/>
    </row>
    <row r="462">
      <c r="A462" s="72" t="s">
        <v>230</v>
      </c>
      <c r="B462" s="72" t="s">
        <v>586</v>
      </c>
      <c r="C462" s="72" t="s">
        <v>84</v>
      </c>
      <c r="D462" s="72" t="s">
        <v>84</v>
      </c>
      <c r="E462" s="69">
        <v>2020.0</v>
      </c>
      <c r="F462" s="72"/>
      <c r="G462" s="69">
        <v>0.0</v>
      </c>
      <c r="H462" s="69">
        <v>26.45</v>
      </c>
      <c r="I462" s="117">
        <v>1.0</v>
      </c>
      <c r="J462" s="69">
        <v>26.45</v>
      </c>
      <c r="K462" s="72"/>
      <c r="L462" s="72"/>
      <c r="M462" s="69">
        <v>22.0</v>
      </c>
      <c r="N462" s="69">
        <v>117.0</v>
      </c>
      <c r="O462" s="72"/>
      <c r="P462" s="140">
        <v>22848.0</v>
      </c>
      <c r="Q462" s="72" t="s">
        <v>234</v>
      </c>
      <c r="R462" s="115">
        <v>2020.0</v>
      </c>
      <c r="S462" s="136">
        <v>0.239</v>
      </c>
      <c r="T462" s="118">
        <f>P462*S462</f>
        <v>5460.672</v>
      </c>
      <c r="U462" s="24">
        <f t="shared" si="2"/>
        <v>206.4526276</v>
      </c>
      <c r="V462" s="26">
        <f>VLOOKUP(R462,CPI!$A$2:$E$67,5,0)</f>
        <v>1.17731472</v>
      </c>
      <c r="W462" s="27">
        <f t="shared" si="3"/>
        <v>6428.929527</v>
      </c>
      <c r="X462" s="27">
        <f t="shared" si="4"/>
        <v>243.0597175</v>
      </c>
      <c r="Y462" s="72"/>
      <c r="Z462" s="79" t="s">
        <v>588</v>
      </c>
      <c r="AA462" s="72"/>
      <c r="AB462" s="72"/>
      <c r="AC462" s="72"/>
      <c r="AD462" s="72"/>
    </row>
    <row r="463">
      <c r="A463" s="130" t="s">
        <v>230</v>
      </c>
      <c r="B463" s="130" t="s">
        <v>930</v>
      </c>
      <c r="C463" s="36" t="s">
        <v>110</v>
      </c>
      <c r="D463" s="130" t="s">
        <v>110</v>
      </c>
      <c r="E463" s="130">
        <v>2017.0</v>
      </c>
      <c r="F463" s="130">
        <v>2022.0</v>
      </c>
      <c r="G463" s="130">
        <v>0.0</v>
      </c>
      <c r="H463" s="130">
        <v>69.6</v>
      </c>
      <c r="I463" s="131">
        <v>0.4482758621</v>
      </c>
      <c r="J463" s="130">
        <v>31.2</v>
      </c>
      <c r="K463" s="132">
        <v>0.0</v>
      </c>
      <c r="L463" s="132">
        <v>0.0</v>
      </c>
      <c r="M463" s="130">
        <v>18.0</v>
      </c>
      <c r="N463" s="130"/>
      <c r="O463" s="130" t="s">
        <v>60</v>
      </c>
      <c r="P463" s="135">
        <v>36256.0</v>
      </c>
      <c r="Q463" s="130" t="s">
        <v>234</v>
      </c>
      <c r="R463" s="130">
        <v>2016.0</v>
      </c>
      <c r="S463" s="136">
        <v>0.251</v>
      </c>
      <c r="T463" s="128">
        <f t="shared" ref="T463:T467" si="12">S463*P463</f>
        <v>9100.256</v>
      </c>
      <c r="U463" s="24">
        <f t="shared" si="2"/>
        <v>130.7508046</v>
      </c>
      <c r="V463" s="26">
        <f>VLOOKUP(R463,CPI!$A$2:$E$67,5,0)</f>
        <v>1.269554638</v>
      </c>
      <c r="W463" s="27">
        <f t="shared" si="3"/>
        <v>11553.27221</v>
      </c>
      <c r="X463" s="27">
        <f t="shared" si="4"/>
        <v>165.9952904</v>
      </c>
      <c r="Y463" s="130" t="s">
        <v>60</v>
      </c>
      <c r="Z463" s="137" t="s">
        <v>933</v>
      </c>
      <c r="AA463" s="178"/>
      <c r="AB463" s="172"/>
      <c r="AC463" s="172"/>
      <c r="AD463" s="172"/>
    </row>
    <row r="464">
      <c r="A464" s="130" t="s">
        <v>230</v>
      </c>
      <c r="B464" s="130" t="s">
        <v>387</v>
      </c>
      <c r="C464" s="36" t="s">
        <v>80</v>
      </c>
      <c r="D464" s="130" t="s">
        <v>392</v>
      </c>
      <c r="E464" s="130">
        <v>2016.0</v>
      </c>
      <c r="F464" s="130">
        <v>2020.0</v>
      </c>
      <c r="G464" s="130">
        <v>0.0</v>
      </c>
      <c r="H464" s="130">
        <v>13.99</v>
      </c>
      <c r="I464" s="131">
        <v>0.6383130808</v>
      </c>
      <c r="J464" s="130">
        <v>8.93</v>
      </c>
      <c r="K464" s="132">
        <v>0.0</v>
      </c>
      <c r="L464" s="132">
        <v>0.0</v>
      </c>
      <c r="M464" s="130">
        <v>7.0</v>
      </c>
      <c r="N464" s="134">
        <v>117.0</v>
      </c>
      <c r="O464" s="130" t="s">
        <v>2142</v>
      </c>
      <c r="P464" s="135">
        <v>7474.0</v>
      </c>
      <c r="Q464" s="130" t="s">
        <v>234</v>
      </c>
      <c r="R464" s="130">
        <v>2018.0</v>
      </c>
      <c r="S464" s="136">
        <v>0.237</v>
      </c>
      <c r="T464" s="128">
        <f t="shared" si="12"/>
        <v>1771.338</v>
      </c>
      <c r="U464" s="24">
        <f t="shared" si="2"/>
        <v>126.6145818</v>
      </c>
      <c r="V464" s="26">
        <f>VLOOKUP(R464,CPI!$A$2:$E$67,5,0)</f>
        <v>1.21343491</v>
      </c>
      <c r="W464" s="27">
        <f t="shared" si="3"/>
        <v>2149.403367</v>
      </c>
      <c r="X464" s="27">
        <f t="shared" si="4"/>
        <v>153.6385538</v>
      </c>
      <c r="Y464" s="130" t="s">
        <v>60</v>
      </c>
      <c r="Z464" s="137" t="s">
        <v>391</v>
      </c>
      <c r="AA464" s="29"/>
      <c r="AB464" s="30"/>
      <c r="AC464" s="30"/>
      <c r="AD464" s="30"/>
    </row>
    <row r="465">
      <c r="A465" s="130" t="s">
        <v>230</v>
      </c>
      <c r="B465" s="130" t="s">
        <v>872</v>
      </c>
      <c r="C465" s="36" t="s">
        <v>243</v>
      </c>
      <c r="D465" s="130" t="s">
        <v>788</v>
      </c>
      <c r="E465" s="130"/>
      <c r="F465" s="130"/>
      <c r="G465" s="130">
        <v>0.0</v>
      </c>
      <c r="H465" s="130">
        <v>4.9</v>
      </c>
      <c r="I465" s="131">
        <v>1.0</v>
      </c>
      <c r="J465" s="130">
        <v>4.9</v>
      </c>
      <c r="K465" s="132">
        <v>0.0</v>
      </c>
      <c r="L465" s="132">
        <v>0.0</v>
      </c>
      <c r="M465" s="130">
        <v>2.0</v>
      </c>
      <c r="N465" s="130"/>
      <c r="O465" s="130" t="s">
        <v>60</v>
      </c>
      <c r="P465" s="232">
        <v>2597.0</v>
      </c>
      <c r="Q465" s="130" t="s">
        <v>234</v>
      </c>
      <c r="R465" s="130">
        <v>2018.0</v>
      </c>
      <c r="S465" s="136">
        <v>0.237</v>
      </c>
      <c r="T465" s="128">
        <f t="shared" si="12"/>
        <v>615.489</v>
      </c>
      <c r="U465" s="24">
        <f t="shared" si="2"/>
        <v>125.61</v>
      </c>
      <c r="V465" s="26">
        <f>VLOOKUP(R465,CPI!$A$2:$E$67,5,0)</f>
        <v>1.21343491</v>
      </c>
      <c r="W465" s="27">
        <f t="shared" si="3"/>
        <v>746.8558395</v>
      </c>
      <c r="X465" s="27">
        <f t="shared" si="4"/>
        <v>152.4195591</v>
      </c>
      <c r="Y465" s="130" t="s">
        <v>60</v>
      </c>
      <c r="Z465" s="137" t="s">
        <v>887</v>
      </c>
      <c r="AA465" s="178"/>
      <c r="AB465" s="172"/>
      <c r="AC465" s="172"/>
      <c r="AD465" s="172"/>
    </row>
    <row r="466">
      <c r="A466" s="130" t="s">
        <v>230</v>
      </c>
      <c r="B466" s="130" t="s">
        <v>609</v>
      </c>
      <c r="C466" s="16" t="s">
        <v>87</v>
      </c>
      <c r="D466" s="130" t="s">
        <v>616</v>
      </c>
      <c r="E466" s="130">
        <v>2015.0</v>
      </c>
      <c r="F466" s="130">
        <v>2017.0</v>
      </c>
      <c r="G466" s="130">
        <v>0.0</v>
      </c>
      <c r="H466" s="130">
        <v>6.6</v>
      </c>
      <c r="I466" s="131">
        <v>1.0</v>
      </c>
      <c r="J466" s="130">
        <v>6.6</v>
      </c>
      <c r="K466" s="132">
        <v>0.0</v>
      </c>
      <c r="L466" s="132">
        <v>0.0</v>
      </c>
      <c r="M466" s="130">
        <v>2.0</v>
      </c>
      <c r="N466" s="130"/>
      <c r="O466" s="130" t="s">
        <v>60</v>
      </c>
      <c r="P466" s="135">
        <v>3370.0</v>
      </c>
      <c r="Q466" s="130" t="s">
        <v>234</v>
      </c>
      <c r="R466" s="130">
        <v>2015.0</v>
      </c>
      <c r="S466" s="136">
        <v>0.258</v>
      </c>
      <c r="T466" s="128">
        <f t="shared" si="12"/>
        <v>869.46</v>
      </c>
      <c r="U466" s="24">
        <f t="shared" si="2"/>
        <v>131.7363636</v>
      </c>
      <c r="V466" s="26">
        <f>VLOOKUP(R466,CPI!$A$2:$E$67,5,0)</f>
        <v>1.285570233</v>
      </c>
      <c r="W466" s="27">
        <f t="shared" si="3"/>
        <v>1117.751895</v>
      </c>
      <c r="X466" s="27">
        <f t="shared" si="4"/>
        <v>169.3563477</v>
      </c>
      <c r="Y466" s="130" t="s">
        <v>60</v>
      </c>
      <c r="Z466" s="137" t="s">
        <v>617</v>
      </c>
      <c r="AA466" s="29"/>
      <c r="AB466" s="30"/>
      <c r="AC466" s="30"/>
      <c r="AD466" s="30"/>
    </row>
    <row r="467">
      <c r="A467" s="130" t="s">
        <v>230</v>
      </c>
      <c r="B467" s="130" t="s">
        <v>387</v>
      </c>
      <c r="C467" s="36" t="s">
        <v>253</v>
      </c>
      <c r="D467" s="130" t="s">
        <v>393</v>
      </c>
      <c r="E467" s="130">
        <v>2016.0</v>
      </c>
      <c r="F467" s="130">
        <v>2020.0</v>
      </c>
      <c r="G467" s="130">
        <v>0.0</v>
      </c>
      <c r="H467" s="130">
        <v>10.77</v>
      </c>
      <c r="I467" s="131"/>
      <c r="J467" s="130"/>
      <c r="K467" s="132" t="e">
        <v>#N/A</v>
      </c>
      <c r="L467" s="132" t="e">
        <v>#N/A</v>
      </c>
      <c r="M467" s="130">
        <v>5.0</v>
      </c>
      <c r="N467" s="130"/>
      <c r="O467" s="130" t="s">
        <v>42</v>
      </c>
      <c r="P467" s="135">
        <v>5613.0</v>
      </c>
      <c r="Q467" s="130" t="s">
        <v>234</v>
      </c>
      <c r="R467" s="130">
        <v>2013.0</v>
      </c>
      <c r="S467" s="136">
        <v>0.273</v>
      </c>
      <c r="T467" s="128">
        <f t="shared" si="12"/>
        <v>1532.349</v>
      </c>
      <c r="U467" s="24">
        <f t="shared" si="2"/>
        <v>142.2793872</v>
      </c>
      <c r="V467" s="26">
        <f>VLOOKUP(R467,CPI!$A$2:$E$67,5,0)</f>
        <v>1.307975292</v>
      </c>
      <c r="W467" s="27">
        <f t="shared" si="3"/>
        <v>2004.27463</v>
      </c>
      <c r="X467" s="27">
        <f t="shared" si="4"/>
        <v>186.0979229</v>
      </c>
      <c r="Y467" s="130" t="s">
        <v>42</v>
      </c>
      <c r="Z467" s="137" t="s">
        <v>390</v>
      </c>
      <c r="AA467" s="29"/>
      <c r="AB467" s="30"/>
      <c r="AC467" s="30"/>
      <c r="AD467" s="30"/>
    </row>
    <row r="468">
      <c r="A468" s="72" t="s">
        <v>230</v>
      </c>
      <c r="B468" s="72" t="s">
        <v>387</v>
      </c>
      <c r="C468" s="36" t="s">
        <v>253</v>
      </c>
      <c r="D468" s="115" t="s">
        <v>362</v>
      </c>
      <c r="E468" s="69">
        <v>2021.0</v>
      </c>
      <c r="F468" s="72"/>
      <c r="G468" s="69">
        <v>0.0</v>
      </c>
      <c r="H468" s="69">
        <v>32.3</v>
      </c>
      <c r="I468" s="192"/>
      <c r="J468" s="72"/>
      <c r="K468" s="72"/>
      <c r="L468" s="72"/>
      <c r="M468" s="69">
        <v>26.0</v>
      </c>
      <c r="N468" s="69">
        <v>117.0</v>
      </c>
      <c r="O468" s="72"/>
      <c r="P468" s="140">
        <v>21100.0</v>
      </c>
      <c r="Q468" s="72" t="s">
        <v>234</v>
      </c>
      <c r="R468" s="115">
        <v>2021.0</v>
      </c>
      <c r="S468" s="136">
        <v>0.239</v>
      </c>
      <c r="T468" s="118">
        <f>P468*S468</f>
        <v>5042.9</v>
      </c>
      <c r="U468" s="24">
        <f t="shared" si="2"/>
        <v>156.126935</v>
      </c>
      <c r="V468" s="26">
        <f>VLOOKUP(R468,CPI!$A$2:$E$67,5,0)</f>
        <v>1.124486105</v>
      </c>
      <c r="W468" s="27">
        <f t="shared" si="3"/>
        <v>5670.670981</v>
      </c>
      <c r="X468" s="27">
        <f t="shared" si="4"/>
        <v>175.5625691</v>
      </c>
      <c r="Y468" s="72" t="s">
        <v>36</v>
      </c>
      <c r="Z468" s="79" t="s">
        <v>428</v>
      </c>
      <c r="AA468" s="72"/>
      <c r="AB468" s="72"/>
      <c r="AC468" s="72"/>
      <c r="AD468" s="72"/>
    </row>
    <row r="469">
      <c r="A469" s="130" t="s">
        <v>230</v>
      </c>
      <c r="B469" s="130" t="s">
        <v>872</v>
      </c>
      <c r="C469" s="36" t="s">
        <v>228</v>
      </c>
      <c r="D469" s="130" t="s">
        <v>722</v>
      </c>
      <c r="E469" s="130"/>
      <c r="F469" s="130"/>
      <c r="G469" s="130">
        <v>0.0</v>
      </c>
      <c r="H469" s="130">
        <v>33.6</v>
      </c>
      <c r="I469" s="131">
        <v>0.4047619048</v>
      </c>
      <c r="J469" s="130">
        <v>13.6</v>
      </c>
      <c r="K469" s="132">
        <v>0.0</v>
      </c>
      <c r="L469" s="132">
        <v>0.0</v>
      </c>
      <c r="M469" s="130">
        <v>9.0</v>
      </c>
      <c r="N469" s="130"/>
      <c r="O469" s="130" t="s">
        <v>60</v>
      </c>
      <c r="P469" s="135">
        <v>17559.0</v>
      </c>
      <c r="Q469" s="130" t="s">
        <v>234</v>
      </c>
      <c r="R469" s="130">
        <v>2018.0</v>
      </c>
      <c r="S469" s="136">
        <v>0.237</v>
      </c>
      <c r="T469" s="128">
        <f>S469*P469</f>
        <v>4161.483</v>
      </c>
      <c r="U469" s="24">
        <f t="shared" si="2"/>
        <v>123.8536607</v>
      </c>
      <c r="V469" s="26">
        <f>VLOOKUP(R469,CPI!$A$2:$E$67,5,0)</f>
        <v>1.21343491</v>
      </c>
      <c r="W469" s="27">
        <f t="shared" si="3"/>
        <v>5049.68875</v>
      </c>
      <c r="X469" s="27">
        <f t="shared" si="4"/>
        <v>150.2883557</v>
      </c>
      <c r="Y469" s="130" t="s">
        <v>60</v>
      </c>
      <c r="Z469" s="137" t="s">
        <v>887</v>
      </c>
      <c r="AA469" s="178"/>
      <c r="AB469" s="172"/>
      <c r="AC469" s="172"/>
      <c r="AD469" s="172"/>
    </row>
    <row r="470">
      <c r="A470" s="72" t="s">
        <v>230</v>
      </c>
      <c r="B470" s="72" t="s">
        <v>872</v>
      </c>
      <c r="C470" s="115" t="s">
        <v>54</v>
      </c>
      <c r="D470" s="72" t="s">
        <v>891</v>
      </c>
      <c r="E470" s="69">
        <v>2016.0</v>
      </c>
      <c r="F470" s="7"/>
      <c r="G470" s="69">
        <v>0.0</v>
      </c>
      <c r="H470" s="69">
        <v>19.8</v>
      </c>
      <c r="I470" s="117">
        <v>0.69</v>
      </c>
      <c r="J470" s="69">
        <v>13.7</v>
      </c>
      <c r="K470" s="72"/>
      <c r="L470" s="72"/>
      <c r="M470" s="69">
        <v>7.0</v>
      </c>
      <c r="N470" s="69">
        <v>156.0</v>
      </c>
      <c r="O470" s="72"/>
      <c r="P470" s="140">
        <v>9437.0</v>
      </c>
      <c r="Q470" s="72" t="s">
        <v>234</v>
      </c>
      <c r="R470" s="115">
        <v>2016.0</v>
      </c>
      <c r="S470" s="136">
        <v>0.251</v>
      </c>
      <c r="T470" s="118">
        <f t="shared" ref="T470:T471" si="13">P470*S470</f>
        <v>2368.687</v>
      </c>
      <c r="U470" s="24">
        <f t="shared" si="2"/>
        <v>119.6306566</v>
      </c>
      <c r="V470" s="26">
        <f>VLOOKUP(R470,CPI!$A$2:$E$67,5,0)</f>
        <v>1.269554638</v>
      </c>
      <c r="W470" s="27">
        <f t="shared" si="3"/>
        <v>3007.177567</v>
      </c>
      <c r="X470" s="27">
        <f t="shared" si="4"/>
        <v>151.8776549</v>
      </c>
      <c r="Y470" s="72"/>
      <c r="Z470" s="79" t="s">
        <v>892</v>
      </c>
      <c r="AA470" s="72"/>
      <c r="AB470" s="72"/>
      <c r="AC470" s="221"/>
      <c r="AD470" s="72"/>
    </row>
    <row r="471">
      <c r="A471" s="72" t="s">
        <v>230</v>
      </c>
      <c r="B471" s="72" t="s">
        <v>911</v>
      </c>
      <c r="C471" s="16" t="s">
        <v>239</v>
      </c>
      <c r="D471" s="115" t="s">
        <v>356</v>
      </c>
      <c r="E471" s="69">
        <v>2020.0</v>
      </c>
      <c r="F471" s="69">
        <v>2026.0</v>
      </c>
      <c r="G471" s="69">
        <v>0.0</v>
      </c>
      <c r="H471" s="69">
        <v>34.11</v>
      </c>
      <c r="I471" s="233"/>
      <c r="J471" s="69"/>
      <c r="K471" s="72"/>
      <c r="L471" s="72"/>
      <c r="M471" s="69">
        <v>16.0</v>
      </c>
      <c r="N471" s="69">
        <v>117.0</v>
      </c>
      <c r="O471" s="72" t="s">
        <v>36</v>
      </c>
      <c r="P471" s="140">
        <v>21903.0</v>
      </c>
      <c r="Q471" s="72" t="s">
        <v>234</v>
      </c>
      <c r="R471" s="115">
        <v>2021.0</v>
      </c>
      <c r="S471" s="136">
        <v>0.239</v>
      </c>
      <c r="T471" s="118">
        <f t="shared" si="13"/>
        <v>5234.817</v>
      </c>
      <c r="U471" s="24">
        <f t="shared" si="2"/>
        <v>153.4686895</v>
      </c>
      <c r="V471" s="26">
        <f>VLOOKUP(R471,CPI!$A$2:$E$67,5,0)</f>
        <v>1.124486105</v>
      </c>
      <c r="W471" s="27">
        <f t="shared" si="3"/>
        <v>5886.478981</v>
      </c>
      <c r="X471" s="27">
        <f t="shared" si="4"/>
        <v>172.573409</v>
      </c>
      <c r="Y471" s="72" t="s">
        <v>36</v>
      </c>
      <c r="Z471" s="79" t="s">
        <v>927</v>
      </c>
      <c r="AA471" s="72"/>
      <c r="AB471" s="72"/>
      <c r="AC471" s="72"/>
      <c r="AD471" s="72"/>
    </row>
    <row r="472">
      <c r="A472" s="130" t="s">
        <v>230</v>
      </c>
      <c r="B472" s="130" t="s">
        <v>387</v>
      </c>
      <c r="C472" s="36" t="s">
        <v>110</v>
      </c>
      <c r="D472" s="130" t="s">
        <v>332</v>
      </c>
      <c r="E472" s="130">
        <v>2013.0</v>
      </c>
      <c r="F472" s="130">
        <v>2018.0</v>
      </c>
      <c r="G472" s="130">
        <v>0.0</v>
      </c>
      <c r="H472" s="130">
        <v>15.77</v>
      </c>
      <c r="I472" s="131">
        <v>0.7006975269</v>
      </c>
      <c r="J472" s="130">
        <v>11.05</v>
      </c>
      <c r="K472" s="132">
        <v>4.731</v>
      </c>
      <c r="L472" s="132">
        <v>0.0</v>
      </c>
      <c r="M472" s="130">
        <v>9.0</v>
      </c>
      <c r="N472" s="130"/>
      <c r="O472" s="130" t="s">
        <v>60</v>
      </c>
      <c r="P472" s="135">
        <v>8805.0</v>
      </c>
      <c r="Q472" s="130" t="s">
        <v>234</v>
      </c>
      <c r="R472" s="130">
        <v>2013.0</v>
      </c>
      <c r="S472" s="136">
        <v>0.273</v>
      </c>
      <c r="T472" s="128">
        <f t="shared" ref="T472:T475" si="14">S472*P472</f>
        <v>2403.765</v>
      </c>
      <c r="U472" s="24">
        <f t="shared" si="2"/>
        <v>152.4264426</v>
      </c>
      <c r="V472" s="26">
        <f>VLOOKUP(R472,CPI!$A$2:$E$67,5,0)</f>
        <v>1.307975292</v>
      </c>
      <c r="W472" s="27">
        <f t="shared" si="3"/>
        <v>3144.065227</v>
      </c>
      <c r="X472" s="27">
        <f t="shared" si="4"/>
        <v>199.3700207</v>
      </c>
      <c r="Y472" s="130" t="s">
        <v>60</v>
      </c>
      <c r="Z472" s="137" t="s">
        <v>391</v>
      </c>
      <c r="AA472" s="29"/>
      <c r="AB472" s="30"/>
      <c r="AC472" s="30"/>
      <c r="AD472" s="30"/>
    </row>
    <row r="473">
      <c r="A473" s="130" t="s">
        <v>230</v>
      </c>
      <c r="B473" s="130" t="s">
        <v>601</v>
      </c>
      <c r="C473" s="36" t="s">
        <v>57</v>
      </c>
      <c r="D473" s="130" t="s">
        <v>605</v>
      </c>
      <c r="E473" s="130">
        <v>2018.0</v>
      </c>
      <c r="F473" s="130">
        <v>2021.0</v>
      </c>
      <c r="G473" s="130">
        <v>0.0</v>
      </c>
      <c r="H473" s="130">
        <v>4.1</v>
      </c>
      <c r="I473" s="131">
        <v>1.0</v>
      </c>
      <c r="J473" s="130">
        <v>4.1</v>
      </c>
      <c r="K473" s="132">
        <v>0.0</v>
      </c>
      <c r="L473" s="132">
        <v>0.0</v>
      </c>
      <c r="M473" s="130">
        <v>2.0</v>
      </c>
      <c r="N473" s="130"/>
      <c r="O473" s="130" t="s">
        <v>60</v>
      </c>
      <c r="P473" s="135">
        <v>2040.0</v>
      </c>
      <c r="Q473" s="130" t="s">
        <v>234</v>
      </c>
      <c r="R473" s="130">
        <v>2015.0</v>
      </c>
      <c r="S473" s="136">
        <v>0.258</v>
      </c>
      <c r="T473" s="128">
        <f t="shared" si="14"/>
        <v>526.32</v>
      </c>
      <c r="U473" s="24">
        <f t="shared" si="2"/>
        <v>128.3707317</v>
      </c>
      <c r="V473" s="26">
        <f>VLOOKUP(R473,CPI!$A$2:$E$67,5,0)</f>
        <v>1.285570233</v>
      </c>
      <c r="W473" s="27">
        <f t="shared" si="3"/>
        <v>676.6213252</v>
      </c>
      <c r="X473" s="27">
        <f t="shared" si="4"/>
        <v>165.0295915</v>
      </c>
      <c r="Y473" s="130" t="s">
        <v>60</v>
      </c>
      <c r="Z473" s="137" t="s">
        <v>604</v>
      </c>
      <c r="AA473" s="29"/>
      <c r="AB473" s="30"/>
      <c r="AC473" s="30"/>
      <c r="AD473" s="30"/>
    </row>
    <row r="474">
      <c r="A474" s="130" t="s">
        <v>230</v>
      </c>
      <c r="B474" s="130" t="s">
        <v>323</v>
      </c>
      <c r="C474" s="36" t="s">
        <v>80</v>
      </c>
      <c r="D474" s="130" t="s">
        <v>342</v>
      </c>
      <c r="E474" s="130">
        <v>2018.0</v>
      </c>
      <c r="F474" s="130">
        <v>2022.0</v>
      </c>
      <c r="G474" s="130">
        <v>0.0</v>
      </c>
      <c r="H474" s="130">
        <v>12.15</v>
      </c>
      <c r="I474" s="131">
        <v>1.0</v>
      </c>
      <c r="J474" s="130">
        <v>12.15</v>
      </c>
      <c r="K474" s="132">
        <v>0.0</v>
      </c>
      <c r="L474" s="132">
        <v>0.0</v>
      </c>
      <c r="M474" s="130">
        <v>5.0</v>
      </c>
      <c r="N474" s="130"/>
      <c r="O474" s="130" t="s">
        <v>60</v>
      </c>
      <c r="P474" s="135">
        <v>6140.0</v>
      </c>
      <c r="Q474" s="130" t="s">
        <v>234</v>
      </c>
      <c r="R474" s="130">
        <v>2017.0</v>
      </c>
      <c r="S474" s="136">
        <v>0.239</v>
      </c>
      <c r="T474" s="128">
        <f t="shared" si="14"/>
        <v>1467.46</v>
      </c>
      <c r="U474" s="24">
        <f t="shared" si="2"/>
        <v>120.7786008</v>
      </c>
      <c r="V474" s="26">
        <f>VLOOKUP(R474,CPI!$A$2:$E$67,5,0)</f>
        <v>1.243072781</v>
      </c>
      <c r="W474" s="27">
        <f t="shared" si="3"/>
        <v>1824.159583</v>
      </c>
      <c r="X474" s="27">
        <f t="shared" si="4"/>
        <v>150.1365912</v>
      </c>
      <c r="Y474" s="130" t="s">
        <v>60</v>
      </c>
      <c r="Z474" s="137" t="s">
        <v>337</v>
      </c>
      <c r="AA474" s="29"/>
      <c r="AB474" s="30"/>
      <c r="AC474" s="30"/>
      <c r="AD474" s="30"/>
    </row>
    <row r="475">
      <c r="A475" s="130" t="s">
        <v>230</v>
      </c>
      <c r="B475" s="130" t="s">
        <v>309</v>
      </c>
      <c r="C475" s="16" t="s">
        <v>110</v>
      </c>
      <c r="D475" s="130" t="s">
        <v>322</v>
      </c>
      <c r="E475" s="130"/>
      <c r="F475" s="130"/>
      <c r="G475" s="130">
        <v>0.0</v>
      </c>
      <c r="H475" s="130">
        <v>4.0</v>
      </c>
      <c r="I475" s="131">
        <v>0.0</v>
      </c>
      <c r="J475" s="130">
        <v>0.0</v>
      </c>
      <c r="K475" s="132">
        <v>0.0</v>
      </c>
      <c r="L475" s="132">
        <v>0.0</v>
      </c>
      <c r="M475" s="130">
        <v>6.0</v>
      </c>
      <c r="N475" s="130"/>
      <c r="O475" s="130" t="s">
        <v>60</v>
      </c>
      <c r="P475" s="135">
        <v>2013.0</v>
      </c>
      <c r="Q475" s="130" t="s">
        <v>234</v>
      </c>
      <c r="R475" s="130">
        <v>2018.0</v>
      </c>
      <c r="S475" s="136">
        <v>0.237</v>
      </c>
      <c r="T475" s="128">
        <f t="shared" si="14"/>
        <v>477.081</v>
      </c>
      <c r="U475" s="24">
        <f t="shared" si="2"/>
        <v>119.27025</v>
      </c>
      <c r="V475" s="26">
        <f>VLOOKUP(R475,CPI!$A$2:$E$67,5,0)</f>
        <v>1.21343491</v>
      </c>
      <c r="W475" s="27">
        <f t="shared" si="3"/>
        <v>578.9067404</v>
      </c>
      <c r="X475" s="27">
        <f t="shared" si="4"/>
        <v>144.7266851</v>
      </c>
      <c r="Y475" s="130" t="s">
        <v>60</v>
      </c>
      <c r="Z475" s="137" t="s">
        <v>316</v>
      </c>
      <c r="AA475" s="29"/>
      <c r="AB475" s="30"/>
      <c r="AC475" s="30"/>
      <c r="AD475" s="30"/>
    </row>
    <row r="476">
      <c r="A476" s="72" t="s">
        <v>230</v>
      </c>
      <c r="B476" s="72" t="s">
        <v>586</v>
      </c>
      <c r="C476" s="72" t="s">
        <v>110</v>
      </c>
      <c r="D476" s="72" t="s">
        <v>110</v>
      </c>
      <c r="E476" s="69">
        <v>2020.0</v>
      </c>
      <c r="F476" s="72"/>
      <c r="G476" s="69">
        <v>0.0</v>
      </c>
      <c r="H476" s="69">
        <v>43.5</v>
      </c>
      <c r="I476" s="117">
        <v>1.0</v>
      </c>
      <c r="J476" s="69">
        <v>43.5</v>
      </c>
      <c r="K476" s="72"/>
      <c r="L476" s="72"/>
      <c r="M476" s="69">
        <v>26.0</v>
      </c>
      <c r="N476" s="69">
        <v>117.0</v>
      </c>
      <c r="O476" s="72"/>
      <c r="P476" s="140">
        <v>30302.0</v>
      </c>
      <c r="Q476" s="72" t="s">
        <v>234</v>
      </c>
      <c r="R476" s="115">
        <v>2020.0</v>
      </c>
      <c r="S476" s="136">
        <v>0.239</v>
      </c>
      <c r="T476" s="118">
        <f>P476*S476</f>
        <v>7242.178</v>
      </c>
      <c r="U476" s="24">
        <f t="shared" si="2"/>
        <v>166.4868506</v>
      </c>
      <c r="V476" s="26">
        <f>VLOOKUP(R476,CPI!$A$2:$E$67,5,0)</f>
        <v>1.17731472</v>
      </c>
      <c r="W476" s="27">
        <f t="shared" si="3"/>
        <v>8526.322764</v>
      </c>
      <c r="X476" s="27">
        <f t="shared" si="4"/>
        <v>196.0074199</v>
      </c>
      <c r="Y476" s="72"/>
      <c r="Z476" s="79" t="s">
        <v>588</v>
      </c>
      <c r="AA476" s="72"/>
      <c r="AB476" s="72"/>
      <c r="AC476" s="72"/>
      <c r="AD476" s="72"/>
    </row>
    <row r="477">
      <c r="A477" s="130" t="s">
        <v>230</v>
      </c>
      <c r="B477" s="130" t="s">
        <v>872</v>
      </c>
      <c r="C477" s="130" t="s">
        <v>468</v>
      </c>
      <c r="D477" s="130" t="s">
        <v>468</v>
      </c>
      <c r="E477" s="130"/>
      <c r="F477" s="130"/>
      <c r="G477" s="130">
        <v>0.0</v>
      </c>
      <c r="H477" s="130">
        <v>33.7</v>
      </c>
      <c r="I477" s="131">
        <v>0.7181008902</v>
      </c>
      <c r="J477" s="130">
        <v>24.2</v>
      </c>
      <c r="K477" s="132">
        <v>9.773</v>
      </c>
      <c r="L477" s="132">
        <v>0.0</v>
      </c>
      <c r="M477" s="130">
        <v>15.0</v>
      </c>
      <c r="N477" s="130"/>
      <c r="O477" s="130" t="s">
        <v>60</v>
      </c>
      <c r="P477" s="135">
        <v>16107.0</v>
      </c>
      <c r="Q477" s="130" t="s">
        <v>234</v>
      </c>
      <c r="R477" s="130">
        <v>2015.0</v>
      </c>
      <c r="S477" s="136">
        <v>0.258</v>
      </c>
      <c r="T477" s="128">
        <f t="shared" ref="T477:T479" si="15">S477*P477</f>
        <v>4155.606</v>
      </c>
      <c r="U477" s="24">
        <f t="shared" si="2"/>
        <v>123.3117507</v>
      </c>
      <c r="V477" s="26">
        <f>VLOOKUP(R477,CPI!$A$2:$E$67,5,0)</f>
        <v>1.285570233</v>
      </c>
      <c r="W477" s="27">
        <f t="shared" si="3"/>
        <v>5342.323375</v>
      </c>
      <c r="X477" s="27">
        <f t="shared" si="4"/>
        <v>158.5259162</v>
      </c>
      <c r="Y477" s="130" t="s">
        <v>60</v>
      </c>
      <c r="Z477" s="137" t="s">
        <v>881</v>
      </c>
      <c r="AA477" s="178"/>
      <c r="AB477" s="172"/>
      <c r="AC477" s="172"/>
      <c r="AD477" s="172"/>
    </row>
    <row r="478">
      <c r="A478" s="130" t="s">
        <v>230</v>
      </c>
      <c r="B478" s="130" t="s">
        <v>323</v>
      </c>
      <c r="C478" s="36" t="s">
        <v>110</v>
      </c>
      <c r="D478" s="130" t="s">
        <v>339</v>
      </c>
      <c r="E478" s="130">
        <v>2018.0</v>
      </c>
      <c r="F478" s="130">
        <v>2022.0</v>
      </c>
      <c r="G478" s="130">
        <v>0.0</v>
      </c>
      <c r="H478" s="130">
        <v>14.26</v>
      </c>
      <c r="I478" s="131">
        <v>0.1444600281</v>
      </c>
      <c r="J478" s="130">
        <v>2.06</v>
      </c>
      <c r="K478" s="132">
        <v>0.0</v>
      </c>
      <c r="L478" s="132">
        <v>0.0</v>
      </c>
      <c r="M478" s="130">
        <v>8.0</v>
      </c>
      <c r="N478" s="130"/>
      <c r="O478" s="130" t="s">
        <v>60</v>
      </c>
      <c r="P478" s="135">
        <v>6831.0</v>
      </c>
      <c r="Q478" s="130" t="s">
        <v>234</v>
      </c>
      <c r="R478" s="130">
        <v>2017.0</v>
      </c>
      <c r="S478" s="136">
        <v>0.239</v>
      </c>
      <c r="T478" s="128">
        <f t="shared" si="15"/>
        <v>1632.609</v>
      </c>
      <c r="U478" s="24">
        <f t="shared" si="2"/>
        <v>114.4887097</v>
      </c>
      <c r="V478" s="26">
        <f>VLOOKUP(R478,CPI!$A$2:$E$67,5,0)</f>
        <v>1.243072781</v>
      </c>
      <c r="W478" s="27">
        <f t="shared" si="3"/>
        <v>2029.451809</v>
      </c>
      <c r="X478" s="27">
        <f t="shared" si="4"/>
        <v>142.3177987</v>
      </c>
      <c r="Y478" s="130" t="s">
        <v>60</v>
      </c>
      <c r="Z478" s="137" t="s">
        <v>337</v>
      </c>
      <c r="AA478" s="29"/>
      <c r="AB478" s="30"/>
      <c r="AC478" s="30"/>
      <c r="AD478" s="30"/>
    </row>
    <row r="479">
      <c r="A479" s="130" t="s">
        <v>230</v>
      </c>
      <c r="B479" s="130" t="s">
        <v>704</v>
      </c>
      <c r="C479" s="36" t="s">
        <v>292</v>
      </c>
      <c r="D479" s="130" t="s">
        <v>727</v>
      </c>
      <c r="E479" s="130"/>
      <c r="F479" s="130">
        <v>2016.0</v>
      </c>
      <c r="G479" s="130">
        <v>0.0</v>
      </c>
      <c r="H479" s="130">
        <v>9.15</v>
      </c>
      <c r="I479" s="131">
        <v>0.1595628415</v>
      </c>
      <c r="J479" s="130">
        <v>1.46</v>
      </c>
      <c r="K479" s="132">
        <v>7.73</v>
      </c>
      <c r="L479" s="132">
        <v>0.0475</v>
      </c>
      <c r="M479" s="130">
        <v>3.0</v>
      </c>
      <c r="N479" s="130"/>
      <c r="O479" s="130" t="s">
        <v>42</v>
      </c>
      <c r="P479" s="135">
        <v>4371.0</v>
      </c>
      <c r="Q479" s="130" t="s">
        <v>234</v>
      </c>
      <c r="R479" s="130">
        <v>2012.0</v>
      </c>
      <c r="S479" s="136">
        <v>0.2808</v>
      </c>
      <c r="T479" s="128">
        <f t="shared" si="15"/>
        <v>1227.3768</v>
      </c>
      <c r="U479" s="24">
        <f t="shared" si="2"/>
        <v>134.139541</v>
      </c>
      <c r="V479" s="26">
        <f>VLOOKUP(R479,CPI!$A$2:$E$67,5,0)</f>
        <v>1.327133984</v>
      </c>
      <c r="W479" s="27">
        <f t="shared" si="3"/>
        <v>1628.893463</v>
      </c>
      <c r="X479" s="27">
        <f t="shared" si="4"/>
        <v>178.0211435</v>
      </c>
      <c r="Y479" s="130" t="s">
        <v>42</v>
      </c>
      <c r="Z479" s="137" t="s">
        <v>716</v>
      </c>
      <c r="AA479" s="29"/>
      <c r="AB479" s="30"/>
      <c r="AC479" s="30"/>
      <c r="AD479" s="30"/>
    </row>
    <row r="480">
      <c r="A480" s="72" t="s">
        <v>230</v>
      </c>
      <c r="B480" s="72" t="s">
        <v>872</v>
      </c>
      <c r="C480" s="72" t="s">
        <v>283</v>
      </c>
      <c r="D480" s="72" t="s">
        <v>283</v>
      </c>
      <c r="E480" s="69">
        <v>2020.0</v>
      </c>
      <c r="F480" s="72"/>
      <c r="G480" s="69">
        <v>0.0</v>
      </c>
      <c r="H480" s="69">
        <v>33.0</v>
      </c>
      <c r="I480" s="117">
        <v>0.38</v>
      </c>
      <c r="J480" s="69">
        <v>12.7</v>
      </c>
      <c r="K480" s="72"/>
      <c r="L480" s="72"/>
      <c r="M480" s="69">
        <v>12.0</v>
      </c>
      <c r="N480" s="69">
        <v>138.0</v>
      </c>
      <c r="O480" s="72"/>
      <c r="P480" s="140">
        <v>16974.0</v>
      </c>
      <c r="Q480" s="72" t="s">
        <v>234</v>
      </c>
      <c r="R480" s="115">
        <v>2020.0</v>
      </c>
      <c r="S480" s="136">
        <v>0.239</v>
      </c>
      <c r="T480" s="118">
        <f>P480*S480</f>
        <v>4056.786</v>
      </c>
      <c r="U480" s="24">
        <f t="shared" si="2"/>
        <v>122.9329091</v>
      </c>
      <c r="V480" s="26">
        <f>VLOOKUP(R480,CPI!$A$2:$E$67,5,0)</f>
        <v>1.17731472</v>
      </c>
      <c r="W480" s="27">
        <f t="shared" si="3"/>
        <v>4776.113874</v>
      </c>
      <c r="X480" s="27">
        <f t="shared" si="4"/>
        <v>144.7307234</v>
      </c>
      <c r="Y480" s="72" t="s">
        <v>36</v>
      </c>
      <c r="Z480" s="79" t="s">
        <v>893</v>
      </c>
      <c r="AA480" s="217" t="s">
        <v>887</v>
      </c>
      <c r="AB480" s="235"/>
      <c r="AC480" s="235"/>
      <c r="AD480" s="235"/>
    </row>
    <row r="481">
      <c r="A481" s="130" t="s">
        <v>230</v>
      </c>
      <c r="B481" s="130" t="s">
        <v>601</v>
      </c>
      <c r="C481" s="36" t="s">
        <v>54</v>
      </c>
      <c r="D481" s="130" t="s">
        <v>313</v>
      </c>
      <c r="E481" s="130">
        <v>2015.0</v>
      </c>
      <c r="F481" s="130">
        <v>2018.0</v>
      </c>
      <c r="G481" s="130">
        <v>0.0</v>
      </c>
      <c r="H481" s="130">
        <v>8.5</v>
      </c>
      <c r="I481" s="131">
        <v>1.0</v>
      </c>
      <c r="J481" s="130">
        <v>8.5</v>
      </c>
      <c r="K481" s="132">
        <v>0.0</v>
      </c>
      <c r="L481" s="132">
        <v>0.0</v>
      </c>
      <c r="M481" s="130">
        <v>7.0</v>
      </c>
      <c r="N481" s="130"/>
      <c r="O481" s="130" t="s">
        <v>60</v>
      </c>
      <c r="P481" s="135">
        <v>3930.0</v>
      </c>
      <c r="Q481" s="130" t="s">
        <v>234</v>
      </c>
      <c r="R481" s="130">
        <v>2015.0</v>
      </c>
      <c r="S481" s="136">
        <v>0.258</v>
      </c>
      <c r="T481" s="128">
        <f t="shared" ref="T481:T489" si="16">S481*P481</f>
        <v>1013.94</v>
      </c>
      <c r="U481" s="24">
        <f t="shared" si="2"/>
        <v>119.2870588</v>
      </c>
      <c r="V481" s="26">
        <f>VLOOKUP(R481,CPI!$A$2:$E$67,5,0)</f>
        <v>1.285570233</v>
      </c>
      <c r="W481" s="27">
        <f t="shared" si="3"/>
        <v>1303.491082</v>
      </c>
      <c r="X481" s="27">
        <f t="shared" si="4"/>
        <v>153.351892</v>
      </c>
      <c r="Y481" s="130" t="s">
        <v>60</v>
      </c>
      <c r="Z481" s="137" t="s">
        <v>604</v>
      </c>
      <c r="AA481" s="29"/>
      <c r="AB481" s="30"/>
      <c r="AC481" s="30"/>
      <c r="AD481" s="30"/>
    </row>
    <row r="482">
      <c r="A482" s="130" t="s">
        <v>230</v>
      </c>
      <c r="B482" s="130" t="s">
        <v>231</v>
      </c>
      <c r="C482" s="16" t="s">
        <v>260</v>
      </c>
      <c r="D482" s="130" t="s">
        <v>261</v>
      </c>
      <c r="E482" s="130">
        <v>2009.0</v>
      </c>
      <c r="F482" s="130">
        <v>2014.0</v>
      </c>
      <c r="G482" s="130">
        <v>0.0</v>
      </c>
      <c r="H482" s="130">
        <v>41.4</v>
      </c>
      <c r="I482" s="131">
        <v>0.6690821256</v>
      </c>
      <c r="J482" s="130">
        <v>27.7</v>
      </c>
      <c r="K482" s="132">
        <v>13.605</v>
      </c>
      <c r="L482" s="132">
        <v>0.471</v>
      </c>
      <c r="M482" s="130">
        <v>18.0</v>
      </c>
      <c r="N482" s="134">
        <v>117.0</v>
      </c>
      <c r="O482" s="130" t="s">
        <v>42</v>
      </c>
      <c r="P482" s="135">
        <v>18100.0</v>
      </c>
      <c r="Q482" s="130" t="s">
        <v>234</v>
      </c>
      <c r="R482" s="130">
        <v>2010.0</v>
      </c>
      <c r="S482" s="136">
        <v>0.3</v>
      </c>
      <c r="T482" s="128">
        <f t="shared" si="16"/>
        <v>5430</v>
      </c>
      <c r="U482" s="24">
        <f t="shared" si="2"/>
        <v>131.1594203</v>
      </c>
      <c r="V482" s="26">
        <f>VLOOKUP(R482,CPI!$A$2:$E$67,5,0)</f>
        <v>1.397356642</v>
      </c>
      <c r="W482" s="27">
        <f t="shared" si="3"/>
        <v>7587.646568</v>
      </c>
      <c r="X482" s="27">
        <f t="shared" si="4"/>
        <v>183.2764871</v>
      </c>
      <c r="Y482" s="130" t="s">
        <v>42</v>
      </c>
      <c r="Z482" s="137" t="s">
        <v>262</v>
      </c>
      <c r="AA482" s="29"/>
      <c r="AB482" s="30"/>
      <c r="AC482" s="30"/>
      <c r="AD482" s="30"/>
    </row>
    <row r="483">
      <c r="A483" s="130" t="s">
        <v>230</v>
      </c>
      <c r="B483" s="130" t="s">
        <v>704</v>
      </c>
      <c r="C483" s="130" t="s">
        <v>80</v>
      </c>
      <c r="D483" s="130" t="s">
        <v>80</v>
      </c>
      <c r="E483" s="130">
        <v>2002.0</v>
      </c>
      <c r="F483" s="130">
        <v>2011.0</v>
      </c>
      <c r="G483" s="130">
        <v>0.0</v>
      </c>
      <c r="H483" s="130">
        <v>33.09</v>
      </c>
      <c r="I483" s="131">
        <v>0.6361438501</v>
      </c>
      <c r="J483" s="130">
        <v>21.05</v>
      </c>
      <c r="K483" s="132">
        <v>11.845</v>
      </c>
      <c r="L483" s="132">
        <v>0.3983</v>
      </c>
      <c r="M483" s="130">
        <v>28.0</v>
      </c>
      <c r="N483" s="130"/>
      <c r="O483" s="130" t="s">
        <v>60</v>
      </c>
      <c r="P483" s="135">
        <v>12000.0</v>
      </c>
      <c r="Q483" s="130" t="s">
        <v>234</v>
      </c>
      <c r="R483" s="130">
        <v>2002.0</v>
      </c>
      <c r="S483" s="136">
        <v>0.372</v>
      </c>
      <c r="T483" s="128">
        <f t="shared" si="16"/>
        <v>4464</v>
      </c>
      <c r="U483" s="24">
        <f t="shared" si="2"/>
        <v>134.9048051</v>
      </c>
      <c r="V483" s="26">
        <f>VLOOKUP(R483,CPI!$A$2:$E$67,5,0)</f>
        <v>1.69372985</v>
      </c>
      <c r="W483" s="27">
        <f t="shared" si="3"/>
        <v>7560.81005</v>
      </c>
      <c r="X483" s="27">
        <f t="shared" si="4"/>
        <v>228.4922953</v>
      </c>
      <c r="Y483" s="130" t="s">
        <v>42</v>
      </c>
      <c r="Z483" s="137" t="s">
        <v>721</v>
      </c>
      <c r="AA483" s="29"/>
      <c r="AB483" s="30"/>
      <c r="AC483" s="30"/>
      <c r="AD483" s="30"/>
    </row>
    <row r="484">
      <c r="A484" s="130" t="s">
        <v>230</v>
      </c>
      <c r="B484" s="130" t="s">
        <v>872</v>
      </c>
      <c r="C484" s="36" t="s">
        <v>57</v>
      </c>
      <c r="D484" s="130" t="s">
        <v>878</v>
      </c>
      <c r="E484" s="130">
        <v>2015.0</v>
      </c>
      <c r="F484" s="130">
        <v>2017.0</v>
      </c>
      <c r="G484" s="130">
        <v>0.0</v>
      </c>
      <c r="H484" s="130">
        <v>3.97</v>
      </c>
      <c r="I484" s="131">
        <v>0.0</v>
      </c>
      <c r="J484" s="130">
        <v>0.0</v>
      </c>
      <c r="K484" s="132">
        <v>3.97</v>
      </c>
      <c r="L484" s="132">
        <v>0.0</v>
      </c>
      <c r="M484" s="130">
        <v>2.0</v>
      </c>
      <c r="N484" s="130"/>
      <c r="O484" s="130" t="s">
        <v>59</v>
      </c>
      <c r="P484" s="135">
        <v>1740.0</v>
      </c>
      <c r="Q484" s="130" t="s">
        <v>234</v>
      </c>
      <c r="R484" s="130">
        <v>2015.0</v>
      </c>
      <c r="S484" s="136">
        <v>0.258</v>
      </c>
      <c r="T484" s="128">
        <f t="shared" si="16"/>
        <v>448.92</v>
      </c>
      <c r="U484" s="24">
        <f t="shared" si="2"/>
        <v>113.0780856</v>
      </c>
      <c r="V484" s="26">
        <f>VLOOKUP(R484,CPI!$A$2:$E$67,5,0)</f>
        <v>1.285570233</v>
      </c>
      <c r="W484" s="27">
        <f t="shared" si="3"/>
        <v>577.1181892</v>
      </c>
      <c r="X484" s="27">
        <f t="shared" si="4"/>
        <v>145.3698209</v>
      </c>
      <c r="Y484" s="134" t="s">
        <v>42</v>
      </c>
      <c r="Z484" s="137" t="s">
        <v>879</v>
      </c>
      <c r="AA484" s="178"/>
      <c r="AB484" s="172"/>
      <c r="AC484" s="172"/>
      <c r="AD484" s="172"/>
    </row>
    <row r="485">
      <c r="A485" s="130" t="s">
        <v>230</v>
      </c>
      <c r="B485" s="130" t="s">
        <v>309</v>
      </c>
      <c r="C485" s="16" t="s">
        <v>253</v>
      </c>
      <c r="D485" s="130" t="s">
        <v>317</v>
      </c>
      <c r="E485" s="130">
        <v>2019.0</v>
      </c>
      <c r="F485" s="130">
        <v>2025.0</v>
      </c>
      <c r="G485" s="130">
        <v>0.0</v>
      </c>
      <c r="H485" s="130">
        <v>28.2</v>
      </c>
      <c r="I485" s="131">
        <v>0.4929078014</v>
      </c>
      <c r="J485" s="130">
        <v>13.9</v>
      </c>
      <c r="K485" s="132">
        <v>0.0</v>
      </c>
      <c r="L485" s="132">
        <v>0.0</v>
      </c>
      <c r="M485" s="130">
        <v>8.0</v>
      </c>
      <c r="N485" s="130"/>
      <c r="O485" s="130" t="s">
        <v>60</v>
      </c>
      <c r="P485" s="135">
        <v>12640.0</v>
      </c>
      <c r="Q485" s="130" t="s">
        <v>234</v>
      </c>
      <c r="R485" s="130">
        <v>2018.0</v>
      </c>
      <c r="S485" s="136">
        <v>0.237</v>
      </c>
      <c r="T485" s="128">
        <f t="shared" si="16"/>
        <v>2995.68</v>
      </c>
      <c r="U485" s="24">
        <f t="shared" si="2"/>
        <v>106.2297872</v>
      </c>
      <c r="V485" s="26">
        <f>VLOOKUP(R485,CPI!$A$2:$E$67,5,0)</f>
        <v>1.21343491</v>
      </c>
      <c r="W485" s="27">
        <f t="shared" si="3"/>
        <v>3635.062692</v>
      </c>
      <c r="X485" s="27">
        <f t="shared" si="4"/>
        <v>128.9029323</v>
      </c>
      <c r="Y485" s="130" t="s">
        <v>60</v>
      </c>
      <c r="Z485" s="137" t="s">
        <v>316</v>
      </c>
      <c r="AA485" s="29"/>
      <c r="AB485" s="30"/>
      <c r="AC485" s="30"/>
      <c r="AD485" s="30"/>
    </row>
    <row r="486">
      <c r="A486" s="130" t="s">
        <v>230</v>
      </c>
      <c r="B486" s="130" t="s">
        <v>834</v>
      </c>
      <c r="C486" s="36" t="s">
        <v>856</v>
      </c>
      <c r="D486" s="130" t="s">
        <v>857</v>
      </c>
      <c r="E486" s="130"/>
      <c r="F486" s="130"/>
      <c r="G486" s="130">
        <v>0.0</v>
      </c>
      <c r="H486" s="130">
        <v>3.9</v>
      </c>
      <c r="I486" s="131">
        <v>0.0</v>
      </c>
      <c r="J486" s="130">
        <v>0.0</v>
      </c>
      <c r="K486" s="132">
        <v>3.75</v>
      </c>
      <c r="L486" s="132">
        <v>0.15</v>
      </c>
      <c r="M486" s="130">
        <v>3.0</v>
      </c>
      <c r="N486" s="130"/>
      <c r="O486" s="130" t="s">
        <v>60</v>
      </c>
      <c r="P486" s="135">
        <v>1704.0</v>
      </c>
      <c r="Q486" s="130" t="s">
        <v>234</v>
      </c>
      <c r="R486" s="130">
        <v>2015.0</v>
      </c>
      <c r="S486" s="136">
        <v>0.258</v>
      </c>
      <c r="T486" s="128">
        <f t="shared" si="16"/>
        <v>439.632</v>
      </c>
      <c r="U486" s="24">
        <f t="shared" si="2"/>
        <v>112.7261538</v>
      </c>
      <c r="V486" s="26">
        <f>VLOOKUP(R486,CPI!$A$2:$E$67,5,0)</f>
        <v>1.285570233</v>
      </c>
      <c r="W486" s="27">
        <f t="shared" si="3"/>
        <v>565.1778128</v>
      </c>
      <c r="X486" s="27">
        <f t="shared" si="4"/>
        <v>144.9173879</v>
      </c>
      <c r="Y486" s="130" t="s">
        <v>42</v>
      </c>
      <c r="Z486" s="137" t="s">
        <v>840</v>
      </c>
      <c r="AA486" s="173"/>
      <c r="AB486" s="174"/>
      <c r="AC486" s="174"/>
      <c r="AD486" s="174"/>
    </row>
    <row r="487">
      <c r="A487" s="130" t="s">
        <v>230</v>
      </c>
      <c r="B487" s="130" t="s">
        <v>387</v>
      </c>
      <c r="C487" s="36" t="s">
        <v>80</v>
      </c>
      <c r="D487" s="72" t="s">
        <v>413</v>
      </c>
      <c r="E487" s="69">
        <v>2013.0</v>
      </c>
      <c r="F487" s="72"/>
      <c r="G487" s="69">
        <v>0.0</v>
      </c>
      <c r="H487" s="69">
        <v>12.1</v>
      </c>
      <c r="I487" s="117">
        <v>0.98</v>
      </c>
      <c r="J487" s="69">
        <v>11.9</v>
      </c>
      <c r="K487" s="72"/>
      <c r="L487" s="72"/>
      <c r="M487" s="69">
        <v>5.0</v>
      </c>
      <c r="N487" s="70">
        <v>117.0</v>
      </c>
      <c r="O487" s="72"/>
      <c r="P487" s="140">
        <v>5563.0</v>
      </c>
      <c r="Q487" s="72" t="s">
        <v>234</v>
      </c>
      <c r="R487" s="130">
        <v>2013.0</v>
      </c>
      <c r="S487" s="136">
        <v>0.273</v>
      </c>
      <c r="T487" s="128">
        <f t="shared" si="16"/>
        <v>1518.699</v>
      </c>
      <c r="U487" s="24">
        <f t="shared" si="2"/>
        <v>125.512314</v>
      </c>
      <c r="V487" s="26">
        <f>VLOOKUP(R487,CPI!$A$2:$E$67,5,0)</f>
        <v>1.307975292</v>
      </c>
      <c r="W487" s="27">
        <f t="shared" si="3"/>
        <v>1986.420767</v>
      </c>
      <c r="X487" s="27">
        <f t="shared" si="4"/>
        <v>164.1670056</v>
      </c>
      <c r="Y487" s="130" t="s">
        <v>42</v>
      </c>
      <c r="Z487" s="137" t="s">
        <v>390</v>
      </c>
      <c r="AA487" s="29"/>
      <c r="AB487" s="30"/>
      <c r="AC487" s="30"/>
      <c r="AD487" s="30"/>
    </row>
    <row r="488">
      <c r="A488" s="130" t="s">
        <v>230</v>
      </c>
      <c r="B488" s="130" t="s">
        <v>586</v>
      </c>
      <c r="C488" s="16" t="s">
        <v>54</v>
      </c>
      <c r="D488" s="130" t="s">
        <v>326</v>
      </c>
      <c r="E488" s="130">
        <v>2017.0</v>
      </c>
      <c r="F488" s="130">
        <v>2019.0</v>
      </c>
      <c r="G488" s="130">
        <v>0.0</v>
      </c>
      <c r="H488" s="130">
        <v>9.2</v>
      </c>
      <c r="I488" s="131">
        <v>1.0</v>
      </c>
      <c r="J488" s="130">
        <v>9.2</v>
      </c>
      <c r="K488" s="132">
        <v>0.0</v>
      </c>
      <c r="L488" s="132">
        <v>0.0</v>
      </c>
      <c r="M488" s="130">
        <v>8.0</v>
      </c>
      <c r="N488" s="130"/>
      <c r="O488" s="130" t="s">
        <v>60</v>
      </c>
      <c r="P488" s="135">
        <v>5326.0</v>
      </c>
      <c r="Q488" s="130" t="s">
        <v>234</v>
      </c>
      <c r="R488" s="130">
        <v>2013.0</v>
      </c>
      <c r="S488" s="136">
        <v>0.273</v>
      </c>
      <c r="T488" s="128">
        <f t="shared" si="16"/>
        <v>1453.998</v>
      </c>
      <c r="U488" s="24">
        <f t="shared" si="2"/>
        <v>158.0432609</v>
      </c>
      <c r="V488" s="26">
        <f>VLOOKUP(R488,CPI!$A$2:$E$67,5,0)</f>
        <v>1.307975292</v>
      </c>
      <c r="W488" s="27">
        <f t="shared" si="3"/>
        <v>1901.793458</v>
      </c>
      <c r="X488" s="27">
        <f t="shared" si="4"/>
        <v>206.7166802</v>
      </c>
      <c r="Y488" s="130" t="s">
        <v>60</v>
      </c>
      <c r="Z488" s="137" t="s">
        <v>590</v>
      </c>
      <c r="AA488" s="29"/>
      <c r="AB488" s="30"/>
      <c r="AC488" s="30"/>
      <c r="AD488" s="30"/>
    </row>
    <row r="489">
      <c r="A489" s="130" t="s">
        <v>230</v>
      </c>
      <c r="B489" s="130" t="s">
        <v>387</v>
      </c>
      <c r="C489" s="36" t="s">
        <v>84</v>
      </c>
      <c r="D489" s="130" t="s">
        <v>319</v>
      </c>
      <c r="E489" s="130">
        <v>2013.0</v>
      </c>
      <c r="F489" s="130">
        <v>2017.0</v>
      </c>
      <c r="G489" s="130">
        <v>0.0</v>
      </c>
      <c r="H489" s="130">
        <v>40.0</v>
      </c>
      <c r="I489" s="131"/>
      <c r="J489" s="130"/>
      <c r="K489" s="132" t="e">
        <v>#N/A</v>
      </c>
      <c r="L489" s="132" t="e">
        <v>#N/A</v>
      </c>
      <c r="M489" s="130">
        <v>25.0</v>
      </c>
      <c r="N489" s="130"/>
      <c r="O489" s="130" t="s">
        <v>42</v>
      </c>
      <c r="P489" s="135">
        <v>20046.0</v>
      </c>
      <c r="Q489" s="130" t="s">
        <v>234</v>
      </c>
      <c r="R489" s="130">
        <v>2013.0</v>
      </c>
      <c r="S489" s="136">
        <v>0.273</v>
      </c>
      <c r="T489" s="128">
        <f t="shared" si="16"/>
        <v>5472.558</v>
      </c>
      <c r="U489" s="24">
        <f t="shared" si="2"/>
        <v>136.81395</v>
      </c>
      <c r="V489" s="26">
        <f>VLOOKUP(R489,CPI!$A$2:$E$67,5,0)</f>
        <v>1.307975292</v>
      </c>
      <c r="W489" s="27">
        <f t="shared" si="3"/>
        <v>7157.970646</v>
      </c>
      <c r="X489" s="27">
        <f t="shared" si="4"/>
        <v>178.9492661</v>
      </c>
      <c r="Y489" s="130" t="s">
        <v>42</v>
      </c>
      <c r="Z489" s="137" t="s">
        <v>390</v>
      </c>
      <c r="AA489" s="29"/>
      <c r="AB489" s="30"/>
      <c r="AC489" s="30"/>
      <c r="AD489" s="30"/>
    </row>
    <row r="490">
      <c r="A490" s="72" t="s">
        <v>230</v>
      </c>
      <c r="B490" s="72" t="s">
        <v>586</v>
      </c>
      <c r="C490" s="72" t="s">
        <v>80</v>
      </c>
      <c r="D490" s="72" t="s">
        <v>80</v>
      </c>
      <c r="E490" s="69">
        <v>2020.0</v>
      </c>
      <c r="F490" s="72"/>
      <c r="G490" s="69">
        <v>0.0</v>
      </c>
      <c r="H490" s="69">
        <v>25.61</v>
      </c>
      <c r="I490" s="117">
        <v>0.59</v>
      </c>
      <c r="J490" s="69">
        <v>15.01</v>
      </c>
      <c r="K490" s="72"/>
      <c r="L490" s="72"/>
      <c r="M490" s="69">
        <v>8.0</v>
      </c>
      <c r="N490" s="69">
        <v>117.0</v>
      </c>
      <c r="O490" s="72"/>
      <c r="P490" s="140">
        <v>14171.0</v>
      </c>
      <c r="Q490" s="72" t="s">
        <v>234</v>
      </c>
      <c r="R490" s="115">
        <v>2020.0</v>
      </c>
      <c r="S490" s="136">
        <v>0.239</v>
      </c>
      <c r="T490" s="118">
        <f>P490*S490</f>
        <v>3386.869</v>
      </c>
      <c r="U490" s="24">
        <f t="shared" si="2"/>
        <v>132.247911</v>
      </c>
      <c r="V490" s="26">
        <f>VLOOKUP(R490,CPI!$A$2:$E$67,5,0)</f>
        <v>1.17731472</v>
      </c>
      <c r="W490" s="27">
        <f t="shared" si="3"/>
        <v>3987.410728</v>
      </c>
      <c r="X490" s="27">
        <f t="shared" si="4"/>
        <v>155.6974123</v>
      </c>
      <c r="Y490" s="72"/>
      <c r="Z490" s="79" t="s">
        <v>588</v>
      </c>
      <c r="AA490" s="79" t="s">
        <v>594</v>
      </c>
    </row>
    <row r="491">
      <c r="A491" s="130" t="s">
        <v>230</v>
      </c>
      <c r="B491" s="130" t="s">
        <v>231</v>
      </c>
      <c r="C491" s="36" t="s">
        <v>236</v>
      </c>
      <c r="D491" s="130" t="s">
        <v>301</v>
      </c>
      <c r="E491" s="130">
        <v>2019.0</v>
      </c>
      <c r="F491" s="130">
        <v>2022.0</v>
      </c>
      <c r="G491" s="130">
        <v>0.0</v>
      </c>
      <c r="H491" s="130">
        <v>32.2</v>
      </c>
      <c r="I491" s="131">
        <f>J491/H491</f>
        <v>0.3198757764</v>
      </c>
      <c r="J491" s="130">
        <v>10.3</v>
      </c>
      <c r="K491" s="132">
        <v>12.11</v>
      </c>
      <c r="L491" s="132">
        <v>10.108</v>
      </c>
      <c r="M491" s="130">
        <v>15.0</v>
      </c>
      <c r="N491" s="130"/>
      <c r="O491" s="130" t="s">
        <v>60</v>
      </c>
      <c r="P491" s="135">
        <v>12640.0</v>
      </c>
      <c r="Q491" s="130" t="s">
        <v>234</v>
      </c>
      <c r="R491" s="130">
        <v>2019.0</v>
      </c>
      <c r="S491" s="136">
        <v>0.238</v>
      </c>
      <c r="T491" s="128">
        <f t="shared" ref="T491:T499" si="17">S491*P491</f>
        <v>3008.32</v>
      </c>
      <c r="U491" s="24">
        <f t="shared" si="2"/>
        <v>93.42608696</v>
      </c>
      <c r="V491" s="26">
        <f>VLOOKUP(R491,CPI!$A$2:$E$67,5,0)</f>
        <v>1.191839066</v>
      </c>
      <c r="W491" s="27">
        <f t="shared" si="3"/>
        <v>3585.433298</v>
      </c>
      <c r="X491" s="27">
        <f t="shared" si="4"/>
        <v>111.3488602</v>
      </c>
      <c r="Y491" s="130" t="s">
        <v>60</v>
      </c>
      <c r="Z491" s="137" t="s">
        <v>276</v>
      </c>
      <c r="AA491" s="29"/>
      <c r="AB491" s="30"/>
      <c r="AC491" s="30"/>
      <c r="AD491" s="30"/>
    </row>
    <row r="492">
      <c r="A492" s="130" t="s">
        <v>230</v>
      </c>
      <c r="B492" s="130" t="s">
        <v>323</v>
      </c>
      <c r="C492" s="36" t="s">
        <v>84</v>
      </c>
      <c r="D492" s="130" t="s">
        <v>343</v>
      </c>
      <c r="E492" s="130">
        <v>2019.0</v>
      </c>
      <c r="F492" s="130">
        <v>2022.0</v>
      </c>
      <c r="G492" s="130">
        <v>0.0</v>
      </c>
      <c r="H492" s="130">
        <v>3.65</v>
      </c>
      <c r="I492" s="131">
        <v>0.4849315068</v>
      </c>
      <c r="J492" s="130">
        <v>1.77</v>
      </c>
      <c r="K492" s="132">
        <v>0.0</v>
      </c>
      <c r="L492" s="132">
        <v>0.0</v>
      </c>
      <c r="M492" s="130">
        <v>2.0</v>
      </c>
      <c r="N492" s="130"/>
      <c r="O492" s="130" t="s">
        <v>60</v>
      </c>
      <c r="P492" s="135">
        <v>1409.0</v>
      </c>
      <c r="Q492" s="130" t="s">
        <v>234</v>
      </c>
      <c r="R492" s="130">
        <v>2017.0</v>
      </c>
      <c r="S492" s="136">
        <v>0.239</v>
      </c>
      <c r="T492" s="128">
        <f t="shared" si="17"/>
        <v>336.751</v>
      </c>
      <c r="U492" s="24">
        <f t="shared" si="2"/>
        <v>92.26054795</v>
      </c>
      <c r="V492" s="26">
        <f>VLOOKUP(R492,CPI!$A$2:$E$67,5,0)</f>
        <v>1.243072781</v>
      </c>
      <c r="W492" s="27">
        <f t="shared" si="3"/>
        <v>418.606002</v>
      </c>
      <c r="X492" s="27">
        <f t="shared" si="4"/>
        <v>114.6865759</v>
      </c>
      <c r="Y492" s="130" t="s">
        <v>60</v>
      </c>
      <c r="Z492" s="137" t="s">
        <v>337</v>
      </c>
      <c r="AA492" s="29"/>
      <c r="AB492" s="30"/>
      <c r="AC492" s="30"/>
      <c r="AD492" s="30"/>
    </row>
    <row r="493">
      <c r="A493" s="130" t="s">
        <v>230</v>
      </c>
      <c r="B493" s="130" t="s">
        <v>231</v>
      </c>
      <c r="C493" s="36" t="s">
        <v>243</v>
      </c>
      <c r="D493" s="130" t="s">
        <v>256</v>
      </c>
      <c r="E493" s="130">
        <v>2011.0</v>
      </c>
      <c r="F493" s="130">
        <v>2013.0</v>
      </c>
      <c r="G493" s="130">
        <v>0.0</v>
      </c>
      <c r="H493" s="130">
        <v>6.328</v>
      </c>
      <c r="I493" s="131">
        <v>0.7345132743</v>
      </c>
      <c r="J493" s="130">
        <v>4.648</v>
      </c>
      <c r="K493" s="132">
        <v>1.7091</v>
      </c>
      <c r="L493" s="132">
        <v>0.0</v>
      </c>
      <c r="M493" s="130">
        <v>3.0</v>
      </c>
      <c r="N493" s="130"/>
      <c r="O493" s="130" t="s">
        <v>59</v>
      </c>
      <c r="P493" s="135">
        <v>3212.2</v>
      </c>
      <c r="Q493" s="130" t="s">
        <v>234</v>
      </c>
      <c r="R493" s="130">
        <v>2011.0</v>
      </c>
      <c r="S493" s="136">
        <v>0.284</v>
      </c>
      <c r="T493" s="128">
        <f t="shared" si="17"/>
        <v>912.2648</v>
      </c>
      <c r="U493" s="24">
        <f t="shared" si="2"/>
        <v>144.1632111</v>
      </c>
      <c r="V493" s="26">
        <f>VLOOKUP(R493,CPI!$A$2:$E$67,5,0)</f>
        <v>1.354598358</v>
      </c>
      <c r="W493" s="27">
        <f t="shared" si="3"/>
        <v>1235.7524</v>
      </c>
      <c r="X493" s="27">
        <f t="shared" si="4"/>
        <v>195.283249</v>
      </c>
      <c r="Y493" s="130" t="s">
        <v>42</v>
      </c>
      <c r="Z493" s="137" t="s">
        <v>257</v>
      </c>
      <c r="AA493" s="29"/>
      <c r="AB493" s="30"/>
      <c r="AC493" s="30"/>
      <c r="AD493" s="30"/>
    </row>
    <row r="494">
      <c r="A494" s="130" t="s">
        <v>230</v>
      </c>
      <c r="B494" s="130" t="s">
        <v>704</v>
      </c>
      <c r="C494" s="36" t="s">
        <v>243</v>
      </c>
      <c r="D494" s="130" t="s">
        <v>732</v>
      </c>
      <c r="E494" s="130">
        <v>2016.0</v>
      </c>
      <c r="F494" s="130">
        <v>2018.0</v>
      </c>
      <c r="G494" s="130">
        <v>0.0</v>
      </c>
      <c r="H494" s="130">
        <v>6.689</v>
      </c>
      <c r="I494" s="131">
        <v>0.0</v>
      </c>
      <c r="J494" s="130">
        <v>0.0</v>
      </c>
      <c r="K494" s="132">
        <v>6.65</v>
      </c>
      <c r="L494" s="132">
        <v>0.04</v>
      </c>
      <c r="M494" s="130">
        <v>6.0</v>
      </c>
      <c r="N494" s="130"/>
      <c r="O494" s="130" t="s">
        <v>42</v>
      </c>
      <c r="P494" s="135">
        <v>3177.0</v>
      </c>
      <c r="Q494" s="130" t="s">
        <v>234</v>
      </c>
      <c r="R494" s="130">
        <v>2015.0</v>
      </c>
      <c r="S494" s="136">
        <v>0.258</v>
      </c>
      <c r="T494" s="128">
        <f t="shared" si="17"/>
        <v>819.666</v>
      </c>
      <c r="U494" s="24">
        <f t="shared" si="2"/>
        <v>122.539393</v>
      </c>
      <c r="V494" s="26">
        <f>VLOOKUP(R494,CPI!$A$2:$E$67,5,0)</f>
        <v>1.285570233</v>
      </c>
      <c r="W494" s="27">
        <f t="shared" si="3"/>
        <v>1053.738211</v>
      </c>
      <c r="X494" s="27">
        <f t="shared" si="4"/>
        <v>157.5329961</v>
      </c>
      <c r="Y494" s="130" t="s">
        <v>42</v>
      </c>
      <c r="Z494" s="137" t="s">
        <v>733</v>
      </c>
      <c r="AA494" s="29"/>
      <c r="AB494" s="30"/>
      <c r="AC494" s="30"/>
      <c r="AD494" s="30"/>
    </row>
    <row r="495">
      <c r="A495" s="130" t="s">
        <v>230</v>
      </c>
      <c r="B495" s="130" t="s">
        <v>586</v>
      </c>
      <c r="C495" s="36" t="s">
        <v>57</v>
      </c>
      <c r="D495" s="130" t="s">
        <v>591</v>
      </c>
      <c r="E495" s="130">
        <v>2013.0</v>
      </c>
      <c r="F495" s="130">
        <v>2015.0</v>
      </c>
      <c r="G495" s="130">
        <v>0.0</v>
      </c>
      <c r="H495" s="130">
        <v>7.3</v>
      </c>
      <c r="I495" s="131"/>
      <c r="J495" s="130"/>
      <c r="K495" s="132" t="e">
        <v>#N/A</v>
      </c>
      <c r="L495" s="132" t="e">
        <v>#N/A</v>
      </c>
      <c r="M495" s="130">
        <v>3.0</v>
      </c>
      <c r="N495" s="130"/>
      <c r="O495" s="130" t="s">
        <v>60</v>
      </c>
      <c r="P495" s="135">
        <v>2395.0</v>
      </c>
      <c r="Q495" s="130" t="s">
        <v>234</v>
      </c>
      <c r="R495" s="130">
        <v>2013.0</v>
      </c>
      <c r="S495" s="136">
        <v>0.273</v>
      </c>
      <c r="T495" s="128">
        <f t="shared" si="17"/>
        <v>653.835</v>
      </c>
      <c r="U495" s="24">
        <f t="shared" si="2"/>
        <v>89.56643836</v>
      </c>
      <c r="V495" s="26">
        <f>VLOOKUP(R495,CPI!$A$2:$E$67,5,0)</f>
        <v>1.307975292</v>
      </c>
      <c r="W495" s="27">
        <f t="shared" si="3"/>
        <v>855.2000248</v>
      </c>
      <c r="X495" s="27">
        <f t="shared" si="4"/>
        <v>117.1506883</v>
      </c>
      <c r="Y495" s="130" t="s">
        <v>60</v>
      </c>
      <c r="Z495" s="137" t="s">
        <v>590</v>
      </c>
      <c r="AA495" s="29"/>
      <c r="AB495" s="30"/>
      <c r="AC495" s="30"/>
      <c r="AD495" s="30"/>
    </row>
    <row r="496">
      <c r="A496" s="130" t="s">
        <v>230</v>
      </c>
      <c r="B496" s="130" t="s">
        <v>309</v>
      </c>
      <c r="C496" s="16" t="s">
        <v>87</v>
      </c>
      <c r="D496" s="130" t="s">
        <v>321</v>
      </c>
      <c r="E496" s="130"/>
      <c r="F496" s="130"/>
      <c r="G496" s="130">
        <v>0.0</v>
      </c>
      <c r="H496" s="130">
        <v>3.0</v>
      </c>
      <c r="I496" s="131">
        <v>0.2666666667</v>
      </c>
      <c r="J496" s="130">
        <v>0.8</v>
      </c>
      <c r="K496" s="132">
        <v>0.0</v>
      </c>
      <c r="L496" s="132">
        <v>0.0</v>
      </c>
      <c r="M496" s="130">
        <v>2.0</v>
      </c>
      <c r="N496" s="130"/>
      <c r="O496" s="130" t="s">
        <v>60</v>
      </c>
      <c r="P496" s="135">
        <v>839.0</v>
      </c>
      <c r="Q496" s="130" t="s">
        <v>234</v>
      </c>
      <c r="R496" s="130">
        <v>2018.0</v>
      </c>
      <c r="S496" s="136">
        <v>0.237</v>
      </c>
      <c r="T496" s="128">
        <f t="shared" si="17"/>
        <v>198.843</v>
      </c>
      <c r="U496" s="24">
        <f t="shared" si="2"/>
        <v>66.281</v>
      </c>
      <c r="V496" s="26">
        <f>VLOOKUP(R496,CPI!$A$2:$E$67,5,0)</f>
        <v>1.21343491</v>
      </c>
      <c r="W496" s="27">
        <f t="shared" si="3"/>
        <v>241.2830379</v>
      </c>
      <c r="X496" s="27">
        <f t="shared" si="4"/>
        <v>80.42767928</v>
      </c>
      <c r="Y496" s="130" t="s">
        <v>60</v>
      </c>
      <c r="Z496" s="137" t="s">
        <v>316</v>
      </c>
      <c r="AA496" s="29"/>
      <c r="AB496" s="30"/>
      <c r="AC496" s="30"/>
      <c r="AD496" s="30"/>
    </row>
    <row r="497">
      <c r="A497" s="130" t="s">
        <v>230</v>
      </c>
      <c r="B497" s="130" t="s">
        <v>231</v>
      </c>
      <c r="C497" s="36" t="s">
        <v>242</v>
      </c>
      <c r="D497" s="130" t="s">
        <v>242</v>
      </c>
      <c r="E497" s="130">
        <v>2005.0</v>
      </c>
      <c r="F497" s="130">
        <v>2008.0</v>
      </c>
      <c r="G497" s="130">
        <v>0.0</v>
      </c>
      <c r="H497" s="130">
        <v>28.1</v>
      </c>
      <c r="I497" s="131">
        <v>0.0</v>
      </c>
      <c r="J497" s="130">
        <v>0.0</v>
      </c>
      <c r="K497" s="132">
        <v>17.315</v>
      </c>
      <c r="L497" s="132">
        <v>10.785</v>
      </c>
      <c r="M497" s="130">
        <v>4.0</v>
      </c>
      <c r="N497" s="130"/>
      <c r="O497" s="130" t="s">
        <v>59</v>
      </c>
      <c r="P497" s="135">
        <v>622.3</v>
      </c>
      <c r="Q497" s="130" t="s">
        <v>234</v>
      </c>
      <c r="R497" s="130">
        <v>2005.0</v>
      </c>
      <c r="S497" s="136">
        <v>0.3519</v>
      </c>
      <c r="T497" s="128">
        <f t="shared" si="17"/>
        <v>218.98737</v>
      </c>
      <c r="U497" s="24">
        <f t="shared" si="2"/>
        <v>7.79314484</v>
      </c>
      <c r="V497" s="26">
        <f>VLOOKUP(R497,CPI!$A$2:$E$67,5,0)</f>
        <v>1.560174091</v>
      </c>
      <c r="W497" s="27">
        <f t="shared" si="3"/>
        <v>341.658421</v>
      </c>
      <c r="X497" s="27">
        <f t="shared" si="4"/>
        <v>12.15866267</v>
      </c>
      <c r="Y497" s="130" t="s">
        <v>42</v>
      </c>
      <c r="Z497" s="137" t="s">
        <v>241</v>
      </c>
      <c r="AA497" s="29"/>
      <c r="AB497" s="30"/>
      <c r="AC497" s="30"/>
      <c r="AD497" s="30"/>
    </row>
    <row r="498">
      <c r="A498" s="130" t="s">
        <v>230</v>
      </c>
      <c r="B498" s="130" t="s">
        <v>863</v>
      </c>
      <c r="C498" s="36" t="s">
        <v>506</v>
      </c>
      <c r="D498" s="130" t="s">
        <v>507</v>
      </c>
      <c r="E498" s="138"/>
      <c r="F498" s="138"/>
      <c r="G498" s="138">
        <v>0.0</v>
      </c>
      <c r="H498" s="138">
        <v>53.5</v>
      </c>
      <c r="I498" s="197"/>
      <c r="J498" s="198"/>
      <c r="K498" s="199" t="e">
        <v>#N/A</v>
      </c>
      <c r="L498" s="199" t="e">
        <v>#N/A</v>
      </c>
      <c r="M498" s="138"/>
      <c r="N498" s="130"/>
      <c r="O498" s="130" t="s">
        <v>42</v>
      </c>
      <c r="P498" s="226">
        <v>18606.83</v>
      </c>
      <c r="Q498" s="130" t="s">
        <v>234</v>
      </c>
      <c r="R498" s="138">
        <v>2014.0</v>
      </c>
      <c r="S498" s="136">
        <v>0.266</v>
      </c>
      <c r="T498" s="194">
        <f t="shared" si="17"/>
        <v>4949.41678</v>
      </c>
      <c r="U498" s="24">
        <f t="shared" si="2"/>
        <v>92.51246318</v>
      </c>
      <c r="V498" s="26">
        <f>VLOOKUP(R498,CPI!$A$2:$E$67,5,0)</f>
        <v>1.287096175</v>
      </c>
      <c r="W498" s="27">
        <f t="shared" si="3"/>
        <v>6370.375404</v>
      </c>
      <c r="X498" s="27">
        <f t="shared" si="4"/>
        <v>119.0724375</v>
      </c>
      <c r="Y498" s="130" t="s">
        <v>42</v>
      </c>
      <c r="Z498" s="196" t="s">
        <v>870</v>
      </c>
      <c r="AA498" s="173"/>
      <c r="AB498" s="60"/>
      <c r="AC498" s="60"/>
      <c r="AD498" s="60"/>
    </row>
    <row r="499">
      <c r="A499" s="130" t="s">
        <v>230</v>
      </c>
      <c r="B499" s="130" t="s">
        <v>863</v>
      </c>
      <c r="C499" s="36" t="s">
        <v>511</v>
      </c>
      <c r="D499" s="130" t="s">
        <v>871</v>
      </c>
      <c r="E499" s="138"/>
      <c r="F499" s="138"/>
      <c r="G499" s="138">
        <v>0.0</v>
      </c>
      <c r="H499" s="138">
        <v>70.299</v>
      </c>
      <c r="I499" s="197"/>
      <c r="J499" s="198"/>
      <c r="K499" s="199" t="e">
        <v>#N/A</v>
      </c>
      <c r="L499" s="199" t="e">
        <v>#N/A</v>
      </c>
      <c r="M499" s="138"/>
      <c r="N499" s="130"/>
      <c r="O499" s="130" t="s">
        <v>42</v>
      </c>
      <c r="P499" s="226">
        <v>26200.0</v>
      </c>
      <c r="Q499" s="130" t="s">
        <v>234</v>
      </c>
      <c r="R499" s="138">
        <v>2014.0</v>
      </c>
      <c r="S499" s="136">
        <v>0.266</v>
      </c>
      <c r="T499" s="194">
        <f t="shared" si="17"/>
        <v>6969.2</v>
      </c>
      <c r="U499" s="24">
        <f t="shared" si="2"/>
        <v>99.13654533</v>
      </c>
      <c r="V499" s="26">
        <f>VLOOKUP(R499,CPI!$A$2:$E$67,5,0)</f>
        <v>1.287096175</v>
      </c>
      <c r="W499" s="27">
        <f t="shared" si="3"/>
        <v>8970.03066</v>
      </c>
      <c r="X499" s="27">
        <f t="shared" si="4"/>
        <v>127.5982683</v>
      </c>
      <c r="Y499" s="130" t="s">
        <v>42</v>
      </c>
      <c r="Z499" s="196" t="s">
        <v>870</v>
      </c>
      <c r="AA499" s="173"/>
      <c r="AB499" s="174"/>
      <c r="AC499" s="174"/>
      <c r="AD499" s="174"/>
    </row>
    <row r="500">
      <c r="A500" s="72" t="s">
        <v>230</v>
      </c>
      <c r="B500" s="72" t="s">
        <v>863</v>
      </c>
      <c r="C500" s="115" t="s">
        <v>866</v>
      </c>
      <c r="D500" s="115" t="s">
        <v>866</v>
      </c>
      <c r="E500" s="69">
        <v>2022.0</v>
      </c>
      <c r="F500" s="72"/>
      <c r="G500" s="69">
        <v>0.0</v>
      </c>
      <c r="H500" s="69">
        <v>32.5</v>
      </c>
      <c r="I500" s="117">
        <v>1.0</v>
      </c>
      <c r="J500" s="193">
        <v>32.5</v>
      </c>
      <c r="K500" s="72"/>
      <c r="L500" s="72"/>
      <c r="M500" s="69">
        <v>23.0</v>
      </c>
      <c r="N500" s="69">
        <v>117.0</v>
      </c>
      <c r="O500" s="72"/>
      <c r="P500" s="140">
        <v>26000.0</v>
      </c>
      <c r="Q500" s="72" t="s">
        <v>234</v>
      </c>
      <c r="R500" s="115">
        <v>2021.0</v>
      </c>
      <c r="S500" s="136">
        <v>0.239</v>
      </c>
      <c r="T500" s="118">
        <f t="shared" ref="T500:T502" si="18">P500*S500</f>
        <v>6214</v>
      </c>
      <c r="U500" s="24">
        <f t="shared" si="2"/>
        <v>191.2</v>
      </c>
      <c r="V500" s="26">
        <f>VLOOKUP(R500,CPI!$A$2:$E$67,5,0)</f>
        <v>1.124486105</v>
      </c>
      <c r="W500" s="27">
        <f t="shared" si="3"/>
        <v>6987.556659</v>
      </c>
      <c r="X500" s="27">
        <f t="shared" si="4"/>
        <v>215.0017434</v>
      </c>
      <c r="Y500" s="72"/>
      <c r="Z500" s="217" t="s">
        <v>867</v>
      </c>
      <c r="AA500" s="72"/>
      <c r="AB500" s="72"/>
      <c r="AC500" s="72"/>
      <c r="AD500" s="72"/>
    </row>
    <row r="501">
      <c r="A501" s="72" t="s">
        <v>230</v>
      </c>
      <c r="B501" s="72" t="s">
        <v>595</v>
      </c>
      <c r="C501" s="16" t="s">
        <v>54</v>
      </c>
      <c r="D501" s="115" t="s">
        <v>348</v>
      </c>
      <c r="E501" s="69">
        <v>2021.0</v>
      </c>
      <c r="F501" s="72"/>
      <c r="G501" s="69">
        <v>0.0</v>
      </c>
      <c r="H501" s="69">
        <v>9.6</v>
      </c>
      <c r="I501" s="117">
        <v>1.0</v>
      </c>
      <c r="J501" s="193">
        <v>9.6</v>
      </c>
      <c r="K501" s="72"/>
      <c r="L501" s="72"/>
      <c r="M501" s="69">
        <v>9.0</v>
      </c>
      <c r="N501" s="69">
        <v>138.0</v>
      </c>
      <c r="O501" s="72"/>
      <c r="P501" s="140">
        <v>8960.0</v>
      </c>
      <c r="Q501" s="72" t="s">
        <v>234</v>
      </c>
      <c r="R501" s="115">
        <v>2021.0</v>
      </c>
      <c r="S501" s="136">
        <v>0.239</v>
      </c>
      <c r="T501" s="118">
        <f t="shared" si="18"/>
        <v>2141.44</v>
      </c>
      <c r="U501" s="24">
        <f t="shared" si="2"/>
        <v>223.0666667</v>
      </c>
      <c r="V501" s="26">
        <f>VLOOKUP(R501,CPI!$A$2:$E$67,5,0)</f>
        <v>1.124486105</v>
      </c>
      <c r="W501" s="27">
        <f t="shared" si="3"/>
        <v>2408.019526</v>
      </c>
      <c r="X501" s="27">
        <f t="shared" si="4"/>
        <v>250.8353673</v>
      </c>
      <c r="Y501" s="72" t="s">
        <v>36</v>
      </c>
      <c r="Z501" s="79" t="s">
        <v>598</v>
      </c>
      <c r="AA501" s="72"/>
      <c r="AB501" s="72"/>
      <c r="AC501" s="72"/>
      <c r="AD501" s="72"/>
    </row>
    <row r="502">
      <c r="A502" s="72" t="s">
        <v>230</v>
      </c>
      <c r="B502" s="72" t="s">
        <v>595</v>
      </c>
      <c r="C502" s="16" t="s">
        <v>57</v>
      </c>
      <c r="D502" s="115" t="s">
        <v>232</v>
      </c>
      <c r="E502" s="72"/>
      <c r="F502" s="70">
        <v>2019.0</v>
      </c>
      <c r="G502" s="69">
        <v>0.0</v>
      </c>
      <c r="H502" s="69">
        <v>25.9</v>
      </c>
      <c r="I502" s="117">
        <v>1.0</v>
      </c>
      <c r="J502" s="193">
        <v>25.9</v>
      </c>
      <c r="K502" s="72"/>
      <c r="L502" s="72"/>
      <c r="M502" s="69">
        <v>20.0</v>
      </c>
      <c r="N502" s="70">
        <v>138.0</v>
      </c>
      <c r="O502" s="72"/>
      <c r="P502" s="140">
        <v>19816.0</v>
      </c>
      <c r="Q502" s="72" t="s">
        <v>234</v>
      </c>
      <c r="R502" s="115">
        <v>2019.0</v>
      </c>
      <c r="S502" s="136">
        <v>0.238</v>
      </c>
      <c r="T502" s="118">
        <f t="shared" si="18"/>
        <v>4716.208</v>
      </c>
      <c r="U502" s="24">
        <f t="shared" si="2"/>
        <v>182.092973</v>
      </c>
      <c r="V502" s="26">
        <f>VLOOKUP(R502,CPI!$A$2:$E$67,5,0)</f>
        <v>1.191839066</v>
      </c>
      <c r="W502" s="27">
        <f t="shared" si="3"/>
        <v>5620.960936</v>
      </c>
      <c r="X502" s="27">
        <f t="shared" si="4"/>
        <v>217.0255188</v>
      </c>
      <c r="Y502" s="72" t="s">
        <v>36</v>
      </c>
      <c r="Z502" s="79" t="s">
        <v>596</v>
      </c>
      <c r="AA502" s="72"/>
      <c r="AB502" s="72"/>
      <c r="AC502" s="72"/>
      <c r="AD502" s="72"/>
    </row>
    <row r="503">
      <c r="A503" s="130" t="s">
        <v>230</v>
      </c>
      <c r="B503" s="130" t="s">
        <v>433</v>
      </c>
      <c r="C503" s="36" t="s">
        <v>57</v>
      </c>
      <c r="D503" s="130" t="s">
        <v>232</v>
      </c>
      <c r="E503" s="69">
        <v>2021.0</v>
      </c>
      <c r="F503" s="69">
        <v>2026.0</v>
      </c>
      <c r="G503" s="69">
        <v>0.0</v>
      </c>
      <c r="H503" s="69">
        <v>57.46</v>
      </c>
      <c r="I503" s="117">
        <v>0.86</v>
      </c>
      <c r="J503" s="193">
        <v>49.4</v>
      </c>
      <c r="K503" s="72"/>
      <c r="L503" s="72"/>
      <c r="M503" s="69">
        <v>25.0</v>
      </c>
      <c r="N503" s="69">
        <v>117.0</v>
      </c>
      <c r="O503" s="72"/>
      <c r="P503" s="73">
        <v>37976.0</v>
      </c>
      <c r="Q503" s="72" t="s">
        <v>234</v>
      </c>
      <c r="R503" s="138">
        <v>2019.0</v>
      </c>
      <c r="S503" s="136">
        <v>0.238</v>
      </c>
      <c r="T503" s="194">
        <f t="shared" ref="T503:T509" si="19">S503*P503</f>
        <v>9038.288</v>
      </c>
      <c r="U503" s="24">
        <f t="shared" si="2"/>
        <v>157.2970414</v>
      </c>
      <c r="V503" s="26">
        <f>VLOOKUP(R503,CPI!$A$2:$E$67,5,0)</f>
        <v>1.191839066</v>
      </c>
      <c r="W503" s="27">
        <f t="shared" si="3"/>
        <v>10772.18472</v>
      </c>
      <c r="X503" s="27">
        <f t="shared" si="4"/>
        <v>187.4727589</v>
      </c>
      <c r="Y503" s="130" t="s">
        <v>60</v>
      </c>
      <c r="Z503" s="195" t="s">
        <v>434</v>
      </c>
      <c r="AA503" s="29"/>
      <c r="AB503" s="30"/>
      <c r="AC503" s="30"/>
      <c r="AD503" s="30"/>
    </row>
    <row r="504">
      <c r="A504" s="130" t="s">
        <v>230</v>
      </c>
      <c r="B504" s="130" t="s">
        <v>433</v>
      </c>
      <c r="C504" s="36" t="s">
        <v>57</v>
      </c>
      <c r="D504" s="130" t="s">
        <v>410</v>
      </c>
      <c r="E504" s="138">
        <v>2023.0</v>
      </c>
      <c r="F504" s="138">
        <v>2028.0</v>
      </c>
      <c r="G504" s="138">
        <v>0.0</v>
      </c>
      <c r="H504" s="138">
        <v>10.9</v>
      </c>
      <c r="I504" s="197">
        <f>J504/H504</f>
        <v>0.3486238532</v>
      </c>
      <c r="J504" s="198">
        <v>3.8</v>
      </c>
      <c r="K504" s="199">
        <v>0.0</v>
      </c>
      <c r="L504" s="199">
        <v>0.0</v>
      </c>
      <c r="M504" s="138">
        <v>4.0</v>
      </c>
      <c r="N504" s="130"/>
      <c r="O504" s="130" t="s">
        <v>60</v>
      </c>
      <c r="P504" s="200">
        <v>6055.0</v>
      </c>
      <c r="Q504" s="130" t="s">
        <v>234</v>
      </c>
      <c r="R504" s="138">
        <v>2019.0</v>
      </c>
      <c r="S504" s="136">
        <v>0.238</v>
      </c>
      <c r="T504" s="194">
        <f t="shared" si="19"/>
        <v>1441.09</v>
      </c>
      <c r="U504" s="24">
        <f t="shared" si="2"/>
        <v>132.2100917</v>
      </c>
      <c r="V504" s="26">
        <f>VLOOKUP(R504,CPI!$A$2:$E$67,5,0)</f>
        <v>1.191839066</v>
      </c>
      <c r="W504" s="27">
        <f t="shared" si="3"/>
        <v>1717.547359</v>
      </c>
      <c r="X504" s="27">
        <f t="shared" si="4"/>
        <v>157.5731522</v>
      </c>
      <c r="Y504" s="130" t="s">
        <v>60</v>
      </c>
      <c r="Z504" s="196" t="s">
        <v>435</v>
      </c>
      <c r="AA504" s="29"/>
      <c r="AB504" s="30"/>
      <c r="AC504" s="30"/>
      <c r="AD504" s="30"/>
    </row>
    <row r="505">
      <c r="A505" s="130" t="s">
        <v>230</v>
      </c>
      <c r="B505" s="130" t="s">
        <v>433</v>
      </c>
      <c r="C505" s="36" t="s">
        <v>57</v>
      </c>
      <c r="D505" s="130" t="s">
        <v>354</v>
      </c>
      <c r="E505" s="69">
        <v>2021.0</v>
      </c>
      <c r="F505" s="69">
        <v>2026.0</v>
      </c>
      <c r="G505" s="69">
        <v>0.0</v>
      </c>
      <c r="H505" s="69">
        <v>51.5</v>
      </c>
      <c r="I505" s="117">
        <v>1.0</v>
      </c>
      <c r="J505" s="193">
        <v>51.5</v>
      </c>
      <c r="K505" s="72"/>
      <c r="L505" s="72"/>
      <c r="M505" s="69">
        <v>20.0</v>
      </c>
      <c r="N505" s="69">
        <v>117.0</v>
      </c>
      <c r="O505" s="72"/>
      <c r="P505" s="73">
        <v>36807.0</v>
      </c>
      <c r="Q505" s="130" t="s">
        <v>234</v>
      </c>
      <c r="R505" s="138">
        <v>2019.0</v>
      </c>
      <c r="S505" s="136">
        <v>0.238</v>
      </c>
      <c r="T505" s="194">
        <f t="shared" si="19"/>
        <v>8760.066</v>
      </c>
      <c r="U505" s="24">
        <f t="shared" si="2"/>
        <v>170.0983689</v>
      </c>
      <c r="V505" s="26">
        <f>VLOOKUP(R505,CPI!$A$2:$E$67,5,0)</f>
        <v>1.191839066</v>
      </c>
      <c r="W505" s="27">
        <f t="shared" si="3"/>
        <v>10440.58888</v>
      </c>
      <c r="X505" s="27">
        <f t="shared" si="4"/>
        <v>202.7298811</v>
      </c>
      <c r="Y505" s="130" t="s">
        <v>60</v>
      </c>
      <c r="Z505" s="196" t="s">
        <v>435</v>
      </c>
      <c r="AA505" s="29"/>
      <c r="AB505" s="30"/>
      <c r="AC505" s="30"/>
      <c r="AD505" s="30"/>
    </row>
    <row r="506">
      <c r="A506" s="130" t="s">
        <v>230</v>
      </c>
      <c r="B506" s="130" t="s">
        <v>433</v>
      </c>
      <c r="C506" s="36" t="s">
        <v>57</v>
      </c>
      <c r="D506" s="130" t="s">
        <v>436</v>
      </c>
      <c r="E506" s="138">
        <v>2022.0</v>
      </c>
      <c r="F506" s="138">
        <v>2027.0</v>
      </c>
      <c r="G506" s="138">
        <v>0.0</v>
      </c>
      <c r="H506" s="138">
        <v>25.56</v>
      </c>
      <c r="I506" s="197">
        <f>J506/H506</f>
        <v>1</v>
      </c>
      <c r="J506" s="198">
        <v>25.56</v>
      </c>
      <c r="K506" s="199">
        <v>0.0</v>
      </c>
      <c r="L506" s="199">
        <v>0.0</v>
      </c>
      <c r="M506" s="138">
        <v>10.0</v>
      </c>
      <c r="N506" s="130"/>
      <c r="O506" s="130" t="s">
        <v>60</v>
      </c>
      <c r="P506" s="200">
        <v>17499.0</v>
      </c>
      <c r="Q506" s="130" t="s">
        <v>234</v>
      </c>
      <c r="R506" s="138">
        <v>2019.0</v>
      </c>
      <c r="S506" s="136">
        <v>0.238</v>
      </c>
      <c r="T506" s="194">
        <f t="shared" si="19"/>
        <v>4164.762</v>
      </c>
      <c r="U506" s="24">
        <f t="shared" si="2"/>
        <v>162.9406103</v>
      </c>
      <c r="V506" s="26">
        <f>VLOOKUP(R506,CPI!$A$2:$E$67,5,0)</f>
        <v>1.191839066</v>
      </c>
      <c r="W506" s="27">
        <f t="shared" si="3"/>
        <v>4963.726051</v>
      </c>
      <c r="X506" s="27">
        <f t="shared" si="4"/>
        <v>194.1989848</v>
      </c>
      <c r="Y506" s="130" t="s">
        <v>60</v>
      </c>
      <c r="Z506" s="196" t="s">
        <v>435</v>
      </c>
      <c r="AA506" s="29"/>
      <c r="AB506" s="30"/>
      <c r="AC506" s="30"/>
      <c r="AD506" s="30"/>
    </row>
    <row r="507">
      <c r="A507" s="72" t="s">
        <v>230</v>
      </c>
      <c r="B507" s="72" t="s">
        <v>433</v>
      </c>
      <c r="C507" s="16" t="s">
        <v>54</v>
      </c>
      <c r="D507" s="115" t="s">
        <v>437</v>
      </c>
      <c r="E507" s="69">
        <v>2022.0</v>
      </c>
      <c r="F507" s="69">
        <v>2027.0</v>
      </c>
      <c r="G507" s="69">
        <v>0.0</v>
      </c>
      <c r="H507" s="69">
        <v>17.5</v>
      </c>
      <c r="I507" s="117">
        <v>0.96</v>
      </c>
      <c r="J507" s="193">
        <v>16.8</v>
      </c>
      <c r="K507" s="72"/>
      <c r="L507" s="72"/>
      <c r="M507" s="69">
        <v>9.0</v>
      </c>
      <c r="N507" s="69">
        <v>117.0</v>
      </c>
      <c r="O507" s="72"/>
      <c r="P507" s="73">
        <v>14690.0</v>
      </c>
      <c r="Q507" s="72" t="s">
        <v>234</v>
      </c>
      <c r="R507" s="138">
        <v>2019.0</v>
      </c>
      <c r="S507" s="136">
        <v>0.238</v>
      </c>
      <c r="T507" s="194">
        <f t="shared" si="19"/>
        <v>3496.22</v>
      </c>
      <c r="U507" s="24">
        <f t="shared" si="2"/>
        <v>199.784</v>
      </c>
      <c r="V507" s="26">
        <f>VLOOKUP(R507,CPI!$A$2:$E$67,5,0)</f>
        <v>1.191839066</v>
      </c>
      <c r="W507" s="27">
        <f t="shared" si="3"/>
        <v>4166.931578</v>
      </c>
      <c r="X507" s="27">
        <f t="shared" si="4"/>
        <v>238.1103759</v>
      </c>
      <c r="Y507" s="72" t="s">
        <v>36</v>
      </c>
      <c r="Z507" s="79" t="s">
        <v>438</v>
      </c>
      <c r="AA507" s="29"/>
      <c r="AB507" s="30"/>
      <c r="AC507" s="30"/>
      <c r="AD507" s="30"/>
    </row>
    <row r="508">
      <c r="A508" s="130" t="s">
        <v>230</v>
      </c>
      <c r="B508" s="130" t="s">
        <v>433</v>
      </c>
      <c r="C508" s="36" t="s">
        <v>87</v>
      </c>
      <c r="D508" s="130" t="s">
        <v>331</v>
      </c>
      <c r="E508" s="138">
        <v>2023.0</v>
      </c>
      <c r="F508" s="138">
        <v>2028.0</v>
      </c>
      <c r="G508" s="138">
        <v>0.0</v>
      </c>
      <c r="H508" s="138">
        <v>50.14</v>
      </c>
      <c r="I508" s="197">
        <f t="shared" ref="I508:I516" si="20">J508/H508</f>
        <v>1</v>
      </c>
      <c r="J508" s="198">
        <v>50.14</v>
      </c>
      <c r="K508" s="199">
        <v>0.0</v>
      </c>
      <c r="L508" s="199">
        <v>0.0</v>
      </c>
      <c r="M508" s="138">
        <v>18.0</v>
      </c>
      <c r="N508" s="130"/>
      <c r="O508" s="130" t="s">
        <v>60</v>
      </c>
      <c r="P508" s="200">
        <v>32178.0</v>
      </c>
      <c r="Q508" s="130" t="s">
        <v>234</v>
      </c>
      <c r="R508" s="138">
        <v>2019.0</v>
      </c>
      <c r="S508" s="136">
        <v>0.238</v>
      </c>
      <c r="T508" s="194">
        <f t="shared" si="19"/>
        <v>7658.364</v>
      </c>
      <c r="U508" s="24">
        <f t="shared" si="2"/>
        <v>152.7396091</v>
      </c>
      <c r="V508" s="26">
        <f>VLOOKUP(R508,CPI!$A$2:$E$67,5,0)</f>
        <v>1.191839066</v>
      </c>
      <c r="W508" s="27">
        <f t="shared" si="3"/>
        <v>9127.537394</v>
      </c>
      <c r="X508" s="27">
        <f t="shared" si="4"/>
        <v>182.041033</v>
      </c>
      <c r="Y508" s="130" t="s">
        <v>60</v>
      </c>
      <c r="Z508" s="149" t="s">
        <v>434</v>
      </c>
      <c r="AA508" s="29"/>
      <c r="AB508" s="30"/>
      <c r="AC508" s="30"/>
      <c r="AD508" s="30"/>
    </row>
    <row r="509">
      <c r="A509" s="130" t="s">
        <v>230</v>
      </c>
      <c r="B509" s="130" t="s">
        <v>433</v>
      </c>
      <c r="C509" s="36" t="s">
        <v>87</v>
      </c>
      <c r="D509" s="130" t="s">
        <v>439</v>
      </c>
      <c r="E509" s="138">
        <v>2024.0</v>
      </c>
      <c r="F509" s="138">
        <v>2028.0</v>
      </c>
      <c r="G509" s="138">
        <v>0.0</v>
      </c>
      <c r="H509" s="138">
        <v>1.8</v>
      </c>
      <c r="I509" s="197">
        <f t="shared" si="20"/>
        <v>1</v>
      </c>
      <c r="J509" s="198">
        <v>1.8</v>
      </c>
      <c r="K509" s="199">
        <v>0.0</v>
      </c>
      <c r="L509" s="199">
        <v>0.0</v>
      </c>
      <c r="M509" s="138">
        <v>1.0</v>
      </c>
      <c r="N509" s="130"/>
      <c r="O509" s="130" t="s">
        <v>60</v>
      </c>
      <c r="P509" s="200">
        <v>1297.0</v>
      </c>
      <c r="Q509" s="130" t="s">
        <v>234</v>
      </c>
      <c r="R509" s="138">
        <v>2019.0</v>
      </c>
      <c r="S509" s="136">
        <v>0.238</v>
      </c>
      <c r="T509" s="194">
        <f t="shared" si="19"/>
        <v>308.686</v>
      </c>
      <c r="U509" s="24">
        <f t="shared" si="2"/>
        <v>171.4922222</v>
      </c>
      <c r="V509" s="26">
        <f>VLOOKUP(R509,CPI!$A$2:$E$67,5,0)</f>
        <v>1.191839066</v>
      </c>
      <c r="W509" s="27">
        <f t="shared" si="3"/>
        <v>367.9040338</v>
      </c>
      <c r="X509" s="27">
        <f t="shared" si="4"/>
        <v>204.3911299</v>
      </c>
      <c r="Y509" s="130" t="s">
        <v>60</v>
      </c>
      <c r="Z509" s="196" t="s">
        <v>435</v>
      </c>
      <c r="AA509" s="29"/>
      <c r="AB509" s="30"/>
      <c r="AC509" s="30"/>
      <c r="AD509" s="30"/>
    </row>
    <row r="510">
      <c r="A510" s="15" t="s">
        <v>1693</v>
      </c>
      <c r="B510" s="15" t="s">
        <v>1704</v>
      </c>
      <c r="C510" s="15" t="s">
        <v>1705</v>
      </c>
      <c r="D510" s="15" t="s">
        <v>1705</v>
      </c>
      <c r="E510" s="17">
        <v>2015.0</v>
      </c>
      <c r="F510" s="17">
        <v>2016.0</v>
      </c>
      <c r="G510" s="17">
        <v>0.0</v>
      </c>
      <c r="H510" s="18">
        <v>38.0</v>
      </c>
      <c r="I510" s="19">
        <f t="shared" si="20"/>
        <v>0.4263157895</v>
      </c>
      <c r="J510" s="20">
        <v>16.2</v>
      </c>
      <c r="K510" s="21">
        <v>0.0</v>
      </c>
      <c r="L510" s="21">
        <v>0.0</v>
      </c>
      <c r="M510" s="18">
        <v>22.0</v>
      </c>
      <c r="N510" s="22"/>
      <c r="O510" s="22" t="s">
        <v>36</v>
      </c>
      <c r="P510" s="23">
        <v>6561.0</v>
      </c>
      <c r="Q510" s="15" t="s">
        <v>37</v>
      </c>
      <c r="R510" s="18">
        <v>2013.0</v>
      </c>
      <c r="S510" s="18">
        <v>1.82</v>
      </c>
      <c r="T510" s="18">
        <f t="shared" ref="T510:T532" si="21">P510*S510</f>
        <v>11941.02</v>
      </c>
      <c r="U510" s="24">
        <f t="shared" si="2"/>
        <v>314.2373684</v>
      </c>
      <c r="V510" s="26">
        <f>VLOOKUP(R510,CPI!$A$2:$E$67,5,0)</f>
        <v>1.307975292</v>
      </c>
      <c r="W510" s="27">
        <f t="shared" si="3"/>
        <v>15618.55912</v>
      </c>
      <c r="X510" s="27">
        <f t="shared" si="4"/>
        <v>411.0147136</v>
      </c>
      <c r="Y510" s="36" t="s">
        <v>60</v>
      </c>
      <c r="Z510" s="37" t="s">
        <v>1706</v>
      </c>
      <c r="AA510" s="178"/>
      <c r="AB510" s="172"/>
      <c r="AC510" s="172"/>
      <c r="AD510" s="172"/>
    </row>
    <row r="511">
      <c r="A511" s="15" t="s">
        <v>1693</v>
      </c>
      <c r="B511" s="15" t="s">
        <v>1704</v>
      </c>
      <c r="C511" s="15" t="s">
        <v>1712</v>
      </c>
      <c r="D511" s="15" t="s">
        <v>1712</v>
      </c>
      <c r="E511" s="17">
        <v>2014.0</v>
      </c>
      <c r="F511" s="17">
        <v>2020.0</v>
      </c>
      <c r="G511" s="17">
        <v>0.0</v>
      </c>
      <c r="H511" s="18">
        <v>25.3</v>
      </c>
      <c r="I511" s="19">
        <f t="shared" si="20"/>
        <v>0</v>
      </c>
      <c r="J511" s="20">
        <v>0.0</v>
      </c>
      <c r="K511" s="21">
        <v>0.0</v>
      </c>
      <c r="L511" s="21">
        <v>0.0</v>
      </c>
      <c r="M511" s="18">
        <v>13.0</v>
      </c>
      <c r="N511" s="22"/>
      <c r="O511" s="22" t="s">
        <v>36</v>
      </c>
      <c r="P511" s="23">
        <v>2880.0</v>
      </c>
      <c r="Q511" s="15" t="s">
        <v>37</v>
      </c>
      <c r="R511" s="18">
        <v>2013.0</v>
      </c>
      <c r="S511" s="18">
        <v>1.82</v>
      </c>
      <c r="T511" s="18">
        <f t="shared" si="21"/>
        <v>5241.6</v>
      </c>
      <c r="U511" s="24">
        <f t="shared" si="2"/>
        <v>207.1778656</v>
      </c>
      <c r="V511" s="26">
        <f>VLOOKUP(R511,CPI!$A$2:$E$67,5,0)</f>
        <v>1.307975292</v>
      </c>
      <c r="W511" s="27">
        <f t="shared" si="3"/>
        <v>6855.883288</v>
      </c>
      <c r="X511" s="27">
        <f t="shared" si="4"/>
        <v>270.9835292</v>
      </c>
      <c r="Y511" s="6" t="s">
        <v>42</v>
      </c>
      <c r="Z511" s="6"/>
      <c r="AA511" s="178"/>
      <c r="AB511" s="172"/>
      <c r="AC511" s="172"/>
      <c r="AD511" s="172"/>
    </row>
    <row r="512">
      <c r="A512" s="15" t="s">
        <v>1693</v>
      </c>
      <c r="B512" s="15" t="s">
        <v>1704</v>
      </c>
      <c r="C512" s="15" t="s">
        <v>1709</v>
      </c>
      <c r="D512" s="15" t="s">
        <v>1709</v>
      </c>
      <c r="E512" s="17">
        <v>2014.0</v>
      </c>
      <c r="F512" s="17">
        <v>2017.0</v>
      </c>
      <c r="G512" s="17">
        <v>0.0</v>
      </c>
      <c r="H512" s="18">
        <v>40.7</v>
      </c>
      <c r="I512" s="19">
        <f t="shared" si="20"/>
        <v>0.14004914</v>
      </c>
      <c r="J512" s="20">
        <v>5.7</v>
      </c>
      <c r="K512" s="21">
        <v>0.0</v>
      </c>
      <c r="L512" s="21">
        <v>0.0</v>
      </c>
      <c r="M512" s="18">
        <v>20.0</v>
      </c>
      <c r="N512" s="22"/>
      <c r="O512" s="22" t="s">
        <v>36</v>
      </c>
      <c r="P512" s="23">
        <v>5002.0</v>
      </c>
      <c r="Q512" s="15" t="s">
        <v>37</v>
      </c>
      <c r="R512" s="18">
        <v>2013.0</v>
      </c>
      <c r="S512" s="18">
        <v>1.82</v>
      </c>
      <c r="T512" s="18">
        <f t="shared" si="21"/>
        <v>9103.64</v>
      </c>
      <c r="U512" s="24">
        <f t="shared" si="2"/>
        <v>223.6766585</v>
      </c>
      <c r="V512" s="26">
        <f>VLOOKUP(R512,CPI!$A$2:$E$67,5,0)</f>
        <v>1.307975292</v>
      </c>
      <c r="W512" s="27">
        <f t="shared" si="3"/>
        <v>11907.33618</v>
      </c>
      <c r="X512" s="27">
        <f t="shared" si="4"/>
        <v>292.5635426</v>
      </c>
      <c r="Y512" s="6" t="s">
        <v>42</v>
      </c>
      <c r="Z512" s="6"/>
      <c r="AA512" s="178"/>
      <c r="AB512" s="172"/>
      <c r="AC512" s="172"/>
      <c r="AD512" s="172"/>
    </row>
    <row r="513">
      <c r="A513" s="15" t="s">
        <v>1693</v>
      </c>
      <c r="B513" s="15" t="s">
        <v>1704</v>
      </c>
      <c r="C513" s="15" t="s">
        <v>1713</v>
      </c>
      <c r="D513" s="15" t="s">
        <v>1713</v>
      </c>
      <c r="E513" s="17">
        <v>2014.0</v>
      </c>
      <c r="F513" s="17">
        <v>2020.0</v>
      </c>
      <c r="G513" s="17">
        <v>0.0</v>
      </c>
      <c r="H513" s="18">
        <v>29.6</v>
      </c>
      <c r="I513" s="19">
        <f t="shared" si="20"/>
        <v>0</v>
      </c>
      <c r="J513" s="20">
        <v>0.0</v>
      </c>
      <c r="K513" s="21">
        <v>0.0</v>
      </c>
      <c r="L513" s="21">
        <v>0.0</v>
      </c>
      <c r="M513" s="18">
        <v>8.0</v>
      </c>
      <c r="N513" s="22"/>
      <c r="O513" s="22" t="s">
        <v>36</v>
      </c>
      <c r="P513" s="23">
        <v>2270.0</v>
      </c>
      <c r="Q513" s="15" t="s">
        <v>37</v>
      </c>
      <c r="R513" s="18">
        <v>2013.0</v>
      </c>
      <c r="S513" s="18">
        <v>1.82</v>
      </c>
      <c r="T513" s="18">
        <f t="shared" si="21"/>
        <v>4131.4</v>
      </c>
      <c r="U513" s="24">
        <f t="shared" si="2"/>
        <v>139.5743243</v>
      </c>
      <c r="V513" s="26">
        <f>VLOOKUP(R513,CPI!$A$2:$E$67,5,0)</f>
        <v>1.307975292</v>
      </c>
      <c r="W513" s="27">
        <f t="shared" si="3"/>
        <v>5403.76912</v>
      </c>
      <c r="X513" s="27">
        <f t="shared" si="4"/>
        <v>182.5597676</v>
      </c>
      <c r="Y513" s="36" t="s">
        <v>36</v>
      </c>
      <c r="Z513" s="37" t="s">
        <v>1711</v>
      </c>
      <c r="AA513" s="178"/>
      <c r="AB513" s="172"/>
      <c r="AC513" s="172"/>
      <c r="AD513" s="172"/>
    </row>
    <row r="514">
      <c r="A514" s="15" t="s">
        <v>1693</v>
      </c>
      <c r="B514" s="15" t="s">
        <v>1704</v>
      </c>
      <c r="C514" s="15" t="s">
        <v>1707</v>
      </c>
      <c r="D514" s="15" t="s">
        <v>1707</v>
      </c>
      <c r="E514" s="17">
        <v>2015.0</v>
      </c>
      <c r="F514" s="17">
        <v>2016.0</v>
      </c>
      <c r="G514" s="17">
        <v>0.0</v>
      </c>
      <c r="H514" s="18">
        <v>12.9</v>
      </c>
      <c r="I514" s="19">
        <f t="shared" si="20"/>
        <v>0.9302325581</v>
      </c>
      <c r="J514" s="20">
        <v>12.0</v>
      </c>
      <c r="K514" s="21">
        <v>0.0</v>
      </c>
      <c r="L514" s="21">
        <v>0.0</v>
      </c>
      <c r="M514" s="18">
        <v>11.0</v>
      </c>
      <c r="N514" s="22"/>
      <c r="O514" s="22" t="s">
        <v>36</v>
      </c>
      <c r="P514" s="23">
        <v>2220.0</v>
      </c>
      <c r="Q514" s="15" t="s">
        <v>37</v>
      </c>
      <c r="R514" s="18">
        <v>2013.0</v>
      </c>
      <c r="S514" s="18">
        <v>1.82</v>
      </c>
      <c r="T514" s="18">
        <f t="shared" si="21"/>
        <v>4040.4</v>
      </c>
      <c r="U514" s="24">
        <f t="shared" si="2"/>
        <v>313.2093023</v>
      </c>
      <c r="V514" s="26">
        <f>VLOOKUP(R514,CPI!$A$2:$E$67,5,0)</f>
        <v>1.307975292</v>
      </c>
      <c r="W514" s="27">
        <f t="shared" si="3"/>
        <v>5284.743368</v>
      </c>
      <c r="X514" s="27">
        <f t="shared" si="4"/>
        <v>409.6700285</v>
      </c>
      <c r="Y514" s="36" t="s">
        <v>36</v>
      </c>
      <c r="Z514" s="37" t="s">
        <v>1708</v>
      </c>
      <c r="AA514" s="178"/>
      <c r="AB514" s="172"/>
      <c r="AC514" s="172"/>
      <c r="AD514" s="172"/>
    </row>
    <row r="515">
      <c r="A515" s="15" t="s">
        <v>1693</v>
      </c>
      <c r="B515" s="15" t="s">
        <v>1704</v>
      </c>
      <c r="C515" s="15" t="s">
        <v>1710</v>
      </c>
      <c r="D515" s="15" t="s">
        <v>1710</v>
      </c>
      <c r="E515" s="17">
        <v>2014.0</v>
      </c>
      <c r="F515" s="17">
        <v>2019.0</v>
      </c>
      <c r="G515" s="17">
        <v>0.0</v>
      </c>
      <c r="H515" s="18">
        <v>29.9</v>
      </c>
      <c r="I515" s="19">
        <f t="shared" si="20"/>
        <v>0</v>
      </c>
      <c r="J515" s="20">
        <v>0.0</v>
      </c>
      <c r="K515" s="21">
        <v>0.0</v>
      </c>
      <c r="L515" s="21">
        <v>0.0</v>
      </c>
      <c r="M515" s="18">
        <v>6.0</v>
      </c>
      <c r="N515" s="22"/>
      <c r="O515" s="22" t="s">
        <v>36</v>
      </c>
      <c r="P515" s="23">
        <v>3330.0</v>
      </c>
      <c r="Q515" s="15" t="s">
        <v>37</v>
      </c>
      <c r="R515" s="18">
        <v>2013.0</v>
      </c>
      <c r="S515" s="18">
        <v>1.82</v>
      </c>
      <c r="T515" s="18">
        <f t="shared" si="21"/>
        <v>6060.6</v>
      </c>
      <c r="U515" s="24">
        <f t="shared" si="2"/>
        <v>202.6956522</v>
      </c>
      <c r="V515" s="26">
        <f>VLOOKUP(R515,CPI!$A$2:$E$67,5,0)</f>
        <v>1.307975292</v>
      </c>
      <c r="W515" s="27">
        <f t="shared" si="3"/>
        <v>7927.115052</v>
      </c>
      <c r="X515" s="27">
        <f t="shared" si="4"/>
        <v>265.1209048</v>
      </c>
      <c r="Y515" s="36" t="s">
        <v>36</v>
      </c>
      <c r="Z515" s="37" t="s">
        <v>1711</v>
      </c>
      <c r="AA515" s="178"/>
      <c r="AB515" s="172"/>
      <c r="AC515" s="172"/>
      <c r="AD515" s="172"/>
    </row>
    <row r="516">
      <c r="A516" s="15" t="s">
        <v>1693</v>
      </c>
      <c r="B516" s="15" t="s">
        <v>1698</v>
      </c>
      <c r="C516" s="15" t="s">
        <v>1699</v>
      </c>
      <c r="D516" s="15" t="s">
        <v>1699</v>
      </c>
      <c r="E516" s="17">
        <v>2014.0</v>
      </c>
      <c r="F516" s="17">
        <v>2025.0</v>
      </c>
      <c r="G516" s="17">
        <v>0.0</v>
      </c>
      <c r="H516" s="18">
        <v>161.1</v>
      </c>
      <c r="I516" s="19">
        <f t="shared" si="20"/>
        <v>0.1241464929</v>
      </c>
      <c r="J516" s="20">
        <v>20.0</v>
      </c>
      <c r="K516" s="21">
        <v>0.0</v>
      </c>
      <c r="L516" s="21">
        <v>0.0</v>
      </c>
      <c r="M516" s="18">
        <v>81.0</v>
      </c>
      <c r="N516" s="22"/>
      <c r="O516" s="22" t="s">
        <v>36</v>
      </c>
      <c r="P516" s="23">
        <v>12000.0</v>
      </c>
      <c r="Q516" s="15" t="s">
        <v>37</v>
      </c>
      <c r="R516" s="18">
        <v>2015.0</v>
      </c>
      <c r="S516" s="18">
        <v>1.435</v>
      </c>
      <c r="T516" s="18">
        <f t="shared" si="21"/>
        <v>17220</v>
      </c>
      <c r="U516" s="24">
        <f t="shared" si="2"/>
        <v>106.8901304</v>
      </c>
      <c r="V516" s="26">
        <f>VLOOKUP(R516,CPI!$A$2:$E$67,5,0)</f>
        <v>1.285570233</v>
      </c>
      <c r="W516" s="27">
        <f t="shared" si="3"/>
        <v>22137.51942</v>
      </c>
      <c r="X516" s="27">
        <f t="shared" si="4"/>
        <v>137.4147698</v>
      </c>
      <c r="Y516" s="36" t="s">
        <v>60</v>
      </c>
      <c r="Z516" s="37" t="s">
        <v>1700</v>
      </c>
      <c r="AA516" s="178"/>
      <c r="AB516" s="172"/>
      <c r="AC516" s="172"/>
      <c r="AD516" s="172"/>
    </row>
    <row r="517">
      <c r="A517" s="15" t="s">
        <v>1693</v>
      </c>
      <c r="B517" s="15" t="s">
        <v>1701</v>
      </c>
      <c r="C517" s="15" t="s">
        <v>1702</v>
      </c>
      <c r="D517" s="15" t="s">
        <v>1702</v>
      </c>
      <c r="E517" s="17">
        <v>2009.0</v>
      </c>
      <c r="F517" s="17"/>
      <c r="G517" s="17"/>
      <c r="H517" s="18">
        <v>188.0</v>
      </c>
      <c r="I517" s="19"/>
      <c r="J517" s="20"/>
      <c r="K517" s="21" t="e">
        <v>#N/A</v>
      </c>
      <c r="L517" s="21" t="e">
        <v>#N/A</v>
      </c>
      <c r="M517" s="18">
        <v>90.0</v>
      </c>
      <c r="N517" s="22"/>
      <c r="O517" s="22"/>
      <c r="P517" s="23">
        <v>62000.0</v>
      </c>
      <c r="Q517" s="15" t="s">
        <v>1703</v>
      </c>
      <c r="R517" s="18">
        <v>2010.0</v>
      </c>
      <c r="S517" s="18">
        <v>0.616</v>
      </c>
      <c r="T517" s="18">
        <f t="shared" si="21"/>
        <v>38192</v>
      </c>
      <c r="U517" s="24">
        <f t="shared" si="2"/>
        <v>203.1489362</v>
      </c>
      <c r="V517" s="26">
        <f>VLOOKUP(R517,CPI!$A$2:$E$67,5,0)</f>
        <v>1.397356642</v>
      </c>
      <c r="W517" s="27">
        <f t="shared" si="3"/>
        <v>53367.84488</v>
      </c>
      <c r="X517" s="27">
        <f t="shared" si="4"/>
        <v>283.8715153</v>
      </c>
      <c r="Y517" s="36"/>
      <c r="Z517" s="28"/>
      <c r="AA517" s="178"/>
      <c r="AB517" s="172"/>
      <c r="AC517" s="172"/>
      <c r="AD517" s="172"/>
    </row>
    <row r="518">
      <c r="A518" s="15" t="s">
        <v>1693</v>
      </c>
      <c r="B518" s="15" t="s">
        <v>1694</v>
      </c>
      <c r="C518" s="16" t="s">
        <v>1695</v>
      </c>
      <c r="D518" s="15" t="s">
        <v>1696</v>
      </c>
      <c r="E518" s="17">
        <v>2014.0</v>
      </c>
      <c r="F518" s="17"/>
      <c r="G518" s="17">
        <v>0.0</v>
      </c>
      <c r="H518" s="18">
        <v>50.0</v>
      </c>
      <c r="I518" s="19">
        <f t="shared" ref="I518:I527" si="22">J518/H518</f>
        <v>0</v>
      </c>
      <c r="J518" s="20">
        <v>0.0</v>
      </c>
      <c r="K518" s="21">
        <v>0.0</v>
      </c>
      <c r="L518" s="21">
        <v>0.0</v>
      </c>
      <c r="M518" s="18"/>
      <c r="N518" s="22"/>
      <c r="O518" s="22"/>
      <c r="P518" s="23">
        <v>16000.0</v>
      </c>
      <c r="Q518" s="15" t="s">
        <v>37</v>
      </c>
      <c r="R518" s="18">
        <v>2010.0</v>
      </c>
      <c r="S518" s="18">
        <v>1.623</v>
      </c>
      <c r="T518" s="18">
        <f t="shared" si="21"/>
        <v>25968</v>
      </c>
      <c r="U518" s="24">
        <f t="shared" si="2"/>
        <v>519.36</v>
      </c>
      <c r="V518" s="26">
        <f>VLOOKUP(R518,CPI!$A$2:$E$67,5,0)</f>
        <v>1.397356642</v>
      </c>
      <c r="W518" s="27">
        <f t="shared" si="3"/>
        <v>36286.55729</v>
      </c>
      <c r="X518" s="27">
        <f t="shared" si="4"/>
        <v>725.7311458</v>
      </c>
      <c r="Y518" s="36" t="s">
        <v>42</v>
      </c>
      <c r="Z518" s="37" t="s">
        <v>1697</v>
      </c>
      <c r="AA518" s="178"/>
      <c r="AB518" s="172"/>
      <c r="AC518" s="172"/>
      <c r="AD518" s="172"/>
    </row>
    <row r="519">
      <c r="A519" s="15" t="s">
        <v>1561</v>
      </c>
      <c r="B519" s="15" t="s">
        <v>1562</v>
      </c>
      <c r="C519" s="15" t="s">
        <v>1563</v>
      </c>
      <c r="D519" s="15" t="s">
        <v>1563</v>
      </c>
      <c r="E519" s="17">
        <v>2013.0</v>
      </c>
      <c r="F519" s="17">
        <v>2026.0</v>
      </c>
      <c r="G519" s="17">
        <v>0.0</v>
      </c>
      <c r="H519" s="18">
        <v>124.0</v>
      </c>
      <c r="I519" s="19">
        <f t="shared" si="22"/>
        <v>0.8991935484</v>
      </c>
      <c r="J519" s="20">
        <v>111.5</v>
      </c>
      <c r="K519" s="21">
        <v>0.0</v>
      </c>
      <c r="L519" s="21">
        <v>0.0</v>
      </c>
      <c r="M519" s="18"/>
      <c r="N519" s="22"/>
      <c r="O519" s="22" t="s">
        <v>36</v>
      </c>
      <c r="P519" s="23">
        <v>36000.0</v>
      </c>
      <c r="Q519" s="15" t="s">
        <v>37</v>
      </c>
      <c r="R519" s="18">
        <v>2013.0</v>
      </c>
      <c r="S519" s="18">
        <v>2.5</v>
      </c>
      <c r="T519" s="18">
        <f t="shared" si="21"/>
        <v>90000</v>
      </c>
      <c r="U519" s="24">
        <f t="shared" si="2"/>
        <v>725.8064516</v>
      </c>
      <c r="V519" s="26">
        <f>VLOOKUP(R519,CPI!$A$2:$E$67,5,0)</f>
        <v>1.307975292</v>
      </c>
      <c r="W519" s="27">
        <f t="shared" si="3"/>
        <v>117717.7762</v>
      </c>
      <c r="X519" s="27">
        <f t="shared" si="4"/>
        <v>949.3369052</v>
      </c>
      <c r="Y519" s="36" t="s">
        <v>42</v>
      </c>
      <c r="Z519" s="37" t="s">
        <v>1564</v>
      </c>
      <c r="AA519" s="178"/>
      <c r="AB519" s="172"/>
      <c r="AC519" s="172"/>
      <c r="AD519" s="172"/>
    </row>
    <row r="520">
      <c r="A520" s="15" t="s">
        <v>102</v>
      </c>
      <c r="B520" s="15" t="s">
        <v>103</v>
      </c>
      <c r="C520" s="16" t="s">
        <v>34</v>
      </c>
      <c r="D520" s="15" t="s">
        <v>104</v>
      </c>
      <c r="E520" s="17">
        <v>2018.0</v>
      </c>
      <c r="F520" s="17">
        <v>2023.0</v>
      </c>
      <c r="G520" s="17">
        <v>1.0</v>
      </c>
      <c r="H520" s="18">
        <v>28.6</v>
      </c>
      <c r="I520" s="19">
        <f t="shared" si="22"/>
        <v>0</v>
      </c>
      <c r="J520" s="20">
        <v>0.0</v>
      </c>
      <c r="K520" s="21">
        <v>0.0</v>
      </c>
      <c r="L520" s="21">
        <v>0.0</v>
      </c>
      <c r="M520" s="18">
        <v>20.0</v>
      </c>
      <c r="N520" s="22"/>
      <c r="O520" s="22"/>
      <c r="P520" s="23">
        <v>453.0</v>
      </c>
      <c r="Q520" s="15" t="s">
        <v>78</v>
      </c>
      <c r="R520" s="18">
        <v>2019.0</v>
      </c>
      <c r="S520" s="18">
        <f t="shared" ref="S520:S521" si="23">1/0.2</f>
        <v>5</v>
      </c>
      <c r="T520" s="18">
        <f t="shared" si="21"/>
        <v>2265</v>
      </c>
      <c r="U520" s="24">
        <f t="shared" si="2"/>
        <v>79.1958042</v>
      </c>
      <c r="V520" s="26">
        <f>VLOOKUP(R520,CPI!$A$2:$E$67,5,0)</f>
        <v>1.191839066</v>
      </c>
      <c r="W520" s="27">
        <f t="shared" si="3"/>
        <v>2699.515484</v>
      </c>
      <c r="X520" s="27">
        <f t="shared" si="4"/>
        <v>94.38865327</v>
      </c>
      <c r="Y520" s="6" t="s">
        <v>42</v>
      </c>
      <c r="Z520" s="37" t="s">
        <v>105</v>
      </c>
      <c r="AA520" s="29"/>
      <c r="AB520" s="30"/>
      <c r="AC520" s="30"/>
      <c r="AD520" s="30"/>
    </row>
    <row r="521">
      <c r="A521" s="15" t="s">
        <v>102</v>
      </c>
      <c r="B521" s="15" t="s">
        <v>103</v>
      </c>
      <c r="C521" s="15" t="s">
        <v>38</v>
      </c>
      <c r="D521" s="15" t="s">
        <v>38</v>
      </c>
      <c r="E521" s="17">
        <v>2020.0</v>
      </c>
      <c r="F521" s="17" t="s">
        <v>106</v>
      </c>
      <c r="G521" s="17">
        <v>1.0</v>
      </c>
      <c r="H521" s="18">
        <v>72.7</v>
      </c>
      <c r="I521" s="19">
        <f t="shared" si="22"/>
        <v>0</v>
      </c>
      <c r="J521" s="20">
        <v>0.0</v>
      </c>
      <c r="K521" s="21">
        <v>0.0</v>
      </c>
      <c r="L521" s="21">
        <v>0.0</v>
      </c>
      <c r="M521" s="18"/>
      <c r="N521" s="22"/>
      <c r="O521" s="22"/>
      <c r="P521" s="23">
        <v>1500.0</v>
      </c>
      <c r="Q521" s="15" t="s">
        <v>78</v>
      </c>
      <c r="R521" s="18">
        <v>2010.0</v>
      </c>
      <c r="S521" s="18">
        <f t="shared" si="23"/>
        <v>5</v>
      </c>
      <c r="T521" s="18">
        <f t="shared" si="21"/>
        <v>7500</v>
      </c>
      <c r="U521" s="24">
        <f t="shared" si="2"/>
        <v>103.1636864</v>
      </c>
      <c r="V521" s="26">
        <f>VLOOKUP(R521,CPI!$A$2:$E$67,5,0)</f>
        <v>1.397356642</v>
      </c>
      <c r="W521" s="27">
        <f t="shared" si="3"/>
        <v>10480.17482</v>
      </c>
      <c r="X521" s="27">
        <f t="shared" si="4"/>
        <v>144.1564624</v>
      </c>
      <c r="Y521" s="6" t="s">
        <v>42</v>
      </c>
      <c r="Z521" s="37" t="s">
        <v>107</v>
      </c>
      <c r="AA521" s="29"/>
      <c r="AB521" s="30"/>
      <c r="AC521" s="30"/>
      <c r="AD521" s="30"/>
    </row>
    <row r="522">
      <c r="A522" s="15" t="s">
        <v>32</v>
      </c>
      <c r="B522" s="15" t="s">
        <v>33</v>
      </c>
      <c r="C522" s="16" t="s">
        <v>34</v>
      </c>
      <c r="D522" s="15" t="s">
        <v>35</v>
      </c>
      <c r="E522" s="17">
        <v>2005.0</v>
      </c>
      <c r="F522" s="17">
        <v>2010.0</v>
      </c>
      <c r="G522" s="17">
        <v>0.0</v>
      </c>
      <c r="H522" s="18">
        <v>35.0</v>
      </c>
      <c r="I522" s="19">
        <f t="shared" si="22"/>
        <v>0.1342857143</v>
      </c>
      <c r="J522" s="20">
        <v>4.7</v>
      </c>
      <c r="K522" s="21">
        <v>0.0</v>
      </c>
      <c r="L522" s="21">
        <v>0.0</v>
      </c>
      <c r="M522" s="18">
        <v>29.0</v>
      </c>
      <c r="N522" s="22"/>
      <c r="O522" s="22" t="s">
        <v>36</v>
      </c>
      <c r="P522" s="23">
        <v>4200.0</v>
      </c>
      <c r="Q522" s="15" t="s">
        <v>37</v>
      </c>
      <c r="R522" s="18">
        <v>2005.0</v>
      </c>
      <c r="S522" s="18">
        <v>1.8</v>
      </c>
      <c r="T522" s="18">
        <f t="shared" si="21"/>
        <v>7560</v>
      </c>
      <c r="U522" s="24">
        <f t="shared" si="2"/>
        <v>216</v>
      </c>
      <c r="V522" s="26">
        <f>VLOOKUP(R522,CPI!$A$2:$E$67,5,0)</f>
        <v>1.560174091</v>
      </c>
      <c r="W522" s="27">
        <f t="shared" si="3"/>
        <v>11794.91613</v>
      </c>
      <c r="X522" s="27">
        <f t="shared" si="4"/>
        <v>336.9976037</v>
      </c>
      <c r="Y522" s="6"/>
      <c r="Z522" s="28"/>
      <c r="AA522" s="29"/>
      <c r="AB522" s="30"/>
      <c r="AC522" s="30"/>
      <c r="AD522" s="30"/>
    </row>
    <row r="523">
      <c r="A523" s="15" t="s">
        <v>32</v>
      </c>
      <c r="B523" s="15" t="s">
        <v>33</v>
      </c>
      <c r="C523" s="15" t="s">
        <v>38</v>
      </c>
      <c r="D523" s="15" t="s">
        <v>39</v>
      </c>
      <c r="E523" s="17">
        <v>2006.0</v>
      </c>
      <c r="F523" s="17">
        <v>2010.0</v>
      </c>
      <c r="G523" s="17">
        <v>0.0</v>
      </c>
      <c r="H523" s="18">
        <v>22.5</v>
      </c>
      <c r="I523" s="19">
        <f t="shared" si="22"/>
        <v>0.3511111111</v>
      </c>
      <c r="J523" s="20">
        <v>7.9</v>
      </c>
      <c r="K523" s="21">
        <v>0.0</v>
      </c>
      <c r="L523" s="21">
        <v>0.0</v>
      </c>
      <c r="M523" s="18">
        <v>20.0</v>
      </c>
      <c r="N523" s="22"/>
      <c r="O523" s="22"/>
      <c r="P523" s="23">
        <v>3600.0</v>
      </c>
      <c r="Q523" s="15" t="s">
        <v>37</v>
      </c>
      <c r="R523" s="18">
        <v>2006.0</v>
      </c>
      <c r="S523" s="18">
        <v>1.9</v>
      </c>
      <c r="T523" s="18">
        <f t="shared" si="21"/>
        <v>6840</v>
      </c>
      <c r="U523" s="24">
        <f t="shared" si="2"/>
        <v>304</v>
      </c>
      <c r="V523" s="26">
        <f>VLOOKUP(R523,CPI!$A$2:$E$67,5,0)</f>
        <v>1.511418651</v>
      </c>
      <c r="W523" s="27">
        <f t="shared" si="3"/>
        <v>10338.10357</v>
      </c>
      <c r="X523" s="27">
        <f t="shared" si="4"/>
        <v>459.4712698</v>
      </c>
      <c r="Y523" s="6"/>
      <c r="Z523" s="6"/>
      <c r="AA523" s="29"/>
      <c r="AB523" s="30"/>
      <c r="AC523" s="30"/>
      <c r="AD523" s="30"/>
    </row>
    <row r="524">
      <c r="A524" s="15" t="s">
        <v>32</v>
      </c>
      <c r="B524" s="15" t="s">
        <v>33</v>
      </c>
      <c r="C524" s="36" t="s">
        <v>40</v>
      </c>
      <c r="D524" s="15" t="s">
        <v>41</v>
      </c>
      <c r="E524" s="17">
        <v>2016.0</v>
      </c>
      <c r="F524" s="17">
        <v>2020.0</v>
      </c>
      <c r="G524" s="17">
        <v>0.0</v>
      </c>
      <c r="H524" s="18">
        <v>15.0</v>
      </c>
      <c r="I524" s="19">
        <f t="shared" si="22"/>
        <v>0.2133333333</v>
      </c>
      <c r="J524" s="20">
        <v>3.2</v>
      </c>
      <c r="K524" s="21">
        <v>0.0</v>
      </c>
      <c r="L524" s="21">
        <v>0.0</v>
      </c>
      <c r="M524" s="18">
        <v>7.0</v>
      </c>
      <c r="N524" s="22"/>
      <c r="O524" s="22" t="s">
        <v>36</v>
      </c>
      <c r="P524" s="23">
        <v>2900.0</v>
      </c>
      <c r="Q524" s="15" t="s">
        <v>37</v>
      </c>
      <c r="R524" s="18">
        <v>2016.0</v>
      </c>
      <c r="S524" s="18">
        <v>1.9</v>
      </c>
      <c r="T524" s="18">
        <f t="shared" si="21"/>
        <v>5510</v>
      </c>
      <c r="U524" s="24">
        <f t="shared" si="2"/>
        <v>367.3333333</v>
      </c>
      <c r="V524" s="26">
        <f>VLOOKUP(R524,CPI!$A$2:$E$67,5,0)</f>
        <v>1.269554638</v>
      </c>
      <c r="W524" s="27">
        <f t="shared" si="3"/>
        <v>6995.246055</v>
      </c>
      <c r="X524" s="27">
        <f t="shared" si="4"/>
        <v>466.349737</v>
      </c>
      <c r="Y524" s="6" t="s">
        <v>42</v>
      </c>
      <c r="Z524" s="37" t="s">
        <v>43</v>
      </c>
      <c r="AA524" s="29"/>
      <c r="AB524" s="30"/>
      <c r="AC524" s="30"/>
      <c r="AD524" s="30"/>
    </row>
    <row r="525">
      <c r="A525" s="15" t="s">
        <v>1071</v>
      </c>
      <c r="B525" s="15" t="s">
        <v>1078</v>
      </c>
      <c r="C525" s="15" t="s">
        <v>57</v>
      </c>
      <c r="D525" s="15" t="s">
        <v>57</v>
      </c>
      <c r="E525" s="17">
        <v>1982.0</v>
      </c>
      <c r="F525" s="17">
        <v>1987.0</v>
      </c>
      <c r="G525" s="17">
        <v>1.0</v>
      </c>
      <c r="H525" s="18">
        <v>44.0</v>
      </c>
      <c r="I525" s="19">
        <f t="shared" si="22"/>
        <v>0.1431818182</v>
      </c>
      <c r="J525" s="20">
        <f>4.8+1.5</f>
        <v>6.3</v>
      </c>
      <c r="K525" s="21">
        <v>0.0</v>
      </c>
      <c r="L525" s="21">
        <v>0.0</v>
      </c>
      <c r="M525" s="18">
        <v>35.0</v>
      </c>
      <c r="N525" s="22"/>
      <c r="O525" s="22" t="s">
        <v>36</v>
      </c>
      <c r="P525" s="23">
        <v>973.0</v>
      </c>
      <c r="Q525" s="15" t="s">
        <v>1079</v>
      </c>
      <c r="R525" s="18">
        <v>1987.0</v>
      </c>
      <c r="S525" s="18">
        <f>1/0.4</f>
        <v>2.5</v>
      </c>
      <c r="T525" s="18">
        <f t="shared" si="21"/>
        <v>2432.5</v>
      </c>
      <c r="U525" s="24">
        <f t="shared" si="2"/>
        <v>55.28409091</v>
      </c>
      <c r="V525" s="26">
        <f>VLOOKUP(R525,CPI!$A$2:$E$67,5,0)</f>
        <v>2.682235915</v>
      </c>
      <c r="W525" s="27">
        <f t="shared" si="3"/>
        <v>6524.538864</v>
      </c>
      <c r="X525" s="27">
        <f t="shared" si="4"/>
        <v>148.2849742</v>
      </c>
      <c r="Y525" s="6" t="s">
        <v>42</v>
      </c>
      <c r="Z525" s="6"/>
      <c r="AA525" s="178"/>
      <c r="AB525" s="172"/>
      <c r="AC525" s="172"/>
      <c r="AD525" s="172"/>
    </row>
    <row r="526">
      <c r="A526" s="15" t="s">
        <v>1071</v>
      </c>
      <c r="B526" s="15" t="s">
        <v>1078</v>
      </c>
      <c r="C526" s="36" t="s">
        <v>54</v>
      </c>
      <c r="D526" s="15" t="s">
        <v>54</v>
      </c>
      <c r="E526" s="17">
        <v>1993.0</v>
      </c>
      <c r="F526" s="17">
        <v>2005.0</v>
      </c>
      <c r="G526" s="17">
        <v>0.0</v>
      </c>
      <c r="H526" s="18">
        <v>22.0</v>
      </c>
      <c r="I526" s="19">
        <f t="shared" si="22"/>
        <v>0.4318181818</v>
      </c>
      <c r="J526" s="20">
        <v>9.5</v>
      </c>
      <c r="K526" s="21">
        <v>0.0</v>
      </c>
      <c r="L526" s="21">
        <v>0.0</v>
      </c>
      <c r="M526" s="18">
        <v>20.0</v>
      </c>
      <c r="N526" s="22"/>
      <c r="O526" s="22" t="s">
        <v>36</v>
      </c>
      <c r="P526" s="23">
        <v>9700.0</v>
      </c>
      <c r="Q526" s="15" t="s">
        <v>1079</v>
      </c>
      <c r="R526" s="18">
        <v>2005.0</v>
      </c>
      <c r="S526" s="18">
        <f>1/1</f>
        <v>1</v>
      </c>
      <c r="T526" s="18">
        <f t="shared" si="21"/>
        <v>9700</v>
      </c>
      <c r="U526" s="24">
        <f t="shared" si="2"/>
        <v>440.9090909</v>
      </c>
      <c r="V526" s="26">
        <f>VLOOKUP(R526,CPI!$A$2:$E$67,5,0)</f>
        <v>1.560174091</v>
      </c>
      <c r="W526" s="27">
        <f t="shared" si="3"/>
        <v>15133.68868</v>
      </c>
      <c r="X526" s="27">
        <f t="shared" si="4"/>
        <v>687.8949402</v>
      </c>
      <c r="Y526" s="6" t="s">
        <v>42</v>
      </c>
      <c r="Z526" s="6"/>
      <c r="AA526" s="178"/>
      <c r="AB526" s="172"/>
      <c r="AC526" s="172"/>
      <c r="AD526" s="172"/>
    </row>
    <row r="527">
      <c r="A527" s="15" t="s">
        <v>1071</v>
      </c>
      <c r="B527" s="15" t="s">
        <v>1078</v>
      </c>
      <c r="C527" s="36" t="s">
        <v>87</v>
      </c>
      <c r="D527" s="15" t="s">
        <v>331</v>
      </c>
      <c r="E527" s="17">
        <v>2006.0</v>
      </c>
      <c r="F527" s="17">
        <v>2012.0</v>
      </c>
      <c r="G527" s="17">
        <v>0.0</v>
      </c>
      <c r="H527" s="18">
        <v>4.3</v>
      </c>
      <c r="I527" s="19">
        <f t="shared" si="22"/>
        <v>1</v>
      </c>
      <c r="J527" s="20">
        <v>4.3</v>
      </c>
      <c r="K527" s="21">
        <v>0.0</v>
      </c>
      <c r="L527" s="21">
        <v>0.0</v>
      </c>
      <c r="M527" s="18">
        <v>5.0</v>
      </c>
      <c r="N527" s="22"/>
      <c r="O527" s="22" t="s">
        <v>36</v>
      </c>
      <c r="P527" s="23">
        <v>4200.0</v>
      </c>
      <c r="Q527" s="15" t="s">
        <v>1079</v>
      </c>
      <c r="R527" s="18">
        <v>2009.0</v>
      </c>
      <c r="S527" s="18">
        <f>1/1.4</f>
        <v>0.7142857143</v>
      </c>
      <c r="T527" s="18">
        <f t="shared" si="21"/>
        <v>3000</v>
      </c>
      <c r="U527" s="24">
        <f t="shared" si="2"/>
        <v>697.6744186</v>
      </c>
      <c r="V527" s="26">
        <f>VLOOKUP(R527,CPI!$A$2:$E$67,5,0)</f>
        <v>1.420277155</v>
      </c>
      <c r="W527" s="27">
        <f t="shared" si="3"/>
        <v>4260.831465</v>
      </c>
      <c r="X527" s="27">
        <f t="shared" si="4"/>
        <v>990.8910384</v>
      </c>
      <c r="Y527" s="6" t="s">
        <v>42</v>
      </c>
      <c r="Z527" s="37" t="s">
        <v>1087</v>
      </c>
      <c r="AA527" s="178"/>
      <c r="AB527" s="172"/>
      <c r="AC527" s="172"/>
      <c r="AD527" s="172"/>
    </row>
    <row r="528">
      <c r="A528" s="15" t="s">
        <v>1071</v>
      </c>
      <c r="B528" s="15" t="s">
        <v>1078</v>
      </c>
      <c r="C528" s="16" t="s">
        <v>110</v>
      </c>
      <c r="D528" s="15" t="s">
        <v>1111</v>
      </c>
      <c r="E528" s="17">
        <v>2019.0</v>
      </c>
      <c r="F528" s="17" t="s">
        <v>106</v>
      </c>
      <c r="G528" s="17">
        <v>0.0</v>
      </c>
      <c r="H528" s="18">
        <v>19.0</v>
      </c>
      <c r="I528" s="19"/>
      <c r="J528" s="20"/>
      <c r="K528" s="21" t="e">
        <v>#N/A</v>
      </c>
      <c r="L528" s="21" t="e">
        <v>#N/A</v>
      </c>
      <c r="M528" s="18">
        <v>17.0</v>
      </c>
      <c r="N528" s="22"/>
      <c r="O528" s="22"/>
      <c r="P528" s="23">
        <v>3600.0</v>
      </c>
      <c r="Q528" s="15" t="s">
        <v>37</v>
      </c>
      <c r="R528" s="18">
        <v>2019.0</v>
      </c>
      <c r="S528" s="18">
        <v>3.6</v>
      </c>
      <c r="T528" s="18">
        <f t="shared" si="21"/>
        <v>12960</v>
      </c>
      <c r="U528" s="24">
        <f t="shared" si="2"/>
        <v>682.1052632</v>
      </c>
      <c r="V528" s="26">
        <f>VLOOKUP(R528,CPI!$A$2:$E$67,5,0)</f>
        <v>1.191839066</v>
      </c>
      <c r="W528" s="27">
        <f t="shared" si="3"/>
        <v>15446.23429</v>
      </c>
      <c r="X528" s="27">
        <f t="shared" si="4"/>
        <v>812.9596995</v>
      </c>
      <c r="Y528" s="6"/>
      <c r="Z528" s="6"/>
      <c r="AA528" s="178"/>
      <c r="AB528" s="172"/>
      <c r="AC528" s="172"/>
      <c r="AD528" s="172"/>
    </row>
    <row r="529">
      <c r="A529" s="6" t="s">
        <v>1071</v>
      </c>
      <c r="B529" s="6" t="s">
        <v>1078</v>
      </c>
      <c r="C529" s="6" t="s">
        <v>80</v>
      </c>
      <c r="D529" s="6" t="s">
        <v>80</v>
      </c>
      <c r="E529" s="17">
        <v>2017.0</v>
      </c>
      <c r="F529" s="17" t="s">
        <v>106</v>
      </c>
      <c r="G529" s="17">
        <v>0.0</v>
      </c>
      <c r="H529" s="18">
        <v>21.0</v>
      </c>
      <c r="I529" s="19">
        <f>J529/H529</f>
        <v>0.6523809524</v>
      </c>
      <c r="J529" s="20">
        <v>13.7</v>
      </c>
      <c r="K529" s="21">
        <v>0.0</v>
      </c>
      <c r="L529" s="21">
        <v>0.0</v>
      </c>
      <c r="M529" s="18">
        <v>24.0</v>
      </c>
      <c r="N529" s="22"/>
      <c r="O529" s="22" t="s">
        <v>36</v>
      </c>
      <c r="P529" s="23">
        <v>4000.0</v>
      </c>
      <c r="Q529" s="6" t="s">
        <v>37</v>
      </c>
      <c r="R529" s="3">
        <v>2017.0</v>
      </c>
      <c r="S529" s="3">
        <v>3.1</v>
      </c>
      <c r="T529" s="3">
        <f t="shared" si="21"/>
        <v>12400</v>
      </c>
      <c r="U529" s="24">
        <f t="shared" si="2"/>
        <v>590.4761905</v>
      </c>
      <c r="V529" s="26">
        <f>VLOOKUP(R529,CPI!$A$2:$E$67,5,0)</f>
        <v>1.243072781</v>
      </c>
      <c r="W529" s="27">
        <f t="shared" si="3"/>
        <v>15414.10248</v>
      </c>
      <c r="X529" s="27">
        <f t="shared" si="4"/>
        <v>734.00488</v>
      </c>
      <c r="Y529" s="6" t="s">
        <v>42</v>
      </c>
      <c r="Z529" s="37" t="s">
        <v>1109</v>
      </c>
      <c r="AA529" s="178"/>
      <c r="AB529" s="172"/>
      <c r="AC529" s="172"/>
      <c r="AD529" s="172"/>
    </row>
    <row r="530">
      <c r="A530" s="34" t="s">
        <v>1485</v>
      </c>
      <c r="B530" s="34" t="s">
        <v>1486</v>
      </c>
      <c r="C530" s="34" t="s">
        <v>1487</v>
      </c>
      <c r="D530" s="34" t="s">
        <v>1487</v>
      </c>
      <c r="E530" s="25">
        <v>2020.0</v>
      </c>
      <c r="F530" s="25">
        <v>2025.0</v>
      </c>
      <c r="G530" s="25">
        <v>0.0</v>
      </c>
      <c r="H530" s="25">
        <v>160.0</v>
      </c>
      <c r="I530" s="50">
        <v>0.35</v>
      </c>
      <c r="J530" s="324">
        <f>H530*I530</f>
        <v>56</v>
      </c>
      <c r="K530" s="51">
        <v>0.0</v>
      </c>
      <c r="L530" s="51">
        <v>0.0</v>
      </c>
      <c r="M530" s="25">
        <v>68.0</v>
      </c>
      <c r="N530" s="26"/>
      <c r="O530" s="26" t="s">
        <v>36</v>
      </c>
      <c r="P530" s="52">
        <v>20000.0</v>
      </c>
      <c r="Q530" s="34" t="s">
        <v>37</v>
      </c>
      <c r="R530" s="25">
        <v>2020.0</v>
      </c>
      <c r="S530" s="25">
        <v>1.52</v>
      </c>
      <c r="T530" s="25">
        <f t="shared" si="21"/>
        <v>30400</v>
      </c>
      <c r="U530" s="24">
        <f t="shared" si="2"/>
        <v>190</v>
      </c>
      <c r="V530" s="26">
        <f>VLOOKUP(R530,CPI!$A$2:$E$67,5,0)</f>
        <v>1.17731472</v>
      </c>
      <c r="W530" s="27">
        <f t="shared" si="3"/>
        <v>35790.36749</v>
      </c>
      <c r="X530" s="27">
        <f t="shared" si="4"/>
        <v>223.6897968</v>
      </c>
      <c r="Y530" s="26" t="s">
        <v>42</v>
      </c>
      <c r="Z530" s="325" t="s">
        <v>1488</v>
      </c>
      <c r="AA530" s="178"/>
      <c r="AB530" s="172"/>
      <c r="AC530" s="172"/>
      <c r="AD530" s="172"/>
    </row>
    <row r="531">
      <c r="A531" s="74" t="s">
        <v>230</v>
      </c>
      <c r="B531" s="72" t="s">
        <v>704</v>
      </c>
      <c r="C531" s="72" t="s">
        <v>260</v>
      </c>
      <c r="D531" s="72" t="s">
        <v>260</v>
      </c>
      <c r="E531" s="69">
        <v>2016.0</v>
      </c>
      <c r="F531" s="69">
        <v>2021.0</v>
      </c>
      <c r="G531" s="69">
        <v>0.0</v>
      </c>
      <c r="H531" s="69">
        <v>42.3</v>
      </c>
      <c r="I531" s="117">
        <v>1.0</v>
      </c>
      <c r="J531" s="69">
        <v>42.3</v>
      </c>
      <c r="K531" s="72"/>
      <c r="L531" s="72"/>
      <c r="M531" s="69">
        <v>30.0</v>
      </c>
      <c r="N531" s="69">
        <v>138.0</v>
      </c>
      <c r="O531" s="72"/>
      <c r="P531" s="140">
        <v>47683.0</v>
      </c>
      <c r="Q531" s="72" t="s">
        <v>234</v>
      </c>
      <c r="R531" s="115">
        <v>2019.0</v>
      </c>
      <c r="S531" s="136">
        <v>0.238</v>
      </c>
      <c r="T531" s="118">
        <f t="shared" si="21"/>
        <v>11348.554</v>
      </c>
      <c r="U531" s="24">
        <f t="shared" si="2"/>
        <v>268.2873286</v>
      </c>
      <c r="V531" s="26">
        <f>VLOOKUP(R531,CPI!$A$2:$E$67,5,0)</f>
        <v>1.191839066</v>
      </c>
      <c r="W531" s="27">
        <f t="shared" si="3"/>
        <v>13525.65</v>
      </c>
      <c r="X531" s="27">
        <f t="shared" si="4"/>
        <v>319.755319</v>
      </c>
      <c r="Y531" s="72" t="s">
        <v>36</v>
      </c>
      <c r="Z531" s="79" t="s">
        <v>736</v>
      </c>
      <c r="AA531" s="72"/>
      <c r="AB531" s="72"/>
      <c r="AC531" s="72"/>
      <c r="AD531" s="72"/>
    </row>
    <row r="532">
      <c r="A532" s="72" t="s">
        <v>230</v>
      </c>
      <c r="B532" s="72" t="s">
        <v>704</v>
      </c>
      <c r="C532" s="72" t="s">
        <v>267</v>
      </c>
      <c r="D532" s="72" t="s">
        <v>267</v>
      </c>
      <c r="E532" s="69">
        <v>2014.0</v>
      </c>
      <c r="F532" s="69">
        <v>2021.0</v>
      </c>
      <c r="G532" s="69">
        <v>0.0</v>
      </c>
      <c r="H532" s="69">
        <v>38.15</v>
      </c>
      <c r="I532" s="117">
        <v>1.0</v>
      </c>
      <c r="J532" s="69">
        <v>38.15</v>
      </c>
      <c r="K532" s="72"/>
      <c r="L532" s="72"/>
      <c r="M532" s="69">
        <v>31.0</v>
      </c>
      <c r="N532" s="69">
        <v>184.0</v>
      </c>
      <c r="O532" s="72"/>
      <c r="P532" s="140">
        <v>58073.0</v>
      </c>
      <c r="Q532" s="72" t="s">
        <v>234</v>
      </c>
      <c r="R532" s="115">
        <v>2021.0</v>
      </c>
      <c r="S532" s="136">
        <v>0.239</v>
      </c>
      <c r="T532" s="118">
        <f t="shared" si="21"/>
        <v>13879.447</v>
      </c>
      <c r="U532" s="24">
        <f t="shared" si="2"/>
        <v>363.8125033</v>
      </c>
      <c r="V532" s="26">
        <f>VLOOKUP(R532,CPI!$A$2:$E$67,5,0)</f>
        <v>1.124486105</v>
      </c>
      <c r="W532" s="27">
        <f t="shared" si="3"/>
        <v>15607.2453</v>
      </c>
      <c r="X532" s="27">
        <f t="shared" si="4"/>
        <v>409.1021049</v>
      </c>
      <c r="Y532" s="72" t="s">
        <v>36</v>
      </c>
      <c r="Z532" s="79" t="s">
        <v>735</v>
      </c>
      <c r="AA532" s="72"/>
      <c r="AB532" s="72"/>
      <c r="AC532" s="72"/>
      <c r="AD532" s="72"/>
    </row>
    <row r="533">
      <c r="A533" s="22" t="s">
        <v>230</v>
      </c>
      <c r="B533" s="22" t="s">
        <v>704</v>
      </c>
      <c r="C533" s="22" t="s">
        <v>283</v>
      </c>
      <c r="D533" s="22" t="s">
        <v>283</v>
      </c>
      <c r="E533" s="17">
        <v>2010.0</v>
      </c>
      <c r="F533" s="17">
        <v>2014.0</v>
      </c>
      <c r="G533" s="17">
        <v>0.0</v>
      </c>
      <c r="H533" s="17">
        <v>58.96</v>
      </c>
      <c r="I533" s="19">
        <f t="shared" ref="I533:I540" si="24">J533/H533</f>
        <v>0.2321913161</v>
      </c>
      <c r="J533" s="17">
        <v>13.69</v>
      </c>
      <c r="K533" s="213">
        <v>45.3992</v>
      </c>
      <c r="L533" s="213">
        <v>0.0</v>
      </c>
      <c r="M533" s="22"/>
      <c r="N533" s="22"/>
      <c r="O533" s="22" t="s">
        <v>42</v>
      </c>
      <c r="P533" s="23">
        <v>18160.0</v>
      </c>
      <c r="Q533" s="22" t="s">
        <v>234</v>
      </c>
      <c r="R533" s="17">
        <v>2010.0</v>
      </c>
      <c r="S533" s="136">
        <v>0.3</v>
      </c>
      <c r="T533" s="3">
        <f>S533*P533</f>
        <v>5448</v>
      </c>
      <c r="U533" s="24">
        <f t="shared" si="2"/>
        <v>92.40162822</v>
      </c>
      <c r="V533" s="26">
        <f>VLOOKUP(R533,CPI!$A$2:$E$67,5,0)</f>
        <v>1.397356642</v>
      </c>
      <c r="W533" s="27">
        <f t="shared" si="3"/>
        <v>7612.798987</v>
      </c>
      <c r="X533" s="27">
        <f t="shared" si="4"/>
        <v>129.118029</v>
      </c>
      <c r="Y533" s="26" t="s">
        <v>42</v>
      </c>
      <c r="Z533" s="154" t="s">
        <v>726</v>
      </c>
      <c r="AA533" s="178"/>
      <c r="AB533" s="172"/>
      <c r="AC533" s="172"/>
      <c r="AD533" s="172"/>
    </row>
    <row r="534">
      <c r="A534" s="22" t="s">
        <v>230</v>
      </c>
      <c r="B534" s="22" t="s">
        <v>771</v>
      </c>
      <c r="C534" s="16" t="s">
        <v>57</v>
      </c>
      <c r="D534" s="22" t="s">
        <v>410</v>
      </c>
      <c r="E534" s="22"/>
      <c r="F534" s="22"/>
      <c r="G534" s="17">
        <v>0.0</v>
      </c>
      <c r="H534" s="17">
        <v>23.5</v>
      </c>
      <c r="I534" s="19">
        <f t="shared" si="24"/>
        <v>0.7787234043</v>
      </c>
      <c r="J534" s="17">
        <v>18.3</v>
      </c>
      <c r="K534" s="177">
        <v>3.43</v>
      </c>
      <c r="L534" s="177">
        <v>1.975</v>
      </c>
      <c r="M534" s="17">
        <v>15.0</v>
      </c>
      <c r="N534" s="68"/>
      <c r="O534" s="68" t="s">
        <v>60</v>
      </c>
      <c r="P534" s="23">
        <v>12126.0</v>
      </c>
      <c r="Q534" s="22" t="s">
        <v>234</v>
      </c>
      <c r="R534" s="130">
        <v>2019.0</v>
      </c>
      <c r="S534" s="136">
        <v>0.238</v>
      </c>
      <c r="T534" s="118">
        <f t="shared" ref="T534:T596" si="25">P534*S534</f>
        <v>2885.988</v>
      </c>
      <c r="U534" s="24">
        <f t="shared" si="2"/>
        <v>122.808</v>
      </c>
      <c r="V534" s="26">
        <f>VLOOKUP(R534,CPI!$A$2:$E$67,5,0)</f>
        <v>1.191839066</v>
      </c>
      <c r="W534" s="27">
        <f t="shared" si="3"/>
        <v>3439.633241</v>
      </c>
      <c r="X534" s="27">
        <f t="shared" si="4"/>
        <v>146.367372</v>
      </c>
      <c r="Y534" s="26" t="s">
        <v>60</v>
      </c>
      <c r="Z534" s="129" t="s">
        <v>774</v>
      </c>
      <c r="AA534" s="178"/>
      <c r="AB534" s="172"/>
      <c r="AC534" s="172"/>
      <c r="AD534" s="172"/>
    </row>
    <row r="535">
      <c r="A535" s="22" t="s">
        <v>230</v>
      </c>
      <c r="B535" s="22" t="s">
        <v>771</v>
      </c>
      <c r="C535" s="22" t="s">
        <v>54</v>
      </c>
      <c r="D535" s="22" t="s">
        <v>54</v>
      </c>
      <c r="E535" s="22"/>
      <c r="F535" s="22"/>
      <c r="G535" s="17">
        <v>0.0</v>
      </c>
      <c r="H535" s="17">
        <v>35.8</v>
      </c>
      <c r="I535" s="19">
        <f t="shared" si="24"/>
        <v>1</v>
      </c>
      <c r="J535" s="17">
        <f>H535</f>
        <v>35.8</v>
      </c>
      <c r="K535" s="177">
        <v>0.0</v>
      </c>
      <c r="L535" s="177">
        <v>0.0</v>
      </c>
      <c r="M535" s="17">
        <v>29.0</v>
      </c>
      <c r="N535" s="68"/>
      <c r="O535" s="68" t="s">
        <v>60</v>
      </c>
      <c r="P535" s="23">
        <v>17787.0</v>
      </c>
      <c r="Q535" s="22" t="s">
        <v>234</v>
      </c>
      <c r="R535" s="130">
        <v>2019.0</v>
      </c>
      <c r="S535" s="136">
        <v>0.238</v>
      </c>
      <c r="T535" s="118">
        <f t="shared" si="25"/>
        <v>4233.306</v>
      </c>
      <c r="U535" s="24">
        <f t="shared" si="2"/>
        <v>118.2487709</v>
      </c>
      <c r="V535" s="26">
        <f>VLOOKUP(R535,CPI!$A$2:$E$67,5,0)</f>
        <v>1.191839066</v>
      </c>
      <c r="W535" s="27">
        <f t="shared" si="3"/>
        <v>5045.419468</v>
      </c>
      <c r="X535" s="27">
        <f t="shared" si="4"/>
        <v>140.9335047</v>
      </c>
      <c r="Y535" s="26" t="s">
        <v>60</v>
      </c>
      <c r="Z535" s="129" t="s">
        <v>774</v>
      </c>
      <c r="AA535" s="178"/>
      <c r="AB535" s="172"/>
      <c r="AC535" s="172"/>
      <c r="AD535" s="172"/>
    </row>
    <row r="536">
      <c r="A536" s="22" t="s">
        <v>230</v>
      </c>
      <c r="B536" s="22" t="s">
        <v>771</v>
      </c>
      <c r="C536" s="36" t="s">
        <v>87</v>
      </c>
      <c r="D536" s="22" t="s">
        <v>87</v>
      </c>
      <c r="E536" s="22"/>
      <c r="F536" s="22"/>
      <c r="G536" s="17">
        <v>0.0</v>
      </c>
      <c r="H536" s="17">
        <v>41.5</v>
      </c>
      <c r="I536" s="19">
        <f t="shared" si="24"/>
        <v>0.4462650602</v>
      </c>
      <c r="J536" s="17">
        <v>18.52</v>
      </c>
      <c r="K536" s="177">
        <v>23.24</v>
      </c>
      <c r="L536" s="177">
        <v>0.0</v>
      </c>
      <c r="M536" s="17">
        <v>30.0</v>
      </c>
      <c r="N536" s="68"/>
      <c r="O536" s="68" t="s">
        <v>60</v>
      </c>
      <c r="P536" s="23">
        <v>16858.0</v>
      </c>
      <c r="Q536" s="22" t="s">
        <v>234</v>
      </c>
      <c r="R536" s="130">
        <v>2019.0</v>
      </c>
      <c r="S536" s="136">
        <v>0.238</v>
      </c>
      <c r="T536" s="118">
        <f t="shared" si="25"/>
        <v>4012.204</v>
      </c>
      <c r="U536" s="24">
        <f t="shared" si="2"/>
        <v>96.67961446</v>
      </c>
      <c r="V536" s="26">
        <f>VLOOKUP(R536,CPI!$A$2:$E$67,5,0)</f>
        <v>1.191839066</v>
      </c>
      <c r="W536" s="27">
        <f t="shared" si="3"/>
        <v>4781.901466</v>
      </c>
      <c r="X536" s="27">
        <f t="shared" si="4"/>
        <v>115.2265414</v>
      </c>
      <c r="Y536" s="26" t="s">
        <v>60</v>
      </c>
      <c r="Z536" s="129" t="s">
        <v>774</v>
      </c>
      <c r="AA536" s="178"/>
      <c r="AB536" s="172"/>
      <c r="AC536" s="172"/>
      <c r="AD536" s="172"/>
    </row>
    <row r="537">
      <c r="A537" s="22" t="s">
        <v>230</v>
      </c>
      <c r="B537" s="22" t="s">
        <v>771</v>
      </c>
      <c r="C537" s="16" t="s">
        <v>110</v>
      </c>
      <c r="D537" s="22" t="s">
        <v>358</v>
      </c>
      <c r="E537" s="22"/>
      <c r="F537" s="22"/>
      <c r="G537" s="17">
        <v>0.0</v>
      </c>
      <c r="H537" s="17">
        <v>15.94</v>
      </c>
      <c r="I537" s="19">
        <f t="shared" si="24"/>
        <v>0.3193224592</v>
      </c>
      <c r="J537" s="17">
        <v>5.09</v>
      </c>
      <c r="K537" s="177">
        <v>10.9986</v>
      </c>
      <c r="L537" s="177">
        <v>0.0</v>
      </c>
      <c r="M537" s="17">
        <v>10.0</v>
      </c>
      <c r="N537" s="68"/>
      <c r="O537" s="68" t="s">
        <v>60</v>
      </c>
      <c r="P537" s="23">
        <v>5799.0</v>
      </c>
      <c r="Q537" s="22" t="s">
        <v>234</v>
      </c>
      <c r="R537" s="130">
        <v>2019.0</v>
      </c>
      <c r="S537" s="136">
        <v>0.238</v>
      </c>
      <c r="T537" s="118">
        <f t="shared" si="25"/>
        <v>1380.162</v>
      </c>
      <c r="U537" s="24">
        <f t="shared" si="2"/>
        <v>86.58481807</v>
      </c>
      <c r="V537" s="26">
        <f>VLOOKUP(R537,CPI!$A$2:$E$67,5,0)</f>
        <v>1.191839066</v>
      </c>
      <c r="W537" s="27">
        <f t="shared" si="3"/>
        <v>1644.930988</v>
      </c>
      <c r="X537" s="27">
        <f t="shared" si="4"/>
        <v>103.1951687</v>
      </c>
      <c r="Y537" s="26" t="s">
        <v>60</v>
      </c>
      <c r="Z537" s="129" t="s">
        <v>774</v>
      </c>
      <c r="AA537" s="178"/>
      <c r="AB537" s="172"/>
      <c r="AC537" s="172"/>
      <c r="AD537" s="172"/>
    </row>
    <row r="538">
      <c r="A538" s="22" t="s">
        <v>230</v>
      </c>
      <c r="B538" s="22" t="s">
        <v>771</v>
      </c>
      <c r="C538" s="36" t="s">
        <v>84</v>
      </c>
      <c r="D538" s="22" t="s">
        <v>84</v>
      </c>
      <c r="E538" s="22"/>
      <c r="F538" s="22"/>
      <c r="G538" s="17">
        <v>0.0</v>
      </c>
      <c r="H538" s="17">
        <v>40.1</v>
      </c>
      <c r="I538" s="19">
        <f t="shared" si="24"/>
        <v>0.8927680798</v>
      </c>
      <c r="J538" s="17">
        <v>35.8</v>
      </c>
      <c r="K538" s="177">
        <v>4.411</v>
      </c>
      <c r="L538" s="177">
        <v>0.0</v>
      </c>
      <c r="M538" s="17">
        <v>27.0</v>
      </c>
      <c r="N538" s="68"/>
      <c r="O538" s="68" t="s">
        <v>60</v>
      </c>
      <c r="P538" s="23">
        <v>20558.0</v>
      </c>
      <c r="Q538" s="22" t="s">
        <v>234</v>
      </c>
      <c r="R538" s="130">
        <v>2019.0</v>
      </c>
      <c r="S538" s="136">
        <v>0.238</v>
      </c>
      <c r="T538" s="118">
        <f t="shared" si="25"/>
        <v>4892.804</v>
      </c>
      <c r="U538" s="24">
        <f t="shared" si="2"/>
        <v>122.0150623</v>
      </c>
      <c r="V538" s="26">
        <f>VLOOKUP(R538,CPI!$A$2:$E$67,5,0)</f>
        <v>1.191839066</v>
      </c>
      <c r="W538" s="27">
        <f t="shared" si="3"/>
        <v>5831.434948</v>
      </c>
      <c r="X538" s="27">
        <f t="shared" si="4"/>
        <v>145.4223179</v>
      </c>
      <c r="Y538" s="26" t="s">
        <v>60</v>
      </c>
      <c r="Z538" s="129" t="s">
        <v>774</v>
      </c>
      <c r="AA538" s="178"/>
      <c r="AB538" s="172"/>
      <c r="AC538" s="172"/>
      <c r="AD538" s="172"/>
    </row>
    <row r="539">
      <c r="A539" s="22" t="s">
        <v>230</v>
      </c>
      <c r="B539" s="22" t="s">
        <v>771</v>
      </c>
      <c r="C539" s="36" t="s">
        <v>228</v>
      </c>
      <c r="D539" s="22" t="s">
        <v>228</v>
      </c>
      <c r="E539" s="22"/>
      <c r="F539" s="17">
        <v>2016.0</v>
      </c>
      <c r="G539" s="17">
        <v>0.0</v>
      </c>
      <c r="H539" s="17">
        <v>30.2</v>
      </c>
      <c r="I539" s="19">
        <f t="shared" si="24"/>
        <v>1</v>
      </c>
      <c r="J539" s="17">
        <v>30.2</v>
      </c>
      <c r="K539" s="177">
        <v>0.0</v>
      </c>
      <c r="L539" s="177">
        <v>0.0</v>
      </c>
      <c r="M539" s="17">
        <v>28.0</v>
      </c>
      <c r="N539" s="68"/>
      <c r="O539" s="68" t="s">
        <v>60</v>
      </c>
      <c r="P539" s="23">
        <v>26876.0</v>
      </c>
      <c r="Q539" s="22" t="s">
        <v>234</v>
      </c>
      <c r="R539" s="17">
        <v>2013.0</v>
      </c>
      <c r="S539" s="136">
        <v>0.273</v>
      </c>
      <c r="T539" s="118">
        <f t="shared" si="25"/>
        <v>7337.148</v>
      </c>
      <c r="U539" s="24">
        <f t="shared" si="2"/>
        <v>242.9519205</v>
      </c>
      <c r="V539" s="26">
        <f>VLOOKUP(R539,CPI!$A$2:$E$67,5,0)</f>
        <v>1.307975292</v>
      </c>
      <c r="W539" s="27">
        <f t="shared" si="3"/>
        <v>9596.808295</v>
      </c>
      <c r="X539" s="27">
        <f t="shared" si="4"/>
        <v>317.7751091</v>
      </c>
      <c r="Y539" s="26" t="s">
        <v>60</v>
      </c>
      <c r="Z539" s="129" t="s">
        <v>774</v>
      </c>
      <c r="AA539" s="178"/>
      <c r="AB539" s="172"/>
      <c r="AC539" s="172"/>
      <c r="AD539" s="172"/>
    </row>
    <row r="540">
      <c r="A540" s="22" t="s">
        <v>230</v>
      </c>
      <c r="B540" s="22" t="s">
        <v>771</v>
      </c>
      <c r="C540" s="22" t="s">
        <v>253</v>
      </c>
      <c r="D540" s="22" t="s">
        <v>253</v>
      </c>
      <c r="E540" s="22"/>
      <c r="F540" s="22"/>
      <c r="G540" s="17">
        <v>0.0</v>
      </c>
      <c r="H540" s="17">
        <v>25.33</v>
      </c>
      <c r="I540" s="19">
        <f t="shared" si="24"/>
        <v>1</v>
      </c>
      <c r="J540" s="17">
        <f>H540</f>
        <v>25.33</v>
      </c>
      <c r="K540" s="177">
        <v>0.0</v>
      </c>
      <c r="L540" s="177">
        <v>0.0</v>
      </c>
      <c r="M540" s="17">
        <v>22.0</v>
      </c>
      <c r="N540" s="68"/>
      <c r="O540" s="68" t="s">
        <v>60</v>
      </c>
      <c r="P540" s="23">
        <v>22371.0</v>
      </c>
      <c r="Q540" s="22" t="s">
        <v>234</v>
      </c>
      <c r="R540" s="130">
        <v>2019.0</v>
      </c>
      <c r="S540" s="136">
        <v>0.238</v>
      </c>
      <c r="T540" s="118">
        <f t="shared" si="25"/>
        <v>5324.298</v>
      </c>
      <c r="U540" s="24">
        <f t="shared" si="2"/>
        <v>210.1973154</v>
      </c>
      <c r="V540" s="26">
        <f>VLOOKUP(R540,CPI!$A$2:$E$67,5,0)</f>
        <v>1.191839066</v>
      </c>
      <c r="W540" s="27">
        <f t="shared" si="3"/>
        <v>6345.706353</v>
      </c>
      <c r="X540" s="27">
        <f t="shared" si="4"/>
        <v>250.521372</v>
      </c>
      <c r="Y540" s="26" t="s">
        <v>60</v>
      </c>
      <c r="Z540" s="129" t="s">
        <v>774</v>
      </c>
      <c r="AA540" s="178"/>
      <c r="AB540" s="172"/>
      <c r="AC540" s="172"/>
      <c r="AD540" s="172"/>
    </row>
    <row r="541">
      <c r="A541" s="72" t="s">
        <v>230</v>
      </c>
      <c r="B541" s="72" t="s">
        <v>771</v>
      </c>
      <c r="C541" s="115" t="s">
        <v>243</v>
      </c>
      <c r="D541" s="115" t="s">
        <v>373</v>
      </c>
      <c r="E541" s="69">
        <v>2019.0</v>
      </c>
      <c r="F541" s="69">
        <v>2024.0</v>
      </c>
      <c r="G541" s="69">
        <v>0.0</v>
      </c>
      <c r="H541" s="69">
        <v>8.023</v>
      </c>
      <c r="I541" s="117">
        <v>1.0</v>
      </c>
      <c r="J541" s="69">
        <v>8.023</v>
      </c>
      <c r="K541" s="72"/>
      <c r="L541" s="72"/>
      <c r="M541" s="69">
        <v>4.0</v>
      </c>
      <c r="N541" s="70">
        <v>138.0</v>
      </c>
      <c r="O541" s="74"/>
      <c r="P541" s="140">
        <v>6316.0</v>
      </c>
      <c r="Q541" s="72" t="s">
        <v>234</v>
      </c>
      <c r="R541" s="115">
        <v>2021.0</v>
      </c>
      <c r="S541" s="136">
        <v>0.239</v>
      </c>
      <c r="T541" s="118">
        <f t="shared" si="25"/>
        <v>1509.524</v>
      </c>
      <c r="U541" s="24">
        <f t="shared" si="2"/>
        <v>188.14957</v>
      </c>
      <c r="V541" s="26">
        <f>VLOOKUP(R541,CPI!$A$2:$E$67,5,0)</f>
        <v>1.124486105</v>
      </c>
      <c r="W541" s="27">
        <f t="shared" si="3"/>
        <v>1697.438764</v>
      </c>
      <c r="X541" s="27">
        <f t="shared" si="4"/>
        <v>211.5715772</v>
      </c>
      <c r="Y541" s="72" t="s">
        <v>36</v>
      </c>
      <c r="Z541" s="79" t="s">
        <v>786</v>
      </c>
      <c r="AA541" s="72"/>
      <c r="AB541" s="72"/>
      <c r="AC541" s="72"/>
      <c r="AD541" s="72"/>
    </row>
    <row r="542">
      <c r="A542" s="22" t="s">
        <v>230</v>
      </c>
      <c r="B542" s="22" t="s">
        <v>461</v>
      </c>
      <c r="C542" s="36" t="s">
        <v>236</v>
      </c>
      <c r="D542" s="22" t="s">
        <v>364</v>
      </c>
      <c r="E542" s="17">
        <v>2013.0</v>
      </c>
      <c r="F542" s="17">
        <v>2017.0</v>
      </c>
      <c r="G542" s="17">
        <v>0.0</v>
      </c>
      <c r="H542" s="17">
        <v>27.03</v>
      </c>
      <c r="I542" s="19">
        <f t="shared" ref="I542:I544" si="26">J542/H542</f>
        <v>1</v>
      </c>
      <c r="J542" s="17">
        <f>H542</f>
        <v>27.03</v>
      </c>
      <c r="K542" s="177">
        <v>0.0</v>
      </c>
      <c r="L542" s="177">
        <v>0.0</v>
      </c>
      <c r="M542" s="17">
        <v>11.0</v>
      </c>
      <c r="N542" s="22"/>
      <c r="O542" s="22" t="s">
        <v>42</v>
      </c>
      <c r="P542" s="23">
        <v>19038.0</v>
      </c>
      <c r="Q542" s="22" t="s">
        <v>234</v>
      </c>
      <c r="R542" s="17">
        <v>2013.0</v>
      </c>
      <c r="S542" s="136">
        <v>0.273</v>
      </c>
      <c r="T542" s="3">
        <f t="shared" si="25"/>
        <v>5197.374</v>
      </c>
      <c r="U542" s="24">
        <f t="shared" si="2"/>
        <v>192.281687</v>
      </c>
      <c r="V542" s="26">
        <f>VLOOKUP(R542,CPI!$A$2:$E$67,5,0)</f>
        <v>1.307975292</v>
      </c>
      <c r="W542" s="27">
        <f t="shared" si="3"/>
        <v>6798.036773</v>
      </c>
      <c r="X542" s="27">
        <f t="shared" si="4"/>
        <v>251.4996956</v>
      </c>
      <c r="Y542" s="26" t="s">
        <v>42</v>
      </c>
      <c r="Z542" s="129" t="s">
        <v>462</v>
      </c>
      <c r="AA542" s="178"/>
      <c r="AB542" s="172"/>
      <c r="AC542" s="172"/>
      <c r="AD542" s="172"/>
    </row>
    <row r="543">
      <c r="A543" s="22" t="s">
        <v>230</v>
      </c>
      <c r="B543" s="22" t="s">
        <v>504</v>
      </c>
      <c r="C543" s="16" t="s">
        <v>57</v>
      </c>
      <c r="D543" s="22" t="s">
        <v>232</v>
      </c>
      <c r="E543" s="17">
        <v>2013.0</v>
      </c>
      <c r="F543" s="17">
        <v>2017.0</v>
      </c>
      <c r="G543" s="17">
        <v>0.0</v>
      </c>
      <c r="H543" s="17">
        <v>34.3</v>
      </c>
      <c r="I543" s="19">
        <f t="shared" si="26"/>
        <v>0.8454810496</v>
      </c>
      <c r="J543" s="17">
        <v>29.0</v>
      </c>
      <c r="K543" s="177">
        <v>5.14</v>
      </c>
      <c r="L543" s="177">
        <v>0.348</v>
      </c>
      <c r="M543" s="17">
        <v>25.0</v>
      </c>
      <c r="N543" s="22"/>
      <c r="O543" s="22" t="s">
        <v>42</v>
      </c>
      <c r="P543" s="23">
        <v>19370.0</v>
      </c>
      <c r="Q543" s="22" t="s">
        <v>234</v>
      </c>
      <c r="R543" s="17">
        <v>2010.0</v>
      </c>
      <c r="S543" s="136">
        <v>0.3</v>
      </c>
      <c r="T543" s="3">
        <f t="shared" si="25"/>
        <v>5811</v>
      </c>
      <c r="U543" s="24">
        <f t="shared" si="2"/>
        <v>169.4169096</v>
      </c>
      <c r="V543" s="26">
        <f>VLOOKUP(R543,CPI!$A$2:$E$67,5,0)</f>
        <v>1.397356642</v>
      </c>
      <c r="W543" s="27">
        <f t="shared" si="3"/>
        <v>8120.039449</v>
      </c>
      <c r="X543" s="27">
        <f t="shared" si="4"/>
        <v>236.735844</v>
      </c>
      <c r="Y543" s="26" t="s">
        <v>42</v>
      </c>
      <c r="Z543" s="129" t="s">
        <v>505</v>
      </c>
      <c r="AA543" s="178"/>
      <c r="AB543" s="172"/>
      <c r="AC543" s="172"/>
      <c r="AD543" s="172"/>
    </row>
    <row r="544">
      <c r="A544" s="22" t="s">
        <v>230</v>
      </c>
      <c r="B544" s="22" t="s">
        <v>872</v>
      </c>
      <c r="C544" s="36" t="s">
        <v>110</v>
      </c>
      <c r="D544" s="22" t="s">
        <v>332</v>
      </c>
      <c r="E544" s="17">
        <v>2009.0</v>
      </c>
      <c r="F544" s="17"/>
      <c r="G544" s="17">
        <v>0.0</v>
      </c>
      <c r="H544" s="17">
        <v>15.4</v>
      </c>
      <c r="I544" s="19">
        <f t="shared" si="26"/>
        <v>1</v>
      </c>
      <c r="J544" s="17">
        <v>15.4</v>
      </c>
      <c r="K544" s="177">
        <v>0.0</v>
      </c>
      <c r="L544" s="177">
        <v>0.0</v>
      </c>
      <c r="M544" s="17">
        <v>15.0</v>
      </c>
      <c r="N544" s="22"/>
      <c r="O544" s="22" t="s">
        <v>42</v>
      </c>
      <c r="P544" s="23">
        <v>9400.0</v>
      </c>
      <c r="Q544" s="22" t="s">
        <v>234</v>
      </c>
      <c r="R544" s="17">
        <v>2009.0</v>
      </c>
      <c r="S544" s="136">
        <v>0.317</v>
      </c>
      <c r="T544" s="3">
        <f t="shared" si="25"/>
        <v>2979.8</v>
      </c>
      <c r="U544" s="24">
        <f t="shared" si="2"/>
        <v>193.4935065</v>
      </c>
      <c r="V544" s="26">
        <f>VLOOKUP(R544,CPI!$A$2:$E$67,5,0)</f>
        <v>1.420277155</v>
      </c>
      <c r="W544" s="27">
        <f t="shared" si="3"/>
        <v>4232.141866</v>
      </c>
      <c r="X544" s="27">
        <f t="shared" si="4"/>
        <v>274.8144069</v>
      </c>
      <c r="Y544" s="26" t="s">
        <v>60</v>
      </c>
      <c r="Z544" s="129" t="s">
        <v>890</v>
      </c>
      <c r="AA544" s="178"/>
      <c r="AB544" s="172"/>
      <c r="AC544" s="172"/>
      <c r="AD544" s="172"/>
    </row>
    <row r="545">
      <c r="A545" s="72" t="s">
        <v>230</v>
      </c>
      <c r="B545" s="72" t="s">
        <v>350</v>
      </c>
      <c r="C545" s="115" t="s">
        <v>243</v>
      </c>
      <c r="D545" s="115" t="s">
        <v>379</v>
      </c>
      <c r="E545" s="69">
        <v>2021.0</v>
      </c>
      <c r="F545" s="69"/>
      <c r="G545" s="69">
        <v>0.0</v>
      </c>
      <c r="H545" s="69">
        <v>29.1</v>
      </c>
      <c r="I545" s="117">
        <v>1.0</v>
      </c>
      <c r="J545" s="69">
        <v>29.1</v>
      </c>
      <c r="K545" s="72"/>
      <c r="L545" s="72"/>
      <c r="M545" s="69">
        <v>25.0</v>
      </c>
      <c r="N545" s="69">
        <v>138.0</v>
      </c>
      <c r="O545" s="72"/>
      <c r="P545" s="140">
        <v>23757.0</v>
      </c>
      <c r="Q545" s="72" t="s">
        <v>234</v>
      </c>
      <c r="R545" s="130">
        <v>2019.0</v>
      </c>
      <c r="S545" s="136">
        <v>0.238</v>
      </c>
      <c r="T545" s="3">
        <f t="shared" si="25"/>
        <v>5654.166</v>
      </c>
      <c r="U545" s="24">
        <f t="shared" si="2"/>
        <v>194.3012371</v>
      </c>
      <c r="V545" s="26">
        <f>VLOOKUP(R545,CPI!$A$2:$E$67,5,0)</f>
        <v>1.191839066</v>
      </c>
      <c r="W545" s="27">
        <f t="shared" si="3"/>
        <v>6738.855922</v>
      </c>
      <c r="X545" s="27">
        <f t="shared" si="4"/>
        <v>231.5758049</v>
      </c>
      <c r="Y545" s="2" t="s">
        <v>60</v>
      </c>
      <c r="Z545" s="79" t="s">
        <v>380</v>
      </c>
      <c r="AA545" s="185" t="s">
        <v>381</v>
      </c>
      <c r="AB545" s="60"/>
      <c r="AC545" s="60"/>
      <c r="AD545" s="60"/>
    </row>
    <row r="546">
      <c r="A546" s="22" t="s">
        <v>230</v>
      </c>
      <c r="B546" s="22" t="s">
        <v>350</v>
      </c>
      <c r="C546" s="22" t="s">
        <v>253</v>
      </c>
      <c r="D546" s="22" t="s">
        <v>362</v>
      </c>
      <c r="E546" s="17">
        <v>2016.0</v>
      </c>
      <c r="F546" s="17">
        <v>2020.0</v>
      </c>
      <c r="G546" s="17">
        <v>0.0</v>
      </c>
      <c r="H546" s="17">
        <v>22.2</v>
      </c>
      <c r="I546" s="19">
        <f t="shared" ref="I546:I547" si="27">J546/H546</f>
        <v>1</v>
      </c>
      <c r="J546" s="17">
        <v>22.2</v>
      </c>
      <c r="K546" s="177">
        <v>0.0</v>
      </c>
      <c r="L546" s="177">
        <v>0.0</v>
      </c>
      <c r="M546" s="17">
        <v>13.0</v>
      </c>
      <c r="N546" s="22"/>
      <c r="O546" s="22" t="s">
        <v>60</v>
      </c>
      <c r="P546" s="23">
        <v>20253.0923</v>
      </c>
      <c r="Q546" s="22" t="s">
        <v>234</v>
      </c>
      <c r="R546" s="17">
        <v>2017.0</v>
      </c>
      <c r="S546" s="136">
        <v>0.239</v>
      </c>
      <c r="T546" s="3">
        <f t="shared" si="25"/>
        <v>4840.48906</v>
      </c>
      <c r="U546" s="24">
        <f t="shared" si="2"/>
        <v>218.0400477</v>
      </c>
      <c r="V546" s="26">
        <f>VLOOKUP(R546,CPI!$A$2:$E$67,5,0)</f>
        <v>1.243072781</v>
      </c>
      <c r="W546" s="27">
        <f t="shared" si="3"/>
        <v>6017.080195</v>
      </c>
      <c r="X546" s="27">
        <f t="shared" si="4"/>
        <v>271.0396484</v>
      </c>
      <c r="Y546" s="26" t="s">
        <v>60</v>
      </c>
      <c r="Z546" s="129" t="s">
        <v>363</v>
      </c>
      <c r="AA546" s="301"/>
      <c r="AB546" s="172"/>
      <c r="AC546" s="172"/>
      <c r="AD546" s="172"/>
    </row>
    <row r="547">
      <c r="A547" s="22" t="s">
        <v>230</v>
      </c>
      <c r="B547" s="22" t="s">
        <v>350</v>
      </c>
      <c r="C547" s="36" t="s">
        <v>239</v>
      </c>
      <c r="D547" s="22" t="s">
        <v>360</v>
      </c>
      <c r="E547" s="17">
        <v>2016.0</v>
      </c>
      <c r="F547" s="176">
        <v>2020.0</v>
      </c>
      <c r="G547" s="17">
        <v>0.0</v>
      </c>
      <c r="H547" s="17">
        <v>26.7</v>
      </c>
      <c r="I547" s="19">
        <f t="shared" si="27"/>
        <v>0.3895131086</v>
      </c>
      <c r="J547" s="17">
        <v>10.4</v>
      </c>
      <c r="K547" s="177">
        <v>16.554</v>
      </c>
      <c r="L547" s="177">
        <v>0.0</v>
      </c>
      <c r="M547" s="17">
        <v>9.0</v>
      </c>
      <c r="N547" s="68">
        <v>138.0</v>
      </c>
      <c r="O547" s="22" t="s">
        <v>60</v>
      </c>
      <c r="P547" s="23">
        <v>13156.0</v>
      </c>
      <c r="Q547" s="22" t="s">
        <v>234</v>
      </c>
      <c r="R547" s="17">
        <v>2016.0</v>
      </c>
      <c r="S547" s="136">
        <v>0.251</v>
      </c>
      <c r="T547" s="3">
        <f t="shared" si="25"/>
        <v>3302.156</v>
      </c>
      <c r="U547" s="24">
        <f t="shared" si="2"/>
        <v>123.6762547</v>
      </c>
      <c r="V547" s="26">
        <f>VLOOKUP(R547,CPI!$A$2:$E$67,5,0)</f>
        <v>1.269554638</v>
      </c>
      <c r="W547" s="27">
        <f t="shared" si="3"/>
        <v>4192.267465</v>
      </c>
      <c r="X547" s="27">
        <f t="shared" si="4"/>
        <v>157.0137627</v>
      </c>
      <c r="Y547" s="26" t="s">
        <v>60</v>
      </c>
      <c r="Z547" s="129" t="s">
        <v>361</v>
      </c>
      <c r="AA547" s="178"/>
      <c r="AB547" s="172"/>
      <c r="AC547" s="172"/>
      <c r="AD547" s="172"/>
    </row>
    <row r="548">
      <c r="A548" s="221" t="s">
        <v>1759</v>
      </c>
      <c r="B548" s="221" t="s">
        <v>1770</v>
      </c>
      <c r="C548" s="36" t="s">
        <v>856</v>
      </c>
      <c r="D548" s="221" t="s">
        <v>857</v>
      </c>
      <c r="E548" s="227">
        <v>2015.0</v>
      </c>
      <c r="F548" s="227">
        <v>2023.0</v>
      </c>
      <c r="G548" s="227">
        <v>0.0</v>
      </c>
      <c r="H548" s="349">
        <v>8.9</v>
      </c>
      <c r="I548" s="228">
        <v>1.0</v>
      </c>
      <c r="J548" s="227">
        <v>8.4</v>
      </c>
      <c r="K548" s="229">
        <v>0.0</v>
      </c>
      <c r="L548" s="229">
        <v>0.0</v>
      </c>
      <c r="M548" s="349">
        <v>8.0</v>
      </c>
      <c r="N548" s="352">
        <v>180.0</v>
      </c>
      <c r="O548" s="221" t="s">
        <v>60</v>
      </c>
      <c r="P548" s="353">
        <v>333.0</v>
      </c>
      <c r="Q548" s="221" t="s">
        <v>37</v>
      </c>
      <c r="R548" s="227">
        <v>2019.0</v>
      </c>
      <c r="S548" s="349">
        <v>3.0</v>
      </c>
      <c r="T548" s="25">
        <f t="shared" si="25"/>
        <v>999</v>
      </c>
      <c r="U548" s="24">
        <f t="shared" si="2"/>
        <v>112.247191</v>
      </c>
      <c r="V548" s="26">
        <f>VLOOKUP(R548,CPI!$A$2:$E$67,5,0)</f>
        <v>1.191839066</v>
      </c>
      <c r="W548" s="27">
        <f t="shared" si="3"/>
        <v>1190.647227</v>
      </c>
      <c r="X548" s="27">
        <f t="shared" si="4"/>
        <v>133.7805873</v>
      </c>
      <c r="Y548" s="26" t="s">
        <v>60</v>
      </c>
      <c r="Z548" s="354" t="s">
        <v>1790</v>
      </c>
      <c r="AA548" s="178"/>
      <c r="AB548" s="172"/>
      <c r="AC548" s="172"/>
      <c r="AD548" s="172"/>
    </row>
    <row r="549">
      <c r="A549" s="221" t="s">
        <v>1759</v>
      </c>
      <c r="B549" s="221" t="s">
        <v>1770</v>
      </c>
      <c r="C549" s="221" t="s">
        <v>838</v>
      </c>
      <c r="D549" s="221" t="s">
        <v>838</v>
      </c>
      <c r="E549" s="227">
        <v>2016.0</v>
      </c>
      <c r="F549" s="349">
        <v>2022.0</v>
      </c>
      <c r="G549" s="227">
        <v>0.0</v>
      </c>
      <c r="H549" s="227">
        <v>14.3</v>
      </c>
      <c r="I549" s="228">
        <v>1.0</v>
      </c>
      <c r="J549" s="227">
        <v>14.3</v>
      </c>
      <c r="K549" s="229">
        <v>0.0</v>
      </c>
      <c r="L549" s="229">
        <v>0.0</v>
      </c>
      <c r="M549" s="227">
        <v>11.0</v>
      </c>
      <c r="N549" s="352">
        <v>100.0</v>
      </c>
      <c r="O549" s="221" t="s">
        <v>60</v>
      </c>
      <c r="P549" s="353">
        <v>635.0</v>
      </c>
      <c r="Q549" s="221" t="s">
        <v>37</v>
      </c>
      <c r="R549" s="227">
        <v>2019.0</v>
      </c>
      <c r="S549" s="349">
        <v>3.0</v>
      </c>
      <c r="T549" s="25">
        <f t="shared" si="25"/>
        <v>1905</v>
      </c>
      <c r="U549" s="24">
        <f t="shared" si="2"/>
        <v>133.2167832</v>
      </c>
      <c r="V549" s="26">
        <f>VLOOKUP(R549,CPI!$A$2:$E$67,5,0)</f>
        <v>1.191839066</v>
      </c>
      <c r="W549" s="27">
        <f t="shared" si="3"/>
        <v>2270.45342</v>
      </c>
      <c r="X549" s="27">
        <f t="shared" si="4"/>
        <v>158.7729664</v>
      </c>
      <c r="Y549" s="26" t="s">
        <v>60</v>
      </c>
      <c r="Z549" s="354" t="s">
        <v>1790</v>
      </c>
      <c r="AA549" s="178"/>
      <c r="AB549" s="172"/>
      <c r="AC549" s="172"/>
      <c r="AD549" s="172"/>
    </row>
    <row r="550">
      <c r="A550" s="221" t="s">
        <v>1759</v>
      </c>
      <c r="B550" s="221" t="s">
        <v>1770</v>
      </c>
      <c r="C550" s="36" t="s">
        <v>1364</v>
      </c>
      <c r="D550" s="221" t="s">
        <v>1803</v>
      </c>
      <c r="E550" s="227">
        <v>2016.0</v>
      </c>
      <c r="F550" s="349">
        <v>2027.0</v>
      </c>
      <c r="G550" s="227">
        <v>0.0</v>
      </c>
      <c r="H550" s="227">
        <v>17.8</v>
      </c>
      <c r="I550" s="228">
        <v>1.0</v>
      </c>
      <c r="J550" s="227">
        <v>17.8</v>
      </c>
      <c r="K550" s="229">
        <v>0.0</v>
      </c>
      <c r="L550" s="229">
        <v>0.0</v>
      </c>
      <c r="M550" s="349">
        <v>13.0</v>
      </c>
      <c r="N550" s="352">
        <v>140.0</v>
      </c>
      <c r="O550" s="221" t="s">
        <v>60</v>
      </c>
      <c r="P550" s="353">
        <v>657.0</v>
      </c>
      <c r="Q550" s="221" t="s">
        <v>37</v>
      </c>
      <c r="R550" s="227">
        <v>2019.0</v>
      </c>
      <c r="S550" s="349">
        <v>3.0</v>
      </c>
      <c r="T550" s="25">
        <f t="shared" si="25"/>
        <v>1971</v>
      </c>
      <c r="U550" s="24">
        <f t="shared" si="2"/>
        <v>110.7303371</v>
      </c>
      <c r="V550" s="26">
        <f>VLOOKUP(R550,CPI!$A$2:$E$67,5,0)</f>
        <v>1.191839066</v>
      </c>
      <c r="W550" s="27">
        <f t="shared" si="3"/>
        <v>2349.114798</v>
      </c>
      <c r="X550" s="27">
        <f t="shared" si="4"/>
        <v>131.9727415</v>
      </c>
      <c r="Y550" s="26" t="s">
        <v>60</v>
      </c>
      <c r="Z550" s="354" t="s">
        <v>1790</v>
      </c>
      <c r="AA550" s="178"/>
      <c r="AB550" s="172"/>
      <c r="AC550" s="172"/>
      <c r="AD550" s="172"/>
    </row>
    <row r="551">
      <c r="A551" s="221" t="s">
        <v>1759</v>
      </c>
      <c r="B551" s="221" t="s">
        <v>1770</v>
      </c>
      <c r="C551" s="36" t="s">
        <v>1797</v>
      </c>
      <c r="D551" s="221" t="s">
        <v>1798</v>
      </c>
      <c r="E551" s="227">
        <v>2017.0</v>
      </c>
      <c r="F551" s="349">
        <v>2023.0</v>
      </c>
      <c r="G551" s="227">
        <v>0.0</v>
      </c>
      <c r="H551" s="227">
        <v>13.0</v>
      </c>
      <c r="I551" s="228">
        <v>1.0</v>
      </c>
      <c r="J551" s="227">
        <v>13.0</v>
      </c>
      <c r="K551" s="229">
        <v>0.0</v>
      </c>
      <c r="L551" s="229">
        <v>0.0</v>
      </c>
      <c r="M551" s="349">
        <v>11.0</v>
      </c>
      <c r="N551" s="352">
        <v>100.0</v>
      </c>
      <c r="O551" s="221" t="s">
        <v>60</v>
      </c>
      <c r="P551" s="350">
        <v>698.0</v>
      </c>
      <c r="Q551" s="221" t="s">
        <v>37</v>
      </c>
      <c r="R551" s="227">
        <v>2020.0</v>
      </c>
      <c r="S551" s="349">
        <v>3.3</v>
      </c>
      <c r="T551" s="25">
        <f t="shared" si="25"/>
        <v>2303.4</v>
      </c>
      <c r="U551" s="24">
        <f t="shared" si="2"/>
        <v>177.1846154</v>
      </c>
      <c r="V551" s="26">
        <f>VLOOKUP(R551,CPI!$A$2:$E$67,5,0)</f>
        <v>1.17731472</v>
      </c>
      <c r="W551" s="27">
        <f t="shared" si="3"/>
        <v>2711.826726</v>
      </c>
      <c r="X551" s="27">
        <f t="shared" si="4"/>
        <v>208.6020559</v>
      </c>
      <c r="Y551" s="26" t="s">
        <v>60</v>
      </c>
      <c r="Z551" s="354" t="s">
        <v>1790</v>
      </c>
      <c r="AA551" s="178"/>
      <c r="AB551" s="172"/>
      <c r="AC551" s="172"/>
      <c r="AD551" s="172"/>
    </row>
    <row r="552">
      <c r="A552" s="221" t="s">
        <v>1759</v>
      </c>
      <c r="B552" s="221" t="s">
        <v>1770</v>
      </c>
      <c r="C552" s="36" t="s">
        <v>846</v>
      </c>
      <c r="D552" s="221" t="s">
        <v>847</v>
      </c>
      <c r="E552" s="227">
        <v>2016.0</v>
      </c>
      <c r="F552" s="349">
        <v>2022.0</v>
      </c>
      <c r="G552" s="227">
        <v>0.0</v>
      </c>
      <c r="H552" s="227">
        <v>37.5</v>
      </c>
      <c r="I552" s="228">
        <v>1.0</v>
      </c>
      <c r="J552" s="227">
        <v>37.5</v>
      </c>
      <c r="K552" s="229">
        <v>0.0</v>
      </c>
      <c r="L552" s="229">
        <v>0.0</v>
      </c>
      <c r="M552" s="227">
        <v>9.0</v>
      </c>
      <c r="N552" s="352">
        <v>180.0</v>
      </c>
      <c r="O552" s="221" t="s">
        <v>60</v>
      </c>
      <c r="P552" s="353">
        <v>1130.0</v>
      </c>
      <c r="Q552" s="221" t="s">
        <v>37</v>
      </c>
      <c r="R552" s="227">
        <v>2019.0</v>
      </c>
      <c r="S552" s="349">
        <v>3.0</v>
      </c>
      <c r="T552" s="25">
        <f t="shared" si="25"/>
        <v>3390</v>
      </c>
      <c r="U552" s="24">
        <f t="shared" si="2"/>
        <v>90.4</v>
      </c>
      <c r="V552" s="26">
        <f>VLOOKUP(R552,CPI!$A$2:$E$67,5,0)</f>
        <v>1.191839066</v>
      </c>
      <c r="W552" s="27">
        <f t="shared" si="3"/>
        <v>4040.334432</v>
      </c>
      <c r="X552" s="27">
        <f t="shared" si="4"/>
        <v>107.7422515</v>
      </c>
      <c r="Y552" s="26" t="s">
        <v>42</v>
      </c>
      <c r="Z552" s="354" t="s">
        <v>1789</v>
      </c>
      <c r="AA552" s="178"/>
      <c r="AB552" s="172"/>
      <c r="AC552" s="172"/>
      <c r="AD552" s="172"/>
    </row>
    <row r="553">
      <c r="A553" s="221" t="s">
        <v>1759</v>
      </c>
      <c r="B553" s="221" t="s">
        <v>1770</v>
      </c>
      <c r="C553" s="36" t="s">
        <v>846</v>
      </c>
      <c r="D553" s="221" t="s">
        <v>1793</v>
      </c>
      <c r="E553" s="349">
        <v>2018.0</v>
      </c>
      <c r="F553" s="227">
        <v>2022.0</v>
      </c>
      <c r="G553" s="227">
        <v>0.0</v>
      </c>
      <c r="H553" s="227">
        <v>32.0</v>
      </c>
      <c r="I553" s="228">
        <v>1.0</v>
      </c>
      <c r="J553" s="227">
        <v>32.0</v>
      </c>
      <c r="K553" s="229">
        <v>0.0</v>
      </c>
      <c r="L553" s="229">
        <v>0.0</v>
      </c>
      <c r="M553" s="227">
        <v>7.0</v>
      </c>
      <c r="N553" s="352">
        <v>180.0</v>
      </c>
      <c r="O553" s="221" t="s">
        <v>60</v>
      </c>
      <c r="P553" s="353">
        <v>916.0</v>
      </c>
      <c r="Q553" s="221" t="s">
        <v>37</v>
      </c>
      <c r="R553" s="227">
        <v>2020.0</v>
      </c>
      <c r="S553" s="349">
        <v>3.3</v>
      </c>
      <c r="T553" s="227">
        <f t="shared" si="25"/>
        <v>3022.8</v>
      </c>
      <c r="U553" s="24">
        <f t="shared" si="2"/>
        <v>94.4625</v>
      </c>
      <c r="V553" s="26">
        <f>VLOOKUP(R553,CPI!$A$2:$E$67,5,0)</f>
        <v>1.17731472</v>
      </c>
      <c r="W553" s="27">
        <f t="shared" si="3"/>
        <v>3558.786936</v>
      </c>
      <c r="X553" s="27">
        <f t="shared" si="4"/>
        <v>111.2120917</v>
      </c>
      <c r="Y553" s="26" t="s">
        <v>36</v>
      </c>
      <c r="Z553" s="354" t="s">
        <v>1794</v>
      </c>
      <c r="AA553" s="178"/>
      <c r="AB553" s="172"/>
      <c r="AC553" s="172"/>
      <c r="AD553" s="172"/>
    </row>
    <row r="554">
      <c r="A554" s="26" t="s">
        <v>1930</v>
      </c>
      <c r="B554" s="26" t="s">
        <v>1931</v>
      </c>
      <c r="C554" s="26" t="s">
        <v>1932</v>
      </c>
      <c r="D554" s="26" t="s">
        <v>1932</v>
      </c>
      <c r="E554" s="25">
        <v>2017.0</v>
      </c>
      <c r="F554" s="25">
        <v>2020.0</v>
      </c>
      <c r="G554" s="25">
        <v>0.0</v>
      </c>
      <c r="H554" s="58">
        <v>6.94</v>
      </c>
      <c r="I554" s="50">
        <v>0.0</v>
      </c>
      <c r="J554" s="58">
        <v>0.0</v>
      </c>
      <c r="K554" s="58">
        <v>6.94</v>
      </c>
      <c r="L554" s="51">
        <v>0.0</v>
      </c>
      <c r="M554" s="25">
        <v>6.0</v>
      </c>
      <c r="N554" s="26"/>
      <c r="O554" s="26" t="s">
        <v>36</v>
      </c>
      <c r="P554" s="52">
        <v>142.2</v>
      </c>
      <c r="Q554" s="26" t="s">
        <v>37</v>
      </c>
      <c r="R554" s="25">
        <v>2018.0</v>
      </c>
      <c r="S554" s="25">
        <v>5.0</v>
      </c>
      <c r="T554" s="25">
        <f t="shared" si="25"/>
        <v>711</v>
      </c>
      <c r="U554" s="24">
        <f t="shared" si="2"/>
        <v>102.4495677</v>
      </c>
      <c r="V554" s="26">
        <f>VLOOKUP(R554,CPI!$A$2:$E$67,5,0)</f>
        <v>1.21343491</v>
      </c>
      <c r="W554" s="27">
        <f t="shared" si="3"/>
        <v>862.7522212</v>
      </c>
      <c r="X554" s="27">
        <f t="shared" si="4"/>
        <v>124.315882</v>
      </c>
      <c r="Y554" s="26" t="s">
        <v>60</v>
      </c>
      <c r="Z554" s="53" t="s">
        <v>1933</v>
      </c>
      <c r="AA554" s="179"/>
      <c r="AB554" s="60"/>
      <c r="AC554" s="60"/>
      <c r="AD554" s="60"/>
    </row>
    <row r="555">
      <c r="A555" s="26" t="s">
        <v>1930</v>
      </c>
      <c r="B555" s="26" t="s">
        <v>1931</v>
      </c>
      <c r="C555" s="1" t="s">
        <v>1934</v>
      </c>
      <c r="D555" s="26" t="s">
        <v>1935</v>
      </c>
      <c r="E555" s="25">
        <v>2017.0</v>
      </c>
      <c r="F555" s="25">
        <v>2020.0</v>
      </c>
      <c r="G555" s="25">
        <v>0.0</v>
      </c>
      <c r="H555" s="25">
        <v>2.9</v>
      </c>
      <c r="I555" s="50">
        <v>1.0</v>
      </c>
      <c r="J555" s="25">
        <v>2.9</v>
      </c>
      <c r="K555" s="51">
        <v>0.0</v>
      </c>
      <c r="L555" s="51">
        <v>0.0</v>
      </c>
      <c r="M555" s="25">
        <v>2.0</v>
      </c>
      <c r="N555" s="26"/>
      <c r="O555" s="26" t="s">
        <v>36</v>
      </c>
      <c r="P555" s="52">
        <v>124.8</v>
      </c>
      <c r="Q555" s="26" t="s">
        <v>37</v>
      </c>
      <c r="R555" s="25">
        <v>2018.0</v>
      </c>
      <c r="S555" s="25">
        <v>5.0</v>
      </c>
      <c r="T555" s="25">
        <f t="shared" si="25"/>
        <v>624</v>
      </c>
      <c r="U555" s="24">
        <f t="shared" si="2"/>
        <v>215.1724138</v>
      </c>
      <c r="V555" s="26">
        <f>VLOOKUP(R555,CPI!$A$2:$E$67,5,0)</f>
        <v>1.21343491</v>
      </c>
      <c r="W555" s="27">
        <f t="shared" si="3"/>
        <v>757.183384</v>
      </c>
      <c r="X555" s="27">
        <f t="shared" si="4"/>
        <v>261.0977186</v>
      </c>
      <c r="Y555" s="26" t="s">
        <v>36</v>
      </c>
      <c r="Z555" s="53" t="s">
        <v>1936</v>
      </c>
      <c r="AA555" s="179"/>
      <c r="AB555" s="60"/>
      <c r="AC555" s="60"/>
      <c r="AD555" s="60"/>
    </row>
    <row r="556">
      <c r="A556" s="43" t="s">
        <v>48</v>
      </c>
      <c r="B556" s="43" t="s">
        <v>49</v>
      </c>
      <c r="C556" s="43" t="s">
        <v>51</v>
      </c>
      <c r="D556" s="43" t="s">
        <v>51</v>
      </c>
      <c r="E556" s="45">
        <v>1999.0</v>
      </c>
      <c r="F556" s="45">
        <v>2012.0</v>
      </c>
      <c r="G556" s="45">
        <v>1.0</v>
      </c>
      <c r="H556" s="45">
        <v>12.8</v>
      </c>
      <c r="I556" s="46">
        <v>1.0</v>
      </c>
      <c r="J556" s="45">
        <v>12.8</v>
      </c>
      <c r="K556" s="47">
        <v>0.0</v>
      </c>
      <c r="L556" s="47">
        <v>0.0</v>
      </c>
      <c r="M556" s="45">
        <v>0.0</v>
      </c>
      <c r="N556" s="43"/>
      <c r="O556" s="43" t="s">
        <v>42</v>
      </c>
      <c r="P556" s="48">
        <v>1300.0</v>
      </c>
      <c r="Q556" s="43" t="s">
        <v>52</v>
      </c>
      <c r="R556" s="45">
        <v>2005.0</v>
      </c>
      <c r="S556" s="45">
        <v>1.25</v>
      </c>
      <c r="T556" s="45">
        <f t="shared" si="25"/>
        <v>1625</v>
      </c>
      <c r="U556" s="24">
        <f t="shared" si="2"/>
        <v>126.953125</v>
      </c>
      <c r="V556" s="26">
        <f>VLOOKUP(R556,CPI!$A$2:$E$67,5,0)</f>
        <v>1.560174091</v>
      </c>
      <c r="W556" s="27">
        <f t="shared" si="3"/>
        <v>2535.282898</v>
      </c>
      <c r="X556" s="27">
        <f t="shared" si="4"/>
        <v>198.0689764</v>
      </c>
      <c r="Y556" s="43" t="s">
        <v>42</v>
      </c>
      <c r="Z556" s="49" t="s">
        <v>53</v>
      </c>
      <c r="AA556" s="29"/>
      <c r="AB556" s="30"/>
      <c r="AC556" s="30"/>
      <c r="AD556" s="30"/>
    </row>
    <row r="557">
      <c r="A557" s="26" t="s">
        <v>108</v>
      </c>
      <c r="B557" s="26" t="s">
        <v>109</v>
      </c>
      <c r="C557" s="26" t="s">
        <v>110</v>
      </c>
      <c r="D557" s="26" t="s">
        <v>110</v>
      </c>
      <c r="E557" s="25">
        <v>2010.0</v>
      </c>
      <c r="F557" s="25">
        <v>2016.0</v>
      </c>
      <c r="G557" s="25">
        <v>0.0</v>
      </c>
      <c r="H557" s="25">
        <v>16.0</v>
      </c>
      <c r="I557" s="50">
        <v>0.96</v>
      </c>
      <c r="J557" s="25">
        <v>15.4</v>
      </c>
      <c r="K557" s="51">
        <v>0.0</v>
      </c>
      <c r="L557" s="51">
        <v>0.0</v>
      </c>
      <c r="M557" s="25">
        <v>7.0</v>
      </c>
      <c r="N557" s="26"/>
      <c r="O557" s="26" t="s">
        <v>59</v>
      </c>
      <c r="P557" s="52">
        <v>10300.0</v>
      </c>
      <c r="Q557" s="26" t="s">
        <v>111</v>
      </c>
      <c r="R557" s="25">
        <v>2013.0</v>
      </c>
      <c r="S557" s="25">
        <v>0.59</v>
      </c>
      <c r="T557" s="25">
        <f t="shared" si="25"/>
        <v>6077</v>
      </c>
      <c r="U557" s="24">
        <f t="shared" si="2"/>
        <v>379.8125</v>
      </c>
      <c r="V557" s="26">
        <f>VLOOKUP(R557,CPI!$A$2:$E$67,5,0)</f>
        <v>1.307975292</v>
      </c>
      <c r="W557" s="27">
        <f t="shared" si="3"/>
        <v>7948.565847</v>
      </c>
      <c r="X557" s="27">
        <f t="shared" si="4"/>
        <v>496.7853654</v>
      </c>
      <c r="Y557" s="26" t="s">
        <v>36</v>
      </c>
      <c r="Z557" s="57" t="s">
        <v>112</v>
      </c>
      <c r="AA557" s="29"/>
      <c r="AB557" s="30"/>
      <c r="AC557" s="30"/>
      <c r="AD557" s="30"/>
    </row>
    <row r="558">
      <c r="A558" s="26" t="s">
        <v>108</v>
      </c>
      <c r="B558" s="26" t="s">
        <v>113</v>
      </c>
      <c r="C558" s="26" t="s">
        <v>116</v>
      </c>
      <c r="D558" s="26" t="s">
        <v>116</v>
      </c>
      <c r="E558" s="25">
        <v>2020.0</v>
      </c>
      <c r="F558" s="25">
        <v>2022.0</v>
      </c>
      <c r="G558" s="25">
        <v>0.0</v>
      </c>
      <c r="H558" s="25">
        <v>23.3</v>
      </c>
      <c r="I558" s="50">
        <v>0.0</v>
      </c>
      <c r="J558" s="25">
        <v>0.0</v>
      </c>
      <c r="K558" s="51">
        <v>0.0</v>
      </c>
      <c r="L558" s="51">
        <v>0.0</v>
      </c>
      <c r="M558" s="25">
        <v>26.0</v>
      </c>
      <c r="N558" s="26"/>
      <c r="O558" s="26" t="s">
        <v>36</v>
      </c>
      <c r="P558" s="52">
        <v>689.0</v>
      </c>
      <c r="Q558" s="26" t="s">
        <v>37</v>
      </c>
      <c r="R558" s="25">
        <v>2021.0</v>
      </c>
      <c r="S558" s="25">
        <v>2.3</v>
      </c>
      <c r="T558" s="25">
        <f t="shared" si="25"/>
        <v>1584.7</v>
      </c>
      <c r="U558" s="24">
        <f t="shared" si="2"/>
        <v>68.01287554</v>
      </c>
      <c r="V558" s="26">
        <f>VLOOKUP(R558,CPI!$A$2:$E$67,5,0)</f>
        <v>1.124486105</v>
      </c>
      <c r="W558" s="27">
        <f t="shared" si="3"/>
        <v>1781.973131</v>
      </c>
      <c r="X558" s="27">
        <f t="shared" si="4"/>
        <v>76.47953353</v>
      </c>
      <c r="Y558" s="26" t="s">
        <v>36</v>
      </c>
      <c r="Z558" s="57" t="s">
        <v>117</v>
      </c>
      <c r="AA558" s="29"/>
      <c r="AB558" s="30"/>
      <c r="AC558" s="30"/>
      <c r="AD558" s="30"/>
    </row>
    <row r="559">
      <c r="A559" s="26" t="s">
        <v>108</v>
      </c>
      <c r="B559" s="26" t="s">
        <v>118</v>
      </c>
      <c r="C559" s="26" t="s">
        <v>121</v>
      </c>
      <c r="D559" s="26" t="s">
        <v>121</v>
      </c>
      <c r="E559" s="25">
        <v>2012.0</v>
      </c>
      <c r="F559" s="25">
        <v>2021.0</v>
      </c>
      <c r="G559" s="25">
        <v>0.0</v>
      </c>
      <c r="H559" s="25">
        <v>7.7</v>
      </c>
      <c r="I559" s="50">
        <v>0.0</v>
      </c>
      <c r="J559" s="25">
        <v>0.0</v>
      </c>
      <c r="K559" s="51">
        <v>0.0</v>
      </c>
      <c r="L559" s="51">
        <v>0.0</v>
      </c>
      <c r="M559" s="25">
        <v>8.0</v>
      </c>
      <c r="N559" s="26"/>
      <c r="O559" s="26" t="s">
        <v>36</v>
      </c>
      <c r="P559" s="52">
        <v>1300.0</v>
      </c>
      <c r="Q559" s="26" t="s">
        <v>37</v>
      </c>
      <c r="R559" s="25">
        <v>2016.0</v>
      </c>
      <c r="S559" s="25">
        <v>2.3</v>
      </c>
      <c r="T559" s="25">
        <f t="shared" si="25"/>
        <v>2990</v>
      </c>
      <c r="U559" s="24">
        <f t="shared" si="2"/>
        <v>388.3116883</v>
      </c>
      <c r="V559" s="26">
        <f>VLOOKUP(R559,CPI!$A$2:$E$67,5,0)</f>
        <v>1.269554638</v>
      </c>
      <c r="W559" s="27">
        <f t="shared" si="3"/>
        <v>3795.968368</v>
      </c>
      <c r="X559" s="27">
        <f t="shared" si="4"/>
        <v>492.9829049</v>
      </c>
      <c r="Y559" s="26" t="s">
        <v>36</v>
      </c>
      <c r="Z559" s="57" t="s">
        <v>122</v>
      </c>
      <c r="AA559" s="29"/>
      <c r="AB559" s="30"/>
      <c r="AC559" s="30"/>
      <c r="AD559" s="30"/>
    </row>
    <row r="560">
      <c r="A560" s="26" t="s">
        <v>125</v>
      </c>
      <c r="B560" s="26" t="s">
        <v>126</v>
      </c>
      <c r="C560" s="16" t="s">
        <v>127</v>
      </c>
      <c r="D560" s="26" t="s">
        <v>128</v>
      </c>
      <c r="E560" s="25">
        <v>2021.0</v>
      </c>
      <c r="F560" s="25">
        <v>2027.0</v>
      </c>
      <c r="G560" s="25">
        <v>0.0</v>
      </c>
      <c r="H560" s="25">
        <v>20.0</v>
      </c>
      <c r="I560" s="50">
        <v>0.2</v>
      </c>
      <c r="J560" s="25">
        <v>4.0</v>
      </c>
      <c r="K560" s="51">
        <v>0.0</v>
      </c>
      <c r="L560" s="51">
        <v>0.0</v>
      </c>
      <c r="M560" s="25">
        <v>15.0</v>
      </c>
      <c r="N560" s="26"/>
      <c r="O560" s="26" t="s">
        <v>74</v>
      </c>
      <c r="P560" s="52">
        <v>5500.0</v>
      </c>
      <c r="Q560" s="26" t="s">
        <v>129</v>
      </c>
      <c r="R560" s="25">
        <v>2024.0</v>
      </c>
      <c r="S560" s="25">
        <v>0.84</v>
      </c>
      <c r="T560" s="25">
        <f t="shared" si="25"/>
        <v>4620</v>
      </c>
      <c r="U560" s="24">
        <f t="shared" si="2"/>
        <v>231</v>
      </c>
      <c r="V560" s="26">
        <f>VLOOKUP(R560,CPI!$A$2:$E$67,5,0)</f>
        <v>1</v>
      </c>
      <c r="W560" s="27">
        <f t="shared" si="3"/>
        <v>4620</v>
      </c>
      <c r="X560" s="27">
        <f t="shared" si="4"/>
        <v>231</v>
      </c>
      <c r="Y560" s="26" t="s">
        <v>42</v>
      </c>
      <c r="Z560" s="57" t="s">
        <v>130</v>
      </c>
      <c r="AA560" s="29"/>
      <c r="AB560" s="30"/>
      <c r="AC560" s="30"/>
      <c r="AD560" s="30"/>
    </row>
    <row r="561">
      <c r="A561" s="26" t="s">
        <v>125</v>
      </c>
      <c r="B561" s="26" t="s">
        <v>191</v>
      </c>
      <c r="C561" s="16" t="s">
        <v>192</v>
      </c>
      <c r="D561" s="63" t="s">
        <v>193</v>
      </c>
      <c r="E561" s="25">
        <v>1998.0</v>
      </c>
      <c r="F561" s="25">
        <v>2002.0</v>
      </c>
      <c r="G561" s="25">
        <v>0.0</v>
      </c>
      <c r="H561" s="25">
        <v>19.9</v>
      </c>
      <c r="I561" s="50">
        <v>0.0</v>
      </c>
      <c r="J561" s="25">
        <v>0.0</v>
      </c>
      <c r="K561" s="51">
        <v>0.0</v>
      </c>
      <c r="L561" s="51">
        <v>0.0</v>
      </c>
      <c r="M561" s="25">
        <v>13.0</v>
      </c>
      <c r="N561" s="26"/>
      <c r="O561" s="26" t="s">
        <v>74</v>
      </c>
      <c r="P561" s="52">
        <v>1200.0</v>
      </c>
      <c r="Q561" s="26" t="s">
        <v>129</v>
      </c>
      <c r="R561" s="25">
        <v>2000.0</v>
      </c>
      <c r="S561" s="25">
        <v>0.81</v>
      </c>
      <c r="T561" s="25">
        <f t="shared" si="25"/>
        <v>972</v>
      </c>
      <c r="U561" s="24">
        <f t="shared" si="2"/>
        <v>48.84422111</v>
      </c>
      <c r="V561" s="26">
        <f>VLOOKUP(R561,CPI!$A$2:$E$67,5,0)</f>
        <v>1.769465738</v>
      </c>
      <c r="W561" s="27">
        <f t="shared" si="3"/>
        <v>1719.920697</v>
      </c>
      <c r="X561" s="27">
        <f t="shared" si="4"/>
        <v>86.42817572</v>
      </c>
      <c r="Y561" s="26" t="s">
        <v>60</v>
      </c>
      <c r="Z561" s="53" t="s">
        <v>194</v>
      </c>
      <c r="AA561" s="29"/>
      <c r="AB561" s="30"/>
      <c r="AC561" s="30"/>
      <c r="AD561" s="30"/>
    </row>
    <row r="562">
      <c r="A562" s="26" t="s">
        <v>125</v>
      </c>
      <c r="B562" s="26" t="s">
        <v>191</v>
      </c>
      <c r="C562" s="26" t="s">
        <v>195</v>
      </c>
      <c r="D562" s="26" t="s">
        <v>195</v>
      </c>
      <c r="E562" s="25">
        <v>2005.0</v>
      </c>
      <c r="F562" s="25">
        <v>2009.0</v>
      </c>
      <c r="G562" s="25">
        <v>0.0</v>
      </c>
      <c r="H562" s="25">
        <v>18.4</v>
      </c>
      <c r="I562" s="50">
        <v>0.49</v>
      </c>
      <c r="J562" s="25">
        <v>9.1</v>
      </c>
      <c r="K562" s="51">
        <v>0.0</v>
      </c>
      <c r="L562" s="51">
        <v>0.0</v>
      </c>
      <c r="M562" s="25">
        <v>16.0</v>
      </c>
      <c r="N562" s="26"/>
      <c r="O562" s="26" t="s">
        <v>74</v>
      </c>
      <c r="P562" s="52">
        <v>2050.0</v>
      </c>
      <c r="Q562" s="26" t="s">
        <v>129</v>
      </c>
      <c r="R562" s="25">
        <v>2007.0</v>
      </c>
      <c r="S562" s="25">
        <v>0.82</v>
      </c>
      <c r="T562" s="25">
        <f t="shared" si="25"/>
        <v>1681</v>
      </c>
      <c r="U562" s="24">
        <f t="shared" si="2"/>
        <v>91.35869565</v>
      </c>
      <c r="V562" s="26">
        <f>VLOOKUP(R562,CPI!$A$2:$E$67,5,0)</f>
        <v>1.469562366</v>
      </c>
      <c r="W562" s="27">
        <f t="shared" si="3"/>
        <v>2470.334337</v>
      </c>
      <c r="X562" s="27">
        <f t="shared" si="4"/>
        <v>134.2573009</v>
      </c>
      <c r="Y562" s="26" t="s">
        <v>42</v>
      </c>
      <c r="Z562" s="53" t="s">
        <v>196</v>
      </c>
      <c r="AA562" s="29"/>
      <c r="AB562" s="30"/>
      <c r="AC562" s="30"/>
      <c r="AD562" s="30"/>
    </row>
    <row r="563">
      <c r="A563" s="26" t="s">
        <v>125</v>
      </c>
      <c r="B563" s="26" t="s">
        <v>191</v>
      </c>
      <c r="C563" s="26" t="s">
        <v>197</v>
      </c>
      <c r="D563" s="26" t="s">
        <v>197</v>
      </c>
      <c r="E563" s="25">
        <v>2012.0</v>
      </c>
      <c r="F563" s="25">
        <v>2016.0</v>
      </c>
      <c r="G563" s="25">
        <v>0.0</v>
      </c>
      <c r="H563" s="25">
        <v>10.9</v>
      </c>
      <c r="I563" s="50">
        <v>0.18</v>
      </c>
      <c r="J563" s="25">
        <v>2.0</v>
      </c>
      <c r="K563" s="51">
        <v>0.0</v>
      </c>
      <c r="L563" s="51">
        <v>0.0</v>
      </c>
      <c r="M563" s="25">
        <v>6.0</v>
      </c>
      <c r="N563" s="26"/>
      <c r="O563" s="26" t="s">
        <v>74</v>
      </c>
      <c r="P563" s="52">
        <v>1430.0</v>
      </c>
      <c r="Q563" s="26" t="s">
        <v>129</v>
      </c>
      <c r="R563" s="25">
        <v>2014.0</v>
      </c>
      <c r="S563" s="25">
        <v>0.81</v>
      </c>
      <c r="T563" s="25">
        <f t="shared" si="25"/>
        <v>1158.3</v>
      </c>
      <c r="U563" s="24">
        <f t="shared" si="2"/>
        <v>106.266055</v>
      </c>
      <c r="V563" s="26">
        <f>VLOOKUP(R563,CPI!$A$2:$E$67,5,0)</f>
        <v>1.287096175</v>
      </c>
      <c r="W563" s="27">
        <f t="shared" si="3"/>
        <v>1490.843499</v>
      </c>
      <c r="X563" s="27">
        <f t="shared" si="4"/>
        <v>136.7746329</v>
      </c>
      <c r="Y563" s="26" t="s">
        <v>42</v>
      </c>
      <c r="Z563" s="53" t="s">
        <v>198</v>
      </c>
      <c r="AA563" s="29"/>
      <c r="AB563" s="30"/>
      <c r="AC563" s="30"/>
      <c r="AD563" s="30"/>
    </row>
    <row r="564">
      <c r="A564" s="26" t="s">
        <v>992</v>
      </c>
      <c r="B564" s="26" t="s">
        <v>1025</v>
      </c>
      <c r="C564" s="1" t="s">
        <v>1032</v>
      </c>
      <c r="D564" s="26" t="s">
        <v>1033</v>
      </c>
      <c r="E564" s="25">
        <v>2021.0</v>
      </c>
      <c r="F564" s="25">
        <v>2030.0</v>
      </c>
      <c r="G564" s="25">
        <v>0.0</v>
      </c>
      <c r="H564" s="25">
        <v>5.8</v>
      </c>
      <c r="I564" s="50">
        <v>0.93</v>
      </c>
      <c r="J564" s="25">
        <v>5.4</v>
      </c>
      <c r="K564" s="51">
        <v>0.0</v>
      </c>
      <c r="L564" s="51">
        <v>0.0</v>
      </c>
      <c r="M564" s="25">
        <v>5.0</v>
      </c>
      <c r="N564" s="26"/>
      <c r="O564" s="26" t="s">
        <v>42</v>
      </c>
      <c r="P564" s="55">
        <v>2860.0</v>
      </c>
      <c r="Q564" s="26" t="s">
        <v>52</v>
      </c>
      <c r="R564" s="25">
        <v>2025.0</v>
      </c>
      <c r="S564" s="25">
        <v>1.3</v>
      </c>
      <c r="T564" s="25">
        <f t="shared" si="25"/>
        <v>3718</v>
      </c>
      <c r="U564" s="24">
        <f t="shared" si="2"/>
        <v>641.0344828</v>
      </c>
      <c r="V564" s="26">
        <f>VLOOKUP(R564,CPI!$A$2:$E$67,5,0)</f>
        <v>1</v>
      </c>
      <c r="W564" s="27">
        <f t="shared" si="3"/>
        <v>3718</v>
      </c>
      <c r="X564" s="27">
        <f t="shared" si="4"/>
        <v>641.0344828</v>
      </c>
      <c r="Y564" s="26" t="s">
        <v>42</v>
      </c>
      <c r="Z564" s="56" t="s">
        <v>1034</v>
      </c>
      <c r="AA564" s="178"/>
      <c r="AB564" s="172"/>
      <c r="AC564" s="172"/>
      <c r="AD564" s="172"/>
    </row>
    <row r="565">
      <c r="A565" s="26" t="s">
        <v>1165</v>
      </c>
      <c r="B565" s="26" t="s">
        <v>1198</v>
      </c>
      <c r="C565" s="26" t="s">
        <v>1169</v>
      </c>
      <c r="D565" s="26" t="s">
        <v>1169</v>
      </c>
      <c r="E565" s="25">
        <v>2014.0</v>
      </c>
      <c r="F565" s="25">
        <v>2021.0</v>
      </c>
      <c r="G565" s="25">
        <v>0.0</v>
      </c>
      <c r="H565" s="25">
        <v>14.0</v>
      </c>
      <c r="I565" s="50">
        <v>0.79</v>
      </c>
      <c r="J565" s="25">
        <v>11.0</v>
      </c>
      <c r="K565" s="51">
        <v>0.0</v>
      </c>
      <c r="L565" s="51">
        <v>0.0</v>
      </c>
      <c r="M565" s="25">
        <v>15.0</v>
      </c>
      <c r="N565" s="26"/>
      <c r="O565" s="26" t="s">
        <v>36</v>
      </c>
      <c r="P565" s="52">
        <v>1342.0</v>
      </c>
      <c r="Q565" s="26" t="s">
        <v>52</v>
      </c>
      <c r="R565" s="25">
        <v>2020.0</v>
      </c>
      <c r="S565" s="25">
        <v>1.3</v>
      </c>
      <c r="T565" s="25">
        <f t="shared" si="25"/>
        <v>1744.6</v>
      </c>
      <c r="U565" s="24">
        <f t="shared" si="2"/>
        <v>124.6142857</v>
      </c>
      <c r="V565" s="26">
        <f>VLOOKUP(R565,CPI!$A$2:$E$67,5,0)</f>
        <v>1.17731472</v>
      </c>
      <c r="W565" s="27">
        <f t="shared" si="3"/>
        <v>2053.943261</v>
      </c>
      <c r="X565" s="27">
        <f t="shared" si="4"/>
        <v>146.7102329</v>
      </c>
      <c r="Y565" s="26" t="s">
        <v>60</v>
      </c>
      <c r="Z565" s="53" t="s">
        <v>1199</v>
      </c>
      <c r="AA565" s="178"/>
      <c r="AB565" s="172"/>
      <c r="AC565" s="172"/>
      <c r="AD565" s="172"/>
    </row>
    <row r="566">
      <c r="A566" s="43" t="s">
        <v>1211</v>
      </c>
      <c r="B566" s="43" t="s">
        <v>1212</v>
      </c>
      <c r="C566" s="16" t="s">
        <v>1242</v>
      </c>
      <c r="D566" s="43" t="s">
        <v>1243</v>
      </c>
      <c r="E566" s="45">
        <v>2023.0</v>
      </c>
      <c r="F566" s="45">
        <v>2029.0</v>
      </c>
      <c r="G566" s="45">
        <v>0.0</v>
      </c>
      <c r="H566" s="45">
        <v>1.8</v>
      </c>
      <c r="I566" s="46">
        <v>1.0</v>
      </c>
      <c r="J566" s="45">
        <v>1.8</v>
      </c>
      <c r="K566" s="47">
        <v>0.0</v>
      </c>
      <c r="L566" s="47">
        <v>0.0</v>
      </c>
      <c r="M566" s="45">
        <v>1.0</v>
      </c>
      <c r="N566" s="43"/>
      <c r="O566" s="43" t="s">
        <v>42</v>
      </c>
      <c r="P566" s="48">
        <v>18700.0</v>
      </c>
      <c r="Q566" s="43" t="s">
        <v>1214</v>
      </c>
      <c r="R566" s="45">
        <v>2016.0</v>
      </c>
      <c r="S566" s="45">
        <v>0.1686</v>
      </c>
      <c r="T566" s="45">
        <f t="shared" si="25"/>
        <v>3152.82</v>
      </c>
      <c r="U566" s="24">
        <f t="shared" si="2"/>
        <v>1751.566667</v>
      </c>
      <c r="V566" s="26">
        <f>VLOOKUP(R566,CPI!$A$2:$E$67,5,0)</f>
        <v>1.269554638</v>
      </c>
      <c r="W566" s="27">
        <f t="shared" si="3"/>
        <v>4002.677254</v>
      </c>
      <c r="X566" s="27">
        <f t="shared" si="4"/>
        <v>2223.709585</v>
      </c>
      <c r="Y566" s="43" t="s">
        <v>42</v>
      </c>
      <c r="Z566" s="49" t="s">
        <v>1244</v>
      </c>
      <c r="AA566" s="288"/>
      <c r="AB566" s="289"/>
      <c r="AC566" s="289"/>
      <c r="AD566" s="289"/>
    </row>
    <row r="567">
      <c r="A567" s="43" t="s">
        <v>1211</v>
      </c>
      <c r="B567" s="43" t="s">
        <v>1212</v>
      </c>
      <c r="C567" s="43" t="s">
        <v>1235</v>
      </c>
      <c r="D567" s="43" t="s">
        <v>1235</v>
      </c>
      <c r="E567" s="45">
        <v>2009.0</v>
      </c>
      <c r="F567" s="45">
        <v>2016.0</v>
      </c>
      <c r="G567" s="45">
        <v>0.0</v>
      </c>
      <c r="H567" s="45">
        <v>3.0</v>
      </c>
      <c r="I567" s="46">
        <v>1.0</v>
      </c>
      <c r="J567" s="45">
        <v>3.0</v>
      </c>
      <c r="K567" s="47">
        <v>0.0</v>
      </c>
      <c r="L567" s="47">
        <v>0.0</v>
      </c>
      <c r="M567" s="45">
        <v>3.0</v>
      </c>
      <c r="N567" s="43"/>
      <c r="O567" s="43" t="s">
        <v>60</v>
      </c>
      <c r="P567" s="48">
        <v>18500.0</v>
      </c>
      <c r="Q567" s="43" t="s">
        <v>1214</v>
      </c>
      <c r="R567" s="45">
        <v>2012.0</v>
      </c>
      <c r="S567" s="45">
        <v>0.1834</v>
      </c>
      <c r="T567" s="45">
        <f t="shared" si="25"/>
        <v>3392.9</v>
      </c>
      <c r="U567" s="24">
        <f t="shared" si="2"/>
        <v>1130.966667</v>
      </c>
      <c r="V567" s="26">
        <f>VLOOKUP(R567,CPI!$A$2:$E$67,5,0)</f>
        <v>1.327133984</v>
      </c>
      <c r="W567" s="27">
        <f t="shared" si="3"/>
        <v>4502.832895</v>
      </c>
      <c r="X567" s="27">
        <f t="shared" si="4"/>
        <v>1500.944298</v>
      </c>
      <c r="Y567" s="43" t="s">
        <v>60</v>
      </c>
      <c r="Z567" s="49" t="s">
        <v>1236</v>
      </c>
      <c r="AA567" s="288"/>
      <c r="AB567" s="289"/>
      <c r="AC567" s="289"/>
      <c r="AD567" s="289"/>
    </row>
    <row r="568">
      <c r="A568" s="278" t="s">
        <v>1211</v>
      </c>
      <c r="B568" s="278" t="s">
        <v>1212</v>
      </c>
      <c r="C568" s="278" t="s">
        <v>1223</v>
      </c>
      <c r="D568" s="278" t="s">
        <v>1223</v>
      </c>
      <c r="E568" s="279">
        <v>1994.0</v>
      </c>
      <c r="F568" s="279">
        <v>1998.0</v>
      </c>
      <c r="G568" s="279">
        <v>0.0</v>
      </c>
      <c r="H568" s="279">
        <v>34.0</v>
      </c>
      <c r="I568" s="280">
        <v>0.2353</v>
      </c>
      <c r="J568" s="279">
        <v>8.0</v>
      </c>
      <c r="K568" s="279">
        <v>6.0</v>
      </c>
      <c r="L568" s="279">
        <v>20.0</v>
      </c>
      <c r="M568" s="279">
        <v>9.0</v>
      </c>
      <c r="N568" s="278">
        <v>200.0</v>
      </c>
      <c r="O568" s="278" t="s">
        <v>60</v>
      </c>
      <c r="P568" s="281">
        <v>34000.0</v>
      </c>
      <c r="Q568" s="278" t="s">
        <v>1214</v>
      </c>
      <c r="R568" s="279">
        <v>1996.0</v>
      </c>
      <c r="S568" s="279">
        <v>0.1871</v>
      </c>
      <c r="T568" s="282">
        <f t="shared" si="25"/>
        <v>6361.4</v>
      </c>
      <c r="U568" s="24">
        <f t="shared" si="2"/>
        <v>187.1</v>
      </c>
      <c r="V568" s="26">
        <f>VLOOKUP(R568,CPI!$A$2:$E$67,5,0)</f>
        <v>1.942014022</v>
      </c>
      <c r="W568" s="27">
        <f t="shared" si="3"/>
        <v>12353.928</v>
      </c>
      <c r="X568" s="27">
        <f t="shared" si="4"/>
        <v>363.3508235</v>
      </c>
      <c r="Y568" s="278" t="s">
        <v>60</v>
      </c>
      <c r="Z568" s="283" t="s">
        <v>1224</v>
      </c>
      <c r="AA568" s="284"/>
      <c r="AB568" s="285"/>
      <c r="AC568" s="285"/>
      <c r="AD568" s="285"/>
    </row>
    <row r="569">
      <c r="A569" s="278" t="s">
        <v>1211</v>
      </c>
      <c r="B569" s="278" t="s">
        <v>1212</v>
      </c>
      <c r="C569" s="16" t="s">
        <v>1225</v>
      </c>
      <c r="D569" s="278" t="s">
        <v>1226</v>
      </c>
      <c r="E569" s="279">
        <v>1997.0</v>
      </c>
      <c r="F569" s="279">
        <v>2001.0</v>
      </c>
      <c r="G569" s="279">
        <v>0.0</v>
      </c>
      <c r="H569" s="279">
        <v>2.1</v>
      </c>
      <c r="I569" s="280">
        <v>1.0</v>
      </c>
      <c r="J569" s="279">
        <v>2.1</v>
      </c>
      <c r="K569" s="279">
        <v>0.0</v>
      </c>
      <c r="L569" s="279">
        <v>0.0</v>
      </c>
      <c r="M569" s="279">
        <v>0.0</v>
      </c>
      <c r="N569" s="278" t="s">
        <v>1227</v>
      </c>
      <c r="O569" s="278" t="s">
        <v>60</v>
      </c>
      <c r="P569" s="281">
        <v>3100.0</v>
      </c>
      <c r="Q569" s="278" t="s">
        <v>1214</v>
      </c>
      <c r="R569" s="279">
        <v>1999.0</v>
      </c>
      <c r="S569" s="279">
        <v>0.1823</v>
      </c>
      <c r="T569" s="282">
        <f t="shared" si="25"/>
        <v>565.13</v>
      </c>
      <c r="U569" s="24">
        <f t="shared" si="2"/>
        <v>269.1095238</v>
      </c>
      <c r="V569" s="26">
        <f>VLOOKUP(R569,CPI!$A$2:$E$67,5,0)</f>
        <v>1.828943577</v>
      </c>
      <c r="W569" s="27">
        <f t="shared" si="3"/>
        <v>1033.590884</v>
      </c>
      <c r="X569" s="27">
        <f t="shared" si="4"/>
        <v>492.1861352</v>
      </c>
      <c r="Y569" s="278" t="s">
        <v>60</v>
      </c>
      <c r="Z569" s="286"/>
      <c r="AA569" s="284"/>
      <c r="AB569" s="285"/>
      <c r="AC569" s="285"/>
      <c r="AD569" s="285"/>
    </row>
    <row r="570">
      <c r="A570" s="278" t="s">
        <v>1211</v>
      </c>
      <c r="B570" s="278" t="s">
        <v>1212</v>
      </c>
      <c r="C570" s="16" t="s">
        <v>1228</v>
      </c>
      <c r="D570" s="278" t="s">
        <v>1229</v>
      </c>
      <c r="E570" s="279">
        <v>1999.0</v>
      </c>
      <c r="F570" s="279">
        <v>2002.0</v>
      </c>
      <c r="G570" s="279">
        <v>0.0</v>
      </c>
      <c r="H570" s="279">
        <v>4.0</v>
      </c>
      <c r="I570" s="280">
        <v>1.0</v>
      </c>
      <c r="J570" s="279">
        <v>4.0</v>
      </c>
      <c r="K570" s="279">
        <v>0.0</v>
      </c>
      <c r="L570" s="279">
        <v>0.0</v>
      </c>
      <c r="M570" s="279">
        <v>5.0</v>
      </c>
      <c r="N570" s="278">
        <v>200.0</v>
      </c>
      <c r="O570" s="278" t="s">
        <v>60</v>
      </c>
      <c r="P570" s="281">
        <v>16000.0</v>
      </c>
      <c r="Q570" s="278" t="s">
        <v>1214</v>
      </c>
      <c r="R570" s="279">
        <v>2000.0</v>
      </c>
      <c r="S570" s="279">
        <v>0.1886</v>
      </c>
      <c r="T570" s="282">
        <f t="shared" si="25"/>
        <v>3017.6</v>
      </c>
      <c r="U570" s="24">
        <f t="shared" si="2"/>
        <v>754.4</v>
      </c>
      <c r="V570" s="26">
        <f>VLOOKUP(R570,CPI!$A$2:$E$67,5,0)</f>
        <v>1.769465738</v>
      </c>
      <c r="W570" s="27">
        <f t="shared" si="3"/>
        <v>5339.53981</v>
      </c>
      <c r="X570" s="27">
        <f t="shared" si="4"/>
        <v>1334.884952</v>
      </c>
      <c r="Y570" s="278"/>
      <c r="Z570" s="286"/>
      <c r="AA570" s="284"/>
      <c r="AB570" s="285"/>
      <c r="AC570" s="285"/>
      <c r="AD570" s="285"/>
    </row>
    <row r="571">
      <c r="A571" s="278" t="s">
        <v>1211</v>
      </c>
      <c r="B571" s="278" t="s">
        <v>1212</v>
      </c>
      <c r="C571" s="16" t="s">
        <v>1230</v>
      </c>
      <c r="D571" s="278" t="s">
        <v>1231</v>
      </c>
      <c r="E571" s="279">
        <v>2001.0</v>
      </c>
      <c r="F571" s="279">
        <v>2005.0</v>
      </c>
      <c r="G571" s="279">
        <v>0.0</v>
      </c>
      <c r="H571" s="279">
        <v>3.5</v>
      </c>
      <c r="I571" s="280">
        <v>0.25</v>
      </c>
      <c r="J571" s="279">
        <v>0.875</v>
      </c>
      <c r="K571" s="279">
        <v>0.0</v>
      </c>
      <c r="L571" s="279">
        <v>2.625</v>
      </c>
      <c r="M571" s="279">
        <v>2.0</v>
      </c>
      <c r="N571" s="428"/>
      <c r="O571" s="278" t="s">
        <v>59</v>
      </c>
      <c r="P571" s="281">
        <v>2000.0</v>
      </c>
      <c r="Q571" s="278" t="s">
        <v>1214</v>
      </c>
      <c r="R571" s="279">
        <v>2003.0</v>
      </c>
      <c r="S571" s="279">
        <v>0.2115</v>
      </c>
      <c r="T571" s="282">
        <f t="shared" si="25"/>
        <v>423</v>
      </c>
      <c r="U571" s="24">
        <f t="shared" si="2"/>
        <v>120.8571429</v>
      </c>
      <c r="V571" s="26">
        <f>VLOOKUP(R571,CPI!$A$2:$E$67,5,0)</f>
        <v>1.65598913</v>
      </c>
      <c r="W571" s="27">
        <f t="shared" si="3"/>
        <v>700.4834022</v>
      </c>
      <c r="X571" s="27">
        <f t="shared" si="4"/>
        <v>200.1381149</v>
      </c>
      <c r="Y571" s="278"/>
      <c r="Z571" s="286"/>
      <c r="AA571" s="284"/>
      <c r="AB571" s="285"/>
      <c r="AC571" s="285"/>
      <c r="AD571" s="285"/>
    </row>
    <row r="572">
      <c r="A572" s="43" t="s">
        <v>1211</v>
      </c>
      <c r="B572" s="43" t="s">
        <v>1212</v>
      </c>
      <c r="C572" s="16" t="s">
        <v>1238</v>
      </c>
      <c r="D572" s="43" t="s">
        <v>1239</v>
      </c>
      <c r="E572" s="45">
        <v>2011.0</v>
      </c>
      <c r="F572" s="45">
        <v>2016.0</v>
      </c>
      <c r="G572" s="45">
        <v>0.0</v>
      </c>
      <c r="H572" s="45">
        <v>7.0</v>
      </c>
      <c r="I572" s="46">
        <v>0.71</v>
      </c>
      <c r="J572" s="45">
        <v>5.0</v>
      </c>
      <c r="K572" s="271">
        <v>2.0</v>
      </c>
      <c r="L572" s="47">
        <v>0.0</v>
      </c>
      <c r="M572" s="45">
        <v>5.0</v>
      </c>
      <c r="N572" s="43"/>
      <c r="O572" s="43" t="s">
        <v>60</v>
      </c>
      <c r="P572" s="48">
        <v>16900.0</v>
      </c>
      <c r="Q572" s="43" t="s">
        <v>1214</v>
      </c>
      <c r="R572" s="45">
        <v>2013.0</v>
      </c>
      <c r="S572" s="45">
        <v>0.1803</v>
      </c>
      <c r="T572" s="45">
        <f t="shared" si="25"/>
        <v>3047.07</v>
      </c>
      <c r="U572" s="24">
        <f t="shared" si="2"/>
        <v>435.2957143</v>
      </c>
      <c r="V572" s="26">
        <f>VLOOKUP(R572,CPI!$A$2:$E$67,5,0)</f>
        <v>1.307975292</v>
      </c>
      <c r="W572" s="27">
        <f t="shared" si="3"/>
        <v>3985.492272</v>
      </c>
      <c r="X572" s="27">
        <f t="shared" si="4"/>
        <v>569.3560388</v>
      </c>
      <c r="Y572" s="43" t="s">
        <v>60</v>
      </c>
      <c r="Z572" s="49" t="s">
        <v>1236</v>
      </c>
      <c r="AA572" s="288"/>
      <c r="AB572" s="289"/>
      <c r="AC572" s="289"/>
      <c r="AD572" s="289"/>
    </row>
    <row r="573">
      <c r="A573" s="43" t="s">
        <v>1211</v>
      </c>
      <c r="B573" s="43" t="s">
        <v>1212</v>
      </c>
      <c r="C573" s="16" t="s">
        <v>1225</v>
      </c>
      <c r="D573" s="43" t="s">
        <v>1237</v>
      </c>
      <c r="E573" s="45">
        <v>2011.0</v>
      </c>
      <c r="F573" s="45">
        <v>2016.0</v>
      </c>
      <c r="G573" s="45">
        <v>0.0</v>
      </c>
      <c r="H573" s="45">
        <v>2.6</v>
      </c>
      <c r="I573" s="46">
        <v>1.0</v>
      </c>
      <c r="J573" s="45">
        <v>2.6</v>
      </c>
      <c r="K573" s="47">
        <v>0.0</v>
      </c>
      <c r="L573" s="47">
        <v>0.0</v>
      </c>
      <c r="M573" s="45">
        <v>2.0</v>
      </c>
      <c r="N573" s="43"/>
      <c r="O573" s="43" t="s">
        <v>60</v>
      </c>
      <c r="P573" s="48">
        <v>7200.0</v>
      </c>
      <c r="Q573" s="43" t="s">
        <v>1214</v>
      </c>
      <c r="R573" s="45">
        <v>2013.0</v>
      </c>
      <c r="S573" s="45">
        <v>0.1803</v>
      </c>
      <c r="T573" s="45">
        <f t="shared" si="25"/>
        <v>1298.16</v>
      </c>
      <c r="U573" s="24">
        <f t="shared" si="2"/>
        <v>499.2923077</v>
      </c>
      <c r="V573" s="26">
        <f>VLOOKUP(R573,CPI!$A$2:$E$67,5,0)</f>
        <v>1.307975292</v>
      </c>
      <c r="W573" s="27">
        <f t="shared" si="3"/>
        <v>1697.961205</v>
      </c>
      <c r="X573" s="27">
        <f t="shared" si="4"/>
        <v>653.0620017</v>
      </c>
      <c r="Y573" s="43" t="s">
        <v>60</v>
      </c>
      <c r="Z573" s="49" t="s">
        <v>1236</v>
      </c>
      <c r="AA573" s="275"/>
      <c r="AB573" s="275"/>
      <c r="AC573" s="275"/>
      <c r="AD573" s="275"/>
    </row>
    <row r="574">
      <c r="A574" s="43" t="s">
        <v>1211</v>
      </c>
      <c r="B574" s="43" t="s">
        <v>1212</v>
      </c>
      <c r="C574" s="44" t="s">
        <v>1245</v>
      </c>
      <c r="D574" s="43" t="s">
        <v>1246</v>
      </c>
      <c r="E574" s="45">
        <v>2023.0</v>
      </c>
      <c r="F574" s="45">
        <v>2030.0</v>
      </c>
      <c r="G574" s="45">
        <v>0.0</v>
      </c>
      <c r="H574" s="45">
        <v>2.4</v>
      </c>
      <c r="I574" s="46">
        <v>0.0</v>
      </c>
      <c r="J574" s="45">
        <v>0.0</v>
      </c>
      <c r="K574" s="47">
        <v>0.0</v>
      </c>
      <c r="L574" s="47">
        <v>0.0</v>
      </c>
      <c r="M574" s="45">
        <v>2.0</v>
      </c>
      <c r="N574" s="43"/>
      <c r="O574" s="43" t="s">
        <v>60</v>
      </c>
      <c r="P574" s="48">
        <v>11400.0</v>
      </c>
      <c r="Q574" s="43" t="s">
        <v>1214</v>
      </c>
      <c r="R574" s="45">
        <v>2015.0</v>
      </c>
      <c r="S574" s="45">
        <v>0.1715</v>
      </c>
      <c r="T574" s="45">
        <f t="shared" si="25"/>
        <v>1955.1</v>
      </c>
      <c r="U574" s="24">
        <f t="shared" si="2"/>
        <v>814.625</v>
      </c>
      <c r="V574" s="26">
        <f>VLOOKUP(R574,CPI!$A$2:$E$67,5,0)</f>
        <v>1.285570233</v>
      </c>
      <c r="W574" s="27">
        <f t="shared" si="3"/>
        <v>2513.418363</v>
      </c>
      <c r="X574" s="27">
        <f t="shared" si="4"/>
        <v>1047.257651</v>
      </c>
      <c r="Y574" s="43" t="s">
        <v>60</v>
      </c>
      <c r="Z574" s="49" t="s">
        <v>1247</v>
      </c>
      <c r="AA574" s="275"/>
      <c r="AB574" s="275"/>
      <c r="AC574" s="275"/>
      <c r="AD574" s="275"/>
    </row>
    <row r="575">
      <c r="A575" s="43" t="s">
        <v>1211</v>
      </c>
      <c r="B575" s="43" t="s">
        <v>1212</v>
      </c>
      <c r="C575" s="43" t="s">
        <v>1240</v>
      </c>
      <c r="D575" s="43" t="s">
        <v>1240</v>
      </c>
      <c r="E575" s="45">
        <v>2012.0</v>
      </c>
      <c r="F575" s="45">
        <v>2022.0</v>
      </c>
      <c r="G575" s="45">
        <v>1.0</v>
      </c>
      <c r="H575" s="45">
        <v>17.0</v>
      </c>
      <c r="I575" s="46">
        <v>0.88</v>
      </c>
      <c r="J575" s="45">
        <v>15.0</v>
      </c>
      <c r="K575" s="47">
        <v>0.0</v>
      </c>
      <c r="L575" s="47">
        <v>0.0</v>
      </c>
      <c r="M575" s="45">
        <v>9.0</v>
      </c>
      <c r="N575" s="43"/>
      <c r="O575" s="43" t="s">
        <v>59</v>
      </c>
      <c r="P575" s="48">
        <v>87300.0</v>
      </c>
      <c r="Q575" s="43" t="s">
        <v>1214</v>
      </c>
      <c r="R575" s="45">
        <v>2017.0</v>
      </c>
      <c r="S575" s="45">
        <v>0.1664</v>
      </c>
      <c r="T575" s="45">
        <f t="shared" si="25"/>
        <v>14526.72</v>
      </c>
      <c r="U575" s="24">
        <f t="shared" si="2"/>
        <v>854.5129412</v>
      </c>
      <c r="V575" s="26">
        <f>VLOOKUP(R575,CPI!$A$2:$E$67,5,0)</f>
        <v>1.243072781</v>
      </c>
      <c r="W575" s="27">
        <f t="shared" si="3"/>
        <v>18057.77022</v>
      </c>
      <c r="X575" s="27">
        <f t="shared" si="4"/>
        <v>1062.221778</v>
      </c>
      <c r="Y575" s="43" t="s">
        <v>36</v>
      </c>
      <c r="Z575" s="49" t="s">
        <v>1241</v>
      </c>
      <c r="AA575" s="275"/>
      <c r="AB575" s="275"/>
      <c r="AC575" s="275"/>
      <c r="AD575" s="275"/>
    </row>
    <row r="576">
      <c r="A576" s="44" t="s">
        <v>1211</v>
      </c>
      <c r="B576" s="44" t="s">
        <v>1212</v>
      </c>
      <c r="C576" s="44" t="s">
        <v>1213</v>
      </c>
      <c r="D576" s="44" t="s">
        <v>1213</v>
      </c>
      <c r="E576" s="271">
        <v>1975.0</v>
      </c>
      <c r="F576" s="271">
        <v>1980.0</v>
      </c>
      <c r="G576" s="271">
        <v>0.0</v>
      </c>
      <c r="H576" s="271">
        <v>15.6</v>
      </c>
      <c r="I576" s="272">
        <v>0.821</v>
      </c>
      <c r="J576" s="271">
        <v>12.8</v>
      </c>
      <c r="K576" s="271">
        <v>2.8</v>
      </c>
      <c r="L576" s="271">
        <v>0.0</v>
      </c>
      <c r="M576" s="271">
        <v>15.0</v>
      </c>
      <c r="N576" s="44">
        <v>200.0</v>
      </c>
      <c r="O576" s="44" t="s">
        <v>60</v>
      </c>
      <c r="P576" s="273">
        <v>5637.0</v>
      </c>
      <c r="Q576" s="44" t="s">
        <v>1214</v>
      </c>
      <c r="R576" s="271">
        <v>1977.0</v>
      </c>
      <c r="S576" s="271">
        <v>0.9157</v>
      </c>
      <c r="T576" s="45">
        <f t="shared" si="25"/>
        <v>5161.8009</v>
      </c>
      <c r="U576" s="24">
        <f t="shared" si="2"/>
        <v>330.8846731</v>
      </c>
      <c r="V576" s="26">
        <f>VLOOKUP(R576,CPI!$A$2:$E$67,5,0)</f>
        <v>5.028085809</v>
      </c>
      <c r="W576" s="27">
        <f t="shared" si="3"/>
        <v>25953.97785</v>
      </c>
      <c r="X576" s="27">
        <f t="shared" si="4"/>
        <v>1663.716529</v>
      </c>
      <c r="Y576" s="44" t="s">
        <v>60</v>
      </c>
      <c r="Z576" s="274" t="s">
        <v>1215</v>
      </c>
      <c r="AA576" s="275"/>
      <c r="AB576" s="275"/>
      <c r="AC576" s="275"/>
      <c r="AD576" s="275"/>
    </row>
    <row r="577">
      <c r="A577" s="44" t="s">
        <v>1211</v>
      </c>
      <c r="B577" s="44" t="s">
        <v>1212</v>
      </c>
      <c r="C577" s="44" t="s">
        <v>1216</v>
      </c>
      <c r="D577" s="44" t="s">
        <v>1217</v>
      </c>
      <c r="E577" s="271">
        <v>1978.0</v>
      </c>
      <c r="F577" s="271">
        <v>1982.0</v>
      </c>
      <c r="G577" s="271">
        <v>0.0</v>
      </c>
      <c r="H577" s="271">
        <v>10.5</v>
      </c>
      <c r="I577" s="272">
        <v>0.8</v>
      </c>
      <c r="J577" s="271">
        <v>8.4</v>
      </c>
      <c r="K577" s="271">
        <v>2.0</v>
      </c>
      <c r="L577" s="271">
        <v>0.1</v>
      </c>
      <c r="M577" s="271">
        <v>10.0</v>
      </c>
      <c r="N577" s="44">
        <v>200.0</v>
      </c>
      <c r="O577" s="44" t="s">
        <v>60</v>
      </c>
      <c r="P577" s="273">
        <v>3900.0</v>
      </c>
      <c r="Q577" s="44" t="s">
        <v>1214</v>
      </c>
      <c r="R577" s="271">
        <v>1980.0</v>
      </c>
      <c r="S577" s="271">
        <v>0.6209</v>
      </c>
      <c r="T577" s="45">
        <f t="shared" si="25"/>
        <v>2421.51</v>
      </c>
      <c r="U577" s="24">
        <f t="shared" si="2"/>
        <v>230.62</v>
      </c>
      <c r="V577" s="26">
        <f>VLOOKUP(R577,CPI!$A$2:$E$67,5,0)</f>
        <v>3.697839806</v>
      </c>
      <c r="W577" s="27">
        <f t="shared" si="3"/>
        <v>8954.356068</v>
      </c>
      <c r="X577" s="27">
        <f t="shared" si="4"/>
        <v>852.795816</v>
      </c>
      <c r="Y577" s="44" t="s">
        <v>60</v>
      </c>
      <c r="Z577" s="274" t="s">
        <v>1218</v>
      </c>
      <c r="AA577" s="275"/>
      <c r="AB577" s="275"/>
      <c r="AC577" s="275"/>
      <c r="AD577" s="275"/>
    </row>
    <row r="578">
      <c r="A578" s="44" t="s">
        <v>1211</v>
      </c>
      <c r="B578" s="44" t="s">
        <v>1212</v>
      </c>
      <c r="C578" s="44" t="s">
        <v>1219</v>
      </c>
      <c r="D578" s="44" t="s">
        <v>1219</v>
      </c>
      <c r="E578" s="271">
        <v>1981.0</v>
      </c>
      <c r="F578" s="271">
        <v>1986.0</v>
      </c>
      <c r="G578" s="271">
        <v>0.0</v>
      </c>
      <c r="H578" s="271">
        <v>12.5</v>
      </c>
      <c r="I578" s="272">
        <v>0.84</v>
      </c>
      <c r="J578" s="271">
        <v>10.5</v>
      </c>
      <c r="K578" s="271">
        <v>2.0</v>
      </c>
      <c r="L578" s="271">
        <v>0.0</v>
      </c>
      <c r="M578" s="271">
        <v>14.0</v>
      </c>
      <c r="N578" s="44">
        <v>200.0</v>
      </c>
      <c r="O578" s="44" t="s">
        <v>60</v>
      </c>
      <c r="P578" s="273">
        <v>8748.0</v>
      </c>
      <c r="Q578" s="44" t="s">
        <v>1214</v>
      </c>
      <c r="R578" s="271">
        <v>1983.0</v>
      </c>
      <c r="S578" s="271">
        <v>0.4907</v>
      </c>
      <c r="T578" s="45">
        <f t="shared" si="25"/>
        <v>4292.6436</v>
      </c>
      <c r="U578" s="24">
        <f t="shared" si="2"/>
        <v>343.411488</v>
      </c>
      <c r="V578" s="26">
        <f>VLOOKUP(R578,CPI!$A$2:$E$67,5,0)</f>
        <v>3.059257028</v>
      </c>
      <c r="W578" s="27">
        <f t="shared" si="3"/>
        <v>13132.3001</v>
      </c>
      <c r="X578" s="27">
        <f t="shared" si="4"/>
        <v>1050.584008</v>
      </c>
      <c r="Y578" s="44" t="s">
        <v>60</v>
      </c>
      <c r="Z578" s="274" t="s">
        <v>1220</v>
      </c>
      <c r="AA578" s="275"/>
      <c r="AB578" s="275"/>
      <c r="AC578" s="275"/>
      <c r="AD578" s="275"/>
    </row>
    <row r="579">
      <c r="A579" s="44" t="s">
        <v>1211</v>
      </c>
      <c r="B579" s="44" t="s">
        <v>1212</v>
      </c>
      <c r="C579" s="44" t="s">
        <v>1221</v>
      </c>
      <c r="D579" s="44" t="s">
        <v>1221</v>
      </c>
      <c r="E579" s="271">
        <v>1986.0</v>
      </c>
      <c r="F579" s="271">
        <v>1989.0</v>
      </c>
      <c r="G579" s="271">
        <v>0.0</v>
      </c>
      <c r="H579" s="271">
        <v>4.6</v>
      </c>
      <c r="I579" s="272">
        <v>1.0</v>
      </c>
      <c r="J579" s="271">
        <v>4.6</v>
      </c>
      <c r="K579" s="271">
        <v>0.0</v>
      </c>
      <c r="L579" s="271">
        <v>0.0</v>
      </c>
      <c r="M579" s="271">
        <v>1.0</v>
      </c>
      <c r="N579" s="44">
        <v>200.0</v>
      </c>
      <c r="O579" s="44" t="s">
        <v>60</v>
      </c>
      <c r="P579" s="273">
        <v>1254.0</v>
      </c>
      <c r="Q579" s="44" t="s">
        <v>1214</v>
      </c>
      <c r="R579" s="271">
        <v>1987.0</v>
      </c>
      <c r="S579" s="271">
        <v>0.3768</v>
      </c>
      <c r="T579" s="45">
        <f t="shared" si="25"/>
        <v>472.5072</v>
      </c>
      <c r="U579" s="24">
        <f t="shared" si="2"/>
        <v>102.7189565</v>
      </c>
      <c r="V579" s="26">
        <f>VLOOKUP(R579,CPI!$A$2:$E$67,5,0)</f>
        <v>2.682235915</v>
      </c>
      <c r="W579" s="27">
        <f t="shared" si="3"/>
        <v>1267.375782</v>
      </c>
      <c r="X579" s="27">
        <f t="shared" si="4"/>
        <v>275.5164744</v>
      </c>
      <c r="Y579" s="44" t="s">
        <v>60</v>
      </c>
      <c r="Z579" s="276" t="s">
        <v>1222</v>
      </c>
      <c r="AA579" s="275"/>
      <c r="AB579" s="275"/>
      <c r="AC579" s="275"/>
      <c r="AD579" s="275"/>
    </row>
    <row r="580">
      <c r="A580" s="26" t="s">
        <v>1262</v>
      </c>
      <c r="B580" s="26" t="s">
        <v>1278</v>
      </c>
      <c r="C580" s="26" t="s">
        <v>1279</v>
      </c>
      <c r="D580" s="26" t="s">
        <v>1279</v>
      </c>
      <c r="E580" s="25">
        <v>2015.0</v>
      </c>
      <c r="F580" s="25">
        <v>2019.0</v>
      </c>
      <c r="G580" s="25">
        <v>0.0</v>
      </c>
      <c r="H580" s="25">
        <v>29.7</v>
      </c>
      <c r="I580" s="50">
        <v>0.0</v>
      </c>
      <c r="J580" s="25">
        <v>0.0</v>
      </c>
      <c r="K580" s="51">
        <v>0.0</v>
      </c>
      <c r="L580" s="51">
        <v>0.0</v>
      </c>
      <c r="M580" s="25">
        <v>21.0</v>
      </c>
      <c r="N580" s="26"/>
      <c r="O580" s="26" t="s">
        <v>36</v>
      </c>
      <c r="P580" s="52">
        <v>42610.0</v>
      </c>
      <c r="Q580" s="26" t="s">
        <v>1265</v>
      </c>
      <c r="R580" s="25">
        <v>2017.0</v>
      </c>
      <c r="S580" s="25">
        <v>0.048</v>
      </c>
      <c r="T580" s="25">
        <f t="shared" si="25"/>
        <v>2045.28</v>
      </c>
      <c r="U580" s="24">
        <f t="shared" si="2"/>
        <v>68.86464646</v>
      </c>
      <c r="V580" s="26">
        <f>VLOOKUP(R580,CPI!$A$2:$E$67,5,0)</f>
        <v>1.243072781</v>
      </c>
      <c r="W580" s="27">
        <f t="shared" si="3"/>
        <v>2542.431897</v>
      </c>
      <c r="X580" s="27">
        <f t="shared" si="4"/>
        <v>85.60376757</v>
      </c>
      <c r="Y580" s="26" t="s">
        <v>42</v>
      </c>
      <c r="Z580" s="53" t="s">
        <v>1280</v>
      </c>
      <c r="AA580" s="130"/>
      <c r="AB580" s="130"/>
      <c r="AC580" s="130"/>
      <c r="AD580" s="130"/>
    </row>
    <row r="581">
      <c r="A581" s="26" t="s">
        <v>1262</v>
      </c>
      <c r="B581" s="26" t="s">
        <v>1295</v>
      </c>
      <c r="C581" s="1" t="s">
        <v>1069</v>
      </c>
      <c r="D581" s="26" t="s">
        <v>34</v>
      </c>
      <c r="E581" s="25">
        <v>2011.0</v>
      </c>
      <c r="F581" s="25">
        <v>2020.0</v>
      </c>
      <c r="G581" s="25">
        <v>0.0</v>
      </c>
      <c r="H581" s="25">
        <v>12.1</v>
      </c>
      <c r="I581" s="50">
        <v>0.23</v>
      </c>
      <c r="J581" s="25">
        <v>2.8</v>
      </c>
      <c r="K581" s="51">
        <v>0.0</v>
      </c>
      <c r="L581" s="51">
        <v>0.0</v>
      </c>
      <c r="M581" s="25">
        <v>11.0</v>
      </c>
      <c r="N581" s="26"/>
      <c r="O581" s="26" t="s">
        <v>60</v>
      </c>
      <c r="P581" s="52">
        <v>31490.0</v>
      </c>
      <c r="Q581" s="26" t="s">
        <v>1265</v>
      </c>
      <c r="R581" s="25">
        <v>2011.0</v>
      </c>
      <c r="S581" s="25">
        <v>0.064</v>
      </c>
      <c r="T581" s="25">
        <f t="shared" si="25"/>
        <v>2015.36</v>
      </c>
      <c r="U581" s="24">
        <f t="shared" si="2"/>
        <v>166.5586777</v>
      </c>
      <c r="V581" s="26">
        <f>VLOOKUP(R581,CPI!$A$2:$E$67,5,0)</f>
        <v>1.354598358</v>
      </c>
      <c r="W581" s="27">
        <f t="shared" si="3"/>
        <v>2730.003346</v>
      </c>
      <c r="X581" s="27">
        <f t="shared" si="4"/>
        <v>225.6201113</v>
      </c>
      <c r="Y581" s="26" t="s">
        <v>60</v>
      </c>
      <c r="Z581" s="53" t="s">
        <v>1296</v>
      </c>
      <c r="AA581" s="130"/>
      <c r="AB581" s="130"/>
      <c r="AC581" s="130"/>
      <c r="AD581" s="130"/>
    </row>
    <row r="582">
      <c r="A582" s="26" t="s">
        <v>1262</v>
      </c>
      <c r="B582" s="26" t="s">
        <v>1301</v>
      </c>
      <c r="C582" s="26" t="s">
        <v>57</v>
      </c>
      <c r="D582" s="26" t="s">
        <v>57</v>
      </c>
      <c r="E582" s="25">
        <v>2014.0</v>
      </c>
      <c r="F582" s="25">
        <v>2019.0</v>
      </c>
      <c r="G582" s="25">
        <v>0.0</v>
      </c>
      <c r="H582" s="25">
        <v>22.9</v>
      </c>
      <c r="I582" s="50">
        <v>0.15</v>
      </c>
      <c r="J582" s="25">
        <v>3.4</v>
      </c>
      <c r="K582" s="51">
        <v>0.0</v>
      </c>
      <c r="L582" s="51">
        <v>0.0</v>
      </c>
      <c r="M582" s="25">
        <v>22.0</v>
      </c>
      <c r="N582" s="26"/>
      <c r="O582" s="26" t="s">
        <v>60</v>
      </c>
      <c r="P582" s="52">
        <v>69280.0</v>
      </c>
      <c r="Q582" s="26" t="s">
        <v>1265</v>
      </c>
      <c r="R582" s="25">
        <v>2016.0</v>
      </c>
      <c r="S582" s="25">
        <v>0.05</v>
      </c>
      <c r="T582" s="25">
        <f t="shared" si="25"/>
        <v>3464</v>
      </c>
      <c r="U582" s="24">
        <f t="shared" si="2"/>
        <v>151.2663755</v>
      </c>
      <c r="V582" s="26">
        <f>VLOOKUP(R582,CPI!$A$2:$E$67,5,0)</f>
        <v>1.269554638</v>
      </c>
      <c r="W582" s="27">
        <f t="shared" si="3"/>
        <v>4397.737266</v>
      </c>
      <c r="X582" s="27">
        <f t="shared" si="4"/>
        <v>192.0409286</v>
      </c>
      <c r="Y582" s="26" t="s">
        <v>60</v>
      </c>
      <c r="Z582" s="57" t="s">
        <v>1302</v>
      </c>
      <c r="AA582" s="130"/>
      <c r="AB582" s="130"/>
      <c r="AC582" s="130"/>
      <c r="AD582" s="130"/>
    </row>
    <row r="583">
      <c r="A583" s="26" t="s">
        <v>1337</v>
      </c>
      <c r="B583" s="26" t="s">
        <v>1338</v>
      </c>
      <c r="C583" s="26" t="s">
        <v>1069</v>
      </c>
      <c r="D583" s="26" t="s">
        <v>1069</v>
      </c>
      <c r="E583" s="25">
        <v>2003.0</v>
      </c>
      <c r="F583" s="25">
        <v>2013.0</v>
      </c>
      <c r="G583" s="25">
        <v>0.0</v>
      </c>
      <c r="H583" s="25">
        <v>13.7</v>
      </c>
      <c r="I583" s="50">
        <v>0.71</v>
      </c>
      <c r="J583" s="25">
        <v>9.7</v>
      </c>
      <c r="K583" s="51">
        <v>0.0</v>
      </c>
      <c r="L583" s="51">
        <v>0.0</v>
      </c>
      <c r="M583" s="25">
        <v>17.0</v>
      </c>
      <c r="N583" s="306">
        <v>40.0</v>
      </c>
      <c r="O583" s="26" t="s">
        <v>74</v>
      </c>
      <c r="P583" s="55">
        <v>716.0</v>
      </c>
      <c r="Q583" s="26" t="s">
        <v>52</v>
      </c>
      <c r="R583" s="25">
        <v>2008.0</v>
      </c>
      <c r="S583" s="25">
        <v>1.3</v>
      </c>
      <c r="T583" s="25">
        <f t="shared" si="25"/>
        <v>930.8</v>
      </c>
      <c r="U583" s="24">
        <f t="shared" si="2"/>
        <v>67.94160584</v>
      </c>
      <c r="V583" s="26">
        <f>VLOOKUP(R583,CPI!$A$2:$E$67,5,0)</f>
        <v>1.415224126</v>
      </c>
      <c r="W583" s="27">
        <f t="shared" si="3"/>
        <v>1317.290616</v>
      </c>
      <c r="X583" s="27">
        <f t="shared" si="4"/>
        <v>96.15259974</v>
      </c>
      <c r="Y583" s="26" t="s">
        <v>42</v>
      </c>
      <c r="Z583" s="53" t="s">
        <v>1339</v>
      </c>
      <c r="AA583" s="130"/>
      <c r="AB583" s="130"/>
      <c r="AC583" s="130"/>
      <c r="AD583" s="130"/>
    </row>
    <row r="584">
      <c r="A584" s="310" t="s">
        <v>1337</v>
      </c>
      <c r="B584" s="310" t="s">
        <v>1376</v>
      </c>
      <c r="C584" s="306" t="s">
        <v>57</v>
      </c>
      <c r="D584" s="306" t="s">
        <v>1382</v>
      </c>
      <c r="E584" s="302">
        <v>1999.0</v>
      </c>
      <c r="F584" s="302">
        <v>2021.0</v>
      </c>
      <c r="G584" s="311">
        <v>0.0</v>
      </c>
      <c r="H584" s="302">
        <v>4.3</v>
      </c>
      <c r="I584" s="307">
        <v>1.0</v>
      </c>
      <c r="J584" s="302">
        <v>4.3</v>
      </c>
      <c r="K584" s="312">
        <v>0.0</v>
      </c>
      <c r="L584" s="312">
        <v>0.0</v>
      </c>
      <c r="M584" s="302">
        <v>5.0</v>
      </c>
      <c r="N584" s="306">
        <v>110.0</v>
      </c>
      <c r="O584" s="306" t="s">
        <v>2132</v>
      </c>
      <c r="P584" s="308">
        <v>1748.0</v>
      </c>
      <c r="Q584" s="310" t="s">
        <v>52</v>
      </c>
      <c r="R584" s="311">
        <v>2017.0</v>
      </c>
      <c r="S584" s="311">
        <v>1.3</v>
      </c>
      <c r="T584" s="311">
        <f t="shared" si="25"/>
        <v>2272.4</v>
      </c>
      <c r="U584" s="24">
        <f t="shared" si="2"/>
        <v>528.4651163</v>
      </c>
      <c r="V584" s="26">
        <f>VLOOKUP(R584,CPI!$A$2:$E$67,5,0)</f>
        <v>1.243072781</v>
      </c>
      <c r="W584" s="27">
        <f t="shared" si="3"/>
        <v>2824.758587</v>
      </c>
      <c r="X584" s="27">
        <f t="shared" si="4"/>
        <v>656.9206016</v>
      </c>
      <c r="Y584" s="310" t="s">
        <v>60</v>
      </c>
      <c r="Z584" s="53"/>
      <c r="AA584" s="130"/>
      <c r="AB584" s="130"/>
      <c r="AC584" s="130"/>
      <c r="AD584" s="130"/>
    </row>
    <row r="585">
      <c r="A585" s="26" t="s">
        <v>1337</v>
      </c>
      <c r="B585" s="26" t="s">
        <v>1376</v>
      </c>
      <c r="C585" s="1" t="s">
        <v>57</v>
      </c>
      <c r="D585" s="26" t="s">
        <v>1386</v>
      </c>
      <c r="E585" s="25">
        <v>2014.0</v>
      </c>
      <c r="F585" s="25">
        <v>2024.0</v>
      </c>
      <c r="G585" s="25">
        <v>0.0</v>
      </c>
      <c r="H585" s="25">
        <v>3.5</v>
      </c>
      <c r="I585" s="50">
        <v>1.0</v>
      </c>
      <c r="J585" s="25">
        <v>3.5</v>
      </c>
      <c r="K585" s="51">
        <v>0.0</v>
      </c>
      <c r="L585" s="51">
        <v>0.0</v>
      </c>
      <c r="M585" s="25">
        <v>4.0</v>
      </c>
      <c r="N585" s="306">
        <v>110.0</v>
      </c>
      <c r="O585" s="306" t="s">
        <v>2132</v>
      </c>
      <c r="P585" s="308">
        <v>652.0</v>
      </c>
      <c r="Q585" s="26" t="s">
        <v>52</v>
      </c>
      <c r="R585" s="25">
        <v>2019.0</v>
      </c>
      <c r="S585" s="25">
        <v>1.3</v>
      </c>
      <c r="T585" s="25">
        <f t="shared" si="25"/>
        <v>847.6</v>
      </c>
      <c r="U585" s="24">
        <f t="shared" si="2"/>
        <v>242.1714286</v>
      </c>
      <c r="V585" s="26">
        <f>VLOOKUP(R585,CPI!$A$2:$E$67,5,0)</f>
        <v>1.191839066</v>
      </c>
      <c r="W585" s="27">
        <f t="shared" si="3"/>
        <v>1010.202792</v>
      </c>
      <c r="X585" s="27">
        <f t="shared" si="4"/>
        <v>288.6293691</v>
      </c>
      <c r="Y585" s="26" t="s">
        <v>60</v>
      </c>
      <c r="Z585" s="53" t="s">
        <v>1387</v>
      </c>
      <c r="AA585" s="130"/>
      <c r="AB585" s="130"/>
      <c r="AC585" s="130"/>
      <c r="AD585" s="130"/>
    </row>
    <row r="586">
      <c r="A586" s="26" t="s">
        <v>1337</v>
      </c>
      <c r="B586" s="26" t="s">
        <v>1376</v>
      </c>
      <c r="C586" s="1" t="s">
        <v>57</v>
      </c>
      <c r="D586" s="63" t="s">
        <v>1383</v>
      </c>
      <c r="E586" s="25">
        <v>2002.0</v>
      </c>
      <c r="F586" s="25">
        <v>2021.0</v>
      </c>
      <c r="G586" s="25">
        <v>0.0</v>
      </c>
      <c r="H586" s="302">
        <v>3.3</v>
      </c>
      <c r="I586" s="50">
        <v>1.0</v>
      </c>
      <c r="J586" s="302">
        <v>3.3</v>
      </c>
      <c r="K586" s="51">
        <v>0.0</v>
      </c>
      <c r="L586" s="51">
        <v>0.0</v>
      </c>
      <c r="M586" s="302">
        <v>4.0</v>
      </c>
      <c r="N586" s="306">
        <v>80.0</v>
      </c>
      <c r="O586" s="310" t="s">
        <v>60</v>
      </c>
      <c r="P586" s="308">
        <v>790.0</v>
      </c>
      <c r="Q586" s="26" t="s">
        <v>52</v>
      </c>
      <c r="R586" s="25">
        <v>2011.0</v>
      </c>
      <c r="S586" s="25">
        <v>1.3</v>
      </c>
      <c r="T586" s="25">
        <f t="shared" si="25"/>
        <v>1027</v>
      </c>
      <c r="U586" s="24">
        <f t="shared" si="2"/>
        <v>311.2121212</v>
      </c>
      <c r="V586" s="26">
        <f>VLOOKUP(R586,CPI!$A$2:$E$67,5,0)</f>
        <v>1.354598358</v>
      </c>
      <c r="W586" s="27">
        <f t="shared" si="3"/>
        <v>1391.172513</v>
      </c>
      <c r="X586" s="27">
        <f t="shared" si="4"/>
        <v>421.5674283</v>
      </c>
      <c r="Y586" s="26" t="s">
        <v>60</v>
      </c>
      <c r="Z586" s="53" t="s">
        <v>1384</v>
      </c>
      <c r="AA586" s="130"/>
      <c r="AB586" s="130"/>
      <c r="AC586" s="130"/>
      <c r="AD586" s="130"/>
    </row>
    <row r="587">
      <c r="A587" s="26" t="s">
        <v>1337</v>
      </c>
      <c r="B587" s="26" t="s">
        <v>1396</v>
      </c>
      <c r="C587" s="16" t="s">
        <v>54</v>
      </c>
      <c r="D587" s="63" t="s">
        <v>1401</v>
      </c>
      <c r="E587" s="25">
        <v>2024.0</v>
      </c>
      <c r="F587" s="58">
        <v>2030.0</v>
      </c>
      <c r="G587" s="25">
        <v>0.0</v>
      </c>
      <c r="H587" s="302">
        <v>9.4</v>
      </c>
      <c r="I587" s="50">
        <v>1.0</v>
      </c>
      <c r="J587" s="302">
        <v>9.4</v>
      </c>
      <c r="K587" s="51">
        <v>0.0</v>
      </c>
      <c r="L587" s="51">
        <v>0.0</v>
      </c>
      <c r="M587" s="25">
        <v>13.0</v>
      </c>
      <c r="N587" s="306">
        <v>60.0</v>
      </c>
      <c r="O587" s="306" t="s">
        <v>1964</v>
      </c>
      <c r="P587" s="308">
        <v>1828.0</v>
      </c>
      <c r="Q587" s="26" t="s">
        <v>52</v>
      </c>
      <c r="R587" s="25">
        <v>2020.0</v>
      </c>
      <c r="S587" s="25">
        <v>1.3</v>
      </c>
      <c r="T587" s="25">
        <f t="shared" si="25"/>
        <v>2376.4</v>
      </c>
      <c r="U587" s="24">
        <f t="shared" si="2"/>
        <v>252.8085106</v>
      </c>
      <c r="V587" s="26">
        <f>VLOOKUP(R587,CPI!$A$2:$E$67,5,0)</f>
        <v>1.17731472</v>
      </c>
      <c r="W587" s="27">
        <f t="shared" si="3"/>
        <v>2797.770701</v>
      </c>
      <c r="X587" s="27">
        <f t="shared" si="4"/>
        <v>297.6351809</v>
      </c>
      <c r="Y587" s="306" t="s">
        <v>1964</v>
      </c>
      <c r="Z587" s="429" t="s">
        <v>1402</v>
      </c>
      <c r="AA587" s="130"/>
      <c r="AB587" s="130"/>
      <c r="AC587" s="130"/>
      <c r="AD587" s="130"/>
    </row>
    <row r="588">
      <c r="A588" s="26" t="s">
        <v>1403</v>
      </c>
      <c r="B588" s="26" t="s">
        <v>1409</v>
      </c>
      <c r="C588" s="26" t="s">
        <v>1410</v>
      </c>
      <c r="D588" s="26" t="s">
        <v>1410</v>
      </c>
      <c r="E588" s="25">
        <v>2003.0</v>
      </c>
      <c r="F588" s="25">
        <v>2009.0</v>
      </c>
      <c r="G588" s="25">
        <v>1.0</v>
      </c>
      <c r="H588" s="25">
        <v>3.8</v>
      </c>
      <c r="I588" s="50">
        <v>1.0</v>
      </c>
      <c r="J588" s="25">
        <v>3.8</v>
      </c>
      <c r="K588" s="51">
        <v>0.0</v>
      </c>
      <c r="L588" s="51">
        <v>0.0</v>
      </c>
      <c r="M588" s="25">
        <v>3.0</v>
      </c>
      <c r="N588" s="26"/>
      <c r="O588" s="26" t="s">
        <v>74</v>
      </c>
      <c r="P588" s="52">
        <v>127500.0</v>
      </c>
      <c r="Q588" s="26" t="s">
        <v>1407</v>
      </c>
      <c r="R588" s="25">
        <v>2006.0</v>
      </c>
      <c r="S588" s="25">
        <v>0.008</v>
      </c>
      <c r="T588" s="25">
        <f t="shared" si="25"/>
        <v>1020</v>
      </c>
      <c r="U588" s="24">
        <f t="shared" si="2"/>
        <v>268.4210526</v>
      </c>
      <c r="V588" s="26">
        <f>VLOOKUP(R588,CPI!$A$2:$E$67,5,0)</f>
        <v>1.511418651</v>
      </c>
      <c r="W588" s="27">
        <f t="shared" si="3"/>
        <v>1541.647024</v>
      </c>
      <c r="X588" s="27">
        <f t="shared" si="4"/>
        <v>405.6965852</v>
      </c>
      <c r="Y588" s="26" t="s">
        <v>60</v>
      </c>
      <c r="Z588" s="53" t="s">
        <v>1411</v>
      </c>
      <c r="AA588" s="130"/>
      <c r="AB588" s="130"/>
      <c r="AC588" s="130"/>
      <c r="AD588" s="130"/>
    </row>
    <row r="589">
      <c r="A589" s="26" t="s">
        <v>1571</v>
      </c>
      <c r="B589" s="26" t="s">
        <v>1572</v>
      </c>
      <c r="C589" s="26" t="s">
        <v>1573</v>
      </c>
      <c r="D589" s="26" t="s">
        <v>1573</v>
      </c>
      <c r="E589" s="25">
        <v>2021.0</v>
      </c>
      <c r="F589" s="25">
        <v>2026.0</v>
      </c>
      <c r="G589" s="25">
        <v>0.0</v>
      </c>
      <c r="H589" s="25">
        <v>22.0</v>
      </c>
      <c r="I589" s="50">
        <v>1.0</v>
      </c>
      <c r="J589" s="25">
        <v>22.0</v>
      </c>
      <c r="K589" s="51">
        <v>0.0</v>
      </c>
      <c r="L589" s="51">
        <v>0.0</v>
      </c>
      <c r="M589" s="25">
        <v>24.0</v>
      </c>
      <c r="N589" s="26"/>
      <c r="O589" s="26" t="s">
        <v>36</v>
      </c>
      <c r="P589" s="52">
        <v>1800.0</v>
      </c>
      <c r="Q589" s="26" t="s">
        <v>52</v>
      </c>
      <c r="R589" s="25">
        <v>2023.0</v>
      </c>
      <c r="S589" s="25">
        <v>3.05</v>
      </c>
      <c r="T589" s="25">
        <f t="shared" si="25"/>
        <v>5490</v>
      </c>
      <c r="U589" s="24">
        <f t="shared" si="2"/>
        <v>249.5454545</v>
      </c>
      <c r="V589" s="26">
        <f>VLOOKUP(R589,CPI!$A$2:$E$67,5,0)</f>
        <v>1</v>
      </c>
      <c r="W589" s="27">
        <f t="shared" si="3"/>
        <v>5490</v>
      </c>
      <c r="X589" s="27">
        <f t="shared" si="4"/>
        <v>249.5454545</v>
      </c>
      <c r="Y589" s="26" t="s">
        <v>36</v>
      </c>
      <c r="Z589" s="57" t="s">
        <v>1574</v>
      </c>
      <c r="AA589" s="178"/>
      <c r="AB589" s="172"/>
      <c r="AC589" s="172"/>
      <c r="AD589" s="172"/>
    </row>
    <row r="590">
      <c r="A590" s="26" t="s">
        <v>1571</v>
      </c>
      <c r="B590" s="26" t="s">
        <v>1572</v>
      </c>
      <c r="C590" s="26" t="s">
        <v>1575</v>
      </c>
      <c r="D590" s="26" t="s">
        <v>1575</v>
      </c>
      <c r="E590" s="25">
        <v>2021.0</v>
      </c>
      <c r="F590" s="25">
        <v>2026.0</v>
      </c>
      <c r="G590" s="25">
        <v>0.0</v>
      </c>
      <c r="H590" s="25">
        <v>20.0</v>
      </c>
      <c r="I590" s="50">
        <v>1.0</v>
      </c>
      <c r="J590" s="25">
        <v>20.0</v>
      </c>
      <c r="K590" s="51">
        <v>0.0</v>
      </c>
      <c r="L590" s="51">
        <v>0.0</v>
      </c>
      <c r="M590" s="25">
        <v>21.0</v>
      </c>
      <c r="N590" s="26"/>
      <c r="O590" s="26" t="s">
        <v>36</v>
      </c>
      <c r="P590" s="52">
        <v>2200.0</v>
      </c>
      <c r="Q590" s="26" t="s">
        <v>52</v>
      </c>
      <c r="R590" s="25">
        <v>2023.0</v>
      </c>
      <c r="S590" s="25">
        <v>3.05</v>
      </c>
      <c r="T590" s="25">
        <f t="shared" si="25"/>
        <v>6710</v>
      </c>
      <c r="U590" s="24">
        <f t="shared" si="2"/>
        <v>335.5</v>
      </c>
      <c r="V590" s="26">
        <f>VLOOKUP(R590,CPI!$A$2:$E$67,5,0)</f>
        <v>1</v>
      </c>
      <c r="W590" s="27">
        <f t="shared" si="3"/>
        <v>6710</v>
      </c>
      <c r="X590" s="27">
        <f t="shared" si="4"/>
        <v>335.5</v>
      </c>
      <c r="Y590" s="26" t="s">
        <v>36</v>
      </c>
      <c r="Z590" s="57" t="s">
        <v>1574</v>
      </c>
      <c r="AA590" s="178"/>
      <c r="AB590" s="172"/>
      <c r="AC590" s="172"/>
      <c r="AD590" s="172"/>
    </row>
    <row r="591">
      <c r="A591" s="6" t="s">
        <v>1714</v>
      </c>
      <c r="B591" s="6" t="s">
        <v>1715</v>
      </c>
      <c r="C591" s="6" t="s">
        <v>1716</v>
      </c>
      <c r="D591" s="6" t="s">
        <v>1716</v>
      </c>
      <c r="E591" s="3">
        <v>2018.0</v>
      </c>
      <c r="F591" s="3">
        <v>2026.0</v>
      </c>
      <c r="G591" s="3">
        <v>1.0</v>
      </c>
      <c r="H591" s="3">
        <v>8.0</v>
      </c>
      <c r="I591" s="39">
        <v>0.75</v>
      </c>
      <c r="J591" s="20">
        <v>6.0</v>
      </c>
      <c r="K591" s="40">
        <v>0.0</v>
      </c>
      <c r="L591" s="40">
        <v>0.0</v>
      </c>
      <c r="M591" s="3">
        <v>3.0</v>
      </c>
      <c r="N591" s="6"/>
      <c r="O591" s="6" t="s">
        <v>60</v>
      </c>
      <c r="P591" s="41">
        <v>20000.0</v>
      </c>
      <c r="Q591" s="6" t="s">
        <v>1717</v>
      </c>
      <c r="R591" s="3">
        <v>2009.0</v>
      </c>
      <c r="S591" s="3">
        <v>0.112</v>
      </c>
      <c r="T591" s="3">
        <f t="shared" si="25"/>
        <v>2240</v>
      </c>
      <c r="U591" s="24">
        <f t="shared" si="2"/>
        <v>280</v>
      </c>
      <c r="V591" s="26">
        <f>VLOOKUP(R591,CPI!$A$2:$E$67,5,0)</f>
        <v>1.420277155</v>
      </c>
      <c r="W591" s="27">
        <f t="shared" si="3"/>
        <v>3181.420827</v>
      </c>
      <c r="X591" s="27">
        <f t="shared" si="4"/>
        <v>397.6776034</v>
      </c>
      <c r="Y591" s="6" t="s">
        <v>60</v>
      </c>
      <c r="Z591" s="37" t="s">
        <v>1718</v>
      </c>
      <c r="AA591" s="178"/>
      <c r="AB591" s="172"/>
      <c r="AC591" s="172"/>
      <c r="AD591" s="172"/>
    </row>
    <row r="592">
      <c r="A592" s="26" t="s">
        <v>1812</v>
      </c>
      <c r="B592" s="26" t="s">
        <v>1824</v>
      </c>
      <c r="C592" s="16" t="s">
        <v>1827</v>
      </c>
      <c r="D592" s="26" t="s">
        <v>1827</v>
      </c>
      <c r="E592" s="25">
        <v>1988.0</v>
      </c>
      <c r="F592" s="25">
        <v>2012.0</v>
      </c>
      <c r="G592" s="25">
        <v>0.0</v>
      </c>
      <c r="H592" s="25">
        <f>25.1+22.8+12.5+23.7+24.6-14.8</f>
        <v>93.9</v>
      </c>
      <c r="I592" s="50">
        <v>0.65</v>
      </c>
      <c r="J592" s="25">
        <f>0+3.9+12.5+23.7+24.6-3.8</f>
        <v>60.9</v>
      </c>
      <c r="K592" s="51">
        <v>0.0</v>
      </c>
      <c r="L592" s="51">
        <v>0.0</v>
      </c>
      <c r="M592" s="25">
        <f>24+21+13+24+22-12</f>
        <v>92</v>
      </c>
      <c r="N592" s="26"/>
      <c r="O592" s="26" t="s">
        <v>59</v>
      </c>
      <c r="P592" s="52">
        <f>621000-63714</f>
        <v>557286</v>
      </c>
      <c r="Q592" s="26" t="s">
        <v>1815</v>
      </c>
      <c r="R592" s="25">
        <v>2000.0</v>
      </c>
      <c r="S592" s="25">
        <v>0.0664</v>
      </c>
      <c r="T592" s="25">
        <f t="shared" si="25"/>
        <v>37003.7904</v>
      </c>
      <c r="U592" s="24">
        <f t="shared" si="2"/>
        <v>394.0765751</v>
      </c>
      <c r="V592" s="26">
        <f>VLOOKUP(R592,CPI!$A$2:$E$67,5,0)</f>
        <v>1.769465738</v>
      </c>
      <c r="W592" s="27">
        <f t="shared" si="3"/>
        <v>65476.93927</v>
      </c>
      <c r="X592" s="27">
        <f t="shared" si="4"/>
        <v>697.3049976</v>
      </c>
      <c r="Y592" s="26" t="s">
        <v>36</v>
      </c>
      <c r="Z592" s="53" t="s">
        <v>1816</v>
      </c>
      <c r="AA592" s="178"/>
      <c r="AB592" s="172"/>
      <c r="AC592" s="172"/>
      <c r="AD592" s="172"/>
    </row>
    <row r="593">
      <c r="A593" s="26" t="s">
        <v>1812</v>
      </c>
      <c r="B593" s="26" t="s">
        <v>1824</v>
      </c>
      <c r="C593" s="26" t="s">
        <v>1825</v>
      </c>
      <c r="D593" s="26" t="s">
        <v>1825</v>
      </c>
      <c r="E593" s="25">
        <v>2002.0</v>
      </c>
      <c r="F593" s="25">
        <v>2009.0</v>
      </c>
      <c r="G593" s="25">
        <v>0.0</v>
      </c>
      <c r="H593" s="25">
        <v>14.8</v>
      </c>
      <c r="I593" s="50">
        <v>0.26</v>
      </c>
      <c r="J593" s="25">
        <v>3.8</v>
      </c>
      <c r="K593" s="51">
        <v>0.0</v>
      </c>
      <c r="L593" s="51">
        <v>0.0</v>
      </c>
      <c r="M593" s="25">
        <v>12.0</v>
      </c>
      <c r="N593" s="26"/>
      <c r="O593" s="26" t="s">
        <v>59</v>
      </c>
      <c r="P593" s="52">
        <v>63714.0</v>
      </c>
      <c r="Q593" s="26" t="s">
        <v>1815</v>
      </c>
      <c r="R593" s="25">
        <v>2005.0</v>
      </c>
      <c r="S593" s="25">
        <v>0.0664</v>
      </c>
      <c r="T593" s="25">
        <f t="shared" si="25"/>
        <v>4230.6096</v>
      </c>
      <c r="U593" s="24">
        <f t="shared" si="2"/>
        <v>285.852</v>
      </c>
      <c r="V593" s="26">
        <f>VLOOKUP(R593,CPI!$A$2:$E$67,5,0)</f>
        <v>1.560174091</v>
      </c>
      <c r="W593" s="27">
        <f t="shared" si="3"/>
        <v>6600.487488</v>
      </c>
      <c r="X593" s="27">
        <f t="shared" si="4"/>
        <v>445.9788843</v>
      </c>
      <c r="Y593" s="26" t="s">
        <v>60</v>
      </c>
      <c r="Z593" s="53" t="s">
        <v>1826</v>
      </c>
      <c r="AA593" s="178"/>
      <c r="AB593" s="172"/>
      <c r="AC593" s="172"/>
      <c r="AD593" s="172"/>
    </row>
    <row r="594">
      <c r="A594" s="26" t="s">
        <v>1812</v>
      </c>
      <c r="B594" s="26" t="s">
        <v>1824</v>
      </c>
      <c r="C594" s="1" t="s">
        <v>1828</v>
      </c>
      <c r="D594" s="26" t="s">
        <v>1828</v>
      </c>
      <c r="E594" s="25">
        <v>2002.0</v>
      </c>
      <c r="F594" s="25">
        <v>2013.0</v>
      </c>
      <c r="G594" s="25">
        <v>0.0</v>
      </c>
      <c r="H594" s="25">
        <v>6.5</v>
      </c>
      <c r="I594" s="50">
        <v>1.0</v>
      </c>
      <c r="J594" s="25">
        <v>6.5</v>
      </c>
      <c r="K594" s="51">
        <v>0.0</v>
      </c>
      <c r="L594" s="51">
        <v>0.0</v>
      </c>
      <c r="M594" s="58">
        <v>7.0</v>
      </c>
      <c r="N594" s="26"/>
      <c r="O594" s="26" t="s">
        <v>42</v>
      </c>
      <c r="P594" s="52">
        <v>39000.0</v>
      </c>
      <c r="Q594" s="26" t="s">
        <v>1815</v>
      </c>
      <c r="R594" s="25">
        <v>2007.0</v>
      </c>
      <c r="S594" s="25">
        <v>0.0664</v>
      </c>
      <c r="T594" s="25">
        <f t="shared" si="25"/>
        <v>2589.6</v>
      </c>
      <c r="U594" s="24">
        <f t="shared" si="2"/>
        <v>398.4</v>
      </c>
      <c r="V594" s="26">
        <f>VLOOKUP(R594,CPI!$A$2:$E$67,5,0)</f>
        <v>1.469562366</v>
      </c>
      <c r="W594" s="27">
        <f t="shared" si="3"/>
        <v>3805.578702</v>
      </c>
      <c r="X594" s="27">
        <f t="shared" si="4"/>
        <v>585.4736464</v>
      </c>
      <c r="Y594" s="26" t="s">
        <v>42</v>
      </c>
      <c r="Z594" s="53" t="s">
        <v>1829</v>
      </c>
      <c r="AA594" s="130"/>
      <c r="AB594" s="130"/>
      <c r="AC594" s="130"/>
      <c r="AD594" s="130"/>
    </row>
    <row r="595">
      <c r="A595" s="26" t="s">
        <v>1812</v>
      </c>
      <c r="B595" s="26" t="s">
        <v>1824</v>
      </c>
      <c r="C595" s="1" t="s">
        <v>1828</v>
      </c>
      <c r="D595" s="26" t="s">
        <v>1835</v>
      </c>
      <c r="E595" s="25">
        <v>2016.0</v>
      </c>
      <c r="F595" s="25">
        <v>2022.0</v>
      </c>
      <c r="G595" s="25">
        <v>0.0</v>
      </c>
      <c r="H595" s="25">
        <v>1.4</v>
      </c>
      <c r="I595" s="50">
        <v>1.0</v>
      </c>
      <c r="J595" s="25">
        <v>1.4</v>
      </c>
      <c r="K595" s="51">
        <v>0.0</v>
      </c>
      <c r="L595" s="51">
        <v>0.0</v>
      </c>
      <c r="M595" s="25">
        <v>1.0</v>
      </c>
      <c r="N595" s="26"/>
      <c r="O595" s="26" t="s">
        <v>60</v>
      </c>
      <c r="P595" s="52">
        <v>9000.0</v>
      </c>
      <c r="Q595" s="26" t="s">
        <v>1815</v>
      </c>
      <c r="R595" s="25">
        <v>2019.0</v>
      </c>
      <c r="S595" s="25">
        <v>0.0664</v>
      </c>
      <c r="T595" s="25">
        <f t="shared" si="25"/>
        <v>597.6</v>
      </c>
      <c r="U595" s="24">
        <f t="shared" si="2"/>
        <v>426.8571429</v>
      </c>
      <c r="V595" s="26">
        <f>VLOOKUP(R595,CPI!$A$2:$E$67,5,0)</f>
        <v>1.191839066</v>
      </c>
      <c r="W595" s="27">
        <f t="shared" si="3"/>
        <v>712.2430256</v>
      </c>
      <c r="X595" s="27">
        <f t="shared" si="4"/>
        <v>508.7450183</v>
      </c>
      <c r="Y595" s="26" t="s">
        <v>60</v>
      </c>
      <c r="Z595" s="53" t="s">
        <v>1836</v>
      </c>
      <c r="AA595" s="130"/>
      <c r="AB595" s="130"/>
      <c r="AC595" s="130"/>
      <c r="AD595" s="130"/>
    </row>
    <row r="596">
      <c r="A596" s="34" t="s">
        <v>1872</v>
      </c>
      <c r="B596" s="34" t="s">
        <v>1878</v>
      </c>
      <c r="C596" s="34" t="s">
        <v>1879</v>
      </c>
      <c r="D596" s="34" t="s">
        <v>1879</v>
      </c>
      <c r="E596" s="34">
        <v>2011.0</v>
      </c>
      <c r="F596" s="34">
        <v>2026.0</v>
      </c>
      <c r="G596" s="34">
        <v>0.0</v>
      </c>
      <c r="H596" s="34">
        <v>32.0</v>
      </c>
      <c r="I596" s="368">
        <v>0.0</v>
      </c>
      <c r="J596" s="34">
        <v>0.0</v>
      </c>
      <c r="K596" s="369">
        <v>0.0</v>
      </c>
      <c r="L596" s="369">
        <v>0.0</v>
      </c>
      <c r="M596" s="34">
        <v>21.0</v>
      </c>
      <c r="N596" s="34"/>
      <c r="O596" s="34" t="s">
        <v>36</v>
      </c>
      <c r="P596" s="371">
        <v>11371.0</v>
      </c>
      <c r="Q596" s="34" t="s">
        <v>37</v>
      </c>
      <c r="R596" s="367">
        <v>2018.0</v>
      </c>
      <c r="S596" s="34">
        <v>1.0</v>
      </c>
      <c r="T596" s="25">
        <f t="shared" si="25"/>
        <v>11371</v>
      </c>
      <c r="U596" s="24">
        <f t="shared" si="2"/>
        <v>355.34375</v>
      </c>
      <c r="V596" s="26">
        <f>VLOOKUP(R596,CPI!$A$2:$E$67,5,0)</f>
        <v>1.21343491</v>
      </c>
      <c r="W596" s="27">
        <f t="shared" si="3"/>
        <v>13797.96836</v>
      </c>
      <c r="X596" s="27">
        <f t="shared" si="4"/>
        <v>431.1865114</v>
      </c>
      <c r="Y596" s="367" t="s">
        <v>42</v>
      </c>
      <c r="Z596" s="372" t="s">
        <v>1880</v>
      </c>
      <c r="AA596" s="6"/>
      <c r="AB596" s="6"/>
      <c r="AC596" s="6"/>
      <c r="AD596" s="6"/>
    </row>
    <row r="597">
      <c r="A597" s="34" t="s">
        <v>1872</v>
      </c>
      <c r="B597" s="34" t="s">
        <v>1881</v>
      </c>
      <c r="C597" s="34" t="s">
        <v>1882</v>
      </c>
      <c r="D597" s="34" t="s">
        <v>1882</v>
      </c>
      <c r="E597" s="34">
        <v>2014.0</v>
      </c>
      <c r="F597" s="367">
        <v>2022.0</v>
      </c>
      <c r="G597" s="34">
        <v>0.0</v>
      </c>
      <c r="H597" s="34">
        <v>13.7</v>
      </c>
      <c r="I597" s="368">
        <v>0.34</v>
      </c>
      <c r="J597" s="34">
        <v>4.7</v>
      </c>
      <c r="K597" s="369">
        <v>0.0</v>
      </c>
      <c r="L597" s="369">
        <v>0.0</v>
      </c>
      <c r="M597" s="34">
        <v>9.0</v>
      </c>
      <c r="N597" s="34"/>
      <c r="O597" s="34" t="s">
        <v>74</v>
      </c>
      <c r="P597" s="370">
        <v>2100.0</v>
      </c>
      <c r="Q597" s="34" t="s">
        <v>37</v>
      </c>
      <c r="R597" s="34">
        <v>2017.0</v>
      </c>
      <c r="S597" s="34">
        <v>1.0</v>
      </c>
      <c r="T597" s="58">
        <v>2058.0</v>
      </c>
      <c r="U597" s="24">
        <f t="shared" si="2"/>
        <v>150.2189781</v>
      </c>
      <c r="V597" s="26">
        <f>VLOOKUP(R597,CPI!$A$2:$E$67,5,0)</f>
        <v>1.243072781</v>
      </c>
      <c r="W597" s="27">
        <f t="shared" si="3"/>
        <v>2558.243783</v>
      </c>
      <c r="X597" s="27">
        <f t="shared" si="4"/>
        <v>186.7331228</v>
      </c>
      <c r="Y597" s="34" t="s">
        <v>42</v>
      </c>
      <c r="Z597" s="372" t="s">
        <v>1883</v>
      </c>
      <c r="AA597" s="6"/>
      <c r="AB597" s="6"/>
      <c r="AC597" s="6"/>
      <c r="AD597" s="6"/>
    </row>
    <row r="598">
      <c r="A598" s="26" t="s">
        <v>1872</v>
      </c>
      <c r="B598" s="26" t="s">
        <v>1893</v>
      </c>
      <c r="C598" s="26" t="s">
        <v>1894</v>
      </c>
      <c r="D598" s="26" t="s">
        <v>1894</v>
      </c>
      <c r="E598" s="25">
        <v>2009.0</v>
      </c>
      <c r="F598" s="25">
        <v>2012.0</v>
      </c>
      <c r="G598" s="25">
        <v>0.0</v>
      </c>
      <c r="H598" s="25">
        <v>3.9</v>
      </c>
      <c r="I598" s="50">
        <v>0.0</v>
      </c>
      <c r="J598" s="25">
        <v>0.0</v>
      </c>
      <c r="K598" s="58">
        <v>3.9</v>
      </c>
      <c r="L598" s="51">
        <v>0.0</v>
      </c>
      <c r="M598" s="25">
        <v>1.0</v>
      </c>
      <c r="N598" s="26"/>
      <c r="O598" s="26" t="s">
        <v>60</v>
      </c>
      <c r="P598" s="52">
        <v>506.0</v>
      </c>
      <c r="Q598" s="26" t="s">
        <v>37</v>
      </c>
      <c r="R598" s="25">
        <v>2010.0</v>
      </c>
      <c r="S598" s="25">
        <v>1.0</v>
      </c>
      <c r="T598" s="25">
        <f t="shared" ref="T598:T885" si="28">P598*S598</f>
        <v>506</v>
      </c>
      <c r="U598" s="24">
        <f t="shared" si="2"/>
        <v>129.7435897</v>
      </c>
      <c r="V598" s="26">
        <f>VLOOKUP(R598,CPI!$A$2:$E$67,5,0)</f>
        <v>1.397356642</v>
      </c>
      <c r="W598" s="27">
        <f t="shared" si="3"/>
        <v>707.062461</v>
      </c>
      <c r="X598" s="27">
        <f t="shared" si="4"/>
        <v>181.2980669</v>
      </c>
      <c r="Y598" s="26" t="s">
        <v>60</v>
      </c>
      <c r="Z598" s="53" t="s">
        <v>1895</v>
      </c>
      <c r="AA598" s="373"/>
      <c r="AB598" s="373"/>
      <c r="AC598" s="373"/>
      <c r="AD598" s="373"/>
    </row>
    <row r="599">
      <c r="A599" s="26" t="s">
        <v>1872</v>
      </c>
      <c r="B599" s="26" t="s">
        <v>1917</v>
      </c>
      <c r="C599" s="26" t="s">
        <v>2093</v>
      </c>
      <c r="D599" s="26" t="s">
        <v>2093</v>
      </c>
      <c r="E599" s="25">
        <v>2026.0</v>
      </c>
      <c r="F599" s="25">
        <v>2036.0</v>
      </c>
      <c r="G599" s="25">
        <v>0.0</v>
      </c>
      <c r="H599" s="25">
        <v>19.0</v>
      </c>
      <c r="I599" s="50">
        <v>0.32</v>
      </c>
      <c r="J599" s="25">
        <v>6.0</v>
      </c>
      <c r="K599" s="51">
        <v>0.0</v>
      </c>
      <c r="L599" s="51">
        <v>0.0</v>
      </c>
      <c r="M599" s="25">
        <v>13.0</v>
      </c>
      <c r="N599" s="26"/>
      <c r="O599" s="26" t="s">
        <v>60</v>
      </c>
      <c r="P599" s="52">
        <v>12341.0</v>
      </c>
      <c r="Q599" s="26" t="s">
        <v>37</v>
      </c>
      <c r="R599" s="25">
        <v>2020.0</v>
      </c>
      <c r="S599" s="25">
        <v>1.0</v>
      </c>
      <c r="T599" s="25">
        <f t="shared" si="28"/>
        <v>12341</v>
      </c>
      <c r="U599" s="24">
        <f t="shared" si="2"/>
        <v>649.5263158</v>
      </c>
      <c r="V599" s="26">
        <f>VLOOKUP(R599,CPI!$A$2:$E$67,5,0)</f>
        <v>1.17731472</v>
      </c>
      <c r="W599" s="27">
        <f t="shared" si="3"/>
        <v>14529.24096</v>
      </c>
      <c r="X599" s="27">
        <f t="shared" si="4"/>
        <v>764.6968926</v>
      </c>
      <c r="Y599" s="26" t="s">
        <v>60</v>
      </c>
      <c r="Z599" s="53" t="s">
        <v>2094</v>
      </c>
      <c r="AA599" s="6"/>
      <c r="AB599" s="6"/>
      <c r="AC599" s="6"/>
      <c r="AD599" s="6"/>
    </row>
    <row r="600">
      <c r="A600" s="26" t="s">
        <v>1872</v>
      </c>
      <c r="B600" s="26" t="s">
        <v>1924</v>
      </c>
      <c r="C600" s="1" t="s">
        <v>1925</v>
      </c>
      <c r="D600" s="26" t="s">
        <v>1926</v>
      </c>
      <c r="E600" s="25">
        <v>2009.0</v>
      </c>
      <c r="F600" s="25">
        <v>2014.0</v>
      </c>
      <c r="G600" s="25">
        <v>0.0</v>
      </c>
      <c r="H600" s="25">
        <v>18.8</v>
      </c>
      <c r="I600" s="50">
        <v>0.04</v>
      </c>
      <c r="J600" s="25">
        <v>0.7</v>
      </c>
      <c r="K600" s="51">
        <v>0.0</v>
      </c>
      <c r="L600" s="51">
        <v>0.0</v>
      </c>
      <c r="M600" s="25">
        <v>5.0</v>
      </c>
      <c r="N600" s="26"/>
      <c r="O600" s="26" t="s">
        <v>59</v>
      </c>
      <c r="P600" s="52">
        <v>2982.0</v>
      </c>
      <c r="Q600" s="26" t="s">
        <v>37</v>
      </c>
      <c r="R600" s="25">
        <v>2011.0</v>
      </c>
      <c r="S600" s="25">
        <v>1.0</v>
      </c>
      <c r="T600" s="25">
        <f t="shared" si="28"/>
        <v>2982</v>
      </c>
      <c r="U600" s="24">
        <f t="shared" si="2"/>
        <v>158.6170213</v>
      </c>
      <c r="V600" s="26">
        <f>VLOOKUP(R600,CPI!$A$2:$E$67,5,0)</f>
        <v>1.354598358</v>
      </c>
      <c r="W600" s="27">
        <f t="shared" si="3"/>
        <v>4039.412303</v>
      </c>
      <c r="X600" s="27">
        <f t="shared" si="4"/>
        <v>214.8623565</v>
      </c>
      <c r="Y600" s="26" t="s">
        <v>60</v>
      </c>
      <c r="Z600" s="57" t="s">
        <v>1927</v>
      </c>
      <c r="AA600" s="6"/>
      <c r="AB600" s="6"/>
      <c r="AC600" s="6"/>
      <c r="AD600" s="6"/>
    </row>
    <row r="601">
      <c r="A601" s="26" t="s">
        <v>1872</v>
      </c>
      <c r="B601" s="26" t="s">
        <v>1924</v>
      </c>
      <c r="C601" s="1" t="s">
        <v>1925</v>
      </c>
      <c r="D601" s="26" t="s">
        <v>1928</v>
      </c>
      <c r="E601" s="25">
        <v>2013.0</v>
      </c>
      <c r="F601" s="58">
        <v>2022.0</v>
      </c>
      <c r="G601" s="25">
        <v>0.0</v>
      </c>
      <c r="H601" s="25">
        <v>18.3</v>
      </c>
      <c r="I601" s="50">
        <v>0.0</v>
      </c>
      <c r="J601" s="25">
        <v>0.0</v>
      </c>
      <c r="K601" s="51">
        <v>0.0</v>
      </c>
      <c r="L601" s="51">
        <v>0.0</v>
      </c>
      <c r="M601" s="25">
        <v>6.0</v>
      </c>
      <c r="N601" s="26"/>
      <c r="O601" s="26" t="s">
        <v>60</v>
      </c>
      <c r="P601" s="55">
        <v>3050.0</v>
      </c>
      <c r="Q601" s="26" t="s">
        <v>37</v>
      </c>
      <c r="R601" s="25">
        <v>2017.0</v>
      </c>
      <c r="S601" s="25">
        <v>1.0</v>
      </c>
      <c r="T601" s="25">
        <f t="shared" si="28"/>
        <v>3050</v>
      </c>
      <c r="U601" s="24">
        <f t="shared" si="2"/>
        <v>166.6666667</v>
      </c>
      <c r="V601" s="26">
        <f>VLOOKUP(R601,CPI!$A$2:$E$67,5,0)</f>
        <v>1.243072781</v>
      </c>
      <c r="W601" s="27">
        <f t="shared" si="3"/>
        <v>3791.371981</v>
      </c>
      <c r="X601" s="27">
        <f t="shared" si="4"/>
        <v>207.1787968</v>
      </c>
      <c r="Y601" s="26" t="s">
        <v>60</v>
      </c>
      <c r="Z601" s="109" t="s">
        <v>1929</v>
      </c>
      <c r="AA601" s="6"/>
      <c r="AB601" s="6"/>
      <c r="AC601" s="6"/>
      <c r="AD601" s="6"/>
    </row>
    <row r="602">
      <c r="A602" s="26" t="s">
        <v>1759</v>
      </c>
      <c r="B602" s="26" t="s">
        <v>1760</v>
      </c>
      <c r="C602" s="26" t="s">
        <v>1761</v>
      </c>
      <c r="D602" s="26" t="s">
        <v>1761</v>
      </c>
      <c r="E602" s="25">
        <v>1996.0</v>
      </c>
      <c r="F602" s="25">
        <v>2010.0</v>
      </c>
      <c r="G602" s="25">
        <v>0.0</v>
      </c>
      <c r="H602" s="25">
        <v>13.9</v>
      </c>
      <c r="I602" s="50">
        <v>0.25</v>
      </c>
      <c r="J602" s="25">
        <v>3.5</v>
      </c>
      <c r="K602" s="51">
        <v>0.0</v>
      </c>
      <c r="L602" s="51">
        <v>0.0</v>
      </c>
      <c r="M602" s="25">
        <v>13.0</v>
      </c>
      <c r="N602" s="26"/>
      <c r="O602" s="26" t="s">
        <v>74</v>
      </c>
      <c r="P602" s="52">
        <v>534.0</v>
      </c>
      <c r="Q602" s="26" t="s">
        <v>37</v>
      </c>
      <c r="R602" s="25">
        <v>2006.0</v>
      </c>
      <c r="S602" s="25">
        <v>2.0</v>
      </c>
      <c r="T602" s="25">
        <f t="shared" si="28"/>
        <v>1068</v>
      </c>
      <c r="U602" s="24">
        <f t="shared" si="2"/>
        <v>76.83453237</v>
      </c>
      <c r="V602" s="26">
        <f>VLOOKUP(R602,CPI!$A$2:$E$67,5,0)</f>
        <v>1.511418651</v>
      </c>
      <c r="W602" s="27">
        <f t="shared" si="3"/>
        <v>1614.195119</v>
      </c>
      <c r="X602" s="27">
        <f t="shared" si="4"/>
        <v>116.1291453</v>
      </c>
      <c r="Y602" s="26" t="s">
        <v>42</v>
      </c>
      <c r="Z602" s="57" t="s">
        <v>1762</v>
      </c>
      <c r="AA602" s="130"/>
      <c r="AB602" s="130"/>
      <c r="AC602" s="130"/>
      <c r="AD602" s="130"/>
    </row>
    <row r="603">
      <c r="A603" s="123" t="s">
        <v>1759</v>
      </c>
      <c r="B603" s="123" t="s">
        <v>1770</v>
      </c>
      <c r="C603" s="123" t="s">
        <v>1780</v>
      </c>
      <c r="D603" s="123" t="s">
        <v>1780</v>
      </c>
      <c r="E603" s="75">
        <v>2013.0</v>
      </c>
      <c r="F603" s="75">
        <v>2015.0</v>
      </c>
      <c r="G603" s="75">
        <v>0.0</v>
      </c>
      <c r="H603" s="75">
        <v>3.3</v>
      </c>
      <c r="I603" s="124">
        <f t="shared" ref="I603:I608" si="29">J603/H603</f>
        <v>1</v>
      </c>
      <c r="J603" s="75">
        <v>3.3</v>
      </c>
      <c r="K603" s="125">
        <v>0.0</v>
      </c>
      <c r="L603" s="125">
        <v>0.0</v>
      </c>
      <c r="M603" s="75">
        <v>4.0</v>
      </c>
      <c r="N603" s="142">
        <v>90.0</v>
      </c>
      <c r="O603" s="123" t="s">
        <v>60</v>
      </c>
      <c r="P603" s="157">
        <v>124.6</v>
      </c>
      <c r="Q603" s="123" t="s">
        <v>37</v>
      </c>
      <c r="R603" s="75">
        <v>2014.0</v>
      </c>
      <c r="S603" s="75">
        <v>2.0</v>
      </c>
      <c r="T603" s="75">
        <f t="shared" si="28"/>
        <v>249.2</v>
      </c>
      <c r="U603" s="24">
        <f t="shared" si="2"/>
        <v>75.51515152</v>
      </c>
      <c r="V603" s="26">
        <f>VLOOKUP(R603,CPI!$A$2:$E$67,5,0)</f>
        <v>1.287096175</v>
      </c>
      <c r="W603" s="27">
        <f t="shared" si="3"/>
        <v>320.7443667</v>
      </c>
      <c r="X603" s="27">
        <f t="shared" si="4"/>
        <v>97.19526264</v>
      </c>
      <c r="Y603" s="26" t="s">
        <v>60</v>
      </c>
      <c r="Z603" s="354" t="s">
        <v>1781</v>
      </c>
      <c r="AA603" s="130"/>
      <c r="AB603" s="130"/>
      <c r="AC603" s="130"/>
      <c r="AD603" s="130"/>
    </row>
    <row r="604">
      <c r="A604" s="123" t="s">
        <v>1759</v>
      </c>
      <c r="B604" s="123" t="s">
        <v>1770</v>
      </c>
      <c r="C604" s="36" t="s">
        <v>856</v>
      </c>
      <c r="D604" s="123" t="s">
        <v>1791</v>
      </c>
      <c r="E604" s="75">
        <v>2017.0</v>
      </c>
      <c r="F604" s="75">
        <v>2022.0</v>
      </c>
      <c r="G604" s="75">
        <v>0.0</v>
      </c>
      <c r="H604" s="75">
        <v>6.2</v>
      </c>
      <c r="I604" s="124">
        <f t="shared" si="29"/>
        <v>1</v>
      </c>
      <c r="J604" s="75">
        <v>6.2</v>
      </c>
      <c r="K604" s="125">
        <v>0.0</v>
      </c>
      <c r="L604" s="125">
        <v>0.0</v>
      </c>
      <c r="M604" s="75">
        <v>4.0</v>
      </c>
      <c r="N604" s="352">
        <v>180.0</v>
      </c>
      <c r="O604" s="123" t="s">
        <v>60</v>
      </c>
      <c r="P604" s="157">
        <v>205.9</v>
      </c>
      <c r="Q604" s="123" t="s">
        <v>37</v>
      </c>
      <c r="R604" s="75">
        <v>2020.0</v>
      </c>
      <c r="S604" s="152">
        <v>3.3</v>
      </c>
      <c r="T604" s="75">
        <f t="shared" si="28"/>
        <v>679.47</v>
      </c>
      <c r="U604" s="24">
        <f t="shared" si="2"/>
        <v>109.5919355</v>
      </c>
      <c r="V604" s="26">
        <f>VLOOKUP(R604,CPI!$A$2:$E$67,5,0)</f>
        <v>1.17731472</v>
      </c>
      <c r="W604" s="27">
        <f t="shared" si="3"/>
        <v>799.9500328</v>
      </c>
      <c r="X604" s="27">
        <f t="shared" si="4"/>
        <v>129.0241988</v>
      </c>
      <c r="Y604" s="26" t="s">
        <v>60</v>
      </c>
      <c r="Z604" s="354" t="s">
        <v>1792</v>
      </c>
      <c r="AA604" s="130"/>
      <c r="AB604" s="130"/>
      <c r="AC604" s="130"/>
      <c r="AD604" s="130"/>
    </row>
    <row r="605">
      <c r="A605" s="123" t="s">
        <v>1759</v>
      </c>
      <c r="B605" s="123" t="s">
        <v>1770</v>
      </c>
      <c r="C605" s="36" t="s">
        <v>849</v>
      </c>
      <c r="D605" s="123" t="s">
        <v>1805</v>
      </c>
      <c r="E605" s="75">
        <v>2017.0</v>
      </c>
      <c r="F605" s="152">
        <v>2027.0</v>
      </c>
      <c r="G605" s="75">
        <v>0.0</v>
      </c>
      <c r="H605" s="75">
        <v>18.5</v>
      </c>
      <c r="I605" s="124">
        <f t="shared" si="29"/>
        <v>0.972972973</v>
      </c>
      <c r="J605" s="75">
        <v>18.0</v>
      </c>
      <c r="K605" s="125">
        <v>0.0</v>
      </c>
      <c r="L605" s="125">
        <v>0.0</v>
      </c>
      <c r="M605" s="75">
        <v>11.0</v>
      </c>
      <c r="N605" s="142">
        <v>180.0</v>
      </c>
      <c r="O605" s="123" t="s">
        <v>60</v>
      </c>
      <c r="P605" s="157">
        <v>896.3</v>
      </c>
      <c r="Q605" s="123" t="s">
        <v>37</v>
      </c>
      <c r="R605" s="75">
        <v>2020.0</v>
      </c>
      <c r="S605" s="152">
        <v>3.3</v>
      </c>
      <c r="T605" s="75">
        <f t="shared" si="28"/>
        <v>2957.79</v>
      </c>
      <c r="U605" s="24">
        <f t="shared" si="2"/>
        <v>159.8805405</v>
      </c>
      <c r="V605" s="26">
        <f>VLOOKUP(R605,CPI!$A$2:$E$67,5,0)</f>
        <v>1.17731472</v>
      </c>
      <c r="W605" s="27">
        <f t="shared" si="3"/>
        <v>3482.249706</v>
      </c>
      <c r="X605" s="27">
        <f t="shared" si="4"/>
        <v>188.2297138</v>
      </c>
      <c r="Y605" s="26" t="s">
        <v>60</v>
      </c>
      <c r="Z605" s="354" t="s">
        <v>1796</v>
      </c>
      <c r="AA605" s="130"/>
      <c r="AB605" s="130"/>
      <c r="AC605" s="130"/>
      <c r="AD605" s="130"/>
    </row>
    <row r="606">
      <c r="A606" s="123" t="s">
        <v>1759</v>
      </c>
      <c r="B606" s="123" t="s">
        <v>1770</v>
      </c>
      <c r="C606" s="123" t="s">
        <v>1795</v>
      </c>
      <c r="D606" s="123" t="s">
        <v>1795</v>
      </c>
      <c r="E606" s="75">
        <v>2016.0</v>
      </c>
      <c r="F606" s="152">
        <v>2023.0</v>
      </c>
      <c r="G606" s="75">
        <v>0.0</v>
      </c>
      <c r="H606" s="152">
        <v>13.4</v>
      </c>
      <c r="I606" s="124">
        <f t="shared" si="29"/>
        <v>1</v>
      </c>
      <c r="J606" s="152">
        <v>13.4</v>
      </c>
      <c r="K606" s="125">
        <v>0.0</v>
      </c>
      <c r="L606" s="125">
        <v>0.0</v>
      </c>
      <c r="M606" s="75">
        <v>12.0</v>
      </c>
      <c r="N606" s="142">
        <v>90.0</v>
      </c>
      <c r="O606" s="123" t="s">
        <v>60</v>
      </c>
      <c r="P606" s="157">
        <v>386.7</v>
      </c>
      <c r="Q606" s="123" t="s">
        <v>37</v>
      </c>
      <c r="R606" s="75">
        <v>2020.0</v>
      </c>
      <c r="S606" s="152">
        <v>3.3</v>
      </c>
      <c r="T606" s="75">
        <f t="shared" si="28"/>
        <v>1276.11</v>
      </c>
      <c r="U606" s="24">
        <f t="shared" si="2"/>
        <v>95.23208955</v>
      </c>
      <c r="V606" s="26">
        <f>VLOOKUP(R606,CPI!$A$2:$E$67,5,0)</f>
        <v>1.17731472</v>
      </c>
      <c r="W606" s="27">
        <f t="shared" si="3"/>
        <v>1502.383087</v>
      </c>
      <c r="X606" s="27">
        <f t="shared" si="4"/>
        <v>112.1181408</v>
      </c>
      <c r="Y606" s="26" t="s">
        <v>60</v>
      </c>
      <c r="Z606" s="354" t="s">
        <v>1796</v>
      </c>
      <c r="AA606" s="130"/>
      <c r="AB606" s="130"/>
      <c r="AC606" s="130"/>
      <c r="AD606" s="130"/>
    </row>
    <row r="607">
      <c r="A607" s="123" t="s">
        <v>1759</v>
      </c>
      <c r="B607" s="123" t="s">
        <v>1770</v>
      </c>
      <c r="C607" s="36" t="s">
        <v>866</v>
      </c>
      <c r="D607" s="123" t="s">
        <v>1777</v>
      </c>
      <c r="E607" s="75">
        <v>1987.0</v>
      </c>
      <c r="F607" s="75">
        <v>2014.0</v>
      </c>
      <c r="G607" s="75">
        <v>0.0</v>
      </c>
      <c r="H607" s="75">
        <v>26.6</v>
      </c>
      <c r="I607" s="124">
        <f t="shared" si="29"/>
        <v>0.3646616541</v>
      </c>
      <c r="J607" s="75">
        <v>9.7</v>
      </c>
      <c r="K607" s="125">
        <v>0.0</v>
      </c>
      <c r="L607" s="125">
        <v>0.0</v>
      </c>
      <c r="M607" s="75">
        <v>23.0</v>
      </c>
      <c r="N607" s="142" t="s">
        <v>1778</v>
      </c>
      <c r="O607" s="123" t="s">
        <v>60</v>
      </c>
      <c r="P607" s="157">
        <v>882.0</v>
      </c>
      <c r="Q607" s="123" t="s">
        <v>37</v>
      </c>
      <c r="R607" s="75">
        <v>2000.0</v>
      </c>
      <c r="S607" s="75">
        <v>2.2</v>
      </c>
      <c r="T607" s="75">
        <f t="shared" si="28"/>
        <v>1940.4</v>
      </c>
      <c r="U607" s="24">
        <f t="shared" si="2"/>
        <v>72.94736842</v>
      </c>
      <c r="V607" s="26">
        <f>VLOOKUP(R607,CPI!$A$2:$E$67,5,0)</f>
        <v>1.769465738</v>
      </c>
      <c r="W607" s="27">
        <f t="shared" si="3"/>
        <v>3433.471317</v>
      </c>
      <c r="X607" s="27">
        <f t="shared" si="4"/>
        <v>129.0778691</v>
      </c>
      <c r="Y607" s="26" t="s">
        <v>60</v>
      </c>
      <c r="Z607" s="72"/>
      <c r="AA607" s="178"/>
      <c r="AB607" s="172"/>
      <c r="AC607" s="172"/>
      <c r="AD607" s="172"/>
    </row>
    <row r="608">
      <c r="A608" s="142" t="s">
        <v>992</v>
      </c>
      <c r="B608" s="142" t="s">
        <v>1041</v>
      </c>
      <c r="C608" s="123" t="s">
        <v>1047</v>
      </c>
      <c r="D608" s="123" t="s">
        <v>1047</v>
      </c>
      <c r="E608" s="152">
        <v>2016.0</v>
      </c>
      <c r="F608" s="152">
        <v>2028.0</v>
      </c>
      <c r="G608" s="152">
        <v>1.0</v>
      </c>
      <c r="H608" s="75">
        <v>7.2</v>
      </c>
      <c r="I608" s="124">
        <f t="shared" si="29"/>
        <v>1</v>
      </c>
      <c r="J608" s="152">
        <v>7.2</v>
      </c>
      <c r="K608" s="152">
        <v>0.0</v>
      </c>
      <c r="L608" s="152">
        <v>0.0</v>
      </c>
      <c r="M608" s="152">
        <v>3.0</v>
      </c>
      <c r="N608" s="142">
        <v>210.0</v>
      </c>
      <c r="O608" s="142" t="s">
        <v>60</v>
      </c>
      <c r="P608" s="157">
        <v>3849.0</v>
      </c>
      <c r="Q608" s="123" t="s">
        <v>52</v>
      </c>
      <c r="R608" s="152">
        <v>2020.0</v>
      </c>
      <c r="S608" s="152">
        <v>1.35</v>
      </c>
      <c r="T608" s="75">
        <f t="shared" si="28"/>
        <v>5196.15</v>
      </c>
      <c r="U608" s="24">
        <f t="shared" si="2"/>
        <v>721.6875</v>
      </c>
      <c r="V608" s="26">
        <f>VLOOKUP(R608,CPI!$A$2:$E$67,5,0)</f>
        <v>1.17731472</v>
      </c>
      <c r="W608" s="27">
        <f t="shared" si="3"/>
        <v>6117.503882</v>
      </c>
      <c r="X608" s="27">
        <f t="shared" si="4"/>
        <v>849.653317</v>
      </c>
      <c r="Y608" s="63" t="s">
        <v>60</v>
      </c>
      <c r="Z608" s="252" t="s">
        <v>1048</v>
      </c>
      <c r="AA608" s="178"/>
      <c r="AB608" s="172"/>
      <c r="AC608" s="172"/>
      <c r="AD608" s="172"/>
    </row>
    <row r="609">
      <c r="A609" s="123" t="s">
        <v>1759</v>
      </c>
      <c r="B609" s="123" t="s">
        <v>1770</v>
      </c>
      <c r="C609" s="36" t="s">
        <v>866</v>
      </c>
      <c r="D609" s="123" t="s">
        <v>1804</v>
      </c>
      <c r="E609" s="152">
        <v>2017.0</v>
      </c>
      <c r="F609" s="152">
        <v>2027.0</v>
      </c>
      <c r="G609" s="75">
        <v>0.0</v>
      </c>
      <c r="H609" s="75">
        <v>9.7</v>
      </c>
      <c r="I609" s="244">
        <v>0.95</v>
      </c>
      <c r="J609" s="152">
        <v>9.3</v>
      </c>
      <c r="K609" s="75">
        <v>0.0</v>
      </c>
      <c r="L609" s="75">
        <v>0.0</v>
      </c>
      <c r="M609" s="152">
        <v>10.0</v>
      </c>
      <c r="N609" s="142">
        <v>125.0</v>
      </c>
      <c r="O609" s="142" t="s">
        <v>60</v>
      </c>
      <c r="P609" s="245">
        <v>786.0</v>
      </c>
      <c r="Q609" s="123" t="s">
        <v>37</v>
      </c>
      <c r="R609" s="75">
        <v>2020.0</v>
      </c>
      <c r="S609" s="152">
        <v>3.3</v>
      </c>
      <c r="T609" s="75">
        <f t="shared" si="28"/>
        <v>2593.8</v>
      </c>
      <c r="U609" s="24">
        <f t="shared" si="2"/>
        <v>267.4020619</v>
      </c>
      <c r="V609" s="26">
        <f>VLOOKUP(R609,CPI!$A$2:$E$67,5,0)</f>
        <v>1.17731472</v>
      </c>
      <c r="W609" s="27">
        <f t="shared" si="3"/>
        <v>3053.718921</v>
      </c>
      <c r="X609" s="27">
        <f t="shared" si="4"/>
        <v>314.8163836</v>
      </c>
      <c r="Y609" s="26" t="s">
        <v>42</v>
      </c>
      <c r="Z609" s="354" t="s">
        <v>1790</v>
      </c>
      <c r="AA609" s="173"/>
      <c r="AB609" s="174"/>
      <c r="AC609" s="174"/>
      <c r="AD609" s="174"/>
    </row>
    <row r="610">
      <c r="A610" s="123" t="s">
        <v>1759</v>
      </c>
      <c r="B610" s="123" t="s">
        <v>1770</v>
      </c>
      <c r="C610" s="123" t="s">
        <v>1801</v>
      </c>
      <c r="D610" s="123" t="s">
        <v>1801</v>
      </c>
      <c r="E610" s="152">
        <v>2017.0</v>
      </c>
      <c r="F610" s="152">
        <v>2024.0</v>
      </c>
      <c r="G610" s="75">
        <v>0.0</v>
      </c>
      <c r="H610" s="75">
        <v>14.0</v>
      </c>
      <c r="I610" s="124">
        <v>1.0</v>
      </c>
      <c r="J610" s="152">
        <v>14.0</v>
      </c>
      <c r="K610" s="75">
        <v>0.0</v>
      </c>
      <c r="L610" s="75">
        <v>0.0</v>
      </c>
      <c r="M610" s="75">
        <v>8.0</v>
      </c>
      <c r="N610" s="142">
        <v>180.0</v>
      </c>
      <c r="O610" s="142" t="s">
        <v>60</v>
      </c>
      <c r="P610" s="157">
        <v>344.0</v>
      </c>
      <c r="Q610" s="123" t="s">
        <v>37</v>
      </c>
      <c r="R610" s="75">
        <v>2020.0</v>
      </c>
      <c r="S610" s="152">
        <v>3.3</v>
      </c>
      <c r="T610" s="75">
        <f t="shared" si="28"/>
        <v>1135.2</v>
      </c>
      <c r="U610" s="24">
        <f t="shared" si="2"/>
        <v>81.08571429</v>
      </c>
      <c r="V610" s="26">
        <f>VLOOKUP(R610,CPI!$A$2:$E$67,5,0)</f>
        <v>1.17731472</v>
      </c>
      <c r="W610" s="27">
        <f t="shared" si="3"/>
        <v>1336.48767</v>
      </c>
      <c r="X610" s="27">
        <f t="shared" si="4"/>
        <v>95.46340501</v>
      </c>
      <c r="Y610" s="26" t="s">
        <v>42</v>
      </c>
      <c r="Z610" s="354" t="s">
        <v>1790</v>
      </c>
      <c r="AA610" s="7"/>
      <c r="AB610" s="7"/>
      <c r="AC610" s="7"/>
      <c r="AD610" s="7"/>
    </row>
    <row r="611">
      <c r="A611" s="142" t="s">
        <v>1539</v>
      </c>
      <c r="B611" s="142" t="s">
        <v>1540</v>
      </c>
      <c r="C611" s="142" t="s">
        <v>1541</v>
      </c>
      <c r="D611" s="142" t="s">
        <v>1541</v>
      </c>
      <c r="E611" s="152">
        <v>2018.0</v>
      </c>
      <c r="F611" s="152">
        <v>2023.0</v>
      </c>
      <c r="G611" s="152">
        <v>1.0</v>
      </c>
      <c r="H611" s="152">
        <v>5.25</v>
      </c>
      <c r="I611" s="244">
        <v>1.0</v>
      </c>
      <c r="J611" s="152">
        <v>5.25</v>
      </c>
      <c r="K611" s="75">
        <v>0.0</v>
      </c>
      <c r="L611" s="75">
        <v>0.0</v>
      </c>
      <c r="M611" s="152">
        <v>2.0</v>
      </c>
      <c r="N611" s="142"/>
      <c r="O611" s="142" t="s">
        <v>74</v>
      </c>
      <c r="P611" s="245">
        <v>1760.0</v>
      </c>
      <c r="Q611" s="142" t="s">
        <v>1542</v>
      </c>
      <c r="R611" s="152">
        <v>2020.0</v>
      </c>
      <c r="S611" s="152">
        <v>0.561</v>
      </c>
      <c r="T611" s="75">
        <f t="shared" si="28"/>
        <v>987.36</v>
      </c>
      <c r="U611" s="24">
        <f t="shared" si="2"/>
        <v>188.0685714</v>
      </c>
      <c r="V611" s="26">
        <f>VLOOKUP(R611,CPI!$A$2:$E$67,5,0)</f>
        <v>1.17731472</v>
      </c>
      <c r="W611" s="27">
        <f t="shared" si="3"/>
        <v>1162.433462</v>
      </c>
      <c r="X611" s="27">
        <f t="shared" si="4"/>
        <v>221.4158975</v>
      </c>
      <c r="Y611" s="63" t="s">
        <v>36</v>
      </c>
      <c r="Z611" s="246" t="s">
        <v>1543</v>
      </c>
      <c r="AA611" s="7"/>
      <c r="AB611" s="7"/>
      <c r="AC611" s="7"/>
      <c r="AD611" s="7"/>
    </row>
    <row r="612">
      <c r="A612" s="142" t="s">
        <v>1165</v>
      </c>
      <c r="B612" s="142" t="s">
        <v>1174</v>
      </c>
      <c r="C612" s="142" t="s">
        <v>1175</v>
      </c>
      <c r="D612" s="142" t="s">
        <v>1176</v>
      </c>
      <c r="E612" s="152">
        <v>1991.0</v>
      </c>
      <c r="F612" s="152">
        <v>1995.0</v>
      </c>
      <c r="G612" s="152">
        <v>1.0</v>
      </c>
      <c r="H612" s="152">
        <v>2.5</v>
      </c>
      <c r="I612" s="244">
        <v>1.0</v>
      </c>
      <c r="J612" s="152">
        <v>2.5</v>
      </c>
      <c r="K612" s="152">
        <v>0.0</v>
      </c>
      <c r="L612" s="152">
        <v>0.0</v>
      </c>
      <c r="M612" s="152">
        <v>0.0</v>
      </c>
      <c r="N612" s="142"/>
      <c r="O612" s="142" t="s">
        <v>60</v>
      </c>
      <c r="P612" s="245">
        <v>321.0</v>
      </c>
      <c r="Q612" s="142" t="s">
        <v>52</v>
      </c>
      <c r="R612" s="152">
        <v>2003.0</v>
      </c>
      <c r="S612" s="152">
        <v>1.25</v>
      </c>
      <c r="T612" s="75">
        <f t="shared" si="28"/>
        <v>401.25</v>
      </c>
      <c r="U612" s="24">
        <f t="shared" si="2"/>
        <v>160.5</v>
      </c>
      <c r="V612" s="26">
        <f>VLOOKUP(R612,CPI!$A$2:$E$67,5,0)</f>
        <v>1.65598913</v>
      </c>
      <c r="W612" s="27">
        <f t="shared" si="3"/>
        <v>664.4656386</v>
      </c>
      <c r="X612" s="27">
        <f t="shared" si="4"/>
        <v>265.7862554</v>
      </c>
      <c r="Y612" s="63" t="s">
        <v>60</v>
      </c>
      <c r="Z612" s="246" t="s">
        <v>1177</v>
      </c>
      <c r="AA612" s="7"/>
      <c r="AB612" s="7"/>
      <c r="AC612" s="7"/>
      <c r="AD612" s="7"/>
    </row>
    <row r="613">
      <c r="A613" s="142" t="s">
        <v>1812</v>
      </c>
      <c r="B613" s="142" t="s">
        <v>1824</v>
      </c>
      <c r="C613" s="142" t="s">
        <v>1848</v>
      </c>
      <c r="D613" s="142" t="s">
        <v>1848</v>
      </c>
      <c r="E613" s="152">
        <v>2023.0</v>
      </c>
      <c r="F613" s="152">
        <v>2032.0</v>
      </c>
      <c r="G613" s="152">
        <v>0.0</v>
      </c>
      <c r="H613" s="152">
        <v>16.0</v>
      </c>
      <c r="I613" s="244">
        <v>0.1</v>
      </c>
      <c r="J613" s="152">
        <v>1.6</v>
      </c>
      <c r="K613" s="152">
        <v>12.8</v>
      </c>
      <c r="L613" s="152">
        <v>1.6</v>
      </c>
      <c r="M613" s="152">
        <v>13.0</v>
      </c>
      <c r="N613" s="142"/>
      <c r="O613" s="142" t="s">
        <v>42</v>
      </c>
      <c r="P613" s="245">
        <v>42500.0</v>
      </c>
      <c r="Q613" s="142" t="s">
        <v>1815</v>
      </c>
      <c r="R613" s="152">
        <v>2027.0</v>
      </c>
      <c r="S613" s="152">
        <v>0.0664</v>
      </c>
      <c r="T613" s="75">
        <f t="shared" si="28"/>
        <v>2822</v>
      </c>
      <c r="U613" s="24">
        <f t="shared" si="2"/>
        <v>176.375</v>
      </c>
      <c r="V613" s="26">
        <f>VLOOKUP(R613,CPI!$A$2:$E$67,5,0)</f>
        <v>1</v>
      </c>
      <c r="W613" s="27">
        <f t="shared" si="3"/>
        <v>2822</v>
      </c>
      <c r="X613" s="27">
        <f t="shared" si="4"/>
        <v>176.375</v>
      </c>
      <c r="Y613" s="63" t="s">
        <v>42</v>
      </c>
      <c r="Z613" s="246" t="s">
        <v>1849</v>
      </c>
      <c r="AA613" s="7"/>
      <c r="AB613" s="7"/>
      <c r="AC613" s="7"/>
      <c r="AD613" s="7"/>
    </row>
    <row r="614">
      <c r="A614" s="142" t="s">
        <v>981</v>
      </c>
      <c r="B614" s="142" t="s">
        <v>982</v>
      </c>
      <c r="C614" s="16" t="s">
        <v>983</v>
      </c>
      <c r="D614" s="142" t="s">
        <v>984</v>
      </c>
      <c r="E614" s="152">
        <v>2004.0</v>
      </c>
      <c r="F614" s="152">
        <v>2008.0</v>
      </c>
      <c r="G614" s="152">
        <v>0.0</v>
      </c>
      <c r="H614" s="152">
        <v>4.6</v>
      </c>
      <c r="I614" s="244">
        <v>1.0</v>
      </c>
      <c r="J614" s="152">
        <v>4.6</v>
      </c>
      <c r="K614" s="152">
        <v>0.0</v>
      </c>
      <c r="L614" s="152">
        <v>0.0</v>
      </c>
      <c r="M614" s="152">
        <v>3.0</v>
      </c>
      <c r="N614" s="142">
        <v>97.0</v>
      </c>
      <c r="O614" s="142" t="s">
        <v>74</v>
      </c>
      <c r="P614" s="245">
        <v>15000.0</v>
      </c>
      <c r="Q614" s="142" t="s">
        <v>985</v>
      </c>
      <c r="R614" s="152">
        <v>2006.0</v>
      </c>
      <c r="S614" s="152">
        <v>0.069</v>
      </c>
      <c r="T614" s="75">
        <f t="shared" si="28"/>
        <v>1035</v>
      </c>
      <c r="U614" s="24">
        <f t="shared" si="2"/>
        <v>225</v>
      </c>
      <c r="V614" s="26">
        <f>VLOOKUP(R614,CPI!$A$2:$E$67,5,0)</f>
        <v>1.511418651</v>
      </c>
      <c r="W614" s="27">
        <f t="shared" si="3"/>
        <v>1564.318304</v>
      </c>
      <c r="X614" s="27">
        <f t="shared" si="4"/>
        <v>340.0691964</v>
      </c>
      <c r="Y614" s="63" t="s">
        <v>42</v>
      </c>
      <c r="Z614" s="246" t="s">
        <v>986</v>
      </c>
      <c r="AA614" s="7"/>
      <c r="AB614" s="7"/>
      <c r="AC614" s="7"/>
      <c r="AD614" s="7"/>
    </row>
    <row r="615">
      <c r="A615" s="142" t="s">
        <v>981</v>
      </c>
      <c r="B615" s="142" t="s">
        <v>982</v>
      </c>
      <c r="C615" s="142" t="s">
        <v>990</v>
      </c>
      <c r="D615" s="142" t="s">
        <v>990</v>
      </c>
      <c r="E615" s="152">
        <v>2021.0</v>
      </c>
      <c r="F615" s="152">
        <v>2029.0</v>
      </c>
      <c r="G615" s="152">
        <v>0.0</v>
      </c>
      <c r="H615" s="152">
        <v>10.5</v>
      </c>
      <c r="I615" s="244">
        <v>0.9</v>
      </c>
      <c r="J615" s="152">
        <v>9.5</v>
      </c>
      <c r="K615" s="152">
        <v>1.0</v>
      </c>
      <c r="L615" s="152">
        <v>0.0</v>
      </c>
      <c r="M615" s="152">
        <v>10.0</v>
      </c>
      <c r="N615" s="142">
        <v>97.0</v>
      </c>
      <c r="O615" s="142" t="s">
        <v>74</v>
      </c>
      <c r="P615" s="245">
        <v>73000.0</v>
      </c>
      <c r="Q615" s="142" t="s">
        <v>985</v>
      </c>
      <c r="R615" s="152">
        <v>2025.0</v>
      </c>
      <c r="S615" s="152">
        <v>0.0776</v>
      </c>
      <c r="T615" s="75">
        <f t="shared" si="28"/>
        <v>5664.8</v>
      </c>
      <c r="U615" s="24">
        <f t="shared" si="2"/>
        <v>539.5047619</v>
      </c>
      <c r="V615" s="26">
        <f>VLOOKUP(R615,CPI!$A$2:$E$67,5,0)</f>
        <v>1</v>
      </c>
      <c r="W615" s="27">
        <f t="shared" si="3"/>
        <v>5664.8</v>
      </c>
      <c r="X615" s="27">
        <f t="shared" si="4"/>
        <v>539.5047619</v>
      </c>
      <c r="Y615" s="63" t="s">
        <v>42</v>
      </c>
      <c r="Z615" s="246" t="s">
        <v>991</v>
      </c>
      <c r="AA615" s="7"/>
      <c r="AB615" s="7"/>
      <c r="AC615" s="7"/>
      <c r="AD615" s="7"/>
    </row>
    <row r="616">
      <c r="A616" s="142" t="s">
        <v>992</v>
      </c>
      <c r="B616" s="142" t="s">
        <v>1041</v>
      </c>
      <c r="C616" s="16" t="s">
        <v>1044</v>
      </c>
      <c r="D616" s="142" t="s">
        <v>1045</v>
      </c>
      <c r="E616" s="152">
        <v>2004.0</v>
      </c>
      <c r="F616" s="152">
        <v>2010.0</v>
      </c>
      <c r="G616" s="152">
        <v>0.0</v>
      </c>
      <c r="H616" s="152">
        <v>1.7</v>
      </c>
      <c r="I616" s="244">
        <v>1.0</v>
      </c>
      <c r="J616" s="152">
        <v>1.7</v>
      </c>
      <c r="K616" s="152">
        <v>0.0</v>
      </c>
      <c r="L616" s="152">
        <v>0.0</v>
      </c>
      <c r="M616" s="152">
        <v>2.0</v>
      </c>
      <c r="N616" s="142">
        <v>120.0</v>
      </c>
      <c r="O616" s="142" t="s">
        <v>36</v>
      </c>
      <c r="P616" s="245">
        <v>180.0</v>
      </c>
      <c r="Q616" s="142" t="s">
        <v>52</v>
      </c>
      <c r="R616" s="152">
        <v>2007.0</v>
      </c>
      <c r="S616" s="152">
        <v>1.25</v>
      </c>
      <c r="T616" s="75">
        <f t="shared" si="28"/>
        <v>225</v>
      </c>
      <c r="U616" s="24">
        <f t="shared" si="2"/>
        <v>132.3529412</v>
      </c>
      <c r="V616" s="26">
        <f>VLOOKUP(R616,CPI!$A$2:$E$67,5,0)</f>
        <v>1.469562366</v>
      </c>
      <c r="W616" s="27">
        <f t="shared" si="3"/>
        <v>330.6515323</v>
      </c>
      <c r="X616" s="27">
        <f t="shared" si="4"/>
        <v>194.5009013</v>
      </c>
      <c r="Y616" s="63" t="s">
        <v>36</v>
      </c>
      <c r="Z616" s="246" t="s">
        <v>1046</v>
      </c>
      <c r="AA616" s="7"/>
      <c r="AB616" s="7"/>
      <c r="AC616" s="7"/>
      <c r="AD616" s="7"/>
    </row>
    <row r="617">
      <c r="A617" s="142" t="s">
        <v>992</v>
      </c>
      <c r="B617" s="142" t="s">
        <v>1041</v>
      </c>
      <c r="C617" s="16" t="s">
        <v>1032</v>
      </c>
      <c r="D617" s="142" t="s">
        <v>1049</v>
      </c>
      <c r="E617" s="152">
        <v>2022.0</v>
      </c>
      <c r="F617" s="152">
        <v>2029.0</v>
      </c>
      <c r="G617" s="152">
        <v>0.0</v>
      </c>
      <c r="H617" s="152">
        <v>3.8</v>
      </c>
      <c r="I617" s="244">
        <v>1.0</v>
      </c>
      <c r="J617" s="152">
        <v>3.8</v>
      </c>
      <c r="K617" s="152">
        <v>0.0</v>
      </c>
      <c r="L617" s="152">
        <v>0.0</v>
      </c>
      <c r="M617" s="152">
        <v>3.0</v>
      </c>
      <c r="N617" s="142">
        <v>120.0</v>
      </c>
      <c r="O617" s="142" t="s">
        <v>60</v>
      </c>
      <c r="P617" s="245">
        <v>988.0</v>
      </c>
      <c r="Q617" s="142" t="s">
        <v>52</v>
      </c>
      <c r="R617" s="152">
        <v>2025.0</v>
      </c>
      <c r="S617" s="152">
        <v>1.35</v>
      </c>
      <c r="T617" s="75">
        <f t="shared" si="28"/>
        <v>1333.8</v>
      </c>
      <c r="U617" s="24">
        <f t="shared" si="2"/>
        <v>351</v>
      </c>
      <c r="V617" s="26">
        <f>VLOOKUP(R617,CPI!$A$2:$E$67,5,0)</f>
        <v>1</v>
      </c>
      <c r="W617" s="27">
        <f t="shared" si="3"/>
        <v>1333.8</v>
      </c>
      <c r="X617" s="27">
        <f t="shared" si="4"/>
        <v>351</v>
      </c>
      <c r="Y617" s="63" t="s">
        <v>42</v>
      </c>
      <c r="Z617" s="246" t="s">
        <v>1050</v>
      </c>
      <c r="AA617" s="7"/>
      <c r="AB617" s="7"/>
      <c r="AC617" s="7"/>
      <c r="AD617" s="7"/>
    </row>
    <row r="618">
      <c r="A618" s="290" t="s">
        <v>1337</v>
      </c>
      <c r="B618" s="68" t="s">
        <v>1340</v>
      </c>
      <c r="C618" s="68" t="s">
        <v>1341</v>
      </c>
      <c r="D618" s="68" t="s">
        <v>1341</v>
      </c>
      <c r="E618" s="237">
        <v>2001.0</v>
      </c>
      <c r="F618" s="237">
        <v>2016.0</v>
      </c>
      <c r="G618" s="237">
        <v>0.0</v>
      </c>
      <c r="H618" s="36">
        <v>1.9</v>
      </c>
      <c r="I618" s="303">
        <v>1.0</v>
      </c>
      <c r="J618" s="36">
        <v>1.9</v>
      </c>
      <c r="K618" s="237">
        <v>0.0</v>
      </c>
      <c r="L618" s="237">
        <v>0.0</v>
      </c>
      <c r="M618" s="237">
        <v>2.0</v>
      </c>
      <c r="N618" s="237">
        <v>80.0</v>
      </c>
      <c r="O618" s="237" t="s">
        <v>1964</v>
      </c>
      <c r="P618" s="304">
        <v>85.0</v>
      </c>
      <c r="Q618" s="237" t="s">
        <v>52</v>
      </c>
      <c r="R618" s="237">
        <v>2012.0</v>
      </c>
      <c r="S618" s="237">
        <v>1.3</v>
      </c>
      <c r="T618" s="75">
        <f t="shared" si="28"/>
        <v>110.5</v>
      </c>
      <c r="U618" s="24">
        <f t="shared" si="2"/>
        <v>58.15789474</v>
      </c>
      <c r="V618" s="26">
        <f>VLOOKUP(R618,CPI!$A$2:$E$67,5,0)</f>
        <v>1.327133984</v>
      </c>
      <c r="W618" s="27">
        <f t="shared" si="3"/>
        <v>146.6483053</v>
      </c>
      <c r="X618" s="27">
        <f t="shared" si="4"/>
        <v>77.18331856</v>
      </c>
      <c r="Y618" s="36" t="s">
        <v>60</v>
      </c>
      <c r="Z618" s="240" t="s">
        <v>1342</v>
      </c>
      <c r="AA618" s="7"/>
      <c r="AB618" s="7"/>
      <c r="AC618" s="7"/>
      <c r="AD618" s="7"/>
    </row>
    <row r="619">
      <c r="A619" s="290" t="s">
        <v>1337</v>
      </c>
      <c r="B619" s="68" t="s">
        <v>1340</v>
      </c>
      <c r="C619" s="68" t="s">
        <v>1343</v>
      </c>
      <c r="D619" s="68" t="s">
        <v>1343</v>
      </c>
      <c r="E619" s="237">
        <v>2007.0</v>
      </c>
      <c r="F619" s="237">
        <v>2017.0</v>
      </c>
      <c r="G619" s="237">
        <v>0.0</v>
      </c>
      <c r="H619" s="36">
        <v>3.1</v>
      </c>
      <c r="I619" s="303">
        <v>1.0</v>
      </c>
      <c r="J619" s="36">
        <v>3.1</v>
      </c>
      <c r="K619" s="237">
        <v>0.0</v>
      </c>
      <c r="L619" s="237">
        <v>0.0</v>
      </c>
      <c r="M619" s="237">
        <v>4.0</v>
      </c>
      <c r="N619" s="237">
        <v>80.0</v>
      </c>
      <c r="O619" s="237" t="s">
        <v>1964</v>
      </c>
      <c r="P619" s="304">
        <v>104.0</v>
      </c>
      <c r="Q619" s="237" t="s">
        <v>52</v>
      </c>
      <c r="R619" s="237">
        <v>2012.0</v>
      </c>
      <c r="S619" s="237">
        <v>1.3</v>
      </c>
      <c r="T619" s="75">
        <f t="shared" si="28"/>
        <v>135.2</v>
      </c>
      <c r="U619" s="24">
        <f t="shared" si="2"/>
        <v>43.61290323</v>
      </c>
      <c r="V619" s="26">
        <f>VLOOKUP(R619,CPI!$A$2:$E$67,5,0)</f>
        <v>1.327133984</v>
      </c>
      <c r="W619" s="27">
        <f t="shared" si="3"/>
        <v>179.4285147</v>
      </c>
      <c r="X619" s="27">
        <f t="shared" si="4"/>
        <v>57.88016603</v>
      </c>
      <c r="Y619" s="36" t="s">
        <v>60</v>
      </c>
      <c r="Z619" s="240" t="s">
        <v>1342</v>
      </c>
      <c r="AA619" s="7"/>
      <c r="AB619" s="7"/>
      <c r="AC619" s="7"/>
      <c r="AD619" s="7"/>
    </row>
    <row r="620">
      <c r="A620" s="290" t="s">
        <v>1337</v>
      </c>
      <c r="B620" s="68" t="s">
        <v>1340</v>
      </c>
      <c r="C620" s="68" t="s">
        <v>1344</v>
      </c>
      <c r="D620" s="68" t="s">
        <v>1344</v>
      </c>
      <c r="E620" s="237">
        <v>2015.0</v>
      </c>
      <c r="F620" s="237">
        <v>2022.0</v>
      </c>
      <c r="G620" s="237">
        <v>0.0</v>
      </c>
      <c r="H620" s="36">
        <v>1.7</v>
      </c>
      <c r="I620" s="303">
        <v>1.0</v>
      </c>
      <c r="J620" s="36">
        <v>1.7</v>
      </c>
      <c r="K620" s="237">
        <v>0.0</v>
      </c>
      <c r="L620" s="237">
        <v>0.0</v>
      </c>
      <c r="M620" s="237">
        <v>2.0</v>
      </c>
      <c r="N620" s="237">
        <v>80.0</v>
      </c>
      <c r="O620" s="237" t="s">
        <v>1964</v>
      </c>
      <c r="P620" s="304">
        <v>93.0</v>
      </c>
      <c r="Q620" s="237" t="s">
        <v>52</v>
      </c>
      <c r="R620" s="237">
        <v>2018.0</v>
      </c>
      <c r="S620" s="237">
        <v>1.3</v>
      </c>
      <c r="T620" s="75">
        <f t="shared" si="28"/>
        <v>120.9</v>
      </c>
      <c r="U620" s="24">
        <f t="shared" si="2"/>
        <v>71.11764706</v>
      </c>
      <c r="V620" s="26">
        <f>VLOOKUP(R620,CPI!$A$2:$E$67,5,0)</f>
        <v>1.21343491</v>
      </c>
      <c r="W620" s="27">
        <f t="shared" si="3"/>
        <v>146.7042806</v>
      </c>
      <c r="X620" s="27">
        <f t="shared" si="4"/>
        <v>86.29663567</v>
      </c>
      <c r="Y620" s="36" t="s">
        <v>60</v>
      </c>
      <c r="Z620" s="240" t="s">
        <v>1342</v>
      </c>
      <c r="AA620" s="7"/>
      <c r="AB620" s="7"/>
      <c r="AC620" s="7"/>
      <c r="AD620" s="7"/>
    </row>
    <row r="621">
      <c r="A621" s="290" t="s">
        <v>1337</v>
      </c>
      <c r="B621" s="68" t="s">
        <v>1340</v>
      </c>
      <c r="C621" s="68" t="s">
        <v>1346</v>
      </c>
      <c r="D621" s="68" t="s">
        <v>1346</v>
      </c>
      <c r="E621" s="237">
        <v>2017.0</v>
      </c>
      <c r="F621" s="237">
        <v>2025.0</v>
      </c>
      <c r="G621" s="237">
        <v>0.0</v>
      </c>
      <c r="H621" s="36">
        <v>6.4</v>
      </c>
      <c r="I621" s="303">
        <v>1.0</v>
      </c>
      <c r="J621" s="36">
        <v>6.4</v>
      </c>
      <c r="K621" s="237">
        <v>0.0</v>
      </c>
      <c r="L621" s="237">
        <v>0.0</v>
      </c>
      <c r="M621" s="237">
        <v>8.0</v>
      </c>
      <c r="N621" s="237">
        <v>80.0</v>
      </c>
      <c r="O621" s="237" t="s">
        <v>1964</v>
      </c>
      <c r="P621" s="304">
        <v>419.0</v>
      </c>
      <c r="Q621" s="237" t="s">
        <v>52</v>
      </c>
      <c r="R621" s="237">
        <v>2020.0</v>
      </c>
      <c r="S621" s="237">
        <v>1.3</v>
      </c>
      <c r="T621" s="75">
        <f t="shared" si="28"/>
        <v>544.7</v>
      </c>
      <c r="U621" s="24">
        <f t="shared" si="2"/>
        <v>85.109375</v>
      </c>
      <c r="V621" s="26">
        <f>VLOOKUP(R621,CPI!$A$2:$E$67,5,0)</f>
        <v>1.17731472</v>
      </c>
      <c r="W621" s="27">
        <f t="shared" si="3"/>
        <v>641.283328</v>
      </c>
      <c r="X621" s="27">
        <f t="shared" si="4"/>
        <v>100.20052</v>
      </c>
      <c r="Y621" s="36" t="s">
        <v>60</v>
      </c>
      <c r="Z621" s="240" t="s">
        <v>1342</v>
      </c>
      <c r="AA621" s="7"/>
      <c r="AB621" s="7"/>
      <c r="AC621" s="7"/>
      <c r="AD621" s="7"/>
    </row>
    <row r="622">
      <c r="A622" s="290" t="s">
        <v>1337</v>
      </c>
      <c r="B622" s="68" t="s">
        <v>1340</v>
      </c>
      <c r="C622" s="68" t="s">
        <v>1345</v>
      </c>
      <c r="D622" s="68" t="s">
        <v>1345</v>
      </c>
      <c r="E622" s="237">
        <v>2019.0</v>
      </c>
      <c r="F622" s="237">
        <v>2024.0</v>
      </c>
      <c r="G622" s="237">
        <v>0.0</v>
      </c>
      <c r="H622" s="36">
        <v>2.1</v>
      </c>
      <c r="I622" s="303">
        <v>1.0</v>
      </c>
      <c r="J622" s="36">
        <v>2.1</v>
      </c>
      <c r="K622" s="237">
        <v>0.0</v>
      </c>
      <c r="L622" s="237">
        <v>0.0</v>
      </c>
      <c r="M622" s="237">
        <v>2.0</v>
      </c>
      <c r="N622" s="237">
        <v>80.0</v>
      </c>
      <c r="O622" s="237" t="s">
        <v>1964</v>
      </c>
      <c r="P622" s="304">
        <v>124.0</v>
      </c>
      <c r="Q622" s="237" t="s">
        <v>52</v>
      </c>
      <c r="R622" s="237">
        <v>2021.0</v>
      </c>
      <c r="S622" s="237">
        <v>1.3</v>
      </c>
      <c r="T622" s="75">
        <f t="shared" si="28"/>
        <v>161.2</v>
      </c>
      <c r="U622" s="24">
        <f t="shared" si="2"/>
        <v>76.76190476</v>
      </c>
      <c r="V622" s="26">
        <f>VLOOKUP(R622,CPI!$A$2:$E$67,5,0)</f>
        <v>1.124486105</v>
      </c>
      <c r="W622" s="27">
        <f t="shared" si="3"/>
        <v>181.2671602</v>
      </c>
      <c r="X622" s="27">
        <f t="shared" si="4"/>
        <v>86.31769533</v>
      </c>
      <c r="Y622" s="36" t="s">
        <v>60</v>
      </c>
      <c r="Z622" s="240" t="s">
        <v>1342</v>
      </c>
      <c r="AA622" s="7"/>
      <c r="AB622" s="7"/>
      <c r="AC622" s="7"/>
      <c r="AD622" s="7"/>
    </row>
    <row r="623">
      <c r="A623" s="290" t="s">
        <v>1337</v>
      </c>
      <c r="B623" s="68" t="s">
        <v>1340</v>
      </c>
      <c r="C623" s="68" t="s">
        <v>1347</v>
      </c>
      <c r="D623" s="68" t="s">
        <v>1347</v>
      </c>
      <c r="E623" s="237">
        <v>2022.0</v>
      </c>
      <c r="F623" s="237">
        <v>2026.0</v>
      </c>
      <c r="G623" s="237">
        <v>0.0</v>
      </c>
      <c r="H623" s="36">
        <v>11.5</v>
      </c>
      <c r="I623" s="303">
        <v>0.52</v>
      </c>
      <c r="J623" s="36">
        <v>6.0</v>
      </c>
      <c r="K623" s="237">
        <v>0.0</v>
      </c>
      <c r="L623" s="237">
        <v>5.5</v>
      </c>
      <c r="M623" s="237">
        <v>5.0</v>
      </c>
      <c r="N623" s="237">
        <v>80.0</v>
      </c>
      <c r="O623" s="237" t="s">
        <v>1964</v>
      </c>
      <c r="P623" s="304">
        <v>432.0</v>
      </c>
      <c r="Q623" s="237" t="s">
        <v>52</v>
      </c>
      <c r="R623" s="237">
        <v>2024.0</v>
      </c>
      <c r="S623" s="237">
        <v>1.3</v>
      </c>
      <c r="T623" s="75">
        <f t="shared" si="28"/>
        <v>561.6</v>
      </c>
      <c r="U623" s="24">
        <f t="shared" si="2"/>
        <v>48.83478261</v>
      </c>
      <c r="V623" s="26">
        <f>VLOOKUP(R623,CPI!$A$2:$E$67,5,0)</f>
        <v>1</v>
      </c>
      <c r="W623" s="27">
        <f t="shared" si="3"/>
        <v>561.6</v>
      </c>
      <c r="X623" s="27">
        <f t="shared" si="4"/>
        <v>48.83478261</v>
      </c>
      <c r="Y623" s="36" t="s">
        <v>1964</v>
      </c>
      <c r="Z623" s="240" t="s">
        <v>1342</v>
      </c>
      <c r="AA623" s="7"/>
      <c r="AB623" s="7"/>
      <c r="AC623" s="7"/>
      <c r="AD623" s="7"/>
    </row>
    <row r="624">
      <c r="A624" s="290" t="s">
        <v>1337</v>
      </c>
      <c r="B624" s="68" t="s">
        <v>1348</v>
      </c>
      <c r="C624" s="68" t="s">
        <v>1349</v>
      </c>
      <c r="D624" s="68" t="s">
        <v>1349</v>
      </c>
      <c r="E624" s="237">
        <v>1998.0</v>
      </c>
      <c r="F624" s="237">
        <v>2006.0</v>
      </c>
      <c r="G624" s="237">
        <v>0.0</v>
      </c>
      <c r="H624" s="36">
        <v>2.5</v>
      </c>
      <c r="I624" s="303">
        <v>1.0</v>
      </c>
      <c r="J624" s="36">
        <v>2.5</v>
      </c>
      <c r="K624" s="237">
        <v>0.0</v>
      </c>
      <c r="L624" s="237">
        <v>0.0</v>
      </c>
      <c r="M624" s="237">
        <v>4.0</v>
      </c>
      <c r="N624" s="237">
        <v>80.0</v>
      </c>
      <c r="O624" s="237" t="s">
        <v>2143</v>
      </c>
      <c r="P624" s="304">
        <v>212.0</v>
      </c>
      <c r="Q624" s="237" t="s">
        <v>52</v>
      </c>
      <c r="R624" s="237">
        <v>2002.0</v>
      </c>
      <c r="S624" s="237">
        <v>1.3</v>
      </c>
      <c r="T624" s="75">
        <f t="shared" si="28"/>
        <v>275.6</v>
      </c>
      <c r="U624" s="24">
        <f t="shared" si="2"/>
        <v>110.24</v>
      </c>
      <c r="V624" s="26">
        <f>VLOOKUP(R624,CPI!$A$2:$E$67,5,0)</f>
        <v>1.69372985</v>
      </c>
      <c r="W624" s="27">
        <f t="shared" si="3"/>
        <v>466.7919466</v>
      </c>
      <c r="X624" s="27">
        <f t="shared" si="4"/>
        <v>186.7167787</v>
      </c>
      <c r="Y624" s="36" t="s">
        <v>1964</v>
      </c>
      <c r="Z624" s="240" t="s">
        <v>1350</v>
      </c>
      <c r="AA624" s="7"/>
      <c r="AB624" s="7"/>
      <c r="AC624" s="7"/>
      <c r="AD624" s="7"/>
    </row>
    <row r="625">
      <c r="A625" s="290" t="s">
        <v>1337</v>
      </c>
      <c r="B625" s="68" t="s">
        <v>1348</v>
      </c>
      <c r="C625" s="68" t="s">
        <v>1351</v>
      </c>
      <c r="D625" s="68" t="s">
        <v>1351</v>
      </c>
      <c r="E625" s="237">
        <v>2006.0</v>
      </c>
      <c r="F625" s="237">
        <v>2012.0</v>
      </c>
      <c r="G625" s="237">
        <v>0.0</v>
      </c>
      <c r="H625" s="36">
        <v>1.5</v>
      </c>
      <c r="I625" s="303">
        <v>0.87</v>
      </c>
      <c r="J625" s="36">
        <v>1.3</v>
      </c>
      <c r="K625" s="237">
        <v>0.0</v>
      </c>
      <c r="L625" s="237">
        <v>0.2</v>
      </c>
      <c r="M625" s="237">
        <v>1.0</v>
      </c>
      <c r="N625" s="237">
        <v>80.0</v>
      </c>
      <c r="O625" s="237" t="s">
        <v>2143</v>
      </c>
      <c r="P625" s="304">
        <v>200.0</v>
      </c>
      <c r="Q625" s="237" t="s">
        <v>52</v>
      </c>
      <c r="R625" s="237">
        <v>2009.0</v>
      </c>
      <c r="S625" s="237">
        <v>1.3</v>
      </c>
      <c r="T625" s="75">
        <f t="shared" si="28"/>
        <v>260</v>
      </c>
      <c r="U625" s="24">
        <f t="shared" si="2"/>
        <v>173.3333333</v>
      </c>
      <c r="V625" s="26">
        <f>VLOOKUP(R625,CPI!$A$2:$E$67,5,0)</f>
        <v>1.420277155</v>
      </c>
      <c r="W625" s="27">
        <f t="shared" si="3"/>
        <v>369.2720603</v>
      </c>
      <c r="X625" s="27">
        <f t="shared" si="4"/>
        <v>246.1813735</v>
      </c>
      <c r="Y625" s="36" t="s">
        <v>1964</v>
      </c>
      <c r="Z625" s="240" t="s">
        <v>1352</v>
      </c>
      <c r="AA625" s="7"/>
      <c r="AB625" s="7"/>
      <c r="AC625" s="7"/>
      <c r="AD625" s="7"/>
    </row>
    <row r="626">
      <c r="A626" s="290" t="s">
        <v>1337</v>
      </c>
      <c r="B626" s="68" t="s">
        <v>1348</v>
      </c>
      <c r="C626" s="68" t="s">
        <v>1353</v>
      </c>
      <c r="D626" s="68" t="s">
        <v>1353</v>
      </c>
      <c r="E626" s="237">
        <v>2020.0</v>
      </c>
      <c r="F626" s="237">
        <v>2023.0</v>
      </c>
      <c r="G626" s="237">
        <v>0.0</v>
      </c>
      <c r="H626" s="36">
        <v>1.5</v>
      </c>
      <c r="I626" s="303">
        <v>0.0</v>
      </c>
      <c r="J626" s="36">
        <v>0.0</v>
      </c>
      <c r="K626" s="237">
        <v>0.3</v>
      </c>
      <c r="L626" s="237">
        <v>1.2</v>
      </c>
      <c r="M626" s="237">
        <v>2.0</v>
      </c>
      <c r="N626" s="237">
        <v>80.0</v>
      </c>
      <c r="O626" s="237" t="s">
        <v>2143</v>
      </c>
      <c r="P626" s="304">
        <v>63.0</v>
      </c>
      <c r="Q626" s="237" t="s">
        <v>52</v>
      </c>
      <c r="R626" s="237">
        <v>2022.0</v>
      </c>
      <c r="S626" s="237">
        <v>1.3</v>
      </c>
      <c r="T626" s="75">
        <f t="shared" si="28"/>
        <v>81.9</v>
      </c>
      <c r="U626" s="24">
        <f t="shared" si="2"/>
        <v>54.6</v>
      </c>
      <c r="V626" s="26">
        <f>VLOOKUP(R626,CPI!$A$2:$E$67,5,0)</f>
        <v>1.041164511</v>
      </c>
      <c r="W626" s="27">
        <f t="shared" si="3"/>
        <v>85.27137346</v>
      </c>
      <c r="X626" s="27">
        <f t="shared" si="4"/>
        <v>56.84758231</v>
      </c>
      <c r="Y626" s="36" t="s">
        <v>1964</v>
      </c>
      <c r="Z626" s="240" t="s">
        <v>1354</v>
      </c>
      <c r="AA626" s="7"/>
      <c r="AB626" s="7"/>
      <c r="AC626" s="7"/>
      <c r="AD626" s="7"/>
    </row>
    <row r="627">
      <c r="A627" s="290" t="s">
        <v>1337</v>
      </c>
      <c r="B627" s="68" t="s">
        <v>1355</v>
      </c>
      <c r="C627" s="36" t="s">
        <v>1364</v>
      </c>
      <c r="D627" s="68" t="s">
        <v>1374</v>
      </c>
      <c r="E627" s="237">
        <v>2022.0</v>
      </c>
      <c r="F627" s="237">
        <v>2029.0</v>
      </c>
      <c r="G627" s="237">
        <v>0.0</v>
      </c>
      <c r="H627" s="36">
        <v>12.6</v>
      </c>
      <c r="I627" s="303">
        <v>1.0</v>
      </c>
      <c r="J627" s="36">
        <v>12.6</v>
      </c>
      <c r="K627" s="237">
        <v>0.0</v>
      </c>
      <c r="L627" s="237">
        <v>0.0</v>
      </c>
      <c r="M627" s="237">
        <v>12.0</v>
      </c>
      <c r="N627" s="237">
        <v>50.0</v>
      </c>
      <c r="O627" s="237" t="s">
        <v>1964</v>
      </c>
      <c r="P627" s="304">
        <v>1250.0</v>
      </c>
      <c r="Q627" s="237" t="s">
        <v>52</v>
      </c>
      <c r="R627" s="237">
        <v>2025.0</v>
      </c>
      <c r="S627" s="237">
        <v>1.3</v>
      </c>
      <c r="T627" s="75">
        <f t="shared" si="28"/>
        <v>1625</v>
      </c>
      <c r="U627" s="24">
        <f t="shared" si="2"/>
        <v>128.968254</v>
      </c>
      <c r="V627" s="26">
        <f>VLOOKUP(R627,CPI!$A$2:$E$67,5,0)</f>
        <v>1</v>
      </c>
      <c r="W627" s="27">
        <f t="shared" si="3"/>
        <v>1625</v>
      </c>
      <c r="X627" s="27">
        <f t="shared" si="4"/>
        <v>128.968254</v>
      </c>
      <c r="Y627" s="36" t="s">
        <v>1964</v>
      </c>
      <c r="Z627" s="237" t="s">
        <v>1375</v>
      </c>
      <c r="AA627" s="7"/>
      <c r="AB627" s="7"/>
      <c r="AC627" s="7"/>
      <c r="AD627" s="7"/>
    </row>
    <row r="628">
      <c r="A628" s="290" t="s">
        <v>1337</v>
      </c>
      <c r="B628" s="68" t="s">
        <v>1355</v>
      </c>
      <c r="C628" s="36" t="s">
        <v>866</v>
      </c>
      <c r="D628" s="68" t="s">
        <v>1372</v>
      </c>
      <c r="E628" s="237">
        <v>2022.0</v>
      </c>
      <c r="F628" s="237">
        <v>2027.0</v>
      </c>
      <c r="G628" s="237">
        <v>0.0</v>
      </c>
      <c r="H628" s="36">
        <v>3.3</v>
      </c>
      <c r="I628" s="303">
        <v>1.0</v>
      </c>
      <c r="J628" s="36">
        <v>3.3</v>
      </c>
      <c r="K628" s="237">
        <v>0.0</v>
      </c>
      <c r="L628" s="237">
        <v>0.0</v>
      </c>
      <c r="M628" s="237">
        <v>3.0</v>
      </c>
      <c r="N628" s="237">
        <v>110.0</v>
      </c>
      <c r="O628" s="237" t="s">
        <v>1964</v>
      </c>
      <c r="P628" s="304">
        <v>396.0</v>
      </c>
      <c r="Q628" s="237" t="s">
        <v>52</v>
      </c>
      <c r="R628" s="237">
        <v>2025.0</v>
      </c>
      <c r="S628" s="237">
        <v>1.3</v>
      </c>
      <c r="T628" s="75">
        <f t="shared" si="28"/>
        <v>514.8</v>
      </c>
      <c r="U628" s="24">
        <f t="shared" si="2"/>
        <v>156</v>
      </c>
      <c r="V628" s="26">
        <f>VLOOKUP(R628,CPI!$A$2:$E$67,5,0)</f>
        <v>1</v>
      </c>
      <c r="W628" s="27">
        <f t="shared" si="3"/>
        <v>514.8</v>
      </c>
      <c r="X628" s="27">
        <f t="shared" si="4"/>
        <v>156</v>
      </c>
      <c r="Y628" s="36" t="s">
        <v>1964</v>
      </c>
      <c r="Z628" s="240" t="s">
        <v>1373</v>
      </c>
      <c r="AA628" s="7"/>
      <c r="AB628" s="7"/>
      <c r="AC628" s="7"/>
      <c r="AD628" s="7"/>
    </row>
    <row r="629">
      <c r="A629" s="290" t="s">
        <v>1337</v>
      </c>
      <c r="B629" s="68" t="s">
        <v>1355</v>
      </c>
      <c r="C629" s="36" t="s">
        <v>866</v>
      </c>
      <c r="D629" s="68" t="s">
        <v>1369</v>
      </c>
      <c r="E629" s="237">
        <v>2010.0</v>
      </c>
      <c r="F629" s="237">
        <v>2022.0</v>
      </c>
      <c r="G629" s="237">
        <v>0.0</v>
      </c>
      <c r="H629" s="36">
        <v>1.9</v>
      </c>
      <c r="I629" s="303">
        <v>1.0</v>
      </c>
      <c r="J629" s="36">
        <v>1.9</v>
      </c>
      <c r="K629" s="237">
        <v>0.0</v>
      </c>
      <c r="L629" s="237">
        <v>0.0</v>
      </c>
      <c r="M629" s="237">
        <v>2.0</v>
      </c>
      <c r="N629" s="237">
        <v>110.0</v>
      </c>
      <c r="O629" s="237" t="s">
        <v>2143</v>
      </c>
      <c r="P629" s="304">
        <v>143.0</v>
      </c>
      <c r="Q629" s="237" t="s">
        <v>52</v>
      </c>
      <c r="R629" s="237">
        <v>2015.0</v>
      </c>
      <c r="S629" s="237">
        <v>1.3</v>
      </c>
      <c r="T629" s="75">
        <f t="shared" si="28"/>
        <v>185.9</v>
      </c>
      <c r="U629" s="24">
        <f t="shared" si="2"/>
        <v>97.84210526</v>
      </c>
      <c r="V629" s="26">
        <f>VLOOKUP(R629,CPI!$A$2:$E$67,5,0)</f>
        <v>1.285570233</v>
      </c>
      <c r="W629" s="27">
        <f t="shared" si="3"/>
        <v>238.9875064</v>
      </c>
      <c r="X629" s="27">
        <f t="shared" si="4"/>
        <v>125.7828981</v>
      </c>
      <c r="Y629" s="36" t="s">
        <v>1964</v>
      </c>
      <c r="Z629" s="237" t="s">
        <v>1370</v>
      </c>
      <c r="AA629" s="7"/>
      <c r="AB629" s="7"/>
      <c r="AC629" s="7"/>
      <c r="AD629" s="7"/>
    </row>
    <row r="630">
      <c r="A630" s="290" t="s">
        <v>1337</v>
      </c>
      <c r="B630" s="68" t="s">
        <v>1355</v>
      </c>
      <c r="C630" s="36" t="s">
        <v>866</v>
      </c>
      <c r="D630" s="68" t="s">
        <v>1361</v>
      </c>
      <c r="E630" s="237" t="s">
        <v>1362</v>
      </c>
      <c r="F630" s="237">
        <v>2011.0</v>
      </c>
      <c r="G630" s="237">
        <v>0.0</v>
      </c>
      <c r="H630" s="36">
        <v>4.8</v>
      </c>
      <c r="I630" s="303">
        <v>0.0</v>
      </c>
      <c r="J630" s="36">
        <v>0.0</v>
      </c>
      <c r="K630" s="237">
        <v>0.0</v>
      </c>
      <c r="L630" s="237">
        <v>4.8</v>
      </c>
      <c r="M630" s="237">
        <v>2.0</v>
      </c>
      <c r="N630" s="237">
        <v>110.0</v>
      </c>
      <c r="O630" s="237" t="s">
        <v>2143</v>
      </c>
      <c r="P630" s="304">
        <v>70.0</v>
      </c>
      <c r="Q630" s="237" t="s">
        <v>52</v>
      </c>
      <c r="R630" s="237">
        <v>2005.0</v>
      </c>
      <c r="S630" s="237">
        <v>1.3</v>
      </c>
      <c r="T630" s="75">
        <f t="shared" si="28"/>
        <v>91</v>
      </c>
      <c r="U630" s="24">
        <f t="shared" si="2"/>
        <v>18.95833333</v>
      </c>
      <c r="V630" s="26">
        <f>VLOOKUP(R630,CPI!$A$2:$E$67,5,0)</f>
        <v>1.560174091</v>
      </c>
      <c r="W630" s="27">
        <f t="shared" si="3"/>
        <v>141.9758423</v>
      </c>
      <c r="X630" s="27">
        <f t="shared" si="4"/>
        <v>29.57830048</v>
      </c>
      <c r="Y630" s="36" t="s">
        <v>1964</v>
      </c>
      <c r="Z630" s="240" t="s">
        <v>1350</v>
      </c>
      <c r="AA630" s="7"/>
      <c r="AB630" s="7"/>
      <c r="AC630" s="7"/>
      <c r="AD630" s="7"/>
    </row>
    <row r="631">
      <c r="A631" s="290" t="s">
        <v>1337</v>
      </c>
      <c r="B631" s="68" t="s">
        <v>1355</v>
      </c>
      <c r="C631" s="36" t="s">
        <v>856</v>
      </c>
      <c r="D631" s="68" t="s">
        <v>1363</v>
      </c>
      <c r="E631" s="237" t="s">
        <v>1362</v>
      </c>
      <c r="F631" s="237">
        <v>2011.0</v>
      </c>
      <c r="G631" s="237">
        <v>0.0</v>
      </c>
      <c r="H631" s="36">
        <v>3.9</v>
      </c>
      <c r="I631" s="303">
        <v>1.0</v>
      </c>
      <c r="J631" s="36">
        <v>3.9</v>
      </c>
      <c r="K631" s="237">
        <v>0.0</v>
      </c>
      <c r="L631" s="237">
        <v>0.0</v>
      </c>
      <c r="M631" s="237">
        <v>4.0</v>
      </c>
      <c r="N631" s="237">
        <v>110.0</v>
      </c>
      <c r="O631" s="237" t="s">
        <v>2143</v>
      </c>
      <c r="P631" s="304">
        <v>267.0</v>
      </c>
      <c r="Q631" s="237" t="s">
        <v>52</v>
      </c>
      <c r="R631" s="237">
        <v>2005.0</v>
      </c>
      <c r="S631" s="237">
        <v>1.3</v>
      </c>
      <c r="T631" s="75">
        <f t="shared" si="28"/>
        <v>347.1</v>
      </c>
      <c r="U631" s="24">
        <f t="shared" si="2"/>
        <v>89</v>
      </c>
      <c r="V631" s="26">
        <f>VLOOKUP(R631,CPI!$A$2:$E$67,5,0)</f>
        <v>1.560174091</v>
      </c>
      <c r="W631" s="27">
        <f t="shared" si="3"/>
        <v>541.536427</v>
      </c>
      <c r="X631" s="27">
        <f t="shared" si="4"/>
        <v>138.8554941</v>
      </c>
      <c r="Y631" s="36" t="s">
        <v>1964</v>
      </c>
      <c r="Z631" s="240" t="s">
        <v>1350</v>
      </c>
      <c r="AA631" s="7"/>
      <c r="AB631" s="7"/>
      <c r="AC631" s="7"/>
      <c r="AD631" s="7"/>
    </row>
    <row r="632">
      <c r="A632" s="290" t="s">
        <v>1337</v>
      </c>
      <c r="B632" s="68" t="s">
        <v>1355</v>
      </c>
      <c r="C632" s="36" t="s">
        <v>866</v>
      </c>
      <c r="D632" s="68" t="s">
        <v>1359</v>
      </c>
      <c r="E632" s="237">
        <v>2003.0</v>
      </c>
      <c r="F632" s="237">
        <v>2005.0</v>
      </c>
      <c r="G632" s="237">
        <v>0.0</v>
      </c>
      <c r="H632" s="36">
        <v>2.1</v>
      </c>
      <c r="I632" s="303">
        <v>1.0</v>
      </c>
      <c r="J632" s="36">
        <v>2.1</v>
      </c>
      <c r="K632" s="237">
        <v>0.0</v>
      </c>
      <c r="L632" s="237">
        <v>0.0</v>
      </c>
      <c r="M632" s="237">
        <v>2.0</v>
      </c>
      <c r="N632" s="237">
        <v>110.0</v>
      </c>
      <c r="O632" s="237" t="s">
        <v>2143</v>
      </c>
      <c r="P632" s="304">
        <v>95.0</v>
      </c>
      <c r="Q632" s="237" t="s">
        <v>52</v>
      </c>
      <c r="R632" s="237">
        <v>2004.0</v>
      </c>
      <c r="S632" s="237">
        <v>1.3</v>
      </c>
      <c r="T632" s="75">
        <f t="shared" si="28"/>
        <v>123.5</v>
      </c>
      <c r="U632" s="24">
        <f t="shared" si="2"/>
        <v>58.80952381</v>
      </c>
      <c r="V632" s="26">
        <f>VLOOKUP(R632,CPI!$A$2:$E$67,5,0)</f>
        <v>1.613033351</v>
      </c>
      <c r="W632" s="27">
        <f t="shared" si="3"/>
        <v>199.2096188</v>
      </c>
      <c r="X632" s="27">
        <f t="shared" si="4"/>
        <v>94.86172326</v>
      </c>
      <c r="Y632" s="36" t="s">
        <v>1964</v>
      </c>
      <c r="Z632" s="240" t="s">
        <v>1360</v>
      </c>
      <c r="AA632" s="7"/>
      <c r="AB632" s="7"/>
      <c r="AC632" s="7"/>
      <c r="AD632" s="7"/>
    </row>
    <row r="633">
      <c r="A633" s="290" t="s">
        <v>1337</v>
      </c>
      <c r="B633" s="68" t="s">
        <v>1376</v>
      </c>
      <c r="C633" s="36" t="s">
        <v>57</v>
      </c>
      <c r="D633" s="68" t="s">
        <v>1377</v>
      </c>
      <c r="E633" s="237">
        <v>1986.0</v>
      </c>
      <c r="F633" s="237">
        <v>2003.0</v>
      </c>
      <c r="G633" s="237">
        <v>0.0</v>
      </c>
      <c r="H633" s="36">
        <v>13.7</v>
      </c>
      <c r="I633" s="303">
        <v>0.7</v>
      </c>
      <c r="J633" s="36">
        <v>9.6</v>
      </c>
      <c r="K633" s="237">
        <v>4.1</v>
      </c>
      <c r="L633" s="237">
        <v>0.0</v>
      </c>
      <c r="M633" s="237">
        <v>14.0</v>
      </c>
      <c r="N633" s="237">
        <v>110.0</v>
      </c>
      <c r="O633" s="237" t="s">
        <v>1964</v>
      </c>
      <c r="P633" s="304">
        <v>1474.0</v>
      </c>
      <c r="Q633" s="237" t="s">
        <v>52</v>
      </c>
      <c r="R633" s="237">
        <v>1990.0</v>
      </c>
      <c r="S633" s="237">
        <v>1.3</v>
      </c>
      <c r="T633" s="75">
        <f t="shared" si="28"/>
        <v>1916.2</v>
      </c>
      <c r="U633" s="24">
        <f t="shared" si="2"/>
        <v>139.8686131</v>
      </c>
      <c r="V633" s="26">
        <f>VLOOKUP(R633,CPI!$A$2:$E$67,5,0)</f>
        <v>2.33130834</v>
      </c>
      <c r="W633" s="27">
        <f t="shared" si="3"/>
        <v>4467.253041</v>
      </c>
      <c r="X633" s="27">
        <f t="shared" si="4"/>
        <v>326.0768643</v>
      </c>
      <c r="Y633" s="36" t="s">
        <v>1964</v>
      </c>
      <c r="Z633" s="240" t="s">
        <v>1378</v>
      </c>
      <c r="AA633" s="7"/>
      <c r="AB633" s="7"/>
      <c r="AC633" s="7"/>
      <c r="AD633" s="7"/>
    </row>
    <row r="634">
      <c r="A634" s="290" t="s">
        <v>1337</v>
      </c>
      <c r="B634" s="68" t="s">
        <v>1376</v>
      </c>
      <c r="C634" s="16" t="s">
        <v>1379</v>
      </c>
      <c r="D634" s="68" t="s">
        <v>1380</v>
      </c>
      <c r="E634" s="237">
        <v>2001.0</v>
      </c>
      <c r="F634" s="237">
        <v>2009.0</v>
      </c>
      <c r="G634" s="237">
        <v>0.0</v>
      </c>
      <c r="H634" s="36">
        <v>10.6</v>
      </c>
      <c r="I634" s="303">
        <v>1.0</v>
      </c>
      <c r="J634" s="36">
        <v>10.6</v>
      </c>
      <c r="K634" s="237">
        <v>0.0</v>
      </c>
      <c r="L634" s="237">
        <v>0.0</v>
      </c>
      <c r="M634" s="237">
        <v>5.0</v>
      </c>
      <c r="N634" s="237">
        <v>110.0</v>
      </c>
      <c r="O634" s="237" t="s">
        <v>2143</v>
      </c>
      <c r="P634" s="304">
        <v>611.0</v>
      </c>
      <c r="Q634" s="237" t="s">
        <v>52</v>
      </c>
      <c r="R634" s="237">
        <v>2005.0</v>
      </c>
      <c r="S634" s="237">
        <v>1.3</v>
      </c>
      <c r="T634" s="75">
        <f t="shared" si="28"/>
        <v>794.3</v>
      </c>
      <c r="U634" s="24">
        <f t="shared" si="2"/>
        <v>74.93396226</v>
      </c>
      <c r="V634" s="26">
        <f>VLOOKUP(R634,CPI!$A$2:$E$67,5,0)</f>
        <v>1.560174091</v>
      </c>
      <c r="W634" s="27">
        <f t="shared" si="3"/>
        <v>1239.246281</v>
      </c>
      <c r="X634" s="27">
        <f t="shared" si="4"/>
        <v>116.9100265</v>
      </c>
      <c r="Y634" s="36" t="s">
        <v>1964</v>
      </c>
      <c r="Z634" s="240" t="s">
        <v>1381</v>
      </c>
      <c r="AA634" s="7"/>
      <c r="AB634" s="7"/>
      <c r="AC634" s="7"/>
      <c r="AD634" s="7"/>
    </row>
    <row r="635">
      <c r="A635" s="290" t="s">
        <v>1337</v>
      </c>
      <c r="B635" s="68" t="s">
        <v>1376</v>
      </c>
      <c r="C635" s="68" t="s">
        <v>1385</v>
      </c>
      <c r="D635" s="68" t="s">
        <v>1385</v>
      </c>
      <c r="E635" s="237">
        <v>1999.0</v>
      </c>
      <c r="F635" s="237">
        <v>2023.0</v>
      </c>
      <c r="G635" s="237">
        <v>0.0</v>
      </c>
      <c r="H635" s="36">
        <v>3.3</v>
      </c>
      <c r="I635" s="303">
        <v>1.0</v>
      </c>
      <c r="J635" s="36">
        <v>3.3</v>
      </c>
      <c r="K635" s="237">
        <v>0.0</v>
      </c>
      <c r="L635" s="237">
        <v>0.0</v>
      </c>
      <c r="M635" s="237">
        <v>4.0</v>
      </c>
      <c r="N635" s="237">
        <v>110.0</v>
      </c>
      <c r="O635" s="237" t="s">
        <v>2143</v>
      </c>
      <c r="P635" s="304">
        <v>391.0</v>
      </c>
      <c r="Q635" s="237" t="s">
        <v>52</v>
      </c>
      <c r="R635" s="237">
        <v>2010.0</v>
      </c>
      <c r="S635" s="237">
        <v>1.3</v>
      </c>
      <c r="T635" s="75">
        <f t="shared" si="28"/>
        <v>508.3</v>
      </c>
      <c r="U635" s="24">
        <f t="shared" si="2"/>
        <v>154.030303</v>
      </c>
      <c r="V635" s="26">
        <f>VLOOKUP(R635,CPI!$A$2:$E$67,5,0)</f>
        <v>1.397356642</v>
      </c>
      <c r="W635" s="27">
        <f t="shared" si="3"/>
        <v>710.2763813</v>
      </c>
      <c r="X635" s="27">
        <f t="shared" si="4"/>
        <v>215.2352671</v>
      </c>
      <c r="Y635" s="36" t="s">
        <v>1964</v>
      </c>
      <c r="Z635" s="240" t="s">
        <v>1378</v>
      </c>
      <c r="AA635" s="7"/>
      <c r="AB635" s="7"/>
      <c r="AC635" s="7"/>
      <c r="AD635" s="7"/>
    </row>
    <row r="636">
      <c r="A636" s="290" t="s">
        <v>125</v>
      </c>
      <c r="B636" s="68" t="s">
        <v>134</v>
      </c>
      <c r="C636" s="68" t="s">
        <v>135</v>
      </c>
      <c r="D636" s="68" t="s">
        <v>135</v>
      </c>
      <c r="E636" s="237">
        <v>2016.0</v>
      </c>
      <c r="F636" s="237">
        <v>2023.0</v>
      </c>
      <c r="G636" s="237">
        <v>0.0</v>
      </c>
      <c r="H636" s="36">
        <v>13.1</v>
      </c>
      <c r="I636" s="303">
        <v>0.03</v>
      </c>
      <c r="J636" s="36">
        <v>0.4</v>
      </c>
      <c r="K636" s="7"/>
      <c r="L636" s="7"/>
      <c r="M636" s="237">
        <v>12.0</v>
      </c>
      <c r="N636" s="237">
        <v>125.0</v>
      </c>
      <c r="O636" s="237" t="s">
        <v>74</v>
      </c>
      <c r="P636" s="304">
        <v>1800.0</v>
      </c>
      <c r="Q636" s="237" t="s">
        <v>129</v>
      </c>
      <c r="R636" s="237">
        <v>2019.0</v>
      </c>
      <c r="S636" s="237">
        <v>0.802</v>
      </c>
      <c r="T636" s="75">
        <f t="shared" si="28"/>
        <v>1443.6</v>
      </c>
      <c r="U636" s="24">
        <f t="shared" si="2"/>
        <v>110.1984733</v>
      </c>
      <c r="V636" s="26">
        <f>VLOOKUP(R636,CPI!$A$2:$E$67,5,0)</f>
        <v>1.191839066</v>
      </c>
      <c r="W636" s="27">
        <f t="shared" si="3"/>
        <v>1720.538875</v>
      </c>
      <c r="X636" s="27">
        <f t="shared" si="4"/>
        <v>131.3388454</v>
      </c>
      <c r="Y636" s="36" t="s">
        <v>42</v>
      </c>
      <c r="Z636" s="240" t="s">
        <v>137</v>
      </c>
      <c r="AA636" s="7"/>
      <c r="AB636" s="7"/>
      <c r="AC636" s="7"/>
      <c r="AD636" s="7"/>
    </row>
    <row r="637">
      <c r="A637" s="114" t="s">
        <v>230</v>
      </c>
      <c r="B637" s="114" t="s">
        <v>346</v>
      </c>
      <c r="C637" s="16" t="s">
        <v>57</v>
      </c>
      <c r="D637" s="115" t="s">
        <v>232</v>
      </c>
      <c r="E637" s="116">
        <v>2019.0</v>
      </c>
      <c r="F637" s="114"/>
      <c r="G637" s="116">
        <v>0.0</v>
      </c>
      <c r="H637" s="116">
        <v>34.237</v>
      </c>
      <c r="I637" s="117">
        <v>0.92</v>
      </c>
      <c r="J637" s="116">
        <v>31.635</v>
      </c>
      <c r="K637" s="114"/>
      <c r="L637" s="114"/>
      <c r="M637" s="116">
        <v>29.0</v>
      </c>
      <c r="N637" s="116">
        <v>117.0</v>
      </c>
      <c r="O637" s="114"/>
      <c r="P637" s="140">
        <v>23297.0</v>
      </c>
      <c r="Q637" s="114" t="s">
        <v>234</v>
      </c>
      <c r="R637" s="115">
        <v>2021.0</v>
      </c>
      <c r="S637" s="136">
        <v>0.239</v>
      </c>
      <c r="T637" s="118">
        <f t="shared" si="28"/>
        <v>5567.983</v>
      </c>
      <c r="U637" s="24">
        <f t="shared" si="2"/>
        <v>162.6305751</v>
      </c>
      <c r="V637" s="26">
        <f>VLOOKUP(R637,CPI!$A$2:$E$67,5,0)</f>
        <v>1.124486105</v>
      </c>
      <c r="W637" s="27">
        <f t="shared" si="3"/>
        <v>6261.119519</v>
      </c>
      <c r="X637" s="27">
        <f t="shared" si="4"/>
        <v>182.875822</v>
      </c>
      <c r="Y637" s="72" t="s">
        <v>36</v>
      </c>
      <c r="Z637" s="119" t="s">
        <v>347</v>
      </c>
      <c r="AA637" s="7"/>
      <c r="AB637" s="7"/>
      <c r="AC637" s="7"/>
      <c r="AD637" s="7"/>
    </row>
    <row r="638">
      <c r="A638" s="114" t="s">
        <v>230</v>
      </c>
      <c r="B638" s="114" t="s">
        <v>346</v>
      </c>
      <c r="C638" s="16" t="s">
        <v>54</v>
      </c>
      <c r="D638" s="115" t="s">
        <v>348</v>
      </c>
      <c r="E638" s="116">
        <v>2021.0</v>
      </c>
      <c r="F638" s="114"/>
      <c r="G638" s="116">
        <v>0.0</v>
      </c>
      <c r="H638" s="116">
        <v>19.79</v>
      </c>
      <c r="I638" s="117">
        <v>1.0</v>
      </c>
      <c r="J638" s="116">
        <v>19.79</v>
      </c>
      <c r="K638" s="114"/>
      <c r="L638" s="114"/>
      <c r="M638" s="116">
        <v>15.0</v>
      </c>
      <c r="N638" s="116">
        <v>117.0</v>
      </c>
      <c r="O638" s="114"/>
      <c r="P638" s="140">
        <v>14864.0</v>
      </c>
      <c r="Q638" s="114" t="s">
        <v>234</v>
      </c>
      <c r="R638" s="115">
        <v>2021.0</v>
      </c>
      <c r="S638" s="136">
        <v>0.239</v>
      </c>
      <c r="T638" s="118">
        <f t="shared" si="28"/>
        <v>3552.496</v>
      </c>
      <c r="U638" s="24">
        <f t="shared" si="2"/>
        <v>179.5096513</v>
      </c>
      <c r="V638" s="26">
        <f>VLOOKUP(R638,CPI!$A$2:$E$67,5,0)</f>
        <v>1.124486105</v>
      </c>
      <c r="W638" s="27">
        <f t="shared" si="3"/>
        <v>3994.732392</v>
      </c>
      <c r="X638" s="27">
        <f t="shared" si="4"/>
        <v>201.8561087</v>
      </c>
      <c r="Y638" s="114"/>
      <c r="Z638" s="119" t="s">
        <v>349</v>
      </c>
      <c r="AA638" s="7"/>
      <c r="AB638" s="7"/>
      <c r="AC638" s="7"/>
      <c r="AD638" s="7"/>
    </row>
    <row r="639">
      <c r="A639" s="114" t="s">
        <v>230</v>
      </c>
      <c r="B639" s="114" t="s">
        <v>440</v>
      </c>
      <c r="C639" s="114" t="s">
        <v>441</v>
      </c>
      <c r="D639" s="114" t="s">
        <v>441</v>
      </c>
      <c r="E639" s="116">
        <v>2007.0</v>
      </c>
      <c r="F639" s="116">
        <v>2011.0</v>
      </c>
      <c r="G639" s="116">
        <v>0.0</v>
      </c>
      <c r="H639" s="116">
        <v>32.16</v>
      </c>
      <c r="I639" s="117">
        <v>1.0</v>
      </c>
      <c r="J639" s="116">
        <v>32.16</v>
      </c>
      <c r="K639" s="114"/>
      <c r="L639" s="114"/>
      <c r="M639" s="116">
        <v>21.0</v>
      </c>
      <c r="N639" s="116">
        <v>78.0</v>
      </c>
      <c r="O639" s="114"/>
      <c r="P639" s="140">
        <v>14519.0</v>
      </c>
      <c r="Q639" s="114" t="s">
        <v>234</v>
      </c>
      <c r="R639" s="115">
        <v>2009.0</v>
      </c>
      <c r="S639" s="85">
        <v>0.317</v>
      </c>
      <c r="T639" s="118">
        <f t="shared" si="28"/>
        <v>4602.523</v>
      </c>
      <c r="U639" s="24">
        <f t="shared" si="2"/>
        <v>143.1132774</v>
      </c>
      <c r="V639" s="26">
        <f>VLOOKUP(R639,CPI!$A$2:$E$67,5,0)</f>
        <v>1.420277155</v>
      </c>
      <c r="W639" s="27">
        <f t="shared" si="3"/>
        <v>6536.858272</v>
      </c>
      <c r="X639" s="27">
        <f t="shared" si="4"/>
        <v>203.2605184</v>
      </c>
      <c r="Y639" s="114"/>
      <c r="Z639" s="225" t="s">
        <v>442</v>
      </c>
      <c r="AA639" s="7"/>
      <c r="AB639" s="7"/>
      <c r="AC639" s="7"/>
      <c r="AD639" s="7"/>
    </row>
    <row r="640">
      <c r="A640" s="114" t="s">
        <v>230</v>
      </c>
      <c r="B640" s="114" t="s">
        <v>440</v>
      </c>
      <c r="C640" s="114" t="s">
        <v>292</v>
      </c>
      <c r="D640" s="114" t="s">
        <v>292</v>
      </c>
      <c r="E640" s="116">
        <v>2021.0</v>
      </c>
      <c r="F640" s="116">
        <v>2026.0</v>
      </c>
      <c r="G640" s="116">
        <v>0.0</v>
      </c>
      <c r="H640" s="116">
        <v>36.4</v>
      </c>
      <c r="I640" s="117">
        <v>0.66</v>
      </c>
      <c r="J640" s="116">
        <v>24.0</v>
      </c>
      <c r="K640" s="114"/>
      <c r="L640" s="114"/>
      <c r="M640" s="116">
        <v>18.0</v>
      </c>
      <c r="N640" s="116">
        <v>117.0</v>
      </c>
      <c r="O640" s="114"/>
      <c r="P640" s="140">
        <v>26060.0</v>
      </c>
      <c r="Q640" s="114" t="s">
        <v>234</v>
      </c>
      <c r="R640" s="115">
        <v>2021.0</v>
      </c>
      <c r="S640" s="136">
        <v>0.239</v>
      </c>
      <c r="T640" s="118">
        <f t="shared" si="28"/>
        <v>6228.34</v>
      </c>
      <c r="U640" s="24">
        <f t="shared" si="2"/>
        <v>171.1082418</v>
      </c>
      <c r="V640" s="26">
        <f>VLOOKUP(R640,CPI!$A$2:$E$67,5,0)</f>
        <v>1.124486105</v>
      </c>
      <c r="W640" s="27">
        <f t="shared" si="3"/>
        <v>7003.68179</v>
      </c>
      <c r="X640" s="27">
        <f t="shared" si="4"/>
        <v>192.4088404</v>
      </c>
      <c r="Y640" s="72" t="s">
        <v>36</v>
      </c>
      <c r="Z640" s="119" t="s">
        <v>445</v>
      </c>
      <c r="AA640" s="7"/>
      <c r="AB640" s="7"/>
      <c r="AC640" s="7"/>
      <c r="AD640" s="7"/>
    </row>
    <row r="641">
      <c r="A641" s="114" t="s">
        <v>230</v>
      </c>
      <c r="B641" s="114" t="s">
        <v>502</v>
      </c>
      <c r="C641" s="114" t="s">
        <v>57</v>
      </c>
      <c r="D641" s="114" t="s">
        <v>57</v>
      </c>
      <c r="E641" s="116">
        <v>2020.0</v>
      </c>
      <c r="F641" s="114"/>
      <c r="G641" s="116">
        <v>0.0</v>
      </c>
      <c r="H641" s="116">
        <v>29.27</v>
      </c>
      <c r="I641" s="117">
        <v>0.06</v>
      </c>
      <c r="J641" s="116">
        <v>1.9</v>
      </c>
      <c r="K641" s="114"/>
      <c r="L641" s="114"/>
      <c r="M641" s="116">
        <v>13.0</v>
      </c>
      <c r="N641" s="114"/>
      <c r="O641" s="114"/>
      <c r="P641" s="140">
        <v>8299.0</v>
      </c>
      <c r="Q641" s="114" t="s">
        <v>234</v>
      </c>
      <c r="R641" s="115">
        <v>2020.0</v>
      </c>
      <c r="S641" s="136">
        <v>0.239</v>
      </c>
      <c r="T641" s="118">
        <f t="shared" si="28"/>
        <v>1983.461</v>
      </c>
      <c r="U641" s="24">
        <f t="shared" si="2"/>
        <v>67.76429792</v>
      </c>
      <c r="V641" s="26">
        <f>VLOOKUP(R641,CPI!$A$2:$E$67,5,0)</f>
        <v>1.17731472</v>
      </c>
      <c r="W641" s="27">
        <f t="shared" si="3"/>
        <v>2335.157832</v>
      </c>
      <c r="X641" s="27">
        <f t="shared" si="4"/>
        <v>79.77990543</v>
      </c>
      <c r="Y641" s="72" t="s">
        <v>36</v>
      </c>
      <c r="Z641" s="119" t="s">
        <v>503</v>
      </c>
      <c r="AA641" s="7"/>
      <c r="AB641" s="7"/>
      <c r="AC641" s="7"/>
      <c r="AD641" s="7"/>
    </row>
    <row r="642">
      <c r="A642" s="114" t="s">
        <v>230</v>
      </c>
      <c r="B642" s="114" t="s">
        <v>547</v>
      </c>
      <c r="C642" s="115" t="s">
        <v>54</v>
      </c>
      <c r="D642" s="115" t="s">
        <v>551</v>
      </c>
      <c r="E642" s="116">
        <v>2016.0</v>
      </c>
      <c r="F642" s="114"/>
      <c r="G642" s="116">
        <v>0.0</v>
      </c>
      <c r="H642" s="116">
        <v>14.1</v>
      </c>
      <c r="I642" s="117">
        <v>1.0</v>
      </c>
      <c r="J642" s="116">
        <v>14.1</v>
      </c>
      <c r="K642" s="114"/>
      <c r="L642" s="114"/>
      <c r="M642" s="116">
        <v>11.0</v>
      </c>
      <c r="N642" s="116">
        <v>117.0</v>
      </c>
      <c r="O642" s="114"/>
      <c r="P642" s="140">
        <v>8750.0</v>
      </c>
      <c r="Q642" s="114" t="s">
        <v>234</v>
      </c>
      <c r="R642" s="115">
        <v>2016.0</v>
      </c>
      <c r="S642" s="85">
        <v>0.251</v>
      </c>
      <c r="T642" s="118">
        <f t="shared" si="28"/>
        <v>2196.25</v>
      </c>
      <c r="U642" s="24">
        <f t="shared" si="2"/>
        <v>155.7624113</v>
      </c>
      <c r="V642" s="26">
        <f>VLOOKUP(R642,CPI!$A$2:$E$67,5,0)</f>
        <v>1.269554638</v>
      </c>
      <c r="W642" s="27">
        <f t="shared" si="3"/>
        <v>2788.259374</v>
      </c>
      <c r="X642" s="27">
        <f t="shared" si="4"/>
        <v>197.7488918</v>
      </c>
      <c r="Y642" s="115" t="s">
        <v>60</v>
      </c>
      <c r="Z642" s="225" t="s">
        <v>550</v>
      </c>
      <c r="AA642" s="7"/>
      <c r="AB642" s="7"/>
      <c r="AC642" s="7"/>
      <c r="AD642" s="7"/>
    </row>
    <row r="643">
      <c r="A643" s="114" t="s">
        <v>230</v>
      </c>
      <c r="B643" s="114" t="s">
        <v>547</v>
      </c>
      <c r="C643" s="171" t="s">
        <v>57</v>
      </c>
      <c r="D643" s="115" t="s">
        <v>549</v>
      </c>
      <c r="E643" s="116">
        <v>2016.0</v>
      </c>
      <c r="F643" s="114"/>
      <c r="G643" s="116">
        <v>0.0</v>
      </c>
      <c r="H643" s="116">
        <v>2.6</v>
      </c>
      <c r="I643" s="117">
        <v>1.0</v>
      </c>
      <c r="J643" s="116">
        <v>2.6</v>
      </c>
      <c r="K643" s="114"/>
      <c r="L643" s="114"/>
      <c r="M643" s="116">
        <v>2.0</v>
      </c>
      <c r="N643" s="116">
        <v>117.0</v>
      </c>
      <c r="O643" s="114"/>
      <c r="P643" s="140">
        <v>1750.0</v>
      </c>
      <c r="Q643" s="114" t="s">
        <v>234</v>
      </c>
      <c r="R643" s="115">
        <v>2016.0</v>
      </c>
      <c r="S643" s="85">
        <v>0.251</v>
      </c>
      <c r="T643" s="118">
        <f t="shared" si="28"/>
        <v>439.25</v>
      </c>
      <c r="U643" s="24">
        <f t="shared" si="2"/>
        <v>168.9423077</v>
      </c>
      <c r="V643" s="26">
        <f>VLOOKUP(R643,CPI!$A$2:$E$67,5,0)</f>
        <v>1.269554638</v>
      </c>
      <c r="W643" s="27">
        <f t="shared" si="3"/>
        <v>557.6518747</v>
      </c>
      <c r="X643" s="27">
        <f t="shared" si="4"/>
        <v>214.4814903</v>
      </c>
      <c r="Y643" s="115" t="s">
        <v>60</v>
      </c>
      <c r="Z643" s="225" t="s">
        <v>550</v>
      </c>
      <c r="AA643" s="7"/>
      <c r="AB643" s="7"/>
      <c r="AC643" s="7"/>
      <c r="AD643" s="7"/>
    </row>
    <row r="644">
      <c r="A644" s="114" t="s">
        <v>230</v>
      </c>
      <c r="B644" s="114" t="s">
        <v>547</v>
      </c>
      <c r="C644" s="171" t="s">
        <v>54</v>
      </c>
      <c r="D644" s="115" t="s">
        <v>348</v>
      </c>
      <c r="E644" s="116">
        <v>2021.0</v>
      </c>
      <c r="F644" s="114"/>
      <c r="G644" s="116">
        <v>0.0</v>
      </c>
      <c r="H644" s="116">
        <v>28.7</v>
      </c>
      <c r="I644" s="117">
        <v>1.0</v>
      </c>
      <c r="J644" s="116">
        <v>28.7</v>
      </c>
      <c r="K644" s="114"/>
      <c r="L644" s="114"/>
      <c r="M644" s="116">
        <v>19.0</v>
      </c>
      <c r="N644" s="116">
        <v>117.0</v>
      </c>
      <c r="O644" s="114"/>
      <c r="P644" s="73">
        <v>20488.0</v>
      </c>
      <c r="Q644" s="114" t="s">
        <v>234</v>
      </c>
      <c r="R644" s="115">
        <v>2021.0</v>
      </c>
      <c r="S644" s="136">
        <v>0.239</v>
      </c>
      <c r="T644" s="118">
        <f t="shared" si="28"/>
        <v>4896.632</v>
      </c>
      <c r="U644" s="24">
        <f t="shared" si="2"/>
        <v>170.6143554</v>
      </c>
      <c r="V644" s="26">
        <f>VLOOKUP(R644,CPI!$A$2:$E$67,5,0)</f>
        <v>1.124486105</v>
      </c>
      <c r="W644" s="27">
        <f t="shared" si="3"/>
        <v>5506.194648</v>
      </c>
      <c r="X644" s="27">
        <f t="shared" si="4"/>
        <v>191.853472</v>
      </c>
      <c r="Y644" s="72" t="s">
        <v>36</v>
      </c>
      <c r="Z644" s="119" t="s">
        <v>552</v>
      </c>
      <c r="AA644" s="114" t="s">
        <v>553</v>
      </c>
      <c r="AB644" s="114"/>
      <c r="AC644" s="114"/>
      <c r="AD644" s="114"/>
    </row>
    <row r="645">
      <c r="A645" s="114" t="s">
        <v>230</v>
      </c>
      <c r="B645" s="114" t="s">
        <v>547</v>
      </c>
      <c r="C645" s="16" t="s">
        <v>87</v>
      </c>
      <c r="D645" s="115" t="s">
        <v>357</v>
      </c>
      <c r="E645" s="116">
        <v>2021.0</v>
      </c>
      <c r="F645" s="114"/>
      <c r="G645" s="116">
        <v>0.0</v>
      </c>
      <c r="H645" s="116">
        <v>32.18</v>
      </c>
      <c r="I645" s="117">
        <v>1.0</v>
      </c>
      <c r="J645" s="116">
        <v>32.2</v>
      </c>
      <c r="K645" s="114"/>
      <c r="L645" s="114"/>
      <c r="M645" s="116">
        <v>31.0</v>
      </c>
      <c r="N645" s="116">
        <v>117.0</v>
      </c>
      <c r="O645" s="114"/>
      <c r="P645" s="73">
        <v>26700.0</v>
      </c>
      <c r="Q645" s="114" t="s">
        <v>234</v>
      </c>
      <c r="R645" s="115">
        <v>2021.0</v>
      </c>
      <c r="S645" s="136">
        <v>0.239</v>
      </c>
      <c r="T645" s="118">
        <f t="shared" si="28"/>
        <v>6381.3</v>
      </c>
      <c r="U645" s="24">
        <f t="shared" si="2"/>
        <v>198.3001865</v>
      </c>
      <c r="V645" s="26">
        <f>VLOOKUP(R645,CPI!$A$2:$E$67,5,0)</f>
        <v>1.124486105</v>
      </c>
      <c r="W645" s="27">
        <f t="shared" si="3"/>
        <v>7175.683185</v>
      </c>
      <c r="X645" s="27">
        <f t="shared" si="4"/>
        <v>222.9858044</v>
      </c>
      <c r="Y645" s="72" t="s">
        <v>36</v>
      </c>
      <c r="Z645" s="119" t="s">
        <v>554</v>
      </c>
      <c r="AA645" s="114"/>
      <c r="AB645" s="114"/>
      <c r="AC645" s="114"/>
      <c r="AD645" s="114"/>
    </row>
    <row r="646">
      <c r="A646" s="114" t="s">
        <v>230</v>
      </c>
      <c r="B646" s="114" t="s">
        <v>547</v>
      </c>
      <c r="C646" s="16" t="s">
        <v>110</v>
      </c>
      <c r="D646" s="115" t="s">
        <v>332</v>
      </c>
      <c r="E646" s="116">
        <v>2016.0</v>
      </c>
      <c r="F646" s="114"/>
      <c r="G646" s="116">
        <v>0.0</v>
      </c>
      <c r="H646" s="116">
        <v>32.2</v>
      </c>
      <c r="I646" s="117">
        <v>1.0</v>
      </c>
      <c r="J646" s="116">
        <v>32.2</v>
      </c>
      <c r="K646" s="114"/>
      <c r="L646" s="114"/>
      <c r="M646" s="116">
        <v>27.0</v>
      </c>
      <c r="N646" s="114"/>
      <c r="O646" s="114"/>
      <c r="P646" s="140">
        <v>23760.0</v>
      </c>
      <c r="Q646" s="114" t="s">
        <v>234</v>
      </c>
      <c r="R646" s="115">
        <v>2016.0</v>
      </c>
      <c r="S646" s="85">
        <v>0.251</v>
      </c>
      <c r="T646" s="118">
        <f t="shared" si="28"/>
        <v>5963.76</v>
      </c>
      <c r="U646" s="24">
        <f t="shared" si="2"/>
        <v>185.2099379</v>
      </c>
      <c r="V646" s="26">
        <f>VLOOKUP(R646,CPI!$A$2:$E$67,5,0)</f>
        <v>1.269554638</v>
      </c>
      <c r="W646" s="27">
        <f t="shared" si="3"/>
        <v>7571.319168</v>
      </c>
      <c r="X646" s="27">
        <f t="shared" si="4"/>
        <v>235.1341356</v>
      </c>
      <c r="Y646" s="115" t="s">
        <v>60</v>
      </c>
      <c r="Z646" s="225" t="s">
        <v>550</v>
      </c>
      <c r="AA646" s="321"/>
      <c r="AB646" s="321"/>
      <c r="AC646" s="114"/>
      <c r="AD646" s="114"/>
    </row>
    <row r="647">
      <c r="A647" s="114" t="s">
        <v>230</v>
      </c>
      <c r="B647" s="114" t="s">
        <v>547</v>
      </c>
      <c r="C647" s="16" t="s">
        <v>84</v>
      </c>
      <c r="D647" s="115" t="s">
        <v>319</v>
      </c>
      <c r="E647" s="116">
        <v>2016.0</v>
      </c>
      <c r="F647" s="114"/>
      <c r="G647" s="116">
        <v>0.0</v>
      </c>
      <c r="H647" s="116">
        <v>36.1</v>
      </c>
      <c r="I647" s="117">
        <v>1.0</v>
      </c>
      <c r="J647" s="116">
        <v>36.1</v>
      </c>
      <c r="K647" s="114"/>
      <c r="L647" s="114"/>
      <c r="M647" s="116">
        <v>25.0</v>
      </c>
      <c r="N647" s="114"/>
      <c r="O647" s="114"/>
      <c r="P647" s="140">
        <v>22230.0</v>
      </c>
      <c r="Q647" s="114" t="s">
        <v>234</v>
      </c>
      <c r="R647" s="115">
        <v>2016.0</v>
      </c>
      <c r="S647" s="85">
        <v>0.251</v>
      </c>
      <c r="T647" s="118">
        <f t="shared" si="28"/>
        <v>5579.73</v>
      </c>
      <c r="U647" s="24">
        <f t="shared" si="2"/>
        <v>154.5631579</v>
      </c>
      <c r="V647" s="26">
        <f>VLOOKUP(R647,CPI!$A$2:$E$67,5,0)</f>
        <v>1.269554638</v>
      </c>
      <c r="W647" s="27">
        <f t="shared" si="3"/>
        <v>7083.7721</v>
      </c>
      <c r="X647" s="27">
        <f t="shared" si="4"/>
        <v>196.226374</v>
      </c>
      <c r="Y647" s="115" t="s">
        <v>60</v>
      </c>
      <c r="Z647" s="225" t="s">
        <v>550</v>
      </c>
      <c r="AA647" s="321"/>
      <c r="AB647" s="321"/>
      <c r="AC647" s="114"/>
      <c r="AD647" s="114"/>
    </row>
    <row r="648">
      <c r="A648" s="114" t="s">
        <v>230</v>
      </c>
      <c r="B648" s="114" t="s">
        <v>547</v>
      </c>
      <c r="C648" s="171" t="s">
        <v>57</v>
      </c>
      <c r="D648" s="115" t="s">
        <v>232</v>
      </c>
      <c r="E648" s="116">
        <v>2005.0</v>
      </c>
      <c r="F648" s="114"/>
      <c r="G648" s="116">
        <v>0.0</v>
      </c>
      <c r="H648" s="116">
        <v>14.4</v>
      </c>
      <c r="I648" s="117">
        <v>1.0</v>
      </c>
      <c r="J648" s="116">
        <v>14.4</v>
      </c>
      <c r="K648" s="114"/>
      <c r="L648" s="114"/>
      <c r="M648" s="116">
        <v>16.0</v>
      </c>
      <c r="N648" s="116">
        <v>117.0</v>
      </c>
      <c r="O648" s="114"/>
      <c r="P648" s="140">
        <v>5890.0</v>
      </c>
      <c r="Q648" s="114" t="s">
        <v>234</v>
      </c>
      <c r="R648" s="115">
        <v>2005.0</v>
      </c>
      <c r="S648" s="85">
        <v>0.352</v>
      </c>
      <c r="T648" s="118">
        <f t="shared" si="28"/>
        <v>2073.28</v>
      </c>
      <c r="U648" s="24">
        <f t="shared" si="2"/>
        <v>143.9777778</v>
      </c>
      <c r="V648" s="26">
        <f>VLOOKUP(R648,CPI!$A$2:$E$67,5,0)</f>
        <v>1.560174091</v>
      </c>
      <c r="W648" s="27">
        <f t="shared" si="3"/>
        <v>3234.67774</v>
      </c>
      <c r="X648" s="27">
        <f t="shared" si="4"/>
        <v>224.6303986</v>
      </c>
      <c r="Y648" s="115" t="s">
        <v>60</v>
      </c>
      <c r="Z648" s="119" t="s">
        <v>548</v>
      </c>
      <c r="AA648" s="114"/>
      <c r="AB648" s="114"/>
      <c r="AC648" s="114"/>
      <c r="AD648" s="114"/>
    </row>
    <row r="649">
      <c r="A649" s="114" t="s">
        <v>1443</v>
      </c>
      <c r="B649" s="114" t="s">
        <v>1447</v>
      </c>
      <c r="C649" s="171" t="s">
        <v>54</v>
      </c>
      <c r="D649" s="114" t="s">
        <v>1449</v>
      </c>
      <c r="E649" s="116">
        <v>2020.0</v>
      </c>
      <c r="F649" s="114"/>
      <c r="G649" s="116">
        <v>0.0</v>
      </c>
      <c r="H649" s="116">
        <v>18.5</v>
      </c>
      <c r="I649" s="114"/>
      <c r="J649" s="114"/>
      <c r="K649" s="114"/>
      <c r="L649" s="114"/>
      <c r="M649" s="114"/>
      <c r="N649" s="116"/>
      <c r="O649" s="114"/>
      <c r="P649" s="73">
        <v>1750200.0</v>
      </c>
      <c r="Q649" s="114" t="s">
        <v>1445</v>
      </c>
      <c r="R649" s="115">
        <v>2020.0</v>
      </c>
      <c r="S649" s="115">
        <v>0.00121</v>
      </c>
      <c r="T649" s="118">
        <f t="shared" si="28"/>
        <v>2117.742</v>
      </c>
      <c r="U649" s="24">
        <f t="shared" si="2"/>
        <v>114.4725405</v>
      </c>
      <c r="V649" s="26">
        <f>VLOOKUP(R649,CPI!$A$2:$E$67,5,0)</f>
        <v>1.17731472</v>
      </c>
      <c r="W649" s="27">
        <f t="shared" si="3"/>
        <v>2493.24883</v>
      </c>
      <c r="X649" s="27">
        <f t="shared" si="4"/>
        <v>134.770207</v>
      </c>
      <c r="Y649" s="115" t="s">
        <v>42</v>
      </c>
      <c r="Z649" s="119" t="s">
        <v>1450</v>
      </c>
      <c r="AA649" s="7"/>
      <c r="AB649" s="7"/>
      <c r="AC649" s="7"/>
      <c r="AD649" s="7"/>
    </row>
    <row r="650">
      <c r="A650" s="114" t="s">
        <v>1443</v>
      </c>
      <c r="B650" s="114" t="s">
        <v>1447</v>
      </c>
      <c r="C650" s="171" t="s">
        <v>54</v>
      </c>
      <c r="D650" s="114" t="s">
        <v>54</v>
      </c>
      <c r="E650" s="116">
        <v>2009.0</v>
      </c>
      <c r="F650" s="116">
        <v>2016.0</v>
      </c>
      <c r="G650" s="116">
        <v>0.0</v>
      </c>
      <c r="H650" s="116">
        <v>29.1</v>
      </c>
      <c r="I650" s="71">
        <v>0.7835</v>
      </c>
      <c r="J650" s="116">
        <v>22.8</v>
      </c>
      <c r="K650" s="114"/>
      <c r="L650" s="114"/>
      <c r="M650" s="116">
        <v>27.0</v>
      </c>
      <c r="N650" s="116"/>
      <c r="O650" s="114"/>
      <c r="P650" s="73">
        <v>2459000.0</v>
      </c>
      <c r="Q650" s="114" t="s">
        <v>1445</v>
      </c>
      <c r="R650" s="115">
        <v>2012.0</v>
      </c>
      <c r="S650" s="115">
        <v>0.00117</v>
      </c>
      <c r="T650" s="118">
        <f t="shared" si="28"/>
        <v>2877.03</v>
      </c>
      <c r="U650" s="24">
        <f t="shared" si="2"/>
        <v>98.86701031</v>
      </c>
      <c r="V650" s="26">
        <f>VLOOKUP(R650,CPI!$A$2:$E$67,5,0)</f>
        <v>1.327133984</v>
      </c>
      <c r="W650" s="27">
        <f t="shared" si="3"/>
        <v>3818.204287</v>
      </c>
      <c r="X650" s="27">
        <f t="shared" si="4"/>
        <v>131.2097693</v>
      </c>
      <c r="Y650" s="115" t="s">
        <v>42</v>
      </c>
      <c r="Z650" s="225" t="s">
        <v>1448</v>
      </c>
      <c r="AA650" s="7"/>
      <c r="AB650" s="7"/>
      <c r="AC650" s="7"/>
      <c r="AD650" s="7"/>
    </row>
    <row r="651">
      <c r="A651" s="114" t="s">
        <v>230</v>
      </c>
      <c r="B651" s="114" t="s">
        <v>577</v>
      </c>
      <c r="C651" s="16" t="s">
        <v>578</v>
      </c>
      <c r="D651" s="114" t="s">
        <v>579</v>
      </c>
      <c r="E651" s="116">
        <v>2020.0</v>
      </c>
      <c r="F651" s="114"/>
      <c r="G651" s="116">
        <v>1.0</v>
      </c>
      <c r="H651" s="116">
        <v>35.01</v>
      </c>
      <c r="I651" s="117">
        <v>0.0</v>
      </c>
      <c r="J651" s="116">
        <v>0.0</v>
      </c>
      <c r="K651" s="114"/>
      <c r="L651" s="114"/>
      <c r="M651" s="116">
        <v>8.0</v>
      </c>
      <c r="N651" s="116">
        <v>184.0</v>
      </c>
      <c r="O651" s="114"/>
      <c r="P651" s="140">
        <v>17000.0</v>
      </c>
      <c r="Q651" s="114" t="s">
        <v>234</v>
      </c>
      <c r="R651" s="115">
        <v>2020.0</v>
      </c>
      <c r="S651" s="136">
        <v>0.239</v>
      </c>
      <c r="T651" s="118">
        <f t="shared" si="28"/>
        <v>4063</v>
      </c>
      <c r="U651" s="24">
        <f t="shared" si="2"/>
        <v>116.0525564</v>
      </c>
      <c r="V651" s="26">
        <f>VLOOKUP(R651,CPI!$A$2:$E$67,5,0)</f>
        <v>1.17731472</v>
      </c>
      <c r="W651" s="27">
        <f t="shared" si="3"/>
        <v>4783.429707</v>
      </c>
      <c r="X651" s="27">
        <f t="shared" si="4"/>
        <v>136.630383</v>
      </c>
      <c r="Y651" s="72" t="s">
        <v>36</v>
      </c>
      <c r="Z651" s="119" t="s">
        <v>580</v>
      </c>
      <c r="AA651" s="7"/>
      <c r="AB651" s="7"/>
      <c r="AC651" s="7"/>
      <c r="AD651" s="7"/>
    </row>
    <row r="652">
      <c r="A652" s="114" t="s">
        <v>1262</v>
      </c>
      <c r="B652" s="114" t="s">
        <v>1297</v>
      </c>
      <c r="C652" s="114" t="s">
        <v>57</v>
      </c>
      <c r="D652" s="114" t="s">
        <v>768</v>
      </c>
      <c r="E652" s="116">
        <v>2019.0</v>
      </c>
      <c r="F652" s="116">
        <v>2022.0</v>
      </c>
      <c r="G652" s="116">
        <v>0.0</v>
      </c>
      <c r="H652" s="116">
        <v>32.385</v>
      </c>
      <c r="I652" s="71">
        <v>0.399</v>
      </c>
      <c r="J652" s="116">
        <v>12.921</v>
      </c>
      <c r="K652" s="116">
        <v>19.464</v>
      </c>
      <c r="L652" s="114"/>
      <c r="M652" s="116">
        <v>31.0</v>
      </c>
      <c r="N652" s="114"/>
      <c r="O652" s="114"/>
      <c r="P652" s="73">
        <v>110765.0</v>
      </c>
      <c r="Q652" s="114" t="s">
        <v>1265</v>
      </c>
      <c r="R652" s="115">
        <v>2021.0</v>
      </c>
      <c r="S652" s="85">
        <v>0.0432</v>
      </c>
      <c r="T652" s="118">
        <f t="shared" si="28"/>
        <v>4785.048</v>
      </c>
      <c r="U652" s="24">
        <f t="shared" si="2"/>
        <v>147.7550718</v>
      </c>
      <c r="V652" s="26">
        <f>VLOOKUP(R652,CPI!$A$2:$E$67,5,0)</f>
        <v>1.124486105</v>
      </c>
      <c r="W652" s="27">
        <f t="shared" si="3"/>
        <v>5380.71999</v>
      </c>
      <c r="X652" s="27">
        <f t="shared" si="4"/>
        <v>166.1485252</v>
      </c>
      <c r="Y652" s="115" t="s">
        <v>42</v>
      </c>
      <c r="Z652" s="225" t="s">
        <v>1298</v>
      </c>
      <c r="AA652" s="7"/>
      <c r="AB652" s="7"/>
      <c r="AC652" s="7"/>
      <c r="AD652" s="7"/>
    </row>
    <row r="653">
      <c r="A653" s="66" t="s">
        <v>230</v>
      </c>
      <c r="B653" s="210" t="s">
        <v>681</v>
      </c>
      <c r="C653" s="210" t="s">
        <v>682</v>
      </c>
      <c r="D653" s="210" t="s">
        <v>682</v>
      </c>
      <c r="E653" s="116">
        <v>2020.0</v>
      </c>
      <c r="F653" s="114"/>
      <c r="G653" s="116">
        <v>1.0</v>
      </c>
      <c r="H653" s="116">
        <v>23.8</v>
      </c>
      <c r="I653" s="117">
        <v>0.63</v>
      </c>
      <c r="J653" s="116">
        <v>14.9</v>
      </c>
      <c r="K653" s="114"/>
      <c r="L653" s="114"/>
      <c r="M653" s="114"/>
      <c r="N653" s="114"/>
      <c r="O653" s="114"/>
      <c r="P653" s="140">
        <v>13530.0</v>
      </c>
      <c r="Q653" s="114" t="s">
        <v>234</v>
      </c>
      <c r="R653" s="115">
        <v>2020.0</v>
      </c>
      <c r="S653" s="136">
        <v>0.239</v>
      </c>
      <c r="T653" s="118">
        <f t="shared" si="28"/>
        <v>3233.67</v>
      </c>
      <c r="U653" s="24">
        <f t="shared" si="2"/>
        <v>135.8684874</v>
      </c>
      <c r="V653" s="26">
        <f>VLOOKUP(R653,CPI!$A$2:$E$67,5,0)</f>
        <v>1.17731472</v>
      </c>
      <c r="W653" s="27">
        <f t="shared" si="3"/>
        <v>3807.047291</v>
      </c>
      <c r="X653" s="27">
        <f t="shared" si="4"/>
        <v>159.9599702</v>
      </c>
      <c r="Y653" s="72" t="s">
        <v>36</v>
      </c>
      <c r="Z653" s="119" t="s">
        <v>683</v>
      </c>
      <c r="AA653" s="7"/>
      <c r="AB653" s="7"/>
      <c r="AC653" s="7"/>
      <c r="AD653" s="7"/>
    </row>
    <row r="654">
      <c r="A654" s="66" t="s">
        <v>230</v>
      </c>
      <c r="B654" s="114" t="s">
        <v>755</v>
      </c>
      <c r="C654" s="114" t="s">
        <v>756</v>
      </c>
      <c r="D654" s="114" t="s">
        <v>756</v>
      </c>
      <c r="E654" s="116">
        <v>2016.0</v>
      </c>
      <c r="F654" s="116">
        <v>2021.0</v>
      </c>
      <c r="G654" s="116">
        <v>0.0</v>
      </c>
      <c r="H654" s="116">
        <v>20.3</v>
      </c>
      <c r="I654" s="117">
        <v>0.49</v>
      </c>
      <c r="J654" s="116">
        <v>9.87</v>
      </c>
      <c r="K654" s="114"/>
      <c r="L654" s="114"/>
      <c r="M654" s="116">
        <v>10.0</v>
      </c>
      <c r="N654" s="116">
        <v>117.0</v>
      </c>
      <c r="O654" s="114"/>
      <c r="P654" s="140">
        <v>12790.0</v>
      </c>
      <c r="Q654" s="114" t="s">
        <v>234</v>
      </c>
      <c r="R654" s="115">
        <v>2019.0</v>
      </c>
      <c r="S654" s="136">
        <v>0.238</v>
      </c>
      <c r="T654" s="118">
        <f t="shared" si="28"/>
        <v>3044.02</v>
      </c>
      <c r="U654" s="24">
        <f t="shared" si="2"/>
        <v>149.9517241</v>
      </c>
      <c r="V654" s="26">
        <f>VLOOKUP(R654,CPI!$A$2:$E$67,5,0)</f>
        <v>1.191839066</v>
      </c>
      <c r="W654" s="27">
        <f t="shared" si="3"/>
        <v>3627.981953</v>
      </c>
      <c r="X654" s="27">
        <f t="shared" si="4"/>
        <v>178.7183228</v>
      </c>
      <c r="Y654" s="72" t="s">
        <v>36</v>
      </c>
      <c r="Z654" s="119" t="s">
        <v>757</v>
      </c>
      <c r="AA654" s="119" t="s">
        <v>758</v>
      </c>
    </row>
    <row r="655">
      <c r="A655" s="114" t="s">
        <v>230</v>
      </c>
      <c r="B655" s="114" t="s">
        <v>806</v>
      </c>
      <c r="C655" s="16" t="s">
        <v>80</v>
      </c>
      <c r="D655" s="115" t="s">
        <v>255</v>
      </c>
      <c r="E655" s="116">
        <v>2020.0</v>
      </c>
      <c r="F655" s="114"/>
      <c r="G655" s="116">
        <v>0.0</v>
      </c>
      <c r="H655" s="116">
        <v>15.76</v>
      </c>
      <c r="I655" s="117">
        <v>1.0</v>
      </c>
      <c r="J655" s="116">
        <v>15.76</v>
      </c>
      <c r="K655" s="114"/>
      <c r="L655" s="114"/>
      <c r="M655" s="116">
        <v>11.0</v>
      </c>
      <c r="N655" s="114"/>
      <c r="O655" s="114"/>
      <c r="P655" s="140">
        <v>10063.0</v>
      </c>
      <c r="Q655" s="114" t="s">
        <v>234</v>
      </c>
      <c r="R655" s="115">
        <v>2020.0</v>
      </c>
      <c r="S655" s="136">
        <v>0.239</v>
      </c>
      <c r="T655" s="118">
        <f t="shared" si="28"/>
        <v>2405.057</v>
      </c>
      <c r="U655" s="24">
        <f t="shared" si="2"/>
        <v>152.6051396</v>
      </c>
      <c r="V655" s="26">
        <f>VLOOKUP(R655,CPI!$A$2:$E$67,5,0)</f>
        <v>1.17731472</v>
      </c>
      <c r="W655" s="27">
        <f t="shared" si="3"/>
        <v>2831.509009</v>
      </c>
      <c r="X655" s="27">
        <f t="shared" si="4"/>
        <v>179.6642772</v>
      </c>
      <c r="Y655" s="72" t="s">
        <v>36</v>
      </c>
      <c r="Z655" s="119" t="s">
        <v>812</v>
      </c>
      <c r="AA655" s="7"/>
      <c r="AB655" s="7"/>
      <c r="AC655" s="7"/>
      <c r="AD655" s="7"/>
    </row>
    <row r="656">
      <c r="A656" s="114" t="s">
        <v>230</v>
      </c>
      <c r="B656" s="114" t="s">
        <v>806</v>
      </c>
      <c r="C656" s="114" t="s">
        <v>110</v>
      </c>
      <c r="D656" s="114" t="s">
        <v>110</v>
      </c>
      <c r="E656" s="116">
        <v>2020.0</v>
      </c>
      <c r="F656" s="114"/>
      <c r="G656" s="116">
        <v>0.0</v>
      </c>
      <c r="H656" s="116">
        <v>24.4</v>
      </c>
      <c r="I656" s="117">
        <v>1.0</v>
      </c>
      <c r="J656" s="116">
        <v>24.4</v>
      </c>
      <c r="K656" s="114"/>
      <c r="L656" s="114"/>
      <c r="M656" s="116">
        <v>21.0</v>
      </c>
      <c r="N656" s="114"/>
      <c r="O656" s="114"/>
      <c r="P656" s="140">
        <v>17201.0</v>
      </c>
      <c r="Q656" s="114" t="s">
        <v>234</v>
      </c>
      <c r="R656" s="115">
        <v>2020.0</v>
      </c>
      <c r="S656" s="136">
        <v>0.239</v>
      </c>
      <c r="T656" s="118">
        <f t="shared" si="28"/>
        <v>4111.039</v>
      </c>
      <c r="U656" s="24">
        <f t="shared" si="2"/>
        <v>168.4852049</v>
      </c>
      <c r="V656" s="26">
        <f>VLOOKUP(R656,CPI!$A$2:$E$67,5,0)</f>
        <v>1.17731472</v>
      </c>
      <c r="W656" s="27">
        <f t="shared" si="3"/>
        <v>4839.986729</v>
      </c>
      <c r="X656" s="27">
        <f t="shared" si="4"/>
        <v>198.3601119</v>
      </c>
      <c r="Y656" s="72" t="s">
        <v>36</v>
      </c>
      <c r="Z656" s="119" t="s">
        <v>811</v>
      </c>
      <c r="AA656" s="7"/>
      <c r="AB656" s="7"/>
      <c r="AC656" s="7"/>
      <c r="AD656" s="7"/>
    </row>
    <row r="657">
      <c r="A657" s="114" t="s">
        <v>1262</v>
      </c>
      <c r="B657" s="114" t="s">
        <v>1329</v>
      </c>
      <c r="C657" s="114" t="s">
        <v>768</v>
      </c>
      <c r="D657" s="114" t="s">
        <v>768</v>
      </c>
      <c r="E657" s="116">
        <v>2021.0</v>
      </c>
      <c r="F657" s="116">
        <v>2023.0</v>
      </c>
      <c r="G657" s="116">
        <v>0.0</v>
      </c>
      <c r="H657" s="116">
        <v>40.35</v>
      </c>
      <c r="I657" s="71">
        <v>0.1603</v>
      </c>
      <c r="J657" s="116">
        <v>6.47</v>
      </c>
      <c r="K657" s="116">
        <v>33.88</v>
      </c>
      <c r="L657" s="114"/>
      <c r="M657" s="116">
        <v>38.0</v>
      </c>
      <c r="N657" s="114"/>
      <c r="O657" s="114"/>
      <c r="P657" s="73">
        <v>120203.0</v>
      </c>
      <c r="Q657" s="114" t="s">
        <v>1265</v>
      </c>
      <c r="R657" s="115">
        <v>2021.0</v>
      </c>
      <c r="S657" s="85">
        <v>0.0432</v>
      </c>
      <c r="T657" s="118">
        <f t="shared" si="28"/>
        <v>5192.7696</v>
      </c>
      <c r="U657" s="24">
        <f t="shared" si="2"/>
        <v>128.6931747</v>
      </c>
      <c r="V657" s="26">
        <f>VLOOKUP(R657,CPI!$A$2:$E$67,5,0)</f>
        <v>1.124486105</v>
      </c>
      <c r="W657" s="27">
        <f t="shared" si="3"/>
        <v>5839.197264</v>
      </c>
      <c r="X657" s="27">
        <f t="shared" si="4"/>
        <v>144.7136868</v>
      </c>
      <c r="Y657" s="115" t="s">
        <v>42</v>
      </c>
      <c r="Z657" s="225" t="s">
        <v>1330</v>
      </c>
      <c r="AA657" s="7"/>
      <c r="AB657" s="7"/>
      <c r="AC657" s="7"/>
      <c r="AD657" s="7"/>
    </row>
    <row r="658">
      <c r="A658" s="114" t="s">
        <v>230</v>
      </c>
      <c r="B658" s="114" t="s">
        <v>863</v>
      </c>
      <c r="C658" s="115" t="s">
        <v>868</v>
      </c>
      <c r="D658" s="115" t="s">
        <v>869</v>
      </c>
      <c r="E658" s="116">
        <v>2022.0</v>
      </c>
      <c r="F658" s="114"/>
      <c r="G658" s="116">
        <v>0.0</v>
      </c>
      <c r="H658" s="116">
        <v>31.17</v>
      </c>
      <c r="I658" s="117">
        <v>0.09</v>
      </c>
      <c r="J658" s="116">
        <v>2.8</v>
      </c>
      <c r="K658" s="114"/>
      <c r="L658" s="114"/>
      <c r="M658" s="116">
        <v>12.0</v>
      </c>
      <c r="N658" s="116">
        <v>138.0</v>
      </c>
      <c r="O658" s="114"/>
      <c r="P658" s="140">
        <v>12240.0</v>
      </c>
      <c r="Q658" s="114" t="s">
        <v>234</v>
      </c>
      <c r="R658" s="115">
        <v>2021.0</v>
      </c>
      <c r="S658" s="136">
        <v>0.239</v>
      </c>
      <c r="T658" s="118">
        <f t="shared" si="28"/>
        <v>2925.36</v>
      </c>
      <c r="U658" s="24">
        <f t="shared" si="2"/>
        <v>93.85178056</v>
      </c>
      <c r="V658" s="26">
        <f>VLOOKUP(R658,CPI!$A$2:$E$67,5,0)</f>
        <v>1.124486105</v>
      </c>
      <c r="W658" s="27">
        <f t="shared" si="3"/>
        <v>3289.526674</v>
      </c>
      <c r="X658" s="27">
        <f t="shared" si="4"/>
        <v>105.5350232</v>
      </c>
      <c r="Y658" s="114"/>
      <c r="Z658" s="119" t="s">
        <v>867</v>
      </c>
      <c r="AA658" s="7"/>
      <c r="AB658" s="7"/>
      <c r="AC658" s="7"/>
      <c r="AD658" s="7"/>
    </row>
    <row r="659">
      <c r="A659" s="114" t="s">
        <v>230</v>
      </c>
      <c r="B659" s="114" t="s">
        <v>900</v>
      </c>
      <c r="C659" s="114" t="s">
        <v>819</v>
      </c>
      <c r="D659" s="114" t="s">
        <v>819</v>
      </c>
      <c r="E659" s="116">
        <v>2019.0</v>
      </c>
      <c r="F659" s="116">
        <v>2023.0</v>
      </c>
      <c r="G659" s="116">
        <v>0.0</v>
      </c>
      <c r="H659" s="116">
        <v>30.4</v>
      </c>
      <c r="I659" s="117">
        <v>0.35</v>
      </c>
      <c r="J659" s="116">
        <v>10.5</v>
      </c>
      <c r="K659" s="114"/>
      <c r="L659" s="114"/>
      <c r="M659" s="116">
        <v>9.0</v>
      </c>
      <c r="N659" s="116">
        <v>117.0</v>
      </c>
      <c r="O659" s="114"/>
      <c r="P659" s="140">
        <v>14403.0</v>
      </c>
      <c r="Q659" s="114" t="s">
        <v>234</v>
      </c>
      <c r="R659" s="115">
        <v>2021.0</v>
      </c>
      <c r="S659" s="136">
        <v>0.239</v>
      </c>
      <c r="T659" s="118">
        <f t="shared" si="28"/>
        <v>3442.317</v>
      </c>
      <c r="U659" s="24">
        <f t="shared" si="2"/>
        <v>113.2341118</v>
      </c>
      <c r="V659" s="26">
        <f>VLOOKUP(R659,CPI!$A$2:$E$67,5,0)</f>
        <v>1.124486105</v>
      </c>
      <c r="W659" s="27">
        <f t="shared" si="3"/>
        <v>3870.837637</v>
      </c>
      <c r="X659" s="27">
        <f t="shared" si="4"/>
        <v>127.3301854</v>
      </c>
      <c r="Y659" s="114"/>
      <c r="Z659" s="119" t="s">
        <v>904</v>
      </c>
      <c r="AA659" s="7"/>
      <c r="AB659" s="7"/>
      <c r="AC659" s="7"/>
      <c r="AD659" s="7"/>
    </row>
    <row r="660">
      <c r="A660" s="114" t="s">
        <v>230</v>
      </c>
      <c r="B660" s="114" t="s">
        <v>900</v>
      </c>
      <c r="C660" s="16" t="s">
        <v>110</v>
      </c>
      <c r="D660" s="115" t="s">
        <v>332</v>
      </c>
      <c r="E660" s="116">
        <v>2021.0</v>
      </c>
      <c r="F660" s="114"/>
      <c r="G660" s="116">
        <v>0.0</v>
      </c>
      <c r="H660" s="116">
        <v>24.4</v>
      </c>
      <c r="I660" s="117">
        <v>1.0</v>
      </c>
      <c r="J660" s="116">
        <v>24.4</v>
      </c>
      <c r="K660" s="114"/>
      <c r="L660" s="114"/>
      <c r="M660" s="116">
        <v>18.0</v>
      </c>
      <c r="N660" s="116">
        <v>117.0</v>
      </c>
      <c r="O660" s="114"/>
      <c r="P660" s="140">
        <v>18318.0</v>
      </c>
      <c r="Q660" s="114" t="s">
        <v>234</v>
      </c>
      <c r="R660" s="115">
        <v>2021.0</v>
      </c>
      <c r="S660" s="136">
        <v>0.239</v>
      </c>
      <c r="T660" s="118">
        <f t="shared" si="28"/>
        <v>4378.002</v>
      </c>
      <c r="U660" s="24">
        <f t="shared" si="2"/>
        <v>179.4263115</v>
      </c>
      <c r="V660" s="26">
        <f>VLOOKUP(R660,CPI!$A$2:$E$67,5,0)</f>
        <v>1.124486105</v>
      </c>
      <c r="W660" s="27">
        <f t="shared" si="3"/>
        <v>4923.002419</v>
      </c>
      <c r="X660" s="27">
        <f t="shared" si="4"/>
        <v>201.7623942</v>
      </c>
      <c r="Y660" s="114"/>
      <c r="Z660" s="119" t="s">
        <v>907</v>
      </c>
      <c r="AA660" s="114"/>
      <c r="AB660" s="114"/>
      <c r="AC660" s="114"/>
      <c r="AD660" s="114"/>
    </row>
    <row r="661">
      <c r="A661" s="114" t="s">
        <v>230</v>
      </c>
      <c r="B661" s="114" t="s">
        <v>900</v>
      </c>
      <c r="C661" s="16" t="s">
        <v>54</v>
      </c>
      <c r="D661" s="115" t="s">
        <v>348</v>
      </c>
      <c r="E661" s="116">
        <v>2010.0</v>
      </c>
      <c r="F661" s="116">
        <v>2014.0</v>
      </c>
      <c r="G661" s="116">
        <v>0.0</v>
      </c>
      <c r="H661" s="116">
        <v>26.3</v>
      </c>
      <c r="I661" s="117">
        <v>0.75</v>
      </c>
      <c r="J661" s="116">
        <v>19.6</v>
      </c>
      <c r="K661" s="114"/>
      <c r="L661" s="114"/>
      <c r="M661" s="116">
        <v>20.0</v>
      </c>
      <c r="N661" s="116">
        <v>117.0</v>
      </c>
      <c r="O661" s="114"/>
      <c r="P661" s="140">
        <v>17487.0</v>
      </c>
      <c r="Q661" s="114" t="s">
        <v>234</v>
      </c>
      <c r="R661" s="115">
        <v>2012.0</v>
      </c>
      <c r="S661" s="136">
        <v>0.281</v>
      </c>
      <c r="T661" s="118">
        <f t="shared" si="28"/>
        <v>4913.847</v>
      </c>
      <c r="U661" s="24">
        <f t="shared" si="2"/>
        <v>186.838289</v>
      </c>
      <c r="V661" s="26">
        <f>VLOOKUP(R661,CPI!$A$2:$E$67,5,0)</f>
        <v>1.327133984</v>
      </c>
      <c r="W661" s="27">
        <f t="shared" si="3"/>
        <v>6521.333348</v>
      </c>
      <c r="X661" s="27">
        <f t="shared" si="4"/>
        <v>247.9594429</v>
      </c>
      <c r="Y661" s="114"/>
      <c r="Z661" s="119" t="s">
        <v>901</v>
      </c>
      <c r="AA661" s="119" t="s">
        <v>902</v>
      </c>
    </row>
    <row r="662">
      <c r="A662" s="114" t="s">
        <v>230</v>
      </c>
      <c r="B662" s="114" t="s">
        <v>900</v>
      </c>
      <c r="C662" s="115" t="s">
        <v>57</v>
      </c>
      <c r="D662" s="114" t="s">
        <v>564</v>
      </c>
      <c r="E662" s="114"/>
      <c r="F662" s="116">
        <v>2019.0</v>
      </c>
      <c r="G662" s="116">
        <v>0.0</v>
      </c>
      <c r="H662" s="116">
        <v>5.187</v>
      </c>
      <c r="I662" s="117">
        <v>1.0</v>
      </c>
      <c r="J662" s="116">
        <v>5.187</v>
      </c>
      <c r="K662" s="114"/>
      <c r="L662" s="114"/>
      <c r="M662" s="116">
        <v>3.0</v>
      </c>
      <c r="N662" s="116">
        <v>117.0</v>
      </c>
      <c r="O662" s="114"/>
      <c r="P662" s="140">
        <v>2598.0</v>
      </c>
      <c r="Q662" s="114" t="s">
        <v>234</v>
      </c>
      <c r="R662" s="115">
        <v>2019.0</v>
      </c>
      <c r="S662" s="136">
        <v>0.238</v>
      </c>
      <c r="T662" s="118">
        <f t="shared" si="28"/>
        <v>618.324</v>
      </c>
      <c r="U662" s="24">
        <f t="shared" si="2"/>
        <v>119.2064777</v>
      </c>
      <c r="V662" s="26">
        <f>VLOOKUP(R662,CPI!$A$2:$E$67,5,0)</f>
        <v>1.191839066</v>
      </c>
      <c r="W662" s="27">
        <f t="shared" si="3"/>
        <v>736.9426984</v>
      </c>
      <c r="X662" s="27">
        <f t="shared" si="4"/>
        <v>142.074937</v>
      </c>
      <c r="Y662" s="114"/>
      <c r="Z662" s="119" t="s">
        <v>903</v>
      </c>
      <c r="AA662" s="114"/>
      <c r="AB662" s="114"/>
      <c r="AC662" s="114"/>
      <c r="AD662" s="114"/>
    </row>
    <row r="663">
      <c r="A663" s="114" t="s">
        <v>230</v>
      </c>
      <c r="B663" s="114" t="s">
        <v>900</v>
      </c>
      <c r="C663" s="114" t="s">
        <v>909</v>
      </c>
      <c r="D663" s="114" t="s">
        <v>909</v>
      </c>
      <c r="E663" s="116">
        <v>2022.0</v>
      </c>
      <c r="F663" s="114"/>
      <c r="G663" s="116">
        <v>0.0</v>
      </c>
      <c r="H663" s="116">
        <v>30.0</v>
      </c>
      <c r="I663" s="114"/>
      <c r="J663" s="114"/>
      <c r="K663" s="114"/>
      <c r="L663" s="114"/>
      <c r="M663" s="116">
        <v>6.0</v>
      </c>
      <c r="N663" s="116">
        <v>92.0</v>
      </c>
      <c r="O663" s="114"/>
      <c r="P663" s="140">
        <v>15716.0</v>
      </c>
      <c r="Q663" s="114" t="s">
        <v>234</v>
      </c>
      <c r="R663" s="115">
        <v>2021.0</v>
      </c>
      <c r="S663" s="136">
        <v>0.239</v>
      </c>
      <c r="T663" s="118">
        <f t="shared" si="28"/>
        <v>3756.124</v>
      </c>
      <c r="U663" s="24">
        <f t="shared" si="2"/>
        <v>125.2041333</v>
      </c>
      <c r="V663" s="26">
        <f>VLOOKUP(R663,CPI!$A$2:$E$67,5,0)</f>
        <v>1.124486105</v>
      </c>
      <c r="W663" s="27">
        <f t="shared" si="3"/>
        <v>4223.709248</v>
      </c>
      <c r="X663" s="27">
        <f t="shared" si="4"/>
        <v>140.7903083</v>
      </c>
      <c r="Y663" s="114"/>
      <c r="Z663" s="119" t="s">
        <v>910</v>
      </c>
      <c r="AA663" s="114"/>
      <c r="AB663" s="114"/>
      <c r="AC663" s="114"/>
      <c r="AD663" s="114"/>
    </row>
    <row r="664">
      <c r="A664" s="114" t="s">
        <v>230</v>
      </c>
      <c r="B664" s="114" t="s">
        <v>900</v>
      </c>
      <c r="C664" s="115" t="s">
        <v>57</v>
      </c>
      <c r="D664" s="115" t="s">
        <v>232</v>
      </c>
      <c r="E664" s="116">
        <v>2014.0</v>
      </c>
      <c r="F664" s="114"/>
      <c r="G664" s="116">
        <v>0.0</v>
      </c>
      <c r="H664" s="116">
        <v>29.4</v>
      </c>
      <c r="I664" s="117">
        <v>0.83</v>
      </c>
      <c r="J664" s="116">
        <v>24.4</v>
      </c>
      <c r="K664" s="114"/>
      <c r="L664" s="114"/>
      <c r="M664" s="116">
        <v>24.0</v>
      </c>
      <c r="N664" s="116">
        <v>117.0</v>
      </c>
      <c r="O664" s="114"/>
      <c r="P664" s="140">
        <v>18500.0</v>
      </c>
      <c r="Q664" s="114" t="s">
        <v>234</v>
      </c>
      <c r="R664" s="115">
        <v>2014.0</v>
      </c>
      <c r="S664" s="85">
        <v>0.266</v>
      </c>
      <c r="T664" s="118">
        <f t="shared" si="28"/>
        <v>4921</v>
      </c>
      <c r="U664" s="24">
        <f t="shared" si="2"/>
        <v>167.3809524</v>
      </c>
      <c r="V664" s="26">
        <f>VLOOKUP(R664,CPI!$A$2:$E$67,5,0)</f>
        <v>1.287096175</v>
      </c>
      <c r="W664" s="27">
        <f t="shared" si="3"/>
        <v>6333.800275</v>
      </c>
      <c r="X664" s="27">
        <f t="shared" si="4"/>
        <v>215.4353835</v>
      </c>
      <c r="Y664" s="114"/>
      <c r="Z664" s="119" t="s">
        <v>905</v>
      </c>
      <c r="AA664" s="114"/>
      <c r="AB664" s="114"/>
      <c r="AC664" s="114"/>
      <c r="AD664" s="114"/>
    </row>
    <row r="665">
      <c r="A665" s="114" t="s">
        <v>230</v>
      </c>
      <c r="B665" s="114" t="s">
        <v>900</v>
      </c>
      <c r="C665" s="16" t="s">
        <v>87</v>
      </c>
      <c r="D665" s="115" t="s">
        <v>331</v>
      </c>
      <c r="E665" s="116">
        <v>2020.0</v>
      </c>
      <c r="F665" s="114"/>
      <c r="G665" s="116">
        <v>0.0</v>
      </c>
      <c r="H665" s="116">
        <v>28.5</v>
      </c>
      <c r="I665" s="117">
        <v>1.0</v>
      </c>
      <c r="J665" s="116">
        <v>28.5</v>
      </c>
      <c r="K665" s="114"/>
      <c r="L665" s="114"/>
      <c r="M665" s="116">
        <v>21.0</v>
      </c>
      <c r="N665" s="116">
        <v>117.0</v>
      </c>
      <c r="O665" s="114"/>
      <c r="P665" s="140">
        <v>20538.0</v>
      </c>
      <c r="Q665" s="114" t="s">
        <v>234</v>
      </c>
      <c r="R665" s="115">
        <v>2020.0</v>
      </c>
      <c r="S665" s="136">
        <v>0.239</v>
      </c>
      <c r="T665" s="118">
        <f t="shared" si="28"/>
        <v>4908.582</v>
      </c>
      <c r="U665" s="24">
        <f t="shared" si="2"/>
        <v>172.2309474</v>
      </c>
      <c r="V665" s="26">
        <f>VLOOKUP(R665,CPI!$A$2:$E$67,5,0)</f>
        <v>1.17731472</v>
      </c>
      <c r="W665" s="27">
        <f t="shared" si="3"/>
        <v>5778.945843</v>
      </c>
      <c r="X665" s="27">
        <f t="shared" si="4"/>
        <v>202.7700296</v>
      </c>
      <c r="Y665" s="114"/>
      <c r="Z665" s="119" t="s">
        <v>906</v>
      </c>
      <c r="AA665" s="114"/>
      <c r="AB665" s="114"/>
      <c r="AC665" s="114"/>
      <c r="AD665" s="114"/>
    </row>
    <row r="666">
      <c r="A666" s="114" t="s">
        <v>230</v>
      </c>
      <c r="B666" s="114" t="s">
        <v>955</v>
      </c>
      <c r="C666" s="16" t="s">
        <v>34</v>
      </c>
      <c r="D666" s="114" t="s">
        <v>956</v>
      </c>
      <c r="E666" s="116">
        <v>2020.0</v>
      </c>
      <c r="F666" s="114"/>
      <c r="G666" s="116">
        <v>0.0</v>
      </c>
      <c r="H666" s="116">
        <v>107.17</v>
      </c>
      <c r="I666" s="114"/>
      <c r="J666" s="114"/>
      <c r="K666" s="114"/>
      <c r="L666" s="114"/>
      <c r="M666" s="116">
        <v>31.0</v>
      </c>
      <c r="N666" s="116">
        <v>117.0</v>
      </c>
      <c r="O666" s="114" t="s">
        <v>36</v>
      </c>
      <c r="P666" s="140">
        <v>34683.0</v>
      </c>
      <c r="Q666" s="114" t="s">
        <v>234</v>
      </c>
      <c r="R666" s="115">
        <v>2020.0</v>
      </c>
      <c r="S666" s="136">
        <v>0.239</v>
      </c>
      <c r="T666" s="118">
        <f t="shared" si="28"/>
        <v>8289.237</v>
      </c>
      <c r="U666" s="24">
        <f t="shared" si="2"/>
        <v>77.34661752</v>
      </c>
      <c r="V666" s="26">
        <f>VLOOKUP(R666,CPI!$A$2:$E$67,5,0)</f>
        <v>1.17731472</v>
      </c>
      <c r="W666" s="27">
        <f t="shared" si="3"/>
        <v>9759.040738</v>
      </c>
      <c r="X666" s="27">
        <f t="shared" si="4"/>
        <v>91.06131135</v>
      </c>
      <c r="Y666" s="114" t="s">
        <v>36</v>
      </c>
      <c r="Z666" s="119" t="s">
        <v>957</v>
      </c>
      <c r="AA666" s="7"/>
      <c r="AB666" s="7"/>
      <c r="AC666" s="7"/>
      <c r="AD666" s="7"/>
    </row>
    <row r="667">
      <c r="A667" s="114" t="s">
        <v>230</v>
      </c>
      <c r="B667" s="114" t="s">
        <v>975</v>
      </c>
      <c r="C667" s="16" t="s">
        <v>57</v>
      </c>
      <c r="D667" s="114" t="s">
        <v>57</v>
      </c>
      <c r="E667" s="116">
        <v>2020.0</v>
      </c>
      <c r="F667" s="114"/>
      <c r="G667" s="116">
        <v>0.0</v>
      </c>
      <c r="H667" s="116">
        <v>20.82</v>
      </c>
      <c r="I667" s="117">
        <v>0.62</v>
      </c>
      <c r="J667" s="116">
        <v>12.86</v>
      </c>
      <c r="K667" s="114"/>
      <c r="L667" s="114"/>
      <c r="M667" s="116">
        <v>15.0</v>
      </c>
      <c r="N667" s="114"/>
      <c r="O667" s="114" t="s">
        <v>36</v>
      </c>
      <c r="P667" s="140">
        <v>13451.89</v>
      </c>
      <c r="Q667" s="114" t="s">
        <v>234</v>
      </c>
      <c r="R667" s="115">
        <v>2020.0</v>
      </c>
      <c r="S667" s="136">
        <v>0.239</v>
      </c>
      <c r="T667" s="118">
        <f t="shared" si="28"/>
        <v>3215.00171</v>
      </c>
      <c r="U667" s="24">
        <f t="shared" si="2"/>
        <v>154.4189102</v>
      </c>
      <c r="V667" s="26">
        <f>VLOOKUP(R667,CPI!$A$2:$E$67,5,0)</f>
        <v>1.17731472</v>
      </c>
      <c r="W667" s="27">
        <f t="shared" si="3"/>
        <v>3785.068838</v>
      </c>
      <c r="X667" s="27">
        <f t="shared" si="4"/>
        <v>181.799656</v>
      </c>
      <c r="Y667" s="114" t="s">
        <v>36</v>
      </c>
      <c r="Z667" s="119" t="s">
        <v>976</v>
      </c>
      <c r="AA667" s="7"/>
      <c r="AB667" s="7"/>
      <c r="AC667" s="7"/>
      <c r="AD667" s="7"/>
    </row>
    <row r="668">
      <c r="A668" s="114" t="s">
        <v>230</v>
      </c>
      <c r="B668" s="114" t="s">
        <v>440</v>
      </c>
      <c r="C668" s="115" t="s">
        <v>54</v>
      </c>
      <c r="D668" s="115" t="s">
        <v>326</v>
      </c>
      <c r="E668" s="114">
        <v>2021.0</v>
      </c>
      <c r="F668" s="114">
        <v>2026.0</v>
      </c>
      <c r="G668" s="114">
        <v>0.0</v>
      </c>
      <c r="H668" s="114">
        <v>23.5</v>
      </c>
      <c r="I668" s="114">
        <v>0.54</v>
      </c>
      <c r="J668" s="114">
        <v>12.7</v>
      </c>
      <c r="K668" s="114"/>
      <c r="L668" s="114"/>
      <c r="M668" s="114">
        <v>10.0</v>
      </c>
      <c r="N668" s="114">
        <v>117.0</v>
      </c>
      <c r="O668" s="114"/>
      <c r="P668" s="114">
        <v>12228.0</v>
      </c>
      <c r="Q668" s="114" t="s">
        <v>234</v>
      </c>
      <c r="R668" s="115">
        <v>2021.0</v>
      </c>
      <c r="S668" s="136">
        <v>0.239</v>
      </c>
      <c r="T668" s="118">
        <f t="shared" si="28"/>
        <v>2922.492</v>
      </c>
      <c r="U668" s="24">
        <f t="shared" si="2"/>
        <v>124.3613617</v>
      </c>
      <c r="V668" s="26">
        <f>VLOOKUP(R668,CPI!$A$2:$E$67,5,0)</f>
        <v>1.124486105</v>
      </c>
      <c r="W668" s="27">
        <f t="shared" si="3"/>
        <v>3286.301647</v>
      </c>
      <c r="X668" s="27">
        <f t="shared" si="4"/>
        <v>139.8426233</v>
      </c>
      <c r="Y668" s="114"/>
      <c r="Z668" s="119" t="s">
        <v>446</v>
      </c>
      <c r="AA668" s="119" t="s">
        <v>447</v>
      </c>
    </row>
    <row r="669">
      <c r="A669" s="114" t="s">
        <v>230</v>
      </c>
      <c r="B669" s="114" t="s">
        <v>440</v>
      </c>
      <c r="C669" s="16" t="s">
        <v>87</v>
      </c>
      <c r="D669" s="115" t="s">
        <v>331</v>
      </c>
      <c r="E669" s="116">
        <v>2016.0</v>
      </c>
      <c r="F669" s="116">
        <v>2022.0</v>
      </c>
      <c r="G669" s="116">
        <v>0.0</v>
      </c>
      <c r="H669" s="116">
        <v>69.5</v>
      </c>
      <c r="I669" s="117">
        <v>0.86</v>
      </c>
      <c r="J669" s="116">
        <v>59.5</v>
      </c>
      <c r="K669" s="114"/>
      <c r="L669" s="114"/>
      <c r="M669" s="116">
        <v>37.0</v>
      </c>
      <c r="N669" s="116">
        <v>117.0</v>
      </c>
      <c r="O669" s="114"/>
      <c r="P669" s="140">
        <v>42572.0</v>
      </c>
      <c r="Q669" s="114" t="s">
        <v>234</v>
      </c>
      <c r="R669" s="115">
        <v>2019.0</v>
      </c>
      <c r="S669" s="136">
        <v>0.238</v>
      </c>
      <c r="T669" s="118">
        <f t="shared" si="28"/>
        <v>10132.136</v>
      </c>
      <c r="U669" s="24">
        <f t="shared" si="2"/>
        <v>145.7861295</v>
      </c>
      <c r="V669" s="26">
        <f>VLOOKUP(R669,CPI!$A$2:$E$67,5,0)</f>
        <v>1.191839066</v>
      </c>
      <c r="W669" s="27">
        <f t="shared" si="3"/>
        <v>12075.8755</v>
      </c>
      <c r="X669" s="27">
        <f t="shared" si="4"/>
        <v>173.7536044</v>
      </c>
      <c r="Y669" s="114"/>
      <c r="Z669" s="119" t="s">
        <v>444</v>
      </c>
      <c r="AA669" s="114"/>
      <c r="AB669" s="114"/>
      <c r="AC669" s="114"/>
      <c r="AD669" s="114"/>
    </row>
    <row r="670">
      <c r="A670" s="114" t="s">
        <v>230</v>
      </c>
      <c r="B670" s="114" t="s">
        <v>440</v>
      </c>
      <c r="C670" s="115" t="s">
        <v>54</v>
      </c>
      <c r="D670" s="115" t="s">
        <v>348</v>
      </c>
      <c r="E670" s="116">
        <v>2014.0</v>
      </c>
      <c r="F670" s="116">
        <v>2021.0</v>
      </c>
      <c r="G670" s="116">
        <v>0.0</v>
      </c>
      <c r="H670" s="116">
        <v>32.41</v>
      </c>
      <c r="I670" s="117">
        <v>0.78</v>
      </c>
      <c r="J670" s="116">
        <v>25.3</v>
      </c>
      <c r="K670" s="114"/>
      <c r="L670" s="114"/>
      <c r="M670" s="116">
        <v>17.0</v>
      </c>
      <c r="N670" s="116">
        <v>117.0</v>
      </c>
      <c r="O670" s="114"/>
      <c r="P670" s="140">
        <v>20671.0</v>
      </c>
      <c r="Q670" s="114" t="s">
        <v>234</v>
      </c>
      <c r="R670" s="115">
        <v>2018.0</v>
      </c>
      <c r="S670" s="85">
        <v>0.237</v>
      </c>
      <c r="T670" s="118">
        <f t="shared" si="28"/>
        <v>4899.027</v>
      </c>
      <c r="U670" s="24">
        <f t="shared" si="2"/>
        <v>151.1578834</v>
      </c>
      <c r="V670" s="26">
        <f>VLOOKUP(R670,CPI!$A$2:$E$67,5,0)</f>
        <v>1.21343491</v>
      </c>
      <c r="W670" s="27">
        <f t="shared" si="3"/>
        <v>5944.650388</v>
      </c>
      <c r="X670" s="27">
        <f t="shared" si="4"/>
        <v>183.4202526</v>
      </c>
      <c r="Y670" s="114"/>
      <c r="Z670" s="119" t="s">
        <v>443</v>
      </c>
      <c r="AA670" s="114"/>
      <c r="AB670" s="114"/>
      <c r="AC670" s="114"/>
      <c r="AD670" s="114"/>
    </row>
    <row r="671">
      <c r="A671" s="114" t="s">
        <v>230</v>
      </c>
      <c r="B671" s="114" t="s">
        <v>440</v>
      </c>
      <c r="C671" s="16" t="s">
        <v>110</v>
      </c>
      <c r="D671" s="115" t="s">
        <v>332</v>
      </c>
      <c r="E671" s="116">
        <v>2021.0</v>
      </c>
      <c r="F671" s="116">
        <v>2026.0</v>
      </c>
      <c r="G671" s="116">
        <v>0.0</v>
      </c>
      <c r="H671" s="116">
        <v>55.91</v>
      </c>
      <c r="I671" s="117">
        <v>0.88</v>
      </c>
      <c r="J671" s="116">
        <v>49.1</v>
      </c>
      <c r="K671" s="114"/>
      <c r="L671" s="114"/>
      <c r="M671" s="116">
        <v>33.0</v>
      </c>
      <c r="N671" s="116">
        <v>117.0</v>
      </c>
      <c r="O671" s="114"/>
      <c r="P671" s="140">
        <v>44601.0</v>
      </c>
      <c r="Q671" s="114" t="s">
        <v>234</v>
      </c>
      <c r="R671" s="115">
        <v>2021.0</v>
      </c>
      <c r="S671" s="136">
        <v>0.239</v>
      </c>
      <c r="T671" s="118">
        <f t="shared" si="28"/>
        <v>10659.639</v>
      </c>
      <c r="U671" s="24">
        <f t="shared" si="2"/>
        <v>190.6571096</v>
      </c>
      <c r="V671" s="26">
        <f>VLOOKUP(R671,CPI!$A$2:$E$67,5,0)</f>
        <v>1.124486105</v>
      </c>
      <c r="W671" s="27">
        <f t="shared" si="3"/>
        <v>11986.61594</v>
      </c>
      <c r="X671" s="27">
        <f t="shared" si="4"/>
        <v>214.3912707</v>
      </c>
      <c r="Y671" s="114"/>
      <c r="Z671" s="119" t="s">
        <v>448</v>
      </c>
      <c r="AA671" s="119" t="s">
        <v>446</v>
      </c>
      <c r="AB671" s="119" t="s">
        <v>447</v>
      </c>
    </row>
    <row r="672">
      <c r="A672" s="114" t="s">
        <v>230</v>
      </c>
      <c r="B672" s="114" t="s">
        <v>430</v>
      </c>
      <c r="C672" s="114" t="s">
        <v>110</v>
      </c>
      <c r="D672" s="114" t="s">
        <v>110</v>
      </c>
      <c r="E672" s="116">
        <v>2010.0</v>
      </c>
      <c r="F672" s="116">
        <v>2022.0</v>
      </c>
      <c r="G672" s="114">
        <v>0.0</v>
      </c>
      <c r="H672" s="114">
        <v>24.484</v>
      </c>
      <c r="I672" s="116">
        <v>1.0</v>
      </c>
      <c r="J672" s="116">
        <v>24.484</v>
      </c>
      <c r="K672" s="114"/>
      <c r="L672" s="114"/>
      <c r="M672" s="114">
        <v>18.0</v>
      </c>
      <c r="N672" s="114">
        <v>117.0</v>
      </c>
      <c r="O672" s="114" t="s">
        <v>36</v>
      </c>
      <c r="P672" s="140">
        <v>18217.0</v>
      </c>
      <c r="Q672" s="114" t="s">
        <v>234</v>
      </c>
      <c r="R672" s="115">
        <v>2016.0</v>
      </c>
      <c r="S672" s="85">
        <v>0.251</v>
      </c>
      <c r="T672" s="118">
        <f t="shared" si="28"/>
        <v>4572.467</v>
      </c>
      <c r="U672" s="24">
        <f t="shared" si="2"/>
        <v>186.7532674</v>
      </c>
      <c r="V672" s="26">
        <f>VLOOKUP(R672,CPI!$A$2:$E$67,5,0)</f>
        <v>1.269554638</v>
      </c>
      <c r="W672" s="27">
        <f t="shared" si="3"/>
        <v>5804.996687</v>
      </c>
      <c r="X672" s="27">
        <f t="shared" si="4"/>
        <v>237.0934768</v>
      </c>
      <c r="Y672" s="114" t="s">
        <v>36</v>
      </c>
      <c r="Z672" s="119" t="s">
        <v>432</v>
      </c>
      <c r="AA672" s="7"/>
      <c r="AB672" s="7"/>
      <c r="AC672" s="7"/>
      <c r="AD672" s="7"/>
    </row>
    <row r="673">
      <c r="A673" s="114" t="s">
        <v>230</v>
      </c>
      <c r="B673" s="114" t="s">
        <v>430</v>
      </c>
      <c r="C673" s="115" t="s">
        <v>57</v>
      </c>
      <c r="D673" s="115" t="s">
        <v>354</v>
      </c>
      <c r="E673" s="116">
        <v>2010.0</v>
      </c>
      <c r="F673" s="116">
        <v>2021.0</v>
      </c>
      <c r="G673" s="116">
        <v>0.0</v>
      </c>
      <c r="H673" s="116">
        <v>13.2</v>
      </c>
      <c r="I673" s="117">
        <v>0.14</v>
      </c>
      <c r="J673" s="116">
        <v>1.8</v>
      </c>
      <c r="K673" s="114"/>
      <c r="L673" s="114"/>
      <c r="M673" s="116">
        <v>3.0</v>
      </c>
      <c r="N673" s="116">
        <v>117.0</v>
      </c>
      <c r="O673" s="114" t="s">
        <v>60</v>
      </c>
      <c r="P673" s="140">
        <v>7200.0</v>
      </c>
      <c r="Q673" s="114" t="s">
        <v>234</v>
      </c>
      <c r="R673" s="115">
        <v>2016.0</v>
      </c>
      <c r="S673" s="85">
        <v>0.251</v>
      </c>
      <c r="T673" s="118">
        <f t="shared" si="28"/>
        <v>1807.2</v>
      </c>
      <c r="U673" s="24">
        <f t="shared" si="2"/>
        <v>136.9090909</v>
      </c>
      <c r="V673" s="26">
        <f>VLOOKUP(R673,CPI!$A$2:$E$67,5,0)</f>
        <v>1.269554638</v>
      </c>
      <c r="W673" s="27">
        <f t="shared" si="3"/>
        <v>2294.339142</v>
      </c>
      <c r="X673" s="27">
        <f t="shared" si="4"/>
        <v>173.8135713</v>
      </c>
      <c r="Y673" s="114" t="s">
        <v>60</v>
      </c>
      <c r="Z673" s="119" t="s">
        <v>431</v>
      </c>
      <c r="AA673" s="7"/>
      <c r="AB673" s="7"/>
      <c r="AC673" s="7"/>
      <c r="AD673" s="7"/>
    </row>
    <row r="674">
      <c r="A674" s="114" t="s">
        <v>230</v>
      </c>
      <c r="B674" s="114" t="s">
        <v>449</v>
      </c>
      <c r="C674" s="115" t="s">
        <v>57</v>
      </c>
      <c r="D674" s="114" t="s">
        <v>310</v>
      </c>
      <c r="E674" s="116">
        <v>2015.0</v>
      </c>
      <c r="F674" s="116">
        <v>2020.0</v>
      </c>
      <c r="G674" s="116">
        <v>0.0</v>
      </c>
      <c r="H674" s="116">
        <v>4.924</v>
      </c>
      <c r="I674" s="117">
        <v>1.0</v>
      </c>
      <c r="J674" s="116">
        <v>4.924</v>
      </c>
      <c r="K674" s="114"/>
      <c r="L674" s="114"/>
      <c r="M674" s="116">
        <v>4.0</v>
      </c>
      <c r="N674" s="116">
        <v>117.0</v>
      </c>
      <c r="O674" s="114"/>
      <c r="P674" s="140">
        <v>2883.0</v>
      </c>
      <c r="Q674" s="114" t="s">
        <v>234</v>
      </c>
      <c r="R674" s="115">
        <v>2018.0</v>
      </c>
      <c r="S674" s="85">
        <v>0.237</v>
      </c>
      <c r="T674" s="118">
        <f t="shared" si="28"/>
        <v>683.271</v>
      </c>
      <c r="U674" s="24">
        <f t="shared" si="2"/>
        <v>138.7634037</v>
      </c>
      <c r="V674" s="26">
        <f>VLOOKUP(R674,CPI!$A$2:$E$67,5,0)</f>
        <v>1.21343491</v>
      </c>
      <c r="W674" s="27">
        <f t="shared" si="3"/>
        <v>829.1048845</v>
      </c>
      <c r="X674" s="27">
        <f t="shared" si="4"/>
        <v>168.3803584</v>
      </c>
      <c r="Y674" s="114"/>
      <c r="Z674" s="119" t="s">
        <v>452</v>
      </c>
      <c r="AA674" s="114"/>
      <c r="AB674" s="114"/>
      <c r="AC674" s="114"/>
      <c r="AD674" s="114"/>
    </row>
    <row r="675">
      <c r="A675" s="114" t="s">
        <v>230</v>
      </c>
      <c r="B675" s="114" t="s">
        <v>449</v>
      </c>
      <c r="C675" s="115" t="s">
        <v>458</v>
      </c>
      <c r="D675" s="114" t="s">
        <v>459</v>
      </c>
      <c r="E675" s="116">
        <v>2021.0</v>
      </c>
      <c r="F675" s="114"/>
      <c r="G675" s="116">
        <v>0.0</v>
      </c>
      <c r="H675" s="116">
        <v>62.4</v>
      </c>
      <c r="I675" s="117">
        <v>0.76</v>
      </c>
      <c r="J675" s="116">
        <v>47.2</v>
      </c>
      <c r="K675" s="114"/>
      <c r="L675" s="114"/>
      <c r="M675" s="116">
        <v>15.0</v>
      </c>
      <c r="N675" s="116">
        <v>138.0</v>
      </c>
      <c r="O675" s="114"/>
      <c r="P675" s="140">
        <v>39890.0</v>
      </c>
      <c r="Q675" s="114" t="s">
        <v>234</v>
      </c>
      <c r="R675" s="115">
        <v>2021.0</v>
      </c>
      <c r="S675" s="136">
        <v>0.239</v>
      </c>
      <c r="T675" s="118">
        <f t="shared" si="28"/>
        <v>9533.71</v>
      </c>
      <c r="U675" s="24">
        <f t="shared" si="2"/>
        <v>152.7838141</v>
      </c>
      <c r="V675" s="26">
        <f>VLOOKUP(R675,CPI!$A$2:$E$67,5,0)</f>
        <v>1.124486105</v>
      </c>
      <c r="W675" s="27">
        <f t="shared" si="3"/>
        <v>10720.52443</v>
      </c>
      <c r="X675" s="27">
        <f t="shared" si="4"/>
        <v>171.8032761</v>
      </c>
      <c r="Y675" s="114"/>
      <c r="Z675" s="225" t="s">
        <v>460</v>
      </c>
      <c r="AA675" s="114"/>
      <c r="AB675" s="114"/>
      <c r="AC675" s="114"/>
      <c r="AD675" s="114"/>
    </row>
    <row r="676">
      <c r="A676" s="114" t="s">
        <v>230</v>
      </c>
      <c r="B676" s="114" t="s">
        <v>449</v>
      </c>
      <c r="C676" s="16" t="s">
        <v>54</v>
      </c>
      <c r="D676" s="114" t="s">
        <v>453</v>
      </c>
      <c r="E676" s="116">
        <v>2020.0</v>
      </c>
      <c r="F676" s="114"/>
      <c r="G676" s="116">
        <v>0.0</v>
      </c>
      <c r="H676" s="116">
        <v>16.88</v>
      </c>
      <c r="I676" s="117">
        <v>1.0</v>
      </c>
      <c r="J676" s="116">
        <v>16.88</v>
      </c>
      <c r="K676" s="114"/>
      <c r="L676" s="114"/>
      <c r="M676" s="116">
        <v>12.0</v>
      </c>
      <c r="N676" s="116">
        <v>117.0</v>
      </c>
      <c r="O676" s="114"/>
      <c r="P676" s="140">
        <v>12706.0</v>
      </c>
      <c r="Q676" s="114" t="s">
        <v>234</v>
      </c>
      <c r="R676" s="115">
        <v>2020.0</v>
      </c>
      <c r="S676" s="136">
        <v>0.239</v>
      </c>
      <c r="T676" s="118">
        <f t="shared" si="28"/>
        <v>3036.734</v>
      </c>
      <c r="U676" s="24">
        <f t="shared" si="2"/>
        <v>179.9013033</v>
      </c>
      <c r="V676" s="26">
        <f>VLOOKUP(R676,CPI!$A$2:$E$67,5,0)</f>
        <v>1.17731472</v>
      </c>
      <c r="W676" s="27">
        <f t="shared" si="3"/>
        <v>3575.191639</v>
      </c>
      <c r="X676" s="27">
        <f t="shared" si="4"/>
        <v>211.8004525</v>
      </c>
      <c r="Y676" s="114"/>
      <c r="Z676" s="119" t="s">
        <v>454</v>
      </c>
      <c r="AA676" s="225" t="s">
        <v>455</v>
      </c>
      <c r="AB676" s="7"/>
      <c r="AC676" s="7"/>
      <c r="AD676" s="7"/>
    </row>
    <row r="677">
      <c r="A677" s="114" t="s">
        <v>230</v>
      </c>
      <c r="B677" s="114" t="s">
        <v>449</v>
      </c>
      <c r="C677" s="115" t="s">
        <v>57</v>
      </c>
      <c r="D677" s="115" t="s">
        <v>232</v>
      </c>
      <c r="E677" s="116">
        <v>2009.0</v>
      </c>
      <c r="F677" s="116">
        <v>2017.0</v>
      </c>
      <c r="G677" s="116">
        <v>0.0</v>
      </c>
      <c r="H677" s="116">
        <v>24.6</v>
      </c>
      <c r="I677" s="117">
        <v>1.0</v>
      </c>
      <c r="J677" s="116">
        <v>24.6</v>
      </c>
      <c r="K677" s="114"/>
      <c r="L677" s="114"/>
      <c r="M677" s="116">
        <v>21.0</v>
      </c>
      <c r="N677" s="116">
        <v>117.0</v>
      </c>
      <c r="O677" s="114"/>
      <c r="P677" s="140">
        <v>17337.0</v>
      </c>
      <c r="Q677" s="114" t="s">
        <v>234</v>
      </c>
      <c r="R677" s="115">
        <v>2013.0</v>
      </c>
      <c r="S677" s="85">
        <v>0.273</v>
      </c>
      <c r="T677" s="118">
        <f t="shared" si="28"/>
        <v>4733.001</v>
      </c>
      <c r="U677" s="24">
        <f t="shared" si="2"/>
        <v>192.3984146</v>
      </c>
      <c r="V677" s="26">
        <f>VLOOKUP(R677,CPI!$A$2:$E$67,5,0)</f>
        <v>1.307975292</v>
      </c>
      <c r="W677" s="27">
        <f t="shared" si="3"/>
        <v>6190.648363</v>
      </c>
      <c r="X677" s="27">
        <f t="shared" si="4"/>
        <v>251.6523725</v>
      </c>
      <c r="Y677" s="114"/>
      <c r="Z677" s="225" t="s">
        <v>450</v>
      </c>
      <c r="AA677" s="321"/>
      <c r="AB677" s="321"/>
      <c r="AC677" s="321"/>
      <c r="AD677" s="321"/>
    </row>
    <row r="678">
      <c r="A678" s="114" t="s">
        <v>230</v>
      </c>
      <c r="B678" s="114" t="s">
        <v>573</v>
      </c>
      <c r="C678" s="114" t="s">
        <v>54</v>
      </c>
      <c r="D678" s="114" t="s">
        <v>54</v>
      </c>
      <c r="E678" s="116">
        <v>2020.0</v>
      </c>
      <c r="F678" s="114"/>
      <c r="G678" s="116">
        <v>0.0</v>
      </c>
      <c r="H678" s="116">
        <v>27.3</v>
      </c>
      <c r="I678" s="117">
        <v>1.0</v>
      </c>
      <c r="J678" s="116">
        <v>27.3</v>
      </c>
      <c r="K678" s="114"/>
      <c r="L678" s="114"/>
      <c r="M678" s="116">
        <v>24.0</v>
      </c>
      <c r="N678" s="116">
        <v>117.0</v>
      </c>
      <c r="O678" s="114"/>
      <c r="P678" s="140">
        <v>20304.0</v>
      </c>
      <c r="Q678" s="114" t="s">
        <v>234</v>
      </c>
      <c r="R678" s="115">
        <v>2020.0</v>
      </c>
      <c r="S678" s="136">
        <v>0.239</v>
      </c>
      <c r="T678" s="118">
        <f t="shared" si="28"/>
        <v>4852.656</v>
      </c>
      <c r="U678" s="24">
        <f t="shared" si="2"/>
        <v>177.752967</v>
      </c>
      <c r="V678" s="26">
        <f>VLOOKUP(R678,CPI!$A$2:$E$67,5,0)</f>
        <v>1.17731472</v>
      </c>
      <c r="W678" s="27">
        <f t="shared" si="3"/>
        <v>5713.10334</v>
      </c>
      <c r="X678" s="27">
        <f t="shared" si="4"/>
        <v>209.2711846</v>
      </c>
      <c r="Y678" s="114"/>
      <c r="Z678" s="119" t="s">
        <v>574</v>
      </c>
      <c r="AA678" s="114"/>
      <c r="AB678" s="114"/>
      <c r="AC678" s="114"/>
      <c r="AD678" s="114"/>
    </row>
    <row r="679">
      <c r="A679" s="114" t="s">
        <v>230</v>
      </c>
      <c r="B679" s="114" t="s">
        <v>575</v>
      </c>
      <c r="C679" s="114" t="s">
        <v>57</v>
      </c>
      <c r="D679" s="114" t="s">
        <v>57</v>
      </c>
      <c r="E679" s="116">
        <v>2018.0</v>
      </c>
      <c r="F679" s="114"/>
      <c r="G679" s="116">
        <v>0.0</v>
      </c>
      <c r="H679" s="116">
        <v>58.0</v>
      </c>
      <c r="I679" s="114"/>
      <c r="J679" s="114"/>
      <c r="K679" s="114"/>
      <c r="L679" s="114"/>
      <c r="M679" s="116">
        <v>26.0</v>
      </c>
      <c r="N679" s="114"/>
      <c r="O679" s="114"/>
      <c r="P679" s="140">
        <v>40000.0</v>
      </c>
      <c r="Q679" s="114" t="s">
        <v>234</v>
      </c>
      <c r="R679" s="115">
        <v>2018.0</v>
      </c>
      <c r="S679" s="85">
        <v>0.237</v>
      </c>
      <c r="T679" s="118">
        <f t="shared" si="28"/>
        <v>9480</v>
      </c>
      <c r="U679" s="24">
        <f t="shared" si="2"/>
        <v>163.4482759</v>
      </c>
      <c r="V679" s="26">
        <f>VLOOKUP(R679,CPI!$A$2:$E$67,5,0)</f>
        <v>1.21343491</v>
      </c>
      <c r="W679" s="27">
        <f t="shared" si="3"/>
        <v>11503.36295</v>
      </c>
      <c r="X679" s="27">
        <f t="shared" si="4"/>
        <v>198.3338439</v>
      </c>
      <c r="Y679" s="114"/>
      <c r="Z679" s="119" t="s">
        <v>576</v>
      </c>
      <c r="AA679" s="114"/>
      <c r="AB679" s="114"/>
      <c r="AC679" s="114"/>
      <c r="AD679" s="114"/>
    </row>
    <row r="680">
      <c r="A680" s="114" t="s">
        <v>230</v>
      </c>
      <c r="B680" s="114" t="s">
        <v>581</v>
      </c>
      <c r="C680" s="115" t="s">
        <v>87</v>
      </c>
      <c r="D680" s="115" t="s">
        <v>331</v>
      </c>
      <c r="E680" s="114"/>
      <c r="F680" s="116">
        <v>2022.0</v>
      </c>
      <c r="G680" s="116">
        <v>0.0</v>
      </c>
      <c r="H680" s="116">
        <v>21.57</v>
      </c>
      <c r="I680" s="116">
        <v>1.0</v>
      </c>
      <c r="J680" s="116">
        <v>21.6</v>
      </c>
      <c r="K680" s="114"/>
      <c r="L680" s="114"/>
      <c r="M680" s="116">
        <v>13.0</v>
      </c>
      <c r="N680" s="116">
        <v>117.0</v>
      </c>
      <c r="O680" s="114"/>
      <c r="P680" s="116">
        <v>13446.0</v>
      </c>
      <c r="Q680" s="114" t="s">
        <v>234</v>
      </c>
      <c r="R680" s="115">
        <v>2021.0</v>
      </c>
      <c r="S680" s="136">
        <v>0.239</v>
      </c>
      <c r="T680" s="118">
        <f t="shared" si="28"/>
        <v>3213.594</v>
      </c>
      <c r="U680" s="24">
        <f t="shared" si="2"/>
        <v>148.9844228</v>
      </c>
      <c r="V680" s="26">
        <f>VLOOKUP(R680,CPI!$A$2:$E$67,5,0)</f>
        <v>1.124486105</v>
      </c>
      <c r="W680" s="27">
        <f t="shared" si="3"/>
        <v>3613.641802</v>
      </c>
      <c r="X680" s="27">
        <f t="shared" si="4"/>
        <v>167.5309134</v>
      </c>
      <c r="Y680" s="114"/>
      <c r="Z680" s="119" t="s">
        <v>582</v>
      </c>
      <c r="AA680" s="225" t="s">
        <v>583</v>
      </c>
      <c r="AB680" s="114"/>
      <c r="AC680" s="114"/>
      <c r="AD680" s="114"/>
    </row>
    <row r="681">
      <c r="A681" s="114" t="s">
        <v>230</v>
      </c>
      <c r="B681" s="114" t="s">
        <v>581</v>
      </c>
      <c r="C681" s="114" t="s">
        <v>54</v>
      </c>
      <c r="D681" s="114" t="s">
        <v>54</v>
      </c>
      <c r="E681" s="116">
        <v>2021.0</v>
      </c>
      <c r="F681" s="114"/>
      <c r="G681" s="116">
        <v>0.0</v>
      </c>
      <c r="H681" s="116">
        <v>36.39</v>
      </c>
      <c r="I681" s="117">
        <v>0.95</v>
      </c>
      <c r="J681" s="116">
        <v>34.6</v>
      </c>
      <c r="K681" s="114"/>
      <c r="L681" s="114"/>
      <c r="M681" s="116">
        <v>18.0</v>
      </c>
      <c r="N681" s="116">
        <v>117.0</v>
      </c>
      <c r="O681" s="114"/>
      <c r="P681" s="140">
        <v>22800.0</v>
      </c>
      <c r="Q681" s="114" t="s">
        <v>234</v>
      </c>
      <c r="R681" s="115">
        <v>2021.0</v>
      </c>
      <c r="S681" s="136">
        <v>0.239</v>
      </c>
      <c r="T681" s="118">
        <f t="shared" si="28"/>
        <v>5449.2</v>
      </c>
      <c r="U681" s="24">
        <f t="shared" si="2"/>
        <v>149.7444353</v>
      </c>
      <c r="V681" s="26">
        <f>VLOOKUP(R681,CPI!$A$2:$E$67,5,0)</f>
        <v>1.124486105</v>
      </c>
      <c r="W681" s="27">
        <f t="shared" si="3"/>
        <v>6127.549686</v>
      </c>
      <c r="X681" s="27">
        <f t="shared" si="4"/>
        <v>168.3855368</v>
      </c>
      <c r="Y681" s="114"/>
      <c r="Z681" s="119" t="s">
        <v>584</v>
      </c>
      <c r="AA681" s="114"/>
      <c r="AB681" s="114"/>
      <c r="AC681" s="114"/>
      <c r="AD681" s="114"/>
    </row>
    <row r="682">
      <c r="A682" s="114" t="s">
        <v>230</v>
      </c>
      <c r="B682" s="114" t="s">
        <v>581</v>
      </c>
      <c r="C682" s="115" t="s">
        <v>110</v>
      </c>
      <c r="D682" s="115" t="s">
        <v>332</v>
      </c>
      <c r="E682" s="116">
        <v>2021.0</v>
      </c>
      <c r="F682" s="114"/>
      <c r="G682" s="116">
        <v>0.0</v>
      </c>
      <c r="H682" s="116">
        <v>40.3</v>
      </c>
      <c r="I682" s="116">
        <v>1.0</v>
      </c>
      <c r="J682" s="116">
        <v>40.3</v>
      </c>
      <c r="K682" s="114"/>
      <c r="L682" s="114"/>
      <c r="M682" s="116">
        <v>33.0</v>
      </c>
      <c r="N682" s="116">
        <v>138.0</v>
      </c>
      <c r="O682" s="114"/>
      <c r="P682" s="116">
        <v>39900.0</v>
      </c>
      <c r="Q682" s="114" t="s">
        <v>234</v>
      </c>
      <c r="R682" s="115">
        <v>2021.0</v>
      </c>
      <c r="S682" s="136">
        <v>0.239000000000001</v>
      </c>
      <c r="T682" s="118">
        <f t="shared" si="28"/>
        <v>9536.1</v>
      </c>
      <c r="U682" s="24">
        <f t="shared" si="2"/>
        <v>236.6277916</v>
      </c>
      <c r="V682" s="26">
        <f>VLOOKUP(R682,CPI!$A$2:$E$67,5,0)</f>
        <v>1.124486105</v>
      </c>
      <c r="W682" s="27">
        <f t="shared" si="3"/>
        <v>10723.21195</v>
      </c>
      <c r="X682" s="27">
        <f t="shared" si="4"/>
        <v>266.0846638</v>
      </c>
      <c r="Y682" s="114"/>
      <c r="Z682" s="119" t="s">
        <v>585</v>
      </c>
      <c r="AA682" s="7"/>
      <c r="AB682" s="7"/>
      <c r="AC682" s="7"/>
      <c r="AD682" s="7"/>
    </row>
    <row r="683">
      <c r="A683" s="114" t="s">
        <v>230</v>
      </c>
      <c r="B683" s="114" t="s">
        <v>599</v>
      </c>
      <c r="C683" s="114" t="s">
        <v>54</v>
      </c>
      <c r="D683" s="114" t="s">
        <v>54</v>
      </c>
      <c r="E683" s="116">
        <v>2022.0</v>
      </c>
      <c r="F683" s="114"/>
      <c r="G683" s="116">
        <v>0.0</v>
      </c>
      <c r="H683" s="116">
        <v>18.216</v>
      </c>
      <c r="I683" s="117">
        <v>1.0</v>
      </c>
      <c r="J683" s="116">
        <v>18.216</v>
      </c>
      <c r="K683" s="114"/>
      <c r="L683" s="114"/>
      <c r="M683" s="116">
        <v>15.0</v>
      </c>
      <c r="N683" s="116">
        <v>117.0</v>
      </c>
      <c r="O683" s="114"/>
      <c r="P683" s="140">
        <v>14832.21</v>
      </c>
      <c r="Q683" s="114" t="s">
        <v>234</v>
      </c>
      <c r="R683" s="115">
        <v>2021.0</v>
      </c>
      <c r="S683" s="136">
        <v>0.239000000000001</v>
      </c>
      <c r="T683" s="118">
        <f t="shared" si="28"/>
        <v>3544.89819</v>
      </c>
      <c r="U683" s="24">
        <f t="shared" si="2"/>
        <v>194.6035458</v>
      </c>
      <c r="V683" s="26">
        <f>VLOOKUP(R683,CPI!$A$2:$E$67,5,0)</f>
        <v>1.124486105</v>
      </c>
      <c r="W683" s="27">
        <f t="shared" si="3"/>
        <v>3986.18876</v>
      </c>
      <c r="X683" s="27">
        <f t="shared" si="4"/>
        <v>218.8289833</v>
      </c>
      <c r="Y683" s="114"/>
      <c r="Z683" s="119" t="s">
        <v>600</v>
      </c>
      <c r="AA683" s="114"/>
      <c r="AB683" s="114"/>
      <c r="AC683" s="114"/>
      <c r="AD683" s="114"/>
    </row>
    <row r="684">
      <c r="A684" s="114" t="s">
        <v>230</v>
      </c>
      <c r="B684" s="114" t="s">
        <v>670</v>
      </c>
      <c r="C684" s="430" t="s">
        <v>673</v>
      </c>
      <c r="D684" s="430" t="s">
        <v>673</v>
      </c>
      <c r="E684" s="114"/>
      <c r="F684" s="116">
        <v>2019.0</v>
      </c>
      <c r="G684" s="116">
        <v>0.0</v>
      </c>
      <c r="H684" s="116">
        <v>21.59</v>
      </c>
      <c r="I684" s="117">
        <v>0.04</v>
      </c>
      <c r="J684" s="116">
        <v>0.84</v>
      </c>
      <c r="K684" s="114"/>
      <c r="L684" s="114"/>
      <c r="M684" s="116">
        <v>9.0</v>
      </c>
      <c r="N684" s="116">
        <v>117.0</v>
      </c>
      <c r="O684" s="114"/>
      <c r="P684" s="140">
        <v>7386.0</v>
      </c>
      <c r="Q684" s="114" t="s">
        <v>234</v>
      </c>
      <c r="R684" s="115">
        <v>2019.0</v>
      </c>
      <c r="S684" s="136">
        <v>0.238</v>
      </c>
      <c r="T684" s="118">
        <f t="shared" si="28"/>
        <v>1757.868</v>
      </c>
      <c r="U684" s="24">
        <f t="shared" si="2"/>
        <v>81.42047244</v>
      </c>
      <c r="V684" s="26">
        <f>VLOOKUP(R684,CPI!$A$2:$E$67,5,0)</f>
        <v>1.191839066</v>
      </c>
      <c r="W684" s="27">
        <f t="shared" si="3"/>
        <v>2095.095755</v>
      </c>
      <c r="X684" s="27">
        <f t="shared" si="4"/>
        <v>97.0400998</v>
      </c>
      <c r="Y684" s="114"/>
      <c r="Z684" s="119" t="s">
        <v>674</v>
      </c>
      <c r="AA684" s="114"/>
      <c r="AB684" s="114"/>
      <c r="AC684" s="114"/>
      <c r="AD684" s="114"/>
    </row>
    <row r="685">
      <c r="A685" s="114" t="s">
        <v>230</v>
      </c>
      <c r="B685" s="114" t="s">
        <v>670</v>
      </c>
      <c r="C685" s="115" t="s">
        <v>87</v>
      </c>
      <c r="D685" s="114" t="s">
        <v>321</v>
      </c>
      <c r="E685" s="116">
        <v>2020.0</v>
      </c>
      <c r="F685" s="114"/>
      <c r="G685" s="116">
        <v>0.0</v>
      </c>
      <c r="H685" s="116">
        <v>12.7</v>
      </c>
      <c r="I685" s="117">
        <v>0.17</v>
      </c>
      <c r="J685" s="116">
        <v>2.2</v>
      </c>
      <c r="K685" s="114"/>
      <c r="L685" s="114"/>
      <c r="M685" s="116">
        <v>6.0</v>
      </c>
      <c r="N685" s="116">
        <v>117.0</v>
      </c>
      <c r="O685" s="114"/>
      <c r="P685" s="140">
        <v>5200.0</v>
      </c>
      <c r="Q685" s="114" t="s">
        <v>234</v>
      </c>
      <c r="R685" s="115">
        <v>2020.0</v>
      </c>
      <c r="S685" s="136">
        <v>0.239</v>
      </c>
      <c r="T685" s="118">
        <f t="shared" si="28"/>
        <v>1242.8</v>
      </c>
      <c r="U685" s="24">
        <f t="shared" si="2"/>
        <v>97.85826772</v>
      </c>
      <c r="V685" s="26">
        <f>VLOOKUP(R685,CPI!$A$2:$E$67,5,0)</f>
        <v>1.17731472</v>
      </c>
      <c r="W685" s="27">
        <f t="shared" si="3"/>
        <v>1463.166734</v>
      </c>
      <c r="X685" s="27">
        <f t="shared" si="4"/>
        <v>115.2099791</v>
      </c>
      <c r="Y685" s="114"/>
      <c r="Z685" s="119" t="s">
        <v>678</v>
      </c>
      <c r="AA685" s="114"/>
      <c r="AB685" s="114"/>
      <c r="AC685" s="114"/>
      <c r="AD685" s="114"/>
    </row>
    <row r="686">
      <c r="A686" s="114" t="s">
        <v>230</v>
      </c>
      <c r="B686" s="114" t="s">
        <v>670</v>
      </c>
      <c r="C686" s="114" t="s">
        <v>110</v>
      </c>
      <c r="D686" s="114" t="s">
        <v>110</v>
      </c>
      <c r="E686" s="114"/>
      <c r="F686" s="116">
        <v>2021.0</v>
      </c>
      <c r="G686" s="116">
        <v>0.0</v>
      </c>
      <c r="H686" s="116">
        <v>35.95</v>
      </c>
      <c r="I686" s="117">
        <v>0.68</v>
      </c>
      <c r="J686" s="116">
        <v>24.45</v>
      </c>
      <c r="K686" s="114"/>
      <c r="L686" s="114"/>
      <c r="M686" s="116">
        <v>25.0</v>
      </c>
      <c r="N686" s="116">
        <v>117.0</v>
      </c>
      <c r="O686" s="114"/>
      <c r="P686" s="140">
        <v>20560.0</v>
      </c>
      <c r="Q686" s="114" t="s">
        <v>234</v>
      </c>
      <c r="R686" s="115">
        <v>2021.0</v>
      </c>
      <c r="S686" s="136">
        <v>0.239</v>
      </c>
      <c r="T686" s="118">
        <f t="shared" si="28"/>
        <v>4913.84</v>
      </c>
      <c r="U686" s="24">
        <f t="shared" si="2"/>
        <v>136.6853964</v>
      </c>
      <c r="V686" s="26">
        <f>VLOOKUP(R686,CPI!$A$2:$E$67,5,0)</f>
        <v>1.124486105</v>
      </c>
      <c r="W686" s="27">
        <f t="shared" si="3"/>
        <v>5525.544805</v>
      </c>
      <c r="X686" s="27">
        <f t="shared" si="4"/>
        <v>153.7008291</v>
      </c>
      <c r="Y686" s="114"/>
      <c r="Z686" s="119" t="s">
        <v>677</v>
      </c>
      <c r="AA686" s="114"/>
      <c r="AB686" s="114"/>
      <c r="AC686" s="114"/>
      <c r="AD686" s="114"/>
    </row>
    <row r="687">
      <c r="A687" s="114" t="s">
        <v>230</v>
      </c>
      <c r="B687" s="114" t="s">
        <v>670</v>
      </c>
      <c r="C687" s="114" t="s">
        <v>675</v>
      </c>
      <c r="D687" s="114" t="s">
        <v>675</v>
      </c>
      <c r="E687" s="116">
        <v>2013.0</v>
      </c>
      <c r="F687" s="116">
        <v>2020.0</v>
      </c>
      <c r="G687" s="116">
        <v>0.0</v>
      </c>
      <c r="H687" s="116">
        <v>100.1</v>
      </c>
      <c r="I687" s="114"/>
      <c r="J687" s="114"/>
      <c r="K687" s="114"/>
      <c r="L687" s="114"/>
      <c r="M687" s="114"/>
      <c r="N687" s="116">
        <v>117.0</v>
      </c>
      <c r="O687" s="114"/>
      <c r="P687" s="140">
        <v>64040.0</v>
      </c>
      <c r="Q687" s="114" t="s">
        <v>234</v>
      </c>
      <c r="R687" s="115">
        <v>2017.0</v>
      </c>
      <c r="S687" s="85">
        <v>0.239</v>
      </c>
      <c r="T687" s="118">
        <f t="shared" si="28"/>
        <v>15305.56</v>
      </c>
      <c r="U687" s="24">
        <f t="shared" si="2"/>
        <v>152.9026973</v>
      </c>
      <c r="V687" s="26">
        <f>VLOOKUP(R687,CPI!$A$2:$E$67,5,0)</f>
        <v>1.243072781</v>
      </c>
      <c r="W687" s="27">
        <f t="shared" si="3"/>
        <v>19025.92503</v>
      </c>
      <c r="X687" s="27">
        <f t="shared" si="4"/>
        <v>190.0691811</v>
      </c>
      <c r="Y687" s="114"/>
      <c r="Z687" s="225" t="s">
        <v>676</v>
      </c>
      <c r="AA687" s="114"/>
      <c r="AB687" s="114"/>
      <c r="AC687" s="114"/>
      <c r="AD687" s="114"/>
    </row>
    <row r="688">
      <c r="A688" s="114" t="s">
        <v>230</v>
      </c>
      <c r="B688" s="114" t="s">
        <v>670</v>
      </c>
      <c r="C688" s="115" t="s">
        <v>84</v>
      </c>
      <c r="D688" s="115" t="s">
        <v>319</v>
      </c>
      <c r="E688" s="116">
        <v>2021.0</v>
      </c>
      <c r="F688" s="114"/>
      <c r="G688" s="116">
        <v>0.0</v>
      </c>
      <c r="H688" s="116">
        <v>27.91</v>
      </c>
      <c r="I688" s="117">
        <v>1.0</v>
      </c>
      <c r="J688" s="116">
        <v>27.91</v>
      </c>
      <c r="K688" s="114"/>
      <c r="L688" s="114"/>
      <c r="M688" s="116">
        <v>22.0</v>
      </c>
      <c r="N688" s="116">
        <v>117.0</v>
      </c>
      <c r="O688" s="114"/>
      <c r="P688" s="140">
        <v>19900.0</v>
      </c>
      <c r="Q688" s="114" t="s">
        <v>234</v>
      </c>
      <c r="R688" s="115">
        <v>2021.0</v>
      </c>
      <c r="S688" s="136">
        <v>0.239000000000001</v>
      </c>
      <c r="T688" s="118">
        <f t="shared" si="28"/>
        <v>4756.1</v>
      </c>
      <c r="U688" s="24">
        <f t="shared" si="2"/>
        <v>170.4084558</v>
      </c>
      <c r="V688" s="26">
        <f>VLOOKUP(R688,CPI!$A$2:$E$67,5,0)</f>
        <v>1.124486105</v>
      </c>
      <c r="W688" s="27">
        <f t="shared" si="3"/>
        <v>5348.168366</v>
      </c>
      <c r="X688" s="27">
        <f t="shared" si="4"/>
        <v>191.6219407</v>
      </c>
      <c r="Y688" s="114"/>
      <c r="Z688" s="119" t="s">
        <v>680</v>
      </c>
      <c r="AA688" s="114"/>
      <c r="AB688" s="114"/>
      <c r="AC688" s="114"/>
      <c r="AD688" s="114"/>
    </row>
    <row r="689">
      <c r="A689" s="114" t="s">
        <v>230</v>
      </c>
      <c r="B689" s="114" t="s">
        <v>670</v>
      </c>
      <c r="C689" s="115" t="s">
        <v>87</v>
      </c>
      <c r="D689" s="115" t="s">
        <v>357</v>
      </c>
      <c r="E689" s="116">
        <v>2021.0</v>
      </c>
      <c r="F689" s="114"/>
      <c r="G689" s="116">
        <v>0.0</v>
      </c>
      <c r="H689" s="116">
        <v>9.05</v>
      </c>
      <c r="I689" s="117">
        <v>1.0</v>
      </c>
      <c r="J689" s="116">
        <v>9.05</v>
      </c>
      <c r="K689" s="114"/>
      <c r="L689" s="114"/>
      <c r="M689" s="116">
        <v>5.0</v>
      </c>
      <c r="N689" s="116">
        <v>117.0</v>
      </c>
      <c r="O689" s="114"/>
      <c r="P689" s="140">
        <v>7485.0</v>
      </c>
      <c r="Q689" s="114" t="s">
        <v>234</v>
      </c>
      <c r="R689" s="115">
        <v>2021.0</v>
      </c>
      <c r="S689" s="136">
        <v>0.239000000000001</v>
      </c>
      <c r="T689" s="118">
        <f t="shared" si="28"/>
        <v>1788.915</v>
      </c>
      <c r="U689" s="24">
        <f t="shared" si="2"/>
        <v>197.6701657</v>
      </c>
      <c r="V689" s="26">
        <f>VLOOKUP(R689,CPI!$A$2:$E$67,5,0)</f>
        <v>1.124486105</v>
      </c>
      <c r="W689" s="27">
        <f t="shared" si="3"/>
        <v>2011.610061</v>
      </c>
      <c r="X689" s="27">
        <f t="shared" si="4"/>
        <v>222.2773548</v>
      </c>
      <c r="Y689" s="114"/>
      <c r="Z689" s="119" t="s">
        <v>679</v>
      </c>
      <c r="AA689" s="114"/>
      <c r="AB689" s="114"/>
      <c r="AC689" s="114"/>
      <c r="AD689" s="114"/>
    </row>
    <row r="690">
      <c r="A690" s="114" t="s">
        <v>230</v>
      </c>
      <c r="B690" s="114" t="s">
        <v>670</v>
      </c>
      <c r="C690" s="115" t="s">
        <v>87</v>
      </c>
      <c r="D690" s="115" t="s">
        <v>331</v>
      </c>
      <c r="E690" s="114"/>
      <c r="F690" s="116">
        <v>2019.0</v>
      </c>
      <c r="G690" s="116">
        <v>0.0</v>
      </c>
      <c r="H690" s="116">
        <v>16.73</v>
      </c>
      <c r="I690" s="117">
        <v>1.0</v>
      </c>
      <c r="J690" s="116">
        <v>16.73</v>
      </c>
      <c r="K690" s="114"/>
      <c r="L690" s="114"/>
      <c r="M690" s="116">
        <v>15.0</v>
      </c>
      <c r="N690" s="116">
        <v>117.0</v>
      </c>
      <c r="O690" s="114"/>
      <c r="P690" s="140">
        <v>14870.0</v>
      </c>
      <c r="Q690" s="114" t="s">
        <v>234</v>
      </c>
      <c r="R690" s="115">
        <v>2019.0</v>
      </c>
      <c r="S690" s="136">
        <v>0.238</v>
      </c>
      <c r="T690" s="118">
        <f t="shared" si="28"/>
        <v>3539.06</v>
      </c>
      <c r="U690" s="24">
        <f t="shared" si="2"/>
        <v>211.539749</v>
      </c>
      <c r="V690" s="26">
        <f>VLOOKUP(R690,CPI!$A$2:$E$67,5,0)</f>
        <v>1.191839066</v>
      </c>
      <c r="W690" s="27">
        <f t="shared" si="3"/>
        <v>4217.989964</v>
      </c>
      <c r="X690" s="27">
        <f t="shared" si="4"/>
        <v>252.1213367</v>
      </c>
      <c r="Y690" s="114"/>
      <c r="Z690" s="119" t="s">
        <v>671</v>
      </c>
      <c r="AA690" s="119" t="s">
        <v>672</v>
      </c>
    </row>
    <row r="691">
      <c r="A691" s="114" t="s">
        <v>230</v>
      </c>
      <c r="B691" s="114" t="s">
        <v>684</v>
      </c>
      <c r="C691" s="114" t="s">
        <v>292</v>
      </c>
      <c r="D691" s="114" t="s">
        <v>292</v>
      </c>
      <c r="E691" s="114"/>
      <c r="F691" s="116">
        <v>2018.0</v>
      </c>
      <c r="G691" s="116">
        <v>0.0</v>
      </c>
      <c r="H691" s="116">
        <v>58.35</v>
      </c>
      <c r="I691" s="117">
        <v>0.1</v>
      </c>
      <c r="J691" s="116">
        <v>5.81</v>
      </c>
      <c r="K691" s="114"/>
      <c r="L691" s="114"/>
      <c r="M691" s="116">
        <v>22.0</v>
      </c>
      <c r="N691" s="116">
        <v>117.0</v>
      </c>
      <c r="O691" s="114"/>
      <c r="P691" s="140">
        <v>19500.0</v>
      </c>
      <c r="Q691" s="114" t="s">
        <v>234</v>
      </c>
      <c r="R691" s="115">
        <v>2018.0</v>
      </c>
      <c r="S691" s="85">
        <v>0.237</v>
      </c>
      <c r="T691" s="118">
        <f t="shared" si="28"/>
        <v>4621.5</v>
      </c>
      <c r="U691" s="24">
        <f t="shared" si="2"/>
        <v>79.20308483</v>
      </c>
      <c r="V691" s="26">
        <f>VLOOKUP(R691,CPI!$A$2:$E$67,5,0)</f>
        <v>1.21343491</v>
      </c>
      <c r="W691" s="27">
        <f t="shared" si="3"/>
        <v>5607.889438</v>
      </c>
      <c r="X691" s="27">
        <f t="shared" si="4"/>
        <v>96.10778813</v>
      </c>
      <c r="Y691" s="114"/>
      <c r="Z691" s="119" t="s">
        <v>685</v>
      </c>
      <c r="AA691" s="119" t="s">
        <v>686</v>
      </c>
    </row>
    <row r="692">
      <c r="A692" s="114" t="s">
        <v>230</v>
      </c>
      <c r="B692" s="114" t="s">
        <v>684</v>
      </c>
      <c r="C692" s="430" t="s">
        <v>687</v>
      </c>
      <c r="D692" s="430" t="s">
        <v>687</v>
      </c>
      <c r="E692" s="114"/>
      <c r="F692" s="116">
        <v>2020.0</v>
      </c>
      <c r="G692" s="116">
        <v>0.0</v>
      </c>
      <c r="H692" s="116">
        <v>60.0</v>
      </c>
      <c r="I692" s="117">
        <v>0.2</v>
      </c>
      <c r="J692" s="116">
        <v>12.0</v>
      </c>
      <c r="K692" s="114"/>
      <c r="L692" s="114"/>
      <c r="M692" s="116">
        <v>10.0</v>
      </c>
      <c r="N692" s="116">
        <v>117.0</v>
      </c>
      <c r="O692" s="114"/>
      <c r="P692" s="140">
        <v>20763.0</v>
      </c>
      <c r="Q692" s="114" t="s">
        <v>234</v>
      </c>
      <c r="R692" s="115">
        <v>2020.0</v>
      </c>
      <c r="S692" s="85">
        <v>0.239</v>
      </c>
      <c r="T692" s="118">
        <f t="shared" si="28"/>
        <v>4962.357</v>
      </c>
      <c r="U692" s="24">
        <f t="shared" si="2"/>
        <v>82.70595</v>
      </c>
      <c r="V692" s="26">
        <f>VLOOKUP(R692,CPI!$A$2:$E$67,5,0)</f>
        <v>1.17731472</v>
      </c>
      <c r="W692" s="27">
        <f t="shared" si="3"/>
        <v>5842.255942</v>
      </c>
      <c r="X692" s="27">
        <f t="shared" si="4"/>
        <v>97.37093237</v>
      </c>
      <c r="Y692" s="114"/>
      <c r="Z692" s="119" t="s">
        <v>688</v>
      </c>
      <c r="AA692" s="114"/>
      <c r="AB692" s="114"/>
      <c r="AC692" s="114"/>
      <c r="AD692" s="114"/>
    </row>
    <row r="693">
      <c r="A693" s="114" t="s">
        <v>230</v>
      </c>
      <c r="B693" s="114" t="s">
        <v>684</v>
      </c>
      <c r="C693" s="114" t="s">
        <v>243</v>
      </c>
      <c r="D693" s="114" t="s">
        <v>698</v>
      </c>
      <c r="E693" s="116">
        <v>2021.0</v>
      </c>
      <c r="F693" s="116">
        <v>2026.0</v>
      </c>
      <c r="G693" s="116">
        <v>0.0</v>
      </c>
      <c r="H693" s="116">
        <v>18.8</v>
      </c>
      <c r="I693" s="117">
        <v>1.0</v>
      </c>
      <c r="J693" s="116">
        <v>18.8</v>
      </c>
      <c r="K693" s="114"/>
      <c r="L693" s="114"/>
      <c r="M693" s="116">
        <v>9.0</v>
      </c>
      <c r="N693" s="116">
        <v>117.0</v>
      </c>
      <c r="O693" s="114"/>
      <c r="P693" s="140">
        <v>11492.0</v>
      </c>
      <c r="Q693" s="114" t="s">
        <v>234</v>
      </c>
      <c r="R693" s="115">
        <v>2021.0</v>
      </c>
      <c r="S693" s="136">
        <v>0.239000000000001</v>
      </c>
      <c r="T693" s="118">
        <f t="shared" si="28"/>
        <v>2746.588</v>
      </c>
      <c r="U693" s="24">
        <f t="shared" si="2"/>
        <v>146.0951064</v>
      </c>
      <c r="V693" s="26">
        <f>VLOOKUP(R693,CPI!$A$2:$E$67,5,0)</f>
        <v>1.124486105</v>
      </c>
      <c r="W693" s="27">
        <f t="shared" si="3"/>
        <v>3088.500043</v>
      </c>
      <c r="X693" s="27">
        <f t="shared" si="4"/>
        <v>164.2819172</v>
      </c>
      <c r="Y693" s="114"/>
      <c r="Z693" s="119" t="s">
        <v>694</v>
      </c>
      <c r="AA693" s="114"/>
      <c r="AB693" s="114"/>
      <c r="AC693" s="114"/>
      <c r="AD693" s="114"/>
    </row>
    <row r="694">
      <c r="A694" s="66" t="s">
        <v>230</v>
      </c>
      <c r="B694" s="114" t="s">
        <v>684</v>
      </c>
      <c r="C694" s="114" t="s">
        <v>243</v>
      </c>
      <c r="D694" s="114" t="s">
        <v>243</v>
      </c>
      <c r="E694" s="114"/>
      <c r="F694" s="116">
        <v>2021.0</v>
      </c>
      <c r="G694" s="116">
        <v>0.0</v>
      </c>
      <c r="H694" s="116">
        <v>61.4</v>
      </c>
      <c r="I694" s="192"/>
      <c r="J694" s="114"/>
      <c r="K694" s="114"/>
      <c r="L694" s="114"/>
      <c r="M694" s="116">
        <v>16.0</v>
      </c>
      <c r="N694" s="116">
        <v>117.0</v>
      </c>
      <c r="O694" s="114"/>
      <c r="P694" s="140">
        <v>32100.0</v>
      </c>
      <c r="Q694" s="114" t="s">
        <v>234</v>
      </c>
      <c r="R694" s="115">
        <v>2021.0</v>
      </c>
      <c r="S694" s="136">
        <v>0.239000000000001</v>
      </c>
      <c r="T694" s="118">
        <f t="shared" si="28"/>
        <v>7671.9</v>
      </c>
      <c r="U694" s="24">
        <f t="shared" si="2"/>
        <v>124.9495114</v>
      </c>
      <c r="V694" s="26">
        <f>VLOOKUP(R694,CPI!$A$2:$E$67,5,0)</f>
        <v>1.124486105</v>
      </c>
      <c r="W694" s="27">
        <f t="shared" si="3"/>
        <v>8626.944953</v>
      </c>
      <c r="X694" s="27">
        <f t="shared" si="4"/>
        <v>140.5039895</v>
      </c>
      <c r="Y694" s="114"/>
      <c r="Z694" s="119" t="s">
        <v>692</v>
      </c>
      <c r="AA694" s="114"/>
      <c r="AB694" s="114"/>
      <c r="AC694" s="114"/>
      <c r="AD694" s="114"/>
    </row>
    <row r="695">
      <c r="A695" s="66" t="s">
        <v>230</v>
      </c>
      <c r="B695" s="114" t="s">
        <v>684</v>
      </c>
      <c r="C695" s="115" t="s">
        <v>80</v>
      </c>
      <c r="D695" s="115" t="s">
        <v>696</v>
      </c>
      <c r="E695" s="116">
        <v>2021.0</v>
      </c>
      <c r="F695" s="116">
        <v>2026.0</v>
      </c>
      <c r="G695" s="116">
        <v>0.0</v>
      </c>
      <c r="H695" s="116">
        <v>13.85</v>
      </c>
      <c r="I695" s="117">
        <v>1.0</v>
      </c>
      <c r="J695" s="116">
        <v>13.85</v>
      </c>
      <c r="K695" s="114"/>
      <c r="L695" s="114"/>
      <c r="M695" s="116">
        <v>10.0</v>
      </c>
      <c r="N695" s="116">
        <v>117.0</v>
      </c>
      <c r="O695" s="114"/>
      <c r="P695" s="140">
        <v>8302.0</v>
      </c>
      <c r="Q695" s="114" t="s">
        <v>234</v>
      </c>
      <c r="R695" s="115">
        <v>2021.0</v>
      </c>
      <c r="S695" s="136">
        <v>0.239000000000001</v>
      </c>
      <c r="T695" s="118">
        <f t="shared" si="28"/>
        <v>1984.178</v>
      </c>
      <c r="U695" s="24">
        <f t="shared" si="2"/>
        <v>143.2619495</v>
      </c>
      <c r="V695" s="26">
        <f>VLOOKUP(R695,CPI!$A$2:$E$67,5,0)</f>
        <v>1.124486105</v>
      </c>
      <c r="W695" s="27">
        <f t="shared" si="3"/>
        <v>2231.180592</v>
      </c>
      <c r="X695" s="27">
        <f t="shared" si="4"/>
        <v>161.0960716</v>
      </c>
      <c r="Y695" s="114"/>
      <c r="Z695" s="119" t="s">
        <v>697</v>
      </c>
      <c r="AA695" s="225" t="s">
        <v>694</v>
      </c>
      <c r="AB695" s="321"/>
      <c r="AC695" s="321"/>
      <c r="AD695" s="114"/>
    </row>
    <row r="696">
      <c r="A696" s="66" t="s">
        <v>230</v>
      </c>
      <c r="B696" s="114" t="s">
        <v>684</v>
      </c>
      <c r="C696" s="114" t="s">
        <v>260</v>
      </c>
      <c r="D696" s="114" t="s">
        <v>260</v>
      </c>
      <c r="E696" s="116">
        <v>2021.0</v>
      </c>
      <c r="F696" s="116">
        <v>2026.0</v>
      </c>
      <c r="G696" s="116">
        <v>0.0</v>
      </c>
      <c r="H696" s="116">
        <v>30.8</v>
      </c>
      <c r="I696" s="117">
        <v>1.0</v>
      </c>
      <c r="J696" s="116">
        <v>30.8</v>
      </c>
      <c r="K696" s="114"/>
      <c r="L696" s="114"/>
      <c r="M696" s="116">
        <v>17.0</v>
      </c>
      <c r="N696" s="116">
        <v>117.0</v>
      </c>
      <c r="O696" s="114"/>
      <c r="P696" s="140">
        <v>19478.0</v>
      </c>
      <c r="Q696" s="114" t="s">
        <v>234</v>
      </c>
      <c r="R696" s="115">
        <v>2021.0</v>
      </c>
      <c r="S696" s="136">
        <v>0.239000000000001</v>
      </c>
      <c r="T696" s="118">
        <f t="shared" si="28"/>
        <v>4655.242</v>
      </c>
      <c r="U696" s="24">
        <f t="shared" si="2"/>
        <v>151.1442208</v>
      </c>
      <c r="V696" s="26">
        <f>VLOOKUP(R696,CPI!$A$2:$E$67,5,0)</f>
        <v>1.124486105</v>
      </c>
      <c r="W696" s="27">
        <f t="shared" si="3"/>
        <v>5234.754947</v>
      </c>
      <c r="X696" s="27">
        <f t="shared" si="4"/>
        <v>169.9595762</v>
      </c>
      <c r="Y696" s="114"/>
      <c r="Z696" s="119" t="s">
        <v>693</v>
      </c>
      <c r="AA696" s="225" t="s">
        <v>694</v>
      </c>
      <c r="AB696" s="321"/>
      <c r="AC696" s="321"/>
      <c r="AD696" s="114"/>
    </row>
    <row r="697">
      <c r="A697" s="66" t="s">
        <v>230</v>
      </c>
      <c r="B697" s="114" t="s">
        <v>684</v>
      </c>
      <c r="C697" s="115" t="s">
        <v>689</v>
      </c>
      <c r="D697" s="115" t="s">
        <v>690</v>
      </c>
      <c r="E697" s="114"/>
      <c r="F697" s="116">
        <v>2021.0</v>
      </c>
      <c r="G697" s="116">
        <v>0.0</v>
      </c>
      <c r="H697" s="116">
        <v>59.97</v>
      </c>
      <c r="I697" s="117">
        <v>1.0</v>
      </c>
      <c r="J697" s="116">
        <v>59.97</v>
      </c>
      <c r="K697" s="114"/>
      <c r="L697" s="114"/>
      <c r="M697" s="116">
        <v>40.0</v>
      </c>
      <c r="N697" s="116">
        <v>117.0</v>
      </c>
      <c r="O697" s="114"/>
      <c r="P697" s="140">
        <v>39990.0</v>
      </c>
      <c r="Q697" s="114" t="s">
        <v>234</v>
      </c>
      <c r="R697" s="115">
        <v>2021.0</v>
      </c>
      <c r="S697" s="136">
        <v>0.239000000000001</v>
      </c>
      <c r="T697" s="118">
        <f t="shared" si="28"/>
        <v>9557.61</v>
      </c>
      <c r="U697" s="24">
        <f t="shared" si="2"/>
        <v>159.3731866</v>
      </c>
      <c r="V697" s="26">
        <f>VLOOKUP(R697,CPI!$A$2:$E$67,5,0)</f>
        <v>1.124486105</v>
      </c>
      <c r="W697" s="27">
        <f t="shared" si="3"/>
        <v>10747.39965</v>
      </c>
      <c r="X697" s="27">
        <f t="shared" si="4"/>
        <v>179.2129339</v>
      </c>
      <c r="Y697" s="72"/>
      <c r="Z697" s="119" t="s">
        <v>691</v>
      </c>
      <c r="AA697" s="114"/>
      <c r="AB697" s="114"/>
      <c r="AC697" s="114"/>
      <c r="AD697" s="114"/>
    </row>
    <row r="698">
      <c r="A698" s="114" t="s">
        <v>230</v>
      </c>
      <c r="B698" s="114" t="s">
        <v>684</v>
      </c>
      <c r="C698" s="115" t="s">
        <v>54</v>
      </c>
      <c r="D698" s="114" t="s">
        <v>54</v>
      </c>
      <c r="E698" s="116">
        <v>2019.0</v>
      </c>
      <c r="F698" s="114"/>
      <c r="G698" s="116">
        <v>0.0</v>
      </c>
      <c r="H698" s="116">
        <v>25.0</v>
      </c>
      <c r="I698" s="117">
        <v>1.0</v>
      </c>
      <c r="J698" s="116">
        <v>25.0</v>
      </c>
      <c r="K698" s="114"/>
      <c r="L698" s="114"/>
      <c r="M698" s="116">
        <v>22.0</v>
      </c>
      <c r="N698" s="116">
        <v>117.0</v>
      </c>
      <c r="O698" s="114"/>
      <c r="P698" s="140">
        <v>29376.8</v>
      </c>
      <c r="Q698" s="114" t="s">
        <v>234</v>
      </c>
      <c r="R698" s="115">
        <v>2019.0</v>
      </c>
      <c r="S698" s="136">
        <v>0.238</v>
      </c>
      <c r="T698" s="118">
        <f t="shared" si="28"/>
        <v>6991.6784</v>
      </c>
      <c r="U698" s="24">
        <f t="shared" si="2"/>
        <v>279.667136</v>
      </c>
      <c r="V698" s="26">
        <f>VLOOKUP(R698,CPI!$A$2:$E$67,5,0)</f>
        <v>1.191839066</v>
      </c>
      <c r="W698" s="27">
        <f t="shared" si="3"/>
        <v>8332.955451</v>
      </c>
      <c r="X698" s="27">
        <f t="shared" si="4"/>
        <v>333.3182181</v>
      </c>
      <c r="Y698" s="114"/>
      <c r="Z698" s="119" t="s">
        <v>701</v>
      </c>
      <c r="AA698" s="208"/>
      <c r="AB698" s="208"/>
      <c r="AC698" s="208"/>
      <c r="AD698" s="208"/>
    </row>
    <row r="699">
      <c r="A699" s="66" t="s">
        <v>230</v>
      </c>
      <c r="B699" s="114" t="s">
        <v>684</v>
      </c>
      <c r="C699" s="114" t="s">
        <v>253</v>
      </c>
      <c r="D699" s="114" t="s">
        <v>253</v>
      </c>
      <c r="E699" s="116">
        <v>2021.0</v>
      </c>
      <c r="F699" s="116">
        <v>2026.0</v>
      </c>
      <c r="G699" s="116">
        <v>0.0</v>
      </c>
      <c r="H699" s="116">
        <v>16.63</v>
      </c>
      <c r="I699" s="117">
        <v>1.0</v>
      </c>
      <c r="J699" s="116">
        <v>16.63</v>
      </c>
      <c r="K699" s="114"/>
      <c r="L699" s="114"/>
      <c r="M699" s="116">
        <v>13.0</v>
      </c>
      <c r="N699" s="116">
        <v>117.0</v>
      </c>
      <c r="O699" s="114"/>
      <c r="P699" s="140">
        <v>12590.0</v>
      </c>
      <c r="Q699" s="114" t="s">
        <v>234</v>
      </c>
      <c r="R699" s="115">
        <v>2021.0</v>
      </c>
      <c r="S699" s="136">
        <v>0.239000000000001</v>
      </c>
      <c r="T699" s="118">
        <f t="shared" si="28"/>
        <v>3009.01</v>
      </c>
      <c r="U699" s="24">
        <f t="shared" si="2"/>
        <v>180.9386651</v>
      </c>
      <c r="V699" s="26">
        <f>VLOOKUP(R699,CPI!$A$2:$E$67,5,0)</f>
        <v>1.124486105</v>
      </c>
      <c r="W699" s="27">
        <f t="shared" si="3"/>
        <v>3383.589936</v>
      </c>
      <c r="X699" s="27">
        <f t="shared" si="4"/>
        <v>203.4630148</v>
      </c>
      <c r="Y699" s="72"/>
      <c r="Z699" s="119" t="s">
        <v>699</v>
      </c>
      <c r="AA699" s="225" t="s">
        <v>694</v>
      </c>
      <c r="AB699" s="321"/>
      <c r="AC699" s="321"/>
      <c r="AD699" s="114"/>
    </row>
    <row r="700">
      <c r="A700" s="66" t="s">
        <v>230</v>
      </c>
      <c r="B700" s="114" t="s">
        <v>684</v>
      </c>
      <c r="C700" s="114" t="s">
        <v>87</v>
      </c>
      <c r="D700" s="114" t="s">
        <v>87</v>
      </c>
      <c r="E700" s="116">
        <v>2010.0</v>
      </c>
      <c r="F700" s="114"/>
      <c r="G700" s="116">
        <v>0.0</v>
      </c>
      <c r="H700" s="116">
        <v>25.0</v>
      </c>
      <c r="I700" s="117">
        <v>1.0</v>
      </c>
      <c r="J700" s="116">
        <v>25.0</v>
      </c>
      <c r="K700" s="114"/>
      <c r="L700" s="114"/>
      <c r="M700" s="116">
        <v>22.0</v>
      </c>
      <c r="N700" s="116">
        <v>117.0</v>
      </c>
      <c r="O700" s="114"/>
      <c r="P700" s="140">
        <v>17500.0</v>
      </c>
      <c r="Q700" s="114" t="s">
        <v>234</v>
      </c>
      <c r="R700" s="115">
        <v>2010.0</v>
      </c>
      <c r="S700" s="85">
        <v>0.3</v>
      </c>
      <c r="T700" s="118">
        <f t="shared" si="28"/>
        <v>5250</v>
      </c>
      <c r="U700" s="24">
        <f t="shared" si="2"/>
        <v>210</v>
      </c>
      <c r="V700" s="26">
        <f>VLOOKUP(R700,CPI!$A$2:$E$67,5,0)</f>
        <v>1.397356642</v>
      </c>
      <c r="W700" s="27">
        <f t="shared" si="3"/>
        <v>7336.122372</v>
      </c>
      <c r="X700" s="27">
        <f t="shared" si="4"/>
        <v>293.4448949</v>
      </c>
      <c r="Y700" s="72"/>
      <c r="Z700" s="119" t="s">
        <v>700</v>
      </c>
      <c r="AA700" s="114"/>
      <c r="AB700" s="114"/>
      <c r="AC700" s="114"/>
      <c r="AD700" s="114"/>
    </row>
    <row r="701">
      <c r="A701" s="66" t="s">
        <v>230</v>
      </c>
      <c r="B701" s="114" t="s">
        <v>684</v>
      </c>
      <c r="C701" s="115" t="s">
        <v>54</v>
      </c>
      <c r="D701" s="115" t="s">
        <v>702</v>
      </c>
      <c r="E701" s="116">
        <v>2021.0</v>
      </c>
      <c r="F701" s="114"/>
      <c r="G701" s="116">
        <v>0.0</v>
      </c>
      <c r="H701" s="116">
        <v>8.89</v>
      </c>
      <c r="I701" s="117">
        <v>1.0</v>
      </c>
      <c r="J701" s="116">
        <v>8.89</v>
      </c>
      <c r="K701" s="114"/>
      <c r="L701" s="114"/>
      <c r="M701" s="116">
        <v>8.0</v>
      </c>
      <c r="N701" s="116">
        <v>117.0</v>
      </c>
      <c r="O701" s="114"/>
      <c r="P701" s="140">
        <v>6770.0</v>
      </c>
      <c r="Q701" s="114" t="s">
        <v>234</v>
      </c>
      <c r="R701" s="115">
        <v>2021.0</v>
      </c>
      <c r="S701" s="136">
        <v>0.239000000000001</v>
      </c>
      <c r="T701" s="118">
        <f t="shared" si="28"/>
        <v>1618.03</v>
      </c>
      <c r="U701" s="24">
        <f t="shared" si="2"/>
        <v>182.0056243</v>
      </c>
      <c r="V701" s="26">
        <f>VLOOKUP(R701,CPI!$A$2:$E$67,5,0)</f>
        <v>1.124486105</v>
      </c>
      <c r="W701" s="27">
        <f t="shared" si="3"/>
        <v>1819.452253</v>
      </c>
      <c r="X701" s="27">
        <f t="shared" si="4"/>
        <v>204.6627956</v>
      </c>
      <c r="Y701" s="72"/>
      <c r="Z701" s="119" t="s">
        <v>703</v>
      </c>
      <c r="AA701" s="225" t="s">
        <v>694</v>
      </c>
      <c r="AB701" s="321"/>
      <c r="AC701" s="321"/>
      <c r="AD701" s="114"/>
    </row>
    <row r="702">
      <c r="A702" s="66" t="s">
        <v>230</v>
      </c>
      <c r="B702" s="114" t="s">
        <v>684</v>
      </c>
      <c r="C702" s="114" t="s">
        <v>84</v>
      </c>
      <c r="D702" s="114" t="s">
        <v>84</v>
      </c>
      <c r="E702" s="116">
        <v>2021.0</v>
      </c>
      <c r="F702" s="116">
        <v>2026.0</v>
      </c>
      <c r="G702" s="116">
        <v>0.0</v>
      </c>
      <c r="H702" s="116">
        <v>32.7</v>
      </c>
      <c r="I702" s="117">
        <v>1.0</v>
      </c>
      <c r="J702" s="116">
        <v>32.7</v>
      </c>
      <c r="K702" s="114"/>
      <c r="L702" s="114"/>
      <c r="M702" s="116">
        <v>29.0</v>
      </c>
      <c r="N702" s="116">
        <v>117.0</v>
      </c>
      <c r="O702" s="114"/>
      <c r="P702" s="140">
        <v>26030.0</v>
      </c>
      <c r="Q702" s="114" t="s">
        <v>234</v>
      </c>
      <c r="R702" s="115">
        <v>2021.0</v>
      </c>
      <c r="S702" s="136">
        <v>0.239000000000001</v>
      </c>
      <c r="T702" s="118">
        <f t="shared" si="28"/>
        <v>6221.17</v>
      </c>
      <c r="U702" s="24">
        <f t="shared" si="2"/>
        <v>190.2498471</v>
      </c>
      <c r="V702" s="26">
        <f>VLOOKUP(R702,CPI!$A$2:$E$67,5,0)</f>
        <v>1.124486105</v>
      </c>
      <c r="W702" s="27">
        <f t="shared" si="3"/>
        <v>6995.619225</v>
      </c>
      <c r="X702" s="27">
        <f t="shared" si="4"/>
        <v>213.9333096</v>
      </c>
      <c r="Y702" s="72"/>
      <c r="Z702" s="119" t="s">
        <v>695</v>
      </c>
      <c r="AA702" s="225" t="s">
        <v>694</v>
      </c>
      <c r="AB702" s="321"/>
      <c r="AC702" s="321"/>
      <c r="AD702" s="114"/>
    </row>
    <row r="703">
      <c r="A703" s="66" t="s">
        <v>230</v>
      </c>
      <c r="B703" s="114" t="s">
        <v>858</v>
      </c>
      <c r="C703" s="16" t="s">
        <v>110</v>
      </c>
      <c r="D703" s="115" t="s">
        <v>332</v>
      </c>
      <c r="E703" s="116">
        <v>2018.0</v>
      </c>
      <c r="F703" s="114"/>
      <c r="G703" s="116">
        <v>0.0</v>
      </c>
      <c r="H703" s="116">
        <v>20.556</v>
      </c>
      <c r="I703" s="116">
        <v>1.0</v>
      </c>
      <c r="J703" s="116">
        <v>20.556</v>
      </c>
      <c r="K703" s="114"/>
      <c r="L703" s="114"/>
      <c r="M703" s="116">
        <v>16.0</v>
      </c>
      <c r="N703" s="116">
        <v>138.0</v>
      </c>
      <c r="O703" s="114"/>
      <c r="P703" s="73">
        <v>16787.0</v>
      </c>
      <c r="Q703" s="114" t="s">
        <v>234</v>
      </c>
      <c r="R703" s="115">
        <v>2018.0</v>
      </c>
      <c r="S703" s="85">
        <v>0.237</v>
      </c>
      <c r="T703" s="118">
        <f t="shared" si="28"/>
        <v>3978.519</v>
      </c>
      <c r="U703" s="24">
        <f t="shared" si="2"/>
        <v>193.5453882</v>
      </c>
      <c r="V703" s="26">
        <f>VLOOKUP(R703,CPI!$A$2:$E$67,5,0)</f>
        <v>1.21343491</v>
      </c>
      <c r="W703" s="27">
        <f t="shared" si="3"/>
        <v>4827.673846</v>
      </c>
      <c r="X703" s="27">
        <f t="shared" si="4"/>
        <v>234.8547308</v>
      </c>
      <c r="Y703" s="72"/>
      <c r="Z703" s="119" t="s">
        <v>862</v>
      </c>
      <c r="AA703" s="114"/>
      <c r="AB703" s="114"/>
      <c r="AC703" s="114"/>
      <c r="AD703" s="114"/>
    </row>
    <row r="704">
      <c r="A704" s="66" t="s">
        <v>230</v>
      </c>
      <c r="B704" s="114" t="s">
        <v>858</v>
      </c>
      <c r="C704" s="114" t="s">
        <v>54</v>
      </c>
      <c r="D704" s="114" t="s">
        <v>54</v>
      </c>
      <c r="E704" s="114"/>
      <c r="F704" s="116">
        <v>2021.0</v>
      </c>
      <c r="G704" s="116">
        <v>0.0</v>
      </c>
      <c r="H704" s="116">
        <v>19.35</v>
      </c>
      <c r="I704" s="192"/>
      <c r="J704" s="114"/>
      <c r="K704" s="114"/>
      <c r="L704" s="114"/>
      <c r="M704" s="116">
        <v>16.0</v>
      </c>
      <c r="N704" s="116">
        <v>138.0</v>
      </c>
      <c r="O704" s="114"/>
      <c r="P704" s="73">
        <v>16260.0</v>
      </c>
      <c r="Q704" s="114" t="s">
        <v>234</v>
      </c>
      <c r="R704" s="115">
        <v>2021.0</v>
      </c>
      <c r="S704" s="136">
        <v>0.239000000000001</v>
      </c>
      <c r="T704" s="118">
        <f t="shared" si="28"/>
        <v>3886.14</v>
      </c>
      <c r="U704" s="24">
        <f t="shared" si="2"/>
        <v>200.8341085</v>
      </c>
      <c r="V704" s="26">
        <f>VLOOKUP(R704,CPI!$A$2:$E$67,5,0)</f>
        <v>1.124486105</v>
      </c>
      <c r="W704" s="27">
        <f t="shared" si="3"/>
        <v>4369.910434</v>
      </c>
      <c r="X704" s="27">
        <f t="shared" si="4"/>
        <v>225.8351645</v>
      </c>
      <c r="Y704" s="114"/>
      <c r="Z704" s="119" t="s">
        <v>861</v>
      </c>
      <c r="AA704" s="114"/>
      <c r="AB704" s="114"/>
      <c r="AC704" s="114"/>
      <c r="AD704" s="114"/>
    </row>
    <row r="705">
      <c r="A705" s="66" t="s">
        <v>230</v>
      </c>
      <c r="B705" s="114" t="s">
        <v>858</v>
      </c>
      <c r="C705" s="114" t="s">
        <v>57</v>
      </c>
      <c r="D705" s="114" t="s">
        <v>57</v>
      </c>
      <c r="E705" s="116">
        <v>2014.0</v>
      </c>
      <c r="F705" s="116">
        <v>2019.0</v>
      </c>
      <c r="G705" s="116">
        <v>0.0</v>
      </c>
      <c r="H705" s="116">
        <v>27.615</v>
      </c>
      <c r="I705" s="117">
        <v>1.0</v>
      </c>
      <c r="J705" s="116">
        <v>27.615</v>
      </c>
      <c r="K705" s="114"/>
      <c r="L705" s="114"/>
      <c r="M705" s="116">
        <v>21.0</v>
      </c>
      <c r="N705" s="116">
        <v>138.0</v>
      </c>
      <c r="O705" s="114"/>
      <c r="P705" s="140">
        <v>21694.0</v>
      </c>
      <c r="Q705" s="114" t="s">
        <v>234</v>
      </c>
      <c r="R705" s="115">
        <v>2017.0</v>
      </c>
      <c r="S705" s="85">
        <v>0.239</v>
      </c>
      <c r="T705" s="118">
        <f t="shared" si="28"/>
        <v>5184.866</v>
      </c>
      <c r="U705" s="24">
        <f t="shared" si="2"/>
        <v>187.7554228</v>
      </c>
      <c r="V705" s="26">
        <f>VLOOKUP(R705,CPI!$A$2:$E$67,5,0)</f>
        <v>1.243072781</v>
      </c>
      <c r="W705" s="27">
        <f t="shared" si="3"/>
        <v>6445.165796</v>
      </c>
      <c r="X705" s="27">
        <f t="shared" si="4"/>
        <v>233.3936555</v>
      </c>
      <c r="Y705" s="114"/>
      <c r="Z705" s="119" t="s">
        <v>859</v>
      </c>
      <c r="AA705" s="119" t="s">
        <v>860</v>
      </c>
    </row>
    <row r="706">
      <c r="A706" s="66" t="s">
        <v>230</v>
      </c>
      <c r="B706" s="114" t="s">
        <v>601</v>
      </c>
      <c r="C706" s="115" t="s">
        <v>57</v>
      </c>
      <c r="D706" s="114" t="s">
        <v>333</v>
      </c>
      <c r="E706" s="116">
        <v>2021.0</v>
      </c>
      <c r="F706" s="114"/>
      <c r="G706" s="116">
        <v>0.0</v>
      </c>
      <c r="H706" s="116">
        <v>16.973</v>
      </c>
      <c r="I706" s="117">
        <v>0.8</v>
      </c>
      <c r="J706" s="116">
        <v>13.528</v>
      </c>
      <c r="K706" s="114"/>
      <c r="L706" s="114"/>
      <c r="M706" s="116">
        <v>8.0</v>
      </c>
      <c r="N706" s="116">
        <v>117.0</v>
      </c>
      <c r="O706" s="114"/>
      <c r="P706" s="140">
        <v>10341.0</v>
      </c>
      <c r="Q706" s="114" t="s">
        <v>234</v>
      </c>
      <c r="R706" s="115">
        <v>2021.0</v>
      </c>
      <c r="S706" s="136">
        <v>0.239000000000001</v>
      </c>
      <c r="T706" s="118">
        <f t="shared" si="28"/>
        <v>2471.499</v>
      </c>
      <c r="U706" s="24">
        <f t="shared" si="2"/>
        <v>145.6135627</v>
      </c>
      <c r="V706" s="26">
        <f>VLOOKUP(R706,CPI!$A$2:$E$67,5,0)</f>
        <v>1.124486105</v>
      </c>
      <c r="W706" s="27">
        <f t="shared" si="3"/>
        <v>2779.166285</v>
      </c>
      <c r="X706" s="27">
        <f t="shared" si="4"/>
        <v>163.740428</v>
      </c>
      <c r="Y706" s="114"/>
      <c r="Z706" s="119" t="s">
        <v>607</v>
      </c>
      <c r="AA706" s="114"/>
      <c r="AB706" s="114"/>
      <c r="AC706" s="114"/>
      <c r="AD706" s="114"/>
    </row>
    <row r="707">
      <c r="A707" s="66" t="s">
        <v>230</v>
      </c>
      <c r="B707" s="114" t="s">
        <v>601</v>
      </c>
      <c r="C707" s="16" t="s">
        <v>34</v>
      </c>
      <c r="D707" s="114" t="s">
        <v>602</v>
      </c>
      <c r="E707" s="116">
        <v>2009.0</v>
      </c>
      <c r="F707" s="116">
        <v>2016.0</v>
      </c>
      <c r="G707" s="116">
        <v>0.0</v>
      </c>
      <c r="H707" s="116">
        <v>50.6</v>
      </c>
      <c r="I707" s="117">
        <v>1.0</v>
      </c>
      <c r="J707" s="116">
        <v>50.6</v>
      </c>
      <c r="K707" s="114"/>
      <c r="L707" s="114"/>
      <c r="M707" s="116">
        <v>50.0</v>
      </c>
      <c r="N707" s="116">
        <v>117.0</v>
      </c>
      <c r="O707" s="114"/>
      <c r="P707" s="140">
        <v>27440.0</v>
      </c>
      <c r="Q707" s="114" t="s">
        <v>234</v>
      </c>
      <c r="R707" s="115">
        <v>2013.0</v>
      </c>
      <c r="S707" s="85">
        <v>0.273</v>
      </c>
      <c r="T707" s="118">
        <f t="shared" si="28"/>
        <v>7491.12</v>
      </c>
      <c r="U707" s="24">
        <f t="shared" si="2"/>
        <v>148.0458498</v>
      </c>
      <c r="V707" s="26">
        <f>VLOOKUP(R707,CPI!$A$2:$E$67,5,0)</f>
        <v>1.307975292</v>
      </c>
      <c r="W707" s="27">
        <f t="shared" si="3"/>
        <v>9798.199866</v>
      </c>
      <c r="X707" s="27">
        <f t="shared" si="4"/>
        <v>193.6403136</v>
      </c>
      <c r="Y707" s="114"/>
      <c r="Z707" s="225" t="s">
        <v>603</v>
      </c>
      <c r="AA707" s="114"/>
      <c r="AB707" s="114"/>
      <c r="AC707" s="114"/>
      <c r="AD707" s="114"/>
    </row>
    <row r="708">
      <c r="A708" s="66" t="s">
        <v>230</v>
      </c>
      <c r="B708" s="114" t="s">
        <v>655</v>
      </c>
      <c r="C708" s="114" t="s">
        <v>665</v>
      </c>
      <c r="D708" s="114" t="s">
        <v>665</v>
      </c>
      <c r="E708" s="116">
        <v>2021.0</v>
      </c>
      <c r="F708" s="114"/>
      <c r="G708" s="116">
        <v>0.0</v>
      </c>
      <c r="H708" s="116">
        <v>53.2</v>
      </c>
      <c r="I708" s="117">
        <v>0.2</v>
      </c>
      <c r="J708" s="116">
        <v>10.6</v>
      </c>
      <c r="K708" s="114"/>
      <c r="L708" s="114"/>
      <c r="M708" s="116">
        <v>13.0</v>
      </c>
      <c r="N708" s="116">
        <v>117.0</v>
      </c>
      <c r="O708" s="114"/>
      <c r="P708" s="140">
        <v>16500.0</v>
      </c>
      <c r="Q708" s="114" t="s">
        <v>234</v>
      </c>
      <c r="R708" s="115">
        <v>2021.0</v>
      </c>
      <c r="S708" s="136">
        <v>0.239000000000001</v>
      </c>
      <c r="T708" s="118">
        <f t="shared" si="28"/>
        <v>3943.5</v>
      </c>
      <c r="U708" s="24">
        <f t="shared" si="2"/>
        <v>74.12593985</v>
      </c>
      <c r="V708" s="26">
        <f>VLOOKUP(R708,CPI!$A$2:$E$67,5,0)</f>
        <v>1.124486105</v>
      </c>
      <c r="W708" s="27">
        <f t="shared" si="3"/>
        <v>4434.410957</v>
      </c>
      <c r="X708" s="27">
        <f t="shared" si="4"/>
        <v>83.35358942</v>
      </c>
      <c r="Y708" s="114"/>
      <c r="Z708" s="119" t="s">
        <v>666</v>
      </c>
      <c r="AA708" s="114"/>
      <c r="AB708" s="114"/>
      <c r="AC708" s="114"/>
      <c r="AD708" s="114"/>
    </row>
    <row r="709">
      <c r="A709" s="66" t="s">
        <v>230</v>
      </c>
      <c r="B709" s="114" t="s">
        <v>655</v>
      </c>
      <c r="C709" s="114" t="s">
        <v>663</v>
      </c>
      <c r="D709" s="114" t="s">
        <v>663</v>
      </c>
      <c r="E709" s="116">
        <v>2021.0</v>
      </c>
      <c r="F709" s="114"/>
      <c r="G709" s="116">
        <v>0.0</v>
      </c>
      <c r="H709" s="116">
        <v>22.8</v>
      </c>
      <c r="I709" s="114"/>
      <c r="J709" s="114"/>
      <c r="K709" s="114"/>
      <c r="L709" s="114"/>
      <c r="M709" s="116">
        <v>5.0</v>
      </c>
      <c r="N709" s="114"/>
      <c r="O709" s="114"/>
      <c r="P709" s="140">
        <v>8450.0</v>
      </c>
      <c r="Q709" s="114" t="s">
        <v>234</v>
      </c>
      <c r="R709" s="115">
        <v>2021.0</v>
      </c>
      <c r="S709" s="136">
        <v>0.239000000000001</v>
      </c>
      <c r="T709" s="118">
        <f t="shared" si="28"/>
        <v>2019.55</v>
      </c>
      <c r="U709" s="24">
        <f t="shared" si="2"/>
        <v>88.57675439</v>
      </c>
      <c r="V709" s="26">
        <f>VLOOKUP(R709,CPI!$A$2:$E$67,5,0)</f>
        <v>1.124486105</v>
      </c>
      <c r="W709" s="27">
        <f t="shared" si="3"/>
        <v>2270.955914</v>
      </c>
      <c r="X709" s="27">
        <f t="shared" si="4"/>
        <v>99.60332957</v>
      </c>
      <c r="Y709" s="114"/>
      <c r="Z709" s="119" t="s">
        <v>664</v>
      </c>
      <c r="AA709" s="114"/>
      <c r="AB709" s="114"/>
      <c r="AC709" s="114"/>
      <c r="AD709" s="114"/>
    </row>
    <row r="710">
      <c r="A710" s="66" t="s">
        <v>230</v>
      </c>
      <c r="B710" s="114" t="s">
        <v>667</v>
      </c>
      <c r="C710" s="114" t="s">
        <v>57</v>
      </c>
      <c r="D710" s="114" t="s">
        <v>57</v>
      </c>
      <c r="E710" s="116">
        <v>2019.0</v>
      </c>
      <c r="F710" s="114"/>
      <c r="G710" s="116">
        <v>0.0</v>
      </c>
      <c r="H710" s="116">
        <v>39.4</v>
      </c>
      <c r="I710" s="117">
        <v>1.0</v>
      </c>
      <c r="J710" s="116">
        <v>39.4</v>
      </c>
      <c r="K710" s="114"/>
      <c r="L710" s="114"/>
      <c r="M710" s="116">
        <v>28.0</v>
      </c>
      <c r="N710" s="116">
        <v>117.0</v>
      </c>
      <c r="O710" s="114"/>
      <c r="P710" s="140">
        <v>26902.0</v>
      </c>
      <c r="Q710" s="114" t="s">
        <v>234</v>
      </c>
      <c r="R710" s="115">
        <v>2019.0</v>
      </c>
      <c r="S710" s="136">
        <v>0.238</v>
      </c>
      <c r="T710" s="118">
        <f t="shared" si="28"/>
        <v>6402.676</v>
      </c>
      <c r="U710" s="24">
        <f t="shared" si="2"/>
        <v>162.504467</v>
      </c>
      <c r="V710" s="26">
        <f>VLOOKUP(R710,CPI!$A$2:$E$67,5,0)</f>
        <v>1.191839066</v>
      </c>
      <c r="W710" s="27">
        <f t="shared" si="3"/>
        <v>7630.959381</v>
      </c>
      <c r="X710" s="27">
        <f t="shared" si="4"/>
        <v>193.6791721</v>
      </c>
      <c r="Y710" s="114"/>
      <c r="Z710" s="119" t="s">
        <v>668</v>
      </c>
      <c r="AA710" s="208"/>
      <c r="AB710" s="208"/>
      <c r="AC710" s="208"/>
      <c r="AD710" s="208"/>
    </row>
    <row r="711">
      <c r="A711" s="114" t="s">
        <v>230</v>
      </c>
      <c r="B711" s="114" t="s">
        <v>667</v>
      </c>
      <c r="C711" s="114" t="s">
        <v>54</v>
      </c>
      <c r="D711" s="114" t="s">
        <v>54</v>
      </c>
      <c r="E711" s="116">
        <v>2020.0</v>
      </c>
      <c r="F711" s="114"/>
      <c r="G711" s="116">
        <v>0.0</v>
      </c>
      <c r="H711" s="116">
        <v>20.85</v>
      </c>
      <c r="I711" s="117">
        <v>1.0</v>
      </c>
      <c r="J711" s="116">
        <v>20.85</v>
      </c>
      <c r="K711" s="114"/>
      <c r="L711" s="114"/>
      <c r="M711" s="116">
        <v>17.0</v>
      </c>
      <c r="N711" s="116">
        <v>117.0</v>
      </c>
      <c r="O711" s="114"/>
      <c r="P711" s="140">
        <v>15119.64</v>
      </c>
      <c r="Q711" s="114" t="s">
        <v>234</v>
      </c>
      <c r="R711" s="115">
        <v>2020.0</v>
      </c>
      <c r="S711" s="136">
        <v>0.239</v>
      </c>
      <c r="T711" s="118">
        <f t="shared" si="28"/>
        <v>3613.59396</v>
      </c>
      <c r="U711" s="24">
        <f t="shared" si="2"/>
        <v>173.313859</v>
      </c>
      <c r="V711" s="26">
        <f>VLOOKUP(R711,CPI!$A$2:$E$67,5,0)</f>
        <v>1.17731472</v>
      </c>
      <c r="W711" s="27">
        <f t="shared" si="3"/>
        <v>4254.337361</v>
      </c>
      <c r="X711" s="27">
        <f t="shared" si="4"/>
        <v>204.0449574</v>
      </c>
      <c r="Y711" s="114"/>
      <c r="Z711" s="119" t="s">
        <v>669</v>
      </c>
      <c r="AA711" s="114"/>
      <c r="AB711" s="114"/>
      <c r="AC711" s="114"/>
      <c r="AD711" s="114"/>
    </row>
    <row r="712">
      <c r="A712" s="114" t="s">
        <v>1443</v>
      </c>
      <c r="B712" s="114" t="s">
        <v>1451</v>
      </c>
      <c r="C712" s="171" t="s">
        <v>1453</v>
      </c>
      <c r="D712" s="115" t="s">
        <v>1480</v>
      </c>
      <c r="E712" s="116">
        <v>2022.0</v>
      </c>
      <c r="F712" s="114"/>
      <c r="G712" s="116">
        <v>0.0</v>
      </c>
      <c r="H712" s="116">
        <v>4.19</v>
      </c>
      <c r="I712" s="71">
        <v>1.0</v>
      </c>
      <c r="J712" s="116">
        <v>4.19</v>
      </c>
      <c r="K712" s="114"/>
      <c r="L712" s="114"/>
      <c r="M712" s="116">
        <v>1.0</v>
      </c>
      <c r="N712" s="116">
        <v>200.0</v>
      </c>
      <c r="O712" s="114"/>
      <c r="P712" s="73">
        <v>427100.0</v>
      </c>
      <c r="Q712" s="114" t="s">
        <v>1445</v>
      </c>
      <c r="R712" s="115">
        <v>2021.0</v>
      </c>
      <c r="S712" s="85">
        <v>0.0012</v>
      </c>
      <c r="T712" s="118">
        <f t="shared" si="28"/>
        <v>512.52</v>
      </c>
      <c r="U712" s="24">
        <f t="shared" si="2"/>
        <v>122.3198091</v>
      </c>
      <c r="V712" s="26">
        <f>VLOOKUP(R712,CPI!$A$2:$E$67,5,0)</f>
        <v>1.124486105</v>
      </c>
      <c r="W712" s="27">
        <f t="shared" si="3"/>
        <v>576.3216188</v>
      </c>
      <c r="X712" s="27">
        <f t="shared" si="4"/>
        <v>137.5469257</v>
      </c>
      <c r="Y712" s="114"/>
      <c r="Z712" s="119" t="s">
        <v>1481</v>
      </c>
      <c r="AA712" s="114"/>
      <c r="AB712" s="114"/>
      <c r="AC712" s="114"/>
      <c r="AD712" s="114"/>
    </row>
    <row r="713">
      <c r="A713" s="114" t="s">
        <v>1443</v>
      </c>
      <c r="B713" s="114" t="s">
        <v>1451</v>
      </c>
      <c r="C713" s="171" t="s">
        <v>1453</v>
      </c>
      <c r="D713" s="115" t="s">
        <v>1482</v>
      </c>
      <c r="E713" s="116">
        <v>2022.0</v>
      </c>
      <c r="F713" s="114"/>
      <c r="G713" s="116">
        <v>0.0</v>
      </c>
      <c r="H713" s="116">
        <v>3.59</v>
      </c>
      <c r="I713" s="71">
        <v>1.0</v>
      </c>
      <c r="J713" s="116">
        <v>3.59</v>
      </c>
      <c r="K713" s="114"/>
      <c r="L713" s="114"/>
      <c r="M713" s="116">
        <v>2.0</v>
      </c>
      <c r="N713" s="116">
        <v>200.0</v>
      </c>
      <c r="O713" s="114"/>
      <c r="P713" s="73">
        <v>356100.0</v>
      </c>
      <c r="Q713" s="114" t="s">
        <v>1445</v>
      </c>
      <c r="R713" s="115">
        <v>2021.0</v>
      </c>
      <c r="S713" s="85">
        <v>0.0012</v>
      </c>
      <c r="T713" s="118">
        <f t="shared" si="28"/>
        <v>427.32</v>
      </c>
      <c r="U713" s="24">
        <f t="shared" si="2"/>
        <v>119.0306407</v>
      </c>
      <c r="V713" s="26">
        <f>VLOOKUP(R713,CPI!$A$2:$E$67,5,0)</f>
        <v>1.124486105</v>
      </c>
      <c r="W713" s="27">
        <f t="shared" si="3"/>
        <v>480.5154026</v>
      </c>
      <c r="X713" s="27">
        <f t="shared" si="4"/>
        <v>133.8483016</v>
      </c>
      <c r="Y713" s="114"/>
      <c r="Z713" s="119" t="s">
        <v>1481</v>
      </c>
      <c r="AA713" s="114"/>
      <c r="AB713" s="114"/>
      <c r="AC713" s="114"/>
      <c r="AD713" s="114"/>
    </row>
    <row r="714">
      <c r="A714" s="114" t="s">
        <v>1443</v>
      </c>
      <c r="B714" s="114" t="s">
        <v>1451</v>
      </c>
      <c r="C714" s="171" t="s">
        <v>1453</v>
      </c>
      <c r="D714" s="115" t="s">
        <v>1483</v>
      </c>
      <c r="E714" s="116">
        <v>2022.0</v>
      </c>
      <c r="F714" s="114"/>
      <c r="G714" s="116">
        <v>0.0</v>
      </c>
      <c r="H714" s="116">
        <v>2.571</v>
      </c>
      <c r="I714" s="71">
        <v>1.0</v>
      </c>
      <c r="J714" s="116">
        <v>2.571</v>
      </c>
      <c r="K714" s="114"/>
      <c r="L714" s="114"/>
      <c r="M714" s="116">
        <v>1.0</v>
      </c>
      <c r="N714" s="116">
        <v>200.0</v>
      </c>
      <c r="O714" s="114"/>
      <c r="P714" s="73">
        <v>247400.0</v>
      </c>
      <c r="Q714" s="114" t="s">
        <v>1445</v>
      </c>
      <c r="R714" s="115">
        <v>2021.0</v>
      </c>
      <c r="S714" s="85">
        <v>0.0012</v>
      </c>
      <c r="T714" s="118">
        <f t="shared" si="28"/>
        <v>296.88</v>
      </c>
      <c r="U714" s="24">
        <f t="shared" si="2"/>
        <v>115.4725788</v>
      </c>
      <c r="V714" s="26">
        <f>VLOOKUP(R714,CPI!$A$2:$E$67,5,0)</f>
        <v>1.124486105</v>
      </c>
      <c r="W714" s="27">
        <f t="shared" si="3"/>
        <v>333.837435</v>
      </c>
      <c r="X714" s="27">
        <f t="shared" si="4"/>
        <v>129.8473104</v>
      </c>
      <c r="Y714" s="114"/>
      <c r="Z714" s="119" t="s">
        <v>1481</v>
      </c>
      <c r="AA714" s="114"/>
      <c r="AB714" s="114"/>
      <c r="AC714" s="114"/>
      <c r="AD714" s="114"/>
    </row>
    <row r="715">
      <c r="A715" s="114" t="s">
        <v>1443</v>
      </c>
      <c r="B715" s="114" t="s">
        <v>1451</v>
      </c>
      <c r="C715" s="114" t="s">
        <v>1468</v>
      </c>
      <c r="D715" s="114" t="s">
        <v>1468</v>
      </c>
      <c r="E715" s="116">
        <v>2017.0</v>
      </c>
      <c r="F715" s="116">
        <v>2022.0</v>
      </c>
      <c r="G715" s="116">
        <v>0.0</v>
      </c>
      <c r="H715" s="116">
        <v>7.8</v>
      </c>
      <c r="I715" s="71">
        <v>1.0</v>
      </c>
      <c r="J715" s="116">
        <v>7.8</v>
      </c>
      <c r="K715" s="114"/>
      <c r="L715" s="114"/>
      <c r="M715" s="116">
        <v>11.0</v>
      </c>
      <c r="N715" s="116"/>
      <c r="O715" s="114"/>
      <c r="P715" s="73">
        <v>826400.0</v>
      </c>
      <c r="Q715" s="114" t="s">
        <v>1445</v>
      </c>
      <c r="R715" s="115">
        <v>2020.0</v>
      </c>
      <c r="S715" s="85">
        <v>0.001</v>
      </c>
      <c r="T715" s="118">
        <f t="shared" si="28"/>
        <v>826.4</v>
      </c>
      <c r="U715" s="24">
        <f t="shared" si="2"/>
        <v>105.9487179</v>
      </c>
      <c r="V715" s="26">
        <f>VLOOKUP(R715,CPI!$A$2:$E$67,5,0)</f>
        <v>1.17731472</v>
      </c>
      <c r="W715" s="27">
        <f t="shared" si="3"/>
        <v>972.9328846</v>
      </c>
      <c r="X715" s="27">
        <f t="shared" si="4"/>
        <v>124.7349852</v>
      </c>
      <c r="Y715" s="114"/>
      <c r="Z715" s="119" t="s">
        <v>1469</v>
      </c>
      <c r="AB715" s="114"/>
      <c r="AC715" s="114"/>
      <c r="AD715" s="114"/>
    </row>
    <row r="716">
      <c r="A716" s="114" t="s">
        <v>1443</v>
      </c>
      <c r="B716" s="114" t="s">
        <v>1451</v>
      </c>
      <c r="C716" s="114" t="s">
        <v>1456</v>
      </c>
      <c r="D716" s="114" t="s">
        <v>1456</v>
      </c>
      <c r="E716" s="116">
        <v>2009.0</v>
      </c>
      <c r="F716" s="116">
        <v>2017.0</v>
      </c>
      <c r="G716" s="116">
        <v>0.0</v>
      </c>
      <c r="H716" s="116">
        <v>11.4</v>
      </c>
      <c r="I716" s="71">
        <v>1.0</v>
      </c>
      <c r="J716" s="116">
        <v>11.4</v>
      </c>
      <c r="K716" s="114"/>
      <c r="L716" s="114"/>
      <c r="M716" s="116">
        <v>13.0</v>
      </c>
      <c r="N716" s="116"/>
      <c r="O716" s="114"/>
      <c r="P716" s="73">
        <v>911500.0</v>
      </c>
      <c r="Q716" s="114" t="s">
        <v>1445</v>
      </c>
      <c r="R716" s="115">
        <v>2013.0</v>
      </c>
      <c r="S716" s="85">
        <v>0.001</v>
      </c>
      <c r="T716" s="118">
        <f t="shared" si="28"/>
        <v>911.5</v>
      </c>
      <c r="U716" s="24">
        <f t="shared" si="2"/>
        <v>79.95614035</v>
      </c>
      <c r="V716" s="26">
        <f>VLOOKUP(R716,CPI!$A$2:$E$67,5,0)</f>
        <v>1.307975292</v>
      </c>
      <c r="W716" s="27">
        <f t="shared" si="3"/>
        <v>1192.219478</v>
      </c>
      <c r="X716" s="27">
        <f t="shared" si="4"/>
        <v>104.580656</v>
      </c>
      <c r="Y716" s="114"/>
      <c r="Z716" s="119" t="s">
        <v>1457</v>
      </c>
      <c r="AB716" s="114"/>
      <c r="AC716" s="114"/>
      <c r="AD716" s="114"/>
    </row>
    <row r="717">
      <c r="A717" s="114" t="s">
        <v>1443</v>
      </c>
      <c r="B717" s="114" t="s">
        <v>1451</v>
      </c>
      <c r="C717" s="114" t="s">
        <v>1470</v>
      </c>
      <c r="D717" s="114" t="s">
        <v>1470</v>
      </c>
      <c r="E717" s="115">
        <v>2018.0</v>
      </c>
      <c r="F717" s="115">
        <v>2025.0</v>
      </c>
      <c r="G717" s="116">
        <v>1.0</v>
      </c>
      <c r="H717" s="115">
        <v>83.1</v>
      </c>
      <c r="I717" s="114"/>
      <c r="J717" s="114"/>
      <c r="K717" s="114"/>
      <c r="L717" s="114"/>
      <c r="M717" s="114"/>
      <c r="N717" s="116"/>
      <c r="O717" s="114"/>
      <c r="P717" s="73">
        <v>1940000.0</v>
      </c>
      <c r="Q717" s="114" t="s">
        <v>1445</v>
      </c>
      <c r="R717" s="115">
        <v>2021.0</v>
      </c>
      <c r="S717" s="85">
        <v>0.0012</v>
      </c>
      <c r="T717" s="118">
        <f t="shared" si="28"/>
        <v>2328</v>
      </c>
      <c r="U717" s="24">
        <f t="shared" si="2"/>
        <v>28.01444043</v>
      </c>
      <c r="V717" s="26">
        <f>VLOOKUP(R717,CPI!$A$2:$E$67,5,0)</f>
        <v>1.124486105</v>
      </c>
      <c r="W717" s="27">
        <f t="shared" si="3"/>
        <v>2617.803654</v>
      </c>
      <c r="X717" s="27">
        <f t="shared" si="4"/>
        <v>31.50184902</v>
      </c>
      <c r="Y717" s="114"/>
      <c r="Z717" s="119" t="s">
        <v>1471</v>
      </c>
      <c r="AB717" s="114"/>
      <c r="AC717" s="114"/>
      <c r="AD717" s="114"/>
    </row>
    <row r="718">
      <c r="A718" s="114" t="s">
        <v>1443</v>
      </c>
      <c r="B718" s="114" t="s">
        <v>1451</v>
      </c>
      <c r="C718" s="114" t="s">
        <v>1466</v>
      </c>
      <c r="D718" s="114" t="s">
        <v>1466</v>
      </c>
      <c r="E718" s="116">
        <v>2014.0</v>
      </c>
      <c r="F718" s="116">
        <v>2022.0</v>
      </c>
      <c r="G718" s="116">
        <v>0.0</v>
      </c>
      <c r="H718" s="116">
        <v>14.9</v>
      </c>
      <c r="I718" s="71">
        <v>1.0</v>
      </c>
      <c r="J718" s="116">
        <v>14.9</v>
      </c>
      <c r="K718" s="114"/>
      <c r="L718" s="114"/>
      <c r="M718" s="116">
        <v>4.0</v>
      </c>
      <c r="N718" s="116">
        <v>200.0</v>
      </c>
      <c r="O718" s="114"/>
      <c r="P718" s="73">
        <v>1400000.0</v>
      </c>
      <c r="Q718" s="114" t="s">
        <v>1445</v>
      </c>
      <c r="R718" s="115">
        <v>2018.0</v>
      </c>
      <c r="S718" s="85">
        <v>0.001</v>
      </c>
      <c r="T718" s="118">
        <f t="shared" si="28"/>
        <v>1400</v>
      </c>
      <c r="U718" s="24">
        <f t="shared" si="2"/>
        <v>93.95973154</v>
      </c>
      <c r="V718" s="26">
        <f>VLOOKUP(R718,CPI!$A$2:$E$67,5,0)</f>
        <v>1.21343491</v>
      </c>
      <c r="W718" s="27">
        <f t="shared" si="3"/>
        <v>1698.808874</v>
      </c>
      <c r="X718" s="27">
        <f t="shared" si="4"/>
        <v>114.0140184</v>
      </c>
      <c r="Y718" s="114"/>
      <c r="Z718" s="119" t="s">
        <v>1467</v>
      </c>
      <c r="AB718" s="114"/>
      <c r="AC718" s="114"/>
      <c r="AD718" s="114"/>
    </row>
    <row r="719">
      <c r="A719" s="114" t="s">
        <v>1443</v>
      </c>
      <c r="B719" s="114" t="s">
        <v>1451</v>
      </c>
      <c r="C719" s="114" t="s">
        <v>1472</v>
      </c>
      <c r="D719" s="114" t="s">
        <v>1472</v>
      </c>
      <c r="E719" s="116">
        <v>2019.0</v>
      </c>
      <c r="F719" s="116">
        <v>2025.0</v>
      </c>
      <c r="G719" s="116">
        <v>0.0</v>
      </c>
      <c r="H719" s="116">
        <v>44.7</v>
      </c>
      <c r="I719" s="71">
        <v>1.0</v>
      </c>
      <c r="J719" s="116">
        <v>44.7</v>
      </c>
      <c r="K719" s="114"/>
      <c r="L719" s="114"/>
      <c r="M719" s="116">
        <v>15.0</v>
      </c>
      <c r="N719" s="116"/>
      <c r="O719" s="114"/>
      <c r="P719" s="73">
        <v>3300000.0</v>
      </c>
      <c r="Q719" s="114" t="s">
        <v>1445</v>
      </c>
      <c r="R719" s="115">
        <v>2021.0</v>
      </c>
      <c r="S719" s="85">
        <v>0.0012</v>
      </c>
      <c r="T719" s="118">
        <f t="shared" si="28"/>
        <v>3960</v>
      </c>
      <c r="U719" s="24">
        <f t="shared" si="2"/>
        <v>88.59060403</v>
      </c>
      <c r="V719" s="26">
        <f>VLOOKUP(R719,CPI!$A$2:$E$67,5,0)</f>
        <v>1.124486105</v>
      </c>
      <c r="W719" s="27">
        <f t="shared" si="3"/>
        <v>4452.964978</v>
      </c>
      <c r="X719" s="27">
        <f t="shared" si="4"/>
        <v>99.6189033</v>
      </c>
      <c r="Y719" s="114"/>
      <c r="Z719" s="119" t="s">
        <v>1473</v>
      </c>
      <c r="AB719" s="114"/>
      <c r="AC719" s="114"/>
      <c r="AD719" s="114"/>
    </row>
    <row r="720">
      <c r="A720" s="114" t="s">
        <v>1443</v>
      </c>
      <c r="B720" s="114" t="s">
        <v>1451</v>
      </c>
      <c r="C720" s="114" t="s">
        <v>1462</v>
      </c>
      <c r="D720" s="114" t="s">
        <v>1462</v>
      </c>
      <c r="E720" s="116">
        <v>2014.0</v>
      </c>
      <c r="F720" s="116">
        <v>2020.0</v>
      </c>
      <c r="G720" s="116">
        <v>0.0</v>
      </c>
      <c r="H720" s="116">
        <v>7.7</v>
      </c>
      <c r="I720" s="71">
        <v>1.0</v>
      </c>
      <c r="J720" s="116">
        <v>7.7</v>
      </c>
      <c r="K720" s="114"/>
      <c r="L720" s="114"/>
      <c r="M720" s="116">
        <v>5.0</v>
      </c>
      <c r="N720" s="116">
        <v>160.0</v>
      </c>
      <c r="O720" s="114"/>
      <c r="P720" s="73">
        <v>981000.0</v>
      </c>
      <c r="Q720" s="114" t="s">
        <v>1445</v>
      </c>
      <c r="R720" s="115">
        <v>2017.0</v>
      </c>
      <c r="S720" s="85">
        <v>0.001</v>
      </c>
      <c r="T720" s="118">
        <f t="shared" si="28"/>
        <v>981</v>
      </c>
      <c r="U720" s="24">
        <f t="shared" si="2"/>
        <v>127.4025974</v>
      </c>
      <c r="V720" s="26">
        <f>VLOOKUP(R720,CPI!$A$2:$E$67,5,0)</f>
        <v>1.243072781</v>
      </c>
      <c r="W720" s="27">
        <f t="shared" si="3"/>
        <v>1219.454398</v>
      </c>
      <c r="X720" s="27">
        <f t="shared" si="4"/>
        <v>158.370701</v>
      </c>
      <c r="Y720" s="114"/>
      <c r="Z720" s="119" t="s">
        <v>1463</v>
      </c>
      <c r="AB720" s="114"/>
      <c r="AC720" s="114"/>
      <c r="AD720" s="114"/>
    </row>
    <row r="721">
      <c r="A721" s="114" t="s">
        <v>1443</v>
      </c>
      <c r="B721" s="114" t="s">
        <v>1451</v>
      </c>
      <c r="C721" s="171" t="s">
        <v>228</v>
      </c>
      <c r="D721" s="114" t="s">
        <v>1478</v>
      </c>
      <c r="E721" s="116">
        <v>2022.0</v>
      </c>
      <c r="F721" s="114"/>
      <c r="G721" s="116">
        <v>0.0</v>
      </c>
      <c r="H721" s="116">
        <v>10.7</v>
      </c>
      <c r="I721" s="114"/>
      <c r="J721" s="114"/>
      <c r="K721" s="114"/>
      <c r="L721" s="114"/>
      <c r="M721" s="116">
        <v>7.0</v>
      </c>
      <c r="N721" s="116">
        <v>160.0</v>
      </c>
      <c r="O721" s="114"/>
      <c r="P721" s="73">
        <v>1573900.0</v>
      </c>
      <c r="Q721" s="114" t="s">
        <v>1445</v>
      </c>
      <c r="R721" s="115">
        <v>2021.0</v>
      </c>
      <c r="S721" s="85">
        <v>0.0012</v>
      </c>
      <c r="T721" s="118">
        <f t="shared" si="28"/>
        <v>1888.68</v>
      </c>
      <c r="U721" s="24">
        <f t="shared" si="2"/>
        <v>176.5121495</v>
      </c>
      <c r="V721" s="26">
        <f>VLOOKUP(R721,CPI!$A$2:$E$67,5,0)</f>
        <v>1.124486105</v>
      </c>
      <c r="W721" s="27">
        <f t="shared" si="3"/>
        <v>2123.794418</v>
      </c>
      <c r="X721" s="27">
        <f t="shared" si="4"/>
        <v>198.4854596</v>
      </c>
      <c r="Y721" s="114"/>
      <c r="Z721" s="119" t="s">
        <v>1479</v>
      </c>
      <c r="AB721" s="114"/>
      <c r="AC721" s="114"/>
      <c r="AD721" s="114"/>
    </row>
    <row r="722">
      <c r="A722" s="114" t="s">
        <v>1443</v>
      </c>
      <c r="B722" s="114" t="s">
        <v>1451</v>
      </c>
      <c r="C722" s="171" t="s">
        <v>253</v>
      </c>
      <c r="D722" s="114" t="s">
        <v>1476</v>
      </c>
      <c r="E722" s="116">
        <v>2021.0</v>
      </c>
      <c r="F722" s="116">
        <v>2028.0</v>
      </c>
      <c r="G722" s="116">
        <v>0.0</v>
      </c>
      <c r="H722" s="116">
        <v>4.1</v>
      </c>
      <c r="I722" s="71">
        <v>1.0</v>
      </c>
      <c r="J722" s="116">
        <v>4.1</v>
      </c>
      <c r="K722" s="114"/>
      <c r="L722" s="114"/>
      <c r="M722" s="116">
        <v>4.0</v>
      </c>
      <c r="N722" s="116">
        <v>160.0</v>
      </c>
      <c r="O722" s="114"/>
      <c r="P722" s="73">
        <v>640800.0</v>
      </c>
      <c r="Q722" s="114" t="s">
        <v>1445</v>
      </c>
      <c r="R722" s="115">
        <v>2021.0</v>
      </c>
      <c r="S722" s="85">
        <v>0.0012</v>
      </c>
      <c r="T722" s="118">
        <f t="shared" si="28"/>
        <v>768.96</v>
      </c>
      <c r="U722" s="24">
        <f t="shared" si="2"/>
        <v>187.5512195</v>
      </c>
      <c r="V722" s="26">
        <f>VLOOKUP(R722,CPI!$A$2:$E$67,5,0)</f>
        <v>1.124486105</v>
      </c>
      <c r="W722" s="27">
        <f t="shared" si="3"/>
        <v>864.6848357</v>
      </c>
      <c r="X722" s="27">
        <f t="shared" si="4"/>
        <v>210.8987404</v>
      </c>
      <c r="Y722" s="114"/>
      <c r="Z722" s="119" t="s">
        <v>1477</v>
      </c>
      <c r="AB722" s="114"/>
      <c r="AC722" s="114"/>
      <c r="AD722" s="114"/>
    </row>
    <row r="723">
      <c r="A723" s="114" t="s">
        <v>230</v>
      </c>
      <c r="B723" s="114" t="s">
        <v>755</v>
      </c>
      <c r="C723" s="114" t="s">
        <v>57</v>
      </c>
      <c r="D723" s="114" t="s">
        <v>57</v>
      </c>
      <c r="E723" s="116">
        <v>2016.0</v>
      </c>
      <c r="F723" s="116">
        <v>2021.0</v>
      </c>
      <c r="G723" s="116">
        <v>0.0</v>
      </c>
      <c r="H723" s="116">
        <v>31.3</v>
      </c>
      <c r="I723" s="117">
        <v>1.0</v>
      </c>
      <c r="J723" s="116">
        <v>31.3</v>
      </c>
      <c r="K723" s="114"/>
      <c r="L723" s="114"/>
      <c r="M723" s="116">
        <v>23.0</v>
      </c>
      <c r="N723" s="116">
        <v>117.0</v>
      </c>
      <c r="O723" s="114"/>
      <c r="P723" s="140">
        <v>23873.0</v>
      </c>
      <c r="Q723" s="114" t="s">
        <v>234</v>
      </c>
      <c r="R723" s="115">
        <v>2019.0</v>
      </c>
      <c r="S723" s="136">
        <v>0.238</v>
      </c>
      <c r="T723" s="118">
        <f t="shared" si="28"/>
        <v>5681.774</v>
      </c>
      <c r="U723" s="24">
        <f t="shared" si="2"/>
        <v>181.5263259</v>
      </c>
      <c r="V723" s="26">
        <f>VLOOKUP(R723,CPI!$A$2:$E$67,5,0)</f>
        <v>1.191839066</v>
      </c>
      <c r="W723" s="27">
        <f t="shared" si="3"/>
        <v>6771.760215</v>
      </c>
      <c r="X723" s="27">
        <f t="shared" si="4"/>
        <v>216.3501666</v>
      </c>
      <c r="Y723" s="114"/>
      <c r="Z723" s="119" t="s">
        <v>759</v>
      </c>
      <c r="AA723" s="114"/>
      <c r="AB723" s="114"/>
      <c r="AC723" s="114"/>
      <c r="AD723" s="114"/>
    </row>
    <row r="724">
      <c r="A724" s="114" t="s">
        <v>230</v>
      </c>
      <c r="B724" s="114" t="s">
        <v>755</v>
      </c>
      <c r="C724" s="114" t="s">
        <v>54</v>
      </c>
      <c r="D724" s="114" t="s">
        <v>54</v>
      </c>
      <c r="E724" s="116">
        <v>2022.0</v>
      </c>
      <c r="F724" s="114"/>
      <c r="G724" s="116">
        <v>0.0</v>
      </c>
      <c r="H724" s="116">
        <v>10.8</v>
      </c>
      <c r="I724" s="117">
        <v>1.0</v>
      </c>
      <c r="J724" s="116">
        <v>10.8</v>
      </c>
      <c r="K724" s="114"/>
      <c r="L724" s="114"/>
      <c r="M724" s="116">
        <v>9.0</v>
      </c>
      <c r="N724" s="116">
        <v>117.0</v>
      </c>
      <c r="O724" s="114"/>
      <c r="P724" s="140">
        <v>10130.0</v>
      </c>
      <c r="Q724" s="114" t="s">
        <v>234</v>
      </c>
      <c r="R724" s="115">
        <v>2021.0</v>
      </c>
      <c r="S724" s="136">
        <v>0.239000000000001</v>
      </c>
      <c r="T724" s="118">
        <f t="shared" si="28"/>
        <v>2421.07</v>
      </c>
      <c r="U724" s="24">
        <f t="shared" si="2"/>
        <v>224.1731481</v>
      </c>
      <c r="V724" s="26">
        <f>VLOOKUP(R724,CPI!$A$2:$E$67,5,0)</f>
        <v>1.124486105</v>
      </c>
      <c r="W724" s="27">
        <f t="shared" si="3"/>
        <v>2722.459575</v>
      </c>
      <c r="X724" s="27">
        <f t="shared" si="4"/>
        <v>252.0795903</v>
      </c>
      <c r="Y724" s="114"/>
      <c r="Z724" s="119" t="s">
        <v>760</v>
      </c>
      <c r="AA724" s="114"/>
      <c r="AB724" s="114"/>
      <c r="AC724" s="114"/>
      <c r="AD724" s="114"/>
    </row>
    <row r="725">
      <c r="A725" s="114" t="s">
        <v>230</v>
      </c>
      <c r="B725" s="114" t="s">
        <v>761</v>
      </c>
      <c r="C725" s="115" t="s">
        <v>110</v>
      </c>
      <c r="D725" s="115" t="s">
        <v>332</v>
      </c>
      <c r="E725" s="114"/>
      <c r="F725" s="116">
        <v>2022.0</v>
      </c>
      <c r="G725" s="116">
        <v>0.0</v>
      </c>
      <c r="H725" s="116">
        <v>34.2</v>
      </c>
      <c r="I725" s="117">
        <v>1.0</v>
      </c>
      <c r="J725" s="116">
        <v>34.2</v>
      </c>
      <c r="K725" s="114"/>
      <c r="L725" s="114"/>
      <c r="M725" s="116">
        <v>23.0</v>
      </c>
      <c r="N725" s="116">
        <v>117.0</v>
      </c>
      <c r="O725" s="114"/>
      <c r="P725" s="140">
        <v>16632.0</v>
      </c>
      <c r="Q725" s="114" t="s">
        <v>234</v>
      </c>
      <c r="R725" s="115">
        <v>2021.0</v>
      </c>
      <c r="S725" s="136">
        <v>0.239000000000001</v>
      </c>
      <c r="T725" s="118">
        <f t="shared" si="28"/>
        <v>3975.048</v>
      </c>
      <c r="U725" s="24">
        <f t="shared" si="2"/>
        <v>116.2294737</v>
      </c>
      <c r="V725" s="26">
        <f>VLOOKUP(R725,CPI!$A$2:$E$67,5,0)</f>
        <v>1.124486105</v>
      </c>
      <c r="W725" s="27">
        <f t="shared" si="3"/>
        <v>4469.886245</v>
      </c>
      <c r="X725" s="27">
        <f t="shared" si="4"/>
        <v>130.6984282</v>
      </c>
      <c r="Y725" s="114"/>
      <c r="Z725" s="119" t="s">
        <v>763</v>
      </c>
      <c r="AA725" s="119" t="s">
        <v>764</v>
      </c>
    </row>
    <row r="726">
      <c r="A726" s="114" t="s">
        <v>230</v>
      </c>
      <c r="B726" s="114" t="s">
        <v>806</v>
      </c>
      <c r="C726" s="115" t="s">
        <v>57</v>
      </c>
      <c r="D726" s="115" t="s">
        <v>410</v>
      </c>
      <c r="E726" s="116">
        <v>2012.0</v>
      </c>
      <c r="F726" s="116">
        <v>2021.0</v>
      </c>
      <c r="G726" s="116">
        <v>0.0</v>
      </c>
      <c r="H726" s="116">
        <v>12.7</v>
      </c>
      <c r="I726" s="117">
        <v>1.0</v>
      </c>
      <c r="J726" s="116">
        <v>12.7</v>
      </c>
      <c r="K726" s="114"/>
      <c r="L726" s="114"/>
      <c r="M726" s="116">
        <v>7.0</v>
      </c>
      <c r="N726" s="116">
        <v>138.0</v>
      </c>
      <c r="O726" s="114"/>
      <c r="P726" s="140">
        <v>7731.0</v>
      </c>
      <c r="Q726" s="114" t="s">
        <v>234</v>
      </c>
      <c r="R726" s="115">
        <v>2016.0</v>
      </c>
      <c r="S726" s="85">
        <v>0.251</v>
      </c>
      <c r="T726" s="118">
        <f t="shared" si="28"/>
        <v>1940.481</v>
      </c>
      <c r="U726" s="24">
        <f t="shared" si="2"/>
        <v>152.7937795</v>
      </c>
      <c r="V726" s="26">
        <f>VLOOKUP(R726,CPI!$A$2:$E$67,5,0)</f>
        <v>1.269554638</v>
      </c>
      <c r="W726" s="27">
        <f t="shared" si="3"/>
        <v>2463.546653</v>
      </c>
      <c r="X726" s="27">
        <f t="shared" si="4"/>
        <v>193.9800515</v>
      </c>
      <c r="Y726" s="114"/>
      <c r="Z726" s="119" t="s">
        <v>808</v>
      </c>
      <c r="AA726" s="119" t="s">
        <v>809</v>
      </c>
    </row>
    <row r="727">
      <c r="A727" s="114" t="s">
        <v>230</v>
      </c>
      <c r="B727" s="114" t="s">
        <v>806</v>
      </c>
      <c r="C727" s="115" t="s">
        <v>87</v>
      </c>
      <c r="D727" s="115" t="s">
        <v>357</v>
      </c>
      <c r="E727" s="116">
        <v>2012.0</v>
      </c>
      <c r="F727" s="116">
        <v>2021.0</v>
      </c>
      <c r="G727" s="116">
        <v>0.0</v>
      </c>
      <c r="H727" s="116">
        <v>8.1</v>
      </c>
      <c r="I727" s="117">
        <v>1.0</v>
      </c>
      <c r="J727" s="116">
        <v>8.1</v>
      </c>
      <c r="K727" s="114"/>
      <c r="L727" s="114"/>
      <c r="M727" s="116">
        <v>5.0</v>
      </c>
      <c r="N727" s="116">
        <v>138.0</v>
      </c>
      <c r="O727" s="114"/>
      <c r="P727" s="140">
        <v>5465.0</v>
      </c>
      <c r="Q727" s="114" t="s">
        <v>234</v>
      </c>
      <c r="R727" s="115">
        <v>2016.0</v>
      </c>
      <c r="S727" s="85">
        <v>0.251</v>
      </c>
      <c r="T727" s="118">
        <f t="shared" si="28"/>
        <v>1371.715</v>
      </c>
      <c r="U727" s="24">
        <f t="shared" si="2"/>
        <v>169.3475309</v>
      </c>
      <c r="V727" s="26">
        <f>VLOOKUP(R727,CPI!$A$2:$E$67,5,0)</f>
        <v>1.269554638</v>
      </c>
      <c r="W727" s="27">
        <f t="shared" si="3"/>
        <v>1741.46714</v>
      </c>
      <c r="X727" s="27">
        <f t="shared" si="4"/>
        <v>214.9959432</v>
      </c>
      <c r="Y727" s="114"/>
      <c r="Z727" s="119" t="s">
        <v>810</v>
      </c>
      <c r="AA727" s="119" t="s">
        <v>809</v>
      </c>
    </row>
    <row r="728">
      <c r="A728" s="114" t="s">
        <v>230</v>
      </c>
      <c r="B728" s="114" t="s">
        <v>806</v>
      </c>
      <c r="C728" s="114" t="s">
        <v>324</v>
      </c>
      <c r="D728" s="114" t="s">
        <v>324</v>
      </c>
      <c r="E728" s="116">
        <v>2012.0</v>
      </c>
      <c r="F728" s="116">
        <v>2020.0</v>
      </c>
      <c r="G728" s="116">
        <v>0.0</v>
      </c>
      <c r="H728" s="116">
        <v>59.6</v>
      </c>
      <c r="I728" s="117">
        <v>1.0</v>
      </c>
      <c r="J728" s="116">
        <v>59.6</v>
      </c>
      <c r="K728" s="114"/>
      <c r="L728" s="114"/>
      <c r="M728" s="116">
        <v>52.0</v>
      </c>
      <c r="N728" s="116">
        <v>138.0</v>
      </c>
      <c r="O728" s="114"/>
      <c r="P728" s="140">
        <v>42190.0</v>
      </c>
      <c r="Q728" s="114" t="s">
        <v>234</v>
      </c>
      <c r="R728" s="115">
        <v>2016.0</v>
      </c>
      <c r="S728" s="85">
        <v>0.251</v>
      </c>
      <c r="T728" s="118">
        <f t="shared" si="28"/>
        <v>10589.69</v>
      </c>
      <c r="U728" s="24">
        <f t="shared" si="2"/>
        <v>177.6793624</v>
      </c>
      <c r="V728" s="26">
        <f>VLOOKUP(R728,CPI!$A$2:$E$67,5,0)</f>
        <v>1.269554638</v>
      </c>
      <c r="W728" s="27">
        <f t="shared" si="3"/>
        <v>13444.19005</v>
      </c>
      <c r="X728" s="27">
        <f t="shared" si="4"/>
        <v>225.5736586</v>
      </c>
      <c r="Y728" s="114"/>
      <c r="Z728" s="119" t="s">
        <v>807</v>
      </c>
      <c r="AA728" s="114"/>
      <c r="AB728" s="114"/>
      <c r="AC728" s="114"/>
      <c r="AD728" s="114"/>
    </row>
    <row r="729">
      <c r="A729" s="114" t="s">
        <v>230</v>
      </c>
      <c r="B729" s="114" t="s">
        <v>820</v>
      </c>
      <c r="C729" s="114" t="s">
        <v>823</v>
      </c>
      <c r="D729" s="114" t="s">
        <v>823</v>
      </c>
      <c r="E729" s="116">
        <v>2019.0</v>
      </c>
      <c r="F729" s="114"/>
      <c r="G729" s="116">
        <v>0.0</v>
      </c>
      <c r="H729" s="116">
        <v>19.86</v>
      </c>
      <c r="I729" s="117">
        <v>0.05</v>
      </c>
      <c r="J729" s="116">
        <v>0.991</v>
      </c>
      <c r="K729" s="114"/>
      <c r="L729" s="114"/>
      <c r="M729" s="116">
        <v>12.0</v>
      </c>
      <c r="N729" s="116">
        <v>78.0</v>
      </c>
      <c r="O729" s="114"/>
      <c r="P729" s="140">
        <v>8703.0</v>
      </c>
      <c r="Q729" s="114" t="s">
        <v>234</v>
      </c>
      <c r="R729" s="115">
        <v>2019.0</v>
      </c>
      <c r="S729" s="136">
        <v>0.238</v>
      </c>
      <c r="T729" s="118">
        <f t="shared" si="28"/>
        <v>2071.314</v>
      </c>
      <c r="U729" s="24">
        <f t="shared" si="2"/>
        <v>104.2957704</v>
      </c>
      <c r="V729" s="26">
        <f>VLOOKUP(R729,CPI!$A$2:$E$67,5,0)</f>
        <v>1.191839066</v>
      </c>
      <c r="W729" s="27">
        <f t="shared" si="3"/>
        <v>2468.672942</v>
      </c>
      <c r="X729" s="27">
        <f t="shared" si="4"/>
        <v>124.3037735</v>
      </c>
      <c r="Y729" s="114"/>
      <c r="Z729" s="119" t="s">
        <v>824</v>
      </c>
      <c r="AA729" s="114"/>
      <c r="AB729" s="114"/>
      <c r="AC729" s="114"/>
      <c r="AD729" s="114"/>
    </row>
    <row r="730">
      <c r="A730" s="114" t="s">
        <v>230</v>
      </c>
      <c r="B730" s="114" t="s">
        <v>820</v>
      </c>
      <c r="C730" s="114" t="s">
        <v>87</v>
      </c>
      <c r="D730" s="114" t="s">
        <v>87</v>
      </c>
      <c r="E730" s="116">
        <v>2018.0</v>
      </c>
      <c r="F730" s="114"/>
      <c r="G730" s="116">
        <v>0.0</v>
      </c>
      <c r="H730" s="116">
        <v>30.523</v>
      </c>
      <c r="I730" s="117">
        <v>1.0</v>
      </c>
      <c r="J730" s="116">
        <v>30.523</v>
      </c>
      <c r="K730" s="114"/>
      <c r="L730" s="114"/>
      <c r="M730" s="116">
        <v>25.0</v>
      </c>
      <c r="N730" s="116">
        <v>138.0</v>
      </c>
      <c r="O730" s="114"/>
      <c r="P730" s="140">
        <v>24300.0</v>
      </c>
      <c r="Q730" s="114" t="s">
        <v>234</v>
      </c>
      <c r="R730" s="115">
        <v>2018.0</v>
      </c>
      <c r="S730" s="85">
        <v>0.237</v>
      </c>
      <c r="T730" s="118">
        <f t="shared" si="28"/>
        <v>5759.1</v>
      </c>
      <c r="U730" s="24">
        <f t="shared" si="2"/>
        <v>188.680667</v>
      </c>
      <c r="V730" s="26">
        <f>VLOOKUP(R730,CPI!$A$2:$E$67,5,0)</f>
        <v>1.21343491</v>
      </c>
      <c r="W730" s="27">
        <f t="shared" si="3"/>
        <v>6988.292991</v>
      </c>
      <c r="X730" s="27">
        <f t="shared" si="4"/>
        <v>228.9517083</v>
      </c>
      <c r="Y730" s="114"/>
      <c r="Z730" s="119" t="s">
        <v>822</v>
      </c>
      <c r="AA730" s="114"/>
      <c r="AB730" s="114"/>
      <c r="AC730" s="114"/>
      <c r="AD730" s="114"/>
    </row>
    <row r="731">
      <c r="A731" s="114" t="s">
        <v>230</v>
      </c>
      <c r="B731" s="114" t="s">
        <v>826</v>
      </c>
      <c r="C731" s="36" t="s">
        <v>827</v>
      </c>
      <c r="D731" s="114" t="s">
        <v>828</v>
      </c>
      <c r="E731" s="116">
        <v>2021.0</v>
      </c>
      <c r="F731" s="114"/>
      <c r="G731" s="116">
        <v>0.0</v>
      </c>
      <c r="H731" s="116">
        <v>6.0</v>
      </c>
      <c r="I731" s="117">
        <v>0.0</v>
      </c>
      <c r="J731" s="116">
        <v>0.0</v>
      </c>
      <c r="K731" s="114"/>
      <c r="L731" s="114"/>
      <c r="M731" s="116">
        <v>1.0</v>
      </c>
      <c r="N731" s="116">
        <v>92.0</v>
      </c>
      <c r="O731" s="114"/>
      <c r="P731" s="140">
        <v>1879.0</v>
      </c>
      <c r="Q731" s="114" t="s">
        <v>234</v>
      </c>
      <c r="R731" s="115">
        <v>2021.0</v>
      </c>
      <c r="S731" s="136">
        <v>0.239000000000001</v>
      </c>
      <c r="T731" s="118">
        <f t="shared" si="28"/>
        <v>449.081</v>
      </c>
      <c r="U731" s="24">
        <f t="shared" si="2"/>
        <v>74.84683333</v>
      </c>
      <c r="V731" s="26">
        <f>VLOOKUP(R731,CPI!$A$2:$E$67,5,0)</f>
        <v>1.124486105</v>
      </c>
      <c r="W731" s="27">
        <f t="shared" si="3"/>
        <v>504.9853447</v>
      </c>
      <c r="X731" s="27">
        <f t="shared" si="4"/>
        <v>84.16422412</v>
      </c>
      <c r="Y731" s="114"/>
      <c r="Z731" s="119" t="s">
        <v>829</v>
      </c>
      <c r="AA731" s="114"/>
      <c r="AB731" s="114"/>
      <c r="AC731" s="114"/>
      <c r="AD731" s="114"/>
    </row>
    <row r="732">
      <c r="A732" s="114" t="s">
        <v>230</v>
      </c>
      <c r="B732" s="114" t="s">
        <v>826</v>
      </c>
      <c r="C732" s="36" t="s">
        <v>827</v>
      </c>
      <c r="D732" s="114" t="s">
        <v>830</v>
      </c>
      <c r="E732" s="116">
        <v>2021.0</v>
      </c>
      <c r="F732" s="114"/>
      <c r="G732" s="116">
        <v>0.0</v>
      </c>
      <c r="H732" s="116">
        <v>11.75</v>
      </c>
      <c r="I732" s="117">
        <v>0.0</v>
      </c>
      <c r="J732" s="116">
        <v>0.0</v>
      </c>
      <c r="K732" s="114"/>
      <c r="L732" s="114"/>
      <c r="M732" s="116">
        <v>3.0</v>
      </c>
      <c r="N732" s="116">
        <v>92.0</v>
      </c>
      <c r="O732" s="114"/>
      <c r="P732" s="140">
        <v>3996.0</v>
      </c>
      <c r="Q732" s="114" t="s">
        <v>234</v>
      </c>
      <c r="R732" s="115">
        <v>2021.0</v>
      </c>
      <c r="S732" s="136">
        <v>0.239000000000001</v>
      </c>
      <c r="T732" s="118">
        <f t="shared" si="28"/>
        <v>955.044</v>
      </c>
      <c r="U732" s="24">
        <f t="shared" si="2"/>
        <v>81.28034043</v>
      </c>
      <c r="V732" s="26">
        <f>VLOOKUP(R732,CPI!$A$2:$E$67,5,0)</f>
        <v>1.124486105</v>
      </c>
      <c r="W732" s="27">
        <f t="shared" si="3"/>
        <v>1073.933708</v>
      </c>
      <c r="X732" s="27">
        <f t="shared" si="4"/>
        <v>91.39861346</v>
      </c>
      <c r="Y732" s="114"/>
      <c r="Z732" s="119" t="s">
        <v>829</v>
      </c>
      <c r="AA732" s="114"/>
      <c r="AB732" s="114"/>
      <c r="AC732" s="114"/>
      <c r="AD732" s="114"/>
    </row>
    <row r="733">
      <c r="A733" s="114" t="s">
        <v>230</v>
      </c>
      <c r="B733" s="114" t="s">
        <v>826</v>
      </c>
      <c r="C733" s="36" t="s">
        <v>827</v>
      </c>
      <c r="D733" s="114" t="s">
        <v>827</v>
      </c>
      <c r="E733" s="116">
        <v>2021.0</v>
      </c>
      <c r="F733" s="114"/>
      <c r="G733" s="116">
        <v>0.0</v>
      </c>
      <c r="H733" s="116">
        <v>66.3</v>
      </c>
      <c r="I733" s="117">
        <v>0.28</v>
      </c>
      <c r="J733" s="116">
        <v>18.65</v>
      </c>
      <c r="K733" s="114"/>
      <c r="L733" s="114"/>
      <c r="M733" s="116">
        <v>22.0</v>
      </c>
      <c r="N733" s="116">
        <v>92.0</v>
      </c>
      <c r="O733" s="114"/>
      <c r="P733" s="140">
        <v>30800.0</v>
      </c>
      <c r="Q733" s="114" t="s">
        <v>234</v>
      </c>
      <c r="R733" s="115">
        <v>2021.0</v>
      </c>
      <c r="S733" s="136">
        <v>0.239000000000001</v>
      </c>
      <c r="T733" s="118">
        <f t="shared" si="28"/>
        <v>7361.2</v>
      </c>
      <c r="U733" s="24">
        <f t="shared" si="2"/>
        <v>111.0286576</v>
      </c>
      <c r="V733" s="26">
        <f>VLOOKUP(R733,CPI!$A$2:$E$67,5,0)</f>
        <v>1.124486105</v>
      </c>
      <c r="W733" s="27">
        <f t="shared" si="3"/>
        <v>8277.56712</v>
      </c>
      <c r="X733" s="27">
        <f t="shared" si="4"/>
        <v>124.8501828</v>
      </c>
      <c r="Y733" s="114"/>
      <c r="Z733" s="119" t="s">
        <v>831</v>
      </c>
      <c r="AB733" s="114"/>
      <c r="AC733" s="114"/>
      <c r="AD733" s="114"/>
    </row>
    <row r="734">
      <c r="A734" s="114" t="s">
        <v>230</v>
      </c>
      <c r="B734" s="114" t="s">
        <v>826</v>
      </c>
      <c r="C734" s="114" t="s">
        <v>819</v>
      </c>
      <c r="D734" s="114" t="s">
        <v>819</v>
      </c>
      <c r="E734" s="116">
        <v>2022.0</v>
      </c>
      <c r="F734" s="114"/>
      <c r="G734" s="116">
        <v>1.0</v>
      </c>
      <c r="H734" s="116">
        <v>52.4</v>
      </c>
      <c r="I734" s="117">
        <v>0.34</v>
      </c>
      <c r="J734" s="116">
        <v>17.8</v>
      </c>
      <c r="K734" s="114"/>
      <c r="L734" s="114"/>
      <c r="M734" s="116">
        <v>15.0</v>
      </c>
      <c r="N734" s="116">
        <v>92.0</v>
      </c>
      <c r="O734" s="114"/>
      <c r="P734" s="140">
        <v>21237.0</v>
      </c>
      <c r="Q734" s="114" t="s">
        <v>234</v>
      </c>
      <c r="R734" s="115">
        <v>2021.0</v>
      </c>
      <c r="S734" s="136">
        <v>0.239000000000001</v>
      </c>
      <c r="T734" s="118">
        <f t="shared" si="28"/>
        <v>5075.643</v>
      </c>
      <c r="U734" s="24">
        <f t="shared" si="2"/>
        <v>96.86341603</v>
      </c>
      <c r="V734" s="26">
        <f>VLOOKUP(R734,CPI!$A$2:$E$67,5,0)</f>
        <v>1.124486105</v>
      </c>
      <c r="W734" s="27">
        <f t="shared" si="3"/>
        <v>5707.49003</v>
      </c>
      <c r="X734" s="27">
        <f t="shared" si="4"/>
        <v>108.9215655</v>
      </c>
      <c r="Y734" s="114"/>
      <c r="Z734" s="119" t="s">
        <v>832</v>
      </c>
      <c r="AA734" s="225" t="s">
        <v>833</v>
      </c>
      <c r="AB734" s="321"/>
      <c r="AC734" s="114"/>
      <c r="AD734" s="114"/>
    </row>
    <row r="735">
      <c r="A735" s="114" t="s">
        <v>230</v>
      </c>
      <c r="B735" s="114" t="s">
        <v>942</v>
      </c>
      <c r="C735" s="114" t="s">
        <v>945</v>
      </c>
      <c r="D735" s="114" t="s">
        <v>945</v>
      </c>
      <c r="E735" s="116">
        <v>2013.0</v>
      </c>
      <c r="F735" s="116">
        <v>2020.0</v>
      </c>
      <c r="G735" s="116">
        <v>0.0</v>
      </c>
      <c r="H735" s="116">
        <v>67.0</v>
      </c>
      <c r="I735" s="117">
        <v>0.9</v>
      </c>
      <c r="J735" s="116">
        <v>60.6</v>
      </c>
      <c r="K735" s="114"/>
      <c r="L735" s="114"/>
      <c r="M735" s="114"/>
      <c r="N735" s="116">
        <v>117.0</v>
      </c>
      <c r="O735" s="114" t="s">
        <v>42</v>
      </c>
      <c r="P735" s="140">
        <v>44328.0</v>
      </c>
      <c r="Q735" s="114" t="s">
        <v>234</v>
      </c>
      <c r="R735" s="115">
        <v>2017.0</v>
      </c>
      <c r="S735" s="85">
        <v>0.239</v>
      </c>
      <c r="T735" s="118">
        <f t="shared" si="28"/>
        <v>10594.392</v>
      </c>
      <c r="U735" s="24">
        <f t="shared" si="2"/>
        <v>158.1252537</v>
      </c>
      <c r="V735" s="26">
        <f>VLOOKUP(R735,CPI!$A$2:$E$67,5,0)</f>
        <v>1.243072781</v>
      </c>
      <c r="W735" s="27">
        <f t="shared" si="3"/>
        <v>13169.60032</v>
      </c>
      <c r="X735" s="27">
        <f t="shared" si="4"/>
        <v>196.5611989</v>
      </c>
      <c r="Y735" s="114" t="s">
        <v>42</v>
      </c>
      <c r="Z735" s="119" t="s">
        <v>946</v>
      </c>
      <c r="AA735" s="119" t="s">
        <v>947</v>
      </c>
    </row>
    <row r="736">
      <c r="A736" s="114" t="s">
        <v>230</v>
      </c>
      <c r="B736" s="114" t="s">
        <v>942</v>
      </c>
      <c r="C736" s="114" t="s">
        <v>57</v>
      </c>
      <c r="D736" s="114" t="s">
        <v>57</v>
      </c>
      <c r="E736" s="116">
        <v>2014.0</v>
      </c>
      <c r="F736" s="116">
        <v>2019.0</v>
      </c>
      <c r="G736" s="116">
        <v>0.0</v>
      </c>
      <c r="H736" s="116">
        <v>21.967</v>
      </c>
      <c r="I736" s="117">
        <v>0.96</v>
      </c>
      <c r="J736" s="116">
        <v>20.996</v>
      </c>
      <c r="K736" s="114"/>
      <c r="L736" s="114"/>
      <c r="M736" s="116">
        <v>18.0</v>
      </c>
      <c r="N736" s="116">
        <v>117.0</v>
      </c>
      <c r="O736" s="114" t="s">
        <v>42</v>
      </c>
      <c r="P736" s="140">
        <v>16278.0</v>
      </c>
      <c r="Q736" s="114" t="s">
        <v>234</v>
      </c>
      <c r="R736" s="115">
        <v>2017.0</v>
      </c>
      <c r="S736" s="85">
        <v>0.239</v>
      </c>
      <c r="T736" s="118">
        <f t="shared" si="28"/>
        <v>3890.442</v>
      </c>
      <c r="U736" s="24">
        <f t="shared" si="2"/>
        <v>177.1039286</v>
      </c>
      <c r="V736" s="26">
        <f>VLOOKUP(R736,CPI!$A$2:$E$67,5,0)</f>
        <v>1.243072781</v>
      </c>
      <c r="W736" s="27">
        <f t="shared" si="3"/>
        <v>4836.102555</v>
      </c>
      <c r="X736" s="27">
        <f t="shared" si="4"/>
        <v>220.153073</v>
      </c>
      <c r="Y736" s="114" t="s">
        <v>36</v>
      </c>
      <c r="Z736" s="119" t="s">
        <v>943</v>
      </c>
      <c r="AA736" s="119" t="s">
        <v>944</v>
      </c>
    </row>
    <row r="737">
      <c r="A737" s="114" t="s">
        <v>230</v>
      </c>
      <c r="B737" s="114" t="s">
        <v>942</v>
      </c>
      <c r="C737" s="114" t="s">
        <v>54</v>
      </c>
      <c r="D737" s="114" t="s">
        <v>54</v>
      </c>
      <c r="E737" s="116">
        <v>2020.0</v>
      </c>
      <c r="F737" s="114"/>
      <c r="G737" s="116">
        <v>0.0</v>
      </c>
      <c r="H737" s="116">
        <v>24.15</v>
      </c>
      <c r="I737" s="117">
        <v>1.0</v>
      </c>
      <c r="J737" s="116">
        <v>24.15</v>
      </c>
      <c r="K737" s="114"/>
      <c r="L737" s="114"/>
      <c r="M737" s="116">
        <v>20.0</v>
      </c>
      <c r="N737" s="116">
        <v>117.0</v>
      </c>
      <c r="O737" s="114" t="s">
        <v>36</v>
      </c>
      <c r="P737" s="140">
        <v>16957.0</v>
      </c>
      <c r="Q737" s="114" t="s">
        <v>234</v>
      </c>
      <c r="R737" s="115">
        <v>2020.0</v>
      </c>
      <c r="S737" s="136">
        <v>0.239</v>
      </c>
      <c r="T737" s="118">
        <f t="shared" si="28"/>
        <v>4052.723</v>
      </c>
      <c r="U737" s="24">
        <f t="shared" si="2"/>
        <v>167.814617</v>
      </c>
      <c r="V737" s="26">
        <f>VLOOKUP(R737,CPI!$A$2:$E$67,5,0)</f>
        <v>1.17731472</v>
      </c>
      <c r="W737" s="27">
        <f t="shared" si="3"/>
        <v>4771.330444</v>
      </c>
      <c r="X737" s="27">
        <f t="shared" si="4"/>
        <v>197.5706188</v>
      </c>
      <c r="Y737" s="114" t="s">
        <v>36</v>
      </c>
      <c r="Z737" s="119" t="s">
        <v>948</v>
      </c>
      <c r="AA737" s="114"/>
      <c r="AB737" s="114"/>
      <c r="AC737" s="114"/>
      <c r="AD737" s="114"/>
    </row>
    <row r="738">
      <c r="A738" s="114" t="s">
        <v>230</v>
      </c>
      <c r="B738" s="114" t="s">
        <v>942</v>
      </c>
      <c r="C738" s="114" t="s">
        <v>87</v>
      </c>
      <c r="D738" s="114" t="s">
        <v>87</v>
      </c>
      <c r="E738" s="116">
        <v>2021.0</v>
      </c>
      <c r="F738" s="114"/>
      <c r="G738" s="116">
        <v>0.0</v>
      </c>
      <c r="H738" s="116">
        <v>18.3</v>
      </c>
      <c r="I738" s="117">
        <v>1.0</v>
      </c>
      <c r="J738" s="116">
        <v>18.3</v>
      </c>
      <c r="K738" s="114"/>
      <c r="L738" s="114"/>
      <c r="M738" s="116">
        <v>16.0</v>
      </c>
      <c r="N738" s="116">
        <v>117.0</v>
      </c>
      <c r="O738" s="114" t="s">
        <v>36</v>
      </c>
      <c r="P738" s="140">
        <v>13526.0</v>
      </c>
      <c r="Q738" s="114" t="s">
        <v>234</v>
      </c>
      <c r="R738" s="115">
        <v>2021.0</v>
      </c>
      <c r="S738" s="136">
        <v>0.239000000000001</v>
      </c>
      <c r="T738" s="118">
        <f t="shared" si="28"/>
        <v>3232.714</v>
      </c>
      <c r="U738" s="24">
        <f t="shared" si="2"/>
        <v>176.6510383</v>
      </c>
      <c r="V738" s="26">
        <f>VLOOKUP(R738,CPI!$A$2:$E$67,5,0)</f>
        <v>1.124486105</v>
      </c>
      <c r="W738" s="27">
        <f t="shared" si="3"/>
        <v>3635.141976</v>
      </c>
      <c r="X738" s="27">
        <f t="shared" si="4"/>
        <v>198.641638</v>
      </c>
      <c r="Y738" s="114" t="s">
        <v>36</v>
      </c>
      <c r="Z738" s="119" t="s">
        <v>949</v>
      </c>
      <c r="AA738" s="114"/>
      <c r="AB738" s="114"/>
      <c r="AC738" s="114"/>
      <c r="AD738" s="114"/>
    </row>
    <row r="739">
      <c r="A739" s="114" t="s">
        <v>230</v>
      </c>
      <c r="B739" s="114" t="s">
        <v>958</v>
      </c>
      <c r="C739" s="114" t="s">
        <v>54</v>
      </c>
      <c r="D739" s="115" t="s">
        <v>348</v>
      </c>
      <c r="E739" s="116">
        <v>2010.0</v>
      </c>
      <c r="F739" s="116">
        <v>2016.0</v>
      </c>
      <c r="G739" s="116">
        <v>0.0</v>
      </c>
      <c r="H739" s="116">
        <v>18.27</v>
      </c>
      <c r="I739" s="117">
        <v>1.0</v>
      </c>
      <c r="J739" s="116">
        <v>18.27</v>
      </c>
      <c r="K739" s="114"/>
      <c r="L739" s="114"/>
      <c r="M739" s="116">
        <v>16.0</v>
      </c>
      <c r="N739" s="116">
        <v>117.0</v>
      </c>
      <c r="O739" s="114" t="s">
        <v>42</v>
      </c>
      <c r="P739" s="140">
        <v>10408.0</v>
      </c>
      <c r="Q739" s="114" t="s">
        <v>234</v>
      </c>
      <c r="R739" s="115">
        <v>2013.0</v>
      </c>
      <c r="S739" s="85">
        <v>0.273</v>
      </c>
      <c r="T739" s="118">
        <f t="shared" si="28"/>
        <v>2841.384</v>
      </c>
      <c r="U739" s="24">
        <f t="shared" si="2"/>
        <v>155.5218391</v>
      </c>
      <c r="V739" s="26">
        <f>VLOOKUP(R739,CPI!$A$2:$E$67,5,0)</f>
        <v>1.307975292</v>
      </c>
      <c r="W739" s="27">
        <f t="shared" si="3"/>
        <v>3716.460066</v>
      </c>
      <c r="X739" s="27">
        <f t="shared" si="4"/>
        <v>203.4187228</v>
      </c>
      <c r="Y739" s="114" t="s">
        <v>42</v>
      </c>
      <c r="Z739" s="225" t="s">
        <v>960</v>
      </c>
      <c r="AA739" s="114"/>
      <c r="AB739" s="114"/>
      <c r="AC739" s="114"/>
      <c r="AD739" s="114"/>
    </row>
    <row r="740">
      <c r="A740" s="114" t="s">
        <v>230</v>
      </c>
      <c r="B740" s="114" t="s">
        <v>958</v>
      </c>
      <c r="C740" s="114" t="s">
        <v>57</v>
      </c>
      <c r="D740" s="115" t="s">
        <v>232</v>
      </c>
      <c r="E740" s="116">
        <v>2009.0</v>
      </c>
      <c r="F740" s="116">
        <v>2013.0</v>
      </c>
      <c r="G740" s="116">
        <v>0.0</v>
      </c>
      <c r="H740" s="116">
        <v>25.2</v>
      </c>
      <c r="I740" s="117">
        <v>1.0</v>
      </c>
      <c r="J740" s="116">
        <v>25.2</v>
      </c>
      <c r="K740" s="114"/>
      <c r="L740" s="114"/>
      <c r="M740" s="116">
        <v>20.0</v>
      </c>
      <c r="N740" s="116">
        <v>117.0</v>
      </c>
      <c r="O740" s="114" t="s">
        <v>42</v>
      </c>
      <c r="P740" s="140">
        <v>14335.5</v>
      </c>
      <c r="Q740" s="114" t="s">
        <v>234</v>
      </c>
      <c r="R740" s="115">
        <v>2011.0</v>
      </c>
      <c r="S740" s="85">
        <v>0.284</v>
      </c>
      <c r="T740" s="118">
        <f t="shared" si="28"/>
        <v>4071.282</v>
      </c>
      <c r="U740" s="24">
        <f t="shared" si="2"/>
        <v>161.5588095</v>
      </c>
      <c r="V740" s="26">
        <f>VLOOKUP(R740,CPI!$A$2:$E$67,5,0)</f>
        <v>1.354598358</v>
      </c>
      <c r="W740" s="27">
        <f t="shared" si="3"/>
        <v>5514.951911</v>
      </c>
      <c r="X740" s="27">
        <f t="shared" si="4"/>
        <v>218.8472981</v>
      </c>
      <c r="Y740" s="114" t="s">
        <v>42</v>
      </c>
      <c r="Z740" s="119" t="s">
        <v>959</v>
      </c>
      <c r="AA740" s="114"/>
      <c r="AB740" s="114"/>
      <c r="AC740" s="114"/>
      <c r="AD740" s="114"/>
    </row>
    <row r="741">
      <c r="A741" s="114" t="s">
        <v>230</v>
      </c>
      <c r="B741" s="114" t="s">
        <v>958</v>
      </c>
      <c r="C741" s="171" t="s">
        <v>963</v>
      </c>
      <c r="D741" s="209" t="s">
        <v>964</v>
      </c>
      <c r="E741" s="114"/>
      <c r="F741" s="116">
        <v>2022.0</v>
      </c>
      <c r="G741" s="82">
        <v>1.0</v>
      </c>
      <c r="H741" s="116">
        <v>33.78</v>
      </c>
      <c r="I741" s="117">
        <v>0.12</v>
      </c>
      <c r="J741" s="116">
        <v>4.016</v>
      </c>
      <c r="K741" s="114"/>
      <c r="L741" s="114"/>
      <c r="M741" s="116">
        <v>11.0</v>
      </c>
      <c r="N741" s="116">
        <v>117.0</v>
      </c>
      <c r="O741" s="114" t="s">
        <v>36</v>
      </c>
      <c r="P741" s="140">
        <v>9879.0</v>
      </c>
      <c r="Q741" s="114" t="s">
        <v>234</v>
      </c>
      <c r="R741" s="115">
        <v>2021.0</v>
      </c>
      <c r="S741" s="136">
        <v>0.239000000000001</v>
      </c>
      <c r="T741" s="118">
        <f t="shared" si="28"/>
        <v>2361.081</v>
      </c>
      <c r="U741" s="24">
        <f t="shared" si="2"/>
        <v>69.89582593</v>
      </c>
      <c r="V741" s="26">
        <f>VLOOKUP(R741,CPI!$A$2:$E$67,5,0)</f>
        <v>1.124486105</v>
      </c>
      <c r="W741" s="27">
        <f t="shared" si="3"/>
        <v>2655.002778</v>
      </c>
      <c r="X741" s="27">
        <f t="shared" si="4"/>
        <v>78.59688509</v>
      </c>
      <c r="Y741" s="114" t="s">
        <v>36</v>
      </c>
      <c r="Z741" s="119" t="s">
        <v>965</v>
      </c>
      <c r="AA741" s="114"/>
      <c r="AB741" s="114"/>
      <c r="AC741" s="114"/>
      <c r="AD741" s="114"/>
    </row>
    <row r="742">
      <c r="A742" s="114" t="s">
        <v>230</v>
      </c>
      <c r="B742" s="114" t="s">
        <v>958</v>
      </c>
      <c r="C742" s="171" t="s">
        <v>963</v>
      </c>
      <c r="D742" s="114" t="s">
        <v>970</v>
      </c>
      <c r="E742" s="116">
        <v>2020.0</v>
      </c>
      <c r="F742" s="114"/>
      <c r="G742" s="82">
        <v>1.0</v>
      </c>
      <c r="H742" s="116">
        <v>31.27</v>
      </c>
      <c r="I742" s="117">
        <v>0.9</v>
      </c>
      <c r="J742" s="116">
        <v>28.18</v>
      </c>
      <c r="K742" s="114"/>
      <c r="L742" s="114"/>
      <c r="M742" s="116">
        <v>15.0</v>
      </c>
      <c r="N742" s="116">
        <v>117.0</v>
      </c>
      <c r="O742" s="114" t="s">
        <v>42</v>
      </c>
      <c r="P742" s="140">
        <v>17867.0</v>
      </c>
      <c r="Q742" s="114" t="s">
        <v>234</v>
      </c>
      <c r="R742" s="115">
        <v>2020.0</v>
      </c>
      <c r="S742" s="136">
        <v>0.239</v>
      </c>
      <c r="T742" s="118">
        <f t="shared" si="28"/>
        <v>4270.213</v>
      </c>
      <c r="U742" s="24">
        <f t="shared" si="2"/>
        <v>136.559418</v>
      </c>
      <c r="V742" s="26">
        <f>VLOOKUP(R742,CPI!$A$2:$E$67,5,0)</f>
        <v>1.17731472</v>
      </c>
      <c r="W742" s="27">
        <f t="shared" si="3"/>
        <v>5027.384622</v>
      </c>
      <c r="X742" s="27">
        <f t="shared" si="4"/>
        <v>160.7734129</v>
      </c>
      <c r="Y742" s="114" t="s">
        <v>36</v>
      </c>
      <c r="Z742" s="119" t="s">
        <v>971</v>
      </c>
      <c r="AA742" s="119" t="s">
        <v>972</v>
      </c>
    </row>
    <row r="743">
      <c r="A743" s="66" t="s">
        <v>230</v>
      </c>
      <c r="B743" s="114" t="s">
        <v>958</v>
      </c>
      <c r="C743" s="115" t="s">
        <v>87</v>
      </c>
      <c r="D743" s="115" t="s">
        <v>331</v>
      </c>
      <c r="E743" s="116">
        <v>2017.0</v>
      </c>
      <c r="F743" s="116">
        <v>2020.0</v>
      </c>
      <c r="G743" s="116">
        <v>0.0</v>
      </c>
      <c r="H743" s="116">
        <v>25.487</v>
      </c>
      <c r="I743" s="117">
        <v>1.0</v>
      </c>
      <c r="J743" s="116">
        <v>25.487</v>
      </c>
      <c r="K743" s="114"/>
      <c r="L743" s="114"/>
      <c r="M743" s="116">
        <v>21.0</v>
      </c>
      <c r="N743" s="116">
        <v>138.0</v>
      </c>
      <c r="O743" s="114" t="s">
        <v>36</v>
      </c>
      <c r="P743" s="140">
        <v>20608.0</v>
      </c>
      <c r="Q743" s="114" t="s">
        <v>234</v>
      </c>
      <c r="R743" s="115">
        <v>2019.0</v>
      </c>
      <c r="S743" s="136">
        <v>0.238</v>
      </c>
      <c r="T743" s="118">
        <f t="shared" si="28"/>
        <v>4904.704</v>
      </c>
      <c r="U743" s="24">
        <f t="shared" si="2"/>
        <v>192.4394397</v>
      </c>
      <c r="V743" s="26">
        <f>VLOOKUP(R743,CPI!$A$2:$E$67,5,0)</f>
        <v>1.191839066</v>
      </c>
      <c r="W743" s="27">
        <f t="shared" si="3"/>
        <v>5845.617833</v>
      </c>
      <c r="X743" s="27">
        <f t="shared" si="4"/>
        <v>229.356842</v>
      </c>
      <c r="Y743" s="114" t="s">
        <v>36</v>
      </c>
      <c r="Z743" s="119" t="s">
        <v>962</v>
      </c>
      <c r="AA743" s="114"/>
      <c r="AB743" s="114"/>
      <c r="AC743" s="114"/>
      <c r="AD743" s="114"/>
    </row>
    <row r="744">
      <c r="A744" s="114" t="s">
        <v>230</v>
      </c>
      <c r="B744" s="114" t="s">
        <v>231</v>
      </c>
      <c r="C744" s="114" t="s">
        <v>307</v>
      </c>
      <c r="D744" s="114" t="s">
        <v>307</v>
      </c>
      <c r="E744" s="116">
        <v>2020.0</v>
      </c>
      <c r="F744" s="114"/>
      <c r="G744" s="116">
        <v>0.0</v>
      </c>
      <c r="H744" s="116">
        <v>6.015</v>
      </c>
      <c r="I744" s="117">
        <v>0.0</v>
      </c>
      <c r="J744" s="116">
        <v>0.0</v>
      </c>
      <c r="K744" s="114"/>
      <c r="L744" s="114"/>
      <c r="M744" s="116">
        <v>3.0</v>
      </c>
      <c r="N744" s="116">
        <v>117.0</v>
      </c>
      <c r="O744" s="114"/>
      <c r="P744" s="140">
        <v>4500.0</v>
      </c>
      <c r="Q744" s="114" t="s">
        <v>234</v>
      </c>
      <c r="R744" s="115">
        <v>2020.0</v>
      </c>
      <c r="S744" s="136">
        <v>0.239</v>
      </c>
      <c r="T744" s="118">
        <f t="shared" si="28"/>
        <v>1075.5</v>
      </c>
      <c r="U744" s="24">
        <f t="shared" si="2"/>
        <v>178.8029925</v>
      </c>
      <c r="V744" s="26">
        <f>VLOOKUP(R744,CPI!$A$2:$E$67,5,0)</f>
        <v>1.17731472</v>
      </c>
      <c r="W744" s="27">
        <f t="shared" si="3"/>
        <v>1266.201981</v>
      </c>
      <c r="X744" s="27">
        <f t="shared" si="4"/>
        <v>210.5073951</v>
      </c>
      <c r="Y744" s="114"/>
      <c r="Z744" s="119" t="s">
        <v>308</v>
      </c>
      <c r="AA744" s="114"/>
      <c r="AB744" s="114"/>
      <c r="AC744" s="114"/>
      <c r="AD744" s="114"/>
    </row>
    <row r="745">
      <c r="A745" s="114" t="s">
        <v>230</v>
      </c>
      <c r="B745" s="114" t="s">
        <v>231</v>
      </c>
      <c r="C745" s="115" t="s">
        <v>80</v>
      </c>
      <c r="D745" s="115" t="s">
        <v>265</v>
      </c>
      <c r="E745" s="116">
        <v>2011.0</v>
      </c>
      <c r="F745" s="116">
        <v>2014.0</v>
      </c>
      <c r="G745" s="116">
        <v>0.0</v>
      </c>
      <c r="H745" s="116">
        <v>12.4</v>
      </c>
      <c r="I745" s="117">
        <v>1.0</v>
      </c>
      <c r="J745" s="116">
        <v>12.4</v>
      </c>
      <c r="K745" s="114"/>
      <c r="L745" s="114"/>
      <c r="M745" s="116">
        <v>8.0</v>
      </c>
      <c r="N745" s="116">
        <v>156.0</v>
      </c>
      <c r="O745" s="114"/>
      <c r="P745" s="140">
        <v>6000.0</v>
      </c>
      <c r="Q745" s="114" t="s">
        <v>234</v>
      </c>
      <c r="R745" s="115">
        <v>2013.0</v>
      </c>
      <c r="S745" s="85">
        <v>0.273</v>
      </c>
      <c r="T745" s="118">
        <f t="shared" si="28"/>
        <v>1638</v>
      </c>
      <c r="U745" s="24">
        <f t="shared" si="2"/>
        <v>132.0967742</v>
      </c>
      <c r="V745" s="26">
        <f>VLOOKUP(R745,CPI!$A$2:$E$67,5,0)</f>
        <v>1.307975292</v>
      </c>
      <c r="W745" s="27">
        <f t="shared" si="3"/>
        <v>2142.463528</v>
      </c>
      <c r="X745" s="27">
        <f t="shared" si="4"/>
        <v>172.7793167</v>
      </c>
      <c r="Y745" s="114"/>
      <c r="Z745" s="119" t="s">
        <v>266</v>
      </c>
      <c r="AA745" s="114"/>
      <c r="AB745" s="114"/>
      <c r="AC745" s="114"/>
      <c r="AD745" s="114"/>
    </row>
    <row r="746">
      <c r="A746" s="114" t="s">
        <v>230</v>
      </c>
      <c r="B746" s="114" t="s">
        <v>231</v>
      </c>
      <c r="C746" s="114" t="s">
        <v>253</v>
      </c>
      <c r="D746" s="114" t="s">
        <v>253</v>
      </c>
      <c r="E746" s="116">
        <v>2007.0</v>
      </c>
      <c r="F746" s="116">
        <v>2012.0</v>
      </c>
      <c r="G746" s="116">
        <v>0.0</v>
      </c>
      <c r="H746" s="116">
        <v>16.5</v>
      </c>
      <c r="I746" s="117">
        <v>1.0</v>
      </c>
      <c r="J746" s="116">
        <v>16.5</v>
      </c>
      <c r="K746" s="114"/>
      <c r="L746" s="114"/>
      <c r="M746" s="116">
        <v>13.0</v>
      </c>
      <c r="N746" s="116">
        <v>117.0</v>
      </c>
      <c r="O746" s="114"/>
      <c r="P746" s="140">
        <v>12900.0</v>
      </c>
      <c r="Q746" s="114" t="s">
        <v>234</v>
      </c>
      <c r="R746" s="115">
        <v>2010.0</v>
      </c>
      <c r="S746" s="85">
        <v>0.3</v>
      </c>
      <c r="T746" s="118">
        <f t="shared" si="28"/>
        <v>3870</v>
      </c>
      <c r="U746" s="24">
        <f t="shared" si="2"/>
        <v>234.5454545</v>
      </c>
      <c r="V746" s="26">
        <f>VLOOKUP(R746,CPI!$A$2:$E$67,5,0)</f>
        <v>1.397356642</v>
      </c>
      <c r="W746" s="27">
        <f t="shared" si="3"/>
        <v>5407.770206</v>
      </c>
      <c r="X746" s="27">
        <f t="shared" si="4"/>
        <v>327.7436488</v>
      </c>
      <c r="Y746" s="114"/>
      <c r="Z746" s="119" t="s">
        <v>254</v>
      </c>
    </row>
    <row r="747">
      <c r="A747" s="114" t="s">
        <v>230</v>
      </c>
      <c r="B747" s="114" t="s">
        <v>231</v>
      </c>
      <c r="C747" s="114" t="s">
        <v>303</v>
      </c>
      <c r="D747" s="114" t="s">
        <v>303</v>
      </c>
      <c r="E747" s="116">
        <v>2022.0</v>
      </c>
      <c r="F747" s="116">
        <v>2027.0</v>
      </c>
      <c r="G747" s="116">
        <v>0.0</v>
      </c>
      <c r="H747" s="116">
        <v>19.0</v>
      </c>
      <c r="I747" s="117">
        <v>1.0</v>
      </c>
      <c r="J747" s="116">
        <v>19.0</v>
      </c>
      <c r="K747" s="114"/>
      <c r="L747" s="114"/>
      <c r="M747" s="116">
        <v>14.0</v>
      </c>
      <c r="N747" s="116">
        <v>138.0</v>
      </c>
      <c r="O747" s="114"/>
      <c r="P747" s="140">
        <v>18753.93</v>
      </c>
      <c r="Q747" s="114" t="s">
        <v>234</v>
      </c>
      <c r="R747" s="115">
        <v>2021.0</v>
      </c>
      <c r="S747" s="136">
        <v>0.239000000000001</v>
      </c>
      <c r="T747" s="118">
        <f t="shared" si="28"/>
        <v>4482.18927</v>
      </c>
      <c r="U747" s="24">
        <f t="shared" si="2"/>
        <v>235.9046984</v>
      </c>
      <c r="V747" s="26">
        <f>VLOOKUP(R747,CPI!$A$2:$E$67,5,0)</f>
        <v>1.124486105</v>
      </c>
      <c r="W747" s="27">
        <f t="shared" si="3"/>
        <v>5040.159556</v>
      </c>
      <c r="X747" s="27">
        <f t="shared" si="4"/>
        <v>265.2715556</v>
      </c>
      <c r="Y747" s="114"/>
      <c r="Z747" s="225" t="s">
        <v>304</v>
      </c>
      <c r="AA747" s="321"/>
      <c r="AB747" s="321"/>
      <c r="AC747" s="321"/>
      <c r="AD747" s="321"/>
    </row>
    <row r="748">
      <c r="A748" s="114" t="s">
        <v>230</v>
      </c>
      <c r="B748" s="114" t="s">
        <v>309</v>
      </c>
      <c r="C748" s="114" t="s">
        <v>312</v>
      </c>
      <c r="D748" s="114" t="s">
        <v>312</v>
      </c>
      <c r="E748" s="116">
        <v>2010.0</v>
      </c>
      <c r="F748" s="116">
        <v>2019.0</v>
      </c>
      <c r="G748" s="116">
        <v>0.0</v>
      </c>
      <c r="H748" s="116">
        <v>13.4</v>
      </c>
      <c r="I748" s="117">
        <v>0.0</v>
      </c>
      <c r="J748" s="116">
        <v>0.0</v>
      </c>
      <c r="K748" s="114"/>
      <c r="L748" s="114"/>
      <c r="M748" s="116">
        <v>13.0</v>
      </c>
      <c r="N748" s="116">
        <v>55.0</v>
      </c>
      <c r="O748" s="114"/>
      <c r="P748" s="140">
        <v>4210.0</v>
      </c>
      <c r="Q748" s="114" t="s">
        <v>234</v>
      </c>
      <c r="R748" s="115">
        <v>2015.0</v>
      </c>
      <c r="S748" s="85">
        <v>0.258</v>
      </c>
      <c r="T748" s="118">
        <f t="shared" si="28"/>
        <v>1086.18</v>
      </c>
      <c r="U748" s="24">
        <f t="shared" si="2"/>
        <v>81.05820896</v>
      </c>
      <c r="V748" s="26">
        <f>VLOOKUP(R748,CPI!$A$2:$E$67,5,0)</f>
        <v>1.285570233</v>
      </c>
      <c r="W748" s="27">
        <f t="shared" si="3"/>
        <v>1396.360676</v>
      </c>
      <c r="X748" s="27">
        <f t="shared" si="4"/>
        <v>104.2060206</v>
      </c>
      <c r="Y748" s="114"/>
      <c r="Z748" s="119" t="s">
        <v>311</v>
      </c>
      <c r="AA748" s="114"/>
      <c r="AB748" s="114"/>
      <c r="AC748" s="114"/>
      <c r="AD748" s="114"/>
    </row>
    <row r="749">
      <c r="A749" s="114" t="s">
        <v>230</v>
      </c>
      <c r="B749" s="114" t="s">
        <v>309</v>
      </c>
      <c r="C749" s="115" t="s">
        <v>54</v>
      </c>
      <c r="D749" s="114" t="s">
        <v>313</v>
      </c>
      <c r="E749" s="116">
        <v>2015.0</v>
      </c>
      <c r="F749" s="116">
        <v>2019.0</v>
      </c>
      <c r="G749" s="116">
        <v>0.0</v>
      </c>
      <c r="H749" s="116">
        <v>5.3</v>
      </c>
      <c r="I749" s="117">
        <v>1.0</v>
      </c>
      <c r="J749" s="116">
        <v>5.3</v>
      </c>
      <c r="K749" s="114"/>
      <c r="L749" s="114"/>
      <c r="M749" s="116">
        <v>3.0</v>
      </c>
      <c r="N749" s="116">
        <v>117.0</v>
      </c>
      <c r="O749" s="114"/>
      <c r="P749" s="140">
        <v>3350.0</v>
      </c>
      <c r="Q749" s="114" t="s">
        <v>234</v>
      </c>
      <c r="R749" s="115">
        <v>2017.0</v>
      </c>
      <c r="S749" s="85">
        <v>0.239</v>
      </c>
      <c r="T749" s="118">
        <f t="shared" si="28"/>
        <v>800.65</v>
      </c>
      <c r="U749" s="24">
        <f t="shared" si="2"/>
        <v>151.0660377</v>
      </c>
      <c r="V749" s="26">
        <f>VLOOKUP(R749,CPI!$A$2:$E$67,5,0)</f>
        <v>1.243072781</v>
      </c>
      <c r="W749" s="27">
        <f t="shared" si="3"/>
        <v>995.2662219</v>
      </c>
      <c r="X749" s="27">
        <f t="shared" si="4"/>
        <v>187.7860796</v>
      </c>
      <c r="Y749" s="114"/>
      <c r="Z749" s="119" t="s">
        <v>311</v>
      </c>
      <c r="AA749" s="114"/>
      <c r="AB749" s="114"/>
      <c r="AC749" s="114"/>
      <c r="AD749" s="114"/>
    </row>
    <row r="750">
      <c r="A750" s="114" t="s">
        <v>230</v>
      </c>
      <c r="B750" s="114" t="s">
        <v>309</v>
      </c>
      <c r="C750" s="115" t="s">
        <v>54</v>
      </c>
      <c r="D750" s="114" t="s">
        <v>54</v>
      </c>
      <c r="E750" s="114"/>
      <c r="F750" s="116">
        <v>2020.0</v>
      </c>
      <c r="G750" s="116">
        <v>0.0</v>
      </c>
      <c r="H750" s="116">
        <v>22.8</v>
      </c>
      <c r="I750" s="117">
        <v>1.0</v>
      </c>
      <c r="J750" s="116">
        <v>22.8</v>
      </c>
      <c r="K750" s="114"/>
      <c r="L750" s="114"/>
      <c r="M750" s="116">
        <v>19.0</v>
      </c>
      <c r="N750" s="116">
        <v>117.0</v>
      </c>
      <c r="O750" s="114"/>
      <c r="P750" s="140">
        <v>15400.0</v>
      </c>
      <c r="Q750" s="114" t="s">
        <v>234</v>
      </c>
      <c r="R750" s="115">
        <v>2020.0</v>
      </c>
      <c r="S750" s="85">
        <v>0.239</v>
      </c>
      <c r="T750" s="118">
        <f t="shared" si="28"/>
        <v>3680.6</v>
      </c>
      <c r="U750" s="24">
        <f t="shared" si="2"/>
        <v>161.4298246</v>
      </c>
      <c r="V750" s="26">
        <f>VLOOKUP(R750,CPI!$A$2:$E$67,5,0)</f>
        <v>1.17731472</v>
      </c>
      <c r="W750" s="27">
        <f t="shared" si="3"/>
        <v>4333.224558</v>
      </c>
      <c r="X750" s="27">
        <f t="shared" si="4"/>
        <v>190.0537087</v>
      </c>
      <c r="Y750" s="114"/>
      <c r="Z750" s="119" t="s">
        <v>314</v>
      </c>
      <c r="AA750" s="114"/>
      <c r="AB750" s="114"/>
      <c r="AC750" s="114"/>
      <c r="AD750" s="114"/>
    </row>
    <row r="751">
      <c r="A751" s="114" t="s">
        <v>230</v>
      </c>
      <c r="B751" s="114" t="s">
        <v>309</v>
      </c>
      <c r="C751" s="16" t="s">
        <v>57</v>
      </c>
      <c r="D751" s="114" t="s">
        <v>310</v>
      </c>
      <c r="E751" s="116">
        <v>2010.0</v>
      </c>
      <c r="F751" s="116">
        <v>2019.0</v>
      </c>
      <c r="G751" s="116">
        <v>0.0</v>
      </c>
      <c r="H751" s="116">
        <v>8.0</v>
      </c>
      <c r="I751" s="117">
        <v>1.0</v>
      </c>
      <c r="J751" s="116">
        <v>8.0</v>
      </c>
      <c r="K751" s="114"/>
      <c r="L751" s="114"/>
      <c r="M751" s="116">
        <v>6.0</v>
      </c>
      <c r="N751" s="116">
        <v>117.0</v>
      </c>
      <c r="O751" s="114"/>
      <c r="P751" s="140">
        <v>5520.0</v>
      </c>
      <c r="Q751" s="114" t="s">
        <v>234</v>
      </c>
      <c r="R751" s="115">
        <v>2015.0</v>
      </c>
      <c r="S751" s="85">
        <v>0.258</v>
      </c>
      <c r="T751" s="118">
        <f t="shared" si="28"/>
        <v>1424.16</v>
      </c>
      <c r="U751" s="24">
        <f t="shared" si="2"/>
        <v>178.02</v>
      </c>
      <c r="V751" s="26">
        <f>VLOOKUP(R751,CPI!$A$2:$E$67,5,0)</f>
        <v>1.285570233</v>
      </c>
      <c r="W751" s="27">
        <f t="shared" si="3"/>
        <v>1830.857704</v>
      </c>
      <c r="X751" s="27">
        <f t="shared" si="4"/>
        <v>228.8572129</v>
      </c>
      <c r="Y751" s="114"/>
      <c r="Z751" s="119" t="s">
        <v>311</v>
      </c>
      <c r="AA751" s="114"/>
      <c r="AB751" s="114"/>
      <c r="AC751" s="114"/>
      <c r="AD751" s="114"/>
    </row>
    <row r="752">
      <c r="A752" s="114" t="s">
        <v>230</v>
      </c>
      <c r="B752" s="114" t="s">
        <v>323</v>
      </c>
      <c r="C752" s="114" t="s">
        <v>324</v>
      </c>
      <c r="D752" s="114" t="s">
        <v>324</v>
      </c>
      <c r="E752" s="116">
        <v>2008.0</v>
      </c>
      <c r="F752" s="116">
        <v>2015.0</v>
      </c>
      <c r="G752" s="116">
        <v>0.0</v>
      </c>
      <c r="H752" s="116">
        <v>45.92</v>
      </c>
      <c r="I752" s="117">
        <v>0.97</v>
      </c>
      <c r="J752" s="116">
        <v>44.61</v>
      </c>
      <c r="K752" s="114"/>
      <c r="L752" s="114"/>
      <c r="M752" s="116">
        <v>32.0</v>
      </c>
      <c r="N752" s="116">
        <v>117.0</v>
      </c>
      <c r="O752" s="114"/>
      <c r="P752" s="140">
        <v>22171.0</v>
      </c>
      <c r="Q752" s="114" t="s">
        <v>234</v>
      </c>
      <c r="R752" s="115">
        <v>2012.0</v>
      </c>
      <c r="S752" s="85">
        <v>0.281</v>
      </c>
      <c r="T752" s="118">
        <f t="shared" si="28"/>
        <v>6230.051</v>
      </c>
      <c r="U752" s="24">
        <f t="shared" si="2"/>
        <v>135.6718423</v>
      </c>
      <c r="V752" s="26">
        <f>VLOOKUP(R752,CPI!$A$2:$E$67,5,0)</f>
        <v>1.327133984</v>
      </c>
      <c r="W752" s="27">
        <f t="shared" si="3"/>
        <v>8268.112406</v>
      </c>
      <c r="X752" s="27">
        <f t="shared" si="4"/>
        <v>180.0547127</v>
      </c>
      <c r="Y752" s="114"/>
      <c r="Z752" s="225" t="s">
        <v>325</v>
      </c>
      <c r="AA752" s="114"/>
      <c r="AB752" s="114"/>
      <c r="AC752" s="114"/>
      <c r="AD752" s="114"/>
    </row>
    <row r="753">
      <c r="A753" s="114" t="s">
        <v>230</v>
      </c>
      <c r="B753" s="114" t="s">
        <v>323</v>
      </c>
      <c r="C753" s="115" t="s">
        <v>54</v>
      </c>
      <c r="D753" s="115" t="s">
        <v>326</v>
      </c>
      <c r="E753" s="116">
        <v>2011.0</v>
      </c>
      <c r="F753" s="116">
        <v>2015.0</v>
      </c>
      <c r="G753" s="116">
        <v>0.0</v>
      </c>
      <c r="H753" s="116">
        <v>21.926</v>
      </c>
      <c r="I753" s="117">
        <v>1.0</v>
      </c>
      <c r="J753" s="116">
        <v>21.926</v>
      </c>
      <c r="K753" s="114"/>
      <c r="L753" s="114"/>
      <c r="M753" s="116">
        <v>19.0</v>
      </c>
      <c r="N753" s="116">
        <v>117.0</v>
      </c>
      <c r="O753" s="114"/>
      <c r="P753" s="140">
        <v>11900.0</v>
      </c>
      <c r="Q753" s="114" t="s">
        <v>234</v>
      </c>
      <c r="R753" s="115">
        <v>2013.0</v>
      </c>
      <c r="S753" s="85">
        <v>0.273</v>
      </c>
      <c r="T753" s="118">
        <f t="shared" si="28"/>
        <v>3248.7</v>
      </c>
      <c r="U753" s="24">
        <f t="shared" si="2"/>
        <v>148.1665602</v>
      </c>
      <c r="V753" s="26">
        <f>VLOOKUP(R753,CPI!$A$2:$E$67,5,0)</f>
        <v>1.307975292</v>
      </c>
      <c r="W753" s="27">
        <f t="shared" si="3"/>
        <v>4249.21933</v>
      </c>
      <c r="X753" s="27">
        <f t="shared" si="4"/>
        <v>193.7981998</v>
      </c>
      <c r="Y753" s="114"/>
      <c r="Z753" s="119" t="s">
        <v>327</v>
      </c>
      <c r="AA753" s="119" t="s">
        <v>328</v>
      </c>
    </row>
    <row r="754">
      <c r="A754" s="114" t="s">
        <v>230</v>
      </c>
      <c r="B754" s="114" t="s">
        <v>323</v>
      </c>
      <c r="C754" s="171" t="s">
        <v>336</v>
      </c>
      <c r="D754" s="115" t="s">
        <v>344</v>
      </c>
      <c r="E754" s="116">
        <v>2021.0</v>
      </c>
      <c r="F754" s="116">
        <v>2025.0</v>
      </c>
      <c r="G754" s="116">
        <v>0.0</v>
      </c>
      <c r="H754" s="116">
        <v>13.99</v>
      </c>
      <c r="I754" s="117">
        <v>0.98</v>
      </c>
      <c r="J754" s="116">
        <v>13.78</v>
      </c>
      <c r="K754" s="114"/>
      <c r="L754" s="114"/>
      <c r="M754" s="116">
        <v>11.0</v>
      </c>
      <c r="N754" s="116">
        <v>117.0</v>
      </c>
      <c r="O754" s="114"/>
      <c r="P754" s="140">
        <v>12342.0</v>
      </c>
      <c r="Q754" s="114" t="s">
        <v>234</v>
      </c>
      <c r="R754" s="115">
        <v>2021.0</v>
      </c>
      <c r="S754" s="136">
        <v>0.239000000000001</v>
      </c>
      <c r="T754" s="118">
        <f t="shared" si="28"/>
        <v>2949.738</v>
      </c>
      <c r="U754" s="24">
        <f t="shared" si="2"/>
        <v>210.8461758</v>
      </c>
      <c r="V754" s="26">
        <f>VLOOKUP(R754,CPI!$A$2:$E$67,5,0)</f>
        <v>1.124486105</v>
      </c>
      <c r="W754" s="27">
        <f t="shared" si="3"/>
        <v>3316.939396</v>
      </c>
      <c r="X754" s="27">
        <f t="shared" si="4"/>
        <v>237.0935951</v>
      </c>
      <c r="Y754" s="114"/>
      <c r="Z754" s="119" t="s">
        <v>345</v>
      </c>
      <c r="AA754" s="114"/>
      <c r="AB754" s="114"/>
      <c r="AC754" s="114"/>
      <c r="AD754" s="114"/>
    </row>
    <row r="755">
      <c r="A755" s="114" t="s">
        <v>230</v>
      </c>
      <c r="B755" s="114" t="s">
        <v>350</v>
      </c>
      <c r="C755" s="114" t="s">
        <v>382</v>
      </c>
      <c r="D755" s="114" t="s">
        <v>382</v>
      </c>
      <c r="E755" s="116">
        <v>2021.0</v>
      </c>
      <c r="F755" s="114"/>
      <c r="G755" s="116">
        <v>1.0</v>
      </c>
      <c r="H755" s="116">
        <v>38.7</v>
      </c>
      <c r="I755" s="117">
        <v>0.27</v>
      </c>
      <c r="J755" s="116">
        <v>10.42</v>
      </c>
      <c r="K755" s="114"/>
      <c r="L755" s="114"/>
      <c r="M755" s="116">
        <v>7.0</v>
      </c>
      <c r="N755" s="116">
        <v>184.0</v>
      </c>
      <c r="O755" s="114"/>
      <c r="P755" s="140">
        <v>12903.0</v>
      </c>
      <c r="Q755" s="114" t="s">
        <v>234</v>
      </c>
      <c r="R755" s="115">
        <v>2021.0</v>
      </c>
      <c r="S755" s="136">
        <v>0.239000000000001</v>
      </c>
      <c r="T755" s="118">
        <f t="shared" si="28"/>
        <v>3083.817</v>
      </c>
      <c r="U755" s="24">
        <f t="shared" si="2"/>
        <v>79.6851938</v>
      </c>
      <c r="V755" s="26">
        <f>VLOOKUP(R755,CPI!$A$2:$E$67,5,0)</f>
        <v>1.124486105</v>
      </c>
      <c r="W755" s="27">
        <f t="shared" si="3"/>
        <v>3467.709368</v>
      </c>
      <c r="X755" s="27">
        <f t="shared" si="4"/>
        <v>89.60489324</v>
      </c>
      <c r="Y755" s="114"/>
      <c r="Z755" s="119" t="s">
        <v>383</v>
      </c>
      <c r="AA755" s="114"/>
      <c r="AB755" s="114"/>
      <c r="AC755" s="114"/>
      <c r="AD755" s="114"/>
    </row>
    <row r="756">
      <c r="A756" s="114" t="s">
        <v>230</v>
      </c>
      <c r="B756" s="114" t="s">
        <v>350</v>
      </c>
      <c r="C756" s="114" t="s">
        <v>384</v>
      </c>
      <c r="D756" s="114" t="s">
        <v>384</v>
      </c>
      <c r="E756" s="116">
        <v>2022.0</v>
      </c>
      <c r="F756" s="114"/>
      <c r="G756" s="116">
        <v>1.0</v>
      </c>
      <c r="H756" s="116">
        <v>59.0</v>
      </c>
      <c r="I756" s="117">
        <v>0.17</v>
      </c>
      <c r="J756" s="116">
        <v>9.85</v>
      </c>
      <c r="K756" s="114"/>
      <c r="L756" s="114"/>
      <c r="M756" s="116">
        <v>13.0</v>
      </c>
      <c r="N756" s="116">
        <v>184.0</v>
      </c>
      <c r="O756" s="114"/>
      <c r="P756" s="140">
        <v>22600.0</v>
      </c>
      <c r="Q756" s="114" t="s">
        <v>234</v>
      </c>
      <c r="R756" s="115">
        <v>2021.0</v>
      </c>
      <c r="S756" s="136">
        <v>0.239000000000001</v>
      </c>
      <c r="T756" s="118">
        <f t="shared" si="28"/>
        <v>5401.4</v>
      </c>
      <c r="U756" s="24">
        <f t="shared" si="2"/>
        <v>91.54915254</v>
      </c>
      <c r="V756" s="26">
        <f>VLOOKUP(R756,CPI!$A$2:$E$67,5,0)</f>
        <v>1.124486105</v>
      </c>
      <c r="W756" s="27">
        <f t="shared" si="3"/>
        <v>6073.79925</v>
      </c>
      <c r="X756" s="27">
        <f t="shared" si="4"/>
        <v>102.94575</v>
      </c>
      <c r="Y756" s="114"/>
      <c r="Z756" s="119" t="s">
        <v>385</v>
      </c>
      <c r="AA756" s="119" t="s">
        <v>386</v>
      </c>
    </row>
    <row r="757">
      <c r="A757" s="114" t="s">
        <v>230</v>
      </c>
      <c r="B757" s="114" t="s">
        <v>350</v>
      </c>
      <c r="C757" s="115" t="s">
        <v>239</v>
      </c>
      <c r="D757" s="115" t="s">
        <v>356</v>
      </c>
      <c r="E757" s="116">
        <v>2013.0</v>
      </c>
      <c r="F757" s="116">
        <v>2020.0</v>
      </c>
      <c r="G757" s="116">
        <v>0.0</v>
      </c>
      <c r="H757" s="116">
        <v>10.9</v>
      </c>
      <c r="I757" s="117">
        <v>1.0</v>
      </c>
      <c r="J757" s="116">
        <v>10.9</v>
      </c>
      <c r="K757" s="114"/>
      <c r="L757" s="114"/>
      <c r="M757" s="116">
        <v>5.0</v>
      </c>
      <c r="N757" s="116">
        <v>138.0</v>
      </c>
      <c r="O757" s="114"/>
      <c r="P757" s="140">
        <v>5520.0</v>
      </c>
      <c r="Q757" s="114" t="s">
        <v>234</v>
      </c>
      <c r="R757" s="115">
        <v>2017.0</v>
      </c>
      <c r="S757" s="85">
        <v>0.239</v>
      </c>
      <c r="T757" s="118">
        <f t="shared" si="28"/>
        <v>1319.28</v>
      </c>
      <c r="U757" s="24">
        <f t="shared" si="2"/>
        <v>121.0348624</v>
      </c>
      <c r="V757" s="26">
        <f>VLOOKUP(R757,CPI!$A$2:$E$67,5,0)</f>
        <v>1.243072781</v>
      </c>
      <c r="W757" s="27">
        <f t="shared" si="3"/>
        <v>1639.961058</v>
      </c>
      <c r="X757" s="27">
        <f t="shared" si="4"/>
        <v>150.4551429</v>
      </c>
      <c r="Y757" s="114"/>
      <c r="Z757" s="225" t="s">
        <v>355</v>
      </c>
      <c r="AA757" s="114"/>
      <c r="AB757" s="114"/>
      <c r="AC757" s="114"/>
      <c r="AD757" s="114"/>
    </row>
    <row r="758">
      <c r="A758" s="114" t="s">
        <v>230</v>
      </c>
      <c r="B758" s="114" t="s">
        <v>350</v>
      </c>
      <c r="C758" s="115" t="s">
        <v>110</v>
      </c>
      <c r="D758" s="115" t="s">
        <v>358</v>
      </c>
      <c r="E758" s="116">
        <v>2013.0</v>
      </c>
      <c r="F758" s="116">
        <v>2020.0</v>
      </c>
      <c r="G758" s="116">
        <v>0.0</v>
      </c>
      <c r="H758" s="116">
        <v>21.3</v>
      </c>
      <c r="I758" s="117">
        <v>1.0</v>
      </c>
      <c r="J758" s="116">
        <v>21.3</v>
      </c>
      <c r="K758" s="114"/>
      <c r="L758" s="114"/>
      <c r="M758" s="116">
        <v>13.0</v>
      </c>
      <c r="N758" s="116">
        <v>117.0</v>
      </c>
      <c r="O758" s="114"/>
      <c r="P758" s="140">
        <v>10220.0</v>
      </c>
      <c r="Q758" s="114" t="s">
        <v>234</v>
      </c>
      <c r="R758" s="115">
        <v>2017.0</v>
      </c>
      <c r="S758" s="85">
        <v>0.239</v>
      </c>
      <c r="T758" s="118">
        <f t="shared" si="28"/>
        <v>2442.58</v>
      </c>
      <c r="U758" s="24">
        <f t="shared" si="2"/>
        <v>114.6751174</v>
      </c>
      <c r="V758" s="26">
        <f>VLOOKUP(R758,CPI!$A$2:$E$67,5,0)</f>
        <v>1.243072781</v>
      </c>
      <c r="W758" s="27">
        <f t="shared" si="3"/>
        <v>3036.304713</v>
      </c>
      <c r="X758" s="27">
        <f t="shared" si="4"/>
        <v>142.549517</v>
      </c>
      <c r="Y758" s="114"/>
      <c r="Z758" s="225" t="s">
        <v>355</v>
      </c>
      <c r="AA758" s="114"/>
      <c r="AB758" s="114"/>
      <c r="AC758" s="114"/>
      <c r="AD758" s="114"/>
    </row>
    <row r="759">
      <c r="A759" s="114" t="s">
        <v>230</v>
      </c>
      <c r="B759" s="114" t="s">
        <v>350</v>
      </c>
      <c r="C759" s="115" t="s">
        <v>351</v>
      </c>
      <c r="D759" s="115" t="s">
        <v>352</v>
      </c>
      <c r="E759" s="116">
        <v>2016.0</v>
      </c>
      <c r="F759" s="116">
        <v>2019.0</v>
      </c>
      <c r="G759" s="116">
        <v>0.0</v>
      </c>
      <c r="H759" s="116">
        <v>58.6</v>
      </c>
      <c r="I759" s="117">
        <v>0.65</v>
      </c>
      <c r="J759" s="116">
        <v>37.9</v>
      </c>
      <c r="K759" s="114"/>
      <c r="L759" s="114"/>
      <c r="M759" s="116">
        <v>13.0</v>
      </c>
      <c r="N759" s="116">
        <v>184.0</v>
      </c>
      <c r="O759" s="114"/>
      <c r="P759" s="140">
        <v>34700.0</v>
      </c>
      <c r="Q759" s="114" t="s">
        <v>234</v>
      </c>
      <c r="R759" s="115">
        <v>2018.0</v>
      </c>
      <c r="S759" s="85">
        <v>0.237</v>
      </c>
      <c r="T759" s="118">
        <f t="shared" si="28"/>
        <v>8223.9</v>
      </c>
      <c r="U759" s="24">
        <f t="shared" si="2"/>
        <v>140.3395904</v>
      </c>
      <c r="V759" s="26">
        <f>VLOOKUP(R759,CPI!$A$2:$E$67,5,0)</f>
        <v>1.21343491</v>
      </c>
      <c r="W759" s="27">
        <f t="shared" si="3"/>
        <v>9979.167358</v>
      </c>
      <c r="X759" s="27">
        <f t="shared" si="4"/>
        <v>170.2929583</v>
      </c>
      <c r="Y759" s="114"/>
      <c r="Z759" s="119" t="s">
        <v>353</v>
      </c>
      <c r="AA759" s="114"/>
      <c r="AB759" s="114"/>
      <c r="AC759" s="114"/>
      <c r="AD759" s="114"/>
    </row>
    <row r="760">
      <c r="A760" s="114" t="s">
        <v>230</v>
      </c>
      <c r="B760" s="114" t="s">
        <v>350</v>
      </c>
      <c r="C760" s="115" t="s">
        <v>84</v>
      </c>
      <c r="D760" s="115" t="s">
        <v>359</v>
      </c>
      <c r="E760" s="116">
        <v>2015.0</v>
      </c>
      <c r="F760" s="116">
        <v>2020.0</v>
      </c>
      <c r="G760" s="116">
        <v>0.0</v>
      </c>
      <c r="H760" s="116">
        <v>49.0</v>
      </c>
      <c r="I760" s="117">
        <v>0.68</v>
      </c>
      <c r="J760" s="116">
        <v>33.2</v>
      </c>
      <c r="K760" s="114"/>
      <c r="L760" s="114"/>
      <c r="M760" s="116">
        <v>39.0</v>
      </c>
      <c r="N760" s="116">
        <v>184.0</v>
      </c>
      <c r="O760" s="114"/>
      <c r="P760" s="140">
        <v>32480.0</v>
      </c>
      <c r="Q760" s="114" t="s">
        <v>234</v>
      </c>
      <c r="R760" s="115">
        <v>2018.0</v>
      </c>
      <c r="S760" s="85">
        <v>0.237</v>
      </c>
      <c r="T760" s="118">
        <f t="shared" si="28"/>
        <v>7697.76</v>
      </c>
      <c r="U760" s="24">
        <f t="shared" si="2"/>
        <v>157.0971429</v>
      </c>
      <c r="V760" s="26">
        <f>VLOOKUP(R760,CPI!$A$2:$E$67,5,0)</f>
        <v>1.21343491</v>
      </c>
      <c r="W760" s="27">
        <f t="shared" si="3"/>
        <v>9340.730714</v>
      </c>
      <c r="X760" s="27">
        <f t="shared" si="4"/>
        <v>190.6271574</v>
      </c>
      <c r="Y760" s="114"/>
      <c r="Z760" s="225" t="s">
        <v>355</v>
      </c>
      <c r="AA760" s="114"/>
      <c r="AB760" s="114"/>
      <c r="AC760" s="114"/>
      <c r="AD760" s="114"/>
    </row>
    <row r="761">
      <c r="A761" s="114" t="s">
        <v>230</v>
      </c>
      <c r="B761" s="114" t="s">
        <v>350</v>
      </c>
      <c r="C761" s="115" t="s">
        <v>121</v>
      </c>
      <c r="D761" s="115" t="s">
        <v>376</v>
      </c>
      <c r="E761" s="116">
        <v>2021.0</v>
      </c>
      <c r="F761" s="116"/>
      <c r="G761" s="116">
        <v>0.0</v>
      </c>
      <c r="H761" s="116">
        <v>26.14</v>
      </c>
      <c r="I761" s="117">
        <v>0.79</v>
      </c>
      <c r="J761" s="116">
        <v>20.64</v>
      </c>
      <c r="K761" s="114"/>
      <c r="L761" s="114"/>
      <c r="M761" s="116">
        <v>9.0</v>
      </c>
      <c r="N761" s="116">
        <v>184.0</v>
      </c>
      <c r="O761" s="114"/>
      <c r="P761" s="140">
        <v>17151.0</v>
      </c>
      <c r="Q761" s="114" t="s">
        <v>234</v>
      </c>
      <c r="R761" s="115">
        <v>2021.0</v>
      </c>
      <c r="S761" s="136">
        <v>0.239000000000001</v>
      </c>
      <c r="T761" s="118">
        <f t="shared" si="28"/>
        <v>4099.089</v>
      </c>
      <c r="U761" s="24">
        <f t="shared" si="2"/>
        <v>156.8128921</v>
      </c>
      <c r="V761" s="26">
        <f>VLOOKUP(R761,CPI!$A$2:$E$67,5,0)</f>
        <v>1.124486105</v>
      </c>
      <c r="W761" s="27">
        <f t="shared" si="3"/>
        <v>4609.368626</v>
      </c>
      <c r="X761" s="27">
        <f t="shared" si="4"/>
        <v>176.3339183</v>
      </c>
      <c r="Y761" s="114"/>
      <c r="Z761" s="119" t="s">
        <v>377</v>
      </c>
      <c r="AA761" s="225" t="s">
        <v>378</v>
      </c>
      <c r="AB761" s="321"/>
      <c r="AC761" s="321"/>
      <c r="AD761" s="114"/>
    </row>
    <row r="762">
      <c r="A762" s="114" t="s">
        <v>230</v>
      </c>
      <c r="B762" s="114" t="s">
        <v>350</v>
      </c>
      <c r="C762" s="115" t="s">
        <v>87</v>
      </c>
      <c r="D762" s="115" t="s">
        <v>357</v>
      </c>
      <c r="E762" s="116">
        <v>2013.0</v>
      </c>
      <c r="F762" s="116">
        <v>2020.0</v>
      </c>
      <c r="G762" s="116">
        <v>0.0</v>
      </c>
      <c r="H762" s="116">
        <v>15.0</v>
      </c>
      <c r="I762" s="117">
        <v>0.6</v>
      </c>
      <c r="J762" s="116">
        <v>9.0</v>
      </c>
      <c r="K762" s="114"/>
      <c r="L762" s="114"/>
      <c r="M762" s="116">
        <v>9.0</v>
      </c>
      <c r="N762" s="116">
        <v>117.0</v>
      </c>
      <c r="O762" s="114"/>
      <c r="P762" s="140">
        <v>7030.0</v>
      </c>
      <c r="Q762" s="114" t="s">
        <v>234</v>
      </c>
      <c r="R762" s="115">
        <v>2017.0</v>
      </c>
      <c r="S762" s="85">
        <v>0.239</v>
      </c>
      <c r="T762" s="118">
        <f t="shared" si="28"/>
        <v>1680.17</v>
      </c>
      <c r="U762" s="24">
        <f t="shared" si="2"/>
        <v>112.0113333</v>
      </c>
      <c r="V762" s="26">
        <f>VLOOKUP(R762,CPI!$A$2:$E$67,5,0)</f>
        <v>1.243072781</v>
      </c>
      <c r="W762" s="27">
        <f t="shared" si="3"/>
        <v>2088.573594</v>
      </c>
      <c r="X762" s="27">
        <f t="shared" si="4"/>
        <v>139.2382396</v>
      </c>
      <c r="Y762" s="114"/>
      <c r="Z762" s="225" t="s">
        <v>355</v>
      </c>
      <c r="AA762" s="114"/>
      <c r="AB762" s="114"/>
      <c r="AC762" s="114"/>
      <c r="AD762" s="114"/>
    </row>
    <row r="763">
      <c r="A763" s="114" t="s">
        <v>230</v>
      </c>
      <c r="B763" s="114" t="s">
        <v>350</v>
      </c>
      <c r="C763" s="115" t="s">
        <v>87</v>
      </c>
      <c r="D763" s="115" t="s">
        <v>375</v>
      </c>
      <c r="E763" s="116">
        <v>2015.0</v>
      </c>
      <c r="F763" s="114"/>
      <c r="G763" s="116">
        <v>0.0</v>
      </c>
      <c r="H763" s="116">
        <v>12.6</v>
      </c>
      <c r="I763" s="117">
        <v>0.57</v>
      </c>
      <c r="J763" s="116">
        <v>7.2</v>
      </c>
      <c r="K763" s="114"/>
      <c r="L763" s="114"/>
      <c r="M763" s="116">
        <v>9.0</v>
      </c>
      <c r="N763" s="116">
        <v>117.0</v>
      </c>
      <c r="O763" s="114"/>
      <c r="P763" s="140">
        <v>6240.0</v>
      </c>
      <c r="Q763" s="114" t="s">
        <v>234</v>
      </c>
      <c r="R763" s="115">
        <v>2015.0</v>
      </c>
      <c r="S763" s="85">
        <v>0.258</v>
      </c>
      <c r="T763" s="118">
        <f t="shared" si="28"/>
        <v>1609.92</v>
      </c>
      <c r="U763" s="24">
        <f t="shared" si="2"/>
        <v>127.7714286</v>
      </c>
      <c r="V763" s="26">
        <f>VLOOKUP(R763,CPI!$A$2:$E$67,5,0)</f>
        <v>1.285570233</v>
      </c>
      <c r="W763" s="27">
        <f t="shared" si="3"/>
        <v>2069.66523</v>
      </c>
      <c r="X763" s="27">
        <f t="shared" si="4"/>
        <v>164.2591452</v>
      </c>
      <c r="Y763" s="114"/>
      <c r="Z763" s="225" t="s">
        <v>355</v>
      </c>
      <c r="AA763" s="114"/>
      <c r="AB763" s="114"/>
      <c r="AC763" s="114"/>
      <c r="AD763" s="114"/>
    </row>
    <row r="764">
      <c r="A764" s="114" t="s">
        <v>230</v>
      </c>
      <c r="B764" s="114" t="s">
        <v>350</v>
      </c>
      <c r="C764" s="114" t="s">
        <v>228</v>
      </c>
      <c r="D764" s="114" t="s">
        <v>228</v>
      </c>
      <c r="E764" s="116">
        <v>2013.0</v>
      </c>
      <c r="F764" s="116">
        <v>2020.0</v>
      </c>
      <c r="G764" s="116">
        <v>0.0</v>
      </c>
      <c r="H764" s="116">
        <v>38.6</v>
      </c>
      <c r="I764" s="117">
        <v>1.0</v>
      </c>
      <c r="J764" s="116">
        <v>38.6</v>
      </c>
      <c r="K764" s="114"/>
      <c r="L764" s="114"/>
      <c r="M764" s="116">
        <v>31.0</v>
      </c>
      <c r="N764" s="116">
        <v>138.0</v>
      </c>
      <c r="O764" s="114"/>
      <c r="P764" s="140">
        <v>27010.0</v>
      </c>
      <c r="Q764" s="114" t="s">
        <v>234</v>
      </c>
      <c r="R764" s="115">
        <v>2017.0</v>
      </c>
      <c r="S764" s="85">
        <v>0.239</v>
      </c>
      <c r="T764" s="118">
        <f t="shared" si="28"/>
        <v>6455.39</v>
      </c>
      <c r="U764" s="24">
        <f t="shared" si="2"/>
        <v>167.2380829</v>
      </c>
      <c r="V764" s="26">
        <f>VLOOKUP(R764,CPI!$A$2:$E$67,5,0)</f>
        <v>1.243072781</v>
      </c>
      <c r="W764" s="27">
        <f t="shared" si="3"/>
        <v>8024.519598</v>
      </c>
      <c r="X764" s="27">
        <f t="shared" si="4"/>
        <v>207.8891087</v>
      </c>
      <c r="Y764" s="114"/>
      <c r="Z764" s="225" t="s">
        <v>355</v>
      </c>
      <c r="AA764" s="114"/>
      <c r="AB764" s="114"/>
      <c r="AC764" s="114"/>
      <c r="AD764" s="114"/>
    </row>
    <row r="765">
      <c r="A765" s="114" t="s">
        <v>230</v>
      </c>
      <c r="B765" s="114" t="s">
        <v>350</v>
      </c>
      <c r="C765" s="115" t="s">
        <v>57</v>
      </c>
      <c r="D765" s="115" t="s">
        <v>354</v>
      </c>
      <c r="E765" s="116">
        <v>2013.0</v>
      </c>
      <c r="F765" s="116">
        <v>2020.0</v>
      </c>
      <c r="G765" s="116">
        <v>0.0</v>
      </c>
      <c r="H765" s="116">
        <v>13.0</v>
      </c>
      <c r="I765" s="117">
        <v>0.43</v>
      </c>
      <c r="J765" s="116">
        <v>5.6</v>
      </c>
      <c r="K765" s="114"/>
      <c r="L765" s="114"/>
      <c r="M765" s="116">
        <v>10.0</v>
      </c>
      <c r="N765" s="116">
        <v>117.0</v>
      </c>
      <c r="O765" s="114"/>
      <c r="P765" s="140">
        <v>5820.0</v>
      </c>
      <c r="Q765" s="114" t="s">
        <v>234</v>
      </c>
      <c r="R765" s="115">
        <v>2017.0</v>
      </c>
      <c r="S765" s="85">
        <v>0.239</v>
      </c>
      <c r="T765" s="118">
        <f t="shared" si="28"/>
        <v>1390.98</v>
      </c>
      <c r="U765" s="24">
        <f t="shared" si="2"/>
        <v>106.9984615</v>
      </c>
      <c r="V765" s="26">
        <f>VLOOKUP(R765,CPI!$A$2:$E$67,5,0)</f>
        <v>1.243072781</v>
      </c>
      <c r="W765" s="27">
        <f t="shared" si="3"/>
        <v>1729.089376</v>
      </c>
      <c r="X765" s="27">
        <f t="shared" si="4"/>
        <v>133.0068751</v>
      </c>
      <c r="Y765" s="114"/>
      <c r="Z765" s="225" t="s">
        <v>355</v>
      </c>
      <c r="AA765" s="114"/>
      <c r="AB765" s="114"/>
      <c r="AC765" s="114"/>
      <c r="AD765" s="114"/>
    </row>
    <row r="766">
      <c r="A766" s="114" t="s">
        <v>230</v>
      </c>
      <c r="B766" s="114" t="s">
        <v>387</v>
      </c>
      <c r="C766" s="114" t="s">
        <v>417</v>
      </c>
      <c r="D766" s="114" t="s">
        <v>417</v>
      </c>
      <c r="E766" s="116">
        <v>2020.0</v>
      </c>
      <c r="F766" s="114"/>
      <c r="G766" s="116">
        <v>0.0</v>
      </c>
      <c r="H766" s="116">
        <v>37.353</v>
      </c>
      <c r="I766" s="117">
        <v>0.28</v>
      </c>
      <c r="J766" s="116">
        <v>10.386</v>
      </c>
      <c r="K766" s="114"/>
      <c r="L766" s="114"/>
      <c r="M766" s="116">
        <v>9.0</v>
      </c>
      <c r="N766" s="116">
        <v>92.0</v>
      </c>
      <c r="O766" s="114"/>
      <c r="P766" s="140">
        <v>8642.0</v>
      </c>
      <c r="Q766" s="114" t="s">
        <v>234</v>
      </c>
      <c r="R766" s="115">
        <v>2020.0</v>
      </c>
      <c r="S766" s="136">
        <v>0.239</v>
      </c>
      <c r="T766" s="118">
        <f t="shared" si="28"/>
        <v>2065.438</v>
      </c>
      <c r="U766" s="24">
        <f t="shared" si="2"/>
        <v>55.29510347</v>
      </c>
      <c r="V766" s="26">
        <f>VLOOKUP(R766,CPI!$A$2:$E$67,5,0)</f>
        <v>1.17731472</v>
      </c>
      <c r="W766" s="27">
        <f t="shared" si="3"/>
        <v>2431.670561</v>
      </c>
      <c r="X766" s="27">
        <f t="shared" si="4"/>
        <v>65.09973926</v>
      </c>
      <c r="Y766" s="114"/>
      <c r="Z766" s="119" t="s">
        <v>418</v>
      </c>
      <c r="AA766" s="119" t="s">
        <v>419</v>
      </c>
      <c r="AB766" s="225" t="s">
        <v>420</v>
      </c>
      <c r="AC766" s="321"/>
      <c r="AD766" s="321"/>
    </row>
    <row r="767">
      <c r="A767" s="114" t="s">
        <v>230</v>
      </c>
      <c r="B767" s="114" t="s">
        <v>387</v>
      </c>
      <c r="C767" s="171" t="s">
        <v>414</v>
      </c>
      <c r="D767" s="114" t="s">
        <v>415</v>
      </c>
      <c r="E767" s="116">
        <v>2018.0</v>
      </c>
      <c r="F767" s="114"/>
      <c r="G767" s="116">
        <v>0.0</v>
      </c>
      <c r="H767" s="116">
        <v>4.6</v>
      </c>
      <c r="I767" s="114"/>
      <c r="J767" s="114"/>
      <c r="K767" s="114"/>
      <c r="L767" s="114"/>
      <c r="M767" s="116">
        <v>2.0</v>
      </c>
      <c r="N767" s="116">
        <v>117.0</v>
      </c>
      <c r="O767" s="114"/>
      <c r="P767" s="140">
        <v>3500.0</v>
      </c>
      <c r="Q767" s="114" t="s">
        <v>234</v>
      </c>
      <c r="R767" s="115">
        <v>2018.0</v>
      </c>
      <c r="S767" s="85">
        <v>0.237</v>
      </c>
      <c r="T767" s="118">
        <f t="shared" si="28"/>
        <v>829.5</v>
      </c>
      <c r="U767" s="24">
        <f t="shared" si="2"/>
        <v>180.326087</v>
      </c>
      <c r="V767" s="26">
        <f>VLOOKUP(R767,CPI!$A$2:$E$67,5,0)</f>
        <v>1.21343491</v>
      </c>
      <c r="W767" s="27">
        <f t="shared" si="3"/>
        <v>1006.544258</v>
      </c>
      <c r="X767" s="27">
        <f t="shared" si="4"/>
        <v>218.8139691</v>
      </c>
      <c r="Y767" s="114"/>
      <c r="Z767" s="225" t="s">
        <v>416</v>
      </c>
      <c r="AA767" s="114"/>
      <c r="AB767" s="114"/>
      <c r="AC767" s="114"/>
      <c r="AD767" s="114"/>
    </row>
    <row r="768">
      <c r="A768" s="114" t="s">
        <v>230</v>
      </c>
      <c r="B768" s="114" t="s">
        <v>387</v>
      </c>
      <c r="C768" s="171" t="s">
        <v>414</v>
      </c>
      <c r="D768" s="114" t="s">
        <v>414</v>
      </c>
      <c r="E768" s="116">
        <v>2020.0</v>
      </c>
      <c r="F768" s="114"/>
      <c r="G768" s="116">
        <v>0.0</v>
      </c>
      <c r="H768" s="116">
        <v>28.22</v>
      </c>
      <c r="I768" s="117">
        <v>0.21</v>
      </c>
      <c r="J768" s="116">
        <v>5.8</v>
      </c>
      <c r="K768" s="114"/>
      <c r="L768" s="114"/>
      <c r="M768" s="116">
        <v>7.0</v>
      </c>
      <c r="N768" s="116">
        <v>117.0</v>
      </c>
      <c r="O768" s="114"/>
      <c r="P768" s="140">
        <v>6892.0</v>
      </c>
      <c r="Q768" s="114" t="s">
        <v>234</v>
      </c>
      <c r="R768" s="115">
        <v>2020.0</v>
      </c>
      <c r="S768" s="136">
        <v>0.239</v>
      </c>
      <c r="T768" s="118">
        <f t="shared" si="28"/>
        <v>1647.188</v>
      </c>
      <c r="U768" s="24">
        <f t="shared" si="2"/>
        <v>58.36952516</v>
      </c>
      <c r="V768" s="26">
        <f>VLOOKUP(R768,CPI!$A$2:$E$67,5,0)</f>
        <v>1.17731472</v>
      </c>
      <c r="W768" s="27">
        <f t="shared" si="3"/>
        <v>1939.258679</v>
      </c>
      <c r="X768" s="27">
        <f t="shared" si="4"/>
        <v>68.71930117</v>
      </c>
      <c r="Y768" s="114"/>
      <c r="Z768" s="119" t="s">
        <v>421</v>
      </c>
      <c r="AA768" s="119" t="s">
        <v>422</v>
      </c>
    </row>
    <row r="769">
      <c r="A769" s="114" t="s">
        <v>230</v>
      </c>
      <c r="B769" s="114" t="s">
        <v>387</v>
      </c>
      <c r="C769" s="16" t="s">
        <v>121</v>
      </c>
      <c r="D769" s="115" t="s">
        <v>402</v>
      </c>
      <c r="E769" s="116">
        <v>2022.0</v>
      </c>
      <c r="F769" s="116">
        <v>2026.0</v>
      </c>
      <c r="G769" s="116">
        <v>0.0</v>
      </c>
      <c r="H769" s="116">
        <v>14.18</v>
      </c>
      <c r="I769" s="117">
        <v>1.0</v>
      </c>
      <c r="J769" s="116">
        <v>14.18</v>
      </c>
      <c r="K769" s="114"/>
      <c r="L769" s="114"/>
      <c r="M769" s="116">
        <v>9.0</v>
      </c>
      <c r="N769" s="116">
        <v>117.0</v>
      </c>
      <c r="O769" s="114"/>
      <c r="P769" s="140">
        <v>12256.96</v>
      </c>
      <c r="Q769" s="114" t="s">
        <v>234</v>
      </c>
      <c r="R769" s="115">
        <v>2024.0</v>
      </c>
      <c r="S769" s="136">
        <v>0.239000000000001</v>
      </c>
      <c r="T769" s="118">
        <f t="shared" si="28"/>
        <v>2929.41344</v>
      </c>
      <c r="U769" s="24">
        <f t="shared" si="2"/>
        <v>206.5876897</v>
      </c>
      <c r="V769" s="26">
        <f>VLOOKUP(R769,CPI!$A$2:$E$67,5,0)</f>
        <v>1</v>
      </c>
      <c r="W769" s="27">
        <f t="shared" si="3"/>
        <v>2929.41344</v>
      </c>
      <c r="X769" s="27">
        <f t="shared" si="4"/>
        <v>206.5876897</v>
      </c>
      <c r="Y769" s="114"/>
      <c r="Z769" s="119" t="s">
        <v>403</v>
      </c>
      <c r="AA769" s="114"/>
      <c r="AB769" s="114"/>
      <c r="AC769" s="431"/>
      <c r="AD769" s="114"/>
    </row>
    <row r="770">
      <c r="A770" s="114" t="s">
        <v>230</v>
      </c>
      <c r="B770" s="114" t="s">
        <v>387</v>
      </c>
      <c r="C770" s="16" t="s">
        <v>351</v>
      </c>
      <c r="D770" s="115" t="s">
        <v>397</v>
      </c>
      <c r="E770" s="82">
        <v>2020.0</v>
      </c>
      <c r="F770" s="116">
        <v>2025.0</v>
      </c>
      <c r="G770" s="116">
        <v>0.0</v>
      </c>
      <c r="H770" s="116">
        <v>10.61</v>
      </c>
      <c r="I770" s="117">
        <v>1.0</v>
      </c>
      <c r="J770" s="116">
        <v>10.61</v>
      </c>
      <c r="K770" s="114"/>
      <c r="L770" s="114"/>
      <c r="M770" s="116">
        <v>8.0</v>
      </c>
      <c r="N770" s="116">
        <v>117.0</v>
      </c>
      <c r="O770" s="114"/>
      <c r="P770" s="140">
        <v>9966.0</v>
      </c>
      <c r="Q770" s="114" t="s">
        <v>234</v>
      </c>
      <c r="R770" s="115">
        <v>2023.0</v>
      </c>
      <c r="S770" s="136">
        <v>0.239000000000001</v>
      </c>
      <c r="T770" s="118">
        <f t="shared" si="28"/>
        <v>2381.874</v>
      </c>
      <c r="U770" s="24">
        <f t="shared" si="2"/>
        <v>224.4933082</v>
      </c>
      <c r="V770" s="26">
        <f>VLOOKUP(R770,CPI!$A$2:$E$67,5,0)</f>
        <v>1</v>
      </c>
      <c r="W770" s="27">
        <f t="shared" si="3"/>
        <v>2381.874</v>
      </c>
      <c r="X770" s="27">
        <f t="shared" si="4"/>
        <v>224.4933082</v>
      </c>
      <c r="Y770" s="114"/>
      <c r="Z770" s="432" t="s">
        <v>398</v>
      </c>
      <c r="AA770" s="321"/>
      <c r="AB770" s="114"/>
      <c r="AC770" s="114"/>
      <c r="AD770" s="114"/>
    </row>
    <row r="771">
      <c r="A771" s="114" t="s">
        <v>230</v>
      </c>
      <c r="B771" s="114" t="s">
        <v>387</v>
      </c>
      <c r="C771" s="171" t="s">
        <v>80</v>
      </c>
      <c r="D771" s="114" t="s">
        <v>342</v>
      </c>
      <c r="E771" s="116">
        <v>2022.0</v>
      </c>
      <c r="F771" s="114"/>
      <c r="G771" s="116">
        <v>0.0</v>
      </c>
      <c r="H771" s="116">
        <v>6.7</v>
      </c>
      <c r="I771" s="114"/>
      <c r="J771" s="114"/>
      <c r="K771" s="114"/>
      <c r="L771" s="114"/>
      <c r="M771" s="116">
        <v>3.0</v>
      </c>
      <c r="N771" s="116">
        <v>117.0</v>
      </c>
      <c r="O771" s="114"/>
      <c r="P771" s="140">
        <v>4469.0</v>
      </c>
      <c r="Q771" s="114" t="s">
        <v>234</v>
      </c>
      <c r="R771" s="115">
        <v>2021.0</v>
      </c>
      <c r="S771" s="136">
        <v>0.239000000000001</v>
      </c>
      <c r="T771" s="118">
        <f t="shared" si="28"/>
        <v>1068.091</v>
      </c>
      <c r="U771" s="24">
        <f t="shared" si="2"/>
        <v>159.4165672</v>
      </c>
      <c r="V771" s="26">
        <f>VLOOKUP(R771,CPI!$A$2:$E$67,5,0)</f>
        <v>1.124486105</v>
      </c>
      <c r="W771" s="27">
        <f t="shared" si="3"/>
        <v>1201.053489</v>
      </c>
      <c r="X771" s="27">
        <f t="shared" si="4"/>
        <v>179.2617148</v>
      </c>
      <c r="Y771" s="114"/>
      <c r="Z771" s="119" t="s">
        <v>429</v>
      </c>
      <c r="AA771" s="114"/>
      <c r="AB771" s="114"/>
      <c r="AC771" s="114"/>
      <c r="AD771" s="114"/>
    </row>
    <row r="772">
      <c r="A772" s="114" t="s">
        <v>230</v>
      </c>
      <c r="B772" s="114" t="s">
        <v>387</v>
      </c>
      <c r="C772" s="114" t="s">
        <v>295</v>
      </c>
      <c r="D772" s="114" t="s">
        <v>295</v>
      </c>
      <c r="E772" s="116">
        <v>2021.0</v>
      </c>
      <c r="F772" s="116">
        <v>2027.0</v>
      </c>
      <c r="G772" s="116">
        <v>1.0</v>
      </c>
      <c r="H772" s="116">
        <v>51.789</v>
      </c>
      <c r="I772" s="117">
        <v>0.98</v>
      </c>
      <c r="J772" s="116">
        <v>50.529</v>
      </c>
      <c r="K772" s="114"/>
      <c r="L772" s="114"/>
      <c r="M772" s="116">
        <v>14.0</v>
      </c>
      <c r="N772" s="116">
        <v>138.0</v>
      </c>
      <c r="O772" s="114"/>
      <c r="P772" s="140">
        <v>34587.0</v>
      </c>
      <c r="Q772" s="114" t="s">
        <v>234</v>
      </c>
      <c r="R772" s="115">
        <v>2021.0</v>
      </c>
      <c r="S772" s="136">
        <v>0.239000000000001</v>
      </c>
      <c r="T772" s="118">
        <f t="shared" si="28"/>
        <v>8266.293</v>
      </c>
      <c r="U772" s="24">
        <f t="shared" si="2"/>
        <v>159.614841</v>
      </c>
      <c r="V772" s="26">
        <f>VLOOKUP(R772,CPI!$A$2:$E$67,5,0)</f>
        <v>1.124486105</v>
      </c>
      <c r="W772" s="27">
        <f t="shared" si="3"/>
        <v>9295.331622</v>
      </c>
      <c r="X772" s="27">
        <f t="shared" si="4"/>
        <v>179.4846709</v>
      </c>
      <c r="Y772" s="114"/>
      <c r="Z772" s="119" t="s">
        <v>406</v>
      </c>
      <c r="AA772" s="119" t="s">
        <v>407</v>
      </c>
    </row>
    <row r="773">
      <c r="A773" s="114" t="s">
        <v>230</v>
      </c>
      <c r="B773" s="114" t="s">
        <v>387</v>
      </c>
      <c r="C773" s="115" t="s">
        <v>260</v>
      </c>
      <c r="D773" s="115" t="s">
        <v>423</v>
      </c>
      <c r="E773" s="116">
        <v>2021.0</v>
      </c>
      <c r="F773" s="114"/>
      <c r="G773" s="116">
        <v>1.0</v>
      </c>
      <c r="H773" s="116">
        <v>32.8</v>
      </c>
      <c r="I773" s="117">
        <v>0.93</v>
      </c>
      <c r="J773" s="116">
        <v>30.5</v>
      </c>
      <c r="K773" s="114"/>
      <c r="L773" s="114"/>
      <c r="M773" s="116">
        <v>11.0</v>
      </c>
      <c r="N773" s="116">
        <v>138.0</v>
      </c>
      <c r="O773" s="114"/>
      <c r="P773" s="140">
        <v>22659.0</v>
      </c>
      <c r="Q773" s="114" t="s">
        <v>234</v>
      </c>
      <c r="R773" s="115">
        <v>2021.0</v>
      </c>
      <c r="S773" s="136">
        <v>0.239000000000001</v>
      </c>
      <c r="T773" s="118">
        <f t="shared" si="28"/>
        <v>5415.501</v>
      </c>
      <c r="U773" s="24">
        <f t="shared" si="2"/>
        <v>165.1067378</v>
      </c>
      <c r="V773" s="26">
        <f>VLOOKUP(R773,CPI!$A$2:$E$67,5,0)</f>
        <v>1.124486105</v>
      </c>
      <c r="W773" s="27">
        <f t="shared" si="3"/>
        <v>6089.655629</v>
      </c>
      <c r="X773" s="27">
        <f t="shared" si="4"/>
        <v>185.6602326</v>
      </c>
      <c r="Y773" s="114"/>
      <c r="Z773" s="119" t="s">
        <v>424</v>
      </c>
      <c r="AA773" s="114"/>
      <c r="AB773" s="114"/>
      <c r="AC773" s="114"/>
      <c r="AD773" s="114"/>
    </row>
    <row r="774">
      <c r="A774" s="114" t="s">
        <v>230</v>
      </c>
      <c r="B774" s="114" t="s">
        <v>387</v>
      </c>
      <c r="C774" s="115" t="s">
        <v>260</v>
      </c>
      <c r="D774" s="115" t="s">
        <v>261</v>
      </c>
      <c r="E774" s="116">
        <v>2021.0</v>
      </c>
      <c r="F774" s="116">
        <v>2027.0</v>
      </c>
      <c r="G774" s="116">
        <v>1.0</v>
      </c>
      <c r="H774" s="116">
        <v>38.73</v>
      </c>
      <c r="I774" s="117">
        <v>0.92</v>
      </c>
      <c r="J774" s="116">
        <v>35.463</v>
      </c>
      <c r="K774" s="114"/>
      <c r="L774" s="114"/>
      <c r="M774" s="116">
        <v>14.0</v>
      </c>
      <c r="N774" s="116">
        <v>138.0</v>
      </c>
      <c r="O774" s="114"/>
      <c r="P774" s="140">
        <v>27398.0</v>
      </c>
      <c r="Q774" s="114" t="s">
        <v>234</v>
      </c>
      <c r="R774" s="115">
        <v>2021.0</v>
      </c>
      <c r="S774" s="136">
        <v>0.239000000000001</v>
      </c>
      <c r="T774" s="118">
        <f t="shared" si="28"/>
        <v>6548.122</v>
      </c>
      <c r="U774" s="24">
        <f t="shared" si="2"/>
        <v>169.071056</v>
      </c>
      <c r="V774" s="26">
        <f>VLOOKUP(R774,CPI!$A$2:$E$67,5,0)</f>
        <v>1.124486105</v>
      </c>
      <c r="W774" s="27">
        <f t="shared" si="3"/>
        <v>7363.272206</v>
      </c>
      <c r="X774" s="27">
        <f t="shared" si="4"/>
        <v>190.1180533</v>
      </c>
      <c r="Y774" s="114"/>
      <c r="Z774" s="119" t="s">
        <v>404</v>
      </c>
      <c r="AA774" s="225" t="s">
        <v>405</v>
      </c>
      <c r="AB774" s="321"/>
      <c r="AC774" s="321"/>
      <c r="AD774" s="114"/>
    </row>
    <row r="775">
      <c r="A775" s="114" t="s">
        <v>230</v>
      </c>
      <c r="B775" s="114" t="s">
        <v>387</v>
      </c>
      <c r="C775" s="16" t="s">
        <v>425</v>
      </c>
      <c r="D775" s="115" t="s">
        <v>426</v>
      </c>
      <c r="E775" s="116">
        <v>2021.0</v>
      </c>
      <c r="F775" s="114"/>
      <c r="G775" s="116">
        <v>0.0</v>
      </c>
      <c r="H775" s="116">
        <v>18.9</v>
      </c>
      <c r="I775" s="117">
        <v>1.0</v>
      </c>
      <c r="J775" s="116">
        <v>18.9</v>
      </c>
      <c r="K775" s="114"/>
      <c r="L775" s="114"/>
      <c r="M775" s="116">
        <v>12.0</v>
      </c>
      <c r="N775" s="116">
        <v>117.0</v>
      </c>
      <c r="O775" s="114"/>
      <c r="P775" s="140">
        <v>15364.0</v>
      </c>
      <c r="Q775" s="114" t="s">
        <v>234</v>
      </c>
      <c r="R775" s="115">
        <v>2021.0</v>
      </c>
      <c r="S775" s="136">
        <v>0.239000000000001</v>
      </c>
      <c r="T775" s="118">
        <f t="shared" si="28"/>
        <v>3671.996</v>
      </c>
      <c r="U775" s="24">
        <f t="shared" si="2"/>
        <v>194.2855026</v>
      </c>
      <c r="V775" s="26">
        <f>VLOOKUP(R775,CPI!$A$2:$E$67,5,0)</f>
        <v>1.124486105</v>
      </c>
      <c r="W775" s="27">
        <f t="shared" si="3"/>
        <v>4129.108481</v>
      </c>
      <c r="X775" s="27">
        <f t="shared" si="4"/>
        <v>218.4713482</v>
      </c>
      <c r="Y775" s="114"/>
      <c r="Z775" s="119" t="s">
        <v>427</v>
      </c>
      <c r="AA775" s="114"/>
      <c r="AB775" s="114"/>
      <c r="AC775" s="114"/>
      <c r="AD775" s="114"/>
    </row>
    <row r="776">
      <c r="A776" s="114" t="s">
        <v>230</v>
      </c>
      <c r="B776" s="114" t="s">
        <v>387</v>
      </c>
      <c r="C776" s="115" t="s">
        <v>57</v>
      </c>
      <c r="D776" s="115" t="s">
        <v>410</v>
      </c>
      <c r="E776" s="116">
        <v>2007.0</v>
      </c>
      <c r="F776" s="114"/>
      <c r="G776" s="116">
        <v>0.0</v>
      </c>
      <c r="H776" s="116">
        <v>15.5</v>
      </c>
      <c r="I776" s="114"/>
      <c r="J776" s="114"/>
      <c r="K776" s="114"/>
      <c r="L776" s="114"/>
      <c r="M776" s="116">
        <v>9.0</v>
      </c>
      <c r="N776" s="116">
        <v>117.0</v>
      </c>
      <c r="O776" s="114"/>
      <c r="P776" s="140">
        <v>5014.0</v>
      </c>
      <c r="Q776" s="114" t="s">
        <v>234</v>
      </c>
      <c r="R776" s="115">
        <v>2007.0</v>
      </c>
      <c r="S776" s="85">
        <v>0.333</v>
      </c>
      <c r="T776" s="118">
        <f t="shared" si="28"/>
        <v>1669.662</v>
      </c>
      <c r="U776" s="24">
        <f t="shared" si="2"/>
        <v>107.720129</v>
      </c>
      <c r="V776" s="26">
        <f>VLOOKUP(R776,CPI!$A$2:$E$67,5,0)</f>
        <v>1.469562366</v>
      </c>
      <c r="W776" s="27">
        <f t="shared" si="3"/>
        <v>2453.672438</v>
      </c>
      <c r="X776" s="27">
        <f t="shared" si="4"/>
        <v>158.3014476</v>
      </c>
      <c r="Y776" s="114"/>
      <c r="Z776" s="119" t="s">
        <v>411</v>
      </c>
      <c r="AA776" s="114"/>
      <c r="AB776" s="114"/>
      <c r="AC776" s="114"/>
      <c r="AD776" s="114"/>
    </row>
    <row r="777">
      <c r="A777" s="114" t="s">
        <v>230</v>
      </c>
      <c r="B777" s="114" t="s">
        <v>387</v>
      </c>
      <c r="C777" s="115" t="s">
        <v>57</v>
      </c>
      <c r="D777" s="115" t="s">
        <v>232</v>
      </c>
      <c r="E777" s="116">
        <v>2007.0</v>
      </c>
      <c r="F777" s="114"/>
      <c r="G777" s="116">
        <v>0.0</v>
      </c>
      <c r="H777" s="116">
        <v>16.5</v>
      </c>
      <c r="I777" s="114"/>
      <c r="J777" s="114"/>
      <c r="K777" s="114"/>
      <c r="L777" s="114"/>
      <c r="M777" s="116">
        <v>14.0</v>
      </c>
      <c r="N777" s="116">
        <v>117.0</v>
      </c>
      <c r="O777" s="114"/>
      <c r="P777" s="140">
        <v>7500.0</v>
      </c>
      <c r="Q777" s="114" t="s">
        <v>234</v>
      </c>
      <c r="R777" s="115">
        <v>2007.0</v>
      </c>
      <c r="S777" s="85">
        <v>0.333</v>
      </c>
      <c r="T777" s="118">
        <f t="shared" si="28"/>
        <v>2497.5</v>
      </c>
      <c r="U777" s="24">
        <f t="shared" si="2"/>
        <v>151.3636364</v>
      </c>
      <c r="V777" s="26">
        <f>VLOOKUP(R777,CPI!$A$2:$E$67,5,0)</f>
        <v>1.469562366</v>
      </c>
      <c r="W777" s="27">
        <f t="shared" si="3"/>
        <v>3670.232008</v>
      </c>
      <c r="X777" s="27">
        <f t="shared" si="4"/>
        <v>222.4383035</v>
      </c>
      <c r="Y777" s="114"/>
      <c r="Z777" s="119" t="s">
        <v>411</v>
      </c>
      <c r="AA777" s="114"/>
      <c r="AB777" s="114"/>
      <c r="AC777" s="114"/>
      <c r="AD777" s="114"/>
    </row>
    <row r="778">
      <c r="A778" s="114" t="s">
        <v>230</v>
      </c>
      <c r="B778" s="114" t="s">
        <v>387</v>
      </c>
      <c r="C778" s="114" t="s">
        <v>87</v>
      </c>
      <c r="D778" s="114" t="s">
        <v>87</v>
      </c>
      <c r="E778" s="116">
        <v>2007.0</v>
      </c>
      <c r="F778" s="114"/>
      <c r="G778" s="116">
        <v>0.0</v>
      </c>
      <c r="H778" s="116">
        <v>39.1</v>
      </c>
      <c r="I778" s="114"/>
      <c r="J778" s="114"/>
      <c r="K778" s="114"/>
      <c r="L778" s="114"/>
      <c r="M778" s="116">
        <v>29.0</v>
      </c>
      <c r="N778" s="116">
        <v>120.0</v>
      </c>
      <c r="O778" s="114"/>
      <c r="P778" s="140">
        <v>13800.0</v>
      </c>
      <c r="Q778" s="114" t="s">
        <v>234</v>
      </c>
      <c r="R778" s="115">
        <v>2007.0</v>
      </c>
      <c r="S778" s="85">
        <v>0.333</v>
      </c>
      <c r="T778" s="118">
        <f t="shared" si="28"/>
        <v>4595.4</v>
      </c>
      <c r="U778" s="24">
        <f t="shared" si="2"/>
        <v>117.5294118</v>
      </c>
      <c r="V778" s="26">
        <f>VLOOKUP(R778,CPI!$A$2:$E$67,5,0)</f>
        <v>1.469562366</v>
      </c>
      <c r="W778" s="27">
        <f t="shared" si="3"/>
        <v>6753.226895</v>
      </c>
      <c r="X778" s="27">
        <f t="shared" si="4"/>
        <v>172.7168004</v>
      </c>
      <c r="Y778" s="114"/>
      <c r="Z778" s="119" t="s">
        <v>412</v>
      </c>
      <c r="AA778" s="114"/>
      <c r="AB778" s="114"/>
      <c r="AC778" s="114"/>
      <c r="AD778" s="114"/>
    </row>
    <row r="779">
      <c r="A779" s="114" t="s">
        <v>230</v>
      </c>
      <c r="B779" s="114" t="s">
        <v>387</v>
      </c>
      <c r="C779" s="114" t="s">
        <v>54</v>
      </c>
      <c r="D779" s="114" t="s">
        <v>54</v>
      </c>
      <c r="E779" s="116">
        <v>2000.0</v>
      </c>
      <c r="F779" s="114"/>
      <c r="G779" s="116">
        <v>0.0</v>
      </c>
      <c r="H779" s="116">
        <v>19.15</v>
      </c>
      <c r="I779" s="114"/>
      <c r="J779" s="114"/>
      <c r="K779" s="114"/>
      <c r="L779" s="114"/>
      <c r="M779" s="116">
        <v>18.0</v>
      </c>
      <c r="N779" s="116">
        <v>120.0</v>
      </c>
      <c r="O779" s="114"/>
      <c r="P779" s="140">
        <v>4300.0</v>
      </c>
      <c r="Q779" s="114" t="s">
        <v>234</v>
      </c>
      <c r="R779" s="115">
        <v>2000.0</v>
      </c>
      <c r="S779" s="85">
        <v>0.367</v>
      </c>
      <c r="T779" s="118">
        <f t="shared" si="28"/>
        <v>1578.1</v>
      </c>
      <c r="U779" s="24">
        <f t="shared" si="2"/>
        <v>82.4073107</v>
      </c>
      <c r="V779" s="26">
        <f>VLOOKUP(R779,CPI!$A$2:$E$67,5,0)</f>
        <v>1.769465738</v>
      </c>
      <c r="W779" s="27">
        <f t="shared" si="3"/>
        <v>2792.39388</v>
      </c>
      <c r="X779" s="27">
        <f t="shared" si="4"/>
        <v>145.8169128</v>
      </c>
      <c r="Y779" s="114"/>
      <c r="Z779" s="119" t="s">
        <v>408</v>
      </c>
      <c r="AA779" s="119" t="s">
        <v>409</v>
      </c>
    </row>
    <row r="780">
      <c r="A780" s="114" t="s">
        <v>230</v>
      </c>
      <c r="B780" s="114" t="s">
        <v>387</v>
      </c>
      <c r="C780" s="36" t="s">
        <v>110</v>
      </c>
      <c r="D780" s="114" t="s">
        <v>399</v>
      </c>
      <c r="E780" s="116">
        <v>2021.0</v>
      </c>
      <c r="F780" s="116">
        <v>2026.0</v>
      </c>
      <c r="G780" s="116">
        <v>0.0</v>
      </c>
      <c r="H780" s="116">
        <v>10.9</v>
      </c>
      <c r="I780" s="117">
        <v>1.0</v>
      </c>
      <c r="J780" s="116">
        <v>10.9</v>
      </c>
      <c r="K780" s="114"/>
      <c r="L780" s="114"/>
      <c r="M780" s="116">
        <v>9.0</v>
      </c>
      <c r="N780" s="116">
        <v>117.0</v>
      </c>
      <c r="O780" s="114"/>
      <c r="P780" s="140">
        <v>10603.0</v>
      </c>
      <c r="Q780" s="114" t="s">
        <v>234</v>
      </c>
      <c r="R780" s="115">
        <v>2021.0</v>
      </c>
      <c r="S780" s="136">
        <v>0.239000000000001</v>
      </c>
      <c r="T780" s="118">
        <f t="shared" si="28"/>
        <v>2534.117</v>
      </c>
      <c r="U780" s="24">
        <f t="shared" si="2"/>
        <v>232.4877982</v>
      </c>
      <c r="V780" s="26">
        <f>VLOOKUP(R780,CPI!$A$2:$E$67,5,0)</f>
        <v>1.124486105</v>
      </c>
      <c r="W780" s="27">
        <f t="shared" si="3"/>
        <v>2849.579356</v>
      </c>
      <c r="X780" s="27">
        <f t="shared" si="4"/>
        <v>261.4292987</v>
      </c>
      <c r="Y780" s="114"/>
      <c r="Z780" s="119" t="s">
        <v>400</v>
      </c>
      <c r="AA780" s="225" t="s">
        <v>401</v>
      </c>
      <c r="AB780" s="321"/>
      <c r="AC780" s="321"/>
      <c r="AD780" s="321"/>
    </row>
    <row r="781">
      <c r="A781" s="114" t="s">
        <v>230</v>
      </c>
      <c r="B781" s="114" t="s">
        <v>449</v>
      </c>
      <c r="C781" s="36" t="s">
        <v>80</v>
      </c>
      <c r="D781" s="114" t="s">
        <v>457</v>
      </c>
      <c r="E781" s="116">
        <v>2020.0</v>
      </c>
      <c r="F781" s="114"/>
      <c r="G781" s="116">
        <v>0.0</v>
      </c>
      <c r="H781" s="116">
        <v>5.29</v>
      </c>
      <c r="I781" s="117">
        <v>1.0</v>
      </c>
      <c r="J781" s="116">
        <v>5.29</v>
      </c>
      <c r="K781" s="114"/>
      <c r="L781" s="114"/>
      <c r="M781" s="116">
        <v>6.0</v>
      </c>
      <c r="N781" s="116">
        <v>117.0</v>
      </c>
      <c r="O781" s="114"/>
      <c r="P781" s="140">
        <v>4083.0</v>
      </c>
      <c r="Q781" s="114" t="s">
        <v>234</v>
      </c>
      <c r="R781" s="115">
        <v>2020.0</v>
      </c>
      <c r="S781" s="136">
        <v>0.239</v>
      </c>
      <c r="T781" s="118">
        <f t="shared" si="28"/>
        <v>975.837</v>
      </c>
      <c r="U781" s="24">
        <f t="shared" si="2"/>
        <v>184.468242</v>
      </c>
      <c r="V781" s="26">
        <f>VLOOKUP(R781,CPI!$A$2:$E$67,5,0)</f>
        <v>1.17731472</v>
      </c>
      <c r="W781" s="27">
        <f t="shared" si="3"/>
        <v>1148.867264</v>
      </c>
      <c r="X781" s="27">
        <f t="shared" si="4"/>
        <v>217.1771766</v>
      </c>
      <c r="Y781" s="114"/>
      <c r="Z781" s="119" t="s">
        <v>454</v>
      </c>
      <c r="AA781" s="225" t="s">
        <v>455</v>
      </c>
      <c r="AB781" s="321"/>
      <c r="AC781" s="321"/>
      <c r="AD781" s="321"/>
    </row>
    <row r="782">
      <c r="A782" s="114" t="s">
        <v>230</v>
      </c>
      <c r="B782" s="114" t="s">
        <v>461</v>
      </c>
      <c r="C782" s="115" t="s">
        <v>267</v>
      </c>
      <c r="D782" s="115" t="s">
        <v>463</v>
      </c>
      <c r="E782" s="116">
        <v>2012.0</v>
      </c>
      <c r="F782" s="116">
        <v>2018.0</v>
      </c>
      <c r="G782" s="116">
        <v>0.0</v>
      </c>
      <c r="H782" s="116">
        <v>54.4</v>
      </c>
      <c r="I782" s="117">
        <v>0.4</v>
      </c>
      <c r="J782" s="116">
        <v>21.9</v>
      </c>
      <c r="K782" s="114"/>
      <c r="L782" s="114"/>
      <c r="M782" s="116">
        <v>13.0</v>
      </c>
      <c r="N782" s="116">
        <v>117.0</v>
      </c>
      <c r="O782" s="114"/>
      <c r="P782" s="140">
        <v>18913.0</v>
      </c>
      <c r="Q782" s="114" t="s">
        <v>234</v>
      </c>
      <c r="R782" s="115">
        <v>2015.0</v>
      </c>
      <c r="S782" s="85">
        <v>0.258</v>
      </c>
      <c r="T782" s="118">
        <f t="shared" si="28"/>
        <v>4879.554</v>
      </c>
      <c r="U782" s="24">
        <f t="shared" si="2"/>
        <v>89.69768382</v>
      </c>
      <c r="V782" s="26">
        <f>VLOOKUP(R782,CPI!$A$2:$E$67,5,0)</f>
        <v>1.285570233</v>
      </c>
      <c r="W782" s="27">
        <f t="shared" si="3"/>
        <v>6273.009374</v>
      </c>
      <c r="X782" s="27">
        <f t="shared" si="4"/>
        <v>115.3126723</v>
      </c>
      <c r="Y782" s="114"/>
      <c r="Z782" s="119" t="s">
        <v>464</v>
      </c>
      <c r="AA782" s="119" t="s">
        <v>465</v>
      </c>
    </row>
    <row r="783">
      <c r="A783" s="114" t="s">
        <v>230</v>
      </c>
      <c r="B783" s="114" t="s">
        <v>461</v>
      </c>
      <c r="C783" s="115" t="s">
        <v>267</v>
      </c>
      <c r="D783" s="114" t="s">
        <v>466</v>
      </c>
      <c r="E783" s="116">
        <v>2012.0</v>
      </c>
      <c r="F783" s="116">
        <v>2018.0</v>
      </c>
      <c r="G783" s="116">
        <v>0.0</v>
      </c>
      <c r="H783" s="116">
        <v>21.6</v>
      </c>
      <c r="I783" s="117">
        <v>0.92</v>
      </c>
      <c r="J783" s="116">
        <v>19.9</v>
      </c>
      <c r="K783" s="114"/>
      <c r="L783" s="114"/>
      <c r="M783" s="116">
        <v>5.0</v>
      </c>
      <c r="N783" s="116">
        <v>117.0</v>
      </c>
      <c r="O783" s="114"/>
      <c r="P783" s="140">
        <v>7802.0</v>
      </c>
      <c r="Q783" s="114" t="s">
        <v>234</v>
      </c>
      <c r="R783" s="115">
        <v>2015.0</v>
      </c>
      <c r="S783" s="85">
        <v>0.258</v>
      </c>
      <c r="T783" s="118">
        <f t="shared" si="28"/>
        <v>2012.916</v>
      </c>
      <c r="U783" s="24">
        <f t="shared" si="2"/>
        <v>93.19055556</v>
      </c>
      <c r="V783" s="26">
        <f>VLOOKUP(R783,CPI!$A$2:$E$67,5,0)</f>
        <v>1.285570233</v>
      </c>
      <c r="W783" s="27">
        <f t="shared" si="3"/>
        <v>2587.744892</v>
      </c>
      <c r="X783" s="27">
        <f t="shared" si="4"/>
        <v>119.8030043</v>
      </c>
      <c r="Y783" s="114"/>
      <c r="Z783" s="119" t="s">
        <v>464</v>
      </c>
      <c r="AA783" s="119" t="s">
        <v>467</v>
      </c>
    </row>
    <row r="784">
      <c r="A784" s="114" t="s">
        <v>230</v>
      </c>
      <c r="B784" s="114" t="s">
        <v>461</v>
      </c>
      <c r="C784" s="16" t="s">
        <v>110</v>
      </c>
      <c r="D784" s="114" t="s">
        <v>470</v>
      </c>
      <c r="E784" s="116">
        <v>2012.0</v>
      </c>
      <c r="F784" s="116">
        <v>2018.0</v>
      </c>
      <c r="G784" s="116">
        <v>0.0</v>
      </c>
      <c r="H784" s="116">
        <v>12.5</v>
      </c>
      <c r="I784" s="117">
        <v>0.96</v>
      </c>
      <c r="J784" s="116">
        <v>12.01</v>
      </c>
      <c r="K784" s="114"/>
      <c r="L784" s="114"/>
      <c r="M784" s="116">
        <v>6.0</v>
      </c>
      <c r="N784" s="116">
        <v>68.0</v>
      </c>
      <c r="O784" s="114"/>
      <c r="P784" s="140">
        <v>7849.42</v>
      </c>
      <c r="Q784" s="114" t="s">
        <v>234</v>
      </c>
      <c r="R784" s="115">
        <v>2015.0</v>
      </c>
      <c r="S784" s="85">
        <v>0.258</v>
      </c>
      <c r="T784" s="118">
        <f t="shared" si="28"/>
        <v>2025.15036</v>
      </c>
      <c r="U784" s="24">
        <f t="shared" si="2"/>
        <v>162.0120288</v>
      </c>
      <c r="V784" s="26">
        <f>VLOOKUP(R784,CPI!$A$2:$E$67,5,0)</f>
        <v>1.285570233</v>
      </c>
      <c r="W784" s="27">
        <f t="shared" si="3"/>
        <v>2603.473021</v>
      </c>
      <c r="X784" s="27">
        <f t="shared" si="4"/>
        <v>208.2778417</v>
      </c>
      <c r="Y784" s="114"/>
      <c r="Z784" s="225" t="s">
        <v>471</v>
      </c>
      <c r="AA784" s="321"/>
      <c r="AB784" s="114"/>
      <c r="AC784" s="114"/>
      <c r="AD784" s="114"/>
    </row>
    <row r="785">
      <c r="A785" s="114" t="s">
        <v>230</v>
      </c>
      <c r="B785" s="114" t="s">
        <v>461</v>
      </c>
      <c r="C785" s="16" t="s">
        <v>468</v>
      </c>
      <c r="D785" s="114" t="s">
        <v>468</v>
      </c>
      <c r="E785" s="116">
        <v>2012.0</v>
      </c>
      <c r="F785" s="116">
        <v>2018.0</v>
      </c>
      <c r="G785" s="116">
        <v>0.0</v>
      </c>
      <c r="H785" s="116">
        <v>61.6</v>
      </c>
      <c r="I785" s="117">
        <v>0.69</v>
      </c>
      <c r="J785" s="116">
        <v>42.5</v>
      </c>
      <c r="K785" s="114"/>
      <c r="L785" s="114"/>
      <c r="M785" s="116">
        <v>14.0</v>
      </c>
      <c r="N785" s="116">
        <v>117.0</v>
      </c>
      <c r="O785" s="114"/>
      <c r="P785" s="140">
        <v>29133.0</v>
      </c>
      <c r="Q785" s="114" t="s">
        <v>234</v>
      </c>
      <c r="R785" s="115">
        <v>2015.0</v>
      </c>
      <c r="S785" s="85">
        <v>0.258</v>
      </c>
      <c r="T785" s="118">
        <f t="shared" si="28"/>
        <v>7516.314</v>
      </c>
      <c r="U785" s="24">
        <f t="shared" si="2"/>
        <v>122.0180844</v>
      </c>
      <c r="V785" s="26">
        <f>VLOOKUP(R785,CPI!$A$2:$E$67,5,0)</f>
        <v>1.285570233</v>
      </c>
      <c r="W785" s="27">
        <f t="shared" si="3"/>
        <v>9662.749543</v>
      </c>
      <c r="X785" s="27">
        <f t="shared" si="4"/>
        <v>156.8628173</v>
      </c>
      <c r="Y785" s="114"/>
      <c r="Z785" s="119" t="s">
        <v>464</v>
      </c>
      <c r="AA785" s="119" t="s">
        <v>469</v>
      </c>
    </row>
    <row r="786">
      <c r="A786" s="114" t="s">
        <v>230</v>
      </c>
      <c r="B786" s="114" t="s">
        <v>461</v>
      </c>
      <c r="C786" s="115" t="s">
        <v>87</v>
      </c>
      <c r="D786" s="115" t="s">
        <v>331</v>
      </c>
      <c r="E786" s="116">
        <v>2000.0</v>
      </c>
      <c r="F786" s="114"/>
      <c r="G786" s="116">
        <v>0.0</v>
      </c>
      <c r="H786" s="116">
        <v>35.86</v>
      </c>
      <c r="I786" s="117">
        <v>1.0</v>
      </c>
      <c r="J786" s="116">
        <v>35.86</v>
      </c>
      <c r="K786" s="114"/>
      <c r="L786" s="114"/>
      <c r="M786" s="116">
        <v>18.0</v>
      </c>
      <c r="N786" s="116">
        <v>117.0</v>
      </c>
      <c r="O786" s="114"/>
      <c r="P786" s="140">
        <v>15300.0</v>
      </c>
      <c r="Q786" s="114" t="s">
        <v>234</v>
      </c>
      <c r="R786" s="115">
        <v>2000.0</v>
      </c>
      <c r="S786" s="85">
        <v>0.367</v>
      </c>
      <c r="T786" s="118">
        <f t="shared" si="28"/>
        <v>5615.1</v>
      </c>
      <c r="U786" s="24">
        <f t="shared" si="2"/>
        <v>156.5839375</v>
      </c>
      <c r="V786" s="26">
        <f>VLOOKUP(R786,CPI!$A$2:$E$67,5,0)</f>
        <v>1.769465738</v>
      </c>
      <c r="W786" s="27">
        <f t="shared" si="3"/>
        <v>9935.727063</v>
      </c>
      <c r="X786" s="27">
        <f t="shared" si="4"/>
        <v>277.0699125</v>
      </c>
      <c r="Y786" s="114"/>
      <c r="Z786" s="119" t="s">
        <v>483</v>
      </c>
      <c r="AA786" s="114"/>
      <c r="AB786" s="114"/>
      <c r="AC786" s="114"/>
      <c r="AD786" s="114"/>
    </row>
    <row r="787">
      <c r="A787" s="114" t="s">
        <v>230</v>
      </c>
      <c r="B787" s="114" t="s">
        <v>461</v>
      </c>
      <c r="C787" s="115" t="s">
        <v>80</v>
      </c>
      <c r="D787" s="115" t="s">
        <v>255</v>
      </c>
      <c r="E787" s="116">
        <v>2006.0</v>
      </c>
      <c r="F787" s="114"/>
      <c r="G787" s="116">
        <v>0.0</v>
      </c>
      <c r="H787" s="116">
        <v>24.3</v>
      </c>
      <c r="I787" s="117">
        <v>0.87</v>
      </c>
      <c r="J787" s="116">
        <v>21.2</v>
      </c>
      <c r="K787" s="114"/>
      <c r="L787" s="114"/>
      <c r="M787" s="116">
        <v>22.0</v>
      </c>
      <c r="N787" s="116">
        <v>68.0</v>
      </c>
      <c r="O787" s="114"/>
      <c r="P787" s="140">
        <v>11529.0</v>
      </c>
      <c r="Q787" s="114" t="s">
        <v>234</v>
      </c>
      <c r="R787" s="115">
        <v>2006.0</v>
      </c>
      <c r="S787" s="85">
        <v>0.349</v>
      </c>
      <c r="T787" s="118">
        <f t="shared" si="28"/>
        <v>4023.621</v>
      </c>
      <c r="U787" s="24">
        <f t="shared" si="2"/>
        <v>165.5811111</v>
      </c>
      <c r="V787" s="26">
        <f>VLOOKUP(R787,CPI!$A$2:$E$67,5,0)</f>
        <v>1.511418651</v>
      </c>
      <c r="W787" s="27">
        <f t="shared" si="3"/>
        <v>6081.375823</v>
      </c>
      <c r="X787" s="27">
        <f t="shared" si="4"/>
        <v>250.2623796</v>
      </c>
      <c r="Y787" s="114"/>
      <c r="Z787" s="225" t="s">
        <v>484</v>
      </c>
      <c r="AA787" s="114"/>
      <c r="AB787" s="114"/>
      <c r="AC787" s="114"/>
      <c r="AD787" s="114"/>
    </row>
    <row r="788">
      <c r="A788" s="114" t="s">
        <v>230</v>
      </c>
      <c r="B788" s="114" t="s">
        <v>461</v>
      </c>
      <c r="C788" s="115" t="s">
        <v>80</v>
      </c>
      <c r="D788" s="115" t="s">
        <v>488</v>
      </c>
      <c r="E788" s="116">
        <v>2009.0</v>
      </c>
      <c r="F788" s="114"/>
      <c r="G788" s="116">
        <v>0.0</v>
      </c>
      <c r="H788" s="116">
        <v>17.6</v>
      </c>
      <c r="I788" s="117">
        <v>1.0</v>
      </c>
      <c r="J788" s="116">
        <v>17.6</v>
      </c>
      <c r="K788" s="114"/>
      <c r="L788" s="114"/>
      <c r="M788" s="114"/>
      <c r="N788" s="116">
        <v>102.0</v>
      </c>
      <c r="O788" s="114"/>
      <c r="P788" s="140">
        <v>7156.0</v>
      </c>
      <c r="Q788" s="114" t="s">
        <v>234</v>
      </c>
      <c r="R788" s="115">
        <v>2009.0</v>
      </c>
      <c r="S788" s="85">
        <v>0.317</v>
      </c>
      <c r="T788" s="118">
        <f t="shared" si="28"/>
        <v>2268.452</v>
      </c>
      <c r="U788" s="24">
        <f t="shared" si="2"/>
        <v>128.8893182</v>
      </c>
      <c r="V788" s="26">
        <f>VLOOKUP(R788,CPI!$A$2:$E$67,5,0)</f>
        <v>1.420277155</v>
      </c>
      <c r="W788" s="27">
        <f t="shared" si="3"/>
        <v>3221.830553</v>
      </c>
      <c r="X788" s="27">
        <f t="shared" si="4"/>
        <v>183.0585541</v>
      </c>
      <c r="Y788" s="114"/>
      <c r="Z788" s="119" t="s">
        <v>489</v>
      </c>
      <c r="AA788" s="114"/>
      <c r="AB788" s="114"/>
      <c r="AC788" s="114"/>
      <c r="AD788" s="114"/>
    </row>
    <row r="789">
      <c r="A789" s="114" t="s">
        <v>230</v>
      </c>
      <c r="B789" s="114" t="s">
        <v>461</v>
      </c>
      <c r="C789" s="114" t="s">
        <v>253</v>
      </c>
      <c r="D789" s="114" t="s">
        <v>253</v>
      </c>
      <c r="E789" s="116">
        <v>2009.0</v>
      </c>
      <c r="F789" s="114"/>
      <c r="G789" s="116">
        <v>0.0</v>
      </c>
      <c r="H789" s="116">
        <v>18.3</v>
      </c>
      <c r="I789" s="117">
        <v>1.0</v>
      </c>
      <c r="J789" s="116">
        <v>18.3</v>
      </c>
      <c r="K789" s="114"/>
      <c r="L789" s="114"/>
      <c r="M789" s="114"/>
      <c r="N789" s="116">
        <v>117.0</v>
      </c>
      <c r="O789" s="114"/>
      <c r="P789" s="140">
        <v>7750.0</v>
      </c>
      <c r="Q789" s="114" t="s">
        <v>234</v>
      </c>
      <c r="R789" s="115">
        <v>2009.0</v>
      </c>
      <c r="S789" s="85">
        <v>0.317</v>
      </c>
      <c r="T789" s="118">
        <f t="shared" si="28"/>
        <v>2456.75</v>
      </c>
      <c r="U789" s="24">
        <f t="shared" si="2"/>
        <v>134.2486339</v>
      </c>
      <c r="V789" s="26">
        <f>VLOOKUP(R789,CPI!$A$2:$E$67,5,0)</f>
        <v>1.420277155</v>
      </c>
      <c r="W789" s="27">
        <f t="shared" si="3"/>
        <v>3489.265901</v>
      </c>
      <c r="X789" s="27">
        <f t="shared" si="4"/>
        <v>190.6702678</v>
      </c>
      <c r="Y789" s="114"/>
      <c r="Z789" s="119" t="s">
        <v>489</v>
      </c>
      <c r="AA789" s="114"/>
      <c r="AB789" s="114"/>
      <c r="AC789" s="114"/>
      <c r="AD789" s="114"/>
    </row>
    <row r="790">
      <c r="A790" s="114" t="s">
        <v>230</v>
      </c>
      <c r="B790" s="114" t="s">
        <v>461</v>
      </c>
      <c r="C790" s="115" t="s">
        <v>228</v>
      </c>
      <c r="D790" s="114" t="s">
        <v>228</v>
      </c>
      <c r="E790" s="116">
        <v>2012.0</v>
      </c>
      <c r="F790" s="114"/>
      <c r="G790" s="116">
        <v>0.0</v>
      </c>
      <c r="H790" s="116">
        <v>17.6</v>
      </c>
      <c r="I790" s="117">
        <v>1.0</v>
      </c>
      <c r="J790" s="116">
        <v>17.6</v>
      </c>
      <c r="K790" s="114"/>
      <c r="L790" s="114"/>
      <c r="M790" s="114"/>
      <c r="N790" s="116">
        <v>117.0</v>
      </c>
      <c r="O790" s="114"/>
      <c r="P790" s="140">
        <v>9230.0</v>
      </c>
      <c r="Q790" s="114" t="s">
        <v>234</v>
      </c>
      <c r="R790" s="115">
        <v>2012.0</v>
      </c>
      <c r="S790" s="85">
        <v>0.281</v>
      </c>
      <c r="T790" s="118">
        <f t="shared" si="28"/>
        <v>2593.63</v>
      </c>
      <c r="U790" s="24">
        <f t="shared" si="2"/>
        <v>147.3653409</v>
      </c>
      <c r="V790" s="26">
        <f>VLOOKUP(R790,CPI!$A$2:$E$67,5,0)</f>
        <v>1.327133984</v>
      </c>
      <c r="W790" s="27">
        <f t="shared" si="3"/>
        <v>3442.094516</v>
      </c>
      <c r="X790" s="27">
        <f t="shared" si="4"/>
        <v>195.573552</v>
      </c>
      <c r="Y790" s="114"/>
      <c r="Z790" s="225" t="s">
        <v>490</v>
      </c>
      <c r="AA790" s="114"/>
      <c r="AB790" s="114"/>
      <c r="AC790" s="114"/>
      <c r="AD790" s="114"/>
    </row>
    <row r="791">
      <c r="A791" s="114" t="s">
        <v>230</v>
      </c>
      <c r="B791" s="114" t="s">
        <v>461</v>
      </c>
      <c r="C791" s="16" t="s">
        <v>485</v>
      </c>
      <c r="D791" s="114" t="s">
        <v>486</v>
      </c>
      <c r="E791" s="116">
        <v>2007.0</v>
      </c>
      <c r="F791" s="114"/>
      <c r="G791" s="116">
        <v>0.0</v>
      </c>
      <c r="H791" s="116">
        <v>28.55</v>
      </c>
      <c r="I791" s="114"/>
      <c r="J791" s="114"/>
      <c r="K791" s="114"/>
      <c r="L791" s="114"/>
      <c r="M791" s="116">
        <v>22.0</v>
      </c>
      <c r="N791" s="116">
        <v>138.0</v>
      </c>
      <c r="O791" s="114"/>
      <c r="P791" s="140">
        <v>14729.0</v>
      </c>
      <c r="Q791" s="114" t="s">
        <v>234</v>
      </c>
      <c r="R791" s="115">
        <v>2007.0</v>
      </c>
      <c r="S791" s="85">
        <v>0.333</v>
      </c>
      <c r="T791" s="118">
        <f t="shared" si="28"/>
        <v>4904.757</v>
      </c>
      <c r="U791" s="24">
        <f t="shared" si="2"/>
        <v>171.7953415</v>
      </c>
      <c r="V791" s="26">
        <f>VLOOKUP(R791,CPI!$A$2:$E$67,5,0)</f>
        <v>1.469562366</v>
      </c>
      <c r="W791" s="27">
        <f t="shared" si="3"/>
        <v>7207.846299</v>
      </c>
      <c r="X791" s="27">
        <f t="shared" si="4"/>
        <v>252.4639685</v>
      </c>
      <c r="Y791" s="114"/>
      <c r="Z791" s="225" t="s">
        <v>487</v>
      </c>
      <c r="AA791" s="321"/>
      <c r="AB791" s="114"/>
      <c r="AC791" s="114"/>
      <c r="AD791" s="114"/>
    </row>
    <row r="792">
      <c r="A792" s="114" t="s">
        <v>230</v>
      </c>
      <c r="B792" s="114" t="s">
        <v>461</v>
      </c>
      <c r="C792" s="115" t="s">
        <v>243</v>
      </c>
      <c r="D792" s="114" t="s">
        <v>499</v>
      </c>
      <c r="E792" s="116">
        <v>2021.0</v>
      </c>
      <c r="F792" s="114"/>
      <c r="G792" s="116">
        <v>0.0</v>
      </c>
      <c r="H792" s="116">
        <v>18.0</v>
      </c>
      <c r="I792" s="117">
        <v>1.0</v>
      </c>
      <c r="J792" s="116">
        <v>18.0</v>
      </c>
      <c r="K792" s="114"/>
      <c r="L792" s="114"/>
      <c r="M792" s="116">
        <v>7.0</v>
      </c>
      <c r="N792" s="116">
        <v>138.0</v>
      </c>
      <c r="O792" s="114"/>
      <c r="P792" s="140">
        <v>16576.0</v>
      </c>
      <c r="Q792" s="114" t="s">
        <v>234</v>
      </c>
      <c r="R792" s="115">
        <v>2021.0</v>
      </c>
      <c r="S792" s="136">
        <v>0.239000000000001</v>
      </c>
      <c r="T792" s="118">
        <f t="shared" si="28"/>
        <v>3961.664</v>
      </c>
      <c r="U792" s="24">
        <f t="shared" si="2"/>
        <v>220.0924444</v>
      </c>
      <c r="V792" s="26">
        <f>VLOOKUP(R792,CPI!$A$2:$E$67,5,0)</f>
        <v>1.124486105</v>
      </c>
      <c r="W792" s="27">
        <f t="shared" si="3"/>
        <v>4454.836123</v>
      </c>
      <c r="X792" s="27">
        <f t="shared" si="4"/>
        <v>247.4908957</v>
      </c>
      <c r="Y792" s="114"/>
      <c r="Z792" s="119" t="s">
        <v>500</v>
      </c>
      <c r="AA792" s="119" t="s">
        <v>501</v>
      </c>
    </row>
    <row r="793">
      <c r="A793" s="114" t="s">
        <v>230</v>
      </c>
      <c r="B793" s="114" t="s">
        <v>461</v>
      </c>
      <c r="C793" s="115" t="s">
        <v>351</v>
      </c>
      <c r="D793" s="114" t="s">
        <v>497</v>
      </c>
      <c r="E793" s="116">
        <v>2021.0</v>
      </c>
      <c r="F793" s="114"/>
      <c r="G793" s="116">
        <v>1.0</v>
      </c>
      <c r="H793" s="116">
        <v>41.1</v>
      </c>
      <c r="I793" s="117">
        <v>1.0</v>
      </c>
      <c r="J793" s="116">
        <v>41.1</v>
      </c>
      <c r="K793" s="114"/>
      <c r="L793" s="114"/>
      <c r="M793" s="116">
        <v>10.0</v>
      </c>
      <c r="N793" s="116">
        <v>184.0</v>
      </c>
      <c r="O793" s="114"/>
      <c r="P793" s="140">
        <v>38130.0</v>
      </c>
      <c r="Q793" s="114" t="s">
        <v>234</v>
      </c>
      <c r="R793" s="115">
        <v>2021.0</v>
      </c>
      <c r="S793" s="136">
        <v>0.239000000000001</v>
      </c>
      <c r="T793" s="118">
        <f t="shared" si="28"/>
        <v>9113.07</v>
      </c>
      <c r="U793" s="24">
        <f t="shared" si="2"/>
        <v>221.7291971</v>
      </c>
      <c r="V793" s="26">
        <f>VLOOKUP(R793,CPI!$A$2:$E$67,5,0)</f>
        <v>1.124486105</v>
      </c>
      <c r="W793" s="27">
        <f t="shared" si="3"/>
        <v>10247.52059</v>
      </c>
      <c r="X793" s="27">
        <f t="shared" si="4"/>
        <v>249.3314013</v>
      </c>
      <c r="Y793" s="114"/>
      <c r="Z793" s="119" t="s">
        <v>498</v>
      </c>
      <c r="AA793" s="114"/>
      <c r="AB793" s="114"/>
      <c r="AC793" s="114"/>
      <c r="AD793" s="114"/>
    </row>
    <row r="794">
      <c r="A794" s="114" t="s">
        <v>230</v>
      </c>
      <c r="B794" s="114" t="s">
        <v>461</v>
      </c>
      <c r="C794" s="114" t="s">
        <v>292</v>
      </c>
      <c r="D794" s="114" t="s">
        <v>292</v>
      </c>
      <c r="E794" s="116">
        <v>2019.0</v>
      </c>
      <c r="F794" s="114"/>
      <c r="G794" s="116">
        <v>0.0</v>
      </c>
      <c r="H794" s="116">
        <v>44.2</v>
      </c>
      <c r="I794" s="117">
        <v>1.0</v>
      </c>
      <c r="J794" s="116">
        <v>44.2</v>
      </c>
      <c r="K794" s="114"/>
      <c r="L794" s="114"/>
      <c r="M794" s="116">
        <v>32.0</v>
      </c>
      <c r="N794" s="116">
        <v>184.0</v>
      </c>
      <c r="O794" s="114"/>
      <c r="P794" s="140">
        <v>45521.0</v>
      </c>
      <c r="Q794" s="114" t="s">
        <v>234</v>
      </c>
      <c r="R794" s="115">
        <v>2019.0</v>
      </c>
      <c r="S794" s="136">
        <v>0.238</v>
      </c>
      <c r="T794" s="118">
        <f t="shared" si="28"/>
        <v>10833.998</v>
      </c>
      <c r="U794" s="24">
        <f t="shared" si="2"/>
        <v>245.1130769</v>
      </c>
      <c r="V794" s="26">
        <f>VLOOKUP(R794,CPI!$A$2:$E$67,5,0)</f>
        <v>1.191839066</v>
      </c>
      <c r="W794" s="27">
        <f t="shared" si="3"/>
        <v>12912.38205</v>
      </c>
      <c r="X794" s="27">
        <f t="shared" si="4"/>
        <v>292.1353406</v>
      </c>
      <c r="Y794" s="114"/>
      <c r="Z794" s="119" t="s">
        <v>491</v>
      </c>
      <c r="AA794" s="114"/>
      <c r="AB794" s="114"/>
      <c r="AC794" s="114"/>
      <c r="AD794" s="114"/>
    </row>
    <row r="795">
      <c r="A795" s="114" t="s">
        <v>230</v>
      </c>
      <c r="B795" s="114" t="s">
        <v>461</v>
      </c>
      <c r="C795" s="115" t="s">
        <v>351</v>
      </c>
      <c r="D795" s="114" t="s">
        <v>494</v>
      </c>
      <c r="E795" s="116">
        <v>2020.0</v>
      </c>
      <c r="F795" s="114"/>
      <c r="G795" s="116">
        <v>1.0</v>
      </c>
      <c r="H795" s="116">
        <v>79.0</v>
      </c>
      <c r="I795" s="117">
        <v>1.0</v>
      </c>
      <c r="J795" s="116">
        <v>79.0</v>
      </c>
      <c r="K795" s="114"/>
      <c r="L795" s="114"/>
      <c r="M795" s="114"/>
      <c r="N795" s="116">
        <v>184.0</v>
      </c>
      <c r="O795" s="114"/>
      <c r="P795" s="140">
        <v>48600.0</v>
      </c>
      <c r="Q795" s="114" t="s">
        <v>234</v>
      </c>
      <c r="R795" s="115">
        <v>2020.0</v>
      </c>
      <c r="S795" s="136">
        <v>0.239</v>
      </c>
      <c r="T795" s="118">
        <f t="shared" si="28"/>
        <v>11615.4</v>
      </c>
      <c r="U795" s="24">
        <f t="shared" si="2"/>
        <v>147.0303797</v>
      </c>
      <c r="V795" s="26">
        <f>VLOOKUP(R795,CPI!$A$2:$E$67,5,0)</f>
        <v>1.17731472</v>
      </c>
      <c r="W795" s="27">
        <f t="shared" si="3"/>
        <v>13674.9814</v>
      </c>
      <c r="X795" s="27">
        <f t="shared" si="4"/>
        <v>173.1010304</v>
      </c>
      <c r="Y795" s="114"/>
      <c r="Z795" s="119" t="s">
        <v>495</v>
      </c>
      <c r="AA795" s="114"/>
      <c r="AB795" s="114"/>
      <c r="AC795" s="114"/>
      <c r="AD795" s="114"/>
    </row>
    <row r="796">
      <c r="A796" s="114" t="s">
        <v>230</v>
      </c>
      <c r="B796" s="114" t="s">
        <v>461</v>
      </c>
      <c r="C796" s="115" t="s">
        <v>302</v>
      </c>
      <c r="D796" s="115" t="s">
        <v>496</v>
      </c>
      <c r="E796" s="116">
        <v>2020.0</v>
      </c>
      <c r="F796" s="114"/>
      <c r="G796" s="116">
        <v>1.0</v>
      </c>
      <c r="H796" s="116">
        <v>39.0</v>
      </c>
      <c r="I796" s="117">
        <v>1.0</v>
      </c>
      <c r="J796" s="116">
        <v>39.0</v>
      </c>
      <c r="K796" s="114"/>
      <c r="L796" s="114"/>
      <c r="M796" s="114"/>
      <c r="N796" s="116">
        <v>184.0</v>
      </c>
      <c r="O796" s="114"/>
      <c r="P796" s="140">
        <v>32500.0</v>
      </c>
      <c r="Q796" s="114" t="s">
        <v>234</v>
      </c>
      <c r="R796" s="115">
        <v>2020.0</v>
      </c>
      <c r="S796" s="136">
        <v>0.239</v>
      </c>
      <c r="T796" s="118">
        <f t="shared" si="28"/>
        <v>7767.5</v>
      </c>
      <c r="U796" s="24">
        <f t="shared" si="2"/>
        <v>199.1666667</v>
      </c>
      <c r="V796" s="26">
        <f>VLOOKUP(R796,CPI!$A$2:$E$67,5,0)</f>
        <v>1.17731472</v>
      </c>
      <c r="W796" s="27">
        <f t="shared" si="3"/>
        <v>9144.792088</v>
      </c>
      <c r="X796" s="27">
        <f t="shared" si="4"/>
        <v>234.4818484</v>
      </c>
      <c r="Y796" s="114"/>
      <c r="Z796" s="119" t="s">
        <v>495</v>
      </c>
      <c r="AA796" s="114"/>
      <c r="AB796" s="114"/>
      <c r="AC796" s="114"/>
      <c r="AD796" s="114"/>
    </row>
    <row r="797">
      <c r="A797" s="114" t="s">
        <v>230</v>
      </c>
      <c r="B797" s="114" t="s">
        <v>461</v>
      </c>
      <c r="C797" s="114" t="s">
        <v>290</v>
      </c>
      <c r="D797" s="114" t="s">
        <v>290</v>
      </c>
      <c r="E797" s="116">
        <v>2020.0</v>
      </c>
      <c r="F797" s="114"/>
      <c r="G797" s="116">
        <v>1.0</v>
      </c>
      <c r="H797" s="116">
        <v>107.0</v>
      </c>
      <c r="I797" s="117">
        <v>1.0</v>
      </c>
      <c r="J797" s="116">
        <v>107.0</v>
      </c>
      <c r="K797" s="114"/>
      <c r="L797" s="114"/>
      <c r="M797" s="114"/>
      <c r="N797" s="116">
        <v>184.0</v>
      </c>
      <c r="O797" s="114"/>
      <c r="P797" s="140">
        <v>95300.0</v>
      </c>
      <c r="Q797" s="114" t="s">
        <v>234</v>
      </c>
      <c r="R797" s="115">
        <v>2020.0</v>
      </c>
      <c r="S797" s="136">
        <v>0.239</v>
      </c>
      <c r="T797" s="118">
        <f t="shared" si="28"/>
        <v>22776.7</v>
      </c>
      <c r="U797" s="24">
        <f t="shared" si="2"/>
        <v>212.8663551</v>
      </c>
      <c r="V797" s="26">
        <f>VLOOKUP(R797,CPI!$A$2:$E$67,5,0)</f>
        <v>1.17731472</v>
      </c>
      <c r="W797" s="27">
        <f t="shared" si="3"/>
        <v>26815.34418</v>
      </c>
      <c r="X797" s="27">
        <f t="shared" si="4"/>
        <v>250.6106933</v>
      </c>
      <c r="Y797" s="114"/>
      <c r="Z797" s="225" t="s">
        <v>495</v>
      </c>
      <c r="AA797" s="114"/>
      <c r="AB797" s="114"/>
      <c r="AC797" s="114"/>
      <c r="AD797" s="114"/>
    </row>
    <row r="798">
      <c r="A798" s="114" t="s">
        <v>230</v>
      </c>
      <c r="B798" s="114" t="s">
        <v>504</v>
      </c>
      <c r="C798" s="115" t="s">
        <v>54</v>
      </c>
      <c r="D798" s="115" t="s">
        <v>348</v>
      </c>
      <c r="E798" s="114"/>
      <c r="F798" s="114">
        <v>2021.0</v>
      </c>
      <c r="G798" s="114">
        <v>0.0</v>
      </c>
      <c r="H798" s="114">
        <v>27.6</v>
      </c>
      <c r="I798" s="117">
        <v>1.0</v>
      </c>
      <c r="J798" s="114">
        <v>27.6</v>
      </c>
      <c r="K798" s="114"/>
      <c r="L798" s="114"/>
      <c r="M798" s="114">
        <v>24.0</v>
      </c>
      <c r="N798" s="114">
        <v>117.0</v>
      </c>
      <c r="O798" s="114"/>
      <c r="P798" s="140">
        <v>19459.0</v>
      </c>
      <c r="Q798" s="114" t="s">
        <v>234</v>
      </c>
      <c r="R798" s="115">
        <v>2021.0</v>
      </c>
      <c r="S798" s="136">
        <v>0.239000000000001</v>
      </c>
      <c r="T798" s="118">
        <f t="shared" si="28"/>
        <v>4650.701</v>
      </c>
      <c r="U798" s="24">
        <f t="shared" si="2"/>
        <v>168.5036594</v>
      </c>
      <c r="V798" s="26">
        <f>VLOOKUP(R798,CPI!$A$2:$E$67,5,0)</f>
        <v>1.124486105</v>
      </c>
      <c r="W798" s="27">
        <f t="shared" si="3"/>
        <v>5229.648655</v>
      </c>
      <c r="X798" s="27">
        <f t="shared" si="4"/>
        <v>189.4800237</v>
      </c>
      <c r="Y798" s="114"/>
      <c r="Z798" s="119" t="s">
        <v>509</v>
      </c>
      <c r="AA798" s="114"/>
      <c r="AB798" s="114"/>
      <c r="AC798" s="114"/>
      <c r="AD798" s="114"/>
    </row>
    <row r="799">
      <c r="A799" s="114" t="s">
        <v>230</v>
      </c>
      <c r="B799" s="114" t="s">
        <v>514</v>
      </c>
      <c r="C799" s="114" t="s">
        <v>526</v>
      </c>
      <c r="D799" s="114" t="s">
        <v>526</v>
      </c>
      <c r="E799" s="114"/>
      <c r="F799" s="116">
        <v>2021.0</v>
      </c>
      <c r="G799" s="116">
        <v>0.0</v>
      </c>
      <c r="H799" s="116">
        <v>48.18</v>
      </c>
      <c r="I799" s="117">
        <v>0.31</v>
      </c>
      <c r="J799" s="116">
        <v>14.81</v>
      </c>
      <c r="K799" s="114"/>
      <c r="L799" s="114"/>
      <c r="M799" s="116">
        <v>12.0</v>
      </c>
      <c r="N799" s="116">
        <v>78.0</v>
      </c>
      <c r="O799" s="114"/>
      <c r="P799" s="140">
        <v>13611.0</v>
      </c>
      <c r="Q799" s="114" t="s">
        <v>234</v>
      </c>
      <c r="R799" s="115">
        <v>2021.0</v>
      </c>
      <c r="S799" s="136">
        <v>0.239000000000001</v>
      </c>
      <c r="T799" s="118">
        <f t="shared" si="28"/>
        <v>3253.029</v>
      </c>
      <c r="U799" s="24">
        <f t="shared" si="2"/>
        <v>67.51824408</v>
      </c>
      <c r="V799" s="26">
        <f>VLOOKUP(R799,CPI!$A$2:$E$67,5,0)</f>
        <v>1.124486105</v>
      </c>
      <c r="W799" s="27">
        <f t="shared" si="3"/>
        <v>3657.985911</v>
      </c>
      <c r="X799" s="27">
        <f t="shared" si="4"/>
        <v>75.92332734</v>
      </c>
      <c r="Y799" s="114"/>
      <c r="Z799" s="119" t="s">
        <v>527</v>
      </c>
      <c r="AA799" s="114"/>
      <c r="AB799" s="114"/>
      <c r="AC799" s="114"/>
      <c r="AD799" s="114"/>
    </row>
    <row r="800">
      <c r="A800" s="114" t="s">
        <v>230</v>
      </c>
      <c r="B800" s="114" t="s">
        <v>514</v>
      </c>
      <c r="C800" s="115" t="s">
        <v>517</v>
      </c>
      <c r="D800" s="114" t="s">
        <v>518</v>
      </c>
      <c r="E800" s="116">
        <v>2016.0</v>
      </c>
      <c r="F800" s="116">
        <v>2020.0</v>
      </c>
      <c r="G800" s="116">
        <v>0.0</v>
      </c>
      <c r="H800" s="116">
        <v>14.26</v>
      </c>
      <c r="I800" s="117">
        <v>0.3</v>
      </c>
      <c r="J800" s="116">
        <v>4.32</v>
      </c>
      <c r="K800" s="114"/>
      <c r="L800" s="114"/>
      <c r="M800" s="116">
        <v>6.0</v>
      </c>
      <c r="N800" s="116">
        <v>78.0</v>
      </c>
      <c r="O800" s="114"/>
      <c r="P800" s="140">
        <v>4590.0</v>
      </c>
      <c r="Q800" s="114" t="s">
        <v>234</v>
      </c>
      <c r="R800" s="115">
        <v>2018.0</v>
      </c>
      <c r="S800" s="85">
        <v>0.237</v>
      </c>
      <c r="T800" s="118">
        <f t="shared" si="28"/>
        <v>1087.83</v>
      </c>
      <c r="U800" s="24">
        <f t="shared" si="2"/>
        <v>76.28541374</v>
      </c>
      <c r="V800" s="26">
        <f>VLOOKUP(R800,CPI!$A$2:$E$67,5,0)</f>
        <v>1.21343491</v>
      </c>
      <c r="W800" s="27">
        <f t="shared" si="3"/>
        <v>1320.010898</v>
      </c>
      <c r="X800" s="27">
        <f t="shared" si="4"/>
        <v>92.56738418</v>
      </c>
      <c r="Y800" s="114"/>
      <c r="Z800" s="119" t="s">
        <v>519</v>
      </c>
      <c r="AA800" s="114"/>
      <c r="AB800" s="114"/>
      <c r="AC800" s="114"/>
      <c r="AD800" s="114"/>
    </row>
    <row r="801">
      <c r="A801" s="114" t="s">
        <v>230</v>
      </c>
      <c r="B801" s="72" t="s">
        <v>514</v>
      </c>
      <c r="C801" s="115" t="s">
        <v>517</v>
      </c>
      <c r="D801" s="72" t="s">
        <v>520</v>
      </c>
      <c r="E801" s="116">
        <v>2016.0</v>
      </c>
      <c r="F801" s="116">
        <v>2020.0</v>
      </c>
      <c r="G801" s="116">
        <v>0.0</v>
      </c>
      <c r="H801" s="116">
        <v>20.72</v>
      </c>
      <c r="I801" s="117">
        <v>0.42</v>
      </c>
      <c r="J801" s="116">
        <v>8.64</v>
      </c>
      <c r="K801" s="114"/>
      <c r="L801" s="114"/>
      <c r="M801" s="116">
        <v>6.0</v>
      </c>
      <c r="N801" s="116">
        <v>78.0</v>
      </c>
      <c r="O801" s="114"/>
      <c r="P801" s="140">
        <v>6740.0</v>
      </c>
      <c r="Q801" s="114" t="s">
        <v>234</v>
      </c>
      <c r="R801" s="115">
        <v>2018.0</v>
      </c>
      <c r="S801" s="85">
        <v>0.237</v>
      </c>
      <c r="T801" s="118">
        <f t="shared" si="28"/>
        <v>1597.38</v>
      </c>
      <c r="U801" s="24">
        <f t="shared" si="2"/>
        <v>77.09362934</v>
      </c>
      <c r="V801" s="26">
        <f>VLOOKUP(R801,CPI!$A$2:$E$67,5,0)</f>
        <v>1.21343491</v>
      </c>
      <c r="W801" s="27">
        <f t="shared" si="3"/>
        <v>1938.316657</v>
      </c>
      <c r="X801" s="27">
        <f t="shared" si="4"/>
        <v>93.5481012</v>
      </c>
      <c r="Y801" s="114"/>
      <c r="Z801" s="119" t="s">
        <v>519</v>
      </c>
      <c r="AA801" s="114"/>
      <c r="AB801" s="114"/>
      <c r="AC801" s="114"/>
      <c r="AD801" s="114"/>
    </row>
    <row r="802">
      <c r="A802" s="114" t="s">
        <v>230</v>
      </c>
      <c r="B802" s="72" t="s">
        <v>514</v>
      </c>
      <c r="C802" s="115" t="s">
        <v>54</v>
      </c>
      <c r="D802" s="115" t="s">
        <v>537</v>
      </c>
      <c r="E802" s="116">
        <v>2008.0</v>
      </c>
      <c r="F802" s="114"/>
      <c r="G802" s="116">
        <v>0.0</v>
      </c>
      <c r="H802" s="116">
        <v>18.2</v>
      </c>
      <c r="I802" s="117">
        <v>1.0</v>
      </c>
      <c r="J802" s="116">
        <v>18.2</v>
      </c>
      <c r="K802" s="114"/>
      <c r="L802" s="114"/>
      <c r="M802" s="116">
        <v>13.0</v>
      </c>
      <c r="N802" s="116">
        <v>117.0</v>
      </c>
      <c r="O802" s="114"/>
      <c r="P802" s="140">
        <v>10500.0</v>
      </c>
      <c r="Q802" s="114" t="s">
        <v>234</v>
      </c>
      <c r="R802" s="115">
        <v>2008.0</v>
      </c>
      <c r="S802" s="85">
        <v>0.315</v>
      </c>
      <c r="T802" s="118">
        <f t="shared" si="28"/>
        <v>3307.5</v>
      </c>
      <c r="U802" s="24">
        <f t="shared" si="2"/>
        <v>181.7307692</v>
      </c>
      <c r="V802" s="26">
        <f>VLOOKUP(R802,CPI!$A$2:$E$67,5,0)</f>
        <v>1.415224126</v>
      </c>
      <c r="W802" s="27">
        <f t="shared" si="3"/>
        <v>4680.853797</v>
      </c>
      <c r="X802" s="27">
        <f t="shared" si="4"/>
        <v>257.1897691</v>
      </c>
      <c r="Y802" s="114"/>
      <c r="Z802" s="225" t="s">
        <v>538</v>
      </c>
      <c r="AA802" s="114"/>
      <c r="AB802" s="114"/>
      <c r="AC802" s="114"/>
      <c r="AD802" s="114"/>
    </row>
    <row r="803">
      <c r="A803" s="114" t="s">
        <v>230</v>
      </c>
      <c r="B803" s="72" t="s">
        <v>514</v>
      </c>
      <c r="C803" s="72" t="s">
        <v>533</v>
      </c>
      <c r="D803" s="72" t="s">
        <v>533</v>
      </c>
      <c r="E803" s="116">
        <v>2019.0</v>
      </c>
      <c r="F803" s="116">
        <v>2022.0</v>
      </c>
      <c r="G803" s="116">
        <v>0.0</v>
      </c>
      <c r="H803" s="116">
        <v>59.1316</v>
      </c>
      <c r="I803" s="117">
        <v>0.79</v>
      </c>
      <c r="J803" s="116">
        <v>46.5</v>
      </c>
      <c r="K803" s="114"/>
      <c r="L803" s="114"/>
      <c r="M803" s="116">
        <v>15.0</v>
      </c>
      <c r="N803" s="116">
        <v>138.0</v>
      </c>
      <c r="O803" s="114"/>
      <c r="P803" s="140">
        <v>43206.0</v>
      </c>
      <c r="Q803" s="114" t="s">
        <v>234</v>
      </c>
      <c r="R803" s="115">
        <v>2021.0</v>
      </c>
      <c r="S803" s="136">
        <v>0.239000000000001</v>
      </c>
      <c r="T803" s="118">
        <f t="shared" si="28"/>
        <v>10326.234</v>
      </c>
      <c r="U803" s="24">
        <f t="shared" si="2"/>
        <v>174.6313984</v>
      </c>
      <c r="V803" s="26">
        <f>VLOOKUP(R803,CPI!$A$2:$E$67,5,0)</f>
        <v>1.124486105</v>
      </c>
      <c r="W803" s="27">
        <f t="shared" si="3"/>
        <v>11611.70665</v>
      </c>
      <c r="X803" s="27">
        <f t="shared" si="4"/>
        <v>196.3705811</v>
      </c>
      <c r="Y803" s="114"/>
      <c r="Z803" s="119" t="s">
        <v>534</v>
      </c>
      <c r="AA803" s="114"/>
      <c r="AB803" s="114"/>
      <c r="AC803" s="114"/>
      <c r="AD803" s="114"/>
    </row>
    <row r="804">
      <c r="A804" s="114" t="s">
        <v>230</v>
      </c>
      <c r="B804" s="72" t="s">
        <v>514</v>
      </c>
      <c r="C804" s="115" t="s">
        <v>87</v>
      </c>
      <c r="D804" s="72" t="s">
        <v>535</v>
      </c>
      <c r="E804" s="116">
        <v>2020.0</v>
      </c>
      <c r="F804" s="116">
        <v>2022.0</v>
      </c>
      <c r="G804" s="116">
        <v>0.0</v>
      </c>
      <c r="H804" s="116">
        <v>4.7</v>
      </c>
      <c r="I804" s="117">
        <v>1.0</v>
      </c>
      <c r="J804" s="116">
        <v>4.7</v>
      </c>
      <c r="K804" s="114"/>
      <c r="L804" s="114"/>
      <c r="M804" s="116">
        <v>4.0</v>
      </c>
      <c r="N804" s="116">
        <v>117.0</v>
      </c>
      <c r="O804" s="114"/>
      <c r="P804" s="140">
        <v>10870.0</v>
      </c>
      <c r="Q804" s="114" t="s">
        <v>234</v>
      </c>
      <c r="R804" s="115">
        <v>2020.0</v>
      </c>
      <c r="S804" s="136">
        <v>0.239</v>
      </c>
      <c r="T804" s="118">
        <f t="shared" si="28"/>
        <v>2597.93</v>
      </c>
      <c r="U804" s="24">
        <f t="shared" si="2"/>
        <v>552.7510638</v>
      </c>
      <c r="V804" s="26">
        <f>VLOOKUP(R804,CPI!$A$2:$E$67,5,0)</f>
        <v>1.17731472</v>
      </c>
      <c r="W804" s="27">
        <f t="shared" si="3"/>
        <v>3058.581231</v>
      </c>
      <c r="X804" s="27">
        <f t="shared" si="4"/>
        <v>650.7619639</v>
      </c>
      <c r="Y804" s="114"/>
      <c r="Z804" s="119" t="s">
        <v>536</v>
      </c>
      <c r="AA804" s="114"/>
      <c r="AB804" s="114"/>
      <c r="AC804" s="114"/>
      <c r="AD804" s="114"/>
    </row>
    <row r="805">
      <c r="A805" s="114" t="s">
        <v>230</v>
      </c>
      <c r="B805" s="72" t="s">
        <v>514</v>
      </c>
      <c r="C805" s="72" t="s">
        <v>524</v>
      </c>
      <c r="D805" s="72" t="s">
        <v>524</v>
      </c>
      <c r="E805" s="114"/>
      <c r="F805" s="116">
        <v>2021.0</v>
      </c>
      <c r="G805" s="116">
        <v>0.0</v>
      </c>
      <c r="H805" s="116">
        <v>23.508</v>
      </c>
      <c r="I805" s="117">
        <v>1.0</v>
      </c>
      <c r="J805" s="116">
        <v>23.508</v>
      </c>
      <c r="K805" s="114"/>
      <c r="L805" s="114"/>
      <c r="M805" s="116">
        <v>11.0</v>
      </c>
      <c r="N805" s="116">
        <v>117.0</v>
      </c>
      <c r="O805" s="114"/>
      <c r="P805" s="140">
        <v>13298.0</v>
      </c>
      <c r="Q805" s="114" t="s">
        <v>234</v>
      </c>
      <c r="R805" s="115">
        <v>2021.0</v>
      </c>
      <c r="S805" s="136">
        <v>0.239000000000001</v>
      </c>
      <c r="T805" s="118">
        <f t="shared" si="28"/>
        <v>3178.222</v>
      </c>
      <c r="U805" s="24">
        <f t="shared" si="2"/>
        <v>135.1974647</v>
      </c>
      <c r="V805" s="26">
        <f>VLOOKUP(R805,CPI!$A$2:$E$67,5,0)</f>
        <v>1.124486105</v>
      </c>
      <c r="W805" s="27">
        <f t="shared" si="3"/>
        <v>3573.866479</v>
      </c>
      <c r="X805" s="27">
        <f t="shared" si="4"/>
        <v>152.0276705</v>
      </c>
      <c r="Y805" s="114"/>
      <c r="Z805" s="119" t="s">
        <v>525</v>
      </c>
      <c r="AA805" s="114"/>
      <c r="AB805" s="114"/>
      <c r="AC805" s="114"/>
      <c r="AD805" s="114"/>
    </row>
    <row r="806">
      <c r="A806" s="114" t="s">
        <v>230</v>
      </c>
      <c r="B806" s="72" t="s">
        <v>514</v>
      </c>
      <c r="C806" s="115" t="s">
        <v>239</v>
      </c>
      <c r="D806" s="115" t="s">
        <v>360</v>
      </c>
      <c r="E806" s="116">
        <v>2022.0</v>
      </c>
      <c r="F806" s="114"/>
      <c r="G806" s="116">
        <v>0.0</v>
      </c>
      <c r="H806" s="116">
        <v>13.33</v>
      </c>
      <c r="I806" s="117">
        <v>1.0</v>
      </c>
      <c r="J806" s="116">
        <v>13.33</v>
      </c>
      <c r="K806" s="114"/>
      <c r="L806" s="114"/>
      <c r="M806" s="116">
        <v>10.0</v>
      </c>
      <c r="N806" s="116">
        <v>138.0</v>
      </c>
      <c r="O806" s="114"/>
      <c r="P806" s="140">
        <v>10508.0</v>
      </c>
      <c r="Q806" s="114" t="s">
        <v>234</v>
      </c>
      <c r="R806" s="115">
        <v>2021.0</v>
      </c>
      <c r="S806" s="136">
        <v>0.239000000000001</v>
      </c>
      <c r="T806" s="118">
        <f t="shared" si="28"/>
        <v>2511.412</v>
      </c>
      <c r="U806" s="24">
        <f t="shared" si="2"/>
        <v>188.4030008</v>
      </c>
      <c r="V806" s="26">
        <f>VLOOKUP(R806,CPI!$A$2:$E$67,5,0)</f>
        <v>1.124486105</v>
      </c>
      <c r="W806" s="27">
        <f t="shared" si="3"/>
        <v>2824.047899</v>
      </c>
      <c r="X806" s="27">
        <f t="shared" si="4"/>
        <v>211.8565566</v>
      </c>
      <c r="Y806" s="114"/>
      <c r="Z806" s="119" t="s">
        <v>546</v>
      </c>
      <c r="AA806" s="114"/>
      <c r="AB806" s="114"/>
      <c r="AC806" s="114"/>
      <c r="AD806" s="114"/>
    </row>
    <row r="807">
      <c r="A807" s="114" t="s">
        <v>230</v>
      </c>
      <c r="B807" s="72" t="s">
        <v>514</v>
      </c>
      <c r="C807" s="115" t="s">
        <v>84</v>
      </c>
      <c r="D807" s="115" t="s">
        <v>544</v>
      </c>
      <c r="E807" s="116">
        <v>2020.0</v>
      </c>
      <c r="F807" s="114"/>
      <c r="G807" s="116">
        <v>0.0</v>
      </c>
      <c r="H807" s="116">
        <v>4.95</v>
      </c>
      <c r="I807" s="117">
        <v>1.0</v>
      </c>
      <c r="J807" s="116">
        <v>4.95</v>
      </c>
      <c r="K807" s="114"/>
      <c r="L807" s="114"/>
      <c r="M807" s="116">
        <v>2.0</v>
      </c>
      <c r="N807" s="116">
        <v>117.0</v>
      </c>
      <c r="O807" s="114"/>
      <c r="P807" s="140">
        <v>3038.0</v>
      </c>
      <c r="Q807" s="114" t="s">
        <v>234</v>
      </c>
      <c r="R807" s="115">
        <v>2020.0</v>
      </c>
      <c r="S807" s="136">
        <v>0.239</v>
      </c>
      <c r="T807" s="118">
        <f t="shared" si="28"/>
        <v>726.082</v>
      </c>
      <c r="U807" s="24">
        <f t="shared" si="2"/>
        <v>146.6832323</v>
      </c>
      <c r="V807" s="26">
        <f>VLOOKUP(R807,CPI!$A$2:$E$67,5,0)</f>
        <v>1.17731472</v>
      </c>
      <c r="W807" s="27">
        <f t="shared" si="3"/>
        <v>854.8270265</v>
      </c>
      <c r="X807" s="27">
        <f t="shared" si="4"/>
        <v>172.6923286</v>
      </c>
      <c r="Y807" s="114"/>
      <c r="Z807" s="119" t="s">
        <v>545</v>
      </c>
      <c r="AA807" s="114"/>
      <c r="AB807" s="114"/>
      <c r="AC807" s="114"/>
      <c r="AD807" s="114"/>
    </row>
    <row r="808">
      <c r="A808" s="114" t="s">
        <v>230</v>
      </c>
      <c r="B808" s="72" t="s">
        <v>514</v>
      </c>
      <c r="C808" s="115" t="s">
        <v>54</v>
      </c>
      <c r="D808" s="115" t="s">
        <v>542</v>
      </c>
      <c r="E808" s="116">
        <v>2017.0</v>
      </c>
      <c r="F808" s="116"/>
      <c r="G808" s="116">
        <v>0.0</v>
      </c>
      <c r="H808" s="116">
        <v>30.5</v>
      </c>
      <c r="I808" s="117">
        <v>1.0</v>
      </c>
      <c r="J808" s="116">
        <v>30.5</v>
      </c>
      <c r="K808" s="114"/>
      <c r="L808" s="114"/>
      <c r="M808" s="116">
        <v>24.0</v>
      </c>
      <c r="N808" s="116">
        <v>117.0</v>
      </c>
      <c r="O808" s="114"/>
      <c r="P808" s="140">
        <v>17783.0</v>
      </c>
      <c r="Q808" s="114" t="s">
        <v>234</v>
      </c>
      <c r="R808" s="115">
        <v>2017.0</v>
      </c>
      <c r="S808" s="85">
        <v>0.239</v>
      </c>
      <c r="T808" s="118">
        <f t="shared" si="28"/>
        <v>4250.137</v>
      </c>
      <c r="U808" s="24">
        <f t="shared" si="2"/>
        <v>139.3487541</v>
      </c>
      <c r="V808" s="26">
        <f>VLOOKUP(R808,CPI!$A$2:$E$67,5,0)</f>
        <v>1.243072781</v>
      </c>
      <c r="W808" s="27">
        <f t="shared" si="3"/>
        <v>5283.229619</v>
      </c>
      <c r="X808" s="27">
        <f t="shared" si="4"/>
        <v>173.2206432</v>
      </c>
      <c r="Y808" s="114"/>
      <c r="Z808" s="225" t="s">
        <v>543</v>
      </c>
      <c r="AA808" s="114"/>
      <c r="AB808" s="114"/>
      <c r="AC808" s="114"/>
      <c r="AD808" s="114"/>
    </row>
    <row r="809">
      <c r="A809" s="114" t="s">
        <v>230</v>
      </c>
      <c r="B809" s="114" t="s">
        <v>514</v>
      </c>
      <c r="C809" s="115" t="s">
        <v>54</v>
      </c>
      <c r="D809" s="115" t="s">
        <v>326</v>
      </c>
      <c r="E809" s="116">
        <v>2014.0</v>
      </c>
      <c r="F809" s="114"/>
      <c r="G809" s="116">
        <v>0.0</v>
      </c>
      <c r="H809" s="116">
        <v>11.281</v>
      </c>
      <c r="I809" s="117">
        <v>1.0</v>
      </c>
      <c r="J809" s="116">
        <v>11.281</v>
      </c>
      <c r="K809" s="114"/>
      <c r="L809" s="114"/>
      <c r="M809" s="116">
        <v>9.0</v>
      </c>
      <c r="N809" s="116">
        <v>117.0</v>
      </c>
      <c r="O809" s="114"/>
      <c r="P809" s="140">
        <v>7900.0</v>
      </c>
      <c r="Q809" s="114" t="s">
        <v>234</v>
      </c>
      <c r="R809" s="115">
        <v>2014.0</v>
      </c>
      <c r="S809" s="85">
        <v>0.266</v>
      </c>
      <c r="T809" s="118">
        <f t="shared" si="28"/>
        <v>2101.4</v>
      </c>
      <c r="U809" s="24">
        <f t="shared" si="2"/>
        <v>186.2778123</v>
      </c>
      <c r="V809" s="26">
        <f>VLOOKUP(R809,CPI!$A$2:$E$67,5,0)</f>
        <v>1.287096175</v>
      </c>
      <c r="W809" s="27">
        <f t="shared" si="3"/>
        <v>2704.703901</v>
      </c>
      <c r="X809" s="27">
        <f t="shared" si="4"/>
        <v>239.7574596</v>
      </c>
      <c r="Y809" s="114"/>
      <c r="Z809" s="119" t="s">
        <v>540</v>
      </c>
      <c r="AA809" s="119" t="s">
        <v>541</v>
      </c>
    </row>
    <row r="810">
      <c r="A810" s="114" t="s">
        <v>230</v>
      </c>
      <c r="B810" s="72" t="s">
        <v>514</v>
      </c>
      <c r="C810" s="115" t="s">
        <v>80</v>
      </c>
      <c r="D810" s="115" t="s">
        <v>255</v>
      </c>
      <c r="E810" s="114"/>
      <c r="F810" s="116">
        <v>2021.0</v>
      </c>
      <c r="G810" s="116">
        <v>0.0</v>
      </c>
      <c r="H810" s="116">
        <v>26.955</v>
      </c>
      <c r="I810" s="117">
        <v>1.0</v>
      </c>
      <c r="J810" s="116">
        <v>26.955</v>
      </c>
      <c r="K810" s="114"/>
      <c r="L810" s="114"/>
      <c r="M810" s="116">
        <v>19.0</v>
      </c>
      <c r="N810" s="116">
        <v>117.0</v>
      </c>
      <c r="O810" s="114"/>
      <c r="P810" s="140">
        <v>17830.0</v>
      </c>
      <c r="Q810" s="114" t="s">
        <v>234</v>
      </c>
      <c r="R810" s="115">
        <v>2021.0</v>
      </c>
      <c r="S810" s="136">
        <v>0.239000000000001</v>
      </c>
      <c r="T810" s="118">
        <f t="shared" si="28"/>
        <v>4261.37</v>
      </c>
      <c r="U810" s="24">
        <f t="shared" si="2"/>
        <v>158.0920052</v>
      </c>
      <c r="V810" s="26">
        <f>VLOOKUP(R810,CPI!$A$2:$E$67,5,0)</f>
        <v>1.124486105</v>
      </c>
      <c r="W810" s="27">
        <f t="shared" si="3"/>
        <v>4791.851355</v>
      </c>
      <c r="X810" s="27">
        <f t="shared" si="4"/>
        <v>177.7722632</v>
      </c>
      <c r="Y810" s="114"/>
      <c r="Z810" s="119" t="s">
        <v>529</v>
      </c>
      <c r="AA810" s="114"/>
      <c r="AB810" s="114"/>
      <c r="AC810" s="114"/>
      <c r="AD810" s="114"/>
    </row>
    <row r="811">
      <c r="A811" s="114" t="s">
        <v>230</v>
      </c>
      <c r="B811" s="72" t="s">
        <v>514</v>
      </c>
      <c r="C811" s="115" t="s">
        <v>84</v>
      </c>
      <c r="D811" s="115" t="s">
        <v>319</v>
      </c>
      <c r="E811" s="116">
        <v>2014.0</v>
      </c>
      <c r="F811" s="116">
        <v>2020.0</v>
      </c>
      <c r="G811" s="116">
        <v>0.0</v>
      </c>
      <c r="H811" s="116">
        <v>51.6</v>
      </c>
      <c r="I811" s="117">
        <v>1.0</v>
      </c>
      <c r="J811" s="116">
        <v>51.6</v>
      </c>
      <c r="K811" s="114"/>
      <c r="L811" s="114"/>
      <c r="M811" s="116">
        <v>36.0</v>
      </c>
      <c r="N811" s="116">
        <v>117.0</v>
      </c>
      <c r="O811" s="114"/>
      <c r="P811" s="140">
        <v>36064.0</v>
      </c>
      <c r="Q811" s="114" t="s">
        <v>234</v>
      </c>
      <c r="R811" s="115">
        <v>2017.0</v>
      </c>
      <c r="S811" s="85">
        <v>0.239</v>
      </c>
      <c r="T811" s="118">
        <f t="shared" si="28"/>
        <v>8619.296</v>
      </c>
      <c r="U811" s="24">
        <f t="shared" si="2"/>
        <v>167.0406202</v>
      </c>
      <c r="V811" s="26">
        <f>VLOOKUP(R811,CPI!$A$2:$E$67,5,0)</f>
        <v>1.243072781</v>
      </c>
      <c r="W811" s="27">
        <f t="shared" si="3"/>
        <v>10714.41225</v>
      </c>
      <c r="X811" s="27">
        <f t="shared" si="4"/>
        <v>207.6436482</v>
      </c>
      <c r="Y811" s="114"/>
      <c r="Z811" s="119" t="s">
        <v>516</v>
      </c>
      <c r="AA811" s="114"/>
      <c r="AB811" s="114"/>
      <c r="AC811" s="114"/>
      <c r="AD811" s="114"/>
    </row>
    <row r="812">
      <c r="A812" s="114" t="s">
        <v>230</v>
      </c>
      <c r="B812" s="72" t="s">
        <v>514</v>
      </c>
      <c r="C812" s="115" t="s">
        <v>110</v>
      </c>
      <c r="D812" s="115" t="s">
        <v>332</v>
      </c>
      <c r="E812" s="116">
        <v>2013.0</v>
      </c>
      <c r="F812" s="114"/>
      <c r="G812" s="116">
        <v>0.0</v>
      </c>
      <c r="H812" s="116">
        <v>20.8</v>
      </c>
      <c r="I812" s="117">
        <v>1.0</v>
      </c>
      <c r="J812" s="116">
        <v>20.8</v>
      </c>
      <c r="K812" s="114"/>
      <c r="L812" s="114"/>
      <c r="M812" s="116">
        <v>18.0</v>
      </c>
      <c r="N812" s="116">
        <v>117.0</v>
      </c>
      <c r="O812" s="114"/>
      <c r="P812" s="140">
        <v>14350.0</v>
      </c>
      <c r="Q812" s="114" t="s">
        <v>234</v>
      </c>
      <c r="R812" s="115">
        <v>2013.0</v>
      </c>
      <c r="S812" s="85">
        <v>0.273</v>
      </c>
      <c r="T812" s="118">
        <f t="shared" si="28"/>
        <v>3917.55</v>
      </c>
      <c r="U812" s="24">
        <f t="shared" si="2"/>
        <v>188.34375</v>
      </c>
      <c r="V812" s="26">
        <f>VLOOKUP(R812,CPI!$A$2:$E$67,5,0)</f>
        <v>1.307975292</v>
      </c>
      <c r="W812" s="27">
        <f t="shared" si="3"/>
        <v>5124.058604</v>
      </c>
      <c r="X812" s="27">
        <f t="shared" si="4"/>
        <v>246.3489713</v>
      </c>
      <c r="Y812" s="114"/>
      <c r="Z812" s="119" t="s">
        <v>539</v>
      </c>
      <c r="AA812" s="114"/>
      <c r="AB812" s="114"/>
      <c r="AC812" s="114"/>
      <c r="AD812" s="114"/>
    </row>
    <row r="813">
      <c r="A813" s="114" t="s">
        <v>230</v>
      </c>
      <c r="B813" s="72" t="s">
        <v>555</v>
      </c>
      <c r="C813" s="36" t="s">
        <v>80</v>
      </c>
      <c r="D813" s="72" t="s">
        <v>457</v>
      </c>
      <c r="E813" s="116">
        <v>2021.0</v>
      </c>
      <c r="F813" s="114"/>
      <c r="G813" s="116">
        <v>0.0</v>
      </c>
      <c r="H813" s="116">
        <v>10.0</v>
      </c>
      <c r="I813" s="117">
        <v>1.0</v>
      </c>
      <c r="J813" s="116">
        <v>10.0</v>
      </c>
      <c r="K813" s="114"/>
      <c r="L813" s="114"/>
      <c r="M813" s="116">
        <v>4.0</v>
      </c>
      <c r="N813" s="116">
        <v>117.0</v>
      </c>
      <c r="O813" s="114"/>
      <c r="P813" s="140">
        <v>6887.0</v>
      </c>
      <c r="Q813" s="114" t="s">
        <v>234</v>
      </c>
      <c r="R813" s="75">
        <v>2020.0</v>
      </c>
      <c r="S813" s="136">
        <v>0.239</v>
      </c>
      <c r="T813" s="128">
        <f t="shared" si="28"/>
        <v>1645.993</v>
      </c>
      <c r="U813" s="24">
        <f t="shared" si="2"/>
        <v>164.5993</v>
      </c>
      <c r="V813" s="26">
        <f>VLOOKUP(R813,CPI!$A$2:$E$67,5,0)</f>
        <v>1.17731472</v>
      </c>
      <c r="W813" s="27">
        <f t="shared" si="3"/>
        <v>1937.851788</v>
      </c>
      <c r="X813" s="27">
        <f t="shared" si="4"/>
        <v>193.7851788</v>
      </c>
      <c r="Y813" s="123" t="s">
        <v>42</v>
      </c>
      <c r="Z813" s="119" t="s">
        <v>569</v>
      </c>
      <c r="AA813" s="114"/>
      <c r="AB813" s="114"/>
      <c r="AC813" s="114"/>
      <c r="AD813" s="114"/>
    </row>
    <row r="814">
      <c r="A814" s="114" t="s">
        <v>230</v>
      </c>
      <c r="B814" s="114" t="s">
        <v>555</v>
      </c>
      <c r="C814" s="114" t="s">
        <v>562</v>
      </c>
      <c r="D814" s="114" t="s">
        <v>562</v>
      </c>
      <c r="E814" s="116">
        <v>2018.0</v>
      </c>
      <c r="F814" s="114"/>
      <c r="G814" s="116">
        <v>0.0</v>
      </c>
      <c r="H814" s="116">
        <v>63.1</v>
      </c>
      <c r="I814" s="117">
        <v>0.19</v>
      </c>
      <c r="J814" s="116">
        <v>11.94</v>
      </c>
      <c r="K814" s="114"/>
      <c r="L814" s="114"/>
      <c r="M814" s="116">
        <v>19.0</v>
      </c>
      <c r="N814" s="116">
        <v>117.0</v>
      </c>
      <c r="O814" s="114"/>
      <c r="P814" s="140">
        <v>22190.0</v>
      </c>
      <c r="Q814" s="114" t="s">
        <v>234</v>
      </c>
      <c r="R814" s="75">
        <v>2020.0</v>
      </c>
      <c r="S814" s="136">
        <v>0.239</v>
      </c>
      <c r="T814" s="128">
        <f t="shared" si="28"/>
        <v>5303.41</v>
      </c>
      <c r="U814" s="24">
        <f t="shared" si="2"/>
        <v>84.04770206</v>
      </c>
      <c r="V814" s="26">
        <f>VLOOKUP(R814,CPI!$A$2:$E$67,5,0)</f>
        <v>1.17731472</v>
      </c>
      <c r="W814" s="27">
        <f t="shared" si="3"/>
        <v>6243.782659</v>
      </c>
      <c r="X814" s="27">
        <f t="shared" si="4"/>
        <v>98.95059682</v>
      </c>
      <c r="Y814" s="115" t="s">
        <v>36</v>
      </c>
      <c r="Z814" s="119" t="s">
        <v>563</v>
      </c>
      <c r="AA814" s="114"/>
      <c r="AB814" s="114"/>
      <c r="AC814" s="114"/>
      <c r="AD814" s="114"/>
    </row>
    <row r="815">
      <c r="A815" s="114" t="s">
        <v>230</v>
      </c>
      <c r="B815" s="114" t="s">
        <v>555</v>
      </c>
      <c r="C815" s="115" t="s">
        <v>57</v>
      </c>
      <c r="D815" s="114" t="s">
        <v>564</v>
      </c>
      <c r="E815" s="116">
        <v>2019.0</v>
      </c>
      <c r="F815" s="114"/>
      <c r="G815" s="116">
        <v>0.0</v>
      </c>
      <c r="H815" s="116">
        <v>4.54</v>
      </c>
      <c r="I815" s="117">
        <v>1.0</v>
      </c>
      <c r="J815" s="116">
        <v>4.54</v>
      </c>
      <c r="K815" s="114"/>
      <c r="L815" s="114"/>
      <c r="M815" s="116">
        <v>3.0</v>
      </c>
      <c r="N815" s="116">
        <v>117.0</v>
      </c>
      <c r="O815" s="114"/>
      <c r="P815" s="140">
        <v>4257.0</v>
      </c>
      <c r="Q815" s="114" t="s">
        <v>234</v>
      </c>
      <c r="R815" s="115">
        <v>2019.0</v>
      </c>
      <c r="S815" s="136">
        <v>0.238</v>
      </c>
      <c r="T815" s="118">
        <f t="shared" si="28"/>
        <v>1013.166</v>
      </c>
      <c r="U815" s="24">
        <f t="shared" si="2"/>
        <v>223.1643172</v>
      </c>
      <c r="V815" s="26">
        <f>VLOOKUP(R815,CPI!$A$2:$E$67,5,0)</f>
        <v>1.191839066</v>
      </c>
      <c r="W815" s="27">
        <f t="shared" si="3"/>
        <v>1207.530819</v>
      </c>
      <c r="X815" s="27">
        <f t="shared" si="4"/>
        <v>265.9759513</v>
      </c>
      <c r="Y815" s="114"/>
      <c r="Z815" s="119" t="s">
        <v>565</v>
      </c>
      <c r="AA815" s="114"/>
      <c r="AB815" s="114"/>
      <c r="AC815" s="114"/>
      <c r="AD815" s="114"/>
    </row>
    <row r="816">
      <c r="A816" s="114" t="s">
        <v>230</v>
      </c>
      <c r="B816" s="114" t="s">
        <v>555</v>
      </c>
      <c r="C816" s="115" t="s">
        <v>54</v>
      </c>
      <c r="D816" s="114" t="s">
        <v>313</v>
      </c>
      <c r="E816" s="116">
        <v>2021.0</v>
      </c>
      <c r="F816" s="114"/>
      <c r="G816" s="116">
        <v>0.0</v>
      </c>
      <c r="H816" s="116">
        <v>12.7</v>
      </c>
      <c r="I816" s="117">
        <v>1.0</v>
      </c>
      <c r="J816" s="116">
        <v>12.7</v>
      </c>
      <c r="K816" s="114"/>
      <c r="L816" s="114"/>
      <c r="M816" s="116">
        <v>8.0</v>
      </c>
      <c r="N816" s="116">
        <v>117.0</v>
      </c>
      <c r="O816" s="114"/>
      <c r="P816" s="140">
        <v>8965.0</v>
      </c>
      <c r="Q816" s="114" t="s">
        <v>234</v>
      </c>
      <c r="R816" s="115">
        <v>2021.0</v>
      </c>
      <c r="S816" s="136">
        <v>0.239000000000001</v>
      </c>
      <c r="T816" s="118">
        <f t="shared" si="28"/>
        <v>2142.635</v>
      </c>
      <c r="U816" s="24">
        <f t="shared" si="2"/>
        <v>168.7114173</v>
      </c>
      <c r="V816" s="26">
        <f>VLOOKUP(R816,CPI!$A$2:$E$67,5,0)</f>
        <v>1.124486105</v>
      </c>
      <c r="W816" s="27">
        <f t="shared" si="3"/>
        <v>2409.363287</v>
      </c>
      <c r="X816" s="27">
        <f t="shared" si="4"/>
        <v>189.7136446</v>
      </c>
      <c r="Y816" s="114"/>
      <c r="Z816" s="119" t="s">
        <v>567</v>
      </c>
      <c r="AA816" s="114"/>
      <c r="AB816" s="114"/>
      <c r="AC816" s="114"/>
      <c r="AD816" s="114"/>
    </row>
    <row r="817">
      <c r="A817" s="114" t="s">
        <v>230</v>
      </c>
      <c r="B817" s="72" t="s">
        <v>586</v>
      </c>
      <c r="C817" s="115" t="s">
        <v>87</v>
      </c>
      <c r="D817" s="115" t="s">
        <v>331</v>
      </c>
      <c r="E817" s="116">
        <v>2017.0</v>
      </c>
      <c r="F817" s="114"/>
      <c r="G817" s="116">
        <v>0.0</v>
      </c>
      <c r="H817" s="116">
        <v>19.5</v>
      </c>
      <c r="I817" s="114"/>
      <c r="J817" s="114"/>
      <c r="K817" s="114"/>
      <c r="L817" s="114"/>
      <c r="M817" s="114"/>
      <c r="N817" s="116">
        <v>117.0</v>
      </c>
      <c r="O817" s="114"/>
      <c r="P817" s="140">
        <v>13057.0</v>
      </c>
      <c r="Q817" s="114" t="s">
        <v>234</v>
      </c>
      <c r="R817" s="115">
        <v>2017.0</v>
      </c>
      <c r="S817" s="85">
        <v>0.239</v>
      </c>
      <c r="T817" s="118">
        <f t="shared" si="28"/>
        <v>3120.623</v>
      </c>
      <c r="U817" s="24">
        <f t="shared" si="2"/>
        <v>160.0319487</v>
      </c>
      <c r="V817" s="26">
        <f>VLOOKUP(R817,CPI!$A$2:$E$67,5,0)</f>
        <v>1.243072781</v>
      </c>
      <c r="W817" s="27">
        <f t="shared" si="3"/>
        <v>3879.16151</v>
      </c>
      <c r="X817" s="27">
        <f t="shared" si="4"/>
        <v>198.9313595</v>
      </c>
      <c r="Y817" s="114"/>
      <c r="Z817" s="119" t="s">
        <v>588</v>
      </c>
      <c r="AA817" s="114"/>
      <c r="AB817" s="114"/>
      <c r="AC817" s="114"/>
      <c r="AD817" s="114"/>
    </row>
    <row r="818">
      <c r="A818" s="114" t="s">
        <v>230</v>
      </c>
      <c r="B818" s="72" t="s">
        <v>595</v>
      </c>
      <c r="C818" s="115" t="s">
        <v>110</v>
      </c>
      <c r="D818" s="115" t="s">
        <v>332</v>
      </c>
      <c r="E818" s="116">
        <v>2019.0</v>
      </c>
      <c r="F818" s="114"/>
      <c r="G818" s="116">
        <v>0.0</v>
      </c>
      <c r="H818" s="116">
        <v>26.8</v>
      </c>
      <c r="I818" s="117">
        <v>0.6</v>
      </c>
      <c r="J818" s="116">
        <v>16.0</v>
      </c>
      <c r="K818" s="114"/>
      <c r="L818" s="114"/>
      <c r="M818" s="116">
        <v>11.0</v>
      </c>
      <c r="N818" s="114"/>
      <c r="O818" s="114"/>
      <c r="P818" s="140">
        <v>17062.0</v>
      </c>
      <c r="Q818" s="114" t="s">
        <v>234</v>
      </c>
      <c r="R818" s="115">
        <v>2019.0</v>
      </c>
      <c r="S818" s="136">
        <v>0.238</v>
      </c>
      <c r="T818" s="118">
        <f t="shared" si="28"/>
        <v>4060.756</v>
      </c>
      <c r="U818" s="24">
        <f t="shared" si="2"/>
        <v>151.5207463</v>
      </c>
      <c r="V818" s="26">
        <f>VLOOKUP(R818,CPI!$A$2:$E$67,5,0)</f>
        <v>1.191839066</v>
      </c>
      <c r="W818" s="27">
        <f t="shared" si="3"/>
        <v>4839.767637</v>
      </c>
      <c r="X818" s="27">
        <f t="shared" si="4"/>
        <v>180.5883447</v>
      </c>
      <c r="Y818" s="114"/>
      <c r="Z818" s="119" t="s">
        <v>597</v>
      </c>
      <c r="AA818" s="114"/>
      <c r="AB818" s="114"/>
      <c r="AC818" s="114"/>
      <c r="AD818" s="114"/>
    </row>
    <row r="819">
      <c r="A819" s="114" t="s">
        <v>230</v>
      </c>
      <c r="B819" s="72" t="s">
        <v>609</v>
      </c>
      <c r="C819" s="171" t="s">
        <v>636</v>
      </c>
      <c r="D819" s="72" t="s">
        <v>637</v>
      </c>
      <c r="E819" s="116">
        <v>2021.0</v>
      </c>
      <c r="F819" s="114"/>
      <c r="G819" s="82">
        <v>1.0</v>
      </c>
      <c r="H819" s="116">
        <v>27.49</v>
      </c>
      <c r="I819" s="117">
        <v>0.0</v>
      </c>
      <c r="J819" s="116">
        <v>0.0</v>
      </c>
      <c r="K819" s="114"/>
      <c r="L819" s="114"/>
      <c r="M819" s="116">
        <v>8.0</v>
      </c>
      <c r="N819" s="116">
        <v>117.0</v>
      </c>
      <c r="O819" s="114"/>
      <c r="P819" s="140">
        <v>6337.0</v>
      </c>
      <c r="Q819" s="114" t="s">
        <v>234</v>
      </c>
      <c r="R819" s="115">
        <v>2021.0</v>
      </c>
      <c r="S819" s="136">
        <v>0.239000000000001</v>
      </c>
      <c r="T819" s="118">
        <f t="shared" si="28"/>
        <v>1514.543</v>
      </c>
      <c r="U819" s="24">
        <f t="shared" si="2"/>
        <v>55.09432521</v>
      </c>
      <c r="V819" s="26">
        <f>VLOOKUP(R819,CPI!$A$2:$E$67,5,0)</f>
        <v>1.124486105</v>
      </c>
      <c r="W819" s="27">
        <f t="shared" si="3"/>
        <v>1703.08256</v>
      </c>
      <c r="X819" s="27">
        <f t="shared" si="4"/>
        <v>61.95280319</v>
      </c>
      <c r="Y819" s="114"/>
      <c r="Z819" s="119" t="s">
        <v>638</v>
      </c>
      <c r="AA819" s="114"/>
      <c r="AB819" s="114"/>
      <c r="AC819" s="114"/>
      <c r="AD819" s="114"/>
    </row>
    <row r="820">
      <c r="A820" s="114" t="s">
        <v>230</v>
      </c>
      <c r="B820" s="72" t="s">
        <v>609</v>
      </c>
      <c r="C820" s="115" t="s">
        <v>611</v>
      </c>
      <c r="D820" s="115" t="s">
        <v>612</v>
      </c>
      <c r="E820" s="116">
        <v>2022.0</v>
      </c>
      <c r="F820" s="114"/>
      <c r="G820" s="116">
        <v>0.0</v>
      </c>
      <c r="H820" s="116">
        <v>24.0</v>
      </c>
      <c r="I820" s="114"/>
      <c r="J820" s="114"/>
      <c r="K820" s="114"/>
      <c r="L820" s="114"/>
      <c r="M820" s="116">
        <v>8.0</v>
      </c>
      <c r="N820" s="116">
        <v>78.0</v>
      </c>
      <c r="O820" s="114"/>
      <c r="P820" s="140">
        <v>6830.0</v>
      </c>
      <c r="Q820" s="114" t="s">
        <v>234</v>
      </c>
      <c r="R820" s="115">
        <v>2021.0</v>
      </c>
      <c r="S820" s="136">
        <v>0.239000000000001</v>
      </c>
      <c r="T820" s="118">
        <f t="shared" si="28"/>
        <v>1632.37</v>
      </c>
      <c r="U820" s="24">
        <f t="shared" si="2"/>
        <v>68.01541667</v>
      </c>
      <c r="V820" s="26">
        <f>VLOOKUP(R820,CPI!$A$2:$E$67,5,0)</f>
        <v>1.124486105</v>
      </c>
      <c r="W820" s="27">
        <f t="shared" si="3"/>
        <v>1835.577384</v>
      </c>
      <c r="X820" s="27">
        <f t="shared" si="4"/>
        <v>76.482391</v>
      </c>
      <c r="Y820" s="114"/>
      <c r="Z820" s="119" t="s">
        <v>654</v>
      </c>
      <c r="AA820" s="114"/>
      <c r="AB820" s="114"/>
      <c r="AC820" s="114"/>
      <c r="AD820" s="114"/>
    </row>
    <row r="821">
      <c r="A821" s="114" t="s">
        <v>230</v>
      </c>
      <c r="B821" s="72" t="s">
        <v>609</v>
      </c>
      <c r="C821" s="115" t="s">
        <v>611</v>
      </c>
      <c r="D821" s="115" t="s">
        <v>612</v>
      </c>
      <c r="E821" s="116">
        <v>2012.0</v>
      </c>
      <c r="F821" s="116">
        <v>2014.0</v>
      </c>
      <c r="G821" s="116">
        <v>0.0</v>
      </c>
      <c r="H821" s="116">
        <v>45.2</v>
      </c>
      <c r="I821" s="117">
        <v>0.27</v>
      </c>
      <c r="J821" s="116">
        <v>12.2</v>
      </c>
      <c r="K821" s="114"/>
      <c r="L821" s="114"/>
      <c r="M821" s="116">
        <v>17.0</v>
      </c>
      <c r="N821" s="116">
        <v>78.0</v>
      </c>
      <c r="O821" s="114"/>
      <c r="P821" s="140">
        <v>14379.0</v>
      </c>
      <c r="Q821" s="114" t="s">
        <v>234</v>
      </c>
      <c r="R821" s="115">
        <v>2021.0</v>
      </c>
      <c r="S821" s="136">
        <v>0.239000000000001</v>
      </c>
      <c r="T821" s="118">
        <f t="shared" si="28"/>
        <v>3436.581</v>
      </c>
      <c r="U821" s="24">
        <f t="shared" si="2"/>
        <v>76.0305531</v>
      </c>
      <c r="V821" s="26">
        <f>VLOOKUP(R821,CPI!$A$2:$E$67,5,0)</f>
        <v>1.124486105</v>
      </c>
      <c r="W821" s="27">
        <f t="shared" si="3"/>
        <v>3864.387585</v>
      </c>
      <c r="X821" s="27">
        <f t="shared" si="4"/>
        <v>85.49530055</v>
      </c>
      <c r="Y821" s="114"/>
      <c r="Z821" s="119" t="s">
        <v>613</v>
      </c>
      <c r="AA821" s="119" t="s">
        <v>614</v>
      </c>
    </row>
    <row r="822">
      <c r="A822" s="114" t="s">
        <v>230</v>
      </c>
      <c r="B822" s="72" t="s">
        <v>609</v>
      </c>
      <c r="C822" s="171" t="s">
        <v>624</v>
      </c>
      <c r="D822" s="115" t="s">
        <v>625</v>
      </c>
      <c r="E822" s="116">
        <v>2018.0</v>
      </c>
      <c r="F822" s="116">
        <v>2022.0</v>
      </c>
      <c r="G822" s="116">
        <v>0.0</v>
      </c>
      <c r="H822" s="116">
        <v>32.95</v>
      </c>
      <c r="I822" s="117">
        <v>0.0</v>
      </c>
      <c r="J822" s="116">
        <v>0.0</v>
      </c>
      <c r="K822" s="114"/>
      <c r="L822" s="114"/>
      <c r="M822" s="116">
        <v>6.0</v>
      </c>
      <c r="N822" s="116">
        <v>92.0</v>
      </c>
      <c r="O822" s="114"/>
      <c r="P822" s="140">
        <v>9399.67</v>
      </c>
      <c r="Q822" s="114" t="s">
        <v>234</v>
      </c>
      <c r="R822" s="115">
        <v>2013.0</v>
      </c>
      <c r="S822" s="85">
        <v>0.273</v>
      </c>
      <c r="T822" s="118">
        <f t="shared" si="28"/>
        <v>2566.10991</v>
      </c>
      <c r="U822" s="24">
        <f t="shared" si="2"/>
        <v>77.8789047</v>
      </c>
      <c r="V822" s="26">
        <f>VLOOKUP(R822,CPI!$A$2:$E$67,5,0)</f>
        <v>1.307975292</v>
      </c>
      <c r="W822" s="27">
        <f t="shared" si="3"/>
        <v>3356.408358</v>
      </c>
      <c r="X822" s="27">
        <f t="shared" si="4"/>
        <v>101.8636831</v>
      </c>
      <c r="Y822" s="114"/>
      <c r="Z822" s="119" t="s">
        <v>626</v>
      </c>
      <c r="AA822" s="119" t="s">
        <v>627</v>
      </c>
    </row>
    <row r="823">
      <c r="A823" s="114" t="s">
        <v>230</v>
      </c>
      <c r="B823" s="72" t="s">
        <v>609</v>
      </c>
      <c r="C823" s="171" t="s">
        <v>624</v>
      </c>
      <c r="D823" s="115" t="s">
        <v>652</v>
      </c>
      <c r="E823" s="116">
        <v>2022.0</v>
      </c>
      <c r="F823" s="114"/>
      <c r="G823" s="116">
        <v>0.0</v>
      </c>
      <c r="H823" s="116">
        <v>13.28</v>
      </c>
      <c r="I823" s="114"/>
      <c r="J823" s="114"/>
      <c r="K823" s="114"/>
      <c r="L823" s="114"/>
      <c r="M823" s="116">
        <v>6.0</v>
      </c>
      <c r="N823" s="116">
        <v>92.0</v>
      </c>
      <c r="O823" s="114"/>
      <c r="P823" s="140">
        <v>4420.0</v>
      </c>
      <c r="Q823" s="114" t="s">
        <v>234</v>
      </c>
      <c r="R823" s="115">
        <v>2021.0</v>
      </c>
      <c r="S823" s="136">
        <v>0.239000000000001</v>
      </c>
      <c r="T823" s="118">
        <f t="shared" si="28"/>
        <v>1056.38</v>
      </c>
      <c r="U823" s="24">
        <f t="shared" si="2"/>
        <v>79.54668675</v>
      </c>
      <c r="V823" s="26">
        <f>VLOOKUP(R823,CPI!$A$2:$E$67,5,0)</f>
        <v>1.124486105</v>
      </c>
      <c r="W823" s="27">
        <f t="shared" si="3"/>
        <v>1187.884632</v>
      </c>
      <c r="X823" s="27">
        <f t="shared" si="4"/>
        <v>89.44914398</v>
      </c>
      <c r="Y823" s="114"/>
      <c r="Z823" s="119" t="s">
        <v>653</v>
      </c>
      <c r="AA823" s="119" t="s">
        <v>627</v>
      </c>
    </row>
    <row r="824">
      <c r="A824" s="114" t="s">
        <v>230</v>
      </c>
      <c r="B824" s="72" t="s">
        <v>609</v>
      </c>
      <c r="C824" s="171" t="s">
        <v>624</v>
      </c>
      <c r="D824" s="115" t="s">
        <v>644</v>
      </c>
      <c r="E824" s="116">
        <v>2021.0</v>
      </c>
      <c r="F824" s="114"/>
      <c r="G824" s="116">
        <v>0.0</v>
      </c>
      <c r="H824" s="116">
        <v>5.671</v>
      </c>
      <c r="I824" s="117">
        <v>0.46</v>
      </c>
      <c r="J824" s="116">
        <v>2.63</v>
      </c>
      <c r="K824" s="114"/>
      <c r="L824" s="114"/>
      <c r="M824" s="116">
        <v>2.0</v>
      </c>
      <c r="N824" s="116">
        <v>92.0</v>
      </c>
      <c r="O824" s="114"/>
      <c r="P824" s="140">
        <v>3435.0</v>
      </c>
      <c r="Q824" s="114" t="s">
        <v>234</v>
      </c>
      <c r="R824" s="115">
        <v>2021.0</v>
      </c>
      <c r="S824" s="136">
        <v>0.239000000000002</v>
      </c>
      <c r="T824" s="118">
        <f t="shared" si="28"/>
        <v>820.965</v>
      </c>
      <c r="U824" s="24">
        <f t="shared" si="2"/>
        <v>144.7654735</v>
      </c>
      <c r="V824" s="26">
        <f>VLOOKUP(R824,CPI!$A$2:$E$67,5,0)</f>
        <v>1.124486105</v>
      </c>
      <c r="W824" s="27">
        <f t="shared" si="3"/>
        <v>923.1637356</v>
      </c>
      <c r="X824" s="27">
        <f t="shared" si="4"/>
        <v>162.7867635</v>
      </c>
      <c r="Y824" s="114"/>
      <c r="Z824" s="119" t="s">
        <v>645</v>
      </c>
      <c r="AA824" s="119" t="s">
        <v>627</v>
      </c>
    </row>
    <row r="825">
      <c r="A825" s="114" t="s">
        <v>230</v>
      </c>
      <c r="B825" s="72" t="s">
        <v>609</v>
      </c>
      <c r="C825" s="72" t="s">
        <v>642</v>
      </c>
      <c r="D825" s="72" t="s">
        <v>642</v>
      </c>
      <c r="E825" s="116">
        <v>2021.0</v>
      </c>
      <c r="F825" s="114"/>
      <c r="G825" s="116">
        <v>0.0</v>
      </c>
      <c r="H825" s="116">
        <v>42.4</v>
      </c>
      <c r="I825" s="114"/>
      <c r="J825" s="114"/>
      <c r="K825" s="114"/>
      <c r="L825" s="114"/>
      <c r="M825" s="116">
        <v>11.0</v>
      </c>
      <c r="N825" s="116">
        <v>117.0</v>
      </c>
      <c r="O825" s="114"/>
      <c r="P825" s="140">
        <v>14980.0</v>
      </c>
      <c r="Q825" s="114" t="s">
        <v>234</v>
      </c>
      <c r="R825" s="115">
        <v>2021.0</v>
      </c>
      <c r="S825" s="136">
        <v>0.239000000000002</v>
      </c>
      <c r="T825" s="118">
        <f t="shared" si="28"/>
        <v>3580.22</v>
      </c>
      <c r="U825" s="24">
        <f t="shared" si="2"/>
        <v>84.43915094</v>
      </c>
      <c r="V825" s="26">
        <f>VLOOKUP(R825,CPI!$A$2:$E$67,5,0)</f>
        <v>1.124486105</v>
      </c>
      <c r="W825" s="27">
        <f t="shared" si="3"/>
        <v>4025.907645</v>
      </c>
      <c r="X825" s="27">
        <f t="shared" si="4"/>
        <v>94.95065199</v>
      </c>
      <c r="Y825" s="114"/>
      <c r="Z825" s="119" t="s">
        <v>643</v>
      </c>
      <c r="AA825" s="114"/>
      <c r="AB825" s="114"/>
      <c r="AC825" s="114"/>
      <c r="AD825" s="114"/>
    </row>
    <row r="826">
      <c r="A826" s="114" t="s">
        <v>230</v>
      </c>
      <c r="B826" s="72" t="s">
        <v>609</v>
      </c>
      <c r="C826" s="72" t="s">
        <v>646</v>
      </c>
      <c r="D826" s="72" t="s">
        <v>646</v>
      </c>
      <c r="E826" s="116">
        <v>2021.0</v>
      </c>
      <c r="F826" s="114"/>
      <c r="G826" s="116">
        <v>0.0</v>
      </c>
      <c r="H826" s="116">
        <v>53.75</v>
      </c>
      <c r="I826" s="117">
        <v>0.57</v>
      </c>
      <c r="J826" s="116">
        <v>30.66</v>
      </c>
      <c r="K826" s="114"/>
      <c r="L826" s="114"/>
      <c r="M826" s="116">
        <v>16.0</v>
      </c>
      <c r="N826" s="116">
        <v>138.0</v>
      </c>
      <c r="O826" s="114"/>
      <c r="P826" s="140">
        <v>26852.0</v>
      </c>
      <c r="Q826" s="114" t="s">
        <v>234</v>
      </c>
      <c r="R826" s="115">
        <v>2021.0</v>
      </c>
      <c r="S826" s="136">
        <v>0.239000000000002</v>
      </c>
      <c r="T826" s="118">
        <f t="shared" si="28"/>
        <v>6417.628</v>
      </c>
      <c r="U826" s="24">
        <f t="shared" si="2"/>
        <v>119.3977302</v>
      </c>
      <c r="V826" s="26">
        <f>VLOOKUP(R826,CPI!$A$2:$E$67,5,0)</f>
        <v>1.124486105</v>
      </c>
      <c r="W826" s="27">
        <f t="shared" si="3"/>
        <v>7216.533516</v>
      </c>
      <c r="X826" s="27">
        <f t="shared" si="4"/>
        <v>134.2610887</v>
      </c>
      <c r="Y826" s="114"/>
      <c r="Z826" s="119" t="s">
        <v>647</v>
      </c>
      <c r="AA826" s="119" t="s">
        <v>648</v>
      </c>
    </row>
    <row r="827">
      <c r="A827" s="114" t="s">
        <v>230</v>
      </c>
      <c r="B827" s="72" t="s">
        <v>609</v>
      </c>
      <c r="C827" s="171" t="s">
        <v>636</v>
      </c>
      <c r="D827" s="72" t="s">
        <v>639</v>
      </c>
      <c r="E827" s="116">
        <v>2021.0</v>
      </c>
      <c r="F827" s="114"/>
      <c r="G827" s="82">
        <v>1.0</v>
      </c>
      <c r="H827" s="116">
        <v>26.5</v>
      </c>
      <c r="I827" s="117">
        <v>0.52</v>
      </c>
      <c r="J827" s="116">
        <v>13.71</v>
      </c>
      <c r="K827" s="114"/>
      <c r="L827" s="114"/>
      <c r="M827" s="116">
        <v>8.0</v>
      </c>
      <c r="N827" s="116">
        <v>117.0</v>
      </c>
      <c r="O827" s="114"/>
      <c r="P827" s="140">
        <v>14698.0</v>
      </c>
      <c r="Q827" s="114" t="s">
        <v>234</v>
      </c>
      <c r="R827" s="115">
        <v>2021.0</v>
      </c>
      <c r="S827" s="136">
        <v>0.239000000000002</v>
      </c>
      <c r="T827" s="118">
        <f t="shared" si="28"/>
        <v>3512.822</v>
      </c>
      <c r="U827" s="24">
        <f t="shared" si="2"/>
        <v>132.5593208</v>
      </c>
      <c r="V827" s="26">
        <f>VLOOKUP(R827,CPI!$A$2:$E$67,5,0)</f>
        <v>1.124486105</v>
      </c>
      <c r="W827" s="27">
        <f t="shared" si="3"/>
        <v>3950.11953</v>
      </c>
      <c r="X827" s="27">
        <f t="shared" si="4"/>
        <v>149.0611143</v>
      </c>
      <c r="Y827" s="114"/>
      <c r="Z827" s="119" t="s">
        <v>640</v>
      </c>
      <c r="AA827" s="119" t="s">
        <v>641</v>
      </c>
    </row>
    <row r="828">
      <c r="A828" s="114" t="s">
        <v>230</v>
      </c>
      <c r="B828" s="72" t="s">
        <v>609</v>
      </c>
      <c r="C828" s="115" t="s">
        <v>110</v>
      </c>
      <c r="D828" s="115" t="s">
        <v>332</v>
      </c>
      <c r="E828" s="116">
        <v>2004.0</v>
      </c>
      <c r="F828" s="116">
        <v>2015.0</v>
      </c>
      <c r="G828" s="116">
        <v>0.0</v>
      </c>
      <c r="H828" s="116">
        <v>43.9</v>
      </c>
      <c r="I828" s="117">
        <v>0.95</v>
      </c>
      <c r="J828" s="116">
        <v>41.7</v>
      </c>
      <c r="K828" s="114"/>
      <c r="L828" s="114"/>
      <c r="M828" s="114"/>
      <c r="N828" s="116">
        <v>117.0</v>
      </c>
      <c r="O828" s="114"/>
      <c r="P828" s="140">
        <v>20070.0</v>
      </c>
      <c r="Q828" s="114" t="s">
        <v>234</v>
      </c>
      <c r="R828" s="115">
        <v>2010.0</v>
      </c>
      <c r="S828" s="85">
        <v>0.3</v>
      </c>
      <c r="T828" s="118">
        <f t="shared" si="28"/>
        <v>6021</v>
      </c>
      <c r="U828" s="24">
        <f t="shared" si="2"/>
        <v>137.1526196</v>
      </c>
      <c r="V828" s="26">
        <f>VLOOKUP(R828,CPI!$A$2:$E$67,5,0)</f>
        <v>1.397356642</v>
      </c>
      <c r="W828" s="27">
        <f t="shared" si="3"/>
        <v>8413.484343</v>
      </c>
      <c r="X828" s="27">
        <f t="shared" si="4"/>
        <v>191.651124</v>
      </c>
      <c r="Y828" s="114"/>
      <c r="Z828" s="119" t="s">
        <v>615</v>
      </c>
      <c r="AA828" s="119" t="s">
        <v>328</v>
      </c>
    </row>
    <row r="829">
      <c r="A829" s="114" t="s">
        <v>230</v>
      </c>
      <c r="B829" s="114" t="s">
        <v>609</v>
      </c>
      <c r="C829" s="115" t="s">
        <v>54</v>
      </c>
      <c r="D829" s="115" t="s">
        <v>348</v>
      </c>
      <c r="E829" s="116">
        <v>2005.0</v>
      </c>
      <c r="F829" s="114"/>
      <c r="G829" s="116">
        <v>0.0</v>
      </c>
      <c r="H829" s="116">
        <v>21.63</v>
      </c>
      <c r="I829" s="117">
        <v>0.88</v>
      </c>
      <c r="J829" s="116">
        <v>19.11</v>
      </c>
      <c r="K829" s="114"/>
      <c r="L829" s="114"/>
      <c r="M829" s="116">
        <v>18.0</v>
      </c>
      <c r="N829" s="116">
        <v>138.0</v>
      </c>
      <c r="O829" s="114"/>
      <c r="P829" s="140">
        <v>10450.0</v>
      </c>
      <c r="Q829" s="114" t="s">
        <v>234</v>
      </c>
      <c r="R829" s="115">
        <v>2005.0</v>
      </c>
      <c r="S829" s="85">
        <v>0.352</v>
      </c>
      <c r="T829" s="118">
        <f t="shared" si="28"/>
        <v>3678.4</v>
      </c>
      <c r="U829" s="24">
        <f t="shared" si="2"/>
        <v>170.0601017</v>
      </c>
      <c r="V829" s="26">
        <f>VLOOKUP(R829,CPI!$A$2:$E$67,5,0)</f>
        <v>1.560174091</v>
      </c>
      <c r="W829" s="27">
        <f t="shared" si="3"/>
        <v>5738.944377</v>
      </c>
      <c r="X829" s="27">
        <f t="shared" si="4"/>
        <v>265.3233646</v>
      </c>
      <c r="Y829" s="114"/>
      <c r="Z829" s="119" t="s">
        <v>630</v>
      </c>
      <c r="AA829" s="119" t="s">
        <v>631</v>
      </c>
    </row>
    <row r="830">
      <c r="A830" s="114" t="s">
        <v>230</v>
      </c>
      <c r="B830" s="114" t="s">
        <v>609</v>
      </c>
      <c r="C830" s="114" t="s">
        <v>649</v>
      </c>
      <c r="D830" s="114" t="s">
        <v>649</v>
      </c>
      <c r="E830" s="116">
        <v>2021.0</v>
      </c>
      <c r="F830" s="114"/>
      <c r="G830" s="116">
        <v>0.0</v>
      </c>
      <c r="H830" s="116">
        <v>26.313</v>
      </c>
      <c r="I830" s="117">
        <v>0.62</v>
      </c>
      <c r="J830" s="116">
        <v>16.26</v>
      </c>
      <c r="K830" s="114"/>
      <c r="L830" s="114"/>
      <c r="M830" s="116">
        <v>13.0</v>
      </c>
      <c r="N830" s="116">
        <v>117.0</v>
      </c>
      <c r="O830" s="114"/>
      <c r="P830" s="140">
        <v>20799.0</v>
      </c>
      <c r="Q830" s="114" t="s">
        <v>234</v>
      </c>
      <c r="R830" s="115">
        <v>2021.0</v>
      </c>
      <c r="S830" s="136">
        <v>0.239000000000002</v>
      </c>
      <c r="T830" s="118">
        <f t="shared" si="28"/>
        <v>4970.961</v>
      </c>
      <c r="U830" s="24">
        <f t="shared" si="2"/>
        <v>188.9165432</v>
      </c>
      <c r="V830" s="26">
        <f>VLOOKUP(R830,CPI!$A$2:$E$67,5,0)</f>
        <v>1.124486105</v>
      </c>
      <c r="W830" s="27">
        <f t="shared" si="3"/>
        <v>5589.776575</v>
      </c>
      <c r="X830" s="27">
        <f t="shared" si="4"/>
        <v>212.4340279</v>
      </c>
      <c r="Y830" s="114"/>
      <c r="Z830" s="119" t="s">
        <v>650</v>
      </c>
      <c r="AA830" s="119" t="s">
        <v>651</v>
      </c>
    </row>
    <row r="831">
      <c r="A831" s="114" t="s">
        <v>230</v>
      </c>
      <c r="B831" s="114" t="s">
        <v>655</v>
      </c>
      <c r="C831" s="16" t="s">
        <v>57</v>
      </c>
      <c r="D831" s="115" t="s">
        <v>232</v>
      </c>
      <c r="E831" s="116">
        <v>2011.0</v>
      </c>
      <c r="F831" s="116">
        <v>2016.0</v>
      </c>
      <c r="G831" s="116">
        <v>0.0</v>
      </c>
      <c r="H831" s="116">
        <v>32.1</v>
      </c>
      <c r="I831" s="117">
        <v>1.0</v>
      </c>
      <c r="J831" s="116">
        <v>32.1</v>
      </c>
      <c r="K831" s="114"/>
      <c r="L831" s="114"/>
      <c r="M831" s="116">
        <v>25.0</v>
      </c>
      <c r="N831" s="116">
        <v>117.0</v>
      </c>
      <c r="O831" s="114"/>
      <c r="P831" s="140">
        <v>19800.0</v>
      </c>
      <c r="Q831" s="114" t="s">
        <v>234</v>
      </c>
      <c r="R831" s="115">
        <v>2014.0</v>
      </c>
      <c r="S831" s="85">
        <v>0.266</v>
      </c>
      <c r="T831" s="118">
        <f t="shared" si="28"/>
        <v>5266.8</v>
      </c>
      <c r="U831" s="24">
        <f t="shared" si="2"/>
        <v>164.0747664</v>
      </c>
      <c r="V831" s="26">
        <f>VLOOKUP(R831,CPI!$A$2:$E$67,5,0)</f>
        <v>1.287096175</v>
      </c>
      <c r="W831" s="27">
        <f t="shared" si="3"/>
        <v>6778.878133</v>
      </c>
      <c r="X831" s="27">
        <f t="shared" si="4"/>
        <v>211.1800041</v>
      </c>
      <c r="Y831" s="114"/>
      <c r="Z831" s="119" t="s">
        <v>656</v>
      </c>
      <c r="AA831" s="114"/>
      <c r="AB831" s="114"/>
      <c r="AC831" s="114"/>
      <c r="AD831" s="114"/>
    </row>
    <row r="832">
      <c r="A832" s="114" t="s">
        <v>230</v>
      </c>
      <c r="B832" s="114" t="s">
        <v>655</v>
      </c>
      <c r="C832" s="115" t="s">
        <v>54</v>
      </c>
      <c r="D832" s="115" t="s">
        <v>348</v>
      </c>
      <c r="E832" s="116">
        <v>2014.0</v>
      </c>
      <c r="F832" s="116">
        <v>2017.0</v>
      </c>
      <c r="G832" s="116">
        <v>0.0</v>
      </c>
      <c r="H832" s="116">
        <v>21.2</v>
      </c>
      <c r="I832" s="117">
        <v>1.0</v>
      </c>
      <c r="J832" s="116">
        <v>21.2</v>
      </c>
      <c r="K832" s="114"/>
      <c r="L832" s="114"/>
      <c r="M832" s="116">
        <v>18.0</v>
      </c>
      <c r="N832" s="116">
        <v>117.0</v>
      </c>
      <c r="O832" s="114"/>
      <c r="P832" s="140">
        <v>15540.0</v>
      </c>
      <c r="Q832" s="114" t="s">
        <v>234</v>
      </c>
      <c r="R832" s="115">
        <v>2016.0</v>
      </c>
      <c r="S832" s="85">
        <v>0.251</v>
      </c>
      <c r="T832" s="118">
        <f t="shared" si="28"/>
        <v>3900.54</v>
      </c>
      <c r="U832" s="24">
        <f t="shared" si="2"/>
        <v>183.9877358</v>
      </c>
      <c r="V832" s="26">
        <f>VLOOKUP(R832,CPI!$A$2:$E$67,5,0)</f>
        <v>1.269554638</v>
      </c>
      <c r="W832" s="27">
        <f t="shared" si="3"/>
        <v>4951.948648</v>
      </c>
      <c r="X832" s="27">
        <f t="shared" si="4"/>
        <v>233.5824834</v>
      </c>
      <c r="Y832" s="114"/>
      <c r="Z832" s="225" t="s">
        <v>657</v>
      </c>
      <c r="AA832" s="114"/>
      <c r="AB832" s="114"/>
      <c r="AC832" s="114"/>
      <c r="AD832" s="114"/>
    </row>
    <row r="833">
      <c r="A833" s="114" t="s">
        <v>230</v>
      </c>
      <c r="B833" s="114" t="s">
        <v>704</v>
      </c>
      <c r="C833" s="16" t="s">
        <v>287</v>
      </c>
      <c r="D833" s="114" t="s">
        <v>743</v>
      </c>
      <c r="E833" s="116">
        <v>2022.0</v>
      </c>
      <c r="F833" s="116"/>
      <c r="G833" s="116">
        <v>0.0</v>
      </c>
      <c r="H833" s="116">
        <v>17.3</v>
      </c>
      <c r="I833" s="117">
        <v>1.0</v>
      </c>
      <c r="J833" s="116">
        <v>17.3</v>
      </c>
      <c r="K833" s="114"/>
      <c r="L833" s="114"/>
      <c r="M833" s="116">
        <v>6.0</v>
      </c>
      <c r="N833" s="116">
        <v>184.0</v>
      </c>
      <c r="O833" s="114"/>
      <c r="P833" s="140">
        <v>17630.0</v>
      </c>
      <c r="Q833" s="114" t="s">
        <v>234</v>
      </c>
      <c r="R833" s="115">
        <v>2021.0</v>
      </c>
      <c r="S833" s="136">
        <v>0.239000000000002</v>
      </c>
      <c r="T833" s="118">
        <f t="shared" si="28"/>
        <v>4213.57</v>
      </c>
      <c r="U833" s="24">
        <f t="shared" si="2"/>
        <v>243.5589595</v>
      </c>
      <c r="V833" s="26">
        <f>VLOOKUP(R833,CPI!$A$2:$E$67,5,0)</f>
        <v>1.124486105</v>
      </c>
      <c r="W833" s="27">
        <f t="shared" si="3"/>
        <v>4738.100919</v>
      </c>
      <c r="X833" s="27">
        <f t="shared" si="4"/>
        <v>273.8786659</v>
      </c>
      <c r="Y833" s="114"/>
      <c r="Z833" s="119" t="s">
        <v>744</v>
      </c>
      <c r="AA833" s="114"/>
      <c r="AB833" s="114"/>
      <c r="AC833" s="114"/>
      <c r="AD833" s="114"/>
    </row>
    <row r="834">
      <c r="A834" s="114" t="s">
        <v>230</v>
      </c>
      <c r="B834" s="114" t="s">
        <v>704</v>
      </c>
      <c r="C834" s="114" t="s">
        <v>351</v>
      </c>
      <c r="D834" s="114" t="s">
        <v>351</v>
      </c>
      <c r="E834" s="116">
        <v>2016.0</v>
      </c>
      <c r="F834" s="116">
        <v>2021.0</v>
      </c>
      <c r="G834" s="116">
        <v>0.0</v>
      </c>
      <c r="H834" s="116">
        <v>36.85</v>
      </c>
      <c r="I834" s="117">
        <v>1.0</v>
      </c>
      <c r="J834" s="116">
        <v>36.85</v>
      </c>
      <c r="K834" s="114"/>
      <c r="L834" s="114"/>
      <c r="M834" s="116">
        <v>26.0</v>
      </c>
      <c r="N834" s="116">
        <v>138.0</v>
      </c>
      <c r="O834" s="114"/>
      <c r="P834" s="140">
        <v>45937.0</v>
      </c>
      <c r="Q834" s="114" t="s">
        <v>234</v>
      </c>
      <c r="R834" s="115">
        <v>2019.0</v>
      </c>
      <c r="S834" s="136">
        <v>0.238</v>
      </c>
      <c r="T834" s="118">
        <f t="shared" si="28"/>
        <v>10933.006</v>
      </c>
      <c r="U834" s="24">
        <f t="shared" si="2"/>
        <v>296.6894437</v>
      </c>
      <c r="V834" s="26">
        <f>VLOOKUP(R834,CPI!$A$2:$E$67,5,0)</f>
        <v>1.191839066</v>
      </c>
      <c r="W834" s="27">
        <f t="shared" si="3"/>
        <v>13030.38366</v>
      </c>
      <c r="X834" s="27">
        <f t="shared" si="4"/>
        <v>353.6060693</v>
      </c>
      <c r="Y834" s="114"/>
      <c r="Z834" s="119" t="s">
        <v>737</v>
      </c>
      <c r="AA834" s="114"/>
      <c r="AB834" s="114"/>
      <c r="AC834" s="114"/>
      <c r="AD834" s="114"/>
    </row>
    <row r="835">
      <c r="A835" s="114" t="s">
        <v>230</v>
      </c>
      <c r="B835" s="114" t="s">
        <v>761</v>
      </c>
      <c r="C835" s="16" t="s">
        <v>768</v>
      </c>
      <c r="D835" s="115" t="s">
        <v>769</v>
      </c>
      <c r="E835" s="116">
        <v>2005.0</v>
      </c>
      <c r="F835" s="114"/>
      <c r="G835" s="116">
        <v>0.0</v>
      </c>
      <c r="H835" s="116">
        <v>55.07</v>
      </c>
      <c r="I835" s="117">
        <v>1.0</v>
      </c>
      <c r="J835" s="116">
        <v>55.07</v>
      </c>
      <c r="K835" s="114"/>
      <c r="L835" s="114"/>
      <c r="M835" s="116">
        <v>43.0</v>
      </c>
      <c r="N835" s="116">
        <v>117.0</v>
      </c>
      <c r="O835" s="114"/>
      <c r="P835" s="140">
        <v>24685.0</v>
      </c>
      <c r="Q835" s="114" t="s">
        <v>234</v>
      </c>
      <c r="R835" s="115">
        <v>2005.0</v>
      </c>
      <c r="S835" s="85">
        <v>0.352</v>
      </c>
      <c r="T835" s="118">
        <f t="shared" si="28"/>
        <v>8689.12</v>
      </c>
      <c r="U835" s="24">
        <f t="shared" si="2"/>
        <v>157.783185</v>
      </c>
      <c r="V835" s="26">
        <f>VLOOKUP(R835,CPI!$A$2:$E$67,5,0)</f>
        <v>1.560174091</v>
      </c>
      <c r="W835" s="27">
        <f t="shared" si="3"/>
        <v>13556.5399</v>
      </c>
      <c r="X835" s="27">
        <f t="shared" si="4"/>
        <v>246.1692373</v>
      </c>
      <c r="Y835" s="114"/>
      <c r="Z835" s="119" t="s">
        <v>762</v>
      </c>
      <c r="AA835" s="114"/>
      <c r="AB835" s="114"/>
      <c r="AC835" s="114"/>
      <c r="AD835" s="114"/>
    </row>
    <row r="836">
      <c r="A836" s="114" t="s">
        <v>230</v>
      </c>
      <c r="B836" s="114" t="s">
        <v>761</v>
      </c>
      <c r="C836" s="16" t="s">
        <v>253</v>
      </c>
      <c r="D836" s="115" t="s">
        <v>362</v>
      </c>
      <c r="E836" s="116">
        <v>2012.0</v>
      </c>
      <c r="F836" s="116">
        <v>2020.0</v>
      </c>
      <c r="G836" s="116">
        <v>0.0</v>
      </c>
      <c r="H836" s="116">
        <v>29.2</v>
      </c>
      <c r="I836" s="117">
        <v>1.0</v>
      </c>
      <c r="J836" s="116">
        <v>29.2</v>
      </c>
      <c r="K836" s="114"/>
      <c r="L836" s="114"/>
      <c r="M836" s="116">
        <v>23.0</v>
      </c>
      <c r="N836" s="116">
        <v>117.0</v>
      </c>
      <c r="O836" s="114"/>
      <c r="P836" s="140">
        <v>17971.0</v>
      </c>
      <c r="Q836" s="114" t="s">
        <v>234</v>
      </c>
      <c r="R836" s="115">
        <v>2016.0</v>
      </c>
      <c r="S836" s="85">
        <v>0.251</v>
      </c>
      <c r="T836" s="118">
        <f t="shared" si="28"/>
        <v>4510.721</v>
      </c>
      <c r="U836" s="24">
        <f t="shared" si="2"/>
        <v>154.4767466</v>
      </c>
      <c r="V836" s="26">
        <f>VLOOKUP(R836,CPI!$A$2:$E$67,5,0)</f>
        <v>1.269554638</v>
      </c>
      <c r="W836" s="27">
        <f t="shared" si="3"/>
        <v>5726.606766</v>
      </c>
      <c r="X836" s="27">
        <f t="shared" si="4"/>
        <v>196.1166701</v>
      </c>
      <c r="Y836" s="114"/>
      <c r="Z836" s="119" t="s">
        <v>762</v>
      </c>
      <c r="AA836" s="114"/>
      <c r="AB836" s="114"/>
      <c r="AC836" s="114"/>
      <c r="AD836" s="114"/>
    </row>
    <row r="837">
      <c r="A837" s="114" t="s">
        <v>230</v>
      </c>
      <c r="B837" s="114" t="s">
        <v>761</v>
      </c>
      <c r="C837" s="16" t="s">
        <v>239</v>
      </c>
      <c r="D837" s="115" t="s">
        <v>356</v>
      </c>
      <c r="E837" s="116">
        <v>2012.0</v>
      </c>
      <c r="F837" s="116">
        <v>2020.0</v>
      </c>
      <c r="G837" s="116">
        <v>0.0</v>
      </c>
      <c r="H837" s="116">
        <v>49.9</v>
      </c>
      <c r="I837" s="117">
        <v>1.0</v>
      </c>
      <c r="J837" s="116">
        <v>49.9</v>
      </c>
      <c r="K837" s="114"/>
      <c r="L837" s="114"/>
      <c r="M837" s="116">
        <v>37.0</v>
      </c>
      <c r="N837" s="116">
        <v>117.0</v>
      </c>
      <c r="O837" s="114"/>
      <c r="P837" s="140">
        <v>29710.0</v>
      </c>
      <c r="Q837" s="114" t="s">
        <v>234</v>
      </c>
      <c r="R837" s="115">
        <v>2016.0</v>
      </c>
      <c r="S837" s="85">
        <v>0.251</v>
      </c>
      <c r="T837" s="118">
        <f t="shared" si="28"/>
        <v>7457.21</v>
      </c>
      <c r="U837" s="24">
        <f t="shared" si="2"/>
        <v>149.4430862</v>
      </c>
      <c r="V837" s="26">
        <f>VLOOKUP(R837,CPI!$A$2:$E$67,5,0)</f>
        <v>1.269554638</v>
      </c>
      <c r="W837" s="27">
        <f t="shared" si="3"/>
        <v>9467.335542</v>
      </c>
      <c r="X837" s="27">
        <f t="shared" si="4"/>
        <v>189.7261632</v>
      </c>
      <c r="Y837" s="114"/>
      <c r="Z837" s="119" t="s">
        <v>762</v>
      </c>
      <c r="AA837" s="114"/>
      <c r="AB837" s="114"/>
      <c r="AC837" s="114"/>
      <c r="AD837" s="114"/>
    </row>
    <row r="838">
      <c r="A838" s="114" t="s">
        <v>230</v>
      </c>
      <c r="B838" s="114" t="s">
        <v>771</v>
      </c>
      <c r="C838" s="115" t="s">
        <v>798</v>
      </c>
      <c r="D838" s="114" t="s">
        <v>799</v>
      </c>
      <c r="E838" s="116">
        <v>2021.0</v>
      </c>
      <c r="F838" s="114"/>
      <c r="G838" s="116">
        <v>1.0</v>
      </c>
      <c r="H838" s="116">
        <v>39.4</v>
      </c>
      <c r="I838" s="117">
        <v>1.0</v>
      </c>
      <c r="J838" s="116">
        <v>39.4</v>
      </c>
      <c r="K838" s="114"/>
      <c r="L838" s="114"/>
      <c r="M838" s="116">
        <v>6.0</v>
      </c>
      <c r="N838" s="116">
        <v>184.0</v>
      </c>
      <c r="O838" s="114"/>
      <c r="P838" s="140">
        <v>23620.0</v>
      </c>
      <c r="Q838" s="114" t="s">
        <v>234</v>
      </c>
      <c r="R838" s="115">
        <v>2021.0</v>
      </c>
      <c r="S838" s="136">
        <v>0.239000000000002</v>
      </c>
      <c r="T838" s="118">
        <f t="shared" si="28"/>
        <v>5645.18</v>
      </c>
      <c r="U838" s="24">
        <f t="shared" si="2"/>
        <v>143.2786802</v>
      </c>
      <c r="V838" s="26">
        <f>VLOOKUP(R838,CPI!$A$2:$E$67,5,0)</f>
        <v>1.124486105</v>
      </c>
      <c r="W838" s="27">
        <f t="shared" si="3"/>
        <v>6347.926473</v>
      </c>
      <c r="X838" s="27">
        <f t="shared" si="4"/>
        <v>161.1148851</v>
      </c>
      <c r="Y838" s="114"/>
      <c r="Z838" s="119" t="s">
        <v>800</v>
      </c>
      <c r="AA838" s="114"/>
      <c r="AB838" s="114"/>
      <c r="AC838" s="114"/>
      <c r="AD838" s="114"/>
    </row>
    <row r="839">
      <c r="A839" s="114" t="s">
        <v>230</v>
      </c>
      <c r="B839" s="114" t="s">
        <v>771</v>
      </c>
      <c r="C839" s="115" t="s">
        <v>792</v>
      </c>
      <c r="D839" s="114" t="s">
        <v>793</v>
      </c>
      <c r="E839" s="116">
        <v>2021.0</v>
      </c>
      <c r="F839" s="114"/>
      <c r="G839" s="116">
        <v>1.0</v>
      </c>
      <c r="H839" s="116">
        <v>15.15</v>
      </c>
      <c r="I839" s="117">
        <v>1.0</v>
      </c>
      <c r="J839" s="116">
        <v>15.15</v>
      </c>
      <c r="K839" s="114"/>
      <c r="L839" s="114"/>
      <c r="M839" s="116">
        <v>3.0</v>
      </c>
      <c r="N839" s="116">
        <v>184.0</v>
      </c>
      <c r="O839" s="114"/>
      <c r="P839" s="140">
        <v>11900.0</v>
      </c>
      <c r="Q839" s="114" t="s">
        <v>234</v>
      </c>
      <c r="R839" s="115">
        <v>2021.0</v>
      </c>
      <c r="S839" s="136">
        <v>0.239000000000002</v>
      </c>
      <c r="T839" s="118">
        <f t="shared" si="28"/>
        <v>2844.1</v>
      </c>
      <c r="U839" s="24">
        <f t="shared" si="2"/>
        <v>187.7293729</v>
      </c>
      <c r="V839" s="26">
        <f>VLOOKUP(R839,CPI!$A$2:$E$67,5,0)</f>
        <v>1.124486105</v>
      </c>
      <c r="W839" s="27">
        <f t="shared" si="3"/>
        <v>3198.150933</v>
      </c>
      <c r="X839" s="27">
        <f t="shared" si="4"/>
        <v>211.0990715</v>
      </c>
      <c r="Y839" s="114"/>
      <c r="Z839" s="119" t="s">
        <v>794</v>
      </c>
      <c r="AA839" s="114"/>
      <c r="AB839" s="114"/>
      <c r="AC839" s="114"/>
      <c r="AD839" s="114"/>
    </row>
    <row r="840">
      <c r="A840" s="114" t="s">
        <v>230</v>
      </c>
      <c r="B840" s="114" t="s">
        <v>771</v>
      </c>
      <c r="C840" s="115" t="s">
        <v>798</v>
      </c>
      <c r="D840" s="114" t="s">
        <v>801</v>
      </c>
      <c r="E840" s="116">
        <v>2021.0</v>
      </c>
      <c r="F840" s="114"/>
      <c r="G840" s="116">
        <v>1.0</v>
      </c>
      <c r="H840" s="116">
        <v>58.738</v>
      </c>
      <c r="I840" s="117">
        <v>1.0</v>
      </c>
      <c r="J840" s="116">
        <v>58.738</v>
      </c>
      <c r="K840" s="114"/>
      <c r="L840" s="114"/>
      <c r="M840" s="116">
        <v>11.0</v>
      </c>
      <c r="N840" s="116">
        <v>184.0</v>
      </c>
      <c r="O840" s="114"/>
      <c r="P840" s="140">
        <v>51750.0</v>
      </c>
      <c r="Q840" s="114" t="s">
        <v>234</v>
      </c>
      <c r="R840" s="115">
        <v>2021.0</v>
      </c>
      <c r="S840" s="136">
        <v>0.239000000000002</v>
      </c>
      <c r="T840" s="118">
        <f t="shared" si="28"/>
        <v>12368.25</v>
      </c>
      <c r="U840" s="24">
        <f t="shared" si="2"/>
        <v>210.5664136</v>
      </c>
      <c r="V840" s="26">
        <f>VLOOKUP(R840,CPI!$A$2:$E$67,5,0)</f>
        <v>1.124486105</v>
      </c>
      <c r="W840" s="27">
        <f t="shared" si="3"/>
        <v>13907.92527</v>
      </c>
      <c r="X840" s="27">
        <f t="shared" si="4"/>
        <v>236.7790063</v>
      </c>
      <c r="Y840" s="114"/>
      <c r="Z840" s="119" t="s">
        <v>802</v>
      </c>
      <c r="AA840" s="114"/>
      <c r="AB840" s="114"/>
      <c r="AC840" s="114"/>
      <c r="AD840" s="114"/>
    </row>
    <row r="841">
      <c r="A841" s="114" t="s">
        <v>230</v>
      </c>
      <c r="B841" s="114" t="s">
        <v>771</v>
      </c>
      <c r="C841" s="114" t="s">
        <v>239</v>
      </c>
      <c r="D841" s="114" t="s">
        <v>239</v>
      </c>
      <c r="E841" s="116">
        <v>2015.0</v>
      </c>
      <c r="F841" s="116">
        <v>2020.0</v>
      </c>
      <c r="G841" s="116">
        <v>0.0</v>
      </c>
      <c r="H841" s="116">
        <v>29.54</v>
      </c>
      <c r="I841" s="117">
        <v>1.0</v>
      </c>
      <c r="J841" s="116">
        <v>29.54</v>
      </c>
      <c r="K841" s="114"/>
      <c r="L841" s="114"/>
      <c r="M841" s="116">
        <v>24.0</v>
      </c>
      <c r="N841" s="116">
        <v>184.0</v>
      </c>
      <c r="O841" s="114"/>
      <c r="P841" s="140">
        <v>28799.0</v>
      </c>
      <c r="Q841" s="114" t="s">
        <v>234</v>
      </c>
      <c r="R841" s="115">
        <v>2018.0</v>
      </c>
      <c r="S841" s="85">
        <v>0.237</v>
      </c>
      <c r="T841" s="118">
        <f t="shared" si="28"/>
        <v>6825.363</v>
      </c>
      <c r="U841" s="24">
        <f t="shared" si="2"/>
        <v>231.0549425</v>
      </c>
      <c r="V841" s="26">
        <f>VLOOKUP(R841,CPI!$A$2:$E$67,5,0)</f>
        <v>1.21343491</v>
      </c>
      <c r="W841" s="27">
        <f t="shared" si="3"/>
        <v>8282.133739</v>
      </c>
      <c r="X841" s="27">
        <f t="shared" si="4"/>
        <v>280.3701333</v>
      </c>
      <c r="Y841" s="114"/>
      <c r="Z841" s="119" t="s">
        <v>777</v>
      </c>
      <c r="AA841" s="114"/>
      <c r="AB841" s="114"/>
      <c r="AC841" s="114"/>
      <c r="AD841" s="114"/>
    </row>
    <row r="842">
      <c r="A842" s="114" t="s">
        <v>230</v>
      </c>
      <c r="B842" s="114" t="s">
        <v>771</v>
      </c>
      <c r="C842" s="115" t="s">
        <v>87</v>
      </c>
      <c r="D842" s="115" t="s">
        <v>775</v>
      </c>
      <c r="E842" s="116">
        <v>2011.0</v>
      </c>
      <c r="F842" s="116">
        <v>2020.0</v>
      </c>
      <c r="G842" s="116">
        <v>0.0</v>
      </c>
      <c r="H842" s="116">
        <v>9.4</v>
      </c>
      <c r="I842" s="117">
        <v>0.0</v>
      </c>
      <c r="J842" s="116">
        <v>0.0</v>
      </c>
      <c r="K842" s="114"/>
      <c r="L842" s="114"/>
      <c r="M842" s="116">
        <v>7.0</v>
      </c>
      <c r="N842" s="116">
        <v>117.0</v>
      </c>
      <c r="O842" s="114"/>
      <c r="P842" s="140">
        <v>6800.0</v>
      </c>
      <c r="Q842" s="114" t="s">
        <v>234</v>
      </c>
      <c r="R842" s="115">
        <v>2016.0</v>
      </c>
      <c r="S842" s="85">
        <v>0.251</v>
      </c>
      <c r="T842" s="118">
        <f t="shared" si="28"/>
        <v>1706.8</v>
      </c>
      <c r="U842" s="24">
        <f t="shared" si="2"/>
        <v>181.5744681</v>
      </c>
      <c r="V842" s="26">
        <f>VLOOKUP(R842,CPI!$A$2:$E$67,5,0)</f>
        <v>1.269554638</v>
      </c>
      <c r="W842" s="27">
        <f t="shared" si="3"/>
        <v>2166.875856</v>
      </c>
      <c r="X842" s="27">
        <f t="shared" si="4"/>
        <v>230.5187081</v>
      </c>
      <c r="Y842" s="114"/>
      <c r="Z842" s="225" t="s">
        <v>776</v>
      </c>
      <c r="AA842" s="321"/>
      <c r="AB842" s="114"/>
      <c r="AC842" s="114"/>
      <c r="AD842" s="114"/>
    </row>
    <row r="843">
      <c r="A843" s="114" t="s">
        <v>230</v>
      </c>
      <c r="B843" s="114" t="s">
        <v>771</v>
      </c>
      <c r="C843" s="115" t="s">
        <v>87</v>
      </c>
      <c r="D843" s="115" t="s">
        <v>783</v>
      </c>
      <c r="E843" s="116">
        <v>2020.0</v>
      </c>
      <c r="F843" s="116">
        <v>2022.0</v>
      </c>
      <c r="G843" s="116">
        <v>0.0</v>
      </c>
      <c r="H843" s="116">
        <v>9.35</v>
      </c>
      <c r="I843" s="117">
        <v>0.79</v>
      </c>
      <c r="J843" s="116">
        <v>7.42</v>
      </c>
      <c r="K843" s="114"/>
      <c r="L843" s="114"/>
      <c r="M843" s="116">
        <v>7.0</v>
      </c>
      <c r="N843" s="116">
        <v>117.0</v>
      </c>
      <c r="O843" s="114"/>
      <c r="P843" s="140">
        <v>10785.0</v>
      </c>
      <c r="Q843" s="114" t="s">
        <v>234</v>
      </c>
      <c r="R843" s="115">
        <v>2020.0</v>
      </c>
      <c r="S843" s="136">
        <v>0.239</v>
      </c>
      <c r="T843" s="118">
        <f t="shared" si="28"/>
        <v>2577.615</v>
      </c>
      <c r="U843" s="24">
        <f t="shared" si="2"/>
        <v>275.6807487</v>
      </c>
      <c r="V843" s="26">
        <f>VLOOKUP(R843,CPI!$A$2:$E$67,5,0)</f>
        <v>1.17731472</v>
      </c>
      <c r="W843" s="27">
        <f t="shared" si="3"/>
        <v>3034.664082</v>
      </c>
      <c r="X843" s="27">
        <f t="shared" si="4"/>
        <v>324.5630034</v>
      </c>
      <c r="Y843" s="114"/>
      <c r="Z843" s="119" t="s">
        <v>784</v>
      </c>
      <c r="AA843" s="114"/>
      <c r="AB843" s="114"/>
      <c r="AC843" s="114"/>
      <c r="AD843" s="114"/>
    </row>
    <row r="844">
      <c r="A844" s="114" t="s">
        <v>230</v>
      </c>
      <c r="B844" s="114" t="s">
        <v>771</v>
      </c>
      <c r="C844" s="115" t="s">
        <v>84</v>
      </c>
      <c r="D844" s="114" t="s">
        <v>789</v>
      </c>
      <c r="E844" s="116">
        <v>2019.0</v>
      </c>
      <c r="F844" s="114"/>
      <c r="G844" s="116">
        <v>0.0</v>
      </c>
      <c r="H844" s="116">
        <v>2.88</v>
      </c>
      <c r="I844" s="117">
        <v>1.0</v>
      </c>
      <c r="J844" s="116">
        <v>2.88</v>
      </c>
      <c r="K844" s="114"/>
      <c r="L844" s="114"/>
      <c r="M844" s="116">
        <v>3.0</v>
      </c>
      <c r="N844" s="116">
        <v>138.0</v>
      </c>
      <c r="O844" s="114"/>
      <c r="P844" s="140">
        <v>4050.0</v>
      </c>
      <c r="Q844" s="114" t="s">
        <v>234</v>
      </c>
      <c r="R844" s="115">
        <v>2019.0</v>
      </c>
      <c r="S844" s="136">
        <v>0.238</v>
      </c>
      <c r="T844" s="118">
        <f t="shared" si="28"/>
        <v>963.9</v>
      </c>
      <c r="U844" s="24">
        <f t="shared" si="2"/>
        <v>334.6875</v>
      </c>
      <c r="V844" s="26">
        <f>VLOOKUP(R844,CPI!$A$2:$E$67,5,0)</f>
        <v>1.191839066</v>
      </c>
      <c r="W844" s="27">
        <f t="shared" si="3"/>
        <v>1148.813675</v>
      </c>
      <c r="X844" s="27">
        <f t="shared" si="4"/>
        <v>398.8936373</v>
      </c>
      <c r="Y844" s="114"/>
      <c r="Z844" s="119" t="s">
        <v>790</v>
      </c>
      <c r="AA844" s="114"/>
      <c r="AB844" s="114"/>
      <c r="AC844" s="114"/>
      <c r="AD844" s="114"/>
    </row>
    <row r="845">
      <c r="A845" s="114" t="s">
        <v>230</v>
      </c>
      <c r="B845" s="114" t="s">
        <v>771</v>
      </c>
      <c r="C845" s="16" t="s">
        <v>34</v>
      </c>
      <c r="D845" s="114" t="s">
        <v>772</v>
      </c>
      <c r="E845" s="116">
        <v>1998.0</v>
      </c>
      <c r="F845" s="116">
        <v>2004.0</v>
      </c>
      <c r="G845" s="116">
        <v>0.0</v>
      </c>
      <c r="H845" s="116">
        <v>21.446</v>
      </c>
      <c r="I845" s="117">
        <v>1.0</v>
      </c>
      <c r="J845" s="116">
        <v>21.446</v>
      </c>
      <c r="K845" s="114"/>
      <c r="L845" s="114"/>
      <c r="M845" s="116">
        <v>19.0</v>
      </c>
      <c r="N845" s="116">
        <v>138.0</v>
      </c>
      <c r="O845" s="114"/>
      <c r="P845" s="140">
        <v>11500.0</v>
      </c>
      <c r="Q845" s="114" t="s">
        <v>234</v>
      </c>
      <c r="R845" s="115">
        <v>2001.0</v>
      </c>
      <c r="S845" s="85">
        <v>0.368</v>
      </c>
      <c r="T845" s="118">
        <f t="shared" si="28"/>
        <v>4232</v>
      </c>
      <c r="U845" s="24">
        <f t="shared" si="2"/>
        <v>197.332836</v>
      </c>
      <c r="V845" s="26">
        <f>VLOOKUP(R845,CPI!$A$2:$E$67,5,0)</f>
        <v>1.720508187</v>
      </c>
      <c r="W845" s="27">
        <f t="shared" si="3"/>
        <v>7281.190649</v>
      </c>
      <c r="X845" s="27">
        <f t="shared" si="4"/>
        <v>339.5127599</v>
      </c>
      <c r="Y845" s="114"/>
      <c r="Z845" s="225" t="s">
        <v>773</v>
      </c>
      <c r="AA845" s="114"/>
      <c r="AB845" s="114"/>
      <c r="AC845" s="114"/>
      <c r="AD845" s="114"/>
    </row>
    <row r="846">
      <c r="A846" s="114" t="s">
        <v>230</v>
      </c>
      <c r="B846" s="114" t="s">
        <v>813</v>
      </c>
      <c r="C846" s="114" t="s">
        <v>84</v>
      </c>
      <c r="D846" s="114" t="s">
        <v>84</v>
      </c>
      <c r="E846" s="116">
        <v>2020.0</v>
      </c>
      <c r="F846" s="114"/>
      <c r="G846" s="116">
        <v>0.0</v>
      </c>
      <c r="H846" s="116">
        <v>44.1</v>
      </c>
      <c r="I846" s="117">
        <v>0.99</v>
      </c>
      <c r="J846" s="116">
        <v>43.6</v>
      </c>
      <c r="K846" s="114"/>
      <c r="L846" s="114"/>
      <c r="M846" s="116">
        <v>34.0</v>
      </c>
      <c r="N846" s="116">
        <v>117.0</v>
      </c>
      <c r="O846" s="114"/>
      <c r="P846" s="140">
        <v>28308.0</v>
      </c>
      <c r="Q846" s="114" t="s">
        <v>234</v>
      </c>
      <c r="R846" s="115">
        <v>2020.0</v>
      </c>
      <c r="S846" s="136">
        <v>0.239</v>
      </c>
      <c r="T846" s="118">
        <f t="shared" si="28"/>
        <v>6765.612</v>
      </c>
      <c r="U846" s="24">
        <f t="shared" si="2"/>
        <v>153.4152381</v>
      </c>
      <c r="V846" s="26">
        <f>VLOOKUP(R846,CPI!$A$2:$E$67,5,0)</f>
        <v>1.17731472</v>
      </c>
      <c r="W846" s="27">
        <f t="shared" si="3"/>
        <v>7965.254597</v>
      </c>
      <c r="X846" s="27">
        <f t="shared" si="4"/>
        <v>180.6180181</v>
      </c>
      <c r="Y846" s="114"/>
      <c r="Z846" s="119" t="s">
        <v>815</v>
      </c>
      <c r="AA846" s="114"/>
      <c r="AB846" s="114"/>
      <c r="AC846" s="114"/>
      <c r="AD846" s="114"/>
    </row>
    <row r="847">
      <c r="A847" s="114" t="s">
        <v>230</v>
      </c>
      <c r="B847" s="114" t="s">
        <v>813</v>
      </c>
      <c r="C847" s="114" t="s">
        <v>54</v>
      </c>
      <c r="D847" s="114" t="s">
        <v>54</v>
      </c>
      <c r="E847" s="116">
        <v>2009.0</v>
      </c>
      <c r="F847" s="116">
        <v>2014.0</v>
      </c>
      <c r="G847" s="116">
        <v>0.0</v>
      </c>
      <c r="H847" s="116">
        <v>26.557</v>
      </c>
      <c r="I847" s="117">
        <v>0.7</v>
      </c>
      <c r="J847" s="116">
        <v>18.709</v>
      </c>
      <c r="K847" s="114"/>
      <c r="L847" s="114"/>
      <c r="M847" s="116">
        <v>22.0</v>
      </c>
      <c r="N847" s="116">
        <v>117.0</v>
      </c>
      <c r="O847" s="114"/>
      <c r="P847" s="140">
        <v>15600.0</v>
      </c>
      <c r="Q847" s="114" t="s">
        <v>234</v>
      </c>
      <c r="R847" s="115">
        <v>2012.0</v>
      </c>
      <c r="S847" s="85">
        <v>0.281</v>
      </c>
      <c r="T847" s="118">
        <f t="shared" si="28"/>
        <v>4383.6</v>
      </c>
      <c r="U847" s="24">
        <f t="shared" si="2"/>
        <v>165.063825</v>
      </c>
      <c r="V847" s="26">
        <f>VLOOKUP(R847,CPI!$A$2:$E$67,5,0)</f>
        <v>1.327133984</v>
      </c>
      <c r="W847" s="27">
        <f t="shared" si="3"/>
        <v>5817.624534</v>
      </c>
      <c r="X847" s="27">
        <f t="shared" si="4"/>
        <v>219.0618117</v>
      </c>
      <c r="Y847" s="114"/>
      <c r="Z847" s="119" t="s">
        <v>814</v>
      </c>
      <c r="AA847" s="114"/>
      <c r="AB847" s="114"/>
      <c r="AC847" s="114"/>
      <c r="AD847" s="114"/>
    </row>
    <row r="848">
      <c r="A848" s="114" t="s">
        <v>230</v>
      </c>
      <c r="B848" s="114" t="s">
        <v>834</v>
      </c>
      <c r="C848" s="115" t="s">
        <v>236</v>
      </c>
      <c r="D848" s="115" t="s">
        <v>364</v>
      </c>
      <c r="E848" s="116">
        <v>2020.0</v>
      </c>
      <c r="F848" s="114"/>
      <c r="G848" s="116">
        <v>0.0</v>
      </c>
      <c r="H848" s="116">
        <v>21.2</v>
      </c>
      <c r="I848" s="117">
        <v>1.0</v>
      </c>
      <c r="J848" s="116">
        <v>21.2</v>
      </c>
      <c r="K848" s="114"/>
      <c r="L848" s="114"/>
      <c r="M848" s="116">
        <v>17.0</v>
      </c>
      <c r="N848" s="114"/>
      <c r="O848" s="114"/>
      <c r="P848" s="140">
        <v>23800.11</v>
      </c>
      <c r="Q848" s="114" t="s">
        <v>234</v>
      </c>
      <c r="R848" s="115">
        <v>2020.0</v>
      </c>
      <c r="S848" s="136">
        <v>0.239</v>
      </c>
      <c r="T848" s="118">
        <f t="shared" si="28"/>
        <v>5688.22629</v>
      </c>
      <c r="U848" s="24">
        <f t="shared" si="2"/>
        <v>268.3125608</v>
      </c>
      <c r="V848" s="26">
        <f>VLOOKUP(R848,CPI!$A$2:$E$67,5,0)</f>
        <v>1.17731472</v>
      </c>
      <c r="W848" s="27">
        <f t="shared" si="3"/>
        <v>6696.832542</v>
      </c>
      <c r="X848" s="27">
        <f t="shared" si="4"/>
        <v>315.8883275</v>
      </c>
      <c r="Y848" s="114"/>
      <c r="Z848" s="119" t="s">
        <v>852</v>
      </c>
      <c r="AA848" s="114"/>
      <c r="AB848" s="114"/>
      <c r="AC848" s="114"/>
      <c r="AD848" s="114"/>
    </row>
    <row r="849">
      <c r="A849" s="114" t="s">
        <v>230</v>
      </c>
      <c r="B849" s="114" t="s">
        <v>872</v>
      </c>
      <c r="C849" s="115" t="s">
        <v>292</v>
      </c>
      <c r="D849" s="115" t="s">
        <v>886</v>
      </c>
      <c r="E849" s="116">
        <v>2019.0</v>
      </c>
      <c r="F849" s="116">
        <v>2024.0</v>
      </c>
      <c r="G849" s="116">
        <v>0.0</v>
      </c>
      <c r="H849" s="116">
        <v>4.0</v>
      </c>
      <c r="I849" s="117">
        <v>1.0</v>
      </c>
      <c r="J849" s="116">
        <v>4.0</v>
      </c>
      <c r="K849" s="114"/>
      <c r="L849" s="114"/>
      <c r="M849" s="116">
        <v>2.0</v>
      </c>
      <c r="N849" s="116">
        <v>184.0</v>
      </c>
      <c r="O849" s="114"/>
      <c r="P849" s="140">
        <v>7989.0</v>
      </c>
      <c r="Q849" s="114" t="s">
        <v>234</v>
      </c>
      <c r="R849" s="115">
        <v>2021.0</v>
      </c>
      <c r="S849" s="136">
        <v>0.239000000000002</v>
      </c>
      <c r="T849" s="118">
        <f t="shared" si="28"/>
        <v>1909.371</v>
      </c>
      <c r="U849" s="24">
        <f t="shared" si="2"/>
        <v>477.34275</v>
      </c>
      <c r="V849" s="26">
        <f>VLOOKUP(R849,CPI!$A$2:$E$67,5,0)</f>
        <v>1.124486105</v>
      </c>
      <c r="W849" s="27">
        <f t="shared" si="3"/>
        <v>2147.06116</v>
      </c>
      <c r="X849" s="27">
        <f t="shared" si="4"/>
        <v>536.7652899</v>
      </c>
      <c r="Y849" s="114"/>
      <c r="Z849" s="225" t="s">
        <v>887</v>
      </c>
      <c r="AA849" s="321"/>
      <c r="AB849" s="114"/>
      <c r="AC849" s="114"/>
      <c r="AD849" s="114"/>
    </row>
    <row r="850">
      <c r="A850" s="114" t="s">
        <v>230</v>
      </c>
      <c r="B850" s="114" t="s">
        <v>872</v>
      </c>
      <c r="C850" s="115" t="s">
        <v>292</v>
      </c>
      <c r="D850" s="115" t="s">
        <v>889</v>
      </c>
      <c r="E850" s="116">
        <v>2019.0</v>
      </c>
      <c r="F850" s="116">
        <v>2025.0</v>
      </c>
      <c r="G850" s="116">
        <v>0.0</v>
      </c>
      <c r="H850" s="116">
        <v>2.2</v>
      </c>
      <c r="I850" s="117">
        <v>1.0</v>
      </c>
      <c r="J850" s="116">
        <v>2.2</v>
      </c>
      <c r="K850" s="114"/>
      <c r="L850" s="114"/>
      <c r="M850" s="116">
        <v>2.0</v>
      </c>
      <c r="N850" s="116">
        <v>184.0</v>
      </c>
      <c r="O850" s="114"/>
      <c r="P850" s="140">
        <v>3901.0</v>
      </c>
      <c r="Q850" s="114" t="s">
        <v>234</v>
      </c>
      <c r="R850" s="115">
        <v>2021.0</v>
      </c>
      <c r="S850" s="136">
        <v>0.239000000000002</v>
      </c>
      <c r="T850" s="118">
        <f t="shared" si="28"/>
        <v>932.339</v>
      </c>
      <c r="U850" s="24">
        <f t="shared" si="2"/>
        <v>423.7904545</v>
      </c>
      <c r="V850" s="26">
        <f>VLOOKUP(R850,CPI!$A$2:$E$67,5,0)</f>
        <v>1.124486105</v>
      </c>
      <c r="W850" s="27">
        <f t="shared" si="3"/>
        <v>1048.402251</v>
      </c>
      <c r="X850" s="27">
        <f t="shared" si="4"/>
        <v>476.5464778</v>
      </c>
      <c r="Y850" s="114"/>
      <c r="Z850" s="225" t="s">
        <v>887</v>
      </c>
      <c r="AA850" s="321"/>
      <c r="AB850" s="114"/>
      <c r="AC850" s="114"/>
      <c r="AD850" s="114"/>
    </row>
    <row r="851">
      <c r="A851" s="114" t="s">
        <v>230</v>
      </c>
      <c r="B851" s="114" t="s">
        <v>872</v>
      </c>
      <c r="C851" s="16" t="s">
        <v>87</v>
      </c>
      <c r="D851" s="115" t="s">
        <v>331</v>
      </c>
      <c r="E851" s="116">
        <v>2012.0</v>
      </c>
      <c r="F851" s="116">
        <v>2015.0</v>
      </c>
      <c r="G851" s="116">
        <v>0.0</v>
      </c>
      <c r="H851" s="116">
        <v>27.9</v>
      </c>
      <c r="I851" s="117">
        <v>1.0</v>
      </c>
      <c r="J851" s="116">
        <v>27.9</v>
      </c>
      <c r="K851" s="114"/>
      <c r="L851" s="114"/>
      <c r="M851" s="116">
        <v>23.0</v>
      </c>
      <c r="N851" s="116">
        <v>117.0</v>
      </c>
      <c r="O851" s="114"/>
      <c r="P851" s="140">
        <v>21423.0</v>
      </c>
      <c r="Q851" s="114" t="s">
        <v>234</v>
      </c>
      <c r="R851" s="115">
        <v>2014.0</v>
      </c>
      <c r="S851" s="115">
        <v>0.266</v>
      </c>
      <c r="T851" s="118">
        <f t="shared" si="28"/>
        <v>5698.518</v>
      </c>
      <c r="U851" s="24">
        <f t="shared" si="2"/>
        <v>204.247957</v>
      </c>
      <c r="V851" s="26">
        <f>VLOOKUP(R851,CPI!$A$2:$E$67,5,0)</f>
        <v>1.287096175</v>
      </c>
      <c r="W851" s="27">
        <f t="shared" si="3"/>
        <v>7334.540719</v>
      </c>
      <c r="X851" s="27">
        <f t="shared" si="4"/>
        <v>262.8867641</v>
      </c>
      <c r="Y851" s="114"/>
      <c r="Z851" s="119" t="s">
        <v>877</v>
      </c>
      <c r="AA851" s="114"/>
      <c r="AB851" s="114"/>
      <c r="AC851" s="114"/>
      <c r="AD851" s="114"/>
    </row>
    <row r="852">
      <c r="A852" s="114" t="s">
        <v>230</v>
      </c>
      <c r="B852" s="114" t="s">
        <v>897</v>
      </c>
      <c r="C852" s="114" t="s">
        <v>57</v>
      </c>
      <c r="D852" s="114" t="s">
        <v>57</v>
      </c>
      <c r="E852" s="114"/>
      <c r="F852" s="116">
        <v>2021.0</v>
      </c>
      <c r="G852" s="116">
        <v>0.0</v>
      </c>
      <c r="H852" s="116">
        <v>30.517</v>
      </c>
      <c r="I852" s="117">
        <v>0.0</v>
      </c>
      <c r="J852" s="116">
        <v>0.1</v>
      </c>
      <c r="K852" s="114"/>
      <c r="L852" s="114"/>
      <c r="M852" s="116">
        <v>25.0</v>
      </c>
      <c r="N852" s="116">
        <v>90.0</v>
      </c>
      <c r="O852" s="114"/>
      <c r="P852" s="140">
        <v>9100.0</v>
      </c>
      <c r="Q852" s="114" t="s">
        <v>234</v>
      </c>
      <c r="R852" s="115">
        <v>2021.0</v>
      </c>
      <c r="S852" s="136">
        <v>0.239000000000002</v>
      </c>
      <c r="T852" s="118">
        <f t="shared" si="28"/>
        <v>2174.9</v>
      </c>
      <c r="U852" s="24">
        <f t="shared" si="2"/>
        <v>71.26847331</v>
      </c>
      <c r="V852" s="26">
        <f>VLOOKUP(R852,CPI!$A$2:$E$67,5,0)</f>
        <v>1.124486105</v>
      </c>
      <c r="W852" s="27">
        <f t="shared" si="3"/>
        <v>2445.644831</v>
      </c>
      <c r="X852" s="27">
        <f t="shared" si="4"/>
        <v>80.140408</v>
      </c>
      <c r="Y852" s="114"/>
      <c r="Z852" s="119" t="s">
        <v>898</v>
      </c>
      <c r="AA852" s="114"/>
      <c r="AB852" s="114"/>
      <c r="AC852" s="114"/>
      <c r="AD852" s="114"/>
    </row>
    <row r="853">
      <c r="A853" s="114" t="s">
        <v>230</v>
      </c>
      <c r="B853" s="114" t="s">
        <v>897</v>
      </c>
      <c r="C853" s="114" t="s">
        <v>54</v>
      </c>
      <c r="D853" s="114" t="s">
        <v>54</v>
      </c>
      <c r="E853" s="114"/>
      <c r="F853" s="116">
        <v>2021.0</v>
      </c>
      <c r="G853" s="116">
        <v>0.0</v>
      </c>
      <c r="H853" s="116">
        <v>14.94</v>
      </c>
      <c r="I853" s="117">
        <v>0.09</v>
      </c>
      <c r="J853" s="116">
        <v>1.3</v>
      </c>
      <c r="K853" s="114"/>
      <c r="L853" s="114"/>
      <c r="M853" s="116">
        <v>11.0</v>
      </c>
      <c r="N853" s="116">
        <v>90.0</v>
      </c>
      <c r="O853" s="114"/>
      <c r="P853" s="140">
        <v>5533.0</v>
      </c>
      <c r="Q853" s="114" t="s">
        <v>234</v>
      </c>
      <c r="R853" s="115">
        <v>2021.0</v>
      </c>
      <c r="S853" s="136">
        <v>0.239000000000002</v>
      </c>
      <c r="T853" s="118">
        <f t="shared" si="28"/>
        <v>1322.387</v>
      </c>
      <c r="U853" s="24">
        <f t="shared" si="2"/>
        <v>88.51318608</v>
      </c>
      <c r="V853" s="26">
        <f>VLOOKUP(R853,CPI!$A$2:$E$67,5,0)</f>
        <v>1.124486105</v>
      </c>
      <c r="W853" s="27">
        <f t="shared" si="3"/>
        <v>1487.005808</v>
      </c>
      <c r="X853" s="27">
        <f t="shared" si="4"/>
        <v>99.5318479</v>
      </c>
      <c r="Y853" s="114"/>
      <c r="Z853" s="119" t="s">
        <v>899</v>
      </c>
      <c r="AA853" s="114"/>
      <c r="AB853" s="114"/>
      <c r="AC853" s="114"/>
      <c r="AD853" s="114"/>
    </row>
    <row r="854">
      <c r="A854" s="114" t="s">
        <v>230</v>
      </c>
      <c r="B854" s="114" t="s">
        <v>900</v>
      </c>
      <c r="C854" s="115" t="s">
        <v>84</v>
      </c>
      <c r="D854" s="115" t="s">
        <v>319</v>
      </c>
      <c r="E854" s="116">
        <v>2022.0</v>
      </c>
      <c r="F854" s="114"/>
      <c r="G854" s="116">
        <v>0.0</v>
      </c>
      <c r="H854" s="116">
        <v>25.4</v>
      </c>
      <c r="I854" s="117">
        <v>1.0</v>
      </c>
      <c r="J854" s="116">
        <v>25.4</v>
      </c>
      <c r="K854" s="114"/>
      <c r="L854" s="114"/>
      <c r="M854" s="116">
        <v>22.0</v>
      </c>
      <c r="N854" s="116">
        <v>117.0</v>
      </c>
      <c r="O854" s="114"/>
      <c r="P854" s="140">
        <v>24369.0</v>
      </c>
      <c r="Q854" s="114" t="s">
        <v>234</v>
      </c>
      <c r="R854" s="115">
        <v>2021.0</v>
      </c>
      <c r="S854" s="136">
        <v>0.239000000000002</v>
      </c>
      <c r="T854" s="118">
        <f t="shared" si="28"/>
        <v>5824.191</v>
      </c>
      <c r="U854" s="24">
        <f t="shared" si="2"/>
        <v>229.2988583</v>
      </c>
      <c r="V854" s="26">
        <f>VLOOKUP(R854,CPI!$A$2:$E$67,5,0)</f>
        <v>1.124486105</v>
      </c>
      <c r="W854" s="27">
        <f t="shared" si="3"/>
        <v>6549.221855</v>
      </c>
      <c r="X854" s="27">
        <f t="shared" si="4"/>
        <v>257.8433801</v>
      </c>
      <c r="Y854" s="114"/>
      <c r="Z854" s="119" t="s">
        <v>908</v>
      </c>
      <c r="AB854" s="114"/>
      <c r="AC854" s="114"/>
      <c r="AD854" s="114"/>
    </row>
    <row r="855">
      <c r="A855" s="114" t="s">
        <v>230</v>
      </c>
      <c r="B855" s="114" t="s">
        <v>911</v>
      </c>
      <c r="C855" s="114" t="s">
        <v>663</v>
      </c>
      <c r="D855" s="114" t="s">
        <v>663</v>
      </c>
      <c r="E855" s="116">
        <v>2019.0</v>
      </c>
      <c r="F855" s="114"/>
      <c r="G855" s="116">
        <v>0.0</v>
      </c>
      <c r="H855" s="116">
        <v>29.28</v>
      </c>
      <c r="I855" s="117">
        <v>0.28</v>
      </c>
      <c r="J855" s="116">
        <v>8.14</v>
      </c>
      <c r="K855" s="114"/>
      <c r="L855" s="114"/>
      <c r="M855" s="116">
        <v>10.0</v>
      </c>
      <c r="N855" s="116">
        <v>117.0</v>
      </c>
      <c r="O855" s="114" t="s">
        <v>36</v>
      </c>
      <c r="P855" s="140">
        <v>12694.0</v>
      </c>
      <c r="Q855" s="114" t="s">
        <v>234</v>
      </c>
      <c r="R855" s="115">
        <v>2019.0</v>
      </c>
      <c r="S855" s="136">
        <v>0.238</v>
      </c>
      <c r="T855" s="118">
        <f t="shared" si="28"/>
        <v>3021.172</v>
      </c>
      <c r="U855" s="24">
        <f t="shared" si="2"/>
        <v>103.1821038</v>
      </c>
      <c r="V855" s="26">
        <f>VLOOKUP(R855,CPI!$A$2:$E$67,5,0)</f>
        <v>1.191839066</v>
      </c>
      <c r="W855" s="27">
        <f t="shared" si="3"/>
        <v>3600.750814</v>
      </c>
      <c r="X855" s="27">
        <f t="shared" si="4"/>
        <v>122.9764622</v>
      </c>
      <c r="Y855" s="114" t="s">
        <v>36</v>
      </c>
      <c r="Z855" s="119" t="s">
        <v>929</v>
      </c>
      <c r="AA855" s="114"/>
      <c r="AB855" s="114"/>
      <c r="AC855" s="114"/>
      <c r="AD855" s="114"/>
    </row>
    <row r="856">
      <c r="A856" s="114" t="s">
        <v>230</v>
      </c>
      <c r="B856" s="114" t="s">
        <v>911</v>
      </c>
      <c r="C856" s="115" t="s">
        <v>84</v>
      </c>
      <c r="D856" s="115" t="s">
        <v>522</v>
      </c>
      <c r="E856" s="116">
        <v>2016.0</v>
      </c>
      <c r="F856" s="116">
        <v>2021.0</v>
      </c>
      <c r="G856" s="116">
        <v>0.0</v>
      </c>
      <c r="H856" s="116">
        <v>19.87</v>
      </c>
      <c r="I856" s="117">
        <v>0.16</v>
      </c>
      <c r="J856" s="116">
        <v>3.2</v>
      </c>
      <c r="K856" s="114"/>
      <c r="L856" s="114"/>
      <c r="M856" s="116">
        <v>13.0</v>
      </c>
      <c r="N856" s="116">
        <v>117.0</v>
      </c>
      <c r="O856" s="114" t="s">
        <v>60</v>
      </c>
      <c r="P856" s="140">
        <v>9511.0</v>
      </c>
      <c r="Q856" s="114" t="s">
        <v>234</v>
      </c>
      <c r="R856" s="115">
        <v>2019.0</v>
      </c>
      <c r="S856" s="136">
        <v>0.238</v>
      </c>
      <c r="T856" s="118">
        <f t="shared" si="28"/>
        <v>2263.618</v>
      </c>
      <c r="U856" s="24">
        <f t="shared" si="2"/>
        <v>113.921389</v>
      </c>
      <c r="V856" s="26">
        <f>VLOOKUP(R856,CPI!$A$2:$E$67,5,0)</f>
        <v>1.191839066</v>
      </c>
      <c r="W856" s="27">
        <f t="shared" si="3"/>
        <v>2697.868362</v>
      </c>
      <c r="X856" s="27">
        <f t="shared" si="4"/>
        <v>135.7759619</v>
      </c>
      <c r="Y856" s="114" t="s">
        <v>36</v>
      </c>
      <c r="Z856" s="119" t="s">
        <v>919</v>
      </c>
      <c r="AA856" s="119" t="s">
        <v>920</v>
      </c>
    </row>
    <row r="857">
      <c r="A857" s="114" t="s">
        <v>230</v>
      </c>
      <c r="B857" s="114" t="s">
        <v>911</v>
      </c>
      <c r="C857" s="114" t="s">
        <v>87</v>
      </c>
      <c r="D857" s="114" t="s">
        <v>87</v>
      </c>
      <c r="E857" s="116">
        <v>2012.0</v>
      </c>
      <c r="F857" s="116">
        <v>2016.0</v>
      </c>
      <c r="G857" s="116">
        <v>0.0</v>
      </c>
      <c r="H857" s="116">
        <v>38.4</v>
      </c>
      <c r="I857" s="117">
        <v>0.71</v>
      </c>
      <c r="J857" s="116">
        <v>27.13</v>
      </c>
      <c r="K857" s="114"/>
      <c r="L857" s="114"/>
      <c r="M857" s="116">
        <v>24.0</v>
      </c>
      <c r="N857" s="116">
        <v>117.0</v>
      </c>
      <c r="O857" s="114" t="s">
        <v>42</v>
      </c>
      <c r="P857" s="140">
        <v>18030.0</v>
      </c>
      <c r="Q857" s="114" t="s">
        <v>234</v>
      </c>
      <c r="R857" s="115">
        <v>2014.0</v>
      </c>
      <c r="S857" s="115">
        <v>0.266</v>
      </c>
      <c r="T857" s="118">
        <f t="shared" si="28"/>
        <v>4795.98</v>
      </c>
      <c r="U857" s="24">
        <f t="shared" si="2"/>
        <v>124.8953125</v>
      </c>
      <c r="V857" s="26">
        <f>VLOOKUP(R857,CPI!$A$2:$E$67,5,0)</f>
        <v>1.287096175</v>
      </c>
      <c r="W857" s="27">
        <f t="shared" si="3"/>
        <v>6172.887512</v>
      </c>
      <c r="X857" s="27">
        <f t="shared" si="4"/>
        <v>160.7522789</v>
      </c>
      <c r="Y857" s="114" t="s">
        <v>42</v>
      </c>
      <c r="Z857" s="119" t="s">
        <v>914</v>
      </c>
      <c r="AA857" s="119" t="s">
        <v>915</v>
      </c>
    </row>
    <row r="858">
      <c r="A858" s="114" t="s">
        <v>230</v>
      </c>
      <c r="B858" s="114" t="s">
        <v>911</v>
      </c>
      <c r="C858" s="114" t="s">
        <v>253</v>
      </c>
      <c r="D858" s="114" t="s">
        <v>253</v>
      </c>
      <c r="E858" s="116">
        <v>2016.0</v>
      </c>
      <c r="F858" s="116">
        <v>2020.0</v>
      </c>
      <c r="G858" s="116">
        <v>0.0</v>
      </c>
      <c r="H858" s="116">
        <v>25.296</v>
      </c>
      <c r="I858" s="117">
        <v>1.0</v>
      </c>
      <c r="J858" s="116">
        <v>25.296</v>
      </c>
      <c r="K858" s="114"/>
      <c r="L858" s="114"/>
      <c r="M858" s="116">
        <v>15.0</v>
      </c>
      <c r="N858" s="116">
        <v>117.0</v>
      </c>
      <c r="O858" s="114" t="s">
        <v>36</v>
      </c>
      <c r="P858" s="140">
        <v>13888.0</v>
      </c>
      <c r="Q858" s="114" t="s">
        <v>234</v>
      </c>
      <c r="R858" s="115">
        <v>2018.0</v>
      </c>
      <c r="S858" s="85">
        <v>0.237</v>
      </c>
      <c r="T858" s="118">
        <f t="shared" si="28"/>
        <v>3291.456</v>
      </c>
      <c r="U858" s="24">
        <f t="shared" si="2"/>
        <v>130.1176471</v>
      </c>
      <c r="V858" s="26">
        <f>VLOOKUP(R858,CPI!$A$2:$E$67,5,0)</f>
        <v>1.21343491</v>
      </c>
      <c r="W858" s="27">
        <f t="shared" si="3"/>
        <v>3993.967616</v>
      </c>
      <c r="X858" s="27">
        <f t="shared" si="4"/>
        <v>157.8892954</v>
      </c>
      <c r="Y858" s="114" t="s">
        <v>36</v>
      </c>
      <c r="Z858" s="119" t="s">
        <v>918</v>
      </c>
      <c r="AA858" s="114"/>
      <c r="AB858" s="114"/>
      <c r="AC858" s="114"/>
      <c r="AD858" s="114"/>
    </row>
    <row r="859">
      <c r="A859" s="114" t="s">
        <v>230</v>
      </c>
      <c r="B859" s="114" t="s">
        <v>911</v>
      </c>
      <c r="C859" s="115" t="s">
        <v>80</v>
      </c>
      <c r="D859" s="115" t="s">
        <v>921</v>
      </c>
      <c r="E859" s="116">
        <v>2016.0</v>
      </c>
      <c r="F859" s="116">
        <v>2022.0</v>
      </c>
      <c r="G859" s="116">
        <v>0.0</v>
      </c>
      <c r="H859" s="116">
        <v>39.8</v>
      </c>
      <c r="I859" s="117">
        <v>1.0</v>
      </c>
      <c r="J859" s="116">
        <v>39.8</v>
      </c>
      <c r="K859" s="114"/>
      <c r="L859" s="114"/>
      <c r="M859" s="116">
        <v>32.0</v>
      </c>
      <c r="N859" s="116">
        <v>117.0</v>
      </c>
      <c r="O859" s="114"/>
      <c r="P859" s="140">
        <v>28900.0</v>
      </c>
      <c r="Q859" s="114" t="s">
        <v>234</v>
      </c>
      <c r="R859" s="115">
        <v>2019.0</v>
      </c>
      <c r="S859" s="136">
        <v>0.238</v>
      </c>
      <c r="T859" s="118">
        <f t="shared" si="28"/>
        <v>6878.2</v>
      </c>
      <c r="U859" s="24">
        <f t="shared" si="2"/>
        <v>172.8190955</v>
      </c>
      <c r="V859" s="26">
        <f>VLOOKUP(R859,CPI!$A$2:$E$67,5,0)</f>
        <v>1.191839066</v>
      </c>
      <c r="W859" s="27">
        <f t="shared" si="3"/>
        <v>8197.707461</v>
      </c>
      <c r="X859" s="27">
        <f t="shared" si="4"/>
        <v>205.9725493</v>
      </c>
      <c r="Y859" s="114"/>
      <c r="Z859" s="119" t="s">
        <v>922</v>
      </c>
      <c r="AA859" s="114"/>
      <c r="AB859" s="114"/>
      <c r="AC859" s="114"/>
      <c r="AD859" s="114"/>
    </row>
    <row r="860">
      <c r="A860" s="114" t="s">
        <v>230</v>
      </c>
      <c r="B860" s="114" t="s">
        <v>911</v>
      </c>
      <c r="C860" s="114" t="s">
        <v>110</v>
      </c>
      <c r="D860" s="114" t="s">
        <v>110</v>
      </c>
      <c r="E860" s="116">
        <v>2013.0</v>
      </c>
      <c r="F860" s="116">
        <v>2018.0</v>
      </c>
      <c r="G860" s="116">
        <v>0.0</v>
      </c>
      <c r="H860" s="116">
        <v>33.3</v>
      </c>
      <c r="I860" s="117">
        <v>1.0</v>
      </c>
      <c r="J860" s="116">
        <v>33.3</v>
      </c>
      <c r="K860" s="114"/>
      <c r="L860" s="114"/>
      <c r="M860" s="116">
        <v>28.0</v>
      </c>
      <c r="N860" s="116">
        <v>117.0</v>
      </c>
      <c r="O860" s="114"/>
      <c r="P860" s="140">
        <v>20327.0</v>
      </c>
      <c r="Q860" s="114" t="s">
        <v>234</v>
      </c>
      <c r="R860" s="115">
        <v>2016.0</v>
      </c>
      <c r="S860" s="85">
        <v>0.251</v>
      </c>
      <c r="T860" s="118">
        <f t="shared" si="28"/>
        <v>5102.077</v>
      </c>
      <c r="U860" s="24">
        <f t="shared" si="2"/>
        <v>153.2155255</v>
      </c>
      <c r="V860" s="26">
        <f>VLOOKUP(R860,CPI!$A$2:$E$67,5,0)</f>
        <v>1.269554638</v>
      </c>
      <c r="W860" s="27">
        <f t="shared" si="3"/>
        <v>6477.365519</v>
      </c>
      <c r="X860" s="27">
        <f t="shared" si="4"/>
        <v>194.515481</v>
      </c>
      <c r="Y860" s="114"/>
      <c r="Z860" s="225" t="s">
        <v>916</v>
      </c>
      <c r="AA860" s="321"/>
      <c r="AB860" s="114"/>
      <c r="AC860" s="114"/>
      <c r="AD860" s="114"/>
    </row>
    <row r="861">
      <c r="A861" s="114" t="s">
        <v>230</v>
      </c>
      <c r="B861" s="114" t="s">
        <v>911</v>
      </c>
      <c r="C861" s="115" t="s">
        <v>84</v>
      </c>
      <c r="D861" s="115" t="s">
        <v>319</v>
      </c>
      <c r="E861" s="116">
        <v>2014.0</v>
      </c>
      <c r="F861" s="116">
        <v>2020.0</v>
      </c>
      <c r="G861" s="116">
        <v>0.0</v>
      </c>
      <c r="H861" s="116">
        <v>25.7</v>
      </c>
      <c r="I861" s="117">
        <v>0.95</v>
      </c>
      <c r="J861" s="116">
        <v>24.3</v>
      </c>
      <c r="K861" s="114"/>
      <c r="L861" s="114"/>
      <c r="M861" s="116">
        <v>20.0</v>
      </c>
      <c r="N861" s="116">
        <v>117.0</v>
      </c>
      <c r="O861" s="114"/>
      <c r="P861" s="140">
        <v>17801.0</v>
      </c>
      <c r="Q861" s="114" t="s">
        <v>234</v>
      </c>
      <c r="R861" s="115">
        <v>2017.0</v>
      </c>
      <c r="S861" s="85">
        <v>0.239</v>
      </c>
      <c r="T861" s="118">
        <f t="shared" si="28"/>
        <v>4254.439</v>
      </c>
      <c r="U861" s="24">
        <f t="shared" si="2"/>
        <v>165.5423735</v>
      </c>
      <c r="V861" s="26">
        <f>VLOOKUP(R861,CPI!$A$2:$E$67,5,0)</f>
        <v>1.243072781</v>
      </c>
      <c r="W861" s="27">
        <f t="shared" si="3"/>
        <v>5288.577318</v>
      </c>
      <c r="X861" s="27">
        <f t="shared" si="4"/>
        <v>205.7812186</v>
      </c>
      <c r="Y861" s="114"/>
      <c r="Z861" s="119" t="s">
        <v>917</v>
      </c>
      <c r="AA861" s="114"/>
      <c r="AB861" s="114"/>
      <c r="AC861" s="114"/>
      <c r="AD861" s="114"/>
    </row>
    <row r="862">
      <c r="A862" s="114" t="s">
        <v>230</v>
      </c>
      <c r="B862" s="114" t="s">
        <v>911</v>
      </c>
      <c r="C862" s="115" t="s">
        <v>57</v>
      </c>
      <c r="D862" s="115" t="s">
        <v>232</v>
      </c>
      <c r="E862" s="114"/>
      <c r="F862" s="116">
        <v>2013.0</v>
      </c>
      <c r="G862" s="116">
        <v>0.0</v>
      </c>
      <c r="H862" s="116">
        <v>25.36</v>
      </c>
      <c r="I862" s="117">
        <v>1.0</v>
      </c>
      <c r="J862" s="116">
        <v>25.36</v>
      </c>
      <c r="K862" s="114"/>
      <c r="L862" s="114"/>
      <c r="M862" s="116">
        <v>19.0</v>
      </c>
      <c r="N862" s="116">
        <v>117.0</v>
      </c>
      <c r="O862" s="114"/>
      <c r="P862" s="140">
        <v>13490.0</v>
      </c>
      <c r="Q862" s="114" t="s">
        <v>234</v>
      </c>
      <c r="R862" s="115">
        <v>2013.0</v>
      </c>
      <c r="S862" s="85">
        <v>0.273</v>
      </c>
      <c r="T862" s="118">
        <f t="shared" si="28"/>
        <v>3682.77</v>
      </c>
      <c r="U862" s="24">
        <f t="shared" si="2"/>
        <v>145.2196372</v>
      </c>
      <c r="V862" s="26">
        <f>VLOOKUP(R862,CPI!$A$2:$E$67,5,0)</f>
        <v>1.307975292</v>
      </c>
      <c r="W862" s="27">
        <f t="shared" si="3"/>
        <v>4816.972165</v>
      </c>
      <c r="X862" s="27">
        <f t="shared" si="4"/>
        <v>189.9436973</v>
      </c>
      <c r="Y862" s="114"/>
      <c r="Z862" s="119" t="s">
        <v>913</v>
      </c>
      <c r="AA862" s="119" t="s">
        <v>912</v>
      </c>
    </row>
    <row r="863">
      <c r="A863" s="114" t="s">
        <v>230</v>
      </c>
      <c r="B863" s="114" t="s">
        <v>911</v>
      </c>
      <c r="C863" s="115" t="s">
        <v>57</v>
      </c>
      <c r="D863" s="115" t="s">
        <v>410</v>
      </c>
      <c r="E863" s="116">
        <v>2016.0</v>
      </c>
      <c r="F863" s="114"/>
      <c r="G863" s="116">
        <v>0.0</v>
      </c>
      <c r="H863" s="116">
        <v>6.1</v>
      </c>
      <c r="I863" s="117">
        <v>1.0</v>
      </c>
      <c r="J863" s="116">
        <v>6.1</v>
      </c>
      <c r="K863" s="114"/>
      <c r="L863" s="114"/>
      <c r="M863" s="116">
        <v>4.0</v>
      </c>
      <c r="N863" s="116">
        <v>117.0</v>
      </c>
      <c r="O863" s="114"/>
      <c r="P863" s="140">
        <v>3700.0</v>
      </c>
      <c r="Q863" s="114" t="s">
        <v>234</v>
      </c>
      <c r="R863" s="115">
        <v>2016.0</v>
      </c>
      <c r="S863" s="85">
        <v>0.251</v>
      </c>
      <c r="T863" s="118">
        <f t="shared" si="28"/>
        <v>928.7</v>
      </c>
      <c r="U863" s="24">
        <f t="shared" si="2"/>
        <v>152.2459016</v>
      </c>
      <c r="V863" s="26">
        <f>VLOOKUP(R863,CPI!$A$2:$E$67,5,0)</f>
        <v>1.269554638</v>
      </c>
      <c r="W863" s="27">
        <f t="shared" si="3"/>
        <v>1179.035392</v>
      </c>
      <c r="X863" s="27">
        <f t="shared" si="4"/>
        <v>193.2844905</v>
      </c>
      <c r="Y863" s="114"/>
      <c r="Z863" s="119" t="s">
        <v>928</v>
      </c>
      <c r="AA863" s="114"/>
      <c r="AB863" s="114"/>
      <c r="AC863" s="114"/>
      <c r="AD863" s="114"/>
    </row>
    <row r="864">
      <c r="A864" s="114" t="s">
        <v>230</v>
      </c>
      <c r="B864" s="114" t="s">
        <v>911</v>
      </c>
      <c r="C864" s="115" t="s">
        <v>54</v>
      </c>
      <c r="D864" s="115" t="s">
        <v>348</v>
      </c>
      <c r="E864" s="116">
        <v>2006.0</v>
      </c>
      <c r="F864" s="116">
        <v>2011.0</v>
      </c>
      <c r="G864" s="116">
        <v>0.0</v>
      </c>
      <c r="H864" s="116">
        <v>26.76</v>
      </c>
      <c r="I864" s="117">
        <v>1.0</v>
      </c>
      <c r="J864" s="116">
        <v>26.76</v>
      </c>
      <c r="K864" s="114"/>
      <c r="L864" s="114"/>
      <c r="M864" s="116">
        <v>21.0</v>
      </c>
      <c r="N864" s="116">
        <v>117.0</v>
      </c>
      <c r="O864" s="114"/>
      <c r="P864" s="140">
        <v>12963.0</v>
      </c>
      <c r="Q864" s="114" t="s">
        <v>234</v>
      </c>
      <c r="R864" s="115">
        <v>2009.0</v>
      </c>
      <c r="S864" s="85">
        <v>0.317</v>
      </c>
      <c r="T864" s="118">
        <f t="shared" si="28"/>
        <v>4109.271</v>
      </c>
      <c r="U864" s="24">
        <f t="shared" si="2"/>
        <v>153.5602018</v>
      </c>
      <c r="V864" s="26">
        <f>VLOOKUP(R864,CPI!$A$2:$E$67,5,0)</f>
        <v>1.420277155</v>
      </c>
      <c r="W864" s="27">
        <f t="shared" si="3"/>
        <v>5836.303725</v>
      </c>
      <c r="X864" s="27">
        <f t="shared" si="4"/>
        <v>218.0980465</v>
      </c>
      <c r="Y864" s="114"/>
      <c r="Z864" s="119" t="s">
        <v>912</v>
      </c>
      <c r="AA864" s="114"/>
      <c r="AB864" s="114"/>
      <c r="AC864" s="114"/>
      <c r="AD864" s="114"/>
    </row>
    <row r="865">
      <c r="A865" s="114" t="s">
        <v>230</v>
      </c>
      <c r="B865" s="114" t="s">
        <v>930</v>
      </c>
      <c r="C865" s="36" t="s">
        <v>934</v>
      </c>
      <c r="D865" s="114" t="s">
        <v>935</v>
      </c>
      <c r="E865" s="116">
        <v>2020.0</v>
      </c>
      <c r="F865" s="114"/>
      <c r="G865" s="116">
        <v>0.0</v>
      </c>
      <c r="H865" s="116">
        <v>45.8</v>
      </c>
      <c r="I865" s="114"/>
      <c r="J865" s="114"/>
      <c r="K865" s="114"/>
      <c r="L865" s="114"/>
      <c r="M865" s="116">
        <v>9.0</v>
      </c>
      <c r="N865" s="114"/>
      <c r="O865" s="114" t="s">
        <v>36</v>
      </c>
      <c r="P865" s="140">
        <v>21890.0</v>
      </c>
      <c r="Q865" s="114" t="s">
        <v>234</v>
      </c>
      <c r="R865" s="115">
        <v>2020.0</v>
      </c>
      <c r="S865" s="136">
        <v>0.239</v>
      </c>
      <c r="T865" s="118">
        <f t="shared" si="28"/>
        <v>5231.71</v>
      </c>
      <c r="U865" s="24">
        <f t="shared" si="2"/>
        <v>114.229476</v>
      </c>
      <c r="V865" s="26">
        <f>VLOOKUP(R865,CPI!$A$2:$E$67,5,0)</f>
        <v>1.17731472</v>
      </c>
      <c r="W865" s="27">
        <f t="shared" si="3"/>
        <v>6159.369194</v>
      </c>
      <c r="X865" s="27">
        <f t="shared" si="4"/>
        <v>134.4840435</v>
      </c>
      <c r="Y865" s="114" t="s">
        <v>36</v>
      </c>
      <c r="Z865" s="119" t="s">
        <v>936</v>
      </c>
      <c r="AA865" s="114"/>
      <c r="AB865" s="114"/>
      <c r="AC865" s="114"/>
      <c r="AD865" s="114"/>
    </row>
    <row r="866">
      <c r="A866" s="114" t="s">
        <v>230</v>
      </c>
      <c r="B866" s="114" t="s">
        <v>930</v>
      </c>
      <c r="C866" s="115" t="s">
        <v>110</v>
      </c>
      <c r="D866" s="114" t="s">
        <v>940</v>
      </c>
      <c r="E866" s="116">
        <v>2022.0</v>
      </c>
      <c r="F866" s="114"/>
      <c r="G866" s="116">
        <v>0.0</v>
      </c>
      <c r="H866" s="116">
        <v>44.78</v>
      </c>
      <c r="I866" s="117">
        <v>0.5</v>
      </c>
      <c r="J866" s="116">
        <v>22.48</v>
      </c>
      <c r="K866" s="114"/>
      <c r="L866" s="114"/>
      <c r="M866" s="116">
        <v>10.0</v>
      </c>
      <c r="N866" s="116">
        <v>117.0</v>
      </c>
      <c r="O866" s="114"/>
      <c r="P866" s="140">
        <v>22978.0</v>
      </c>
      <c r="Q866" s="114" t="s">
        <v>234</v>
      </c>
      <c r="R866" s="115">
        <v>2021.0</v>
      </c>
      <c r="S866" s="136">
        <v>0.239000000000002</v>
      </c>
      <c r="T866" s="118">
        <f t="shared" si="28"/>
        <v>5491.742</v>
      </c>
      <c r="U866" s="24">
        <f t="shared" si="2"/>
        <v>122.638276</v>
      </c>
      <c r="V866" s="26">
        <f>VLOOKUP(R866,CPI!$A$2:$E$67,5,0)</f>
        <v>1.124486105</v>
      </c>
      <c r="W866" s="27">
        <f t="shared" si="3"/>
        <v>6175.387574</v>
      </c>
      <c r="X866" s="27">
        <f t="shared" si="4"/>
        <v>137.9050374</v>
      </c>
      <c r="Y866" s="114"/>
      <c r="Z866" s="119" t="s">
        <v>941</v>
      </c>
      <c r="AA866" s="114"/>
      <c r="AB866" s="114"/>
      <c r="AC866" s="114"/>
      <c r="AD866" s="114"/>
    </row>
    <row r="867">
      <c r="A867" s="114" t="s">
        <v>230</v>
      </c>
      <c r="B867" s="114" t="s">
        <v>930</v>
      </c>
      <c r="C867" s="36" t="s">
        <v>934</v>
      </c>
      <c r="D867" s="114" t="s">
        <v>938</v>
      </c>
      <c r="E867" s="116">
        <v>2021.0</v>
      </c>
      <c r="F867" s="114"/>
      <c r="G867" s="116">
        <v>1.0</v>
      </c>
      <c r="H867" s="116">
        <v>51.2</v>
      </c>
      <c r="I867" s="114"/>
      <c r="J867" s="114"/>
      <c r="K867" s="114"/>
      <c r="L867" s="114"/>
      <c r="M867" s="116">
        <v>4.0</v>
      </c>
      <c r="N867" s="114"/>
      <c r="O867" s="114"/>
      <c r="P867" s="140">
        <v>30320.0</v>
      </c>
      <c r="Q867" s="114" t="s">
        <v>234</v>
      </c>
      <c r="R867" s="115">
        <v>2021.0</v>
      </c>
      <c r="S867" s="136">
        <v>0.239000000000002</v>
      </c>
      <c r="T867" s="118">
        <f t="shared" si="28"/>
        <v>7246.48</v>
      </c>
      <c r="U867" s="24">
        <f t="shared" si="2"/>
        <v>141.5328125</v>
      </c>
      <c r="V867" s="26">
        <f>VLOOKUP(R867,CPI!$A$2:$E$67,5,0)</f>
        <v>1.124486105</v>
      </c>
      <c r="W867" s="27">
        <f t="shared" si="3"/>
        <v>8148.566074</v>
      </c>
      <c r="X867" s="27">
        <f t="shared" si="4"/>
        <v>159.1516811</v>
      </c>
      <c r="Y867" s="114"/>
      <c r="Z867" s="119" t="s">
        <v>936</v>
      </c>
      <c r="AA867" s="114"/>
      <c r="AB867" s="114"/>
      <c r="AC867" s="114"/>
      <c r="AD867" s="114"/>
    </row>
    <row r="868">
      <c r="A868" s="114" t="s">
        <v>230</v>
      </c>
      <c r="B868" s="114" t="s">
        <v>930</v>
      </c>
      <c r="C868" s="115" t="s">
        <v>87</v>
      </c>
      <c r="D868" s="115" t="s">
        <v>331</v>
      </c>
      <c r="E868" s="116">
        <v>2011.0</v>
      </c>
      <c r="F868" s="116">
        <v>2020.0</v>
      </c>
      <c r="G868" s="116">
        <v>0.0</v>
      </c>
      <c r="H868" s="116">
        <v>18.6</v>
      </c>
      <c r="I868" s="114"/>
      <c r="J868" s="114"/>
      <c r="K868" s="114"/>
      <c r="L868" s="114"/>
      <c r="M868" s="116">
        <v>16.0</v>
      </c>
      <c r="N868" s="116">
        <v>117.0</v>
      </c>
      <c r="O868" s="114"/>
      <c r="P868" s="140">
        <v>12360.0</v>
      </c>
      <c r="Q868" s="114" t="s">
        <v>234</v>
      </c>
      <c r="R868" s="115">
        <v>2016.0</v>
      </c>
      <c r="S868" s="85">
        <v>0.251</v>
      </c>
      <c r="T868" s="118">
        <f t="shared" si="28"/>
        <v>3102.36</v>
      </c>
      <c r="U868" s="24">
        <f t="shared" si="2"/>
        <v>166.7935484</v>
      </c>
      <c r="V868" s="26">
        <f>VLOOKUP(R868,CPI!$A$2:$E$67,5,0)</f>
        <v>1.269554638</v>
      </c>
      <c r="W868" s="27">
        <f t="shared" si="3"/>
        <v>3938.615527</v>
      </c>
      <c r="X868" s="27">
        <f t="shared" si="4"/>
        <v>211.7535229</v>
      </c>
      <c r="Y868" s="114"/>
      <c r="Z868" s="225" t="s">
        <v>931</v>
      </c>
      <c r="AA868" s="114"/>
      <c r="AB868" s="114"/>
      <c r="AC868" s="114"/>
      <c r="AD868" s="114"/>
    </row>
    <row r="869">
      <c r="A869" s="114" t="s">
        <v>230</v>
      </c>
      <c r="B869" s="114" t="s">
        <v>930</v>
      </c>
      <c r="C869" s="115" t="s">
        <v>54</v>
      </c>
      <c r="D869" s="115" t="s">
        <v>348</v>
      </c>
      <c r="E869" s="116">
        <v>2015.0</v>
      </c>
      <c r="F869" s="116">
        <v>2019.0</v>
      </c>
      <c r="G869" s="116">
        <v>0.0</v>
      </c>
      <c r="H869" s="116">
        <v>25.2</v>
      </c>
      <c r="I869" s="117">
        <v>1.0</v>
      </c>
      <c r="J869" s="116">
        <v>25.2</v>
      </c>
      <c r="K869" s="114"/>
      <c r="L869" s="114"/>
      <c r="M869" s="116">
        <v>19.0</v>
      </c>
      <c r="N869" s="116">
        <v>117.0</v>
      </c>
      <c r="O869" s="114"/>
      <c r="P869" s="140">
        <v>17620.0</v>
      </c>
      <c r="Q869" s="114" t="s">
        <v>234</v>
      </c>
      <c r="R869" s="115">
        <v>2017.0</v>
      </c>
      <c r="S869" s="85">
        <v>0.239</v>
      </c>
      <c r="T869" s="118">
        <f t="shared" si="28"/>
        <v>4211.18</v>
      </c>
      <c r="U869" s="24">
        <f t="shared" si="2"/>
        <v>167.1103175</v>
      </c>
      <c r="V869" s="26">
        <f>VLOOKUP(R869,CPI!$A$2:$E$67,5,0)</f>
        <v>1.243072781</v>
      </c>
      <c r="W869" s="27">
        <f t="shared" si="3"/>
        <v>5234.803233</v>
      </c>
      <c r="X869" s="27">
        <f t="shared" si="4"/>
        <v>207.730287</v>
      </c>
      <c r="Y869" s="114"/>
      <c r="Z869" s="225" t="s">
        <v>931</v>
      </c>
      <c r="AA869" s="114"/>
      <c r="AB869" s="114"/>
      <c r="AC869" s="114"/>
      <c r="AD869" s="114"/>
    </row>
    <row r="870">
      <c r="A870" s="114" t="s">
        <v>230</v>
      </c>
      <c r="B870" s="114" t="s">
        <v>930</v>
      </c>
      <c r="C870" s="16" t="s">
        <v>57</v>
      </c>
      <c r="D870" s="115" t="s">
        <v>232</v>
      </c>
      <c r="E870" s="116">
        <v>2011.0</v>
      </c>
      <c r="F870" s="116">
        <v>2020.0</v>
      </c>
      <c r="G870" s="116">
        <v>0.0</v>
      </c>
      <c r="H870" s="116">
        <v>31.5</v>
      </c>
      <c r="I870" s="117">
        <v>0.84</v>
      </c>
      <c r="J870" s="116">
        <v>26.36</v>
      </c>
      <c r="K870" s="114"/>
      <c r="L870" s="114"/>
      <c r="M870" s="116">
        <v>23.0</v>
      </c>
      <c r="N870" s="116">
        <v>117.0</v>
      </c>
      <c r="O870" s="114"/>
      <c r="P870" s="140">
        <v>20390.0</v>
      </c>
      <c r="Q870" s="114" t="s">
        <v>234</v>
      </c>
      <c r="R870" s="115">
        <v>2016.0</v>
      </c>
      <c r="S870" s="85">
        <v>0.251</v>
      </c>
      <c r="T870" s="118">
        <f t="shared" si="28"/>
        <v>5117.89</v>
      </c>
      <c r="U870" s="24">
        <f t="shared" si="2"/>
        <v>162.4726984</v>
      </c>
      <c r="V870" s="26">
        <f>VLOOKUP(R870,CPI!$A$2:$E$67,5,0)</f>
        <v>1.269554638</v>
      </c>
      <c r="W870" s="27">
        <f t="shared" si="3"/>
        <v>6497.440986</v>
      </c>
      <c r="X870" s="27">
        <f t="shared" si="4"/>
        <v>206.2679678</v>
      </c>
      <c r="Y870" s="114"/>
      <c r="Z870" s="119" t="s">
        <v>931</v>
      </c>
      <c r="AA870" s="119" t="s">
        <v>932</v>
      </c>
    </row>
    <row r="871">
      <c r="A871" s="114" t="s">
        <v>230</v>
      </c>
      <c r="B871" s="114" t="s">
        <v>930</v>
      </c>
      <c r="C871" s="114" t="s">
        <v>253</v>
      </c>
      <c r="D871" s="114" t="s">
        <v>253</v>
      </c>
      <c r="E871" s="116">
        <v>2021.0</v>
      </c>
      <c r="F871" s="114"/>
      <c r="G871" s="116">
        <v>0.0</v>
      </c>
      <c r="H871" s="116">
        <v>44.2</v>
      </c>
      <c r="I871" s="117">
        <v>1.0</v>
      </c>
      <c r="J871" s="116">
        <v>44.2</v>
      </c>
      <c r="K871" s="114"/>
      <c r="L871" s="114"/>
      <c r="M871" s="116">
        <v>24.0</v>
      </c>
      <c r="N871" s="116">
        <v>117.0</v>
      </c>
      <c r="O871" s="114"/>
      <c r="P871" s="140">
        <v>40537.22</v>
      </c>
      <c r="Q871" s="114" t="s">
        <v>234</v>
      </c>
      <c r="R871" s="115">
        <v>2021.0</v>
      </c>
      <c r="S871" s="136">
        <v>0.239000000000002</v>
      </c>
      <c r="T871" s="118">
        <f t="shared" si="28"/>
        <v>9688.39558</v>
      </c>
      <c r="U871" s="24">
        <f t="shared" si="2"/>
        <v>219.1944701</v>
      </c>
      <c r="V871" s="26">
        <f>VLOOKUP(R871,CPI!$A$2:$E$67,5,0)</f>
        <v>1.124486105</v>
      </c>
      <c r="W871" s="27">
        <f t="shared" si="3"/>
        <v>10894.46621</v>
      </c>
      <c r="X871" s="27">
        <f t="shared" si="4"/>
        <v>246.4811361</v>
      </c>
      <c r="Y871" s="114"/>
      <c r="Z871" s="119" t="s">
        <v>937</v>
      </c>
      <c r="AA871" s="114"/>
      <c r="AB871" s="114"/>
      <c r="AC871" s="114"/>
      <c r="AD871" s="114"/>
    </row>
    <row r="872">
      <c r="A872" s="114" t="s">
        <v>230</v>
      </c>
      <c r="B872" s="114" t="s">
        <v>930</v>
      </c>
      <c r="C872" s="36" t="s">
        <v>934</v>
      </c>
      <c r="D872" s="114" t="s">
        <v>939</v>
      </c>
      <c r="E872" s="116">
        <v>2021.0</v>
      </c>
      <c r="F872" s="114"/>
      <c r="G872" s="116">
        <v>1.0</v>
      </c>
      <c r="H872" s="116">
        <v>70.2</v>
      </c>
      <c r="I872" s="114"/>
      <c r="J872" s="114"/>
      <c r="K872" s="114"/>
      <c r="L872" s="114"/>
      <c r="M872" s="116">
        <v>11.0</v>
      </c>
      <c r="N872" s="114"/>
      <c r="O872" s="114"/>
      <c r="P872" s="140">
        <v>28600.0</v>
      </c>
      <c r="Q872" s="114" t="s">
        <v>234</v>
      </c>
      <c r="R872" s="115">
        <v>2021.0</v>
      </c>
      <c r="S872" s="136">
        <v>0.239000000000002</v>
      </c>
      <c r="T872" s="118">
        <f t="shared" si="28"/>
        <v>6835.4</v>
      </c>
      <c r="U872" s="24">
        <f t="shared" si="2"/>
        <v>97.37037037</v>
      </c>
      <c r="V872" s="26">
        <f>VLOOKUP(R872,CPI!$A$2:$E$67,5,0)</f>
        <v>1.124486105</v>
      </c>
      <c r="W872" s="27">
        <f t="shared" si="3"/>
        <v>7686.312325</v>
      </c>
      <c r="X872" s="27">
        <f t="shared" si="4"/>
        <v>109.4916286</v>
      </c>
      <c r="Y872" s="114"/>
      <c r="Z872" s="119" t="s">
        <v>936</v>
      </c>
      <c r="AA872" s="114"/>
      <c r="AB872" s="114"/>
      <c r="AC872" s="114"/>
      <c r="AD872" s="114"/>
    </row>
    <row r="873">
      <c r="A873" s="114" t="s">
        <v>230</v>
      </c>
      <c r="B873" s="114" t="s">
        <v>958</v>
      </c>
      <c r="C873" s="114" t="s">
        <v>110</v>
      </c>
      <c r="D873" s="114" t="s">
        <v>110</v>
      </c>
      <c r="E873" s="116">
        <v>2014.0</v>
      </c>
      <c r="F873" s="116">
        <v>2020.0</v>
      </c>
      <c r="G873" s="116">
        <v>0.0</v>
      </c>
      <c r="H873" s="116">
        <v>30.1</v>
      </c>
      <c r="I873" s="117">
        <v>1.0</v>
      </c>
      <c r="J873" s="116">
        <v>30.1</v>
      </c>
      <c r="K873" s="114"/>
      <c r="L873" s="114"/>
      <c r="M873" s="116">
        <v>24.0</v>
      </c>
      <c r="N873" s="116">
        <v>117.0</v>
      </c>
      <c r="O873" s="114" t="s">
        <v>60</v>
      </c>
      <c r="P873" s="140">
        <v>19034.0</v>
      </c>
      <c r="Q873" s="114" t="s">
        <v>234</v>
      </c>
      <c r="R873" s="115">
        <v>2017.0</v>
      </c>
      <c r="S873" s="85">
        <v>0.239</v>
      </c>
      <c r="T873" s="118">
        <f t="shared" si="28"/>
        <v>4549.126</v>
      </c>
      <c r="U873" s="24">
        <f t="shared" si="2"/>
        <v>151.1337542</v>
      </c>
      <c r="V873" s="26">
        <f>VLOOKUP(R873,CPI!$A$2:$E$67,5,0)</f>
        <v>1.243072781</v>
      </c>
      <c r="W873" s="27">
        <f t="shared" si="3"/>
        <v>5654.894706</v>
      </c>
      <c r="X873" s="27">
        <f t="shared" si="4"/>
        <v>187.870256</v>
      </c>
      <c r="Y873" s="114" t="s">
        <v>60</v>
      </c>
      <c r="Z873" s="225" t="s">
        <v>961</v>
      </c>
      <c r="AA873" s="114"/>
      <c r="AB873" s="114"/>
      <c r="AC873" s="114"/>
      <c r="AD873" s="114"/>
    </row>
    <row r="874">
      <c r="A874" s="114" t="s">
        <v>125</v>
      </c>
      <c r="B874" s="114" t="s">
        <v>191</v>
      </c>
      <c r="C874" s="115" t="s">
        <v>205</v>
      </c>
      <c r="D874" s="115" t="s">
        <v>206</v>
      </c>
      <c r="E874" s="116">
        <v>2022.0</v>
      </c>
      <c r="F874" s="114"/>
      <c r="G874" s="116">
        <v>0.0</v>
      </c>
      <c r="H874" s="116">
        <v>16.0</v>
      </c>
      <c r="I874" s="117">
        <v>0.0</v>
      </c>
      <c r="J874" s="116">
        <v>0.0</v>
      </c>
      <c r="K874" s="114"/>
      <c r="L874" s="114"/>
      <c r="M874" s="116">
        <v>8.0</v>
      </c>
      <c r="N874" s="116"/>
      <c r="O874" s="114"/>
      <c r="P874" s="73">
        <v>3940.0</v>
      </c>
      <c r="Q874" s="114" t="s">
        <v>129</v>
      </c>
      <c r="R874" s="115">
        <v>2021.0</v>
      </c>
      <c r="S874" s="115">
        <v>0.798</v>
      </c>
      <c r="T874" s="118">
        <f t="shared" si="28"/>
        <v>3144.12</v>
      </c>
      <c r="U874" s="24">
        <f t="shared" si="2"/>
        <v>196.5075</v>
      </c>
      <c r="V874" s="26">
        <f>VLOOKUP(R874,CPI!$A$2:$E$67,5,0)</f>
        <v>1.124486105</v>
      </c>
      <c r="W874" s="27">
        <f t="shared" si="3"/>
        <v>3535.519254</v>
      </c>
      <c r="X874" s="27">
        <f t="shared" si="4"/>
        <v>220.9699534</v>
      </c>
      <c r="Y874" s="115" t="s">
        <v>42</v>
      </c>
      <c r="Z874" s="119" t="s">
        <v>207</v>
      </c>
      <c r="AA874" s="225" t="s">
        <v>208</v>
      </c>
      <c r="AB874" s="321"/>
      <c r="AC874" s="321"/>
      <c r="AD874" s="321"/>
    </row>
    <row r="875">
      <c r="A875" s="115" t="s">
        <v>1061</v>
      </c>
      <c r="B875" s="115" t="s">
        <v>1062</v>
      </c>
      <c r="C875" s="115" t="s">
        <v>57</v>
      </c>
      <c r="D875" s="115" t="s">
        <v>57</v>
      </c>
      <c r="E875" s="82">
        <v>2005.0</v>
      </c>
      <c r="F875" s="115">
        <v>2008.0</v>
      </c>
      <c r="G875" s="82">
        <v>0.0</v>
      </c>
      <c r="H875" s="82">
        <v>14.5</v>
      </c>
      <c r="I875" s="247">
        <v>0.66</v>
      </c>
      <c r="J875" s="82">
        <v>9.5</v>
      </c>
      <c r="K875" s="114"/>
      <c r="L875" s="114"/>
      <c r="M875" s="82">
        <v>16.0</v>
      </c>
      <c r="N875" s="82">
        <v>120.0</v>
      </c>
      <c r="O875" s="115" t="s">
        <v>59</v>
      </c>
      <c r="P875" s="248">
        <v>25164.728</v>
      </c>
      <c r="Q875" s="115" t="s">
        <v>1063</v>
      </c>
      <c r="R875" s="115">
        <v>2006.0</v>
      </c>
      <c r="S875" s="115">
        <v>0.0615</v>
      </c>
      <c r="T875" s="118">
        <f t="shared" si="28"/>
        <v>1547.630772</v>
      </c>
      <c r="U875" s="24">
        <f t="shared" si="2"/>
        <v>106.7331567</v>
      </c>
      <c r="V875" s="26">
        <f>VLOOKUP(R875,CPI!$A$2:$E$67,5,0)</f>
        <v>1.511418651</v>
      </c>
      <c r="W875" s="27">
        <f t="shared" si="3"/>
        <v>2339.118013</v>
      </c>
      <c r="X875" s="27">
        <f t="shared" si="4"/>
        <v>161.3184837</v>
      </c>
      <c r="Y875" s="115" t="s">
        <v>36</v>
      </c>
      <c r="Z875" s="252" t="s">
        <v>1064</v>
      </c>
      <c r="AA875" s="344"/>
      <c r="AB875" s="114"/>
      <c r="AC875" s="114"/>
      <c r="AD875" s="114"/>
    </row>
    <row r="876">
      <c r="A876" s="115" t="s">
        <v>1061</v>
      </c>
      <c r="B876" s="115" t="s">
        <v>1062</v>
      </c>
      <c r="C876" s="115" t="s">
        <v>1065</v>
      </c>
      <c r="D876" s="115" t="s">
        <v>1065</v>
      </c>
      <c r="E876" s="82">
        <v>2009.0</v>
      </c>
      <c r="F876" s="115">
        <v>2018.0</v>
      </c>
      <c r="G876" s="82">
        <v>0.0</v>
      </c>
      <c r="H876" s="82">
        <v>16.5</v>
      </c>
      <c r="I876" s="247">
        <v>1.0</v>
      </c>
      <c r="J876" s="82">
        <v>16.5</v>
      </c>
      <c r="K876" s="114"/>
      <c r="L876" s="114"/>
      <c r="M876" s="82">
        <v>18.0</v>
      </c>
      <c r="N876" s="82">
        <v>120.0</v>
      </c>
      <c r="O876" s="115" t="s">
        <v>59</v>
      </c>
      <c r="P876" s="248">
        <v>1096.235</v>
      </c>
      <c r="Q876" s="115" t="s">
        <v>37</v>
      </c>
      <c r="R876" s="115">
        <v>2012.0</v>
      </c>
      <c r="S876" s="115">
        <v>2.2</v>
      </c>
      <c r="T876" s="118">
        <f t="shared" si="28"/>
        <v>2411.717</v>
      </c>
      <c r="U876" s="24">
        <f t="shared" si="2"/>
        <v>146.1646667</v>
      </c>
      <c r="V876" s="26">
        <f>VLOOKUP(R876,CPI!$A$2:$E$67,5,0)</f>
        <v>1.327133984</v>
      </c>
      <c r="W876" s="27">
        <f t="shared" si="3"/>
        <v>3200.671591</v>
      </c>
      <c r="X876" s="27">
        <f t="shared" si="4"/>
        <v>193.9800964</v>
      </c>
      <c r="Y876" s="115" t="s">
        <v>42</v>
      </c>
      <c r="Z876" s="252" t="s">
        <v>1066</v>
      </c>
      <c r="AA876" s="344"/>
      <c r="AB876" s="114"/>
      <c r="AC876" s="114"/>
      <c r="AD876" s="114"/>
    </row>
    <row r="877">
      <c r="A877" s="115" t="s">
        <v>992</v>
      </c>
      <c r="B877" s="115" t="s">
        <v>1051</v>
      </c>
      <c r="C877" s="115" t="s">
        <v>1044</v>
      </c>
      <c r="D877" s="115" t="s">
        <v>1054</v>
      </c>
      <c r="E877" s="82">
        <v>2020.0</v>
      </c>
      <c r="F877" s="115">
        <v>2026.0</v>
      </c>
      <c r="G877" s="82">
        <v>0.0</v>
      </c>
      <c r="H877" s="82">
        <v>2.1</v>
      </c>
      <c r="I877" s="247">
        <v>1.0</v>
      </c>
      <c r="J877" s="82">
        <v>2.1</v>
      </c>
      <c r="K877" s="114"/>
      <c r="L877" s="114"/>
      <c r="M877" s="82">
        <v>2.0</v>
      </c>
      <c r="N877" s="82">
        <v>90.0</v>
      </c>
      <c r="O877" s="115" t="s">
        <v>59</v>
      </c>
      <c r="P877" s="248">
        <v>148.0</v>
      </c>
      <c r="Q877" s="115" t="s">
        <v>52</v>
      </c>
      <c r="R877" s="115">
        <v>2021.0</v>
      </c>
      <c r="S877" s="115">
        <v>1.3</v>
      </c>
      <c r="T877" s="118">
        <f t="shared" si="28"/>
        <v>192.4</v>
      </c>
      <c r="U877" s="24">
        <f t="shared" si="2"/>
        <v>91.61904762</v>
      </c>
      <c r="V877" s="26">
        <f>VLOOKUP(R877,CPI!$A$2:$E$67,5,0)</f>
        <v>1.124486105</v>
      </c>
      <c r="W877" s="27">
        <f t="shared" si="3"/>
        <v>216.3511267</v>
      </c>
      <c r="X877" s="27">
        <f t="shared" si="4"/>
        <v>103.024346</v>
      </c>
      <c r="Y877" s="115" t="s">
        <v>60</v>
      </c>
      <c r="Z877" s="249" t="s">
        <v>1055</v>
      </c>
      <c r="AA877" s="344"/>
      <c r="AB877" s="114"/>
      <c r="AC877" s="114"/>
      <c r="AD877" s="114"/>
    </row>
    <row r="878">
      <c r="A878" s="115" t="s">
        <v>1730</v>
      </c>
      <c r="B878" s="115" t="s">
        <v>1731</v>
      </c>
      <c r="C878" s="115" t="s">
        <v>1732</v>
      </c>
      <c r="D878" s="115" t="s">
        <v>1733</v>
      </c>
      <c r="E878" s="82">
        <v>2002.0</v>
      </c>
      <c r="F878" s="115">
        <v>2012.0</v>
      </c>
      <c r="G878" s="82">
        <v>0.0</v>
      </c>
      <c r="H878" s="82">
        <v>35.5</v>
      </c>
      <c r="I878" s="247">
        <v>1.0</v>
      </c>
      <c r="J878" s="82">
        <v>35.5</v>
      </c>
      <c r="K878" s="114"/>
      <c r="L878" s="114"/>
      <c r="M878" s="82">
        <v>30.0</v>
      </c>
      <c r="N878" s="82">
        <v>70.0</v>
      </c>
      <c r="O878" s="115" t="s">
        <v>74</v>
      </c>
      <c r="P878" s="248">
        <v>8000.0</v>
      </c>
      <c r="Q878" s="115" t="s">
        <v>1734</v>
      </c>
      <c r="R878" s="115">
        <v>2007.0</v>
      </c>
      <c r="S878" s="115">
        <v>1.16</v>
      </c>
      <c r="T878" s="118">
        <f t="shared" si="28"/>
        <v>9280</v>
      </c>
      <c r="U878" s="24">
        <f t="shared" si="2"/>
        <v>261.4084507</v>
      </c>
      <c r="V878" s="26">
        <f>VLOOKUP(R878,CPI!$A$2:$E$67,5,0)</f>
        <v>1.469562366</v>
      </c>
      <c r="W878" s="27">
        <f t="shared" si="3"/>
        <v>13637.53875</v>
      </c>
      <c r="X878" s="27">
        <f t="shared" si="4"/>
        <v>384.1560212</v>
      </c>
      <c r="Y878" s="115" t="s">
        <v>42</v>
      </c>
      <c r="Z878" s="252" t="s">
        <v>1735</v>
      </c>
      <c r="AA878" s="344"/>
      <c r="AB878" s="114"/>
      <c r="AC878" s="114"/>
      <c r="AD878" s="114"/>
    </row>
    <row r="879">
      <c r="A879" s="115" t="s">
        <v>992</v>
      </c>
      <c r="B879" s="115" t="s">
        <v>993</v>
      </c>
      <c r="C879" s="115" t="s">
        <v>994</v>
      </c>
      <c r="D879" s="115" t="s">
        <v>995</v>
      </c>
      <c r="E879" s="82">
        <v>1968.0</v>
      </c>
      <c r="F879" s="115">
        <v>1974.0</v>
      </c>
      <c r="G879" s="82">
        <v>0.0</v>
      </c>
      <c r="H879" s="82">
        <v>1.5</v>
      </c>
      <c r="I879" s="247">
        <v>1.0</v>
      </c>
      <c r="J879" s="82">
        <v>1.5</v>
      </c>
      <c r="K879" s="114"/>
      <c r="L879" s="114"/>
      <c r="M879" s="82">
        <v>2.0</v>
      </c>
      <c r="N879" s="82">
        <v>100.0</v>
      </c>
      <c r="O879" s="115" t="s">
        <v>42</v>
      </c>
      <c r="P879" s="248">
        <v>120.0</v>
      </c>
      <c r="Q879" s="115" t="s">
        <v>996</v>
      </c>
      <c r="R879" s="115">
        <v>1971.0</v>
      </c>
      <c r="S879" s="115">
        <v>0.3836</v>
      </c>
      <c r="T879" s="118">
        <f t="shared" si="28"/>
        <v>46.032</v>
      </c>
      <c r="U879" s="24">
        <f t="shared" si="2"/>
        <v>30.688</v>
      </c>
      <c r="V879" s="26">
        <f>VLOOKUP(R879,CPI!$A$2:$E$67,5,0)</f>
        <v>7.523506173</v>
      </c>
      <c r="W879" s="27">
        <f t="shared" si="3"/>
        <v>346.3220361</v>
      </c>
      <c r="X879" s="27">
        <f t="shared" si="4"/>
        <v>230.8813574</v>
      </c>
      <c r="Y879" s="115" t="s">
        <v>42</v>
      </c>
      <c r="Z879" s="249" t="s">
        <v>997</v>
      </c>
      <c r="AA879" s="344"/>
      <c r="AB879" s="114"/>
      <c r="AC879" s="114"/>
      <c r="AD879" s="114"/>
    </row>
    <row r="880">
      <c r="A880" s="115" t="s">
        <v>992</v>
      </c>
      <c r="B880" s="115" t="s">
        <v>993</v>
      </c>
      <c r="C880" s="115" t="s">
        <v>998</v>
      </c>
      <c r="D880" s="115" t="s">
        <v>999</v>
      </c>
      <c r="E880" s="82">
        <v>1978.0</v>
      </c>
      <c r="F880" s="115">
        <v>1984.0</v>
      </c>
      <c r="G880" s="82">
        <v>0.0</v>
      </c>
      <c r="H880" s="82">
        <v>4.9</v>
      </c>
      <c r="I880" s="247">
        <v>1.0</v>
      </c>
      <c r="J880" s="82">
        <v>4.9</v>
      </c>
      <c r="K880" s="114"/>
      <c r="L880" s="114"/>
      <c r="M880" s="82">
        <v>5.0</v>
      </c>
      <c r="N880" s="82">
        <v>100.0</v>
      </c>
      <c r="O880" s="115" t="s">
        <v>42</v>
      </c>
      <c r="P880" s="248">
        <v>680.0</v>
      </c>
      <c r="Q880" s="115" t="s">
        <v>996</v>
      </c>
      <c r="R880" s="115">
        <v>1981.0</v>
      </c>
      <c r="S880" s="115">
        <v>0.5251</v>
      </c>
      <c r="T880" s="118">
        <f t="shared" si="28"/>
        <v>357.068</v>
      </c>
      <c r="U880" s="24">
        <f t="shared" si="2"/>
        <v>72.87102041</v>
      </c>
      <c r="V880" s="26">
        <f>VLOOKUP(R880,CPI!$A$2:$E$67,5,0)</f>
        <v>3.352057206</v>
      </c>
      <c r="W880" s="27">
        <f t="shared" si="3"/>
        <v>1196.912362</v>
      </c>
      <c r="X880" s="27">
        <f t="shared" si="4"/>
        <v>244.267829</v>
      </c>
      <c r="Y880" s="115" t="s">
        <v>42</v>
      </c>
      <c r="Z880" s="249" t="s">
        <v>1000</v>
      </c>
      <c r="AA880" s="344"/>
      <c r="AB880" s="114"/>
      <c r="AC880" s="114"/>
      <c r="AD880" s="114"/>
    </row>
    <row r="881">
      <c r="A881" s="115" t="s">
        <v>992</v>
      </c>
      <c r="B881" s="115" t="s">
        <v>1041</v>
      </c>
      <c r="C881" s="115" t="s">
        <v>1042</v>
      </c>
      <c r="D881" s="115" t="s">
        <v>1042</v>
      </c>
      <c r="E881" s="82">
        <v>1965.0</v>
      </c>
      <c r="F881" s="115">
        <v>1971.0</v>
      </c>
      <c r="G881" s="82">
        <v>1.0</v>
      </c>
      <c r="H881" s="82">
        <v>11.4</v>
      </c>
      <c r="I881" s="247">
        <v>0.36</v>
      </c>
      <c r="J881" s="82">
        <v>4.1</v>
      </c>
      <c r="K881" s="114"/>
      <c r="L881" s="114"/>
      <c r="M881" s="82">
        <v>5.0</v>
      </c>
      <c r="N881" s="82">
        <v>200.0</v>
      </c>
      <c r="O881" s="115" t="s">
        <v>59</v>
      </c>
      <c r="P881" s="248">
        <v>900.0</v>
      </c>
      <c r="Q881" s="115" t="s">
        <v>996</v>
      </c>
      <c r="R881" s="115">
        <v>1968.0</v>
      </c>
      <c r="S881" s="115">
        <v>0.3532</v>
      </c>
      <c r="T881" s="118">
        <f t="shared" si="28"/>
        <v>317.88</v>
      </c>
      <c r="U881" s="24">
        <f t="shared" si="2"/>
        <v>27.88421053</v>
      </c>
      <c r="V881" s="26">
        <f>VLOOKUP(R881,CPI!$A$2:$E$67,5,0)</f>
        <v>8.755804598</v>
      </c>
      <c r="W881" s="27">
        <f t="shared" si="3"/>
        <v>2783.295166</v>
      </c>
      <c r="X881" s="27">
        <f t="shared" si="4"/>
        <v>244.1486987</v>
      </c>
      <c r="Y881" s="115" t="s">
        <v>42</v>
      </c>
      <c r="Z881" s="249" t="s">
        <v>1043</v>
      </c>
      <c r="AA881" s="344"/>
      <c r="AB881" s="114"/>
      <c r="AC881" s="114"/>
      <c r="AD881" s="114"/>
    </row>
    <row r="882">
      <c r="A882" s="115" t="s">
        <v>1872</v>
      </c>
      <c r="B882" s="115" t="s">
        <v>1876</v>
      </c>
      <c r="C882" s="115" t="s">
        <v>1536</v>
      </c>
      <c r="D882" s="115" t="s">
        <v>1536</v>
      </c>
      <c r="E882" s="82">
        <v>1987.0</v>
      </c>
      <c r="F882" s="115">
        <v>1993.0</v>
      </c>
      <c r="G882" s="82">
        <v>0.0</v>
      </c>
      <c r="H882" s="82">
        <v>14.4</v>
      </c>
      <c r="I882" s="247">
        <v>0.0</v>
      </c>
      <c r="J882" s="82">
        <v>0.0</v>
      </c>
      <c r="K882" s="115">
        <v>4.0</v>
      </c>
      <c r="L882" s="115">
        <v>10.4</v>
      </c>
      <c r="M882" s="82">
        <v>7.0</v>
      </c>
      <c r="N882" s="82">
        <v>120.0</v>
      </c>
      <c r="O882" s="115" t="s">
        <v>59</v>
      </c>
      <c r="P882" s="248">
        <v>500.0</v>
      </c>
      <c r="Q882" s="115" t="s">
        <v>37</v>
      </c>
      <c r="R882" s="115">
        <v>1990.0</v>
      </c>
      <c r="S882" s="115">
        <v>1.0</v>
      </c>
      <c r="T882" s="118">
        <f t="shared" si="28"/>
        <v>500</v>
      </c>
      <c r="U882" s="24">
        <f t="shared" si="2"/>
        <v>34.72222222</v>
      </c>
      <c r="V882" s="26">
        <f>VLOOKUP(R882,CPI!$A$2:$E$67,5,0)</f>
        <v>2.33130834</v>
      </c>
      <c r="W882" s="27">
        <f t="shared" si="3"/>
        <v>1165.65417</v>
      </c>
      <c r="X882" s="27">
        <f t="shared" si="4"/>
        <v>80.94820624</v>
      </c>
      <c r="Y882" s="115" t="s">
        <v>36</v>
      </c>
      <c r="Z882" s="249" t="s">
        <v>1877</v>
      </c>
      <c r="AA882" s="344"/>
      <c r="AB882" s="114"/>
      <c r="AC882" s="114"/>
      <c r="AD882" s="114"/>
    </row>
    <row r="883">
      <c r="A883" s="115" t="s">
        <v>1872</v>
      </c>
      <c r="B883" s="115" t="s">
        <v>1908</v>
      </c>
      <c r="C883" s="115" t="s">
        <v>1909</v>
      </c>
      <c r="D883" s="115" t="s">
        <v>1910</v>
      </c>
      <c r="E883" s="82">
        <v>1976.0</v>
      </c>
      <c r="F883" s="115">
        <v>1984.0</v>
      </c>
      <c r="G883" s="82">
        <v>1.0</v>
      </c>
      <c r="H883" s="82">
        <v>2.9</v>
      </c>
      <c r="I883" s="247">
        <v>0.69</v>
      </c>
      <c r="J883" s="82">
        <v>2.0</v>
      </c>
      <c r="K883" s="115"/>
      <c r="L883" s="115"/>
      <c r="M883" s="82">
        <v>1.0</v>
      </c>
      <c r="N883" s="82">
        <v>350.0</v>
      </c>
      <c r="O883" s="115" t="s">
        <v>59</v>
      </c>
      <c r="P883" s="248">
        <v>330.0</v>
      </c>
      <c r="Q883" s="115" t="s">
        <v>37</v>
      </c>
      <c r="R883" s="115">
        <v>1980.0</v>
      </c>
      <c r="S883" s="115">
        <v>1.0</v>
      </c>
      <c r="T883" s="118">
        <f t="shared" si="28"/>
        <v>330</v>
      </c>
      <c r="U883" s="24">
        <f t="shared" si="2"/>
        <v>113.7931034</v>
      </c>
      <c r="V883" s="26">
        <f>VLOOKUP(R883,CPI!$A$2:$E$67,5,0)</f>
        <v>3.697839806</v>
      </c>
      <c r="W883" s="27">
        <f t="shared" si="3"/>
        <v>1220.287136</v>
      </c>
      <c r="X883" s="27">
        <f t="shared" si="4"/>
        <v>420.7886676</v>
      </c>
      <c r="Y883" s="115" t="s">
        <v>42</v>
      </c>
      <c r="Z883" s="249" t="s">
        <v>1911</v>
      </c>
      <c r="AA883" s="344"/>
      <c r="AB883" s="114"/>
      <c r="AC883" s="114"/>
      <c r="AD883" s="114"/>
    </row>
    <row r="884">
      <c r="A884" s="115" t="s">
        <v>1565</v>
      </c>
      <c r="B884" s="115" t="s">
        <v>1569</v>
      </c>
      <c r="C884" s="115" t="s">
        <v>57</v>
      </c>
      <c r="D884" s="115" t="s">
        <v>57</v>
      </c>
      <c r="E884" s="82">
        <v>2024.0</v>
      </c>
      <c r="F884" s="115">
        <v>2031.0</v>
      </c>
      <c r="G884" s="82">
        <v>0.0</v>
      </c>
      <c r="H884" s="82">
        <v>21.0</v>
      </c>
      <c r="I884" s="247">
        <v>1.0</v>
      </c>
      <c r="J884" s="82">
        <v>21.0</v>
      </c>
      <c r="K884" s="115"/>
      <c r="L884" s="115"/>
      <c r="M884" s="82">
        <v>19.0</v>
      </c>
      <c r="N884" s="82"/>
      <c r="O884" s="115" t="s">
        <v>42</v>
      </c>
      <c r="P884" s="248">
        <v>13700.0</v>
      </c>
      <c r="Q884" s="115" t="s">
        <v>1567</v>
      </c>
      <c r="R884" s="115">
        <v>2023.0</v>
      </c>
      <c r="S884" s="115">
        <v>0.584</v>
      </c>
      <c r="T884" s="118">
        <f t="shared" si="28"/>
        <v>8000.8</v>
      </c>
      <c r="U884" s="24">
        <f t="shared" si="2"/>
        <v>380.9904762</v>
      </c>
      <c r="V884" s="26">
        <f>VLOOKUP(R884,CPI!$A$2:$E$67,5,0)</f>
        <v>1</v>
      </c>
      <c r="W884" s="27">
        <f t="shared" si="3"/>
        <v>8000.8</v>
      </c>
      <c r="X884" s="27">
        <f t="shared" si="4"/>
        <v>380.9904762</v>
      </c>
      <c r="Y884" s="115" t="s">
        <v>42</v>
      </c>
      <c r="Z884" s="249" t="s">
        <v>1570</v>
      </c>
      <c r="AA884" s="344"/>
      <c r="AB884" s="114"/>
    </row>
    <row r="885">
      <c r="A885" s="115" t="s">
        <v>992</v>
      </c>
      <c r="B885" s="115" t="s">
        <v>1017</v>
      </c>
      <c r="C885" s="115" t="s">
        <v>1018</v>
      </c>
      <c r="D885" s="115" t="s">
        <v>1019</v>
      </c>
      <c r="E885" s="82">
        <v>1963.0</v>
      </c>
      <c r="F885" s="115">
        <v>1968.0</v>
      </c>
      <c r="G885" s="82">
        <v>0.0</v>
      </c>
      <c r="H885" s="82">
        <v>9.0</v>
      </c>
      <c r="I885" s="247">
        <v>0.5</v>
      </c>
      <c r="J885" s="82">
        <v>4.5</v>
      </c>
      <c r="K885" s="115">
        <v>0.0</v>
      </c>
      <c r="L885" s="115">
        <v>4.5</v>
      </c>
      <c r="M885" s="82">
        <v>14.0</v>
      </c>
      <c r="N885" s="82"/>
      <c r="O885" s="115" t="s">
        <v>59</v>
      </c>
      <c r="P885" s="248">
        <v>830.73</v>
      </c>
      <c r="Q885" s="115" t="s">
        <v>52</v>
      </c>
      <c r="R885" s="115">
        <v>2023.0</v>
      </c>
      <c r="S885" s="115">
        <v>1.45</v>
      </c>
      <c r="T885" s="118">
        <f t="shared" si="28"/>
        <v>1204.5585</v>
      </c>
      <c r="U885" s="24">
        <f t="shared" si="2"/>
        <v>133.8398333</v>
      </c>
      <c r="V885" s="26">
        <f>VLOOKUP(R885,CPI!$A$2:$E$67,5,0)</f>
        <v>1</v>
      </c>
      <c r="W885" s="27">
        <f t="shared" si="3"/>
        <v>1204.5585</v>
      </c>
      <c r="X885" s="27">
        <f t="shared" si="4"/>
        <v>133.8398333</v>
      </c>
      <c r="Y885" s="115" t="s">
        <v>42</v>
      </c>
      <c r="Z885" s="249" t="s">
        <v>1020</v>
      </c>
      <c r="AA885" s="344"/>
      <c r="AB885" s="114"/>
    </row>
  </sheetData>
  <mergeCells count="52">
    <mergeCell ref="AA274:AD274"/>
    <mergeCell ref="AA293:AD293"/>
    <mergeCell ref="AA339:AD339"/>
    <mergeCell ref="AA389:AD389"/>
    <mergeCell ref="AA490:AD490"/>
    <mergeCell ref="AA654:AD654"/>
    <mergeCell ref="AA661:AD661"/>
    <mergeCell ref="AA668:AD668"/>
    <mergeCell ref="AB671:AD671"/>
    <mergeCell ref="AA690:AD690"/>
    <mergeCell ref="AA691:AD691"/>
    <mergeCell ref="AA705:AD705"/>
    <mergeCell ref="Z715:AA715"/>
    <mergeCell ref="Z716:AA716"/>
    <mergeCell ref="Z717:AA717"/>
    <mergeCell ref="Z718:AA718"/>
    <mergeCell ref="Z719:AA719"/>
    <mergeCell ref="Z720:AA720"/>
    <mergeCell ref="Z721:AA721"/>
    <mergeCell ref="Z722:AA722"/>
    <mergeCell ref="AA725:AD725"/>
    <mergeCell ref="AA726:AD726"/>
    <mergeCell ref="AA727:AD727"/>
    <mergeCell ref="Z733:AA733"/>
    <mergeCell ref="AA735:AD735"/>
    <mergeCell ref="AA736:AD736"/>
    <mergeCell ref="AA742:AD742"/>
    <mergeCell ref="Z746:AD746"/>
    <mergeCell ref="AA753:AD753"/>
    <mergeCell ref="AA756:AD756"/>
    <mergeCell ref="AA768:AD768"/>
    <mergeCell ref="AA772:AD772"/>
    <mergeCell ref="AA779:AD779"/>
    <mergeCell ref="AA782:AD782"/>
    <mergeCell ref="AA783:AD783"/>
    <mergeCell ref="AA785:AD785"/>
    <mergeCell ref="AA792:AD792"/>
    <mergeCell ref="AA809:AD809"/>
    <mergeCell ref="AA821:AD821"/>
    <mergeCell ref="AA822:AD822"/>
    <mergeCell ref="AA823:AD823"/>
    <mergeCell ref="AA824:AD824"/>
    <mergeCell ref="AA857:AD857"/>
    <mergeCell ref="AA862:AD862"/>
    <mergeCell ref="AA870:AD870"/>
    <mergeCell ref="AA826:AD826"/>
    <mergeCell ref="AA827:AD827"/>
    <mergeCell ref="AA828:AD828"/>
    <mergeCell ref="AA829:AD829"/>
    <mergeCell ref="AA830:AD830"/>
    <mergeCell ref="Z854:AA854"/>
    <mergeCell ref="AA856:AD856"/>
  </mergeCells>
  <conditionalFormatting sqref="A618:A654 A669:A678 B674:B675 A680 A694:A710 A712 A729 A743">
    <cfRule type="expression" dxfId="0" priority="1">
      <formula>"countif(A:A,A1)&gt;1"</formula>
    </cfRule>
  </conditionalFormatting>
  <conditionalFormatting sqref="X1:X885">
    <cfRule type="cellIs" dxfId="1" priority="2" operator="equal">
      <formula>0</formula>
    </cfRule>
  </conditionalFormatting>
  <hyperlinks>
    <hyperlink r:id="rId2" ref="Z2"/>
    <hyperlink r:id="rId3" ref="Z3"/>
    <hyperlink r:id="rId4" ref="Z4"/>
    <hyperlink r:id="rId5" ref="Z5"/>
    <hyperlink r:id="rId6" ref="Z6"/>
    <hyperlink r:id="rId7" ref="Z7"/>
    <hyperlink r:id="rId8" ref="Z8"/>
    <hyperlink r:id="rId9" ref="Z9"/>
    <hyperlink r:id="rId10" ref="Z10"/>
    <hyperlink r:id="rId11" ref="Z11"/>
    <hyperlink r:id="rId12" ref="Z12"/>
    <hyperlink r:id="rId13" ref="Z13"/>
    <hyperlink r:id="rId14" ref="Z14"/>
    <hyperlink r:id="rId15" ref="Z15"/>
    <hyperlink r:id="rId16" ref="Z16"/>
    <hyperlink r:id="rId17" ref="Z17"/>
    <hyperlink r:id="rId18" ref="Z18"/>
    <hyperlink r:id="rId19" ref="Z19"/>
    <hyperlink r:id="rId20" ref="Z20"/>
    <hyperlink r:id="rId21" ref="Z21"/>
    <hyperlink r:id="rId22" ref="Z22"/>
    <hyperlink r:id="rId23" ref="Z23"/>
    <hyperlink r:id="rId24" ref="Z24"/>
    <hyperlink r:id="rId25" ref="Z25"/>
    <hyperlink r:id="rId26" ref="Z26"/>
    <hyperlink r:id="rId27" ref="Z27"/>
    <hyperlink r:id="rId28" ref="Z28"/>
    <hyperlink r:id="rId29" ref="Z29"/>
    <hyperlink r:id="rId30" ref="Z30"/>
    <hyperlink r:id="rId31" ref="Z31"/>
    <hyperlink r:id="rId32" ref="Z32"/>
    <hyperlink r:id="rId33" ref="Z33"/>
    <hyperlink r:id="rId34" ref="Z34"/>
    <hyperlink r:id="rId35" ref="Z35"/>
    <hyperlink r:id="rId36" ref="Z36"/>
    <hyperlink r:id="rId37" ref="Z37"/>
    <hyperlink r:id="rId38" ref="Z38"/>
    <hyperlink r:id="rId39" ref="Z39"/>
    <hyperlink r:id="rId40" ref="Z40"/>
    <hyperlink r:id="rId41" ref="Z41"/>
    <hyperlink r:id="rId42" ref="Z42"/>
    <hyperlink r:id="rId43" ref="Z43"/>
    <hyperlink r:id="rId44" ref="Z44"/>
    <hyperlink r:id="rId45" ref="Z45"/>
    <hyperlink r:id="rId46" ref="Z46"/>
    <hyperlink r:id="rId47" ref="Z47"/>
    <hyperlink r:id="rId48" ref="Z48"/>
    <hyperlink r:id="rId49" ref="Z49"/>
    <hyperlink r:id="rId50" ref="Z50"/>
    <hyperlink r:id="rId51" ref="Z51"/>
    <hyperlink r:id="rId52" ref="Z52"/>
    <hyperlink r:id="rId53" ref="Z53"/>
    <hyperlink r:id="rId54" ref="Z54"/>
    <hyperlink r:id="rId55" ref="Z55"/>
    <hyperlink r:id="rId56" ref="Z56"/>
    <hyperlink r:id="rId57" ref="Z57"/>
    <hyperlink r:id="rId58" ref="Z58"/>
    <hyperlink r:id="rId59" location="v=onepage&amp;q=shinbundang%20line%20construction%20cost%2011690&amp;f=false" ref="Z59"/>
    <hyperlink r:id="rId60" ref="Z60"/>
    <hyperlink r:id="rId61" ref="Z61"/>
    <hyperlink r:id="rId62" ref="Z62"/>
    <hyperlink r:id="rId63" ref="Z63"/>
    <hyperlink r:id="rId64" ref="Z64"/>
    <hyperlink r:id="rId65" ref="Z65"/>
    <hyperlink r:id="rId66" ref="Z66"/>
    <hyperlink r:id="rId67" ref="Z67"/>
    <hyperlink r:id="rId68" ref="Z68"/>
    <hyperlink r:id="rId69" ref="Z69"/>
    <hyperlink r:id="rId70" ref="Z70"/>
    <hyperlink r:id="rId71" ref="Z71"/>
    <hyperlink r:id="rId72" ref="Z72"/>
    <hyperlink r:id="rId73" ref="Z73"/>
    <hyperlink r:id="rId74" ref="Z74"/>
    <hyperlink r:id="rId75" ref="Z75"/>
    <hyperlink r:id="rId76" ref="Z76"/>
    <hyperlink r:id="rId77" ref="Z77"/>
    <hyperlink r:id="rId78" ref="Z78"/>
    <hyperlink r:id="rId79" ref="Z79"/>
    <hyperlink r:id="rId80" ref="Z80"/>
    <hyperlink r:id="rId81" ref="Z81"/>
    <hyperlink r:id="rId82" ref="Z82"/>
    <hyperlink r:id="rId83" ref="Z83"/>
    <hyperlink r:id="rId84" ref="Z84"/>
    <hyperlink r:id="rId85" ref="Z85"/>
    <hyperlink r:id="rId86" ref="Z86"/>
    <hyperlink r:id="rId87" ref="Z87"/>
    <hyperlink r:id="rId88" ref="Z88"/>
    <hyperlink r:id="rId89" ref="Z89"/>
    <hyperlink r:id="rId90" ref="Z90"/>
    <hyperlink r:id="rId91" ref="Z91"/>
    <hyperlink r:id="rId92" ref="Z92"/>
    <hyperlink r:id="rId93" ref="Z93"/>
    <hyperlink r:id="rId94" ref="Z94"/>
    <hyperlink r:id="rId95" ref="Z95"/>
    <hyperlink r:id="rId96" ref="Z96"/>
    <hyperlink r:id="rId97" ref="Z97"/>
    <hyperlink r:id="rId98" ref="Z98"/>
    <hyperlink r:id="rId99" ref="Z99"/>
    <hyperlink r:id="rId100" ref="Z100"/>
    <hyperlink r:id="rId101" ref="Z101"/>
    <hyperlink r:id="rId102" ref="Z103"/>
    <hyperlink r:id="rId103" ref="Z104"/>
    <hyperlink r:id="rId104" ref="Z105"/>
    <hyperlink r:id="rId105" ref="Z106"/>
    <hyperlink r:id="rId106" ref="Z107"/>
    <hyperlink r:id="rId107" ref="Z108"/>
    <hyperlink r:id="rId108" ref="Z109"/>
    <hyperlink r:id="rId109" ref="Z110"/>
    <hyperlink r:id="rId110" ref="Z111"/>
    <hyperlink r:id="rId111" ref="Z112"/>
    <hyperlink r:id="rId112" ref="Z113"/>
    <hyperlink r:id="rId113" ref="Z114"/>
    <hyperlink r:id="rId114" ref="Z115"/>
    <hyperlink r:id="rId115" ref="Z116"/>
    <hyperlink r:id="rId116" ref="Z117"/>
    <hyperlink r:id="rId117" ref="Z118"/>
    <hyperlink r:id="rId118" ref="Z119"/>
    <hyperlink r:id="rId119" ref="Z120"/>
    <hyperlink r:id="rId120" ref="Z121"/>
    <hyperlink r:id="rId121" ref="Z122"/>
    <hyperlink r:id="rId122" ref="Z123"/>
    <hyperlink r:id="rId123" ref="Z124"/>
    <hyperlink r:id="rId124" ref="Z125"/>
    <hyperlink r:id="rId125" ref="Z126"/>
    <hyperlink r:id="rId126" ref="Z127"/>
    <hyperlink r:id="rId127" ref="Z128"/>
    <hyperlink r:id="rId128" ref="Z129"/>
    <hyperlink r:id="rId129" ref="Z130"/>
    <hyperlink r:id="rId130" ref="Z131"/>
    <hyperlink r:id="rId131" ref="Z132"/>
    <hyperlink r:id="rId132" ref="Z133"/>
    <hyperlink r:id="rId133" ref="Z134"/>
    <hyperlink r:id="rId134" ref="Z135"/>
    <hyperlink r:id="rId135" ref="Z136"/>
    <hyperlink r:id="rId136" ref="Z137"/>
    <hyperlink r:id="rId137" ref="Z138"/>
    <hyperlink r:id="rId138" ref="Z139"/>
    <hyperlink r:id="rId139" ref="Z140"/>
    <hyperlink r:id="rId140" ref="Z141"/>
    <hyperlink r:id="rId141" ref="Z142"/>
    <hyperlink r:id="rId142" ref="Z143"/>
    <hyperlink r:id="rId143" ref="Z145"/>
    <hyperlink r:id="rId144" ref="Z146"/>
    <hyperlink r:id="rId145" ref="Z147"/>
    <hyperlink r:id="rId146" ref="Z148"/>
    <hyperlink r:id="rId147" ref="Z149"/>
    <hyperlink r:id="rId148" ref="Z150"/>
    <hyperlink r:id="rId149" ref="Z151"/>
    <hyperlink r:id="rId150" ref="Z152"/>
    <hyperlink r:id="rId151" ref="Z153"/>
    <hyperlink r:id="rId152" ref="Z154"/>
    <hyperlink r:id="rId153" ref="Z155"/>
    <hyperlink r:id="rId154" ref="Z156"/>
    <hyperlink r:id="rId155" ref="Z157"/>
    <hyperlink r:id="rId156" ref="Z158"/>
    <hyperlink r:id="rId157" ref="Z159"/>
    <hyperlink r:id="rId158" ref="Z160"/>
    <hyperlink r:id="rId159" ref="Z161"/>
    <hyperlink r:id="rId160" ref="Z162"/>
    <hyperlink r:id="rId161" ref="Z163"/>
    <hyperlink r:id="rId162" ref="Z164"/>
    <hyperlink r:id="rId163" ref="Z165"/>
    <hyperlink r:id="rId164" ref="Z166"/>
    <hyperlink r:id="rId165" ref="Z167"/>
    <hyperlink r:id="rId166" ref="Z168"/>
    <hyperlink r:id="rId167" ref="Z169"/>
    <hyperlink r:id="rId168" ref="Z170"/>
    <hyperlink r:id="rId169" ref="Z171"/>
    <hyperlink r:id="rId170" ref="Z172"/>
    <hyperlink r:id="rId171" ref="Z173"/>
    <hyperlink r:id="rId172" ref="Z174"/>
    <hyperlink r:id="rId173" ref="Z175"/>
    <hyperlink r:id="rId174" ref="Z176"/>
    <hyperlink r:id="rId175" ref="Z177"/>
    <hyperlink r:id="rId176" ref="Z178"/>
    <hyperlink r:id="rId177" ref="Z179"/>
    <hyperlink r:id="rId178" ref="Z180"/>
    <hyperlink r:id="rId179" ref="Z181"/>
    <hyperlink r:id="rId180" ref="Z182"/>
    <hyperlink r:id="rId181" ref="Z183"/>
    <hyperlink r:id="rId182" ref="Z184"/>
    <hyperlink r:id="rId183" ref="Z185"/>
    <hyperlink r:id="rId184" ref="Z186"/>
    <hyperlink r:id="rId185" ref="Z187"/>
    <hyperlink r:id="rId186" ref="Z188"/>
    <hyperlink r:id="rId187" ref="Z189"/>
    <hyperlink r:id="rId188" ref="Z190"/>
    <hyperlink r:id="rId189" ref="Z191"/>
    <hyperlink r:id="rId190" ref="Z192"/>
    <hyperlink r:id="rId191" ref="Z193"/>
    <hyperlink r:id="rId192" ref="Z194"/>
    <hyperlink r:id="rId193" ref="Z195"/>
    <hyperlink r:id="rId194" ref="Z196"/>
    <hyperlink r:id="rId195" ref="Z197"/>
    <hyperlink r:id="rId196" ref="Z198"/>
    <hyperlink r:id="rId197" ref="Z199"/>
    <hyperlink r:id="rId198" ref="Z200"/>
    <hyperlink r:id="rId199" ref="Z201"/>
    <hyperlink r:id="rId200" ref="Z202"/>
    <hyperlink r:id="rId201" ref="Z203"/>
    <hyperlink r:id="rId202" ref="Z204"/>
    <hyperlink r:id="rId203" ref="Z205"/>
    <hyperlink r:id="rId204" ref="Z206"/>
    <hyperlink r:id="rId205" ref="Z207"/>
    <hyperlink r:id="rId206" ref="Z208"/>
    <hyperlink r:id="rId207" ref="Z209"/>
    <hyperlink r:id="rId208" ref="Z210"/>
    <hyperlink r:id="rId209" ref="Z211"/>
    <hyperlink r:id="rId210" ref="Z212"/>
    <hyperlink r:id="rId211" ref="Z213"/>
    <hyperlink r:id="rId212" ref="Z214"/>
    <hyperlink r:id="rId213" ref="Z215"/>
    <hyperlink r:id="rId214" ref="Z216"/>
    <hyperlink r:id="rId215" ref="Z217"/>
    <hyperlink r:id="rId216" ref="Z218"/>
    <hyperlink r:id="rId217" ref="Z219"/>
    <hyperlink r:id="rId218" ref="Z220"/>
    <hyperlink r:id="rId219" ref="Z221"/>
    <hyperlink r:id="rId220" ref="Z222"/>
    <hyperlink r:id="rId221" ref="Z223"/>
    <hyperlink r:id="rId222" ref="Z224"/>
    <hyperlink r:id="rId223" ref="Z225"/>
    <hyperlink r:id="rId224" ref="Z226"/>
    <hyperlink r:id="rId225" ref="Z227"/>
    <hyperlink r:id="rId226" ref="Z228"/>
    <hyperlink r:id="rId227" ref="Z229"/>
    <hyperlink r:id="rId228" ref="Z230"/>
    <hyperlink r:id="rId229" ref="Z231"/>
    <hyperlink r:id="rId230" ref="Z232"/>
    <hyperlink r:id="rId231" ref="Z233"/>
    <hyperlink r:id="rId232" ref="Z234"/>
    <hyperlink r:id="rId233" ref="Z235"/>
    <hyperlink r:id="rId234" ref="Z236"/>
    <hyperlink r:id="rId235" ref="Z237"/>
    <hyperlink r:id="rId236" ref="Z238"/>
    <hyperlink r:id="rId237" ref="Z239"/>
    <hyperlink r:id="rId238" ref="Z240"/>
    <hyperlink r:id="rId239" ref="Z241"/>
    <hyperlink r:id="rId240" ref="Z242"/>
    <hyperlink r:id="rId241" ref="Z243"/>
    <hyperlink r:id="rId242" ref="Z244"/>
    <hyperlink r:id="rId243" ref="Z245"/>
    <hyperlink r:id="rId244" ref="Z247"/>
    <hyperlink r:id="rId245" ref="Z248"/>
    <hyperlink r:id="rId246" ref="Z249"/>
    <hyperlink r:id="rId247" ref="Z250"/>
    <hyperlink r:id="rId248" ref="Z251"/>
    <hyperlink r:id="rId249" ref="Z252"/>
    <hyperlink r:id="rId250" ref="Z254"/>
    <hyperlink r:id="rId251" ref="Z255"/>
    <hyperlink r:id="rId252" ref="Z256"/>
    <hyperlink r:id="rId253" ref="Z257"/>
    <hyperlink r:id="rId254" ref="Z258"/>
    <hyperlink r:id="rId255" ref="Z259"/>
    <hyperlink r:id="rId256" ref="Z260"/>
    <hyperlink r:id="rId257" ref="Z261"/>
    <hyperlink r:id="rId258" ref="Z262"/>
    <hyperlink r:id="rId259" ref="Z263"/>
    <hyperlink r:id="rId260" ref="Z264"/>
    <hyperlink r:id="rId261" ref="Z265"/>
    <hyperlink r:id="rId262" ref="Z266"/>
    <hyperlink r:id="rId263" ref="Z267"/>
    <hyperlink r:id="rId264" ref="Z268"/>
    <hyperlink r:id="rId265" ref="Z269"/>
    <hyperlink r:id="rId266" ref="Z270"/>
    <hyperlink r:id="rId267" ref="Z271"/>
    <hyperlink r:id="rId268" ref="Z272"/>
    <hyperlink r:id="rId269" ref="Z273"/>
    <hyperlink r:id="rId270" ref="Z274"/>
    <hyperlink r:id="rId271" ref="AA274"/>
    <hyperlink r:id="rId272" ref="Z275"/>
    <hyperlink r:id="rId273" ref="Z276"/>
    <hyperlink r:id="rId274" ref="Z277"/>
    <hyperlink r:id="rId275" ref="Z278"/>
    <hyperlink r:id="rId276" ref="Z279"/>
    <hyperlink r:id="rId277" ref="Z280"/>
    <hyperlink r:id="rId278" ref="Z281"/>
    <hyperlink r:id="rId279" ref="Z282"/>
    <hyperlink r:id="rId280" ref="Z283"/>
    <hyperlink r:id="rId281" ref="Z285"/>
    <hyperlink r:id="rId282" ref="Z286"/>
    <hyperlink r:id="rId283" ref="Z287"/>
    <hyperlink r:id="rId284" ref="Z288"/>
    <hyperlink r:id="rId285" ref="Z289"/>
    <hyperlink r:id="rId286" ref="Z290"/>
    <hyperlink r:id="rId287" ref="Z291"/>
    <hyperlink r:id="rId288" ref="Z292"/>
    <hyperlink r:id="rId289" ref="Z293"/>
    <hyperlink r:id="rId290" location="2647" ref="AA293"/>
    <hyperlink r:id="rId291" ref="Z295"/>
    <hyperlink r:id="rId292" ref="Z299"/>
    <hyperlink r:id="rId293" ref="Z300"/>
    <hyperlink r:id="rId294" ref="Z301"/>
    <hyperlink r:id="rId295" ref="Z302"/>
    <hyperlink r:id="rId296" ref="Z303"/>
    <hyperlink r:id="rId297" ref="Z304"/>
    <hyperlink r:id="rId298" ref="Z305"/>
    <hyperlink r:id="rId299" ref="Z306"/>
    <hyperlink r:id="rId300" ref="Z307"/>
    <hyperlink r:id="rId301" ref="Z309"/>
    <hyperlink r:id="rId302" ref="Z312"/>
    <hyperlink r:id="rId303" ref="Z313"/>
    <hyperlink r:id="rId304" ref="Z314"/>
    <hyperlink r:id="rId305" ref="Z315"/>
    <hyperlink r:id="rId306" ref="Z317"/>
    <hyperlink r:id="rId307" ref="Z318"/>
    <hyperlink r:id="rId308" ref="Z319"/>
    <hyperlink r:id="rId309" ref="Z320"/>
    <hyperlink r:id="rId310" location="%E4%B8%89%E6%9C%9F%E5%8F%8A%E5%9B%9B%E6%9C%9F%E5%B7%A5%E7%A8%8B" ref="Z321"/>
    <hyperlink r:id="rId311" ref="Z322"/>
    <hyperlink r:id="rId312" ref="Z323"/>
    <hyperlink r:id="rId313" ref="Z324"/>
    <hyperlink r:id="rId314" ref="Z325"/>
    <hyperlink r:id="rId315" ref="Z327"/>
    <hyperlink r:id="rId316" ref="Z328"/>
    <hyperlink r:id="rId317" ref="Z329"/>
    <hyperlink r:id="rId318" ref="Z330"/>
    <hyperlink r:id="rId319" ref="Z331"/>
    <hyperlink r:id="rId320" ref="Z332"/>
    <hyperlink r:id="rId321" ref="Z333"/>
    <hyperlink r:id="rId322" ref="Z334"/>
    <hyperlink r:id="rId323" ref="Z335"/>
    <hyperlink r:id="rId324" ref="Z336"/>
    <hyperlink r:id="rId325" ref="Z337"/>
    <hyperlink r:id="rId326" ref="Z338"/>
    <hyperlink r:id="rId327" ref="Z339"/>
    <hyperlink r:id="rId328" ref="AA339"/>
    <hyperlink r:id="rId329" ref="Z340"/>
    <hyperlink r:id="rId330" ref="Z341"/>
    <hyperlink r:id="rId331" ref="Z342"/>
    <hyperlink r:id="rId332" ref="Z343"/>
    <hyperlink r:id="rId333" ref="Z344"/>
    <hyperlink r:id="rId334" ref="Z345"/>
    <hyperlink r:id="rId335" ref="Z346"/>
    <hyperlink r:id="rId336" ref="Z347"/>
    <hyperlink r:id="rId337" ref="Z348"/>
    <hyperlink r:id="rId338" ref="Z349"/>
    <hyperlink r:id="rId339" ref="Z350"/>
    <hyperlink r:id="rId340" ref="Z351"/>
    <hyperlink r:id="rId341" ref="Z352"/>
    <hyperlink r:id="rId342" ref="Z353"/>
    <hyperlink r:id="rId343" ref="Z354"/>
    <hyperlink r:id="rId344" ref="Z355"/>
    <hyperlink r:id="rId345" ref="Z356"/>
    <hyperlink r:id="rId346" ref="Z357"/>
    <hyperlink r:id="rId347" ref="Z358"/>
    <hyperlink r:id="rId348" ref="Z359"/>
    <hyperlink r:id="rId349" ref="Z360"/>
    <hyperlink r:id="rId350" ref="Z361"/>
    <hyperlink r:id="rId351" ref="Z362"/>
    <hyperlink r:id="rId352" ref="Z363"/>
    <hyperlink r:id="rId353" ref="Z364"/>
    <hyperlink r:id="rId354" ref="Z365"/>
    <hyperlink r:id="rId355" ref="Z366"/>
    <hyperlink r:id="rId356" ref="Z367"/>
    <hyperlink r:id="rId357" ref="Z368"/>
    <hyperlink r:id="rId358" ref="Z369"/>
    <hyperlink r:id="rId359" ref="Z370"/>
    <hyperlink r:id="rId360" ref="Z372"/>
    <hyperlink r:id="rId361" ref="Z373"/>
    <hyperlink r:id="rId362" ref="Z374"/>
    <hyperlink r:id="rId363" ref="Z375"/>
    <hyperlink r:id="rId364" ref="Z376"/>
    <hyperlink r:id="rId365" ref="Z377"/>
    <hyperlink r:id="rId366" ref="Z378"/>
    <hyperlink r:id="rId367" ref="Z379"/>
    <hyperlink r:id="rId368" ref="Z380"/>
    <hyperlink r:id="rId369" ref="Z381"/>
    <hyperlink r:id="rId370" ref="Z382"/>
    <hyperlink r:id="rId371" ref="Z383"/>
    <hyperlink r:id="rId372" ref="Z384"/>
    <hyperlink r:id="rId373" ref="Z385"/>
    <hyperlink r:id="rId374" ref="Z386"/>
    <hyperlink r:id="rId375" ref="Z387"/>
    <hyperlink r:id="rId376" ref="Z388"/>
    <hyperlink r:id="rId377" ref="Z389"/>
    <hyperlink r:id="rId378" ref="AA389"/>
    <hyperlink r:id="rId379" ref="Z390"/>
    <hyperlink r:id="rId380" ref="Z391"/>
    <hyperlink r:id="rId381" ref="Z392"/>
    <hyperlink r:id="rId382" ref="Z393"/>
    <hyperlink r:id="rId383" location="reference-[2]-15957490-wrap" ref="Z394"/>
    <hyperlink r:id="rId384" ref="Z395"/>
    <hyperlink r:id="rId385" ref="Z396"/>
    <hyperlink r:id="rId386" ref="Z397"/>
    <hyperlink r:id="rId387" ref="Z398"/>
    <hyperlink r:id="rId388" ref="Z399"/>
    <hyperlink r:id="rId389" ref="Z400"/>
    <hyperlink r:id="rId390" ref="Z401"/>
    <hyperlink r:id="rId391" ref="Z402"/>
    <hyperlink r:id="rId392" ref="Z403"/>
    <hyperlink r:id="rId393" ref="Z404"/>
    <hyperlink r:id="rId394" ref="Z405"/>
    <hyperlink r:id="rId395" ref="Z406"/>
    <hyperlink r:id="rId396" ref="Z407"/>
    <hyperlink r:id="rId397" ref="Z408"/>
    <hyperlink r:id="rId398" ref="Z409"/>
    <hyperlink r:id="rId399" ref="Z412"/>
    <hyperlink r:id="rId400" ref="Z413"/>
    <hyperlink r:id="rId401" ref="Z414"/>
    <hyperlink r:id="rId402" ref="Z415"/>
    <hyperlink r:id="rId403" ref="Z416"/>
    <hyperlink r:id="rId404" ref="Z417"/>
    <hyperlink r:id="rId405" ref="Z418"/>
    <hyperlink r:id="rId406" ref="Z419"/>
    <hyperlink r:id="rId407" ref="Z420"/>
    <hyperlink r:id="rId408" ref="Z421"/>
    <hyperlink r:id="rId409" ref="Z423"/>
    <hyperlink r:id="rId410" ref="Z424"/>
    <hyperlink r:id="rId411" ref="Z425"/>
    <hyperlink r:id="rId412" ref="Z426"/>
    <hyperlink r:id="rId413" ref="Z427"/>
    <hyperlink r:id="rId414" ref="Z428"/>
    <hyperlink r:id="rId415" ref="Z429"/>
    <hyperlink r:id="rId416" ref="Z430"/>
    <hyperlink r:id="rId417" ref="Z431"/>
    <hyperlink r:id="rId418" ref="Z432"/>
    <hyperlink r:id="rId419" ref="Z433"/>
    <hyperlink r:id="rId420" ref="Z434"/>
    <hyperlink r:id="rId421" ref="Z435"/>
    <hyperlink r:id="rId422" ref="Z436"/>
    <hyperlink r:id="rId423" ref="Z437"/>
    <hyperlink r:id="rId424" ref="Z438"/>
    <hyperlink r:id="rId425" ref="Z439"/>
    <hyperlink r:id="rId426" ref="Z440"/>
    <hyperlink r:id="rId427" ref="Z441"/>
    <hyperlink r:id="rId428" ref="Z442"/>
    <hyperlink r:id="rId429" ref="Z443"/>
    <hyperlink r:id="rId430" ref="Z444"/>
    <hyperlink r:id="rId431" ref="Z445"/>
    <hyperlink r:id="rId432" ref="Z446"/>
    <hyperlink r:id="rId433" ref="Z447"/>
    <hyperlink r:id="rId434" ref="Z448"/>
    <hyperlink r:id="rId435" ref="Z449"/>
    <hyperlink r:id="rId436" ref="Z450"/>
    <hyperlink r:id="rId437" ref="Z451"/>
    <hyperlink r:id="rId438" ref="Z452"/>
    <hyperlink r:id="rId439" ref="Z453"/>
    <hyperlink r:id="rId440" ref="Z454"/>
    <hyperlink r:id="rId441" ref="Z455"/>
    <hyperlink r:id="rId442" ref="Z456"/>
    <hyperlink r:id="rId443" ref="Z457"/>
    <hyperlink r:id="rId444" ref="Z458"/>
    <hyperlink r:id="rId445" ref="Z459"/>
    <hyperlink r:id="rId446" ref="Z460"/>
    <hyperlink r:id="rId447" ref="Z461"/>
    <hyperlink r:id="rId448" ref="Z462"/>
    <hyperlink r:id="rId449" ref="Z463"/>
    <hyperlink r:id="rId450" ref="Z464"/>
    <hyperlink r:id="rId451" ref="Z465"/>
    <hyperlink r:id="rId452" ref="Z466"/>
    <hyperlink r:id="rId453" ref="Z467"/>
    <hyperlink r:id="rId454" ref="Z468"/>
    <hyperlink r:id="rId455" ref="Z469"/>
    <hyperlink r:id="rId456" ref="Z470"/>
    <hyperlink r:id="rId457" ref="Z471"/>
    <hyperlink r:id="rId458" ref="Z472"/>
    <hyperlink r:id="rId459" ref="Z473"/>
    <hyperlink r:id="rId460" ref="Z474"/>
    <hyperlink r:id="rId461" ref="Z475"/>
    <hyperlink r:id="rId462" ref="Z476"/>
    <hyperlink r:id="rId463" ref="Z477"/>
    <hyperlink r:id="rId464" ref="Z478"/>
    <hyperlink r:id="rId465" ref="Z479"/>
    <hyperlink r:id="rId466" ref="Z480"/>
    <hyperlink r:id="rId467" ref="AA480"/>
    <hyperlink r:id="rId468" ref="Z481"/>
    <hyperlink r:id="rId469" ref="Z482"/>
    <hyperlink r:id="rId470" ref="Z483"/>
    <hyperlink r:id="rId471" location="一期工程" ref="Z484"/>
    <hyperlink r:id="rId472" ref="Z485"/>
    <hyperlink r:id="rId473" ref="Z486"/>
    <hyperlink r:id="rId474" ref="Z487"/>
    <hyperlink r:id="rId475" ref="Z488"/>
    <hyperlink r:id="rId476" ref="Z489"/>
    <hyperlink r:id="rId477" ref="Z490"/>
    <hyperlink r:id="rId478" ref="AA490"/>
    <hyperlink r:id="rId479" ref="Z491"/>
    <hyperlink r:id="rId480" ref="Z492"/>
    <hyperlink r:id="rId481" ref="Z493"/>
    <hyperlink r:id="rId482" location="cite_note-4" ref="Z494"/>
    <hyperlink r:id="rId483" ref="Z495"/>
    <hyperlink r:id="rId484" ref="Z496"/>
    <hyperlink r:id="rId485" ref="Z497"/>
    <hyperlink r:id="rId486" ref="Z498"/>
    <hyperlink r:id="rId487" ref="Z499"/>
    <hyperlink r:id="rId488" ref="Z500"/>
    <hyperlink r:id="rId489" ref="Z501"/>
    <hyperlink r:id="rId490" ref="Z502"/>
    <hyperlink r:id="rId491" ref="Z503"/>
    <hyperlink r:id="rId492" ref="Z504"/>
    <hyperlink r:id="rId493" ref="Z505"/>
    <hyperlink r:id="rId494" ref="Z506"/>
    <hyperlink r:id="rId495" ref="Z507"/>
    <hyperlink r:id="rId496" ref="Z508"/>
    <hyperlink r:id="rId497" ref="Z509"/>
    <hyperlink r:id="rId498" ref="Z510"/>
    <hyperlink r:id="rId499" ref="Z513"/>
    <hyperlink r:id="rId500" ref="Z514"/>
    <hyperlink r:id="rId501" ref="Z515"/>
    <hyperlink r:id="rId502" ref="Z516"/>
    <hyperlink r:id="rId503" ref="Z518"/>
    <hyperlink r:id="rId504" ref="Z519"/>
    <hyperlink r:id="rId505" ref="Z520"/>
    <hyperlink r:id="rId506" ref="Z521"/>
    <hyperlink r:id="rId507" ref="Z524"/>
    <hyperlink r:id="rId508" ref="Z527"/>
    <hyperlink r:id="rId509" ref="Z529"/>
    <hyperlink r:id="rId510" ref="Z530"/>
    <hyperlink r:id="rId511" ref="Z531"/>
    <hyperlink r:id="rId512" ref="Z532"/>
    <hyperlink r:id="rId513" ref="Z534"/>
    <hyperlink r:id="rId514" ref="Z535"/>
    <hyperlink r:id="rId515" ref="Z536"/>
    <hyperlink r:id="rId516" ref="Z537"/>
    <hyperlink r:id="rId517" ref="Z538"/>
    <hyperlink r:id="rId518" ref="Z539"/>
    <hyperlink r:id="rId519" ref="Z540"/>
    <hyperlink r:id="rId520" ref="Z541"/>
    <hyperlink r:id="rId521" ref="Z542"/>
    <hyperlink r:id="rId522" ref="Z543"/>
    <hyperlink r:id="rId523" location="%E4%B8%80%E6%9C%9F%E5%B7%A5%E7%A8%8B" ref="Z544"/>
    <hyperlink r:id="rId524" ref="Z545"/>
    <hyperlink r:id="rId525" ref="AA545"/>
    <hyperlink r:id="rId526" ref="Z546"/>
    <hyperlink r:id="rId527" ref="Z547"/>
    <hyperlink r:id="rId528" ref="Z548"/>
    <hyperlink r:id="rId529" ref="Z549"/>
    <hyperlink r:id="rId530" ref="Z550"/>
    <hyperlink r:id="rId531" ref="Z551"/>
    <hyperlink r:id="rId532" ref="Z552"/>
    <hyperlink r:id="rId533" ref="Z553"/>
    <hyperlink r:id="rId534" ref="Z554"/>
    <hyperlink r:id="rId535" ref="Z555"/>
    <hyperlink r:id="rId536" ref="Z564"/>
    <hyperlink r:id="rId537" ref="Z568"/>
    <hyperlink r:id="rId538" location=".YW2ctNha4E8.link" ref="Z576"/>
    <hyperlink r:id="rId539" location=".YW1kGBtofbY.link" ref="Z577"/>
    <hyperlink r:id="rId540" location=".YW1js87Ueak.link" ref="Z578"/>
    <hyperlink r:id="rId541" location=".YW423bEbO3o.link" ref="Z579"/>
    <hyperlink r:id="rId542" ref="Z586"/>
    <hyperlink r:id="rId543" ref="Z587"/>
    <hyperlink r:id="rId544" ref="Z588"/>
    <hyperlink r:id="rId545" ref="Z596"/>
    <hyperlink r:id="rId546" ref="Z597"/>
    <hyperlink r:id="rId547" ref="Z598"/>
    <hyperlink r:id="rId548" ref="Z601"/>
    <hyperlink r:id="rId549" ref="Z603"/>
    <hyperlink r:id="rId550" ref="Z604"/>
    <hyperlink r:id="rId551" ref="Z605"/>
    <hyperlink r:id="rId552" ref="Z606"/>
    <hyperlink r:id="rId553" ref="Z608"/>
    <hyperlink r:id="rId554" ref="Z609"/>
    <hyperlink r:id="rId555" ref="Z610"/>
    <hyperlink r:id="rId556" ref="Z611"/>
    <hyperlink r:id="rId557" ref="Z612"/>
    <hyperlink r:id="rId558" ref="Z613"/>
    <hyperlink r:id="rId559" ref="Z614"/>
    <hyperlink r:id="rId560" ref="Z615"/>
    <hyperlink r:id="rId561" ref="Z616"/>
    <hyperlink r:id="rId562" ref="Z617"/>
    <hyperlink r:id="rId563" ref="Z618"/>
    <hyperlink r:id="rId564" ref="Z619"/>
    <hyperlink r:id="rId565" ref="Z620"/>
    <hyperlink r:id="rId566" ref="Z621"/>
    <hyperlink r:id="rId567" ref="Z622"/>
    <hyperlink r:id="rId568" ref="Z623"/>
    <hyperlink r:id="rId569" ref="Z624"/>
    <hyperlink r:id="rId570" ref="Z625"/>
    <hyperlink r:id="rId571" ref="Z626"/>
    <hyperlink r:id="rId572" ref="Z628"/>
    <hyperlink r:id="rId573" ref="Z630"/>
    <hyperlink r:id="rId574" ref="Z631"/>
    <hyperlink r:id="rId575" ref="Z632"/>
    <hyperlink r:id="rId576" ref="Z633"/>
    <hyperlink r:id="rId577" ref="Z634"/>
    <hyperlink r:id="rId578" ref="Z635"/>
    <hyperlink r:id="rId579" ref="Z636"/>
    <hyperlink r:id="rId580" ref="Z637"/>
    <hyperlink r:id="rId581" ref="Z638"/>
    <hyperlink r:id="rId582" ref="Z639"/>
    <hyperlink r:id="rId583" ref="Z640"/>
    <hyperlink r:id="rId584" ref="Z641"/>
    <hyperlink r:id="rId585" ref="Z642"/>
    <hyperlink r:id="rId586" ref="Z643"/>
    <hyperlink r:id="rId587" ref="Z644"/>
    <hyperlink r:id="rId588" ref="Z645"/>
    <hyperlink r:id="rId589" ref="Z646"/>
    <hyperlink r:id="rId590" ref="Z647"/>
    <hyperlink r:id="rId591" ref="Z648"/>
    <hyperlink r:id="rId592" ref="Z649"/>
    <hyperlink r:id="rId593" ref="Z650"/>
    <hyperlink r:id="rId594" ref="Z651"/>
    <hyperlink r:id="rId595" ref="Z652"/>
    <hyperlink r:id="rId596" ref="Z653"/>
    <hyperlink r:id="rId597" ref="Z654"/>
    <hyperlink r:id="rId598" ref="AA654"/>
    <hyperlink r:id="rId599" ref="Z655"/>
    <hyperlink r:id="rId600" ref="Z656"/>
    <hyperlink r:id="rId601" ref="Z657"/>
    <hyperlink r:id="rId602" ref="Z658"/>
    <hyperlink r:id="rId603" ref="Z659"/>
    <hyperlink r:id="rId604" ref="Z660"/>
    <hyperlink r:id="rId605" ref="Z661"/>
    <hyperlink r:id="rId606" ref="AA661"/>
    <hyperlink r:id="rId607" ref="Z662"/>
    <hyperlink r:id="rId608" ref="Z663"/>
    <hyperlink r:id="rId609" ref="Z664"/>
    <hyperlink r:id="rId610" ref="Z665"/>
    <hyperlink r:id="rId611" ref="Z666"/>
    <hyperlink r:id="rId612" ref="Z667"/>
    <hyperlink r:id="rId613" ref="Z668"/>
    <hyperlink r:id="rId614" ref="AA668"/>
    <hyperlink r:id="rId615" ref="Z669"/>
    <hyperlink r:id="rId616" ref="Z670"/>
    <hyperlink r:id="rId617" ref="Z671"/>
    <hyperlink r:id="rId618" ref="AA671"/>
    <hyperlink r:id="rId619" ref="AB671"/>
    <hyperlink r:id="rId620" ref="Z672"/>
    <hyperlink r:id="rId621" ref="Z673"/>
    <hyperlink r:id="rId622" ref="Z674"/>
    <hyperlink r:id="rId623" ref="Z675"/>
    <hyperlink r:id="rId624" ref="Z676"/>
    <hyperlink r:id="rId625" ref="AA676"/>
    <hyperlink r:id="rId626" ref="Z677"/>
    <hyperlink r:id="rId627" ref="Z678"/>
    <hyperlink r:id="rId628" ref="Z679"/>
    <hyperlink r:id="rId629" ref="Z680"/>
    <hyperlink r:id="rId630" ref="AA680"/>
    <hyperlink r:id="rId631" ref="Z681"/>
    <hyperlink r:id="rId632" ref="Z682"/>
    <hyperlink r:id="rId633" ref="Z683"/>
    <hyperlink r:id="rId634" ref="Z684"/>
    <hyperlink r:id="rId635" ref="Z685"/>
    <hyperlink r:id="rId636" ref="Z686"/>
    <hyperlink r:id="rId637" ref="Z687"/>
    <hyperlink r:id="rId638" ref="Z688"/>
    <hyperlink r:id="rId639" ref="Z689"/>
    <hyperlink r:id="rId640" ref="Z690"/>
    <hyperlink r:id="rId641" ref="AA690"/>
    <hyperlink r:id="rId642" ref="Z691"/>
    <hyperlink r:id="rId643" ref="AA691"/>
    <hyperlink r:id="rId644" ref="Z692"/>
    <hyperlink r:id="rId645" ref="Z693"/>
    <hyperlink r:id="rId646" ref="Z694"/>
    <hyperlink r:id="rId647" ref="Z695"/>
    <hyperlink r:id="rId648" ref="AA695"/>
    <hyperlink r:id="rId649" ref="Z696"/>
    <hyperlink r:id="rId650" ref="AA696"/>
    <hyperlink r:id="rId651" ref="Z697"/>
    <hyperlink r:id="rId652" ref="Z698"/>
    <hyperlink r:id="rId653" ref="Z699"/>
    <hyperlink r:id="rId654" ref="AA699"/>
    <hyperlink r:id="rId655" ref="Z700"/>
    <hyperlink r:id="rId656" ref="Z701"/>
    <hyperlink r:id="rId657" ref="AA701"/>
    <hyperlink r:id="rId658" ref="Z702"/>
    <hyperlink r:id="rId659" ref="AA702"/>
    <hyperlink r:id="rId660" ref="Z703"/>
    <hyperlink r:id="rId661" ref="Z704"/>
    <hyperlink r:id="rId662" ref="Z705"/>
    <hyperlink r:id="rId663" ref="AA705"/>
    <hyperlink r:id="rId664" ref="Z706"/>
    <hyperlink r:id="rId665" ref="Z707"/>
    <hyperlink r:id="rId666" ref="Z708"/>
    <hyperlink r:id="rId667" ref="Z709"/>
    <hyperlink r:id="rId668" ref="Z710"/>
    <hyperlink r:id="rId669" ref="Z711"/>
    <hyperlink r:id="rId670" ref="Z712"/>
    <hyperlink r:id="rId671" ref="Z713"/>
    <hyperlink r:id="rId672" ref="Z714"/>
    <hyperlink r:id="rId673" ref="Z715"/>
    <hyperlink r:id="rId674" ref="Z716"/>
    <hyperlink r:id="rId675" ref="Z717"/>
    <hyperlink r:id="rId676" ref="Z718"/>
    <hyperlink r:id="rId677" ref="Z719"/>
    <hyperlink r:id="rId678" ref="Z720"/>
    <hyperlink r:id="rId679" ref="Z721"/>
    <hyperlink r:id="rId680" ref="Z722"/>
    <hyperlink r:id="rId681" ref="Z723"/>
    <hyperlink r:id="rId682" ref="Z724"/>
    <hyperlink r:id="rId683" ref="Z725"/>
    <hyperlink r:id="rId684" ref="AA725"/>
    <hyperlink r:id="rId685" ref="Z726"/>
    <hyperlink r:id="rId686" ref="AA726"/>
    <hyperlink r:id="rId687" ref="Z727"/>
    <hyperlink r:id="rId688" ref="AA727"/>
    <hyperlink r:id="rId689" ref="Z728"/>
    <hyperlink r:id="rId690" ref="Z729"/>
    <hyperlink r:id="rId691" ref="Z730"/>
    <hyperlink r:id="rId692" ref="Z731"/>
    <hyperlink r:id="rId693" ref="Z732"/>
    <hyperlink r:id="rId694" ref="Z733"/>
    <hyperlink r:id="rId695" ref="Z734"/>
    <hyperlink r:id="rId696" ref="AA734"/>
    <hyperlink r:id="rId697" ref="Z735"/>
    <hyperlink r:id="rId698" ref="AA735"/>
    <hyperlink r:id="rId699" ref="Z736"/>
    <hyperlink r:id="rId700" ref="AA736"/>
    <hyperlink r:id="rId701" ref="Z737"/>
    <hyperlink r:id="rId702" ref="Z738"/>
    <hyperlink r:id="rId703" ref="Z739"/>
    <hyperlink r:id="rId704" ref="Z740"/>
    <hyperlink r:id="rId705" ref="Z741"/>
    <hyperlink r:id="rId706" ref="Z742"/>
    <hyperlink r:id="rId707" ref="AA742"/>
    <hyperlink r:id="rId708" ref="Z743"/>
    <hyperlink r:id="rId709" ref="Z744"/>
    <hyperlink r:id="rId710" ref="Z745"/>
    <hyperlink r:id="rId711" ref="Z746"/>
    <hyperlink r:id="rId712" ref="Z747"/>
    <hyperlink r:id="rId713" ref="Z748"/>
    <hyperlink r:id="rId714" ref="Z749"/>
    <hyperlink r:id="rId715" ref="Z750"/>
    <hyperlink r:id="rId716" ref="Z751"/>
    <hyperlink r:id="rId717" ref="Z752"/>
    <hyperlink r:id="rId718" ref="Z753"/>
    <hyperlink r:id="rId719" ref="AA753"/>
    <hyperlink r:id="rId720" ref="Z754"/>
    <hyperlink r:id="rId721" ref="Z755"/>
    <hyperlink r:id="rId722" ref="Z756"/>
    <hyperlink r:id="rId723" ref="AA756"/>
    <hyperlink r:id="rId724" ref="Z757"/>
    <hyperlink r:id="rId725" ref="Z758"/>
    <hyperlink r:id="rId726" ref="Z759"/>
    <hyperlink r:id="rId727" ref="Z760"/>
    <hyperlink r:id="rId728" ref="Z761"/>
    <hyperlink r:id="rId729" ref="AA761"/>
    <hyperlink r:id="rId730" ref="Z762"/>
    <hyperlink r:id="rId731" ref="Z763"/>
    <hyperlink r:id="rId732" ref="Z764"/>
    <hyperlink r:id="rId733" ref="Z765"/>
    <hyperlink r:id="rId734" ref="Z766"/>
    <hyperlink r:id="rId735" ref="AA766"/>
    <hyperlink r:id="rId736" ref="AB766"/>
    <hyperlink r:id="rId737" ref="Z767"/>
    <hyperlink r:id="rId738" ref="Z768"/>
    <hyperlink r:id="rId739" ref="AA768"/>
    <hyperlink r:id="rId740" ref="Z769"/>
    <hyperlink r:id="rId741" ref="Z770"/>
    <hyperlink r:id="rId742" ref="Z771"/>
    <hyperlink r:id="rId743" ref="Z772"/>
    <hyperlink r:id="rId744" ref="AA772"/>
    <hyperlink r:id="rId745" ref="Z773"/>
    <hyperlink r:id="rId746" ref="Z774"/>
    <hyperlink r:id="rId747" ref="AA774"/>
    <hyperlink r:id="rId748" ref="Z775"/>
    <hyperlink r:id="rId749" ref="Z776"/>
    <hyperlink r:id="rId750" ref="Z777"/>
    <hyperlink r:id="rId751" ref="Z778"/>
    <hyperlink r:id="rId752" ref="Z779"/>
    <hyperlink r:id="rId753" ref="AA779"/>
    <hyperlink r:id="rId754" ref="Z780"/>
    <hyperlink r:id="rId755" ref="AA780"/>
    <hyperlink r:id="rId756" ref="Z781"/>
    <hyperlink r:id="rId757" ref="AA781"/>
    <hyperlink r:id="rId758" ref="Z782"/>
    <hyperlink r:id="rId759" ref="AA782"/>
    <hyperlink r:id="rId760" ref="Z783"/>
    <hyperlink r:id="rId761" ref="AA783"/>
    <hyperlink r:id="rId762" ref="Z784"/>
    <hyperlink r:id="rId763" ref="Z785"/>
    <hyperlink r:id="rId764" ref="AA785"/>
    <hyperlink r:id="rId765" ref="Z786"/>
    <hyperlink r:id="rId766" ref="Z787"/>
    <hyperlink r:id="rId767" ref="Z788"/>
    <hyperlink r:id="rId768" ref="Z789"/>
    <hyperlink r:id="rId769" ref="Z790"/>
    <hyperlink r:id="rId770" ref="Z791"/>
    <hyperlink r:id="rId771" ref="Z792"/>
    <hyperlink r:id="rId772" ref="AA792"/>
    <hyperlink r:id="rId773" ref="Z793"/>
    <hyperlink r:id="rId774" ref="Z794"/>
    <hyperlink r:id="rId775" ref="Z795"/>
    <hyperlink r:id="rId776" ref="Z796"/>
    <hyperlink r:id="rId777" ref="Z797"/>
    <hyperlink r:id="rId778" ref="Z798"/>
    <hyperlink r:id="rId779" ref="Z799"/>
    <hyperlink r:id="rId780" ref="Z800"/>
    <hyperlink r:id="rId781" ref="Z801"/>
    <hyperlink r:id="rId782" ref="Z802"/>
    <hyperlink r:id="rId783" ref="Z803"/>
    <hyperlink r:id="rId784" ref="Z804"/>
    <hyperlink r:id="rId785" ref="Z805"/>
    <hyperlink r:id="rId786" ref="Z806"/>
    <hyperlink r:id="rId787" ref="Z807"/>
    <hyperlink r:id="rId788" ref="Z808"/>
    <hyperlink r:id="rId789" ref="Z809"/>
    <hyperlink r:id="rId790" ref="AA809"/>
    <hyperlink r:id="rId791" ref="Z810"/>
    <hyperlink r:id="rId792" ref="Z811"/>
    <hyperlink r:id="rId793" ref="Z812"/>
    <hyperlink r:id="rId794" ref="Z813"/>
    <hyperlink r:id="rId795" ref="Z814"/>
    <hyperlink r:id="rId796" ref="Z815"/>
    <hyperlink r:id="rId797" ref="Z816"/>
    <hyperlink r:id="rId798" ref="Z817"/>
    <hyperlink r:id="rId799" ref="Z818"/>
    <hyperlink r:id="rId800" ref="Z819"/>
    <hyperlink r:id="rId801" ref="Z820"/>
    <hyperlink r:id="rId802" ref="Z821"/>
    <hyperlink r:id="rId803" ref="AA821"/>
    <hyperlink r:id="rId804" ref="Z822"/>
    <hyperlink r:id="rId805" ref="AA822"/>
    <hyperlink r:id="rId806" ref="Z823"/>
    <hyperlink r:id="rId807" ref="AA823"/>
    <hyperlink r:id="rId808" ref="Z824"/>
    <hyperlink r:id="rId809" ref="AA824"/>
    <hyperlink r:id="rId810" ref="Z825"/>
    <hyperlink r:id="rId811" ref="Z826"/>
    <hyperlink r:id="rId812" ref="AA826"/>
    <hyperlink r:id="rId813" ref="Z827"/>
    <hyperlink r:id="rId814" ref="AA827"/>
    <hyperlink r:id="rId815" ref="Z828"/>
    <hyperlink r:id="rId816" ref="AA828"/>
    <hyperlink r:id="rId817" ref="Z829"/>
    <hyperlink r:id="rId818" ref="AA829"/>
    <hyperlink r:id="rId819" ref="Z830"/>
    <hyperlink r:id="rId820" ref="AA830"/>
    <hyperlink r:id="rId821" ref="Z831"/>
    <hyperlink r:id="rId822" ref="Z832"/>
    <hyperlink r:id="rId823" ref="Z833"/>
    <hyperlink r:id="rId824" ref="Z834"/>
    <hyperlink r:id="rId825" ref="Z835"/>
    <hyperlink r:id="rId826" ref="Z836"/>
    <hyperlink r:id="rId827" ref="Z837"/>
    <hyperlink r:id="rId828" ref="Z838"/>
    <hyperlink r:id="rId829" ref="Z839"/>
    <hyperlink r:id="rId830" ref="Z840"/>
    <hyperlink r:id="rId831" ref="Z841"/>
    <hyperlink r:id="rId832" ref="Z842"/>
    <hyperlink r:id="rId833" ref="Z843"/>
    <hyperlink r:id="rId834" ref="Z844"/>
    <hyperlink r:id="rId835" ref="Z845"/>
    <hyperlink r:id="rId836" ref="Z846"/>
    <hyperlink r:id="rId837" ref="Z847"/>
    <hyperlink r:id="rId838" ref="Z848"/>
    <hyperlink r:id="rId839" ref="Z849"/>
    <hyperlink r:id="rId840" ref="Z850"/>
    <hyperlink r:id="rId841" ref="Z851"/>
    <hyperlink r:id="rId842" ref="Z852"/>
    <hyperlink r:id="rId843" ref="Z853"/>
    <hyperlink r:id="rId844" ref="Z854"/>
    <hyperlink r:id="rId845" ref="Z855"/>
    <hyperlink r:id="rId846" ref="Z856"/>
    <hyperlink r:id="rId847" ref="AA856"/>
    <hyperlink r:id="rId848" ref="Z857"/>
    <hyperlink r:id="rId849" ref="AA857"/>
    <hyperlink r:id="rId850" ref="Z858"/>
    <hyperlink r:id="rId851" ref="Z859"/>
    <hyperlink r:id="rId852" ref="Z860"/>
    <hyperlink r:id="rId853" ref="Z861"/>
    <hyperlink r:id="rId854" ref="Z862"/>
    <hyperlink r:id="rId855" ref="AA862"/>
    <hyperlink r:id="rId856" ref="Z863"/>
    <hyperlink r:id="rId857" ref="Z864"/>
    <hyperlink r:id="rId858" ref="Z865"/>
    <hyperlink r:id="rId859" ref="Z866"/>
    <hyperlink r:id="rId860" ref="Z867"/>
    <hyperlink r:id="rId861" ref="Z868"/>
    <hyperlink r:id="rId862" ref="Z869"/>
    <hyperlink r:id="rId863" ref="Z870"/>
    <hyperlink r:id="rId864" ref="AA870"/>
    <hyperlink r:id="rId865" ref="Z871"/>
    <hyperlink r:id="rId866" ref="Z872"/>
    <hyperlink r:id="rId867" ref="Z873"/>
    <hyperlink r:id="rId868" ref="Z874"/>
    <hyperlink r:id="rId869" ref="AA874"/>
    <hyperlink r:id="rId870" ref="Z875"/>
    <hyperlink r:id="rId871" ref="Z876"/>
    <hyperlink r:id="rId872" ref="Z877"/>
    <hyperlink r:id="rId873" ref="Z878"/>
    <hyperlink r:id="rId874" ref="Z879"/>
    <hyperlink r:id="rId875" ref="Z880"/>
    <hyperlink r:id="rId876" ref="Z881"/>
    <hyperlink r:id="rId877" ref="Z882"/>
    <hyperlink r:id="rId878" ref="Z883"/>
    <hyperlink r:id="rId879" ref="Z884"/>
    <hyperlink r:id="rId880" ref="Z885"/>
  </hyperlinks>
  <drawing r:id="rId881"/>
  <legacyDrawing r:id="rId88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 customWidth="1" min="2" max="2" width="47.29"/>
    <col customWidth="1" min="3" max="3" width="31.29"/>
    <col customWidth="1" min="4" max="4" width="97.71"/>
  </cols>
  <sheetData>
    <row r="1">
      <c r="A1" s="8" t="s">
        <v>2144</v>
      </c>
      <c r="B1" s="433" t="s">
        <v>2145</v>
      </c>
      <c r="C1" s="433" t="s">
        <v>2146</v>
      </c>
      <c r="D1" s="433" t="s">
        <v>2147</v>
      </c>
      <c r="E1" s="434"/>
      <c r="F1" s="434"/>
      <c r="G1" s="434"/>
      <c r="H1" s="434"/>
      <c r="I1" s="434"/>
      <c r="J1" s="434"/>
      <c r="K1" s="434"/>
      <c r="L1" s="434"/>
      <c r="M1" s="434"/>
      <c r="N1" s="434"/>
      <c r="O1" s="434"/>
      <c r="P1" s="434"/>
      <c r="Q1" s="434"/>
      <c r="R1" s="434"/>
      <c r="S1" s="434"/>
      <c r="T1" s="434"/>
      <c r="U1" s="434"/>
      <c r="V1" s="434"/>
      <c r="W1" s="434"/>
      <c r="X1" s="434"/>
      <c r="Y1" s="434"/>
      <c r="Z1" s="434"/>
    </row>
    <row r="2">
      <c r="A2" s="1" t="s">
        <v>2</v>
      </c>
      <c r="B2" s="326" t="s">
        <v>2148</v>
      </c>
    </row>
    <row r="3">
      <c r="A3" s="2" t="s">
        <v>3</v>
      </c>
      <c r="B3" s="326" t="s">
        <v>2149</v>
      </c>
    </row>
    <row r="4">
      <c r="A4" s="1" t="s">
        <v>4</v>
      </c>
      <c r="B4" s="326" t="s">
        <v>2150</v>
      </c>
    </row>
    <row r="5">
      <c r="A5" s="1" t="s">
        <v>5</v>
      </c>
      <c r="B5" s="326" t="s">
        <v>2151</v>
      </c>
    </row>
    <row r="6">
      <c r="A6" s="2" t="s">
        <v>6</v>
      </c>
      <c r="B6" s="326" t="s">
        <v>2152</v>
      </c>
      <c r="C6" s="326" t="s">
        <v>2153</v>
      </c>
    </row>
    <row r="7">
      <c r="A7" s="2" t="s">
        <v>7</v>
      </c>
      <c r="B7" s="326" t="s">
        <v>2154</v>
      </c>
      <c r="C7" s="326" t="s">
        <v>2153</v>
      </c>
    </row>
    <row r="8">
      <c r="A8" s="2" t="s">
        <v>8</v>
      </c>
      <c r="B8" s="326" t="s">
        <v>2155</v>
      </c>
      <c r="C8" s="326" t="s">
        <v>2156</v>
      </c>
      <c r="D8" s="435" t="s">
        <v>2157</v>
      </c>
    </row>
    <row r="9">
      <c r="A9" s="2" t="s">
        <v>9</v>
      </c>
      <c r="B9" s="326" t="s">
        <v>2158</v>
      </c>
    </row>
    <row r="10">
      <c r="A10" s="2" t="s">
        <v>10</v>
      </c>
      <c r="B10" s="326" t="s">
        <v>2159</v>
      </c>
      <c r="C10" s="326" t="s">
        <v>2160</v>
      </c>
    </row>
    <row r="11">
      <c r="A11" s="2" t="s">
        <v>11</v>
      </c>
      <c r="B11" s="326" t="s">
        <v>2161</v>
      </c>
      <c r="D11" s="435" t="s">
        <v>2162</v>
      </c>
    </row>
    <row r="12">
      <c r="A12" s="1" t="s">
        <v>12</v>
      </c>
      <c r="B12" s="326" t="s">
        <v>2163</v>
      </c>
      <c r="D12" s="435" t="s">
        <v>2162</v>
      </c>
    </row>
    <row r="13">
      <c r="A13" s="1" t="s">
        <v>13</v>
      </c>
      <c r="B13" s="326" t="s">
        <v>2164</v>
      </c>
      <c r="D13" s="435" t="s">
        <v>2162</v>
      </c>
    </row>
    <row r="14">
      <c r="A14" s="2" t="s">
        <v>14</v>
      </c>
      <c r="B14" s="326" t="s">
        <v>2165</v>
      </c>
    </row>
    <row r="15">
      <c r="A15" s="1" t="s">
        <v>2121</v>
      </c>
      <c r="B15" s="326" t="s">
        <v>2166</v>
      </c>
    </row>
    <row r="16">
      <c r="A16" s="2" t="s">
        <v>16</v>
      </c>
      <c r="B16" s="326" t="s">
        <v>2167</v>
      </c>
      <c r="C16" s="326" t="s">
        <v>2168</v>
      </c>
      <c r="D16" s="326" t="s">
        <v>2169</v>
      </c>
    </row>
    <row r="17">
      <c r="A17" s="4" t="s">
        <v>17</v>
      </c>
      <c r="B17" s="326" t="s">
        <v>2170</v>
      </c>
      <c r="D17" s="436" t="s">
        <v>2171</v>
      </c>
    </row>
    <row r="18">
      <c r="A18" s="2" t="s">
        <v>18</v>
      </c>
      <c r="B18" s="326" t="s">
        <v>18</v>
      </c>
    </row>
    <row r="19">
      <c r="A19" s="2" t="s">
        <v>19</v>
      </c>
      <c r="B19" s="435" t="s">
        <v>2172</v>
      </c>
    </row>
    <row r="20">
      <c r="A20" s="2" t="s">
        <v>20</v>
      </c>
      <c r="B20" s="326" t="s">
        <v>2173</v>
      </c>
      <c r="D20" s="418" t="s">
        <v>2174</v>
      </c>
    </row>
    <row r="21">
      <c r="A21" s="2" t="s">
        <v>21</v>
      </c>
      <c r="B21" s="326" t="s">
        <v>2175</v>
      </c>
    </row>
    <row r="22">
      <c r="A22" s="5" t="s">
        <v>2122</v>
      </c>
      <c r="B22" s="326" t="s">
        <v>2176</v>
      </c>
    </row>
    <row r="23">
      <c r="A23" s="1" t="s">
        <v>27</v>
      </c>
      <c r="B23" s="326" t="s">
        <v>2177</v>
      </c>
    </row>
    <row r="24">
      <c r="A24" s="1" t="s">
        <v>2103</v>
      </c>
      <c r="B24" s="326" t="s">
        <v>2178</v>
      </c>
    </row>
    <row r="25">
      <c r="A25" s="1" t="s">
        <v>2104</v>
      </c>
      <c r="B25" s="326" t="s">
        <v>2179</v>
      </c>
    </row>
    <row r="26">
      <c r="A26" s="2" t="s">
        <v>30</v>
      </c>
      <c r="B26" s="326" t="s">
        <v>2180</v>
      </c>
      <c r="C26" s="326" t="s">
        <v>2181</v>
      </c>
      <c r="D26" s="326" t="s">
        <v>2169</v>
      </c>
    </row>
    <row r="27">
      <c r="A27" s="1" t="s">
        <v>2182</v>
      </c>
      <c r="B27" s="326" t="s">
        <v>2183</v>
      </c>
    </row>
    <row r="28">
      <c r="A28" s="326" t="s">
        <v>2184</v>
      </c>
      <c r="B28" s="326" t="s">
        <v>2185</v>
      </c>
    </row>
  </sheetData>
  <conditionalFormatting sqref="A25">
    <cfRule type="cellIs" dxfId="1" priority="1" operator="equal">
      <formula>0</formula>
    </cfRule>
  </conditionalFormatting>
  <hyperlinks>
    <hyperlink r:id="rId1" ref="D17"/>
    <hyperlink r:id="rId2" ref="D20"/>
  </hyperlinks>
  <drawing r:id="rId3"/>
</worksheet>
</file>